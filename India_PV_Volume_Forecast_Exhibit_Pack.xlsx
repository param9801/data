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3e06cb3b15274106" /></Relationships>
</file>

<file path=xl/workbook.xml><?xml version="1.0" encoding="utf-8"?>
<x:workbook xmlns:x="http://schemas.openxmlformats.org/spreadsheetml/2006/main">
  <x:sheets>
    <x:sheet xmlns:r="http://schemas.openxmlformats.org/officeDocument/2006/relationships" name="Summary" sheetId="1" r:id="R5e3d2fc131364814"/>
    <x:sheet xmlns:r="http://schemas.openxmlformats.org/officeDocument/2006/relationships" name="Assumptions" sheetId="2" r:id="R3bd0412f6ac64410"/>
    <x:sheet xmlns:r="http://schemas.openxmlformats.org/officeDocument/2006/relationships" name="Forecast" sheetId="3" r:id="R2c27ff8a88594fe4"/>
    <x:sheet xmlns:r="http://schemas.openxmlformats.org/officeDocument/2006/relationships" name="Demand Debt" sheetId="4" r:id="Re1c9c0989dd8491f"/>
    <x:sheet xmlns:r="http://schemas.openxmlformats.org/officeDocument/2006/relationships" name="Supply" sheetId="5" r:id="R330c4ff5f5f24304"/>
    <x:sheet xmlns:r="http://schemas.openxmlformats.org/officeDocument/2006/relationships" name="Exhibits" sheetId="6" r:id="R64d67533a03f4be0"/>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0"/>
    <x:numFmt numFmtId="201" formatCode="0.0%"/>
    <x:numFmt numFmtId="202" formatCode="0.00x"/>
    <x:numFmt numFmtId="203" formatCode="0"/>
    <x:numFmt numFmtId="204" formatCode="0.0000x"/>
    <x:numFmt numFmtId="205" formatCode="mmm-yy"/>
    <x:numFmt numFmtId="206" formatCode="#,##0;(#,##0);-"/>
    <x:numFmt numFmtId="207" formatCode="0%"/>
    <x:numFmt numFmtId="208" formatCode="0 &quot;days&quot;"/>
  </x:numFmts>
  <x:fonts count="15">
    <x:font>
      <x:sz val="11"/>
      <x:name val="Carlito"/>
    </x:font>
    <x:font>
      <x:sz val="10"/>
      <x:color rgb="FF222222"/>
      <x:name val="Arial"/>
    </x:font>
    <x:font>
      <x:b/>
      <x:sz val="15"/>
      <x:color rgb="FF17365D"/>
      <x:name val="Arial"/>
    </x:font>
    <x:font>
      <x:i/>
      <x:sz val="10"/>
      <x:color rgb="FF666666"/>
      <x:name val="Arial"/>
    </x:font>
    <x:font>
      <x:b/>
      <x:sz val="10"/>
      <x:color rgb="FF17365D"/>
      <x:name val="Arial"/>
    </x:font>
    <x:font>
      <x:sz val="10"/>
      <x:color rgb="FF0000FF"/>
      <x:name val="Arial"/>
    </x:font>
    <x:font>
      <x:b/>
      <x:sz val="10"/>
      <x:color rgb="FFFFFFFF"/>
      <x:name val="Arial"/>
    </x:font>
    <x:font>
      <x:sz val="10"/>
      <x:color rgb="FF008000"/>
      <x:name val="Arial"/>
    </x:font>
    <x:font>
      <x:sz val="9"/>
      <x:color rgb="FF666666"/>
      <x:name val="Arial"/>
    </x:font>
    <x:font>
      <x:sz val="8"/>
      <x:color rgb="FF666666"/>
      <x:name val="Arial"/>
    </x:font>
    <x:font>
      <x:i/>
      <x:sz val="10"/>
      <x:color rgb="FF17365D"/>
      <x:name val="Arial"/>
    </x:font>
    <x:font>
      <x:sz val="10"/>
      <x:color rgb="FF404040"/>
      <x:name val="Arial"/>
    </x:font>
    <x:font>
      <x:i/>
      <x:sz val="10"/>
      <x:color rgb="FF7F8C8D"/>
      <x:name val="Arial"/>
    </x:font>
    <x:font>
      <x:b/>
      <x:sz val="10"/>
      <x:color rgb="FF404040"/>
      <x:name val="Arial"/>
    </x:font>
    <x:font>
      <x:b/>
      <x:sz val="10"/>
      <x:color rgb="FFC00000"/>
      <x:name val="Arial"/>
    </x:font>
  </x:fonts>
  <x:fills count="12">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E2F0D9"/>
      </x:patternFill>
    </x:fill>
    <x:fill>
      <x:patternFill patternType="solid">
        <x:fgColor rgb="FFEAF2F8"/>
      </x:patternFill>
    </x:fill>
    <x:fill>
      <x:patternFill patternType="solid">
        <x:fgColor rgb="FFFFFFFF"/>
      </x:patternFill>
    </x:fill>
    <x:fill>
      <x:patternFill patternType="solid">
        <x:fgColor rgb="FFD9EAF7"/>
      </x:patternFill>
    </x:fill>
    <x:fill>
      <x:patternFill patternType="solid">
        <x:fgColor rgb="FF17365D"/>
      </x:patternFill>
    </x:fill>
    <x:fill>
      <x:patternFill patternType="solid">
        <x:fgColor rgb="FFE2F0D9"/>
      </x:patternFill>
    </x:fill>
    <x:fill>
      <x:patternFill patternType="solid">
        <x:fgColor rgb="FFFCE4D6"/>
      </x:patternFill>
    </x:fill>
  </x:fills>
  <x:borders count="12">
    <x:border/>
    <x:border>
      <x:bottom style="thin">
        <x:color rgb="FF17365D"/>
      </x:bottom>
    </x:border>
    <x:border>
      <x:bottom style="thin">
        <x:color rgb="FF9EADBA"/>
      </x:bottom>
    </x:border>
    <x:border>
      <x:right style="thin">
        <x:color rgb="FFFFFFFF"/>
      </x:right>
      <x:bottom style="thin">
        <x:color rgb="FF17365D"/>
      </x:bottom>
    </x:border>
    <x:border>
      <x:left style="thin">
        <x:color rgb="FFFFFFFF"/>
      </x:left>
      <x:bottom style="thin">
        <x:color rgb="FF17365D"/>
      </x:bottom>
    </x:border>
    <x:border>
      <x:left style="thin">
        <x:color rgb="FFFFFFFF"/>
      </x:left>
      <x:right style="thin">
        <x:color rgb="FFFFFFFF"/>
      </x:right>
      <x:bottom style="thin">
        <x:color rgb="FF17365D"/>
      </x:bottom>
    </x:border>
    <x:border>
      <x:top style="thin">
        <x:color rgb="FF17365D"/>
      </x:top>
      <x:bottom style="double">
        <x:color rgb="FF17365D"/>
      </x:bottom>
    </x:border>
    <x:border>
      <x:left style="thin">
        <x:color rgb="FFA6B9CC"/>
      </x:left>
      <x:top style="thin">
        <x:color rgb="FFA6B9CC"/>
      </x:top>
      <x:bottom style="thin">
        <x:color rgb="FFA6B9CC"/>
      </x:bottom>
    </x:border>
    <x:border>
      <x:top style="thin">
        <x:color rgb="FFA6B9CC"/>
      </x:top>
      <x:bottom style="thin">
        <x:color rgb="FFA6B9CC"/>
      </x:bottom>
    </x:border>
    <x:border>
      <x:right style="thin">
        <x:color rgb="FFA6B9CC"/>
      </x:right>
      <x:top style="thin">
        <x:color rgb="FFA6B9CC"/>
      </x:top>
      <x:bottom style="thin">
        <x:color rgb="FFA6B9CC"/>
      </x:bottom>
    </x:border>
    <x:border>
      <x:bottom style="thin">
        <x:color rgb="FFD9E1F2"/>
      </x:bottom>
    </x:border>
    <x:border>
      <x:top style="thin">
        <x:color rgb="FFD9E1F2"/>
      </x:top>
      <x:bottom style="thin">
        <x:color rgb="FFD9E1F2"/>
      </x:bottom>
    </x:border>
  </x:borders>
  <x:cellStyleXfs count="1">
    <x:xf numFmtId="0" fontId="0" fillId="0" borderId="0"/>
  </x:cellStyleXfs>
  <x:cellXfs count="14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1" fontId="1" fillId="3" borderId="0" xfId="0" applyNumberFormat="1" applyFont="1" applyFill="1" applyBorder="1" applyAlignment="1">
      <x:alignment vertical="center"/>
    </x:xf>
    <x:xf numFmtId="202" fontId="1" fillId="3" borderId="0" xfId="0" applyNumberFormat="1" applyFont="1" applyFill="1" applyBorder="1" applyAlignment="1">
      <x:alignment vertical="center"/>
    </x:xf>
    <x:xf numFmtId="201" fontId="5" fillId="3" borderId="0" xfId="0" applyNumberFormat="1" applyFont="1" applyFill="1" applyBorder="1" applyAlignment="1">
      <x:alignment vertical="center"/>
    </x:xf>
    <x:xf numFmtId="202" fontId="5" fillId="3" borderId="0" xfId="0" applyNumberFormat="1" applyFont="1" applyFill="1" applyBorder="1" applyAlignment="1">
      <x:alignment vertical="center"/>
    </x:xf>
    <x:xf numFmtId="203" fontId="1" fillId="0" borderId="0" xfId="0" applyNumberFormat="1" applyFont="1" applyFill="1" applyBorder="1" applyAlignment="1">
      <x:alignment vertical="center"/>
    </x:xf>
    <x:xf numFmtId="200" fontId="1" fillId="3" borderId="0" xfId="0" applyNumberFormat="1" applyFont="1" applyFill="1" applyBorder="1" applyAlignment="1">
      <x:alignment vertical="center"/>
    </x:xf>
    <x:xf numFmtId="203" fontId="1" fillId="3" borderId="0" xfId="0" applyNumberFormat="1" applyFont="1" applyFill="1" applyBorder="1" applyAlignment="1">
      <x:alignment vertical="center"/>
    </x:xf>
    <x:xf numFmtId="200" fontId="5" fillId="3" borderId="0" xfId="0" applyNumberFormat="1" applyFont="1" applyFill="1" applyBorder="1" applyAlignment="1">
      <x:alignment vertical="center"/>
    </x:xf>
    <x:xf numFmtId="203" fontId="5" fillId="3"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6" fillId="4" borderId="0" xfId="0" applyNumberFormat="1" applyFont="1" applyFill="1" applyBorder="1" applyAlignment="1">
      <x:alignment vertical="center"/>
    </x:xf>
    <x:xf numFmtId="0" fontId="6" fillId="4" borderId="3" xfId="0" applyNumberFormat="1" applyFont="1" applyFill="1" applyBorder="1" applyAlignment="1">
      <x:alignment vertical="center"/>
    </x:xf>
    <x:xf numFmtId="0" fontId="6" fillId="4" borderId="4" xfId="0" applyNumberFormat="1" applyFont="1" applyFill="1" applyBorder="1" applyAlignment="1">
      <x:alignment vertical="center"/>
    </x:xf>
    <x:xf numFmtId="0" fontId="6" fillId="4" borderId="3" xfId="0" applyNumberFormat="1" applyFont="1" applyFill="1" applyBorder="1" applyAlignment="1">
      <x:alignment vertical="center" wrapText="1"/>
    </x:xf>
    <x:xf numFmtId="0" fontId="6" fillId="4" borderId="4" xfId="0" applyNumberFormat="1" applyFont="1" applyFill="1" applyBorder="1" applyAlignment="1">
      <x:alignment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204" fontId="1" fillId="0" borderId="0" xfId="0" applyNumberFormat="1" applyFont="1" applyFill="1" applyBorder="1" applyAlignment="1">
      <x:alignment vertical="center"/>
    </x:xf>
    <x:xf numFmtId="204" fontId="7"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0" fontId="6" fillId="4" borderId="5" xfId="0" applyNumberFormat="1" applyFont="1" applyFill="1" applyBorder="1" applyAlignment="1">
      <x:alignment vertical="center"/>
    </x:xf>
    <x:xf numFmtId="0" fontId="6" fillId="4" borderId="5" xfId="0" applyNumberFormat="1" applyFont="1" applyFill="1" applyBorder="1" applyAlignment="1">
      <x:alignment vertical="center" wrapText="1"/>
    </x:xf>
    <x:xf numFmtId="0" fontId="6" fillId="4" borderId="5" xfId="0" applyNumberFormat="1" applyFont="1" applyFill="1" applyBorder="1" applyAlignment="1">
      <x:alignment horizontal="center" vertical="center" wrapText="1"/>
    </x:xf>
    <x:xf numFmtId="0" fontId="9" fillId="0" borderId="0" xfId="0" applyNumberFormat="1" applyFont="1" applyFill="1" applyBorder="1" applyAlignment="1">
      <x:alignment vertical="center"/>
    </x:xf>
    <x:xf numFmtId="0" fontId="9"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4"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200" fontId="7" fillId="0" borderId="0" xfId="0" applyNumberFormat="1" applyFont="1" applyFill="1" applyBorder="1" applyAlignment="1">
      <x:alignment vertical="center"/>
    </x:xf>
    <x:xf numFmtId="206" fontId="1" fillId="0" borderId="0" xfId="0" applyNumberFormat="1" applyFont="1" applyFill="1" applyBorder="1" applyAlignment="1">
      <x:alignment vertical="center"/>
    </x:xf>
    <x:xf numFmtId="206" fontId="5" fillId="0" borderId="0" xfId="0" applyNumberFormat="1" applyFont="1" applyFill="1" applyBorder="1" applyAlignment="1">
      <x:alignment vertical="center"/>
    </x:xf>
    <x:xf numFmtId="206" fontId="7" fillId="0" borderId="0" xfId="0" applyNumberFormat="1" applyFont="1" applyFill="1" applyBorder="1" applyAlignment="1">
      <x:alignment vertical="center"/>
    </x:xf>
    <x:xf numFmtId="201" fontId="7" fillId="0" borderId="0" xfId="0" applyNumberFormat="1" applyFont="1" applyFill="1" applyBorder="1" applyAlignment="1">
      <x:alignment vertical="center"/>
    </x:xf>
    <x:xf numFmtId="203" fontId="7" fillId="0" borderId="0" xfId="0" applyNumberFormat="1" applyFont="1" applyFill="1" applyBorder="1" applyAlignment="1">
      <x:alignment vertical="center"/>
    </x:xf>
    <x:xf numFmtId="206" fontId="4"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5" borderId="6" xfId="0" applyNumberFormat="1" applyFont="1" applyFill="1" applyBorder="1" applyAlignment="1">
      <x:alignment vertical="center"/>
    </x:xf>
    <x:xf numFmtId="206" fontId="4" fillId="2" borderId="2" xfId="0" applyNumberFormat="1" applyFont="1" applyFill="1" applyBorder="1" applyAlignment="1">
      <x:alignment vertical="center"/>
    </x:xf>
    <x:xf numFmtId="206" fontId="4" fillId="5" borderId="6" xfId="0" applyNumberFormat="1" applyFont="1" applyFill="1" applyBorder="1" applyAlignment="1">
      <x:alignment vertical="center"/>
    </x:xf>
    <x:xf numFmtId="0" fontId="10" fillId="0" borderId="0" xfId="0" applyNumberFormat="1" applyFont="1" applyFill="1" applyBorder="1" applyAlignment="1">
      <x:alignment vertical="center"/>
    </x:xf>
    <x:xf numFmtId="201" fontId="10" fillId="0" borderId="0" xfId="0" applyNumberFormat="1" applyFont="1" applyFill="1" applyBorder="1" applyAlignment="1">
      <x:alignment vertical="center"/>
    </x:xf>
    <x:xf numFmtId="206" fontId="1" fillId="5" borderId="0" xfId="0" applyNumberFormat="1" applyFont="1" applyFill="1" applyBorder="1" applyAlignment="1">
      <x:alignment vertical="center"/>
    </x:xf>
    <x:xf numFmtId="206" fontId="1" fillId="6" borderId="0" xfId="0" applyNumberFormat="1" applyFont="1" applyFill="1" applyBorder="1" applyAlignment="1">
      <x:alignment vertical="center"/>
    </x:xf>
    <x:xf numFmtId="201" fontId="1" fillId="6" borderId="0" xfId="0" applyNumberFormat="1" applyFont="1" applyFill="1" applyBorder="1" applyAlignment="1">
      <x:alignment vertical="center"/>
    </x:xf>
    <x:xf numFmtId="206" fontId="4" fillId="5" borderId="0" xfId="0" applyNumberFormat="1" applyFont="1" applyFill="1" applyBorder="1" applyAlignment="1">
      <x:alignment vertical="center"/>
    </x:xf>
    <x:xf numFmtId="206" fontId="4" fillId="6" borderId="0" xfId="0" applyNumberFormat="1" applyFont="1" applyFill="1" applyBorder="1" applyAlignment="1">
      <x:alignment vertical="center"/>
    </x:xf>
    <x:xf numFmtId="201" fontId="4" fillId="6" borderId="0" xfId="0" applyNumberFormat="1" applyFont="1" applyFill="1" applyBorder="1" applyAlignment="1">
      <x:alignment vertical="center"/>
    </x:xf>
    <x:xf numFmtId="200" fontId="9" fillId="0" borderId="0" xfId="0" applyNumberFormat="1" applyFont="1" applyFill="1" applyBorder="1" applyAlignment="1">
      <x:alignment vertical="center"/>
    </x:xf>
    <x:xf numFmtId="201" fontId="9" fillId="0" borderId="0" xfId="0" applyNumberFormat="1" applyFont="1" applyFill="1" applyBorder="1" applyAlignment="1">
      <x:alignment vertical="center"/>
    </x:xf>
    <x:xf numFmtId="200" fontId="9" fillId="7" borderId="0" xfId="0" applyNumberFormat="1" applyFont="1" applyFill="1" applyBorder="1" applyAlignment="1">
      <x:alignment vertical="center"/>
    </x:xf>
    <x:xf numFmtId="201" fontId="9" fillId="7" borderId="0" xfId="0" applyNumberFormat="1" applyFont="1" applyFill="1" applyBorder="1" applyAlignment="1">
      <x:alignment vertical="center"/>
    </x:xf>
    <x:xf numFmtId="0" fontId="6" fillId="4" borderId="5" xfId="0" applyNumberFormat="1" applyFont="1" applyFill="1" applyBorder="1" applyAlignment="1">
      <x:alignment horizontal="right" vertical="center" wrapText="1"/>
    </x:xf>
    <x:xf numFmtId="0" fontId="6" fillId="4" borderId="4" xfId="0" applyNumberFormat="1" applyFont="1" applyFill="1" applyBorder="1" applyAlignment="1">
      <x:alignment horizontal="right" vertical="center" wrapText="1"/>
    </x:xf>
    <x:xf numFmtId="206" fontId="4" fillId="0" borderId="0" xfId="0" applyNumberFormat="1" applyFont="1" applyFill="1" applyBorder="1" applyAlignment="1">
      <x:alignment horizontal="right" vertical="center"/>
    </x:xf>
    <x:xf numFmtId="201" fontId="10" fillId="0" borderId="0" xfId="0" applyNumberFormat="1" applyFont="1" applyFill="1" applyBorder="1" applyAlignment="1">
      <x:alignment horizontal="right" vertical="center"/>
    </x:xf>
    <x:xf numFmtId="206" fontId="1" fillId="0" borderId="0" xfId="0" applyNumberFormat="1" applyFont="1" applyFill="1" applyBorder="1" applyAlignment="1">
      <x:alignment horizontal="right" vertical="center"/>
    </x:xf>
    <x:xf numFmtId="0" fontId="1" fillId="0" borderId="0" xfId="0" applyNumberFormat="1" applyFont="1" applyFill="1" applyBorder="1" applyAlignment="1">
      <x:alignment horizontal="right" vertical="center"/>
    </x:xf>
    <x:xf numFmtId="0" fontId="4" fillId="2" borderId="2" xfId="0" applyNumberFormat="1" applyFont="1" applyFill="1" applyBorder="1" applyAlignment="1">
      <x:alignment horizontal="right" vertical="center"/>
    </x:xf>
    <x:xf numFmtId="206" fontId="4" fillId="5" borderId="0" xfId="0" applyNumberFormat="1" applyFont="1" applyFill="1" applyBorder="1" applyAlignment="1">
      <x:alignment horizontal="right" vertical="center"/>
    </x:xf>
    <x:xf numFmtId="0" fontId="6" fillId="4" borderId="3" xfId="0" applyNumberFormat="1" applyFont="1" applyFill="1" applyBorder="1" applyAlignment="1">
      <x:alignment horizontal="right" vertical="center" wrapText="1"/>
    </x:xf>
    <x:xf numFmtId="0" fontId="9" fillId="0" borderId="0" xfId="0" applyNumberFormat="1" applyFont="1" applyFill="1" applyBorder="1" applyAlignment="1">
      <x:alignment horizontal="right" vertical="center" wrapText="1"/>
    </x:xf>
    <x:xf numFmtId="206" fontId="4" fillId="6" borderId="0" xfId="0" applyNumberFormat="1" applyFont="1" applyFill="1" applyBorder="1" applyAlignment="1">
      <x:alignment horizontal="right" vertical="center"/>
    </x:xf>
    <x:xf numFmtId="201" fontId="4" fillId="6" borderId="0" xfId="0" applyNumberFormat="1" applyFont="1" applyFill="1" applyBorder="1" applyAlignment="1">
      <x:alignment horizontal="right" vertical="center"/>
    </x:xf>
    <x:xf numFmtId="200" fontId="5" fillId="0" borderId="0" xfId="0" applyNumberFormat="1" applyFont="1" applyFill="1" applyBorder="1" applyAlignment="1">
      <x:alignment horizontal="right" vertical="center"/>
    </x:xf>
    <x:xf numFmtId="201" fontId="5" fillId="3" borderId="0" xfId="0" applyNumberFormat="1" applyFont="1" applyFill="1" applyBorder="1" applyAlignment="1">
      <x:alignment horizontal="right" vertical="center"/>
    </x:xf>
    <x:xf numFmtId="202" fontId="5" fillId="3" borderId="0" xfId="0" applyNumberFormat="1" applyFont="1" applyFill="1" applyBorder="1" applyAlignment="1">
      <x:alignment horizontal="right" vertical="center"/>
    </x:xf>
    <x:xf numFmtId="200" fontId="5" fillId="3" borderId="0" xfId="0" applyNumberFormat="1" applyFont="1" applyFill="1" applyBorder="1" applyAlignment="1">
      <x:alignment horizontal="right" vertical="center"/>
    </x:xf>
    <x:xf numFmtId="203" fontId="5" fillId="3" borderId="0" xfId="0" applyNumberFormat="1" applyFont="1" applyFill="1" applyBorder="1" applyAlignment="1">
      <x:alignment horizontal="right" vertical="center"/>
    </x:xf>
    <x:xf numFmtId="204" fontId="7" fillId="0" borderId="0" xfId="0" applyNumberFormat="1" applyFont="1" applyFill="1" applyBorder="1" applyAlignment="1">
      <x:alignment horizontal="right" vertical="center"/>
    </x:xf>
    <x:xf numFmtId="200" fontId="4" fillId="0" borderId="0" xfId="0" applyNumberFormat="1" applyFont="1" applyFill="1" applyBorder="1" applyAlignment="1">
      <x:alignment horizontal="right" vertical="center"/>
    </x:xf>
    <x:xf numFmtId="200" fontId="7" fillId="0" borderId="0" xfId="0" applyNumberFormat="1" applyFont="1" applyFill="1" applyBorder="1" applyAlignment="1">
      <x:alignment horizontal="right" vertical="center"/>
    </x:xf>
    <x:xf numFmtId="206" fontId="5" fillId="0" borderId="0" xfId="0" applyNumberFormat="1" applyFont="1" applyFill="1" applyBorder="1" applyAlignment="1">
      <x:alignment horizontal="right" vertical="center"/>
    </x:xf>
    <x:xf numFmtId="201" fontId="1" fillId="0" borderId="0" xfId="0" applyNumberFormat="1" applyFont="1" applyFill="1" applyBorder="1" applyAlignment="1">
      <x:alignment horizontal="right" vertical="center"/>
    </x:xf>
    <x:xf numFmtId="203" fontId="1" fillId="0" borderId="0" xfId="0" applyNumberFormat="1" applyFont="1" applyFill="1" applyBorder="1" applyAlignment="1">
      <x:alignment horizontal="right" vertical="center"/>
    </x:xf>
    <x:xf numFmtId="206" fontId="7" fillId="0" borderId="0" xfId="0" applyNumberFormat="1" applyFont="1" applyFill="1" applyBorder="1" applyAlignment="1">
      <x:alignment horizontal="right" vertical="center"/>
    </x:xf>
    <x:xf numFmtId="204" fontId="1" fillId="0" borderId="0" xfId="0" applyNumberFormat="1" applyFont="1" applyFill="1" applyBorder="1" applyAlignment="1">
      <x:alignment horizontal="right" vertical="center"/>
    </x:xf>
    <x:xf numFmtId="201" fontId="7" fillId="0" borderId="0" xfId="0" applyNumberFormat="1" applyFont="1" applyFill="1" applyBorder="1" applyAlignment="1">
      <x:alignment horizontal="right" vertical="center"/>
    </x:xf>
    <x:xf numFmtId="203" fontId="7" fillId="0" borderId="0" xfId="0" applyNumberFormat="1" applyFont="1" applyFill="1" applyBorder="1" applyAlignment="1">
      <x:alignment horizontal="right" vertical="center"/>
    </x:xf>
    <x:xf numFmtId="205" fontId="1" fillId="0"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x:xf>
    <x:xf numFmtId="206" fontId="4" fillId="2" borderId="2" xfId="0" applyNumberFormat="1" applyFont="1" applyFill="1" applyBorder="1" applyAlignment="1">
      <x:alignment horizontal="right" vertical="center"/>
    </x:xf>
    <x:xf numFmtId="206" fontId="4" fillId="5" borderId="6" xfId="0" applyNumberFormat="1" applyFont="1" applyFill="1" applyBorder="1" applyAlignment="1">
      <x:alignment horizontal="right" vertical="center"/>
    </x:xf>
    <x:xf numFmtId="0" fontId="11" fillId="0" borderId="0" xfId="0" applyNumberFormat="1" applyFont="1" applyFill="1" applyBorder="1"/>
    <x:xf numFmtId="0" fontId="11" fillId="0" borderId="0" xfId="0" applyNumberFormat="1" applyFont="1" applyFill="1" applyBorder="1" applyAlignment="1">
      <x:alignment vertical="center"/>
    </x:xf>
    <x:xf numFmtId="0" fontId="11" fillId="0" borderId="1" xfId="0" applyNumberFormat="1" applyFont="1" applyFill="1" applyBorder="1" applyAlignment="1">
      <x:alignment vertical="center"/>
    </x:xf>
    <x:xf numFmtId="0" fontId="12" fillId="0" borderId="0" xfId="0" applyNumberFormat="1" applyFont="1" applyFill="1" applyBorder="1" applyAlignment="1">
      <x:alignment vertical="center"/>
    </x:xf>
    <x:xf numFmtId="0" fontId="11" fillId="8" borderId="0" xfId="0" applyNumberFormat="1" applyFont="1" applyFill="1" applyBorder="1" applyAlignment="1">
      <x:alignment vertical="center"/>
    </x:xf>
    <x:xf numFmtId="0" fontId="4" fillId="8" borderId="0" xfId="0" applyNumberFormat="1" applyFont="1" applyFill="1" applyBorder="1" applyAlignment="1">
      <x:alignment vertical="center"/>
    </x:xf>
    <x:xf numFmtId="0" fontId="4" fillId="8" borderId="7" xfId="0" applyNumberFormat="1" applyFont="1" applyFill="1" applyBorder="1" applyAlignment="1">
      <x:alignment vertical="center"/>
    </x:xf>
    <x:xf numFmtId="0" fontId="4" fillId="8" borderId="8" xfId="0" applyNumberFormat="1" applyFont="1" applyFill="1" applyBorder="1" applyAlignment="1">
      <x:alignment vertical="center"/>
    </x:xf>
    <x:xf numFmtId="0" fontId="4" fillId="8" borderId="9" xfId="0" applyNumberFormat="1" applyFont="1" applyFill="1" applyBorder="1" applyAlignment="1">
      <x:alignment vertical="center"/>
    </x:xf>
    <x:xf numFmtId="0" fontId="11" fillId="9" borderId="0" xfId="0" applyNumberFormat="1" applyFont="1" applyFill="1" applyBorder="1" applyAlignment="1">
      <x:alignment vertical="center"/>
    </x:xf>
    <x:xf numFmtId="0" fontId="6" fillId="9" borderId="0" xfId="0" applyNumberFormat="1" applyFont="1" applyFill="1" applyBorder="1" applyAlignment="1">
      <x:alignment vertical="center"/>
    </x:xf>
    <x:xf numFmtId="0" fontId="6" fillId="9" borderId="0" xfId="0" applyNumberFormat="1" applyFont="1" applyFill="1" applyBorder="1" applyAlignment="1">
      <x:alignment horizontal="center" vertical="center"/>
    </x:xf>
    <x:xf numFmtId="0" fontId="6" fillId="9" borderId="0" xfId="0" applyNumberFormat="1" applyFont="1" applyFill="1" applyBorder="1" applyAlignment="1">
      <x:alignment horizontal="center" vertical="center" wrapText="1"/>
    </x:xf>
    <x:xf numFmtId="0" fontId="6" fillId="9" borderId="3" xfId="0" applyNumberFormat="1" applyFont="1" applyFill="1" applyBorder="1" applyAlignment="1">
      <x:alignment horizontal="center" vertical="center" wrapText="1"/>
    </x:xf>
    <x:xf numFmtId="0" fontId="6" fillId="9" borderId="5" xfId="0" applyNumberFormat="1" applyFont="1" applyFill="1" applyBorder="1" applyAlignment="1">
      <x:alignment horizontal="center" vertical="center" wrapText="1"/>
    </x:xf>
    <x:xf numFmtId="0" fontId="6" fillId="9" borderId="4" xfId="0" applyNumberFormat="1" applyFont="1" applyFill="1" applyBorder="1" applyAlignment="1">
      <x:alignment horizontal="center" vertical="center" wrapText="1"/>
    </x:xf>
    <x:xf numFmtId="0" fontId="11" fillId="0" borderId="10" xfId="0" applyNumberFormat="1" applyFont="1" applyFill="1" applyBorder="1" applyAlignment="1">
      <x:alignment vertical="center"/>
    </x:xf>
    <x:xf numFmtId="0" fontId="11" fillId="0" borderId="11" xfId="0" applyNumberFormat="1" applyFont="1" applyFill="1" applyBorder="1" applyAlignment="1">
      <x:alignment vertical="center"/>
    </x:xf>
    <x:xf numFmtId="200" fontId="11" fillId="0" borderId="10" xfId="0" applyNumberFormat="1" applyFont="1" applyFill="1" applyBorder="1" applyAlignment="1">
      <x:alignment vertical="center"/>
    </x:xf>
    <x:xf numFmtId="200" fontId="11" fillId="0" borderId="11" xfId="0" applyNumberFormat="1" applyFont="1" applyFill="1" applyBorder="1" applyAlignment="1">
      <x:alignment vertical="center"/>
    </x:xf>
    <x:xf numFmtId="201" fontId="11" fillId="0" borderId="10" xfId="0" applyNumberFormat="1" applyFont="1" applyFill="1" applyBorder="1" applyAlignment="1">
      <x:alignment vertical="center"/>
    </x:xf>
    <x:xf numFmtId="201" fontId="11" fillId="0" borderId="11" xfId="0" applyNumberFormat="1" applyFont="1" applyFill="1" applyBorder="1" applyAlignment="1">
      <x:alignment vertical="center"/>
    </x:xf>
    <x:xf numFmtId="0" fontId="4" fillId="0" borderId="11" xfId="0" applyNumberFormat="1" applyFont="1" applyFill="1" applyBorder="1" applyAlignment="1">
      <x:alignment vertical="center"/>
    </x:xf>
    <x:xf numFmtId="200" fontId="4" fillId="0" borderId="11" xfId="0" applyNumberFormat="1" applyFont="1" applyFill="1" applyBorder="1" applyAlignment="1">
      <x:alignment vertical="center"/>
    </x:xf>
    <x:xf numFmtId="201" fontId="4" fillId="0" borderId="11" xfId="0" applyNumberFormat="1" applyFont="1" applyFill="1" applyBorder="1" applyAlignment="1">
      <x:alignment vertical="center"/>
    </x:xf>
    <x:xf numFmtId="0" fontId="13" fillId="0" borderId="0" xfId="0" applyNumberFormat="1" applyFont="1" applyFill="1" applyBorder="1" applyAlignment="1">
      <x:alignment vertical="center"/>
    </x:xf>
    <x:xf numFmtId="0" fontId="11" fillId="0" borderId="10" xfId="0" applyNumberFormat="1" applyFont="1" applyFill="1" applyBorder="1" applyAlignment="1">
      <x:alignment vertical="center" wrapText="1"/>
    </x:xf>
    <x:xf numFmtId="0" fontId="11" fillId="0" borderId="11" xfId="0" applyNumberFormat="1" applyFont="1" applyFill="1" applyBorder="1" applyAlignment="1">
      <x:alignment vertical="center" wrapText="1"/>
    </x:xf>
    <x:xf numFmtId="0" fontId="4" fillId="0" borderId="10" xfId="0" applyNumberFormat="1" applyFont="1" applyFill="1" applyBorder="1" applyAlignment="1">
      <x:alignment vertical="center"/>
    </x:xf>
    <x:xf numFmtId="0" fontId="11" fillId="10" borderId="11" xfId="0" applyNumberFormat="1" applyFont="1" applyFill="1" applyBorder="1" applyAlignment="1">
      <x:alignment vertical="center"/>
    </x:xf>
    <x:xf numFmtId="201" fontId="11" fillId="10" borderId="11" xfId="0" applyNumberFormat="1" applyFont="1" applyFill="1" applyBorder="1" applyAlignment="1">
      <x:alignment vertical="center"/>
    </x:xf>
    <x:xf numFmtId="0" fontId="4" fillId="10" borderId="11" xfId="0" applyNumberFormat="1" applyFont="1" applyFill="1" applyBorder="1" applyAlignment="1">
      <x:alignment vertical="center"/>
    </x:xf>
    <x:xf numFmtId="201" fontId="4" fillId="10" borderId="11" xfId="0" applyNumberFormat="1" applyFont="1" applyFill="1" applyBorder="1" applyAlignment="1">
      <x:alignment vertical="center"/>
    </x:xf>
    <x:xf numFmtId="200" fontId="11" fillId="10" borderId="11" xfId="0" applyNumberFormat="1" applyFont="1" applyFill="1" applyBorder="1" applyAlignment="1">
      <x:alignment vertical="center"/>
    </x:xf>
    <x:xf numFmtId="0" fontId="11" fillId="10" borderId="11" xfId="0" applyNumberFormat="1" applyFont="1" applyFill="1" applyBorder="1" applyAlignment="1">
      <x:alignment vertical="center" wrapText="1"/>
    </x:xf>
    <x:xf numFmtId="200" fontId="4" fillId="10" borderId="11" xfId="0" applyNumberFormat="1" applyFont="1" applyFill="1" applyBorder="1" applyAlignment="1">
      <x:alignment vertical="center"/>
    </x:xf>
    <x:xf numFmtId="0" fontId="4" fillId="10" borderId="11" xfId="0" applyNumberFormat="1" applyFont="1" applyFill="1" applyBorder="1" applyAlignment="1">
      <x:alignment vertical="center" wrapText="1"/>
    </x:xf>
    <x:xf numFmtId="207" fontId="11" fillId="0" borderId="10" xfId="0" applyNumberFormat="1" applyFont="1" applyFill="1" applyBorder="1" applyAlignment="1">
      <x:alignment vertical="center"/>
    </x:xf>
    <x:xf numFmtId="207" fontId="11" fillId="0" borderId="11" xfId="0" applyNumberFormat="1" applyFont="1" applyFill="1" applyBorder="1" applyAlignment="1">
      <x:alignment vertical="center"/>
    </x:xf>
    <x:xf numFmtId="207" fontId="11" fillId="10" borderId="11" xfId="0" applyNumberFormat="1" applyFont="1" applyFill="1" applyBorder="1" applyAlignment="1">
      <x:alignment vertical="center"/>
    </x:xf>
    <x:xf numFmtId="207" fontId="4" fillId="10" borderId="11" xfId="0" applyNumberFormat="1" applyFont="1" applyFill="1" applyBorder="1" applyAlignment="1">
      <x:alignment vertical="center"/>
    </x:xf>
    <x:xf numFmtId="200" fontId="11" fillId="11" borderId="11" xfId="0" applyNumberFormat="1" applyFont="1" applyFill="1" applyBorder="1" applyAlignment="1">
      <x:alignment vertical="center"/>
    </x:xf>
    <x:xf numFmtId="200" fontId="14" fillId="11" borderId="11" xfId="0" applyNumberFormat="1" applyFont="1" applyFill="1" applyBorder="1" applyAlignment="1">
      <x:alignment vertical="center"/>
    </x:xf>
    <x:xf numFmtId="0" fontId="11" fillId="0" borderId="0" xfId="0" applyNumberFormat="1" applyFont="1" applyFill="1" applyBorder="1" applyAlignment="1">
      <x:alignment vertical="center" wrapText="1"/>
    </x:xf>
    <x:xf numFmtId="0" fontId="13" fillId="0" borderId="10" xfId="0" applyNumberFormat="1" applyFont="1" applyFill="1" applyBorder="1" applyAlignment="1">
      <x:alignment vertical="center"/>
    </x:xf>
    <x:xf numFmtId="0" fontId="13" fillId="0" borderId="11" xfId="0" applyNumberFormat="1" applyFont="1" applyFill="1" applyBorder="1" applyAlignment="1">
      <x:alignment vertical="center"/>
    </x:xf>
    <x:xf numFmtId="208" fontId="11" fillId="0" borderId="11" xfId="0" applyNumberFormat="1" applyFont="1" applyFill="1" applyBorder="1" applyAlignment="1">
      <x:alignment vertical="center"/>
    </x:xf>
  </x:cellXfs>
  <x:cellStyles count="1">
    <x:cellStyle name="Normal" xfId="0"/>
  </x:cellStyles>
  <x:dxfs count="3">
    <x:dxf>
      <x:font>
        <x:color rgb="FF17365D"/>
      </x:font>
      <x:fill>
        <x:patternFill>
          <x:bgColor rgb="FFEAF2F8"/>
        </x:patternFill>
      </x:fill>
    </x:dxf>
    <x:dxf>
      <x:font>
        <x:b/>
        <x:color rgb="FF17365D"/>
      </x:font>
      <x:fill>
        <x:patternFill>
          <x:bgColor rgb="FFFFF2CC"/>
        </x:patternFill>
      </x:fill>
    </x:dxf>
    <x:dxf>
      <x:font>
        <x:b/>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32d9a9cd2ad461b" /><Relationship Type="http://schemas.openxmlformats.org/officeDocument/2006/relationships/theme" Target="/xl/theme/theme1.xml" Id="Rf4e136db424c4961" /><Relationship Type="http://schemas.openxmlformats.org/officeDocument/2006/relationships/sharedStrings" Target="/xl/sharedStrings.xml" Id="R50748c2e38774b41" /><Relationship Type="http://schemas.openxmlformats.org/officeDocument/2006/relationships/worksheet" Target="/xl/worksheets/sheet1.xml" Id="R5e3d2fc131364814" /><Relationship Type="http://schemas.openxmlformats.org/officeDocument/2006/relationships/worksheet" Target="/xl/worksheets/sheet2.xml" Id="R3bd0412f6ac64410" /><Relationship Type="http://schemas.openxmlformats.org/officeDocument/2006/relationships/worksheet" Target="/xl/worksheets/sheet3.xml" Id="R2c27ff8a88594fe4" /><Relationship Type="http://schemas.openxmlformats.org/officeDocument/2006/relationships/worksheet" Target="/xl/worksheets/sheet4.xml" Id="Re1c9c0989dd8491f" /><Relationship Type="http://schemas.openxmlformats.org/officeDocument/2006/relationships/worksheet" Target="/xl/worksheets/sheet5.xml" Id="R330c4ff5f5f24304" /><Relationship Type="http://schemas.openxmlformats.org/officeDocument/2006/relationships/worksheet" Target="/xl/worksheets/sheet6.xml" Id="R64d67533a03f4be0" /></Relationships>
</file>

<file path=xl/drawings/_rels/drawing1.xml.rels>&#65279;<?xml version="1.0" encoding="utf-8"?><Relationships xmlns="http://schemas.openxmlformats.org/package/2006/relationships"><Relationship Type="http://schemas.openxmlformats.org/officeDocument/2006/relationships/chart" Target="/xl/drawings/charts/chart1.xml" Id="R2ec765441e734192" /><Relationship Type="http://schemas.openxmlformats.org/officeDocument/2006/relationships/chart" Target="/xl/drawings/charts/chart2.xml" Id="R3e666753dfd147bb" /></Relationships>
</file>

<file path=xl/drawings/_rels/drawing2.xml.rels>&#65279;<?xml version="1.0" encoding="utf-8"?><Relationships xmlns="http://schemas.openxmlformats.org/package/2006/relationships"><Relationship Type="http://schemas.openxmlformats.org/officeDocument/2006/relationships/chart" Target="/xl/drawings/charts/chart3.xml" Id="R13007077272d4cbc" /><Relationship Type="http://schemas.openxmlformats.org/officeDocument/2006/relationships/chart" Target="/xl/drawings/charts/chart4.xml" Id="Re53cb0e2fdbf4f7e" /><Relationship Type="http://schemas.openxmlformats.org/officeDocument/2006/relationships/chart" Target="/xl/drawings/charts/chart5.xml" Id="Rf1f829891ce847e2" /><Relationship Type="http://schemas.openxmlformats.org/officeDocument/2006/relationships/chart" Target="/xl/drawings/charts/chart6.xml" Id="R7ddb354d14cd405e" /><Relationship Type="http://schemas.openxmlformats.org/officeDocument/2006/relationships/chart" Target="/xl/drawings/charts/chart7.xml" Id="Rfb6d054e88a14cc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Monthly PV retail and underlying baseline</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PV retail</c:v>
          </c:tx>
          <c:spPr>
            <a:ln xmlns:a="http://schemas.openxmlformats.org/drawingml/2006/main" w="19050">
              <a:solidFill>
                <a:srgbClr val="4472C4"/>
              </a:solidFill>
              <a:prstDash val="solid"/>
            </a:ln>
          </c:spPr>
          <c:marker>
            <c:symbol val="none"/>
          </c:marker>
          <c:cat>
            <c:strRef>
              <c:f>'Summary'!$S$7:$S$42</c:f>
              <c:strCache>
                <c:ptCount val="0"/>
              </c:strCache>
            </c:strRef>
          </c:cat>
          <c:val>
            <c:numRef>
              <c:f>'Summary'!$T$7:$T$42</c:f>
              <c:numCache>
                <c:formatCode>0,"k"</c:formatCode>
                <c:ptCount val="0"/>
              </c:numCache>
            </c:numRef>
          </c:val>
          <c:smooth val="0"/>
        </c:ser>
        <c:ser>
          <c:idx val="1"/>
          <c:order val="1"/>
          <c:tx>
            <c:v>Underlying baseline</c:v>
          </c:tx>
          <c:spPr>
            <a:ln xmlns:a="http://schemas.openxmlformats.org/drawingml/2006/main" w="19050">
              <a:solidFill>
                <a:srgbClr val="A5A5A5"/>
              </a:solidFill>
              <a:prstDash val="dash"/>
            </a:ln>
          </c:spPr>
          <c:marker>
            <c:symbol val="none"/>
          </c:marker>
          <c:cat>
            <c:strRef>
              <c:f>'Summary'!$S$7:$S$42</c:f>
              <c:strCache>
                <c:ptCount val="0"/>
              </c:strCache>
            </c:strRef>
          </c:cat>
          <c:val>
            <c:numRef>
              <c:f>'Summary'!$U$7:$U$42</c:f>
              <c:numCache>
                <c:formatCode>0,"k"</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ickLblSkip val="3"/>
        <c:txPr>
          <a:bodyPr xmlns:a="http://schemas.openxmlformats.org/drawingml/2006/main" anchorCtr="1"/>
          <a:lstStyle xmlns:a="http://schemas.openxmlformats.org/drawingml/2006/main"/>
          <a:p xmlns:a="http://schemas.openxmlformats.org/drawingml/2006/main">
            <a:pPr>
              <a:defRPr sz="60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k&quot;"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PV volume growth by fiscal year</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Retail growth</c:v>
          </c:tx>
          <c:cat>
            <c:strRef>
              <c:f>'Summary'!$S$46:$S$48</c:f>
              <c:strCache>
                <c:ptCount val="0"/>
              </c:strCache>
            </c:strRef>
          </c:cat>
          <c:val>
            <c:numRef>
              <c:f>'Summary'!$T$46:$T$48</c:f>
              <c:numCache>
                <c:formatCode>0%</c:formatCode>
                <c:ptCount val="0"/>
              </c:numCache>
            </c:numRef>
          </c:val>
        </c:ser>
        <c:ser>
          <c:idx val="1"/>
          <c:order val="1"/>
          <c:tx>
            <c:v>Wholesale growth</c:v>
          </c:tx>
          <c:cat>
            <c:strRef>
              <c:f>'Summary'!$S$46:$S$48</c:f>
              <c:strCache>
                <c:ptCount val="0"/>
              </c:strCache>
            </c:strRef>
          </c:cat>
          <c:val>
            <c:numRef>
              <c:f>'Summary'!$U$46:$U$48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Retail growth by period</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FY27 growth</c:v>
          </c:tx>
          <c:spPr>
            <a:solidFill xmlns:a="http://schemas.openxmlformats.org/drawingml/2006/main">
              <a:srgbClr val="17365D"/>
            </a:solidFill>
          </c:spPr>
          <c:cat>
            <c:strRef>
              <c:f>'Exhibits'!$C$9:$C$11</c:f>
              <c:strCache>
                <c:ptCount val="0"/>
              </c:strCache>
            </c:strRef>
          </c:cat>
          <c:val>
            <c:numRef>
              <c:f>'Exhibits'!$G$9:$G$11</c:f>
              <c:numCache>
                <c:formatCode>0.0%</c:formatCode>
                <c:ptCount val="0"/>
              </c:numCache>
            </c:numRef>
          </c:val>
        </c:ser>
        <c:ser>
          <c:idx val="1"/>
          <c:order val="1"/>
          <c:tx>
            <c:v>FY28 growth</c:v>
          </c:tx>
          <c:spPr>
            <a:solidFill xmlns:a="http://schemas.openxmlformats.org/drawingml/2006/main">
              <a:srgbClr val="7F8C8D"/>
            </a:solidFill>
          </c:spPr>
          <c:cat>
            <c:strRef>
              <c:f>'Exhibits'!$C$9:$C$11</c:f>
              <c:strCache>
                <c:ptCount val="0"/>
              </c:strCache>
            </c:strRef>
          </c:cat>
          <c:val>
            <c:numRef>
              <c:f>'Exhibits'!$H$9:$H$11</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Consumer price benefit has already halved</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Consumer price benefit</c:v>
          </c:tx>
          <c:spPr>
            <a:solidFill xmlns:a="http://schemas.openxmlformats.org/drawingml/2006/main">
              <a:srgbClr val="4472C4"/>
            </a:solidFill>
          </c:spPr>
          <c:cat>
            <c:strRef>
              <c:f>'Exhibits'!$L$34:$L$36</c:f>
              <c:strCache>
                <c:ptCount val="0"/>
              </c:strCache>
            </c:strRef>
          </c:cat>
          <c:val>
            <c:numRef>
              <c:f>'Exhibits'!$M$34:$M$36</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Demand debt created by period</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Units</c:v>
          </c:tx>
          <c:spPr>
            <a:solidFill xmlns:a="http://schemas.openxmlformats.org/drawingml/2006/main">
              <a:srgbClr val="ED7D31"/>
            </a:solidFill>
          </c:spPr>
          <c:cat>
            <c:strRef>
              <c:f>'Exhibits'!$I$51:$I$52</c:f>
              <c:strCache>
                <c:ptCount val="0"/>
              </c:strCache>
            </c:strRef>
          </c:cat>
          <c:val>
            <c:numRef>
              <c:f>'Exhibits'!$J$51:$J$52</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k&quot;"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Demand-debt balance</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Closing debt</c:v>
          </c:tx>
          <c:spPr>
            <a:solidFill xmlns:a="http://schemas.openxmlformats.org/drawingml/2006/main">
              <a:srgbClr val="ED7D31"/>
            </a:solidFill>
          </c:spPr>
          <c:cat>
            <c:strRef>
              <c:f>'Exhibits'!$C$68:$C$70</c:f>
              <c:strCache>
                <c:ptCount val="0"/>
              </c:strCache>
            </c:strRef>
          </c:cat>
          <c:val>
            <c:numRef>
              <c:f>'Exhibits'!$F$68:$F$70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k&quot;"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PV demand versus retail supply ceiling</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PV demand</c:v>
          </c:tx>
          <c:spPr>
            <a:solidFill xmlns:a="http://schemas.openxmlformats.org/drawingml/2006/main">
              <a:srgbClr val="17365D"/>
            </a:solidFill>
          </c:spPr>
          <c:cat>
            <c:strRef>
              <c:f>'Exhibits'!$C$86:$C$87</c:f>
              <c:strCache>
                <c:ptCount val="0"/>
              </c:strCache>
            </c:strRef>
          </c:cat>
          <c:val>
            <c:numRef>
              <c:f>'Exhibits'!$D$86:$D$87</c:f>
              <c:numCache>
                <c:formatCode>#,##0</c:formatCode>
                <c:ptCount val="0"/>
              </c:numCache>
            </c:numRef>
          </c:val>
        </c:ser>
        <c:ser>
          <c:idx val="1"/>
          <c:order val="1"/>
          <c:tx>
            <c:v>Retail supply ceiling</c:v>
          </c:tx>
          <c:spPr>
            <a:solidFill xmlns:a="http://schemas.openxmlformats.org/drawingml/2006/main">
              <a:srgbClr val="E7E6E6"/>
            </a:solidFill>
          </c:spPr>
          <c:cat>
            <c:strRef>
              <c:f>'Exhibits'!$C$86:$C$87</c:f>
              <c:strCache>
                <c:ptCount val="0"/>
              </c:strCache>
            </c:strRef>
          </c:cat>
          <c:val>
            <c:numRef>
              <c:f>'Exhibits'!$E$86:$E$87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m&quot;"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5</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c765441e734192"/>
        </a:graphicData>
      </a:graphic>
    </xdr:graphicFrame>
    <xdr:clientData/>
  </xdr:twoCellAnchor>
  <xdr:twoCellAnchor>
    <xdr:from>
      <xdr:col>8</xdr:col>
      <xdr:colOff>0</xdr:colOff>
      <xdr:row>21</xdr:row>
      <xdr:rowOff>0</xdr:rowOff>
    </xdr:from>
    <xdr:to>
      <xdr:col>17</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e666753dfd147bb"/>
        </a:graphicData>
      </a:graphic>
    </xdr:graphicFrame>
    <xdr:clientData/>
  </xdr:twoCellAnchor>
</xdr:wsDr>
</file>

<file path=xl/drawings/drawing2.xml><?xml version="1.0" encoding="utf-8"?>
<xdr:wsDr xmlns:xdr="http://schemas.openxmlformats.org/drawingml/2006/spreadsheetDrawing">
  <xdr:twoCellAnchor>
    <xdr:from>
      <xdr:col>9</xdr:col>
      <xdr:colOff>0</xdr:colOff>
      <xdr:row>7</xdr:row>
      <xdr:rowOff>0</xdr:rowOff>
    </xdr:from>
    <xdr:to>
      <xdr:col>21</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3007077272d4cbc"/>
        </a:graphicData>
      </a:graphic>
    </xdr:graphicFrame>
    <xdr:clientData/>
  </xdr:twoCellAnchor>
  <xdr:twoCellAnchor>
    <xdr:from>
      <xdr:col>13</xdr:col>
      <xdr:colOff>0</xdr:colOff>
      <xdr:row>32</xdr:row>
      <xdr:rowOff>0</xdr:rowOff>
    </xdr:from>
    <xdr:to>
      <xdr:col>21</xdr:col>
      <xdr:colOff>0</xdr:colOff>
      <xdr:row>46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53cb0e2fdbf4f7e"/>
        </a:graphicData>
      </a:graphic>
    </xdr:graphicFrame>
    <xdr:clientData/>
  </xdr:twoCellAnchor>
  <xdr:twoCellAnchor>
    <xdr:from>
      <xdr:col>11</xdr:col>
      <xdr:colOff>0</xdr:colOff>
      <xdr:row>49</xdr:row>
      <xdr:rowOff>0</xdr:rowOff>
    </xdr:from>
    <xdr:to>
      <xdr:col>21</xdr:col>
      <xdr:colOff>0</xdr:colOff>
      <xdr:row>63</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1f829891ce847e2"/>
        </a:graphicData>
      </a:graphic>
    </xdr:graphicFrame>
    <xdr:clientData/>
  </xdr:twoCellAnchor>
  <xdr:twoCellAnchor>
    <xdr:from>
      <xdr:col>8</xdr:col>
      <xdr:colOff>0</xdr:colOff>
      <xdr:row>66</xdr:row>
      <xdr:rowOff>0</xdr:rowOff>
    </xdr:from>
    <xdr:to>
      <xdr:col>21</xdr:col>
      <xdr:colOff>0</xdr:colOff>
      <xdr:row>81</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ddb354d14cd405e"/>
        </a:graphicData>
      </a:graphic>
    </xdr:graphicFrame>
    <xdr:clientData/>
  </xdr:twoCellAnchor>
  <xdr:twoCellAnchor>
    <xdr:from>
      <xdr:col>9</xdr:col>
      <xdr:colOff>0</xdr:colOff>
      <xdr:row>84</xdr:row>
      <xdr:rowOff>0</xdr:rowOff>
    </xdr:from>
    <xdr:to>
      <xdr:col>21</xdr:col>
      <xdr:colOff>0</xdr:colOff>
      <xdr:row>99</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b6d054e88a14cc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b86f9b1641542e4" /></Relationships>
</file>

<file path=xl/worksheets/_rels/sheet6.xml.rels>&#65279;<?xml version="1.0" encoding="utf-8"?><Relationships xmlns="http://schemas.openxmlformats.org/package/2006/relationships"><Relationship Type="http://schemas.openxmlformats.org/officeDocument/2006/relationships/drawing" Target="/xl/drawings/drawing2.xml" Id="R145e0321fc384ae0"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2" hidden="0" customWidth="1"/>
    <x:col min="2" max="2" width="2" hidden="0" customWidth="1"/>
    <x:col min="3" max="3" width="38" hidden="0" customWidth="1"/>
    <x:col min="4" max="4" width="14" hidden="0" customWidth="1"/>
    <x:col min="5" max="5" width="14" hidden="0" customWidth="1"/>
    <x:col min="6" max="6" width="14" hidden="0" customWidth="1"/>
    <x:col min="7" max="7" width="28" hidden="0" customWidth="1"/>
    <x:col min="8" max="8" width="3"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2"/>
      <x:c r="C2" s="3" t="str">
        <x:v>India passenger vehicles: volume forecast</x:v>
      </x:c>
      <x:c r="D2" s="2"/>
      <x:c r="E2" s="2"/>
      <x:c r="F2" s="2"/>
      <x:c r="G2" s="2"/>
      <x:c r="H2" s="2"/>
      <x:c r="I2" s="2"/>
      <x:c r="J2" s="2"/>
      <x:c r="K2" s="2"/>
      <x:c r="L2" s="2"/>
      <x:c r="M2" s="2"/>
      <x:c r="N2" s="2"/>
      <x:c r="O2" s="2"/>
      <x:c r="P2" s="2"/>
      <x:c r="Q2" s="2"/>
      <x:c r="R2" s="2"/>
      <x:c r="S2" s="2"/>
      <x:c r="T2" s="2"/>
      <x:c r="U2" s="2"/>
      <x:c r="V2" s="2"/>
      <x:c r="W2" s="2"/>
      <x:c r="X2" s="2"/>
      <x:c r="Y2" s="2"/>
      <x:c r="Z2" s="2"/>
    </x:row>
    <x:row r="3">
      <x:c r="A3" s="2"/>
      <x:c r="B3" s="2"/>
      <x:c r="C3" s="4"/>
      <x:c r="D3" s="4"/>
      <x:c r="E3" s="4"/>
      <x:c r="F3" s="4"/>
      <x:c r="G3" s="4"/>
      <x:c r="H3" s="4"/>
      <x:c r="I3" s="4"/>
      <x:c r="J3" s="4"/>
      <x:c r="K3" s="4"/>
      <x:c r="L3" s="4"/>
      <x:c r="M3" s="4"/>
      <x:c r="N3" s="4"/>
      <x:c r="O3" s="4"/>
      <x:c r="P3" s="4"/>
      <x:c r="Q3" s="4"/>
      <x:c r="R3" s="2"/>
      <x:c r="S3" s="2"/>
      <x:c r="T3" s="2"/>
      <x:c r="U3" s="2"/>
      <x:c r="V3" s="2"/>
      <x:c r="W3" s="2"/>
      <x:c r="X3" s="2"/>
      <x:c r="Y3" s="2"/>
      <x:c r="Z3" s="2"/>
    </x:row>
    <x:row r="4">
      <x:c r="A4" s="2"/>
      <x:c r="B4" s="2"/>
      <x:c r="C4" s="5" t="str">
        <x:v>Central estimate | Public data through August 2026 | Units in vehicles</x:v>
      </x:c>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2"/>
      <x:c r="C6" s="8" t="str">
        <x:v>Annual volume outlook</x:v>
      </x:c>
      <x:c r="D6" s="8"/>
      <x:c r="E6" s="8"/>
      <x:c r="F6" s="8"/>
      <x:c r="G6" s="8"/>
      <x:c r="H6" s="2"/>
      <x:c r="I6" s="2"/>
      <x:c r="J6" s="2"/>
      <x:c r="K6" s="2"/>
      <x:c r="L6" s="2"/>
      <x:c r="M6" s="2"/>
      <x:c r="N6" s="2"/>
      <x:c r="O6" s="2"/>
      <x:c r="P6" s="2"/>
      <x:c r="Q6" s="2"/>
      <x:c r="R6" s="2"/>
      <x:c r="S6" s="67" t="str">
        <x:v>Month</x:v>
      </x:c>
      <x:c r="T6" s="67" t="str">
        <x:v>PV retail</x:v>
      </x:c>
      <x:c r="U6" s="67" t="str">
        <x:v>Underlying baseline</x:v>
      </x:c>
      <x:c r="V6" s="2"/>
      <x:c r="W6" s="2"/>
      <x:c r="X6" s="2"/>
      <x:c r="Y6" s="2"/>
      <x:c r="Z6" s="2"/>
    </x:row>
    <x:row r="7">
      <x:c r="A7" s="2"/>
      <x:c r="B7" s="2"/>
      <x:c r="C7" s="28" t="str">
        <x:v>Metric</x:v>
      </x:c>
      <x:c r="D7" s="69" t="str">
        <x:v>FY25A</x:v>
      </x:c>
      <x:c r="E7" s="69" t="str">
        <x:v>FY26A</x:v>
      </x:c>
      <x:c r="F7" s="69" t="str">
        <x:v>FY27E</x:v>
      </x:c>
      <x:c r="G7" s="70" t="str">
        <x:v>FY28E</x:v>
      </x:c>
      <x:c r="H7" s="2"/>
      <x:c r="I7" s="2"/>
      <x:c r="J7" s="2"/>
      <x:c r="K7" s="2"/>
      <x:c r="L7" s="2"/>
      <x:c r="M7" s="2"/>
      <x:c r="N7" s="2"/>
      <x:c r="O7" s="2"/>
      <x:c r="P7" s="2"/>
      <x:c r="Q7" s="2"/>
      <x:c r="R7" s="2"/>
      <x:c r="S7" s="67" t="str">
        <x:f>TEXT(Forecast!C7,"mmm-yy")</x:f>
        <x:v>Apr-25</x:v>
      </x:c>
      <x:c r="T7" s="67" t="n">
        <x:f>Forecast!S7</x:f>
        <x:v>364108.9129163795</x:v>
      </x:c>
      <x:c r="U7" s="67" t="n">
        <x:f>Forecast!J7</x:f>
        <x:v>0</x:v>
      </x:c>
      <x:c r="V7" s="2"/>
      <x:c r="W7" s="2"/>
      <x:c r="X7" s="2"/>
      <x:c r="Y7" s="2"/>
      <x:c r="Z7" s="2"/>
    </x:row>
    <x:row r="8">
      <x:c r="A8" s="2"/>
      <x:c r="B8" s="2"/>
      <x:c r="C8" s="41" t="str">
        <x:v>PV retail volume</x:v>
      </x:c>
      <x:c r="D8" s="71" t="n">
        <x:f>Assumptions!$D$7</x:f>
        <x:v>4163927</x:v>
      </x:c>
      <x:c r="E8" s="71" t="n">
        <x:f>SUM(Forecast!$S$7:$S$18)</x:f>
        <x:v>4705056</x:v>
      </x:c>
      <x:c r="F8" s="71" t="n">
        <x:f>SUM(Forecast!$S$19:$S$30)</x:f>
        <x:v>5243625.243273423</x:v>
      </x:c>
      <x:c r="G8" s="71" t="n">
        <x:f>SUM(Forecast!$S$31:$S$42)</x:f>
        <x:v>5363082.141380143</x:v>
      </x:c>
      <x:c r="H8" s="2"/>
      <x:c r="I8" s="2"/>
      <x:c r="J8" s="2"/>
      <x:c r="K8" s="2"/>
      <x:c r="L8" s="2"/>
      <x:c r="M8" s="2"/>
      <x:c r="N8" s="2"/>
      <x:c r="O8" s="2"/>
      <x:c r="P8" s="2"/>
      <x:c r="Q8" s="2"/>
      <x:c r="R8" s="2"/>
      <x:c r="S8" s="67" t="str">
        <x:f>TEXT(Forecast!C8,"mmm-yy")</x:f>
        <x:v>May-25</x:v>
      </x:c>
      <x:c r="T8" s="67" t="n">
        <x:f>Forecast!S8</x:f>
        <x:v>327628.6155823046</x:v>
      </x:c>
      <x:c r="U8" s="67" t="n">
        <x:f>Forecast!J8</x:f>
        <x:v>0</x:v>
      </x:c>
      <x:c r="V8" s="2"/>
      <x:c r="W8" s="2"/>
      <x:c r="X8" s="2"/>
      <x:c r="Y8" s="2"/>
      <x:c r="Z8" s="2"/>
    </x:row>
    <x:row r="9">
      <x:c r="A9" s="2"/>
      <x:c r="B9" s="2"/>
      <x:c r="C9" s="57" t="str">
        <x:v>Retail growth</x:v>
      </x:c>
      <x:c r="D9" s="72"/>
      <x:c r="E9" s="72" t="n">
        <x:f>E8/D8-1</x:f>
        <x:v>0.12995640893800497</x:v>
      </x:c>
      <x:c r="F9" s="72" t="n">
        <x:f>F8/E8-1</x:f>
        <x:v>0.11446606443651741</x:v>
      </x:c>
      <x:c r="G9" s="72" t="n">
        <x:f>G8/F8-1</x:f>
        <x:v>0.022781356898066152</x:v>
      </x:c>
      <x:c r="H9" s="2"/>
      <x:c r="I9" s="2"/>
      <x:c r="J9" s="2"/>
      <x:c r="K9" s="2"/>
      <x:c r="L9" s="2"/>
      <x:c r="M9" s="2"/>
      <x:c r="N9" s="2"/>
      <x:c r="O9" s="2"/>
      <x:c r="P9" s="2"/>
      <x:c r="Q9" s="2"/>
      <x:c r="R9" s="2"/>
      <x:c r="S9" s="67" t="str">
        <x:f>TEXT(Forecast!C9,"mmm-yy")</x:f>
        <x:v>Jun-25</x:v>
      </x:c>
      <x:c r="T9" s="67" t="n">
        <x:f>Forecast!S9</x:f>
        <x:v>330356.7143601745</x:v>
      </x:c>
      <x:c r="U9" s="67" t="n">
        <x:f>Forecast!J9</x:f>
        <x:v>0</x:v>
      </x:c>
      <x:c r="V9" s="2"/>
      <x:c r="W9" s="2"/>
      <x:c r="X9" s="2"/>
      <x:c r="Y9" s="2"/>
      <x:c r="Z9" s="2"/>
    </x:row>
    <x:row r="10">
      <x:c r="A10" s="2"/>
      <x:c r="B10" s="2"/>
      <x:c r="C10" s="41" t="str">
        <x:v>PV wholesale volume</x:v>
      </x:c>
      <x:c r="D10" s="71" t="n">
        <x:f>Assumptions!$D$10</x:f>
        <x:v>4301848</x:v>
      </x:c>
      <x:c r="E10" s="71" t="n">
        <x:f>Assumptions!$D$11</x:f>
        <x:v>4643439</x:v>
      </x:c>
      <x:c r="F10" s="71" t="n">
        <x:f>SUM(Forecast!$V$19:$V$30)</x:f>
        <x:v>5174278.784829299</x:v>
      </x:c>
      <x:c r="G10" s="71" t="n">
        <x:f>SUM(Forecast!$V$31:$V$42)</x:f>
        <x:v>5372542.365223751</x:v>
      </x:c>
      <x:c r="H10" s="2"/>
      <x:c r="I10" s="2"/>
      <x:c r="J10" s="2"/>
      <x:c r="K10" s="2"/>
      <x:c r="L10" s="2"/>
      <x:c r="M10" s="2"/>
      <x:c r="N10" s="2"/>
      <x:c r="O10" s="2"/>
      <x:c r="P10" s="2"/>
      <x:c r="Q10" s="2"/>
      <x:c r="R10" s="2"/>
      <x:c r="S10" s="67" t="str">
        <x:f>TEXT(Forecast!C10,"mmm-yy")</x:f>
        <x:v>Jul-25</x:v>
      </x:c>
      <x:c r="T10" s="67" t="n">
        <x:f>Forecast!S10</x:f>
        <x:v>350715.1514900286</x:v>
      </x:c>
      <x:c r="U10" s="67" t="n">
        <x:f>Forecast!J10</x:f>
        <x:v>0</x:v>
      </x:c>
      <x:c r="V10" s="2"/>
      <x:c r="W10" s="2"/>
      <x:c r="X10" s="2"/>
      <x:c r="Y10" s="2"/>
      <x:c r="Z10" s="2"/>
    </x:row>
    <x:row r="11">
      <x:c r="A11" s="2"/>
      <x:c r="B11" s="2"/>
      <x:c r="C11" s="57" t="str">
        <x:v>Wholesale growth</x:v>
      </x:c>
      <x:c r="D11" s="72"/>
      <x:c r="E11" s="72" t="n">
        <x:f>E10/D10-1</x:f>
        <x:v>0.07940564148245133</x:v>
      </x:c>
      <x:c r="F11" s="72" t="n">
        <x:f>F10/E10-1</x:f>
        <x:v>0.11432039590254095</x:v>
      </x:c>
      <x:c r="G11" s="72" t="n">
        <x:f>G10/F10-1</x:f>
        <x:v>0.038317143053008706</x:v>
      </x:c>
      <x:c r="H11" s="2"/>
      <x:c r="I11" s="2"/>
      <x:c r="J11" s="2"/>
      <x:c r="K11" s="2"/>
      <x:c r="L11" s="2"/>
      <x:c r="M11" s="2"/>
      <x:c r="N11" s="2"/>
      <x:c r="O11" s="2"/>
      <x:c r="P11" s="2"/>
      <x:c r="Q11" s="2"/>
      <x:c r="R11" s="2"/>
      <x:c r="S11" s="67" t="str">
        <x:f>TEXT(Forecast!C11,"mmm-yy")</x:f>
        <x:v>Aug-25</x:v>
      </x:c>
      <x:c r="T11" s="67" t="n">
        <x:f>Forecast!S11</x:f>
        <x:v>347499.6056511128</x:v>
      </x:c>
      <x:c r="U11" s="67" t="n">
        <x:f>Forecast!J11</x:f>
        <x:v>0</x:v>
      </x:c>
      <x:c r="V11" s="2"/>
      <x:c r="W11" s="2"/>
      <x:c r="X11" s="2"/>
      <x:c r="Y11" s="2"/>
      <x:c r="Z11" s="2"/>
    </x:row>
    <x:row r="12">
      <x:c r="A12" s="2"/>
      <x:c r="B12" s="2"/>
      <x:c r="C12" s="2" t="str">
        <x:v>H1 retail volume</x:v>
      </x:c>
      <x:c r="D12" s="73"/>
      <x:c r="E12" s="73" t="n">
        <x:f>SUM(Forecast!$S$7:$S$12)</x:f>
        <x:v>2016368.9888085478</x:v>
      </x:c>
      <x:c r="F12" s="73" t="n">
        <x:f>SUM(Forecast!$S$19:$S$24)</x:f>
        <x:v>2552264.9999999995</x:v>
      </x:c>
      <x:c r="G12" s="73" t="n">
        <x:f>SUM(Forecast!$S$31:$S$36)</x:f>
        <x:v>2607794.8591351514</x:v>
      </x:c>
      <x:c r="H12" s="2"/>
      <x:c r="I12" s="2"/>
      <x:c r="J12" s="2"/>
      <x:c r="K12" s="2"/>
      <x:c r="L12" s="2"/>
      <x:c r="M12" s="2"/>
      <x:c r="N12" s="2"/>
      <x:c r="O12" s="2"/>
      <x:c r="P12" s="2"/>
      <x:c r="Q12" s="2"/>
      <x:c r="R12" s="2"/>
      <x:c r="S12" s="67" t="str">
        <x:f>TEXT(Forecast!C12,"mmm-yy")</x:f>
        <x:v>Sep-25</x:v>
      </x:c>
      <x:c r="T12" s="67" t="n">
        <x:f>Forecast!S12</x:f>
        <x:v>296059.98880854785</x:v>
      </x:c>
      <x:c r="U12" s="67" t="n">
        <x:f>Forecast!J12</x:f>
        <x:v>0</x:v>
      </x:c>
      <x:c r="V12" s="2"/>
      <x:c r="W12" s="2"/>
      <x:c r="X12" s="2"/>
      <x:c r="Y12" s="2"/>
      <x:c r="Z12" s="2"/>
    </x:row>
    <x:row r="13">
      <x:c r="A13" s="2"/>
      <x:c r="B13" s="2"/>
      <x:c r="C13" s="57" t="str">
        <x:v>H1 retail growth</x:v>
      </x:c>
      <x:c r="D13" s="72"/>
      <x:c r="E13" s="72"/>
      <x:c r="F13" s="72" t="n">
        <x:f>F12/E12-1</x:f>
        <x:v>0.2657727896857347</x:v>
      </x:c>
      <x:c r="G13" s="72" t="n">
        <x:f>G12/F12-1</x:f>
        <x:v>0.021757089931943474</x:v>
      </x:c>
      <x:c r="H13" s="2"/>
      <x:c r="I13" s="2"/>
      <x:c r="J13" s="2"/>
      <x:c r="K13" s="2"/>
      <x:c r="L13" s="2"/>
      <x:c r="M13" s="2"/>
      <x:c r="N13" s="2"/>
      <x:c r="O13" s="2"/>
      <x:c r="P13" s="2"/>
      <x:c r="Q13" s="2"/>
      <x:c r="R13" s="2"/>
      <x:c r="S13" s="67" t="str">
        <x:f>TEXT(Forecast!C13,"mmm-yy")</x:f>
        <x:v>Oct-25</x:v>
      </x:c>
      <x:c r="T13" s="67" t="n">
        <x:f>Forecast!S13</x:f>
        <x:v>551212.196794547</x:v>
      </x:c>
      <x:c r="U13" s="67" t="n">
        <x:f>Forecast!J13</x:f>
        <x:v>0</x:v>
      </x:c>
      <x:c r="V13" s="2"/>
      <x:c r="W13" s="2"/>
      <x:c r="X13" s="2"/>
      <x:c r="Y13" s="2"/>
      <x:c r="Z13" s="2"/>
    </x:row>
    <x:row r="14">
      <x:c r="A14" s="2"/>
      <x:c r="B14" s="2"/>
      <x:c r="C14" s="2" t="str">
        <x:v>H2 retail volume</x:v>
      </x:c>
      <x:c r="D14" s="73"/>
      <x:c r="E14" s="73" t="n">
        <x:f>SUM(Forecast!$S$13:$S$18)</x:f>
        <x:v>2688687.011191452</x:v>
      </x:c>
      <x:c r="F14" s="73" t="n">
        <x:f>SUM(Forecast!$S$25:$S$30)</x:f>
        <x:v>2691360.243273423</x:v>
      </x:c>
      <x:c r="G14" s="73" t="n">
        <x:f>SUM(Forecast!$S$37:$S$42)</x:f>
        <x:v>2755287.282244991</x:v>
      </x:c>
      <x:c r="H14" s="2"/>
      <x:c r="I14" s="2"/>
      <x:c r="J14" s="2"/>
      <x:c r="K14" s="2"/>
      <x:c r="L14" s="2"/>
      <x:c r="M14" s="2"/>
      <x:c r="N14" s="2"/>
      <x:c r="O14" s="2"/>
      <x:c r="P14" s="2"/>
      <x:c r="Q14" s="2"/>
      <x:c r="R14" s="2"/>
      <x:c r="S14" s="67" t="str">
        <x:f>TEXT(Forecast!C14,"mmm-yy")</x:f>
        <x:v>Nov-25</x:v>
      </x:c>
      <x:c r="T14" s="67" t="n">
        <x:f>Forecast!S14</x:f>
        <x:v>387268.566342744</x:v>
      </x:c>
      <x:c r="U14" s="67" t="n">
        <x:f>Forecast!J14</x:f>
        <x:v>0</x:v>
      </x:c>
      <x:c r="V14" s="2"/>
      <x:c r="W14" s="2"/>
      <x:c r="X14" s="2"/>
      <x:c r="Y14" s="2"/>
      <x:c r="Z14" s="2"/>
    </x:row>
    <x:row r="15">
      <x:c r="A15" s="2"/>
      <x:c r="B15" s="2"/>
      <x:c r="C15" s="57" t="str">
        <x:v>H2 retail growth</x:v>
      </x:c>
      <x:c r="D15" s="72"/>
      <x:c r="E15" s="72"/>
      <x:c r="F15" s="72" t="n">
        <x:f>F14/E14-1</x:f>
        <x:v>0.0009942518674892487</x:v>
      </x:c>
      <x:c r="G15" s="72" t="n">
        <x:f>G14/F14-1</x:f>
        <x:v>0.02375268756062754</x:v>
      </x:c>
      <x:c r="H15" s="2"/>
      <x:c r="I15" s="2"/>
      <x:c r="J15" s="2"/>
      <x:c r="K15" s="2"/>
      <x:c r="L15" s="2"/>
      <x:c r="M15" s="2"/>
      <x:c r="N15" s="2"/>
      <x:c r="O15" s="2"/>
      <x:c r="P15" s="2"/>
      <x:c r="Q15" s="2"/>
      <x:c r="R15" s="2"/>
      <x:c r="S15" s="67" t="str">
        <x:f>TEXT(Forecast!C15,"mmm-yy")</x:f>
        <x:v>Dec-25</x:v>
      </x:c>
      <x:c r="T15" s="67" t="n">
        <x:f>Forecast!S15</x:f>
        <x:v>416723.3552710358</x:v>
      </x:c>
      <x:c r="U15" s="67" t="n">
        <x:f>Forecast!J15</x:f>
        <x:v>0</x:v>
      </x:c>
      <x:c r="V15" s="2"/>
      <x:c r="W15" s="2"/>
      <x:c r="X15" s="2"/>
      <x:c r="Y15" s="2"/>
      <x:c r="Z15" s="2"/>
    </x:row>
    <x:row r="16">
      <x:c r="A16" s="2"/>
      <x:c r="B16" s="2"/>
      <x:c r="C16" s="2"/>
      <x:c r="D16" s="74"/>
      <x:c r="E16" s="74"/>
      <x:c r="F16" s="74"/>
      <x:c r="G16" s="74"/>
      <x:c r="H16" s="2"/>
      <x:c r="I16" s="2"/>
      <x:c r="J16" s="2"/>
      <x:c r="K16" s="2"/>
      <x:c r="L16" s="2"/>
      <x:c r="M16" s="2"/>
      <x:c r="N16" s="2"/>
      <x:c r="O16" s="2"/>
      <x:c r="P16" s="2"/>
      <x:c r="Q16" s="2"/>
      <x:c r="R16" s="2"/>
      <x:c r="S16" s="67" t="str">
        <x:f>TEXT(Forecast!C16,"mmm-yy")</x:f>
        <x:v>Jan-26</x:v>
      </x:c>
      <x:c r="T16" s="67" t="n">
        <x:f>Forecast!S16</x:f>
        <x:v>507799.41394556256</x:v>
      </x:c>
      <x:c r="U16" s="67" t="n">
        <x:f>Forecast!J16</x:f>
        <x:v>0</x:v>
      </x:c>
      <x:c r="V16" s="2"/>
      <x:c r="W16" s="2"/>
      <x:c r="X16" s="2"/>
      <x:c r="Y16" s="2"/>
      <x:c r="Z16" s="2"/>
    </x:row>
    <x:row r="17">
      <x:c r="A17" s="2"/>
      <x:c r="B17" s="2"/>
      <x:c r="C17" s="2"/>
      <x:c r="D17" s="74"/>
      <x:c r="E17" s="74"/>
      <x:c r="F17" s="74"/>
      <x:c r="G17" s="74"/>
      <x:c r="H17" s="2"/>
      <x:c r="I17" s="2"/>
      <x:c r="J17" s="2"/>
      <x:c r="K17" s="2"/>
      <x:c r="L17" s="2"/>
      <x:c r="M17" s="2"/>
      <x:c r="N17" s="2"/>
      <x:c r="O17" s="2"/>
      <x:c r="P17" s="2"/>
      <x:c r="Q17" s="2"/>
      <x:c r="R17" s="2"/>
      <x:c r="S17" s="67" t="str">
        <x:f>TEXT(Forecast!C17,"mmm-yy")</x:f>
        <x:v>Feb-26</x:v>
      </x:c>
      <x:c r="T17" s="67" t="n">
        <x:f>Forecast!S17</x:f>
        <x:v>390404.51637267997</x:v>
      </x:c>
      <x:c r="U17" s="67" t="n">
        <x:f>Forecast!J17</x:f>
        <x:v>0</x:v>
      </x:c>
      <x:c r="V17" s="2"/>
      <x:c r="W17" s="2"/>
      <x:c r="X17" s="2"/>
      <x:c r="Y17" s="2"/>
      <x:c r="Z17" s="2"/>
    </x:row>
    <x:row r="18">
      <x:c r="A18" s="2"/>
      <x:c r="B18" s="2"/>
      <x:c r="C18" s="8" t="str">
        <x:v>Forecast constraints and demand-debt balance</x:v>
      </x:c>
      <x:c r="D18" s="75"/>
      <x:c r="E18" s="75"/>
      <x:c r="F18" s="75"/>
      <x:c r="G18" s="75"/>
      <x:c r="H18" s="2"/>
      <x:c r="I18" s="2"/>
      <x:c r="J18" s="2"/>
      <x:c r="K18" s="2"/>
      <x:c r="L18" s="2"/>
      <x:c r="M18" s="2"/>
      <x:c r="N18" s="2"/>
      <x:c r="O18" s="2"/>
      <x:c r="P18" s="2"/>
      <x:c r="Q18" s="2"/>
      <x:c r="R18" s="2"/>
      <x:c r="S18" s="67" t="str">
        <x:f>TEXT(Forecast!C18,"mmm-yy")</x:f>
        <x:v>Mar-26</x:v>
      </x:c>
      <x:c r="T18" s="67" t="n">
        <x:f>Forecast!S18</x:f>
        <x:v>435278.96246488276</x:v>
      </x:c>
      <x:c r="U18" s="67" t="n">
        <x:f>Forecast!J18</x:f>
        <x:v>0</x:v>
      </x:c>
      <x:c r="V18" s="2"/>
      <x:c r="W18" s="2"/>
      <x:c r="X18" s="2"/>
      <x:c r="Y18" s="2"/>
      <x:c r="Z18" s="2"/>
    </x:row>
    <x:row r="19">
      <x:c r="A19" s="2"/>
      <x:c r="B19" s="2"/>
      <x:c r="C19" s="2" t="str">
        <x:v>Opening demand debt at 30 September 2026</x:v>
      </x:c>
      <x:c r="D19" s="76" t="n">
        <x:f>'Demand Debt'!$D$26</x:f>
        <x:v>350401.34725279483</x:v>
      </x:c>
      <x:c r="E19" s="74"/>
      <x:c r="F19" s="77" t="str">
        <x:v>Reading the model</x:v>
      </x:c>
      <x:c r="G19" s="70"/>
      <x:c r="H19" s="2"/>
      <x:c r="I19" s="2"/>
      <x:c r="J19" s="2"/>
      <x:c r="K19" s="2"/>
      <x:c r="L19" s="2"/>
      <x:c r="M19" s="2"/>
      <x:c r="N19" s="2"/>
      <x:c r="O19" s="2"/>
      <x:c r="P19" s="2"/>
      <x:c r="Q19" s="2"/>
      <x:c r="R19" s="2"/>
      <x:c r="S19" s="67" t="str">
        <x:f>TEXT(Forecast!C19,"mmm-yy")</x:f>
        <x:v>Apr-26</x:v>
      </x:c>
      <x:c r="T19" s="67" t="n">
        <x:f>Forecast!S19</x:f>
        <x:v>419839.35256590013</x:v>
      </x:c>
      <x:c r="U19" s="67" t="n">
        <x:f>Forecast!J19</x:f>
        <x:v>0</x:v>
      </x:c>
      <x:c r="V19" s="2"/>
      <x:c r="W19" s="2"/>
      <x:c r="X19" s="2"/>
      <x:c r="Y19" s="2"/>
      <x:c r="Z19" s="2"/>
    </x:row>
    <x:row r="20" ht="45" customHeight="1">
      <x:c r="A20" s="2"/>
      <x:c r="B20" s="2"/>
      <x:c r="C20" s="2" t="str">
        <x:v>Demand debt repaid in FY27 H2</x:v>
      </x:c>
      <x:c r="D20" s="76" t="n">
        <x:f>D19*Assumptions!$D$23</x:f>
        <x:v>87600.33681319871</x:v>
      </x:c>
      <x:c r="E20" s="74"/>
      <x:c r="F20" s="74" t="str">
        <x:v>FY27</x:v>
      </x:c>
      <x:c r="G20" s="78" t="str">
        <x:v>Strong H1 growth is already banked; the H2 comparison is the cleaner read on underlying demand.</x:v>
      </x:c>
      <x:c r="H20" s="2"/>
      <x:c r="I20" s="2"/>
      <x:c r="J20" s="2"/>
      <x:c r="K20" s="2"/>
      <x:c r="L20" s="2"/>
      <x:c r="M20" s="2"/>
      <x:c r="N20" s="2"/>
      <x:c r="O20" s="2"/>
      <x:c r="P20" s="2"/>
      <x:c r="Q20" s="2"/>
      <x:c r="R20" s="2"/>
      <x:c r="S20" s="67" t="str">
        <x:f>TEXT(Forecast!C20,"mmm-yy")</x:f>
        <x:v>May-26</x:v>
      </x:c>
      <x:c r="T20" s="67" t="n">
        <x:f>Forecast!S20</x:f>
        <x:v>414929.34857521893</x:v>
      </x:c>
      <x:c r="U20" s="67" t="n">
        <x:f>Forecast!J20</x:f>
        <x:v>0</x:v>
      </x:c>
      <x:c r="V20" s="2"/>
      <x:c r="W20" s="2"/>
      <x:c r="X20" s="2"/>
      <x:c r="Y20" s="2"/>
      <x:c r="Z20" s="2"/>
    </x:row>
    <x:row r="21" ht="45" customHeight="1">
      <x:c r="A21" s="2"/>
      <x:c r="B21" s="2"/>
      <x:c r="C21" s="2" t="str">
        <x:v>Demand debt repaid in FY28</x:v>
      </x:c>
      <x:c r="D21" s="76" t="n">
        <x:f>D19*(1-Assumptions!$D$23)*Assumptions!$D$24</x:f>
        <x:v>197100.7578296971</x:v>
      </x:c>
      <x:c r="E21" s="74"/>
      <x:c r="F21" s="74" t="str">
        <x:v>FY28</x:v>
      </x:c>
      <x:c r="G21" s="78" t="str">
        <x:v>Growth is reduced by the fading affordability benefit and repayment of demand brought forward.</x:v>
      </x:c>
      <x:c r="H21" s="2"/>
      <x:c r="I21" s="2"/>
      <x:c r="J21" s="2"/>
      <x:c r="K21" s="2"/>
      <x:c r="L21" s="2"/>
      <x:c r="M21" s="2"/>
      <x:c r="N21" s="2"/>
      <x:c r="O21" s="2"/>
      <x:c r="P21" s="2"/>
      <x:c r="Q21" s="2"/>
      <x:c r="R21" s="2"/>
      <x:c r="S21" s="67" t="str">
        <x:f>TEXT(Forecast!C21,"mmm-yy")</x:f>
        <x:v>Jun-26</x:v>
      </x:c>
      <x:c r="T21" s="67" t="n">
        <x:f>Forecast!S21</x:f>
        <x:v>423444.55700742046</x:v>
      </x:c>
      <x:c r="U21" s="67" t="n">
        <x:f>Forecast!J21</x:f>
        <x:v>0</x:v>
      </x:c>
      <x:c r="V21" s="2"/>
      <x:c r="W21" s="2"/>
      <x:c r="X21" s="2"/>
      <x:c r="Y21" s="2"/>
      <x:c r="Z21" s="2"/>
    </x:row>
    <x:row r="22" ht="45" customHeight="1">
      <x:c r="A22" s="2"/>
      <x:c r="B22" s="2"/>
      <x:c r="C22" s="2" t="str">
        <x:v>FY27 maximum retail under supply ceiling</x:v>
      </x:c>
      <x:c r="D22" s="79" t="n">
        <x:f>SUM(Forecast!$S$19:$S$24)+SUM(Forecast!$R$25:$R$30)</x:f>
        <x:v>5561089.912303373</x:v>
      </x:c>
      <x:c r="E22" s="74"/>
      <x:c r="F22" s="74" t="str">
        <x:v>Supply</x:v>
      </x:c>
      <x:c r="G22" s="78" t="str">
        <x:v>The industry ceiling is above the central forecast. Demand, not aggregate capacity, is the binding constraint in the base case.</x:v>
      </x:c>
      <x:c r="H22" s="2"/>
      <x:c r="I22" s="2"/>
      <x:c r="J22" s="2"/>
      <x:c r="K22" s="2"/>
      <x:c r="L22" s="2"/>
      <x:c r="M22" s="2"/>
      <x:c r="N22" s="2"/>
      <x:c r="O22" s="2"/>
      <x:c r="P22" s="2"/>
      <x:c r="Q22" s="2"/>
      <x:c r="R22" s="2"/>
      <x:c r="S22" s="67" t="str">
        <x:f>TEXT(Forecast!C22,"mmm-yy")</x:f>
        <x:v>Jul-26</x:v>
      </x:c>
      <x:c r="T22" s="67" t="n">
        <x:f>Forecast!S22</x:f>
        <x:v>429321.30821541045</x:v>
      </x:c>
      <x:c r="U22" s="67" t="n">
        <x:f>Forecast!J22</x:f>
        <x:v>0</x:v>
      </x:c>
      <x:c r="V22" s="2"/>
      <x:c r="W22" s="2"/>
      <x:c r="X22" s="2"/>
      <x:c r="Y22" s="2"/>
      <x:c r="Z22" s="2"/>
    </x:row>
    <x:row r="23" ht="45" customHeight="1">
      <x:c r="A23" s="2"/>
      <x:c r="B23" s="2"/>
      <x:c r="C23" s="2" t="str">
        <x:v>FY27 maximum retail growth</x:v>
      </x:c>
      <x:c r="D23" s="80" t="n">
        <x:f>D22/E8-1</x:f>
        <x:v>0.18193915488006374</x:v>
      </x:c>
      <x:c r="E23" s="74"/>
      <x:c r="F23" s="74" t="str">
        <x:v>Retail vs wholesale</x:v>
      </x:c>
      <x:c r="G23" s="78" t="str">
        <x:v>Inventory normalisation makes wholesale growth differ from retail growth.</x:v>
      </x:c>
      <x:c r="H23" s="2"/>
      <x:c r="I23" s="2"/>
      <x:c r="J23" s="2"/>
      <x:c r="K23" s="2"/>
      <x:c r="L23" s="2"/>
      <x:c r="M23" s="2"/>
      <x:c r="N23" s="2"/>
      <x:c r="O23" s="2"/>
      <x:c r="P23" s="2"/>
      <x:c r="Q23" s="2"/>
      <x:c r="R23" s="2"/>
      <x:c r="S23" s="67" t="str">
        <x:f>TEXT(Forecast!C23,"mmm-yy")</x:f>
        <x:v>Aug-26</x:v>
      </x:c>
      <x:c r="T23" s="67" t="n">
        <x:f>Forecast!S23</x:f>
        <x:v>414730.43363604986</x:v>
      </x:c>
      <x:c r="U23" s="67" t="n">
        <x:f>Forecast!J23</x:f>
        <x:v>0</x:v>
      </x:c>
      <x:c r="V23" s="2"/>
      <x:c r="W23" s="2"/>
      <x:c r="X23" s="2"/>
      <x:c r="Y23" s="2"/>
      <x:c r="Z23" s="2"/>
    </x:row>
    <x:row r="24" ht="45" customHeight="1">
      <x:c r="A24" s="2"/>
      <x:c r="B24" s="2"/>
      <x:c r="C24" s="2" t="str">
        <x:v>FY28 maximum retail under supply ceiling</x:v>
      </x:c>
      <x:c r="D24" s="79" t="n">
        <x:f>SUM(Forecast!$R$31:$R$42)</x:f>
        <x:v>6184180.917988548</x:v>
      </x:c>
      <x:c r="E24" s="74"/>
      <x:c r="F24" s="74" t="str">
        <x:v>Update</x:v>
      </x:c>
      <x:c r="G24" s="78" t="str">
        <x:v>Replace September estimate and assumptions as new Vahan, pricing and inventory data arrive.</x:v>
      </x:c>
      <x:c r="H24" s="2"/>
      <x:c r="I24" s="2"/>
      <x:c r="J24" s="2"/>
      <x:c r="K24" s="2"/>
      <x:c r="L24" s="2"/>
      <x:c r="M24" s="2"/>
      <x:c r="N24" s="2"/>
      <x:c r="O24" s="2"/>
      <x:c r="P24" s="2"/>
      <x:c r="Q24" s="2"/>
      <x:c r="R24" s="2"/>
      <x:c r="S24" s="67" t="str">
        <x:f>TEXT(Forecast!C24,"mmm-yy")</x:f>
        <x:v>Sep-26</x:v>
      </x:c>
      <x:c r="T24" s="67" t="n">
        <x:f>Forecast!S24</x:f>
        <x:v>450000</x:v>
      </x:c>
      <x:c r="U24" s="67" t="n">
        <x:f>Forecast!J24</x:f>
        <x:v>450000</x:v>
      </x:c>
      <x:c r="V24" s="2"/>
      <x:c r="W24" s="2"/>
      <x:c r="X24" s="2"/>
      <x:c r="Y24" s="2"/>
      <x:c r="Z24" s="2"/>
    </x:row>
    <x:row r="25">
      <x:c r="A25" s="2"/>
      <x:c r="B25" s="2"/>
      <x:c r="C25" s="2"/>
      <x:c r="D25" s="2"/>
      <x:c r="E25" s="2"/>
      <x:c r="F25" s="2"/>
      <x:c r="G25" s="2"/>
      <x:c r="H25" s="2"/>
      <x:c r="I25" s="2"/>
      <x:c r="J25" s="2"/>
      <x:c r="K25" s="2"/>
      <x:c r="L25" s="2"/>
      <x:c r="M25" s="2"/>
      <x:c r="N25" s="2"/>
      <x:c r="O25" s="2"/>
      <x:c r="P25" s="2"/>
      <x:c r="Q25" s="2"/>
      <x:c r="R25" s="2"/>
      <x:c r="S25" s="67" t="str">
        <x:f>TEXT(Forecast!C25,"mmm-yy")</x:f>
        <x:v>Oct-26</x:v>
      </x:c>
      <x:c r="T25" s="67" t="n">
        <x:f>Forecast!S25</x:f>
        <x:v>474695.5770174761</x:v>
      </x:c>
      <x:c r="U25" s="67" t="n">
        <x:f>Forecast!J25</x:f>
        <x:v>501327.4929846406</x:v>
      </x:c>
      <x:c r="V25" s="2"/>
      <x:c r="W25" s="2"/>
      <x:c r="X25" s="2"/>
      <x:c r="Y25" s="2"/>
      <x:c r="Z25" s="2"/>
    </x:row>
    <x:row r="26">
      <x:c r="A26" s="2"/>
      <x:c r="B26" s="2"/>
      <x:c r="C26" s="2"/>
      <x:c r="D26" s="2"/>
      <x:c r="E26" s="2"/>
      <x:c r="F26" s="2"/>
      <x:c r="G26" s="2"/>
      <x:c r="H26" s="2"/>
      <x:c r="I26" s="2"/>
      <x:c r="J26" s="2"/>
      <x:c r="K26" s="2"/>
      <x:c r="L26" s="2"/>
      <x:c r="M26" s="2"/>
      <x:c r="N26" s="2"/>
      <x:c r="O26" s="2"/>
      <x:c r="P26" s="2"/>
      <x:c r="Q26" s="2"/>
      <x:c r="R26" s="2"/>
      <x:c r="S26" s="67" t="str">
        <x:f>TEXT(Forecast!C26,"mmm-yy")</x:f>
        <x:v>Nov-26</x:v>
      </x:c>
      <x:c r="T26" s="67" t="n">
        <x:f>Forecast!S26</x:f>
        <x:v>476178.5412709935</x:v>
      </x:c>
      <x:c r="U26" s="67" t="n">
        <x:f>Forecast!J26</x:f>
        <x:v>502846.9235722609</x:v>
      </x:c>
      <x:c r="V26" s="2"/>
      <x:c r="W26" s="2"/>
      <x:c r="X26" s="2"/>
      <x:c r="Y26" s="2"/>
      <x:c r="Z26" s="2"/>
    </x:row>
    <x:row r="27">
      <x:c r="A27" s="2"/>
      <x:c r="B27" s="2"/>
      <x:c r="C27" s="2"/>
      <x:c r="D27" s="2"/>
      <x:c r="E27" s="2"/>
      <x:c r="F27" s="2"/>
      <x:c r="G27" s="2"/>
      <x:c r="H27" s="2"/>
      <x:c r="I27" s="2"/>
      <x:c r="J27" s="2"/>
      <x:c r="K27" s="2"/>
      <x:c r="L27" s="2"/>
      <x:c r="M27" s="2"/>
      <x:c r="N27" s="2"/>
      <x:c r="O27" s="2"/>
      <x:c r="P27" s="2"/>
      <x:c r="Q27" s="2"/>
      <x:c r="R27" s="2"/>
      <x:c r="S27" s="67" t="str">
        <x:f>TEXT(Forecast!C27,"mmm-yy")</x:f>
        <x:v>Dec-26</x:v>
      </x:c>
      <x:c r="T27" s="67" t="n">
        <x:f>Forecast!S27</x:f>
        <x:v>420592.478241115</x:v>
      </x:c>
      <x:c r="U27" s="67" t="n">
        <x:f>Forecast!J27</x:f>
        <x:v>445893.99014000833</x:v>
      </x:c>
      <x:c r="V27" s="2"/>
      <x:c r="W27" s="2"/>
      <x:c r="X27" s="2"/>
      <x:c r="Y27" s="2"/>
      <x:c r="Z27" s="2"/>
    </x:row>
    <x:row r="28">
      <x:c r="A28" s="2"/>
      <x:c r="B28" s="2"/>
      <x:c r="C28" s="2"/>
      <x:c r="D28" s="2"/>
      <x:c r="E28" s="2"/>
      <x:c r="F28" s="2"/>
      <x:c r="G28" s="2"/>
      <x:c r="H28" s="2"/>
      <x:c r="I28" s="2"/>
      <x:c r="J28" s="2"/>
      <x:c r="K28" s="2"/>
      <x:c r="L28" s="2"/>
      <x:c r="M28" s="2"/>
      <x:c r="N28" s="2"/>
      <x:c r="O28" s="2"/>
      <x:c r="P28" s="2"/>
      <x:c r="Q28" s="2"/>
      <x:c r="R28" s="2"/>
      <x:c r="S28" s="67" t="str">
        <x:f>TEXT(Forecast!C28,"mmm-yy")</x:f>
        <x:v>Jan-27</x:v>
      </x:c>
      <x:c r="T28" s="67" t="n">
        <x:f>Forecast!S28</x:f>
        <x:v>486815.98839526135</x:v>
      </x:c>
      <x:c r="U28" s="67" t="n">
        <x:f>Forecast!J28</x:f>
        <x:v>543345.3729217519</x:v>
      </x:c>
      <x:c r="V28" s="2"/>
      <x:c r="W28" s="2"/>
      <x:c r="X28" s="2"/>
      <x:c r="Y28" s="2"/>
      <x:c r="Z28" s="2"/>
    </x:row>
    <x:row r="29">
      <x:c r="A29" s="2"/>
      <x:c r="B29" s="2"/>
      <x:c r="C29" s="2"/>
      <x:c r="D29" s="2"/>
      <x:c r="E29" s="2"/>
      <x:c r="F29" s="2"/>
      <x:c r="G29" s="2"/>
      <x:c r="H29" s="2"/>
      <x:c r="I29" s="2"/>
      <x:c r="J29" s="2"/>
      <x:c r="K29" s="2"/>
      <x:c r="L29" s="2"/>
      <x:c r="M29" s="2"/>
      <x:c r="N29" s="2"/>
      <x:c r="O29" s="2"/>
      <x:c r="P29" s="2"/>
      <x:c r="Q29" s="2"/>
      <x:c r="R29" s="2"/>
      <x:c r="S29" s="67" t="str">
        <x:f>TEXT(Forecast!C29,"mmm-yy")</x:f>
        <x:v>Feb-27</x:v>
      </x:c>
      <x:c r="T29" s="67" t="n">
        <x:f>Forecast!S29</x:f>
        <x:v>393107.188402784</x:v>
      </x:c>
      <x:c r="U29" s="67" t="n">
        <x:f>Forecast!J29</x:f>
        <x:v>417732.83251876757</x:v>
      </x:c>
      <x:c r="V29" s="2"/>
      <x:c r="W29" s="2"/>
      <x:c r="X29" s="2"/>
      <x:c r="Y29" s="2"/>
      <x:c r="Z29" s="2"/>
    </x:row>
    <x:row r="30">
      <x:c r="A30" s="2"/>
      <x:c r="B30" s="2"/>
      <x:c r="C30" s="2"/>
      <x:c r="D30" s="2"/>
      <x:c r="E30" s="2"/>
      <x:c r="F30" s="2"/>
      <x:c r="G30" s="2"/>
      <x:c r="H30" s="2"/>
      <x:c r="I30" s="2"/>
      <x:c r="J30" s="2"/>
      <x:c r="K30" s="2"/>
      <x:c r="L30" s="2"/>
      <x:c r="M30" s="2"/>
      <x:c r="N30" s="2"/>
      <x:c r="O30" s="2"/>
      <x:c r="P30" s="2"/>
      <x:c r="Q30" s="2"/>
      <x:c r="R30" s="2"/>
      <x:c r="S30" s="67" t="str">
        <x:f>TEXT(Forecast!C30,"mmm-yy")</x:f>
        <x:v>Mar-27</x:v>
      </x:c>
      <x:c r="T30" s="67" t="n">
        <x:f>Forecast!S30</x:f>
        <x:v>439970.4699457933</x:v>
      </x:c>
      <x:c r="U30" s="67" t="n">
        <x:f>Forecast!J30</x:f>
        <x:v>465748.4898374246</x:v>
      </x:c>
      <x:c r="V30" s="2"/>
      <x:c r="W30" s="2"/>
      <x:c r="X30" s="2"/>
      <x:c r="Y30" s="2"/>
      <x:c r="Z30" s="2"/>
    </x:row>
    <x:row r="31">
      <x:c r="A31" s="2"/>
      <x:c r="B31" s="2"/>
      <x:c r="C31" s="2"/>
      <x:c r="D31" s="2"/>
      <x:c r="E31" s="2"/>
      <x:c r="F31" s="2"/>
      <x:c r="G31" s="2"/>
      <x:c r="H31" s="2"/>
      <x:c r="I31" s="2"/>
      <x:c r="J31" s="2"/>
      <x:c r="K31" s="2"/>
      <x:c r="L31" s="2"/>
      <x:c r="M31" s="2"/>
      <x:c r="N31" s="2"/>
      <x:c r="O31" s="2"/>
      <x:c r="P31" s="2"/>
      <x:c r="Q31" s="2"/>
      <x:c r="R31" s="2"/>
      <x:c r="S31" s="67" t="str">
        <x:f>TEXT(Forecast!C31,"mmm-yy")</x:f>
        <x:v>Apr-27</x:v>
      </x:c>
      <x:c r="T31" s="67" t="n">
        <x:f>Forecast!S31</x:f>
        <x:v>428759.9911278288</x:v>
      </x:c>
      <x:c r="U31" s="67" t="n">
        <x:f>Forecast!J31</x:f>
        <x:v>449228.1072455132</x:v>
      </x:c>
      <x:c r="V31" s="2"/>
      <x:c r="W31" s="2"/>
      <x:c r="X31" s="2"/>
      <x:c r="Y31" s="2"/>
      <x:c r="Z31" s="2"/>
    </x:row>
    <x:row r="32">
      <x:c r="A32" s="2"/>
      <x:c r="B32" s="2"/>
      <x:c r="C32" s="2"/>
      <x:c r="D32" s="2"/>
      <x:c r="E32" s="2"/>
      <x:c r="F32" s="2"/>
      <x:c r="G32" s="2"/>
      <x:c r="H32" s="2"/>
      <x:c r="I32" s="2"/>
      <x:c r="J32" s="2"/>
      <x:c r="K32" s="2"/>
      <x:c r="L32" s="2"/>
      <x:c r="M32" s="2"/>
      <x:c r="N32" s="2"/>
      <x:c r="O32" s="2"/>
      <x:c r="P32" s="2"/>
      <x:c r="Q32" s="2"/>
      <x:c r="R32" s="2"/>
      <x:c r="S32" s="67" t="str">
        <x:f>TEXT(Forecast!C32,"mmm-yy")</x:f>
        <x:v>May-27</x:v>
      </x:c>
      <x:c r="T32" s="67" t="n">
        <x:f>Forecast!S32</x:f>
        <x:v>423553.57019623014</x:v>
      </x:c>
      <x:c r="U32" s="67" t="n">
        <x:f>Forecast!J32</x:f>
        <x:v>443974.40297548426</x:v>
      </x:c>
      <x:c r="V32" s="2"/>
      <x:c r="W32" s="2"/>
      <x:c r="X32" s="2"/>
      <x:c r="Y32" s="2"/>
      <x:c r="Z32" s="2"/>
    </x:row>
    <x:row r="33">
      <x:c r="A33" s="2"/>
      <x:c r="B33" s="2"/>
      <x:c r="C33" s="2"/>
      <x:c r="D33" s="2"/>
      <x:c r="E33" s="2"/>
      <x:c r="F33" s="2"/>
      <x:c r="G33" s="2"/>
      <x:c r="H33" s="2"/>
      <x:c r="I33" s="2"/>
      <x:c r="J33" s="2"/>
      <x:c r="K33" s="2"/>
      <x:c r="L33" s="2"/>
      <x:c r="M33" s="2"/>
      <x:c r="N33" s="2"/>
      <x:c r="O33" s="2"/>
      <x:c r="P33" s="2"/>
      <x:c r="Q33" s="2"/>
      <x:c r="R33" s="2"/>
      <x:c r="S33" s="67" t="str">
        <x:f>TEXT(Forecast!C33,"mmm-yy")</x:f>
        <x:v>Jun-27</x:v>
      </x:c>
      <x:c r="T33" s="67" t="n">
        <x:f>Forecast!S33</x:f>
        <x:v>432582.8417614837</x:v>
      </x:c>
      <x:c r="U33" s="67" t="n">
        <x:f>Forecast!J33</x:f>
        <x:v>453085.6759979399</x:v>
      </x:c>
      <x:c r="V33" s="2"/>
      <x:c r="W33" s="2"/>
      <x:c r="X33" s="2"/>
      <x:c r="Y33" s="2"/>
      <x:c r="Z33" s="2"/>
    </x:row>
    <x:row r="34">
      <x:c r="A34" s="2"/>
      <x:c r="B34" s="2"/>
      <x:c r="C34" s="2"/>
      <x:c r="D34" s="2"/>
      <x:c r="E34" s="2"/>
      <x:c r="F34" s="2"/>
      <x:c r="G34" s="2"/>
      <x:c r="H34" s="2"/>
      <x:c r="I34" s="2"/>
      <x:c r="J34" s="2"/>
      <x:c r="K34" s="2"/>
      <x:c r="L34" s="2"/>
      <x:c r="M34" s="2"/>
      <x:c r="N34" s="2"/>
      <x:c r="O34" s="2"/>
      <x:c r="P34" s="2"/>
      <x:c r="Q34" s="2"/>
      <x:c r="R34" s="2"/>
      <x:c r="S34" s="67" t="str">
        <x:f>TEXT(Forecast!C34,"mmm-yy")</x:f>
        <x:v>Jul-27</x:v>
      </x:c>
      <x:c r="T34" s="67" t="n">
        <x:f>Forecast!S34</x:f>
        <x:v>438814.3724399</x:v>
      </x:c>
      <x:c r="U34" s="67" t="n">
        <x:f>Forecast!J34</x:f>
        <x:v>459373.7997904892</x:v>
      </x:c>
      <x:c r="V34" s="2"/>
      <x:c r="W34" s="2"/>
      <x:c r="X34" s="2"/>
      <x:c r="Y34" s="2"/>
      <x:c r="Z34" s="2"/>
    </x:row>
    <x:row r="35">
      <x:c r="A35" s="2"/>
      <x:c r="B35" s="2"/>
      <x:c r="C35" s="2"/>
      <x:c r="D35" s="2"/>
      <x:c r="E35" s="2"/>
      <x:c r="F35" s="2"/>
      <x:c r="G35" s="2"/>
      <x:c r="H35" s="2"/>
      <x:c r="I35" s="2"/>
      <x:c r="J35" s="2"/>
      <x:c r="K35" s="2"/>
      <x:c r="L35" s="2"/>
      <x:c r="M35" s="2"/>
      <x:c r="N35" s="2"/>
      <x:c r="O35" s="2"/>
      <x:c r="P35" s="2"/>
      <x:c r="Q35" s="2"/>
      <x:c r="R35" s="2"/>
      <x:c r="S35" s="67" t="str">
        <x:f>TEXT(Forecast!C35,"mmm-yy")</x:f>
        <x:v>Aug-27</x:v>
      </x:c>
      <x:c r="T35" s="67" t="n">
        <x:f>Forecast!S35</x:f>
        <x:v>423342.64676218346</x:v>
      </x:c>
      <x:c r="U35" s="67" t="n">
        <x:f>Forecast!J35</x:f>
        <x:v>443761.5639905734</x:v>
      </x:c>
      <x:c r="V35" s="2"/>
      <x:c r="W35" s="2"/>
      <x:c r="X35" s="2"/>
      <x:c r="Y35" s="2"/>
      <x:c r="Z35" s="2"/>
    </x:row>
    <x:row r="36">
      <x:c r="A36" s="2"/>
      <x:c r="B36" s="2"/>
      <x:c r="C36" s="2"/>
      <x:c r="D36" s="2"/>
      <x:c r="E36" s="2"/>
      <x:c r="F36" s="2"/>
      <x:c r="G36" s="2"/>
      <x:c r="H36" s="2"/>
      <x:c r="I36" s="2"/>
      <x:c r="J36" s="2"/>
      <x:c r="K36" s="2"/>
      <x:c r="L36" s="2"/>
      <x:c r="M36" s="2"/>
      <x:c r="N36" s="2"/>
      <x:c r="O36" s="2"/>
      <x:c r="P36" s="2"/>
      <x:c r="Q36" s="2"/>
      <x:c r="R36" s="2"/>
      <x:c r="S36" s="67" t="str">
        <x:f>TEXT(Forecast!C36,"mmm-yy")</x:f>
        <x:v>Sep-27</x:v>
      </x:c>
      <x:c r="T36" s="67" t="n">
        <x:f>Forecast!S36</x:f>
        <x:v>460741.43684752524</x:v>
      </x:c>
      <x:c r="U36" s="67" t="n">
        <x:f>Forecast!J36</x:f>
        <x:v>481500</x:v>
      </x:c>
      <x:c r="V36" s="2"/>
      <x:c r="W36" s="2"/>
      <x:c r="X36" s="2"/>
      <x:c r="Y36" s="2"/>
      <x:c r="Z36" s="2"/>
    </x:row>
    <x:row r="37">
      <x:c r="A37" s="2"/>
      <x:c r="B37" s="2"/>
      <x:c r="C37" s="2"/>
      <x:c r="D37" s="2"/>
      <x:c r="E37" s="2"/>
      <x:c r="F37" s="2"/>
      <x:c r="G37" s="2"/>
      <x:c r="H37" s="2"/>
      <x:c r="I37" s="2"/>
      <x:c r="J37" s="2"/>
      <x:c r="K37" s="2"/>
      <x:c r="L37" s="2"/>
      <x:c r="M37" s="2"/>
      <x:c r="N37" s="2"/>
      <x:c r="O37" s="2"/>
      <x:c r="P37" s="2"/>
      <x:c r="Q37" s="2"/>
      <x:c r="R37" s="2"/>
      <x:c r="S37" s="67" t="str">
        <x:f>TEXT(Forecast!C37,"mmm-yy")</x:f>
        <x:v>Oct-27</x:v>
      </x:c>
      <x:c r="T37" s="67" t="n">
        <x:f>Forecast!S37</x:f>
        <x:v>486927.8858495464</x:v>
      </x:c>
      <x:c r="U37" s="67" t="n">
        <x:f>Forecast!J37</x:f>
        <x:v>507924.26740869944</x:v>
      </x:c>
      <x:c r="V37" s="2"/>
      <x:c r="W37" s="2"/>
      <x:c r="X37" s="2"/>
      <x:c r="Y37" s="2"/>
      <x:c r="Z37" s="2"/>
    </x:row>
    <x:row r="38">
      <x:c r="A38" s="2"/>
      <x:c r="B38" s="2"/>
      <x:c r="C38" s="2"/>
      <x:c r="D38" s="2"/>
      <x:c r="E38" s="2"/>
      <x:c r="F38" s="2"/>
      <x:c r="G38" s="2"/>
      <x:c r="H38" s="2"/>
      <x:c r="I38" s="2"/>
      <x:c r="J38" s="2"/>
      <x:c r="K38" s="2"/>
      <x:c r="L38" s="2"/>
      <x:c r="M38" s="2"/>
      <x:c r="N38" s="2"/>
      <x:c r="O38" s="2"/>
      <x:c r="P38" s="2"/>
      <x:c r="Q38" s="2"/>
      <x:c r="R38" s="2"/>
      <x:c r="S38" s="67" t="str">
        <x:f>TEXT(Forecast!C38,"mmm-yy")</x:f>
        <x:v>Nov-27</x:v>
      </x:c>
      <x:c r="T38" s="67" t="n">
        <x:f>Forecast!S38</x:f>
        <x:v>488500.3766550486</x:v>
      </x:c>
      <x:c r="U38" s="67" t="n">
        <x:f>Forecast!J38</x:f>
        <x:v>509511.039159963</x:v>
      </x:c>
      <x:c r="V38" s="2"/>
      <x:c r="W38" s="2"/>
      <x:c r="X38" s="2"/>
      <x:c r="Y38" s="2"/>
      <x:c r="Z38" s="2"/>
    </x:row>
    <x:row r="39">
      <x:c r="A39" s="2"/>
      <x:c r="B39" s="2"/>
      <x:c r="C39" s="2"/>
      <x:c r="D39" s="2"/>
      <x:c r="E39" s="2"/>
      <x:c r="F39" s="2"/>
      <x:c r="G39" s="2"/>
      <x:c r="H39" s="2"/>
      <x:c r="I39" s="2"/>
      <x:c r="J39" s="2"/>
      <x:c r="K39" s="2"/>
      <x:c r="L39" s="2"/>
      <x:c r="M39" s="2"/>
      <x:c r="N39" s="2"/>
      <x:c r="O39" s="2"/>
      <x:c r="P39" s="2"/>
      <x:c r="Q39" s="2"/>
      <x:c r="R39" s="2"/>
      <x:c r="S39" s="67" t="str">
        <x:f>TEXT(Forecast!C39,"mmm-yy")</x:f>
        <x:v>Dec-27</x:v>
      </x:c>
      <x:c r="T39" s="67" t="n">
        <x:f>Forecast!S39</x:f>
        <x:v>429558.5830000564</x:v>
      </x:c>
      <x:c r="U39" s="67" t="n">
        <x:f>Forecast!J39</x:f>
        <x:v>450033.95171799307</x:v>
      </x:c>
      <x:c r="V39" s="2"/>
      <x:c r="W39" s="2"/>
      <x:c r="X39" s="2"/>
      <x:c r="Y39" s="2"/>
      <x:c r="Z39" s="2"/>
    </x:row>
    <x:row r="40">
      <x:c r="A40" s="2"/>
      <x:c r="B40" s="2"/>
      <x:c r="C40" s="2"/>
      <x:c r="D40" s="2"/>
      <x:c r="E40" s="2"/>
      <x:c r="F40" s="2"/>
      <x:c r="G40" s="2"/>
      <x:c r="H40" s="2"/>
      <x:c r="I40" s="2"/>
      <x:c r="J40" s="2"/>
      <x:c r="K40" s="2"/>
      <x:c r="L40" s="2"/>
      <x:c r="M40" s="2"/>
      <x:c r="N40" s="2"/>
      <x:c r="O40" s="2"/>
      <x:c r="P40" s="2"/>
      <x:c r="Q40" s="2"/>
      <x:c r="R40" s="2"/>
      <x:c r="S40" s="67" t="str">
        <x:f>TEXT(Forecast!C40,"mmm-yy")</x:f>
        <x:v>Jan-28</x:v>
      </x:c>
      <x:c r="T40" s="67" t="n">
        <x:f>Forecast!S40</x:f>
        <x:v>499780.0064622085</x:v>
      </x:c>
      <x:c r="U40" s="67" t="n">
        <x:f>Forecast!J40</x:f>
        <x:v>520893.10758292966</x:v>
      </x:c>
      <x:c r="V40" s="2"/>
      <x:c r="W40" s="2"/>
      <x:c r="X40" s="2"/>
      <x:c r="Y40" s="2"/>
      <x:c r="Z40" s="2"/>
    </x:row>
    <x:row r="41">
      <x:c r="A41" s="2"/>
      <x:c r="B41" s="2"/>
      <x:c r="C41" s="2"/>
      <x:c r="D41" s="2"/>
      <x:c r="E41" s="2"/>
      <x:c r="F41" s="2"/>
      <x:c r="G41" s="2"/>
      <x:c r="H41" s="2"/>
      <x:c r="I41" s="2"/>
      <x:c r="J41" s="2"/>
      <x:c r="K41" s="2"/>
      <x:c r="L41" s="2"/>
      <x:c r="M41" s="2"/>
      <x:c r="N41" s="2"/>
      <x:c r="O41" s="2"/>
      <x:c r="P41" s="2"/>
      <x:c r="Q41" s="2"/>
      <x:c r="R41" s="2"/>
      <x:c r="S41" s="67" t="str">
        <x:f>TEXT(Forecast!C41,"mmm-yy")</x:f>
        <x:v>Feb-28</x:v>
      </x:c>
      <x:c r="T41" s="67" t="n">
        <x:f>Forecast!S41</x:f>
        <x:v>400414.0062141853</x:v>
      </x:c>
      <x:c r="U41" s="67" t="n">
        <x:f>Forecast!J41</x:f>
        <x:v>420624.6915909789</x:v>
      </x:c>
      <x:c r="V41" s="2"/>
      <x:c r="W41" s="2"/>
      <x:c r="X41" s="2"/>
      <x:c r="Y41" s="2"/>
      <x:c r="Z41" s="2"/>
    </x:row>
    <x:row r="42">
      <x:c r="A42" s="2"/>
      <x:c r="B42" s="2"/>
      <x:c r="C42" s="2"/>
      <x:c r="D42" s="2"/>
      <x:c r="E42" s="2"/>
      <x:c r="F42" s="2"/>
      <x:c r="G42" s="2"/>
      <x:c r="H42" s="2"/>
      <x:c r="I42" s="2"/>
      <x:c r="J42" s="2"/>
      <x:c r="K42" s="2"/>
      <x:c r="L42" s="2"/>
      <x:c r="M42" s="2"/>
      <x:c r="N42" s="2"/>
      <x:c r="O42" s="2"/>
      <x:c r="P42" s="2"/>
      <x:c r="Q42" s="2"/>
      <x:c r="R42" s="2"/>
      <x:c r="S42" s="67" t="str">
        <x:f>TEXT(Forecast!C42,"mmm-yy")</x:f>
        <x:v>Mar-28</x:v>
      </x:c>
      <x:c r="T42" s="67" t="n">
        <x:f>Forecast!S42</x:f>
        <x:v>450106.4240639461</x:v>
      </x:c>
      <x:c r="U42" s="67" t="n">
        <x:f>Forecast!J42</x:f>
        <x:v>470768.40284199885</x:v>
      </x:c>
      <x:c r="V42" s="2"/>
      <x:c r="W42" s="2"/>
      <x:c r="X42" s="2"/>
      <x:c r="Y42" s="2"/>
      <x:c r="Z42" s="2"/>
    </x:row>
    <x:row r="43">
      <x:c r="A43" s="2"/>
      <x:c r="B43" s="2"/>
      <x:c r="C43" s="2"/>
      <x:c r="D43" s="2"/>
      <x:c r="E43" s="2"/>
      <x:c r="F43" s="2"/>
      <x:c r="G43" s="2"/>
      <x:c r="H43" s="2"/>
      <x:c r="I43" s="2"/>
      <x:c r="J43" s="2"/>
      <x:c r="K43" s="2"/>
      <x:c r="L43" s="2"/>
      <x:c r="M43" s="2"/>
      <x:c r="N43" s="2"/>
      <x:c r="O43" s="2"/>
      <x:c r="P43" s="2"/>
      <x:c r="Q43" s="2"/>
      <x:c r="R43" s="2"/>
      <x:c r="S43" s="67"/>
      <x:c r="T43" s="67"/>
      <x:c r="U43" s="67"/>
      <x:c r="V43" s="2"/>
      <x:c r="W43" s="2"/>
      <x:c r="X43" s="2"/>
      <x:c r="Y43" s="2"/>
      <x:c r="Z43" s="2"/>
    </x:row>
    <x:row r="44">
      <x:c r="A44" s="2"/>
      <x:c r="B44" s="2"/>
      <x:c r="C44" s="2"/>
      <x:c r="D44" s="2"/>
      <x:c r="E44" s="2"/>
      <x:c r="F44" s="2"/>
      <x:c r="G44" s="2"/>
      <x:c r="H44" s="2"/>
      <x:c r="I44" s="2"/>
      <x:c r="J44" s="2"/>
      <x:c r="K44" s="2"/>
      <x:c r="L44" s="2"/>
      <x:c r="M44" s="2"/>
      <x:c r="N44" s="2"/>
      <x:c r="O44" s="2"/>
      <x:c r="P44" s="2"/>
      <x:c r="Q44" s="2"/>
      <x:c r="R44" s="2"/>
      <x:c r="S44" s="67"/>
      <x:c r="T44" s="67"/>
      <x:c r="U44" s="67"/>
      <x:c r="V44" s="2"/>
      <x:c r="W44" s="2"/>
      <x:c r="X44" s="2"/>
      <x:c r="Y44" s="2"/>
      <x:c r="Z44" s="2"/>
    </x:row>
    <x:row r="45">
      <x:c r="A45" s="2"/>
      <x:c r="B45" s="2"/>
      <x:c r="C45" s="2"/>
      <x:c r="D45" s="2"/>
      <x:c r="E45" s="2"/>
      <x:c r="F45" s="2"/>
      <x:c r="G45" s="2"/>
      <x:c r="H45" s="2"/>
      <x:c r="I45" s="2"/>
      <x:c r="J45" s="2"/>
      <x:c r="K45" s="2"/>
      <x:c r="L45" s="2"/>
      <x:c r="M45" s="2"/>
      <x:c r="N45" s="2"/>
      <x:c r="O45" s="2"/>
      <x:c r="P45" s="2"/>
      <x:c r="Q45" s="2"/>
      <x:c r="R45" s="2"/>
      <x:c r="S45" s="67" t="str">
        <x:v>Fiscal year</x:v>
      </x:c>
      <x:c r="T45" s="67" t="str">
        <x:v>Retail growth</x:v>
      </x:c>
      <x:c r="U45" s="67" t="str">
        <x:v>Wholesale growth</x:v>
      </x:c>
      <x:c r="V45" s="2"/>
      <x:c r="W45" s="2"/>
      <x:c r="X45" s="2"/>
      <x:c r="Y45" s="2"/>
      <x:c r="Z45" s="2"/>
    </x:row>
    <x:row r="46">
      <x:c r="A46" s="2"/>
      <x:c r="B46" s="2"/>
      <x:c r="C46" s="2"/>
      <x:c r="D46" s="2"/>
      <x:c r="E46" s="2"/>
      <x:c r="F46" s="2"/>
      <x:c r="G46" s="2"/>
      <x:c r="H46" s="2"/>
      <x:c r="I46" s="2"/>
      <x:c r="J46" s="2"/>
      <x:c r="K46" s="2"/>
      <x:c r="L46" s="2"/>
      <x:c r="M46" s="2"/>
      <x:c r="N46" s="2"/>
      <x:c r="O46" s="2"/>
      <x:c r="P46" s="2"/>
      <x:c r="Q46" s="2"/>
      <x:c r="R46" s="2"/>
      <x:c r="S46" s="67" t="str">
        <x:f>E7</x:f>
        <x:v>FY26A</x:v>
      </x:c>
      <x:c r="T46" s="68" t="n">
        <x:f>E9</x:f>
        <x:v>0.12995640893800497</x:v>
      </x:c>
      <x:c r="U46" s="68" t="n">
        <x:f>E11</x:f>
        <x:v>0.07940564148245133</x:v>
      </x:c>
      <x:c r="V46" s="2"/>
      <x:c r="W46" s="2"/>
      <x:c r="X46" s="2"/>
      <x:c r="Y46" s="2"/>
      <x:c r="Z46" s="2"/>
    </x:row>
    <x:row r="47">
      <x:c r="A47" s="2"/>
      <x:c r="B47" s="2"/>
      <x:c r="C47" s="2"/>
      <x:c r="D47" s="2"/>
      <x:c r="E47" s="2"/>
      <x:c r="F47" s="2"/>
      <x:c r="G47" s="2"/>
      <x:c r="H47" s="2"/>
      <x:c r="I47" s="2"/>
      <x:c r="J47" s="2"/>
      <x:c r="K47" s="2"/>
      <x:c r="L47" s="2"/>
      <x:c r="M47" s="2"/>
      <x:c r="N47" s="2"/>
      <x:c r="O47" s="2"/>
      <x:c r="P47" s="2"/>
      <x:c r="Q47" s="2"/>
      <x:c r="R47" s="2"/>
      <x:c r="S47" s="67" t="str">
        <x:f>F7</x:f>
        <x:v>FY27E</x:v>
      </x:c>
      <x:c r="T47" s="68" t="n">
        <x:f>F9</x:f>
        <x:v>0.11446606443651741</x:v>
      </x:c>
      <x:c r="U47" s="68" t="n">
        <x:f>F11</x:f>
        <x:v>0.11432039590254095</x:v>
      </x:c>
      <x:c r="V47" s="2"/>
      <x:c r="W47" s="2"/>
      <x:c r="X47" s="2"/>
      <x:c r="Y47" s="2"/>
      <x:c r="Z47" s="2"/>
    </x:row>
    <x:row r="48">
      <x:c r="A48" s="2"/>
      <x:c r="B48" s="2"/>
      <x:c r="C48" s="2"/>
      <x:c r="D48" s="2"/>
      <x:c r="E48" s="2"/>
      <x:c r="F48" s="2"/>
      <x:c r="G48" s="2"/>
      <x:c r="H48" s="2"/>
      <x:c r="I48" s="2"/>
      <x:c r="J48" s="2"/>
      <x:c r="K48" s="2"/>
      <x:c r="L48" s="2"/>
      <x:c r="M48" s="2"/>
      <x:c r="N48" s="2"/>
      <x:c r="O48" s="2"/>
      <x:c r="P48" s="2"/>
      <x:c r="Q48" s="2"/>
      <x:c r="R48" s="2"/>
      <x:c r="S48" s="67" t="str">
        <x:f>G7</x:f>
        <x:v>FY28E</x:v>
      </x:c>
      <x:c r="T48" s="68" t="n">
        <x:f>G9</x:f>
        <x:v>0.022781356898066152</x:v>
      </x:c>
      <x:c r="U48" s="68" t="n">
        <x:f>G11</x:f>
        <x:v>0.038317143053008706</x:v>
      </x:c>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sheetData>
  <x:pageMargins left="0.7" right="0.7" top="0.75" bottom="0.75" header="0.3" footer="0.3"/>
  <x:drawing xmlns:r="http://schemas.openxmlformats.org/officeDocument/2006/relationships" r:id="R3b86f9b1641542e4"/>
</x:worksheet>
</file>

<file path=xl/worksheets/sheet2.xml><?xml version="1.0" encoding="utf-8"?>
<x:worksheet xmlns:x="http://schemas.openxmlformats.org/spreadsheetml/2006/main">
  <x:sheetPr>
    <x:tabColor rgb="FF4472C4"/>
  </x:sheetPr>
  <x:sheetViews>
    <x:sheetView showGridLines="0" workbookViewId="0">
      <x:pane ySplit="4" topLeftCell="A5" activePane="bottomLeft" state="frozen"/>
    </x:sheetView>
  </x:sheetViews>
  <x:sheetFormatPr defaultRowHeight="15"/>
  <x:cols>
    <x:col min="1" max="1" width="2" hidden="0" customWidth="1"/>
    <x:col min="2" max="2" width="2" hidden="0" customWidth="1"/>
    <x:col min="3" max="3" width="42" hidden="0" customWidth="1"/>
    <x:col min="4" max="4" width="86"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2"/>
      <x:c r="C2" s="3" t="str">
        <x:v>India passenger vehicle volume forecast: assumptions</x:v>
      </x:c>
      <x:c r="D2" s="2"/>
      <x:c r="E2" s="2"/>
      <x:c r="F2" s="2"/>
      <x:c r="G2" s="2"/>
      <x:c r="H2" s="2"/>
      <x:c r="I2" s="2"/>
      <x:c r="J2" s="2"/>
      <x:c r="K2" s="2"/>
      <x:c r="L2" s="2"/>
      <x:c r="M2" s="2"/>
      <x:c r="N2" s="2"/>
      <x:c r="O2" s="2"/>
      <x:c r="P2" s="2"/>
      <x:c r="Q2" s="2"/>
      <x:c r="R2" s="2"/>
      <x:c r="S2" s="2"/>
      <x:c r="T2" s="2"/>
      <x:c r="U2" s="2"/>
      <x:c r="V2" s="2"/>
      <x:c r="W2" s="2"/>
      <x:c r="X2" s="2"/>
      <x:c r="Y2" s="2"/>
      <x:c r="Z2" s="2"/>
    </x:row>
    <x:row r="3">
      <x:c r="A3" s="2"/>
      <x:c r="B3" s="2"/>
      <x:c r="C3" s="4"/>
      <x:c r="D3" s="4"/>
      <x:c r="E3" s="4"/>
      <x:c r="F3" s="4"/>
      <x:c r="G3" s="4"/>
      <x:c r="H3" s="4"/>
      <x:c r="I3" s="4"/>
      <x:c r="J3" s="4"/>
      <x:c r="K3" s="2"/>
      <x:c r="L3" s="2"/>
      <x:c r="M3" s="2"/>
      <x:c r="N3" s="2"/>
      <x:c r="O3" s="2"/>
      <x:c r="P3" s="2"/>
      <x:c r="Q3" s="2"/>
      <x:c r="R3" s="2"/>
      <x:c r="S3" s="2"/>
      <x:c r="T3" s="2"/>
      <x:c r="U3" s="2"/>
      <x:c r="V3" s="2"/>
      <x:c r="W3" s="2"/>
      <x:c r="X3" s="2"/>
      <x:c r="Y3" s="2"/>
      <x:c r="Z3" s="2"/>
    </x:row>
    <x:row r="4">
      <x:c r="A4" s="2"/>
      <x:c r="B4" s="2"/>
      <x:c r="C4" s="5" t="str">
        <x:v>As of 31 August 2026. Yellow cells are editable inputs.</x:v>
      </x:c>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2"/>
      <x:c r="C6" s="8" t="str">
        <x:v>Historical controls (units)</x:v>
      </x:c>
      <x:c r="D6" s="8"/>
      <x:c r="E6" s="8"/>
      <x:c r="F6" s="8"/>
      <x:c r="G6" s="2"/>
      <x:c r="H6" s="2"/>
      <x:c r="I6" s="2"/>
      <x:c r="J6" s="2"/>
      <x:c r="K6" s="2"/>
      <x:c r="L6" s="2"/>
      <x:c r="M6" s="2"/>
      <x:c r="N6" s="2"/>
      <x:c r="O6" s="2"/>
      <x:c r="P6" s="2"/>
      <x:c r="Q6" s="2"/>
      <x:c r="R6" s="2"/>
      <x:c r="S6" s="2"/>
      <x:c r="T6" s="2"/>
      <x:c r="U6" s="2"/>
      <x:c r="V6" s="2"/>
      <x:c r="W6" s="2"/>
      <x:c r="X6" s="2"/>
      <x:c r="Y6" s="2"/>
      <x:c r="Z6" s="2"/>
    </x:row>
    <x:row r="7">
      <x:c r="A7" s="2"/>
      <x:c r="B7" s="2"/>
      <x:c r="C7" s="2" t="str">
        <x:v>FY25 PV retail actual</x:v>
      </x:c>
      <x:c r="D7" s="81" t="n">
        <x:v>4163927</x:v>
      </x:c>
      <x:c r="E7" s="2"/>
      <x:c r="F7" s="2"/>
      <x:c r="G7" s="2"/>
      <x:c r="H7" s="2"/>
      <x:c r="I7" s="2"/>
      <x:c r="J7" s="2"/>
      <x:c r="K7" s="2"/>
      <x:c r="L7" s="2"/>
      <x:c r="M7" s="2"/>
      <x:c r="N7" s="2"/>
      <x:c r="O7" s="2"/>
      <x:c r="P7" s="2"/>
      <x:c r="Q7" s="2"/>
      <x:c r="R7" s="2"/>
      <x:c r="S7" s="2"/>
      <x:c r="T7" s="2"/>
      <x:c r="U7" s="2"/>
      <x:c r="V7" s="2"/>
      <x:c r="W7" s="2"/>
      <x:c r="X7" s="2"/>
      <x:c r="Y7" s="2"/>
      <x:c r="Z7" s="2"/>
    </x:row>
    <x:row r="8">
      <x:c r="A8" s="2"/>
      <x:c r="B8" s="2"/>
      <x:c r="C8" s="2" t="str">
        <x:v>FY26 PV retail actual</x:v>
      </x:c>
      <x:c r="D8" s="81" t="n">
        <x:v>4705056</x:v>
      </x:c>
      <x:c r="E8" s="2"/>
      <x:c r="F8" s="2"/>
      <x:c r="G8" s="2"/>
      <x:c r="H8" s="2"/>
      <x:c r="I8" s="2"/>
      <x:c r="J8" s="2"/>
      <x:c r="K8" s="2"/>
      <x:c r="L8" s="2"/>
      <x:c r="M8" s="2"/>
      <x:c r="N8" s="2"/>
      <x:c r="O8" s="2"/>
      <x:c r="P8" s="2"/>
      <x:c r="Q8" s="2"/>
      <x:c r="R8" s="2"/>
      <x:c r="S8" s="2"/>
      <x:c r="T8" s="2"/>
      <x:c r="U8" s="2"/>
      <x:c r="V8" s="2"/>
      <x:c r="W8" s="2"/>
      <x:c r="X8" s="2"/>
      <x:c r="Y8" s="2"/>
      <x:c r="Z8" s="2"/>
    </x:row>
    <x:row r="9">
      <x:c r="A9" s="2"/>
      <x:c r="B9" s="2"/>
      <x:c r="C9" s="2" t="str">
        <x:v>FY27 PV retail actual: Apr-Aug</x:v>
      </x:c>
      <x:c r="D9" s="81" t="n">
        <x:v>2102265</x:v>
      </x:c>
      <x:c r="E9" s="2"/>
      <x:c r="F9" s="2"/>
      <x:c r="G9" s="2"/>
      <x:c r="H9" s="2"/>
      <x:c r="I9" s="2"/>
      <x:c r="J9" s="2"/>
      <x:c r="K9" s="2"/>
      <x:c r="L9" s="2"/>
      <x:c r="M9" s="2"/>
      <x:c r="N9" s="2"/>
      <x:c r="O9" s="2"/>
      <x:c r="P9" s="2"/>
      <x:c r="Q9" s="2"/>
      <x:c r="R9" s="2"/>
      <x:c r="S9" s="2"/>
      <x:c r="T9" s="2"/>
      <x:c r="U9" s="2"/>
      <x:c r="V9" s="2"/>
      <x:c r="W9" s="2"/>
      <x:c r="X9" s="2"/>
      <x:c r="Y9" s="2"/>
      <x:c r="Z9" s="2"/>
    </x:row>
    <x:row r="10">
      <x:c r="A10" s="2"/>
      <x:c r="B10" s="2"/>
      <x:c r="C10" s="2" t="str">
        <x:v>FY25 PV wholesale actual</x:v>
      </x:c>
      <x:c r="D10" s="81" t="n">
        <x:v>4301848</x:v>
      </x:c>
      <x:c r="E10" s="2"/>
      <x:c r="F10" s="2"/>
      <x:c r="G10" s="2"/>
      <x:c r="H10" s="2"/>
      <x:c r="I10" s="2"/>
      <x:c r="J10" s="2"/>
      <x:c r="K10" s="2"/>
      <x:c r="L10" s="2"/>
      <x:c r="M10" s="2"/>
      <x:c r="N10" s="2"/>
      <x:c r="O10" s="2"/>
      <x:c r="P10" s="2"/>
      <x:c r="Q10" s="2"/>
      <x:c r="R10" s="2"/>
      <x:c r="S10" s="2"/>
      <x:c r="T10" s="2"/>
      <x:c r="U10" s="2"/>
      <x:c r="V10" s="2"/>
      <x:c r="W10" s="2"/>
      <x:c r="X10" s="2"/>
      <x:c r="Y10" s="2"/>
      <x:c r="Z10" s="2"/>
    </x:row>
    <x:row r="11">
      <x:c r="A11" s="2"/>
      <x:c r="B11" s="2"/>
      <x:c r="C11" s="2" t="str">
        <x:v>FY26 PV wholesale actual</x:v>
      </x:c>
      <x:c r="D11" s="81" t="n">
        <x:v>4643439</x:v>
      </x:c>
      <x:c r="E11" s="2"/>
      <x:c r="F11" s="2"/>
      <x:c r="G11" s="2"/>
      <x:c r="H11" s="2"/>
      <x:c r="I11" s="2"/>
      <x:c r="J11" s="2"/>
      <x:c r="K11" s="2"/>
      <x:c r="L11" s="2"/>
      <x:c r="M11" s="2"/>
      <x:c r="N11" s="2"/>
      <x:c r="O11" s="2"/>
      <x:c r="P11" s="2"/>
      <x:c r="Q11" s="2"/>
      <x:c r="R11" s="2"/>
      <x:c r="S11" s="2"/>
      <x:c r="T11" s="2"/>
      <x:c r="U11" s="2"/>
      <x:c r="V11" s="2"/>
      <x:c r="W11" s="2"/>
      <x:c r="X11" s="2"/>
      <x:c r="Y11" s="2"/>
      <x:c r="Z11" s="2"/>
    </x:row>
    <x:row r="12">
      <x:c r="A12" s="2"/>
      <x:c r="B12" s="2"/>
      <x:c r="C12" s="2"/>
      <x:c r="D12" s="74"/>
      <x:c r="E12" s="2"/>
      <x:c r="F12" s="2"/>
      <x:c r="G12" s="2"/>
      <x:c r="H12" s="2"/>
      <x:c r="I12" s="2"/>
      <x:c r="J12" s="2"/>
      <x:c r="K12" s="2"/>
      <x:c r="L12" s="2"/>
      <x:c r="M12" s="2"/>
      <x:c r="N12" s="2"/>
      <x:c r="O12" s="2"/>
      <x:c r="P12" s="2"/>
      <x:c r="Q12" s="2"/>
      <x:c r="R12" s="2"/>
      <x:c r="S12" s="2"/>
      <x:c r="T12" s="2"/>
      <x:c r="U12" s="2"/>
      <x:c r="V12" s="2"/>
      <x:c r="W12" s="2"/>
      <x:c r="X12" s="2"/>
      <x:c r="Y12" s="2"/>
      <x:c r="Z12" s="2"/>
    </x:row>
    <x:row r="13">
      <x:c r="A13" s="2"/>
      <x:c r="B13" s="2"/>
      <x:c r="C13" s="8" t="str">
        <x:v>Demand and affordability drivers</x:v>
      </x:c>
      <x:c r="D13" s="75"/>
      <x:c r="E13" s="8"/>
      <x:c r="F13" s="8"/>
      <x:c r="G13" s="2"/>
      <x:c r="H13" s="2"/>
      <x:c r="I13" s="2"/>
      <x:c r="J13" s="2"/>
      <x:c r="K13" s="2"/>
      <x:c r="L13" s="2"/>
      <x:c r="M13" s="2"/>
      <x:c r="N13" s="2"/>
      <x:c r="O13" s="2"/>
      <x:c r="P13" s="2"/>
      <x:c r="Q13" s="2"/>
      <x:c r="R13" s="2"/>
      <x:c r="S13" s="2"/>
      <x:c r="T13" s="2"/>
      <x:c r="U13" s="2"/>
      <x:c r="V13" s="2"/>
      <x:c r="W13" s="2"/>
      <x:c r="X13" s="2"/>
      <x:c r="Y13" s="2"/>
      <x:c r="Z13" s="2"/>
    </x:row>
    <x:row r="14">
      <x:c r="A14" s="2"/>
      <x:c r="B14" s="2"/>
      <x:c r="C14" s="2" t="str">
        <x:v>FY26 no-GST counterfactual growth</x:v>
      </x:c>
      <x:c r="D14" s="82" t="n">
        <x:v>0.05</x:v>
      </x:c>
      <x:c r="E14" s="2"/>
      <x:c r="F14" s="2"/>
      <x:c r="G14" s="2"/>
      <x:c r="H14" s="2"/>
      <x:c r="I14" s="2"/>
      <x:c r="J14" s="2"/>
      <x:c r="K14" s="2"/>
      <x:c r="L14" s="2"/>
      <x:c r="M14" s="2"/>
      <x:c r="N14" s="2"/>
      <x:c r="O14" s="2"/>
      <x:c r="P14" s="2"/>
      <x:c r="Q14" s="2"/>
      <x:c r="R14" s="2"/>
      <x:c r="S14" s="2"/>
      <x:c r="T14" s="2"/>
      <x:c r="U14" s="2"/>
      <x:c r="V14" s="2"/>
      <x:c r="W14" s="2"/>
      <x:c r="X14" s="2"/>
      <x:c r="Y14" s="2"/>
      <x:c r="Z14" s="2"/>
    </x:row>
    <x:row r="15">
      <x:c r="A15" s="2"/>
      <x:c r="B15" s="2"/>
      <x:c r="C15" s="2" t="str">
        <x:v>FY27 underlying demand growth</x:v>
      </x:c>
      <x:c r="D15" s="82" t="n">
        <x:v>0.07</x:v>
      </x:c>
      <x:c r="E15" s="2"/>
      <x:c r="F15" s="2"/>
      <x:c r="G15" s="2"/>
      <x:c r="H15" s="2"/>
      <x:c r="I15" s="2"/>
      <x:c r="J15" s="2"/>
      <x:c r="K15" s="2"/>
      <x:c r="L15" s="2"/>
      <x:c r="M15" s="2"/>
      <x:c r="N15" s="2"/>
      <x:c r="O15" s="2"/>
      <x:c r="P15" s="2"/>
      <x:c r="Q15" s="2"/>
      <x:c r="R15" s="2"/>
      <x:c r="S15" s="2"/>
      <x:c r="T15" s="2"/>
      <x:c r="U15" s="2"/>
      <x:c r="V15" s="2"/>
      <x:c r="W15" s="2"/>
      <x:c r="X15" s="2"/>
      <x:c r="Y15" s="2"/>
      <x:c r="Z15" s="2"/>
    </x:row>
    <x:row r="16">
      <x:c r="A16" s="2"/>
      <x:c r="B16" s="2"/>
      <x:c r="C16" s="2" t="str">
        <x:v>FY28 underlying demand growth</x:v>
      </x:c>
      <x:c r="D16" s="82" t="n">
        <x:v>0.07</x:v>
      </x:c>
      <x:c r="E16" s="2"/>
      <x:c r="F16" s="2"/>
      <x:c r="G16" s="2"/>
      <x:c r="H16" s="2"/>
      <x:c r="I16" s="2"/>
      <x:c r="J16" s="2"/>
      <x:c r="K16" s="2"/>
      <x:c r="L16" s="2"/>
      <x:c r="M16" s="2"/>
      <x:c r="N16" s="2"/>
      <x:c r="O16" s="2"/>
      <x:c r="P16" s="2"/>
      <x:c r="Q16" s="2"/>
      <x:c r="R16" s="2"/>
      <x:c r="S16" s="2"/>
      <x:c r="T16" s="2"/>
      <x:c r="U16" s="2"/>
      <x:c r="V16" s="2"/>
      <x:c r="W16" s="2"/>
      <x:c r="X16" s="2"/>
      <x:c r="Y16" s="2"/>
      <x:c r="Z16" s="2"/>
    </x:row>
    <x:row r="17">
      <x:c r="A17" s="2"/>
      <x:c r="B17" s="2"/>
      <x:c r="C17" s="2" t="str">
        <x:v>Initial weighted consumer price benefit</x:v>
      </x:c>
      <x:c r="D17" s="82" t="n">
        <x:v>0.075</x:v>
      </x:c>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t="str">
        <x:v>Residual consumer price benefit: FY27</x:v>
      </x:c>
      <x:c r="D18" s="82" t="n">
        <x:v>0.035</x:v>
      </x:c>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t="str">
        <x:v>Residual consumer price benefit: FY28</x:v>
      </x:c>
      <x:c r="D19" s="82" t="n">
        <x:v>0.02</x:v>
      </x:c>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t="str">
        <x:v>GST-exposed share of PV market</x:v>
      </x:c>
      <x:c r="D20" s="82" t="n">
        <x:v>0.75</x:v>
      </x:c>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t="str">
        <x:v>Volume elasticity to consumer price</x:v>
      </x:c>
      <x:c r="D21" s="83" t="n">
        <x:v>0.8</x:v>
      </x:c>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t="str">
        <x:v>Residual excess classified as borrowed</x:v>
      </x:c>
      <x:c r="D22" s="82" t="n">
        <x:v>0.6</x:v>
      </x:c>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t="str">
        <x:v>Opening debt repaid in Oct-Mar FY27</x:v>
      </x:c>
      <x:c r="D23" s="82" t="n">
        <x:v>0.25</x:v>
      </x:c>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t="str">
        <x:v>Remaining debt repaid during FY28</x:v>
      </x:c>
      <x:c r="D24" s="82" t="n">
        <x:v>0.75</x:v>
      </x:c>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74"/>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8" t="str">
        <x:v>Calendar and channel assumptions</x:v>
      </x:c>
      <x:c r="D26" s="75"/>
      <x:c r="E26" s="8"/>
      <x:c r="F26" s="8"/>
      <x:c r="G26" s="2"/>
      <x:c r="H26" s="2"/>
      <x:c r="I26" s="2"/>
      <x:c r="J26" s="2"/>
      <x:c r="K26" s="2"/>
      <x:c r="L26" s="2"/>
      <x:c r="M26" s="2"/>
      <x:c r="N26" s="2"/>
      <x:c r="O26" s="2"/>
      <x:c r="P26" s="2"/>
      <x:c r="Q26" s="2"/>
      <x:c r="R26" s="2"/>
      <x:c r="S26" s="2"/>
      <x:c r="T26" s="2"/>
      <x:c r="U26" s="2"/>
      <x:c r="V26" s="2"/>
      <x:c r="W26" s="2"/>
      <x:c r="X26" s="2"/>
      <x:c r="Y26" s="2"/>
      <x:c r="Z26" s="2"/>
    </x:row>
    <x:row r="27">
      <x:c r="A27" s="2"/>
      <x:c r="B27" s="2"/>
      <x:c r="C27" s="2" t="str">
        <x:v>September 2026 PV retail estimate</x:v>
      </x:c>
      <x:c r="D27" s="84" t="n">
        <x:v>450000</x:v>
      </x:c>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t="str">
        <x:v>October 2025 volume shifted to November 2026</x:v>
      </x:c>
      <x:c r="D28" s="82" t="n">
        <x:v>0.15</x:v>
      </x:c>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t="str">
        <x:v>PV inventory days: August 2026</x:v>
      </x:c>
      <x:c r="D29" s="85" t="n">
        <x:v>39</x:v>
      </x:c>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t="str">
        <x:v>PV inventory days: September 2026</x:v>
      </x:c>
      <x:c r="D30" s="85" t="n">
        <x:v>40</x:v>
      </x:c>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t="str">
        <x:v>PV inventory days: March 2027</x:v>
      </x:c>
      <x:c r="D31" s="85" t="n">
        <x:v>28</x:v>
      </x:c>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t="str">
        <x:v>PV inventory days: FY28</x:v>
      </x:c>
      <x:c r="D32" s="85" t="n">
        <x:v>28</x:v>
      </x:c>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t="str">
        <x:v>Days used to translate inventory</x:v>
      </x:c>
      <x:c r="D33" s="85" t="n">
        <x:v>30</x:v>
      </x:c>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74"/>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74"/>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8" t="str">
        <x:v>Monthly-series reconciliation</x:v>
      </x:c>
      <x:c r="D36" s="75"/>
      <x:c r="E36" s="8"/>
      <x:c r="F36" s="8"/>
      <x:c r="G36" s="2"/>
      <x:c r="H36" s="2"/>
      <x:c r="I36" s="2"/>
      <x:c r="J36" s="2"/>
      <x:c r="K36" s="2"/>
      <x:c r="L36" s="2"/>
      <x:c r="M36" s="2"/>
      <x:c r="N36" s="2"/>
      <x:c r="O36" s="2"/>
      <x:c r="P36" s="2"/>
      <x:c r="Q36" s="2"/>
      <x:c r="R36" s="2"/>
      <x:c r="S36" s="2"/>
      <x:c r="T36" s="2"/>
      <x:c r="U36" s="2"/>
      <x:c r="V36" s="2"/>
      <x:c r="W36" s="2"/>
      <x:c r="X36" s="2"/>
      <x:c r="Y36" s="2"/>
      <x:c r="Z36" s="2"/>
    </x:row>
    <x:row r="37">
      <x:c r="A37" s="2"/>
      <x:c r="B37" s="2"/>
      <x:c r="C37" s="28" t="str">
        <x:v>Control</x:v>
      </x:c>
      <x:c r="D37" s="70" t="str">
        <x:v>Factor</x:v>
      </x:c>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t="str">
        <x:v>FY26 Apr-Aug to latest FADA YTD</x:v>
      </x:c>
      <x:c r="D38" s="86" t="n">
        <x:f>$D$9/SUM(Forecast!$F$19:$F$23)</x:f>
        <x:v>1.0306473532076448</x:v>
      </x:c>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t="str">
        <x:v>FY26 Sep-Mar to latest FADA annual</x:v>
      </x:c>
      <x:c r="D39" s="86" t="n">
        <x:f>1720309/SUM(Forecast!$F$7:$F$11)</x:f>
        <x:v>1.002977491863932</x:v>
      </x:c>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t="str">
        <x:v>FY27 Apr-Aug to latest FADA YTD</x:v>
      </x:c>
      <x:c r="D40" s="86" t="n">
        <x:f>($D$8-1720309)/SUM(Forecast!$F$12:$F$18)</x:f>
        <x:v>0.9889467139501681</x:v>
      </x:c>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8" t="str">
        <x:v>Model notes and sources</x:v>
      </x:c>
      <x:c r="D43" s="8"/>
      <x:c r="E43" s="8"/>
      <x:c r="F43" s="8"/>
      <x:c r="G43" s="8"/>
      <x:c r="H43" s="8"/>
      <x:c r="I43" s="8"/>
      <x:c r="J43" s="8"/>
      <x:c r="K43" s="2"/>
      <x:c r="L43" s="2"/>
      <x:c r="M43" s="2"/>
      <x:c r="N43" s="2"/>
      <x:c r="O43" s="2"/>
      <x:c r="P43" s="2"/>
      <x:c r="Q43" s="2"/>
      <x:c r="R43" s="2"/>
      <x:c r="S43" s="2"/>
      <x:c r="T43" s="2"/>
      <x:c r="U43" s="2"/>
      <x:c r="V43" s="2"/>
      <x:c r="W43" s="2"/>
      <x:c r="X43" s="2"/>
      <x:c r="Y43" s="2"/>
      <x:c r="Z43" s="2"/>
    </x:row>
    <x:row r="44" ht="48" customHeight="1">
      <x:c r="A44" s="2"/>
      <x:c r="B44" s="2"/>
      <x:c r="C44" s="2" t="str">
        <x:v>Method</x:v>
      </x:c>
      <x:c r="D44" s="33" t="str">
        <x:v>Monthly retail is the demand measure. Forecast wholesale equals retail plus the change in dealer inventory. The retail series is reconciled to FADA's latest annual and YTD controls because historical registrations are revised as RTO coverage and backfills change.</x:v>
      </x:c>
      <x:c r="E44" s="2"/>
      <x:c r="F44" s="2"/>
      <x:c r="G44" s="2"/>
      <x:c r="H44" s="2"/>
      <x:c r="I44" s="2"/>
      <x:c r="J44" s="2"/>
      <x:c r="K44" s="2"/>
      <x:c r="L44" s="2"/>
      <x:c r="M44" s="2"/>
      <x:c r="N44" s="2"/>
      <x:c r="O44" s="2"/>
      <x:c r="P44" s="2"/>
      <x:c r="Q44" s="2"/>
      <x:c r="R44" s="2"/>
      <x:c r="S44" s="2"/>
      <x:c r="T44" s="2"/>
      <x:c r="U44" s="2"/>
      <x:c r="V44" s="2"/>
      <x:c r="W44" s="2"/>
      <x:c r="X44" s="2"/>
      <x:c r="Y44" s="2"/>
      <x:c r="Z44" s="2"/>
    </x:row>
    <x:row r="45" ht="48" customHeight="1">
      <x:c r="A45" s="2"/>
      <x:c r="B45" s="2"/>
      <x:c r="C45" s="2" t="str">
        <x:v>Demand debt</x:v>
      </x:c>
      <x:c r="D45" s="33" t="str">
        <x:v>The residual above the no-GST counterfactual and estimated permanent price-elasticity uplift is not directly observable. The editable borrowed-demand share determines how much is repaid in later periods.</x:v>
      </x:c>
      <x:c r="E45" s="2"/>
      <x:c r="F45" s="2"/>
      <x:c r="G45" s="2"/>
      <x:c r="H45" s="2"/>
      <x:c r="I45" s="2"/>
      <x:c r="J45" s="2"/>
      <x:c r="K45" s="2"/>
      <x:c r="L45" s="2"/>
      <x:c r="M45" s="2"/>
      <x:c r="N45" s="2"/>
      <x:c r="O45" s="2"/>
      <x:c r="P45" s="2"/>
      <x:c r="Q45" s="2"/>
      <x:c r="R45" s="2"/>
      <x:c r="S45" s="2"/>
      <x:c r="T45" s="2"/>
      <x:c r="U45" s="2"/>
      <x:c r="V45" s="2"/>
      <x:c r="W45" s="2"/>
      <x:c r="X45" s="2"/>
      <x:c r="Y45" s="2"/>
      <x:c r="Z45" s="2"/>
    </x:row>
    <x:row r="46" ht="48" customHeight="1">
      <x:c r="A46" s="2"/>
      <x:c r="B46" s="2"/>
      <x:c r="C46" s="2" t="str">
        <x:v>Supply</x:v>
      </x:c>
      <x:c r="D46" s="33" t="str">
        <x:v>The supply ceiling is an attainable domestic wholesale run-rate, not announced nameplate capacity. OEM assumptions are editable on the Supply tab.</x:v>
      </x:c>
      <x:c r="E46" s="2"/>
      <x:c r="F46" s="2"/>
      <x:c r="G46" s="2"/>
      <x:c r="H46" s="2"/>
      <x:c r="I46" s="2"/>
      <x:c r="J46" s="2"/>
      <x:c r="K46" s="2"/>
      <x:c r="L46" s="2"/>
      <x:c r="M46" s="2"/>
      <x:c r="N46" s="2"/>
      <x:c r="O46" s="2"/>
      <x:c r="P46" s="2"/>
      <x:c r="Q46" s="2"/>
      <x:c r="R46" s="2"/>
      <x:c r="S46" s="2"/>
      <x:c r="T46" s="2"/>
      <x:c r="U46" s="2"/>
      <x:c r="V46" s="2"/>
      <x:c r="W46" s="2"/>
      <x:c r="X46" s="2"/>
      <x:c r="Y46" s="2"/>
      <x:c r="Z46" s="2"/>
    </x:row>
    <x:row r="47" ht="48" customHeight="1">
      <x:c r="A47" s="2"/>
      <x:c r="B47" s="2"/>
      <x:c r="C47" s="2" t="str">
        <x:v>Use</x:v>
      </x:c>
      <x:c r="D47" s="33" t="str">
        <x:v>Replace the public FADA monthly series with Bernstein/Vahan registrations if available; the model logic and outputs will update automatically.</x:v>
      </x:c>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8" t="str">
        <x:v>Source</x:v>
      </x:c>
      <x:c r="D49" s="36" t="str">
        <x:v>Scope / URL</x:v>
      </x:c>
      <x:c r="E49" s="36"/>
      <x:c r="F49" s="36"/>
      <x:c r="G49" s="36"/>
      <x:c r="H49" s="36"/>
      <x:c r="I49" s="36"/>
      <x:c r="J49" s="29"/>
      <x:c r="K49" s="2"/>
      <x:c r="L49" s="2"/>
      <x:c r="M49" s="2"/>
      <x:c r="N49" s="2"/>
      <x:c r="O49" s="2"/>
      <x:c r="P49" s="2"/>
      <x:c r="Q49" s="2"/>
      <x:c r="R49" s="2"/>
      <x:c r="S49" s="2"/>
      <x:c r="T49" s="2"/>
      <x:c r="U49" s="2"/>
      <x:c r="V49" s="2"/>
      <x:c r="W49" s="2"/>
      <x:c r="X49" s="2"/>
      <x:c r="Y49" s="2"/>
      <x:c r="Z49" s="2"/>
    </x:row>
    <x:row r="50" ht="42" customHeight="1">
      <x:c r="A50" s="2"/>
      <x:c r="B50" s="2"/>
      <x:c r="C50" s="2" t="str">
        <x:v>FADA FY26 and March 2026 retail</x:v>
      </x:c>
      <x:c r="D50" s="38" t="str">
        <x:v>https://fada.in/images/press-release/169d329fc83770FADA%20releases%20FY%202026%20and%20March%202026%20Vehicle%20Retail%20Data.pdf</x:v>
      </x:c>
      <x:c r="E50" s="2"/>
      <x:c r="F50" s="2"/>
      <x:c r="G50" s="2"/>
      <x:c r="H50" s="2"/>
      <x:c r="I50" s="2"/>
      <x:c r="J50" s="2"/>
      <x:c r="K50" s="2"/>
      <x:c r="L50" s="2"/>
      <x:c r="M50" s="2"/>
      <x:c r="N50" s="2"/>
      <x:c r="O50" s="2"/>
      <x:c r="P50" s="2"/>
      <x:c r="Q50" s="2"/>
      <x:c r="R50" s="2"/>
      <x:c r="S50" s="2"/>
      <x:c r="T50" s="2"/>
      <x:c r="U50" s="2"/>
      <x:c r="V50" s="2"/>
      <x:c r="W50" s="2"/>
      <x:c r="X50" s="2"/>
      <x:c r="Y50" s="2"/>
      <x:c r="Z50" s="2"/>
    </x:row>
    <x:row r="51" ht="42" customHeight="1">
      <x:c r="A51" s="2"/>
      <x:c r="B51" s="2"/>
      <x:c r="C51" s="2" t="str">
        <x:v>FADA August 2026 retail and inventory</x:v>
      </x:c>
      <x:c r="D51" s="38" t="str">
        <x:v>https://fada.in/images/press-release/16a9e2ff1d6502FADA%20Releases%20August%202026%20Vehicle%20Retail%20Data.pdf</x:v>
      </x:c>
      <x:c r="E51" s="2"/>
      <x:c r="F51" s="2"/>
      <x:c r="G51" s="2"/>
      <x:c r="H51" s="2"/>
      <x:c r="I51" s="2"/>
      <x:c r="J51" s="2"/>
      <x:c r="K51" s="2"/>
      <x:c r="L51" s="2"/>
      <x:c r="M51" s="2"/>
      <x:c r="N51" s="2"/>
      <x:c r="O51" s="2"/>
      <x:c r="P51" s="2"/>
      <x:c r="Q51" s="2"/>
      <x:c r="R51" s="2"/>
      <x:c r="S51" s="2"/>
      <x:c r="T51" s="2"/>
      <x:c r="U51" s="2"/>
      <x:c r="V51" s="2"/>
      <x:c r="W51" s="2"/>
      <x:c r="X51" s="2"/>
      <x:c r="Y51" s="2"/>
      <x:c r="Z51" s="2"/>
    </x:row>
    <x:row r="52" ht="42" customHeight="1">
      <x:c r="A52" s="2"/>
      <x:c r="B52" s="2"/>
      <x:c r="C52" s="2" t="str">
        <x:v>FADA July 2026 retail</x:v>
      </x:c>
      <x:c r="D52" s="38" t="str">
        <x:v>https://fada.in/images/press-release/16a7445b80cd73FADA%20Releases%20July%202026%20Vehicle%20Retail%20Data.pdf</x:v>
      </x:c>
      <x:c r="E52" s="2"/>
      <x:c r="F52" s="2"/>
      <x:c r="G52" s="2"/>
      <x:c r="H52" s="2"/>
      <x:c r="I52" s="2"/>
      <x:c r="J52" s="2"/>
      <x:c r="K52" s="2"/>
      <x:c r="L52" s="2"/>
      <x:c r="M52" s="2"/>
      <x:c r="N52" s="2"/>
      <x:c r="O52" s="2"/>
      <x:c r="P52" s="2"/>
      <x:c r="Q52" s="2"/>
      <x:c r="R52" s="2"/>
      <x:c r="S52" s="2"/>
      <x:c r="T52" s="2"/>
      <x:c r="U52" s="2"/>
      <x:c r="V52" s="2"/>
      <x:c r="W52" s="2"/>
      <x:c r="X52" s="2"/>
      <x:c r="Y52" s="2"/>
      <x:c r="Z52" s="2"/>
    </x:row>
    <x:row r="53" ht="42" customHeight="1">
      <x:c r="A53" s="2"/>
      <x:c r="B53" s="2"/>
      <x:c r="C53" s="2" t="str">
        <x:v>SIAM FY26 domestic wholesale</x:v>
      </x:c>
      <x:c r="D53" s="38" t="str">
        <x:v>https://www.siam.in/news-%26-updates/press-releases/auto-industry-performance-of-q4-jan--march-2026-fy-2025-26/605</x:v>
      </x:c>
      <x:c r="E53" s="2"/>
      <x:c r="F53" s="2"/>
      <x:c r="G53" s="2"/>
      <x:c r="H53" s="2"/>
      <x:c r="I53" s="2"/>
      <x:c r="J53" s="2"/>
      <x:c r="K53" s="2"/>
      <x:c r="L53" s="2"/>
      <x:c r="M53" s="2"/>
      <x:c r="N53" s="2"/>
      <x:c r="O53" s="2"/>
      <x:c r="P53" s="2"/>
      <x:c r="Q53" s="2"/>
      <x:c r="R53" s="2"/>
      <x:c r="S53" s="2"/>
      <x:c r="T53" s="2"/>
      <x:c r="U53" s="2"/>
      <x:c r="V53" s="2"/>
      <x:c r="W53" s="2"/>
      <x:c r="X53" s="2"/>
      <x:c r="Y53" s="2"/>
      <x:c r="Z53" s="2"/>
    </x:row>
    <x:row r="54" ht="42" customHeight="1">
      <x:c r="A54" s="2"/>
      <x:c r="B54" s="2"/>
      <x:c r="C54" s="2" t="str">
        <x:v>SIAM FY27 monthly wholesale</x:v>
      </x:c>
      <x:c r="D54" s="38" t="str">
        <x:v>https://www.siam.in/news-%26-updates/press-releases</x:v>
      </x:c>
      <x:c r="E54" s="2"/>
      <x:c r="F54" s="2"/>
      <x:c r="G54" s="2"/>
      <x:c r="H54" s="2"/>
      <x:c r="I54" s="2"/>
      <x:c r="J54" s="2"/>
      <x:c r="K54" s="2"/>
      <x:c r="L54" s="2"/>
      <x:c r="M54" s="2"/>
      <x:c r="N54" s="2"/>
      <x:c r="O54" s="2"/>
      <x:c r="P54" s="2"/>
      <x:c r="Q54" s="2"/>
      <x:c r="R54" s="2"/>
      <x:c r="S54" s="2"/>
      <x:c r="T54" s="2"/>
      <x:c r="U54" s="2"/>
      <x:c r="V54" s="2"/>
      <x:c r="W54" s="2"/>
      <x:c r="X54" s="2"/>
      <x:c r="Y54" s="2"/>
      <x:c r="Z54" s="2"/>
    </x:row>
    <x:row r="55" ht="42" customHeight="1">
      <x:c r="A55" s="2"/>
      <x:c r="B55" s="2"/>
      <x:c r="C55" s="2" t="str">
        <x:v>GST Council decision and effective date</x:v>
      </x:c>
      <x:c r="D55" s="38" t="str">
        <x:v>https://www.pib.gov.in/PressReleasePage.aspx?PRID=2163555</x:v>
      </x:c>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5" ySplit="6" topLeftCell="F7" activePane="bottomRight" state="frozen"/>
    </x:sheetView>
  </x:sheetViews>
  <x:sheetFormatPr defaultRowHeight="15"/>
  <x:cols>
    <x:col min="1" max="1" width="2" hidden="0" customWidth="1"/>
    <x:col min="2" max="2" width="2" hidden="0" customWidth="1"/>
    <x:col min="3" max="3" width="12" hidden="0" customWidth="1"/>
    <x:col min="4" max="4" width="9" hidden="0" customWidth="1"/>
    <x:col min="5" max="5" width="11"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2"/>
      <x:c r="C2" s="3" t="str">
        <x:v>Monthly passenger vehicle forecast</x:v>
      </x:c>
      <x:c r="D2" s="2"/>
      <x:c r="E2" s="2"/>
      <x:c r="F2" s="2"/>
      <x:c r="G2" s="2"/>
      <x:c r="H2" s="2"/>
      <x:c r="I2" s="2"/>
      <x:c r="J2" s="2"/>
      <x:c r="K2" s="2"/>
      <x:c r="L2" s="2"/>
      <x:c r="M2" s="2"/>
      <x:c r="N2" s="2"/>
      <x:c r="O2" s="2"/>
      <x:c r="P2" s="2"/>
      <x:c r="Q2" s="2"/>
      <x:c r="R2" s="2"/>
      <x:c r="S2" s="2"/>
      <x:c r="T2" s="2"/>
      <x:c r="U2" s="2"/>
      <x:c r="V2" s="2"/>
      <x:c r="W2" s="2"/>
      <x:c r="X2" s="2"/>
      <x:c r="Y2" s="2"/>
      <x:c r="Z2" s="2"/>
    </x:row>
    <x:row r="3">
      <x:c r="A3" s="2"/>
      <x:c r="B3" s="2"/>
      <x:c r="C3" s="4"/>
      <x:c r="D3" s="4"/>
      <x:c r="E3" s="4"/>
      <x:c r="F3" s="4"/>
      <x:c r="G3" s="4"/>
      <x:c r="H3" s="4"/>
      <x:c r="I3" s="4"/>
      <x:c r="J3" s="4"/>
      <x:c r="K3" s="4"/>
      <x:c r="L3" s="4"/>
      <x:c r="M3" s="4"/>
      <x:c r="N3" s="4"/>
      <x:c r="O3" s="4"/>
      <x:c r="P3" s="4"/>
      <x:c r="Q3" s="4"/>
      <x:c r="R3" s="4"/>
      <x:c r="S3" s="4"/>
      <x:c r="T3" s="4"/>
      <x:c r="U3" s="4"/>
      <x:c r="V3" s="4"/>
      <x:c r="W3" s="4"/>
      <x:c r="X3" s="4"/>
      <x:c r="Y3" s="4"/>
      <x:c r="Z3" s="4"/>
    </x:row>
    <x:row r="4">
      <x:c r="A4" s="2"/>
      <x:c r="B4" s="2"/>
      <x:c r="C4" s="5" t="str">
        <x:v>Retail is the demand measure. Wholesale is reported separately after the change in dealer inventory. Units are vehicles.</x:v>
      </x:c>
      <x:c r="D4" s="5"/>
      <x:c r="E4" s="5"/>
      <x:c r="F4" s="5"/>
      <x:c r="G4" s="5"/>
      <x:c r="H4" s="5"/>
      <x:c r="I4" s="5"/>
      <x:c r="J4" s="5"/>
      <x:c r="K4" s="5"/>
      <x:c r="L4" s="5"/>
      <x:c r="M4" s="5"/>
      <x:c r="N4" s="5"/>
      <x:c r="O4" s="5"/>
      <x:c r="P4" s="5"/>
      <x:c r="Q4" s="5"/>
      <x:c r="R4" s="5"/>
      <x:c r="S4" s="5"/>
      <x:c r="T4" s="5"/>
      <x:c r="U4" s="5"/>
      <x:c r="V4" s="5"/>
      <x:c r="W4" s="5"/>
      <x:c r="X4" s="5"/>
      <x:c r="Y4" s="5"/>
      <x:c r="Z4" s="5"/>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ht="36" customHeight="1">
      <x:c r="A6" s="2"/>
      <x:c r="B6" s="2"/>
      <x:c r="C6" s="28" t="str">
        <x:v>Month</x:v>
      </x:c>
      <x:c r="D6" s="36" t="str">
        <x:v>FY</x:v>
      </x:c>
      <x:c r="E6" s="36" t="str">
        <x:v>Status</x:v>
      </x:c>
      <x:c r="F6" s="36" t="str">
        <x:v>Published retail</x:v>
      </x:c>
      <x:c r="G6" s="36" t="str">
        <x:v>Reconciliation factor</x:v>
      </x:c>
      <x:c r="H6" s="36" t="str">
        <x:v>Actual retail</x:v>
      </x:c>
      <x:c r="I6" s="36" t="str">
        <x:v>Prior-year retail</x:v>
      </x:c>
      <x:c r="J6" s="36" t="str">
        <x:v>Underlying baseline</x:v>
      </x:c>
      <x:c r="K6" s="36" t="str">
        <x:v>Prior price benefit</x:v>
      </x:c>
      <x:c r="L6" s="36" t="str">
        <x:v>Current price benefit</x:v>
      </x:c>
      <x:c r="M6" s="36" t="str">
        <x:v>Affordability adjustment</x:v>
      </x:c>
      <x:c r="N6" s="36" t="str">
        <x:v>Demand-debt repayment</x:v>
      </x:c>
      <x:c r="O6" s="36" t="str">
        <x:v>Unconstrained retail</x:v>
      </x:c>
      <x:c r="P6" s="36" t="str">
        <x:v>Opening inventory</x:v>
      </x:c>
      <x:c r="Q6" s="36" t="str">
        <x:v>Ending inventory days</x:v>
      </x:c>
      <x:c r="R6" s="36" t="str">
        <x:v>Retail supply ceiling</x:v>
      </x:c>
      <x:c r="S6" s="36" t="str">
        <x:v>Final PV retail</x:v>
      </x:c>
      <x:c r="T6" s="36" t="str">
        <x:v>Ending inventory</x:v>
      </x:c>
      <x:c r="U6" s="36" t="str">
        <x:v>Published wholesale</x:v>
      </x:c>
      <x:c r="V6" s="36" t="str">
        <x:v>PV wholesale</x:v>
      </x:c>
      <x:c r="W6" s="36" t="str">
        <x:v>YoY growth</x:v>
      </x:c>
      <x:c r="X6" s="36" t="str">
        <x:v>2-year CAGR</x:v>
      </x:c>
      <x:c r="Y6" s="29" t="str">
        <x:v>Supply headroom</x:v>
      </x:c>
      <x:c r="Z6" s="2"/>
    </x:row>
    <x:row r="7">
      <x:c r="A7" s="2"/>
      <x:c r="B7" s="2"/>
      <x:c r="C7" s="96" t="n">
        <x:v>45748</x:v>
      </x:c>
      <x:c r="D7" s="97" t="str">
        <x:v>FY:26</x:v>
      </x:c>
      <x:c r="E7" s="97" t="str">
        <x:v>Actual</x:v>
      </x:c>
      <x:c r="F7" s="89" t="n">
        <x:v>363028</x:v>
      </x:c>
      <x:c r="G7" s="86" t="n">
        <x:f>Assumptions!$D$39</x:f>
        <x:v>1.002977491863932</x:v>
      </x:c>
      <x:c r="H7" s="73" t="n">
        <x:f>F7*G7</x:f>
        <x:v>364108.9129163795</x:v>
      </x:c>
      <x:c r="I7" s="73"/>
      <x:c r="J7" s="73"/>
      <x:c r="K7" s="90"/>
      <x:c r="L7" s="90"/>
      <x:c r="M7" s="73"/>
      <x:c r="N7" s="73"/>
      <x:c r="O7" s="73"/>
      <x:c r="P7" s="73"/>
      <x:c r="Q7" s="91"/>
      <x:c r="R7" s="73"/>
      <x:c r="S7" s="71" t="n">
        <x:f>H7</x:f>
        <x:v>364108.9129163795</x:v>
      </x:c>
      <x:c r="T7" s="73"/>
      <x:c r="U7" s="73"/>
      <x:c r="V7" s="73"/>
      <x:c r="W7" s="90"/>
      <x:c r="X7" s="90"/>
      <x:c r="Y7" s="90"/>
      <x:c r="Z7" s="2"/>
    </x:row>
    <x:row r="8">
      <x:c r="A8" s="2"/>
      <x:c r="B8" s="2"/>
      <x:c r="C8" s="96" t="n">
        <x:v>45778</x:v>
      </x:c>
      <x:c r="D8" s="97" t="str">
        <x:v>FY:26</x:v>
      </x:c>
      <x:c r="E8" s="97" t="str">
        <x:v>Actual</x:v>
      </x:c>
      <x:c r="F8" s="89" t="n">
        <x:v>326656</x:v>
      </x:c>
      <x:c r="G8" s="86" t="n">
        <x:f>Assumptions!$D$39</x:f>
        <x:v>1.002977491863932</x:v>
      </x:c>
      <x:c r="H8" s="73" t="n">
        <x:f>F8*G8</x:f>
        <x:v>327628.6155823046</x:v>
      </x:c>
      <x:c r="I8" s="73"/>
      <x:c r="J8" s="73"/>
      <x:c r="K8" s="90"/>
      <x:c r="L8" s="90"/>
      <x:c r="M8" s="73"/>
      <x:c r="N8" s="73"/>
      <x:c r="O8" s="73"/>
      <x:c r="P8" s="73"/>
      <x:c r="Q8" s="91"/>
      <x:c r="R8" s="73"/>
      <x:c r="S8" s="71" t="n">
        <x:f>H8</x:f>
        <x:v>327628.6155823046</x:v>
      </x:c>
      <x:c r="T8" s="73"/>
      <x:c r="U8" s="73"/>
      <x:c r="V8" s="73"/>
      <x:c r="W8" s="90"/>
      <x:c r="X8" s="90"/>
      <x:c r="Y8" s="90"/>
      <x:c r="Z8" s="2"/>
    </x:row>
    <x:row r="9">
      <x:c r="A9" s="2"/>
      <x:c r="B9" s="2"/>
      <x:c r="C9" s="96" t="n">
        <x:v>45809</x:v>
      </x:c>
      <x:c r="D9" s="97" t="str">
        <x:v>FY:26</x:v>
      </x:c>
      <x:c r="E9" s="97" t="str">
        <x:v>Actual</x:v>
      </x:c>
      <x:c r="F9" s="89" t="n">
        <x:v>329376</x:v>
      </x:c>
      <x:c r="G9" s="86" t="n">
        <x:f>Assumptions!$D$39</x:f>
        <x:v>1.002977491863932</x:v>
      </x:c>
      <x:c r="H9" s="73" t="n">
        <x:f>F9*G9</x:f>
        <x:v>330356.7143601745</x:v>
      </x:c>
      <x:c r="I9" s="73"/>
      <x:c r="J9" s="73"/>
      <x:c r="K9" s="90"/>
      <x:c r="L9" s="90"/>
      <x:c r="M9" s="73"/>
      <x:c r="N9" s="73"/>
      <x:c r="O9" s="73"/>
      <x:c r="P9" s="73"/>
      <x:c r="Q9" s="91"/>
      <x:c r="R9" s="73"/>
      <x:c r="S9" s="71" t="n">
        <x:f>H9</x:f>
        <x:v>330356.7143601745</x:v>
      </x:c>
      <x:c r="T9" s="73"/>
      <x:c r="U9" s="73"/>
      <x:c r="V9" s="73"/>
      <x:c r="W9" s="90"/>
      <x:c r="X9" s="90"/>
      <x:c r="Y9" s="90"/>
      <x:c r="Z9" s="2"/>
    </x:row>
    <x:row r="10">
      <x:c r="A10" s="2"/>
      <x:c r="B10" s="2"/>
      <x:c r="C10" s="96" t="n">
        <x:v>45839</x:v>
      </x:c>
      <x:c r="D10" s="97" t="str">
        <x:v>FY:26</x:v>
      </x:c>
      <x:c r="E10" s="97" t="str">
        <x:v>Actual</x:v>
      </x:c>
      <x:c r="F10" s="89" t="n">
        <x:v>349674</x:v>
      </x:c>
      <x:c r="G10" s="86" t="n">
        <x:f>Assumptions!$D$39</x:f>
        <x:v>1.002977491863932</x:v>
      </x:c>
      <x:c r="H10" s="73" t="n">
        <x:f>F10*G10</x:f>
        <x:v>350715.1514900286</x:v>
      </x:c>
      <x:c r="I10" s="73"/>
      <x:c r="J10" s="73"/>
      <x:c r="K10" s="90"/>
      <x:c r="L10" s="90"/>
      <x:c r="M10" s="73"/>
      <x:c r="N10" s="73"/>
      <x:c r="O10" s="73"/>
      <x:c r="P10" s="73"/>
      <x:c r="Q10" s="91"/>
      <x:c r="R10" s="73"/>
      <x:c r="S10" s="71" t="n">
        <x:f>H10</x:f>
        <x:v>350715.1514900286</x:v>
      </x:c>
      <x:c r="T10" s="73"/>
      <x:c r="U10" s="73"/>
      <x:c r="V10" s="73"/>
      <x:c r="W10" s="90"/>
      <x:c r="X10" s="90"/>
      <x:c r="Y10" s="90"/>
      <x:c r="Z10" s="2"/>
    </x:row>
    <x:row r="11">
      <x:c r="A11" s="2"/>
      <x:c r="B11" s="2"/>
      <x:c r="C11" s="96" t="n">
        <x:v>45870</x:v>
      </x:c>
      <x:c r="D11" s="97" t="str">
        <x:v>FY:26</x:v>
      </x:c>
      <x:c r="E11" s="97" t="str">
        <x:v>Actual</x:v>
      </x:c>
      <x:c r="F11" s="89" t="n">
        <x:v>346468</x:v>
      </x:c>
      <x:c r="G11" s="86" t="n">
        <x:f>Assumptions!$D$39</x:f>
        <x:v>1.002977491863932</x:v>
      </x:c>
      <x:c r="H11" s="73" t="n">
        <x:f>F11*G11</x:f>
        <x:v>347499.6056511128</x:v>
      </x:c>
      <x:c r="I11" s="73"/>
      <x:c r="J11" s="73"/>
      <x:c r="K11" s="90"/>
      <x:c r="L11" s="90"/>
      <x:c r="M11" s="73"/>
      <x:c r="N11" s="73"/>
      <x:c r="O11" s="73"/>
      <x:c r="P11" s="73"/>
      <x:c r="Q11" s="91"/>
      <x:c r="R11" s="73"/>
      <x:c r="S11" s="71" t="n">
        <x:f>H11</x:f>
        <x:v>347499.6056511128</x:v>
      </x:c>
      <x:c r="T11" s="73"/>
      <x:c r="U11" s="73"/>
      <x:c r="V11" s="73"/>
      <x:c r="W11" s="90"/>
      <x:c r="X11" s="90"/>
      <x:c r="Y11" s="90"/>
      <x:c r="Z11" s="2"/>
    </x:row>
    <x:row r="12">
      <x:c r="A12" s="2"/>
      <x:c r="B12" s="2"/>
      <x:c r="C12" s="96" t="n">
        <x:v>45901</x:v>
      </x:c>
      <x:c r="D12" s="97" t="str">
        <x:v>FY:26</x:v>
      </x:c>
      <x:c r="E12" s="97" t="str">
        <x:v>Actual</x:v>
      </x:c>
      <x:c r="F12" s="89" t="n">
        <x:v>299369</x:v>
      </x:c>
      <x:c r="G12" s="86" t="n">
        <x:f>Assumptions!$D$40</x:f>
        <x:v>0.9889467139501681</x:v>
      </x:c>
      <x:c r="H12" s="73" t="n">
        <x:f>F12*G12</x:f>
        <x:v>296059.98880854785</x:v>
      </x:c>
      <x:c r="I12" s="73"/>
      <x:c r="J12" s="73"/>
      <x:c r="K12" s="90"/>
      <x:c r="L12" s="90"/>
      <x:c r="M12" s="73"/>
      <x:c r="N12" s="73"/>
      <x:c r="O12" s="73"/>
      <x:c r="P12" s="73"/>
      <x:c r="Q12" s="91"/>
      <x:c r="R12" s="73"/>
      <x:c r="S12" s="71" t="n">
        <x:f>H12</x:f>
        <x:v>296059.98880854785</x:v>
      </x:c>
      <x:c r="T12" s="73"/>
      <x:c r="U12" s="73"/>
      <x:c r="V12" s="73"/>
      <x:c r="W12" s="90"/>
      <x:c r="X12" s="90"/>
      <x:c r="Y12" s="90"/>
      <x:c r="Z12" s="2"/>
    </x:row>
    <x:row r="13">
      <x:c r="A13" s="2"/>
      <x:c r="B13" s="2"/>
      <x:c r="C13" s="96" t="n">
        <x:v>45931</x:v>
      </x:c>
      <x:c r="D13" s="97" t="str">
        <x:v>FY:26</x:v>
      </x:c>
      <x:c r="E13" s="97" t="str">
        <x:v>Actual</x:v>
      </x:c>
      <x:c r="F13" s="89" t="n">
        <x:v>557373</x:v>
      </x:c>
      <x:c r="G13" s="86" t="n">
        <x:f>Assumptions!$D$40</x:f>
        <x:v>0.9889467139501681</x:v>
      </x:c>
      <x:c r="H13" s="73" t="n">
        <x:f>F13*G13</x:f>
        <x:v>551212.196794547</x:v>
      </x:c>
      <x:c r="I13" s="73"/>
      <x:c r="J13" s="73"/>
      <x:c r="K13" s="90"/>
      <x:c r="L13" s="90"/>
      <x:c r="M13" s="73"/>
      <x:c r="N13" s="73"/>
      <x:c r="O13" s="73"/>
      <x:c r="P13" s="73"/>
      <x:c r="Q13" s="91"/>
      <x:c r="R13" s="73"/>
      <x:c r="S13" s="71" t="n">
        <x:f>H13</x:f>
        <x:v>551212.196794547</x:v>
      </x:c>
      <x:c r="T13" s="73"/>
      <x:c r="U13" s="73"/>
      <x:c r="V13" s="73"/>
      <x:c r="W13" s="90"/>
      <x:c r="X13" s="90"/>
      <x:c r="Y13" s="90"/>
      <x:c r="Z13" s="2"/>
    </x:row>
    <x:row r="14">
      <x:c r="A14" s="2"/>
      <x:c r="B14" s="2"/>
      <x:c r="C14" s="96" t="n">
        <x:v>45962</x:v>
      </x:c>
      <x:c r="D14" s="97" t="str">
        <x:v>FY:26</x:v>
      </x:c>
      <x:c r="E14" s="97" t="str">
        <x:v>Actual</x:v>
      </x:c>
      <x:c r="F14" s="89" t="n">
        <x:v>391597</x:v>
      </x:c>
      <x:c r="G14" s="86" t="n">
        <x:f>Assumptions!$D$40</x:f>
        <x:v>0.9889467139501681</x:v>
      </x:c>
      <x:c r="H14" s="73" t="n">
        <x:f>F14*G14</x:f>
        <x:v>387268.566342744</x:v>
      </x:c>
      <x:c r="I14" s="73"/>
      <x:c r="J14" s="73"/>
      <x:c r="K14" s="90"/>
      <x:c r="L14" s="90"/>
      <x:c r="M14" s="73"/>
      <x:c r="N14" s="73"/>
      <x:c r="O14" s="73"/>
      <x:c r="P14" s="73"/>
      <x:c r="Q14" s="91"/>
      <x:c r="R14" s="73"/>
      <x:c r="S14" s="71" t="n">
        <x:f>H14</x:f>
        <x:v>387268.566342744</x:v>
      </x:c>
      <x:c r="T14" s="73"/>
      <x:c r="U14" s="73"/>
      <x:c r="V14" s="73"/>
      <x:c r="W14" s="90"/>
      <x:c r="X14" s="90"/>
      <x:c r="Y14" s="90"/>
      <x:c r="Z14" s="2"/>
    </x:row>
    <x:row r="15">
      <x:c r="A15" s="2"/>
      <x:c r="B15" s="2"/>
      <x:c r="C15" s="96" t="n">
        <x:v>45992</x:v>
      </x:c>
      <x:c r="D15" s="97" t="str">
        <x:v>FY:26</x:v>
      </x:c>
      <x:c r="E15" s="97" t="str">
        <x:v>Actual</x:v>
      </x:c>
      <x:c r="F15" s="89" t="n">
        <x:v>421381</x:v>
      </x:c>
      <x:c r="G15" s="86" t="n">
        <x:f>Assumptions!$D$40</x:f>
        <x:v>0.9889467139501681</x:v>
      </x:c>
      <x:c r="H15" s="73" t="n">
        <x:f>F15*G15</x:f>
        <x:v>416723.3552710358</x:v>
      </x:c>
      <x:c r="I15" s="73"/>
      <x:c r="J15" s="73"/>
      <x:c r="K15" s="90"/>
      <x:c r="L15" s="90"/>
      <x:c r="M15" s="73"/>
      <x:c r="N15" s="73"/>
      <x:c r="O15" s="73"/>
      <x:c r="P15" s="73"/>
      <x:c r="Q15" s="91"/>
      <x:c r="R15" s="73"/>
      <x:c r="S15" s="71" t="n">
        <x:f>H15</x:f>
        <x:v>416723.3552710358</x:v>
      </x:c>
      <x:c r="T15" s="73"/>
      <x:c r="U15" s="73"/>
      <x:c r="V15" s="73"/>
      <x:c r="W15" s="90"/>
      <x:c r="X15" s="90"/>
      <x:c r="Y15" s="90"/>
      <x:c r="Z15" s="2"/>
    </x:row>
    <x:row r="16">
      <x:c r="A16" s="2"/>
      <x:c r="B16" s="2"/>
      <x:c r="C16" s="96" t="n">
        <x:v>46023</x:v>
      </x:c>
      <x:c r="D16" s="97" t="str">
        <x:v>FY:26</x:v>
      </x:c>
      <x:c r="E16" s="97" t="str">
        <x:v>Actual</x:v>
      </x:c>
      <x:c r="F16" s="89" t="n">
        <x:v>513475</x:v>
      </x:c>
      <x:c r="G16" s="86" t="n">
        <x:f>Assumptions!$D$40</x:f>
        <x:v>0.9889467139501681</x:v>
      </x:c>
      <x:c r="H16" s="73" t="n">
        <x:f>F16*G16</x:f>
        <x:v>507799.41394556256</x:v>
      </x:c>
      <x:c r="I16" s="73"/>
      <x:c r="J16" s="73"/>
      <x:c r="K16" s="90"/>
      <x:c r="L16" s="90"/>
      <x:c r="M16" s="73"/>
      <x:c r="N16" s="73"/>
      <x:c r="O16" s="73"/>
      <x:c r="P16" s="73"/>
      <x:c r="Q16" s="91"/>
      <x:c r="R16" s="73"/>
      <x:c r="S16" s="71" t="n">
        <x:f>H16</x:f>
        <x:v>507799.41394556256</x:v>
      </x:c>
      <x:c r="T16" s="73"/>
      <x:c r="U16" s="73"/>
      <x:c r="V16" s="73"/>
      <x:c r="W16" s="90"/>
      <x:c r="X16" s="90"/>
      <x:c r="Y16" s="90"/>
      <x:c r="Z16" s="2"/>
    </x:row>
    <x:row r="17">
      <x:c r="A17" s="2"/>
      <x:c r="B17" s="2"/>
      <x:c r="C17" s="96" t="n">
        <x:v>46054</x:v>
      </x:c>
      <x:c r="D17" s="97" t="str">
        <x:v>FY:26</x:v>
      </x:c>
      <x:c r="E17" s="97" t="str">
        <x:v>Actual</x:v>
      </x:c>
      <x:c r="F17" s="89" t="n">
        <x:v>394768</x:v>
      </x:c>
      <x:c r="G17" s="86" t="n">
        <x:f>Assumptions!$D$40</x:f>
        <x:v>0.9889467139501681</x:v>
      </x:c>
      <x:c r="H17" s="73" t="n">
        <x:f>F17*G17</x:f>
        <x:v>390404.51637267997</x:v>
      </x:c>
      <x:c r="I17" s="73"/>
      <x:c r="J17" s="73"/>
      <x:c r="K17" s="90"/>
      <x:c r="L17" s="90"/>
      <x:c r="M17" s="73"/>
      <x:c r="N17" s="73"/>
      <x:c r="O17" s="73"/>
      <x:c r="P17" s="73"/>
      <x:c r="Q17" s="91"/>
      <x:c r="R17" s="73"/>
      <x:c r="S17" s="71" t="n">
        <x:f>H17</x:f>
        <x:v>390404.51637267997</x:v>
      </x:c>
      <x:c r="T17" s="73"/>
      <x:c r="U17" s="73"/>
      <x:c r="V17" s="73"/>
      <x:c r="W17" s="90"/>
      <x:c r="X17" s="90"/>
      <x:c r="Y17" s="90"/>
      <x:c r="Z17" s="2"/>
    </x:row>
    <x:row r="18">
      <x:c r="A18" s="2"/>
      <x:c r="B18" s="2"/>
      <x:c r="C18" s="96" t="n">
        <x:v>46082</x:v>
      </x:c>
      <x:c r="D18" s="97" t="str">
        <x:v>FY:26</x:v>
      </x:c>
      <x:c r="E18" s="97" t="str">
        <x:v>Actual</x:v>
      </x:c>
      <x:c r="F18" s="89" t="n">
        <x:v>440144</x:v>
      </x:c>
      <x:c r="G18" s="86" t="n">
        <x:f>Assumptions!$D$40</x:f>
        <x:v>0.9889467139501681</x:v>
      </x:c>
      <x:c r="H18" s="73" t="n">
        <x:f>F18*G18</x:f>
        <x:v>435278.96246488276</x:v>
      </x:c>
      <x:c r="I18" s="73"/>
      <x:c r="J18" s="73"/>
      <x:c r="K18" s="90"/>
      <x:c r="L18" s="90"/>
      <x:c r="M18" s="73"/>
      <x:c r="N18" s="73"/>
      <x:c r="O18" s="73"/>
      <x:c r="P18" s="73"/>
      <x:c r="Q18" s="91"/>
      <x:c r="R18" s="73"/>
      <x:c r="S18" s="71" t="n">
        <x:f>H18</x:f>
        <x:v>435278.96246488276</x:v>
      </x:c>
      <x:c r="T18" s="73"/>
      <x:c r="U18" s="73"/>
      <x:c r="V18" s="73"/>
      <x:c r="W18" s="90"/>
      <x:c r="X18" s="90"/>
      <x:c r="Y18" s="90"/>
      <x:c r="Z18" s="2"/>
    </x:row>
    <x:row r="19">
      <x:c r="A19" s="2"/>
      <x:c r="B19" s="2"/>
      <x:c r="C19" s="96" t="n">
        <x:v>46113</x:v>
      </x:c>
      <x:c r="D19" s="97" t="str">
        <x:v>FY:27</x:v>
      </x:c>
      <x:c r="E19" s="97" t="str">
        <x:v>Actual</x:v>
      </x:c>
      <x:c r="F19" s="89" t="n">
        <x:v>407355</x:v>
      </x:c>
      <x:c r="G19" s="86" t="n">
        <x:f>Assumptions!$D$38</x:f>
        <x:v>1.0306473532076448</x:v>
      </x:c>
      <x:c r="H19" s="73" t="n">
        <x:f>F19*G19</x:f>
        <x:v>419839.35256590013</x:v>
      </x:c>
      <x:c r="I19" s="92" t="n">
        <x:f>S7</x:f>
        <x:v>364108.9129163795</x:v>
      </x:c>
      <x:c r="J19" s="73"/>
      <x:c r="K19" s="90"/>
      <x:c r="L19" s="90"/>
      <x:c r="M19" s="73"/>
      <x:c r="N19" s="73"/>
      <x:c r="O19" s="73"/>
      <x:c r="P19" s="73"/>
      <x:c r="Q19" s="91"/>
      <x:c r="R19" s="73"/>
      <x:c r="S19" s="71" t="n">
        <x:f>H19</x:f>
        <x:v>419839.35256590013</x:v>
      </x:c>
      <x:c r="T19" s="73"/>
      <x:c r="U19" s="89" t="n">
        <x:v>437312</x:v>
      </x:c>
      <x:c r="V19" s="73" t="n">
        <x:f>U19</x:f>
        <x:v>437312</x:v>
      </x:c>
      <x:c r="W19" s="90" t="n">
        <x:f>S19/I19-1</x:f>
        <x:v>0.15305980620781878</x:v>
      </x:c>
      <x:c r="X19" s="90"/>
      <x:c r="Y19" s="90"/>
      <x:c r="Z19" s="2"/>
    </x:row>
    <x:row r="20">
      <x:c r="A20" s="2"/>
      <x:c r="B20" s="2"/>
      <x:c r="C20" s="96" t="n">
        <x:v>46143</x:v>
      </x:c>
      <x:c r="D20" s="97" t="str">
        <x:v>FY:27</x:v>
      </x:c>
      <x:c r="E20" s="97" t="str">
        <x:v>Actual</x:v>
      </x:c>
      <x:c r="F20" s="89" t="n">
        <x:v>402591</x:v>
      </x:c>
      <x:c r="G20" s="86" t="n">
        <x:f>Assumptions!$D$38</x:f>
        <x:v>1.0306473532076448</x:v>
      </x:c>
      <x:c r="H20" s="73" t="n">
        <x:f>F20*G20</x:f>
        <x:v>414929.34857521893</x:v>
      </x:c>
      <x:c r="I20" s="92" t="n">
        <x:f>S8</x:f>
        <x:v>327628.6155823046</x:v>
      </x:c>
      <x:c r="J20" s="73"/>
      <x:c r="K20" s="90"/>
      <x:c r="L20" s="90"/>
      <x:c r="M20" s="73"/>
      <x:c r="N20" s="73"/>
      <x:c r="O20" s="73"/>
      <x:c r="P20" s="73"/>
      <x:c r="Q20" s="91"/>
      <x:c r="R20" s="73"/>
      <x:c r="S20" s="71" t="n">
        <x:f>H20</x:f>
        <x:v>414929.34857521893</x:v>
      </x:c>
      <x:c r="T20" s="73"/>
      <x:c r="U20" s="89" t="n">
        <x:v>438854</x:v>
      </x:c>
      <x:c r="V20" s="73" t="n">
        <x:f>U20</x:f>
        <x:v>438854</x:v>
      </x:c>
      <x:c r="W20" s="90" t="n">
        <x:f>S20/I20-1</x:f>
        <x:v>0.26646247867498385</x:v>
      </x:c>
      <x:c r="X20" s="90"/>
      <x:c r="Y20" s="90"/>
      <x:c r="Z20" s="2"/>
    </x:row>
    <x:row r="21">
      <x:c r="A21" s="2"/>
      <x:c r="B21" s="2"/>
      <x:c r="C21" s="96" t="n">
        <x:v>46174</x:v>
      </x:c>
      <x:c r="D21" s="97" t="str">
        <x:v>FY:27</x:v>
      </x:c>
      <x:c r="E21" s="97" t="str">
        <x:v>Actual</x:v>
      </x:c>
      <x:c r="F21" s="89" t="n">
        <x:v>410853</x:v>
      </x:c>
      <x:c r="G21" s="86" t="n">
        <x:f>Assumptions!$D$38</x:f>
        <x:v>1.0306473532076448</x:v>
      </x:c>
      <x:c r="H21" s="73" t="n">
        <x:f>F21*G21</x:f>
        <x:v>423444.55700742046</x:v>
      </x:c>
      <x:c r="I21" s="92" t="n">
        <x:f>S9</x:f>
        <x:v>330356.7143601745</x:v>
      </x:c>
      <x:c r="J21" s="73"/>
      <x:c r="K21" s="90"/>
      <x:c r="L21" s="90"/>
      <x:c r="M21" s="73"/>
      <x:c r="N21" s="73"/>
      <x:c r="O21" s="73"/>
      <x:c r="P21" s="73"/>
      <x:c r="Q21" s="91"/>
      <x:c r="R21" s="73"/>
      <x:c r="S21" s="71" t="n">
        <x:f>H21</x:f>
        <x:v>423444.55700742046</x:v>
      </x:c>
      <x:c r="T21" s="73"/>
      <x:c r="U21" s="89" t="n">
        <x:v>388144</x:v>
      </x:c>
      <x:c r="V21" s="73" t="n">
        <x:f>U21</x:f>
        <x:v>388144</x:v>
      </x:c>
      <x:c r="W21" s="90" t="n">
        <x:f>S21/I21-1</x:f>
        <x:v>0.28177978106949</x:v>
      </x:c>
      <x:c r="X21" s="90"/>
      <x:c r="Y21" s="90"/>
      <x:c r="Z21" s="2"/>
    </x:row>
    <x:row r="22">
      <x:c r="A22" s="2"/>
      <x:c r="B22" s="2"/>
      <x:c r="C22" s="96" t="n">
        <x:v>46204</x:v>
      </x:c>
      <x:c r="D22" s="97" t="str">
        <x:v>FY:27</x:v>
      </x:c>
      <x:c r="E22" s="97" t="str">
        <x:v>Actual</x:v>
      </x:c>
      <x:c r="F22" s="89" t="n">
        <x:v>416555</x:v>
      </x:c>
      <x:c r="G22" s="86" t="n">
        <x:f>Assumptions!$D$38</x:f>
        <x:v>1.0306473532076448</x:v>
      </x:c>
      <x:c r="H22" s="73" t="n">
        <x:f>F22*G22</x:f>
        <x:v>429321.30821541045</x:v>
      </x:c>
      <x:c r="I22" s="92" t="n">
        <x:f>S10</x:f>
        <x:v>350715.1514900286</x:v>
      </x:c>
      <x:c r="J22" s="73"/>
      <x:c r="K22" s="90"/>
      <x:c r="L22" s="90"/>
      <x:c r="M22" s="73"/>
      <x:c r="N22" s="73"/>
      <x:c r="O22" s="73"/>
      <x:c r="P22" s="73"/>
      <x:c r="Q22" s="91"/>
      <x:c r="R22" s="73"/>
      <x:c r="S22" s="71" t="n">
        <x:f>H22</x:f>
        <x:v>429321.30821541045</x:v>
      </x:c>
      <x:c r="T22" s="73"/>
      <x:c r="U22" s="89" t="n">
        <x:v>457810</x:v>
      </x:c>
      <x:c r="V22" s="73" t="n">
        <x:f>U22</x:f>
        <x:v>457810</x:v>
      </x:c>
      <x:c r="W22" s="90" t="n">
        <x:f>S22/I22-1</x:f>
        <x:v>0.2241310544794548</x:v>
      </x:c>
      <x:c r="X22" s="90"/>
      <x:c r="Y22" s="90"/>
      <x:c r="Z22" s="2"/>
    </x:row>
    <x:row r="23">
      <x:c r="A23" s="2"/>
      <x:c r="B23" s="2"/>
      <x:c r="C23" s="96" t="n">
        <x:v>46235</x:v>
      </x:c>
      <x:c r="D23" s="97" t="str">
        <x:v>FY:27</x:v>
      </x:c>
      <x:c r="E23" s="97" t="str">
        <x:v>Actual</x:v>
      </x:c>
      <x:c r="F23" s="89" t="n">
        <x:v>402398</x:v>
      </x:c>
      <x:c r="G23" s="86" t="n">
        <x:f>Assumptions!$D$38</x:f>
        <x:v>1.0306473532076448</x:v>
      </x:c>
      <x:c r="H23" s="73" t="n">
        <x:f>F23*G23</x:f>
        <x:v>414730.43363604986</x:v>
      </x:c>
      <x:c r="I23" s="92" t="n">
        <x:f>S11</x:f>
        <x:v>347499.6056511128</x:v>
      </x:c>
      <x:c r="J23" s="73"/>
      <x:c r="K23" s="90"/>
      <x:c r="L23" s="90"/>
      <x:c r="M23" s="73"/>
      <x:c r="N23" s="73"/>
      <x:c r="O23" s="73"/>
      <x:c r="P23" s="73"/>
      <x:c r="Q23" s="91"/>
      <x:c r="R23" s="73"/>
      <x:c r="S23" s="71" t="n">
        <x:f>H23</x:f>
        <x:v>414730.43363604986</x:v>
      </x:c>
      <x:c r="T23" s="73"/>
      <x:c r="U23" s="89" t="n">
        <x:v>439309</x:v>
      </x:c>
      <x:c r="V23" s="73" t="n">
        <x:f>U23</x:f>
        <x:v>439309</x:v>
      </x:c>
      <x:c r="W23" s="90" t="n">
        <x:f>S23/I23-1</x:f>
        <x:v>0.1934702281430396</x:v>
      </x:c>
      <x:c r="X23" s="90"/>
      <x:c r="Y23" s="90"/>
      <x:c r="Z23" s="2"/>
    </x:row>
    <x:row r="24">
      <x:c r="A24" s="2"/>
      <x:c r="B24" s="2"/>
      <x:c r="C24" s="96" t="n">
        <x:v>46266</x:v>
      </x:c>
      <x:c r="D24" s="97" t="str">
        <x:v>FY:27</x:v>
      </x:c>
      <x:c r="E24" s="97" t="str">
        <x:v>Estimate</x:v>
      </x:c>
      <x:c r="F24" s="73"/>
      <x:c r="G24" s="93"/>
      <x:c r="H24" s="73"/>
      <x:c r="I24" s="92" t="n">
        <x:f>S12</x:f>
        <x:v>296059.98880854785</x:v>
      </x:c>
      <x:c r="J24" s="92" t="n">
        <x:f>Assumptions!$D$27</x:f>
        <x:v>450000</x:v>
      </x:c>
      <x:c r="K24" s="94" t="n">
        <x:v>0</x:v>
      </x:c>
      <x:c r="L24" s="94" t="n">
        <x:v>0</x:v>
      </x:c>
      <x:c r="M24" s="92" t="n">
        <x:v>0</x:v>
      </x:c>
      <x:c r="N24" s="92" t="n">
        <x:v>0</x:v>
      </x:c>
      <x:c r="O24" s="92" t="n">
        <x:f>J24+M24-N24</x:f>
        <x:v>450000</x:v>
      </x:c>
      <x:c r="P24" s="92" t="n">
        <x:f>S23/Assumptions!$D$33*Assumptions!$D$29</x:f>
        <x:v>539149.5637268648</x:v>
      </x:c>
      <x:c r="Q24" s="95" t="n">
        <x:f>Supply!D18</x:f>
        <x:v>40</x:v>
      </x:c>
      <x:c r="R24" s="92" t="n">
        <x:f>(Supply!E18+P24)/(1+Q24/Assumptions!$D$33)</x:f>
        <x:v>456064.09874008497</x:v>
      </x:c>
      <x:c r="S24" s="71" t="n">
        <x:f>MIN(O24,R24)</x:f>
        <x:v>450000</x:v>
      </x:c>
      <x:c r="T24" s="92" t="n">
        <x:f>S24/Assumptions!$D$33*Q24</x:f>
        <x:v>600000</x:v>
      </x:c>
      <x:c r="U24" s="92"/>
      <x:c r="V24" s="92" t="n">
        <x:f>S24+T24-P24</x:f>
        <x:v>510850.43627313524</x:v>
      </x:c>
      <x:c r="W24" s="90" t="n">
        <x:f>S24/I24-1</x:f>
        <x:v>0.5199622272869842</x:v>
      </x:c>
      <x:c r="X24" s="90"/>
      <x:c r="Y24" s="90" t="n">
        <x:f>R24/S24-1</x:f>
        <x:v>0.013475774977966593</x:v>
      </x:c>
      <x:c r="Z24" s="2"/>
    </x:row>
    <x:row r="25">
      <x:c r="A25" s="2"/>
      <x:c r="B25" s="2"/>
      <x:c r="C25" s="96" t="n">
        <x:v>46296</x:v>
      </x:c>
      <x:c r="D25" s="97" t="str">
        <x:v>FY:27</x:v>
      </x:c>
      <x:c r="E25" s="97" t="str">
        <x:v>Forecast</x:v>
      </x:c>
      <x:c r="F25" s="73"/>
      <x:c r="G25" s="93"/>
      <x:c r="H25" s="73"/>
      <x:c r="I25" s="92" t="n">
        <x:f>S13</x:f>
        <x:v>551212.196794547</x:v>
      </x:c>
      <x:c r="J25" s="92" t="n">
        <x:f>I25*(1+Assumptions!$D$15)*(1-Assumptions!$D$28)</x:f>
        <x:v>501327.4929846406</x:v>
      </x:c>
      <x:c r="K25" s="94" t="n">
        <x:f>Assumptions!$D$17</x:f>
        <x:v>0.075</x:v>
      </x:c>
      <x:c r="L25" s="94" t="n">
        <x:f>Assumptions!$D$18</x:f>
        <x:v>0.035</x:v>
      </x:c>
      <x:c r="M25" s="92" t="n">
        <x:f>J25*Assumptions!$D$20*Assumptions!$D$21*(L25-K25)</x:f>
        <x:v>-12031.859831631373</x:v>
      </x:c>
      <x:c r="N25" s="92" t="n">
        <x:f>'Demand Debt'!$D$26*Assumptions!$D$23/6</x:f>
        <x:v>14600.056135533117</x:v>
      </x:c>
      <x:c r="O25" s="92" t="n">
        <x:f>J25+M25-N25</x:f>
        <x:v>474695.5770174761</x:v>
      </x:c>
      <x:c r="P25" s="92" t="n">
        <x:f>T24</x:f>
        <x:v>600000</x:v>
      </x:c>
      <x:c r="Q25" s="95" t="n">
        <x:f>Supply!D19</x:f>
        <x:v>37</x:v>
      </x:c>
      <x:c r="R25" s="92" t="n">
        <x:f>(Supply!E19+P25)/(1+Q25/Assumptions!$D$33)</x:f>
        <x:v>503731.3432835821</x:v>
      </x:c>
      <x:c r="S25" s="71" t="n">
        <x:f>MIN(O25,R25)</x:f>
        <x:v>474695.5770174761</x:v>
      </x:c>
      <x:c r="T25" s="92" t="n">
        <x:f>S25/Assumptions!$D$33*Q25</x:f>
        <x:v>585457.8783215538</x:v>
      </x:c>
      <x:c r="U25" s="92"/>
      <x:c r="V25" s="92" t="n">
        <x:f>S25+T25-P25</x:f>
        <x:v>460153.4553390299</x:v>
      </x:c>
      <x:c r="W25" s="90" t="n">
        <x:f>S25/I25-1</x:f>
        <x:v>-0.1388151790218658</x:v>
      </x:c>
      <x:c r="X25" s="90"/>
      <x:c r="Y25" s="90" t="n">
        <x:f>R25/S25-1</x:f>
        <x:v>0.06116713041342914</x:v>
      </x:c>
      <x:c r="Z25" s="2"/>
    </x:row>
    <x:row r="26">
      <x:c r="A26" s="2"/>
      <x:c r="B26" s="2"/>
      <x:c r="C26" s="96" t="n">
        <x:v>46327</x:v>
      </x:c>
      <x:c r="D26" s="97" t="str">
        <x:v>FY:27</x:v>
      </x:c>
      <x:c r="E26" s="97" t="str">
        <x:v>Forecast</x:v>
      </x:c>
      <x:c r="F26" s="73"/>
      <x:c r="G26" s="93"/>
      <x:c r="H26" s="73"/>
      <x:c r="I26" s="92" t="n">
        <x:f>S14</x:f>
        <x:v>387268.566342744</x:v>
      </x:c>
      <x:c r="J26" s="92" t="n">
        <x:f>I26*(1+Assumptions!$D$15)+S13*(1+Assumptions!$D$15)*Assumptions!$D$28</x:f>
        <x:v>502846.9235722609</x:v>
      </x:c>
      <x:c r="K26" s="94" t="n">
        <x:f>Assumptions!$D$17</x:f>
        <x:v>0.075</x:v>
      </x:c>
      <x:c r="L26" s="94" t="n">
        <x:f>Assumptions!$D$18</x:f>
        <x:v>0.035</x:v>
      </x:c>
      <x:c r="M26" s="92" t="n">
        <x:f>J26*Assumptions!$D$20*Assumptions!$D$21*(L26-K26)</x:f>
        <x:v>-12068.32616573426</x:v>
      </x:c>
      <x:c r="N26" s="92" t="n">
        <x:f>'Demand Debt'!$D$26*Assumptions!$D$23/6</x:f>
        <x:v>14600.056135533117</x:v>
      </x:c>
      <x:c r="O26" s="92" t="n">
        <x:f>J26+M26-N26</x:f>
        <x:v>476178.5412709935</x:v>
      </x:c>
      <x:c r="P26" s="92" t="n">
        <x:f>T25</x:f>
        <x:v>585457.8783215538</x:v>
      </x:c>
      <x:c r="Q26" s="95" t="n">
        <x:f>Supply!D20</x:f>
        <x:v>34</x:v>
      </x:c>
      <x:c r="R26" s="92" t="n">
        <x:f>(Supply!E20+P26)/(1+Q26/Assumptions!$D$33)</x:f>
        <x:v>520527.1304632283</x:v>
      </x:c>
      <x:c r="S26" s="71" t="n">
        <x:f>MIN(O26,R26)</x:f>
        <x:v>476178.5412709935</x:v>
      </x:c>
      <x:c r="T26" s="92" t="n">
        <x:f>S26/Assumptions!$D$33*Q26</x:f>
        <x:v>539669.0134404593</x:v>
      </x:c>
      <x:c r="U26" s="92"/>
      <x:c r="V26" s="92" t="n">
        <x:f>S26+T26-P26</x:f>
        <x:v>430389.6763898989</x:v>
      </x:c>
      <x:c r="W26" s="90" t="n">
        <x:f>S26/I26-1</x:f>
        <x:v>0.22958221414118474</x:v>
      </x:c>
      <x:c r="X26" s="90"/>
      <x:c r="Y26" s="90" t="n">
        <x:f>R26/S26-1</x:f>
        <x:v>0.09313437156126714</x:v>
      </x:c>
      <x:c r="Z26" s="2"/>
    </x:row>
    <x:row r="27">
      <x:c r="A27" s="2"/>
      <x:c r="B27" s="2"/>
      <x:c r="C27" s="96" t="n">
        <x:v>46357</x:v>
      </x:c>
      <x:c r="D27" s="97" t="str">
        <x:v>FY:27</x:v>
      </x:c>
      <x:c r="E27" s="97" t="str">
        <x:v>Forecast</x:v>
      </x:c>
      <x:c r="F27" s="73"/>
      <x:c r="G27" s="93"/>
      <x:c r="H27" s="73"/>
      <x:c r="I27" s="92" t="n">
        <x:f>S15</x:f>
        <x:v>416723.3552710358</x:v>
      </x:c>
      <x:c r="J27" s="92" t="n">
        <x:f>I27*(1+Assumptions!$D$15)</x:f>
        <x:v>445893.99014000833</x:v>
      </x:c>
      <x:c r="K27" s="94" t="n">
        <x:f>Assumptions!$D$17</x:f>
        <x:v>0.075</x:v>
      </x:c>
      <x:c r="L27" s="94" t="n">
        <x:f>Assumptions!$D$18</x:f>
        <x:v>0.035</x:v>
      </x:c>
      <x:c r="M27" s="92" t="n">
        <x:f>J27*Assumptions!$D$20*Assumptions!$D$21*(L27-K27)</x:f>
        <x:v>-10701.4557633602</x:v>
      </x:c>
      <x:c r="N27" s="92" t="n">
        <x:f>'Demand Debt'!$D$26*Assumptions!$D$23/6</x:f>
        <x:v>14600.056135533117</x:v>
      </x:c>
      <x:c r="O27" s="92" t="n">
        <x:f>J27+M27-N27</x:f>
        <x:v>420592.478241115</x:v>
      </x:c>
      <x:c r="P27" s="92" t="n">
        <x:f>T26</x:f>
        <x:v>539669.0134404593</x:v>
      </x:c>
      <x:c r="Q27" s="95" t="n">
        <x:f>Supply!D21</x:f>
        <x:v>32</x:v>
      </x:c>
      <x:c r="R27" s="92" t="n">
        <x:f>(Supply!E21+P27)/(1+Q27/Assumptions!$D$33)</x:f>
        <x:v>515162.4258582868</x:v>
      </x:c>
      <x:c r="S27" s="71" t="n">
        <x:f>MIN(O27,R27)</x:f>
        <x:v>420592.478241115</x:v>
      </x:c>
      <x:c r="T27" s="92" t="n">
        <x:f>S27/Assumptions!$D$33*Q27</x:f>
        <x:v>448631.97679052263</x:v>
      </x:c>
      <x:c r="U27" s="92"/>
      <x:c r="V27" s="92" t="n">
        <x:f>S27+T27-P27</x:f>
        <x:v>329555.4415911783</x:v>
      </x:c>
      <x:c r="W27" s="90" t="n">
        <x:f>S27/I27-1</x:f>
        <x:v>0.009284631929407317</x:v>
      </x:c>
      <x:c r="X27" s="90"/>
      <x:c r="Y27" s="90" t="n">
        <x:f>R27/S27-1</x:f>
        <x:v>0.22484935539659667</x:v>
      </x:c>
      <x:c r="Z27" s="2"/>
    </x:row>
    <x:row r="28">
      <x:c r="A28" s="2"/>
      <x:c r="B28" s="2"/>
      <x:c r="C28" s="96" t="n">
        <x:v>46388</x:v>
      </x:c>
      <x:c r="D28" s="97" t="str">
        <x:v>FY:27</x:v>
      </x:c>
      <x:c r="E28" s="97" t="str">
        <x:v>Forecast</x:v>
      </x:c>
      <x:c r="F28" s="73"/>
      <x:c r="G28" s="93"/>
      <x:c r="H28" s="73"/>
      <x:c r="I28" s="92" t="n">
        <x:f>S16</x:f>
        <x:v>507799.41394556256</x:v>
      </x:c>
      <x:c r="J28" s="92" t="n">
        <x:f>I28*(1+Assumptions!$D$15)</x:f>
        <x:v>543345.3729217519</x:v>
      </x:c>
      <x:c r="K28" s="94" t="n">
        <x:f>Assumptions!$D$17</x:f>
        <x:v>0.075</x:v>
      </x:c>
      <x:c r="L28" s="94" t="n">
        <x:f>Assumptions!$D$18</x:f>
        <x:v>0.035</x:v>
      </x:c>
      <x:c r="M28" s="92" t="n">
        <x:f>J28*Assumptions!$D$20*Assumptions!$D$21*(L28-K28)</x:f>
        <x:v>-13040.288950122045</x:v>
      </x:c>
      <x:c r="N28" s="92" t="n">
        <x:f>'Demand Debt'!$D$26*Assumptions!$D$23/6</x:f>
        <x:v>14600.056135533117</x:v>
      </x:c>
      <x:c r="O28" s="92" t="n">
        <x:f>J28+M28-N28</x:f>
        <x:v>515705.0278360967</x:v>
      </x:c>
      <x:c r="P28" s="92" t="n">
        <x:f>T27</x:f>
        <x:v>448631.97679052263</x:v>
      </x:c>
      <x:c r="Q28" s="95" t="n">
        <x:f>Supply!D22</x:f>
        <x:v>30</x:v>
      </x:c>
      <x:c r="R28" s="92" t="n">
        <x:f>(Supply!E22+P28)/(1+Q28/Assumptions!$D$33)</x:f>
        <x:v>486815.98839526135</x:v>
      </x:c>
      <x:c r="S28" s="71" t="n">
        <x:f>MIN(O28,R28)</x:f>
        <x:v>486815.98839526135</x:v>
      </x:c>
      <x:c r="T28" s="92" t="n">
        <x:f>S28/Assumptions!$D$33*Q28</x:f>
        <x:v>486815.98839526135</x:v>
      </x:c>
      <x:c r="U28" s="92"/>
      <x:c r="V28" s="92" t="n">
        <x:f>S28+T28-P28</x:f>
        <x:v>525000</x:v>
      </x:c>
      <x:c r="W28" s="90" t="n">
        <x:f>S28/I28-1</x:f>
        <x:v>-0.04132227209019723</x:v>
      </x:c>
      <x:c r="X28" s="90"/>
      <x:c r="Y28" s="90" t="n">
        <x:f>R28/S28-1</x:f>
        <x:v>0</x:v>
      </x:c>
      <x:c r="Z28" s="2"/>
    </x:row>
    <x:row r="29">
      <x:c r="A29" s="2"/>
      <x:c r="B29" s="2"/>
      <x:c r="C29" s="96" t="n">
        <x:v>46419</x:v>
      </x:c>
      <x:c r="D29" s="97" t="str">
        <x:v>FY:27</x:v>
      </x:c>
      <x:c r="E29" s="97" t="str">
        <x:v>Forecast</x:v>
      </x:c>
      <x:c r="F29" s="73"/>
      <x:c r="G29" s="93"/>
      <x:c r="H29" s="73"/>
      <x:c r="I29" s="92" t="n">
        <x:f>S17</x:f>
        <x:v>390404.51637267997</x:v>
      </x:c>
      <x:c r="J29" s="92" t="n">
        <x:f>I29*(1+Assumptions!$D$15)</x:f>
        <x:v>417732.83251876757</x:v>
      </x:c>
      <x:c r="K29" s="94" t="n">
        <x:f>Assumptions!$D$17</x:f>
        <x:v>0.075</x:v>
      </x:c>
      <x:c r="L29" s="94" t="n">
        <x:f>Assumptions!$D$18</x:f>
        <x:v>0.035</x:v>
      </x:c>
      <x:c r="M29" s="92" t="n">
        <x:f>J29*Assumptions!$D$20*Assumptions!$D$21*(L29-K29)</x:f>
        <x:v>-10025.58798045042</x:v>
      </x:c>
      <x:c r="N29" s="92" t="n">
        <x:f>'Demand Debt'!$D$26*Assumptions!$D$23/6</x:f>
        <x:v>14600.056135533117</x:v>
      </x:c>
      <x:c r="O29" s="92" t="n">
        <x:f>J29+M29-N29</x:f>
        <x:v>393107.188402784</x:v>
      </x:c>
      <x:c r="P29" s="92" t="n">
        <x:f>T28</x:f>
        <x:v>486815.98839526135</x:v>
      </x:c>
      <x:c r="Q29" s="95" t="n">
        <x:f>Supply!D23</x:f>
        <x:v>29</x:v>
      </x:c>
      <x:c r="R29" s="92" t="n">
        <x:f>(Supply!E23+P29)/(1+Q29/Assumptions!$D$33)</x:f>
        <x:v>514482.70596369216</x:v>
      </x:c>
      <x:c r="S29" s="71" t="n">
        <x:f>MIN(O29,R29)</x:f>
        <x:v>393107.188402784</x:v>
      </x:c>
      <x:c r="T29" s="92" t="n">
        <x:f>S29/Assumptions!$D$33*Q29</x:f>
        <x:v>380003.61545602453</x:v>
      </x:c>
      <x:c r="U29" s="92"/>
      <x:c r="V29" s="92" t="n">
        <x:f>S29+T29-P29</x:f>
        <x:v>286294.81546354713</x:v>
      </x:c>
      <x:c r="W29" s="90" t="n">
        <x:f>S29/I29-1</x:f>
        <x:v>0.006922747859617662</x:v>
      </x:c>
      <x:c r="X29" s="90"/>
      <x:c r="Y29" s="90" t="n">
        <x:f>R29/S29-1</x:f>
        <x:v>0.3087593438676701</x:v>
      </x:c>
      <x:c r="Z29" s="2"/>
    </x:row>
    <x:row r="30">
      <x:c r="A30" s="2"/>
      <x:c r="B30" s="2"/>
      <x:c r="C30" s="96" t="n">
        <x:v>46447</x:v>
      </x:c>
      <x:c r="D30" s="97" t="str">
        <x:v>FY:27</x:v>
      </x:c>
      <x:c r="E30" s="97" t="str">
        <x:v>Forecast</x:v>
      </x:c>
      <x:c r="F30" s="73"/>
      <x:c r="G30" s="93"/>
      <x:c r="H30" s="73"/>
      <x:c r="I30" s="92" t="n">
        <x:f>S18</x:f>
        <x:v>435278.96246488276</x:v>
      </x:c>
      <x:c r="J30" s="92" t="n">
        <x:f>I30*(1+Assumptions!$D$15)</x:f>
        <x:v>465748.4898374246</x:v>
      </x:c>
      <x:c r="K30" s="94" t="n">
        <x:f>Assumptions!$D$17</x:f>
        <x:v>0.075</x:v>
      </x:c>
      <x:c r="L30" s="94" t="n">
        <x:f>Assumptions!$D$18</x:f>
        <x:v>0.035</x:v>
      </x:c>
      <x:c r="M30" s="92" t="n">
        <x:f>J30*Assumptions!$D$20*Assumptions!$D$21*(L30-K30)</x:f>
        <x:v>-11177.963756098188</x:v>
      </x:c>
      <x:c r="N30" s="92" t="n">
        <x:f>'Demand Debt'!$D$26*Assumptions!$D$23/6</x:f>
        <x:v>14600.056135533117</x:v>
      </x:c>
      <x:c r="O30" s="92" t="n">
        <x:f>J30+M30-N30</x:f>
        <x:v>439970.4699457933</x:v>
      </x:c>
      <x:c r="P30" s="92" t="n">
        <x:f>T29</x:f>
        <x:v>380003.61545602453</x:v>
      </x:c>
      <x:c r="Q30" s="95" t="n">
        <x:f>Supply!D24</x:f>
        <x:v>28</x:v>
      </x:c>
      <x:c r="R30" s="92" t="n">
        <x:f>(Supply!E24+P30)/(1+Q30/Assumptions!$D$33)</x:f>
        <x:v>468105.31833932304</x:v>
      </x:c>
      <x:c r="S30" s="71" t="n">
        <x:f>MIN(O30,R30)</x:f>
        <x:v>439970.4699457933</x:v>
      </x:c>
      <x:c r="T30" s="92" t="n">
        <x:f>S30/Assumptions!$D$33*Q30</x:f>
        <x:v>410639.1052827404</x:v>
      </x:c>
      <x:c r="U30" s="92"/>
      <x:c r="V30" s="92" t="n">
        <x:f>S30+T30-P30</x:f>
        <x:v>470605.9597725092</x:v>
      </x:c>
      <x:c r="W30" s="90" t="n">
        <x:f>S30/I30-1</x:f>
        <x:v>0.010778162708217298</x:v>
      </x:c>
      <x:c r="X30" s="90"/>
      <x:c r="Y30" s="90" t="n">
        <x:f>R30/S30-1</x:f>
        <x:v>0.06394712899026178</x:v>
      </x:c>
      <x:c r="Z30" s="2"/>
    </x:row>
    <x:row r="31">
      <x:c r="A31" s="2"/>
      <x:c r="B31" s="2"/>
      <x:c r="C31" s="96" t="n">
        <x:v>46478</x:v>
      </x:c>
      <x:c r="D31" s="97" t="str">
        <x:v>FY:28</x:v>
      </x:c>
      <x:c r="E31" s="97" t="str">
        <x:v>Forecast</x:v>
      </x:c>
      <x:c r="F31" s="73"/>
      <x:c r="G31" s="93"/>
      <x:c r="H31" s="73"/>
      <x:c r="I31" s="92" t="n">
        <x:f>S19</x:f>
        <x:v>419839.35256590013</x:v>
      </x:c>
      <x:c r="J31" s="92" t="n">
        <x:f>I31*(1+Assumptions!$D$16)</x:f>
        <x:v>449228.1072455132</x:v>
      </x:c>
      <x:c r="K31" s="94" t="n">
        <x:f>Assumptions!$D$18</x:f>
        <x:v>0.035</x:v>
      </x:c>
      <x:c r="L31" s="94" t="n">
        <x:f>Assumptions!$D$19</x:f>
        <x:v>0.02</x:v>
      </x:c>
      <x:c r="M31" s="92" t="n">
        <x:f>J31*Assumptions!$D$20*Assumptions!$D$21*(L31-K31)</x:f>
        <x:v>-4043.052965209619</x:v>
      </x:c>
      <x:c r="N31" s="92" t="n">
        <x:f>'Demand Debt'!$D$26*(1-Assumptions!$D$23)*Assumptions!$D$24/12</x:f>
        <x:v>16425.06315247476</x:v>
      </x:c>
      <x:c r="O31" s="92" t="n">
        <x:f>J31+M31-N31</x:f>
        <x:v>428759.9911278288</x:v>
      </x:c>
      <x:c r="P31" s="92" t="n">
        <x:f>T30</x:f>
        <x:v>410639.1052827404</x:v>
      </x:c>
      <x:c r="Q31" s="95" t="n">
        <x:f>Supply!D25</x:f>
        <x:v>28</x:v>
      </x:c>
      <x:c r="R31" s="92" t="n">
        <x:f>(Supply!E25+P31)/(1+Q31/Assumptions!$D$33)</x:f>
        <x:v>512399.53721521056</x:v>
      </x:c>
      <x:c r="S31" s="71" t="n">
        <x:f>MIN(O31,R31)</x:f>
        <x:v>428759.9911278288</x:v>
      </x:c>
      <x:c r="T31" s="92" t="n">
        <x:f>S31/Assumptions!$D$33*Q31</x:f>
        <x:v>400175.99171930685</x:v>
      </x:c>
      <x:c r="U31" s="92"/>
      <x:c r="V31" s="92" t="n">
        <x:f>S31+T31-P31</x:f>
        <x:v>418296.87756439525</x:v>
      </x:c>
      <x:c r="W31" s="90" t="n">
        <x:f>S31/I31-1</x:f>
        <x:v>0.02124774275543495</x:v>
      </x:c>
      <x:c r="X31" s="90" t="n">
        <x:f>SQRT(S31/S7)-1</x:f>
        <x:v>0.0851542398902354</x:v>
      </x:c>
      <x:c r="Y31" s="90" t="n">
        <x:f>R31/S31-1</x:f>
        <x:v>0.19507311273930372</x:v>
      </x:c>
      <x:c r="Z31" s="2"/>
    </x:row>
    <x:row r="32">
      <x:c r="A32" s="2"/>
      <x:c r="B32" s="2"/>
      <x:c r="C32" s="96" t="n">
        <x:v>46508</x:v>
      </x:c>
      <x:c r="D32" s="97" t="str">
        <x:v>FY:28</x:v>
      </x:c>
      <x:c r="E32" s="97" t="str">
        <x:v>Forecast</x:v>
      </x:c>
      <x:c r="F32" s="73"/>
      <x:c r="G32" s="93"/>
      <x:c r="H32" s="73"/>
      <x:c r="I32" s="92" t="n">
        <x:f>S20</x:f>
        <x:v>414929.34857521893</x:v>
      </x:c>
      <x:c r="J32" s="92" t="n">
        <x:f>I32*(1+Assumptions!$D$16)</x:f>
        <x:v>443974.40297548426</x:v>
      </x:c>
      <x:c r="K32" s="94" t="n">
        <x:f>Assumptions!$D$18</x:f>
        <x:v>0.035</x:v>
      </x:c>
      <x:c r="L32" s="94" t="n">
        <x:f>Assumptions!$D$19</x:f>
        <x:v>0.02</x:v>
      </x:c>
      <x:c r="M32" s="92" t="n">
        <x:f>J32*Assumptions!$D$20*Assumptions!$D$21*(L32-K32)</x:f>
        <x:v>-3995.769626779359</x:v>
      </x:c>
      <x:c r="N32" s="92" t="n">
        <x:f>'Demand Debt'!$D$26*(1-Assumptions!$D$23)*Assumptions!$D$24/12</x:f>
        <x:v>16425.06315247476</x:v>
      </x:c>
      <x:c r="O32" s="92" t="n">
        <x:f>J32+M32-N32</x:f>
        <x:v>423553.57019623014</x:v>
      </x:c>
      <x:c r="P32" s="92" t="n">
        <x:f>T31</x:f>
        <x:v>400175.99171930685</x:v>
      </x:c>
      <x:c r="Q32" s="95" t="n">
        <x:f>Supply!D26</x:f>
        <x:v>28</x:v>
      </x:c>
      <x:c r="R32" s="92" t="n">
        <x:f>(Supply!E26+P32)/(1+Q32/Assumptions!$D$33)</x:f>
        <x:v>506987.58192377945</x:v>
      </x:c>
      <x:c r="S32" s="71" t="n">
        <x:f>MIN(O32,R32)</x:f>
        <x:v>423553.57019623014</x:v>
      </x:c>
      <x:c r="T32" s="92" t="n">
        <x:f>S32/Assumptions!$D$33*Q32</x:f>
        <x:v>395316.6655164815</x:v>
      </x:c>
      <x:c r="U32" s="92"/>
      <x:c r="V32" s="92" t="n">
        <x:f>S32+T32-P32</x:f>
        <x:v>418694.24399340485</x:v>
      </x:c>
      <x:c r="W32" s="90" t="n">
        <x:f>S32/I32-1</x:f>
        <x:v>0.02078479541306244</x:v>
      </x:c>
      <x:c r="X32" s="90" t="n">
        <x:f>SQRT(S32/S8)-1</x:f>
        <x:v>0.13700731844283376</x:v>
      </x:c>
      <x:c r="Y32" s="90" t="n">
        <x:f>R32/S32-1</x:f>
        <x:v>0.19698573592212854</x:v>
      </x:c>
      <x:c r="Z32" s="2"/>
    </x:row>
    <x:row r="33">
      <x:c r="A33" s="2"/>
      <x:c r="B33" s="2"/>
      <x:c r="C33" s="96" t="n">
        <x:v>46539</x:v>
      </x:c>
      <x:c r="D33" s="97" t="str">
        <x:v>FY:28</x:v>
      </x:c>
      <x:c r="E33" s="97" t="str">
        <x:v>Forecast</x:v>
      </x:c>
      <x:c r="F33" s="73"/>
      <x:c r="G33" s="93"/>
      <x:c r="H33" s="73"/>
      <x:c r="I33" s="92" t="n">
        <x:f>S21</x:f>
        <x:v>423444.55700742046</x:v>
      </x:c>
      <x:c r="J33" s="92" t="n">
        <x:f>I33*(1+Assumptions!$D$16)</x:f>
        <x:v>453085.6759979399</x:v>
      </x:c>
      <x:c r="K33" s="94" t="n">
        <x:f>Assumptions!$D$18</x:f>
        <x:v>0.035</x:v>
      </x:c>
      <x:c r="L33" s="94" t="n">
        <x:f>Assumptions!$D$19</x:f>
        <x:v>0.02</x:v>
      </x:c>
      <x:c r="M33" s="92" t="n">
        <x:f>J33*Assumptions!$D$20*Assumptions!$D$21*(L33-K33)</x:f>
        <x:v>-4077.7710839814604</x:v>
      </x:c>
      <x:c r="N33" s="92" t="n">
        <x:f>'Demand Debt'!$D$26*(1-Assumptions!$D$23)*Assumptions!$D$24/12</x:f>
        <x:v>16425.06315247476</x:v>
      </x:c>
      <x:c r="O33" s="92" t="n">
        <x:f>J33+M33-N33</x:f>
        <x:v>432582.8417614837</x:v>
      </x:c>
      <x:c r="P33" s="92" t="n">
        <x:f>T32</x:f>
        <x:v>395316.6655164815</x:v>
      </x:c>
      <x:c r="Q33" s="95" t="n">
        <x:f>Supply!D27</x:f>
        <x:v>28</x:v>
      </x:c>
      <x:c r="R33" s="92" t="n">
        <x:f>(Supply!E27+P33)/(1+Q33/Assumptions!$D$33)</x:f>
        <x:v>504474.1373361111</x:v>
      </x:c>
      <x:c r="S33" s="71" t="n">
        <x:f>MIN(O33,R33)</x:f>
        <x:v>432582.8417614837</x:v>
      </x:c>
      <x:c r="T33" s="92" t="n">
        <x:f>S33/Assumptions!$D$33*Q33</x:f>
        <x:v>403743.98564405146</x:v>
      </x:c>
      <x:c r="U33" s="92"/>
      <x:c r="V33" s="92" t="n">
        <x:f>S33+T33-P33</x:f>
        <x:v>441010.16188905365</x:v>
      </x:c>
      <x:c r="W33" s="90" t="n">
        <x:f>S33/I33-1</x:f>
        <x:v>0.02158082942108308</x:v>
      </x:c>
      <x:c r="X33" s="90" t="n">
        <x:f>SQRT(S33/S9)-1</x:f>
        <x:v>0.14430837272133235</x:v>
      </x:c>
      <x:c r="Y33" s="90" t="n">
        <x:f>R33/S33-1</x:f>
        <x:v>0.16619081626512267</x:v>
      </x:c>
      <x:c r="Z33" s="2"/>
    </x:row>
    <x:row r="34">
      <x:c r="A34" s="2"/>
      <x:c r="B34" s="2"/>
      <x:c r="C34" s="96" t="n">
        <x:v>46569</x:v>
      </x:c>
      <x:c r="D34" s="97" t="str">
        <x:v>FY:28</x:v>
      </x:c>
      <x:c r="E34" s="97" t="str">
        <x:v>Forecast</x:v>
      </x:c>
      <x:c r="F34" s="73"/>
      <x:c r="G34" s="93"/>
      <x:c r="H34" s="73"/>
      <x:c r="I34" s="92" t="n">
        <x:f>S22</x:f>
        <x:v>429321.30821541045</x:v>
      </x:c>
      <x:c r="J34" s="92" t="n">
        <x:f>I34*(1+Assumptions!$D$16)</x:f>
        <x:v>459373.7997904892</x:v>
      </x:c>
      <x:c r="K34" s="94" t="n">
        <x:f>Assumptions!$D$18</x:f>
        <x:v>0.035</x:v>
      </x:c>
      <x:c r="L34" s="94" t="n">
        <x:f>Assumptions!$D$19</x:f>
        <x:v>0.02</x:v>
      </x:c>
      <x:c r="M34" s="92" t="n">
        <x:f>J34*Assumptions!$D$20*Assumptions!$D$21*(L34-K34)</x:f>
        <x:v>-4134.364198114404</x:v>
      </x:c>
      <x:c r="N34" s="92" t="n">
        <x:f>'Demand Debt'!$D$26*(1-Assumptions!$D$23)*Assumptions!$D$24/12</x:f>
        <x:v>16425.06315247476</x:v>
      </x:c>
      <x:c r="O34" s="92" t="n">
        <x:f>J34+M34-N34</x:f>
        <x:v>438814.3724399</x:v>
      </x:c>
      <x:c r="P34" s="92" t="n">
        <x:f>T33</x:f>
        <x:v>403743.98564405146</x:v>
      </x:c>
      <x:c r="Q34" s="95" t="n">
        <x:f>Supply!D28</x:f>
        <x:v>28</x:v>
      </x:c>
      <x:c r="R34" s="92" t="n">
        <x:f>(Supply!E28+P34)/(1+Q34/Assumptions!$D$33)</x:f>
        <x:v>508833.09602278523</x:v>
      </x:c>
      <x:c r="S34" s="71" t="n">
        <x:f>MIN(O34,R34)</x:f>
        <x:v>438814.3724399</x:v>
      </x:c>
      <x:c r="T34" s="92" t="n">
        <x:f>S34/Assumptions!$D$33*Q34</x:f>
        <x:v>409560.0809439067</x:v>
      </x:c>
      <x:c r="U34" s="92"/>
      <x:c r="V34" s="92" t="n">
        <x:f>S34+T34-P34</x:f>
        <x:v>444630.4677397552</x:v>
      </x:c>
      <x:c r="W34" s="90" t="n">
        <x:f>S34/I34-1</x:f>
        <x:v>0.022111793761064424</x:v>
      </x:c>
      <x:c r="X34" s="90" t="n">
        <x:f>SQRT(S34/S10)-1</x:f>
        <x:v>0.11856997451774065</x:v>
      </x:c>
      <x:c r="Y34" s="90" t="n">
        <x:f>R34/S34-1</x:f>
        <x:v>0.15956342358060516</x:v>
      </x:c>
      <x:c r="Z34" s="2"/>
    </x:row>
    <x:row r="35">
      <x:c r="A35" s="2"/>
      <x:c r="B35" s="2"/>
      <x:c r="C35" s="96" t="n">
        <x:v>46600</x:v>
      </x:c>
      <x:c r="D35" s="97" t="str">
        <x:v>FY:28</x:v>
      </x:c>
      <x:c r="E35" s="97" t="str">
        <x:v>Forecast</x:v>
      </x:c>
      <x:c r="F35" s="73"/>
      <x:c r="G35" s="93"/>
      <x:c r="H35" s="73"/>
      <x:c r="I35" s="92" t="n">
        <x:f>S23</x:f>
        <x:v>414730.43363604986</x:v>
      </x:c>
      <x:c r="J35" s="92" t="n">
        <x:f>I35*(1+Assumptions!$D$16)</x:f>
        <x:v>443761.5639905734</x:v>
      </x:c>
      <x:c r="K35" s="94" t="n">
        <x:f>Assumptions!$D$18</x:f>
        <x:v>0.035</x:v>
      </x:c>
      <x:c r="L35" s="94" t="n">
        <x:f>Assumptions!$D$19</x:f>
        <x:v>0.02</x:v>
      </x:c>
      <x:c r="M35" s="92" t="n">
        <x:f>J35*Assumptions!$D$20*Assumptions!$D$21*(L35-K35)</x:f>
        <x:v>-3993.8540759151615</x:v>
      </x:c>
      <x:c r="N35" s="92" t="n">
        <x:f>'Demand Debt'!$D$26*(1-Assumptions!$D$23)*Assumptions!$D$24/12</x:f>
        <x:v>16425.06315247476</x:v>
      </x:c>
      <x:c r="O35" s="92" t="n">
        <x:f>J35+M35-N35</x:f>
        <x:v>423342.64676218346</x:v>
      </x:c>
      <x:c r="P35" s="92" t="n">
        <x:f>T34</x:f>
        <x:v>409560.0809439067</x:v>
      </x:c>
      <x:c r="Q35" s="95" t="n">
        <x:f>Supply!D29</x:f>
        <x:v>28</x:v>
      </x:c>
      <x:c r="R35" s="92" t="n">
        <x:f>(Supply!E29+P35)/(1+Q35/Assumptions!$D$33)</x:f>
        <x:v>511841.42117788276</x:v>
      </x:c>
      <x:c r="S35" s="71" t="n">
        <x:f>MIN(O35,R35)</x:f>
        <x:v>423342.64676218346</x:v>
      </x:c>
      <x:c r="T35" s="92" t="n">
        <x:f>S35/Assumptions!$D$33*Q35</x:f>
        <x:v>395119.8036447046</x:v>
      </x:c>
      <x:c r="U35" s="92"/>
      <x:c r="V35" s="92" t="n">
        <x:f>S35+T35-P35</x:f>
        <x:v>408902.36946298135</x:v>
      </x:c>
      <x:c r="W35" s="90" t="n">
        <x:f>S35/I35-1</x:f>
        <x:v>0.02076580937315864</x:v>
      </x:c>
      <x:c r="X35" s="90" t="n">
        <x:f>SQRT(S35/S11)-1</x:f>
        <x:v>0.10374526200260448</x:v>
      </x:c>
      <x:c r="Y35" s="90" t="n">
        <x:f>R35/S35-1</x:f>
        <x:v>0.20904762393431686</x:v>
      </x:c>
      <x:c r="Z35" s="2"/>
    </x:row>
    <x:row r="36">
      <x:c r="A36" s="2"/>
      <x:c r="B36" s="2"/>
      <x:c r="C36" s="96" t="n">
        <x:v>46631</x:v>
      </x:c>
      <x:c r="D36" s="97" t="str">
        <x:v>FY:28</x:v>
      </x:c>
      <x:c r="E36" s="97" t="str">
        <x:v>Forecast</x:v>
      </x:c>
      <x:c r="F36" s="73"/>
      <x:c r="G36" s="93"/>
      <x:c r="H36" s="73"/>
      <x:c r="I36" s="92" t="n">
        <x:f>S24</x:f>
        <x:v>450000</x:v>
      </x:c>
      <x:c r="J36" s="92" t="n">
        <x:f>I36*(1+Assumptions!$D$16)</x:f>
        <x:v>481500</x:v>
      </x:c>
      <x:c r="K36" s="94" t="n">
        <x:f>Assumptions!$D$18</x:f>
        <x:v>0.035</x:v>
      </x:c>
      <x:c r="L36" s="94" t="n">
        <x:f>Assumptions!$D$19</x:f>
        <x:v>0.02</x:v>
      </x:c>
      <x:c r="M36" s="92" t="n">
        <x:f>J36*Assumptions!$D$20*Assumptions!$D$21*(L36-K36)</x:f>
        <x:v>-4333.500000000001</x:v>
      </x:c>
      <x:c r="N36" s="92" t="n">
        <x:f>'Demand Debt'!$D$26*(1-Assumptions!$D$23)*Assumptions!$D$24/12</x:f>
        <x:v>16425.06315247476</x:v>
      </x:c>
      <x:c r="O36" s="92" t="n">
        <x:f>J36+M36-N36</x:f>
        <x:v>460741.43684752524</x:v>
      </x:c>
      <x:c r="P36" s="92" t="n">
        <x:f>T35</x:f>
        <x:v>395119.8036447046</x:v>
      </x:c>
      <x:c r="Q36" s="95" t="n">
        <x:f>Supply!D30</x:f>
        <x:v>28</x:v>
      </x:c>
      <x:c r="R36" s="92" t="n">
        <x:f>(Supply!E30+P36)/(1+Q36/Assumptions!$D$33)</x:f>
        <x:v>504372.31223001966</x:v>
      </x:c>
      <x:c r="S36" s="71" t="n">
        <x:f>MIN(O36,R36)</x:f>
        <x:v>460741.43684752524</x:v>
      </x:c>
      <x:c r="T36" s="92" t="n">
        <x:f>S36/Assumptions!$D$33*Q36</x:f>
        <x:v>430025.3410576902</x:v>
      </x:c>
      <x:c r="U36" s="92"/>
      <x:c r="V36" s="92" t="n">
        <x:f>S36+T36-P36</x:f>
        <x:v>495646.97426051093</x:v>
      </x:c>
      <x:c r="W36" s="90" t="n">
        <x:f>S36/I36-1</x:f>
        <x:v>0.02386985966116728</x:v>
      </x:c>
      <x:c r="X36" s="90" t="n">
        <x:f>SQRT(S36/S12)-1</x:f>
        <x:v>0.24749489471604647</x:v>
      </x:c>
      <x:c r="Y36" s="90" t="n">
        <x:f>R36/S36-1</x:f>
        <x:v>0.09469709449409325</x:v>
      </x:c>
      <x:c r="Z36" s="2"/>
    </x:row>
    <x:row r="37">
      <x:c r="A37" s="2"/>
      <x:c r="B37" s="2"/>
      <x:c r="C37" s="96" t="n">
        <x:v>46661</x:v>
      </x:c>
      <x:c r="D37" s="97" t="str">
        <x:v>FY:28</x:v>
      </x:c>
      <x:c r="E37" s="97" t="str">
        <x:v>Forecast</x:v>
      </x:c>
      <x:c r="F37" s="73"/>
      <x:c r="G37" s="93"/>
      <x:c r="H37" s="73"/>
      <x:c r="I37" s="92" t="n">
        <x:f>S25</x:f>
        <x:v>474695.5770174761</x:v>
      </x:c>
      <x:c r="J37" s="92" t="n">
        <x:f>I37*(1+Assumptions!$D$16)</x:f>
        <x:v>507924.26740869944</x:v>
      </x:c>
      <x:c r="K37" s="94" t="n">
        <x:f>Assumptions!$D$18</x:f>
        <x:v>0.035</x:v>
      </x:c>
      <x:c r="L37" s="94" t="n">
        <x:f>Assumptions!$D$19</x:f>
        <x:v>0.02</x:v>
      </x:c>
      <x:c r="M37" s="92" t="n">
        <x:f>J37*Assumptions!$D$20*Assumptions!$D$21*(L37-K37)</x:f>
        <x:v>-4571.318406678296</x:v>
      </x:c>
      <x:c r="N37" s="92" t="n">
        <x:f>'Demand Debt'!$D$26*(1-Assumptions!$D$23)*Assumptions!$D$24/12</x:f>
        <x:v>16425.06315247476</x:v>
      </x:c>
      <x:c r="O37" s="92" t="n">
        <x:f>J37+M37-N37</x:f>
        <x:v>486927.8858495464</x:v>
      </x:c>
      <x:c r="P37" s="92" t="n">
        <x:f>T36</x:f>
        <x:v>430025.3410576902</x:v>
      </x:c>
      <x:c r="Q37" s="95" t="n">
        <x:f>Supply!D31</x:f>
        <x:v>28</x:v>
      </x:c>
      <x:c r="R37" s="92" t="n">
        <x:f>(Supply!E31+P37)/(1+Q37/Assumptions!$D$33)</x:f>
        <x:v>522426.90054708114</x:v>
      </x:c>
      <x:c r="S37" s="71" t="n">
        <x:f>MIN(O37,R37)</x:f>
        <x:v>486927.8858495464</x:v>
      </x:c>
      <x:c r="T37" s="92" t="n">
        <x:f>S37/Assumptions!$D$33*Q37</x:f>
        <x:v>454466.02679290995</x:v>
      </x:c>
      <x:c r="U37" s="92"/>
      <x:c r="V37" s="92" t="n">
        <x:f>S37+T37-P37</x:f>
        <x:v>511368.57158476615</x:v>
      </x:c>
      <x:c r="W37" s="90" t="n">
        <x:f>S37/I37-1</x:f>
        <x:v>0.02576874406314511</x:v>
      </x:c>
      <x:c r="X37" s="90" t="n">
        <x:f>SQRT(S37/S13)-1</x:f>
        <x:v>-0.060118905275254875</x:v>
      </x:c>
      <x:c r="Y37" s="90" t="n">
        <x:f>R37/S37-1</x:f>
        <x:v>0.07290404950950657</x:v>
      </x:c>
      <x:c r="Z37" s="2"/>
    </x:row>
    <x:row r="38">
      <x:c r="A38" s="2"/>
      <x:c r="B38" s="2"/>
      <x:c r="C38" s="96" t="n">
        <x:v>46692</x:v>
      </x:c>
      <x:c r="D38" s="97" t="str">
        <x:v>FY:28</x:v>
      </x:c>
      <x:c r="E38" s="97" t="str">
        <x:v>Forecast</x:v>
      </x:c>
      <x:c r="F38" s="73"/>
      <x:c r="G38" s="93"/>
      <x:c r="H38" s="73"/>
      <x:c r="I38" s="92" t="n">
        <x:f>S26</x:f>
        <x:v>476178.5412709935</x:v>
      </x:c>
      <x:c r="J38" s="92" t="n">
        <x:f>I38*(1+Assumptions!$D$16)</x:f>
        <x:v>509511.039159963</x:v>
      </x:c>
      <x:c r="K38" s="94" t="n">
        <x:f>Assumptions!$D$18</x:f>
        <x:v>0.035</x:v>
      </x:c>
      <x:c r="L38" s="94" t="n">
        <x:f>Assumptions!$D$19</x:f>
        <x:v>0.02</x:v>
      </x:c>
      <x:c r="M38" s="92" t="n">
        <x:f>J38*Assumptions!$D$20*Assumptions!$D$21*(L38-K38)</x:f>
        <x:v>-4585.599352439668</x:v>
      </x:c>
      <x:c r="N38" s="92" t="n">
        <x:f>'Demand Debt'!$D$26*(1-Assumptions!$D$23)*Assumptions!$D$24/12</x:f>
        <x:v>16425.06315247476</x:v>
      </x:c>
      <x:c r="O38" s="92" t="n">
        <x:f>J38+M38-N38</x:f>
        <x:v>488500.3766550486</x:v>
      </x:c>
      <x:c r="P38" s="92" t="n">
        <x:f>T37</x:f>
        <x:v>454466.02679290995</x:v>
      </x:c>
      <x:c r="Q38" s="95" t="n">
        <x:f>Supply!D32</x:f>
        <x:v>28</x:v>
      </x:c>
      <x:c r="R38" s="92" t="n">
        <x:f>(Supply!E32+P38)/(1+Q38/Assumptions!$D$33)</x:f>
        <x:v>535068.6345480569</x:v>
      </x:c>
      <x:c r="S38" s="71" t="n">
        <x:f>MIN(O38,R38)</x:f>
        <x:v>488500.3766550486</x:v>
      </x:c>
      <x:c r="T38" s="92" t="n">
        <x:f>S38/Assumptions!$D$33*Q38</x:f>
        <x:v>455933.68487804534</x:v>
      </x:c>
      <x:c r="U38" s="92"/>
      <x:c r="V38" s="92" t="n">
        <x:f>S38+T38-P38</x:f>
        <x:v>489968.03474018397</x:v>
      </x:c>
      <x:c r="W38" s="90" t="n">
        <x:f>S38/I38-1</x:f>
        <x:v>0.0258765028578698</x:v>
      </x:c>
      <x:c r="X38" s="90" t="n">
        <x:f>SQRT(S38/S14)-1</x:f>
        <x:v>0.12312043068381362</x:v>
      </x:c>
      <x:c r="Y38" s="90" t="n">
        <x:f>R38/S38-1</x:f>
        <x:v>0.09532901123204707</x:v>
      </x:c>
      <x:c r="Z38" s="2"/>
    </x:row>
    <x:row r="39">
      <x:c r="A39" s="2"/>
      <x:c r="B39" s="2"/>
      <x:c r="C39" s="96" t="n">
        <x:v>46722</x:v>
      </x:c>
      <x:c r="D39" s="97" t="str">
        <x:v>FY:28</x:v>
      </x:c>
      <x:c r="E39" s="97" t="str">
        <x:v>Forecast</x:v>
      </x:c>
      <x:c r="F39" s="73"/>
      <x:c r="G39" s="93"/>
      <x:c r="H39" s="73"/>
      <x:c r="I39" s="92" t="n">
        <x:f>S27</x:f>
        <x:v>420592.478241115</x:v>
      </x:c>
      <x:c r="J39" s="92" t="n">
        <x:f>I39*(1+Assumptions!$D$16)</x:f>
        <x:v>450033.95171799307</x:v>
      </x:c>
      <x:c r="K39" s="94" t="n">
        <x:f>Assumptions!$D$18</x:f>
        <x:v>0.035</x:v>
      </x:c>
      <x:c r="L39" s="94" t="n">
        <x:f>Assumptions!$D$19</x:f>
        <x:v>0.02</x:v>
      </x:c>
      <x:c r="M39" s="92" t="n">
        <x:f>J39*Assumptions!$D$20*Assumptions!$D$21*(L39-K39)</x:f>
        <x:v>-4050.3055654619384</x:v>
      </x:c>
      <x:c r="N39" s="92" t="n">
        <x:f>'Demand Debt'!$D$26*(1-Assumptions!$D$23)*Assumptions!$D$24/12</x:f>
        <x:v>16425.06315247476</x:v>
      </x:c>
      <x:c r="O39" s="92" t="n">
        <x:f>J39+M39-N39</x:f>
        <x:v>429558.5830000564</x:v>
      </x:c>
      <x:c r="P39" s="92" t="n">
        <x:f>T38</x:f>
        <x:v>455933.68487804534</x:v>
      </x:c>
      <x:c r="Q39" s="95" t="n">
        <x:f>Supply!D33</x:f>
        <x:v>28</x:v>
      </x:c>
      <x:c r="R39" s="92" t="n">
        <x:f>(Supply!E33+P39)/(1+Q39/Assumptions!$D$33)</x:f>
        <x:v>535827.7680403683</x:v>
      </x:c>
      <x:c r="S39" s="71" t="n">
        <x:f>MIN(O39,R39)</x:f>
        <x:v>429558.5830000564</x:v>
      </x:c>
      <x:c r="T39" s="92" t="n">
        <x:f>S39/Assumptions!$D$33*Q39</x:f>
        <x:v>400921.3441333859</x:v>
      </x:c>
      <x:c r="U39" s="92"/>
      <x:c r="V39" s="92" t="n">
        <x:f>S39+T39-P39</x:f>
        <x:v>374546.242255397</x:v>
      </x:c>
      <x:c r="W39" s="90" t="n">
        <x:f>S39/I39-1</x:f>
        <x:v>0.021317796258356614</x:v>
      </x:c>
      <x:c r="X39" s="90" t="n">
        <x:f>SQRT(S39/S15)-1</x:f>
        <x:v>0.015283387079473965</x:v>
      </x:c>
      <x:c r="Y39" s="90" t="n">
        <x:f>R39/S39-1</x:f>
        <x:v>0.2473915997630014</x:v>
      </x:c>
      <x:c r="Z39" s="2"/>
    </x:row>
    <x:row r="40">
      <x:c r="A40" s="2"/>
      <x:c r="B40" s="2"/>
      <x:c r="C40" s="96" t="n">
        <x:v>46753</x:v>
      </x:c>
      <x:c r="D40" s="97" t="str">
        <x:v>FY:28</x:v>
      </x:c>
      <x:c r="E40" s="97" t="str">
        <x:v>Forecast</x:v>
      </x:c>
      <x:c r="F40" s="73"/>
      <x:c r="G40" s="93"/>
      <x:c r="H40" s="73"/>
      <x:c r="I40" s="92" t="n">
        <x:f>S28</x:f>
        <x:v>486815.98839526135</x:v>
      </x:c>
      <x:c r="J40" s="92" t="n">
        <x:f>I40*(1+Assumptions!$D$16)</x:f>
        <x:v>520893.10758292966</x:v>
      </x:c>
      <x:c r="K40" s="94" t="n">
        <x:f>Assumptions!$D$18</x:f>
        <x:v>0.035</x:v>
      </x:c>
      <x:c r="L40" s="94" t="n">
        <x:f>Assumptions!$D$19</x:f>
        <x:v>0.02</x:v>
      </x:c>
      <x:c r="M40" s="92" t="n">
        <x:f>J40*Assumptions!$D$20*Assumptions!$D$21*(L40-K40)</x:f>
        <x:v>-4688.037968246369</x:v>
      </x:c>
      <x:c r="N40" s="92" t="n">
        <x:f>'Demand Debt'!$D$26*(1-Assumptions!$D$23)*Assumptions!$D$24/12</x:f>
        <x:v>16425.06315247476</x:v>
      </x:c>
      <x:c r="O40" s="92" t="n">
        <x:f>J40+M40-N40</x:f>
        <x:v>499780.0064622085</x:v>
      </x:c>
      <x:c r="P40" s="92" t="n">
        <x:f>T39</x:f>
        <x:v>400921.3441333859</x:v>
      </x:c>
      <x:c r="Q40" s="95" t="n">
        <x:f>Supply!D34</x:f>
        <x:v>28</x:v>
      </x:c>
      <x:c r="R40" s="92" t="n">
        <x:f>(Supply!E34+P40)/(1+Q40/Assumptions!$D$33)</x:f>
        <x:v>507373.10903451</x:v>
      </x:c>
      <x:c r="S40" s="71" t="n">
        <x:f>MIN(O40,R40)</x:f>
        <x:v>499780.0064622085</x:v>
      </x:c>
      <x:c r="T40" s="92" t="n">
        <x:f>S40/Assumptions!$D$33*Q40</x:f>
        <x:v>466461.33936472796</x:v>
      </x:c>
      <x:c r="U40" s="92"/>
      <x:c r="V40" s="92" t="n">
        <x:f>S40+T40-P40</x:f>
        <x:v>565320.0016935505</x:v>
      </x:c>
      <x:c r="W40" s="90" t="n">
        <x:f>S40/I40-1</x:f>
        <x:v>0.0266302224577335</x:v>
      </x:c>
      <x:c r="X40" s="90" t="n">
        <x:f>SQRT(S40/S16)-1</x:f>
        <x:v>-0.00792765935678097</x:v>
      </x:c>
      <x:c r="Y40" s="90" t="n">
        <x:f>R40/S40-1</x:f>
        <x:v>0.01519288981976441</x:v>
      </x:c>
      <x:c r="Z40" s="2"/>
    </x:row>
    <x:row r="41">
      <x:c r="A41" s="2"/>
      <x:c r="B41" s="2"/>
      <x:c r="C41" s="96" t="n">
        <x:v>46784</x:v>
      </x:c>
      <x:c r="D41" s="97" t="str">
        <x:v>FY:28</x:v>
      </x:c>
      <x:c r="E41" s="97" t="str">
        <x:v>Forecast</x:v>
      </x:c>
      <x:c r="F41" s="73"/>
      <x:c r="G41" s="93"/>
      <x:c r="H41" s="73"/>
      <x:c r="I41" s="92" t="n">
        <x:f>S29</x:f>
        <x:v>393107.188402784</x:v>
      </x:c>
      <x:c r="J41" s="92" t="n">
        <x:f>I41*(1+Assumptions!$D$16)</x:f>
        <x:v>420624.6915909789</x:v>
      </x:c>
      <x:c r="K41" s="94" t="n">
        <x:f>Assumptions!$D$18</x:f>
        <x:v>0.035</x:v>
      </x:c>
      <x:c r="L41" s="94" t="n">
        <x:f>Assumptions!$D$19</x:f>
        <x:v>0.02</x:v>
      </x:c>
      <x:c r="M41" s="92" t="n">
        <x:f>J41*Assumptions!$D$20*Assumptions!$D$21*(L41-K41)</x:f>
        <x:v>-3785.6222243188113</x:v>
      </x:c>
      <x:c r="N41" s="92" t="n">
        <x:f>'Demand Debt'!$D$26*(1-Assumptions!$D$23)*Assumptions!$D$24/12</x:f>
        <x:v>16425.06315247476</x:v>
      </x:c>
      <x:c r="O41" s="92" t="n">
        <x:f>J41+M41-N41</x:f>
        <x:v>400414.0062141853</x:v>
      </x:c>
      <x:c r="P41" s="92" t="n">
        <x:f>T40</x:f>
        <x:v>466461.33936472796</x:v>
      </x:c>
      <x:c r="Q41" s="95" t="n">
        <x:f>Supply!D35</x:f>
        <x:v>28</x:v>
      </x:c>
      <x:c r="R41" s="92" t="n">
        <x:f>(Supply!E35+P41)/(1+Q41/Assumptions!$D$33)</x:f>
        <x:v>541273.1065679627</x:v>
      </x:c>
      <x:c r="S41" s="71" t="n">
        <x:f>MIN(O41,R41)</x:f>
        <x:v>400414.0062141853</x:v>
      </x:c>
      <x:c r="T41" s="92" t="n">
        <x:f>S41/Assumptions!$D$33*Q41</x:f>
        <x:v>373719.7391332396</x:v>
      </x:c>
      <x:c r="U41" s="92"/>
      <x:c r="V41" s="92" t="n">
        <x:f>S41+T41-P41</x:f>
        <x:v>307672.4059826969</x:v>
      </x:c>
      <x:c r="W41" s="90" t="n">
        <x:f>S41/I41-1</x:f>
        <x:v>0.018587342147288854</x:v>
      </x:c>
      <x:c r="X41" s="90" t="n">
        <x:f>SQRT(S41/S17)-1</x:f>
        <x:v>0.01273825122287775</x:v>
      </x:c>
      <x:c r="Y41" s="90" t="n">
        <x:f>R41/S41-1</x:f>
        <x:v>0.35178364934225215</x:v>
      </x:c>
      <x:c r="Z41" s="2"/>
    </x:row>
    <x:row r="42">
      <x:c r="A42" s="2"/>
      <x:c r="B42" s="2"/>
      <x:c r="C42" s="96" t="n">
        <x:v>46813</x:v>
      </x:c>
      <x:c r="D42" s="97" t="str">
        <x:v>FY:28</x:v>
      </x:c>
      <x:c r="E42" s="97" t="str">
        <x:v>Forecast</x:v>
      </x:c>
      <x:c r="F42" s="73"/>
      <x:c r="G42" s="93"/>
      <x:c r="H42" s="73"/>
      <x:c r="I42" s="92" t="n">
        <x:f>S30</x:f>
        <x:v>439970.4699457933</x:v>
      </x:c>
      <x:c r="J42" s="92" t="n">
        <x:f>I42*(1+Assumptions!$D$16)</x:f>
        <x:v>470768.40284199885</x:v>
      </x:c>
      <x:c r="K42" s="94" t="n">
        <x:f>Assumptions!$D$18</x:f>
        <x:v>0.035</x:v>
      </x:c>
      <x:c r="L42" s="94" t="n">
        <x:f>Assumptions!$D$19</x:f>
        <x:v>0.02</x:v>
      </x:c>
      <x:c r="M42" s="92" t="n">
        <x:f>J42*Assumptions!$D$20*Assumptions!$D$21*(L42-K42)</x:f>
        <x:v>-4236.915625577991</x:v>
      </x:c>
      <x:c r="N42" s="92" t="n">
        <x:f>'Demand Debt'!$D$26*(1-Assumptions!$D$23)*Assumptions!$D$24/12</x:f>
        <x:v>16425.06315247476</x:v>
      </x:c>
      <x:c r="O42" s="92" t="n">
        <x:f>J42+M42-N42</x:f>
        <x:v>450106.4240639461</x:v>
      </x:c>
      <x:c r="P42" s="92" t="n">
        <x:f>T41</x:f>
        <x:v>373719.7391332396</x:v>
      </x:c>
      <x:c r="Q42" s="95" t="n">
        <x:f>Supply!D36</x:f>
        <x:v>28</x:v>
      </x:c>
      <x:c r="R42" s="92" t="n">
        <x:f>(Supply!E36+P42)/(1+Q42/Assumptions!$D$33)</x:f>
        <x:v>493303.3133447791</x:v>
      </x:c>
      <x:c r="S42" s="71" t="n">
        <x:f>MIN(O42,R42)</x:f>
        <x:v>450106.4240639461</x:v>
      </x:c>
      <x:c r="T42" s="92" t="n">
        <x:f>S42/Assumptions!$D$33*Q42</x:f>
        <x:v>420099.3291263497</x:v>
      </x:c>
      <x:c r="U42" s="92"/>
      <x:c r="V42" s="92" t="n">
        <x:f>S42+T42-P42</x:f>
        <x:v>496486.01405705616</x:v>
      </x:c>
      <x:c r="W42" s="90" t="n">
        <x:f>S42/I42-1</x:f>
        <x:v>0.023037805513178355</x:v>
      </x:c>
      <x:c r="X42" s="90" t="n">
        <x:f>SQRT(S42/S18)-1</x:f>
        <x:v>0.016889508962333988</x:v>
      </x:c>
      <x:c r="Y42" s="90" t="n">
        <x:f>R42/S42-1</x:f>
        <x:v>0.09597039049301825</x:v>
      </x:c>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sheetData>
  <x:conditionalFormatting sqref="E7:E42">
    <x:cfRule type="containsText" dxfId="0" priority="1" operator="containsText" text="Forecast"/>
    <x:cfRule type="containsText" dxfId="1" priority="2" operator="containsText" text="Estimate"/>
  </x:conditionalFormatting>
  <x:conditionalFormatting sqref="Y24:Y42">
    <x:cfRule type="cellIs" dxfId="2" priority="3" operator="lessThan">
      <x:formula>0.03</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42" hidden="0" customWidth="1"/>
    <x:col min="4" max="4" width="18" hidden="0" customWidth="1"/>
    <x:col min="5" max="5" width="4" hidden="0" customWidth="1"/>
    <x:col min="6" max="6" width="20" hidden="0" customWidth="1"/>
    <x:col min="7" max="7" width="46" hidden="0" customWidth="1"/>
    <x:col min="8" max="8" width="2"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2"/>
      <x:c r="C2" s="3" t="str">
        <x:v>Demand-debt calculation</x:v>
      </x:c>
      <x:c r="D2" s="2"/>
      <x:c r="E2" s="2"/>
      <x:c r="F2" s="2"/>
      <x:c r="G2" s="2"/>
      <x:c r="H2" s="2"/>
      <x:c r="I2" s="2"/>
      <x:c r="J2" s="2"/>
      <x:c r="K2" s="2"/>
      <x:c r="L2" s="2"/>
      <x:c r="M2" s="2"/>
      <x:c r="N2" s="2"/>
      <x:c r="O2" s="2"/>
      <x:c r="P2" s="2"/>
      <x:c r="Q2" s="2"/>
      <x:c r="R2" s="2"/>
      <x:c r="S2" s="2"/>
      <x:c r="T2" s="2"/>
      <x:c r="U2" s="2"/>
      <x:c r="V2" s="2"/>
      <x:c r="W2" s="2"/>
      <x:c r="X2" s="2"/>
      <x:c r="Y2" s="2"/>
      <x:c r="Z2" s="2"/>
    </x:row>
    <x:row r="3">
      <x:c r="A3" s="2"/>
      <x:c r="B3" s="2"/>
      <x:c r="C3" s="4"/>
      <x:c r="D3" s="4"/>
      <x:c r="E3" s="4"/>
      <x:c r="F3" s="4"/>
      <x:c r="G3" s="4"/>
      <x:c r="H3" s="4"/>
      <x:c r="I3" s="2"/>
      <x:c r="J3" s="2"/>
      <x:c r="K3" s="2"/>
      <x:c r="L3" s="2"/>
      <x:c r="M3" s="2"/>
      <x:c r="N3" s="2"/>
      <x:c r="O3" s="2"/>
      <x:c r="P3" s="2"/>
      <x:c r="Q3" s="2"/>
      <x:c r="R3" s="2"/>
      <x:c r="S3" s="2"/>
      <x:c r="T3" s="2"/>
      <x:c r="U3" s="2"/>
      <x:c r="V3" s="2"/>
      <x:c r="W3" s="2"/>
      <x:c r="X3" s="2"/>
      <x:c r="Y3" s="2"/>
      <x:c r="Z3" s="2"/>
    </x:row>
    <x:row r="4" ht="45" customHeight="1">
      <x:c r="A4" s="2"/>
      <x:c r="B4" s="2"/>
      <x:c r="C4" s="51" t="str">
        <x:v>A positive balance represents post-GST volumes above the no-GST counterfactual and estimated permanent affordability uplift. Only the assumed borrowed share is carried into the forecast.</x:v>
      </x:c>
      <x:c r="D4" s="51"/>
      <x:c r="E4" s="51"/>
      <x:c r="F4" s="51"/>
      <x:c r="G4" s="51"/>
      <x:c r="H4" s="51"/>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2"/>
      <x:c r="C6" s="8" t="str">
        <x:v>FY26 post-GST excess volume</x:v>
      </x:c>
      <x:c r="D6" s="8"/>
      <x:c r="E6" s="8"/>
      <x:c r="F6" s="8"/>
      <x:c r="G6" s="2"/>
      <x:c r="H6" s="2"/>
      <x:c r="I6" s="2"/>
      <x:c r="J6" s="2"/>
      <x:c r="K6" s="2"/>
      <x:c r="L6" s="2"/>
      <x:c r="M6" s="2"/>
      <x:c r="N6" s="2"/>
      <x:c r="O6" s="2"/>
      <x:c r="P6" s="2"/>
      <x:c r="Q6" s="2"/>
      <x:c r="R6" s="2"/>
      <x:c r="S6" s="2"/>
      <x:c r="T6" s="2"/>
      <x:c r="U6" s="2"/>
      <x:c r="V6" s="2"/>
      <x:c r="W6" s="2"/>
      <x:c r="X6" s="2"/>
      <x:c r="Y6" s="2"/>
      <x:c r="Z6" s="2"/>
    </x:row>
    <x:row r="7">
      <x:c r="A7" s="2"/>
      <x:c r="B7" s="2"/>
      <x:c r="C7" s="2" t="str">
        <x:v>FY25 PV retail actual</x:v>
      </x:c>
      <x:c r="D7" s="92" t="n">
        <x:f>Assumptions!$D$7</x:f>
        <x:v>4163927</x:v>
      </x:c>
      <x:c r="E7" s="2"/>
      <x:c r="F7" s="28" t="str">
        <x:v>Interpretation</x:v>
      </x:c>
      <x:c r="G7" s="36"/>
      <x:c r="H7" s="29"/>
      <x:c r="I7" s="2"/>
      <x:c r="J7" s="2"/>
      <x:c r="K7" s="2"/>
      <x:c r="L7" s="2"/>
      <x:c r="M7" s="2"/>
      <x:c r="N7" s="2"/>
      <x:c r="O7" s="2"/>
      <x:c r="P7" s="2"/>
      <x:c r="Q7" s="2"/>
      <x:c r="R7" s="2"/>
      <x:c r="S7" s="2"/>
      <x:c r="T7" s="2"/>
      <x:c r="U7" s="2"/>
      <x:c r="V7" s="2"/>
      <x:c r="W7" s="2"/>
      <x:c r="X7" s="2"/>
      <x:c r="Y7" s="2"/>
      <x:c r="Z7" s="2"/>
    </x:row>
    <x:row r="8" ht="34" customHeight="1">
      <x:c r="A8" s="2"/>
      <x:c r="B8" s="2"/>
      <x:c r="C8" s="2" t="str">
        <x:v>FY26 no-GST growth</x:v>
      </x:c>
      <x:c r="D8" s="94" t="n">
        <x:f>Assumptions!$D$14</x:f>
        <x:v>0.05</x:v>
      </x:c>
      <x:c r="E8" s="2"/>
      <x:c r="F8" s="2" t="str">
        <x:v>Gross excess</x:v>
      </x:c>
      <x:c r="G8" s="33" t="str">
        <x:v>Actual retail less the no-GST counterfactual.</x:v>
      </x:c>
      <x:c r="H8" s="33"/>
      <x:c r="I8" s="2"/>
      <x:c r="J8" s="2"/>
      <x:c r="K8" s="2"/>
      <x:c r="L8" s="2"/>
      <x:c r="M8" s="2"/>
      <x:c r="N8" s="2"/>
      <x:c r="O8" s="2"/>
      <x:c r="P8" s="2"/>
      <x:c r="Q8" s="2"/>
      <x:c r="R8" s="2"/>
      <x:c r="S8" s="2"/>
      <x:c r="T8" s="2"/>
      <x:c r="U8" s="2"/>
      <x:c r="V8" s="2"/>
      <x:c r="W8" s="2"/>
      <x:c r="X8" s="2"/>
      <x:c r="Y8" s="2"/>
      <x:c r="Z8" s="2"/>
    </x:row>
    <x:row r="9" ht="34" customHeight="1">
      <x:c r="A9" s="2"/>
      <x:c r="B9" s="2"/>
      <x:c r="C9" s="2" t="str">
        <x:v>FY26 no-GST volume</x:v>
      </x:c>
      <x:c r="D9" s="92" t="n">
        <x:f>D7*(1+D8)</x:f>
        <x:v>4372123.350000001</x:v>
      </x:c>
      <x:c r="E9" s="2"/>
      <x:c r="F9" s="2" t="str">
        <x:v>Permanent uplift</x:v>
      </x:c>
      <x:c r="G9" s="33" t="str">
        <x:v>Estimated price-elasticity response to the remaining consumer price benefit.</x:v>
      </x:c>
      <x:c r="H9" s="33"/>
      <x:c r="I9" s="2"/>
      <x:c r="J9" s="2"/>
      <x:c r="K9" s="2"/>
      <x:c r="L9" s="2"/>
      <x:c r="M9" s="2"/>
      <x:c r="N9" s="2"/>
      <x:c r="O9" s="2"/>
      <x:c r="P9" s="2"/>
      <x:c r="Q9" s="2"/>
      <x:c r="R9" s="2"/>
      <x:c r="S9" s="2"/>
      <x:c r="T9" s="2"/>
      <x:c r="U9" s="2"/>
      <x:c r="V9" s="2"/>
      <x:c r="W9" s="2"/>
      <x:c r="X9" s="2"/>
      <x:c r="Y9" s="2"/>
      <x:c r="Z9" s="2"/>
    </x:row>
    <x:row r="10" ht="34" customHeight="1">
      <x:c r="A10" s="2"/>
      <x:c r="B10" s="2"/>
      <x:c r="C10" s="2" t="str">
        <x:v>FY26 PV retail actual</x:v>
      </x:c>
      <x:c r="D10" s="92" t="n">
        <x:f>Assumptions!$D$8</x:f>
        <x:v>4705056</x:v>
      </x:c>
      <x:c r="E10" s="2"/>
      <x:c r="F10" s="2" t="str">
        <x:v>Residual excess</x:v>
      </x:c>
      <x:c r="G10" s="33" t="str">
        <x:v>Volume not explained by the baseline or permanent price response.</x:v>
      </x:c>
      <x:c r="H10" s="33"/>
      <x:c r="I10" s="2"/>
      <x:c r="J10" s="2"/>
      <x:c r="K10" s="2"/>
      <x:c r="L10" s="2"/>
      <x:c r="M10" s="2"/>
      <x:c r="N10" s="2"/>
      <x:c r="O10" s="2"/>
      <x:c r="P10" s="2"/>
      <x:c r="Q10" s="2"/>
      <x:c r="R10" s="2"/>
      <x:c r="S10" s="2"/>
      <x:c r="T10" s="2"/>
      <x:c r="U10" s="2"/>
      <x:c r="V10" s="2"/>
      <x:c r="W10" s="2"/>
      <x:c r="X10" s="2"/>
      <x:c r="Y10" s="2"/>
      <x:c r="Z10" s="2"/>
    </x:row>
    <x:row r="11" ht="34" customHeight="1">
      <x:c r="A11" s="2"/>
      <x:c r="B11" s="2"/>
      <x:c r="C11" s="2" t="str">
        <x:v>Gross excess volume</x:v>
      </x:c>
      <x:c r="D11" s="73" t="n">
        <x:f>D10-D9</x:f>
        <x:v>332932.64999999944</x:v>
      </x:c>
      <x:c r="E11" s="2"/>
      <x:c r="F11" s="2" t="str">
        <x:v>Demand debt</x:v>
      </x:c>
      <x:c r="G11" s="33" t="str">
        <x:v>The assumed portion of residual excess brought forward from later periods.</x:v>
      </x:c>
      <x:c r="H11" s="33"/>
      <x:c r="I11" s="2"/>
      <x:c r="J11" s="2"/>
      <x:c r="K11" s="2"/>
      <x:c r="L11" s="2"/>
      <x:c r="M11" s="2"/>
      <x:c r="N11" s="2"/>
      <x:c r="O11" s="2"/>
      <x:c r="P11" s="2"/>
      <x:c r="Q11" s="2"/>
      <x:c r="R11" s="2"/>
      <x:c r="S11" s="2"/>
      <x:c r="T11" s="2"/>
      <x:c r="U11" s="2"/>
      <x:c r="V11" s="2"/>
      <x:c r="W11" s="2"/>
      <x:c r="X11" s="2"/>
      <x:c r="Y11" s="2"/>
      <x:c r="Z11" s="2"/>
    </x:row>
    <x:row r="12" ht="34" customHeight="1">
      <x:c r="A12" s="2"/>
      <x:c r="B12" s="2"/>
      <x:c r="C12" s="2" t="str">
        <x:v>Average FY26 consumer price benefit</x:v>
      </x:c>
      <x:c r="D12" s="94" t="n">
        <x:f>Assumptions!$D$17*6/12</x:f>
        <x:v>0.0375</x:v>
      </x:c>
      <x:c r="E12" s="2"/>
      <x:c r="F12" s="2" t="str">
        <x:v>Repayment</x:v>
      </x:c>
      <x:c r="G12" s="33" t="str">
        <x:v>Subtracted from forecast demand over Oct-Mar FY27 and FY28.</x:v>
      </x:c>
      <x:c r="H12" s="33"/>
      <x:c r="I12" s="2"/>
      <x:c r="J12" s="2"/>
      <x:c r="K12" s="2"/>
      <x:c r="L12" s="2"/>
      <x:c r="M12" s="2"/>
      <x:c r="N12" s="2"/>
      <x:c r="O12" s="2"/>
      <x:c r="P12" s="2"/>
      <x:c r="Q12" s="2"/>
      <x:c r="R12" s="2"/>
      <x:c r="S12" s="2"/>
      <x:c r="T12" s="2"/>
      <x:c r="U12" s="2"/>
      <x:c r="V12" s="2"/>
      <x:c r="W12" s="2"/>
      <x:c r="X12" s="2"/>
      <x:c r="Y12" s="2"/>
      <x:c r="Z12" s="2"/>
    </x:row>
    <x:row r="13" ht="34" customHeight="1">
      <x:c r="A13" s="2"/>
      <x:c r="B13" s="2"/>
      <x:c r="C13" s="2" t="str">
        <x:v>Estimated permanent affordability uplift</x:v>
      </x:c>
      <x:c r="D13" s="92" t="n">
        <x:f>D9*Assumptions!$D$20*Assumptions!$D$21*D12</x:f>
        <x:v>98372.77537500001</x:v>
      </x:c>
      <x:c r="E13" s="2"/>
      <x:c r="F13" s="2" t="str">
        <x:v>Caveat</x:v>
      </x:c>
      <x:c r="G13" s="33" t="str">
        <x:v>Buyer cohorts and vehicle-age data would improve the borrowed-demand estimate.</x:v>
      </x:c>
      <x:c r="H13" s="33"/>
      <x:c r="I13" s="2"/>
      <x:c r="J13" s="2"/>
      <x:c r="K13" s="2"/>
      <x:c r="L13" s="2"/>
      <x:c r="M13" s="2"/>
      <x:c r="N13" s="2"/>
      <x:c r="O13" s="2"/>
      <x:c r="P13" s="2"/>
      <x:c r="Q13" s="2"/>
      <x:c r="R13" s="2"/>
      <x:c r="S13" s="2"/>
      <x:c r="T13" s="2"/>
      <x:c r="U13" s="2"/>
      <x:c r="V13" s="2"/>
      <x:c r="W13" s="2"/>
      <x:c r="X13" s="2"/>
      <x:c r="Y13" s="2"/>
      <x:c r="Z13" s="2"/>
    </x:row>
    <x:row r="14">
      <x:c r="A14" s="2"/>
      <x:c r="B14" s="2"/>
      <x:c r="C14" s="2" t="str">
        <x:v>Residual excess volume</x:v>
      </x:c>
      <x:c r="D14" s="92" t="n">
        <x:f>MAX(0,D11-D13)</x:f>
        <x:v>234559.87462499941</x:v>
      </x:c>
      <x:c r="E14" s="2"/>
      <x:c r="F14" s="2"/>
      <x:c r="G14" s="2"/>
      <x:c r="H14" s="2"/>
      <x:c r="I14" s="2"/>
      <x:c r="J14" s="2"/>
      <x:c r="K14" s="2"/>
      <x:c r="L14" s="2"/>
      <x:c r="M14" s="2"/>
      <x:c r="N14" s="2"/>
      <x:c r="O14" s="2"/>
      <x:c r="P14" s="2"/>
      <x:c r="Q14" s="2"/>
      <x:c r="R14" s="2"/>
      <x:c r="S14" s="2"/>
      <x:c r="T14" s="2"/>
      <x:c r="U14" s="2"/>
      <x:c r="V14" s="2"/>
      <x:c r="W14" s="2"/>
      <x:c r="X14" s="2"/>
      <x:c r="Y14" s="2"/>
      <x:c r="Z14" s="2"/>
    </x:row>
    <x:row r="15">
      <x:c r="A15" s="2"/>
      <x:c r="B15" s="2"/>
      <x:c r="C15" s="2" t="str">
        <x:v>Share classified as borrowed</x:v>
      </x:c>
      <x:c r="D15" s="94" t="n">
        <x:f>Assumptions!$D$22</x:f>
        <x:v>0.6</x:v>
      </x:c>
      <x:c r="E15" s="2"/>
      <x:c r="F15" s="2"/>
      <x:c r="G15" s="2"/>
      <x:c r="H15" s="2"/>
      <x:c r="I15" s="2"/>
      <x:c r="J15" s="2"/>
      <x:c r="K15" s="2"/>
      <x:c r="L15" s="2"/>
      <x:c r="M15" s="2"/>
      <x:c r="N15" s="2"/>
      <x:c r="O15" s="2"/>
      <x:c r="P15" s="2"/>
      <x:c r="Q15" s="2"/>
      <x:c r="R15" s="2"/>
      <x:c r="S15" s="2"/>
      <x:c r="T15" s="2"/>
      <x:c r="U15" s="2"/>
      <x:c r="V15" s="2"/>
      <x:c r="W15" s="2"/>
      <x:c r="X15" s="2"/>
      <x:c r="Y15" s="2"/>
      <x:c r="Z15" s="2"/>
    </x:row>
    <x:row r="16">
      <x:c r="A16" s="2"/>
      <x:c r="B16" s="2"/>
      <x:c r="C16" s="2" t="str">
        <x:v>FY26 demand debt</x:v>
      </x:c>
      <x:c r="D16" s="73" t="n">
        <x:f>D14*D15</x:f>
        <x:v>140735.92477499964</x:v>
      </x:c>
      <x:c r="E16" s="2"/>
      <x:c r="F16" s="2"/>
      <x:c r="G16" s="2"/>
      <x:c r="H16" s="2"/>
      <x:c r="I16" s="2"/>
      <x:c r="J16" s="2"/>
      <x:c r="K16" s="2"/>
      <x:c r="L16" s="2"/>
      <x:c r="M16" s="2"/>
      <x:c r="N16" s="2"/>
      <x:c r="O16" s="2"/>
      <x:c r="P16" s="2"/>
      <x:c r="Q16" s="2"/>
      <x:c r="R16" s="2"/>
      <x:c r="S16" s="2"/>
      <x:c r="T16" s="2"/>
      <x:c r="U16" s="2"/>
      <x:c r="V16" s="2"/>
      <x:c r="W16" s="2"/>
      <x:c r="X16" s="2"/>
      <x:c r="Y16" s="2"/>
      <x:c r="Z16" s="2"/>
    </x:row>
    <x:row r="17">
      <x:c r="A17" s="2"/>
      <x:c r="B17" s="2"/>
      <x:c r="C17" s="2"/>
      <x:c r="D17" s="73"/>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8" t="str">
        <x:v>FY27 H1 excess volume</x:v>
      </x:c>
      <x:c r="D18" s="98"/>
      <x:c r="E18" s="8"/>
      <x:c r="F18" s="8"/>
      <x:c r="G18" s="2"/>
      <x:c r="H18" s="2"/>
      <x:c r="I18" s="2"/>
      <x:c r="J18" s="2"/>
      <x:c r="K18" s="2"/>
      <x:c r="L18" s="2"/>
      <x:c r="M18" s="2"/>
      <x:c r="N18" s="2"/>
      <x:c r="O18" s="2"/>
      <x:c r="P18" s="2"/>
      <x:c r="Q18" s="2"/>
      <x:c r="R18" s="2"/>
      <x:c r="S18" s="2"/>
      <x:c r="T18" s="2"/>
      <x:c r="U18" s="2"/>
      <x:c r="V18" s="2"/>
      <x:c r="W18" s="2"/>
      <x:c r="X18" s="2"/>
      <x:c r="Y18" s="2"/>
      <x:c r="Z18" s="2"/>
    </x:row>
    <x:row r="19">
      <x:c r="A19" s="2"/>
      <x:c r="B19" s="2"/>
      <x:c r="C19" s="2" t="str">
        <x:v>FY26 H1 PV retail</x:v>
      </x:c>
      <x:c r="D19" s="92" t="n">
        <x:f>SUM(Forecast!$S$7:$S$12)</x:f>
        <x:v>2016368.9888085478</x:v>
      </x:c>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t="str">
        <x:v>FY27 H1 no-GST volume</x:v>
      </x:c>
      <x:c r="D20" s="92" t="n">
        <x:f>D19*(1+Assumptions!$D$15)</x:f>
        <x:v>2157514.818025146</x:v>
      </x:c>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t="str">
        <x:v>FY27 H1 actual / estimate</x:v>
      </x:c>
      <x:c r="D21" s="92" t="n">
        <x:f>SUM(Forecast!$S$19:$S$24)</x:f>
        <x:v>2552264.9999999995</x:v>
      </x:c>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t="str">
        <x:v>Gross excess volume</x:v>
      </x:c>
      <x:c r="D22" s="92" t="n">
        <x:f>D21-D20</x:f>
        <x:v>394750.1819748534</x:v>
      </x:c>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t="str">
        <x:v>Estimated permanent affordability uplift</x:v>
      </x:c>
      <x:c r="D23" s="92" t="n">
        <x:f>D20*Assumptions!$D$20*Assumptions!$D$21*Assumptions!$D$18</x:f>
        <x:v>45307.81117852808</x:v>
      </x:c>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t="str">
        <x:v>Residual excess volume</x:v>
      </x:c>
      <x:c r="D24" s="92" t="n">
        <x:f>MAX(0,D22-D23)</x:f>
        <x:v>349442.3707963253</x:v>
      </x:c>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t="str">
        <x:v>FY27 H1 new demand debt</x:v>
      </x:c>
      <x:c r="D25" s="92" t="n">
        <x:f>D24*Assumptions!$D$22</x:f>
        <x:v>209665.4224777952</x:v>
      </x:c>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54" t="str">
        <x:v>Opening demand debt at 30 September 2026</x:v>
      </x:c>
      <x:c r="D26" s="99" t="n">
        <x:f>D16+D25</x:f>
        <x:v>350401.34725279483</x:v>
      </x:c>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2" hidden="0" customWidth="1"/>
    <x:col min="2" max="2" width="2" hidden="0" customWidth="1"/>
    <x:col min="3" max="3" width="20" hidden="0" customWidth="1"/>
    <x:col min="4" max="4" width="18" hidden="0" customWidth="1"/>
    <x:col min="5" max="5" width="18" hidden="0" customWidth="1"/>
    <x:col min="6" max="6" width="54"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2"/>
      <x:c r="B2" s="2"/>
      <x:c r="C2" s="3" t="str">
        <x:v>Passenger vehicle supply ceiling</x:v>
      </x:c>
      <x:c r="D2" s="2"/>
      <x:c r="E2" s="2"/>
      <x:c r="F2" s="2"/>
      <x:c r="G2" s="2"/>
      <x:c r="H2" s="2"/>
      <x:c r="I2" s="2"/>
      <x:c r="J2" s="2"/>
      <x:c r="K2" s="2"/>
      <x:c r="L2" s="2"/>
      <x:c r="M2" s="2"/>
      <x:c r="N2" s="2"/>
      <x:c r="O2" s="2"/>
      <x:c r="P2" s="2"/>
      <x:c r="Q2" s="2"/>
      <x:c r="R2" s="2"/>
      <x:c r="S2" s="2"/>
      <x:c r="T2" s="2"/>
      <x:c r="U2" s="2"/>
      <x:c r="V2" s="2"/>
      <x:c r="W2" s="2"/>
      <x:c r="X2" s="2"/>
      <x:c r="Y2" s="2"/>
      <x:c r="Z2" s="2"/>
    </x:row>
    <x:row r="3">
      <x:c r="A3" s="2"/>
      <x:c r="B3" s="2"/>
      <x:c r="C3" s="4"/>
      <x:c r="D3" s="4"/>
      <x:c r="E3" s="4"/>
      <x:c r="F3" s="4"/>
      <x:c r="G3" s="4"/>
      <x:c r="H3" s="4"/>
      <x:c r="I3" s="4"/>
      <x:c r="J3" s="4"/>
      <x:c r="K3" s="4"/>
      <x:c r="L3" s="2"/>
      <x:c r="M3" s="2"/>
      <x:c r="N3" s="2"/>
      <x:c r="O3" s="2"/>
      <x:c r="P3" s="2"/>
      <x:c r="Q3" s="2"/>
      <x:c r="R3" s="2"/>
      <x:c r="S3" s="2"/>
      <x:c r="T3" s="2"/>
      <x:c r="U3" s="2"/>
      <x:c r="V3" s="2"/>
      <x:c r="W3" s="2"/>
      <x:c r="X3" s="2"/>
      <x:c r="Y3" s="2"/>
      <x:c r="Z3" s="2"/>
    </x:row>
    <x:row r="4">
      <x:c r="A4" s="2"/>
      <x:c r="B4" s="2"/>
      <x:c r="C4" s="5" t="str">
        <x:v>Working assumptions for attainable domestic wholesale. These are editable and are not intended to represent official nameplate capacity.</x:v>
      </x:c>
      <x:c r="D4" s="5"/>
      <x:c r="E4" s="5"/>
      <x:c r="F4" s="5"/>
      <x:c r="G4" s="5"/>
      <x:c r="H4" s="5"/>
      <x:c r="I4" s="5"/>
      <x:c r="J4" s="5"/>
      <x:c r="K4" s="5"/>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2"/>
      <x:c r="C6" s="8" t="str">
        <x:v>OEM contribution to attainable domestic wholesale (units per month)</x:v>
      </x:c>
      <x:c r="D6" s="8"/>
      <x:c r="E6" s="8"/>
      <x:c r="F6" s="8"/>
      <x:c r="G6" s="8"/>
      <x:c r="H6" s="2"/>
      <x:c r="I6" s="2"/>
      <x:c r="J6" s="2"/>
      <x:c r="K6" s="2"/>
      <x:c r="L6" s="2"/>
      <x:c r="M6" s="2"/>
      <x:c r="N6" s="2"/>
      <x:c r="O6" s="2"/>
      <x:c r="P6" s="2"/>
      <x:c r="Q6" s="2"/>
      <x:c r="R6" s="2"/>
      <x:c r="S6" s="2"/>
      <x:c r="T6" s="2"/>
      <x:c r="U6" s="2"/>
      <x:c r="V6" s="2"/>
      <x:c r="W6" s="2"/>
      <x:c r="X6" s="2"/>
      <x:c r="Y6" s="2"/>
      <x:c r="Z6" s="2"/>
    </x:row>
    <x:row r="7">
      <x:c r="A7" s="2"/>
      <x:c r="B7" s="2"/>
      <x:c r="C7" s="28" t="str">
        <x:v>OEM / group</x:v>
      </x:c>
      <x:c r="D7" s="36" t="str">
        <x:v>FY27 H2</x:v>
      </x:c>
      <x:c r="E7" s="36" t="str">
        <x:v>FY28</x:v>
      </x:c>
      <x:c r="F7" s="29" t="str">
        <x:v>Working logic</x:v>
      </x:c>
      <x:c r="G7" s="2"/>
      <x:c r="H7" s="2"/>
      <x:c r="I7" s="2"/>
      <x:c r="J7" s="2"/>
      <x:c r="K7" s="2"/>
      <x:c r="L7" s="2"/>
      <x:c r="M7" s="2"/>
      <x:c r="N7" s="2"/>
      <x:c r="O7" s="2"/>
      <x:c r="P7" s="2"/>
      <x:c r="Q7" s="2"/>
      <x:c r="R7" s="2"/>
      <x:c r="S7" s="2"/>
      <x:c r="T7" s="2"/>
      <x:c r="U7" s="2"/>
      <x:c r="V7" s="2"/>
      <x:c r="W7" s="2"/>
      <x:c r="X7" s="2"/>
      <x:c r="Y7" s="2"/>
      <x:c r="Z7" s="2"/>
    </x:row>
    <x:row r="8">
      <x:c r="A8" s="2"/>
      <x:c r="B8" s="2"/>
      <x:c r="C8" s="2" t="str">
        <x:v>Maruti Suzuki</x:v>
      </x:c>
      <x:c r="D8" s="84" t="n">
        <x:v>190000</x:v>
      </x:c>
      <x:c r="E8" s="84" t="n">
        <x:v>210000</x:v>
      </x:c>
      <x:c r="F8" s="2" t="str">
        <x:v>Existing plants plus phased debottlenecking / Kharkhoda ramp</x:v>
      </x:c>
      <x:c r="G8" s="2"/>
      <x:c r="H8" s="2"/>
      <x:c r="I8" s="2"/>
      <x:c r="J8" s="2"/>
      <x:c r="K8" s="2"/>
      <x:c r="L8" s="2"/>
      <x:c r="M8" s="2"/>
      <x:c r="N8" s="2"/>
      <x:c r="O8" s="2"/>
      <x:c r="P8" s="2"/>
      <x:c r="Q8" s="2"/>
      <x:c r="R8" s="2"/>
      <x:c r="S8" s="2"/>
      <x:c r="T8" s="2"/>
      <x:c r="U8" s="2"/>
      <x:c r="V8" s="2"/>
      <x:c r="W8" s="2"/>
      <x:c r="X8" s="2"/>
      <x:c r="Y8" s="2"/>
      <x:c r="Z8" s="2"/>
    </x:row>
    <x:row r="9">
      <x:c r="A9" s="2"/>
      <x:c r="B9" s="2"/>
      <x:c r="C9" s="2" t="str">
        <x:v>M&amp;M</x:v>
      </x:c>
      <x:c r="D9" s="84" t="n">
        <x:v>65000</x:v>
      </x:c>
      <x:c r="E9" s="84" t="n">
        <x:v>75000</x:v>
      </x:c>
      <x:c r="F9" s="2" t="str">
        <x:v>SUV capacity additions and ramp</x:v>
      </x:c>
      <x:c r="G9" s="2"/>
      <x:c r="H9" s="2"/>
      <x:c r="I9" s="2"/>
      <x:c r="J9" s="2"/>
      <x:c r="K9" s="2"/>
      <x:c r="L9" s="2"/>
      <x:c r="M9" s="2"/>
      <x:c r="N9" s="2"/>
      <x:c r="O9" s="2"/>
      <x:c r="P9" s="2"/>
      <x:c r="Q9" s="2"/>
      <x:c r="R9" s="2"/>
      <x:c r="S9" s="2"/>
      <x:c r="T9" s="2"/>
      <x:c r="U9" s="2"/>
      <x:c r="V9" s="2"/>
      <x:c r="W9" s="2"/>
      <x:c r="X9" s="2"/>
      <x:c r="Y9" s="2"/>
      <x:c r="Z9" s="2"/>
    </x:row>
    <x:row r="10">
      <x:c r="A10" s="2"/>
      <x:c r="B10" s="2"/>
      <x:c r="C10" s="2" t="str">
        <x:v>Hyundai</x:v>
      </x:c>
      <x:c r="D10" s="84" t="n">
        <x:v>70000</x:v>
      </x:c>
      <x:c r="E10" s="84" t="n">
        <x:v>80000</x:v>
      </x:c>
      <x:c r="F10" s="2" t="str">
        <x:v>Chennai plus Talegaon ramp</x:v>
      </x:c>
      <x:c r="G10" s="2"/>
      <x:c r="H10" s="2"/>
      <x:c r="I10" s="2"/>
      <x:c r="J10" s="2"/>
      <x:c r="K10" s="2"/>
      <x:c r="L10" s="2"/>
      <x:c r="M10" s="2"/>
      <x:c r="N10" s="2"/>
      <x:c r="O10" s="2"/>
      <x:c r="P10" s="2"/>
      <x:c r="Q10" s="2"/>
      <x:c r="R10" s="2"/>
      <x:c r="S10" s="2"/>
      <x:c r="T10" s="2"/>
      <x:c r="U10" s="2"/>
      <x:c r="V10" s="2"/>
      <x:c r="W10" s="2"/>
      <x:c r="X10" s="2"/>
      <x:c r="Y10" s="2"/>
      <x:c r="Z10" s="2"/>
    </x:row>
    <x:row r="11">
      <x:c r="A11" s="2"/>
      <x:c r="B11" s="2"/>
      <x:c r="C11" s="2" t="str">
        <x:v>Tata Motors PV</x:v>
      </x:c>
      <x:c r="D11" s="84" t="n">
        <x:v>60000</x:v>
      </x:c>
      <x:c r="E11" s="84" t="n">
        <x:v>70000</x:v>
      </x:c>
      <x:c r="F11" s="2" t="str">
        <x:v>Pune and Sanand network</x:v>
      </x:c>
      <x:c r="G11" s="2"/>
      <x:c r="H11" s="2"/>
      <x:c r="I11" s="2"/>
      <x:c r="J11" s="2"/>
      <x:c r="K11" s="2"/>
      <x:c r="L11" s="2"/>
      <x:c r="M11" s="2"/>
      <x:c r="N11" s="2"/>
      <x:c r="O11" s="2"/>
      <x:c r="P11" s="2"/>
      <x:c r="Q11" s="2"/>
      <x:c r="R11" s="2"/>
      <x:c r="S11" s="2"/>
      <x:c r="T11" s="2"/>
      <x:c r="U11" s="2"/>
      <x:c r="V11" s="2"/>
      <x:c r="W11" s="2"/>
      <x:c r="X11" s="2"/>
      <x:c r="Y11" s="2"/>
      <x:c r="Z11" s="2"/>
    </x:row>
    <x:row r="12">
      <x:c r="A12" s="2"/>
      <x:c r="B12" s="2"/>
      <x:c r="C12" s="2" t="str">
        <x:v>Other OEMs</x:v>
      </x:c>
      <x:c r="D12" s="84" t="n">
        <x:v>140000</x:v>
      </x:c>
      <x:c r="E12" s="84" t="n">
        <x:v>145000</x:v>
      </x:c>
      <x:c r="F12" s="2" t="str">
        <x:v>Toyota, Kia, VW-Skoda, MG, Honda and others</x:v>
      </x:c>
      <x:c r="G12" s="2"/>
      <x:c r="H12" s="2"/>
      <x:c r="I12" s="2"/>
      <x:c r="J12" s="2"/>
      <x:c r="K12" s="2"/>
      <x:c r="L12" s="2"/>
      <x:c r="M12" s="2"/>
      <x:c r="N12" s="2"/>
      <x:c r="O12" s="2"/>
      <x:c r="P12" s="2"/>
      <x:c r="Q12" s="2"/>
      <x:c r="R12" s="2"/>
      <x:c r="S12" s="2"/>
      <x:c r="T12" s="2"/>
      <x:c r="U12" s="2"/>
      <x:c r="V12" s="2"/>
      <x:c r="W12" s="2"/>
      <x:c r="X12" s="2"/>
      <x:c r="Y12" s="2"/>
      <x:c r="Z12" s="2"/>
    </x:row>
    <x:row r="13">
      <x:c r="A13" s="2"/>
      <x:c r="B13" s="2"/>
      <x:c r="C13" s="41" t="str">
        <x:v>Industry ceiling</x:v>
      </x:c>
      <x:c r="D13" s="87" t="n">
        <x:f>SUM(D8:D12)</x:f>
        <x:v>525000</x:v>
      </x:c>
      <x:c r="E13" s="87" t="n">
        <x:f>SUM(E8:E12)</x:f>
        <x:v>580000</x:v>
      </x:c>
      <x:c r="F13" s="41" t="str">
        <x:v>Sum of OEM assumptions</x:v>
      </x:c>
      <x:c r="G13" s="2"/>
      <x:c r="H13" s="2"/>
      <x:c r="I13" s="2"/>
      <x:c r="J13" s="2"/>
      <x:c r="K13" s="2"/>
      <x:c r="L13" s="2"/>
      <x:c r="M13" s="2"/>
      <x:c r="N13" s="2"/>
      <x:c r="O13" s="2"/>
      <x:c r="P13" s="2"/>
      <x:c r="Q13" s="2"/>
      <x:c r="R13" s="2"/>
      <x:c r="S13" s="2"/>
      <x:c r="T13" s="2"/>
      <x:c r="U13" s="2"/>
      <x:c r="V13" s="2"/>
      <x:c r="W13" s="2"/>
      <x:c r="X13" s="2"/>
      <x:c r="Y13" s="2"/>
      <x:c r="Z13" s="2"/>
    </x:row>
    <x:row r="14">
      <x:c r="A14" s="2"/>
      <x:c r="B14" s="2"/>
      <x:c r="C14" s="2"/>
      <x:c r="D14" s="74"/>
      <x:c r="E14" s="74"/>
      <x:c r="F14" s="2"/>
      <x:c r="G14" s="2"/>
      <x:c r="H14" s="2"/>
      <x:c r="I14" s="2"/>
      <x:c r="J14" s="2"/>
      <x:c r="K14" s="2"/>
      <x:c r="L14" s="2"/>
      <x:c r="M14" s="2"/>
      <x:c r="N14" s="2"/>
      <x:c r="O14" s="2"/>
      <x:c r="P14" s="2"/>
      <x:c r="Q14" s="2"/>
      <x:c r="R14" s="2"/>
      <x:c r="S14" s="2"/>
      <x:c r="T14" s="2"/>
      <x:c r="U14" s="2"/>
      <x:c r="V14" s="2"/>
      <x:c r="W14" s="2"/>
      <x:c r="X14" s="2"/>
      <x:c r="Y14" s="2"/>
      <x:c r="Z14" s="2"/>
    </x:row>
    <x:row r="15">
      <x:c r="A15" s="2"/>
      <x:c r="B15" s="2"/>
      <x:c r="C15" s="2"/>
      <x:c r="D15" s="74"/>
      <x:c r="E15" s="74"/>
      <x:c r="F15" s="2"/>
      <x:c r="G15" s="2"/>
      <x:c r="H15" s="2"/>
      <x:c r="I15" s="2"/>
      <x:c r="J15" s="2"/>
      <x:c r="K15" s="2"/>
      <x:c r="L15" s="2"/>
      <x:c r="M15" s="2"/>
      <x:c r="N15" s="2"/>
      <x:c r="O15" s="2"/>
      <x:c r="P15" s="2"/>
      <x:c r="Q15" s="2"/>
      <x:c r="R15" s="2"/>
      <x:c r="S15" s="2"/>
      <x:c r="T15" s="2"/>
      <x:c r="U15" s="2"/>
      <x:c r="V15" s="2"/>
      <x:c r="W15" s="2"/>
      <x:c r="X15" s="2"/>
      <x:c r="Y15" s="2"/>
      <x:c r="Z15" s="2"/>
    </x:row>
    <x:row r="16">
      <x:c r="A16" s="2"/>
      <x:c r="B16" s="2"/>
      <x:c r="C16" s="8" t="str">
        <x:v>Monthly channel and supply schedule</x:v>
      </x:c>
      <x:c r="D16" s="75"/>
      <x:c r="E16" s="75"/>
      <x:c r="F16" s="8"/>
      <x:c r="G16" s="8"/>
      <x:c r="H16" s="2"/>
      <x:c r="I16" s="2"/>
      <x:c r="J16" s="2"/>
      <x:c r="K16" s="2"/>
      <x:c r="L16" s="2"/>
      <x:c r="M16" s="2"/>
      <x:c r="N16" s="2"/>
      <x:c r="O16" s="2"/>
      <x:c r="P16" s="2"/>
      <x:c r="Q16" s="2"/>
      <x:c r="R16" s="2"/>
      <x:c r="S16" s="2"/>
      <x:c r="T16" s="2"/>
      <x:c r="U16" s="2"/>
      <x:c r="V16" s="2"/>
      <x:c r="W16" s="2"/>
      <x:c r="X16" s="2"/>
      <x:c r="Y16" s="2"/>
      <x:c r="Z16" s="2"/>
    </x:row>
    <x:row r="17">
      <x:c r="A17" s="2"/>
      <x:c r="B17" s="2"/>
      <x:c r="C17" s="28" t="str">
        <x:v>Month</x:v>
      </x:c>
      <x:c r="D17" s="69" t="str">
        <x:v>Ending inventory days</x:v>
      </x:c>
      <x:c r="E17" s="69" t="str">
        <x:v>Wholesale ceiling</x:v>
      </x:c>
      <x:c r="F17" s="29" t="str">
        <x:v>Comment</x:v>
      </x:c>
      <x:c r="G17" s="2"/>
      <x:c r="H17" s="2"/>
      <x:c r="I17" s="2"/>
      <x:c r="J17" s="2"/>
      <x:c r="K17" s="2"/>
      <x:c r="L17" s="2"/>
      <x:c r="M17" s="2"/>
      <x:c r="N17" s="2"/>
      <x:c r="O17" s="2"/>
      <x:c r="P17" s="2"/>
      <x:c r="Q17" s="2"/>
      <x:c r="R17" s="2"/>
      <x:c r="S17" s="2"/>
      <x:c r="T17" s="2"/>
      <x:c r="U17" s="2"/>
      <x:c r="V17" s="2"/>
      <x:c r="W17" s="2"/>
      <x:c r="X17" s="2"/>
      <x:c r="Y17" s="2"/>
      <x:c r="Z17" s="2"/>
    </x:row>
    <x:row r="18">
      <x:c r="A18" s="2"/>
      <x:c r="B18" s="2"/>
      <x:c r="C18" s="43" t="n">
        <x:v>46266</x:v>
      </x:c>
      <x:c r="D18" s="85" t="n">
        <x:v>40</x:v>
      </x:c>
      <x:c r="E18" s="88" t="n">
        <x:f>$D$13</x:f>
        <x:v>525000</x:v>
      </x:c>
      <x:c r="F18" s="2" t="str">
        <x:v>Festive stocking peak</x:v>
      </x:c>
      <x:c r="G18" s="2"/>
      <x:c r="H18" s="2"/>
      <x:c r="I18" s="2"/>
      <x:c r="J18" s="2"/>
      <x:c r="K18" s="2"/>
      <x:c r="L18" s="2"/>
      <x:c r="M18" s="2"/>
      <x:c r="N18" s="2"/>
      <x:c r="O18" s="2"/>
      <x:c r="P18" s="2"/>
      <x:c r="Q18" s="2"/>
      <x:c r="R18" s="2"/>
      <x:c r="S18" s="2"/>
      <x:c r="T18" s="2"/>
      <x:c r="U18" s="2"/>
      <x:c r="V18" s="2"/>
      <x:c r="W18" s="2"/>
      <x:c r="X18" s="2"/>
      <x:c r="Y18" s="2"/>
      <x:c r="Z18" s="2"/>
    </x:row>
    <x:row r="19">
      <x:c r="A19" s="2"/>
      <x:c r="B19" s="2"/>
      <x:c r="C19" s="43" t="n">
        <x:v>46296</x:v>
      </x:c>
      <x:c r="D19" s="85" t="n">
        <x:v>37</x:v>
      </x:c>
      <x:c r="E19" s="88" t="n">
        <x:f>$D$13</x:f>
        <x:v>525000</x:v>
      </x:c>
      <x:c r="F19" s="2" t="str"/>
      <x:c r="G19" s="2"/>
      <x:c r="H19" s="2"/>
      <x:c r="I19" s="2"/>
      <x:c r="J19" s="2"/>
      <x:c r="K19" s="2"/>
      <x:c r="L19" s="2"/>
      <x:c r="M19" s="2"/>
      <x:c r="N19" s="2"/>
      <x:c r="O19" s="2"/>
      <x:c r="P19" s="2"/>
      <x:c r="Q19" s="2"/>
      <x:c r="R19" s="2"/>
      <x:c r="S19" s="2"/>
      <x:c r="T19" s="2"/>
      <x:c r="U19" s="2"/>
      <x:c r="V19" s="2"/>
      <x:c r="W19" s="2"/>
      <x:c r="X19" s="2"/>
      <x:c r="Y19" s="2"/>
      <x:c r="Z19" s="2"/>
    </x:row>
    <x:row r="20">
      <x:c r="A20" s="2"/>
      <x:c r="B20" s="2"/>
      <x:c r="C20" s="43" t="n">
        <x:v>46327</x:v>
      </x:c>
      <x:c r="D20" s="85" t="n">
        <x:v>34</x:v>
      </x:c>
      <x:c r="E20" s="88" t="n">
        <x:f>$D$13</x:f>
        <x:v>525000</x:v>
      </x:c>
      <x:c r="F20" s="2" t="str"/>
      <x:c r="G20" s="2"/>
      <x:c r="H20" s="2"/>
      <x:c r="I20" s="2"/>
      <x:c r="J20" s="2"/>
      <x:c r="K20" s="2"/>
      <x:c r="L20" s="2"/>
      <x:c r="M20" s="2"/>
      <x:c r="N20" s="2"/>
      <x:c r="O20" s="2"/>
      <x:c r="P20" s="2"/>
      <x:c r="Q20" s="2"/>
      <x:c r="R20" s="2"/>
      <x:c r="S20" s="2"/>
      <x:c r="T20" s="2"/>
      <x:c r="U20" s="2"/>
      <x:c r="V20" s="2"/>
      <x:c r="W20" s="2"/>
      <x:c r="X20" s="2"/>
      <x:c r="Y20" s="2"/>
      <x:c r="Z20" s="2"/>
    </x:row>
    <x:row r="21">
      <x:c r="A21" s="2"/>
      <x:c r="B21" s="2"/>
      <x:c r="C21" s="43" t="n">
        <x:v>46357</x:v>
      </x:c>
      <x:c r="D21" s="85" t="n">
        <x:v>32</x:v>
      </x:c>
      <x:c r="E21" s="88" t="n">
        <x:f>$D$13</x:f>
        <x:v>525000</x:v>
      </x:c>
      <x:c r="F21" s="2" t="str"/>
      <x:c r="G21" s="2"/>
      <x:c r="H21" s="2"/>
      <x:c r="I21" s="2"/>
      <x:c r="J21" s="2"/>
      <x:c r="K21" s="2"/>
      <x:c r="L21" s="2"/>
      <x:c r="M21" s="2"/>
      <x:c r="N21" s="2"/>
      <x:c r="O21" s="2"/>
      <x:c r="P21" s="2"/>
      <x:c r="Q21" s="2"/>
      <x:c r="R21" s="2"/>
      <x:c r="S21" s="2"/>
      <x:c r="T21" s="2"/>
      <x:c r="U21" s="2"/>
      <x:c r="V21" s="2"/>
      <x:c r="W21" s="2"/>
      <x:c r="X21" s="2"/>
      <x:c r="Y21" s="2"/>
      <x:c r="Z21" s="2"/>
    </x:row>
    <x:row r="22">
      <x:c r="A22" s="2"/>
      <x:c r="B22" s="2"/>
      <x:c r="C22" s="43" t="n">
        <x:v>46388</x:v>
      </x:c>
      <x:c r="D22" s="85" t="n">
        <x:v>30</x:v>
      </x:c>
      <x:c r="E22" s="88" t="n">
        <x:f>$D$13</x:f>
        <x:v>525000</x:v>
      </x:c>
      <x:c r="F22" s="2" t="str"/>
      <x:c r="G22" s="2"/>
      <x:c r="H22" s="2"/>
      <x:c r="I22" s="2"/>
      <x:c r="J22" s="2"/>
      <x:c r="K22" s="2"/>
      <x:c r="L22" s="2"/>
      <x:c r="M22" s="2"/>
      <x:c r="N22" s="2"/>
      <x:c r="O22" s="2"/>
      <x:c r="P22" s="2"/>
      <x:c r="Q22" s="2"/>
      <x:c r="R22" s="2"/>
      <x:c r="S22" s="2"/>
      <x:c r="T22" s="2"/>
      <x:c r="U22" s="2"/>
      <x:c r="V22" s="2"/>
      <x:c r="W22" s="2"/>
      <x:c r="X22" s="2"/>
      <x:c r="Y22" s="2"/>
      <x:c r="Z22" s="2"/>
    </x:row>
    <x:row r="23">
      <x:c r="A23" s="2"/>
      <x:c r="B23" s="2"/>
      <x:c r="C23" s="43" t="n">
        <x:v>46419</x:v>
      </x:c>
      <x:c r="D23" s="85" t="n">
        <x:v>29</x:v>
      </x:c>
      <x:c r="E23" s="88" t="n">
        <x:f>$D$13</x:f>
        <x:v>525000</x:v>
      </x:c>
      <x:c r="F23" s="2" t="str"/>
      <x:c r="G23" s="2"/>
      <x:c r="H23" s="2"/>
      <x:c r="I23" s="2"/>
      <x:c r="J23" s="2"/>
      <x:c r="K23" s="2"/>
      <x:c r="L23" s="2"/>
      <x:c r="M23" s="2"/>
      <x:c r="N23" s="2"/>
      <x:c r="O23" s="2"/>
      <x:c r="P23" s="2"/>
      <x:c r="Q23" s="2"/>
      <x:c r="R23" s="2"/>
      <x:c r="S23" s="2"/>
      <x:c r="T23" s="2"/>
      <x:c r="U23" s="2"/>
      <x:c r="V23" s="2"/>
      <x:c r="W23" s="2"/>
      <x:c r="X23" s="2"/>
      <x:c r="Y23" s="2"/>
      <x:c r="Z23" s="2"/>
    </x:row>
    <x:row r="24">
      <x:c r="A24" s="2"/>
      <x:c r="B24" s="2"/>
      <x:c r="C24" s="43" t="n">
        <x:v>46447</x:v>
      </x:c>
      <x:c r="D24" s="85" t="n">
        <x:v>28</x:v>
      </x:c>
      <x:c r="E24" s="88" t="n">
        <x:f>$D$13</x:f>
        <x:v>525000</x:v>
      </x:c>
      <x:c r="F24" s="2" t="str">
        <x:v>Channel normalisation by March</x:v>
      </x:c>
      <x:c r="G24" s="2"/>
      <x:c r="H24" s="2"/>
      <x:c r="I24" s="2"/>
      <x:c r="J24" s="2"/>
      <x:c r="K24" s="2"/>
      <x:c r="L24" s="2"/>
      <x:c r="M24" s="2"/>
      <x:c r="N24" s="2"/>
      <x:c r="O24" s="2"/>
      <x:c r="P24" s="2"/>
      <x:c r="Q24" s="2"/>
      <x:c r="R24" s="2"/>
      <x:c r="S24" s="2"/>
      <x:c r="T24" s="2"/>
      <x:c r="U24" s="2"/>
      <x:c r="V24" s="2"/>
      <x:c r="W24" s="2"/>
      <x:c r="X24" s="2"/>
      <x:c r="Y24" s="2"/>
      <x:c r="Z24" s="2"/>
    </x:row>
    <x:row r="25">
      <x:c r="A25" s="2"/>
      <x:c r="B25" s="2"/>
      <x:c r="C25" s="43" t="n">
        <x:v>46478</x:v>
      </x:c>
      <x:c r="D25" s="85" t="n">
        <x:v>28</x:v>
      </x:c>
      <x:c r="E25" s="88" t="n">
        <x:f>$E$13</x:f>
        <x:v>580000</x:v>
      </x:c>
      <x:c r="F25" s="2" t="str"/>
      <x:c r="G25" s="2"/>
      <x:c r="H25" s="2"/>
      <x:c r="I25" s="2"/>
      <x:c r="J25" s="2"/>
      <x:c r="K25" s="2"/>
      <x:c r="L25" s="2"/>
      <x:c r="M25" s="2"/>
      <x:c r="N25" s="2"/>
      <x:c r="O25" s="2"/>
      <x:c r="P25" s="2"/>
      <x:c r="Q25" s="2"/>
      <x:c r="R25" s="2"/>
      <x:c r="S25" s="2"/>
      <x:c r="T25" s="2"/>
      <x:c r="U25" s="2"/>
      <x:c r="V25" s="2"/>
      <x:c r="W25" s="2"/>
      <x:c r="X25" s="2"/>
      <x:c r="Y25" s="2"/>
      <x:c r="Z25" s="2"/>
    </x:row>
    <x:row r="26">
      <x:c r="A26" s="2"/>
      <x:c r="B26" s="2"/>
      <x:c r="C26" s="43" t="n">
        <x:v>46508</x:v>
      </x:c>
      <x:c r="D26" s="85" t="n">
        <x:v>28</x:v>
      </x:c>
      <x:c r="E26" s="88" t="n">
        <x:f>$E$13</x:f>
        <x:v>580000</x:v>
      </x:c>
      <x:c r="F26" s="2" t="str"/>
      <x:c r="G26" s="2"/>
      <x:c r="H26" s="2"/>
      <x:c r="I26" s="2"/>
      <x:c r="J26" s="2"/>
      <x:c r="K26" s="2"/>
      <x:c r="L26" s="2"/>
      <x:c r="M26" s="2"/>
      <x:c r="N26" s="2"/>
      <x:c r="O26" s="2"/>
      <x:c r="P26" s="2"/>
      <x:c r="Q26" s="2"/>
      <x:c r="R26" s="2"/>
      <x:c r="S26" s="2"/>
      <x:c r="T26" s="2"/>
      <x:c r="U26" s="2"/>
      <x:c r="V26" s="2"/>
      <x:c r="W26" s="2"/>
      <x:c r="X26" s="2"/>
      <x:c r="Y26" s="2"/>
      <x:c r="Z26" s="2"/>
    </x:row>
    <x:row r="27">
      <x:c r="A27" s="2"/>
      <x:c r="B27" s="2"/>
      <x:c r="C27" s="43" t="n">
        <x:v>46539</x:v>
      </x:c>
      <x:c r="D27" s="85" t="n">
        <x:v>28</x:v>
      </x:c>
      <x:c r="E27" s="88" t="n">
        <x:f>$E$13</x:f>
        <x:v>580000</x:v>
      </x:c>
      <x:c r="F27" s="2" t="str"/>
      <x:c r="G27" s="2"/>
      <x:c r="H27" s="2"/>
      <x:c r="I27" s="2"/>
      <x:c r="J27" s="2"/>
      <x:c r="K27" s="2"/>
      <x:c r="L27" s="2"/>
      <x:c r="M27" s="2"/>
      <x:c r="N27" s="2"/>
      <x:c r="O27" s="2"/>
      <x:c r="P27" s="2"/>
      <x:c r="Q27" s="2"/>
      <x:c r="R27" s="2"/>
      <x:c r="S27" s="2"/>
      <x:c r="T27" s="2"/>
      <x:c r="U27" s="2"/>
      <x:c r="V27" s="2"/>
      <x:c r="W27" s="2"/>
      <x:c r="X27" s="2"/>
      <x:c r="Y27" s="2"/>
      <x:c r="Z27" s="2"/>
    </x:row>
    <x:row r="28">
      <x:c r="A28" s="2"/>
      <x:c r="B28" s="2"/>
      <x:c r="C28" s="43" t="n">
        <x:v>46569</x:v>
      </x:c>
      <x:c r="D28" s="85" t="n">
        <x:v>28</x:v>
      </x:c>
      <x:c r="E28" s="88" t="n">
        <x:f>$E$13</x:f>
        <x:v>580000</x:v>
      </x:c>
      <x:c r="F28" s="2" t="str"/>
      <x:c r="G28" s="2"/>
      <x:c r="H28" s="2"/>
      <x:c r="I28" s="2"/>
      <x:c r="J28" s="2"/>
      <x:c r="K28" s="2"/>
      <x:c r="L28" s="2"/>
      <x:c r="M28" s="2"/>
      <x:c r="N28" s="2"/>
      <x:c r="O28" s="2"/>
      <x:c r="P28" s="2"/>
      <x:c r="Q28" s="2"/>
      <x:c r="R28" s="2"/>
      <x:c r="S28" s="2"/>
      <x:c r="T28" s="2"/>
      <x:c r="U28" s="2"/>
      <x:c r="V28" s="2"/>
      <x:c r="W28" s="2"/>
      <x:c r="X28" s="2"/>
      <x:c r="Y28" s="2"/>
      <x:c r="Z28" s="2"/>
    </x:row>
    <x:row r="29">
      <x:c r="A29" s="2"/>
      <x:c r="B29" s="2"/>
      <x:c r="C29" s="43" t="n">
        <x:v>46600</x:v>
      </x:c>
      <x:c r="D29" s="85" t="n">
        <x:v>28</x:v>
      </x:c>
      <x:c r="E29" s="88" t="n">
        <x:f>$E$13</x:f>
        <x:v>580000</x:v>
      </x:c>
      <x:c r="F29" s="2" t="str"/>
      <x:c r="G29" s="2"/>
      <x:c r="H29" s="2"/>
      <x:c r="I29" s="2"/>
      <x:c r="J29" s="2"/>
      <x:c r="K29" s="2"/>
      <x:c r="L29" s="2"/>
      <x:c r="M29" s="2"/>
      <x:c r="N29" s="2"/>
      <x:c r="O29" s="2"/>
      <x:c r="P29" s="2"/>
      <x:c r="Q29" s="2"/>
      <x:c r="R29" s="2"/>
      <x:c r="S29" s="2"/>
      <x:c r="T29" s="2"/>
      <x:c r="U29" s="2"/>
      <x:c r="V29" s="2"/>
      <x:c r="W29" s="2"/>
      <x:c r="X29" s="2"/>
      <x:c r="Y29" s="2"/>
      <x:c r="Z29" s="2"/>
    </x:row>
    <x:row r="30">
      <x:c r="A30" s="2"/>
      <x:c r="B30" s="2"/>
      <x:c r="C30" s="43" t="n">
        <x:v>46631</x:v>
      </x:c>
      <x:c r="D30" s="85" t="n">
        <x:v>28</x:v>
      </x:c>
      <x:c r="E30" s="88" t="n">
        <x:f>$E$13</x:f>
        <x:v>580000</x:v>
      </x:c>
      <x:c r="F30" s="2" t="str"/>
      <x:c r="G30" s="2"/>
      <x:c r="H30" s="2"/>
      <x:c r="I30" s="2"/>
      <x:c r="J30" s="2"/>
      <x:c r="K30" s="2"/>
      <x:c r="L30" s="2"/>
      <x:c r="M30" s="2"/>
      <x:c r="N30" s="2"/>
      <x:c r="O30" s="2"/>
      <x:c r="P30" s="2"/>
      <x:c r="Q30" s="2"/>
      <x:c r="R30" s="2"/>
      <x:c r="S30" s="2"/>
      <x:c r="T30" s="2"/>
      <x:c r="U30" s="2"/>
      <x:c r="V30" s="2"/>
      <x:c r="W30" s="2"/>
      <x:c r="X30" s="2"/>
      <x:c r="Y30" s="2"/>
      <x:c r="Z30" s="2"/>
    </x:row>
    <x:row r="31">
      <x:c r="A31" s="2"/>
      <x:c r="B31" s="2"/>
      <x:c r="C31" s="43" t="n">
        <x:v>46661</x:v>
      </x:c>
      <x:c r="D31" s="85" t="n">
        <x:v>28</x:v>
      </x:c>
      <x:c r="E31" s="88" t="n">
        <x:f>$E$13</x:f>
        <x:v>580000</x:v>
      </x:c>
      <x:c r="F31" s="2" t="str"/>
      <x:c r="G31" s="2"/>
      <x:c r="H31" s="2"/>
      <x:c r="I31" s="2"/>
      <x:c r="J31" s="2"/>
      <x:c r="K31" s="2"/>
      <x:c r="L31" s="2"/>
      <x:c r="M31" s="2"/>
      <x:c r="N31" s="2"/>
      <x:c r="O31" s="2"/>
      <x:c r="P31" s="2"/>
      <x:c r="Q31" s="2"/>
      <x:c r="R31" s="2"/>
      <x:c r="S31" s="2"/>
      <x:c r="T31" s="2"/>
      <x:c r="U31" s="2"/>
      <x:c r="V31" s="2"/>
      <x:c r="W31" s="2"/>
      <x:c r="X31" s="2"/>
      <x:c r="Y31" s="2"/>
      <x:c r="Z31" s="2"/>
    </x:row>
    <x:row r="32">
      <x:c r="A32" s="2"/>
      <x:c r="B32" s="2"/>
      <x:c r="C32" s="43" t="n">
        <x:v>46692</x:v>
      </x:c>
      <x:c r="D32" s="85" t="n">
        <x:v>28</x:v>
      </x:c>
      <x:c r="E32" s="88" t="n">
        <x:f>$E$13</x:f>
        <x:v>580000</x:v>
      </x:c>
      <x:c r="F32" s="2" t="str"/>
      <x:c r="G32" s="2"/>
      <x:c r="H32" s="2"/>
      <x:c r="I32" s="2"/>
      <x:c r="J32" s="2"/>
      <x:c r="K32" s="2"/>
      <x:c r="L32" s="2"/>
      <x:c r="M32" s="2"/>
      <x:c r="N32" s="2"/>
      <x:c r="O32" s="2"/>
      <x:c r="P32" s="2"/>
      <x:c r="Q32" s="2"/>
      <x:c r="R32" s="2"/>
      <x:c r="S32" s="2"/>
      <x:c r="T32" s="2"/>
      <x:c r="U32" s="2"/>
      <x:c r="V32" s="2"/>
      <x:c r="W32" s="2"/>
      <x:c r="X32" s="2"/>
      <x:c r="Y32" s="2"/>
      <x:c r="Z32" s="2"/>
    </x:row>
    <x:row r="33">
      <x:c r="A33" s="2"/>
      <x:c r="B33" s="2"/>
      <x:c r="C33" s="43" t="n">
        <x:v>46722</x:v>
      </x:c>
      <x:c r="D33" s="85" t="n">
        <x:v>28</x:v>
      </x:c>
      <x:c r="E33" s="88" t="n">
        <x:f>$E$13</x:f>
        <x:v>580000</x:v>
      </x:c>
      <x:c r="F33" s="2" t="str"/>
      <x:c r="G33" s="2"/>
      <x:c r="H33" s="2"/>
      <x:c r="I33" s="2"/>
      <x:c r="J33" s="2"/>
      <x:c r="K33" s="2"/>
      <x:c r="L33" s="2"/>
      <x:c r="M33" s="2"/>
      <x:c r="N33" s="2"/>
      <x:c r="O33" s="2"/>
      <x:c r="P33" s="2"/>
      <x:c r="Q33" s="2"/>
      <x:c r="R33" s="2"/>
      <x:c r="S33" s="2"/>
      <x:c r="T33" s="2"/>
      <x:c r="U33" s="2"/>
      <x:c r="V33" s="2"/>
      <x:c r="W33" s="2"/>
      <x:c r="X33" s="2"/>
      <x:c r="Y33" s="2"/>
      <x:c r="Z33" s="2"/>
    </x:row>
    <x:row r="34">
      <x:c r="A34" s="2"/>
      <x:c r="B34" s="2"/>
      <x:c r="C34" s="43" t="n">
        <x:v>46753</x:v>
      </x:c>
      <x:c r="D34" s="85" t="n">
        <x:v>28</x:v>
      </x:c>
      <x:c r="E34" s="88" t="n">
        <x:f>$E$13</x:f>
        <x:v>580000</x:v>
      </x:c>
      <x:c r="F34" s="2" t="str"/>
      <x:c r="G34" s="2"/>
      <x:c r="H34" s="2"/>
      <x:c r="I34" s="2"/>
      <x:c r="J34" s="2"/>
      <x:c r="K34" s="2"/>
      <x:c r="L34" s="2"/>
      <x:c r="M34" s="2"/>
      <x:c r="N34" s="2"/>
      <x:c r="O34" s="2"/>
      <x:c r="P34" s="2"/>
      <x:c r="Q34" s="2"/>
      <x:c r="R34" s="2"/>
      <x:c r="S34" s="2"/>
      <x:c r="T34" s="2"/>
      <x:c r="U34" s="2"/>
      <x:c r="V34" s="2"/>
      <x:c r="W34" s="2"/>
      <x:c r="X34" s="2"/>
      <x:c r="Y34" s="2"/>
      <x:c r="Z34" s="2"/>
    </x:row>
    <x:row r="35">
      <x:c r="A35" s="2"/>
      <x:c r="B35" s="2"/>
      <x:c r="C35" s="43" t="n">
        <x:v>46784</x:v>
      </x:c>
      <x:c r="D35" s="85" t="n">
        <x:v>28</x:v>
      </x:c>
      <x:c r="E35" s="88" t="n">
        <x:f>$E$13</x:f>
        <x:v>580000</x:v>
      </x:c>
      <x:c r="F35" s="2" t="str"/>
      <x:c r="G35" s="2"/>
      <x:c r="H35" s="2"/>
      <x:c r="I35" s="2"/>
      <x:c r="J35" s="2"/>
      <x:c r="K35" s="2"/>
      <x:c r="L35" s="2"/>
      <x:c r="M35" s="2"/>
      <x:c r="N35" s="2"/>
      <x:c r="O35" s="2"/>
      <x:c r="P35" s="2"/>
      <x:c r="Q35" s="2"/>
      <x:c r="R35" s="2"/>
      <x:c r="S35" s="2"/>
      <x:c r="T35" s="2"/>
      <x:c r="U35" s="2"/>
      <x:c r="V35" s="2"/>
      <x:c r="W35" s="2"/>
      <x:c r="X35" s="2"/>
      <x:c r="Y35" s="2"/>
      <x:c r="Z35" s="2"/>
    </x:row>
    <x:row r="36">
      <x:c r="A36" s="2"/>
      <x:c r="B36" s="2"/>
      <x:c r="C36" s="43" t="n">
        <x:v>46813</x:v>
      </x:c>
      <x:c r="D36" s="85" t="n">
        <x:v>28</x:v>
      </x:c>
      <x:c r="E36" s="88" t="n">
        <x:f>$E$13</x:f>
        <x:v>580000</x:v>
      </x:c>
      <x:c r="F36" s="2" t="str"/>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sheetData>
  <x:pageMargins left="0.7" right="0.7" top="0.75" bottom="0.75" header="0.3" footer="0.3"/>
</x:worksheet>
</file>

<file path=xl/worksheets/sheet6.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3" hidden="0" customWidth="1"/>
    <x:col min="2" max="2" width="3" hidden="0" customWidth="1"/>
    <x:col min="3" max="3" width="25" hidden="0" customWidth="1"/>
    <x:col min="4" max="4" width="18" hidden="0" customWidth="1"/>
    <x:col min="5" max="5" width="26" hidden="0" customWidth="1"/>
    <x:col min="6" max="6" width="30" hidden="0" customWidth="1"/>
    <x:col min="7" max="7" width="22" hidden="0" customWidth="1"/>
    <x:col min="8" max="8" width="16" hidden="0" customWidth="1"/>
    <x:col min="9" max="9" width="18" hidden="0" customWidth="1"/>
    <x:col min="10" max="10" width="18" hidden="0" customWidth="1"/>
    <x:col min="11" max="11" width="26" hidden="0" customWidth="1"/>
    <x:col min="12" max="12" width="18" hidden="0" customWidth="1"/>
    <x:col min="13" max="13" width="18"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3" hidden="0" customWidth="1"/>
    <x:col min="23" max="23" width="12" hidden="0" customWidth="1"/>
    <x:col min="24" max="24" width="12" hidden="0" customWidth="1"/>
    <x:col min="25" max="25" width="12" hidden="0" customWidth="1"/>
    <x:col min="26" max="26" width="12" hidden="0" customWidth="1"/>
  </x:cols>
  <x:sheetData>
    <x:row r="1">
      <x:c r="A1" s="101"/>
      <x:c r="B1" s="101"/>
      <x:c r="C1" s="101"/>
      <x:c r="D1" s="101"/>
      <x:c r="E1" s="101"/>
      <x:c r="F1" s="101"/>
      <x:c r="G1" s="101"/>
      <x:c r="H1" s="101"/>
      <x:c r="I1" s="101"/>
      <x:c r="J1" s="101"/>
      <x:c r="K1" s="101"/>
      <x:c r="L1" s="101"/>
      <x:c r="M1" s="101"/>
      <x:c r="N1" s="101"/>
      <x:c r="O1" s="101"/>
      <x:c r="P1" s="101"/>
      <x:c r="Q1" s="101"/>
      <x:c r="R1" s="101"/>
      <x:c r="S1" s="101"/>
      <x:c r="T1" s="101"/>
      <x:c r="U1" s="101"/>
      <x:c r="V1" s="101"/>
      <x:c r="W1" s="101"/>
      <x:c r="X1" s="101"/>
      <x:c r="Y1" s="101"/>
      <x:c r="Z1" s="101"/>
    </x:row>
    <x:row r="2" ht="24" customHeight="1">
      <x:c r="A2" s="101"/>
      <x:c r="B2" s="101"/>
      <x:c r="C2" s="3" t="str">
        <x:v>India PV volumes: exhibit-led story</x:v>
      </x:c>
      <x:c r="D2" s="101"/>
      <x:c r="E2" s="101"/>
      <x:c r="F2" s="101"/>
      <x:c r="G2" s="101"/>
      <x:c r="H2" s="101"/>
      <x:c r="I2" s="101"/>
      <x:c r="J2" s="101"/>
      <x:c r="K2" s="101"/>
      <x:c r="L2" s="101"/>
      <x:c r="M2" s="101"/>
      <x:c r="N2" s="101"/>
      <x:c r="O2" s="101"/>
      <x:c r="P2" s="101"/>
      <x:c r="Q2" s="101"/>
      <x:c r="R2" s="101"/>
      <x:c r="S2" s="101"/>
      <x:c r="T2" s="101"/>
      <x:c r="U2" s="101"/>
      <x:c r="V2" s="101"/>
      <x:c r="W2" s="101"/>
      <x:c r="X2" s="101"/>
      <x:c r="Y2" s="101"/>
      <x:c r="Z2" s="101"/>
    </x:row>
    <x:row r="3">
      <x:c r="A3" s="101"/>
      <x:c r="B3" s="101"/>
      <x:c r="C3" s="102"/>
      <x:c r="D3" s="102"/>
      <x:c r="E3" s="102"/>
      <x:c r="F3" s="102"/>
      <x:c r="G3" s="102"/>
      <x:c r="H3" s="102"/>
      <x:c r="I3" s="102"/>
      <x:c r="J3" s="102"/>
      <x:c r="K3" s="102"/>
      <x:c r="L3" s="102"/>
      <x:c r="M3" s="102"/>
      <x:c r="N3" s="102"/>
      <x:c r="O3" s="102"/>
      <x:c r="P3" s="102"/>
      <x:c r="Q3" s="102"/>
      <x:c r="R3" s="102"/>
      <x:c r="S3" s="102"/>
      <x:c r="T3" s="102"/>
      <x:c r="U3" s="102"/>
      <x:c r="V3" s="101"/>
      <x:c r="W3" s="101"/>
      <x:c r="X3" s="101"/>
      <x:c r="Y3" s="101"/>
      <x:c r="Z3" s="101"/>
    </x:row>
    <x:row r="4">
      <x:c r="A4" s="101"/>
      <x:c r="B4" s="101"/>
      <x:c r="C4" s="103" t="str">
        <x:v>Central estimate | Public data through August 2026 | Units in vehicles unless stated</x:v>
      </x:c>
      <x:c r="D4" s="101"/>
      <x:c r="E4" s="101"/>
      <x:c r="F4" s="101"/>
      <x:c r="G4" s="101"/>
      <x:c r="H4" s="101"/>
      <x:c r="I4" s="101"/>
      <x:c r="J4" s="101"/>
      <x:c r="K4" s="101"/>
      <x:c r="L4" s="101"/>
      <x:c r="M4" s="101"/>
      <x:c r="N4" s="101"/>
      <x:c r="O4" s="101"/>
      <x:c r="P4" s="101"/>
      <x:c r="Q4" s="101"/>
      <x:c r="R4" s="101"/>
      <x:c r="S4" s="101"/>
      <x:c r="T4" s="101"/>
      <x:c r="U4" s="101"/>
      <x:c r="V4" s="101"/>
      <x:c r="W4" s="101"/>
      <x:c r="X4" s="101"/>
      <x:c r="Y4" s="101"/>
      <x:c r="Z4" s="101"/>
    </x:row>
    <x:row r="5">
      <x:c r="A5" s="101"/>
      <x:c r="B5" s="101"/>
      <x:c r="C5" s="101"/>
      <x:c r="D5" s="101"/>
      <x:c r="E5" s="101"/>
      <x:c r="F5" s="101"/>
      <x:c r="G5" s="101"/>
      <x:c r="H5" s="101"/>
      <x:c r="I5" s="101"/>
      <x:c r="J5" s="101"/>
      <x:c r="K5" s="101"/>
      <x:c r="L5" s="101"/>
      <x:c r="M5" s="101"/>
      <x:c r="N5" s="101"/>
      <x:c r="O5" s="101"/>
      <x:c r="P5" s="101"/>
      <x:c r="Q5" s="101"/>
      <x:c r="R5" s="101"/>
      <x:c r="S5" s="101"/>
      <x:c r="T5" s="101"/>
      <x:c r="U5" s="101"/>
      <x:c r="V5" s="101"/>
      <x:c r="W5" s="101"/>
      <x:c r="X5" s="101"/>
      <x:c r="Y5" s="101"/>
      <x:c r="Z5" s="101"/>
    </x:row>
    <x:row r="6" ht="22" customHeight="1">
      <x:c r="A6" s="101"/>
      <x:c r="B6" s="101"/>
      <x:c r="C6" s="106" t="str">
        <x:v>Exhibit 1: FY27 headline growth is carried by H1; FY28 reveals the exit rate</x:v>
      </x:c>
      <x:c r="D6" s="107"/>
      <x:c r="E6" s="107"/>
      <x:c r="F6" s="107"/>
      <x:c r="G6" s="107"/>
      <x:c r="H6" s="107"/>
      <x:c r="I6" s="107"/>
      <x:c r="J6" s="107"/>
      <x:c r="K6" s="107"/>
      <x:c r="L6" s="107"/>
      <x:c r="M6" s="107"/>
      <x:c r="N6" s="107"/>
      <x:c r="O6" s="107"/>
      <x:c r="P6" s="107"/>
      <x:c r="Q6" s="107"/>
      <x:c r="R6" s="107"/>
      <x:c r="S6" s="107"/>
      <x:c r="T6" s="107"/>
      <x:c r="U6" s="108"/>
      <x:c r="V6" s="101"/>
      <x:c r="W6" s="101"/>
      <x:c r="X6" s="101"/>
      <x:c r="Y6" s="101"/>
      <x:c r="Z6" s="101"/>
    </x:row>
    <x:row r="7">
      <x:c r="A7" s="101"/>
      <x:c r="B7" s="101"/>
      <x:c r="C7" s="101"/>
      <x:c r="D7" s="101"/>
      <x:c r="E7" s="101"/>
      <x:c r="F7" s="101"/>
      <x:c r="G7" s="101"/>
      <x:c r="H7" s="101"/>
      <x:c r="I7" s="101"/>
      <x:c r="J7" s="101"/>
      <x:c r="K7" s="101"/>
      <x:c r="L7" s="101"/>
      <x:c r="M7" s="101"/>
      <x:c r="N7" s="101"/>
      <x:c r="O7" s="101"/>
      <x:c r="P7" s="101"/>
      <x:c r="Q7" s="101"/>
      <x:c r="R7" s="101"/>
      <x:c r="S7" s="101"/>
      <x:c r="T7" s="101"/>
      <x:c r="U7" s="101"/>
      <x:c r="V7" s="101"/>
      <x:c r="W7" s="101"/>
      <x:c r="X7" s="101"/>
      <x:c r="Y7" s="101"/>
      <x:c r="Z7" s="101"/>
    </x:row>
    <x:row r="8" ht="30" customHeight="1">
      <x:c r="A8" s="101"/>
      <x:c r="B8" s="101"/>
      <x:c r="C8" s="113" t="str">
        <x:v>Period</x:v>
      </x:c>
      <x:c r="D8" s="114" t="str">
        <x:v>FY26A</x:v>
      </x:c>
      <x:c r="E8" s="114" t="str">
        <x:v>FY27E</x:v>
      </x:c>
      <x:c r="F8" s="114" t="str">
        <x:v>FY28E</x:v>
      </x:c>
      <x:c r="G8" s="114" t="str">
        <x:v>FY27 growth</x:v>
      </x:c>
      <x:c r="H8" s="115" t="str">
        <x:v>FY28 growth</x:v>
      </x:c>
      <x:c r="I8" s="101"/>
      <x:c r="J8" s="101"/>
      <x:c r="K8" s="101"/>
      <x:c r="L8" s="101"/>
      <x:c r="M8" s="101"/>
      <x:c r="N8" s="101"/>
      <x:c r="O8" s="101"/>
      <x:c r="P8" s="101"/>
      <x:c r="Q8" s="101"/>
      <x:c r="R8" s="101"/>
      <x:c r="S8" s="101"/>
      <x:c r="T8" s="101"/>
      <x:c r="U8" s="101"/>
      <x:c r="V8" s="101"/>
      <x:c r="W8" s="101"/>
      <x:c r="X8" s="101"/>
      <x:c r="Y8" s="101"/>
      <x:c r="Z8" s="101"/>
    </x:row>
    <x:row r="9">
      <x:c r="A9" s="101"/>
      <x:c r="B9" s="101"/>
      <x:c r="C9" s="116" t="str">
        <x:v>H1</x:v>
      </x:c>
      <x:c r="D9" s="118" t="n">
        <x:f>SUM('Forecast'!$S$7:$S$12)</x:f>
        <x:v>2016368.9888085478</x:v>
      </x:c>
      <x:c r="E9" s="118" t="n">
        <x:f>SUM('Forecast'!$S$19:$S$24)</x:f>
        <x:v>2552264.9999999995</x:v>
      </x:c>
      <x:c r="F9" s="118" t="n">
        <x:f>SUM('Forecast'!$S$31:$S$36)</x:f>
        <x:v>2607794.8591351514</x:v>
      </x:c>
      <x:c r="G9" s="120" t="n">
        <x:f>E9/D9-1</x:f>
        <x:v>0.2657727896857347</x:v>
      </x:c>
      <x:c r="H9" s="120" t="n">
        <x:f>F9/E9-1</x:f>
        <x:v>0.021757089931943474</x:v>
      </x:c>
      <x:c r="I9" s="101"/>
      <x:c r="J9" s="101"/>
      <x:c r="K9" s="101"/>
      <x:c r="L9" s="101"/>
      <x:c r="M9" s="101"/>
      <x:c r="N9" s="101"/>
      <x:c r="O9" s="101"/>
      <x:c r="P9" s="101"/>
      <x:c r="Q9" s="101"/>
      <x:c r="R9" s="101"/>
      <x:c r="S9" s="101"/>
      <x:c r="T9" s="101"/>
      <x:c r="U9" s="101"/>
      <x:c r="V9" s="101"/>
      <x:c r="W9" s="101"/>
      <x:c r="X9" s="101"/>
      <x:c r="Y9" s="101"/>
      <x:c r="Z9" s="101"/>
    </x:row>
    <x:row r="10">
      <x:c r="A10" s="101"/>
      <x:c r="B10" s="101"/>
      <x:c r="C10" s="117" t="str">
        <x:v>H2</x:v>
      </x:c>
      <x:c r="D10" s="119" t="n">
        <x:f>SUM('Forecast'!$S$13:$S$18)</x:f>
        <x:v>2688687.011191452</x:v>
      </x:c>
      <x:c r="E10" s="119" t="n">
        <x:f>SUM('Forecast'!$S$25:$S$30)</x:f>
        <x:v>2691360.243273423</x:v>
      </x:c>
      <x:c r="F10" s="119" t="n">
        <x:f>SUM('Forecast'!$S$37:$S$42)</x:f>
        <x:v>2755287.282244991</x:v>
      </x:c>
      <x:c r="G10" s="121" t="n">
        <x:f>E10/D10-1</x:f>
        <x:v>0.0009942518674892487</x:v>
      </x:c>
      <x:c r="H10" s="121" t="n">
        <x:f>F10/E10-1</x:f>
        <x:v>0.02375268756062754</x:v>
      </x:c>
      <x:c r="I10" s="101"/>
      <x:c r="J10" s="101"/>
      <x:c r="K10" s="101"/>
      <x:c r="L10" s="101"/>
      <x:c r="M10" s="101"/>
      <x:c r="N10" s="101"/>
      <x:c r="O10" s="101"/>
      <x:c r="P10" s="101"/>
      <x:c r="Q10" s="101"/>
      <x:c r="R10" s="101"/>
      <x:c r="S10" s="101"/>
      <x:c r="T10" s="101"/>
      <x:c r="U10" s="101"/>
      <x:c r="V10" s="101"/>
      <x:c r="W10" s="101"/>
      <x:c r="X10" s="101"/>
      <x:c r="Y10" s="101"/>
      <x:c r="Z10" s="101"/>
    </x:row>
    <x:row r="11">
      <x:c r="A11" s="101"/>
      <x:c r="B11" s="101"/>
      <x:c r="C11" s="122" t="str">
        <x:v>Full year</x:v>
      </x:c>
      <x:c r="D11" s="123" t="n">
        <x:f>SUM('Forecast'!$S$7:$S$18)</x:f>
        <x:v>4705056</x:v>
      </x:c>
      <x:c r="E11" s="123" t="n">
        <x:f>SUM('Forecast'!$S$19:$S$30)</x:f>
        <x:v>5243625.243273423</x:v>
      </x:c>
      <x:c r="F11" s="123" t="n">
        <x:f>SUM('Forecast'!$S$31:$S$42)</x:f>
        <x:v>5363082.141380143</x:v>
      </x:c>
      <x:c r="G11" s="124" t="n">
        <x:f>E11/D11-1</x:f>
        <x:v>0.11446606443651741</x:v>
      </x:c>
      <x:c r="H11" s="124" t="n">
        <x:f>F11/E11-1</x:f>
        <x:v>0.022781356898066152</x:v>
      </x:c>
      <x:c r="I11" s="101"/>
      <x:c r="J11" s="101"/>
      <x:c r="K11" s="101"/>
      <x:c r="L11" s="101"/>
      <x:c r="M11" s="101"/>
      <x:c r="N11" s="101"/>
      <x:c r="O11" s="101"/>
      <x:c r="P11" s="101"/>
      <x:c r="Q11" s="101"/>
      <x:c r="R11" s="101"/>
      <x:c r="S11" s="101"/>
      <x:c r="T11" s="101"/>
      <x:c r="U11" s="101"/>
      <x:c r="V11" s="101"/>
      <x:c r="W11" s="101"/>
      <x:c r="X11" s="101"/>
      <x:c r="Y11" s="101"/>
      <x:c r="Z11" s="101"/>
    </x:row>
    <x:row r="12">
      <x:c r="A12" s="101"/>
      <x:c r="B12" s="101"/>
      <x:c r="C12" s="101"/>
      <x:c r="D12" s="101"/>
      <x:c r="E12" s="101"/>
      <x:c r="F12" s="101"/>
      <x:c r="G12" s="101"/>
      <x:c r="H12" s="101"/>
      <x:c r="I12" s="101"/>
      <x:c r="J12" s="101"/>
      <x:c r="K12" s="101"/>
      <x:c r="L12" s="101"/>
      <x:c r="M12" s="101"/>
      <x:c r="N12" s="101"/>
      <x:c r="O12" s="101"/>
      <x:c r="P12" s="101"/>
      <x:c r="Q12" s="101"/>
      <x:c r="R12" s="101"/>
      <x:c r="S12" s="101"/>
      <x:c r="T12" s="101"/>
      <x:c r="U12" s="101"/>
      <x:c r="V12" s="101"/>
      <x:c r="W12" s="101"/>
      <x:c r="X12" s="101"/>
      <x:c r="Y12" s="101"/>
      <x:c r="Z12" s="101"/>
    </x:row>
    <x:row r="13">
      <x:c r="A13" s="101"/>
      <x:c r="B13" s="101"/>
      <x:c r="C13" s="41" t="str">
        <x:v>Read-through</x:v>
      </x:c>
      <x:c r="D13" s="125" t="str">
        <x:f>"FY27 reports "&amp;TEXT(G11,"0.0%")&amp;" growth even though H2 grows only "&amp;TEXT(G10,"0.0%")&amp;"."</x:f>
        <x:v>FY27 reports 11.4% growth even though H2 grows only 0.1%.</x:v>
      </x:c>
      <x:c r="E13" s="125"/>
      <x:c r="F13" s="125"/>
      <x:c r="G13" s="125"/>
      <x:c r="H13" s="125"/>
      <x:c r="I13" s="101"/>
      <x:c r="J13" s="101"/>
      <x:c r="K13" s="101"/>
      <x:c r="L13" s="101"/>
      <x:c r="M13" s="101"/>
      <x:c r="N13" s="101"/>
      <x:c r="O13" s="101"/>
      <x:c r="P13" s="101"/>
      <x:c r="Q13" s="101"/>
      <x:c r="R13" s="101"/>
      <x:c r="S13" s="101"/>
      <x:c r="T13" s="101"/>
      <x:c r="U13" s="101"/>
      <x:c r="V13" s="101"/>
      <x:c r="W13" s="101"/>
      <x:c r="X13" s="101"/>
      <x:c r="Y13" s="101"/>
      <x:c r="Z13" s="101"/>
    </x:row>
    <x:row r="14">
      <x:c r="A14" s="101"/>
      <x:c r="B14" s="101"/>
      <x:c r="C14" s="101"/>
      <x:c r="D14" s="101"/>
      <x:c r="E14" s="101"/>
      <x:c r="F14" s="101"/>
      <x:c r="G14" s="101"/>
      <x:c r="H14" s="101"/>
      <x:c r="I14" s="101"/>
      <x:c r="J14" s="101"/>
      <x:c r="K14" s="101"/>
      <x:c r="L14" s="101"/>
      <x:c r="M14" s="101"/>
      <x:c r="N14" s="101"/>
      <x:c r="O14" s="101"/>
      <x:c r="P14" s="101"/>
      <x:c r="Q14" s="101"/>
      <x:c r="R14" s="101"/>
      <x:c r="S14" s="101"/>
      <x:c r="T14" s="101"/>
      <x:c r="U14" s="101"/>
      <x:c r="V14" s="101"/>
      <x:c r="W14" s="101"/>
      <x:c r="X14" s="101"/>
      <x:c r="Y14" s="101"/>
      <x:c r="Z14" s="101"/>
    </x:row>
    <x:row r="15">
      <x:c r="A15" s="101"/>
      <x:c r="B15" s="101"/>
      <x:c r="C15" s="101"/>
      <x:c r="D15" s="101"/>
      <x:c r="E15" s="101"/>
      <x:c r="F15" s="101"/>
      <x:c r="G15" s="101"/>
      <x:c r="H15" s="101"/>
      <x:c r="I15" s="101"/>
      <x:c r="J15" s="101"/>
      <x:c r="K15" s="101"/>
      <x:c r="L15" s="101"/>
      <x:c r="M15" s="101"/>
      <x:c r="N15" s="101"/>
      <x:c r="O15" s="101"/>
      <x:c r="P15" s="101"/>
      <x:c r="Q15" s="101"/>
      <x:c r="R15" s="101"/>
      <x:c r="S15" s="101"/>
      <x:c r="T15" s="101"/>
      <x:c r="U15" s="101"/>
      <x:c r="V15" s="101"/>
      <x:c r="W15" s="101"/>
      <x:c r="X15" s="101"/>
      <x:c r="Y15" s="101"/>
      <x:c r="Z15" s="101"/>
    </x:row>
    <x:row r="16">
      <x:c r="A16" s="101"/>
      <x:c r="B16" s="101"/>
      <x:c r="C16" s="101"/>
      <x:c r="D16" s="101"/>
      <x:c r="E16" s="101"/>
      <x:c r="F16" s="101"/>
      <x:c r="G16" s="101"/>
      <x:c r="H16" s="101"/>
      <x:c r="I16" s="101"/>
      <x:c r="J16" s="101"/>
      <x:c r="K16" s="101"/>
      <x:c r="L16" s="101"/>
      <x:c r="M16" s="101"/>
      <x:c r="N16" s="101"/>
      <x:c r="O16" s="101"/>
      <x:c r="P16" s="101"/>
      <x:c r="Q16" s="101"/>
      <x:c r="R16" s="101"/>
      <x:c r="S16" s="101"/>
      <x:c r="T16" s="101"/>
      <x:c r="U16" s="101"/>
      <x:c r="V16" s="101"/>
      <x:c r="W16" s="101"/>
      <x:c r="X16" s="101"/>
      <x:c r="Y16" s="101"/>
      <x:c r="Z16" s="101"/>
    </x:row>
    <x:row r="17">
      <x:c r="A17" s="101"/>
      <x:c r="B17" s="101"/>
      <x:c r="C17" s="101"/>
      <x:c r="D17" s="101"/>
      <x:c r="E17" s="101"/>
      <x:c r="F17" s="101"/>
      <x:c r="G17" s="101"/>
      <x:c r="H17" s="101"/>
      <x:c r="I17" s="101"/>
      <x:c r="J17" s="101"/>
      <x:c r="K17" s="101"/>
      <x:c r="L17" s="101"/>
      <x:c r="M17" s="101"/>
      <x:c r="N17" s="101"/>
      <x:c r="O17" s="101"/>
      <x:c r="P17" s="101"/>
      <x:c r="Q17" s="101"/>
      <x:c r="R17" s="101"/>
      <x:c r="S17" s="101"/>
      <x:c r="T17" s="101"/>
      <x:c r="U17" s="101"/>
      <x:c r="V17" s="101"/>
      <x:c r="W17" s="101"/>
      <x:c r="X17" s="101"/>
      <x:c r="Y17" s="101"/>
      <x:c r="Z17" s="101"/>
    </x:row>
    <x:row r="18">
      <x:c r="A18" s="101"/>
      <x:c r="B18" s="101"/>
      <x:c r="C18" s="101"/>
      <x:c r="D18" s="101"/>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row>
    <x:row r="19">
      <x:c r="A19" s="101"/>
      <x:c r="B19" s="101"/>
      <x:c r="C19" s="101"/>
      <x:c r="D19" s="101"/>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row>
    <x:row r="20">
      <x:c r="A20" s="101"/>
      <x:c r="B20" s="101"/>
      <x:c r="C20" s="101"/>
      <x:c r="D20" s="101"/>
      <x:c r="E20" s="101"/>
      <x:c r="F20" s="101"/>
      <x:c r="G20" s="101"/>
      <x:c r="H20" s="101"/>
      <x:c r="I20" s="101"/>
      <x:c r="J20" s="101"/>
      <x:c r="K20" s="101"/>
      <x:c r="L20" s="101"/>
      <x:c r="M20" s="101"/>
      <x:c r="N20" s="101"/>
      <x:c r="O20" s="101"/>
      <x:c r="P20" s="101"/>
      <x:c r="Q20" s="101"/>
      <x:c r="R20" s="101"/>
      <x:c r="S20" s="101"/>
      <x:c r="T20" s="101"/>
      <x:c r="U20" s="101"/>
      <x:c r="V20" s="101"/>
      <x:c r="W20" s="101"/>
      <x:c r="X20" s="101"/>
      <x:c r="Y20" s="101"/>
      <x:c r="Z20" s="101"/>
    </x:row>
    <x:row r="21" ht="22" customHeight="1">
      <x:c r="A21" s="101"/>
      <x:c r="B21" s="101"/>
      <x:c r="C21" s="106" t="str">
        <x:v>Exhibit 2: The comparison changes in October, not gradually</x:v>
      </x:c>
      <x:c r="D21" s="107"/>
      <x:c r="E21" s="107"/>
      <x:c r="F21" s="107"/>
      <x:c r="G21" s="107"/>
      <x:c r="H21" s="107"/>
      <x:c r="I21" s="107"/>
      <x:c r="J21" s="107"/>
      <x:c r="K21" s="107"/>
      <x:c r="L21" s="107"/>
      <x:c r="M21" s="107"/>
      <x:c r="N21" s="107"/>
      <x:c r="O21" s="107"/>
      <x:c r="P21" s="107"/>
      <x:c r="Q21" s="107"/>
      <x:c r="R21" s="107"/>
      <x:c r="S21" s="107"/>
      <x:c r="T21" s="107"/>
      <x:c r="U21" s="108"/>
      <x:c r="V21" s="101"/>
      <x:c r="W21" s="101"/>
      <x:c r="X21" s="101"/>
      <x:c r="Y21" s="101"/>
      <x:c r="Z21" s="101"/>
    </x:row>
    <x:row r="22">
      <x:c r="A22" s="101"/>
      <x:c r="B22" s="101"/>
      <x:c r="C22" s="101"/>
      <x:c r="D22" s="101"/>
      <x:c r="E22" s="101"/>
      <x:c r="F22" s="101"/>
      <x:c r="G22" s="101"/>
      <x:c r="H22" s="101"/>
      <x:c r="I22" s="101"/>
      <x:c r="J22" s="101"/>
      <x:c r="K22" s="101"/>
      <x:c r="L22" s="101"/>
      <x:c r="M22" s="101"/>
      <x:c r="N22" s="101"/>
      <x:c r="O22" s="101"/>
      <x:c r="P22" s="101"/>
      <x:c r="Q22" s="101"/>
      <x:c r="R22" s="101"/>
      <x:c r="S22" s="101"/>
      <x:c r="T22" s="101"/>
      <x:c r="U22" s="101"/>
      <x:c r="V22" s="101"/>
      <x:c r="W22" s="101"/>
      <x:c r="X22" s="101"/>
      <x:c r="Y22" s="101"/>
      <x:c r="Z22" s="101"/>
    </x:row>
    <x:row r="23" ht="30" customHeight="1">
      <x:c r="A23" s="101"/>
      <x:c r="B23" s="101"/>
      <x:c r="C23" s="113" t="str">
        <x:v>Comparison period</x:v>
      </x:c>
      <x:c r="D23" s="114" t="str">
        <x:v>FY26 base</x:v>
      </x:c>
      <x:c r="E23" s="114" t="str">
        <x:v>FY27</x:v>
      </x:c>
      <x:c r="F23" s="114" t="str">
        <x:v>YoY growth</x:v>
      </x:c>
      <x:c r="G23" s="115" t="str">
        <x:v>What the base contains</x:v>
      </x:c>
      <x:c r="H23" s="101"/>
      <x:c r="I23" s="113" t="str">
        <x:v>GST timing</x:v>
      </x:c>
      <x:c r="J23" s="114" t="str">
        <x:v>Date</x:v>
      </x:c>
      <x:c r="K23" s="115" t="str">
        <x:v>Relevance</x:v>
      </x:c>
      <x:c r="L23" s="101"/>
      <x:c r="M23" s="101"/>
      <x:c r="N23" s="101"/>
      <x:c r="O23" s="101"/>
      <x:c r="P23" s="101"/>
      <x:c r="Q23" s="101"/>
      <x:c r="R23" s="101"/>
      <x:c r="S23" s="101"/>
      <x:c r="T23" s="101"/>
      <x:c r="U23" s="101"/>
      <x:c r="V23" s="101"/>
      <x:c r="W23" s="101"/>
      <x:c r="X23" s="101"/>
      <x:c r="Y23" s="101"/>
      <x:c r="Z23" s="101"/>
    </x:row>
    <x:row r="24" ht="38" customHeight="1">
      <x:c r="A24" s="101"/>
      <x:c r="B24" s="101"/>
      <x:c r="C24" s="116" t="str">
        <x:v>Apr–Aug</x:v>
      </x:c>
      <x:c r="D24" s="118" t="n">
        <x:f>SUM('Forecast'!$S$7:$S$11)</x:f>
        <x:v>1720309</x:v>
      </x:c>
      <x:c r="E24" s="118" t="n">
        <x:f>SUM('Forecast'!$S$19:$S$23)</x:f>
        <x:v>2102264.9999999995</x:v>
      </x:c>
      <x:c r="F24" s="120" t="n">
        <x:f>E24/D24-1</x:f>
        <x:v>0.22202755435215393</x:v>
      </x:c>
      <x:c r="G24" s="126" t="str">
        <x:v>No GST benefit in the FY26 base</x:v>
      </x:c>
      <x:c r="H24" s="101"/>
      <x:c r="I24" s="116" t="str">
        <x:v>Announcement</x:v>
      </x:c>
      <x:c r="J24" s="116" t="str">
        <x:v>15-Aug-25</x:v>
      </x:c>
      <x:c r="K24" s="126" t="str">
        <x:v>Demand paused ahead of implementation</x:v>
      </x:c>
      <x:c r="L24" s="101"/>
      <x:c r="M24" s="101"/>
      <x:c r="N24" s="101"/>
      <x:c r="O24" s="101"/>
      <x:c r="P24" s="101"/>
      <x:c r="Q24" s="101"/>
      <x:c r="R24" s="101"/>
      <x:c r="S24" s="101"/>
      <x:c r="T24" s="101"/>
      <x:c r="U24" s="101"/>
      <x:c r="V24" s="101"/>
      <x:c r="W24" s="101"/>
      <x:c r="X24" s="101"/>
      <x:c r="Y24" s="101"/>
      <x:c r="Z24" s="101"/>
    </x:row>
    <x:row r="25" ht="38" customHeight="1">
      <x:c r="A25" s="101"/>
      <x:c r="B25" s="101"/>
      <x:c r="C25" s="117" t="str">
        <x:v>September</x:v>
      </x:c>
      <x:c r="D25" s="119" t="n">
        <x:f>'Forecast'!$S$12</x:f>
        <x:v>296059.98880854785</x:v>
      </x:c>
      <x:c r="E25" s="119" t="n">
        <x:f>'Forecast'!$S$24</x:f>
        <x:v>450000</x:v>
      </x:c>
      <x:c r="F25" s="121" t="n">
        <x:f>E25/D25-1</x:f>
        <x:v>0.5199622272869842</x:v>
      </x:c>
      <x:c r="G25" s="127" t="str">
        <x:v>Only nine post-cut days in the FY26 base</x:v>
      </x:c>
      <x:c r="H25" s="101"/>
      <x:c r="I25" s="117" t="str">
        <x:v>Effective date</x:v>
      </x:c>
      <x:c r="J25" s="117" t="str">
        <x:v>22-Sep-25</x:v>
      </x:c>
      <x:c r="K25" s="127" t="str">
        <x:v>September received a part-month benefit</x:v>
      </x:c>
      <x:c r="L25" s="101"/>
      <x:c r="M25" s="101"/>
      <x:c r="N25" s="101"/>
      <x:c r="O25" s="101"/>
      <x:c r="P25" s="101"/>
      <x:c r="Q25" s="101"/>
      <x:c r="R25" s="101"/>
      <x:c r="S25" s="101"/>
      <x:c r="T25" s="101"/>
      <x:c r="U25" s="101"/>
      <x:c r="V25" s="101"/>
      <x:c r="W25" s="101"/>
      <x:c r="X25" s="101"/>
      <x:c r="Y25" s="101"/>
      <x:c r="Z25" s="101"/>
    </x:row>
    <x:row r="26" ht="38" customHeight="1">
      <x:c r="A26" s="101"/>
      <x:c r="B26" s="101"/>
      <x:c r="C26" s="117" t="str">
        <x:v>Oct–Mar</x:v>
      </x:c>
      <x:c r="D26" s="119" t="n">
        <x:f>SUM('Forecast'!$S$13:$S$18)</x:f>
        <x:v>2688687.011191452</x:v>
      </x:c>
      <x:c r="E26" s="119" t="n">
        <x:f>SUM('Forecast'!$S$25:$S$30)</x:f>
        <x:v>2691360.243273423</x:v>
      </x:c>
      <x:c r="F26" s="121" t="n">
        <x:f>E26/D26-1</x:f>
        <x:v>0.0009942518674892487</x:v>
      </x:c>
      <x:c r="G26" s="127" t="str">
        <x:v>First full post-GST base</x:v>
      </x:c>
      <x:c r="H26" s="101"/>
      <x:c r="I26" s="117" t="str">
        <x:v>First full month</x:v>
      </x:c>
      <x:c r="J26" s="117" t="str">
        <x:v>Oct-25</x:v>
      </x:c>
      <x:c r="K26" s="127" t="str">
        <x:v>High-base comparison begins in Oct-26</x:v>
      </x:c>
      <x:c r="L26" s="101"/>
      <x:c r="M26" s="101"/>
      <x:c r="N26" s="101"/>
      <x:c r="O26" s="101"/>
      <x:c r="P26" s="101"/>
      <x:c r="Q26" s="101"/>
      <x:c r="R26" s="101"/>
      <x:c r="S26" s="101"/>
      <x:c r="T26" s="101"/>
      <x:c r="U26" s="101"/>
      <x:c r="V26" s="101"/>
      <x:c r="W26" s="101"/>
      <x:c r="X26" s="101"/>
      <x:c r="Y26" s="101"/>
      <x:c r="Z26" s="101"/>
    </x:row>
    <x:row r="27">
      <x:c r="A27" s="101"/>
      <x:c r="B27" s="101"/>
      <x:c r="C27" s="101"/>
      <x:c r="D27" s="101"/>
      <x:c r="E27" s="101"/>
      <x:c r="F27" s="101"/>
      <x:c r="G27" s="101"/>
      <x:c r="H27" s="101"/>
      <x:c r="I27" s="101"/>
      <x:c r="J27" s="101"/>
      <x:c r="K27" s="101"/>
      <x:c r="L27" s="101"/>
      <x:c r="M27" s="101"/>
      <x:c r="N27" s="101"/>
      <x:c r="O27" s="101"/>
      <x:c r="P27" s="101"/>
      <x:c r="Q27" s="101"/>
      <x:c r="R27" s="101"/>
      <x:c r="S27" s="101"/>
      <x:c r="T27" s="101"/>
      <x:c r="U27" s="101"/>
      <x:c r="V27" s="101"/>
      <x:c r="W27" s="101"/>
      <x:c r="X27" s="101"/>
      <x:c r="Y27" s="101"/>
      <x:c r="Z27" s="101"/>
    </x:row>
    <x:row r="28">
      <x:c r="A28" s="101"/>
      <x:c r="B28" s="101"/>
      <x:c r="C28" s="41" t="str">
        <x:v>Conclusion</x:v>
      </x:c>
      <x:c r="D28" s="125" t="str">
        <x:v>The 52% September growth rate is largely a base artefact; the cleaner H2 read is 0.1%.</x:v>
      </x:c>
      <x:c r="E28" s="125" t="str"/>
      <x:c r="F28" s="125" t="str"/>
      <x:c r="G28" s="125" t="str"/>
      <x:c r="H28" s="125" t="str"/>
      <x:c r="I28" s="125" t="str"/>
      <x:c r="J28" s="125" t="str"/>
      <x:c r="K28" s="125" t="str"/>
      <x:c r="L28" s="101"/>
      <x:c r="M28" s="101"/>
      <x:c r="N28" s="101"/>
      <x:c r="O28" s="101"/>
      <x:c r="P28" s="101"/>
      <x:c r="Q28" s="101"/>
      <x:c r="R28" s="101"/>
      <x:c r="S28" s="101"/>
      <x:c r="T28" s="101"/>
      <x:c r="U28" s="101"/>
      <x:c r="V28" s="101"/>
      <x:c r="W28" s="101"/>
      <x:c r="X28" s="101"/>
      <x:c r="Y28" s="101"/>
      <x:c r="Z28" s="101"/>
    </x:row>
    <x:row r="29">
      <x:c r="A29" s="101"/>
      <x:c r="B29" s="101"/>
      <x:c r="C29" s="101"/>
      <x:c r="D29" s="101"/>
      <x:c r="E29" s="101"/>
      <x:c r="F29" s="101"/>
      <x:c r="G29" s="101"/>
      <x:c r="H29" s="101"/>
      <x:c r="I29" s="101"/>
      <x:c r="J29" s="101"/>
      <x:c r="K29" s="101"/>
      <x:c r="L29" s="101"/>
      <x:c r="M29" s="101"/>
      <x:c r="N29" s="101"/>
      <x:c r="O29" s="101"/>
      <x:c r="P29" s="101"/>
      <x:c r="Q29" s="101"/>
      <x:c r="R29" s="101"/>
      <x:c r="S29" s="101"/>
      <x:c r="T29" s="101"/>
      <x:c r="U29" s="101"/>
      <x:c r="V29" s="101"/>
      <x:c r="W29" s="101"/>
      <x:c r="X29" s="101"/>
      <x:c r="Y29" s="101"/>
      <x:c r="Z29" s="101"/>
    </x:row>
    <x:row r="30">
      <x:c r="A30" s="101"/>
      <x:c r="B30" s="101"/>
      <x:c r="C30" s="101"/>
      <x:c r="D30" s="101"/>
      <x:c r="E30" s="101"/>
      <x:c r="F30" s="101"/>
      <x:c r="G30" s="101"/>
      <x:c r="H30" s="101"/>
      <x:c r="I30" s="101"/>
      <x:c r="J30" s="101"/>
      <x:c r="K30" s="101"/>
      <x:c r="L30" s="101"/>
      <x:c r="M30" s="101"/>
      <x:c r="N30" s="101"/>
      <x:c r="O30" s="101"/>
      <x:c r="P30" s="101"/>
      <x:c r="Q30" s="101"/>
      <x:c r="R30" s="101"/>
      <x:c r="S30" s="101"/>
      <x:c r="T30" s="101"/>
      <x:c r="U30" s="101"/>
      <x:c r="V30" s="101"/>
      <x:c r="W30" s="101"/>
      <x:c r="X30" s="101"/>
      <x:c r="Y30" s="101"/>
      <x:c r="Z30" s="101"/>
    </x:row>
    <x:row r="31" ht="22" customHeight="1">
      <x:c r="A31" s="101"/>
      <x:c r="B31" s="101"/>
      <x:c r="C31" s="106" t="str">
        <x:v>Exhibit 3: The GST cut has two different effects on demand</x:v>
      </x:c>
      <x:c r="D31" s="107"/>
      <x:c r="E31" s="107"/>
      <x:c r="F31" s="107"/>
      <x:c r="G31" s="107"/>
      <x:c r="H31" s="107"/>
      <x:c r="I31" s="107"/>
      <x:c r="J31" s="107"/>
      <x:c r="K31" s="107"/>
      <x:c r="L31" s="107"/>
      <x:c r="M31" s="107"/>
      <x:c r="N31" s="107"/>
      <x:c r="O31" s="107"/>
      <x:c r="P31" s="107"/>
      <x:c r="Q31" s="107"/>
      <x:c r="R31" s="107"/>
      <x:c r="S31" s="107"/>
      <x:c r="T31" s="107"/>
      <x:c r="U31" s="108"/>
      <x:c r="V31" s="101"/>
      <x:c r="W31" s="101"/>
      <x:c r="X31" s="101"/>
      <x:c r="Y31" s="101"/>
      <x:c r="Z31" s="101"/>
    </x:row>
    <x:row r="32">
      <x:c r="A32" s="101"/>
      <x:c r="B32" s="101"/>
      <x:c r="C32" s="101"/>
      <x:c r="D32" s="101"/>
      <x:c r="E32" s="101"/>
      <x:c r="F32" s="101"/>
      <x:c r="G32" s="101"/>
      <x:c r="H32" s="101"/>
      <x:c r="I32" s="101"/>
      <x:c r="J32" s="101"/>
      <x:c r="K32" s="101"/>
      <x:c r="L32" s="101"/>
      <x:c r="M32" s="101"/>
      <x:c r="N32" s="101"/>
      <x:c r="O32" s="101"/>
      <x:c r="P32" s="101"/>
      <x:c r="Q32" s="101"/>
      <x:c r="R32" s="101"/>
      <x:c r="S32" s="101"/>
      <x:c r="T32" s="101"/>
      <x:c r="U32" s="101"/>
      <x:c r="V32" s="101"/>
      <x:c r="W32" s="101"/>
      <x:c r="X32" s="101"/>
      <x:c r="Y32" s="101"/>
      <x:c r="Z32" s="101"/>
    </x:row>
    <x:row r="33" ht="30" customHeight="1">
      <x:c r="A33" s="101"/>
      <x:c r="B33" s="101"/>
      <x:c r="C33" s="113" t="str">
        <x:v>Demand effect</x:v>
      </x:c>
      <x:c r="D33" s="114" t="str">
        <x:v>What it represents</x:v>
      </x:c>
      <x:c r="E33" s="114" t="str">
        <x:v>How the model measures it</x:v>
      </x:c>
      <x:c r="F33" s="115" t="str">
        <x:v>What happens later</x:v>
      </x:c>
      <x:c r="G33" s="101"/>
      <x:c r="H33" s="101"/>
      <x:c r="I33" s="101"/>
      <x:c r="J33" s="101"/>
      <x:c r="K33" s="101"/>
      <x:c r="L33" s="113" t="str">
        <x:v>Period</x:v>
      </x:c>
      <x:c r="M33" s="115" t="str">
        <x:v>Consumer price benefit</x:v>
      </x:c>
      <x:c r="N33" s="101"/>
      <x:c r="O33" s="101"/>
      <x:c r="P33" s="101"/>
      <x:c r="Q33" s="101"/>
      <x:c r="R33" s="101"/>
      <x:c r="S33" s="101"/>
      <x:c r="T33" s="101"/>
      <x:c r="U33" s="101"/>
      <x:c r="V33" s="101"/>
      <x:c r="W33" s="101"/>
      <x:c r="X33" s="101"/>
      <x:c r="Y33" s="101"/>
      <x:c r="Z33" s="101"/>
    </x:row>
    <x:row r="34" ht="58" customHeight="1">
      <x:c r="A34" s="101"/>
      <x:c r="B34" s="101"/>
      <x:c r="C34" s="128" t="str">
        <x:v>Permanent affordability uplift</x:v>
      </x:c>
      <x:c r="D34" s="126" t="str">
        <x:v>A larger addressable market while the residual price benefit remains</x:v>
      </x:c>
      <x:c r="E34" s="126" t="str">
        <x:v>Baseline × GST-exposed share × elasticity × residual benefit</x:v>
      </x:c>
      <x:c r="F34" s="126" t="str">
        <x:v>It fades as OEM price hikes absorb the tax benefit</x:v>
      </x:c>
      <x:c r="G34" s="101"/>
      <x:c r="H34" s="101"/>
      <x:c r="I34" s="101"/>
      <x:c r="J34" s="101"/>
      <x:c r="K34" s="101"/>
      <x:c r="L34" s="116" t="str">
        <x:v>Initial</x:v>
      </x:c>
      <x:c r="M34" s="120" t="n">
        <x:f>'Assumptions'!$D$17</x:f>
        <x:v>0.075</x:v>
      </x:c>
      <x:c r="N34" s="101"/>
      <x:c r="O34" s="101"/>
      <x:c r="P34" s="101"/>
      <x:c r="Q34" s="101"/>
      <x:c r="R34" s="101"/>
      <x:c r="S34" s="101"/>
      <x:c r="T34" s="101"/>
      <x:c r="U34" s="101"/>
      <x:c r="V34" s="101"/>
      <x:c r="W34" s="101"/>
      <x:c r="X34" s="101"/>
      <x:c r="Y34" s="101"/>
      <x:c r="Z34" s="101"/>
    </x:row>
    <x:row r="35" ht="58" customHeight="1">
      <x:c r="A35" s="101"/>
      <x:c r="B35" s="101"/>
      <x:c r="C35" s="122" t="str">
        <x:v>Pulled-forward demand</x:v>
      </x:c>
      <x:c r="D35" s="127" t="str">
        <x:v>Purchases occurring earlier than their underlying buying cycle</x:v>
      </x:c>
      <x:c r="E35" s="127" t="str">
        <x:v>Borrowed share of residual excess after the permanent uplift</x:v>
      </x:c>
      <x:c r="F35" s="127" t="str">
        <x:v>It returns as lower future demand: demand debt</x:v>
      </x:c>
      <x:c r="G35" s="101"/>
      <x:c r="H35" s="101"/>
      <x:c r="I35" s="101"/>
      <x:c r="J35" s="101"/>
      <x:c r="K35" s="101"/>
      <x:c r="L35" s="117" t="str">
        <x:v>FY27</x:v>
      </x:c>
      <x:c r="M35" s="121" t="n">
        <x:f>'Assumptions'!$D$18</x:f>
        <x:v>0.035</x:v>
      </x:c>
      <x:c r="N35" s="101"/>
      <x:c r="O35" s="101"/>
      <x:c r="P35" s="101"/>
      <x:c r="Q35" s="101"/>
      <x:c r="R35" s="101"/>
      <x:c r="S35" s="101"/>
      <x:c r="T35" s="101"/>
      <x:c r="U35" s="101"/>
      <x:c r="V35" s="101"/>
      <x:c r="W35" s="101"/>
      <x:c r="X35" s="101"/>
      <x:c r="Y35" s="101"/>
      <x:c r="Z35" s="101"/>
    </x:row>
    <x:row r="36" ht="58" customHeight="1">
      <x:c r="A36" s="101"/>
      <x:c r="B36" s="101"/>
      <x:c r="C36" s="122" t="str">
        <x:v>Retained residual</x:v>
      </x:c>
      <x:c r="D36" s="127" t="str">
        <x:v>Excess not identified as permanent or pulled forward</x:v>
      </x:c>
      <x:c r="E36" s="127" t="str">
        <x:v>Residual excess × (1 – borrowed share)</x:v>
      </x:c>
      <x:c r="F36" s="127" t="str">
        <x:v>No mechanical payback is assumed</x:v>
      </x:c>
      <x:c r="G36" s="101"/>
      <x:c r="H36" s="101"/>
      <x:c r="I36" s="101"/>
      <x:c r="J36" s="101"/>
      <x:c r="K36" s="101"/>
      <x:c r="L36" s="117" t="str">
        <x:v>FY28</x:v>
      </x:c>
      <x:c r="M36" s="121" t="n">
        <x:f>'Assumptions'!$D$19</x:f>
        <x:v>0.02</x:v>
      </x:c>
      <x:c r="N36" s="101"/>
      <x:c r="O36" s="101"/>
      <x:c r="P36" s="101"/>
      <x:c r="Q36" s="101"/>
      <x:c r="R36" s="101"/>
      <x:c r="S36" s="101"/>
      <x:c r="T36" s="101"/>
      <x:c r="U36" s="101"/>
      <x:c r="V36" s="101"/>
      <x:c r="W36" s="101"/>
      <x:c r="X36" s="101"/>
      <x:c r="Y36" s="101"/>
      <x:c r="Z36" s="101"/>
    </x:row>
    <x:row r="37">
      <x:c r="A37" s="101"/>
      <x:c r="B37" s="101"/>
      <x:c r="C37" s="101"/>
      <x:c r="D37" s="101"/>
      <x:c r="E37" s="101"/>
      <x:c r="F37" s="101"/>
      <x:c r="G37" s="101"/>
      <x:c r="H37" s="101"/>
      <x:c r="I37" s="101"/>
      <x:c r="J37" s="101"/>
      <x:c r="K37" s="101"/>
      <x:c r="L37" s="101"/>
      <x:c r="M37" s="101"/>
      <x:c r="N37" s="101"/>
      <x:c r="O37" s="101"/>
      <x:c r="P37" s="101"/>
      <x:c r="Q37" s="101"/>
      <x:c r="R37" s="101"/>
      <x:c r="S37" s="101"/>
      <x:c r="T37" s="101"/>
      <x:c r="U37" s="101"/>
      <x:c r="V37" s="101"/>
      <x:c r="W37" s="101"/>
      <x:c r="X37" s="101"/>
      <x:c r="Y37" s="101"/>
      <x:c r="Z37" s="101"/>
    </x:row>
    <x:row r="38">
      <x:c r="A38" s="101"/>
      <x:c r="B38" s="101"/>
      <x:c r="C38" s="101"/>
      <x:c r="D38" s="101"/>
      <x:c r="E38" s="101"/>
      <x:c r="F38" s="101"/>
      <x:c r="G38" s="101"/>
      <x:c r="H38" s="101"/>
      <x:c r="I38" s="101"/>
      <x:c r="J38" s="101"/>
      <x:c r="K38" s="101"/>
      <x:c r="L38" s="101"/>
      <x:c r="M38" s="101"/>
      <x:c r="N38" s="101"/>
      <x:c r="O38" s="101"/>
      <x:c r="P38" s="101"/>
      <x:c r="Q38" s="101"/>
      <x:c r="R38" s="101"/>
      <x:c r="S38" s="101"/>
      <x:c r="T38" s="101"/>
      <x:c r="U38" s="101"/>
      <x:c r="V38" s="101"/>
      <x:c r="W38" s="101"/>
      <x:c r="X38" s="101"/>
      <x:c r="Y38" s="101"/>
      <x:c r="Z38" s="101"/>
    </x:row>
    <x:row r="39" ht="30" customHeight="1">
      <x:c r="A39" s="101"/>
      <x:c r="B39" s="101"/>
      <x:c r="C39" s="113" t="str">
        <x:v>Model input</x:v>
      </x:c>
      <x:c r="D39" s="114" t="str">
        <x:v>FY26</x:v>
      </x:c>
      <x:c r="E39" s="114" t="str">
        <x:v>FY27</x:v>
      </x:c>
      <x:c r="F39" s="115" t="str">
        <x:v>FY28</x:v>
      </x:c>
      <x:c r="G39" s="101"/>
      <x:c r="H39" s="101"/>
      <x:c r="I39" s="101"/>
      <x:c r="J39" s="101"/>
      <x:c r="K39" s="101"/>
      <x:c r="L39" s="101"/>
      <x:c r="M39" s="101"/>
      <x:c r="N39" s="101"/>
      <x:c r="O39" s="101"/>
      <x:c r="P39" s="101"/>
      <x:c r="Q39" s="101"/>
      <x:c r="R39" s="101"/>
      <x:c r="S39" s="101"/>
      <x:c r="T39" s="101"/>
      <x:c r="U39" s="101"/>
      <x:c r="V39" s="101"/>
      <x:c r="W39" s="101"/>
      <x:c r="X39" s="101"/>
      <x:c r="Y39" s="101"/>
      <x:c r="Z39" s="101"/>
    </x:row>
    <x:row r="40">
      <x:c r="A40" s="101"/>
      <x:c r="B40" s="101"/>
      <x:c r="C40" s="116" t="str">
        <x:v>Price benefit used</x:v>
      </x:c>
      <x:c r="D40" s="120" t="n">
        <x:f>'Assumptions'!$D$17*6/12</x:f>
        <x:v>0.0375</x:v>
      </x:c>
      <x:c r="E40" s="120" t="n">
        <x:f>'Assumptions'!$D$18</x:f>
        <x:v>0.035</x:v>
      </x:c>
      <x:c r="F40" s="120" t="n">
        <x:f>'Assumptions'!$D$19</x:f>
        <x:v>0.02</x:v>
      </x:c>
      <x:c r="G40" s="101"/>
      <x:c r="H40" s="101"/>
      <x:c r="I40" s="101"/>
      <x:c r="J40" s="101"/>
      <x:c r="K40" s="101"/>
      <x:c r="L40" s="101"/>
      <x:c r="M40" s="101"/>
      <x:c r="N40" s="101"/>
      <x:c r="O40" s="101"/>
      <x:c r="P40" s="101"/>
      <x:c r="Q40" s="101"/>
      <x:c r="R40" s="101"/>
      <x:c r="S40" s="101"/>
      <x:c r="T40" s="101"/>
      <x:c r="U40" s="101"/>
      <x:c r="V40" s="101"/>
      <x:c r="W40" s="101"/>
      <x:c r="X40" s="101"/>
      <x:c r="Y40" s="101"/>
      <x:c r="Z40" s="101"/>
    </x:row>
    <x:row r="41">
      <x:c r="A41" s="101"/>
      <x:c r="B41" s="101"/>
      <x:c r="C41" s="117" t="str">
        <x:v>GST-exposed market share</x:v>
      </x:c>
      <x:c r="D41" s="121" t="n">
        <x:f>'Assumptions'!$D$20</x:f>
        <x:v>0.75</x:v>
      </x:c>
      <x:c r="E41" s="121" t="n">
        <x:f>'Assumptions'!$D$20</x:f>
        <x:v>0.75</x:v>
      </x:c>
      <x:c r="F41" s="121" t="n">
        <x:f>'Assumptions'!$D$20</x:f>
        <x:v>0.75</x:v>
      </x:c>
      <x:c r="G41" s="101"/>
      <x:c r="H41" s="101"/>
      <x:c r="I41" s="101"/>
      <x:c r="J41" s="101"/>
      <x:c r="K41" s="101"/>
      <x:c r="L41" s="101"/>
      <x:c r="M41" s="101"/>
      <x:c r="N41" s="101"/>
      <x:c r="O41" s="101"/>
      <x:c r="P41" s="101"/>
      <x:c r="Q41" s="101"/>
      <x:c r="R41" s="101"/>
      <x:c r="S41" s="101"/>
      <x:c r="T41" s="101"/>
      <x:c r="U41" s="101"/>
      <x:c r="V41" s="101"/>
      <x:c r="W41" s="101"/>
      <x:c r="X41" s="101"/>
      <x:c r="Y41" s="101"/>
      <x:c r="Z41" s="101"/>
    </x:row>
    <x:row r="42">
      <x:c r="A42" s="101"/>
      <x:c r="B42" s="101"/>
      <x:c r="C42" s="131" t="str">
        <x:v>Implied market-wide permanent volume uplift</x:v>
      </x:c>
      <x:c r="D42" s="132" t="n">
        <x:f>D40*D41*'Assumptions'!$D$21</x:f>
        <x:v>0.0225</x:v>
      </x:c>
      <x:c r="E42" s="132" t="n">
        <x:f>E40*E41*'Assumptions'!$D$21</x:f>
        <x:v>0.021000000000000005</x:v>
      </x:c>
      <x:c r="F42" s="132" t="n">
        <x:f>F40*F41*'Assumptions'!$D$21</x:f>
        <x:v>0.012</x:v>
      </x:c>
      <x:c r="G42" s="101"/>
      <x:c r="H42" s="101"/>
      <x:c r="I42" s="101"/>
      <x:c r="J42" s="101"/>
      <x:c r="K42" s="101"/>
      <x:c r="L42" s="101"/>
      <x:c r="M42" s="101"/>
      <x:c r="N42" s="101"/>
      <x:c r="O42" s="101"/>
      <x:c r="P42" s="101"/>
      <x:c r="Q42" s="101"/>
      <x:c r="R42" s="101"/>
      <x:c r="S42" s="101"/>
      <x:c r="T42" s="101"/>
      <x:c r="U42" s="101"/>
      <x:c r="V42" s="101"/>
      <x:c r="W42" s="101"/>
      <x:c r="X42" s="101"/>
      <x:c r="Y42" s="101"/>
      <x:c r="Z42" s="101"/>
    </x:row>
    <x:row r="43">
      <x:c r="A43" s="101"/>
      <x:c r="B43" s="101"/>
      <x:c r="C43" s="101"/>
      <x:c r="D43" s="101"/>
      <x:c r="E43" s="101"/>
      <x:c r="F43" s="101"/>
      <x:c r="G43" s="101"/>
      <x:c r="H43" s="101"/>
      <x:c r="I43" s="101"/>
      <x:c r="J43" s="101"/>
      <x:c r="K43" s="101"/>
      <x:c r="L43" s="101"/>
      <x:c r="M43" s="101"/>
      <x:c r="N43" s="101"/>
      <x:c r="O43" s="101"/>
      <x:c r="P43" s="101"/>
      <x:c r="Q43" s="101"/>
      <x:c r="R43" s="101"/>
      <x:c r="S43" s="101"/>
      <x:c r="T43" s="101"/>
      <x:c r="U43" s="101"/>
      <x:c r="V43" s="101"/>
      <x:c r="W43" s="101"/>
      <x:c r="X43" s="101"/>
      <x:c r="Y43" s="101"/>
      <x:c r="Z43" s="101"/>
    </x:row>
    <x:row r="44">
      <x:c r="A44" s="101"/>
      <x:c r="B44" s="101"/>
      <x:c r="C44" s="101"/>
      <x:c r="D44" s="101"/>
      <x:c r="E44" s="101"/>
      <x:c r="F44" s="101"/>
      <x:c r="G44" s="101"/>
      <x:c r="H44" s="101"/>
      <x:c r="I44" s="101"/>
      <x:c r="J44" s="101"/>
      <x:c r="K44" s="101"/>
      <x:c r="L44" s="101"/>
      <x:c r="M44" s="101"/>
      <x:c r="N44" s="101"/>
      <x:c r="O44" s="101"/>
      <x:c r="P44" s="101"/>
      <x:c r="Q44" s="101"/>
      <x:c r="R44" s="101"/>
      <x:c r="S44" s="101"/>
      <x:c r="T44" s="101"/>
      <x:c r="U44" s="101"/>
      <x:c r="V44" s="101"/>
      <x:c r="W44" s="101"/>
      <x:c r="X44" s="101"/>
      <x:c r="Y44" s="101"/>
      <x:c r="Z44" s="101"/>
    </x:row>
    <x:row r="45">
      <x:c r="A45" s="101"/>
      <x:c r="B45" s="101"/>
      <x:c r="C45" s="101"/>
      <x:c r="D45" s="101"/>
      <x:c r="E45" s="101"/>
      <x:c r="F45" s="101"/>
      <x:c r="G45" s="101"/>
      <x:c r="H45" s="101"/>
      <x:c r="I45" s="101"/>
      <x:c r="J45" s="101"/>
      <x:c r="K45" s="101"/>
      <x:c r="L45" s="101"/>
      <x:c r="M45" s="101"/>
      <x:c r="N45" s="101"/>
      <x:c r="O45" s="101"/>
      <x:c r="P45" s="101"/>
      <x:c r="Q45" s="101"/>
      <x:c r="R45" s="101"/>
      <x:c r="S45" s="101"/>
      <x:c r="T45" s="101"/>
      <x:c r="U45" s="101"/>
      <x:c r="V45" s="101"/>
      <x:c r="W45" s="101"/>
      <x:c r="X45" s="101"/>
      <x:c r="Y45" s="101"/>
      <x:c r="Z45" s="101"/>
    </x:row>
    <x:row r="46">
      <x:c r="A46" s="101"/>
      <x:c r="B46" s="101"/>
      <x:c r="C46" s="101"/>
      <x:c r="D46" s="101"/>
      <x:c r="E46" s="101"/>
      <x:c r="F46" s="101"/>
      <x:c r="G46" s="101"/>
      <x:c r="H46" s="101"/>
      <x:c r="I46" s="101"/>
      <x:c r="J46" s="101"/>
      <x:c r="K46" s="101"/>
      <x:c r="L46" s="101"/>
      <x:c r="M46" s="101"/>
      <x:c r="N46" s="101"/>
      <x:c r="O46" s="101"/>
      <x:c r="P46" s="101"/>
      <x:c r="Q46" s="101"/>
      <x:c r="R46" s="101"/>
      <x:c r="S46" s="101"/>
      <x:c r="T46" s="101"/>
      <x:c r="U46" s="101"/>
      <x:c r="V46" s="101"/>
      <x:c r="W46" s="101"/>
      <x:c r="X46" s="101"/>
      <x:c r="Y46" s="101"/>
      <x:c r="Z46" s="101"/>
    </x:row>
    <x:row r="47">
      <x:c r="A47" s="101"/>
      <x:c r="B47" s="101"/>
      <x:c r="C47" s="101"/>
      <x:c r="D47" s="101"/>
      <x:c r="E47" s="101"/>
      <x:c r="F47" s="101"/>
      <x:c r="G47" s="101"/>
      <x:c r="H47" s="101"/>
      <x:c r="I47" s="101"/>
      <x:c r="J47" s="101"/>
      <x:c r="K47" s="101"/>
      <x:c r="L47" s="101"/>
      <x:c r="M47" s="101"/>
      <x:c r="N47" s="101"/>
      <x:c r="O47" s="101"/>
      <x:c r="P47" s="101"/>
      <x:c r="Q47" s="101"/>
      <x:c r="R47" s="101"/>
      <x:c r="S47" s="101"/>
      <x:c r="T47" s="101"/>
      <x:c r="U47" s="101"/>
      <x:c r="V47" s="101"/>
      <x:c r="W47" s="101"/>
      <x:c r="X47" s="101"/>
      <x:c r="Y47" s="101"/>
      <x:c r="Z47" s="101"/>
    </x:row>
    <x:row r="48" ht="22" customHeight="1">
      <x:c r="A48" s="101"/>
      <x:c r="B48" s="101"/>
      <x:c r="C48" s="106" t="str">
        <x:v>Exhibit 4: 350k units of demand debt has accumulated by September 2026</x:v>
      </x:c>
      <x:c r="D48" s="107"/>
      <x:c r="E48" s="107"/>
      <x:c r="F48" s="107"/>
      <x:c r="G48" s="107"/>
      <x:c r="H48" s="107"/>
      <x:c r="I48" s="107"/>
      <x:c r="J48" s="107"/>
      <x:c r="K48" s="107"/>
      <x:c r="L48" s="107"/>
      <x:c r="M48" s="107"/>
      <x:c r="N48" s="107"/>
      <x:c r="O48" s="107"/>
      <x:c r="P48" s="107"/>
      <x:c r="Q48" s="107"/>
      <x:c r="R48" s="107"/>
      <x:c r="S48" s="107"/>
      <x:c r="T48" s="107"/>
      <x:c r="U48" s="108"/>
      <x:c r="V48" s="101"/>
      <x:c r="W48" s="101"/>
      <x:c r="X48" s="101"/>
      <x:c r="Y48" s="101"/>
      <x:c r="Z48" s="101"/>
    </x:row>
    <x:row r="49">
      <x:c r="A49" s="101"/>
      <x:c r="B49" s="101"/>
      <x:c r="C49" s="101"/>
      <x:c r="D49" s="101"/>
      <x:c r="E49" s="101"/>
      <x:c r="F49" s="101"/>
      <x:c r="G49" s="101"/>
      <x:c r="H49" s="101"/>
      <x:c r="I49" s="101"/>
      <x:c r="J49" s="101"/>
      <x:c r="K49" s="101"/>
      <x:c r="L49" s="101"/>
      <x:c r="M49" s="101"/>
      <x:c r="N49" s="101"/>
      <x:c r="O49" s="101"/>
      <x:c r="P49" s="101"/>
      <x:c r="Q49" s="101"/>
      <x:c r="R49" s="101"/>
      <x:c r="S49" s="101"/>
      <x:c r="T49" s="101"/>
      <x:c r="U49" s="101"/>
      <x:c r="V49" s="101"/>
      <x:c r="W49" s="101"/>
      <x:c r="X49" s="101"/>
      <x:c r="Y49" s="101"/>
      <x:c r="Z49" s="101"/>
    </x:row>
    <x:row r="50" ht="30" customHeight="1">
      <x:c r="A50" s="101"/>
      <x:c r="B50" s="101"/>
      <x:c r="C50" s="113" t="str">
        <x:v>Step</x:v>
      </x:c>
      <x:c r="D50" s="114" t="str">
        <x:v>FY26</x:v>
      </x:c>
      <x:c r="E50" s="114" t="str">
        <x:v>FY27 H1</x:v>
      </x:c>
      <x:c r="F50" s="115" t="str">
        <x:v>Model interpretation</x:v>
      </x:c>
      <x:c r="G50" s="101"/>
      <x:c r="H50" s="101"/>
      <x:c r="I50" s="113" t="str">
        <x:v>Demand-debt balance</x:v>
      </x:c>
      <x:c r="J50" s="114" t="str">
        <x:v>Units</x:v>
      </x:c>
      <x:c r="K50" s="115" t="str">
        <x:v>Share of opening debt</x:v>
      </x:c>
      <x:c r="L50" s="101"/>
      <x:c r="M50" s="101"/>
      <x:c r="N50" s="101"/>
      <x:c r="O50" s="101"/>
      <x:c r="P50" s="101"/>
      <x:c r="Q50" s="101"/>
      <x:c r="R50" s="101"/>
      <x:c r="S50" s="101"/>
      <x:c r="T50" s="101"/>
      <x:c r="U50" s="101"/>
      <x:c r="V50" s="101"/>
      <x:c r="W50" s="101"/>
      <x:c r="X50" s="101"/>
      <x:c r="Y50" s="101"/>
      <x:c r="Z50" s="101"/>
    </x:row>
    <x:row r="51" ht="34" customHeight="1">
      <x:c r="A51" s="101"/>
      <x:c r="B51" s="101"/>
      <x:c r="C51" s="116" t="str">
        <x:v>Actual / estimated retail</x:v>
      </x:c>
      <x:c r="D51" s="118" t="n">
        <x:f>'Demand Debt'!$D$10</x:f>
        <x:v>4705056</x:v>
      </x:c>
      <x:c r="E51" s="118" t="n">
        <x:f>'Demand Debt'!$D$21</x:f>
        <x:v>2552264.9999999995</x:v>
      </x:c>
      <x:c r="F51" s="126" t="str">
        <x:v>Observed post-GST volume</x:v>
      </x:c>
      <x:c r="G51" s="101"/>
      <x:c r="H51" s="101"/>
      <x:c r="I51" s="116" t="str">
        <x:v>FY26 debt</x:v>
      </x:c>
      <x:c r="J51" s="118" t="n">
        <x:f>'Demand Debt'!$D$16</x:f>
        <x:v>140735.92477499964</x:v>
      </x:c>
      <x:c r="K51" s="137" t="n">
        <x:f>J51/J53</x:f>
        <x:v>0.4016420766597869</x:v>
      </x:c>
      <x:c r="L51" s="101"/>
      <x:c r="M51" s="101"/>
      <x:c r="N51" s="101"/>
      <x:c r="O51" s="101"/>
      <x:c r="P51" s="101"/>
      <x:c r="Q51" s="101"/>
      <x:c r="R51" s="101"/>
      <x:c r="S51" s="101"/>
      <x:c r="T51" s="101"/>
      <x:c r="U51" s="101"/>
      <x:c r="V51" s="101"/>
      <x:c r="W51" s="101"/>
      <x:c r="X51" s="101"/>
      <x:c r="Y51" s="101"/>
      <x:c r="Z51" s="101"/>
    </x:row>
    <x:row r="52" ht="34" customHeight="1">
      <x:c r="A52" s="101"/>
      <x:c r="B52" s="101"/>
      <x:c r="C52" s="117" t="str">
        <x:v>No-GST counterfactual</x:v>
      </x:c>
      <x:c r="D52" s="119" t="n">
        <x:f>'Demand Debt'!$D$9</x:f>
        <x:v>4372123.350000001</x:v>
      </x:c>
      <x:c r="E52" s="119" t="n">
        <x:f>'Demand Debt'!$D$20</x:f>
        <x:v>2157514.818025146</x:v>
      </x:c>
      <x:c r="F52" s="127" t="str">
        <x:v>Underlying path without the tax cut</x:v>
      </x:c>
      <x:c r="G52" s="101"/>
      <x:c r="H52" s="101"/>
      <x:c r="I52" s="117" t="str">
        <x:v>FY27 H1 new debt</x:v>
      </x:c>
      <x:c r="J52" s="119" t="n">
        <x:f>'Demand Debt'!$D$25</x:f>
        <x:v>209665.4224777952</x:v>
      </x:c>
      <x:c r="K52" s="138" t="n">
        <x:f>J52/J53</x:f>
        <x:v>0.5983579233402131</x:v>
      </x:c>
      <x:c r="L52" s="101"/>
      <x:c r="M52" s="101"/>
      <x:c r="N52" s="101"/>
      <x:c r="O52" s="101"/>
      <x:c r="P52" s="101"/>
      <x:c r="Q52" s="101"/>
      <x:c r="R52" s="101"/>
      <x:c r="S52" s="101"/>
      <x:c r="T52" s="101"/>
      <x:c r="U52" s="101"/>
      <x:c r="V52" s="101"/>
      <x:c r="W52" s="101"/>
      <x:c r="X52" s="101"/>
      <x:c r="Y52" s="101"/>
      <x:c r="Z52" s="101"/>
    </x:row>
    <x:row r="53" ht="34" customHeight="1">
      <x:c r="A53" s="101"/>
      <x:c r="B53" s="101"/>
      <x:c r="C53" s="117" t="str">
        <x:v>Gross excess</x:v>
      </x:c>
      <x:c r="D53" s="119" t="n">
        <x:f>'Demand Debt'!$D$11</x:f>
        <x:v>332932.64999999944</x:v>
      </x:c>
      <x:c r="E53" s="119" t="n">
        <x:f>'Demand Debt'!$D$22</x:f>
        <x:v>394750.1819748534</x:v>
      </x:c>
      <x:c r="F53" s="127" t="str">
        <x:v>Actual less no-GST path</x:v>
      </x:c>
      <x:c r="G53" s="101"/>
      <x:c r="H53" s="101"/>
      <x:c r="I53" s="131" t="str">
        <x:v>Opening debt at Sep-26</x:v>
      </x:c>
      <x:c r="J53" s="135" t="n">
        <x:f>'Demand Debt'!$D$26</x:f>
        <x:v>350401.34725279483</x:v>
      </x:c>
      <x:c r="K53" s="140" t="n">
        <x:f>J53/J53</x:f>
        <x:v>1</x:v>
      </x:c>
      <x:c r="L53" s="101"/>
      <x:c r="M53" s="101"/>
      <x:c r="N53" s="101"/>
      <x:c r="O53" s="101"/>
      <x:c r="P53" s="101"/>
      <x:c r="Q53" s="101"/>
      <x:c r="R53" s="101"/>
      <x:c r="S53" s="101"/>
      <x:c r="T53" s="101"/>
      <x:c r="U53" s="101"/>
      <x:c r="V53" s="101"/>
      <x:c r="W53" s="101"/>
      <x:c r="X53" s="101"/>
      <x:c r="Y53" s="101"/>
      <x:c r="Z53" s="101"/>
    </x:row>
    <x:row r="54" ht="34" customHeight="1">
      <x:c r="A54" s="101"/>
      <x:c r="B54" s="101"/>
      <x:c r="C54" s="117" t="str">
        <x:v>Permanent affordability uplift</x:v>
      </x:c>
      <x:c r="D54" s="119" t="n">
        <x:f>'Demand Debt'!$D$13</x:f>
        <x:v>98372.77537500001</x:v>
      </x:c>
      <x:c r="E54" s="119" t="n">
        <x:f>'Demand Debt'!$D$23</x:f>
        <x:v>45307.81117852808</x:v>
      </x:c>
      <x:c r="F54" s="127" t="str">
        <x:v>Volume explained by the remaining price benefit</x:v>
      </x:c>
      <x:c r="G54" s="101"/>
      <x:c r="H54" s="101"/>
      <x:c r="I54" s="101"/>
      <x:c r="J54" s="101"/>
      <x:c r="K54" s="101"/>
      <x:c r="L54" s="101"/>
      <x:c r="M54" s="101"/>
      <x:c r="N54" s="101"/>
      <x:c r="O54" s="101"/>
      <x:c r="P54" s="101"/>
      <x:c r="Q54" s="101"/>
      <x:c r="R54" s="101"/>
      <x:c r="S54" s="101"/>
      <x:c r="T54" s="101"/>
      <x:c r="U54" s="101"/>
      <x:c r="V54" s="101"/>
      <x:c r="W54" s="101"/>
      <x:c r="X54" s="101"/>
      <x:c r="Y54" s="101"/>
      <x:c r="Z54" s="101"/>
    </x:row>
    <x:row r="55" ht="34" customHeight="1">
      <x:c r="A55" s="101"/>
      <x:c r="B55" s="101"/>
      <x:c r="C55" s="117" t="str">
        <x:v>Residual excess</x:v>
      </x:c>
      <x:c r="D55" s="119" t="n">
        <x:f>'Demand Debt'!$D$14</x:f>
        <x:v>234559.87462499941</x:v>
      </x:c>
      <x:c r="E55" s="119" t="n">
        <x:f>'Demand Debt'!$D$24</x:f>
        <x:v>349442.3707963253</x:v>
      </x:c>
      <x:c r="F55" s="127" t="str">
        <x:v>Volume still unexplained</x:v>
      </x:c>
      <x:c r="G55" s="101"/>
      <x:c r="H55" s="101"/>
      <x:c r="I55" s="101"/>
      <x:c r="J55" s="101"/>
      <x:c r="K55" s="101"/>
      <x:c r="L55" s="101"/>
      <x:c r="M55" s="101"/>
      <x:c r="N55" s="101"/>
      <x:c r="O55" s="101"/>
      <x:c r="P55" s="101"/>
      <x:c r="Q55" s="101"/>
      <x:c r="R55" s="101"/>
      <x:c r="S55" s="101"/>
      <x:c r="T55" s="101"/>
      <x:c r="U55" s="101"/>
      <x:c r="V55" s="101"/>
      <x:c r="W55" s="101"/>
      <x:c r="X55" s="101"/>
      <x:c r="Y55" s="101"/>
      <x:c r="Z55" s="101"/>
    </x:row>
    <x:row r="56" ht="34" customHeight="1">
      <x:c r="A56" s="101"/>
      <x:c r="B56" s="101"/>
      <x:c r="C56" s="117" t="str">
        <x:v>Borrowed share</x:v>
      </x:c>
      <x:c r="D56" s="121" t="n">
        <x:f>'Demand Debt'!$D$15</x:f>
        <x:v>0.6</x:v>
      </x:c>
      <x:c r="E56" s="121" t="n">
        <x:f>'Assumptions'!$D$22</x:f>
        <x:v>0.6</x:v>
      </x:c>
      <x:c r="F56" s="127" t="str">
        <x:v>Judgemental share treated as shifted through time</x:v>
      </x:c>
      <x:c r="G56" s="101"/>
      <x:c r="H56" s="101"/>
      <x:c r="I56" s="101"/>
      <x:c r="J56" s="101"/>
      <x:c r="K56" s="101"/>
      <x:c r="L56" s="101"/>
      <x:c r="M56" s="101"/>
      <x:c r="N56" s="101"/>
      <x:c r="O56" s="101"/>
      <x:c r="P56" s="101"/>
      <x:c r="Q56" s="101"/>
      <x:c r="R56" s="101"/>
      <x:c r="S56" s="101"/>
      <x:c r="T56" s="101"/>
      <x:c r="U56" s="101"/>
      <x:c r="V56" s="101"/>
      <x:c r="W56" s="101"/>
      <x:c r="X56" s="101"/>
      <x:c r="Y56" s="101"/>
      <x:c r="Z56" s="101"/>
    </x:row>
    <x:row r="57" ht="34" customHeight="1">
      <x:c r="A57" s="101"/>
      <x:c r="B57" s="101"/>
      <x:c r="C57" s="131" t="str">
        <x:v>Demand debt created</x:v>
      </x:c>
      <x:c r="D57" s="135" t="n">
        <x:f>'Demand Debt'!$D$16</x:f>
        <x:v>140735.92477499964</x:v>
      </x:c>
      <x:c r="E57" s="135" t="n">
        <x:f>'Demand Debt'!$D$25</x:f>
        <x:v>209665.4224777952</x:v>
      </x:c>
      <x:c r="F57" s="136" t="str">
        <x:v>Demand subtracted from later periods</x:v>
      </x:c>
      <x:c r="G57" s="101"/>
      <x:c r="H57" s="101"/>
      <x:c r="I57" s="101"/>
      <x:c r="J57" s="101"/>
      <x:c r="K57" s="101"/>
      <x:c r="L57" s="101"/>
      <x:c r="M57" s="101"/>
      <x:c r="N57" s="101"/>
      <x:c r="O57" s="101"/>
      <x:c r="P57" s="101"/>
      <x:c r="Q57" s="101"/>
      <x:c r="R57" s="101"/>
      <x:c r="S57" s="101"/>
      <x:c r="T57" s="101"/>
      <x:c r="U57" s="101"/>
      <x:c r="V57" s="101"/>
      <x:c r="W57" s="101"/>
      <x:c r="X57" s="101"/>
      <x:c r="Y57" s="101"/>
      <x:c r="Z57" s="101"/>
    </x:row>
    <x:row r="58">
      <x:c r="A58" s="101"/>
      <x:c r="B58" s="101"/>
      <x:c r="C58" s="101"/>
      <x:c r="D58" s="101"/>
      <x:c r="E58" s="101"/>
      <x:c r="F58" s="101"/>
      <x:c r="G58" s="101"/>
      <x:c r="H58" s="101"/>
      <x:c r="I58" s="101"/>
      <x:c r="J58" s="101"/>
      <x:c r="K58" s="101"/>
      <x:c r="L58" s="101"/>
      <x:c r="M58" s="101"/>
      <x:c r="N58" s="101"/>
      <x:c r="O58" s="101"/>
      <x:c r="P58" s="101"/>
      <x:c r="Q58" s="101"/>
      <x:c r="R58" s="101"/>
      <x:c r="S58" s="101"/>
      <x:c r="T58" s="101"/>
      <x:c r="U58" s="101"/>
      <x:c r="V58" s="101"/>
      <x:c r="W58" s="101"/>
      <x:c r="X58" s="101"/>
      <x:c r="Y58" s="101"/>
      <x:c r="Z58" s="101"/>
    </x:row>
    <x:row r="59">
      <x:c r="A59" s="101"/>
      <x:c r="B59" s="101"/>
      <x:c r="C59" s="101"/>
      <x:c r="D59" s="101"/>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row>
    <x:row r="60">
      <x:c r="A60" s="101"/>
      <x:c r="B60" s="101"/>
      <x:c r="C60" s="101"/>
      <x:c r="D60" s="101"/>
      <x:c r="E60" s="101"/>
      <x:c r="F60" s="101"/>
      <x:c r="G60" s="101"/>
      <x:c r="H60" s="101"/>
      <x:c r="I60" s="101"/>
      <x:c r="J60" s="101"/>
      <x:c r="K60" s="101"/>
      <x:c r="L60" s="101"/>
      <x:c r="M60" s="101"/>
      <x:c r="N60" s="101"/>
      <x:c r="O60" s="101"/>
      <x:c r="P60" s="101"/>
      <x:c r="Q60" s="101"/>
      <x:c r="R60" s="101"/>
      <x:c r="S60" s="101"/>
      <x:c r="T60" s="101"/>
      <x:c r="U60" s="101"/>
      <x:c r="V60" s="101"/>
      <x:c r="W60" s="101"/>
      <x:c r="X60" s="101"/>
      <x:c r="Y60" s="101"/>
      <x:c r="Z60" s="101"/>
    </x:row>
    <x:row r="61">
      <x:c r="A61" s="101"/>
      <x:c r="B61" s="101"/>
      <x:c r="C61" s="101"/>
      <x:c r="D61" s="101"/>
      <x:c r="E61" s="101"/>
      <x:c r="F61" s="101"/>
      <x:c r="G61" s="101"/>
      <x:c r="H61" s="101"/>
      <x:c r="I61" s="101"/>
      <x:c r="J61" s="101"/>
      <x:c r="K61" s="101"/>
      <x:c r="L61" s="101"/>
      <x:c r="M61" s="101"/>
      <x:c r="N61" s="101"/>
      <x:c r="O61" s="101"/>
      <x:c r="P61" s="101"/>
      <x:c r="Q61" s="101"/>
      <x:c r="R61" s="101"/>
      <x:c r="S61" s="101"/>
      <x:c r="T61" s="101"/>
      <x:c r="U61" s="101"/>
      <x:c r="V61" s="101"/>
      <x:c r="W61" s="101"/>
      <x:c r="X61" s="101"/>
      <x:c r="Y61" s="101"/>
      <x:c r="Z61" s="101"/>
    </x:row>
    <x:row r="62">
      <x:c r="A62" s="101"/>
      <x:c r="B62" s="101"/>
      <x:c r="C62" s="101"/>
      <x:c r="D62" s="101"/>
      <x:c r="E62" s="101"/>
      <x:c r="F62" s="101"/>
      <x:c r="G62" s="101"/>
      <x:c r="H62" s="101"/>
      <x:c r="I62" s="101"/>
      <x:c r="J62" s="101"/>
      <x:c r="K62" s="101"/>
      <x:c r="L62" s="101"/>
      <x:c r="M62" s="101"/>
      <x:c r="N62" s="101"/>
      <x:c r="O62" s="101"/>
      <x:c r="P62" s="101"/>
      <x:c r="Q62" s="101"/>
      <x:c r="R62" s="101"/>
      <x:c r="S62" s="101"/>
      <x:c r="T62" s="101"/>
      <x:c r="U62" s="101"/>
      <x:c r="V62" s="101"/>
      <x:c r="W62" s="101"/>
      <x:c r="X62" s="101"/>
      <x:c r="Y62" s="101"/>
      <x:c r="Z62" s="101"/>
    </x:row>
    <x:row r="63">
      <x:c r="A63" s="101"/>
      <x:c r="B63" s="101"/>
      <x:c r="C63" s="101"/>
      <x:c r="D63" s="101"/>
      <x:c r="E63" s="101"/>
      <x:c r="F63" s="101"/>
      <x:c r="G63" s="101"/>
      <x:c r="H63" s="101"/>
      <x:c r="I63" s="101"/>
      <x:c r="J63" s="101"/>
      <x:c r="K63" s="101"/>
      <x:c r="L63" s="101"/>
      <x:c r="M63" s="101"/>
      <x:c r="N63" s="101"/>
      <x:c r="O63" s="101"/>
      <x:c r="P63" s="101"/>
      <x:c r="Q63" s="101"/>
      <x:c r="R63" s="101"/>
      <x:c r="S63" s="101"/>
      <x:c r="T63" s="101"/>
      <x:c r="U63" s="101"/>
      <x:c r="V63" s="101"/>
      <x:c r="W63" s="101"/>
      <x:c r="X63" s="101"/>
      <x:c r="Y63" s="101"/>
      <x:c r="Z63" s="101"/>
    </x:row>
    <x:row r="64">
      <x:c r="A64" s="101"/>
      <x:c r="B64" s="101"/>
      <x:c r="C64" s="101"/>
      <x:c r="D64" s="101"/>
      <x:c r="E64" s="101"/>
      <x:c r="F64" s="101"/>
      <x:c r="G64" s="101"/>
      <x:c r="H64" s="101"/>
      <x:c r="I64" s="101"/>
      <x:c r="J64" s="101"/>
      <x:c r="K64" s="101"/>
      <x:c r="L64" s="101"/>
      <x:c r="M64" s="101"/>
      <x:c r="N64" s="101"/>
      <x:c r="O64" s="101"/>
      <x:c r="P64" s="101"/>
      <x:c r="Q64" s="101"/>
      <x:c r="R64" s="101"/>
      <x:c r="S64" s="101"/>
      <x:c r="T64" s="101"/>
      <x:c r="U64" s="101"/>
      <x:c r="V64" s="101"/>
      <x:c r="W64" s="101"/>
      <x:c r="X64" s="101"/>
      <x:c r="Y64" s="101"/>
      <x:c r="Z64" s="101"/>
    </x:row>
    <x:row r="65" ht="22" customHeight="1">
      <x:c r="A65" s="101"/>
      <x:c r="B65" s="101"/>
      <x:c r="C65" s="106" t="str">
        <x:v>Exhibit 5: Most of the demand-debt repayment falls in FY28</x:v>
      </x:c>
      <x:c r="D65" s="107"/>
      <x:c r="E65" s="107"/>
      <x:c r="F65" s="107"/>
      <x:c r="G65" s="107"/>
      <x:c r="H65" s="107"/>
      <x:c r="I65" s="107"/>
      <x:c r="J65" s="107"/>
      <x:c r="K65" s="107"/>
      <x:c r="L65" s="107"/>
      <x:c r="M65" s="107"/>
      <x:c r="N65" s="107"/>
      <x:c r="O65" s="107"/>
      <x:c r="P65" s="107"/>
      <x:c r="Q65" s="107"/>
      <x:c r="R65" s="107"/>
      <x:c r="S65" s="107"/>
      <x:c r="T65" s="107"/>
      <x:c r="U65" s="108"/>
      <x:c r="V65" s="101"/>
      <x:c r="W65" s="101"/>
      <x:c r="X65" s="101"/>
      <x:c r="Y65" s="101"/>
      <x:c r="Z65" s="101"/>
    </x:row>
    <x:row r="66">
      <x:c r="A66" s="101"/>
      <x:c r="B66" s="101"/>
      <x:c r="C66" s="101"/>
      <x:c r="D66" s="101"/>
      <x:c r="E66" s="101"/>
      <x:c r="F66" s="101"/>
      <x:c r="G66" s="101"/>
      <x:c r="H66" s="101"/>
      <x:c r="I66" s="101"/>
      <x:c r="J66" s="101"/>
      <x:c r="K66" s="101"/>
      <x:c r="L66" s="101"/>
      <x:c r="M66" s="101"/>
      <x:c r="N66" s="101"/>
      <x:c r="O66" s="101"/>
      <x:c r="P66" s="101"/>
      <x:c r="Q66" s="101"/>
      <x:c r="R66" s="101"/>
      <x:c r="S66" s="101"/>
      <x:c r="T66" s="101"/>
      <x:c r="U66" s="101"/>
      <x:c r="V66" s="101"/>
      <x:c r="W66" s="101"/>
      <x:c r="X66" s="101"/>
      <x:c r="Y66" s="101"/>
      <x:c r="Z66" s="101"/>
    </x:row>
    <x:row r="67" ht="30" customHeight="1">
      <x:c r="A67" s="101"/>
      <x:c r="B67" s="101"/>
      <x:c r="C67" s="113" t="str">
        <x:v>Period</x:v>
      </x:c>
      <x:c r="D67" s="114" t="str">
        <x:v>Opening debt</x:v>
      </x:c>
      <x:c r="E67" s="114" t="str">
        <x:v>Repayment</x:v>
      </x:c>
      <x:c r="F67" s="114" t="str">
        <x:v>Closing debt</x:v>
      </x:c>
      <x:c r="G67" s="115" t="str">
        <x:v>Reported volume implication</x:v>
      </x:c>
      <x:c r="H67" s="101"/>
      <x:c r="I67" s="101"/>
      <x:c r="J67" s="101"/>
      <x:c r="K67" s="101"/>
      <x:c r="L67" s="101"/>
      <x:c r="M67" s="101"/>
      <x:c r="N67" s="101"/>
      <x:c r="O67" s="101"/>
      <x:c r="P67" s="101"/>
      <x:c r="Q67" s="101"/>
      <x:c r="R67" s="101"/>
      <x:c r="S67" s="101"/>
      <x:c r="T67" s="101"/>
      <x:c r="U67" s="101"/>
      <x:c r="V67" s="101"/>
      <x:c r="W67" s="101"/>
      <x:c r="X67" s="101"/>
      <x:c r="Y67" s="101"/>
      <x:c r="Z67" s="101"/>
    </x:row>
    <x:row r="68">
      <x:c r="A68" s="101"/>
      <x:c r="B68" s="101"/>
      <x:c r="C68" s="116" t="str">
        <x:v>30-Sep-26</x:v>
      </x:c>
      <x:c r="D68" s="118" t="n">
        <x:f>'Demand Debt'!$D$26</x:f>
        <x:v>350401.34725279483</x:v>
      </x:c>
      <x:c r="E68" s="118" t="n">
        <x:f>0</x:f>
        <x:v>0</x:v>
      </x:c>
      <x:c r="F68" s="118" t="n">
        <x:f>D68-E68</x:f>
        <x:v>350401.34725279483</x:v>
      </x:c>
      <x:c r="G68" s="116" t="str">
        <x:f>"Opening balance"</x:f>
        <x:v>Opening balance</x:v>
      </x:c>
      <x:c r="H68" s="101"/>
      <x:c r="I68" s="101"/>
      <x:c r="J68" s="101"/>
      <x:c r="K68" s="101"/>
      <x:c r="L68" s="101"/>
      <x:c r="M68" s="101"/>
      <x:c r="N68" s="101"/>
      <x:c r="O68" s="101"/>
      <x:c r="P68" s="101"/>
      <x:c r="Q68" s="101"/>
      <x:c r="R68" s="101"/>
      <x:c r="S68" s="101"/>
      <x:c r="T68" s="101"/>
      <x:c r="U68" s="101"/>
      <x:c r="V68" s="101"/>
      <x:c r="W68" s="101"/>
      <x:c r="X68" s="101"/>
      <x:c r="Y68" s="101"/>
      <x:c r="Z68" s="101"/>
    </x:row>
    <x:row r="69">
      <x:c r="A69" s="101"/>
      <x:c r="B69" s="101"/>
      <x:c r="C69" s="117" t="str">
        <x:v>FY27 H2</x:v>
      </x:c>
      <x:c r="D69" s="119" t="n">
        <x:f>F68</x:f>
        <x:v>350401.34725279483</x:v>
      </x:c>
      <x:c r="E69" s="119" t="n">
        <x:f>'Summary'!$D$20</x:f>
        <x:v>87600.33681319871</x:v>
      </x:c>
      <x:c r="F69" s="119" t="n">
        <x:f>D69-E69</x:f>
        <x:v>262801.01043959614</x:v>
      </x:c>
      <x:c r="G69" s="117" t="str">
        <x:f>"H2 retail growth: "&amp;TEXT('Summary'!$F$15,"0.0%")</x:f>
        <x:v>H2 retail growth: 0.1%</x:v>
      </x:c>
      <x:c r="H69" s="101"/>
      <x:c r="I69" s="101"/>
      <x:c r="J69" s="101"/>
      <x:c r="K69" s="101"/>
      <x:c r="L69" s="101"/>
      <x:c r="M69" s="101"/>
      <x:c r="N69" s="101"/>
      <x:c r="O69" s="101"/>
      <x:c r="P69" s="101"/>
      <x:c r="Q69" s="101"/>
      <x:c r="R69" s="101"/>
      <x:c r="S69" s="101"/>
      <x:c r="T69" s="101"/>
      <x:c r="U69" s="101"/>
      <x:c r="V69" s="101"/>
      <x:c r="W69" s="101"/>
      <x:c r="X69" s="101"/>
      <x:c r="Y69" s="101"/>
      <x:c r="Z69" s="101"/>
    </x:row>
    <x:row r="70">
      <x:c r="A70" s="101"/>
      <x:c r="B70" s="101"/>
      <x:c r="C70" s="117" t="str">
        <x:v>FY28</x:v>
      </x:c>
      <x:c r="D70" s="119" t="n">
        <x:f>F69</x:f>
        <x:v>262801.01043959614</x:v>
      </x:c>
      <x:c r="E70" s="119" t="n">
        <x:f>'Summary'!$D$21</x:f>
        <x:v>197100.7578296971</x:v>
      </x:c>
      <x:c r="F70" s="142" t="n">
        <x:f>D70-E70</x:f>
        <x:v>65700.25260989903</x:v>
      </x:c>
      <x:c r="G70" s="117" t="str">
        <x:f>"FY28 retail growth: "&amp;TEXT('Summary'!$G$9,"0.0%")</x:f>
        <x:v>FY28 retail growth: 2.3%</x:v>
      </x:c>
      <x:c r="H70" s="101"/>
      <x:c r="I70" s="101"/>
      <x:c r="J70" s="101"/>
      <x:c r="K70" s="101"/>
      <x:c r="L70" s="101"/>
      <x:c r="M70" s="101"/>
      <x:c r="N70" s="101"/>
      <x:c r="O70" s="101"/>
      <x:c r="P70" s="101"/>
      <x:c r="Q70" s="101"/>
      <x:c r="R70" s="101"/>
      <x:c r="S70" s="101"/>
      <x:c r="T70" s="101"/>
      <x:c r="U70" s="101"/>
      <x:c r="V70" s="101"/>
      <x:c r="W70" s="101"/>
      <x:c r="X70" s="101"/>
      <x:c r="Y70" s="101"/>
      <x:c r="Z70" s="101"/>
    </x:row>
    <x:row r="71">
      <x:c r="A71" s="101"/>
      <x:c r="B71" s="101"/>
      <x:c r="C71" s="101"/>
      <x:c r="D71" s="101"/>
      <x:c r="E71" s="101"/>
      <x:c r="F71" s="101"/>
      <x:c r="G71" s="101"/>
      <x:c r="H71" s="101"/>
      <x:c r="I71" s="101"/>
      <x:c r="J71" s="101"/>
      <x:c r="K71" s="101"/>
      <x:c r="L71" s="101"/>
      <x:c r="M71" s="101"/>
      <x:c r="N71" s="101"/>
      <x:c r="O71" s="101"/>
      <x:c r="P71" s="101"/>
      <x:c r="Q71" s="101"/>
      <x:c r="R71" s="101"/>
      <x:c r="S71" s="101"/>
      <x:c r="T71" s="101"/>
      <x:c r="U71" s="101"/>
      <x:c r="V71" s="101"/>
      <x:c r="W71" s="101"/>
      <x:c r="X71" s="101"/>
      <x:c r="Y71" s="101"/>
      <x:c r="Z71" s="101"/>
    </x:row>
    <x:row r="72">
      <x:c r="A72" s="101"/>
      <x:c r="B72" s="101"/>
      <x:c r="C72" s="101"/>
      <x:c r="D72" s="101"/>
      <x:c r="E72" s="101"/>
      <x:c r="F72" s="101"/>
      <x:c r="G72" s="101"/>
      <x:c r="H72" s="101"/>
      <x:c r="I72" s="101"/>
      <x:c r="J72" s="101"/>
      <x:c r="K72" s="101"/>
      <x:c r="L72" s="101"/>
      <x:c r="M72" s="101"/>
      <x:c r="N72" s="101"/>
      <x:c r="O72" s="101"/>
      <x:c r="P72" s="101"/>
      <x:c r="Q72" s="101"/>
      <x:c r="R72" s="101"/>
      <x:c r="S72" s="101"/>
      <x:c r="T72" s="101"/>
      <x:c r="U72" s="101"/>
      <x:c r="V72" s="101"/>
      <x:c r="W72" s="101"/>
      <x:c r="X72" s="101"/>
      <x:c r="Y72" s="101"/>
      <x:c r="Z72" s="101"/>
    </x:row>
    <x:row r="73">
      <x:c r="A73" s="101"/>
      <x:c r="B73" s="101"/>
      <x:c r="C73" s="41" t="str">
        <x:v>Interpretation</x:v>
      </x:c>
      <x:c r="D73" s="125" t="str">
        <x:v>FY27 absorbs only 25% of the opening debt; the larger adjustment is deferred to FY28.</x:v>
      </x:c>
      <x:c r="E73" s="125" t="str"/>
      <x:c r="F73" s="125" t="str"/>
      <x:c r="G73" s="125" t="str"/>
      <x:c r="H73" s="101"/>
      <x:c r="I73" s="101"/>
      <x:c r="J73" s="101"/>
      <x:c r="K73" s="101"/>
      <x:c r="L73" s="101"/>
      <x:c r="M73" s="101"/>
      <x:c r="N73" s="101"/>
      <x:c r="O73" s="101"/>
      <x:c r="P73" s="101"/>
      <x:c r="Q73" s="101"/>
      <x:c r="R73" s="101"/>
      <x:c r="S73" s="101"/>
      <x:c r="T73" s="101"/>
      <x:c r="U73" s="101"/>
      <x:c r="V73" s="101"/>
      <x:c r="W73" s="101"/>
      <x:c r="X73" s="101"/>
      <x:c r="Y73" s="101"/>
      <x:c r="Z73" s="101"/>
    </x:row>
    <x:row r="74">
      <x:c r="A74" s="101"/>
      <x:c r="B74" s="101"/>
      <x:c r="C74" s="101"/>
      <x:c r="D74" s="101"/>
      <x:c r="E74" s="101"/>
      <x:c r="F74" s="101"/>
      <x:c r="G74" s="101"/>
      <x:c r="H74" s="101"/>
      <x:c r="I74" s="101"/>
      <x:c r="J74" s="101"/>
      <x:c r="K74" s="101"/>
      <x:c r="L74" s="101"/>
      <x:c r="M74" s="101"/>
      <x:c r="N74" s="101"/>
      <x:c r="O74" s="101"/>
      <x:c r="P74" s="101"/>
      <x:c r="Q74" s="101"/>
      <x:c r="R74" s="101"/>
      <x:c r="S74" s="101"/>
      <x:c r="T74" s="101"/>
      <x:c r="U74" s="101"/>
      <x:c r="V74" s="101"/>
      <x:c r="W74" s="101"/>
      <x:c r="X74" s="101"/>
      <x:c r="Y74" s="101"/>
      <x:c r="Z74" s="101"/>
    </x:row>
    <x:row r="75">
      <x:c r="A75" s="101"/>
      <x:c r="B75" s="101"/>
      <x:c r="C75" s="101"/>
      <x:c r="D75" s="101"/>
      <x:c r="E75" s="101"/>
      <x:c r="F75" s="101"/>
      <x:c r="G75" s="101"/>
      <x:c r="H75" s="101"/>
      <x:c r="I75" s="101"/>
      <x:c r="J75" s="101"/>
      <x:c r="K75" s="101"/>
      <x:c r="L75" s="101"/>
      <x:c r="M75" s="101"/>
      <x:c r="N75" s="101"/>
      <x:c r="O75" s="101"/>
      <x:c r="P75" s="101"/>
      <x:c r="Q75" s="101"/>
      <x:c r="R75" s="101"/>
      <x:c r="S75" s="101"/>
      <x:c r="T75" s="101"/>
      <x:c r="U75" s="101"/>
      <x:c r="V75" s="101"/>
      <x:c r="W75" s="101"/>
      <x:c r="X75" s="101"/>
      <x:c r="Y75" s="101"/>
      <x:c r="Z75" s="101"/>
    </x:row>
    <x:row r="76">
      <x:c r="A76" s="101"/>
      <x:c r="B76" s="101"/>
      <x:c r="C76" s="101"/>
      <x:c r="D76" s="101"/>
      <x:c r="E76" s="101"/>
      <x:c r="F76" s="101"/>
      <x:c r="G76" s="101"/>
      <x:c r="H76" s="101"/>
      <x:c r="I76" s="101"/>
      <x:c r="J76" s="101"/>
      <x:c r="K76" s="101"/>
      <x:c r="L76" s="101"/>
      <x:c r="M76" s="101"/>
      <x:c r="N76" s="101"/>
      <x:c r="O76" s="101"/>
      <x:c r="P76" s="101"/>
      <x:c r="Q76" s="101"/>
      <x:c r="R76" s="101"/>
      <x:c r="S76" s="101"/>
      <x:c r="T76" s="101"/>
      <x:c r="U76" s="101"/>
      <x:c r="V76" s="101"/>
      <x:c r="W76" s="101"/>
      <x:c r="X76" s="101"/>
      <x:c r="Y76" s="101"/>
      <x:c r="Z76" s="101"/>
    </x:row>
    <x:row r="77">
      <x:c r="A77" s="101"/>
      <x:c r="B77" s="101"/>
      <x:c r="C77" s="101"/>
      <x:c r="D77" s="101"/>
      <x:c r="E77" s="101"/>
      <x:c r="F77" s="101"/>
      <x:c r="G77" s="101"/>
      <x:c r="H77" s="101"/>
      <x:c r="I77" s="101"/>
      <x:c r="J77" s="101"/>
      <x:c r="K77" s="101"/>
      <x:c r="L77" s="101"/>
      <x:c r="M77" s="101"/>
      <x:c r="N77" s="101"/>
      <x:c r="O77" s="101"/>
      <x:c r="P77" s="101"/>
      <x:c r="Q77" s="101"/>
      <x:c r="R77" s="101"/>
      <x:c r="S77" s="101"/>
      <x:c r="T77" s="101"/>
      <x:c r="U77" s="101"/>
      <x:c r="V77" s="101"/>
      <x:c r="W77" s="101"/>
      <x:c r="X77" s="101"/>
      <x:c r="Y77" s="101"/>
      <x:c r="Z77" s="101"/>
    </x:row>
    <x:row r="78">
      <x:c r="A78" s="101"/>
      <x:c r="B78" s="101"/>
      <x:c r="C78" s="101"/>
      <x:c r="D78" s="101"/>
      <x:c r="E78" s="101"/>
      <x:c r="F78" s="101"/>
      <x:c r="G78" s="101"/>
      <x:c r="H78" s="101"/>
      <x:c r="I78" s="101"/>
      <x:c r="J78" s="101"/>
      <x:c r="K78" s="101"/>
      <x:c r="L78" s="101"/>
      <x:c r="M78" s="101"/>
      <x:c r="N78" s="101"/>
      <x:c r="O78" s="101"/>
      <x:c r="P78" s="101"/>
      <x:c r="Q78" s="101"/>
      <x:c r="R78" s="101"/>
      <x:c r="S78" s="101"/>
      <x:c r="T78" s="101"/>
      <x:c r="U78" s="101"/>
      <x:c r="V78" s="101"/>
      <x:c r="W78" s="101"/>
      <x:c r="X78" s="101"/>
      <x:c r="Y78" s="101"/>
      <x:c r="Z78" s="101"/>
    </x:row>
    <x:row r="79">
      <x:c r="A79" s="101"/>
      <x:c r="B79" s="101"/>
      <x:c r="C79" s="101"/>
      <x:c r="D79" s="101"/>
      <x:c r="E79" s="101"/>
      <x:c r="F79" s="101"/>
      <x:c r="G79" s="101"/>
      <x:c r="H79" s="101"/>
      <x:c r="I79" s="101"/>
      <x:c r="J79" s="101"/>
      <x:c r="K79" s="101"/>
      <x:c r="L79" s="101"/>
      <x:c r="M79" s="101"/>
      <x:c r="N79" s="101"/>
      <x:c r="O79" s="101"/>
      <x:c r="P79" s="101"/>
      <x:c r="Q79" s="101"/>
      <x:c r="R79" s="101"/>
      <x:c r="S79" s="101"/>
      <x:c r="T79" s="101"/>
      <x:c r="U79" s="101"/>
      <x:c r="V79" s="101"/>
      <x:c r="W79" s="101"/>
      <x:c r="X79" s="101"/>
      <x:c r="Y79" s="101"/>
      <x:c r="Z79" s="101"/>
    </x:row>
    <x:row r="80">
      <x:c r="A80" s="101"/>
      <x:c r="B80" s="101"/>
      <x:c r="C80" s="101"/>
      <x:c r="D80" s="101"/>
      <x:c r="E80" s="101"/>
      <x:c r="F80" s="101"/>
      <x:c r="G80" s="101"/>
      <x:c r="H80" s="101"/>
      <x:c r="I80" s="101"/>
      <x:c r="J80" s="101"/>
      <x:c r="K80" s="101"/>
      <x:c r="L80" s="101"/>
      <x:c r="M80" s="101"/>
      <x:c r="N80" s="101"/>
      <x:c r="O80" s="101"/>
      <x:c r="P80" s="101"/>
      <x:c r="Q80" s="101"/>
      <x:c r="R80" s="101"/>
      <x:c r="S80" s="101"/>
      <x:c r="T80" s="101"/>
      <x:c r="U80" s="101"/>
      <x:c r="V80" s="101"/>
      <x:c r="W80" s="101"/>
      <x:c r="X80" s="101"/>
      <x:c r="Y80" s="101"/>
      <x:c r="Z80" s="101"/>
    </x:row>
    <x:row r="81">
      <x:c r="A81" s="101"/>
      <x:c r="B81" s="101"/>
      <x:c r="C81" s="101"/>
      <x:c r="D81" s="101"/>
      <x:c r="E81" s="101"/>
      <x:c r="F81" s="101"/>
      <x:c r="G81" s="101"/>
      <x:c r="H81" s="101"/>
      <x:c r="I81" s="101"/>
      <x:c r="J81" s="101"/>
      <x:c r="K81" s="101"/>
      <x:c r="L81" s="101"/>
      <x:c r="M81" s="101"/>
      <x:c r="N81" s="101"/>
      <x:c r="O81" s="101"/>
      <x:c r="P81" s="101"/>
      <x:c r="Q81" s="101"/>
      <x:c r="R81" s="101"/>
      <x:c r="S81" s="101"/>
      <x:c r="T81" s="101"/>
      <x:c r="U81" s="101"/>
      <x:c r="V81" s="101"/>
      <x:c r="W81" s="101"/>
      <x:c r="X81" s="101"/>
      <x:c r="Y81" s="101"/>
      <x:c r="Z81" s="101"/>
    </x:row>
    <x:row r="82">
      <x:c r="A82" s="101"/>
      <x:c r="B82" s="101"/>
      <x:c r="C82" s="101"/>
      <x:c r="D82" s="101"/>
      <x:c r="E82" s="101"/>
      <x:c r="F82" s="101"/>
      <x:c r="G82" s="101"/>
      <x:c r="H82" s="101"/>
      <x:c r="I82" s="101"/>
      <x:c r="J82" s="101"/>
      <x:c r="K82" s="101"/>
      <x:c r="L82" s="101"/>
      <x:c r="M82" s="101"/>
      <x:c r="N82" s="101"/>
      <x:c r="O82" s="101"/>
      <x:c r="P82" s="101"/>
      <x:c r="Q82" s="101"/>
      <x:c r="R82" s="101"/>
      <x:c r="S82" s="101"/>
      <x:c r="T82" s="101"/>
      <x:c r="U82" s="101"/>
      <x:c r="V82" s="101"/>
      <x:c r="W82" s="101"/>
      <x:c r="X82" s="101"/>
      <x:c r="Y82" s="101"/>
      <x:c r="Z82" s="101"/>
    </x:row>
    <x:row r="83" ht="22" customHeight="1">
      <x:c r="A83" s="101"/>
      <x:c r="B83" s="101"/>
      <x:c r="C83" s="106" t="str">
        <x:v>Exhibit 6: Available supply exceeds our demand forecast</x:v>
      </x:c>
      <x:c r="D83" s="107"/>
      <x:c r="E83" s="107"/>
      <x:c r="F83" s="107"/>
      <x:c r="G83" s="107"/>
      <x:c r="H83" s="107"/>
      <x:c r="I83" s="107"/>
      <x:c r="J83" s="107"/>
      <x:c r="K83" s="107"/>
      <x:c r="L83" s="107"/>
      <x:c r="M83" s="107"/>
      <x:c r="N83" s="107"/>
      <x:c r="O83" s="107"/>
      <x:c r="P83" s="107"/>
      <x:c r="Q83" s="107"/>
      <x:c r="R83" s="107"/>
      <x:c r="S83" s="107"/>
      <x:c r="T83" s="107"/>
      <x:c r="U83" s="108"/>
      <x:c r="V83" s="101"/>
      <x:c r="W83" s="101"/>
      <x:c r="X83" s="101"/>
      <x:c r="Y83" s="101"/>
      <x:c r="Z83" s="101"/>
    </x:row>
    <x:row r="84">
      <x:c r="A84" s="101"/>
      <x:c r="B84" s="101"/>
      <x:c r="C84" s="101"/>
      <x:c r="D84" s="101"/>
      <x:c r="E84" s="101"/>
      <x:c r="F84" s="101"/>
      <x:c r="G84" s="101"/>
      <x:c r="H84" s="101"/>
      <x:c r="I84" s="101"/>
      <x:c r="J84" s="101"/>
      <x:c r="K84" s="101"/>
      <x:c r="L84" s="101"/>
      <x:c r="M84" s="101"/>
      <x:c r="N84" s="101"/>
      <x:c r="O84" s="101"/>
      <x:c r="P84" s="101"/>
      <x:c r="Q84" s="101"/>
      <x:c r="R84" s="101"/>
      <x:c r="S84" s="101"/>
      <x:c r="T84" s="101"/>
      <x:c r="U84" s="101"/>
      <x:c r="V84" s="101"/>
      <x:c r="W84" s="101"/>
      <x:c r="X84" s="101"/>
      <x:c r="Y84" s="101"/>
      <x:c r="Z84" s="101"/>
    </x:row>
    <x:row r="85" ht="30" customHeight="1">
      <x:c r="A85" s="101"/>
      <x:c r="B85" s="101"/>
      <x:c r="C85" s="113" t="str">
        <x:v>Fiscal year</x:v>
      </x:c>
      <x:c r="D85" s="114" t="str">
        <x:v>PV demand</x:v>
      </x:c>
      <x:c r="E85" s="114" t="str">
        <x:v>Retail supply ceiling</x:v>
      </x:c>
      <x:c r="F85" s="114" t="str">
        <x:v>Headroom</x:v>
      </x:c>
      <x:c r="G85" s="114" t="str">
        <x:v>Headroom</x:v>
      </x:c>
      <x:c r="H85" s="115" t="str">
        <x:v>Inventory path</x:v>
      </x:c>
      <x:c r="I85" s="101"/>
      <x:c r="J85" s="101"/>
      <x:c r="K85" s="101"/>
      <x:c r="L85" s="101"/>
      <x:c r="M85" s="101"/>
      <x:c r="N85" s="101"/>
      <x:c r="O85" s="101"/>
      <x:c r="P85" s="101"/>
      <x:c r="Q85" s="101"/>
      <x:c r="R85" s="101"/>
      <x:c r="S85" s="101"/>
      <x:c r="T85" s="101"/>
      <x:c r="U85" s="101"/>
      <x:c r="V85" s="101"/>
      <x:c r="W85" s="101"/>
      <x:c r="X85" s="101"/>
      <x:c r="Y85" s="101"/>
      <x:c r="Z85" s="101"/>
    </x:row>
    <x:row r="86" ht="38" customHeight="1">
      <x:c r="A86" s="101"/>
      <x:c r="B86" s="101"/>
      <x:c r="C86" s="116" t="str">
        <x:v>FY27E</x:v>
      </x:c>
      <x:c r="D86" s="118" t="n">
        <x:f>'Summary'!$F$8</x:f>
        <x:v>5243625.243273423</x:v>
      </x:c>
      <x:c r="E86" s="118" t="n">
        <x:f>'Summary'!$D$22</x:f>
        <x:v>5561089.912303373</x:v>
      </x:c>
      <x:c r="F86" s="118" t="n">
        <x:f>E86-D86</x:f>
        <x:v>317464.66902995016</x:v>
      </x:c>
      <x:c r="G86" s="120" t="n">
        <x:f>F86/D86</x:f>
        <x:v>0.06054297443113372</x:v>
      </x:c>
      <x:c r="H86" s="126" t="str">
        <x:v>40 days at Sep-26 → 28 days at Mar-27</x:v>
      </x:c>
      <x:c r="I86" s="101"/>
      <x:c r="J86" s="101"/>
      <x:c r="K86" s="101"/>
      <x:c r="L86" s="101"/>
      <x:c r="M86" s="101"/>
      <x:c r="N86" s="101"/>
      <x:c r="O86" s="101"/>
      <x:c r="P86" s="101"/>
      <x:c r="Q86" s="101"/>
      <x:c r="R86" s="101"/>
      <x:c r="S86" s="101"/>
      <x:c r="T86" s="101"/>
      <x:c r="U86" s="101"/>
      <x:c r="V86" s="101"/>
      <x:c r="W86" s="101"/>
      <x:c r="X86" s="101"/>
      <x:c r="Y86" s="101"/>
      <x:c r="Z86" s="101"/>
    </x:row>
    <x:row r="87" ht="38" customHeight="1">
      <x:c r="A87" s="101"/>
      <x:c r="B87" s="101"/>
      <x:c r="C87" s="117" t="str">
        <x:v>FY28E</x:v>
      </x:c>
      <x:c r="D87" s="119" t="n">
        <x:f>'Summary'!$G$8</x:f>
        <x:v>5363082.141380143</x:v>
      </x:c>
      <x:c r="E87" s="119" t="n">
        <x:f>'Summary'!$D$24</x:f>
        <x:v>6184180.917988548</x:v>
      </x:c>
      <x:c r="F87" s="119" t="n">
        <x:f>E87-D87</x:f>
        <x:v>821098.7766084047</x:v>
      </x:c>
      <x:c r="G87" s="121" t="n">
        <x:f>F87/D87</x:f>
        <x:v>0.15310203255568672</x:v>
      </x:c>
      <x:c r="H87" s="127" t="str">
        <x:v>28 days</x:v>
      </x:c>
      <x:c r="I87" s="101"/>
      <x:c r="J87" s="101"/>
      <x:c r="K87" s="101"/>
      <x:c r="L87" s="101"/>
      <x:c r="M87" s="101"/>
      <x:c r="N87" s="101"/>
      <x:c r="O87" s="101"/>
      <x:c r="P87" s="101"/>
      <x:c r="Q87" s="101"/>
      <x:c r="R87" s="101"/>
      <x:c r="S87" s="101"/>
      <x:c r="T87" s="101"/>
      <x:c r="U87" s="101"/>
      <x:c r="V87" s="101"/>
      <x:c r="W87" s="101"/>
      <x:c r="X87" s="101"/>
      <x:c r="Y87" s="101"/>
      <x:c r="Z87" s="101"/>
    </x:row>
    <x:row r="88">
      <x:c r="A88" s="101"/>
      <x:c r="B88" s="101"/>
      <x:c r="C88" s="101"/>
      <x:c r="D88" s="101"/>
      <x:c r="E88" s="101"/>
      <x:c r="F88" s="101"/>
      <x:c r="G88" s="101"/>
      <x:c r="H88" s="101"/>
      <x:c r="I88" s="101"/>
      <x:c r="J88" s="101"/>
      <x:c r="K88" s="101"/>
      <x:c r="L88" s="101"/>
      <x:c r="M88" s="101"/>
      <x:c r="N88" s="101"/>
      <x:c r="O88" s="101"/>
      <x:c r="P88" s="101"/>
      <x:c r="Q88" s="101"/>
      <x:c r="R88" s="101"/>
      <x:c r="S88" s="101"/>
      <x:c r="T88" s="101"/>
      <x:c r="U88" s="101"/>
      <x:c r="V88" s="101"/>
      <x:c r="W88" s="101"/>
      <x:c r="X88" s="101"/>
      <x:c r="Y88" s="101"/>
      <x:c r="Z88" s="101"/>
    </x:row>
    <x:row r="89">
      <x:c r="A89" s="101"/>
      <x:c r="B89" s="101"/>
      <x:c r="C89" s="101"/>
      <x:c r="D89" s="101"/>
      <x:c r="E89" s="101"/>
      <x:c r="F89" s="101"/>
      <x:c r="G89" s="101"/>
      <x:c r="H89" s="101"/>
      <x:c r="I89" s="101"/>
      <x:c r="J89" s="101"/>
      <x:c r="K89" s="101"/>
      <x:c r="L89" s="101"/>
      <x:c r="M89" s="101"/>
      <x:c r="N89" s="101"/>
      <x:c r="O89" s="101"/>
      <x:c r="P89" s="101"/>
      <x:c r="Q89" s="101"/>
      <x:c r="R89" s="101"/>
      <x:c r="S89" s="101"/>
      <x:c r="T89" s="101"/>
      <x:c r="U89" s="101"/>
      <x:c r="V89" s="101"/>
      <x:c r="W89" s="101"/>
      <x:c r="X89" s="101"/>
      <x:c r="Y89" s="101"/>
      <x:c r="Z89" s="101"/>
    </x:row>
    <x:row r="90" ht="38" customHeight="1">
      <x:c r="A90" s="101"/>
      <x:c r="B90" s="101"/>
      <x:c r="C90" s="144" t="str">
        <x:v>Retail supply ceiling</x:v>
      </x:c>
      <x:c r="D90" s="126" t="str">
        <x:v>(Attainable wholesale + opening dealer inventory) / (1 + target ending inventory days / 30)</x:v>
      </x:c>
      <x:c r="E90" s="143"/>
      <x:c r="F90" s="143"/>
      <x:c r="G90" s="143"/>
      <x:c r="H90" s="143"/>
      <x:c r="I90" s="101"/>
      <x:c r="J90" s="101"/>
      <x:c r="K90" s="101"/>
      <x:c r="L90" s="101"/>
      <x:c r="M90" s="101"/>
      <x:c r="N90" s="101"/>
      <x:c r="O90" s="101"/>
      <x:c r="P90" s="101"/>
      <x:c r="Q90" s="101"/>
      <x:c r="R90" s="101"/>
      <x:c r="S90" s="101"/>
      <x:c r="T90" s="101"/>
      <x:c r="U90" s="101"/>
      <x:c r="V90" s="101"/>
      <x:c r="W90" s="101"/>
      <x:c r="X90" s="101"/>
      <x:c r="Y90" s="101"/>
      <x:c r="Z90" s="101"/>
    </x:row>
    <x:row r="91" ht="38" customHeight="1">
      <x:c r="A91" s="101"/>
      <x:c r="B91" s="101"/>
      <x:c r="C91" s="145" t="str">
        <x:v>What it is</x:v>
      </x:c>
      <x:c r="D91" s="127" t="str">
        <x:v>Maximum retail supported by production, opening stocks and the target ending inventory</x:v>
      </x:c>
      <x:c r="E91" s="143"/>
      <x:c r="F91" s="143"/>
      <x:c r="G91" s="143"/>
      <x:c r="H91" s="143"/>
      <x:c r="I91" s="101"/>
      <x:c r="J91" s="101"/>
      <x:c r="K91" s="101"/>
      <x:c r="L91" s="101"/>
      <x:c r="M91" s="101"/>
      <x:c r="N91" s="101"/>
      <x:c r="O91" s="101"/>
      <x:c r="P91" s="101"/>
      <x:c r="Q91" s="101"/>
      <x:c r="R91" s="101"/>
      <x:c r="S91" s="101"/>
      <x:c r="T91" s="101"/>
      <x:c r="U91" s="101"/>
      <x:c r="V91" s="101"/>
      <x:c r="W91" s="101"/>
      <x:c r="X91" s="101"/>
      <x:c r="Y91" s="101"/>
      <x:c r="Z91" s="101"/>
    </x:row>
    <x:row r="92" ht="38" customHeight="1">
      <x:c r="A92" s="101"/>
      <x:c r="B92" s="101"/>
      <x:c r="C92" s="145" t="str">
        <x:v>What it is not</x:v>
      </x:c>
      <x:c r="D92" s="127" t="str">
        <x:v>A demand forecast or announced nameplate capacity</x:v>
      </x:c>
      <x:c r="E92" s="143"/>
      <x:c r="F92" s="143"/>
      <x:c r="G92" s="143"/>
      <x:c r="H92" s="143"/>
      <x:c r="I92" s="101"/>
      <x:c r="J92" s="101"/>
      <x:c r="K92" s="101"/>
      <x:c r="L92" s="101"/>
      <x:c r="M92" s="101"/>
      <x:c r="N92" s="101"/>
      <x:c r="O92" s="101"/>
      <x:c r="P92" s="101"/>
      <x:c r="Q92" s="101"/>
      <x:c r="R92" s="101"/>
      <x:c r="S92" s="101"/>
      <x:c r="T92" s="101"/>
      <x:c r="U92" s="101"/>
      <x:c r="V92" s="101"/>
      <x:c r="W92" s="101"/>
      <x:c r="X92" s="101"/>
      <x:c r="Y92" s="101"/>
      <x:c r="Z92" s="101"/>
    </x:row>
    <x:row r="93">
      <x:c r="A93" s="101"/>
      <x:c r="B93" s="101"/>
      <x:c r="C93" s="101"/>
      <x:c r="D93" s="101"/>
      <x:c r="E93" s="101"/>
      <x:c r="F93" s="101"/>
      <x:c r="G93" s="101"/>
      <x:c r="H93" s="101"/>
      <x:c r="I93" s="101"/>
      <x:c r="J93" s="101"/>
      <x:c r="K93" s="101"/>
      <x:c r="L93" s="101"/>
      <x:c r="M93" s="101"/>
      <x:c r="N93" s="101"/>
      <x:c r="O93" s="101"/>
      <x:c r="P93" s="101"/>
      <x:c r="Q93" s="101"/>
      <x:c r="R93" s="101"/>
      <x:c r="S93" s="101"/>
      <x:c r="T93" s="101"/>
      <x:c r="U93" s="101"/>
      <x:c r="V93" s="101"/>
      <x:c r="W93" s="101"/>
      <x:c r="X93" s="101"/>
      <x:c r="Y93" s="101"/>
      <x:c r="Z93" s="101"/>
    </x:row>
    <x:row r="94">
      <x:c r="A94" s="101"/>
      <x:c r="B94" s="101"/>
      <x:c r="C94" s="41" t="str">
        <x:v>Conclusion</x:v>
      </x:c>
      <x:c r="D94" s="125" t="str">
        <x:v>The FY27 ceiling is 317k units above our forecast. That gap is potential inventory, not automatic upside.</x:v>
      </x:c>
      <x:c r="E94" s="125" t="str"/>
      <x:c r="F94" s="125" t="str"/>
      <x:c r="G94" s="125" t="str"/>
      <x:c r="H94" s="125" t="str"/>
      <x:c r="I94" s="101"/>
      <x:c r="J94" s="101"/>
      <x:c r="K94" s="101"/>
      <x:c r="L94" s="101"/>
      <x:c r="M94" s="101"/>
      <x:c r="N94" s="101"/>
      <x:c r="O94" s="101"/>
      <x:c r="P94" s="101"/>
      <x:c r="Q94" s="101"/>
      <x:c r="R94" s="101"/>
      <x:c r="S94" s="101"/>
      <x:c r="T94" s="101"/>
      <x:c r="U94" s="101"/>
      <x:c r="V94" s="101"/>
      <x:c r="W94" s="101"/>
      <x:c r="X94" s="101"/>
      <x:c r="Y94" s="101"/>
      <x:c r="Z94" s="101"/>
    </x:row>
    <x:row r="95">
      <x:c r="A95" s="101"/>
      <x:c r="B95" s="101"/>
      <x:c r="C95" s="101"/>
      <x:c r="D95" s="101"/>
      <x:c r="E95" s="101"/>
      <x:c r="F95" s="101"/>
      <x:c r="G95" s="101"/>
      <x:c r="H95" s="101"/>
      <x:c r="I95" s="101"/>
      <x:c r="J95" s="101"/>
      <x:c r="K95" s="101"/>
      <x:c r="L95" s="101"/>
      <x:c r="M95" s="101"/>
      <x:c r="N95" s="101"/>
      <x:c r="O95" s="101"/>
      <x:c r="P95" s="101"/>
      <x:c r="Q95" s="101"/>
      <x:c r="R95" s="101"/>
      <x:c r="S95" s="101"/>
      <x:c r="T95" s="101"/>
      <x:c r="U95" s="101"/>
      <x:c r="V95" s="101"/>
      <x:c r="W95" s="101"/>
      <x:c r="X95" s="101"/>
      <x:c r="Y95" s="101"/>
      <x:c r="Z95" s="101"/>
    </x:row>
    <x:row r="96">
      <x:c r="A96" s="101"/>
      <x:c r="B96" s="101"/>
      <x:c r="C96" s="101"/>
      <x:c r="D96" s="101"/>
      <x:c r="E96" s="101"/>
      <x:c r="F96" s="101"/>
      <x:c r="G96" s="101"/>
      <x:c r="H96" s="101"/>
      <x:c r="I96" s="101"/>
      <x:c r="J96" s="101"/>
      <x:c r="K96" s="101"/>
      <x:c r="L96" s="101"/>
      <x:c r="M96" s="101"/>
      <x:c r="N96" s="101"/>
      <x:c r="O96" s="101"/>
      <x:c r="P96" s="101"/>
      <x:c r="Q96" s="101"/>
      <x:c r="R96" s="101"/>
      <x:c r="S96" s="101"/>
      <x:c r="T96" s="101"/>
      <x:c r="U96" s="101"/>
      <x:c r="V96" s="101"/>
      <x:c r="W96" s="101"/>
      <x:c r="X96" s="101"/>
      <x:c r="Y96" s="101"/>
      <x:c r="Z96" s="101"/>
    </x:row>
    <x:row r="97">
      <x:c r="A97" s="101"/>
      <x:c r="B97" s="101"/>
      <x:c r="C97" s="101"/>
      <x:c r="D97" s="101"/>
      <x:c r="E97" s="101"/>
      <x:c r="F97" s="101"/>
      <x:c r="G97" s="101"/>
      <x:c r="H97" s="101"/>
      <x:c r="I97" s="101"/>
      <x:c r="J97" s="101"/>
      <x:c r="K97" s="101"/>
      <x:c r="L97" s="101"/>
      <x:c r="M97" s="101"/>
      <x:c r="N97" s="101"/>
      <x:c r="O97" s="101"/>
      <x:c r="P97" s="101"/>
      <x:c r="Q97" s="101"/>
      <x:c r="R97" s="101"/>
      <x:c r="S97" s="101"/>
      <x:c r="T97" s="101"/>
      <x:c r="U97" s="101"/>
      <x:c r="V97" s="101"/>
      <x:c r="W97" s="101"/>
      <x:c r="X97" s="101"/>
      <x:c r="Y97" s="101"/>
      <x:c r="Z97" s="101"/>
    </x:row>
    <x:row r="98">
      <x:c r="A98" s="101"/>
      <x:c r="B98" s="101"/>
      <x:c r="C98" s="101"/>
      <x:c r="D98" s="101"/>
      <x:c r="E98" s="101"/>
      <x:c r="F98" s="101"/>
      <x:c r="G98" s="101"/>
      <x:c r="H98" s="101"/>
      <x:c r="I98" s="101"/>
      <x:c r="J98" s="101"/>
      <x:c r="K98" s="101"/>
      <x:c r="L98" s="101"/>
      <x:c r="M98" s="101"/>
      <x:c r="N98" s="101"/>
      <x:c r="O98" s="101"/>
      <x:c r="P98" s="101"/>
      <x:c r="Q98" s="101"/>
      <x:c r="R98" s="101"/>
      <x:c r="S98" s="101"/>
      <x:c r="T98" s="101"/>
      <x:c r="U98" s="101"/>
      <x:c r="V98" s="101"/>
      <x:c r="W98" s="101"/>
      <x:c r="X98" s="101"/>
      <x:c r="Y98" s="101"/>
      <x:c r="Z98" s="101"/>
    </x:row>
    <x:row r="99">
      <x:c r="A99" s="101"/>
      <x:c r="B99" s="101"/>
      <x:c r="C99" s="101"/>
      <x:c r="D99" s="101"/>
      <x:c r="E99" s="101"/>
      <x:c r="F99" s="101"/>
      <x:c r="G99" s="101"/>
      <x:c r="H99" s="101"/>
      <x:c r="I99" s="101"/>
      <x:c r="J99" s="101"/>
      <x:c r="K99" s="101"/>
      <x:c r="L99" s="101"/>
      <x:c r="M99" s="101"/>
      <x:c r="N99" s="101"/>
      <x:c r="O99" s="101"/>
      <x:c r="P99" s="101"/>
      <x:c r="Q99" s="101"/>
      <x:c r="R99" s="101"/>
      <x:c r="S99" s="101"/>
      <x:c r="T99" s="101"/>
      <x:c r="U99" s="101"/>
      <x:c r="V99" s="101"/>
      <x:c r="W99" s="101"/>
      <x:c r="X99" s="101"/>
      <x:c r="Y99" s="101"/>
      <x:c r="Z99" s="101"/>
    </x:row>
    <x:row r="100">
      <x:c r="A100" s="101"/>
      <x:c r="B100" s="101"/>
      <x:c r="C100" s="101"/>
      <x:c r="D100" s="101"/>
      <x:c r="E100" s="101"/>
      <x:c r="F100" s="101"/>
      <x:c r="G100" s="101"/>
      <x:c r="H100" s="101"/>
      <x:c r="I100" s="101"/>
      <x:c r="J100" s="101"/>
      <x:c r="K100" s="101"/>
      <x:c r="L100" s="101"/>
      <x:c r="M100" s="101"/>
      <x:c r="N100" s="101"/>
      <x:c r="O100" s="101"/>
      <x:c r="P100" s="101"/>
      <x:c r="Q100" s="101"/>
      <x:c r="R100" s="101"/>
      <x:c r="S100" s="101"/>
      <x:c r="T100" s="101"/>
      <x:c r="U100" s="101"/>
      <x:c r="V100" s="101"/>
      <x:c r="W100" s="101"/>
      <x:c r="X100" s="101"/>
      <x:c r="Y100" s="101"/>
      <x:c r="Z100" s="101"/>
    </x:row>
    <x:row r="101" ht="22" customHeight="1">
      <x:c r="A101" s="101"/>
      <x:c r="B101" s="101"/>
      <x:c r="C101" s="106" t="str">
        <x:v>Exhibit 7: Judge the festive period on the quality of retail, not the dispatch number</x:v>
      </x:c>
      <x:c r="D101" s="107"/>
      <x:c r="E101" s="107"/>
      <x:c r="F101" s="107"/>
      <x:c r="G101" s="107"/>
      <x:c r="H101" s="107"/>
      <x:c r="I101" s="107"/>
      <x:c r="J101" s="107"/>
      <x:c r="K101" s="107"/>
      <x:c r="L101" s="107"/>
      <x:c r="M101" s="107"/>
      <x:c r="N101" s="107"/>
      <x:c r="O101" s="107"/>
      <x:c r="P101" s="107"/>
      <x:c r="Q101" s="107"/>
      <x:c r="R101" s="107"/>
      <x:c r="S101" s="107"/>
      <x:c r="T101" s="107"/>
      <x:c r="U101" s="108"/>
      <x:c r="V101" s="101"/>
      <x:c r="W101" s="101"/>
      <x:c r="X101" s="101"/>
      <x:c r="Y101" s="101"/>
      <x:c r="Z101" s="101"/>
    </x:row>
    <x:row r="102">
      <x:c r="A102" s="101"/>
      <x:c r="B102" s="101"/>
      <x:c r="C102" s="101"/>
      <x:c r="D102" s="101"/>
      <x:c r="E102" s="101"/>
      <x:c r="F102" s="101"/>
      <x:c r="G102" s="101"/>
      <x:c r="H102" s="101"/>
      <x:c r="I102" s="101"/>
      <x:c r="J102" s="101"/>
      <x:c r="K102" s="101"/>
      <x:c r="L102" s="101"/>
      <x:c r="M102" s="101"/>
      <x:c r="N102" s="101"/>
      <x:c r="O102" s="101"/>
      <x:c r="P102" s="101"/>
      <x:c r="Q102" s="101"/>
      <x:c r="R102" s="101"/>
      <x:c r="S102" s="101"/>
      <x:c r="T102" s="101"/>
      <x:c r="U102" s="101"/>
      <x:c r="V102" s="101"/>
      <x:c r="W102" s="101"/>
      <x:c r="X102" s="101"/>
      <x:c r="Y102" s="101"/>
      <x:c r="Z102" s="101"/>
    </x:row>
    <x:row r="103" ht="30" customHeight="1">
      <x:c r="A103" s="101"/>
      <x:c r="B103" s="101"/>
      <x:c r="C103" s="113" t="str">
        <x:v>Signal</x:v>
      </x:c>
      <x:c r="D103" s="114" t="str">
        <x:v>Model benchmark</x:v>
      </x:c>
      <x:c r="E103" s="114" t="str">
        <x:v>Evidence of a larger market</x:v>
      </x:c>
      <x:c r="F103" s="115" t="str">
        <x:v>Evidence of demand shifted forward / supply push</x:v>
      </x:c>
      <x:c r="G103" s="101"/>
      <x:c r="H103" s="101"/>
      <x:c r="I103" s="101"/>
      <x:c r="J103" s="101"/>
      <x:c r="K103" s="101"/>
      <x:c r="L103" s="101"/>
      <x:c r="M103" s="101"/>
      <x:c r="N103" s="101"/>
      <x:c r="O103" s="101"/>
      <x:c r="P103" s="101"/>
      <x:c r="Q103" s="101"/>
      <x:c r="R103" s="101"/>
      <x:c r="S103" s="101"/>
      <x:c r="T103" s="101"/>
      <x:c r="U103" s="101"/>
      <x:c r="V103" s="101"/>
      <x:c r="W103" s="101"/>
      <x:c r="X103" s="101"/>
      <x:c r="Y103" s="101"/>
      <x:c r="Z103" s="101"/>
    </x:row>
    <x:row r="104" ht="38" customHeight="1">
      <x:c r="A104" s="101"/>
      <x:c r="B104" s="101"/>
      <x:c r="C104" s="116" t="str">
        <x:v>Oct–Nov combined retail</x:v>
      </x:c>
      <x:c r="D104" s="118" t="n">
        <x:f>SUM('Forecast'!$S$25:$S$26)</x:f>
        <x:v>950874.1182884695</x:v>
      </x:c>
      <x:c r="E104" s="126" t="str">
        <x:v>Above plan while inventory falls</x:v>
      </x:c>
      <x:c r="F104" s="126" t="str">
        <x:v>Dispatches remain high but retail misses plan</x:v>
      </x:c>
      <x:c r="G104" s="101"/>
      <x:c r="H104" s="101"/>
      <x:c r="I104" s="101"/>
      <x:c r="J104" s="101"/>
      <x:c r="K104" s="101"/>
      <x:c r="L104" s="101"/>
      <x:c r="M104" s="101"/>
      <x:c r="N104" s="101"/>
      <x:c r="O104" s="101"/>
      <x:c r="P104" s="101"/>
      <x:c r="Q104" s="101"/>
      <x:c r="R104" s="101"/>
      <x:c r="S104" s="101"/>
      <x:c r="T104" s="101"/>
      <x:c r="U104" s="101"/>
      <x:c r="V104" s="101"/>
      <x:c r="W104" s="101"/>
      <x:c r="X104" s="101"/>
      <x:c r="Y104" s="101"/>
      <x:c r="Z104" s="101"/>
    </x:row>
    <x:row r="105" ht="38" customHeight="1">
      <x:c r="A105" s="101"/>
      <x:c r="B105" s="101"/>
      <x:c r="C105" s="117" t="str">
        <x:v>Dealer inventory</x:v>
      </x:c>
      <x:c r="D105" s="146" t="n">
        <x:f>'Assumptions'!$D$30</x:f>
        <x:v>40</x:v>
      </x:c>
      <x:c r="E105" s="127" t="str">
        <x:v>Falls from ~40 days toward 28</x:v>
      </x:c>
      <x:c r="F105" s="127" t="str">
        <x:v>Stays near 40 days or rises</x:v>
      </x:c>
      <x:c r="G105" s="101"/>
      <x:c r="H105" s="101"/>
      <x:c r="I105" s="101"/>
      <x:c r="J105" s="101"/>
      <x:c r="K105" s="101"/>
      <x:c r="L105" s="101"/>
      <x:c r="M105" s="101"/>
      <x:c r="N105" s="101"/>
      <x:c r="O105" s="101"/>
      <x:c r="P105" s="101"/>
      <x:c r="Q105" s="101"/>
      <x:c r="R105" s="101"/>
      <x:c r="S105" s="101"/>
      <x:c r="T105" s="101"/>
      <x:c r="U105" s="101"/>
      <x:c r="V105" s="101"/>
      <x:c r="W105" s="101"/>
      <x:c r="X105" s="101"/>
      <x:c r="Y105" s="101"/>
      <x:c r="Z105" s="101"/>
    </x:row>
    <x:row r="106" ht="38" customHeight="1">
      <x:c r="A106" s="101"/>
      <x:c r="B106" s="101"/>
      <x:c r="C106" s="117" t="str">
        <x:v>Discounting</x:v>
      </x:c>
      <x:c r="D106" s="117" t="str">
        <x:f>"Stable"</x:f>
        <x:v>Stable</x:v>
      </x:c>
      <x:c r="E106" s="127" t="str">
        <x:v>Stable or lower</x:v>
      </x:c>
      <x:c r="F106" s="127" t="str">
        <x:v>Incentives increase</x:v>
      </x:c>
      <x:c r="G106" s="101"/>
      <x:c r="H106" s="101"/>
      <x:c r="I106" s="101"/>
      <x:c r="J106" s="101"/>
      <x:c r="K106" s="101"/>
      <x:c r="L106" s="101"/>
      <x:c r="M106" s="101"/>
      <x:c r="N106" s="101"/>
      <x:c r="O106" s="101"/>
      <x:c r="P106" s="101"/>
      <x:c r="Q106" s="101"/>
      <x:c r="R106" s="101"/>
      <x:c r="S106" s="101"/>
      <x:c r="T106" s="101"/>
      <x:c r="U106" s="101"/>
      <x:c r="V106" s="101"/>
      <x:c r="W106" s="101"/>
      <x:c r="X106" s="101"/>
      <x:c r="Y106" s="101"/>
      <x:c r="Z106" s="101"/>
    </x:row>
    <x:row r="107" ht="38" customHeight="1">
      <x:c r="A107" s="101"/>
      <x:c r="B107" s="101"/>
      <x:c r="C107" s="117" t="str">
        <x:v>Wholesale versus retail</x:v>
      </x:c>
      <x:c r="D107" s="117" t="str">
        <x:f>"Gap narrows"</x:f>
        <x:v>Gap narrows</x:v>
      </x:c>
      <x:c r="E107" s="127" t="str">
        <x:v>Retail absorbs production</x:v>
      </x:c>
      <x:c r="F107" s="127" t="str">
        <x:v>Wholesale remains persistently ahead</x:v>
      </x:c>
      <x:c r="G107" s="101"/>
      <x:c r="H107" s="101"/>
      <x:c r="I107" s="101"/>
      <x:c r="J107" s="101"/>
      <x:c r="K107" s="101"/>
      <x:c r="L107" s="101"/>
      <x:c r="M107" s="101"/>
      <x:c r="N107" s="101"/>
      <x:c r="O107" s="101"/>
      <x:c r="P107" s="101"/>
      <x:c r="Q107" s="101"/>
      <x:c r="R107" s="101"/>
      <x:c r="S107" s="101"/>
      <x:c r="T107" s="101"/>
      <x:c r="U107" s="101"/>
      <x:c r="V107" s="101"/>
      <x:c r="W107" s="101"/>
      <x:c r="X107" s="101"/>
      <x:c r="Y107" s="101"/>
      <x:c r="Z107" s="101"/>
    </x:row>
    <x:row r="108" ht="38" customHeight="1">
      <x:c r="A108" s="101"/>
      <x:c r="B108" s="101"/>
      <x:c r="C108" s="117" t="str">
        <x:v>Two-year growth</x:v>
      </x:c>
      <x:c r="D108" s="117" t="str">
        <x:f>"Positive"</x:f>
        <x:v>Positive</x:v>
      </x:c>
      <x:c r="E108" s="127" t="str">
        <x:v>Holds after removing the one-year base</x:v>
      </x:c>
      <x:c r="F108" s="127" t="str">
        <x:v>Decelerates sharply</x:v>
      </x:c>
      <x:c r="G108" s="101"/>
      <x:c r="H108" s="101"/>
      <x:c r="I108" s="101"/>
      <x:c r="J108" s="101"/>
      <x:c r="K108" s="101"/>
      <x:c r="L108" s="101"/>
      <x:c r="M108" s="101"/>
      <x:c r="N108" s="101"/>
      <x:c r="O108" s="101"/>
      <x:c r="P108" s="101"/>
      <x:c r="Q108" s="101"/>
      <x:c r="R108" s="101"/>
      <x:c r="S108" s="101"/>
      <x:c r="T108" s="101"/>
      <x:c r="U108" s="101"/>
      <x:c r="V108" s="101"/>
      <x:c r="W108" s="101"/>
      <x:c r="X108" s="101"/>
      <x:c r="Y108" s="101"/>
      <x:c r="Z108" s="101"/>
    </x:row>
    <x:row r="109">
      <x:c r="A109" s="101"/>
      <x:c r="B109" s="101"/>
      <x:c r="C109" s="101"/>
      <x:c r="D109" s="101"/>
      <x:c r="E109" s="101"/>
      <x:c r="F109" s="101"/>
      <x:c r="G109" s="101"/>
      <x:c r="H109" s="101"/>
      <x:c r="I109" s="101"/>
      <x:c r="J109" s="101"/>
      <x:c r="K109" s="101"/>
      <x:c r="L109" s="101"/>
      <x:c r="M109" s="101"/>
      <x:c r="N109" s="101"/>
      <x:c r="O109" s="101"/>
      <x:c r="P109" s="101"/>
      <x:c r="Q109" s="101"/>
      <x:c r="R109" s="101"/>
      <x:c r="S109" s="101"/>
      <x:c r="T109" s="101"/>
      <x:c r="U109" s="101"/>
      <x:c r="V109" s="101"/>
      <x:c r="W109" s="101"/>
      <x:c r="X109" s="101"/>
      <x:c r="Y109" s="101"/>
      <x:c r="Z109" s="101"/>
    </x:row>
    <x:row r="110">
      <x:c r="A110" s="101"/>
      <x:c r="B110" s="101"/>
      <x:c r="C110" s="41" t="str">
        <x:v>Why Oct–Nov together?</x:v>
      </x:c>
      <x:c r="D110" s="103" t="str">
        <x:v>Diwali shifts from October last year to November this year, making either month misleading in isolation.</x:v>
      </x:c>
      <x:c r="E110" s="103" t="str"/>
      <x:c r="F110" s="103" t="str"/>
      <x:c r="G110" s="101"/>
      <x:c r="H110" s="101"/>
      <x:c r="I110" s="101"/>
      <x:c r="J110" s="101"/>
      <x:c r="K110" s="101"/>
      <x:c r="L110" s="101"/>
      <x:c r="M110" s="101"/>
      <x:c r="N110" s="101"/>
      <x:c r="O110" s="101"/>
      <x:c r="P110" s="101"/>
      <x:c r="Q110" s="101"/>
      <x:c r="R110" s="101"/>
      <x:c r="S110" s="101"/>
      <x:c r="T110" s="101"/>
      <x:c r="U110" s="101"/>
      <x:c r="V110" s="101"/>
      <x:c r="W110" s="101"/>
      <x:c r="X110" s="101"/>
      <x:c r="Y110" s="101"/>
      <x:c r="Z110" s="101"/>
    </x:row>
    <x:row r="111">
      <x:c r="A111" s="101"/>
      <x:c r="B111" s="101"/>
      <x:c r="C111" s="101"/>
      <x:c r="D111" s="101"/>
      <x:c r="E111" s="101"/>
      <x:c r="F111" s="101"/>
      <x:c r="G111" s="101"/>
      <x:c r="H111" s="101"/>
      <x:c r="I111" s="101"/>
      <x:c r="J111" s="101"/>
      <x:c r="K111" s="101"/>
      <x:c r="L111" s="101"/>
      <x:c r="M111" s="101"/>
      <x:c r="N111" s="101"/>
      <x:c r="O111" s="101"/>
      <x:c r="P111" s="101"/>
      <x:c r="Q111" s="101"/>
      <x:c r="R111" s="101"/>
      <x:c r="S111" s="101"/>
      <x:c r="T111" s="101"/>
      <x:c r="U111" s="101"/>
      <x:c r="V111" s="101"/>
      <x:c r="W111" s="101"/>
      <x:c r="X111" s="101"/>
      <x:c r="Y111" s="101"/>
      <x:c r="Z111" s="101"/>
    </x:row>
    <x:row r="112">
      <x:c r="A112" s="101"/>
      <x:c r="B112" s="101"/>
      <x:c r="C112" s="101"/>
      <x:c r="D112" s="101"/>
      <x:c r="E112" s="101"/>
      <x:c r="F112" s="101"/>
      <x:c r="G112" s="101"/>
      <x:c r="H112" s="101"/>
      <x:c r="I112" s="101"/>
      <x:c r="J112" s="101"/>
      <x:c r="K112" s="101"/>
      <x:c r="L112" s="101"/>
      <x:c r="M112" s="101"/>
      <x:c r="N112" s="101"/>
      <x:c r="O112" s="101"/>
      <x:c r="P112" s="101"/>
      <x:c r="Q112" s="101"/>
      <x:c r="R112" s="101"/>
      <x:c r="S112" s="101"/>
      <x:c r="T112" s="101"/>
      <x:c r="U112" s="101"/>
      <x:c r="V112" s="101"/>
      <x:c r="W112" s="101"/>
      <x:c r="X112" s="101"/>
      <x:c r="Y112" s="101"/>
      <x:c r="Z112" s="101"/>
    </x:row>
    <x:row r="113">
      <x:c r="A113" s="101"/>
      <x:c r="B113" s="101"/>
      <x:c r="C113" s="101"/>
      <x:c r="D113" s="101"/>
      <x:c r="E113" s="101"/>
      <x:c r="F113" s="101"/>
      <x:c r="G113" s="101"/>
      <x:c r="H113" s="101"/>
      <x:c r="I113" s="101"/>
      <x:c r="J113" s="101"/>
      <x:c r="K113" s="101"/>
      <x:c r="L113" s="101"/>
      <x:c r="M113" s="101"/>
      <x:c r="N113" s="101"/>
      <x:c r="O113" s="101"/>
      <x:c r="P113" s="101"/>
      <x:c r="Q113" s="101"/>
      <x:c r="R113" s="101"/>
      <x:c r="S113" s="101"/>
      <x:c r="T113" s="101"/>
      <x:c r="U113" s="101"/>
      <x:c r="V113" s="101"/>
      <x:c r="W113" s="101"/>
      <x:c r="X113" s="101"/>
      <x:c r="Y113" s="101"/>
      <x:c r="Z113" s="101"/>
    </x:row>
    <x:row r="114" ht="22" customHeight="1">
      <x:c r="A114" s="101"/>
      <x:c r="B114" s="101"/>
      <x:c r="C114" s="106" t="str">
        <x:v>Exhibit 8: Company implications depend on who can grow without buying utilisation</x:v>
      </x:c>
      <x:c r="D114" s="107"/>
      <x:c r="E114" s="107"/>
      <x:c r="F114" s="107"/>
      <x:c r="G114" s="107"/>
      <x:c r="H114" s="107"/>
      <x:c r="I114" s="107"/>
      <x:c r="J114" s="107"/>
      <x:c r="K114" s="107"/>
      <x:c r="L114" s="107"/>
      <x:c r="M114" s="107"/>
      <x:c r="N114" s="107"/>
      <x:c r="O114" s="107"/>
      <x:c r="P114" s="107"/>
      <x:c r="Q114" s="107"/>
      <x:c r="R114" s="107"/>
      <x:c r="S114" s="107"/>
      <x:c r="T114" s="107"/>
      <x:c r="U114" s="108"/>
      <x:c r="V114" s="101"/>
      <x:c r="W114" s="101"/>
      <x:c r="X114" s="101"/>
      <x:c r="Y114" s="101"/>
      <x:c r="Z114" s="101"/>
    </x:row>
    <x:row r="115">
      <x:c r="A115" s="101"/>
      <x:c r="B115" s="101"/>
      <x:c r="C115" s="101"/>
      <x:c r="D115" s="101"/>
      <x:c r="E115" s="101"/>
      <x:c r="F115" s="101"/>
      <x:c r="G115" s="101"/>
      <x:c r="H115" s="101"/>
      <x:c r="I115" s="101"/>
      <x:c r="J115" s="101"/>
      <x:c r="K115" s="101"/>
      <x:c r="L115" s="101"/>
      <x:c r="M115" s="101"/>
      <x:c r="N115" s="101"/>
      <x:c r="O115" s="101"/>
      <x:c r="P115" s="101"/>
      <x:c r="Q115" s="101"/>
      <x:c r="R115" s="101"/>
      <x:c r="S115" s="101"/>
      <x:c r="T115" s="101"/>
      <x:c r="U115" s="101"/>
      <x:c r="V115" s="101"/>
      <x:c r="W115" s="101"/>
      <x:c r="X115" s="101"/>
      <x:c r="Y115" s="101"/>
      <x:c r="Z115" s="101"/>
    </x:row>
    <x:row r="116" ht="30" customHeight="1">
      <x:c r="A116" s="101"/>
      <x:c r="B116" s="101"/>
      <x:c r="C116" s="113" t="str">
        <x:v>Company</x:v>
      </x:c>
      <x:c r="D116" s="114" t="str">
        <x:v>Volume set-up</x:v>
      </x:c>
      <x:c r="E116" s="114" t="str">
        <x:v>What to watch</x:v>
      </x:c>
      <x:c r="F116" s="115" t="str">
        <x:v>Margin read-through</x:v>
      </x:c>
      <x:c r="G116" s="101"/>
      <x:c r="H116" s="101"/>
      <x:c r="I116" s="101"/>
      <x:c r="J116" s="101"/>
      <x:c r="K116" s="101"/>
      <x:c r="L116" s="101"/>
      <x:c r="M116" s="101"/>
      <x:c r="N116" s="101"/>
      <x:c r="O116" s="101"/>
      <x:c r="P116" s="101"/>
      <x:c r="Q116" s="101"/>
      <x:c r="R116" s="101"/>
      <x:c r="S116" s="101"/>
      <x:c r="T116" s="101"/>
      <x:c r="U116" s="101"/>
      <x:c r="V116" s="101"/>
      <x:c r="W116" s="101"/>
      <x:c r="X116" s="101"/>
      <x:c r="Y116" s="101"/>
      <x:c r="Z116" s="101"/>
    </x:row>
    <x:row r="117" ht="60" customHeight="1">
      <x:c r="A117" s="101"/>
      <x:c r="B117" s="101"/>
      <x:c r="C117" s="128" t="str">
        <x:v>M&amp;M</x:v>
      </x:c>
      <x:c r="D117" s="126" t="str">
        <x:v>SUV demand still has company-specific drivers; capacity constraints are easing</x:v>
      </x:c>
      <x:c r="E117" s="126" t="str">
        <x:v>Retail growth, order conversion and inventory</x:v>
      </x:c>
      <x:c r="F117" s="126" t="str">
        <x:v>Clearest chance to grow ahead of the market without a large incentive increase</x:v>
      </x:c>
      <x:c r="G117" s="101"/>
      <x:c r="H117" s="101"/>
      <x:c r="I117" s="101"/>
      <x:c r="J117" s="101"/>
      <x:c r="K117" s="101"/>
      <x:c r="L117" s="101"/>
      <x:c r="M117" s="101"/>
      <x:c r="N117" s="101"/>
      <x:c r="O117" s="101"/>
      <x:c r="P117" s="101"/>
      <x:c r="Q117" s="101"/>
      <x:c r="R117" s="101"/>
      <x:c r="S117" s="101"/>
      <x:c r="T117" s="101"/>
      <x:c r="U117" s="101"/>
      <x:c r="V117" s="101"/>
      <x:c r="W117" s="101"/>
      <x:c r="X117" s="101"/>
      <x:c r="Y117" s="101"/>
      <x:c r="Z117" s="101"/>
    </x:row>
    <x:row r="118" ht="60" customHeight="1">
      <x:c r="A118" s="101"/>
      <x:c r="B118" s="101"/>
      <x:c r="C118" s="122" t="str">
        <x:v>Maruti Suzuki</x:v>
      </x:c>
      <x:c r="D118" s="127" t="str">
        <x:v>More capacity enters as industry growth slows</x:v>
      </x:c>
      <x:c r="E118" s="127" t="str">
        <x:v>Wholesale-retail gap and discounts</x:v>
      </x:c>
      <x:c r="F118" s="127" t="str">
        <x:v>Commodity recovery is strongest if utilisation is protected without incentives</x:v>
      </x:c>
      <x:c r="G118" s="101"/>
      <x:c r="H118" s="101"/>
      <x:c r="I118" s="101"/>
      <x:c r="J118" s="101"/>
      <x:c r="K118" s="101"/>
      <x:c r="L118" s="101"/>
      <x:c r="M118" s="101"/>
      <x:c r="N118" s="101"/>
      <x:c r="O118" s="101"/>
      <x:c r="P118" s="101"/>
      <x:c r="Q118" s="101"/>
      <x:c r="R118" s="101"/>
      <x:c r="S118" s="101"/>
      <x:c r="T118" s="101"/>
      <x:c r="U118" s="101"/>
      <x:c r="V118" s="101"/>
      <x:c r="W118" s="101"/>
      <x:c r="X118" s="101"/>
      <x:c r="Y118" s="101"/>
      <x:c r="Z118" s="101"/>
    </x:row>
    <x:row r="119" ht="60" customHeight="1">
      <x:c r="A119" s="101"/>
      <x:c r="B119" s="101"/>
      <x:c r="C119" s="122" t="str">
        <x:v>Hyundai</x:v>
      </x:c>
      <x:c r="D119" s="127" t="str">
        <x:v>Talegaon ramp increases the utilisation question</x:v>
      </x:c>
      <x:c r="E119" s="127" t="str">
        <x:v>Retail absorption and model-level discounting</x:v>
      </x:c>
      <x:c r="F119" s="127" t="str">
        <x:v>Higher incentives would return part of the commodity benefit</x:v>
      </x:c>
      <x:c r="G119" s="101"/>
      <x:c r="H119" s="101"/>
      <x:c r="I119" s="101"/>
      <x:c r="J119" s="101"/>
      <x:c r="K119" s="101"/>
      <x:c r="L119" s="101"/>
      <x:c r="M119" s="101"/>
      <x:c r="N119" s="101"/>
      <x:c r="O119" s="101"/>
      <x:c r="P119" s="101"/>
      <x:c r="Q119" s="101"/>
      <x:c r="R119" s="101"/>
      <x:c r="S119" s="101"/>
      <x:c r="T119" s="101"/>
      <x:c r="U119" s="101"/>
      <x:c r="V119" s="101"/>
      <x:c r="W119" s="101"/>
      <x:c r="X119" s="101"/>
      <x:c r="Y119" s="101"/>
      <x:c r="Z119" s="101"/>
    </x:row>
    <x:row r="120" ht="60" customHeight="1">
      <x:c r="A120" s="101"/>
      <x:c r="B120" s="101"/>
      <x:c r="C120" s="122" t="str">
        <x:v>Tata PV</x:v>
      </x:c>
      <x:c r="D120" s="127" t="str">
        <x:v>Growth depends more on product actions and share recovery</x:v>
      </x:c>
      <x:c r="E120" s="127" t="str">
        <x:v>Launch traction and retail-led share gains</x:v>
      </x:c>
      <x:c r="F120" s="127" t="str">
        <x:v>Higher execution dependence; discount-funded recovery is lower quality</x:v>
      </x:c>
      <x:c r="G120" s="101"/>
      <x:c r="H120" s="101"/>
      <x:c r="I120" s="101"/>
      <x:c r="J120" s="101"/>
      <x:c r="K120" s="101"/>
      <x:c r="L120" s="101"/>
      <x:c r="M120" s="101"/>
      <x:c r="N120" s="101"/>
      <x:c r="O120" s="101"/>
      <x:c r="P120" s="101"/>
      <x:c r="Q120" s="101"/>
      <x:c r="R120" s="101"/>
      <x:c r="S120" s="101"/>
      <x:c r="T120" s="101"/>
      <x:c r="U120" s="101"/>
      <x:c r="V120" s="101"/>
      <x:c r="W120" s="101"/>
      <x:c r="X120" s="101"/>
      <x:c r="Y120" s="101"/>
      <x:c r="Z120" s="101"/>
    </x:row>
    <x:row r="121">
      <x:c r="A121" s="101"/>
      <x:c r="B121" s="101"/>
      <x:c r="C121" s="101"/>
      <x:c r="D121" s="101"/>
      <x:c r="E121" s="101"/>
      <x:c r="F121" s="101"/>
      <x:c r="G121" s="101"/>
      <x:c r="H121" s="101"/>
      <x:c r="I121" s="101"/>
      <x:c r="J121" s="101"/>
      <x:c r="K121" s="101"/>
      <x:c r="L121" s="101"/>
      <x:c r="M121" s="101"/>
      <x:c r="N121" s="101"/>
      <x:c r="O121" s="101"/>
      <x:c r="P121" s="101"/>
      <x:c r="Q121" s="101"/>
      <x:c r="R121" s="101"/>
      <x:c r="S121" s="101"/>
      <x:c r="T121" s="101"/>
      <x:c r="U121" s="101"/>
      <x:c r="V121" s="101"/>
      <x:c r="W121" s="101"/>
      <x:c r="X121" s="101"/>
      <x:c r="Y121" s="101"/>
      <x:c r="Z121" s="101"/>
    </x:row>
    <x:row r="122">
      <x:c r="A122" s="101"/>
      <x:c r="B122" s="101"/>
      <x:c r="C122" s="101"/>
      <x:c r="D122" s="101"/>
      <x:c r="E122" s="101"/>
      <x:c r="F122" s="101"/>
      <x:c r="G122" s="101"/>
      <x:c r="H122" s="101"/>
      <x:c r="I122" s="101"/>
      <x:c r="J122" s="101"/>
      <x:c r="K122" s="101"/>
      <x:c r="L122" s="101"/>
      <x:c r="M122" s="101"/>
      <x:c r="N122" s="101"/>
      <x:c r="O122" s="101"/>
      <x:c r="P122" s="101"/>
      <x:c r="Q122" s="101"/>
      <x:c r="R122" s="101"/>
      <x:c r="S122" s="101"/>
      <x:c r="T122" s="101"/>
      <x:c r="U122" s="101"/>
      <x:c r="V122" s="101"/>
      <x:c r="W122" s="101"/>
      <x:c r="X122" s="101"/>
      <x:c r="Y122" s="101"/>
      <x:c r="Z122" s="101"/>
    </x:row>
    <x:row r="123">
      <x:c r="A123" s="101"/>
      <x:c r="B123" s="101"/>
      <x:c r="C123" s="101"/>
      <x:c r="D123" s="101"/>
      <x:c r="E123" s="101"/>
      <x:c r="F123" s="101"/>
      <x:c r="G123" s="101"/>
      <x:c r="H123" s="101"/>
      <x:c r="I123" s="101"/>
      <x:c r="J123" s="101"/>
      <x:c r="K123" s="101"/>
      <x:c r="L123" s="101"/>
      <x:c r="M123" s="101"/>
      <x:c r="N123" s="101"/>
      <x:c r="O123" s="101"/>
      <x:c r="P123" s="101"/>
      <x:c r="Q123" s="101"/>
      <x:c r="R123" s="101"/>
      <x:c r="S123" s="101"/>
      <x:c r="T123" s="101"/>
      <x:c r="U123" s="101"/>
      <x:c r="V123" s="101"/>
      <x:c r="W123" s="101"/>
      <x:c r="X123" s="101"/>
      <x:c r="Y123" s="101"/>
      <x:c r="Z123" s="101"/>
    </x:row>
    <x:row r="124">
      <x:c r="A124" s="101"/>
      <x:c r="B124" s="101"/>
      <x:c r="C124" s="101"/>
      <x:c r="D124" s="101"/>
      <x:c r="E124" s="101"/>
      <x:c r="F124" s="101"/>
      <x:c r="G124" s="101"/>
      <x:c r="H124" s="101"/>
      <x:c r="I124" s="101"/>
      <x:c r="J124" s="101"/>
      <x:c r="K124" s="101"/>
      <x:c r="L124" s="101"/>
      <x:c r="M124" s="101"/>
      <x:c r="N124" s="101"/>
      <x:c r="O124" s="101"/>
      <x:c r="P124" s="101"/>
      <x:c r="Q124" s="101"/>
      <x:c r="R124" s="101"/>
      <x:c r="S124" s="101"/>
      <x:c r="T124" s="101"/>
      <x:c r="U124" s="101"/>
      <x:c r="V124" s="101"/>
      <x:c r="W124" s="101"/>
      <x:c r="X124" s="101"/>
      <x:c r="Y124" s="101"/>
      <x:c r="Z124" s="101"/>
    </x:row>
    <x:row r="125">
      <x:c r="A125" s="101"/>
      <x:c r="B125" s="101"/>
      <x:c r="C125" s="101"/>
      <x:c r="D125" s="101"/>
      <x:c r="E125" s="101"/>
      <x:c r="F125" s="101"/>
      <x:c r="G125" s="101"/>
      <x:c r="H125" s="101"/>
      <x:c r="I125" s="101"/>
      <x:c r="J125" s="101"/>
      <x:c r="K125" s="101"/>
      <x:c r="L125" s="101"/>
      <x:c r="M125" s="101"/>
      <x:c r="N125" s="101"/>
      <x:c r="O125" s="101"/>
      <x:c r="P125" s="101"/>
      <x:c r="Q125" s="101"/>
      <x:c r="R125" s="101"/>
      <x:c r="S125" s="101"/>
      <x:c r="T125" s="101"/>
      <x:c r="U125" s="101"/>
      <x:c r="V125" s="101"/>
      <x:c r="W125" s="101"/>
      <x:c r="X125" s="101"/>
      <x:c r="Y125" s="101"/>
      <x:c r="Z125" s="101"/>
    </x:row>
    <x:row r="126">
      <x:c r="A126" s="101"/>
      <x:c r="B126" s="101"/>
      <x:c r="C126" s="101"/>
      <x:c r="D126" s="101"/>
      <x:c r="E126" s="101"/>
      <x:c r="F126" s="101"/>
      <x:c r="G126" s="101"/>
      <x:c r="H126" s="101"/>
      <x:c r="I126" s="101"/>
      <x:c r="J126" s="101"/>
      <x:c r="K126" s="101"/>
      <x:c r="L126" s="101"/>
      <x:c r="M126" s="101"/>
      <x:c r="N126" s="101"/>
      <x:c r="O126" s="101"/>
      <x:c r="P126" s="101"/>
      <x:c r="Q126" s="101"/>
      <x:c r="R126" s="101"/>
      <x:c r="S126" s="101"/>
      <x:c r="T126" s="101"/>
      <x:c r="U126" s="101"/>
      <x:c r="V126" s="101"/>
      <x:c r="W126" s="101"/>
      <x:c r="X126" s="101"/>
      <x:c r="Y126" s="101"/>
      <x:c r="Z126" s="101"/>
    </x:row>
    <x:row r="127">
      <x:c r="A127" s="101"/>
      <x:c r="B127" s="101"/>
      <x:c r="C127" s="101"/>
      <x:c r="D127" s="101"/>
      <x:c r="E127" s="101"/>
      <x:c r="F127" s="101"/>
      <x:c r="G127" s="101"/>
      <x:c r="H127" s="101"/>
      <x:c r="I127" s="101"/>
      <x:c r="J127" s="101"/>
      <x:c r="K127" s="101"/>
      <x:c r="L127" s="101"/>
      <x:c r="M127" s="101"/>
      <x:c r="N127" s="101"/>
      <x:c r="O127" s="101"/>
      <x:c r="P127" s="101"/>
      <x:c r="Q127" s="101"/>
      <x:c r="R127" s="101"/>
      <x:c r="S127" s="101"/>
      <x:c r="T127" s="101"/>
      <x:c r="U127" s="101"/>
      <x:c r="V127" s="101"/>
      <x:c r="W127" s="101"/>
      <x:c r="X127" s="101"/>
      <x:c r="Y127" s="101"/>
      <x:c r="Z127" s="101"/>
    </x:row>
    <x:row r="128">
      <x:c r="A128" s="101"/>
      <x:c r="B128" s="101"/>
      <x:c r="C128" s="101"/>
      <x:c r="D128" s="101"/>
      <x:c r="E128" s="101"/>
      <x:c r="F128" s="101"/>
      <x:c r="G128" s="101"/>
      <x:c r="H128" s="101"/>
      <x:c r="I128" s="101"/>
      <x:c r="J128" s="101"/>
      <x:c r="K128" s="101"/>
      <x:c r="L128" s="101"/>
      <x:c r="M128" s="101"/>
      <x:c r="N128" s="101"/>
      <x:c r="O128" s="101"/>
      <x:c r="P128" s="101"/>
      <x:c r="Q128" s="101"/>
      <x:c r="R128" s="101"/>
      <x:c r="S128" s="101"/>
      <x:c r="T128" s="101"/>
      <x:c r="U128" s="101"/>
      <x:c r="V128" s="101"/>
      <x:c r="W128" s="101"/>
      <x:c r="X128" s="101"/>
      <x:c r="Y128" s="101"/>
      <x:c r="Z128" s="101"/>
    </x:row>
    <x:row r="129">
      <x:c r="A129" s="101"/>
      <x:c r="B129" s="101"/>
      <x:c r="C129" s="101"/>
      <x:c r="D129" s="101"/>
      <x:c r="E129" s="101"/>
      <x:c r="F129" s="101"/>
      <x:c r="G129" s="101"/>
      <x:c r="H129" s="101"/>
      <x:c r="I129" s="101"/>
      <x:c r="J129" s="101"/>
      <x:c r="K129" s="101"/>
      <x:c r="L129" s="101"/>
      <x:c r="M129" s="101"/>
      <x:c r="N129" s="101"/>
      <x:c r="O129" s="101"/>
      <x:c r="P129" s="101"/>
      <x:c r="Q129" s="101"/>
      <x:c r="R129" s="101"/>
      <x:c r="S129" s="101"/>
      <x:c r="T129" s="101"/>
      <x:c r="U129" s="101"/>
      <x:c r="V129" s="101"/>
      <x:c r="W129" s="101"/>
      <x:c r="X129" s="101"/>
      <x:c r="Y129" s="101"/>
      <x:c r="Z129" s="101"/>
    </x:row>
    <x:row r="130">
      <x:c r="A130" s="101"/>
      <x:c r="B130" s="101"/>
      <x:c r="C130" s="101"/>
      <x:c r="D130" s="101"/>
      <x:c r="E130" s="101"/>
      <x:c r="F130" s="101"/>
      <x:c r="G130" s="101"/>
      <x:c r="H130" s="101"/>
      <x:c r="I130" s="101"/>
      <x:c r="J130" s="101"/>
      <x:c r="K130" s="101"/>
      <x:c r="L130" s="101"/>
      <x:c r="M130" s="101"/>
      <x:c r="N130" s="101"/>
      <x:c r="O130" s="101"/>
      <x:c r="P130" s="101"/>
      <x:c r="Q130" s="101"/>
      <x:c r="R130" s="101"/>
      <x:c r="S130" s="101"/>
      <x:c r="T130" s="101"/>
      <x:c r="U130" s="101"/>
      <x:c r="V130" s="101"/>
      <x:c r="W130" s="101"/>
      <x:c r="X130" s="101"/>
      <x:c r="Y130" s="101"/>
      <x:c r="Z130" s="101"/>
    </x:row>
    <x:row r="131">
      <x:c r="A131" s="101"/>
      <x:c r="B131" s="101"/>
      <x:c r="C131" s="101"/>
      <x:c r="D131" s="101"/>
      <x:c r="E131" s="101"/>
      <x:c r="F131" s="101"/>
      <x:c r="G131" s="101"/>
      <x:c r="H131" s="101"/>
      <x:c r="I131" s="101"/>
      <x:c r="J131" s="101"/>
      <x:c r="K131" s="101"/>
      <x:c r="L131" s="101"/>
      <x:c r="M131" s="101"/>
      <x:c r="N131" s="101"/>
      <x:c r="O131" s="101"/>
      <x:c r="P131" s="101"/>
      <x:c r="Q131" s="101"/>
      <x:c r="R131" s="101"/>
      <x:c r="S131" s="101"/>
      <x:c r="T131" s="101"/>
      <x:c r="U131" s="101"/>
      <x:c r="V131" s="101"/>
      <x:c r="W131" s="101"/>
      <x:c r="X131" s="101"/>
      <x:c r="Y131" s="101"/>
      <x:c r="Z131" s="101"/>
    </x:row>
    <x:row r="132">
      <x:c r="A132" s="101"/>
      <x:c r="B132" s="101"/>
      <x:c r="C132" s="101"/>
      <x:c r="D132" s="101"/>
      <x:c r="E132" s="101"/>
      <x:c r="F132" s="101"/>
      <x:c r="G132" s="101"/>
      <x:c r="H132" s="101"/>
      <x:c r="I132" s="101"/>
      <x:c r="J132" s="101"/>
      <x:c r="K132" s="101"/>
      <x:c r="L132" s="101"/>
      <x:c r="M132" s="101"/>
      <x:c r="N132" s="101"/>
      <x:c r="O132" s="101"/>
      <x:c r="P132" s="101"/>
      <x:c r="Q132" s="101"/>
      <x:c r="R132" s="101"/>
      <x:c r="S132" s="101"/>
      <x:c r="T132" s="101"/>
      <x:c r="U132" s="101"/>
      <x:c r="V132" s="101"/>
      <x:c r="W132" s="101"/>
      <x:c r="X132" s="101"/>
      <x:c r="Y132" s="101"/>
      <x:c r="Z132" s="101"/>
    </x:row>
    <x:row r="133">
      <x:c r="A133" s="101"/>
      <x:c r="B133" s="101"/>
      <x:c r="C133" s="101"/>
      <x:c r="D133" s="101"/>
      <x:c r="E133" s="101"/>
      <x:c r="F133" s="101"/>
      <x:c r="G133" s="101"/>
      <x:c r="H133" s="101"/>
      <x:c r="I133" s="101"/>
      <x:c r="J133" s="101"/>
      <x:c r="K133" s="101"/>
      <x:c r="L133" s="101"/>
      <x:c r="M133" s="101"/>
      <x:c r="N133" s="101"/>
      <x:c r="O133" s="101"/>
      <x:c r="P133" s="101"/>
      <x:c r="Q133" s="101"/>
      <x:c r="R133" s="101"/>
      <x:c r="S133" s="101"/>
      <x:c r="T133" s="101"/>
      <x:c r="U133" s="101"/>
      <x:c r="V133" s="101"/>
      <x:c r="W133" s="101"/>
      <x:c r="X133" s="101"/>
      <x:c r="Y133" s="101"/>
      <x:c r="Z133" s="101"/>
    </x:row>
    <x:row r="134">
      <x:c r="A134" s="101"/>
      <x:c r="B134" s="101"/>
      <x:c r="C134" s="101"/>
      <x:c r="D134" s="101"/>
      <x:c r="E134" s="101"/>
      <x:c r="F134" s="101"/>
      <x:c r="G134" s="101"/>
      <x:c r="H134" s="101"/>
      <x:c r="I134" s="101"/>
      <x:c r="J134" s="101"/>
      <x:c r="K134" s="101"/>
      <x:c r="L134" s="101"/>
      <x:c r="M134" s="101"/>
      <x:c r="N134" s="101"/>
      <x:c r="O134" s="101"/>
      <x:c r="P134" s="101"/>
      <x:c r="Q134" s="101"/>
      <x:c r="R134" s="101"/>
      <x:c r="S134" s="101"/>
      <x:c r="T134" s="101"/>
      <x:c r="U134" s="101"/>
      <x:c r="V134" s="101"/>
      <x:c r="W134" s="101"/>
      <x:c r="X134" s="101"/>
      <x:c r="Y134" s="101"/>
      <x:c r="Z134" s="101"/>
    </x:row>
    <x:row r="135">
      <x:c r="A135" s="101"/>
      <x:c r="B135" s="101"/>
      <x:c r="C135" s="101"/>
      <x:c r="D135" s="101"/>
      <x:c r="E135" s="101"/>
      <x:c r="F135" s="101"/>
      <x:c r="G135" s="101"/>
      <x:c r="H135" s="101"/>
      <x:c r="I135" s="101"/>
      <x:c r="J135" s="101"/>
      <x:c r="K135" s="101"/>
      <x:c r="L135" s="101"/>
      <x:c r="M135" s="101"/>
      <x:c r="N135" s="101"/>
      <x:c r="O135" s="101"/>
      <x:c r="P135" s="101"/>
      <x:c r="Q135" s="101"/>
      <x:c r="R135" s="101"/>
      <x:c r="S135" s="101"/>
      <x:c r="T135" s="101"/>
      <x:c r="U135" s="101"/>
      <x:c r="V135" s="101"/>
      <x:c r="W135" s="101"/>
      <x:c r="X135" s="101"/>
      <x:c r="Y135" s="101"/>
      <x:c r="Z135" s="101"/>
    </x:row>
    <x:row r="136">
      <x:c r="A136" s="101"/>
      <x:c r="B136" s="101"/>
      <x:c r="C136" s="101"/>
      <x:c r="D136" s="101"/>
      <x:c r="E136" s="101"/>
      <x:c r="F136" s="101"/>
      <x:c r="G136" s="101"/>
      <x:c r="H136" s="101"/>
      <x:c r="I136" s="101"/>
      <x:c r="J136" s="101"/>
      <x:c r="K136" s="101"/>
      <x:c r="L136" s="101"/>
      <x:c r="M136" s="101"/>
      <x:c r="N136" s="101"/>
      <x:c r="O136" s="101"/>
      <x:c r="P136" s="101"/>
      <x:c r="Q136" s="101"/>
      <x:c r="R136" s="101"/>
      <x:c r="S136" s="101"/>
      <x:c r="T136" s="101"/>
      <x:c r="U136" s="101"/>
      <x:c r="V136" s="101"/>
      <x:c r="W136" s="101"/>
      <x:c r="X136" s="101"/>
      <x:c r="Y136" s="101"/>
      <x:c r="Z136" s="101"/>
    </x:row>
    <x:row r="137">
      <x:c r="A137" s="101"/>
      <x:c r="B137" s="101"/>
      <x:c r="C137" s="101"/>
      <x:c r="D137" s="101"/>
      <x:c r="E137" s="101"/>
      <x:c r="F137" s="101"/>
      <x:c r="G137" s="101"/>
      <x:c r="H137" s="101"/>
      <x:c r="I137" s="101"/>
      <x:c r="J137" s="101"/>
      <x:c r="K137" s="101"/>
      <x:c r="L137" s="101"/>
      <x:c r="M137" s="101"/>
      <x:c r="N137" s="101"/>
      <x:c r="O137" s="101"/>
      <x:c r="P137" s="101"/>
      <x:c r="Q137" s="101"/>
      <x:c r="R137" s="101"/>
      <x:c r="S137" s="101"/>
      <x:c r="T137" s="101"/>
      <x:c r="U137" s="101"/>
      <x:c r="V137" s="101"/>
      <x:c r="W137" s="101"/>
      <x:c r="X137" s="101"/>
      <x:c r="Y137" s="101"/>
      <x:c r="Z137" s="101"/>
    </x:row>
    <x:row r="138">
      <x:c r="A138" s="101"/>
      <x:c r="B138" s="101"/>
      <x:c r="C138" s="101"/>
      <x:c r="D138" s="101"/>
      <x:c r="E138" s="101"/>
      <x:c r="F138" s="101"/>
      <x:c r="G138" s="101"/>
      <x:c r="H138" s="101"/>
      <x:c r="I138" s="101"/>
      <x:c r="J138" s="101"/>
      <x:c r="K138" s="101"/>
      <x:c r="L138" s="101"/>
      <x:c r="M138" s="101"/>
      <x:c r="N138" s="101"/>
      <x:c r="O138" s="101"/>
      <x:c r="P138" s="101"/>
      <x:c r="Q138" s="101"/>
      <x:c r="R138" s="101"/>
      <x:c r="S138" s="101"/>
      <x:c r="T138" s="101"/>
      <x:c r="U138" s="101"/>
      <x:c r="V138" s="101"/>
      <x:c r="W138" s="101"/>
      <x:c r="X138" s="101"/>
      <x:c r="Y138" s="101"/>
      <x:c r="Z138" s="101"/>
    </x:row>
    <x:row r="139">
      <x:c r="A139" s="101"/>
      <x:c r="B139" s="101"/>
      <x:c r="C139" s="101"/>
      <x:c r="D139" s="101"/>
      <x:c r="E139" s="101"/>
      <x:c r="F139" s="101"/>
      <x:c r="G139" s="101"/>
      <x:c r="H139" s="101"/>
      <x:c r="I139" s="101"/>
      <x:c r="J139" s="101"/>
      <x:c r="K139" s="101"/>
      <x:c r="L139" s="101"/>
      <x:c r="M139" s="101"/>
      <x:c r="N139" s="101"/>
      <x:c r="O139" s="101"/>
      <x:c r="P139" s="101"/>
      <x:c r="Q139" s="101"/>
      <x:c r="R139" s="101"/>
      <x:c r="S139" s="101"/>
      <x:c r="T139" s="101"/>
      <x:c r="U139" s="101"/>
      <x:c r="V139" s="101"/>
      <x:c r="W139" s="101"/>
      <x:c r="X139" s="101"/>
      <x:c r="Y139" s="101"/>
      <x:c r="Z139" s="101"/>
    </x:row>
    <x:row r="140">
      <x:c r="A140" s="101"/>
      <x:c r="B140" s="101"/>
      <x:c r="C140" s="101"/>
      <x:c r="D140" s="101"/>
      <x:c r="E140" s="101"/>
      <x:c r="F140" s="101"/>
      <x:c r="G140" s="101"/>
      <x:c r="H140" s="101"/>
      <x:c r="I140" s="101"/>
      <x:c r="J140" s="101"/>
      <x:c r="K140" s="101"/>
      <x:c r="L140" s="101"/>
      <x:c r="M140" s="101"/>
      <x:c r="N140" s="101"/>
      <x:c r="O140" s="101"/>
      <x:c r="P140" s="101"/>
      <x:c r="Q140" s="101"/>
      <x:c r="R140" s="101"/>
      <x:c r="S140" s="101"/>
      <x:c r="T140" s="101"/>
      <x:c r="U140" s="101"/>
      <x:c r="V140" s="101"/>
      <x:c r="W140" s="101"/>
      <x:c r="X140" s="101"/>
      <x:c r="Y140" s="101"/>
      <x:c r="Z140" s="101"/>
    </x:row>
  </x:sheetData>
  <x:mergeCells>
    <x:mergeCell ref="D90:H90"/>
    <x:mergeCell ref="D91:H91"/>
    <x:mergeCell ref="D92:H92"/>
  </x:mergeCells>
  <x:pageMargins left="0.7" right="0.7" top="0.75" bottom="0.75" header="0.3" footer="0.3"/>
  <x:drawing xmlns:r="http://schemas.openxmlformats.org/officeDocument/2006/relationships" r:id="R145e0321fc384ae0"/>
</x:worksheet>
</file>