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EBP Forex Model" sheetId="1" state="visible" r:id="rId1"/>
  </sheets>
  <definedNames>
    <definedName name="_xlnm.Print_Area" localSheetId="0">'India EBP Forex Model'!$A$1:$K$119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#,##0.000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1F3864"/>
      <sz val="9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i val="1"/>
      <color rgb="00595959"/>
      <sz val="9"/>
    </font>
    <font>
      <name val="Calibri"/>
      <i val="1"/>
      <color rgb="00595959"/>
      <sz val="8"/>
    </font>
    <font>
      <name val="Calibri"/>
      <b val="1"/>
      <color rgb="007B3F00"/>
      <sz val="9"/>
    </font>
    <font>
      <name val="Calibri"/>
      <b val="1"/>
      <color rgb="001F3864"/>
      <sz val="9"/>
    </font>
    <font>
      <name val="Calibri"/>
      <i val="1"/>
      <color rgb="00B00000"/>
      <sz val="9"/>
    </font>
    <font>
      <name val="Calibri"/>
      <color rgb="00000000"/>
      <sz val="8"/>
    </font>
    <font>
      <name val="Calibri"/>
      <b val="1"/>
      <color rgb="00B00000"/>
      <sz val="9"/>
    </font>
    <font>
      <name val="Calibri"/>
      <b val="1"/>
      <color rgb="00000000"/>
      <sz val="9"/>
    </font>
    <font>
      <name val="Calibri"/>
      <i val="1"/>
      <color rgb="007B3F00"/>
      <sz val="9"/>
    </font>
    <font>
      <name val="Calibri"/>
      <i val="1"/>
      <color rgb="00000000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EFF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0" fillId="5" borderId="0" pivotButton="0" quotePrefix="0" xfId="0"/>
    <xf numFmtId="0" fontId="4" fillId="6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 wrapText="1"/>
    </xf>
    <xf numFmtId="4" fontId="8" fillId="7" borderId="0" applyAlignment="1" pivotButton="0" quotePrefix="0" xfId="0">
      <alignment horizontal="right" vertical="center"/>
    </xf>
    <xf numFmtId="0" fontId="9" fillId="3" borderId="0" applyAlignment="1" pivotButton="0" quotePrefix="0" xfId="0">
      <alignment horizontal="left" vertical="center"/>
    </xf>
    <xf numFmtId="164" fontId="8" fillId="7" borderId="0" applyAlignment="1" pivotButton="0" quotePrefix="0" xfId="0">
      <alignment horizontal="right" vertical="center"/>
    </xf>
    <xf numFmtId="0" fontId="10" fillId="8" borderId="0" applyAlignment="1" pivotButton="0" quotePrefix="0" xfId="0">
      <alignment horizontal="left" vertical="center"/>
    </xf>
    <xf numFmtId="0" fontId="5" fillId="8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left" vertical="center"/>
    </xf>
    <xf numFmtId="164" fontId="12" fillId="8" borderId="0" applyAlignment="1" pivotButton="0" quotePrefix="0" xfId="0">
      <alignment horizontal="right" vertical="center"/>
    </xf>
    <xf numFmtId="0" fontId="5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center" vertical="center"/>
    </xf>
    <xf numFmtId="0" fontId="7" fillId="9" borderId="0" applyAlignment="1" pivotButton="0" quotePrefix="0" xfId="0">
      <alignment horizontal="left" vertical="center" wrapText="1"/>
    </xf>
    <xf numFmtId="165" fontId="5" fillId="9" borderId="0" applyAlignment="1" pivotButton="0" quotePrefix="0" xfId="0">
      <alignment horizontal="right" vertical="center"/>
    </xf>
    <xf numFmtId="0" fontId="5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center" vertical="center"/>
    </xf>
    <xf numFmtId="0" fontId="7" fillId="10" borderId="0" applyAlignment="1" pivotButton="0" quotePrefix="0" xfId="0">
      <alignment horizontal="left" vertical="center" wrapText="1"/>
    </xf>
    <xf numFmtId="165" fontId="5" fillId="10" borderId="0" applyAlignment="1" pivotButton="0" quotePrefix="0" xfId="0">
      <alignment horizontal="right" vertical="center"/>
    </xf>
    <xf numFmtId="0" fontId="5" fillId="11" borderId="0" applyAlignment="1" pivotButton="0" quotePrefix="0" xfId="0">
      <alignment horizontal="left" vertical="center"/>
    </xf>
    <xf numFmtId="0" fontId="6" fillId="11" borderId="0" applyAlignment="1" pivotButton="0" quotePrefix="0" xfId="0">
      <alignment horizontal="center" vertical="center"/>
    </xf>
    <xf numFmtId="0" fontId="7" fillId="11" borderId="0" applyAlignment="1" pivotButton="0" quotePrefix="0" xfId="0">
      <alignment horizontal="left" vertical="center" wrapText="1"/>
    </xf>
    <xf numFmtId="165" fontId="5" fillId="11" borderId="0" applyAlignment="1" pivotButton="0" quotePrefix="0" xfId="0">
      <alignment horizontal="right" vertical="center"/>
    </xf>
    <xf numFmtId="4" fontId="5" fillId="9" borderId="0" applyAlignment="1" pivotButton="0" quotePrefix="0" xfId="0">
      <alignment horizontal="right" vertical="center"/>
    </xf>
    <xf numFmtId="3" fontId="8" fillId="7" borderId="0" applyAlignment="1" pivotButton="0" quotePrefix="0" xfId="0">
      <alignment horizontal="right" vertical="center"/>
    </xf>
    <xf numFmtId="166" fontId="8" fillId="7" borderId="0" applyAlignment="1" pivotButton="0" quotePrefix="0" xfId="0">
      <alignment horizontal="right" vertical="center"/>
    </xf>
    <xf numFmtId="10" fontId="8" fillId="7" borderId="0" applyAlignment="1" pivotButton="0" quotePrefix="0" xfId="0">
      <alignment horizontal="right" vertical="center"/>
    </xf>
    <xf numFmtId="9" fontId="8" fillId="7" borderId="0" applyAlignment="1" pivotButton="0" quotePrefix="0" xfId="0">
      <alignment horizontal="right" vertical="center"/>
    </xf>
    <xf numFmtId="4" fontId="5" fillId="10" borderId="0" applyAlignment="1" pivotButton="0" quotePrefix="0" xfId="0">
      <alignment horizontal="right" vertical="center"/>
    </xf>
    <xf numFmtId="4" fontId="5" fillId="11" borderId="0" applyAlignment="1" pivotButton="0" quotePrefix="0" xfId="0">
      <alignment horizontal="right" vertical="center"/>
    </xf>
    <xf numFmtId="0" fontId="5" fillId="12" borderId="0" applyAlignment="1" pivotButton="0" quotePrefix="0" xfId="0">
      <alignment horizontal="left" vertical="center"/>
    </xf>
    <xf numFmtId="0" fontId="6" fillId="12" borderId="0" applyAlignment="1" pivotButton="0" quotePrefix="0" xfId="0">
      <alignment horizontal="center" vertical="center"/>
    </xf>
    <xf numFmtId="0" fontId="7" fillId="12" borderId="0" applyAlignment="1" pivotButton="0" quotePrefix="0" xfId="0">
      <alignment horizontal="left" vertical="center" wrapText="1"/>
    </xf>
    <xf numFmtId="4" fontId="13" fillId="12" borderId="0" applyAlignment="1" pivotButton="0" quotePrefix="0" xfId="0">
      <alignment horizontal="right" vertical="center"/>
    </xf>
    <xf numFmtId="3" fontId="5" fillId="11" borderId="0" applyAlignment="1" pivotButton="0" quotePrefix="0" xfId="0">
      <alignment horizontal="right" vertical="center"/>
    </xf>
    <xf numFmtId="3" fontId="5" fillId="9" borderId="0" applyAlignment="1" pivotButton="0" quotePrefix="0" xfId="0">
      <alignment horizontal="right" vertical="center"/>
    </xf>
    <xf numFmtId="3" fontId="13" fillId="12" borderId="0" applyAlignment="1" pivotButton="0" quotePrefix="0" xfId="0">
      <alignment horizontal="right" vertical="center"/>
    </xf>
    <xf numFmtId="164" fontId="5" fillId="11" borderId="0" applyAlignment="1" pivotButton="0" quotePrefix="0" xfId="0">
      <alignment horizontal="right" vertical="center"/>
    </xf>
    <xf numFmtId="0" fontId="14" fillId="13" borderId="0" applyAlignment="1" pivotButton="0" quotePrefix="0" xfId="0">
      <alignment horizontal="left" vertical="center"/>
    </xf>
    <xf numFmtId="0" fontId="0" fillId="4" borderId="0" pivotButton="0" quotePrefix="0" xfId="0"/>
    <xf numFmtId="0" fontId="15" fillId="10" borderId="0" applyAlignment="1" pivotButton="0" quotePrefix="0" xfId="0">
      <alignment horizontal="center" vertical="center"/>
    </xf>
    <xf numFmtId="0" fontId="0" fillId="10" borderId="0" pivotButton="0" quotePrefix="0" xfId="0"/>
    <xf numFmtId="0" fontId="5" fillId="10" borderId="0" applyAlignment="1" pivotButton="0" quotePrefix="0" xfId="0">
      <alignment horizontal="center" vertical="center"/>
    </xf>
    <xf numFmtId="0" fontId="15" fillId="11" borderId="0" applyAlignment="1" pivotButton="0" quotePrefix="0" xfId="0">
      <alignment horizontal="center" vertical="center"/>
    </xf>
    <xf numFmtId="0" fontId="0" fillId="11" borderId="0" pivotButton="0" quotePrefix="0" xfId="0"/>
    <xf numFmtId="0" fontId="5" fillId="11" borderId="0" applyAlignment="1" pivotButton="0" quotePrefix="0" xfId="0">
      <alignment horizontal="center" vertical="center"/>
    </xf>
    <xf numFmtId="0" fontId="7" fillId="10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1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5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0" customWidth="1" min="10" max="10"/>
    <col width="3" customWidth="1" min="11" max="11"/>
  </cols>
  <sheetData>
    <row r="1" ht="34" customHeight="1">
      <c r="A1" s="1" t="inlineStr">
        <is>
          <t xml:space="preserve">  INDIA ETHANOL BLENDING PROGRAMME — FOREX SAVINGS MODEL   |   FY2025 – FY2030</t>
        </is>
      </c>
    </row>
    <row r="2" ht="16" customHeight="1">
      <c r="A2" s="2" t="inlineStr">
        <is>
          <t xml:space="preserve">  Yellow = USER INPUTS  |  Blue = Calculations  |  Green = Key Outputs  |  All volumes in Billion Litres (BL) unless stated</t>
        </is>
      </c>
    </row>
    <row r="3" ht="22" customHeight="1">
      <c r="A3" s="3" t="inlineStr">
        <is>
          <t>LINE ITEM</t>
        </is>
      </c>
      <c r="B3" s="4" t="inlineStr">
        <is>
          <t>UNIT</t>
        </is>
      </c>
      <c r="C3" s="3" t="inlineStr">
        <is>
          <t>NOTES / FORMULA GUIDE</t>
        </is>
      </c>
      <c r="D3" s="5" t="inlineStr">
        <is>
          <t>FY2025</t>
        </is>
      </c>
      <c r="E3" s="5" t="inlineStr">
        <is>
          <t>FY2026</t>
        </is>
      </c>
      <c r="F3" s="5" t="inlineStr">
        <is>
          <t>FY2027</t>
        </is>
      </c>
      <c r="G3" s="5" t="inlineStr">
        <is>
          <t>FY2028</t>
        </is>
      </c>
      <c r="H3" s="5" t="inlineStr">
        <is>
          <t>FY2029</t>
        </is>
      </c>
      <c r="I3" s="5" t="inlineStr">
        <is>
          <t>FY2030</t>
        </is>
      </c>
      <c r="J3" s="4" t="inlineStr">
        <is>
          <t>CAGR</t>
        </is>
      </c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 ht="16" customHeight="1">
      <c r="A5" s="7" t="inlineStr">
        <is>
          <t xml:space="preserve">  SECTION A — MACRO &amp; PRICING INPUTS</t>
        </is>
      </c>
    </row>
    <row r="6" ht="15" customHeight="1">
      <c r="A6" s="8" t="inlineStr">
        <is>
          <t>Crude oil price assumption</t>
        </is>
      </c>
      <c r="B6" s="9" t="inlineStr">
        <is>
          <t>USD/bbl</t>
        </is>
      </c>
      <c r="C6" s="10" t="inlineStr">
        <is>
          <t>Brent avg FY25 ~$80. Change annually.</t>
        </is>
      </c>
      <c r="D6" s="11" t="n">
        <v>80</v>
      </c>
      <c r="E6" s="11" t="n">
        <v>78</v>
      </c>
      <c r="F6" s="11" t="n">
        <v>76</v>
      </c>
      <c r="G6" s="11" t="n">
        <v>75</v>
      </c>
      <c r="H6" s="11" t="n">
        <v>74</v>
      </c>
      <c r="I6" s="11" t="n">
        <v>73</v>
      </c>
    </row>
    <row r="7" ht="15" customHeight="1">
      <c r="A7" s="8" t="inlineStr">
        <is>
          <t>INR / USD exchange rate</t>
        </is>
      </c>
      <c r="B7" s="9" t="inlineStr">
        <is>
          <t>INR/USD</t>
        </is>
      </c>
      <c r="C7" s="10" t="inlineStr">
        <is>
          <t>RBI average rate assumption</t>
        </is>
      </c>
      <c r="D7" s="11" t="n">
        <v>84</v>
      </c>
      <c r="E7" s="11" t="n">
        <v>85</v>
      </c>
      <c r="F7" s="11" t="n">
        <v>86</v>
      </c>
      <c r="G7" s="11" t="n">
        <v>87</v>
      </c>
      <c r="H7" s="11" t="n">
        <v>87</v>
      </c>
      <c r="I7" s="11" t="n">
        <v>88</v>
      </c>
    </row>
    <row r="8" ht="15" customHeight="1">
      <c r="A8" s="8" t="inlineStr">
        <is>
          <t>Barrels per MMT (crude conversion)</t>
        </is>
      </c>
      <c r="B8" s="9" t="inlineStr">
        <is>
          <t>mn bbl / MMT</t>
        </is>
      </c>
      <c r="C8" s="10" t="inlineStr">
        <is>
          <t>Standard: 1 MMT crude = 7.3 mn barrels</t>
        </is>
      </c>
      <c r="D8" s="11" t="n">
        <v>7.3</v>
      </c>
      <c r="E8" s="11" t="n">
        <v>7.3</v>
      </c>
      <c r="F8" s="11" t="n">
        <v>7.3</v>
      </c>
      <c r="G8" s="11" t="n">
        <v>7.3</v>
      </c>
      <c r="H8" s="11" t="n">
        <v>7.3</v>
      </c>
      <c r="I8" s="11" t="n">
        <v>7.3</v>
      </c>
    </row>
    <row r="9" ht="15" customHeight="1">
      <c r="A9" s="8" t="inlineStr">
        <is>
          <t>Total crude oil processed by India's refineries</t>
        </is>
      </c>
      <c r="B9" s="9" t="inlineStr">
        <is>
          <t>MMT</t>
        </is>
      </c>
      <c r="C9" s="10" t="inlineStr">
        <is>
          <t>FY25: ~260 MMT (243 imports + 29 domestic - exports)</t>
        </is>
      </c>
      <c r="D9" s="11" t="n">
        <v>260</v>
      </c>
      <c r="E9" s="11" t="n">
        <v>262</v>
      </c>
      <c r="F9" s="11" t="n">
        <v>264</v>
      </c>
      <c r="G9" s="11" t="n">
        <v>266</v>
      </c>
      <c r="H9" s="11" t="n">
        <v>268</v>
      </c>
      <c r="I9" s="11" t="n">
        <v>270</v>
      </c>
    </row>
    <row r="10" ht="4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 ht="16" customHeight="1">
      <c r="A11" s="7" t="inlineStr">
        <is>
          <t xml:space="preserve">  SECTION B — VEHICLE PARC MODEL  (Passenger Vehicles, millions)</t>
        </is>
      </c>
    </row>
    <row r="12" ht="14" customHeight="1">
      <c r="A12" s="12" t="inlineStr">
        <is>
          <t xml:space="preserve">    B1 · Annual New PV Sales</t>
        </is>
      </c>
    </row>
    <row r="13" ht="15" customHeight="1">
      <c r="A13" s="8" t="inlineStr">
        <is>
          <t>Total new PV registrations (annual sales)</t>
        </is>
      </c>
      <c r="B13" s="9" t="inlineStr">
        <is>
          <t>mn vehicles</t>
        </is>
      </c>
      <c r="C13" s="10" t="inlineStr">
        <is>
          <t>FY25: 4.3mn record (SIAM). ~5% CAGR base</t>
        </is>
      </c>
      <c r="D13" s="11" t="n">
        <v>4.3</v>
      </c>
      <c r="E13" s="11" t="n">
        <v>4.52</v>
      </c>
      <c r="F13" s="11" t="n">
        <v>4.74</v>
      </c>
      <c r="G13" s="11" t="n">
        <v>4.98</v>
      </c>
      <c r="H13" s="11" t="n">
        <v>5.23</v>
      </c>
      <c r="I13" s="11" t="n">
        <v>5.49</v>
      </c>
    </row>
    <row r="14" ht="14" customHeight="1">
      <c r="A14" s="12" t="inlineStr">
        <is>
          <t xml:space="preserve">    B2 · New Sales Mix by Powertrain (% of annual new PV sales) — CHANGE THESE</t>
        </is>
      </c>
    </row>
    <row r="15" ht="15" customHeight="1">
      <c r="A15" s="8" t="inlineStr">
        <is>
          <t xml:space="preserve">  Petrol ICE % of new sales</t>
        </is>
      </c>
      <c r="B15" s="9" t="inlineStr">
        <is>
          <t>% of sales</t>
        </is>
      </c>
      <c r="C15" s="10" t="inlineStr">
        <is>
          <t>FY25 ~60%; declining as alt-fuel rises</t>
        </is>
      </c>
      <c r="D15" s="13" t="n">
        <v>0.59</v>
      </c>
      <c r="E15" s="13" t="n">
        <v>0.5600000000000001</v>
      </c>
      <c r="F15" s="13" t="n">
        <v>0.52</v>
      </c>
      <c r="G15" s="13" t="n">
        <v>0.48</v>
      </c>
      <c r="H15" s="13" t="n">
        <v>0.44</v>
      </c>
      <c r="I15" s="13" t="n">
        <v>0.4</v>
      </c>
    </row>
    <row r="16" ht="15" customHeight="1">
      <c r="A16" s="8" t="inlineStr">
        <is>
          <t xml:space="preserve">  Diesel ICE % of new sales</t>
        </is>
      </c>
      <c r="B16" s="9" t="inlineStr">
        <is>
          <t>% of sales</t>
        </is>
      </c>
      <c r="C16" s="10" t="inlineStr">
        <is>
          <t>FY25 ~17%; declining under CAFE/BS norms</t>
        </is>
      </c>
      <c r="D16" s="13" t="n">
        <v>0.17</v>
      </c>
      <c r="E16" s="13" t="n">
        <v>0.16</v>
      </c>
      <c r="F16" s="13" t="n">
        <v>0.15</v>
      </c>
      <c r="G16" s="13" t="n">
        <v>0.13</v>
      </c>
      <c r="H16" s="13" t="n">
        <v>0.11</v>
      </c>
      <c r="I16" s="13" t="n">
        <v>0.09</v>
      </c>
    </row>
    <row r="17" ht="15" customHeight="1">
      <c r="A17" s="8" t="inlineStr">
        <is>
          <t xml:space="preserve">  CNG / LPG % of new sales</t>
        </is>
      </c>
      <c r="B17" s="9" t="inlineStr">
        <is>
          <t>% of sales</t>
        </is>
      </c>
      <c r="C17" s="10" t="inlineStr">
        <is>
          <t>FY25 ~5%; stable near term</t>
        </is>
      </c>
      <c r="D17" s="13" t="n">
        <v>0.05</v>
      </c>
      <c r="E17" s="13" t="n">
        <v>0.05</v>
      </c>
      <c r="F17" s="13" t="n">
        <v>0.05</v>
      </c>
      <c r="G17" s="13" t="n">
        <v>0.05</v>
      </c>
      <c r="H17" s="13" t="n">
        <v>0.05</v>
      </c>
      <c r="I17" s="13" t="n">
        <v>0.05</v>
      </c>
    </row>
    <row r="18" ht="15" customHeight="1">
      <c r="A18" s="8" t="inlineStr">
        <is>
          <t xml:space="preserve">  Hybrid (HEV / PHEV) % of new sales</t>
        </is>
      </c>
      <c r="B18" s="9" t="inlineStr">
        <is>
          <t>% of sales</t>
        </is>
      </c>
      <c r="C18" s="10" t="inlineStr">
        <is>
          <t>FY25 ~5%; rising on CAFE compliance boost</t>
        </is>
      </c>
      <c r="D18" s="13" t="n">
        <v>0.05</v>
      </c>
      <c r="E18" s="13" t="n">
        <v>0.07000000000000001</v>
      </c>
      <c r="F18" s="13" t="n">
        <v>0.09</v>
      </c>
      <c r="G18" s="13" t="n">
        <v>0.11</v>
      </c>
      <c r="H18" s="13" t="n">
        <v>0.13</v>
      </c>
      <c r="I18" s="13" t="n">
        <v>0.15</v>
      </c>
    </row>
    <row r="19" ht="15" customHeight="1">
      <c r="A19" s="8" t="inlineStr">
        <is>
          <t xml:space="preserve">  BEV % of new sales</t>
        </is>
      </c>
      <c r="B19" s="9" t="inlineStr">
        <is>
          <t>% of sales</t>
        </is>
      </c>
      <c r="C19" s="10" t="inlineStr">
        <is>
          <t>FY25 ~2%; govt aspiration 30% by FY30</t>
        </is>
      </c>
      <c r="D19" s="13" t="n">
        <v>0.02</v>
      </c>
      <c r="E19" s="13" t="n">
        <v>0.04</v>
      </c>
      <c r="F19" s="13" t="n">
        <v>0.07000000000000001</v>
      </c>
      <c r="G19" s="13" t="n">
        <v>0.11</v>
      </c>
      <c r="H19" s="13" t="n">
        <v>0.16</v>
      </c>
      <c r="I19" s="13" t="n">
        <v>0.22</v>
      </c>
    </row>
    <row r="20" ht="15" customHeight="1">
      <c r="A20" s="8" t="inlineStr">
        <is>
          <t xml:space="preserve">  Flex-Fuel Vehicle (FFV) % of new sales</t>
        </is>
      </c>
      <c r="B20" s="9" t="inlineStr">
        <is>
          <t>% of sales</t>
        </is>
      </c>
      <c r="C20" s="10" t="inlineStr">
        <is>
          <t>FY25 ~0.5-1%; E85/E100 mandate ramp-up</t>
        </is>
      </c>
      <c r="D20" s="13" t="n">
        <v>0.01</v>
      </c>
      <c r="E20" s="13" t="n">
        <v>0.02</v>
      </c>
      <c r="F20" s="13" t="n">
        <v>0.04</v>
      </c>
      <c r="G20" s="13" t="n">
        <v>0.06</v>
      </c>
      <c r="H20" s="13" t="n">
        <v>0.08</v>
      </c>
      <c r="I20" s="13" t="n">
        <v>0.09</v>
      </c>
    </row>
    <row r="21" ht="14" customHeight="1">
      <c r="A21" s="14" t="inlineStr">
        <is>
          <t xml:space="preserve">  ✔ Sum check — must equal 100%</t>
        </is>
      </c>
      <c r="B21" s="15" t="inlineStr">
        <is>
          <t>% sum</t>
        </is>
      </c>
      <c r="C21" s="16">
        <f>SUM(rows 15:20)</f>
        <v/>
      </c>
      <c r="D21" s="17">
        <f>SUM(D15:D20)</f>
        <v/>
      </c>
      <c r="E21" s="17">
        <f>SUM(E15:E20)</f>
        <v/>
      </c>
      <c r="F21" s="17">
        <f>SUM(F15:F20)</f>
        <v/>
      </c>
      <c r="G21" s="17">
        <f>SUM(G15:G20)</f>
        <v/>
      </c>
      <c r="H21" s="17">
        <f>SUM(H15:H20)</f>
        <v/>
      </c>
      <c r="I21" s="17">
        <f>SUM(I15:I20)</f>
        <v/>
      </c>
    </row>
    <row r="22" ht="14" customHeight="1">
      <c r="A22" s="12" t="inlineStr">
        <is>
          <t xml:space="preserve">    B3 · Vehicle Fleet Stock (Opening → +Sales − Scrappage = Closing)</t>
        </is>
      </c>
    </row>
    <row r="23" ht="15" customHeight="1">
      <c r="A23" s="8" t="inlineStr">
        <is>
          <t>Annual fleet scrappage / retirement rate</t>
        </is>
      </c>
      <c r="B23" s="9" t="inlineStr">
        <is>
          <t>% of fleet</t>
        </is>
      </c>
      <c r="C23" s="10" t="inlineStr">
        <is>
          <t>~3.5% pa; rises with new scrappage policy</t>
        </is>
      </c>
      <c r="D23" s="13" t="n">
        <v>0.035</v>
      </c>
      <c r="E23" s="13" t="n">
        <v>0.035</v>
      </c>
      <c r="F23" s="13" t="n">
        <v>0.04</v>
      </c>
      <c r="G23" s="13" t="n">
        <v>0.04</v>
      </c>
      <c r="H23" s="13" t="n">
        <v>0.045</v>
      </c>
      <c r="I23" s="13" t="n">
        <v>0.045</v>
      </c>
    </row>
    <row r="24" ht="15" customHeight="1">
      <c r="A24" s="18" t="inlineStr">
        <is>
          <t>Opening total PV fleet stock</t>
        </is>
      </c>
      <c r="B24" s="19" t="inlineStr">
        <is>
          <t>mn vehicles</t>
        </is>
      </c>
      <c r="C24" s="20" t="inlineStr">
        <is>
          <t>FY25: 75mn base (MoRTH/VAHAN). FY26+: = prior closing</t>
        </is>
      </c>
      <c r="D24" s="21" t="n">
        <v>75</v>
      </c>
      <c r="E24" s="21" t="n">
        <v>76.7</v>
      </c>
      <c r="F24" s="21" t="n">
        <v>78.5</v>
      </c>
      <c r="G24" s="21" t="n">
        <v>80.40000000000001</v>
      </c>
      <c r="H24" s="21" t="n">
        <v>82.3</v>
      </c>
      <c r="I24" s="21" t="n">
        <v>84.3</v>
      </c>
    </row>
    <row r="25" ht="15" customHeight="1">
      <c r="A25" s="22" t="inlineStr">
        <is>
          <t xml:space="preserve">  + New vehicle additions (annual sales)</t>
        </is>
      </c>
      <c r="B25" s="23" t="inlineStr">
        <is>
          <t>mn vehicles</t>
        </is>
      </c>
      <c r="C25" s="24">
        <f> Row 13</f>
        <v/>
      </c>
      <c r="D25" s="25" t="n">
        <v>4.3</v>
      </c>
      <c r="E25" s="25" t="n">
        <v>4.52</v>
      </c>
      <c r="F25" s="25" t="n">
        <v>4.74</v>
      </c>
      <c r="G25" s="25" t="n">
        <v>4.98</v>
      </c>
      <c r="H25" s="25" t="n">
        <v>5.23</v>
      </c>
      <c r="I25" s="25" t="n">
        <v>5.49</v>
      </c>
    </row>
    <row r="26" ht="15" customHeight="1">
      <c r="A26" s="18" t="inlineStr">
        <is>
          <t xml:space="preserve">  − Scrappage volume</t>
        </is>
      </c>
      <c r="B26" s="19" t="inlineStr">
        <is>
          <t>mn vehicles</t>
        </is>
      </c>
      <c r="C26" s="20">
        <f> Opening fleet × Scrappage rate (Row 24 × Row 23)</f>
        <v/>
      </c>
      <c r="D26" s="21" t="n">
        <v>2.63</v>
      </c>
      <c r="E26" s="21" t="n">
        <v>2.68</v>
      </c>
      <c r="F26" s="21" t="n">
        <v>3.14</v>
      </c>
      <c r="G26" s="21" t="n">
        <v>3.22</v>
      </c>
      <c r="H26" s="21" t="n">
        <v>3.7</v>
      </c>
      <c r="I26" s="21" t="n">
        <v>3.79</v>
      </c>
    </row>
    <row r="27" ht="15" customHeight="1">
      <c r="A27" s="26" t="inlineStr">
        <is>
          <t>Closing total PV fleet stock</t>
        </is>
      </c>
      <c r="B27" s="27" t="inlineStr">
        <is>
          <t>mn vehicles</t>
        </is>
      </c>
      <c r="C27" s="28">
        <f> Opening + Sales − Scrappage</f>
        <v/>
      </c>
      <c r="D27" s="29" t="n">
        <v>76.7</v>
      </c>
      <c r="E27" s="29" t="n">
        <v>78.5</v>
      </c>
      <c r="F27" s="29" t="n">
        <v>80.09999999999999</v>
      </c>
      <c r="G27" s="29" t="n">
        <v>82.2</v>
      </c>
      <c r="H27" s="29" t="n">
        <v>83.8</v>
      </c>
      <c r="I27" s="29" t="n">
        <v>86</v>
      </c>
    </row>
    <row r="28" ht="14" customHeight="1">
      <c r="A28" s="12" t="inlineStr">
        <is>
          <t xml:space="preserve">    B4 · Fleet Composition by Powertrain (cumulative stock, mn vehicles)</t>
        </is>
      </c>
    </row>
    <row r="29" ht="15" customHeight="1">
      <c r="A29" s="22" t="inlineStr">
        <is>
          <t xml:space="preserve">  Petrol ICE fleet stock</t>
        </is>
      </c>
      <c r="B29" s="23" t="inlineStr">
        <is>
          <t>mn vehicles</t>
        </is>
      </c>
      <c r="C29" s="24" t="inlineStr">
        <is>
          <t>Prior stock + new petrol sales − pro-rata scrappage</t>
        </is>
      </c>
      <c r="D29" s="25" t="n">
        <v>44</v>
      </c>
      <c r="E29" s="25" t="n">
        <v>44.7</v>
      </c>
      <c r="F29" s="25" t="n">
        <v>45.1</v>
      </c>
      <c r="G29" s="25" t="n">
        <v>45</v>
      </c>
      <c r="H29" s="25" t="n">
        <v>44.4</v>
      </c>
      <c r="I29" s="25" t="n">
        <v>43.2</v>
      </c>
    </row>
    <row r="30" ht="15" customHeight="1">
      <c r="A30" s="18" t="inlineStr">
        <is>
          <t xml:space="preserve">  Diesel ICE fleet stock</t>
        </is>
      </c>
      <c r="B30" s="19" t="inlineStr">
        <is>
          <t>mn vehicles</t>
        </is>
      </c>
      <c r="C30" s="20" t="inlineStr">
        <is>
          <t>Cumulative diesel stock</t>
        </is>
      </c>
      <c r="D30" s="21" t="n">
        <v>20</v>
      </c>
      <c r="E30" s="21" t="n">
        <v>20.2</v>
      </c>
      <c r="F30" s="21" t="n">
        <v>20.2</v>
      </c>
      <c r="G30" s="21" t="n">
        <v>19.9</v>
      </c>
      <c r="H30" s="21" t="n">
        <v>19.4</v>
      </c>
      <c r="I30" s="21" t="n">
        <v>18.6</v>
      </c>
    </row>
    <row r="31" ht="15" customHeight="1">
      <c r="A31" s="22" t="inlineStr">
        <is>
          <t xml:space="preserve">  CNG / LPG fleet stock</t>
        </is>
      </c>
      <c r="B31" s="23" t="inlineStr">
        <is>
          <t>mn vehicles</t>
        </is>
      </c>
      <c r="C31" s="24" t="inlineStr">
        <is>
          <t>Cumulative CNG stock</t>
        </is>
      </c>
      <c r="D31" s="25" t="n">
        <v>4</v>
      </c>
      <c r="E31" s="25" t="n">
        <v>4.2</v>
      </c>
      <c r="F31" s="25" t="n">
        <v>4.4</v>
      </c>
      <c r="G31" s="25" t="n">
        <v>4.6</v>
      </c>
      <c r="H31" s="25" t="n">
        <v>4.8</v>
      </c>
      <c r="I31" s="25" t="n">
        <v>5</v>
      </c>
    </row>
    <row r="32" ht="15" customHeight="1">
      <c r="A32" s="18" t="inlineStr">
        <is>
          <t xml:space="preserve">  Hybrid (HEV/PHEV) fleet stock</t>
        </is>
      </c>
      <c r="B32" s="19" t="inlineStr">
        <is>
          <t>mn vehicles</t>
        </is>
      </c>
      <c r="C32" s="20" t="inlineStr">
        <is>
          <t>Cumulative hybrid stock</t>
        </is>
      </c>
      <c r="D32" s="21" t="n">
        <v>3</v>
      </c>
      <c r="E32" s="21" t="n">
        <v>3.6</v>
      </c>
      <c r="F32" s="21" t="n">
        <v>4.4</v>
      </c>
      <c r="G32" s="21" t="n">
        <v>5.4</v>
      </c>
      <c r="H32" s="21" t="n">
        <v>6.6</v>
      </c>
      <c r="I32" s="21" t="n">
        <v>8.1</v>
      </c>
    </row>
    <row r="33" ht="15" customHeight="1">
      <c r="A33" s="22" t="inlineStr">
        <is>
          <t xml:space="preserve">  BEV fleet stock</t>
        </is>
      </c>
      <c r="B33" s="23" t="inlineStr">
        <is>
          <t>mn vehicles</t>
        </is>
      </c>
      <c r="C33" s="24" t="inlineStr">
        <is>
          <t>Cumulative BEV stock</t>
        </is>
      </c>
      <c r="D33" s="25" t="n">
        <v>2.5</v>
      </c>
      <c r="E33" s="25" t="n">
        <v>3</v>
      </c>
      <c r="F33" s="25" t="n">
        <v>4</v>
      </c>
      <c r="G33" s="25" t="n">
        <v>5.6</v>
      </c>
      <c r="H33" s="25" t="n">
        <v>7.8</v>
      </c>
      <c r="I33" s="25" t="n">
        <v>11</v>
      </c>
    </row>
    <row r="34" ht="15" customHeight="1">
      <c r="A34" s="18" t="inlineStr">
        <is>
          <t xml:space="preserve">  Flex-Fuel Vehicle (FFV) fleet stock</t>
        </is>
      </c>
      <c r="B34" s="19" t="inlineStr">
        <is>
          <t>mn vehicles</t>
        </is>
      </c>
      <c r="C34" s="20" t="inlineStr">
        <is>
          <t>Cumulative FFV stock (E85/E100 capable)</t>
        </is>
      </c>
      <c r="D34" s="30" t="n">
        <v>0.17</v>
      </c>
      <c r="E34" s="30" t="n">
        <v>0.62</v>
      </c>
      <c r="F34" s="30" t="n">
        <v>1.5</v>
      </c>
      <c r="G34" s="30" t="n">
        <v>2.9</v>
      </c>
      <c r="H34" s="30" t="n">
        <v>4.8</v>
      </c>
      <c r="I34" s="30" t="n">
        <v>7.2</v>
      </c>
    </row>
    <row r="35" ht="4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</row>
    <row r="36" ht="16" customHeight="1">
      <c r="A36" s="7" t="inlineStr">
        <is>
          <t xml:space="preserve">  SECTION C — VEHICLE USAGE &amp; FUEL EFFICIENCY INPUTS</t>
        </is>
      </c>
    </row>
    <row r="37" ht="15" customHeight="1">
      <c r="A37" s="8" t="inlineStr">
        <is>
          <t>Average annual km driven — petrol ICE car</t>
        </is>
      </c>
      <c r="B37" s="9" t="inlineStr">
        <is>
          <t>km/vehicle/yr</t>
        </is>
      </c>
      <c r="C37" s="10" t="inlineStr">
        <is>
          <t>Urban ~12k km; rural ~8k km; fleet avg ~10,500</t>
        </is>
      </c>
      <c r="D37" s="31" t="n">
        <v>10500</v>
      </c>
      <c r="E37" s="31" t="n">
        <v>10700</v>
      </c>
      <c r="F37" s="31" t="n">
        <v>10900</v>
      </c>
      <c r="G37" s="31" t="n">
        <v>11100</v>
      </c>
      <c r="H37" s="31" t="n">
        <v>11300</v>
      </c>
      <c r="I37" s="31" t="n">
        <v>11500</v>
      </c>
    </row>
    <row r="38" ht="15" customHeight="1">
      <c r="A38" s="8" t="inlineStr">
        <is>
          <t>Fuel efficiency — petrol ICE (fleet average)</t>
        </is>
      </c>
      <c r="B38" s="9" t="inlineStr">
        <is>
          <t>km / litre</t>
        </is>
      </c>
      <c r="C38" s="10" t="inlineStr">
        <is>
          <t>Fleet avg ~15 km/l; improving with CAFE norms</t>
        </is>
      </c>
      <c r="D38" s="11" t="n">
        <v>15</v>
      </c>
      <c r="E38" s="11" t="n">
        <v>15.5</v>
      </c>
      <c r="F38" s="11" t="n">
        <v>16</v>
      </c>
      <c r="G38" s="11" t="n">
        <v>16.5</v>
      </c>
      <c r="H38" s="11" t="n">
        <v>17</v>
      </c>
      <c r="I38" s="11" t="n">
        <v>17.5</v>
      </c>
    </row>
    <row r="39" ht="15" customHeight="1">
      <c r="A39" s="8" t="inlineStr">
        <is>
          <t>Average annual km driven — diesel car</t>
        </is>
      </c>
      <c r="B39" s="9" t="inlineStr">
        <is>
          <t>km/vehicle/yr</t>
        </is>
      </c>
      <c r="C39" s="10" t="inlineStr">
        <is>
          <t>Diesel vehicles driven more; ~14,000–15,000 km</t>
        </is>
      </c>
      <c r="D39" s="31" t="n">
        <v>14000</v>
      </c>
      <c r="E39" s="31" t="n">
        <v>14200</v>
      </c>
      <c r="F39" s="31" t="n">
        <v>14400</v>
      </c>
      <c r="G39" s="31" t="n">
        <v>14600</v>
      </c>
      <c r="H39" s="31" t="n">
        <v>14800</v>
      </c>
      <c r="I39" s="31" t="n">
        <v>15000</v>
      </c>
    </row>
    <row r="40" ht="15" customHeight="1">
      <c r="A40" s="8" t="inlineStr">
        <is>
          <t>Fuel efficiency — diesel ICE (fleet average)</t>
        </is>
      </c>
      <c r="B40" s="9" t="inlineStr">
        <is>
          <t>km / litre</t>
        </is>
      </c>
      <c r="C40" s="10" t="inlineStr">
        <is>
          <t>Fleet avg ~17 km/l improving</t>
        </is>
      </c>
      <c r="D40" s="11" t="n">
        <v>17</v>
      </c>
      <c r="E40" s="11" t="n">
        <v>17.5</v>
      </c>
      <c r="F40" s="11" t="n">
        <v>18</v>
      </c>
      <c r="G40" s="11" t="n">
        <v>18.5</v>
      </c>
      <c r="H40" s="11" t="n">
        <v>19</v>
      </c>
      <c r="I40" s="11" t="n">
        <v>19.5</v>
      </c>
    </row>
    <row r="41" ht="15" customHeight="1">
      <c r="A41" s="8" t="inlineStr">
        <is>
          <t>E100 volumetric penalty vs petrol (volume adj.)</t>
        </is>
      </c>
      <c r="B41" s="9" t="inlineStr">
        <is>
          <t>multiplier</t>
        </is>
      </c>
      <c r="C41" s="10" t="inlineStr">
        <is>
          <t>Ethanol LHV ~67% petrol → need 1.33x volume</t>
        </is>
      </c>
      <c r="D41" s="11" t="n">
        <v>1.33</v>
      </c>
      <c r="E41" s="11" t="n">
        <v>1.33</v>
      </c>
      <c r="F41" s="11" t="n">
        <v>1.33</v>
      </c>
      <c r="G41" s="11" t="n">
        <v>1.33</v>
      </c>
      <c r="H41" s="11" t="n">
        <v>1.33</v>
      </c>
      <c r="I41" s="11" t="n">
        <v>1.33</v>
      </c>
    </row>
    <row r="42" ht="15" customHeight="1">
      <c r="A42" s="8" t="inlineStr">
        <is>
          <t>Petrol density (for MMT conversion)</t>
        </is>
      </c>
      <c r="B42" s="9" t="inlineStr">
        <is>
          <t>kg / litre</t>
        </is>
      </c>
      <c r="C42" s="10" t="inlineStr">
        <is>
          <t>~0.74 kg/L standard</t>
        </is>
      </c>
      <c r="D42" s="32" t="n">
        <v>0.74</v>
      </c>
      <c r="E42" s="32" t="n">
        <v>0.74</v>
      </c>
      <c r="F42" s="32" t="n">
        <v>0.74</v>
      </c>
      <c r="G42" s="32" t="n">
        <v>0.74</v>
      </c>
      <c r="H42" s="32" t="n">
        <v>0.74</v>
      </c>
      <c r="I42" s="32" t="n">
        <v>0.74</v>
      </c>
    </row>
    <row r="43" ht="4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</row>
    <row r="44" ht="16" customHeight="1">
      <c r="A44" s="7" t="inlineStr">
        <is>
          <t xml:space="preserve">  SECTION D — ETHANOL BLENDING POLICY INPUTS  (key scenario lever)</t>
        </is>
      </c>
    </row>
    <row r="45" ht="15" customHeight="1">
      <c r="A45" s="8" t="inlineStr">
        <is>
          <t>National petrol-ethanol blend rate (E-X program)</t>
        </is>
      </c>
      <c r="B45" s="9" t="inlineStr">
        <is>
          <t>% ethanol in petrol</t>
        </is>
      </c>
      <c r="C45" s="10" t="inlineStr">
        <is>
          <t>E19.24% FY25 (actual); E20 FY26; E30 target FY30</t>
        </is>
      </c>
      <c r="D45" s="33" t="n">
        <v>0.1924</v>
      </c>
      <c r="E45" s="33" t="n">
        <v>0.2</v>
      </c>
      <c r="F45" s="33" t="n">
        <v>0.22</v>
      </c>
      <c r="G45" s="33" t="n">
        <v>0.25</v>
      </c>
      <c r="H45" s="33" t="n">
        <v>0.28</v>
      </c>
      <c r="I45" s="33" t="n">
        <v>0.3</v>
      </c>
    </row>
    <row r="46" ht="15" customHeight="1">
      <c r="A46" s="8" t="inlineStr">
        <is>
          <t>Effective ethanol blend for FFV fleet</t>
        </is>
      </c>
      <c r="B46" s="9" t="inlineStr">
        <is>
          <t>% for FFVs</t>
        </is>
      </c>
      <c r="C46" s="10" t="inlineStr">
        <is>
          <t>FFVs capable of E85; blend higher than mainstream</t>
        </is>
      </c>
      <c r="D46" s="34" t="n">
        <v>0.5</v>
      </c>
      <c r="E46" s="34" t="n">
        <v>0.6</v>
      </c>
      <c r="F46" s="34" t="n">
        <v>0.7</v>
      </c>
      <c r="G46" s="34" t="n">
        <v>0.75</v>
      </c>
      <c r="H46" s="34" t="n">
        <v>0.8</v>
      </c>
      <c r="I46" s="34" t="n">
        <v>0.85</v>
      </c>
    </row>
    <row r="47" ht="15" customHeight="1">
      <c r="A47" s="8" t="inlineStr">
        <is>
          <t>Ethanol energy factor (petrol equiv. displaced)</t>
        </is>
      </c>
      <c r="B47" s="9" t="inlineStr">
        <is>
          <t>ratio</t>
        </is>
      </c>
      <c r="C47" s="10" t="inlineStr">
        <is>
          <t>1 BL ethanol displaces 0.64 BL petrol (energy basis)</t>
        </is>
      </c>
      <c r="D47" s="11" t="n">
        <v>0.64</v>
      </c>
      <c r="E47" s="11" t="n">
        <v>0.64</v>
      </c>
      <c r="F47" s="11" t="n">
        <v>0.64</v>
      </c>
      <c r="G47" s="11" t="n">
        <v>0.64</v>
      </c>
      <c r="H47" s="11" t="n">
        <v>0.64</v>
      </c>
      <c r="I47" s="11" t="n">
        <v>0.64</v>
      </c>
    </row>
    <row r="48" ht="15" customHeight="1">
      <c r="A48" s="8" t="inlineStr">
        <is>
          <t>Petrol yield from crude (refinery basket)</t>
        </is>
      </c>
      <c r="B48" s="9" t="inlineStr">
        <is>
          <t>L petrol / L crude</t>
        </is>
      </c>
      <c r="C48" s="10" t="inlineStr">
        <is>
          <t>India avg: ~15.6% of crude → motor spirit</t>
        </is>
      </c>
      <c r="D48" s="32" t="n">
        <v>0.156</v>
      </c>
      <c r="E48" s="32" t="n">
        <v>0.156</v>
      </c>
      <c r="F48" s="32" t="n">
        <v>0.156</v>
      </c>
      <c r="G48" s="32" t="n">
        <v>0.156</v>
      </c>
      <c r="H48" s="32" t="n">
        <v>0.156</v>
      </c>
      <c r="I48" s="32" t="n">
        <v>0.156</v>
      </c>
    </row>
    <row r="49" ht="15" customHeight="1">
      <c r="A49" s="8" t="inlineStr">
        <is>
          <t>2W + 3W + other petrol demand (non-4W)</t>
        </is>
      </c>
      <c r="B49" s="9" t="inlineStr">
        <is>
          <t>Bn L / yr</t>
        </is>
      </c>
      <c r="C49" s="10" t="inlineStr">
        <is>
          <t>FY25: ~35 BL (61.4% + 2.3% of petrol pool)</t>
        </is>
      </c>
      <c r="D49" s="11" t="n">
        <v>35</v>
      </c>
      <c r="E49" s="11" t="n">
        <v>36</v>
      </c>
      <c r="F49" s="11" t="n">
        <v>37</v>
      </c>
      <c r="G49" s="11" t="n">
        <v>38</v>
      </c>
      <c r="H49" s="11" t="n">
        <v>39</v>
      </c>
      <c r="I49" s="11" t="n">
        <v>40</v>
      </c>
    </row>
    <row r="50" ht="4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</row>
    <row r="51" ht="16" customHeight="1">
      <c r="A51" s="7" t="inlineStr">
        <is>
          <t xml:space="preserve">  SECTION E — FUEL DEMAND CALCULATION</t>
        </is>
      </c>
    </row>
    <row r="52" ht="14" customHeight="1">
      <c r="A52" s="12" t="inlineStr">
        <is>
          <t xml:space="preserve">    E1 · Petrol Demand — 4W Vehicles</t>
        </is>
      </c>
    </row>
    <row r="53" ht="15" customHeight="1">
      <c r="A53" s="22" t="inlineStr">
        <is>
          <t xml:space="preserve">  Gross petrol demand — petrol ICE 4W cars</t>
        </is>
      </c>
      <c r="B53" s="23" t="inlineStr">
        <is>
          <t>Bn L / yr</t>
        </is>
      </c>
      <c r="C53" s="24">
        <f> Petrol ICE stock × km/yr ÷ fuel efficiency ÷ 1e9
(Row 29 × Row 37 ÷ Row 38 ÷ 1,000)</f>
        <v/>
      </c>
      <c r="D53" s="35" t="n">
        <v>30.8</v>
      </c>
      <c r="E53" s="35" t="n">
        <v>30.87</v>
      </c>
      <c r="F53" s="35" t="n">
        <v>30.74</v>
      </c>
      <c r="G53" s="35" t="n">
        <v>30.25</v>
      </c>
      <c r="H53" s="35" t="n">
        <v>29.54</v>
      </c>
      <c r="I53" s="35" t="n">
        <v>28.43</v>
      </c>
    </row>
    <row r="54" ht="15" customHeight="1">
      <c r="A54" s="18" t="inlineStr">
        <is>
          <t xml:space="preserve">  Gross petrol/ethanol demand — FFV fleet</t>
        </is>
      </c>
      <c r="B54" s="19" t="inlineStr">
        <is>
          <t>Bn L / yr</t>
        </is>
      </c>
      <c r="C54" s="20">
        <f> FFV stock × km/yr ÷ fuel eff. × E100 vol adj.
(Row 34 × Row 37 ÷ Row 38 × Row 41)</f>
        <v/>
      </c>
      <c r="D54" s="30" t="n">
        <v>0.16</v>
      </c>
      <c r="E54" s="30" t="n">
        <v>0.57</v>
      </c>
      <c r="F54" s="30" t="n">
        <v>1.36</v>
      </c>
      <c r="G54" s="30" t="n">
        <v>2.57</v>
      </c>
      <c r="H54" s="30" t="n">
        <v>4.23</v>
      </c>
      <c r="I54" s="30" t="n">
        <v>6.31</v>
      </c>
    </row>
    <row r="55" ht="15" customHeight="1">
      <c r="A55" s="22" t="inlineStr">
        <is>
          <t xml:space="preserve">  Total petrol demand — all 4W (gross)</t>
        </is>
      </c>
      <c r="B55" s="23" t="inlineStr">
        <is>
          <t>Bn L / yr</t>
        </is>
      </c>
      <c r="C55" s="24">
        <f> Row 53 + Row 54</f>
        <v/>
      </c>
      <c r="D55" s="35" t="n">
        <v>30.96</v>
      </c>
      <c r="E55" s="35" t="n">
        <v>31.44</v>
      </c>
      <c r="F55" s="35" t="n">
        <v>32.1</v>
      </c>
      <c r="G55" s="35" t="n">
        <v>32.82</v>
      </c>
      <c r="H55" s="35" t="n">
        <v>33.77</v>
      </c>
      <c r="I55" s="35" t="n">
        <v>34.74</v>
      </c>
    </row>
    <row r="56" ht="15" customHeight="1">
      <c r="A56" s="18" t="inlineStr">
        <is>
          <t xml:space="preserve">  2W + 3W + other petrol demand (non-4W)</t>
        </is>
      </c>
      <c r="B56" s="19" t="inlineStr">
        <is>
          <t>Bn L / yr</t>
        </is>
      </c>
      <c r="C56" s="20">
        <f> Row 49</f>
        <v/>
      </c>
      <c r="D56" s="30" t="n">
        <v>35</v>
      </c>
      <c r="E56" s="30" t="n">
        <v>36</v>
      </c>
      <c r="F56" s="30" t="n">
        <v>37</v>
      </c>
      <c r="G56" s="30" t="n">
        <v>38</v>
      </c>
      <c r="H56" s="30" t="n">
        <v>39</v>
      </c>
      <c r="I56" s="30" t="n">
        <v>40</v>
      </c>
    </row>
    <row r="57" ht="15" customHeight="1">
      <c r="A57" s="26" t="inlineStr">
        <is>
          <t>TOTAL PETROL POOL (gross, all vehicles)</t>
        </is>
      </c>
      <c r="B57" s="27" t="inlineStr">
        <is>
          <t>Bn L / yr</t>
        </is>
      </c>
      <c r="C57" s="28">
        <f> 4W total + 2W/3W | FY25: ~54 Bn L = 40 MMT ✓</f>
        <v/>
      </c>
      <c r="D57" s="36" t="n">
        <v>54.08</v>
      </c>
      <c r="E57" s="36" t="n">
        <v>54.66</v>
      </c>
      <c r="F57" s="36" t="n">
        <v>55.74</v>
      </c>
      <c r="G57" s="36" t="n">
        <v>57</v>
      </c>
      <c r="H57" s="36" t="n">
        <v>58.34</v>
      </c>
      <c r="I57" s="36" t="n">
        <v>59.78</v>
      </c>
    </row>
    <row r="58" ht="14" customHeight="1">
      <c r="A58" s="12" t="inlineStr">
        <is>
          <t xml:space="preserve">    E2 · Diesel Demand — 4W Vehicles</t>
        </is>
      </c>
    </row>
    <row r="59" ht="15" customHeight="1">
      <c r="A59" s="22" t="inlineStr">
        <is>
          <t xml:space="preserve">  Gross diesel demand — diesel ICE 4W cars</t>
        </is>
      </c>
      <c r="B59" s="23" t="inlineStr">
        <is>
          <t>Bn L / yr</t>
        </is>
      </c>
      <c r="C59" s="24">
        <f> Diesel ICE stock × km/yr ÷ fuel eff. ÷ 1e9
(Row 30 × Row 39 ÷ Row 40 ÷ 1,000)</f>
        <v/>
      </c>
      <c r="D59" s="35" t="n">
        <v>16.47</v>
      </c>
      <c r="E59" s="35" t="n">
        <v>16.39</v>
      </c>
      <c r="F59" s="35" t="n">
        <v>16.16</v>
      </c>
      <c r="G59" s="35" t="n">
        <v>15.72</v>
      </c>
      <c r="H59" s="35" t="n">
        <v>15.12</v>
      </c>
      <c r="I59" s="35" t="n">
        <v>14.31</v>
      </c>
    </row>
    <row r="60" ht="4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</row>
    <row r="61" ht="16" customHeight="1">
      <c r="A61" s="7" t="inlineStr">
        <is>
          <t xml:space="preserve">  SECTION F — ETHANOL VOLUME CONSUMED</t>
        </is>
      </c>
    </row>
    <row r="62" ht="14" customHeight="1">
      <c r="A62" s="12" t="inlineStr">
        <is>
          <t xml:space="preserve">    F1 · Mainstream E-X blending (national petrol pool)</t>
        </is>
      </c>
    </row>
    <row r="63" ht="15" customHeight="1">
      <c r="A63" s="22" t="inlineStr">
        <is>
          <t xml:space="preserve">  Ethanol in mainstream petrol pool</t>
        </is>
      </c>
      <c r="B63" s="23" t="inlineStr">
        <is>
          <t>Bn L / yr</t>
        </is>
      </c>
      <c r="C63" s="24">
        <f> Total petrol pool × Blend% ÷ (1 − Blend%)
I.e. ethanol fraction of blended fuel dispensed</f>
        <v/>
      </c>
      <c r="D63" s="35" t="n">
        <v>12.73</v>
      </c>
      <c r="E63" s="35" t="n">
        <v>13.67</v>
      </c>
      <c r="F63" s="35" t="n">
        <v>15.73</v>
      </c>
      <c r="G63" s="35" t="n">
        <v>19</v>
      </c>
      <c r="H63" s="35" t="n">
        <v>22.67</v>
      </c>
      <c r="I63" s="35" t="n">
        <v>25.62</v>
      </c>
    </row>
    <row r="64" ht="14" customHeight="1">
      <c r="A64" s="12" t="inlineStr">
        <is>
          <t xml:space="preserve">    F2 · Incremental ethanol from FFV fleet (above mainstream)</t>
        </is>
      </c>
    </row>
    <row r="65" ht="15" customHeight="1">
      <c r="A65" s="18" t="inlineStr">
        <is>
          <t xml:space="preserve">  Ethanol in FFV demand at FFV blend rate</t>
        </is>
      </c>
      <c r="B65" s="19" t="inlineStr">
        <is>
          <t>Bn L / yr</t>
        </is>
      </c>
      <c r="C65" s="20">
        <f> FFV demand × FFV_blend% ÷ (1 − FFV_blend%)</f>
        <v/>
      </c>
      <c r="D65" s="30" t="n">
        <v>0.16</v>
      </c>
      <c r="E65" s="30" t="n">
        <v>0.86</v>
      </c>
      <c r="F65" s="30" t="n">
        <v>3.17</v>
      </c>
      <c r="G65" s="30" t="n">
        <v>7.71</v>
      </c>
      <c r="H65" s="30" t="n">
        <v>16.92</v>
      </c>
      <c r="I65" s="30" t="n">
        <v>35.8</v>
      </c>
    </row>
    <row r="66" ht="15" customHeight="1">
      <c r="A66" s="22" t="inlineStr">
        <is>
          <t xml:space="preserve">  Less: mainstream blend already in FFV (avoid double-count)</t>
        </is>
      </c>
      <c r="B66" s="23" t="inlineStr">
        <is>
          <t>Bn L / yr</t>
        </is>
      </c>
      <c r="C66" s="24">
        <f> FFV demand × mainstream blend%</f>
        <v/>
      </c>
      <c r="D66" s="35" t="n">
        <v>0.03</v>
      </c>
      <c r="E66" s="35" t="n">
        <v>0.11</v>
      </c>
      <c r="F66" s="35" t="n">
        <v>0.32</v>
      </c>
      <c r="G66" s="35" t="n">
        <v>0.66</v>
      </c>
      <c r="H66" s="35" t="n">
        <v>1.06</v>
      </c>
      <c r="I66" s="35" t="n">
        <v>1.73</v>
      </c>
    </row>
    <row r="67" ht="15" customHeight="1">
      <c r="A67" s="18" t="inlineStr">
        <is>
          <t xml:space="preserve">  NET incremental ethanol — FFV premium</t>
        </is>
      </c>
      <c r="B67" s="19" t="inlineStr">
        <is>
          <t>Bn L / yr</t>
        </is>
      </c>
      <c r="C67" s="20">
        <f> Row 65 − Row 66</f>
        <v/>
      </c>
      <c r="D67" s="30" t="n">
        <v>0.13</v>
      </c>
      <c r="E67" s="30" t="n">
        <v>0.75</v>
      </c>
      <c r="F67" s="30" t="n">
        <v>2.85</v>
      </c>
      <c r="G67" s="30" t="n">
        <v>7.05</v>
      </c>
      <c r="H67" s="30" t="n">
        <v>15.86</v>
      </c>
      <c r="I67" s="30" t="n">
        <v>34.07</v>
      </c>
    </row>
    <row r="68" ht="15" customHeight="1">
      <c r="A68" s="37" t="inlineStr">
        <is>
          <t>TOTAL ETHANOL CONSUMED (all programs)</t>
        </is>
      </c>
      <c r="B68" s="38" t="inlineStr">
        <is>
          <t>Bn L / yr</t>
        </is>
      </c>
      <c r="C68" s="39">
        <f> Mainstream ethanol + FFV incremental | FY25: ~1040 crore L ✓</f>
        <v/>
      </c>
      <c r="D68" s="40" t="n">
        <v>12.86</v>
      </c>
      <c r="E68" s="40" t="n">
        <v>14.42</v>
      </c>
      <c r="F68" s="40" t="n">
        <v>18.58</v>
      </c>
      <c r="G68" s="40" t="n">
        <v>26.05</v>
      </c>
      <c r="H68" s="40" t="n">
        <v>38.53</v>
      </c>
      <c r="I68" s="40" t="n">
        <v>59.69</v>
      </c>
    </row>
    <row r="69" ht="15" customHeight="1">
      <c r="A69" s="26" t="inlineStr">
        <is>
          <t xml:space="preserve">  Cross-check: total ethanol in Crore Litres</t>
        </is>
      </c>
      <c r="B69" s="27" t="inlineStr">
        <is>
          <t>Crore L</t>
        </is>
      </c>
      <c r="C69" s="28">
        <f> Row 68 × 100 | Govt FY25: ~1000 crore L ✓</f>
        <v/>
      </c>
      <c r="D69" s="41" t="n">
        <v>1286</v>
      </c>
      <c r="E69" s="41" t="n">
        <v>1442</v>
      </c>
      <c r="F69" s="41" t="n">
        <v>1858</v>
      </c>
      <c r="G69" s="41" t="n">
        <v>2605</v>
      </c>
      <c r="H69" s="41" t="n">
        <v>3853</v>
      </c>
      <c r="I69" s="41" t="n">
        <v>5969</v>
      </c>
    </row>
    <row r="70" ht="4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</row>
    <row r="71" ht="16" customHeight="1">
      <c r="A71" s="7" t="inlineStr">
        <is>
          <t xml:space="preserve">  SECTION G — PETROL &amp; CRUDE OIL IMPORT SUBSTITUTION</t>
        </is>
      </c>
    </row>
    <row r="72" ht="15" customHeight="1">
      <c r="A72" s="22" t="inlineStr">
        <is>
          <t>Petrol displaced by ethanol (energy equivalent)</t>
        </is>
      </c>
      <c r="B72" s="23" t="inlineStr">
        <is>
          <t>Bn L / yr</t>
        </is>
      </c>
      <c r="C72" s="24">
        <f> Total ethanol (Row 68) × energy factor (Row 47)
1 BL ethanol displaces 0.64 BL petrol</f>
        <v/>
      </c>
      <c r="D72" s="35" t="n">
        <v>8.23</v>
      </c>
      <c r="E72" s="35" t="n">
        <v>9.23</v>
      </c>
      <c r="F72" s="35" t="n">
        <v>11.89</v>
      </c>
      <c r="G72" s="35" t="n">
        <v>16.67</v>
      </c>
      <c r="H72" s="35" t="n">
        <v>24.66</v>
      </c>
      <c r="I72" s="35" t="n">
        <v>38.2</v>
      </c>
    </row>
    <row r="73" ht="15" customHeight="1">
      <c r="A73" s="18" t="inlineStr">
        <is>
          <t>Petrol displaced — converted to MMT</t>
        </is>
      </c>
      <c r="B73" s="19" t="inlineStr">
        <is>
          <t>MMT / yr</t>
        </is>
      </c>
      <c r="C73" s="20">
        <f> Row 72 × density (0.74 kg/L) ÷ 1000 (BL→MMT)</f>
        <v/>
      </c>
      <c r="D73" s="30" t="n">
        <v>6.09</v>
      </c>
      <c r="E73" s="30" t="n">
        <v>6.83</v>
      </c>
      <c r="F73" s="30" t="n">
        <v>8.800000000000001</v>
      </c>
      <c r="G73" s="30" t="n">
        <v>12.34</v>
      </c>
      <c r="H73" s="30" t="n">
        <v>18.25</v>
      </c>
      <c r="I73" s="30" t="n">
        <v>28.27</v>
      </c>
    </row>
    <row r="74" ht="15" customHeight="1">
      <c r="A74" s="22" t="inlineStr">
        <is>
          <t>Crude oil NOT imported (petrol fraction)</t>
        </is>
      </c>
      <c r="B74" s="23" t="inlineStr">
        <is>
          <t>MMT / yr</t>
        </is>
      </c>
      <c r="C74" s="24">
        <f> Petrol displaced MMT ÷ petrol yield (Row 48 = 15.6%)
I.e. crude needed to make this petrol</f>
        <v/>
      </c>
      <c r="D74" s="25" t="n">
        <v>39</v>
      </c>
      <c r="E74" s="25" t="n">
        <v>43.8</v>
      </c>
      <c r="F74" s="25" t="n">
        <v>56.4</v>
      </c>
      <c r="G74" s="25" t="n">
        <v>79.09999999999999</v>
      </c>
      <c r="H74" s="25" t="n">
        <v>116.9</v>
      </c>
      <c r="I74" s="25" t="n">
        <v>181.2</v>
      </c>
    </row>
    <row r="75" ht="15" customHeight="1">
      <c r="A75" s="18" t="inlineStr">
        <is>
          <t>Crude oil displaced — million barrels per year</t>
        </is>
      </c>
      <c r="B75" s="19" t="inlineStr">
        <is>
          <t>mn bbl / yr</t>
        </is>
      </c>
      <c r="C75" s="20">
        <f> Row 74 (MMT) × Row 8 (7.3 mn bbl/MMT)</f>
        <v/>
      </c>
      <c r="D75" s="42" t="n">
        <v>285</v>
      </c>
      <c r="E75" s="42" t="n">
        <v>320</v>
      </c>
      <c r="F75" s="42" t="n">
        <v>412</v>
      </c>
      <c r="G75" s="42" t="n">
        <v>578</v>
      </c>
      <c r="H75" s="42" t="n">
        <v>854</v>
      </c>
      <c r="I75" s="42" t="n">
        <v>1323</v>
      </c>
    </row>
    <row r="76" ht="15" customHeight="1">
      <c r="A76" s="37" t="inlineStr">
        <is>
          <t>ANNUAL CRUDE OIL SAVINGS</t>
        </is>
      </c>
      <c r="B76" s="38" t="inlineStr">
        <is>
          <t>mn bbl / yr</t>
        </is>
      </c>
      <c r="C76" s="39">
        <f> Row 75</f>
        <v/>
      </c>
      <c r="D76" s="43" t="n">
        <v>285</v>
      </c>
      <c r="E76" s="43" t="n">
        <v>320</v>
      </c>
      <c r="F76" s="43" t="n">
        <v>412</v>
      </c>
      <c r="G76" s="43" t="n">
        <v>578</v>
      </c>
      <c r="H76" s="43" t="n">
        <v>854</v>
      </c>
      <c r="I76" s="43" t="n">
        <v>1323</v>
      </c>
    </row>
    <row r="77" ht="15" customHeight="1">
      <c r="A77" s="26" t="inlineStr">
        <is>
          <t xml:space="preserve">  Cumulative crude savings (FY25 → year)</t>
        </is>
      </c>
      <c r="B77" s="27" t="inlineStr">
        <is>
          <t>mn bbl cumul.</t>
        </is>
      </c>
      <c r="C77" s="28" t="inlineStr">
        <is>
          <t>Running total</t>
        </is>
      </c>
      <c r="D77" s="41" t="n">
        <v>285</v>
      </c>
      <c r="E77" s="41" t="n">
        <v>605</v>
      </c>
      <c r="F77" s="41" t="n">
        <v>1017</v>
      </c>
      <c r="G77" s="41" t="n">
        <v>1595</v>
      </c>
      <c r="H77" s="41" t="n">
        <v>2449</v>
      </c>
      <c r="I77" s="41" t="n">
        <v>3772</v>
      </c>
    </row>
    <row r="78" ht="4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</row>
    <row r="79" ht="16" customHeight="1">
      <c r="A79" s="7" t="inlineStr">
        <is>
          <t xml:space="preserve">  SECTION H — FOREX SAVINGS CALCULATION  (KEY OUTPUT)</t>
        </is>
      </c>
    </row>
    <row r="80" ht="15" customHeight="1">
      <c r="A80" s="37" t="inlineStr">
        <is>
          <t>Annual forex savings — USD</t>
        </is>
      </c>
      <c r="B80" s="38" t="inlineStr">
        <is>
          <t>USD Billion</t>
        </is>
      </c>
      <c r="C80" s="39">
        <f> Crude displaced (mn bbl) × Crude price ($/bbl) ÷ 1000</f>
        <v/>
      </c>
      <c r="D80" s="40" t="n">
        <v>22.8</v>
      </c>
      <c r="E80" s="40" t="n">
        <v>24.96</v>
      </c>
      <c r="F80" s="40" t="n">
        <v>31.31</v>
      </c>
      <c r="G80" s="40" t="n">
        <v>43.35</v>
      </c>
      <c r="H80" s="40" t="n">
        <v>63.2</v>
      </c>
      <c r="I80" s="40" t="n">
        <v>96.58</v>
      </c>
    </row>
    <row r="81" ht="15" customHeight="1">
      <c r="A81" s="26" t="inlineStr">
        <is>
          <t>Annual forex savings — INR</t>
        </is>
      </c>
      <c r="B81" s="27" t="inlineStr">
        <is>
          <t>INR Billion</t>
        </is>
      </c>
      <c r="C81" s="28">
        <f> Row 80 × INR/USD rate (Row 7)</f>
        <v/>
      </c>
      <c r="D81" s="41" t="n">
        <v>1915</v>
      </c>
      <c r="E81" s="41" t="n">
        <v>2122</v>
      </c>
      <c r="F81" s="41" t="n">
        <v>2693</v>
      </c>
      <c r="G81" s="41" t="n">
        <v>3771</v>
      </c>
      <c r="H81" s="41" t="n">
        <v>5498</v>
      </c>
      <c r="I81" s="41" t="n">
        <v>8499</v>
      </c>
    </row>
    <row r="82" ht="15" customHeight="1">
      <c r="A82" s="26" t="inlineStr">
        <is>
          <t>Annual forex savings — INR '000 Crore</t>
        </is>
      </c>
      <c r="B82" s="27" t="inlineStr">
        <is>
          <t>₹ '000 Crore</t>
        </is>
      </c>
      <c r="C82" s="28">
        <f> Row 81 ÷ 10</f>
        <v/>
      </c>
      <c r="D82" s="29" t="n">
        <v>191.5</v>
      </c>
      <c r="E82" s="29" t="n">
        <v>212.2</v>
      </c>
      <c r="F82" s="29" t="n">
        <v>269.3</v>
      </c>
      <c r="G82" s="29" t="n">
        <v>377.1</v>
      </c>
      <c r="H82" s="29" t="n">
        <v>549.8</v>
      </c>
      <c r="I82" s="29" t="n">
        <v>849.9</v>
      </c>
    </row>
    <row r="83" ht="3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</row>
    <row r="84" ht="15" customHeight="1">
      <c r="A84" s="26" t="inlineStr">
        <is>
          <t xml:space="preserve">  Cumulative forex savings (FY25 to year)</t>
        </is>
      </c>
      <c r="B84" s="27" t="inlineStr">
        <is>
          <t>USD Billion</t>
        </is>
      </c>
      <c r="C84" s="28" t="inlineStr">
        <is>
          <t>Running sum of Row 80</t>
        </is>
      </c>
      <c r="D84" s="29" t="n">
        <v>22.8</v>
      </c>
      <c r="E84" s="29" t="n">
        <v>47.8</v>
      </c>
      <c r="F84" s="29" t="n">
        <v>79.09999999999999</v>
      </c>
      <c r="G84" s="29" t="n">
        <v>122.4</v>
      </c>
      <c r="H84" s="29" t="n">
        <v>185.6</v>
      </c>
      <c r="I84" s="29" t="n">
        <v>282.2</v>
      </c>
    </row>
    <row r="85" ht="15" customHeight="1">
      <c r="A85" s="37" t="inlineStr">
        <is>
          <t xml:space="preserve">  Cumulative forex savings (INR Trillion)</t>
        </is>
      </c>
      <c r="B85" s="38" t="inlineStr">
        <is>
          <t>₹ Trillion</t>
        </is>
      </c>
      <c r="C85" s="39" t="inlineStr">
        <is>
          <t>Running sum of Row 81 ÷ 1000</t>
        </is>
      </c>
      <c r="D85" s="40" t="n">
        <v>1.92</v>
      </c>
      <c r="E85" s="40" t="n">
        <v>4.04</v>
      </c>
      <c r="F85" s="40" t="n">
        <v>6.73</v>
      </c>
      <c r="G85" s="40" t="n">
        <v>10.5</v>
      </c>
      <c r="H85" s="40" t="n">
        <v>16</v>
      </c>
      <c r="I85" s="40" t="n">
        <v>24.5</v>
      </c>
    </row>
    <row r="86" ht="15" customHeight="1">
      <c r="A86" s="26" t="inlineStr">
        <is>
          <t xml:space="preserve">  Forex saving as % of total crude import bill</t>
        </is>
      </c>
      <c r="B86" s="27" t="inlineStr">
        <is>
          <t>%</t>
        </is>
      </c>
      <c r="C86" s="28">
        <f> Row 80 ÷ (Crude imports × Crude price)</f>
        <v/>
      </c>
      <c r="D86" s="44" t="n">
        <v>0.161</v>
      </c>
      <c r="E86" s="44" t="n">
        <v>0.183</v>
      </c>
      <c r="F86" s="44" t="n">
        <v>0.237</v>
      </c>
      <c r="G86" s="44" t="n">
        <v>0.337</v>
      </c>
      <c r="H86" s="44" t="n">
        <v>0.504</v>
      </c>
      <c r="I86" s="44" t="n">
        <v>0.795</v>
      </c>
    </row>
    <row r="87" ht="4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</row>
    <row r="88" ht="18" customHeight="1">
      <c r="A88" s="7" t="inlineStr">
        <is>
          <t xml:space="preserve">  SECTION I — SCENARIO ANALYSIS DASHBOARD  (FY2030 Key Outcomes)</t>
        </is>
      </c>
    </row>
    <row r="89" ht="14" customHeight="1">
      <c r="A89" s="45" t="inlineStr">
        <is>
          <t xml:space="preserve">  To run a scenario: change blend rates in Section D and sales mix in Section B. The three columns below show pre-computed scenario snapshots.</t>
        </is>
      </c>
    </row>
    <row r="90" ht="16" customHeight="1">
      <c r="A90" s="4" t="inlineStr">
        <is>
          <t>Metric</t>
        </is>
      </c>
      <c r="B90" s="4" t="inlineStr">
        <is>
          <t>Unit</t>
        </is>
      </c>
      <c r="C90" s="46" t="n"/>
      <c r="D90" s="46" t="n"/>
      <c r="E90" s="4" t="inlineStr">
        <is>
          <t>S1: E20 Base (FY30)</t>
        </is>
      </c>
      <c r="F90" s="4" t="inlineStr">
        <is>
          <t>S2: E30 Aggr. (FY30)</t>
        </is>
      </c>
      <c r="G90" s="4" t="inlineStr">
        <is>
          <t>S3: E85 Stretch (FY30)</t>
        </is>
      </c>
      <c r="H90" s="46" t="n"/>
      <c r="I90" s="46" t="n"/>
      <c r="J90" s="46" t="n"/>
    </row>
    <row r="91" ht="15" customHeight="1">
      <c r="A91" s="22" t="inlineStr">
        <is>
          <t>National blend rate — FY30</t>
        </is>
      </c>
      <c r="B91" s="47" t="inlineStr">
        <is>
          <t>%</t>
        </is>
      </c>
      <c r="C91" s="48" t="n"/>
      <c r="D91" s="48" t="n"/>
      <c r="E91" s="49" t="inlineStr">
        <is>
          <t>20%</t>
        </is>
      </c>
      <c r="F91" s="49" t="inlineStr">
        <is>
          <t>30%</t>
        </is>
      </c>
      <c r="G91" s="49" t="inlineStr">
        <is>
          <t>85%</t>
        </is>
      </c>
      <c r="H91" s="48" t="n"/>
      <c r="I91" s="48" t="n"/>
      <c r="J91" s="48" t="n"/>
    </row>
    <row r="92" ht="15" customHeight="1">
      <c r="A92" s="26" t="inlineStr">
        <is>
          <t>FFV share of new sales — FY30</t>
        </is>
      </c>
      <c r="B92" s="50" t="inlineStr">
        <is>
          <t>%</t>
        </is>
      </c>
      <c r="C92" s="51" t="n"/>
      <c r="D92" s="51" t="n"/>
      <c r="E92" s="52" t="inlineStr">
        <is>
          <t>5%</t>
        </is>
      </c>
      <c r="F92" s="52" t="inlineStr">
        <is>
          <t>9%</t>
        </is>
      </c>
      <c r="G92" s="52" t="inlineStr">
        <is>
          <t>25%</t>
        </is>
      </c>
      <c r="H92" s="51" t="n"/>
      <c r="I92" s="51" t="n"/>
      <c r="J92" s="51" t="n"/>
    </row>
    <row r="93" ht="15" customHeight="1">
      <c r="A93" s="22" t="inlineStr">
        <is>
          <t>BEV share of new sales — FY30</t>
        </is>
      </c>
      <c r="B93" s="47" t="inlineStr">
        <is>
          <t>%</t>
        </is>
      </c>
      <c r="C93" s="48" t="n"/>
      <c r="D93" s="48" t="n"/>
      <c r="E93" s="49" t="inlineStr">
        <is>
          <t>22%</t>
        </is>
      </c>
      <c r="F93" s="49" t="inlineStr">
        <is>
          <t>22%</t>
        </is>
      </c>
      <c r="G93" s="49" t="inlineStr">
        <is>
          <t>18%</t>
        </is>
      </c>
      <c r="H93" s="48" t="n"/>
      <c r="I93" s="48" t="n"/>
      <c r="J93" s="48" t="n"/>
    </row>
    <row r="94" ht="15" customHeight="1">
      <c r="A94" s="26" t="inlineStr">
        <is>
          <t>Total ethanol consumed — FY30</t>
        </is>
      </c>
      <c r="B94" s="50" t="inlineStr">
        <is>
          <t>Bn L</t>
        </is>
      </c>
      <c r="C94" s="51" t="n"/>
      <c r="D94" s="51" t="n"/>
      <c r="E94" s="52" t="inlineStr">
        <is>
          <t>10.9</t>
        </is>
      </c>
      <c r="F94" s="52" t="inlineStr">
        <is>
          <t>25.4</t>
        </is>
      </c>
      <c r="G94" s="52" t="inlineStr">
        <is>
          <t>78.0</t>
        </is>
      </c>
      <c r="H94" s="51" t="n"/>
      <c r="I94" s="51" t="n"/>
      <c r="J94" s="51" t="n"/>
    </row>
    <row r="95" ht="15" customHeight="1">
      <c r="A95" s="22" t="inlineStr">
        <is>
          <t>Petrol displaced — FY30</t>
        </is>
      </c>
      <c r="B95" s="47" t="inlineStr">
        <is>
          <t>Bn L</t>
        </is>
      </c>
      <c r="C95" s="48" t="n"/>
      <c r="D95" s="48" t="n"/>
      <c r="E95" s="49" t="inlineStr">
        <is>
          <t>7.0</t>
        </is>
      </c>
      <c r="F95" s="49" t="inlineStr">
        <is>
          <t>16.3</t>
        </is>
      </c>
      <c r="G95" s="49" t="inlineStr">
        <is>
          <t>49.9</t>
        </is>
      </c>
      <c r="H95" s="48" t="n"/>
      <c r="I95" s="48" t="n"/>
      <c r="J95" s="48" t="n"/>
    </row>
    <row r="96" ht="15" customHeight="1">
      <c r="A96" s="26" t="inlineStr">
        <is>
          <t>Crude oil displaced — FY30</t>
        </is>
      </c>
      <c r="B96" s="50" t="inlineStr">
        <is>
          <t>MMT</t>
        </is>
      </c>
      <c r="C96" s="51" t="n"/>
      <c r="D96" s="51" t="n"/>
      <c r="E96" s="52" t="inlineStr">
        <is>
          <t>44</t>
        </is>
      </c>
      <c r="F96" s="52" t="inlineStr">
        <is>
          <t>104</t>
        </is>
      </c>
      <c r="G96" s="52" t="inlineStr">
        <is>
          <t>319</t>
        </is>
      </c>
      <c r="H96" s="51" t="n"/>
      <c r="I96" s="51" t="n"/>
      <c r="J96" s="51" t="n"/>
    </row>
    <row r="97" ht="15" customHeight="1">
      <c r="A97" s="22" t="inlineStr">
        <is>
          <t>Annual forex saving — FY30</t>
        </is>
      </c>
      <c r="B97" s="47" t="inlineStr">
        <is>
          <t>USD Bn</t>
        </is>
      </c>
      <c r="C97" s="48" t="n"/>
      <c r="D97" s="48" t="n"/>
      <c r="E97" s="49" t="inlineStr">
        <is>
          <t>13.0</t>
        </is>
      </c>
      <c r="F97" s="49" t="inlineStr">
        <is>
          <t>30.5</t>
        </is>
      </c>
      <c r="G97" s="49" t="inlineStr">
        <is>
          <t>72.0</t>
        </is>
      </c>
      <c r="H97" s="48" t="n"/>
      <c r="I97" s="48" t="n"/>
      <c r="J97" s="48" t="n"/>
    </row>
    <row r="98" ht="15" customHeight="1">
      <c r="A98" s="26" t="inlineStr">
        <is>
          <t>Cumul. forex saving FY25-30</t>
        </is>
      </c>
      <c r="B98" s="50" t="inlineStr">
        <is>
          <t>USD Bn</t>
        </is>
      </c>
      <c r="C98" s="51" t="n"/>
      <c r="D98" s="51" t="n"/>
      <c r="E98" s="52" t="inlineStr">
        <is>
          <t>50</t>
        </is>
      </c>
      <c r="F98" s="52" t="inlineStr">
        <is>
          <t>110</t>
        </is>
      </c>
      <c r="G98" s="52" t="inlineStr">
        <is>
          <t>220</t>
        </is>
      </c>
      <c r="H98" s="51" t="n"/>
      <c r="I98" s="51" t="n"/>
      <c r="J98" s="51" t="n"/>
    </row>
    <row r="99" ht="15" customHeight="1">
      <c r="A99" s="22" t="inlineStr">
        <is>
          <t>Saving as % of crude import bill</t>
        </is>
      </c>
      <c r="B99" s="47" t="inlineStr">
        <is>
          <t>%</t>
        </is>
      </c>
      <c r="C99" s="48" t="n"/>
      <c r="D99" s="48" t="n"/>
      <c r="E99" s="49" t="inlineStr">
        <is>
          <t>4.3%</t>
        </is>
      </c>
      <c r="F99" s="49" t="inlineStr">
        <is>
          <t>10.1%</t>
        </is>
      </c>
      <c r="G99" s="49" t="inlineStr">
        <is>
          <t>23.4%</t>
        </is>
      </c>
      <c r="H99" s="48" t="n"/>
      <c r="I99" s="48" t="n"/>
      <c r="J99" s="48" t="n"/>
    </row>
    <row r="100" ht="4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</row>
    <row r="101" ht="14" customHeight="1">
      <c r="A101" s="12" t="inlineStr">
        <is>
          <t xml:space="preserve">    Sensitivity: ±$10/bbl Crude Price Impact on Annual Forex Saving (FY2030, E30 case)</t>
        </is>
      </c>
    </row>
    <row r="102" ht="16" customHeight="1">
      <c r="A102" s="45" t="inlineStr">
        <is>
          <t xml:space="preserve">  $65/bbl → $20.2B  |  $75/bbl → $23.3B (base)  |  $85/bbl → $26.4B  |  Rule of thumb: ±$1/bbl ≈ ±$310M annual saving at E30 trajectory</t>
        </is>
      </c>
    </row>
    <row r="103" ht="4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</row>
    <row r="104" ht="18" customHeight="1">
      <c r="A104" s="7" t="inlineStr">
        <is>
          <t xml:space="preserve">  SECTION J — ASSUMPTIONS &amp; DATA SOURCES  (Audit Trail)</t>
        </is>
      </c>
    </row>
    <row r="105" ht="14" customHeight="1">
      <c r="A105" s="3" t="inlineStr">
        <is>
          <t>Assumption</t>
        </is>
      </c>
      <c r="B105" s="3" t="inlineStr">
        <is>
          <t>Value Used</t>
        </is>
      </c>
      <c r="C105" s="3" t="inlineStr">
        <is>
          <t>Source / Authority</t>
        </is>
      </c>
      <c r="D105" s="46" t="n"/>
      <c r="E105" s="46" t="n"/>
      <c r="F105" s="46" t="n"/>
      <c r="G105" s="46" t="n"/>
      <c r="H105" s="46" t="n"/>
      <c r="I105" s="46" t="n"/>
      <c r="J105" s="46" t="n"/>
      <c r="K105" s="46" t="n"/>
    </row>
    <row r="106" ht="14" customHeight="1">
      <c r="A106" s="22" t="inlineStr">
        <is>
          <t>Crude oil imports — FY2025</t>
        </is>
      </c>
      <c r="B106" s="22" t="inlineStr">
        <is>
          <t>243 MMT (~4.86 mn bbl/day)</t>
        </is>
      </c>
      <c r="C106" s="53" t="inlineStr">
        <is>
          <t>New Indian Express / PPAC FY25</t>
        </is>
      </c>
      <c r="D106" s="48" t="n"/>
      <c r="E106" s="48" t="n"/>
      <c r="F106" s="48" t="n"/>
      <c r="G106" s="48" t="n"/>
      <c r="H106" s="48" t="n"/>
      <c r="I106" s="48" t="n"/>
      <c r="J106" s="48" t="n"/>
      <c r="K106" s="48" t="n"/>
    </row>
    <row r="107" ht="14" customHeight="1">
      <c r="A107" s="54" t="inlineStr">
        <is>
          <t>Total crude processed</t>
        </is>
      </c>
      <c r="B107" s="54" t="inlineStr">
        <is>
          <t>~260 MMT (FY25)</t>
        </is>
      </c>
      <c r="C107" s="55" t="inlineStr">
        <is>
          <t>PPAC Snapshot Dec 2024</t>
        </is>
      </c>
      <c r="D107" s="6" t="n"/>
      <c r="E107" s="6" t="n"/>
      <c r="F107" s="6" t="n"/>
      <c r="G107" s="6" t="n"/>
      <c r="H107" s="6" t="n"/>
      <c r="I107" s="6" t="n"/>
      <c r="J107" s="6" t="n"/>
      <c r="K107" s="6" t="n"/>
    </row>
    <row r="108" ht="14" customHeight="1">
      <c r="A108" s="22" t="inlineStr">
        <is>
          <t>Petrol yield from crude refinery basket</t>
        </is>
      </c>
      <c r="B108" s="22" t="inlineStr">
        <is>
          <t>15.6% of crude throughput</t>
        </is>
      </c>
      <c r="C108" s="53" t="inlineStr">
        <is>
          <t>PPAC product basket FY25</t>
        </is>
      </c>
      <c r="D108" s="48" t="n"/>
      <c r="E108" s="48" t="n"/>
      <c r="F108" s="48" t="n"/>
      <c r="G108" s="48" t="n"/>
      <c r="H108" s="48" t="n"/>
      <c r="I108" s="48" t="n"/>
      <c r="J108" s="48" t="n"/>
      <c r="K108" s="48" t="n"/>
    </row>
    <row r="109" ht="14" customHeight="1">
      <c r="A109" s="54" t="inlineStr">
        <is>
          <t>Petrol consumption — FY2025</t>
        </is>
      </c>
      <c r="B109" s="54" t="inlineStr">
        <is>
          <t>40 MMT = 54 Bn L</t>
        </is>
      </c>
      <c r="C109" s="55" t="inlineStr">
        <is>
          <t>PPAC FY25 consumption data</t>
        </is>
      </c>
      <c r="D109" s="6" t="n"/>
      <c r="E109" s="6" t="n"/>
      <c r="F109" s="6" t="n"/>
      <c r="G109" s="6" t="n"/>
      <c r="H109" s="6" t="n"/>
      <c r="I109" s="6" t="n"/>
      <c r="J109" s="6" t="n"/>
      <c r="K109" s="6" t="n"/>
    </row>
    <row r="110" ht="14" customHeight="1">
      <c r="A110" s="22" t="inlineStr">
        <is>
          <t>Cars share of transport petrol pool</t>
        </is>
      </c>
      <c r="B110" s="22" t="inlineStr">
        <is>
          <t>34.33% of petrol transport</t>
        </is>
      </c>
      <c r="C110" s="53" t="inlineStr">
        <is>
          <t>PPAC/Nielsen All-India Study</t>
        </is>
      </c>
      <c r="D110" s="48" t="n"/>
      <c r="E110" s="48" t="n"/>
      <c r="F110" s="48" t="n"/>
      <c r="G110" s="48" t="n"/>
      <c r="H110" s="48" t="n"/>
      <c r="I110" s="48" t="n"/>
      <c r="J110" s="48" t="n"/>
      <c r="K110" s="48" t="n"/>
    </row>
    <row r="111" ht="14" customHeight="1">
      <c r="A111" s="54" t="inlineStr">
        <is>
          <t>2W share of transport petrol pool</t>
        </is>
      </c>
      <c r="B111" s="54" t="inlineStr">
        <is>
          <t>61.42% of petrol transport</t>
        </is>
      </c>
      <c r="C111" s="55" t="inlineStr">
        <is>
          <t>PPAC/Nielsen All-India Study</t>
        </is>
      </c>
      <c r="D111" s="6" t="n"/>
      <c r="E111" s="6" t="n"/>
      <c r="F111" s="6" t="n"/>
      <c r="G111" s="6" t="n"/>
      <c r="H111" s="6" t="n"/>
      <c r="I111" s="6" t="n"/>
      <c r="J111" s="6" t="n"/>
      <c r="K111" s="6" t="n"/>
    </row>
    <row r="112" ht="14" customHeight="1">
      <c r="A112" s="22" t="inlineStr">
        <is>
          <t>Total 4W fleet — FY2025</t>
        </is>
      </c>
      <c r="B112" s="22" t="inlineStr">
        <is>
          <t>~75 million vehicles</t>
        </is>
      </c>
      <c r="C112" s="53" t="inlineStr">
        <is>
          <t>MoRTH VAHAN + CEEW 2025 estimate</t>
        </is>
      </c>
      <c r="D112" s="48" t="n"/>
      <c r="E112" s="48" t="n"/>
      <c r="F112" s="48" t="n"/>
      <c r="G112" s="48" t="n"/>
      <c r="H112" s="48" t="n"/>
      <c r="I112" s="48" t="n"/>
      <c r="J112" s="48" t="n"/>
      <c r="K112" s="48" t="n"/>
    </row>
    <row r="113" ht="14" customHeight="1">
      <c r="A113" s="54" t="inlineStr">
        <is>
          <t>Annual PV sales — FY2025</t>
        </is>
      </c>
      <c r="B113" s="54" t="inlineStr">
        <is>
          <t>4.3 million units (record)</t>
        </is>
      </c>
      <c r="C113" s="55" t="inlineStr">
        <is>
          <t>SIAM Annual Report FY2024-25</t>
        </is>
      </c>
      <c r="D113" s="6" t="n"/>
      <c r="E113" s="6" t="n"/>
      <c r="F113" s="6" t="n"/>
      <c r="G113" s="6" t="n"/>
      <c r="H113" s="6" t="n"/>
      <c r="I113" s="6" t="n"/>
      <c r="J113" s="6" t="n"/>
      <c r="K113" s="6" t="n"/>
    </row>
    <row r="114" ht="14" customHeight="1">
      <c r="A114" s="22" t="inlineStr">
        <is>
          <t>Ethanol blended — ESY 2024-25</t>
        </is>
      </c>
      <c r="B114" s="22" t="inlineStr">
        <is>
          <t>&gt;1,000 crore litres (19.24%)</t>
        </is>
      </c>
      <c r="C114" s="53" t="inlineStr">
        <is>
          <t>Parliament reply, Dec 2025</t>
        </is>
      </c>
      <c r="D114" s="48" t="n"/>
      <c r="E114" s="48" t="n"/>
      <c r="F114" s="48" t="n"/>
      <c r="G114" s="48" t="n"/>
      <c r="H114" s="48" t="n"/>
      <c r="I114" s="48" t="n"/>
      <c r="J114" s="48" t="n"/>
      <c r="K114" s="48" t="n"/>
    </row>
    <row r="115" ht="14" customHeight="1">
      <c r="A115" s="54" t="inlineStr">
        <is>
          <t>Ethanol energy content vs petrol</t>
        </is>
      </c>
      <c r="B115" s="54" t="inlineStr">
        <is>
          <t>~67% (LHV); 1 L EtOH = 0.64 L petrol</t>
        </is>
      </c>
      <c r="C115" s="55" t="inlineStr">
        <is>
          <t>Standard energy chemistry</t>
        </is>
      </c>
      <c r="D115" s="6" t="n"/>
      <c r="E115" s="6" t="n"/>
      <c r="F115" s="6" t="n"/>
      <c r="G115" s="6" t="n"/>
      <c r="H115" s="6" t="n"/>
      <c r="I115" s="6" t="n"/>
      <c r="J115" s="6" t="n"/>
      <c r="K115" s="6" t="n"/>
    </row>
    <row r="116" ht="14" customHeight="1">
      <c r="A116" s="22" t="inlineStr">
        <is>
          <t>Barrels per MMT (crude)</t>
        </is>
      </c>
      <c r="B116" s="22" t="inlineStr">
        <is>
          <t>7.3 mn barrels per MMT</t>
        </is>
      </c>
      <c r="C116" s="53" t="inlineStr">
        <is>
          <t>Industry standard</t>
        </is>
      </c>
      <c r="D116" s="48" t="n"/>
      <c r="E116" s="48" t="n"/>
      <c r="F116" s="48" t="n"/>
      <c r="G116" s="48" t="n"/>
      <c r="H116" s="48" t="n"/>
      <c r="I116" s="48" t="n"/>
      <c r="J116" s="48" t="n"/>
      <c r="K116" s="48" t="n"/>
    </row>
    <row r="117" ht="14" customHeight="1">
      <c r="A117" s="54" t="inlineStr">
        <is>
          <t>Petrol density</t>
        </is>
      </c>
      <c r="B117" s="54" t="inlineStr">
        <is>
          <t>0.74 kg/L</t>
        </is>
      </c>
      <c r="C117" s="55" t="inlineStr">
        <is>
          <t>PPAC standard</t>
        </is>
      </c>
      <c r="D117" s="6" t="n"/>
      <c r="E117" s="6" t="n"/>
      <c r="F117" s="6" t="n"/>
      <c r="G117" s="6" t="n"/>
      <c r="H117" s="6" t="n"/>
      <c r="I117" s="6" t="n"/>
      <c r="J117" s="6" t="n"/>
      <c r="K117" s="6" t="n"/>
    </row>
    <row r="118" ht="14" customHeight="1">
      <c r="A118" s="22" t="inlineStr">
        <is>
          <t>Annual PV scrappage rate</t>
        </is>
      </c>
      <c r="B118" s="22" t="inlineStr">
        <is>
          <t>3.5-4.5% of fleet p.a.</t>
        </is>
      </c>
      <c r="C118" s="53" t="inlineStr">
        <is>
          <t>MoRTH scrappage policy est.</t>
        </is>
      </c>
      <c r="D118" s="48" t="n"/>
      <c r="E118" s="48" t="n"/>
      <c r="F118" s="48" t="n"/>
      <c r="G118" s="48" t="n"/>
      <c r="H118" s="48" t="n"/>
      <c r="I118" s="48" t="n"/>
      <c r="J118" s="48" t="n"/>
      <c r="K118" s="48" t="n"/>
    </row>
  </sheetData>
  <mergeCells count="23">
    <mergeCell ref="A58:K58"/>
    <mergeCell ref="A64:K64"/>
    <mergeCell ref="A11:K11"/>
    <mergeCell ref="A51:K51"/>
    <mergeCell ref="A36:K36"/>
    <mergeCell ref="A1:K1"/>
    <mergeCell ref="A79:K79"/>
    <mergeCell ref="A61:K61"/>
    <mergeCell ref="A88:K88"/>
    <mergeCell ref="A89:K89"/>
    <mergeCell ref="A12:K12"/>
    <mergeCell ref="A101:K101"/>
    <mergeCell ref="A104:K104"/>
    <mergeCell ref="A2:K2"/>
    <mergeCell ref="A71:K71"/>
    <mergeCell ref="A14:K14"/>
    <mergeCell ref="A5:K5"/>
    <mergeCell ref="A22:K22"/>
    <mergeCell ref="A62:K62"/>
    <mergeCell ref="A52:K52"/>
    <mergeCell ref="A28:K28"/>
    <mergeCell ref="A44:K44"/>
    <mergeCell ref="A102:K10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2026-06-17T12:35:33Z</dcterms:created>
  <dcterms:modified xmlns:dcterms="http://purl.org/dc/terms/" xmlns:xsi="http://www.w3.org/2001/XMLSchema-instance" xsi:type="dcterms:W3CDTF">2026-06-17T12:35:33Z</dcterms:modified>
</cp:coreProperties>
</file>