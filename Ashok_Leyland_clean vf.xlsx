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 ME" sheetId="1" state="visible" r:id="rId3"/>
    <sheet name="Issues" sheetId="2" state="visible" r:id="rId4"/>
    <sheet name="Industry launches and cap" sheetId="3" state="hidden" r:id="rId5"/>
    <sheet name="Est vs Act" sheetId="4" state="visible" r:id="rId6"/>
    <sheet name="Main Model" sheetId="5" state="visible" r:id="rId7"/>
    <sheet name="New Qrtrly - Ind AS" sheetId="6" state="visible" r:id="rId8"/>
    <sheet name="New Qrtrly" sheetId="7" state="visible" r:id="rId9"/>
    <sheet name="mcTempChartDataSheet" sheetId="8" state="hidden" r:id="rId10"/>
    <sheet name="DCF" sheetId="9" state="hidden" r:id="rId11"/>
    <sheet name="Comments" sheetId="10" state="hidden" r:id="rId12"/>
  </sheets>
  <definedNames>
    <definedName function="false" hidden="false" localSheetId="6" name="_xlnm.Print_Area" vbProcedure="false">'New Qrtrly'!$A$1:$O$75</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A86" authorId="0">
      <text>
        <r>
          <rPr>
            <sz val="10"/>
            <rFont val="Arial"/>
            <family val="2"/>
          </rPr>
          <t xml:space="preserve">Jamshed Dadabhoy:
reporting from SIAM v bad - the cumulative data is inconsistent with the monthly data - my data for FY05 matches Q for Q for all 3Qs, but cumulative does not tally - going with data based on SIAM monthlies</t>
        </r>
      </text>
    </comment>
    <comment ref="B27" authorId="0">
      <text>
        <r>
          <rPr>
            <sz val="10"/>
            <rFont val="Arial"/>
            <family val="2"/>
          </rPr>
          <t xml:space="preserve">hg51295:
26.19 million of forex loss</t>
        </r>
      </text>
    </comment>
    <comment ref="B40" authorId="0">
      <text>
        <r>
          <rPr>
            <sz val="10"/>
            <rFont val="Arial"/>
            <family val="2"/>
          </rPr>
          <t xml:space="preserve">hg51295:
adjusted for the tax impact on the foreign exchange gain</t>
        </r>
      </text>
    </comment>
    <comment ref="D25" authorId="0">
      <text>
        <r>
          <rPr>
            <sz val="10"/>
            <rFont val="Arial"/>
            <family val="2"/>
          </rPr>
          <t xml:space="preserve">jd57062:
overall, 22cr above expectations</t>
        </r>
      </text>
    </comment>
    <comment ref="D26" authorId="0">
      <text>
        <r>
          <rPr>
            <sz val="10"/>
            <rFont val="Arial"/>
            <family val="2"/>
          </rPr>
          <t xml:space="preserve">jd57062:
7cr below forecasts</t>
        </r>
      </text>
    </comment>
    <comment ref="D27" authorId="0">
      <text>
        <r>
          <rPr>
            <sz val="10"/>
            <rFont val="Arial"/>
            <family val="2"/>
          </rPr>
          <t xml:space="preserve">jd57062:
in line - we had 155cr</t>
        </r>
      </text>
    </comment>
    <comment ref="D31" authorId="0">
      <text>
        <r>
          <rPr>
            <sz val="10"/>
            <rFont val="Arial"/>
            <family val="2"/>
          </rPr>
          <t xml:space="preserve">jd57062:
26% above expectations</t>
        </r>
      </text>
    </comment>
    <comment ref="D42" authorId="0">
      <text>
        <r>
          <rPr>
            <sz val="10"/>
            <rFont val="Arial"/>
            <family val="2"/>
          </rPr>
          <t xml:space="preserve">jd57062:
item is net of tax</t>
        </r>
      </text>
    </comment>
    <comment ref="D49" authorId="0">
      <text>
        <r>
          <rPr>
            <sz val="10"/>
            <rFont val="Arial"/>
            <family val="2"/>
          </rPr>
          <t xml:space="preserve">jd57062:
190bps above expectations</t>
        </r>
      </text>
    </comment>
    <comment ref="D66" authorId="0">
      <text>
        <r>
          <rPr>
            <sz val="10"/>
            <rFont val="Arial"/>
            <family val="2"/>
          </rPr>
          <t xml:space="preserve">jd57062:
110bps below expectations</t>
        </r>
      </text>
    </comment>
    <comment ref="F27" authorId="0">
      <text>
        <r>
          <rPr>
            <sz val="10"/>
            <rFont val="Arial"/>
            <family val="2"/>
          </rPr>
          <t xml:space="preserve">hg51295:
196.84 million of forex gain</t>
        </r>
      </text>
    </comment>
    <comment ref="G27" authorId="0">
      <text>
        <r>
          <rPr>
            <sz val="10"/>
            <rFont val="Arial"/>
            <family val="2"/>
          </rPr>
          <t xml:space="preserve">jd57062:
grossed up for purchase of trading goods to render comparable..
...power down 3cr because of wind power...only in 2Q...
</t>
        </r>
      </text>
    </comment>
    <comment ref="H27" authorId="0">
      <text>
        <r>
          <rPr>
            <sz val="10"/>
            <rFont val="Arial"/>
            <family val="2"/>
          </rPr>
          <t xml:space="preserve">hg51295:
includes forex loss of 32.95 million
</t>
        </r>
      </text>
    </comment>
    <comment ref="H39" authorId="0">
      <text>
        <r>
          <rPr>
            <sz val="10"/>
            <rFont val="Arial"/>
            <family val="2"/>
          </rPr>
          <t xml:space="preserve">hg51295:
12.77 million expense related to VRS</t>
        </r>
      </text>
    </comment>
    <comment ref="H42" authorId="0">
      <text>
        <r>
          <rPr>
            <sz val="10"/>
            <rFont val="Arial"/>
            <family val="2"/>
          </rPr>
          <t xml:space="preserve">jd57062:
items are net of tax - provided by co. </t>
        </r>
      </text>
    </comment>
    <comment ref="J27" authorId="0">
      <text>
        <r>
          <rPr>
            <sz val="10"/>
            <rFont val="Arial"/>
            <family val="2"/>
          </rPr>
          <t xml:space="preserve">HG51295:
includes net exchange loss of 339.099 million</t>
        </r>
      </text>
    </comment>
    <comment ref="S15" authorId="0">
      <text>
        <r>
          <rPr>
            <sz val="10"/>
            <rFont val="Arial"/>
            <family val="2"/>
          </rPr>
          <t xml:space="preserve">as20950:
1530 from Sparess</t>
        </r>
      </text>
    </comment>
    <comment ref="T15" authorId="0">
      <text>
        <r>
          <rPr>
            <sz val="10"/>
            <rFont val="Arial"/>
            <family val="2"/>
          </rPr>
          <t xml:space="preserve">as20950:
assume 20crs of kits sales…mgt did not give any number</t>
        </r>
      </text>
    </comment>
    <comment ref="T26" authorId="0">
      <text>
        <r>
          <rPr>
            <sz val="10"/>
            <rFont val="Arial"/>
            <family val="2"/>
          </rPr>
          <t xml:space="preserve">as20950:
26crs of ex-gratia payment</t>
        </r>
      </text>
    </comment>
    <comment ref="Y5" authorId="0">
      <text>
        <r>
          <rPr>
            <sz val="10"/>
            <rFont val="Arial"/>
            <family val="2"/>
          </rPr>
          <t xml:space="preserve">AS20950:
we get 2700 by subtracting 4Q nos from full year numbers given in March 2012 press release</t>
        </r>
      </text>
    </comment>
    <comment ref="Z5" authorId="0">
      <text>
        <r>
          <rPr>
            <sz val="10"/>
            <rFont val="Arial"/>
            <family val="2"/>
          </rPr>
          <t xml:space="preserve">as20950:
only dost</t>
        </r>
      </text>
    </comment>
    <comment ref="AA26" authorId="0">
      <text>
        <r>
          <rPr>
            <sz val="10"/>
            <rFont val="Arial"/>
            <family val="2"/>
          </rPr>
          <t xml:space="preserve">jd57062:
1Q spikes due to seaonality...</t>
        </r>
      </text>
    </comment>
    <comment ref="AB16" authorId="0">
      <text>
        <r>
          <rPr>
            <sz val="10"/>
            <rFont val="Arial"/>
            <family val="2"/>
          </rPr>
          <t xml:space="preserve">jd57062:
net of excise duty / trade discounts...</t>
        </r>
      </text>
    </comment>
    <comment ref="AB49" authorId="0">
      <text>
        <r>
          <rPr>
            <sz val="10"/>
            <rFont val="Arial"/>
            <family val="2"/>
          </rPr>
          <t xml:space="preserve">jd57062:
mix on exports (DD bus, falcon), 
exchange rate, 
controlled op costs...</t>
        </r>
      </text>
    </comment>
    <comment ref="AC38" authorId="0">
      <text>
        <r>
          <rPr>
            <sz val="10"/>
            <rFont val="Arial"/>
            <family val="2"/>
          </rPr>
          <t xml:space="preserve">as20950:
Reflects profit on sale of shares in IndusInd Bank and ICICI Bank held by the company (Rs 750mn)+profit on sale of part stake in Hinduja Finance to own finance companies</t>
        </r>
      </text>
    </comment>
    <comment ref="AE39" authorId="0">
      <text>
        <r>
          <rPr>
            <sz val="10"/>
            <rFont val="Arial"/>
            <family val="2"/>
          </rPr>
          <t xml:space="preserve">as20950:
diminution in the value of long term investments Rs. 651.16 Lakhs</t>
        </r>
      </text>
    </comment>
    <comment ref="AF38" authorId="0">
      <text>
        <r>
          <rPr>
            <sz val="10"/>
            <rFont val="Arial"/>
            <family val="2"/>
          </rPr>
          <t xml:space="preserve">Sharma, Arvind1 [ICG-RSCH]:
Profit on sale of certain long term investments (Net)</t>
        </r>
      </text>
    </comment>
    <comment ref="AF39" authorId="0">
      <text>
        <r>
          <rPr>
            <sz val="10"/>
            <rFont val="Arial"/>
            <family val="2"/>
          </rPr>
          <t xml:space="preserve">Sharma, Arvind1 [ICG-RSCH]:
Diminution in value of certain long term Investments</t>
        </r>
      </text>
    </comment>
    <comment ref="AG38" authorId="0">
      <text>
        <r>
          <rPr>
            <sz val="10"/>
            <rFont val="Arial"/>
            <family val="2"/>
          </rPr>
          <t xml:space="preserve">Sharma, Arvind1 [ICG-RSCH]:
Profit on sale of certain long term investments (Net)+dimunition in value of long term investment (15mn)+ profit on sale of immmovable property (341.152mn)</t>
        </r>
      </text>
    </comment>
    <comment ref="AG39" authorId="0">
      <text>
        <r>
          <rPr>
            <sz val="10"/>
            <rFont val="Arial"/>
            <family val="2"/>
          </rPr>
          <t xml:space="preserve">Sharma, Arvind1 [ICG-RSCH]:
Voluntary retirement scheme compensation</t>
        </r>
      </text>
    </comment>
    <comment ref="AJ38" authorId="0">
      <text>
        <r>
          <rPr>
            <sz val="10"/>
            <rFont val="Arial"/>
            <family val="2"/>
          </rPr>
          <t xml:space="preserve">Sharma, Arvind1 [ICG-RSCH]:
Profit on sale of immovable property</t>
        </r>
      </text>
    </comment>
    <comment ref="AL39" authorId="0">
      <text>
        <r>
          <rPr>
            <sz val="10"/>
            <rFont val="Arial"/>
            <family val="2"/>
          </rPr>
          <t xml:space="preserve">Sharma, Arvind1 [ICG-RSCH]:
165.3mn from profit from divestment of wind mill business
2.755mn from profit on sale of current investments
1993.509mn profit on sale of immovable property
(2241.947) dimunution in the value of investments
Net result is a loss of 80.369mn </t>
        </r>
      </text>
    </comment>
    <comment ref="AQ39" authorId="0">
      <text>
        <r>
          <rPr>
            <sz val="10"/>
            <rFont val="Arial"/>
            <family val="2"/>
          </rPr>
          <t xml:space="preserve">Sharma, Arvind1 [ICG-RSCH]:
15.1mn loss on sale of immovable properties
50mn dimunitionin Long term investments of JVs/subs</t>
        </r>
      </text>
    </comment>
    <comment ref="AS38" authorId="0">
      <text>
        <r>
          <rPr>
            <sz val="10"/>
            <rFont val="Arial"/>
            <family val="2"/>
          </rPr>
          <t xml:space="preserve">Sharma, Arvind1 [ICG-RSCH]:
Net profit on sale of long term investment</t>
        </r>
      </text>
    </comment>
    <comment ref="AS39" authorId="0">
      <text>
        <r>
          <rPr>
            <sz val="10"/>
            <rFont val="Arial"/>
            <family val="2"/>
          </rPr>
          <t xml:space="preserve">Sharma, Arvind1 [ICG-RSCH]:
Dimunition in the value of investments</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C394" authorId="0">
      <text>
        <r>
          <rPr>
            <sz val="10"/>
            <rFont val="Arial"/>
            <family val="2"/>
          </rPr>
          <t xml:space="preserve">jd57062:
uttaranchal -200-300cr
expansion at ennore - gearbox zand engine
prod devpt - 100-200cr - capital expn - 150% deduction - at least 100cr on prod devpt</t>
        </r>
      </text>
    </comment>
    <comment ref="G53" authorId="0">
      <text>
        <r>
          <rPr>
            <sz val="10"/>
            <rFont val="Arial"/>
            <family val="2"/>
          </rPr>
          <t xml:space="preserve">Jamshed:
only MHCVs</t>
        </r>
      </text>
    </comment>
  </commentList>
</comments>
</file>

<file path=xl/sharedStrings.xml><?xml version="1.0" encoding="utf-8"?>
<sst xmlns="http://schemas.openxmlformats.org/spreadsheetml/2006/main" count="2551" uniqueCount="1675">
  <si>
    <t xml:space="preserve">Ashok Leyland model — clean-up READ ME</t>
  </si>
  <si>
    <t xml:space="preserve">Structure, formatting and audit conventions. No number in this workbook was changed.</t>
  </si>
  <si>
    <t xml:space="preserve">COLOUR CODE</t>
  </si>
  <si>
    <t xml:space="preserve">1,234</t>
  </si>
  <si>
    <t xml:space="preserve">Blue — Hardcoded input. Typed number. Change these freely.</t>
  </si>
  <si>
    <t xml:space="preserve">Blue on amber — Formula built only from hardcoded numbers, e.g. =8835+8903+12146. An input in disguise.</t>
  </si>
  <si>
    <t xml:space="preserve">Black — Formula referencing cells on the same sheet. Do not overtype.</t>
  </si>
  <si>
    <t xml:space="preserve">Black on amber — Formula with a hardcoded plug inside it, e.g. =+C41-1722.094 or =+AH20*0.21. Undocumented assumption — audit these first.</t>
  </si>
  <si>
    <t xml:space="preserve">Green — Link to another sheet in this workbook.</t>
  </si>
  <si>
    <t xml:space="preserve">Red on amber — Broken formula returning #REF!. Source has been deleted.</t>
  </si>
  <si>
    <t xml:space="preserve">CELL COUNTS BY TYPE</t>
  </si>
  <si>
    <t xml:space="preserve">Sheet</t>
  </si>
  <si>
    <t xml:space="preserve">Main Model</t>
  </si>
  <si>
    <t xml:space="preserve">New Qrtrly - Ind AS</t>
  </si>
  <si>
    <t xml:space="preserve">New Qrtrly</t>
  </si>
  <si>
    <t xml:space="preserve">DCF</t>
  </si>
  <si>
    <t xml:space="preserve">Comments</t>
  </si>
  <si>
    <t xml:space="preserve">Hardcoded inputs</t>
  </si>
  <si>
    <t xml:space="preserve">Formulas made only of hardcodes</t>
  </si>
  <si>
    <t xml:space="preserve">Clean formulas</t>
  </si>
  <si>
    <t xml:space="preserve">Formulas with a hardcoded plug</t>
  </si>
  <si>
    <t xml:space="preserve">Cross-sheet links</t>
  </si>
  <si>
    <t xml:space="preserve">Broken (#REF!)</t>
  </si>
  <si>
    <t xml:space="preserve">Text</t>
  </si>
  <si>
    <t xml:space="preserve">WHAT CHANGED</t>
  </si>
  <si>
    <t xml:space="preserve">Quarters vs years</t>
  </si>
  <si>
    <t xml:space="preserve">On "New Qrtrly - Ind AS" the annual columns (FY16, FY17, FY26E) no longer sit inside the run of quarters. They are in their own ANNUAL block to the right.</t>
  </si>
  <si>
    <t xml:space="preserve">Estimates vs actuals</t>
  </si>
  <si>
    <t xml:space="preserve">The interleaved E / A pairs are split into two blocks: QUARTERLY — ACTUALS (49 columns) and QUARTERLY — BSe ESTIMATES (30 columns), each in date order. The side-by-side comparison you lose is rebuilt live on the "Est vs Act" tab.</t>
  </si>
  <si>
    <t xml:space="preserve">Workings</t>
  </si>
  <si>
    <t xml:space="preserve">Unheaded scratch columns (old CE, CF, CH, CI, CJ, CK) are parked in a WORKINGS / CHECKS block at the far right instead of trailing the estimates.</t>
  </si>
  <si>
    <t xml:space="preserve">Blank rows</t>
  </si>
  <si>
    <t xml:space="preserve">All blank rows removed. Content is now grouped under 15 titled section bands.</t>
  </si>
  <si>
    <t xml:space="preserve">Duplicate labels</t>
  </si>
  <si>
    <t xml:space="preserve">8 empty legacy label rows deleted (pre-Ind-AS margin and cost-ratio lines that were superseded by the rows below them). Listed on the Issues tab.</t>
  </si>
  <si>
    <t xml:space="preserve">Orphan rows</t>
  </si>
  <si>
    <t xml:space="preserve">Four unlabelled rows that carried live formulas are grouped under ORPHAN CALC ROWS. Nothing references them.</t>
  </si>
  <si>
    <t xml:space="preserve">Headers</t>
  </si>
  <si>
    <t xml:space="preserve">Two-row header: fiscal year over period, frozen. A small grey row records each column's original letter, so anything can be traced back to the source file.</t>
  </si>
  <si>
    <t xml:space="preserve">Number formats</t>
  </si>
  <si>
    <t xml:space="preserve">One consistent format per row, derived from the values in that row. Rows formatted as % but holding non-percentage values were reformatted — flagged on the Issues tab.</t>
  </si>
  <si>
    <t xml:space="preserve">Formulas</t>
  </si>
  <si>
    <t xml:space="preserve">All 3,207 formulas on the restructured sheet were re-pointed to the new addresses. Every one of the 9,416 data cells was checked against the original: zero differences.</t>
  </si>
  <si>
    <t xml:space="preserve">Not changed</t>
  </si>
  <si>
    <t xml:space="preserve">No value, no formula logic, no estimate on this sheet.</t>
  </si>
  <si>
    <t xml:space="preserve">MAIN MODEL — WHAT CHANGED</t>
  </si>
  <si>
    <t xml:space="preserve">Rows</t>
  </si>
  <si>
    <t xml:space="preserve">1,048 rows cut to 780. 256 fully-blank rows removed, plus 12 rows that were 100% #REF! errors and referenced by nothing (an old chart-data block and an orphaned duplicate of it — see Issues). Two blank-looking rows that a live formula still pointed at were deliberately kept.</t>
  </si>
  <si>
    <t xml:space="preserve">Columns</t>
  </si>
  <si>
    <t xml:space="preserve">Columns AZ:IJ (193 of them) held no data anywhere in the sheet and nothing referenced them. Deleted. Data now runs A:AY.</t>
  </si>
  <si>
    <t xml:space="preserve">Section headers</t>
  </si>
  <si>
    <t xml:space="preserve">64 section-title rows (SOURCES OF FUNDS, Costing, Balance Sheet, Cash Flow statement, and similar) now get a shaded banner across the row, so the sheet reads in blocks on screen instead of as one continuous grid.</t>
  </si>
  <si>
    <t xml:space="preserve">Borders on key lines</t>
  </si>
  <si>
    <t xml:space="preserve">~78 subtotal/total rows — Net Revenue, EBITDA, PBT, PAT, Total Sources/Application of Funds, the three Cash Flow subtotals, and similar — get a border above and below. These were identified from the bold formatting the original analyst had already applied to those exact lines, not re-guessed.</t>
  </si>
  <si>
    <t xml:space="preserve">One consistent format per row, derived from that row's own values — whole numbers for INR m lines, one decimal for smaller figures, "x" for multiples, percent for ratio lines.</t>
  </si>
  <si>
    <t xml:space="preserve">Colour code</t>
  </si>
  <si>
    <t xml:space="preserve">Same key as the rest of the workbook — blue inputs, black formulas, green cross-sheet links, amber-filled cells where a formula has a hardcoded plug buried in it, red for broken formulas.</t>
  </si>
  <si>
    <t xml:space="preserve">All 22,157 formulas were re-pointed to the new row numbers, including the 46 cross-sheet formulas in DCF and the quarterly sheets that read from Main Model. Every one of the 39,780 surviving cells was checked against the original: zero differences. Total Sources of Funds still ties to Total Application of Funds at every forecast year, exactly as before.</t>
  </si>
  <si>
    <t xml:space="preserve">Errors</t>
  </si>
  <si>
    <t xml:space="preserve">Total workbook formula errors fell from 738 to 420 — the 318 dead #REF! cells were in the rows that got removed. The remaining 420 (414 #DIV/0!, 5 #REF!, 1 #VALUE!) are pre-existing and untouched; see Issues.</t>
  </si>
  <si>
    <t xml:space="preserve">No value, no formula logic, no forecast. Column order is exactly as before — this pass only removed rows/columns that were empty or dead, it did not reorganise the model.</t>
  </si>
  <si>
    <t xml:space="preserve">TABS</t>
  </si>
  <si>
    <t xml:space="preserve">READ ME</t>
  </si>
  <si>
    <t xml:space="preserve">This page.</t>
  </si>
  <si>
    <t xml:space="preserve">Issues</t>
  </si>
  <si>
    <t xml:space="preserve">Everything found that needs your judgement, not mine.</t>
  </si>
  <si>
    <t xml:space="preserve">Restructured quarterly model. The live sheet.</t>
  </si>
  <si>
    <t xml:space="preserve">Est vs Act</t>
  </si>
  <si>
    <t xml:space="preserve">Reported vs BSe by quarter. All links, no typed numbers.</t>
  </si>
  <si>
    <t xml:space="preserve">Annual model FY1993-FY2029E. Blank/dead rows removed, key lines bordered, section headers banded, colour-coded.</t>
  </si>
  <si>
    <t xml:space="preserve">Legacy pre-Ind-AS quarterly sheet, FY07 onward. Colour-coded only.</t>
  </si>
  <si>
    <t xml:space="preserve">DCF, Comments, Industry launches and cap</t>
  </si>
  <si>
    <t xml:space="preserve">Untouched apart from colour coding.</t>
  </si>
  <si>
    <t xml:space="preserve">Issues found — for your call, not mine</t>
  </si>
  <si>
    <t xml:space="preserve">Nothing below was changed in the workbook. Each is preserved exactly as it was in the source file.</t>
  </si>
  <si>
    <t xml:space="preserve">Where</t>
  </si>
  <si>
    <t xml:space="preserve">What</t>
  </si>
  <si>
    <t xml:space="preserve">New Qrtrly - Ind AS (restructured)</t>
  </si>
  <si>
    <t xml:space="preserve">row 4: "H / MCVs"</t>
  </si>
  <si>
    <t xml:space="preserve">Row mixes magnitudes — it holds both sub-1 ratios and figures in the thousands, so it is carrying two different quantities on one line. Shown to 2dp so both are readable; values unchanged.</t>
  </si>
  <si>
    <t xml:space="preserve">row 5: "LCVs"</t>
  </si>
  <si>
    <t xml:space="preserve">row 6: "Total CVs"</t>
  </si>
  <si>
    <t xml:space="preserve">row 7: "Product mix (%)"</t>
  </si>
  <si>
    <t xml:space="preserve">row 11: "H / MCVs"</t>
  </si>
  <si>
    <t xml:space="preserve">row 17: "Discounts"</t>
  </si>
  <si>
    <t xml:space="preserve">row 22: "Net sales"</t>
  </si>
  <si>
    <t xml:space="preserve">row 31: "EBITDA"</t>
  </si>
  <si>
    <t xml:space="preserve">row 38: "Exceptional income"</t>
  </si>
  <si>
    <t xml:space="preserve">row 42: "PAT (pre exceptionals)"</t>
  </si>
  <si>
    <t xml:space="preserve">row 46: ""</t>
  </si>
  <si>
    <t xml:space="preserve">rows 1-2 (above the FY header in row 3)</t>
  </si>
  <si>
    <t xml:space="preserve">Loose scratch calculations sit above the header row (e.g. =+Z35+Z38-Z41-23279.2), with hardcoded plugs. Not referenced by the model — move to a workings block or delete.</t>
  </si>
  <si>
    <t xml:space="preserve">cols AM-AR, rows 1-5</t>
  </si>
  <si>
    <t xml:space="preserve">Target-price working (multiple, EBITDA, debt, TP, CMP 181.3, old TP 165) is parked in the header band with no labels of its own. Give it a titled block.</t>
  </si>
  <si>
    <t xml:space="preserve">various cells</t>
  </si>
  <si>
    <t xml:space="preserve">54 cells return #DIV/0! (pre-existing; carried over unchanged).</t>
  </si>
  <si>
    <t xml:space="preserve">3 cells return #DIV/0! (pre-existing; carried over unchanged).</t>
  </si>
  <si>
    <t xml:space="preserve">5 cells return #REF! (pre-existing; carried over unchanged).</t>
  </si>
  <si>
    <t xml:space="preserve">319 cells return #DIV/0! (pre-existing; carried over unchanged).</t>
  </si>
  <si>
    <t xml:space="preserve">Rows removed</t>
  </si>
  <si>
    <t xml:space="preserve">8 empty duplicate label rows deleted: EBITDA (%), EBIT (%), EBDT (%), Net profit margins (%), Excise / sales, Raw materials / sales, Staff costs / sales, Other expenses / sales. Each was a legacy pre-Ind-AS line with no data; the live version of each sits below it. "Profit Margins", "Cost ratios", "Goods CVs (domestic)" and "%" became section headers.</t>
  </si>
  <si>
    <t xml:space="preserve">Row labels vs formula contents</t>
  </si>
  <si>
    <t xml:space="preserve">Several rows in the mix block have been repurposed without relabelling — the label no longer describes the calculation. Values are preserved exactly; the labels are the problem. Rows now under "MIX &amp; GROWTH RATIOS": "H / MCVs" holds LCV/total share; "LCVs" holds a sum of two quarters; "Market share (%)" holds a x0.21 assumption; the second "H / MCVs" holds YoY growth. Also "Spare parts+Kits (Rs m)" holds material cost per vehicle, "Discounts" holds YoY realisation growth, and "Cost ratios" holds material cost per vehicle.</t>
  </si>
  <si>
    <t xml:space="preserve">"Average Realisations (Rs m)" and the PER VEHICLE block</t>
  </si>
  <si>
    <t xml:space="preserve">Labelled Rs m but the formula (=Net sales / Total CVs x 1,000,000) returns rupees per vehicle. Same for Material Cost / Vehicle, Gross Contribution / Vehicle and EBITDA / Vehicle. Values are right, the unit in the label is not.</t>
  </si>
  <si>
    <t xml:space="preserve">Orphan calc rows</t>
  </si>
  <si>
    <t xml:space="preserve">Four rows carried live formulas with no label at all in the source (old rows 30, 43, 46, 81). Nothing references them. Grouped under "ORPHAN CALC ROWS" — safe to delete once checked.</t>
  </si>
  <si>
    <t xml:space="preserve">Old cols CE, CH, CI, CJ, CK</t>
  </si>
  <si>
    <t xml:space="preserve">Unheaded scratch columns duplicating the FY26E build. Moved to the WORKINGS / CHECKS block.</t>
  </si>
  <si>
    <t xml:space="preserve">Old col CF (4QFY26E)</t>
  </si>
  <si>
    <t xml:space="preserve">Duplicate header — a second "4QFY26E" derived as FY26E less three quarters. Kept in WORKINGS, not in the estimates block, so the estimate row is not double-counted.</t>
  </si>
  <si>
    <t xml:space="preserve">All sheets</t>
  </si>
  <si>
    <t xml:space="preserve">Amber-shaded cells</t>
  </si>
  <si>
    <t xml:space="preserve">Formula contains a hardcoded number that is not a unit conversion — e.g. =+C41-1722.094, =+AH20*0.21, =H22*91%*88%/H6*1000000. Each is an undocumented assumption or plug. Count in this workbook: see the READ ME tab.</t>
  </si>
  <si>
    <t xml:space="preserve">Rows removed — dead calculations (12 rows)</t>
  </si>
  <si>
    <t xml:space="preserve">Rows 151-153, 155-159 and 1045-1048 removed outright. Every formula cell in these rows returned #REF! (the source of an old "band chart" data block, plus an orphaned duplicate of it further down the sheet), and nothing else in the workbook referenced any of them. Only the row labels were live text (Sales, EBITDA, PAT, Rec PAT, EPS) — every number was already broken, so nothing analytical was lost. This is what dropped total workbook formula errors from 738 to 420.</t>
  </si>
  <si>
    <t xml:space="preserve">Rows removed — blank rows (256 rows)</t>
  </si>
  <si>
    <t xml:space="preserve">Every fully empty row removed, compacting 1,048 rows to 780. Two rows that were blank but still referenced directly by a live formula elsewhere (old rows 375 and 680, both spacer/placeholder cells in the interest-and-vehicle-count sections) were deliberately kept rather than removed, so no formula lost its reference.</t>
  </si>
  <si>
    <t xml:space="preserve">Columns removed — AZ:IJ (193 columns)</t>
  </si>
  <si>
    <t xml:space="preserve">Confirmed empty in every row and unreferenced by any formula in the workbook, then deleted. Data now runs A:AY only.</t>
  </si>
  <si>
    <t xml:space="preserve">Formula check after the row/column removal</t>
  </si>
  <si>
    <t xml:space="preserve">All 22,157 original formulas — including the 46 cross-sheet formulas in DCF and the quarterly sheets that point into Main Model — were re-pointed to the new row numbers and recalculated. Every one of the 39,780 surviving cells was compared back to the original: zero differences. Total Sources of Funds and Total Application of Funds still tie out to the rupee at every forecast year, as they did before.</t>
  </si>
  <si>
    <t xml:space="preserve">Dividend cover (x) — #DIV/0!</t>
  </si>
  <si>
    <t xml:space="preserve">Cell moved from W142 to W123 with the row shift; the error itself is pre-existing and unchanged.</t>
  </si>
  <si>
    <t xml:space="preserve">Borders and section shading — what was used</t>
  </si>
  <si>
    <t xml:space="preserve">Borders were added to ~78 rows that are genuine subtotals/totals (Net Revenue, EBITDA, PBT, PAT, Total Sources/Application of Funds, the three Cash Flow subtotals, etc.), identified from the labels the original analyst had already bolded — not guessed from scratch. 64 section-header rows (SOURCES OF FUNDS, Costing, Balance Sheet, Cash Flow statement, and similar) got banner shading the same way. A handful of bold-but-clearly-fragment rows (a mid-sentence continuation, an analyst's personal note "Re do FY93") were left alone rather than mis-treated as headers.</t>
  </si>
  <si>
    <t xml:space="preserve">Daimler Trucks - </t>
  </si>
  <si>
    <t xml:space="preserve">Still a niche player – BUT – has strong market shares in certain segments – eg – 30% market share in the Kerala construction market (small). Has 8-9% market share in Mumbai – which accounts for around 8-9% of overall CV sales. </t>
  </si>
  <si>
    <t xml:space="preserve">40% of all trucks bought are through Bharat Benz Financial services </t>
  </si>
  <si>
    <t xml:space="preserve">Daimler trucks – launched 3 new models – 914 Rigid, 1214 construction and 1217 tipper. Will launch 6 more models end of 2013 – taking its overall tally to 12. Will launch overall 17 trucks – will have 110 dealers by that time </t>
  </si>
  <si>
    <t xml:space="preserve">Ashok Leyland — reported vs BSe estimate</t>
  </si>
  <si>
    <t xml:space="preserve">Rebuilt from the restructured quarterly sheet. Every figure is a live link — nothing is typed. This replaces the side-by-side E/A columns that used to be interleaved.</t>
  </si>
  <si>
    <t xml:space="preserve">Quarter</t>
  </si>
  <si>
    <t xml:space="preserve">Total CVs (nos.)</t>
  </si>
  <si>
    <t xml:space="preserve">Net sales (INR m)</t>
  </si>
  <si>
    <t xml:space="preserve">EBITDA (INR m)</t>
  </si>
  <si>
    <t xml:space="preserve">EBITDA margin (%)</t>
  </si>
  <si>
    <t xml:space="preserve">PAT pre-except. (INR m)</t>
  </si>
  <si>
    <t xml:space="preserve">BSe</t>
  </si>
  <si>
    <t xml:space="preserve">Act</t>
  </si>
  <si>
    <t xml:space="preserve">Var</t>
  </si>
  <si>
    <t xml:space="preserve">4QFY19</t>
  </si>
  <si>
    <t xml:space="preserve">1QFY20</t>
  </si>
  <si>
    <t xml:space="preserve">2QFY20</t>
  </si>
  <si>
    <t xml:space="preserve">3QFY20</t>
  </si>
  <si>
    <t xml:space="preserve">4QFY20</t>
  </si>
  <si>
    <t xml:space="preserve">1QFY21</t>
  </si>
  <si>
    <t xml:space="preserve">2QFY21</t>
  </si>
  <si>
    <t xml:space="preserve">3QFY21</t>
  </si>
  <si>
    <t xml:space="preserve">4QFY21</t>
  </si>
  <si>
    <t xml:space="preserve">1QFY22</t>
  </si>
  <si>
    <t xml:space="preserve">2QFY22</t>
  </si>
  <si>
    <t xml:space="preserve">3QFY22</t>
  </si>
  <si>
    <t xml:space="preserve">4QFY22</t>
  </si>
  <si>
    <t xml:space="preserve">1QFY23</t>
  </si>
  <si>
    <t xml:space="preserve">2QFY23</t>
  </si>
  <si>
    <t xml:space="preserve">3QFY23</t>
  </si>
  <si>
    <t xml:space="preserve">4QFY23</t>
  </si>
  <si>
    <t xml:space="preserve">1QFY24</t>
  </si>
  <si>
    <t xml:space="preserve">2QFY24</t>
  </si>
  <si>
    <t xml:space="preserve">3QFY24</t>
  </si>
  <si>
    <t xml:space="preserve">4QFY24</t>
  </si>
  <si>
    <t xml:space="preserve">1QFY25</t>
  </si>
  <si>
    <t xml:space="preserve">2QFY25</t>
  </si>
  <si>
    <t xml:space="preserve">3QFY25</t>
  </si>
  <si>
    <t xml:space="preserve">4QFY25</t>
  </si>
  <si>
    <t xml:space="preserve">1QFY26</t>
  </si>
  <si>
    <t xml:space="preserve">2QFY26</t>
  </si>
  <si>
    <t xml:space="preserve">3QFY26</t>
  </si>
  <si>
    <t xml:space="preserve">4QFY26</t>
  </si>
  <si>
    <t xml:space="preserve">1QFY27</t>
  </si>
  <si>
    <t xml:space="preserve">Multiple</t>
  </si>
  <si>
    <t xml:space="preserve">EBITDA</t>
  </si>
  <si>
    <t xml:space="preserve">Debt</t>
  </si>
  <si>
    <t xml:space="preserve">TP</t>
  </si>
  <si>
    <t xml:space="preserve">FY 1993</t>
  </si>
  <si>
    <t xml:space="preserve">FY 1994</t>
  </si>
  <si>
    <t xml:space="preserve">FY 1995</t>
  </si>
  <si>
    <t xml:space="preserve">FY 1996 </t>
  </si>
  <si>
    <t xml:space="preserve">FY 1997</t>
  </si>
  <si>
    <t xml:space="preserve">FY 1998</t>
  </si>
  <si>
    <t xml:space="preserve">FY 1999</t>
  </si>
  <si>
    <t xml:space="preserve">FY2000</t>
  </si>
  <si>
    <t xml:space="preserve">FY2001</t>
  </si>
  <si>
    <t xml:space="preserve">FY2002</t>
  </si>
  <si>
    <t xml:space="preserve">FY2003</t>
  </si>
  <si>
    <t xml:space="preserve">FY2004</t>
  </si>
  <si>
    <t xml:space="preserve">FY2005</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</si>
  <si>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</si>
  <si>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</si>
  <si>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</si>
  <si>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</si>
  <si>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</si>
  <si>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</si>
  <si>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</si>
  <si>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</si>
  <si>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</si>
  <si>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</si>
  <si>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</si>
  <si>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</si>
  <si>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</si>
  <si>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</si>
  <si>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</si>
  <si>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</si>
  <si>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</si>
  <si>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</si>
  <si>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</si>
  <si>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</si>
  <si>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</si>
  <si>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FY2027E</t>
  </si>
  <si>
    <t xml:space="preserve">FY2028E</t>
  </si>
  <si>
    <t xml:space="preserve">FY2029E</t>
  </si>
  <si>
    <t xml:space="preserve">CMP</t>
  </si>
  <si>
    <t xml:space="preserve">Summary</t>
  </si>
  <si>
    <t xml:space="preserve">Old TP</t>
  </si>
  <si>
    <t xml:space="preserve">Income Statement</t>
  </si>
  <si>
    <t xml:space="preserve">(Rs m)</t>
  </si>
  <si>
    <t xml:space="preserve">FY 1996</t>
  </si>
  <si>
    <t xml:space="preserve">FY 1997 </t>
  </si>
  <si>
    <t xml:space="preserve">FY 1998 </t>
  </si>
  <si>
    <t xml:space="preserve">FY 1999 </t>
  </si>
  <si>
    <t xml:space="preserve">FY 2003</t>
  </si>
  <si>
    <t xml:space="preserve">FY 2005</t>
  </si>
  <si>
    <t xml:space="preserve">FY 2006</t>
  </si>
  <si>
    <t xml:space="preserve">FY 2007</t>
  </si>
  <si>
    <t xml:space="preserve">Volumes (Nos)</t>
  </si>
  <si>
    <t xml:space="preserve">% change YoY</t>
  </si>
  <si>
    <t xml:space="preserve">Sales &amp; operational income</t>
  </si>
  <si>
    <t xml:space="preserve">Excise</t>
  </si>
  <si>
    <t xml:space="preserve">% of sales</t>
  </si>
  <si>
    <t xml:space="preserve">Base</t>
  </si>
  <si>
    <t xml:space="preserve">FY19</t>
  </si>
  <si>
    <t xml:space="preserve">FY20</t>
  </si>
  <si>
    <t xml:space="preserve">FY21</t>
  </si>
  <si>
    <t xml:space="preserve">FY22</t>
  </si>
  <si>
    <t xml:space="preserve">FY23</t>
  </si>
  <si>
    <t xml:space="preserve">FY24</t>
  </si>
  <si>
    <t xml:space="preserve">FY25</t>
  </si>
  <si>
    <t xml:space="preserve">FY26</t>
  </si>
  <si>
    <t xml:space="preserve">FY27</t>
  </si>
  <si>
    <t xml:space="preserve">FY28</t>
  </si>
  <si>
    <t xml:space="preserve">Net revenue</t>
  </si>
  <si>
    <t xml:space="preserve">Volumes</t>
  </si>
  <si>
    <t xml:space="preserve">% Chg YoY</t>
  </si>
  <si>
    <t xml:space="preserve">ASP</t>
  </si>
  <si>
    <t xml:space="preserve">Revenue / vehicle</t>
  </si>
  <si>
    <t xml:space="preserve">Revenue</t>
  </si>
  <si>
    <t xml:space="preserve">Raw material expenses</t>
  </si>
  <si>
    <t xml:space="preserve">EBITDA Margin</t>
  </si>
  <si>
    <t xml:space="preserve">Non operating items</t>
  </si>
  <si>
    <t xml:space="preserve">Mat cost / vehicle</t>
  </si>
  <si>
    <t xml:space="preserve">PBT</t>
  </si>
  <si>
    <t xml:space="preserve">Tax</t>
  </si>
  <si>
    <t xml:space="preserve">Gross profit / unit</t>
  </si>
  <si>
    <t xml:space="preserve">PAT</t>
  </si>
  <si>
    <t xml:space="preserve">Net debt</t>
  </si>
  <si>
    <t xml:space="preserve">Manpower costs</t>
  </si>
  <si>
    <t xml:space="preserve">Other variable expenses</t>
  </si>
  <si>
    <t xml:space="preserve">Bull</t>
  </si>
  <si>
    <t xml:space="preserve">Other fixed expenses</t>
  </si>
  <si>
    <t xml:space="preserve">Expenses capitalised</t>
  </si>
  <si>
    <t xml:space="preserve">Cost of sales</t>
  </si>
  <si>
    <t xml:space="preserve">Interest</t>
  </si>
  <si>
    <t xml:space="preserve">Other income</t>
  </si>
  <si>
    <t xml:space="preserve">EBDT</t>
  </si>
  <si>
    <t xml:space="preserve">Bear</t>
  </si>
  <si>
    <t xml:space="preserve">Forex gains/(losses) on swap contracts</t>
  </si>
  <si>
    <t xml:space="preserve">Depreciation</t>
  </si>
  <si>
    <t xml:space="preserve">Exceptionals (losses)/gains</t>
  </si>
  <si>
    <t xml:space="preserve">Tax </t>
  </si>
  <si>
    <t xml:space="preserve">PAT (pre exceptionals) </t>
  </si>
  <si>
    <t xml:space="preserve">EBDIT</t>
  </si>
  <si>
    <t xml:space="preserve">EBIT</t>
  </si>
  <si>
    <t xml:space="preserve">EBITwOI</t>
  </si>
  <si>
    <t xml:space="preserve">Cash profit</t>
  </si>
  <si>
    <t xml:space="preserve">FY2013E</t>
  </si>
  <si>
    <t xml:space="preserve">FY2014E</t>
  </si>
  <si>
    <t xml:space="preserve">FY2015E</t>
  </si>
  <si>
    <t xml:space="preserve">Profit Margins</t>
  </si>
  <si>
    <t xml:space="preserve">OPM (%)</t>
  </si>
  <si>
    <t xml:space="preserve">Higher volumes and ASPs drive stronger EBITDA growth </t>
  </si>
  <si>
    <t xml:space="preserve">EBITDA Margins (%)</t>
  </si>
  <si>
    <t xml:space="preserve">Higher target multiple</t>
  </si>
  <si>
    <t xml:space="preserve">Other income / EBDIT (%)</t>
  </si>
  <si>
    <t xml:space="preserve">Lower target multiple</t>
  </si>
  <si>
    <t xml:space="preserve">Other income / PAT (%)</t>
  </si>
  <si>
    <t xml:space="preserve">Lower volumes and ASPs result in weaker EBITDA growth </t>
  </si>
  <si>
    <t xml:space="preserve">EBITwOI/Sales</t>
  </si>
  <si>
    <t xml:space="preserve">EBITwOI/ Net Sales</t>
  </si>
  <si>
    <t xml:space="preserve">Interest cover (X)</t>
  </si>
  <si>
    <t xml:space="preserve">EBDT (%)</t>
  </si>
  <si>
    <t xml:space="preserve">Pre tax margins (%)</t>
  </si>
  <si>
    <t xml:space="preserve">Tax / PBT (%)</t>
  </si>
  <si>
    <t xml:space="preserve">Net profit margins (%)</t>
  </si>
  <si>
    <t xml:space="preserve">Equity (m shares)</t>
  </si>
  <si>
    <t xml:space="preserve">EPS (Rs)</t>
  </si>
  <si>
    <t xml:space="preserve">CEPS (Rs)</t>
  </si>
  <si>
    <t xml:space="preserve">Equity FD (m shares)</t>
  </si>
  <si>
    <t xml:space="preserve">EPS FD (Rs)</t>
  </si>
  <si>
    <t xml:space="preserve">CEPS FD (Rs)</t>
  </si>
  <si>
    <t xml:space="preserve">Book value FD (Rs)</t>
  </si>
  <si>
    <t xml:space="preserve">Market price (Rs)</t>
  </si>
  <si>
    <t xml:space="preserve">Valuation</t>
  </si>
  <si>
    <t xml:space="preserve">P / E  (x)</t>
  </si>
  <si>
    <t xml:space="preserve">Earnings growth (%)</t>
  </si>
  <si>
    <t xml:space="preserve">Earnings growth / P/E (x)</t>
  </si>
  <si>
    <t xml:space="preserve">Earnings yield </t>
  </si>
  <si>
    <t xml:space="preserve">Price / cash flow / share (x)</t>
  </si>
  <si>
    <t xml:space="preserve">Cash earnings growth (%)</t>
  </si>
  <si>
    <t xml:space="preserve">CEPS growth / CEPS</t>
  </si>
  <si>
    <t xml:space="preserve">Price / book value / share (x)</t>
  </si>
  <si>
    <t xml:space="preserve">Mcap</t>
  </si>
  <si>
    <t xml:space="preserve">Mkt cap / sales (x)</t>
  </si>
  <si>
    <t xml:space="preserve">MKt cap / net sales (x)</t>
  </si>
  <si>
    <t xml:space="preserve">Sales / share (x)</t>
  </si>
  <si>
    <t xml:space="preserve">FY2016E</t>
  </si>
  <si>
    <t xml:space="preserve">FY2017E</t>
  </si>
  <si>
    <t xml:space="preserve">Net Debt</t>
  </si>
  <si>
    <t xml:space="preserve">Enterprise value (Rs m)</t>
  </si>
  <si>
    <t xml:space="preserve">Enterprise value / share (x)</t>
  </si>
  <si>
    <t xml:space="preserve">EV / EBITDA (x)</t>
  </si>
  <si>
    <t xml:space="preserve">EV / cash flow (x)</t>
  </si>
  <si>
    <t xml:space="preserve">EV / Sales</t>
  </si>
  <si>
    <t xml:space="preserve">EV / Net sales</t>
  </si>
  <si>
    <t xml:space="preserve">EV / EBIT</t>
  </si>
  <si>
    <t xml:space="preserve">GDR Valuation</t>
  </si>
  <si>
    <t xml:space="preserve">GDR price (US $)</t>
  </si>
  <si>
    <t xml:space="preserve">Equivalent local price (Rs)</t>
  </si>
  <si>
    <t xml:space="preserve">Premium / Discount (%)</t>
  </si>
  <si>
    <t xml:space="preserve">Share holders returns :</t>
  </si>
  <si>
    <t xml:space="preserve">Payouts </t>
  </si>
  <si>
    <t xml:space="preserve">DPS (Rs)</t>
  </si>
  <si>
    <t xml:space="preserve">DPS (FD) (Rs)</t>
  </si>
  <si>
    <t xml:space="preserve">Payout (%)</t>
  </si>
  <si>
    <t xml:space="preserve">Dividend Yield (%)</t>
  </si>
  <si>
    <t xml:space="preserve">Dividend cover (x)</t>
  </si>
  <si>
    <t xml:space="preserve">Plowback ratio (x)</t>
  </si>
  <si>
    <t xml:space="preserve">Capital History</t>
  </si>
  <si>
    <t xml:space="preserve">Shares in </t>
  </si>
  <si>
    <t xml:space="preserve">Year</t>
  </si>
  <si>
    <t xml:space="preserve">issue (m)</t>
  </si>
  <si>
    <t xml:space="preserve">March 31, </t>
  </si>
  <si>
    <t xml:space="preserve">For the new band chart format</t>
  </si>
  <si>
    <t xml:space="preserve">EPS </t>
  </si>
  <si>
    <t xml:space="preserve">BVPS</t>
  </si>
  <si>
    <t xml:space="preserve">EBITDA / sh</t>
  </si>
  <si>
    <t xml:space="preserve">Net debt / sh</t>
  </si>
  <si>
    <t xml:space="preserve">Sales / sh</t>
  </si>
  <si>
    <t xml:space="preserve">SOURCES OF FUNDS</t>
  </si>
  <si>
    <t xml:space="preserve">Share capital</t>
  </si>
  <si>
    <t xml:space="preserve">Reserves &amp; surplus</t>
  </si>
  <si>
    <t xml:space="preserve">Share holders funds</t>
  </si>
  <si>
    <t xml:space="preserve">Total loan funds</t>
  </si>
  <si>
    <t xml:space="preserve">Deferred Tax Liability </t>
  </si>
  <si>
    <t xml:space="preserve">Other long term liability</t>
  </si>
  <si>
    <t xml:space="preserve">Deferred Liability</t>
  </si>
  <si>
    <t xml:space="preserve">Long term provisions</t>
  </si>
  <si>
    <t xml:space="preserve">Total Sources of Funds</t>
  </si>
  <si>
    <t xml:space="preserve">APPLICATIONS OF FUNDS</t>
  </si>
  <si>
    <t xml:space="preserve">Gross block </t>
  </si>
  <si>
    <t xml:space="preserve">Less : Depreciation</t>
  </si>
  <si>
    <t xml:space="preserve">Net block</t>
  </si>
  <si>
    <t xml:space="preserve">Capital work in progress</t>
  </si>
  <si>
    <t xml:space="preserve">Intangible assets</t>
  </si>
  <si>
    <t xml:space="preserve">Intangible assets under deployment</t>
  </si>
  <si>
    <t xml:space="preserve">RoU Assets</t>
  </si>
  <si>
    <t xml:space="preserve">Total Fixed assets</t>
  </si>
  <si>
    <t xml:space="preserve">Investments</t>
  </si>
  <si>
    <t xml:space="preserve">Long term loans and advance</t>
  </si>
  <si>
    <t xml:space="preserve">Other non current assets</t>
  </si>
  <si>
    <t xml:space="preserve">Current assets :</t>
  </si>
  <si>
    <t xml:space="preserve">Inventories</t>
  </si>
  <si>
    <t xml:space="preserve">Sundry debtors</t>
  </si>
  <si>
    <t xml:space="preserve">Cash &amp; Bank Balances</t>
  </si>
  <si>
    <t xml:space="preserve">Loans &amp; advances</t>
  </si>
  <si>
    <t xml:space="preserve">Other current assets</t>
  </si>
  <si>
    <t xml:space="preserve">Total current assets</t>
  </si>
  <si>
    <t xml:space="preserve">Current liabilities :</t>
  </si>
  <si>
    <t xml:space="preserve">Acceptances</t>
  </si>
  <si>
    <t xml:space="preserve">Sundry Creditors</t>
  </si>
  <si>
    <t xml:space="preserve">Others</t>
  </si>
  <si>
    <t xml:space="preserve">Provisions :</t>
  </si>
  <si>
    <t xml:space="preserve">Total current liabilities &amp; provisions</t>
  </si>
  <si>
    <t xml:space="preserve">Net current assets</t>
  </si>
  <si>
    <t xml:space="preserve">Miscellaneous / other non current assets</t>
  </si>
  <si>
    <t xml:space="preserve">Total Application of Funds </t>
  </si>
  <si>
    <t xml:space="preserve">Conversion of debentures</t>
  </si>
  <si>
    <t xml:space="preserve">GDR issue 10,771,908 @</t>
  </si>
  <si>
    <t xml:space="preserve">US$ 12.79 aggregating </t>
  </si>
  <si>
    <t xml:space="preserve">US$138 m.</t>
  </si>
  <si>
    <t xml:space="preserve">Validation series - all values must be 0</t>
  </si>
  <si>
    <t xml:space="preserve">Net sales</t>
  </si>
  <si>
    <t xml:space="preserve">Cost of sales (excluding excise)</t>
  </si>
  <si>
    <t xml:space="preserve">Operating Profit</t>
  </si>
  <si>
    <t xml:space="preserve">Production</t>
  </si>
  <si>
    <t xml:space="preserve">4 wheel vehicles</t>
  </si>
  <si>
    <t xml:space="preserve">Installed capacity * (Nos.)</t>
  </si>
  <si>
    <t xml:space="preserve">Production (Nos.)#</t>
  </si>
  <si>
    <t xml:space="preserve">Increase in production (%)</t>
  </si>
  <si>
    <t xml:space="preserve">Capacity utilization (%)</t>
  </si>
  <si>
    <t xml:space="preserve">Increase in capacity (%)</t>
  </si>
  <si>
    <t xml:space="preserve">Engines</t>
  </si>
  <si>
    <t xml:space="preserve">Notes</t>
  </si>
  <si>
    <t xml:space="preserve">Capacities are year end capacities</t>
  </si>
  <si>
    <t xml:space="preserve">Engines include those used for industrial and marine appliactions</t>
  </si>
  <si>
    <t xml:space="preserve">Total volumes (Nos.)</t>
  </si>
  <si>
    <t xml:space="preserve">Vehicles sold (Nos)</t>
  </si>
  <si>
    <t xml:space="preserve">H / MCVs</t>
  </si>
  <si>
    <t xml:space="preserve">% growth</t>
  </si>
  <si>
    <t xml:space="preserve">LCVs</t>
  </si>
  <si>
    <t xml:space="preserve">Total 4 wheelers</t>
  </si>
  <si>
    <t xml:space="preserve">Product mix (% of total nos. sold)</t>
  </si>
  <si>
    <t xml:space="preserve">Market share (%)</t>
  </si>
  <si>
    <t xml:space="preserve">FY 2000</t>
  </si>
  <si>
    <t xml:space="preserve">Freight / Goods</t>
  </si>
  <si>
    <t xml:space="preserve">Passenger</t>
  </si>
  <si>
    <t xml:space="preserve">Sales turnover breakup</t>
  </si>
  <si>
    <t xml:space="preserve">Avg. realization</t>
  </si>
  <si>
    <t xml:space="preserve">Value</t>
  </si>
  <si>
    <t xml:space="preserve">4q08</t>
  </si>
  <si>
    <t xml:space="preserve">1q09</t>
  </si>
  <si>
    <t xml:space="preserve">2q09</t>
  </si>
  <si>
    <t xml:space="preserve">3q09</t>
  </si>
  <si>
    <t xml:space="preserve">4qfy09</t>
  </si>
  <si>
    <t xml:space="preserve">1q10</t>
  </si>
  <si>
    <t xml:space="preserve">2q10</t>
  </si>
  <si>
    <t xml:space="preserve">3q10</t>
  </si>
  <si>
    <t xml:space="preserve">Total</t>
  </si>
  <si>
    <t xml:space="preserve">Sales volumes break up</t>
  </si>
  <si>
    <t xml:space="preserve">MDV Passenger Domestic</t>
  </si>
  <si>
    <t xml:space="preserve">% of MDV sales</t>
  </si>
  <si>
    <t xml:space="preserve">% of total sales</t>
  </si>
  <si>
    <t xml:space="preserve">yoy growth</t>
  </si>
  <si>
    <t xml:space="preserve">MDV Passenger Exports</t>
  </si>
  <si>
    <t xml:space="preserve">MDV Goods Domestic </t>
  </si>
  <si>
    <t xml:space="preserve">FY13</t>
  </si>
  <si>
    <t xml:space="preserve">MDV Goods Exports</t>
  </si>
  <si>
    <t xml:space="preserve">Contract manufacturing income (only within TN)</t>
  </si>
  <si>
    <t xml:space="preserve">Other operating income</t>
  </si>
  <si>
    <t xml:space="preserve">Traded engine expense- non TN (in parent COGS)</t>
  </si>
  <si>
    <t xml:space="preserve">Traded LCV expense- non TN (in parent COGS)</t>
  </si>
  <si>
    <t xml:space="preserve">TOTAL MHCV</t>
  </si>
  <si>
    <t xml:space="preserve">CV sales - Non TN(in parent income)</t>
  </si>
  <si>
    <t xml:space="preserve">Dost in TN</t>
  </si>
  <si>
    <t xml:space="preserve">All Dosts are made by ALL - for which it earns a contract mfg income- row 418</t>
  </si>
  <si>
    <t xml:space="preserve">Dost outside TN</t>
  </si>
  <si>
    <t xml:space="preserve">Then all Dosts are transferred to JV - </t>
  </si>
  <si>
    <t xml:space="preserve">Purchase of raw materials and components ( net of CENVAT / VAT)</t>
  </si>
  <si>
    <t xml:space="preserve">Total Dost</t>
  </si>
  <si>
    <t xml:space="preserve">Dosts sold inside TN - get contract mfg JV (row 418)</t>
  </si>
  <si>
    <t xml:space="preserve">Other Operating Income</t>
  </si>
  <si>
    <t xml:space="preserve">Dosts sold outside TN - reflected in purchase of goods, and also in sales</t>
  </si>
  <si>
    <t xml:space="preserve">Other LCVs</t>
  </si>
  <si>
    <t xml:space="preserve">LCV Domestic</t>
  </si>
  <si>
    <t xml:space="preserve">% of LCV sales</t>
  </si>
  <si>
    <t xml:space="preserve">LCV Exports</t>
  </si>
  <si>
    <t xml:space="preserve">Total Domestic</t>
  </si>
  <si>
    <t xml:space="preserve">Total Exports</t>
  </si>
  <si>
    <t xml:space="preserve">Validation</t>
  </si>
  <si>
    <t xml:space="preserve">Exports % of total</t>
  </si>
  <si>
    <t xml:space="preserve">Sales</t>
  </si>
  <si>
    <t xml:space="preserve">Vehicles</t>
  </si>
  <si>
    <t xml:space="preserve">Value (Rs m)</t>
  </si>
  <si>
    <t xml:space="preserve">Nos.</t>
  </si>
  <si>
    <t xml:space="preserve">Avg. Realization (Rs / vehicle)</t>
  </si>
  <si>
    <t xml:space="preserve">Volume growth yoy (%)</t>
  </si>
  <si>
    <t xml:space="preserve">Selling price increase (%)</t>
  </si>
  <si>
    <t xml:space="preserve">Growth yoy (%)</t>
  </si>
  <si>
    <t xml:space="preserve">% of total turnover</t>
  </si>
  <si>
    <t xml:space="preserve">Dost </t>
  </si>
  <si>
    <t xml:space="preserve">Volume</t>
  </si>
  <si>
    <t xml:space="preserve">Blended realisation</t>
  </si>
  <si>
    <t xml:space="preserve">Avg. Realization (Rs / engine)</t>
  </si>
  <si>
    <t xml:space="preserve">Ferrous castings</t>
  </si>
  <si>
    <t xml:space="preserve">Avg. Realization (Rs / MT)</t>
  </si>
  <si>
    <t xml:space="preserve">Spare parts and others</t>
  </si>
  <si>
    <t xml:space="preserve">Contract manufacturing</t>
  </si>
  <si>
    <t xml:space="preserve">                   Per vehicle</t>
  </si>
  <si>
    <t xml:space="preserve">Grant income</t>
  </si>
  <si>
    <t xml:space="preserve">Export Incentives</t>
  </si>
  <si>
    <t xml:space="preserve">Scrap Sales</t>
  </si>
  <si>
    <t xml:space="preserve">Revenue from services</t>
  </si>
  <si>
    <t xml:space="preserve">Misc</t>
  </si>
  <si>
    <t xml:space="preserve">Total turnover (Rs m)</t>
  </si>
  <si>
    <t xml:space="preserve">Less : Commission and rebate</t>
  </si>
  <si>
    <t xml:space="preserve">% of sales turnover</t>
  </si>
  <si>
    <t xml:space="preserve">Total income (Rs m)</t>
  </si>
  <si>
    <t xml:space="preserve">EBITDA calculations</t>
  </si>
  <si>
    <t xml:space="preserve">Value of exports (FOB)</t>
  </si>
  <si>
    <t xml:space="preserve">% change yoy</t>
  </si>
  <si>
    <t xml:space="preserve">% of gross sales</t>
  </si>
  <si>
    <t xml:space="preserve">Commission / discount per truck</t>
  </si>
  <si>
    <t xml:space="preserve">Other Income</t>
  </si>
  <si>
    <t xml:space="preserve">FY2012E</t>
  </si>
  <si>
    <t xml:space="preserve">Dividends</t>
  </si>
  <si>
    <t xml:space="preserve">   Trade</t>
  </si>
  <si>
    <t xml:space="preserve">   Others</t>
  </si>
  <si>
    <t xml:space="preserve">   Others (includes interest received)</t>
  </si>
  <si>
    <t xml:space="preserve">Interest Recd (% of cash balances) </t>
  </si>
  <si>
    <t xml:space="preserve">Lease rentals </t>
  </si>
  <si>
    <t xml:space="preserve">Rent received</t>
  </si>
  <si>
    <t xml:space="preserve">Miscellaneous income</t>
  </si>
  <si>
    <t xml:space="preserve">Profit on sale of investments / assets</t>
  </si>
  <si>
    <t xml:space="preserve">Net gain / (loss) arising on financial asset mandatorily measured at FVTPL</t>
  </si>
  <si>
    <t xml:space="preserve">% change</t>
  </si>
  <si>
    <t xml:space="preserve">Total income</t>
  </si>
  <si>
    <t xml:space="preserve">Costing</t>
  </si>
  <si>
    <t xml:space="preserve">MATERIALS</t>
  </si>
  <si>
    <t xml:space="preserve">Plates, sheets and angles</t>
  </si>
  <si>
    <t xml:space="preserve">Quantity (MT)</t>
  </si>
  <si>
    <t xml:space="preserve">Rate (Rs / MT)</t>
  </si>
  <si>
    <t xml:space="preserve">% increase</t>
  </si>
  <si>
    <t xml:space="preserve">Consumption norm</t>
  </si>
  <si>
    <t xml:space="preserve">% of raw material expenses</t>
  </si>
  <si>
    <t xml:space="preserve">Bars</t>
  </si>
  <si>
    <t xml:space="preserve">Steel tubes</t>
  </si>
  <si>
    <t xml:space="preserve">Quantity (Meters)</t>
  </si>
  <si>
    <t xml:space="preserve">Rate (Rs / Meter)</t>
  </si>
  <si>
    <t xml:space="preserve">Plates, sheets, bars, steel tubes and angles</t>
  </si>
  <si>
    <t xml:space="preserve">Pig iron, steel scrap and alloys</t>
  </si>
  <si>
    <t xml:space="preserve">Tyres, tubes &amp; flaps</t>
  </si>
  <si>
    <t xml:space="preserve">Quantity (Nos.)</t>
  </si>
  <si>
    <t xml:space="preserve">Rate (Rs / Nos.)</t>
  </si>
  <si>
    <t xml:space="preserve">Finished &amp; other items</t>
  </si>
  <si>
    <t xml:space="preserve">Components / vehicle (Rs)</t>
  </si>
  <si>
    <t xml:space="preserve">Forgings and castings</t>
  </si>
  <si>
    <t xml:space="preserve">Purchase of products for sale</t>
  </si>
  <si>
    <t xml:space="preserve">Traded engines</t>
  </si>
  <si>
    <t xml:space="preserve">Per vehicle</t>
  </si>
  <si>
    <t xml:space="preserve">Spare parts and auto comps</t>
  </si>
  <si>
    <t xml:space="preserve">Changes in stock &amp; scrap sales</t>
  </si>
  <si>
    <t xml:space="preserve">Less discounts</t>
  </si>
  <si>
    <t xml:space="preserve">RAW MATERIAL EXPENSES</t>
  </si>
  <si>
    <t xml:space="preserve">% of NET sales</t>
  </si>
  <si>
    <t xml:space="preserve">% growth yoy</t>
  </si>
  <si>
    <t xml:space="preserve">Raw material expenses / unit produced or sold</t>
  </si>
  <si>
    <t xml:space="preserve">EXCISE</t>
  </si>
  <si>
    <t xml:space="preserve">% of total operational income (gross)</t>
  </si>
  <si>
    <t xml:space="preserve">OTHER EXPENSES</t>
  </si>
  <si>
    <t xml:space="preserve">VARIABLE EXPENSES</t>
  </si>
  <si>
    <t xml:space="preserve">Tools &amp; consumable stores </t>
  </si>
  <si>
    <t xml:space="preserve">OTHER  VARIABLE EXPENSES</t>
  </si>
  <si>
    <t xml:space="preserve">TOTAL VARIABLE EXPENSES</t>
  </si>
  <si>
    <t xml:space="preserve">FIXED COSTS</t>
  </si>
  <si>
    <t xml:space="preserve">Power, fuel &amp; water</t>
  </si>
  <si>
    <t xml:space="preserve">Repairs and maintenance</t>
  </si>
  <si>
    <t xml:space="preserve">Employees*</t>
  </si>
  <si>
    <t xml:space="preserve">Salaries</t>
  </si>
  <si>
    <t xml:space="preserve">Statutory contributions</t>
  </si>
  <si>
    <t xml:space="preserve">Welfare</t>
  </si>
  <si>
    <t xml:space="preserve">Employee expense capitalised</t>
  </si>
  <si>
    <t xml:space="preserve">Total employee expenses</t>
  </si>
  <si>
    <t xml:space="preserve">Selling and administration</t>
  </si>
  <si>
    <t xml:space="preserve">Rent, rates &amp; taxes</t>
  </si>
  <si>
    <t xml:space="preserve">Insurance</t>
  </si>
  <si>
    <t xml:space="preserve">R&amp;D bad debts</t>
  </si>
  <si>
    <t xml:space="preserve">Excise Duty in value of finished goods</t>
  </si>
  <si>
    <t xml:space="preserve">TOTAL FIXED EXPENSES</t>
  </si>
  <si>
    <t xml:space="preserve">TOTAL expenses</t>
  </si>
  <si>
    <t xml:space="preserve">Less : expenses transferred</t>
  </si>
  <si>
    <t xml:space="preserve">to capital account</t>
  </si>
  <si>
    <t xml:space="preserve">Less: Transfer to General reserve</t>
  </si>
  <si>
    <t xml:space="preserve">Cost of Sales</t>
  </si>
  <si>
    <t xml:space="preserve">OPERATING PROFIT</t>
  </si>
  <si>
    <t xml:space="preserve">Margin (%)</t>
  </si>
  <si>
    <t xml:space="preserve">SALES VALUE (Rs m)</t>
  </si>
  <si>
    <t xml:space="preserve">net sales</t>
  </si>
  <si>
    <t xml:space="preserve">Mats expenses % of net sales</t>
  </si>
  <si>
    <t xml:space="preserve">components % of net sales</t>
  </si>
  <si>
    <t xml:space="preserve">labor % of net sales</t>
  </si>
  <si>
    <t xml:space="preserve">Capital Cost</t>
  </si>
  <si>
    <t xml:space="preserve">Interest, Depreciation &amp; Tax</t>
  </si>
  <si>
    <t xml:space="preserve">FY2000 </t>
  </si>
  <si>
    <t xml:space="preserve">FY 2008</t>
  </si>
  <si>
    <t xml:space="preserve">FY 2009</t>
  </si>
  <si>
    <t xml:space="preserve">Interest paid</t>
  </si>
  <si>
    <t xml:space="preserve">Wt average cost (%)</t>
  </si>
  <si>
    <t xml:space="preserve">Net interest</t>
  </si>
  <si>
    <t xml:space="preserve">% of average net block</t>
  </si>
  <si>
    <t xml:space="preserve">Exceptionals inc / (exp)</t>
  </si>
  <si>
    <t xml:space="preserve">Extra items &amp; contingencies</t>
  </si>
  <si>
    <t xml:space="preserve">Tax / PBT</t>
  </si>
  <si>
    <t xml:space="preserve">PAT (Pre - Exceptionals) </t>
  </si>
  <si>
    <t xml:space="preserve">Other comprehensive income</t>
  </si>
  <si>
    <t xml:space="preserve">Total comprehensive income</t>
  </si>
  <si>
    <t xml:space="preserve">Payout ratio</t>
  </si>
  <si>
    <t xml:space="preserve">Dividend Tax</t>
  </si>
  <si>
    <t xml:space="preserve">Interim dividend</t>
  </si>
  <si>
    <t xml:space="preserve">Final dividend</t>
  </si>
  <si>
    <t xml:space="preserve">Investment allowance reserve</t>
  </si>
  <si>
    <t xml:space="preserve">(wriiten back)</t>
  </si>
  <si>
    <t xml:space="preserve">Debenture redemption rese.</t>
  </si>
  <si>
    <t xml:space="preserve">General reserve</t>
  </si>
  <si>
    <t xml:space="preserve">Transfer to general reserve</t>
  </si>
  <si>
    <t xml:space="preserve">Depreciation calculation :</t>
  </si>
  <si>
    <t xml:space="preserve">Opening block</t>
  </si>
  <si>
    <t xml:space="preserve">Add : capex for year</t>
  </si>
  <si>
    <t xml:space="preserve">Closing block</t>
  </si>
  <si>
    <t xml:space="preserve">Depreciation rate (%)</t>
  </si>
  <si>
    <t xml:space="preserve">Tax calculation :</t>
  </si>
  <si>
    <t xml:space="preserve">Add book depreciation</t>
  </si>
  <si>
    <t xml:space="preserve">Add Tax deducted at source</t>
  </si>
  <si>
    <t xml:space="preserve">Opening balance</t>
  </si>
  <si>
    <t xml:space="preserve">Add capex</t>
  </si>
  <si>
    <t xml:space="preserve">IT Depreciation</t>
  </si>
  <si>
    <t xml:space="preserve">PBT for tax purposes</t>
  </si>
  <si>
    <t xml:space="preserve">Exports / Sales (%)</t>
  </si>
  <si>
    <t xml:space="preserve">Less : export profits</t>
  </si>
  <si>
    <t xml:space="preserve">Less : Dividends 80 M and other tax free income</t>
  </si>
  <si>
    <t xml:space="preserve">Tax @ 43% / 35% / 33.6</t>
  </si>
  <si>
    <t xml:space="preserve">Core EBDT</t>
  </si>
  <si>
    <t xml:space="preserve">Maintenance capex</t>
  </si>
  <si>
    <t xml:space="preserve">Change in Net Working Capital</t>
  </si>
  <si>
    <t xml:space="preserve">Op.Free cash Flow</t>
  </si>
  <si>
    <t xml:space="preserve">Balance Sheet  </t>
  </si>
  <si>
    <t xml:space="preserve">FY 2010</t>
  </si>
  <si>
    <t xml:space="preserve">FY 2011</t>
  </si>
  <si>
    <t xml:space="preserve">FY 2012E</t>
  </si>
  <si>
    <t xml:space="preserve">Sources of funds :</t>
  </si>
  <si>
    <t xml:space="preserve">16.97m shares already converted </t>
  </si>
  <si>
    <t xml:space="preserve">  Capital &amp; Cap redemption reserve </t>
  </si>
  <si>
    <t xml:space="preserve">  Share premium</t>
  </si>
  <si>
    <t xml:space="preserve">  Revaluation reserve</t>
  </si>
  <si>
    <t xml:space="preserve">  Investment allowance reserve</t>
  </si>
  <si>
    <t xml:space="preserve">  Export turnover &amp; contingency reserve</t>
  </si>
  <si>
    <t xml:space="preserve">  Debenture redemption reserve</t>
  </si>
  <si>
    <t xml:space="preserve">  General reserve</t>
  </si>
  <si>
    <t xml:space="preserve">  Surplus in P&amp;L</t>
  </si>
  <si>
    <t xml:space="preserve">Hedging Reserve</t>
  </si>
  <si>
    <t xml:space="preserve">Shares Pending Allotment</t>
  </si>
  <si>
    <t xml:space="preserve">Foreign currency monetary item translation difference</t>
  </si>
  <si>
    <t xml:space="preserve">Share options outstanding account</t>
  </si>
  <si>
    <t xml:space="preserve">Secured loans </t>
  </si>
  <si>
    <t xml:space="preserve">Debentures</t>
  </si>
  <si>
    <t xml:space="preserve">Term loans</t>
  </si>
  <si>
    <t xml:space="preserve">Bank credit</t>
  </si>
  <si>
    <t xml:space="preserve">Unsecured loans</t>
  </si>
  <si>
    <t xml:space="preserve">   Fixed deposits</t>
  </si>
  <si>
    <t xml:space="preserve">   Loans &amp; advances</t>
  </si>
  <si>
    <t xml:space="preserve">   Deferred liability </t>
  </si>
  <si>
    <t xml:space="preserve">   Unsecured short term borrowings</t>
  </si>
  <si>
    <t xml:space="preserve">Debenture (secured)</t>
  </si>
  <si>
    <t xml:space="preserve">Term Loans (secured)</t>
  </si>
  <si>
    <t xml:space="preserve">ECB (Unsecured)</t>
  </si>
  <si>
    <t xml:space="preserve">IFSTL (unsecured)</t>
  </si>
  <si>
    <t xml:space="preserve">Other loans from fin inst</t>
  </si>
  <si>
    <t xml:space="preserve">Current maturities of long term debt</t>
  </si>
  <si>
    <t xml:space="preserve">Deferred Tax Liability (Net)</t>
  </si>
  <si>
    <t xml:space="preserve">Foreign Currency translation difference / other long term liability</t>
  </si>
  <si>
    <t xml:space="preserve">Other long term liabilities</t>
  </si>
  <si>
    <t xml:space="preserve">Application of funds :</t>
  </si>
  <si>
    <t xml:space="preserve">Intangible assets and goodwill</t>
  </si>
  <si>
    <t xml:space="preserve">Fixed assets</t>
  </si>
  <si>
    <t xml:space="preserve">  Trade</t>
  </si>
  <si>
    <t xml:space="preserve">  Others / Current</t>
  </si>
  <si>
    <t xml:space="preserve">  Others</t>
  </si>
  <si>
    <t xml:space="preserve">Less: Provision for Diminution in value of investments</t>
  </si>
  <si>
    <t xml:space="preserve">Book value of quoted investments</t>
  </si>
  <si>
    <t xml:space="preserve">Mkt value of quoted investments</t>
  </si>
  <si>
    <t xml:space="preserve">Other long term assets</t>
  </si>
  <si>
    <t xml:space="preserve">  Raw materials</t>
  </si>
  <si>
    <t xml:space="preserve">  Stores &amp; spares</t>
  </si>
  <si>
    <t xml:space="preserve">  Consumable tools</t>
  </si>
  <si>
    <t xml:space="preserve">  Work in progress</t>
  </si>
  <si>
    <t xml:space="preserve">  Finished goods</t>
  </si>
  <si>
    <t xml:space="preserve">  Trading goods</t>
  </si>
  <si>
    <t xml:space="preserve">  Property development</t>
  </si>
  <si>
    <t xml:space="preserve">  Carbon Emission Rights</t>
  </si>
  <si>
    <t xml:space="preserve">   Advances and loans</t>
  </si>
  <si>
    <t xml:space="preserve">   Bills of exchange</t>
  </si>
  <si>
    <t xml:space="preserve">   Deposits with govt., etc.</t>
  </si>
  <si>
    <t xml:space="preserve">   Advances recoverable in cash</t>
  </si>
  <si>
    <t xml:space="preserve">  Taxation</t>
  </si>
  <si>
    <t xml:space="preserve">  Dividends</t>
  </si>
  <si>
    <t xml:space="preserve">Total current liabilities</t>
  </si>
  <si>
    <t xml:space="preserve">NWC wo cash and provisions</t>
  </si>
  <si>
    <t xml:space="preserve">Change in NWC</t>
  </si>
  <si>
    <t xml:space="preserve">Balance sheet structure</t>
  </si>
  <si>
    <t xml:space="preserve">(% of total)</t>
  </si>
  <si>
    <t xml:space="preserve">Non core current assets</t>
  </si>
  <si>
    <t xml:space="preserve">Ratios : </t>
  </si>
  <si>
    <t xml:space="preserve">Book value (Rs)</t>
  </si>
  <si>
    <t xml:space="preserve">Book value adjusted (Rs)</t>
  </si>
  <si>
    <t xml:space="preserve">Debt / Equity (x)</t>
  </si>
  <si>
    <t xml:space="preserve">ADD THE CPLTD TO DEBT TO CALCULATE DEBT / EQUITY</t>
  </si>
  <si>
    <t xml:space="preserve">Financial leverage (x)</t>
  </si>
  <si>
    <t xml:space="preserve">Debt assets ratio (x)</t>
  </si>
  <si>
    <t xml:space="preserve">Debt gearing (x)</t>
  </si>
  <si>
    <t xml:space="preserve">Return on equity (x)</t>
  </si>
  <si>
    <t xml:space="preserve">Return on capital employed (x)</t>
  </si>
  <si>
    <t xml:space="preserve">Return on invested capital (x)</t>
  </si>
  <si>
    <t xml:space="preserve">Current ratio (x)</t>
  </si>
  <si>
    <t xml:space="preserve">Quick / Acid test (x)</t>
  </si>
  <si>
    <t xml:space="preserve">net current assets / Rs of sales (x)</t>
  </si>
  <si>
    <t xml:space="preserve">NWC  / Rs of sales (x)</t>
  </si>
  <si>
    <t xml:space="preserve">Increase in wc / Rs inc in sales (x) </t>
  </si>
  <si>
    <t xml:space="preserve">Increase in nwc / Rs inc in sales (x)</t>
  </si>
  <si>
    <t xml:space="preserve">Inventory turnover (x)</t>
  </si>
  <si>
    <t xml:space="preserve">Re do FY93</t>
  </si>
  <si>
    <t xml:space="preserve">Inventory (days)</t>
  </si>
  <si>
    <t xml:space="preserve">Fixed assets turnover (x) </t>
  </si>
  <si>
    <t xml:space="preserve">Total assets turnover (x)</t>
  </si>
  <si>
    <t xml:space="preserve">Finished goods / Sales (%)</t>
  </si>
  <si>
    <t xml:space="preserve">Finished goods inventories (days)</t>
  </si>
  <si>
    <t xml:space="preserve">Raw materials  (%)</t>
  </si>
  <si>
    <t xml:space="preserve">Raw materials (days)</t>
  </si>
  <si>
    <t xml:space="preserve">Receivables / sales (%)</t>
  </si>
  <si>
    <t xml:space="preserve">Collection period (days) </t>
  </si>
  <si>
    <t xml:space="preserve">Payables / purchase (%)</t>
  </si>
  <si>
    <t xml:space="preserve">Average credit received (days)</t>
  </si>
  <si>
    <t xml:space="preserve">Stores, spares &amp; tools inventory</t>
  </si>
  <si>
    <t xml:space="preserve">(% of consumption)</t>
  </si>
  <si>
    <t xml:space="preserve">Du Pont analysis of ROE</t>
  </si>
  <si>
    <t xml:space="preserve">Operating PBDIT / sales</t>
  </si>
  <si>
    <t xml:space="preserve">PBDIT / Operating PBDIT</t>
  </si>
  <si>
    <t xml:space="preserve">Pre tax profits / PBDIT</t>
  </si>
  <si>
    <t xml:space="preserve">Sales / Total income</t>
  </si>
  <si>
    <t xml:space="preserve">Total income / total assets</t>
  </si>
  <si>
    <t xml:space="preserve">Total assets / net worth</t>
  </si>
  <si>
    <t xml:space="preserve">Net profits / pre tax profits</t>
  </si>
  <si>
    <t xml:space="preserve">ROE (year end)</t>
  </si>
  <si>
    <t xml:space="preserve">ROE (average)</t>
  </si>
  <si>
    <t xml:space="preserve">Cash Flow statement</t>
  </si>
  <si>
    <t xml:space="preserve">Working Capital Movement</t>
  </si>
  <si>
    <t xml:space="preserve">Operational Cash Flow</t>
  </si>
  <si>
    <t xml:space="preserve">Interest Paid</t>
  </si>
  <si>
    <t xml:space="preserve">Dividends Paid</t>
  </si>
  <si>
    <t xml:space="preserve">Tax Paid</t>
  </si>
  <si>
    <t xml:space="preserve">Capital Expenditure</t>
  </si>
  <si>
    <t xml:space="preserve">Net Acquisitions/Disposals</t>
  </si>
  <si>
    <t xml:space="preserve">Exceptionals</t>
  </si>
  <si>
    <t xml:space="preserve">Share Issues</t>
  </si>
  <si>
    <t xml:space="preserve">Movement in Net Debt/Net Cash</t>
  </si>
  <si>
    <t xml:space="preserve">validation</t>
  </si>
  <si>
    <t xml:space="preserve">Cash Flow Statement</t>
  </si>
  <si>
    <t xml:space="preserve">Change in DTL</t>
  </si>
  <si>
    <t xml:space="preserve">Add: D&amp;A</t>
  </si>
  <si>
    <t xml:space="preserve">Miscellaneous expenditure written off</t>
  </si>
  <si>
    <t xml:space="preserve">Chg in Debtors</t>
  </si>
  <si>
    <t xml:space="preserve">Chg in Loans &amp; Advances</t>
  </si>
  <si>
    <t xml:space="preserve">Chg in other CA</t>
  </si>
  <si>
    <t xml:space="preserve">Chg in CL</t>
  </si>
  <si>
    <t xml:space="preserve">Chg in Provisions</t>
  </si>
  <si>
    <t xml:space="preserve">Change in Working Capital</t>
  </si>
  <si>
    <t xml:space="preserve">Cash Flow from Operations</t>
  </si>
  <si>
    <t xml:space="preserve">Capex</t>
  </si>
  <si>
    <t xml:space="preserve">Change in Investments/Assets including goodwill</t>
  </si>
  <si>
    <t xml:space="preserve">Cash Flow from Investing Activities</t>
  </si>
  <si>
    <t xml:space="preserve">Change in Debt</t>
  </si>
  <si>
    <t xml:space="preserve">Change in Equity</t>
  </si>
  <si>
    <t xml:space="preserve">Change in Reserves</t>
  </si>
  <si>
    <t xml:space="preserve">Dividend and Dividend Tax</t>
  </si>
  <si>
    <t xml:space="preserve">Change in long term loans and advances and other non current assets</t>
  </si>
  <si>
    <t xml:space="preserve">Change in other long term liabilities and long term provisions</t>
  </si>
  <si>
    <t xml:space="preserve">Cash Flow from Financing Activities</t>
  </si>
  <si>
    <t xml:space="preserve">Extraordinary Items + Tax Adjustments + others</t>
  </si>
  <si>
    <t xml:space="preserve">Increase/(Decrease) in Cash</t>
  </si>
  <si>
    <t xml:space="preserve">Opening Cash and Bank Balance </t>
  </si>
  <si>
    <t xml:space="preserve">Closing Cash and Bank Balance</t>
  </si>
  <si>
    <t xml:space="preserve">Closing cash (calculated)</t>
  </si>
  <si>
    <t xml:space="preserve">Ashok Leyland  (AL IN)  —  Quarterly model, Ind AS</t>
  </si>
  <si>
    <t xml:space="preserve">Note: Have used our Q database for volumes   |   Restructured: actuals, estimates and annual columns separated; blank rows removed; colour coding applied. No values changed — see README.</t>
  </si>
  <si>
    <t xml:space="preserve">QUARTERLY — ACTUALS (reported)</t>
  </si>
  <si>
    <t xml:space="preserve">QUARTERLY — BSe ESTIMATES</t>
  </si>
  <si>
    <t xml:space="preserve">ANNUAL</t>
  </si>
  <si>
    <t xml:space="preserve">WORKINGS / CHECKS</t>
  </si>
  <si>
    <t xml:space="preserve">Fiscal year</t>
  </si>
  <si>
    <t xml:space="preserve">FY16</t>
  </si>
  <si>
    <t xml:space="preserve">FY17</t>
  </si>
  <si>
    <t xml:space="preserve">FY18</t>
  </si>
  <si>
    <t xml:space="preserve">FY26E</t>
  </si>
  <si>
    <t xml:space="preserve">Period</t>
  </si>
  <si>
    <t xml:space="preserve">1Q</t>
  </si>
  <si>
    <t xml:space="preserve">2Q</t>
  </si>
  <si>
    <t xml:space="preserve">3Q</t>
  </si>
  <si>
    <t xml:space="preserve">4Q</t>
  </si>
  <si>
    <t xml:space="preserve">3Q rest.</t>
  </si>
  <si>
    <t xml:space="preserve">4Q rest.</t>
  </si>
  <si>
    <t xml:space="preserve">1Q rest.</t>
  </si>
  <si>
    <t xml:space="preserve">2Q rest.</t>
  </si>
  <si>
    <t xml:space="preserve">(CE)</t>
  </si>
  <si>
    <t xml:space="preserve">(CH)</t>
  </si>
  <si>
    <t xml:space="preserve">(CI)</t>
  </si>
  <si>
    <t xml:space="preserve">(CJ)</t>
  </si>
  <si>
    <t xml:space="preserve">(CK)</t>
  </si>
  <si>
    <t xml:space="preserve">Source column</t>
  </si>
  <si>
    <t xml:space="preserve">src B</t>
  </si>
  <si>
    <t xml:space="preserve">src C</t>
  </si>
  <si>
    <t xml:space="preserve">src D</t>
  </si>
  <si>
    <t xml:space="preserve">src E</t>
  </si>
  <si>
    <t xml:space="preserve">src G</t>
  </si>
  <si>
    <t xml:space="preserve">src H</t>
  </si>
  <si>
    <t xml:space="preserve">src I</t>
  </si>
  <si>
    <t xml:space="preserve">src J</t>
  </si>
  <si>
    <t xml:space="preserve">src L</t>
  </si>
  <si>
    <t xml:space="preserve">src M</t>
  </si>
  <si>
    <t xml:space="preserve">src N</t>
  </si>
  <si>
    <t xml:space="preserve">src O</t>
  </si>
  <si>
    <t xml:space="preserve">src P</t>
  </si>
  <si>
    <t xml:space="preserve">src Q</t>
  </si>
  <si>
    <t xml:space="preserve">src R</t>
  </si>
  <si>
    <t xml:space="preserve">src S</t>
  </si>
  <si>
    <t xml:space="preserve">src T</t>
  </si>
  <si>
    <t xml:space="preserve">src U</t>
  </si>
  <si>
    <t xml:space="preserve">src V</t>
  </si>
  <si>
    <t xml:space="preserve">src X</t>
  </si>
  <si>
    <t xml:space="preserve">src Z</t>
  </si>
  <si>
    <t xml:space="preserve">src AB</t>
  </si>
  <si>
    <t xml:space="preserve">src AD</t>
  </si>
  <si>
    <t xml:space="preserve">src AF</t>
  </si>
  <si>
    <t xml:space="preserve">src AH</t>
  </si>
  <si>
    <t xml:space="preserve">src AJ</t>
  </si>
  <si>
    <t xml:space="preserve">src AL</t>
  </si>
  <si>
    <t xml:space="preserve">src AN</t>
  </si>
  <si>
    <t xml:space="preserve">src AP</t>
  </si>
  <si>
    <t xml:space="preserve">src AR</t>
  </si>
  <si>
    <t xml:space="preserve">src AT</t>
  </si>
  <si>
    <t xml:space="preserve">src AV</t>
  </si>
  <si>
    <t xml:space="preserve">src AX</t>
  </si>
  <si>
    <t xml:space="preserve">src AZ</t>
  </si>
  <si>
    <t xml:space="preserve">src BB</t>
  </si>
  <si>
    <t xml:space="preserve">src BD</t>
  </si>
  <si>
    <t xml:space="preserve">src BF</t>
  </si>
  <si>
    <t xml:space="preserve">src BH</t>
  </si>
  <si>
    <t xml:space="preserve">src BJ</t>
  </si>
  <si>
    <t xml:space="preserve">src BL</t>
  </si>
  <si>
    <t xml:space="preserve">src BN</t>
  </si>
  <si>
    <t xml:space="preserve">src BP</t>
  </si>
  <si>
    <t xml:space="preserve">src BR</t>
  </si>
  <si>
    <t xml:space="preserve">src BT</t>
  </si>
  <si>
    <t xml:space="preserve">src BV</t>
  </si>
  <si>
    <t xml:space="preserve">src BX</t>
  </si>
  <si>
    <t xml:space="preserve">src BZ</t>
  </si>
  <si>
    <t xml:space="preserve">src CB</t>
  </si>
  <si>
    <t xml:space="preserve">src CD</t>
  </si>
  <si>
    <t xml:space="preserve">src W</t>
  </si>
  <si>
    <t xml:space="preserve">src Y</t>
  </si>
  <si>
    <t xml:space="preserve">src AA</t>
  </si>
  <si>
    <t xml:space="preserve">src AC</t>
  </si>
  <si>
    <t xml:space="preserve">src AE</t>
  </si>
  <si>
    <t xml:space="preserve">src AG</t>
  </si>
  <si>
    <t xml:space="preserve">src AI</t>
  </si>
  <si>
    <t xml:space="preserve">src AK</t>
  </si>
  <si>
    <t xml:space="preserve">src AM</t>
  </si>
  <si>
    <t xml:space="preserve">src AO</t>
  </si>
  <si>
    <t xml:space="preserve">src AQ</t>
  </si>
  <si>
    <t xml:space="preserve">src AS</t>
  </si>
  <si>
    <t xml:space="preserve">src AU</t>
  </si>
  <si>
    <t xml:space="preserve">src AW</t>
  </si>
  <si>
    <t xml:space="preserve">src AY</t>
  </si>
  <si>
    <t xml:space="preserve">src BA</t>
  </si>
  <si>
    <t xml:space="preserve">src BC</t>
  </si>
  <si>
    <t xml:space="preserve">src BE</t>
  </si>
  <si>
    <t xml:space="preserve">src BG</t>
  </si>
  <si>
    <t xml:space="preserve">src BI</t>
  </si>
  <si>
    <t xml:space="preserve">src BK</t>
  </si>
  <si>
    <t xml:space="preserve">src BM</t>
  </si>
  <si>
    <t xml:space="preserve">src BO</t>
  </si>
  <si>
    <t xml:space="preserve">src BQ</t>
  </si>
  <si>
    <t xml:space="preserve">src BS</t>
  </si>
  <si>
    <t xml:space="preserve">src BU</t>
  </si>
  <si>
    <t xml:space="preserve">src BW</t>
  </si>
  <si>
    <t xml:space="preserve">src BY</t>
  </si>
  <si>
    <t xml:space="preserve">src CA</t>
  </si>
  <si>
    <t xml:space="preserve">src CC</t>
  </si>
  <si>
    <t xml:space="preserve">src F</t>
  </si>
  <si>
    <t xml:space="preserve">src K</t>
  </si>
  <si>
    <t xml:space="preserve">src CG</t>
  </si>
  <si>
    <t xml:space="preserve">src CE</t>
  </si>
  <si>
    <t xml:space="preserve">src CF</t>
  </si>
  <si>
    <t xml:space="preserve">src CH</t>
  </si>
  <si>
    <t xml:space="preserve">src CI</t>
  </si>
  <si>
    <t xml:space="preserve">src CJ</t>
  </si>
  <si>
    <t xml:space="preserve">src CK</t>
  </si>
  <si>
    <t xml:space="preserve">VOLUMES (Nos.)</t>
  </si>
  <si>
    <t xml:space="preserve">Total CVs</t>
  </si>
  <si>
    <t xml:space="preserve">MIX &amp; GROWTH RATIOS</t>
  </si>
  <si>
    <t xml:space="preserve">Product mix (%)</t>
  </si>
  <si>
    <t xml:space="preserve">LCVs and others</t>
  </si>
  <si>
    <t xml:space="preserve">Volumes (Nos.)</t>
  </si>
  <si>
    <t xml:space="preserve">REVENUE BUILD</t>
  </si>
  <si>
    <t xml:space="preserve">Engine Sales (Rs m)</t>
  </si>
  <si>
    <t xml:space="preserve">Spare parts+Kits (Rs m)</t>
  </si>
  <si>
    <t xml:space="preserve">Defence (kits) </t>
  </si>
  <si>
    <t xml:space="preserve">Discounts</t>
  </si>
  <si>
    <t xml:space="preserve">Average Realisations (Rs m)</t>
  </si>
  <si>
    <t xml:space="preserve">(INR m)</t>
  </si>
  <si>
    <t xml:space="preserve">INCOME STATEMENT (INR m)</t>
  </si>
  <si>
    <t xml:space="preserve">Gross Sales</t>
  </si>
  <si>
    <t xml:space="preserve">Less: Excise duty</t>
  </si>
  <si>
    <t xml:space="preserve">Decrease/(Increase) in Stocks</t>
  </si>
  <si>
    <t xml:space="preserve">Raw Materials</t>
  </si>
  <si>
    <t xml:space="preserve">Staff costs</t>
  </si>
  <si>
    <t xml:space="preserve">Other Expenses</t>
  </si>
  <si>
    <t xml:space="preserve">Provision for contingencies</t>
  </si>
  <si>
    <t xml:space="preserve">Total Expenditure </t>
  </si>
  <si>
    <t xml:space="preserve">Forex gain / (losses)</t>
  </si>
  <si>
    <t xml:space="preserve">Depreciation &amp; Amortization</t>
  </si>
  <si>
    <t xml:space="preserve">Exceptional income</t>
  </si>
  <si>
    <t xml:space="preserve">Exceptional expenditure</t>
  </si>
  <si>
    <t xml:space="preserve">PAT (pre exceptionals)</t>
  </si>
  <si>
    <t xml:space="preserve">Total reported comprehensive income</t>
  </si>
  <si>
    <t xml:space="preserve">DERIVED P&amp;L LINES</t>
  </si>
  <si>
    <t xml:space="preserve">EBIT (ex other income)</t>
  </si>
  <si>
    <t xml:space="preserve">PROFIT MARGINS</t>
  </si>
  <si>
    <t xml:space="preserve">EBITDA (%) net sales</t>
  </si>
  <si>
    <t xml:space="preserve">Interest cover (x)</t>
  </si>
  <si>
    <t xml:space="preserve">Net profit margins (%) Net Sales</t>
  </si>
  <si>
    <t xml:space="preserve">COST RATIOS</t>
  </si>
  <si>
    <t xml:space="preserve">Cost ratios</t>
  </si>
  <si>
    <t xml:space="preserve">Raw materials / sales</t>
  </si>
  <si>
    <t xml:space="preserve">Staff costs / sales</t>
  </si>
  <si>
    <t xml:space="preserve">Other expenses / sales</t>
  </si>
  <si>
    <t xml:space="preserve">PER SHARE</t>
  </si>
  <si>
    <t xml:space="preserve">EPS (Rs) reported PAT</t>
  </si>
  <si>
    <t xml:space="preserve">PER VEHICLE (INR)</t>
  </si>
  <si>
    <t xml:space="preserve">Average Realizations</t>
  </si>
  <si>
    <t xml:space="preserve">Material Cost / Vehicle</t>
  </si>
  <si>
    <t xml:space="preserve">Gross Contribution / Vehicle</t>
  </si>
  <si>
    <t xml:space="preserve">EBITDA / Vehicle</t>
  </si>
  <si>
    <t xml:space="preserve">BALANCE SHEET ITEMS (INR m)</t>
  </si>
  <si>
    <t xml:space="preserve">Investment in Optare/Switch</t>
  </si>
  <si>
    <t xml:space="preserve">RESULT vs BSe — COMMENTARY</t>
  </si>
  <si>
    <t xml:space="preserve">2% ahead </t>
  </si>
  <si>
    <t xml:space="preserve">1% ahead</t>
  </si>
  <si>
    <t xml:space="preserve">5% ahead</t>
  </si>
  <si>
    <t xml:space="preserve">4% ahead</t>
  </si>
  <si>
    <t xml:space="preserve">2% behind </t>
  </si>
  <si>
    <t xml:space="preserve">4.8% ahead</t>
  </si>
  <si>
    <t xml:space="preserve">7.9% behind</t>
  </si>
  <si>
    <t xml:space="preserve">2.5% ahead</t>
  </si>
  <si>
    <t xml:space="preserve">17.2% behind</t>
  </si>
  <si>
    <t xml:space="preserve">1.6% behind</t>
  </si>
  <si>
    <t xml:space="preserve">17% ahead</t>
  </si>
  <si>
    <t xml:space="preserve">2% ahead</t>
  </si>
  <si>
    <t xml:space="preserve">30 bps ahead</t>
  </si>
  <si>
    <t xml:space="preserve">90 bps behind</t>
  </si>
  <si>
    <t xml:space="preserve">10 bps ahead</t>
  </si>
  <si>
    <t xml:space="preserve">190 bps behind</t>
  </si>
  <si>
    <t xml:space="preserve">25 bps behind</t>
  </si>
  <si>
    <t xml:space="preserve">120 bps ahead</t>
  </si>
  <si>
    <t xml:space="preserve">44 bps ahead</t>
  </si>
  <si>
    <t xml:space="preserve">3.6% ahead</t>
  </si>
  <si>
    <t xml:space="preserve">13.3% behind</t>
  </si>
  <si>
    <t xml:space="preserve">27.1% ahead</t>
  </si>
  <si>
    <t xml:space="preserve">28.6% behind</t>
  </si>
  <si>
    <t xml:space="preserve">2.3% behind </t>
  </si>
  <si>
    <t xml:space="preserve">19.3% ahead</t>
  </si>
  <si>
    <t xml:space="preserve">9.5%  ahead</t>
  </si>
  <si>
    <t xml:space="preserve">100 bps lower </t>
  </si>
  <si>
    <t xml:space="preserve">325bps higher</t>
  </si>
  <si>
    <t xml:space="preserve">Vitiated by impairments, tax write backs</t>
  </si>
  <si>
    <t xml:space="preserve">250 bps lower </t>
  </si>
  <si>
    <t xml:space="preserve">170bps higher</t>
  </si>
  <si>
    <t xml:space="preserve">160bps higher</t>
  </si>
  <si>
    <t xml:space="preserve">280bps lower</t>
  </si>
  <si>
    <t xml:space="preserve">SEGMENT MIX — GOODS CVs, DOMESTIC (Nos.)</t>
  </si>
  <si>
    <t xml:space="preserve">7.5-12 MT</t>
  </si>
  <si>
    <t xml:space="preserve">12-16.2 MT</t>
  </si>
  <si>
    <t xml:space="preserve">16.2-25 MT</t>
  </si>
  <si>
    <t xml:space="preserve">&gt; 25 MT</t>
  </si>
  <si>
    <t xml:space="preserve">26.4-35.2 TT</t>
  </si>
  <si>
    <t xml:space="preserve">&gt;35.2 TT</t>
  </si>
  <si>
    <t xml:space="preserve">SEGMENT MIX — GOODS CVs, DOMESTIC (%)</t>
  </si>
  <si>
    <t xml:space="preserve">ORPHAN CALC ROWS — unlabelled in source, preserved</t>
  </si>
  <si>
    <t xml:space="preserve">PARKING LOT — blank template rows retained from source</t>
  </si>
  <si>
    <t xml:space="preserve">Pax (domestic)</t>
  </si>
  <si>
    <t xml:space="preserve">7.5-12</t>
  </si>
  <si>
    <t xml:space="preserve">12-16.2</t>
  </si>
  <si>
    <t xml:space="preserve">%</t>
  </si>
  <si>
    <t xml:space="preserve">Industry vols in domestic goods</t>
  </si>
  <si>
    <t xml:space="preserve">ALL mkt sh</t>
  </si>
  <si>
    <t xml:space="preserve">Ashok Leyland</t>
  </si>
  <si>
    <t xml:space="preserve">1QFY07</t>
  </si>
  <si>
    <t xml:space="preserve">2QFY07</t>
  </si>
  <si>
    <t xml:space="preserve">3QFY07</t>
  </si>
  <si>
    <t xml:space="preserve">4QFY07</t>
  </si>
  <si>
    <t xml:space="preserve">1QFY08</t>
  </si>
  <si>
    <t xml:space="preserve">2QFY08</t>
  </si>
  <si>
    <t xml:space="preserve">3QFY08</t>
  </si>
  <si>
    <t xml:space="preserve">4QFY08</t>
  </si>
  <si>
    <t xml:space="preserve">1QFY09</t>
  </si>
  <si>
    <t xml:space="preserve">2QFY09</t>
  </si>
  <si>
    <t xml:space="preserve">3QFY09</t>
  </si>
  <si>
    <t xml:space="preserve">4QFY09</t>
  </si>
  <si>
    <t xml:space="preserve">1QFY10</t>
  </si>
  <si>
    <t xml:space="preserve">2QFY10</t>
  </si>
  <si>
    <t xml:space="preserve">3QFY10</t>
  </si>
  <si>
    <t xml:space="preserve">4QFY10A</t>
  </si>
  <si>
    <t xml:space="preserve">1QFY11A</t>
  </si>
  <si>
    <t xml:space="preserve">2QFY11A</t>
  </si>
  <si>
    <t xml:space="preserve">3QFY11A</t>
  </si>
  <si>
    <t xml:space="preserve">4QFY11A</t>
  </si>
  <si>
    <t xml:space="preserve">FY11</t>
  </si>
  <si>
    <t xml:space="preserve">1QFY12A</t>
  </si>
  <si>
    <t xml:space="preserve">2QFY12A</t>
  </si>
  <si>
    <t xml:space="preserve">3QFY12A</t>
  </si>
  <si>
    <t xml:space="preserve">4QFY12A</t>
  </si>
  <si>
    <t xml:space="preserve">1QFY13A</t>
  </si>
  <si>
    <t xml:space="preserve">2QFY13A</t>
  </si>
  <si>
    <t xml:space="preserve">3QFY13A</t>
  </si>
  <si>
    <t xml:space="preserve">4QFY13A</t>
  </si>
  <si>
    <t xml:space="preserve">1QFY14A</t>
  </si>
  <si>
    <t xml:space="preserve">2QFY14A</t>
  </si>
  <si>
    <t xml:space="preserve">3QFY14A</t>
  </si>
  <si>
    <t xml:space="preserve">4QFY14A</t>
  </si>
  <si>
    <t xml:space="preserve">1QFY15A</t>
  </si>
  <si>
    <t xml:space="preserve">2QFY15A</t>
  </si>
  <si>
    <t xml:space="preserve">3QFY15A</t>
  </si>
  <si>
    <t xml:space="preserve">4QFY15A</t>
  </si>
  <si>
    <t xml:space="preserve">FY15</t>
  </si>
  <si>
    <t xml:space="preserve">1QFY16A</t>
  </si>
  <si>
    <t xml:space="preserve">2QFY16A</t>
  </si>
  <si>
    <t xml:space="preserve">3QFY16E</t>
  </si>
  <si>
    <t xml:space="preserve">3QFY16A</t>
  </si>
  <si>
    <t xml:space="preserve">4QFY16E</t>
  </si>
  <si>
    <t xml:space="preserve">4QFY16A</t>
  </si>
  <si>
    <t xml:space="preserve">1QFY17E</t>
  </si>
  <si>
    <t xml:space="preserve">Note: Have used our Q database for volumes </t>
  </si>
  <si>
    <t xml:space="preserve">Forex</t>
  </si>
  <si>
    <t xml:space="preserve">EBITDA (%)</t>
  </si>
  <si>
    <t xml:space="preserve">EBIT (%)</t>
  </si>
  <si>
    <t xml:space="preserve">Excise / sales</t>
  </si>
  <si>
    <t xml:space="preserve">1) Why interest cost has increased? Debt repayment schedule?</t>
  </si>
  <si>
    <t xml:space="preserve">To understand mix shift better</t>
  </si>
  <si>
    <t xml:space="preserve">Goods CVs (domestic)</t>
  </si>
  <si>
    <t xml:space="preserve">E6XYB6412478</t>
  </si>
  <si>
    <t xml:space="preserve">From Company Annual Report</t>
  </si>
  <si>
    <t xml:space="preserve">From Citi model</t>
  </si>
  <si>
    <t xml:space="preserve">Estimates</t>
  </si>
  <si>
    <t xml:space="preserve">Terminal</t>
  </si>
  <si>
    <t xml:space="preserve">FY14</t>
  </si>
  <si>
    <t xml:space="preserve">FY29</t>
  </si>
  <si>
    <t xml:space="preserve">FY30</t>
  </si>
  <si>
    <t xml:space="preserve">Margin</t>
  </si>
  <si>
    <t xml:space="preserve">Less tax</t>
  </si>
  <si>
    <t xml:space="preserve">(inc)/dec in working capital</t>
  </si>
  <si>
    <t xml:space="preserve">CFO</t>
  </si>
  <si>
    <t xml:space="preserve">Capex (purchase of tangible and intangible assets, netted)</t>
  </si>
  <si>
    <t xml:space="preserve">FCF</t>
  </si>
  <si>
    <t xml:space="preserve">t=</t>
  </si>
  <si>
    <t xml:space="preserve">Discount rate</t>
  </si>
  <si>
    <t xml:space="preserve">PV of CF</t>
  </si>
  <si>
    <t xml:space="preserve">WACC</t>
  </si>
  <si>
    <t xml:space="preserve">Terminal growth rate</t>
  </si>
  <si>
    <t xml:space="preserve">Terminal multiple</t>
  </si>
  <si>
    <t xml:space="preserve">NPV of terminal value</t>
  </si>
  <si>
    <t xml:space="preserve">NPV of cash flows</t>
  </si>
  <si>
    <t xml:space="preserve">Enterprise value</t>
  </si>
  <si>
    <t xml:space="preserve">Less: Net debt/(net cash)</t>
  </si>
  <si>
    <t xml:space="preserve">Equity value</t>
  </si>
  <si>
    <t xml:space="preserve">No of shares</t>
  </si>
  <si>
    <t xml:space="preserve">Value per share (Rs)</t>
  </si>
  <si>
    <t xml:space="preserve">Weighted Average Cost of Capital (%)</t>
  </si>
  <si>
    <t xml:space="preserve">Rf</t>
  </si>
  <si>
    <t xml:space="preserve">MRP</t>
  </si>
  <si>
    <t xml:space="preserve">Beta (Equity)</t>
  </si>
  <si>
    <t xml:space="preserve">Cost of Equity</t>
  </si>
  <si>
    <t xml:space="preserve">Cost of Debt</t>
  </si>
  <si>
    <t xml:space="preserve">Tax Rate </t>
  </si>
  <si>
    <t xml:space="preserve">After-Tax Cost of Debt</t>
  </si>
  <si>
    <t xml:space="preserve">Debt/EV</t>
  </si>
  <si>
    <t xml:space="preserve">Equity/EV</t>
  </si>
  <si>
    <t xml:space="preserve">Ashok Leyland Ltd</t>
  </si>
  <si>
    <t xml:space="preserve">Why the poor ROE and ROCE - ALL does not cover its cost of capital and is a shareholder value destroyer ?</t>
  </si>
  <si>
    <t xml:space="preserve">Is this because of lack of economies fo scale due to multiple locations and small capacities or has capacity been set up at very high costs !</t>
  </si>
  <si>
    <t xml:space="preserve">What steps to change this ? any internal targets ?</t>
  </si>
  <si>
    <t xml:space="preserve">66% of reserves from share premium - even the book value is built up on shareholders inflows </t>
  </si>
  <si>
    <t xml:space="preserve">Debenture repayment schedule</t>
  </si>
  <si>
    <t xml:space="preserve">9A</t>
  </si>
  <si>
    <t xml:space="preserve">Sale of stake in Indus Ind</t>
  </si>
  <si>
    <t xml:space="preserve">Book value / SH</t>
  </si>
  <si>
    <t xml:space="preserve">Total shares (mn)</t>
  </si>
  <si>
    <t xml:space="preserve">Total shares o/s (I Ind) mn</t>
  </si>
  <si>
    <t xml:space="preserve">Max stake ALL can hold</t>
  </si>
  <si>
    <t xml:space="preserve">shares to be sold</t>
  </si>
  <si>
    <t xml:space="preserve">share actually sold</t>
  </si>
  <si>
    <t xml:space="preserve">avg sale price / sh</t>
  </si>
  <si>
    <t xml:space="preserve">profit / sh </t>
  </si>
  <si>
    <t xml:space="preserve">gain on sale</t>
  </si>
  <si>
    <t xml:space="preserve">further shares to be sold</t>
  </si>
  <si>
    <t xml:space="preserve">book vale of residual stake (mn)</t>
  </si>
  <si>
    <t xml:space="preserve">average realisations up by almost 6.6% because of more MAVs sold</t>
  </si>
  <si>
    <t xml:space="preserve">total FCCNs of USD 1000 each</t>
  </si>
  <si>
    <t xml:space="preserve">NEW: </t>
  </si>
  <si>
    <t xml:space="preserve">Conversion at Rs31 / sh</t>
  </si>
  <si>
    <t xml:space="preserve">each FCCN is</t>
  </si>
  <si>
    <t xml:space="preserve">shares of Rs10 each</t>
  </si>
  <si>
    <t xml:space="preserve">m shares additional</t>
  </si>
  <si>
    <t xml:space="preserve">which is</t>
  </si>
  <si>
    <t xml:space="preserve">shares of Rs1 each</t>
  </si>
  <si>
    <t xml:space="preserve">into 100,000 notes</t>
  </si>
  <si>
    <t xml:space="preserve">total shares</t>
  </si>
  <si>
    <t xml:space="preserve">share premium</t>
  </si>
  <si>
    <t xml:space="preserve">or</t>
  </si>
  <si>
    <t xml:space="preserve">mn shares</t>
  </si>
  <si>
    <t xml:space="preserve">MKT SHARE</t>
  </si>
  <si>
    <t xml:space="preserve">FY06 sales expectations</t>
  </si>
  <si>
    <t xml:space="preserve">FY05</t>
  </si>
  <si>
    <t xml:space="preserve">FY06</t>
  </si>
  <si>
    <t xml:space="preserve">YOY GR (%)</t>
  </si>
  <si>
    <t xml:space="preserve">YTD</t>
  </si>
  <si>
    <t xml:space="preserve">fy05</t>
  </si>
  <si>
    <t xml:space="preserve">fY06ytd</t>
  </si>
  <si>
    <t xml:space="preserve">Total </t>
  </si>
  <si>
    <t xml:space="preserve">domestic</t>
  </si>
  <si>
    <t xml:space="preserve">exports</t>
  </si>
  <si>
    <t xml:space="preserve">Total mkt</t>
  </si>
  <si>
    <t xml:space="preserve">apr - June 05</t>
  </si>
  <si>
    <t xml:space="preserve">growth YTD</t>
  </si>
  <si>
    <t xml:space="preserve">rest of year</t>
  </si>
  <si>
    <t xml:space="preserve">growth rest of year</t>
  </si>
  <si>
    <t xml:space="preserve">MHCV</t>
  </si>
  <si>
    <t xml:space="preserve">TAMO</t>
  </si>
  <si>
    <t xml:space="preserve">ALL</t>
  </si>
  <si>
    <t xml:space="preserve">Eicher</t>
  </si>
  <si>
    <t xml:space="preserve">Tatra </t>
  </si>
  <si>
    <t xml:space="preserve">Volvo</t>
  </si>
  <si>
    <t xml:space="preserve">swaraj</t>
  </si>
  <si>
    <t xml:space="preserve">Hind Motors</t>
  </si>
  <si>
    <t xml:space="preserve">Mkt sh</t>
  </si>
  <si>
    <t xml:space="preserve">From the ALL FY06 presentation</t>
  </si>
  <si>
    <t xml:space="preserve">Segment</t>
  </si>
  <si>
    <t xml:space="preserve">2003-04</t>
  </si>
  <si>
    <t xml:space="preserve">2004-05</t>
  </si>
  <si>
    <t xml:space="preserve">2005-06</t>
  </si>
  <si>
    <t xml:space="preserve">TIV</t>
  </si>
  <si>
    <t xml:space="preserve">AL</t>
  </si>
  <si>
    <t xml:space="preserve">MS %</t>
  </si>
  <si>
    <t xml:space="preserve">Haulage</t>
  </si>
  <si>
    <t xml:space="preserve">MAV</t>
  </si>
  <si>
    <t xml:space="preserve">Tractor</t>
  </si>
  <si>
    <t xml:space="preserve">Tipper</t>
  </si>
  <si>
    <t xml:space="preserve">Goods</t>
  </si>
  <si>
    <t xml:space="preserve">Pass Pvt</t>
  </si>
  <si>
    <t xml:space="preserve">Pass STU</t>
  </si>
  <si>
    <t xml:space="preserve">Pass Total</t>
  </si>
  <si>
    <t xml:space="preserve">MDV</t>
  </si>
  <si>
    <t xml:space="preserve">New product launches</t>
  </si>
  <si>
    <t xml:space="preserve">•ICV - 1512 with  H Series engine </t>
  </si>
  <si>
    <t xml:space="preserve">•Semi Forward Control in Tipper and Haulage segments </t>
  </si>
  <si>
    <t xml:space="preserve">•Tractor range - 6x2 / 6x4 with 210-350 hp engine and GTW up to 49T </t>
  </si>
  <si>
    <t xml:space="preserve">•Tipper 8x4 with 350 hp engine </t>
  </si>
  <si>
    <t xml:space="preserve">•InterCentury Luxura bus </t>
  </si>
  <si>
    <t xml:space="preserve">•Branded Buses </t>
  </si>
  <si>
    <t xml:space="preserve">•Defence sector - HMV and other logistics vehicles </t>
  </si>
  <si>
    <t xml:space="preserve">Efficiency improvements</t>
  </si>
  <si>
    <t xml:space="preserve">•Material cost reduction </t>
  </si>
  <si>
    <t xml:space="preserve">–Emphasis on e-sourcing and global sourcing to play a beneficial role   </t>
  </si>
  <si>
    <t xml:space="preserve">–Continued focus on value engineering initiatives to improve margins in all existing / new products </t>
  </si>
  <si>
    <t xml:space="preserve">•Mission Gemba </t>
  </si>
  <si>
    <t xml:space="preserve">–Shop floor-led team initiative with focus on creating value through empowerment and improving resource utilisation </t>
  </si>
  <si>
    <t xml:space="preserve">tgt 300 bps improvement in 2 yrs</t>
  </si>
  <si>
    <t xml:space="preserve">MDV Passenger</t>
  </si>
  <si>
    <t xml:space="preserve">Sales Domestic </t>
  </si>
  <si>
    <t xml:space="preserve">Sales Exports </t>
  </si>
  <si>
    <t xml:space="preserve">MDV Goods</t>
  </si>
  <si>
    <t xml:space="preserve">YTD growth </t>
  </si>
  <si>
    <t xml:space="preserve">computations for fy07 - mdv goods domestic </t>
  </si>
  <si>
    <t xml:space="preserve">rest of fy06 (aug - mar) </t>
  </si>
  <si>
    <t xml:space="preserve">LCV</t>
  </si>
  <si>
    <t xml:space="preserve">rest of fy07</t>
  </si>
  <si>
    <t xml:space="preserve">rest of the year it is -3% growth in HCVs - on my assumption</t>
  </si>
  <si>
    <t xml:space="preserve">Sales Exports</t>
  </si>
  <si>
    <t xml:space="preserve">5299 is the addition that will take the overall vehicle sales to 75k </t>
  </si>
  <si>
    <t xml:space="preserve">on that new basis, rest of the fiscal growth is </t>
  </si>
  <si>
    <t xml:space="preserve">total estimated for fy07</t>
  </si>
  <si>
    <t xml:space="preserve">mthly average for rest of fiscal 2007</t>
  </si>
  <si>
    <t xml:space="preserve">to do for ALL / queries </t>
  </si>
  <si>
    <t xml:space="preserve">1 - library - get all the recent reports </t>
  </si>
  <si>
    <t xml:space="preserve">2 - what is the outlook for vols - 75k or more - if u do say 82k, then what is the outlook for fy08</t>
  </si>
  <si>
    <t xml:space="preserve">3 - when will euro 4 be implemented? </t>
  </si>
  <si>
    <t xml:space="preserve">4 - cost of conversion to euro 4?</t>
  </si>
  <si>
    <t xml:space="preserve">5 - overloading ban - whats the scenario as of now - am hearing that overloading is back</t>
  </si>
  <si>
    <t xml:space="preserve">6 - mats cost schedule - why did plates, sheets and angles suddenly double in quantum terms? Any reclassification in accounts?</t>
  </si>
  <si>
    <t xml:space="preserve">7 - why did s&amp;d go up so much?</t>
  </si>
  <si>
    <t xml:space="preserve">8 - outlook for mats costs in fy07?</t>
  </si>
  <si>
    <t xml:space="preserve">9 - where do u see margins in FY07? Flat or declining?</t>
  </si>
  <si>
    <t xml:space="preserve">10 - any price increases this yr for vehicles? </t>
  </si>
  <si>
    <t xml:space="preserve">11 - engines - read that vols are going to be doubled this fiscal? YTD engine sales?</t>
  </si>
  <si>
    <t xml:space="preserve">12 - how is the spares business going?</t>
  </si>
  <si>
    <t xml:space="preserve">13 - chk rubber prices from Infac</t>
  </si>
  <si>
    <t xml:space="preserve">14 - how much still left in Indus ind bank?</t>
  </si>
  <si>
    <t xml:space="preserve">15 - this spares business of ALL (component sourcing) - will they meet tgts in fy07-09? Margins on this biz?</t>
  </si>
  <si>
    <t xml:space="preserve">16 - when is the FCCB / GDR happening?</t>
  </si>
  <si>
    <t xml:space="preserve">17 - any wage settlements this yr?</t>
  </si>
  <si>
    <t xml:space="preserve">18 - buses - why the dramatic decline in dd thus far in FY07? Some dislocation?</t>
  </si>
  <si>
    <t xml:space="preserve">notes:</t>
  </si>
  <si>
    <t xml:space="preserve">Total R&amp;D as % of total turnover = 1.7%</t>
  </si>
  <si>
    <t xml:space="preserve">forex earnings (FOB value for vehicles, engines etc) = Rs4.513bn</t>
  </si>
  <si>
    <t xml:space="preserve">forex imports = 1.457bn INR</t>
  </si>
  <si>
    <t xml:space="preserve">dividend of Rs1.2 / sh (payout compute) </t>
  </si>
  <si>
    <t xml:space="preserve">Employees = 11845 (slight reduction over FY05) </t>
  </si>
  <si>
    <t xml:space="preserve">Seshasayee on till 2009</t>
  </si>
  <si>
    <t xml:space="preserve">Both GDRs and FCCNs are listed on the London Stock Exchange</t>
  </si>
  <si>
    <t xml:space="preserve">overlaoding ban will warrant significant changes in vehicle design to enhance productivity</t>
  </si>
  <si>
    <t xml:space="preserve">another significant development is the demand for the introduction of low floor city buses, which is expected to playa major role in defining urnam transportation in India.</t>
  </si>
  <si>
    <t xml:space="preserve">capacity = 77,200 units</t>
  </si>
  <si>
    <t xml:space="preserve">water bowsers for the Indian army - probably 600 will be sold in FY07</t>
  </si>
  <si>
    <t xml:space="preserve">components business - include in spares - take 45cr in FY07 (as per mgmt guidance in the PR) - for fy08, take $25m, for FY09 take $50m</t>
  </si>
  <si>
    <t xml:space="preserve">product launches in FY07 </t>
  </si>
  <si>
    <t xml:space="preserve">Newgen cab</t>
  </si>
  <si>
    <t xml:space="preserve">260hp rear engine InterCentury Luxura coach</t>
  </si>
  <si>
    <t xml:space="preserve">&gt;300hp tipper and tractor</t>
  </si>
  <si>
    <t xml:space="preserve">exports of 4879 units in fy06 - up 22% excluding the one - off impact </t>
  </si>
  <si>
    <t xml:space="preserve">exports were 8% of sales in FY06 - tgts 10% in next few yrs</t>
  </si>
  <si>
    <t xml:space="preserve">7261 engines in FY06 - tgting export mkts for these now</t>
  </si>
  <si>
    <t xml:space="preserve">spare parts up 44% - CKD kits to Indian army</t>
  </si>
  <si>
    <t xml:space="preserve">capacity of 100k units by FY08</t>
  </si>
  <si>
    <t xml:space="preserve">STEEL</t>
  </si>
  <si>
    <t xml:space="preserve">Long term elongated cycle - will be periods of excesive volatility - but primarily for commercial grade steel - </t>
  </si>
  <si>
    <t xml:space="preserve">But for auto grade steel - contractual - discounting with downward bias till March or so - post that, global steel moves up - unless major slow down globally - </t>
  </si>
  <si>
    <t xml:space="preserve">Steel - prices will be volatile with a </t>
  </si>
  <si>
    <t xml:space="preserve">BUT- Japanese steel majors have upped earnings estimates - got price hikes for body sheets - 5% hike </t>
  </si>
  <si>
    <t xml:space="preserve">ALUMINUM</t>
  </si>
  <si>
    <t xml:space="preserve">Will remain strong - no roll back on that either - </t>
  </si>
  <si>
    <t xml:space="preserve">Hino to source engine components from Ashok Leyland</t>
  </si>
  <si>
    <t xml:space="preserve">Saturday, 05 August , 2006, 08:27</t>
  </si>
  <si>
    <t xml:space="preserve">Chennai: A team from Hino Motors, Japan, will be here in about a week to finalise a sourcing deal with Ashok Leyland. When the deal happens, it will mark the first step of Ashok Leyland's fledgling auto components group into the Japanese market.</t>
  </si>
  <si>
    <t xml:space="preserve">Hino could be buying a number of auto components from Ashok Leyland, from engine blocks to smaller components such as water pumps, S. Nagarajan, Executive Director, Ashok Leyland, told Business Line on Friday.</t>
  </si>
  <si>
    <t xml:space="preserve">He said Hino was stopping production of some models of engines, but there was a demand for spares for those engines from South East Asia, West Asia and Africa. "It is a big market," Nagarajan said, adding that he was confident of getting a big chunk of the business.</t>
  </si>
  <si>
    <t xml:space="preserve">Hino and Ashok Leyland have been partners for a long time. A number of Ashok Leyland's trucks are fitted with Hino engines - produced by Ashok Leyland under a technology licence from Hino. Only in 2003 did the two companies formalise a tie-up for transfer of technology for high-powered (J series) engines.</t>
  </si>
  <si>
    <t xml:space="preserve">Hence Ashok Leyland is well experienced in manufacturing Hino engines. Producing (or sourcing) components for the engines is therefore not a big deal for the truck manufacturer.</t>
  </si>
  <si>
    <t xml:space="preserve">The auto components group is in its first year of operations. The division was set up with a mandate to grow a components business making use of the manufacturing and vendor development capabilities of Ashok Leyland. The company has said that it targets a turnover of $ 100 million in 2009. In the current year, the division expects a turnover of $ 10 million (Rs 45 crore). Recently, it picked up a Rs 7-crore order for gearbox components from Iran.</t>
  </si>
  <si>
    <t xml:space="preserve">Nagarajan said the division would focus on exporting castings, forgings, gears, machined and press metal parts. It is positioning itself as a one-stop-shop for purchase of components that can work with customers right from the stage of developing prototypes. The division is marketing itself using a `Source with Confidence' catchphrase, drawing attention to a number of factors that could give confidence to the buyer.</t>
  </si>
  <si>
    <t xml:space="preserve">One is Ashok Leyland's long experience in sourcing components. The company buys components worth $ 650 million (Rs 3,000 crore) a year. Secondly, in case a customer wants a prototype to be designed and developed, there is the `design and engineering services' division of Ashok Leyland.</t>
  </si>
  <si>
    <t xml:space="preserve">For production, there are facilities of both Ashok Leyland and group company, Ennore Foundries, which is putting up a state-of-the-art foundry near Chennai.</t>
  </si>
  <si>
    <t xml:space="preserve">Nagarajan expects good demand from the refurbishing industry in US and Europe, which would need a steady supply of components. He said his division could supply components 20 per cent cheaper than the existing vendors of OE in the developed countries, without any let-up in quality.</t>
  </si>
  <si>
    <t xml:space="preserve">CHERIAN</t>
  </si>
  <si>
    <t xml:space="preserve">Main routes - not come off - inter - state not come off - will rise post monsoons - Insurance - 3% will increase to 5% on a 5 lakh car Within states - overloading is rampant - inter - state, it is being implemented - 60-70% 0f the traffic is within the states - 30% of the vehicles are currently being implemented Vehicle population - 3.4m - 22m on national permit - Average age of fleet - national permit - 8 yrs, Intra - state - 18 - 19 yrs, Inter - state - 12-13 yrs</t>
  </si>
  <si>
    <t xml:space="preserve">Auto policy expectations -</t>
  </si>
  <si>
    <t xml:space="preserve">Old vehicles wont be scrapped - not too much of an impact - </t>
  </si>
  <si>
    <t xml:space="preserve">1 - No. of employees (currently)~11500</t>
  </si>
  <si>
    <t xml:space="preserve">2 - what is the outlook for vols for FY07 - realistically - let us say that if ALL achieves 75000 this fiscal, what is the outlook for FY08? - 75k internal target - FY08 thinks 10% </t>
  </si>
  <si>
    <t xml:space="preserve">3 - when will euro 4 be implemented? Apr1 2010</t>
  </si>
  <si>
    <t xml:space="preserve">4 - what might be tentative cost of conversion to euro 4 (in % terms?) - what sort of platform, H series engine - no idea right now? </t>
  </si>
  <si>
    <t xml:space="preserve">5 - overloading ban - whats the scenario as of now - am hearing that overloading is back - Maha, Guj, strict - north - Raj, MP, lax - authorities taking a lenient view within intra - state movement - but doesn’t expect sales to collapse</t>
  </si>
  <si>
    <t xml:space="preserve">6 - materials cost schedule - why did plates, sheets and angles suddenly double in quantum terms? Any reclassification in accounts? NO</t>
  </si>
  <si>
    <t xml:space="preserve">7 - why did sales and distribution costs go up so much? Expect it to remain at FY07 levels</t>
  </si>
  <si>
    <t xml:space="preserve">8 - outlook for materials costs in fy07? Expects it to go up - marginally as % of sakes </t>
  </si>
  <si>
    <t xml:space="preserve">9 - where do u see margins in FY07? Flat or declining? - FLAT</t>
  </si>
  <si>
    <t xml:space="preserve">10 - any further price increases this yr for vehicles? - 2% in July - would like to take, but depends on what TTMT does</t>
  </si>
  <si>
    <t xml:space="preserve">11 - engines - read that vols are going to be doubled this fiscal? - traded engines also - escorts - all genset applications - Could you please tell me 1Q engine sales? - sold ~1740 engines in 1qfy07 (but traded were 50 units) - but will increase 2, 3q </t>
  </si>
  <si>
    <t xml:space="preserve">12 - What is growth outlook for the spares business? will they meet tgts in fy07-09? What are the margins on this biz? Auto comp biz - $8m will be done in Fy07 - lot of time in product validation - </t>
  </si>
  <si>
    <t xml:space="preserve">13 - No. of vendors and dealers that ALL currently has?</t>
  </si>
  <si>
    <t xml:space="preserve">14 - how much equity stake still left in Indus ind bank? - couple of days ago sold some shares - RBI has not extended - </t>
  </si>
  <si>
    <t xml:space="preserve">16 - when is the FCCB / GDR happening? - current financial year - $150m </t>
  </si>
  <si>
    <t xml:space="preserve">17 - any wage settlements this yr? - all over - take 10% this and next yr </t>
  </si>
  <si>
    <t xml:space="preserve">18 - buses - why the dramatic decline in dd thus far in FY07? Some dislocation? - end FY07 would be flat - no decline over last yr - </t>
  </si>
  <si>
    <t xml:space="preserve">Minimum low end bus will be 12 - 13 lakhs - chassis condition only - around 6.5 lakh including excise - excluding ST and others  -  </t>
  </si>
  <si>
    <t xml:space="preserve">Capex - 350cr this yr - next yr 200cr - </t>
  </si>
  <si>
    <t xml:space="preserve">Capacities 77- 100cr - invest for cabin mfg, r and d, hino j series, </t>
  </si>
  <si>
    <t xml:space="preserve">Hope you're doing well. I have the foll. queries on ALL - could I request you to please respond at the earliest? Also could I request you to pls revert on Mr Sridharan's schedule - have fixed the UTI mtg tentatively for Fri, but wanted to reconfirm mr S's availability </t>
  </si>
  <si>
    <t xml:space="preserve">FY07 AR comments</t>
  </si>
  <si>
    <t xml:space="preserve">R&amp;D - total of 1.9% of turnover </t>
  </si>
  <si>
    <t xml:space="preserve">total of Rs 1564.02m </t>
  </si>
  <si>
    <t xml:space="preserve">Avia - says performance of the business has improved since they have taken over. </t>
  </si>
  <si>
    <t xml:space="preserve">FCCB - conversion reset at Rs30 / share</t>
  </si>
  <si>
    <t xml:space="preserve">share holding pattern - 51% is promoter holding; FIIs hold 10.8%</t>
  </si>
  <si>
    <t xml:space="preserve">5400 FCCNs - still to be converted as at 31 Mar </t>
  </si>
  <si>
    <t xml:space="preserve">at the new reset price of Rs30</t>
  </si>
  <si>
    <t xml:space="preserve">m shares</t>
  </si>
  <si>
    <t xml:space="preserve">no. of shares - for full conversion of the FCCNs</t>
  </si>
  <si>
    <t xml:space="preserve">Bus assemby in Ras al R - go onstream in Mar 08</t>
  </si>
  <si>
    <t xml:space="preserve">Uttarakhand facility - 50k units capacity - operational by FY09e</t>
  </si>
  <si>
    <t xml:space="preserve">Capex of Rs6135m </t>
  </si>
  <si>
    <t xml:space="preserve">FY07 annual results PPT</t>
  </si>
  <si>
    <t xml:space="preserve">engines - volumes + 23%</t>
  </si>
  <si>
    <t xml:space="preserve">Leyparts - sales at Rs3288m + 26% y/y</t>
  </si>
  <si>
    <t xml:space="preserve">fully built solutions almost Rs230cr of sales</t>
  </si>
  <si>
    <t xml:space="preserve">2006-07</t>
  </si>
  <si>
    <t xml:space="preserve">% Inc (Dec)</t>
  </si>
  <si>
    <t xml:space="preserve">Domestic Civilian</t>
  </si>
  <si>
    <t xml:space="preserve">   Passenger</t>
  </si>
  <si>
    <t xml:space="preserve">   Goods</t>
  </si>
  <si>
    <t xml:space="preserve">   Total</t>
  </si>
  <si>
    <t xml:space="preserve">Defence</t>
  </si>
  <si>
    <t xml:space="preserve">Exports</t>
  </si>
  <si>
    <t xml:space="preserve">Total vehicles </t>
  </si>
  <si>
    <t xml:space="preserve">Spares incl Defence </t>
  </si>
  <si>
    <t xml:space="preserve">(Rs million)</t>
  </si>
  <si>
    <t xml:space="preserve">Engine development</t>
  </si>
  <si>
    <t xml:space="preserve">Euro 2 compliant engine developed on the popular H6 cylinder platform </t>
  </si>
  <si>
    <t xml:space="preserve">Using a Bosch In-line pump which is less sensitive to fuel quality, less expensive to maintain and hence preferred by the market </t>
  </si>
  <si>
    <t xml:space="preserve">Excellent fuel consumption </t>
  </si>
  <si>
    <t xml:space="preserve">Designed &amp; developed in-house in five months flat </t>
  </si>
  <si>
    <t xml:space="preserve">Product segment</t>
  </si>
  <si>
    <t xml:space="preserve">Tractor Trailers </t>
  </si>
  <si>
    <t xml:space="preserve">Tippers</t>
  </si>
  <si>
    <t xml:space="preserve">On chassis products on MAV / Haulage / ICV / LCV</t>
  </si>
  <si>
    <t xml:space="preserve">TOTAL</t>
  </si>
  <si>
    <t xml:space="preserve">After market support</t>
  </si>
  <si>
    <t xml:space="preserve">Added</t>
  </si>
  <si>
    <t xml:space="preserve">Current</t>
  </si>
  <si>
    <t xml:space="preserve">Dealership outlets</t>
  </si>
  <si>
    <t xml:space="preserve">Authorized Service Centres</t>
  </si>
  <si>
    <t xml:space="preserve">Work bays</t>
  </si>
  <si>
    <t xml:space="preserve">currently 12,000 nos of employees</t>
  </si>
  <si>
    <t xml:space="preserve">RAKIA (Ras al K) </t>
  </si>
  <si>
    <t xml:space="preserve">total investment of 38cr </t>
  </si>
  <si>
    <t xml:space="preserve">capacity of 1000 units pa</t>
  </si>
  <si>
    <t xml:space="preserve">manufacturing to start in Mar08</t>
  </si>
  <si>
    <t xml:space="preserve">South Africa</t>
  </si>
  <si>
    <t xml:space="preserve">vehicle asembly of 1200 units - thinking of setting up plant - costing not yet decided...timing also not decided</t>
  </si>
  <si>
    <t xml:space="preserve">cater to N African mkt</t>
  </si>
  <si>
    <t xml:space="preserve">Imported raw materials = Rs1815.29m </t>
  </si>
  <si>
    <t xml:space="preserve">exports = Rs6292.15m </t>
  </si>
  <si>
    <t xml:space="preserve">F/X exposure</t>
  </si>
  <si>
    <t xml:space="preserve">earned</t>
  </si>
  <si>
    <t xml:space="preserve">spent</t>
  </si>
  <si>
    <t xml:space="preserve">net earned</t>
  </si>
  <si>
    <t xml:space="preserve">Qs</t>
  </si>
  <si>
    <t xml:space="preserve">bus facility in Ras a K - total capex - 34cr total capacity of 1000 unit, will be scaled to 2000, when will it be started? 4q current year, part of ALL - unit;  What is the size of the bus mkt there? More than 2-3000 units in UAE, main players Nissan (exports) Tgt mkts - S Africa, UAE. supply from here now - transfer kits, sell there...no extra benefits because exports are tax free</t>
  </si>
  <si>
    <t xml:space="preserve">Only assembly plant - where will mfr of engines and aggregates happen? - engines, aggregates, etc everything here..</t>
  </si>
  <si>
    <t xml:space="preserve">Plant wise capex</t>
  </si>
  <si>
    <t xml:space="preserve">FY08</t>
  </si>
  <si>
    <t xml:space="preserve">FY09</t>
  </si>
  <si>
    <t xml:space="preserve">FY10</t>
  </si>
  <si>
    <t xml:space="preserve">Capex (Rs m) </t>
  </si>
  <si>
    <t xml:space="preserve">Ennore </t>
  </si>
  <si>
    <t xml:space="preserve">Uttaranchal</t>
  </si>
  <si>
    <t xml:space="preserve">Total units</t>
  </si>
  <si>
    <t xml:space="preserve">Other capex</t>
  </si>
  <si>
    <t xml:space="preserve">R&amp;D </t>
  </si>
  <si>
    <t xml:space="preserve">possible new plant - might be shelved...</t>
  </si>
  <si>
    <t xml:space="preserve">total capex</t>
  </si>
  <si>
    <t xml:space="preserve">1000cr</t>
  </si>
  <si>
    <t xml:space="preserve">1000cr-1200cr</t>
  </si>
  <si>
    <t xml:space="preserve">1000cr - FY10</t>
  </si>
  <si>
    <t xml:space="preserve">include RAK, not AVIA, not DTE, </t>
  </si>
  <si>
    <t xml:space="preserve">FY08 110,000 units, FY09 - uttaranchal - 25000, uchal will be 50k in FY10 </t>
  </si>
  <si>
    <t xml:space="preserve">Total of 160k units in FY10</t>
  </si>
  <si>
    <t xml:space="preserve">another location in S India - maybe TN, or AP</t>
  </si>
  <si>
    <t xml:space="preserve">Funding </t>
  </si>
  <si>
    <t xml:space="preserve">$250m ECB funding - to be raised in next few mths - no FCCB</t>
  </si>
  <si>
    <t xml:space="preserve">Avia</t>
  </si>
  <si>
    <t xml:space="preserve">former owners were VCs - purchased from Daewoo around 3-4 yrs ago...</t>
  </si>
  <si>
    <t xml:space="preserve">total investment outlay -$35m -  total size of plant there - capacity of 20k units, mkt size - export opportunities? - yes, good brand name, How much export to India? - not yet - but plans - can bring cab here, but lots of tooling and devpt; timelines - at least 2 years to turn it around - not much significant investment on capex to take to 20k units; product range - 6-12MT range - might not bring the product into india, but just bring the cab. </t>
  </si>
  <si>
    <t xml:space="preserve">Current output only 1400 units - 100 vehicles per mth. What is the thought on dealership and after sales service network?</t>
  </si>
  <si>
    <t xml:space="preserve">ALL mktg ppl have gone there - exports to East Europe, Germany, etc. </t>
  </si>
  <si>
    <t xml:space="preserve">158cr loan given to Avia - over and above the $35m - part to where is it depicted in the BS? Also, what is total investment in Avia?</t>
  </si>
  <si>
    <t xml:space="preserve">what is the investment stake in Avia? AR says 40% - yes, but that is only in ALL -  effectively own 100% - ALL, Ashley - etc -own - so in ALL's books it is an associate concern</t>
  </si>
  <si>
    <t xml:space="preserve">currently still in advances - may remain in advances, or go into investment block </t>
  </si>
  <si>
    <t xml:space="preserve">New products?</t>
  </si>
  <si>
    <t xml:space="preserve">total outlay - pipeline - 49mt truck launch in 3q07, 2518 tipper (launched), luxury bus - 35-40 seater - launch in 3q; taurus and tusker euro 3 versions, mini bus - stag with CNG; fy09 / 10 - no details as yet </t>
  </si>
  <si>
    <t xml:space="preserve">euro 3 to euro 4 - cost of upgrade (also euro 2 to euro 3) </t>
  </si>
  <si>
    <t xml:space="preserve">what is cost of devpt of euro 4 engine?</t>
  </si>
  <si>
    <t xml:space="preserve">no details - effective cost / vehicle - 50,000 - euro 2 to 3; euro 1 to 2 = 25000</t>
  </si>
  <si>
    <t xml:space="preserve">Deferrred sales tax - which facility - how long till? - for TN, implemented VAT in fy07 - to the extent of sales tax in inputs - around 10-12000 / vehicle. </t>
  </si>
  <si>
    <t xml:space="preserve">anything new on emission norms? - april 1, 2010</t>
  </si>
  <si>
    <t xml:space="preserve">current no. of vendors? - around 300-500 - Rationalisation of vendors? - rationalised from 1500 to 500, will not rationalise beyond; </t>
  </si>
  <si>
    <t xml:space="preserve">DTE acquisition? Component testing co - for autos - can be used as a front, maybe some synergies from Ashley Design, Updates? Cost? $30m, no idea of employees, but the co. is making cash profits; revenue of this co - not known, $30m in FY08e; 100% acquired - but not yet decided if it will be in investment co. or ALL - tax implications -  </t>
  </si>
  <si>
    <t xml:space="preserve">total fund raising - quantum - debt or FCCB or equity?</t>
  </si>
  <si>
    <t xml:space="preserve">industry related - </t>
  </si>
  <si>
    <t xml:space="preserve">2nd hand prices, turnaround times, etc - Aug is "chalta hai" - OK - recovery from Sept - increasing stock levels - 8700 trucks vs. 7000 units of stock - diesel prices - don’t think they will be increased now; operator profitability good, but will defer if they think it can fall more...</t>
  </si>
  <si>
    <t xml:space="preserve">shift to heavier tonnages - how is it happening? - still continues - ALL makes more money on higher tonnages both in absolute Rs terms and % terms</t>
  </si>
  <si>
    <t xml:space="preserve">STUs - practically no margins now - STUs - 50% of bus sales - </t>
  </si>
  <si>
    <t xml:space="preserve">outlook of 100,000 units in Jan 07, now 90k vehicles in FY08e</t>
  </si>
  <si>
    <t xml:space="preserve">exports tgt</t>
  </si>
  <si>
    <t xml:space="preserve">8000 units - Sri Lanka, Gulf, </t>
  </si>
  <si>
    <t xml:space="preserve">domestic </t>
  </si>
  <si>
    <t xml:space="preserve">Material costs: </t>
  </si>
  <si>
    <t xml:space="preserve">pressure continues - e-sourcing, VA and VE - maintian OP - don’t expect 1Q to continue - spare sales, FX - maintain margins with 90k units - ebitda of 10% </t>
  </si>
  <si>
    <t xml:space="preserve">Labor front - no more VRS - add 6-700 at least at uttaranchal - </t>
  </si>
  <si>
    <t xml:space="preserve">currently around 12,000 ppl now </t>
  </si>
  <si>
    <t xml:space="preserve">wage settlement at Bhandara in Nov - around 700ppl </t>
  </si>
  <si>
    <t xml:space="preserve">New players tie up - Hindujas want to hold 51% - share holding is not compromisable. </t>
  </si>
  <si>
    <t xml:space="preserve">LCVs - nothing significant</t>
  </si>
  <si>
    <t xml:space="preserve">Price hikes - 2.5% in June, </t>
  </si>
  <si>
    <t xml:space="preserve">discounts - not v. high - mkt is down, folks asking for discounts </t>
  </si>
  <si>
    <t xml:space="preserve">Eicher - 9% mkt share - not too many discounts - no real price wars - </t>
  </si>
  <si>
    <t xml:space="preserve">Bus mkt - around 10% - TN govt - 1Q order - overall only 10% for full yr </t>
  </si>
  <si>
    <t xml:space="preserve">Mats cost reduction - something in tyres, but not beyond that..steel will continue to go up - </t>
  </si>
  <si>
    <t xml:space="preserve">basic costs - steel, marginal Al, rubber and tires, </t>
  </si>
  <si>
    <t xml:space="preserve">total vehicles in the mkt - </t>
  </si>
  <si>
    <t xml:space="preserve">1/3 is inter state; 2/3 is intra state; overloading is allowed in 2/3rd...</t>
  </si>
  <si>
    <t xml:space="preserve">haulage is being impacted...16 tonners and 25 tonners; not TTs, tippers, </t>
  </si>
  <si>
    <t xml:space="preserve">Alteans</t>
  </si>
  <si>
    <t xml:space="preserve">15 mths timeline, total investment of 120cr - debt - equity of 1/1; by ALL and investment co. ALL holds 25% in the venture - mkts will be auto and telecom parts, cell phone equipment, supply in europe and India. </t>
  </si>
  <si>
    <t xml:space="preserve">FY08 AR highlights</t>
  </si>
  <si>
    <t xml:space="preserve">Gained market share in bus but lost market share in trucks</t>
  </si>
  <si>
    <t xml:space="preserve">New Gen cabin expected to be produced in FY09 will further help gain market share </t>
  </si>
  <si>
    <t xml:space="preserve">exports- sold 7285 units growth of 21%</t>
  </si>
  <si>
    <t xml:space="preserve">12169 engines were sold and spare parts sales were Rs 7236 million (+45% YoY)</t>
  </si>
  <si>
    <t xml:space="preserve">Uttarakhand unit of 50000 units production scheduled before June 2010</t>
  </si>
  <si>
    <t xml:space="preserve">Nissan -AL LCV products to be rolled out in Fy11</t>
  </si>
  <si>
    <t xml:space="preserve">Commencement of Alteams high pressure die casting products expected by end of 2008</t>
  </si>
  <si>
    <t xml:space="preserve">CV units of 700 were sold by Avia</t>
  </si>
  <si>
    <t xml:space="preserve">Production capacity will be increased to 184,000 units in next 2-3 years</t>
  </si>
  <si>
    <t xml:space="preserve">Uttarakhand capacity should be completed by march 2010 to avail of fiscal benefits</t>
  </si>
  <si>
    <t xml:space="preserve">Non cyclical revenues formed about 33% of total revenues by FY08 vs. 24% in FY07</t>
  </si>
  <si>
    <t xml:space="preserve">Factory built gensets formed about 17% of total engine volume</t>
  </si>
  <si>
    <t xml:space="preserve">Average price hike - 4.5% in FY08</t>
  </si>
  <si>
    <t xml:space="preserve">Capex incurred- Rs 6959 million</t>
  </si>
  <si>
    <t xml:space="preserve">ECB tied up with banks- 270 million USD, 90 million have been used </t>
  </si>
  <si>
    <t xml:space="preserve">FCCN issued in April 2004 have been converted except for USD 1 million representing 1% of the total issue size of USD 100 million</t>
  </si>
  <si>
    <t xml:space="preserve">127 million was charged as part of VRS expenses </t>
  </si>
  <si>
    <t xml:space="preserve">By redesign and material elimination savings of rs 314 per chassis has been achieved, annual savings of Rs 250 million</t>
  </si>
  <si>
    <t xml:space="preserve">Notes on ALL - Mar09</t>
  </si>
  <si>
    <t xml:space="preserve">facility at Uttrakhand – even with</t>
  </si>
  <si>
    <t xml:space="preserve">reduction in excise duty, benefit per vehicle at Uttrakhand is Rs60,000-70,000. This</t>
  </si>
  <si>
    <t xml:space="preserve">would give ALL competitive advantage as none of its competitors enjoys such a</t>
  </si>
  <si>
    <t xml:space="preserve">benefit.</t>
  </si>
  <si>
    <t xml:space="preserve">ALL plans to release Rs6bn from WC over Q4FY09, which would help payoff short</t>
  </si>
  <si>
    <t xml:space="preserve">term debts and bring down interest cost. The company plans to reduce gross WC by</t>
  </si>
  <si>
    <t xml:space="preserve">Rs8bn via: i) reduction in fixed-goods inventory by 4,000 units, resulting in cash</t>
  </si>
  <si>
    <t xml:space="preserve">release of ~Rs4bn, ii) reduction in raw material inventory by Rs2bn and iii) reduction in</t>
  </si>
  <si>
    <t xml:space="preserve">debtors by 2bn. However, the company has overdue payments of Rs2bn; hence, net</t>
  </si>
  <si>
    <t xml:space="preserve">reduction in WC would be Rs6bn.</t>
  </si>
  <si>
    <t xml:space="preserve">Savings in capex would accrue from: i) scaling</t>
  </si>
  <si>
    <t xml:space="preserve">down capacity addition from 70,000 to 50,000 at the company’s plant at Uttrakhand,</t>
  </si>
  <si>
    <t xml:space="preserve">resulting in savings of Rs7bn, ii) freeze on gearbox &amp; engine capacity addition at</t>
  </si>
  <si>
    <t xml:space="preserve">Ennore and iii) price negotiations on contracts with softening of commodities. Installed</t>
  </si>
  <si>
    <t xml:space="preserve">capacity would stand at 100,000 units at end-FY09 and 150,000 at end-FY10.</t>
  </si>
  <si>
    <t xml:space="preserve">ALL is aggressively focusing on cost reduction on all fronts: i) Raw materials – In</t>
  </si>
  <si>
    <t xml:space="preserve">H1FY09, the company incurred Rs55,000-60,000 increase in raw materials per</t>
  </si>
  <si>
    <t xml:space="preserve">vehicle. However, since then, commodity prices have softened. The company realised</t>
  </si>
  <si>
    <t xml:space="preserve">25-30% reduction in raw materials in Q4FY09, with FY10 likely to witness full benefit</t>
  </si>
  <si>
    <t xml:space="preserve">of the commodities softening; ii) Reduction in salaries – ALL has reduced 2,000</t>
  </si>
  <si>
    <t xml:space="preserve">casual workers and its manned capacity is 72,000 units at present. Further, it has</t>
  </si>
  <si>
    <t xml:space="preserve">reduced number of working days from six days per week to three. In line with this, the</t>
  </si>
  <si>
    <t xml:space="preserve">company has trimmed bonuses, incentives and leave encashment for workers.</t>
  </si>
  <si>
    <t xml:space="preserve">Executives, too, have witnessed salary cuts. Based on the aforementioned, the</t>
  </si>
  <si>
    <t xml:space="preserve">company’s wage bill in FY09 is expected to be 20% lower vis-à-vis FY08; iii)</t>
  </si>
  <si>
    <t xml:space="preserve">Reduction in admin costs – ALL has sharply cut down on travel, advertisement &amp;</t>
  </si>
  <si>
    <t xml:space="preserve">publicity costs and deferred some repair expenses. It saved Rs200mn in Q3FY09</t>
  </si>
  <si>
    <t xml:space="preserve">through these austere measures and expects similar savings in Q4FY09.</t>
  </si>
  <si>
    <t xml:space="preserve">ALL has plans of a number of launches to enhance its market share. These are: i)</t>
  </si>
  <si>
    <t xml:space="preserve">launch of 40.19 – cost effective for overloading; ii) launch of 25.16 – new superhaulage,</t>
  </si>
  <si>
    <t xml:space="preserve">MAVs with refined H series engine; iii) ongoing development of Neptune</t>
  </si>
  <si>
    <t xml:space="preserve">engine (being co-developed by Prague-based Avia); to be introduced in April ’10</t>
  </si>
  <si>
    <t xml:space="preserve">(compliant with Euro IV norms; could be scaled-up to meet Euro V norms). Neptune</t>
  </si>
  <si>
    <t xml:space="preserve">would be at least 20% more fuel-efficient vis-à-vis existing engine. Neptune would be</t>
  </si>
  <si>
    <t xml:space="preserve">4-cylinder engine with 160HP as against a normal 6-cylinder engine with 160HP; iv)</t>
  </si>
  <si>
    <t xml:space="preserve">modular platform for cabs that would be launched mid ’10; v) Unitruck, along the lines</t>
  </si>
  <si>
    <t xml:space="preserve">of Tata Motors’ World Truck with launch slated in mid ’10.</t>
  </si>
  <si>
    <t xml:space="preserve">Haulage and multi-axle vehicles (MAVs) have begun witnessing slight signs</t>
  </si>
  <si>
    <t xml:space="preserve">of growth. However, growth in tractor trailers (used for exports) remains flat.</t>
  </si>
  <si>
    <t xml:space="preserve">FY11 annual report analysis</t>
  </si>
  <si>
    <t xml:space="preserve">key thoughts…</t>
  </si>
  <si>
    <t xml:space="preserve">1 - mgmt shift - Dharam Hinduja chairman, Sesh exec VC, Vinod Dasari MD, Sumantran on the BoD as well…good team</t>
  </si>
  <si>
    <t xml:space="preserve">2 - plan to be in top 10 global truck mfrs in &gt;7.5MT GVW in 5 years, be in top 5 in buses in &gt;8m category </t>
  </si>
  <si>
    <t xml:space="preserve">3 - R&amp;D - &gt;1000 engineers and growing </t>
  </si>
  <si>
    <t xml:space="preserve">4 - ICVs - upgrade Ecomet range for domestic and export markets </t>
  </si>
  <si>
    <t xml:space="preserve">5 - LCVs - 3-6MT GVW - Dost in 3 MT category, then 6 MT and finally pax minivan. Dost has payload of 1.25 MT</t>
  </si>
  <si>
    <t xml:space="preserve">6 - Pantnagar - eventual full capacity will be 75000 units </t>
  </si>
  <si>
    <t xml:space="preserve">7 - R&amp;D </t>
  </si>
  <si>
    <t xml:space="preserve">capital </t>
  </si>
  <si>
    <t xml:space="preserve">revenue </t>
  </si>
  <si>
    <t xml:space="preserve">total </t>
  </si>
  <si>
    <t xml:space="preserve">7 - dividend - 200% - Rs 2 / sh of FV 1 </t>
  </si>
  <si>
    <t xml:space="preserve">8 - 1:1 bonus issuance..</t>
  </si>
  <si>
    <t xml:space="preserve">9 - U Truck - basically got a good response - sold 1100 units in 6 mths after launch </t>
  </si>
  <si>
    <t xml:space="preserve">9 - dealer outlets - increased from 178 to 205 </t>
  </si>
  <si>
    <t xml:space="preserve">authorised service centers - increased from 138 to 155 </t>
  </si>
  <si>
    <t xml:space="preserve">10 - Hinduja Leyland - financed 5300 ALL vehicles - total disbursement of 1200 cr </t>
  </si>
  <si>
    <t xml:space="preserve">11 - Lots of JVs </t>
  </si>
  <si>
    <t xml:space="preserve">JV with Nissan - Dost, others </t>
  </si>
  <si>
    <t xml:space="preserve">JV with John Deere - backhoe loader - to be launched in 3QFY12 </t>
  </si>
  <si>
    <t xml:space="preserve">JV with Continental AG - innovation center for auto infotronics solutions </t>
  </si>
  <si>
    <t xml:space="preserve">Albonair GmbH - reducing auto emissions</t>
  </si>
  <si>
    <t xml:space="preserve">ALDS (Defence Systems) - supply of defence vehicles for indian / overseas markets </t>
  </si>
  <si>
    <t xml:space="preserve">Ashley Alteams - 50-50 JV with Alteams OY, Finland </t>
  </si>
  <si>
    <t xml:space="preserve">12 - capex </t>
  </si>
  <si>
    <t xml:space="preserve">490cr - devpt of infra, engine, cab, frame and chassis </t>
  </si>
  <si>
    <t xml:space="preserve">FY12 annual report analysis</t>
  </si>
  <si>
    <t xml:space="preserve">Employee nos</t>
  </si>
  <si>
    <t xml:space="preserve">Our presence in the market place has increased</t>
  </si>
  <si>
    <t xml:space="preserve">2002-03</t>
  </si>
  <si>
    <t xml:space="preserve">2007-08</t>
  </si>
  <si>
    <t xml:space="preserve">2008-09</t>
  </si>
  <si>
    <t xml:space="preserve">2009-10</t>
  </si>
  <si>
    <t xml:space="preserve">2010-11#</t>
  </si>
  <si>
    <t xml:space="preserve">2011-12#</t>
  </si>
  <si>
    <t xml:space="preserve">significantly pan-India with more than 400 full-service</t>
  </si>
  <si>
    <t xml:space="preserve">outlets dotting the country. Our network has grown by</t>
  </si>
  <si>
    <t xml:space="preserve">over 15% last year with the addition of 60 new outlets</t>
  </si>
  <si>
    <t xml:space="preserve">Attrition rate of 10.9% was the second lowest in the</t>
  </si>
  <si>
    <t xml:space="preserve">industry, an indicator of happy, engaged employees.</t>
  </si>
  <si>
    <t xml:space="preserve">We want to deliver vehicles to our customers that are</t>
  </si>
  <si>
    <t xml:space="preserve">factory-fresh! So, we have started to literally carry our</t>
  </si>
  <si>
    <t xml:space="preserve">vehicles to our customers on trailers. So when the</t>
  </si>
  <si>
    <t xml:space="preserve">customer receives his order, the vehicle is spotless, dentfree</t>
  </si>
  <si>
    <t xml:space="preserve">with the odometer reading '0'!</t>
  </si>
  <si>
    <t xml:space="preserve">To build our brand, the most significant step we took was</t>
  </si>
  <si>
    <t xml:space="preserve">to sign on the iconic, Indian cricket captain, M. S. Dhoni as</t>
  </si>
  <si>
    <t xml:space="preserve">Brand Ambassador who will be the new face of the</t>
  </si>
  <si>
    <t xml:space="preserve">Company</t>
  </si>
  <si>
    <t xml:space="preserve">Capital</t>
  </si>
  <si>
    <t xml:space="preserve">Share Capital - Issue of Bonus Shares</t>
  </si>
  <si>
    <t xml:space="preserve">Secured Non-Convertible Debentures</t>
  </si>
  <si>
    <t xml:space="preserve">External Commercial Borrowings (ECBs)</t>
  </si>
  <si>
    <t xml:space="preserve">With the approval of the shareholders, your Company</t>
  </si>
  <si>
    <t xml:space="preserve">During the year, your Company issued Secured Nonconvertible</t>
  </si>
  <si>
    <t xml:space="preserve">Your Company contracted ECBs to the tune of Japanese</t>
  </si>
  <si>
    <t xml:space="preserve">issued 133,03,38,317 Equity Shares of Re.1/- each, fully</t>
  </si>
  <si>
    <t xml:space="preserve">Debentures Series AL 16 to the tune of</t>
  </si>
  <si>
    <t xml:space="preserve">Yen equivalent to USD 150 Mn during 2011-12 from banks</t>
  </si>
  <si>
    <t xml:space="preserve">paid-up, as Bonus Shares, in the ratio of 1 (One) Bonus</t>
  </si>
  <si>
    <t xml:space="preserve">Rs.15,000 lakhs repayable at the end of 3rd, 4th and 5th</t>
  </si>
  <si>
    <t xml:space="preserve">for an average tenor of 5 years (door to door of 6 years) on</t>
  </si>
  <si>
    <t xml:space="preserve">Share for every existing 1 (One) Ordinary Share of Re.1/-</t>
  </si>
  <si>
    <t xml:space="preserve">year from the date of issue and fully redeemed Secured</t>
  </si>
  <si>
    <t xml:space="preserve">unsecured basis and drew Japanese Yen equivalent to USD</t>
  </si>
  <si>
    <t xml:space="preserve">each held on August 3, 2011, (being the Record Date fixed</t>
  </si>
  <si>
    <t xml:space="preserve">Non-Convertible Debentures Series AL 12 of Rs. 15,000</t>
  </si>
  <si>
    <t xml:space="preserve">90 Mn during 2011-12. The balance of USD 60 Mn would</t>
  </si>
  <si>
    <t xml:space="preserve">for the purpose) by capitalisation of Securities Premium</t>
  </si>
  <si>
    <t xml:space="preserve">lakhs</t>
  </si>
  <si>
    <t xml:space="preserve">be drawn in the ensuing financial year. The funds drawn</t>
  </si>
  <si>
    <t xml:space="preserve">Account. The Bonus Shares were allotted on August 4, 2011.</t>
  </si>
  <si>
    <t xml:space="preserve">under ECBs were utilized to fund the capital expenditure</t>
  </si>
  <si>
    <t xml:space="preserve">programmes of your Company as per extant RBI guidelines</t>
  </si>
  <si>
    <t xml:space="preserve">and as per the terms of the loan.</t>
  </si>
  <si>
    <t xml:space="preserve">Your Company repaid ECB loan instalments that fell due to</t>
  </si>
  <si>
    <t xml:space="preserve">the tune of USD 36.66 Mn during 2011-12.</t>
  </si>
  <si>
    <t xml:space="preserve">MANAGEMENT DISCUSSION AND ANALYSIS REPORT</t>
  </si>
  <si>
    <t xml:space="preserve">High inflation, rising interest rates,</t>
  </si>
  <si>
    <t xml:space="preserve">spiralling oil prices and dampened business sentiments</t>
  </si>
  <si>
    <t xml:space="preserve">contributed to the slowdown.</t>
  </si>
  <si>
    <t xml:space="preserve">In the previous fiscal, consumption was partly supported</t>
  </si>
  <si>
    <t xml:space="preserve">by a booming rural economy, thanks to schemes such as</t>
  </si>
  <si>
    <t xml:space="preserve">NREGS which saw a rise in the sale of 2-wheelers and other</t>
  </si>
  <si>
    <t xml:space="preserve">similar products.</t>
  </si>
  <si>
    <t xml:space="preserve">The industry recorded 18% growth during 2011-12 to post</t>
  </si>
  <si>
    <t xml:space="preserve">its highest ever volumes of 8,09,532 units. Medium and</t>
  </si>
  <si>
    <t xml:space="preserve">Heavy Commercial Vehicles (M&amp;HCV) grew by 8%, posting</t>
  </si>
  <si>
    <t xml:space="preserve">volumes of 3,48,701, again recording highest ever sales.</t>
  </si>
  <si>
    <t xml:space="preserve">Light Commercial Vehicles (LCV) posted a growth of 27.4%</t>
  </si>
  <si>
    <t xml:space="preserve">and reached volumes of 4,60,831 units. The contribution of</t>
  </si>
  <si>
    <t xml:space="preserve">M&amp;HCV declined to about 43% of the overall CV segment,</t>
  </si>
  <si>
    <t xml:space="preserve">compared to 47% in the previous year.</t>
  </si>
  <si>
    <t xml:space="preserve">The Small Commercial Vehicle segment [trucks less than 3.5 tonnes Gross Vehicle Weight (GVW)] </t>
  </si>
  <si>
    <t xml:space="preserve">within LCVs, which accounts for over 3/4th of the LCV market, is driving growth on the </t>
  </si>
  <si>
    <t xml:space="preserve">back of strong demand for transportation of consumer goods within cities and replacement demand from upper-end three wheelers.</t>
  </si>
  <si>
    <t xml:space="preserve">Reflecting the uncertain economic scenario, multi-axle rigid trucks with capacities greater than 25 tonnes have reported a sales drop of 2% over the previous year. </t>
  </si>
  <si>
    <t xml:space="preserve">These are used to transport a wide range of goods, such as agricultural produce, cement, other materials used in
construction and industrial goods. This drop was due to overall slowdown in industrial, mining and construction activity, and the resultant caution among transporters. </t>
  </si>
  <si>
    <t xml:space="preserve">It was also in part due to the shift to rigid vehicles with higher capacity (8X2), to achieve greater operating efficiencies. Conversely, sales of intermediate commercial trucks, in the 10-12 tonne capacity range, registered a growth rate of 21% during 2011-12. </t>
  </si>
  <si>
    <t xml:space="preserve">Sale of Tippers also grew by 37%, due to substantial fleet replacements as well as the boost given to infrastructure in the second half of the fiscal by the Government.</t>
  </si>
  <si>
    <t xml:space="preserve">Also notable was the slowdown in the Southern Indian</t>
  </si>
  <si>
    <t xml:space="preserve">market. This was due to elections in Tamil Nadu, blanket</t>
  </si>
  <si>
    <t xml:space="preserve">mining ban in Karnataka and continued political uncertainty</t>
  </si>
  <si>
    <t xml:space="preserve">in Andhra Pradesh. Total Industry Volumes in multi-axle</t>
  </si>
  <si>
    <t xml:space="preserve">vehicles reduced by almost 17% in the first 3 quarters</t>
  </si>
  <si>
    <t xml:space="preserve">The Company lost 2.4% market share in the Indian Medium</t>
  </si>
  <si>
    <t xml:space="preserve">and Heavy CV market during FY 2011-12.</t>
  </si>
  <si>
    <t xml:space="preserve">New products</t>
  </si>
  <si>
    <t xml:space="preserve">Lined up several ground-breaking products for core</t>
  </si>
  <si>
    <t xml:space="preserve">Further variants of 'Dost' are in the pipeline. In addition,</t>
  </si>
  <si>
    <t xml:space="preserve">segments in the upcoming fiscal. Three such new products</t>
  </si>
  <si>
    <t xml:space="preserve">your Company also displayed 2 new platforms in the Auto</t>
  </si>
  <si>
    <t xml:space="preserve">were displayed at the Auto Expo 2012 held in Jan' 12 in</t>
  </si>
  <si>
    <t xml:space="preserve">Expo 2012 - the 'Partner' 6T truck and the 'Stile' Multipurpose</t>
  </si>
  <si>
    <t xml:space="preserve">Delhi: the Jan Bus, 10x4 Multi-axle truck and the 8m ICV</t>
  </si>
  <si>
    <t xml:space="preserve">Vehicle - both of which will be launched over the</t>
  </si>
  <si>
    <t xml:space="preserve">bus named 'Solo', all of which will be launched shortly.</t>
  </si>
  <si>
    <t xml:space="preserve">next 2 years</t>
  </si>
  <si>
    <t xml:space="preserve">Your Company's continued investments in Research and</t>
  </si>
  <si>
    <t xml:space="preserve">Development through 2011-12 will also result in several</t>
  </si>
  <si>
    <t xml:space="preserve">launches in the next fiscal. The New Generation Cab</t>
  </si>
  <si>
    <t xml:space="preserve">and the Neptune Engine programmes will see market</t>
  </si>
  <si>
    <t xml:space="preserve">introductions. ICV, the fastest growing segment in the</t>
  </si>
  <si>
    <t xml:space="preserve">M&amp;HCV range, will see the Company come up with a brand</t>
  </si>
  <si>
    <t xml:space="preserve">new product with inputs from AVIA Ashok Leyland Motors</t>
  </si>
  <si>
    <t xml:space="preserve">s.r.o in the Czech Republic.</t>
  </si>
  <si>
    <t xml:space="preserve">Taking advantage of the proliferation of the hub-and-spoke</t>
  </si>
  <si>
    <t xml:space="preserve">model and the strong demand originating from the rural</t>
  </si>
  <si>
    <t xml:space="preserve">segment, the Company entered the Light Commercial</t>
  </si>
  <si>
    <t xml:space="preserve">Vehicle segment with the launch of 'Dost' last year.</t>
  </si>
  <si>
    <t xml:space="preserve">The product has been well accepted by customers, with</t>
  </si>
  <si>
    <t xml:space="preserve">7,593 vehicles having been sold in the last fiscal.</t>
  </si>
  <si>
    <t xml:space="preserve">JVs</t>
  </si>
  <si>
    <t xml:space="preserve">Hinduja Leyland Finance Ltd.</t>
  </si>
  <si>
    <t xml:space="preserve">commenced their operations in March 2010.</t>
  </si>
  <si>
    <t xml:space="preserve">In 2011-12, HLFL continued to grow rapidly. The company</t>
  </si>
  <si>
    <t xml:space="preserve">HLFL now has operations in 440 locations with employee</t>
  </si>
  <si>
    <t xml:space="preserve">made a disbursement of Rs.2,107 Cr., a rise of over 70%</t>
  </si>
  <si>
    <t xml:space="preserve">strength of 1199 (increased from 588 in the year 2010).</t>
  </si>
  <si>
    <t xml:space="preserve">from the previous year, across a wide range of segments,</t>
  </si>
  <si>
    <t xml:space="preserve">including Medium and Heavy Commercial Vehicles, Light Commercial Vehicles and 3-wheelers</t>
  </si>
  <si>
    <t xml:space="preserve">Ashok Leyland John Deere Construction Equipment Company Private Ltd.</t>
  </si>
  <si>
    <t xml:space="preserve">successfully launched its first product, the 435 Backhoe Loader in November 2011. The</t>
  </si>
  <si>
    <t xml:space="preserve">JV Company sold 221 units in 4 months in the current fiscal.</t>
  </si>
  <si>
    <t xml:space="preserve">competitors. The development of the distribution system is in high gear, starting with the Southern market. 18</t>
  </si>
  <si>
    <t xml:space="preserve">dealership nodes have already been rolled out and another 27 planned in the coming year</t>
  </si>
  <si>
    <t xml:space="preserve">.</t>
  </si>
  <si>
    <t xml:space="preserve">Automotive Infotronics Ltd.</t>
  </si>
  <si>
    <t xml:space="preserve">This 50:50 Joint Venture with Continental AG aims to</t>
  </si>
  <si>
    <t xml:space="preserve">become an innovation centre for delivering automotive</t>
  </si>
  <si>
    <t xml:space="preserve">infotronics solutions at value price points</t>
  </si>
  <si>
    <t xml:space="preserve">Ashok Leyland Defence Systems Ltd. (ALDS)</t>
  </si>
  <si>
    <t xml:space="preserve">ALDS, a newly formed associate company, will provide increased focus to address the opportunities in the Indian and overseas defence markets</t>
  </si>
  <si>
    <t xml:space="preserve">Ashley Alteams India Ltd. (AAIL)</t>
  </si>
  <si>
    <t xml:space="preserve">The 50:50 JV partnership between Ashok Leyland and Alteams OY, Finland aims to be a world-class aluminium diecasting manufacturer and </t>
  </si>
  <si>
    <t xml:space="preserve">become a 'partner of choice' for their customers by providing innovative product solutions. AAIL has set up an Electroplating facility which is now ready and under evaluation.</t>
  </si>
  <si>
    <t xml:space="preserve">AVIA Ashok Leyland Motors s.r.o (AALM)</t>
  </si>
  <si>
    <t xml:space="preserve">AVIA Ashok Leyland Motors s.r.o in Prague, has been producing trucks in the total weight class of 6.5 to 12 tonnes.</t>
  </si>
  <si>
    <t xml:space="preserve">In 2011, the Letnany manufacturing plant produced 600 trucks for the markets of Europe, the United States, and Asia</t>
  </si>
  <si>
    <t xml:space="preserve">Defiance Technologies Ltd.</t>
  </si>
  <si>
    <t xml:space="preserve">Profit and loss deep dive in MD&amp;A</t>
  </si>
  <si>
    <t xml:space="preserve">Revenues and price hikes</t>
  </si>
  <si>
    <t xml:space="preserve">Vehicles: Income from vehicles was at Rs.10,961 Cr., a growth of 12% over the previous year level of Rs.9,779 Cr. The increase in revenue was attributable mainly to a 0.3% growth in vehicle sale volumes in 2011- 12 and impact of pricing actions taken during these two years. </t>
  </si>
  <si>
    <t xml:space="preserve">Considering the increase in cost of inputs and operations, your Company revised the prices on four occasions to register an average increase of Rs.54,500/- per vehicle.</t>
  </si>
  <si>
    <t xml:space="preserve">Revenue from engines increased to Rs.318 Cr., a 3% increase over the previous year level of Rs.309 Cr., </t>
  </si>
  <si>
    <t xml:space="preserve">mainly due to pricing action taken in 2011- 12 despite drop in volume by 8%.</t>
  </si>
  <si>
    <t xml:space="preserve">Revenue from services and other operating income: These have increased to Rs.221 Cr. against Rs.139 Cr. in the previous year, registering a growth of 59% </t>
  </si>
  <si>
    <t xml:space="preserve">mainly due to LCV contract manufacturing revenue of Rs.26 Cr., </t>
  </si>
  <si>
    <t xml:space="preserve">higher export incentives due to increased exports sales in 2011-12 by Rs.24 Cr.</t>
  </si>
  <si>
    <t xml:space="preserve">and higher scrap sales and others to the tune of Rs.32 Cr. in 2011-12.</t>
  </si>
  <si>
    <t xml:space="preserve">Other income was lower by Rs.4 Cr., mainly due to lower interest receipts.</t>
  </si>
  <si>
    <t xml:space="preserve">Material Cost: Although cost pressure on all commodities, except rubber, appeared to subside in first quarter of 2011-12, these gained momentum
northwards for the rest of the three quarters leading to a weighted average increase of about 2%, eventually forcing the Company to take pricing actions at appropriate times.</t>
  </si>
  <si>
    <t xml:space="preserve">• Staff Costs: Employee expenses went up significantly in 2011-12 primarily due to increase in executive strength. </t>
  </si>
  <si>
    <t xml:space="preserve">Other expenses were higher by 33% primarily due to higher activity levels at the manufacturing unit at Pantnagar and higher incurrence in power, and fuel consumption to cope with higher power cuts / tariff increases and higher selling overheads and higher R&amp;D expenditure.• </t>
  </si>
  <si>
    <t xml:space="preserve">• Depreciations for the year increased to Rs.353 Cr. compared to Rs. 267 Cr. in the previous year primarily due to full year impact of last year additions.</t>
  </si>
  <si>
    <t xml:space="preserve">Finance costs increased to Rs.255 Cr. during the year from Rs.189 Cr., in the previous year. To part fund the capital expenditure and investment equirements, your Company borrowed Rs.550 Cr. during the year. Interest cost on the fresh loans together with the full year impact of the loans availed by the end of 2010-11 resulted in higher finance costs. In addition, significant increase in working capital during April 2011 to March 2012, led to more short term borrowing which also contributed to higher interest costs.</t>
  </si>
  <si>
    <t xml:space="preserve">Capital Expenditure and Investments</t>
  </si>
  <si>
    <t xml:space="preserve">During the year, your Company incurred Rs 599 Cr. towardscapital expenditure, mainly towards development ofadditional infrastructure and other facilities at Pantnagar</t>
  </si>
  <si>
    <t xml:space="preserve">for setting up integrated manufacturing facilities aswell as for development of manufacturing facilities forLCV at Hosur under joint venture with Nissan Motors,</t>
  </si>
  <si>
    <t xml:space="preserve">Japan. Your Company also incurred capital expendituretowards implementing a new ERP system. The rest of thecapital expenditure was towards capacity optimisation</t>
  </si>
  <si>
    <t xml:space="preserve">programmes in existing plants.During the year, your Company along with the investmentarms have increased their stake to 75.1% (from earlier 26%)</t>
  </si>
  <si>
    <t xml:space="preserve">in Optare plc UK. Your Company also made investments inJoint ventures (JV) for Light Commercial Vehicles (JV withNissan) and for Construction Equipment (JV with John Deere</t>
  </si>
  <si>
    <t xml:space="preserve">Liquidity</t>
  </si>
  <si>
    <t xml:space="preserve">Your Company continued with the 'Cash and Carry' systemof sales during the year which has been effective since May2009. This has enabled your Company to better manage</t>
  </si>
  <si>
    <t xml:space="preserve">the increased liquidity requirements. During the year, yourCompany raised ECB loan of USD 150 Million and placedNCDs to the tune of Rs.150 Cr. to pre-pay high cost NCDs</t>
  </si>
  <si>
    <t xml:space="preserve">The Year Ahead</t>
  </si>
  <si>
    <t xml:space="preserve">Despite the anticipated strong head winds in the economic environment that could impact the demand for commercial vehicles, the market is expected to see reasonable growth</t>
  </si>
  <si>
    <t xml:space="preserve">in Intermediate and Light Commercial Vehicles. Your Company will focus to further consolidate its operations in 2012-13. The successful launch of 'Dost' and</t>
  </si>
  <si>
    <t xml:space="preserve">the Backhoe loader through Joint Ventures in 2011-12 has expanded the range of product offerings. The Pantnagar plant will be ramping up to full capacity. The launch of new</t>
  </si>
  <si>
    <t xml:space="preserve">models in the tractor and tipper segments in the second half of 2011-12 will keep your Company in good stead to meet the demand requirements of next year.</t>
  </si>
  <si>
    <t xml:space="preserve">Chairman's letter…</t>
  </si>
  <si>
    <t xml:space="preserve">Mkts </t>
  </si>
  <si>
    <t xml:space="preserve">South dipped 17% Y/Y..</t>
  </si>
  <si>
    <t xml:space="preserve">Vision </t>
  </si>
  <si>
    <t xml:space="preserve">your Company is pursuing the vision to be, in</t>
  </si>
  <si>
    <t xml:space="preserve">volume terms, among the Top 10 truck manufacturers and</t>
  </si>
  <si>
    <t xml:space="preserve">Top 5 bus players globally.</t>
  </si>
  <si>
    <t xml:space="preserve">New products </t>
  </si>
  <si>
    <t xml:space="preserve">Dost - 1.25MT - 29% mkt sh within 6 mths of launch </t>
  </si>
  <si>
    <t xml:space="preserve">two further new-generation</t>
  </si>
  <si>
    <t xml:space="preserve">LCV platforms, the STiLE</t>
  </si>
  <si>
    <t xml:space="preserve">a multi-frictional van and</t>
  </si>
  <si>
    <t xml:space="preserve">the PARTNER a 6-Tonne</t>
  </si>
  <si>
    <t xml:space="preserve">truck were also unveiled at</t>
  </si>
  <si>
    <t xml:space="preserve">Auto Expo 2012, New Delhi</t>
  </si>
  <si>
    <t xml:space="preserve">signalling the products to follow in the near future.</t>
  </si>
  <si>
    <t xml:space="preserve">Distribution </t>
  </si>
  <si>
    <t xml:space="preserve">15% network expansion - now over 400 touch points</t>
  </si>
  <si>
    <t xml:space="preserve">Under the</t>
  </si>
  <si>
    <t xml:space="preserve">aegis of the loyalty programme MITR, the number of</t>
  </si>
  <si>
    <t xml:space="preserve">locations of 'Leyparts' availability increased to over 20,000.</t>
  </si>
  <si>
    <t xml:space="preserve">Therefore, we plotted all the major highways in</t>
  </si>
  <si>
    <t xml:space="preserve">the country and set up touch points at every 75 kms to live</t>
  </si>
  <si>
    <t xml:space="preserve">up to our TATKAAL promise. This is a programme that was</t>
  </si>
  <si>
    <t xml:space="preserve">first launched by us by which we assure a customer that</t>
  </si>
  <si>
    <t xml:space="preserve">we will reach him within 4 hours on any major highway in</t>
  </si>
  <si>
    <t xml:space="preserve">the country and restore his vehicle within 48 hours.</t>
  </si>
  <si>
    <t xml:space="preserve">Defense </t>
  </si>
  <si>
    <t xml:space="preserve">Building on the</t>
  </si>
  <si>
    <t xml:space="preserve">strength of 70,000 Station vehicles in use, as the Indian</t>
  </si>
  <si>
    <t xml:space="preserve">Army's largest supplier of logistics vehicles, your Company</t>
  </si>
  <si>
    <t xml:space="preserve">is expanding on the Stallion range with the 6x6 and 8x8</t>
  </si>
  <si>
    <t xml:space="preserve">versions.</t>
  </si>
  <si>
    <t xml:space="preserve">The R&amp;D spend for the year was Rs. 349 Cr.</t>
  </si>
  <si>
    <t xml:space="preserve">constituting about 3% of our turnover and an increase of</t>
  </si>
  <si>
    <t xml:space="preserve">almost 20% over last year demonstrating your Company's</t>
  </si>
  <si>
    <t xml:space="preserve">unwavering commitment for Product Development.</t>
  </si>
  <si>
    <t xml:space="preserve">John deere </t>
  </si>
  <si>
    <t xml:space="preserve">Launch</t>
  </si>
  <si>
    <t xml:space="preserve">of the first product the 435 Backhoe Loader under the</t>
  </si>
  <si>
    <t xml:space="preserve">Leyland Deere' brand.</t>
  </si>
  <si>
    <t xml:space="preserve">AR analysis - </t>
  </si>
  <si>
    <t xml:space="preserve">Pantnagar plant </t>
  </si>
  <si>
    <t xml:space="preserve">achieved 4000 units in mar 2012 - so at peak utilisation </t>
  </si>
  <si>
    <t xml:space="preserve">distribution expansion </t>
  </si>
  <si>
    <t xml:space="preserve">shift toward LCVs </t>
  </si>
</sst>
</file>

<file path=xl/styles.xml><?xml version="1.0" encoding="utf-8"?>
<styleSheet xmlns="http://schemas.openxmlformats.org/spreadsheetml/2006/main">
  <numFmts count="151">
    <numFmt numFmtId="164" formatCode="General"/>
    <numFmt numFmtId="165" formatCode="#,##0;\-#,##0;\-"/>
    <numFmt numFmtId="166" formatCode="#,##0%;\-#,##0%;\-"/>
    <numFmt numFmtId="167" formatCode="#,##0.0%;\-#,##0.0%;\-"/>
    <numFmt numFmtId="168" formatCode="#,##0.0\ ;\(#,##0.0\)"/>
    <numFmt numFmtId="169" formatCode="#,##0;\(#,##0\);\-"/>
    <numFmt numFmtId="170" formatCode="#,##0"/>
    <numFmt numFmtId="171" formatCode="0.0"/>
    <numFmt numFmtId="172" formatCode="0.00"/>
    <numFmt numFmtId="173" formatCode="#,##0.0\x"/>
    <numFmt numFmtId="174" formatCode="#,##0.0_);\(#,##0.0\)"/>
    <numFmt numFmtId="175" formatCode="\\#,##0;[RED]&quot;\-&quot;#,##0"/>
    <numFmt numFmtId="176" formatCode="\\#,##0.00;[RED]&quot;\-&quot;#,##0.00"/>
    <numFmt numFmtId="177" formatCode="\ #,##0.0_);\(#,##0.0\);&quot; - &quot;_);@_)"/>
    <numFmt numFmtId="178" formatCode="@"/>
    <numFmt numFmtId="179" formatCode="0.0_)\%;\(0.0&quot;)%&quot;;0.0_)\%;@_)_%"/>
    <numFmt numFmtId="180" formatCode="#,##0.0_)_%;\(#,##0.0\)_%;0.0_)_%;@_)_%"/>
    <numFmt numFmtId="181" formatCode="#,##0_);\(#,##0\)"/>
    <numFmt numFmtId="182" formatCode="#,##0.0_);\(#,##0.0\);#,##0.0_);@_)"/>
    <numFmt numFmtId="183" formatCode="\$_(#,##0.00_);&quot;$(&quot;#,##0.00\)"/>
    <numFmt numFmtId="184" formatCode="\$_(#,##0.00_);&quot;$(&quot;#,##0.00\);\$_(0.00_);@_)"/>
    <numFmt numFmtId="185" formatCode="#,##0.00_);\(#,##0.00\)"/>
    <numFmt numFmtId="186" formatCode="#,##0.00_);\(#,##0.00\);0.00_);@_)"/>
    <numFmt numFmtId="187" formatCode="\€_(#,##0.00_);&quot;€(&quot;#,##0.00\);\€_(0.00_);@_)"/>
    <numFmt numFmtId="188" formatCode="#,##0.0_)\x;\(#,##0.0&quot;)x&quot;"/>
    <numFmt numFmtId="189" formatCode="#,##0_)\x;\(#,##0&quot;)x&quot;;0_)\x;@_)_x"/>
    <numFmt numFmtId="190" formatCode="#,##0.0_)\x;\(#,##0.0&quot;)x&quot;;0.0_)\x;@_)_x"/>
    <numFmt numFmtId="191" formatCode="#,##0.0_)_x;\(#,##0.0\)_x"/>
    <numFmt numFmtId="192" formatCode="#,##0_)_x;\(#,##0\)_x;0_)_x;@_)_x"/>
    <numFmt numFmtId="193" formatCode="#,##0.0_)_x;\(#,##0.0\)_x;0.0_)_x;@_)_x"/>
    <numFmt numFmtId="194" formatCode="0.0_)\%;\(0.0&quot;)%&quot;"/>
    <numFmt numFmtId="195" formatCode="#,##0.0_)_%;\(#,##0.0\)_%"/>
    <numFmt numFmtId="196" formatCode="#,##0.0_);[RED]\(#,##0.0\)"/>
    <numFmt numFmtId="197" formatCode="0"/>
    <numFmt numFmtId="198" formatCode="_(* #,##0_);_(* \(#,##0\);_(* &quot;&quot;_);_(@_)"/>
    <numFmt numFmtId="199" formatCode="0.0%;\(0.0\)%"/>
    <numFmt numFmtId="200" formatCode="dd\-mm"/>
    <numFmt numFmtId="201" formatCode="dd/m/yy"/>
    <numFmt numFmtId="202" formatCode="_(* #,##0.00_);_(* \(#,##0.00\);_(* \-??_);_(@_)"/>
    <numFmt numFmtId="203" formatCode="0.000"/>
    <numFmt numFmtId="204" formatCode="#,##0.0_);[RED]&quot;\\\\\\\\\\\\\(&quot;#,##0.0&quot;\\\\\\\\\\\\\)&quot;;&quot;\\\\\\\\\\\\\-&quot;_)"/>
    <numFmt numFmtId="205" formatCode="#,##0_);[RED]\(#,##0\)"/>
    <numFmt numFmtId="206" formatCode="#,##0&quot;  &quot;"/>
    <numFmt numFmtId="207" formatCode="0.00_);\(0.00\);0.00"/>
    <numFmt numFmtId="208" formatCode="\$#,##0_);[RED]&quot;($&quot;#,##0\)"/>
    <numFmt numFmtId="209" formatCode="0.0_)"/>
    <numFmt numFmtId="210" formatCode="_(\$* #,##0.00_);_(\$* \(#,##0.00\);_(\$* \-??_);_(@_)"/>
    <numFmt numFmtId="211" formatCode="d/mmm/yy"/>
    <numFmt numFmtId="212" formatCode="0.00000"/>
    <numFmt numFmtId="213" formatCode="m/d/yyyy"/>
    <numFmt numFmtId="214" formatCode="yyyy"/>
    <numFmt numFmtId="215" formatCode="00&quot;\\\\\\\\\\\\\-&quot;00"/>
    <numFmt numFmtId="216" formatCode="m"/>
    <numFmt numFmtId="217" formatCode="d\-mmm\-yy"/>
    <numFmt numFmtId="218" formatCode="_(\$* #,##0_);_(\$* \(#,##0\);_(\$* \-_);_(@_)"/>
    <numFmt numFmtId="219" formatCode="_(* #,###.0_);_(* \(#,###.0\);_(* \-?_);_(@_)"/>
    <numFmt numFmtId="220" formatCode="0\ ;\-0\ "/>
    <numFmt numFmtId="221" formatCode="0.00\ ;\-0.00\ "/>
    <numFmt numFmtId="222" formatCode="0.000\ ;\-0.000\ "/>
    <numFmt numFmtId="223" formatCode="_-* #,##0_-;\-* #,##0_-;_-* \-_-;_-@_-"/>
    <numFmt numFmtId="224" formatCode="#,##0.00"/>
    <numFmt numFmtId="225" formatCode="#,##0.000,_);[RED]&quot;\\\\\\\\\\\\\(&quot;#,##0.000,&quot;\\\\\\\\\\\\\)&quot;;;"/>
    <numFmt numFmtId="226" formatCode="0%;[RED]&quot;\\\\\\\\\\\\\(&quot;0%&quot;\\\\\\\\\\\\\)&quot;;;"/>
    <numFmt numFmtId="227" formatCode="#,##0.000,_);[RED]&quot;\\\\\\\\(&quot;#,##0.000,&quot;\\\\\\\\)&quot;;;"/>
    <numFmt numFmtId="228" formatCode="#,##0;\(#,##0\)"/>
    <numFmt numFmtId="229" formatCode="\$#,##0.00_);[RED]&quot;($&quot;#,##0.00\)"/>
    <numFmt numFmtId="230" formatCode="&quot;C$&quot;#,##0.00_);[RED]&quot;(C$&quot;#,##0.00\)"/>
    <numFmt numFmtId="231" formatCode="0.00\p"/>
    <numFmt numFmtId="232" formatCode="_([$€-2]* #,##0.00_);_([$€-2]* \(#,##0.00\);_([$€-2]* \-??_)"/>
    <numFmt numFmtId="233" formatCode="_(\ #,##0.0_%_);_(&quot; (&quot;#,##0.0_%\);_(&quot;  - &quot;_%_);_(@_)"/>
    <numFmt numFmtId="234" formatCode="_(\ #,##0.0%_);_(&quot; (&quot;#,##0.0%\);_(&quot;  - %&quot;_);_(@_)"/>
    <numFmt numFmtId="235" formatCode="#,##0_);\(#,##0\);&quot; - &quot;_);@_)"/>
    <numFmt numFmtId="236" formatCode="\ #,##0.00_);\(#,##0.00\);&quot; - &quot;_);@_)"/>
    <numFmt numFmtId="237" formatCode="\ #,##0.000_);\(#,##0.000\);&quot; - &quot;_);@_)"/>
    <numFmt numFmtId="238" formatCode="d\ mmmm\ yyyy"/>
    <numFmt numFmtId="239" formatCode="#,##0;[RED]\(#,##0\);0"/>
    <numFmt numFmtId="240" formatCode="#,##0.0000\ ;\(#,##0.0000\)"/>
    <numFmt numFmtId="241" formatCode="0.0%_);[RED]\(0.0%\)"/>
    <numFmt numFmtId="242" formatCode="0.0%_);\(0.0%\)"/>
    <numFmt numFmtId="243" formatCode="0.000000"/>
    <numFmt numFmtId="244" formatCode="#,##0.0"/>
    <numFmt numFmtId="245" formatCode="&quot;HK$&quot;#,##0"/>
    <numFmt numFmtId="246" formatCode="&quot;HK$&quot;#,##0.00"/>
    <numFmt numFmtId="247" formatCode="mmyy"/>
    <numFmt numFmtId="248" formatCode="#,##0.0,_);[RED]&quot;\\\\\\\\\\\\\(&quot;#,##0.0,&quot;\\\\\\\\\\\\\)&quot;;0"/>
    <numFmt numFmtId="249" formatCode="#,##0_);[MAGENTA]\(#,##0\)"/>
    <numFmt numFmtId="250" formatCode="0.00_);\(0.00\);0.00_)"/>
    <numFmt numFmtId="251" formatCode="0.0%"/>
    <numFmt numFmtId="252" formatCode="#,##0.0_);[RED]&quot;\\\\\\\\\\\\\(&quot;#,##0.0&quot;\\\\\\\\\\\\\)&quot;;;"/>
    <numFmt numFmtId="253" formatCode="0.0\m"/>
    <numFmt numFmtId="254" formatCode="&quot;FFr&quot;#,##0_);[RED]&quot;(FFr&quot;#,##0\)"/>
    <numFmt numFmtId="255" formatCode="#,##0.0\x_);[RED]\(#,##0.0&quot;x)&quot;"/>
    <numFmt numFmtId="256" formatCode="#,##0.00_);[RED]\(#,##0.00\)"/>
    <numFmt numFmtId="257" formatCode="\$#,##0.0;&quot;-$&quot;#,##0.0"/>
    <numFmt numFmtId="258" formatCode="#,##0.00;\(#,##0.00\)"/>
    <numFmt numFmtId="259" formatCode="0.0\x;\-0.0\x;;"/>
    <numFmt numFmtId="260" formatCode="#,##0.0;\(#,##0.0\)"/>
    <numFmt numFmtId="261" formatCode="0.00_)"/>
    <numFmt numFmtId="262" formatCode="0%"/>
    <numFmt numFmtId="263" formatCode="#,##0_);[RED]&quot;\\\\\\\\\\\\\(&quot;#,##0&quot;\\\\\\\\\\\\\)&quot;;0_)"/>
    <numFmt numFmtId="264" formatCode="#,##0.0_);[RED]&quot;\\\\\\\\\\\\\(&quot;#,##0.0&quot;\\\\\\\\\\\\\)&quot;;0.0"/>
    <numFmt numFmtId="265" formatCode="#,##0.00_);[RED]&quot;\\\\\\\\\\\\\(&quot;#,##0.00&quot;\\\\\\\\\\\\\)&quot;;0.00"/>
    <numFmt numFmtId="266" formatCode="#,##0.000_);[RED]&quot;\\\\\\\\\\\\\(&quot;#,##0.000&quot;\\\\\\\\\\\\\)&quot;;;"/>
    <numFmt numFmtId="267" formatCode="#,##0.000_);[RED]&quot;\\\\\\\\(&quot;#,##0.000&quot;\\\\\\\\)&quot;;;"/>
    <numFmt numFmtId="268" formatCode="#,##0.0,_);[RED]&quot;\\\\\\\\\\\\\(&quot;#,##0.0,&quot;\\\\\\\\\\\\\)&quot;;0.0_)"/>
    <numFmt numFmtId="269" formatCode="#,##0.0\ ;\-#,##0.0\ "/>
    <numFmt numFmtId="270" formatCode="0.0\x_);[RED]\(0.0&quot;x)&quot;"/>
    <numFmt numFmtId="271" formatCode="0.00%_);\(0.00%\)"/>
    <numFmt numFmtId="272" formatCode="\+0.0%;\-0.0%"/>
    <numFmt numFmtId="273" formatCode="0.00%"/>
    <numFmt numFmtId="274" formatCode="0.0%;\(0.0%\)"/>
    <numFmt numFmtId="275" formatCode="0.0%;[RED]&quot;\\\\\\\\\\\\\(&quot;0%&quot;\\\\\\\\\\\\\)&quot;;0"/>
    <numFmt numFmtId="276" formatCode="0.0%;[RED]\(0.0%\)"/>
    <numFmt numFmtId="277" formatCode="0.00\%;\-0.00\%;0.00\%"/>
    <numFmt numFmtId="278" formatCode="[&gt;0.05][RED]&quot;\\\\\\\\\\\\\ &quot;0%;[&lt;-0.05][RED]&quot;\\\\\\\\\\\\\ &quot;0%;0%"/>
    <numFmt numFmtId="279" formatCode="#,##0.000_);[RED]\(#,##0.000\)"/>
    <numFmt numFmtId="280" formatCode="\£#,##0"/>
    <numFmt numFmtId="281" formatCode="0.000%;\(0.000%\)"/>
    <numFmt numFmtId="282" formatCode="0.00\x;\-0.00\x;0.00\x"/>
    <numFmt numFmtId="283" formatCode="#,##0.000_);[RED]&quot;\\\\\\\\\\\\\(&quot;#,##0.000&quot;\\\\\\\\\\\\\)&quot;;&quot;\\\\\\\\\\\\\-&quot;_)"/>
    <numFmt numFmtId="284" formatCode="0.00;[RED]0.00"/>
    <numFmt numFmtId="285" formatCode="##0.00000"/>
    <numFmt numFmtId="286" formatCode="#,##0\ ;[RED]\(#,##0\)"/>
    <numFmt numFmtId="287" formatCode="#,###;\(#,###\);&quot;----&quot;"/>
    <numFmt numFmtId="288" formatCode="_-* #,##0.0_-;\-* #,##0.0_-;_-* \-??_-;_-@_-"/>
    <numFmt numFmtId="289" formatCode="#,##0.000\ ;\(#,##0.000\)"/>
    <numFmt numFmtId="290" formatCode="0.00\x"/>
    <numFmt numFmtId="291" formatCode="mmm\-yy"/>
    <numFmt numFmtId="292" formatCode="#,##0.00\ ;\(#,##0.00\)"/>
    <numFmt numFmtId="293" formatCode="&quot;US$&quot;#,##0"/>
    <numFmt numFmtId="294" formatCode="&quot;US$&quot;#,##0.00"/>
    <numFmt numFmtId="295" formatCode="_-\£* #,##0_-;&quot;-£&quot;* #,##0_-;_-\£* \-_-;_-@_-"/>
    <numFmt numFmtId="296" formatCode="&quot;DM&quot;#,##0.00;[RED]&quot;-DM&quot;#,##0.00"/>
    <numFmt numFmtId="297" formatCode="0\E"/>
    <numFmt numFmtId="298" formatCode="#,##0.0;[RED]\-0.0;0.0"/>
    <numFmt numFmtId="299" formatCode="_(* #,##0_);_(* \(#,##0\);_(* \-_);_(@_)"/>
    <numFmt numFmtId="300" formatCode="#,##0;\(#,##0\);\-"/>
    <numFmt numFmtId="301" formatCode="0.0%;\(0.0%\);\-"/>
    <numFmt numFmtId="302" formatCode="#,##0.0;\(#,##0.0\);\-"/>
    <numFmt numFmtId="303" formatCode="#,##0&quot; bps&quot;;\(#,##0&quot;) bps&quot;;\-"/>
    <numFmt numFmtId="304" formatCode="#,##0.0;\(#,##0.0\);\-"/>
    <numFmt numFmtId="305" formatCode="#,##0.00;\(#,##0.00\);\-"/>
    <numFmt numFmtId="306" formatCode="0.0%;\(0.0%\);\-"/>
    <numFmt numFmtId="307" formatCode="0.0\x"/>
    <numFmt numFmtId="308" formatCode="_(* #,##0_);_(* \(#,##0\);_(* \-??_);_(@_)"/>
    <numFmt numFmtId="309" formatCode="General"/>
    <numFmt numFmtId="310" formatCode="_(* #,##0.0_);_(* \(#,##0.0\);_(* \-??_);_(@_)"/>
    <numFmt numFmtId="311" formatCode="_-* #,##0.00_-;\-* #,##0.00_-;_-* \-??_-;_-@_-"/>
    <numFmt numFmtId="312" formatCode="_-* #,##0.00000_-;\-* #,##0.00000_-;_-* \-??_-;_-@_-"/>
    <numFmt numFmtId="313" formatCode="_(* #,##0.000_);_(* \(#,##0.000\);_(* \-??_);_(@_)"/>
    <numFmt numFmtId="314" formatCode="_(* #,##0.0000_);_(* \(#,##0.0000\);_(* \-??_);_(@_)"/>
  </numFmts>
  <fonts count="202">
    <font>
      <sz val="10"/>
      <name val="Arial"/>
      <family val="2"/>
      <charset val="1"/>
    </font>
    <font>
      <sz val="10"/>
      <name val="Arial"/>
      <family val="0"/>
    </font>
    <font>
      <sz val="10"/>
      <name val="Arial"/>
      <family val="0"/>
    </font>
    <font>
      <sz val="10"/>
      <name val="Arial"/>
      <family val="0"/>
    </font>
    <font>
      <b val="true"/>
      <sz val="10"/>
      <name val="MS Sans Serif"/>
      <family val="2"/>
      <charset val="1"/>
    </font>
    <font>
      <sz val="10"/>
      <name val="Courier New"/>
      <family val="3"/>
      <charset val="1"/>
    </font>
    <font>
      <sz val="9"/>
      <name val="Arial"/>
      <family val="2"/>
      <charset val="1"/>
    </font>
    <font>
      <sz val="10"/>
      <color rgb="FF000000"/>
      <name val="MS Sans Serif"/>
      <family val="2"/>
      <charset val="1"/>
    </font>
    <font>
      <i val="true"/>
      <sz val="10"/>
      <color rgb="FF000080"/>
      <name val="Arial Narrow"/>
      <family val="2"/>
      <charset val="1"/>
    </font>
    <font>
      <sz val="8.25"/>
      <name val="Arial"/>
      <family val="2"/>
      <charset val="1"/>
    </font>
    <font>
      <b val="true"/>
      <sz val="10"/>
      <name val="Arial"/>
      <family val="2"/>
      <charset val="1"/>
    </font>
    <font>
      <sz val="8"/>
      <name val="Arial"/>
      <family val="2"/>
      <charset val="1"/>
    </font>
    <font>
      <sz val="11"/>
      <color rgb="FF000000"/>
      <name val="Calibri"/>
      <family val="2"/>
      <charset val="1"/>
    </font>
    <font>
      <sz val="11"/>
      <color rgb="FFFFFFFF"/>
      <name val="Calibri"/>
      <family val="2"/>
      <charset val="1"/>
    </font>
    <font>
      <sz val="11"/>
      <name val="MS P????"/>
      <family val="3"/>
      <charset val="1"/>
    </font>
    <font>
      <sz val="11"/>
      <name val="??"/>
      <family val="1"/>
      <charset val="1"/>
    </font>
    <font>
      <sz val="10"/>
      <name val="Arial Narrow"/>
      <family val="2"/>
      <charset val="1"/>
    </font>
    <font>
      <sz val="10"/>
      <name val="Times New Roman"/>
      <family val="1"/>
      <charset val="1"/>
    </font>
    <font>
      <sz val="12"/>
      <name val="Arial"/>
      <family val="2"/>
      <charset val="1"/>
    </font>
    <font>
      <b val="true"/>
      <sz val="22"/>
      <color rgb="FF000080"/>
      <name val="Arial"/>
      <family val="2"/>
      <charset val="1"/>
    </font>
    <font>
      <sz val="10"/>
      <name val="Arial"/>
      <family val="2"/>
      <charset val="204"/>
    </font>
    <font>
      <b val="true"/>
      <sz val="14"/>
      <color rgb="FF000080"/>
      <name val="Arial"/>
      <family val="2"/>
      <charset val="1"/>
    </font>
    <font>
      <sz val="9"/>
      <color rgb="FF000000"/>
      <name val="Arial"/>
      <family val="2"/>
      <charset val="1"/>
    </font>
    <font>
      <b val="true"/>
      <sz val="10"/>
      <color rgb="FF000080"/>
      <name val="Arial"/>
      <family val="2"/>
      <charset val="1"/>
    </font>
    <font>
      <b val="true"/>
      <u val="single"/>
      <sz val="10"/>
      <color rgb="FF000080"/>
      <name val="Arial"/>
      <family val="2"/>
      <charset val="1"/>
    </font>
    <font>
      <sz val="7"/>
      <color rgb="FFFF00FF"/>
      <name val="Small Fonts"/>
      <family val="2"/>
      <charset val="1"/>
    </font>
    <font>
      <b val="true"/>
      <sz val="6"/>
      <name val="Arial"/>
      <family val="2"/>
      <charset val="1"/>
    </font>
    <font>
      <b val="true"/>
      <sz val="8"/>
      <name val="Arial"/>
      <family val="2"/>
      <charset val="1"/>
    </font>
    <font>
      <i val="true"/>
      <sz val="8"/>
      <name val="Arial"/>
      <family val="2"/>
      <charset val="1"/>
    </font>
    <font>
      <sz val="11"/>
      <color rgb="FFFF0000"/>
      <name val="Calibri"/>
      <family val="2"/>
      <charset val="1"/>
    </font>
    <font>
      <sz val="11"/>
      <color rgb="FF800080"/>
      <name val="Calibri"/>
      <family val="2"/>
      <charset val="1"/>
    </font>
    <font>
      <sz val="8"/>
      <name val="Times New Roman"/>
      <family val="1"/>
      <charset val="1"/>
    </font>
    <font>
      <b val="true"/>
      <sz val="9"/>
      <color rgb="FF000000"/>
      <name val="Arial"/>
      <family val="2"/>
      <charset val="1"/>
    </font>
    <font>
      <sz val="8"/>
      <color rgb="FF0000FF"/>
      <name val="Times New Roman"/>
      <family val="1"/>
      <charset val="1"/>
    </font>
    <font>
      <sz val="11"/>
      <color rgb="FF008000"/>
      <name val="Calibri"/>
      <family val="2"/>
      <charset val="1"/>
    </font>
    <font>
      <b val="true"/>
      <sz val="11"/>
      <color rgb="FFFF9900"/>
      <name val="Calibri"/>
      <family val="2"/>
      <charset val="1"/>
    </font>
    <font>
      <b val="true"/>
      <sz val="8"/>
      <name val="Times New Roman"/>
      <family val="1"/>
      <charset val="1"/>
    </font>
    <font>
      <b val="true"/>
      <sz val="11"/>
      <color rgb="FFFFFFFF"/>
      <name val="Calibri"/>
      <family val="2"/>
      <charset val="1"/>
    </font>
    <font>
      <sz val="11"/>
      <color rgb="FFFF9900"/>
      <name val="Calibri"/>
      <family val="2"/>
      <charset val="1"/>
    </font>
    <font>
      <sz val="10"/>
      <color rgb="FF000080"/>
      <name val="Times New Roman"/>
      <family val="1"/>
      <charset val="1"/>
    </font>
    <font>
      <b val="true"/>
      <sz val="9"/>
      <name val="Arial"/>
      <family val="2"/>
      <charset val="1"/>
    </font>
    <font>
      <sz val="16"/>
      <name val="Arial"/>
      <family val="2"/>
      <charset val="1"/>
    </font>
    <font>
      <b val="true"/>
      <sz val="8"/>
      <name val="Switzerland"/>
      <family val="2"/>
      <charset val="1"/>
    </font>
    <font>
      <sz val="10"/>
      <name val="MS Sans Serif"/>
      <family val="2"/>
      <charset val="1"/>
    </font>
    <font>
      <b val="true"/>
      <sz val="7.5"/>
      <name val="Switzerland"/>
      <family val="2"/>
      <charset val="1"/>
    </font>
    <font>
      <i val="true"/>
      <sz val="12"/>
      <name val="Arial"/>
      <family val="2"/>
      <charset val="1"/>
    </font>
    <font>
      <b val="true"/>
      <i val="true"/>
      <sz val="12"/>
      <color rgb="FF00FF00"/>
      <name val="Geneva"/>
      <family val="2"/>
      <charset val="1"/>
    </font>
    <font>
      <sz val="24"/>
      <name val="MS Sans Serif"/>
      <family val="2"/>
      <charset val="1"/>
    </font>
    <font>
      <i val="true"/>
      <sz val="10"/>
      <color rgb="FF000080"/>
      <name val="MS Sans Serif"/>
      <family val="2"/>
      <charset val="1"/>
    </font>
    <font>
      <sz val="10"/>
      <color rgb="FFFFFF00"/>
      <name val="Arial Narrow"/>
      <family val="2"/>
      <charset val="1"/>
    </font>
    <font>
      <sz val="16"/>
      <color rgb="FF993366"/>
      <name val="Century Schoolbook"/>
      <family val="1"/>
      <charset val="1"/>
    </font>
    <font>
      <b val="true"/>
      <sz val="10"/>
      <color rgb="FF008000"/>
      <name val="Times New Roman"/>
      <family val="1"/>
      <charset val="1"/>
    </font>
    <font>
      <b val="true"/>
      <u val="single"/>
      <sz val="12"/>
      <name val="Geneva"/>
      <family val="2"/>
      <charset val="1"/>
    </font>
    <font>
      <b val="true"/>
      <sz val="12"/>
      <name val="Geneva"/>
      <family val="2"/>
      <charset val="1"/>
    </font>
    <font>
      <u val="double"/>
      <sz val="10"/>
      <name val="Times New Roman"/>
      <family val="1"/>
      <charset val="1"/>
    </font>
    <font>
      <sz val="10"/>
      <color rgb="FF000000"/>
      <name val="Arial"/>
      <family val="2"/>
      <charset val="1"/>
    </font>
    <font>
      <sz val="10"/>
      <name val="MS Sans"/>
      <family val="2"/>
      <charset val="1"/>
    </font>
    <font>
      <b val="true"/>
      <i val="true"/>
      <sz val="14"/>
      <name val="Geneva"/>
      <family val="2"/>
      <charset val="1"/>
    </font>
    <font>
      <sz val="10"/>
      <name val="Times New Roman"/>
      <family val="2"/>
      <charset val="1"/>
    </font>
    <font>
      <sz val="9"/>
      <color rgb="FF0000FF"/>
      <name val="Times New Roman"/>
      <family val="1"/>
      <charset val="1"/>
    </font>
    <font>
      <b val="true"/>
      <sz val="11"/>
      <color rgb="FF003366"/>
      <name val="Calibri"/>
      <family val="2"/>
      <charset val="1"/>
    </font>
    <font>
      <sz val="24"/>
      <color rgb="FFFFFF00"/>
      <name val="SWISS"/>
      <family val="2"/>
      <charset val="1"/>
    </font>
    <font>
      <sz val="11"/>
      <color rgb="FF333399"/>
      <name val="Calibri"/>
      <family val="2"/>
      <charset val="1"/>
    </font>
    <font>
      <i val="true"/>
      <sz val="11"/>
      <color rgb="FF808080"/>
      <name val="Calibri"/>
      <family val="2"/>
      <charset val="1"/>
    </font>
    <font>
      <i val="true"/>
      <sz val="10"/>
      <name val="Arial Narrow"/>
      <family val="2"/>
      <charset val="1"/>
    </font>
    <font>
      <b val="true"/>
      <sz val="10"/>
      <color rgb="FF000080"/>
      <name val="Arial Narrow"/>
      <family val="2"/>
      <charset val="1"/>
    </font>
    <font>
      <sz val="14"/>
      <name val="Arial"/>
      <family val="2"/>
      <charset val="1"/>
    </font>
    <font>
      <b val="true"/>
      <sz val="12"/>
      <color rgb="FF969696"/>
      <name val="Arial"/>
      <family val="2"/>
      <charset val="1"/>
    </font>
    <font>
      <b val="true"/>
      <sz val="14"/>
      <name val="Arial"/>
      <family val="2"/>
      <charset val="1"/>
    </font>
    <font>
      <b val="true"/>
      <sz val="11"/>
      <name val="Times New Roman"/>
      <family val="1"/>
      <charset val="1"/>
    </font>
    <font>
      <b val="true"/>
      <sz val="10"/>
      <name val="Times New Roman"/>
      <family val="1"/>
      <charset val="1"/>
    </font>
    <font>
      <b val="true"/>
      <i val="true"/>
      <sz val="9.5"/>
      <name val="Times New Roman"/>
      <family val="1"/>
      <charset val="1"/>
    </font>
    <font>
      <sz val="10"/>
      <color rgb="FF000080"/>
      <name val="Arial Narrow"/>
      <family val="2"/>
      <charset val="1"/>
    </font>
    <font>
      <b val="true"/>
      <sz val="16"/>
      <name val="Arial"/>
      <family val="2"/>
      <charset val="1"/>
    </font>
    <font>
      <sz val="8"/>
      <color rgb="FF000080"/>
      <name val="Arial Narrow"/>
      <family val="2"/>
      <charset val="1"/>
    </font>
    <font>
      <b val="true"/>
      <sz val="10"/>
      <name val="Arial Narrow"/>
      <family val="2"/>
      <charset val="1"/>
    </font>
    <font>
      <b val="true"/>
      <i val="true"/>
      <sz val="10"/>
      <name val="Arial Narrow"/>
      <family val="2"/>
      <charset val="1"/>
    </font>
    <font>
      <sz val="7"/>
      <name val="Palatino"/>
      <family val="1"/>
      <charset val="1"/>
    </font>
    <font>
      <sz val="10"/>
      <color rgb="FF0000FF"/>
      <name val="Arial"/>
      <family val="2"/>
      <charset val="1"/>
    </font>
    <font>
      <sz val="10"/>
      <color rgb="FF0000FF"/>
      <name val="Times New Roman"/>
      <family val="1"/>
      <charset val="1"/>
    </font>
    <font>
      <b val="true"/>
      <sz val="14"/>
      <name val="SWISS"/>
      <family val="2"/>
      <charset val="1"/>
    </font>
    <font>
      <sz val="9"/>
      <name val="Bembo (DFS)"/>
      <family val="1"/>
      <charset val="1"/>
    </font>
    <font>
      <i val="true"/>
      <sz val="8"/>
      <color rgb="FF008000"/>
      <name val="Times New Roman"/>
      <family val="1"/>
      <charset val="1"/>
    </font>
    <font>
      <b val="true"/>
      <sz val="8"/>
      <color rgb="FFFF0000"/>
      <name val="Arial"/>
      <family val="2"/>
      <charset val="1"/>
    </font>
    <font>
      <b val="true"/>
      <u val="single"/>
      <sz val="14"/>
      <name val="Geneva"/>
      <family val="2"/>
      <charset val="1"/>
    </font>
    <font>
      <b val="true"/>
      <sz val="15"/>
      <color rgb="FF003366"/>
      <name val="Calibri"/>
      <family val="2"/>
      <charset val="1"/>
    </font>
    <font>
      <b val="true"/>
      <sz val="13"/>
      <color rgb="FF003366"/>
      <name val="Calibri"/>
      <family val="2"/>
      <charset val="1"/>
    </font>
    <font>
      <b val="true"/>
      <sz val="14"/>
      <name val="Geneva"/>
      <family val="2"/>
      <charset val="1"/>
    </font>
    <font>
      <b val="true"/>
      <sz val="10"/>
      <color rgb="FF000080"/>
      <name val="MS Sans Serif"/>
      <family val="2"/>
      <charset val="1"/>
    </font>
    <font>
      <b val="true"/>
      <sz val="10"/>
      <color rgb="FF333399"/>
      <name val="Arial Narrow"/>
      <family val="2"/>
      <charset val="1"/>
    </font>
    <font>
      <sz val="10"/>
      <color rgb="FF000000"/>
      <name val="Times New Roman"/>
      <family val="1"/>
      <charset val="1"/>
    </font>
    <font>
      <u val="single"/>
      <sz val="11"/>
      <color theme="10"/>
      <name val="Calibri"/>
      <family val="2"/>
      <charset val="1"/>
    </font>
    <font>
      <b val="true"/>
      <sz val="6"/>
      <color rgb="FF000080"/>
      <name val="Arial"/>
      <family val="2"/>
      <charset val="1"/>
    </font>
    <font>
      <sz val="10"/>
      <color rgb="FF000000"/>
      <name val="Arial Narrow"/>
      <family val="2"/>
      <charset val="1"/>
    </font>
    <font>
      <sz val="8"/>
      <color rgb="FF008000"/>
      <name val="Times New Roman"/>
      <family val="1"/>
      <charset val="1"/>
    </font>
    <font>
      <b val="true"/>
      <sz val="12"/>
      <color rgb="FF000000"/>
      <name val="Geneva"/>
      <family val="2"/>
      <charset val="1"/>
    </font>
    <font>
      <sz val="10"/>
      <color rgb="FF008000"/>
      <name val="Arial"/>
      <family val="2"/>
      <charset val="1"/>
    </font>
    <font>
      <b val="true"/>
      <u val="single"/>
      <sz val="11"/>
      <color rgb="FFFF0000"/>
      <name val="Times New Roman"/>
      <family val="1"/>
      <charset val="1"/>
    </font>
    <font>
      <sz val="8"/>
      <color rgb="FFFF00FF"/>
      <name val="Times New Roman"/>
      <family val="1"/>
      <charset val="1"/>
    </font>
    <font>
      <sz val="11"/>
      <name val="Arial"/>
      <family val="2"/>
      <charset val="1"/>
    </font>
    <font>
      <i val="true"/>
      <sz val="10"/>
      <name val="Arial"/>
      <family val="2"/>
      <charset val="1"/>
    </font>
    <font>
      <sz val="10"/>
      <name val="GillSans Light"/>
      <family val="2"/>
      <charset val="1"/>
    </font>
    <font>
      <u val="single"/>
      <sz val="8"/>
      <color rgb="FF0000FF"/>
      <name val="Tahoma"/>
      <family val="2"/>
      <charset val="1"/>
    </font>
    <font>
      <sz val="8"/>
      <color rgb="FF000080"/>
      <name val="Times New Roman"/>
      <family val="1"/>
      <charset val="1"/>
    </font>
    <font>
      <b val="true"/>
      <sz val="8"/>
      <color rgb="FF000000"/>
      <name val="Arial"/>
      <family val="2"/>
      <charset val="1"/>
    </font>
    <font>
      <b val="true"/>
      <sz val="9"/>
      <color rgb="FFFF00FF"/>
      <name val="Geneva"/>
      <family val="2"/>
      <charset val="1"/>
    </font>
    <font>
      <i val="true"/>
      <sz val="9"/>
      <color rgb="FF000000"/>
      <name val="Arial"/>
      <family val="2"/>
      <charset val="1"/>
    </font>
    <font>
      <sz val="11"/>
      <color rgb="FF993300"/>
      <name val="Calibri"/>
      <family val="2"/>
      <charset val="1"/>
    </font>
    <font>
      <sz val="7"/>
      <name val="Small Fonts"/>
      <family val="2"/>
      <charset val="1"/>
    </font>
    <font>
      <sz val="8"/>
      <color rgb="FF008000"/>
      <name val="Times New Roman"/>
      <family val="2"/>
      <charset val="1"/>
    </font>
    <font>
      <sz val="10"/>
      <name val="Palatino"/>
      <family val="1"/>
      <charset val="1"/>
    </font>
    <font>
      <b val="true"/>
      <i val="true"/>
      <sz val="16"/>
      <name val="Arial"/>
      <family val="2"/>
      <charset val="1"/>
    </font>
    <font>
      <sz val="10"/>
      <color theme="1"/>
      <name val="Arial"/>
      <family val="2"/>
      <charset val="1"/>
    </font>
    <font>
      <sz val="11"/>
      <color theme="1"/>
      <name val="Calibri"/>
      <family val="2"/>
      <charset val="1"/>
    </font>
    <font>
      <sz val="12"/>
      <name val="Geneva"/>
      <family val="2"/>
      <charset val="1"/>
    </font>
    <font>
      <sz val="14"/>
      <color rgb="FF00FFFF"/>
      <name val="Geneva"/>
      <family val="2"/>
      <charset val="1"/>
    </font>
    <font>
      <b val="true"/>
      <sz val="14"/>
      <color rgb="FF00FFFF"/>
      <name val="Geneva"/>
      <family val="2"/>
      <charset val="1"/>
    </font>
    <font>
      <sz val="8"/>
      <color rgb="FF000000"/>
      <name val="Arial"/>
      <family val="2"/>
      <charset val="1"/>
    </font>
    <font>
      <sz val="11"/>
      <name val="Times New Roman"/>
      <family val="1"/>
      <charset val="1"/>
    </font>
    <font>
      <i val="true"/>
      <sz val="6"/>
      <name val="Arial"/>
      <family val="2"/>
      <charset val="1"/>
    </font>
    <font>
      <b val="true"/>
      <sz val="7"/>
      <name val="Arial"/>
      <family val="2"/>
      <charset val="1"/>
    </font>
    <font>
      <sz val="7"/>
      <name val="Arial"/>
      <family val="2"/>
      <charset val="1"/>
    </font>
    <font>
      <sz val="10"/>
      <color rgb="FF800000"/>
      <name val="Helvetica-Black"/>
      <family val="2"/>
      <charset val="1"/>
    </font>
    <font>
      <b val="true"/>
      <sz val="9"/>
      <name val="Frutiger 45 Light"/>
      <family val="2"/>
      <charset val="1"/>
    </font>
    <font>
      <sz val="8"/>
      <color rgb="FFFF00FF"/>
      <name val="Times New Roman"/>
      <family val="2"/>
      <charset val="1"/>
    </font>
    <font>
      <sz val="8.5"/>
      <name val="Arial"/>
      <family val="2"/>
      <charset val="1"/>
    </font>
    <font>
      <sz val="10"/>
      <color rgb="FF008000"/>
      <name val="MS Sans Serif"/>
      <family val="2"/>
      <charset val="1"/>
    </font>
    <font>
      <b val="true"/>
      <sz val="8"/>
      <color rgb="FF000080"/>
      <name val="Times New Roman"/>
      <family val="1"/>
      <charset val="1"/>
    </font>
    <font>
      <b val="true"/>
      <sz val="10"/>
      <color rgb="FFFFFFFF"/>
      <name val="Arial"/>
      <family val="2"/>
      <charset val="1"/>
    </font>
    <font>
      <sz val="8"/>
      <color rgb="FFFF0000"/>
      <name val="Arial"/>
      <family val="2"/>
      <charset val="1"/>
    </font>
    <font>
      <sz val="10"/>
      <color rgb="FF969696"/>
      <name val="Times New Roman"/>
      <family val="1"/>
      <charset val="1"/>
    </font>
    <font>
      <i val="true"/>
      <sz val="14"/>
      <name val="Arial"/>
      <family val="2"/>
      <charset val="1"/>
    </font>
    <font>
      <i val="true"/>
      <sz val="11"/>
      <name val="Arial"/>
      <family val="2"/>
      <charset val="1"/>
    </font>
    <font>
      <b val="true"/>
      <sz val="8"/>
      <color rgb="FF969696"/>
      <name val="Times New Roman"/>
      <family val="1"/>
      <charset val="1"/>
    </font>
    <font>
      <sz val="10"/>
      <name val="Geneva"/>
      <family val="2"/>
      <charset val="1"/>
    </font>
    <font>
      <b val="true"/>
      <sz val="11"/>
      <color rgb="FF333333"/>
      <name val="Calibri"/>
      <family val="2"/>
      <charset val="1"/>
    </font>
    <font>
      <sz val="10"/>
      <color rgb="FF0000FF"/>
      <name val="MS Sans Serif"/>
      <family val="2"/>
      <charset val="1"/>
    </font>
    <font>
      <b val="true"/>
      <sz val="12"/>
      <name val="MS Sans Serif"/>
      <family val="2"/>
      <charset val="1"/>
    </font>
    <font>
      <u val="single"/>
      <sz val="10"/>
      <name val="Times New Roman"/>
      <family val="1"/>
      <charset val="1"/>
    </font>
    <font>
      <i val="true"/>
      <sz val="7"/>
      <name val="Arial"/>
      <family val="2"/>
      <charset val="1"/>
    </font>
    <font>
      <b val="true"/>
      <sz val="12"/>
      <color rgb="FF003366"/>
      <name val="Times New Roman"/>
      <family val="1"/>
      <charset val="1"/>
    </font>
    <font>
      <sz val="7"/>
      <color rgb="FF003366"/>
      <name val="Times New Roman"/>
      <family val="1"/>
      <charset val="1"/>
    </font>
    <font>
      <sz val="12"/>
      <color rgb="FF003366"/>
      <name val="Times New Roman"/>
      <family val="1"/>
      <charset val="1"/>
    </font>
    <font>
      <b val="true"/>
      <sz val="12"/>
      <color rgb="FF333333"/>
      <name val="Times New Roman"/>
      <family val="1"/>
      <charset val="1"/>
    </font>
    <font>
      <b val="true"/>
      <sz val="11"/>
      <color rgb="FF333333"/>
      <name val="Times New Roman"/>
      <family val="1"/>
      <charset val="1"/>
    </font>
    <font>
      <b val="true"/>
      <u val="single"/>
      <sz val="12"/>
      <color rgb="FF003366"/>
      <name val="Times New Roman"/>
      <family val="1"/>
      <charset val="1"/>
    </font>
    <font>
      <b val="true"/>
      <sz val="10"/>
      <name val="GillSans"/>
      <family val="2"/>
      <charset val="1"/>
    </font>
    <font>
      <sz val="10"/>
      <name val="Webdings"/>
      <family val="1"/>
      <charset val="2"/>
    </font>
    <font>
      <b val="true"/>
      <sz val="10"/>
      <color rgb="FF000080"/>
      <name val="Symbol"/>
      <family val="1"/>
      <charset val="2"/>
    </font>
    <font>
      <b val="true"/>
      <sz val="11"/>
      <name val="Switzerland"/>
      <family val="2"/>
      <charset val="1"/>
    </font>
    <font>
      <b val="true"/>
      <sz val="9"/>
      <name val="Palatino"/>
      <family val="1"/>
      <charset val="1"/>
    </font>
    <font>
      <sz val="9"/>
      <color rgb="FF008080"/>
      <name val="Helvetica-Black"/>
      <family val="2"/>
      <charset val="1"/>
    </font>
    <font>
      <b val="true"/>
      <sz val="10"/>
      <name val="lr ¾©"/>
      <family val="1"/>
      <charset val="1"/>
    </font>
    <font>
      <sz val="24"/>
      <color rgb="FFFFFF00"/>
      <name val="Arial"/>
      <family val="2"/>
      <charset val="1"/>
    </font>
    <font>
      <b val="true"/>
      <sz val="18"/>
      <color rgb="FF003366"/>
      <name val="Cambria"/>
      <family val="2"/>
      <charset val="1"/>
    </font>
    <font>
      <b val="true"/>
      <sz val="13"/>
      <color rgb="FF333399"/>
      <name val="Arial"/>
      <family val="2"/>
      <charset val="1"/>
    </font>
    <font>
      <b val="true"/>
      <sz val="10"/>
      <color rgb="FF800000"/>
      <name val="Times New Roman"/>
      <family val="1"/>
      <charset val="1"/>
    </font>
    <font>
      <b val="true"/>
      <sz val="10"/>
      <color rgb="FF800000"/>
      <name val="Arial"/>
      <family val="2"/>
      <charset val="1"/>
    </font>
    <font>
      <b val="true"/>
      <sz val="12"/>
      <color rgb="FF000000"/>
      <name val="Arial"/>
      <family val="2"/>
      <charset val="1"/>
    </font>
    <font>
      <b val="true"/>
      <sz val="10"/>
      <color rgb="FF000000"/>
      <name val="Arial"/>
      <family val="2"/>
      <charset val="1"/>
    </font>
    <font>
      <b val="true"/>
      <i val="true"/>
      <sz val="12"/>
      <color rgb="FFFF0000"/>
      <name val="Arial"/>
      <family val="2"/>
      <charset val="1"/>
    </font>
    <font>
      <b val="true"/>
      <sz val="11"/>
      <color rgb="FF000000"/>
      <name val="Calibri"/>
      <family val="2"/>
      <charset val="1"/>
    </font>
    <font>
      <b val="true"/>
      <i val="true"/>
      <sz val="10"/>
      <color rgb="FF000000"/>
      <name val="Arial"/>
      <family val="2"/>
      <charset val="1"/>
    </font>
    <font>
      <i val="true"/>
      <sz val="8"/>
      <name val="Times New Roman"/>
      <family val="1"/>
      <charset val="1"/>
    </font>
    <font>
      <sz val="8"/>
      <color rgb="FFFF0000"/>
      <name val="Arial Narrow"/>
      <family val="2"/>
      <charset val="1"/>
    </font>
    <font>
      <sz val="8"/>
      <color rgb="FF800000"/>
      <name val="Arial"/>
      <family val="2"/>
      <charset val="1"/>
    </font>
    <font>
      <i val="true"/>
      <sz val="8"/>
      <color rgb="FF000000"/>
      <name val="Tahoma"/>
      <family val="2"/>
      <charset val="1"/>
    </font>
    <font>
      <b val="true"/>
      <sz val="8"/>
      <color rgb="FF000000"/>
      <name val="Wingdings"/>
      <family val="2"/>
      <charset val="2"/>
    </font>
    <font>
      <b val="true"/>
      <sz val="8"/>
      <color rgb="FFFF0000"/>
      <name val="Wingdings"/>
      <family val="2"/>
      <charset val="2"/>
    </font>
    <font>
      <b val="true"/>
      <sz val="8"/>
      <color rgb="FFFFFFFF"/>
      <name val="Wingdings"/>
      <family val="2"/>
      <charset val="2"/>
    </font>
    <font>
      <b val="true"/>
      <u val="single"/>
      <sz val="10"/>
      <name val="Times New Roman"/>
      <family val="2"/>
      <charset val="1"/>
    </font>
    <font>
      <sz val="10"/>
      <name val="Univers"/>
      <family val="2"/>
      <charset val="1"/>
    </font>
    <font>
      <sz val="12"/>
      <name val="‚l‚r ‚oƒSƒVƒbƒN"/>
      <family val="2"/>
      <charset val="128"/>
    </font>
    <font>
      <u val="single"/>
      <sz val="11"/>
      <color rgb="FF0000FF"/>
      <name val="ＭＳ Ｐゴシック"/>
      <family val="3"/>
      <charset val="128"/>
    </font>
    <font>
      <sz val="11"/>
      <name val="ＭＳ Ｐゴシック"/>
      <family val="3"/>
      <charset val="128"/>
    </font>
    <font>
      <b val="true"/>
      <sz val="13"/>
      <color rgb="FF1F3864"/>
      <name val="Arial"/>
      <family val="0"/>
      <charset val="1"/>
    </font>
    <font>
      <i val="true"/>
      <sz val="10"/>
      <color rgb="FF808080"/>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sz val="10"/>
      <color rgb="FF008000"/>
      <name val="Arial"/>
      <family val="0"/>
      <charset val="1"/>
    </font>
    <font>
      <sz val="10"/>
      <color rgb="FFFF0000"/>
      <name val="Arial"/>
      <family val="0"/>
      <charset val="1"/>
    </font>
    <font>
      <b val="true"/>
      <sz val="10"/>
      <name val="Arial"/>
      <family val="0"/>
      <charset val="1"/>
    </font>
    <font>
      <sz val="10"/>
      <name val="Arial"/>
      <family val="0"/>
      <charset val="1"/>
    </font>
    <font>
      <b val="true"/>
      <sz val="10"/>
      <color rgb="FF0000FF"/>
      <name val="Arial"/>
      <family val="0"/>
      <charset val="1"/>
    </font>
    <font>
      <b val="true"/>
      <sz val="10"/>
      <color rgb="FF000000"/>
      <name val="Arial"/>
      <family val="0"/>
      <charset val="1"/>
    </font>
    <font>
      <b val="true"/>
      <sz val="10"/>
      <color rgb="FF1F3864"/>
      <name val="Arial"/>
      <family val="0"/>
      <charset val="1"/>
    </font>
    <font>
      <sz val="7"/>
      <color rgb="FFA6A6A6"/>
      <name val="Arial"/>
      <family val="0"/>
      <charset val="1"/>
    </font>
    <font>
      <b val="true"/>
      <sz val="10"/>
      <color rgb="FF008000"/>
      <name val="Arial"/>
      <family val="0"/>
      <charset val="1"/>
    </font>
    <font>
      <b val="true"/>
      <sz val="10"/>
      <color rgb="FF0000FF"/>
      <name val="Arial"/>
      <family val="2"/>
      <charset val="1"/>
    </font>
    <font>
      <sz val="10"/>
      <color theme="0" tint="-0.25"/>
      <name val="Arial"/>
      <family val="2"/>
      <charset val="1"/>
    </font>
    <font>
      <sz val="10"/>
      <name val="Arial"/>
      <family val="2"/>
    </font>
    <font>
      <sz val="10"/>
      <color rgb="FF000000"/>
      <name val="HelveticaNeue Condensed"/>
      <family val="2"/>
    </font>
    <font>
      <sz val="9.2"/>
      <color rgb="FF000000"/>
      <name val="HelveticaNeue Condensed"/>
      <family val="2"/>
    </font>
    <font>
      <sz val="10"/>
      <color rgb="FF000000"/>
      <name val="Calibri"/>
      <family val="2"/>
    </font>
    <font>
      <sz val="10"/>
      <color rgb="FFFFFFFF"/>
      <name val="Arial"/>
      <family val="2"/>
      <charset val="1"/>
    </font>
    <font>
      <b val="true"/>
      <sz val="9"/>
      <color rgb="FF000000"/>
      <name val="Arial"/>
      <family val="0"/>
      <charset val="1"/>
    </font>
    <font>
      <b val="true"/>
      <sz val="8"/>
      <color rgb="FF000000"/>
      <name val="Arial"/>
      <family val="0"/>
      <charset val="1"/>
    </font>
    <font>
      <b val="true"/>
      <sz val="11"/>
      <color rgb="FF000000"/>
      <name val="Arial"/>
      <family val="0"/>
      <charset val="1"/>
    </font>
    <font>
      <sz val="10"/>
      <name val="Tahoma"/>
      <family val="2"/>
      <charset val="1"/>
    </font>
    <font>
      <b val="true"/>
      <sz val="8"/>
      <color rgb="FF0000FF"/>
      <name val="Arial"/>
      <family val="0"/>
      <charset val="1"/>
    </font>
    <font>
      <u val="single"/>
      <sz val="10"/>
      <color rgb="FF0000FF"/>
      <name val="Arial"/>
      <family val="2"/>
      <charset val="1"/>
    </font>
  </fonts>
  <fills count="48">
    <fill>
      <patternFill patternType="none"/>
    </fill>
    <fill>
      <patternFill patternType="gray125"/>
    </fill>
    <fill>
      <patternFill patternType="solid">
        <fgColor rgb="FFCCCCFF"/>
        <bgColor rgb="FFC0C0FF"/>
      </patternFill>
    </fill>
    <fill>
      <patternFill patternType="solid">
        <fgColor rgb="FFFF99CC"/>
        <bgColor rgb="FFFF8080"/>
      </patternFill>
    </fill>
    <fill>
      <patternFill patternType="solid">
        <fgColor rgb="FFCCFFCC"/>
        <bgColor rgb="FFCCFFFF"/>
      </patternFill>
    </fill>
    <fill>
      <patternFill patternType="solid">
        <fgColor rgb="FFCC99FF"/>
        <bgColor rgb="FFC0C0FF"/>
      </patternFill>
    </fill>
    <fill>
      <patternFill patternType="solid">
        <fgColor rgb="FFCCFFFF"/>
        <bgColor rgb="FFCCFFCC"/>
      </patternFill>
    </fill>
    <fill>
      <patternFill patternType="solid">
        <fgColor rgb="FFFFCC99"/>
        <bgColor rgb="FFF2DCDB"/>
      </patternFill>
    </fill>
    <fill>
      <patternFill patternType="solid">
        <fgColor rgb="FF99CCFF"/>
        <bgColor rgb="FFC0C0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7CB"/>
        <bgColor rgb="FF2F71E8"/>
      </patternFill>
    </fill>
    <fill>
      <patternFill patternType="solid">
        <fgColor rgb="FF800080"/>
        <bgColor rgb="FF800000"/>
      </patternFill>
    </fill>
    <fill>
      <patternFill patternType="solid">
        <fgColor rgb="FF33CCCC"/>
        <bgColor rgb="FF00CCFF"/>
      </patternFill>
    </fill>
    <fill>
      <patternFill patternType="solid">
        <fgColor rgb="FFFF9900"/>
        <bgColor rgb="FFFC6E06"/>
      </patternFill>
    </fill>
    <fill>
      <patternFill patternType="solid">
        <fgColor rgb="FFFFFF99"/>
        <bgColor rgb="FFFFFFCC"/>
      </patternFill>
    </fill>
    <fill>
      <patternFill patternType="solid">
        <fgColor rgb="FF333399"/>
        <bgColor rgb="FF1F3864"/>
      </patternFill>
    </fill>
    <fill>
      <patternFill patternType="solid">
        <fgColor rgb="FFFF0000"/>
        <bgColor rgb="FF993315"/>
      </patternFill>
    </fill>
    <fill>
      <patternFill patternType="solid">
        <fgColor rgb="FF339966"/>
        <bgColor rgb="FF008080"/>
      </patternFill>
    </fill>
    <fill>
      <patternFill patternType="solid">
        <fgColor rgb="FFFC6E06"/>
        <bgColor rgb="FFFF9900"/>
      </patternFill>
    </fill>
    <fill>
      <patternFill patternType="solid">
        <fgColor rgb="FFDCE6F2"/>
        <bgColor rgb="FFDAE2F3"/>
      </patternFill>
    </fill>
    <fill>
      <patternFill patternType="solid">
        <fgColor rgb="FFC0C0C0"/>
        <bgColor rgb="FFBFBFBF"/>
      </patternFill>
    </fill>
    <fill>
      <patternFill patternType="darkGray">
        <fgColor rgb="FF989898"/>
        <bgColor rgb="FF969696"/>
      </patternFill>
    </fill>
    <fill>
      <patternFill patternType="solid">
        <fgColor rgb="FFFFFFCC"/>
        <bgColor rgb="FFFFF2CC"/>
      </patternFill>
    </fill>
    <fill>
      <patternFill patternType="solid">
        <fgColor rgb="FFC0C0FF"/>
        <bgColor rgb="FFCCCCFF"/>
      </patternFill>
    </fill>
    <fill>
      <patternFill patternType="solid">
        <fgColor rgb="FF800000"/>
        <bgColor rgb="FF993315"/>
      </patternFill>
    </fill>
    <fill>
      <patternFill patternType="solid">
        <fgColor rgb="FFFFFFFF"/>
        <bgColor rgb="FFFFFFF9"/>
      </patternFill>
    </fill>
    <fill>
      <patternFill patternType="solid">
        <fgColor rgb="FF0000FF"/>
        <bgColor rgb="FF000080"/>
      </patternFill>
    </fill>
    <fill>
      <patternFill patternType="solid">
        <fgColor rgb="FFFFFFF9"/>
        <bgColor rgb="FFFFFFFF"/>
      </patternFill>
    </fill>
    <fill>
      <patternFill patternType="solid">
        <fgColor rgb="FFFFFF00"/>
        <bgColor rgb="FFFFCC00"/>
      </patternFill>
    </fill>
    <fill>
      <patternFill patternType="solid">
        <fgColor rgb="FF00CCFF"/>
        <bgColor rgb="FF33CCCC"/>
      </patternFill>
    </fill>
    <fill>
      <patternFill patternType="solid">
        <fgColor rgb="FFDAE2F3"/>
        <bgColor rgb="FFDCE6F2"/>
      </patternFill>
    </fill>
    <fill>
      <patternFill patternType="solid">
        <fgColor rgb="FF000000"/>
        <bgColor rgb="FF000080"/>
      </patternFill>
    </fill>
    <fill>
      <patternFill patternType="solid">
        <fgColor rgb="FF008080"/>
        <bgColor rgb="FF0067CB"/>
      </patternFill>
    </fill>
    <fill>
      <patternFill patternType="darkGray">
        <fgColor rgb="FFFFFFF9"/>
        <bgColor rgb="FFFFFFFF"/>
      </patternFill>
    </fill>
    <fill>
      <patternFill patternType="solid">
        <fgColor rgb="FFEFEFEF"/>
        <bgColor rgb="FFF2F2F2"/>
      </patternFill>
    </fill>
    <fill>
      <patternFill patternType="solid">
        <fgColor rgb="FF1D331D"/>
        <bgColor rgb="FF333333"/>
      </patternFill>
    </fill>
    <fill>
      <patternFill patternType="solid">
        <fgColor rgb="FF1F3864"/>
        <bgColor rgb="FF003366"/>
      </patternFill>
    </fill>
    <fill>
      <patternFill patternType="solid">
        <fgColor rgb="FFFDE9D9"/>
        <bgColor rgb="FFFFF2CC"/>
      </patternFill>
    </fill>
    <fill>
      <patternFill patternType="solid">
        <fgColor rgb="FFF2F2F2"/>
        <bgColor rgb="FFEFEFEF"/>
      </patternFill>
    </fill>
    <fill>
      <patternFill patternType="solid">
        <fgColor rgb="FFDDEBF7"/>
        <bgColor rgb="FFDCE6F2"/>
      </patternFill>
    </fill>
    <fill>
      <patternFill patternType="solid">
        <fgColor rgb="FFFFF2CC"/>
        <bgColor rgb="FFFDE9D9"/>
      </patternFill>
    </fill>
    <fill>
      <patternFill patternType="solid">
        <fgColor rgb="FFE2EFDA"/>
        <bgColor rgb="FFEFEFEF"/>
      </patternFill>
    </fill>
    <fill>
      <patternFill patternType="solid">
        <fgColor theme="3" tint="0.7999"/>
        <bgColor rgb="FFCCCCFF"/>
      </patternFill>
    </fill>
    <fill>
      <patternFill patternType="solid">
        <fgColor theme="6" tint="0.5999"/>
        <bgColor rgb="FFE2EFDA"/>
      </patternFill>
    </fill>
    <fill>
      <patternFill patternType="solid">
        <fgColor theme="5" tint="0.7999"/>
        <bgColor rgb="FFFDE9D9"/>
      </patternFill>
    </fill>
    <fill>
      <patternFill patternType="solid">
        <fgColor rgb="FF003366"/>
        <bgColor rgb="FF1F3864"/>
      </patternFill>
    </fill>
  </fills>
  <borders count="61">
    <border diagonalUp="false" diagonalDown="false">
      <left/>
      <right/>
      <top/>
      <bottom/>
      <diagonal/>
    </border>
    <border diagonalUp="false" diagonalDown="false">
      <left/>
      <right/>
      <top style="thin">
        <color rgb="FF000080"/>
      </top>
      <bottom style="thin">
        <color rgb="FF000080"/>
      </bottom>
      <diagonal/>
    </border>
    <border diagonalUp="false" diagonalDown="false">
      <left style="thin"/>
      <right/>
      <top/>
      <bottom/>
      <diagonal/>
    </border>
    <border diagonalUp="false" diagonalDown="false">
      <left/>
      <right/>
      <top/>
      <bottom style="thick">
        <color rgb="FF798089"/>
      </bottom>
      <diagonal/>
    </border>
    <border diagonalUp="false" diagonalDown="false">
      <left/>
      <right/>
      <top/>
      <bottom style="thin">
        <color rgb="FF000080"/>
      </bottom>
      <diagonal/>
    </border>
    <border diagonalUp="false" diagonalDown="false">
      <left/>
      <right/>
      <top style="hair"/>
      <bottom style="hair"/>
      <diagonal/>
    </border>
    <border diagonalUp="false" diagonalDown="false">
      <left/>
      <right/>
      <top/>
      <bottom style="medium">
        <color rgb="FF000080"/>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798089"/>
      </left>
      <right style="thin">
        <color rgb="FF798089"/>
      </right>
      <top style="thin">
        <color rgb="FF798089"/>
      </top>
      <bottom style="thin">
        <color rgb="FF798089"/>
      </bottom>
      <diagonal/>
    </border>
    <border diagonalUp="false" diagonalDown="false">
      <left style="double">
        <color rgb="FF1D331D"/>
      </left>
      <right style="double">
        <color rgb="FF1D331D"/>
      </right>
      <top style="double">
        <color rgb="FF1D331D"/>
      </top>
      <bottom style="double">
        <color rgb="FF1D331D"/>
      </bottom>
      <diagonal/>
    </border>
    <border diagonalUp="false" diagonalDown="false">
      <left/>
      <right/>
      <top/>
      <bottom style="double">
        <color rgb="FFFF9900"/>
      </bottom>
      <diagonal/>
    </border>
    <border diagonalUp="false" diagonalDown="false">
      <left style="double"/>
      <right style="double"/>
      <top style="double"/>
      <bottom style="double"/>
      <diagonal/>
    </border>
    <border diagonalUp="false" diagonalDown="false">
      <left style="thin">
        <color rgb="FFC0C0C0"/>
      </left>
      <right style="thin">
        <color rgb="FFC0C0C0"/>
      </right>
      <top style="thin">
        <color rgb="FFC0C0C0"/>
      </top>
      <bottom style="thin">
        <color rgb="FFC0C0C0"/>
      </bottom>
      <diagonal/>
    </border>
    <border diagonalUp="false" diagonalDown="false">
      <left/>
      <right/>
      <top/>
      <bottom style="medium">
        <color rgb="FF993315"/>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bottom style="dotted"/>
      <diagonal/>
    </border>
    <border diagonalUp="false" diagonalDown="false">
      <left/>
      <right/>
      <top style="thin"/>
      <bottom/>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style="double"/>
      <bottom style="thin"/>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7CB"/>
      </bottom>
      <diagonal/>
    </border>
    <border diagonalUp="false" diagonalDown="false">
      <left/>
      <right/>
      <top/>
      <bottom style="thin"/>
      <diagonal/>
    </border>
    <border diagonalUp="false" diagonalDown="false">
      <left style="thin">
        <color rgb="FFC0C0C0"/>
      </left>
      <right style="thin">
        <color rgb="FFC0C0C0"/>
      </right>
      <top/>
      <bottom style="thin">
        <color rgb="FFC0C0C0"/>
      </bottom>
      <diagonal/>
    </border>
    <border diagonalUp="false" diagonalDown="false">
      <left/>
      <right/>
      <top/>
      <bottom style="medium"/>
      <diagonal/>
    </border>
    <border diagonalUp="false" diagonalDown="false">
      <left/>
      <right/>
      <top style="medium"/>
      <bottom style="medium"/>
      <diagonal/>
    </border>
    <border diagonalUp="false" diagonalDown="false">
      <left style="thin">
        <color rgb="FFC0C0C0"/>
      </left>
      <right style="thin">
        <color rgb="FFC0C0C0"/>
      </right>
      <top style="thin">
        <color rgb="FFC0C0C0"/>
      </top>
      <bottom/>
      <diagonal/>
    </border>
    <border diagonalUp="false" diagonalDown="false">
      <left/>
      <right/>
      <top style="medium"/>
      <bottom/>
      <diagonal/>
    </border>
    <border diagonalUp="false" diagonalDown="false">
      <left/>
      <right/>
      <top style="thin"/>
      <bottom style="medium"/>
      <diagonal/>
    </border>
    <border diagonalUp="false" diagonalDown="false">
      <left style="thin">
        <color rgb="FF1D331D"/>
      </left>
      <right style="thin">
        <color rgb="FF1D331D"/>
      </right>
      <top style="thin">
        <color rgb="FF1D331D"/>
      </top>
      <bottom style="thin">
        <color rgb="FF1D331D"/>
      </bottom>
      <diagonal/>
    </border>
    <border diagonalUp="false" diagonalDown="false">
      <left style="thin">
        <color rgb="FF2F71E8"/>
      </left>
      <right style="thin">
        <color rgb="FF2F71E8"/>
      </right>
      <top style="thin">
        <color rgb="FF2F71E8"/>
      </top>
      <bottom style="thin">
        <color rgb="FF2F71E8"/>
      </bottom>
      <diagonal/>
    </border>
    <border diagonalUp="false" diagonalDown="false">
      <left/>
      <right/>
      <top style="medium">
        <color rgb="FF003366"/>
      </top>
      <bottom style="medium">
        <color rgb="FF003366"/>
      </bottom>
      <diagonal/>
    </border>
    <border diagonalUp="false" diagonalDown="false">
      <left/>
      <right/>
      <top style="double">
        <color rgb="FF1D331D"/>
      </top>
      <bottom/>
      <diagonal/>
    </border>
    <border diagonalUp="false" diagonalDown="false">
      <left/>
      <right/>
      <top style="thin"/>
      <bottom style="thin"/>
      <diagonal/>
    </border>
    <border diagonalUp="false" diagonalDown="false">
      <left/>
      <right/>
      <top style="thin"/>
      <bottom style="double"/>
      <diagonal/>
    </border>
    <border diagonalUp="false" diagonalDown="false">
      <left/>
      <right/>
      <top style="thin">
        <color rgb="FFC0C0C0"/>
      </top>
      <bottom style="thin">
        <color rgb="FFC0C0C0"/>
      </bottom>
      <diagonal/>
    </border>
    <border diagonalUp="false" diagonalDown="false">
      <left/>
      <right style="thin">
        <color rgb="FFC0C0C0"/>
      </right>
      <top style="thin">
        <color rgb="FFC0C0C0"/>
      </top>
      <bottom style="thin">
        <color rgb="FFC0C0C0"/>
      </bottom>
      <diagonal/>
    </border>
    <border diagonalUp="false" diagonalDown="false">
      <left style="thin">
        <color rgb="FFC0C0C0"/>
      </left>
      <right/>
      <top style="thin">
        <color rgb="FFC0C0C0"/>
      </top>
      <bottom style="thin">
        <color rgb="FFC0C0C0"/>
      </bottom>
      <diagonal/>
    </border>
    <border diagonalUp="false" diagonalDown="false">
      <left/>
      <right/>
      <top style="double"/>
      <bottom/>
      <diagonal/>
    </border>
    <border diagonalUp="false" diagonalDown="false">
      <left/>
      <right/>
      <top/>
      <bottom style="double"/>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style="thin"/>
      <top style="thin"/>
      <bottom style="double"/>
      <diagonal/>
    </border>
    <border diagonalUp="false" diagonalDown="false">
      <left/>
      <right/>
      <top/>
      <bottom style="medium">
        <color rgb="FF333399"/>
      </bottom>
      <diagonal/>
    </border>
    <border diagonalUp="false" diagonalDown="false">
      <left/>
      <right/>
      <top/>
      <bottom style="thick">
        <color rgb="FF000080"/>
      </bottom>
      <diagonal/>
    </border>
    <border diagonalUp="false" diagonalDown="false">
      <left style="thin">
        <color rgb="FFFFFFFF"/>
      </left>
      <right/>
      <top/>
      <bottom style="thin">
        <color rgb="FFFFFFFF"/>
      </bottom>
      <diagonal/>
    </border>
    <border diagonalUp="false" diagonalDown="false">
      <left/>
      <right/>
      <top style="thin">
        <color rgb="FF333399"/>
      </top>
      <bottom style="double">
        <color rgb="FF333399"/>
      </bottom>
      <diagonal/>
    </border>
    <border diagonalUp="false" diagonalDown="false">
      <left style="medium">
        <color rgb="FFFFFFFF"/>
      </left>
      <right style="medium">
        <color rgb="FF33CCCC"/>
      </right>
      <top/>
      <bottom/>
      <diagonal/>
    </border>
    <border diagonalUp="false" diagonalDown="false">
      <left/>
      <right/>
      <top/>
      <bottom style="thin">
        <color rgb="FFBFBFBF"/>
      </bottom>
      <diagonal/>
    </border>
    <border diagonalUp="false" diagonalDown="false">
      <left/>
      <right/>
      <top style="thin">
        <color rgb="FF404040"/>
      </top>
      <bottom style="thin">
        <color rgb="FF404040"/>
      </bottom>
      <diagonal/>
    </border>
    <border diagonalUp="false" diagonalDown="false">
      <left/>
      <right/>
      <top style="thin">
        <color rgb="FF404040"/>
      </top>
      <bottom style="medium">
        <color rgb="FF1F3864"/>
      </bottom>
      <diagonal/>
    </border>
    <border diagonalUp="false" diagonalDown="false">
      <left/>
      <right/>
      <top style="thin">
        <color rgb="FFBFBFBF"/>
      </top>
      <bottom/>
      <diagonal/>
    </border>
    <border diagonalUp="false" diagonalDown="false">
      <left style="medium"/>
      <right/>
      <top/>
      <bottom/>
      <diagonal/>
    </border>
  </borders>
  <cellStyleXfs count="109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8"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9" fontId="8" fillId="0" borderId="1" applyFont="true" applyBorder="true" applyAlignment="true" applyProtection="true">
      <alignment horizontal="left" vertical="center" textRotation="0" wrapText="false" indent="0" shrinkToFit="false"/>
      <protection locked="true" hidden="false"/>
    </xf>
    <xf numFmtId="170" fontId="9" fillId="0" borderId="2" applyFont="true" applyBorder="true" applyAlignment="true" applyProtection="true">
      <alignment horizontal="general" vertical="bottom" textRotation="0" wrapText="false" indent="0" shrinkToFit="false"/>
      <protection locked="true" hidden="false"/>
    </xf>
    <xf numFmtId="171" fontId="9" fillId="0" borderId="2" applyFont="true" applyBorder="true" applyAlignment="true" applyProtection="true">
      <alignment horizontal="general" vertical="bottom" textRotation="0" wrapText="false" indent="0" shrinkToFit="false"/>
      <protection locked="true" hidden="false"/>
    </xf>
    <xf numFmtId="172" fontId="9" fillId="0" borderId="2"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4" fontId="11" fillId="0" borderId="0" applyFont="true" applyBorder="true" applyAlignment="true" applyProtection="true">
      <alignment horizontal="general" vertical="bottom" textRotation="0" wrapText="false" indent="0" shrinkToFit="false"/>
      <protection locked="true" hidden="false"/>
    </xf>
    <xf numFmtId="174" fontId="11" fillId="0" borderId="0" applyFont="true" applyBorder="true" applyAlignment="true" applyProtection="true">
      <alignment horizontal="general" vertical="bottom" textRotation="0" wrapText="false" indent="0" shrinkToFit="false"/>
      <protection locked="true" hidden="false"/>
    </xf>
    <xf numFmtId="164" fontId="0" fillId="0" borderId="3"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4" fontId="12" fillId="2" borderId="0" applyFont="true" applyBorder="true" applyAlignment="true" applyProtection="true">
      <alignment horizontal="general" vertical="bottom" textRotation="0" wrapText="false" indent="0" shrinkToFit="false"/>
      <protection locked="true" hidden="false"/>
    </xf>
    <xf numFmtId="164" fontId="12" fillId="3" borderId="0" applyFont="true" applyBorder="true" applyAlignment="true" applyProtection="true">
      <alignment horizontal="general" vertical="bottom" textRotation="0" wrapText="false" indent="0" shrinkToFit="false"/>
      <protection locked="true" hidden="false"/>
    </xf>
    <xf numFmtId="164" fontId="12" fillId="4"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6" borderId="0" applyFont="true" applyBorder="true" applyAlignment="true" applyProtection="true">
      <alignment horizontal="general" vertical="bottom" textRotation="0" wrapText="false" indent="0" shrinkToFit="false"/>
      <protection locked="true" hidden="false"/>
    </xf>
    <xf numFmtId="164" fontId="12" fillId="7" borderId="0" applyFont="true" applyBorder="true" applyAlignment="true" applyProtection="true">
      <alignment horizontal="general" vertical="bottom" textRotation="0" wrapText="false" indent="0" shrinkToFit="false"/>
      <protection locked="true" hidden="false"/>
    </xf>
    <xf numFmtId="169" fontId="8" fillId="0" borderId="1" applyFont="true" applyBorder="true" applyAlignment="true" applyProtection="true">
      <alignment horizontal="left" vertical="center"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9" borderId="0" applyFont="true" applyBorder="true" applyAlignment="true" applyProtection="true">
      <alignment horizontal="general" vertical="bottom" textRotation="0" wrapText="false" indent="0" shrinkToFit="false"/>
      <protection locked="true" hidden="false"/>
    </xf>
    <xf numFmtId="164" fontId="12" fillId="10" borderId="0" applyFont="true" applyBorder="true" applyAlignment="true" applyProtection="true">
      <alignment horizontal="general" vertical="bottom" textRotation="0" wrapText="false" indent="0" shrinkToFit="false"/>
      <protection locked="true" hidden="false"/>
    </xf>
    <xf numFmtId="164" fontId="12" fillId="5" borderId="0" applyFont="true" applyBorder="true" applyAlignment="true" applyProtection="true">
      <alignment horizontal="general" vertical="bottom" textRotation="0" wrapText="false" indent="0" shrinkToFit="false"/>
      <protection locked="true" hidden="false"/>
    </xf>
    <xf numFmtId="164" fontId="12" fillId="8" borderId="0" applyFont="true" applyBorder="true" applyAlignment="true" applyProtection="true">
      <alignment horizontal="general" vertical="bottom" textRotation="0" wrapText="false" indent="0" shrinkToFit="false"/>
      <protection locked="true" hidden="false"/>
    </xf>
    <xf numFmtId="164" fontId="12" fillId="11"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64" fontId="13" fillId="12" borderId="0" applyFont="true" applyBorder="true" applyAlignment="true" applyProtection="true">
      <alignment horizontal="general" vertical="bottom" textRotation="0" wrapText="false" indent="0" shrinkToFit="false"/>
      <protection locked="true" hidden="false"/>
    </xf>
    <xf numFmtId="164" fontId="13" fillId="9" borderId="0" applyFont="true" applyBorder="true" applyAlignment="true" applyProtection="true">
      <alignment horizontal="general" vertical="bottom" textRotation="0" wrapText="false" indent="0" shrinkToFit="false"/>
      <protection locked="true" hidden="false"/>
    </xf>
    <xf numFmtId="164" fontId="13" fillId="10"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5" borderId="0" applyFont="true" applyBorder="true" applyAlignment="true" applyProtection="true">
      <alignment horizontal="general" vertical="bottom" textRotation="0" wrapText="false" indent="0" shrinkToFit="false"/>
      <protection locked="true" hidden="false"/>
    </xf>
    <xf numFmtId="175" fontId="14" fillId="0" borderId="0" applyFont="true" applyBorder="true" applyAlignment="true" applyProtection="true">
      <alignment horizontal="general" vertical="bottom" textRotation="0" wrapText="false" indent="0" shrinkToFit="false"/>
      <protection locked="true" hidden="false"/>
    </xf>
    <xf numFmtId="176" fontId="14" fillId="0" borderId="0" applyFont="true" applyBorder="true" applyAlignment="true" applyProtection="true">
      <alignment horizontal="general" vertical="bottom" textRotation="0" wrapText="false" indent="0" shrinkToFit="false"/>
      <protection locked="true" hidden="false"/>
    </xf>
    <xf numFmtId="164" fontId="1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77" fontId="16" fillId="0" borderId="0" applyFont="true" applyBorder="true" applyAlignment="true" applyProtection="true">
      <alignment horizontal="right"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78" fontId="17" fillId="0" borderId="4" applyFont="true" applyBorder="true" applyAlignment="true" applyProtection="true">
      <alignment horizontal="center" vertical="top"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79" fontId="0" fillId="0" borderId="0" applyFont="true" applyBorder="true" applyAlignment="true" applyProtection="true">
      <alignment horizontal="general" vertical="bottom" textRotation="0" wrapText="false" indent="0" shrinkToFit="false"/>
      <protection locked="true" hidden="false"/>
    </xf>
    <xf numFmtId="180"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1" fontId="18"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82"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3"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4" fontId="0" fillId="0" borderId="0" applyFont="true" applyBorder="true" applyAlignment="true" applyProtection="true">
      <alignment horizontal="general" vertical="bottom" textRotation="0" wrapText="false" indent="0" shrinkToFit="false"/>
      <protection locked="true" hidden="false"/>
    </xf>
    <xf numFmtId="185"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86"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7"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4" fontId="0" fillId="16"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88"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90"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89" fontId="0" fillId="0" borderId="0" applyFont="true" applyBorder="true" applyAlignment="true" applyProtection="true">
      <alignment horizontal="general" vertical="bottom" textRotation="0" wrapText="false" indent="0" shrinkToFit="false"/>
      <protection locked="true" hidden="false"/>
    </xf>
    <xf numFmtId="191" fontId="0" fillId="0" borderId="0" applyFont="true" applyBorder="true" applyAlignment="true" applyProtection="true">
      <alignment horizontal="general"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93" fontId="0" fillId="0" borderId="0" applyFont="true" applyBorder="true" applyAlignment="true" applyProtection="true">
      <alignment horizontal="right"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92" fontId="0" fillId="0" borderId="0" applyFont="true" applyBorder="true" applyAlignment="true" applyProtection="true">
      <alignment horizontal="right"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94" fontId="0" fillId="0" borderId="0" applyFont="true" applyBorder="true" applyAlignment="true" applyProtection="true">
      <alignment horizontal="general" vertical="bottom" textRotation="0" wrapText="false" indent="0" shrinkToFit="false"/>
      <protection locked="true" hidden="false"/>
    </xf>
    <xf numFmtId="195"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1" fillId="0" borderId="0" applyFont="true" applyBorder="true" applyAlignment="true" applyProtection="true">
      <alignment horizontal="general" vertical="top" textRotation="0" wrapText="false" indent="0" shrinkToFit="false"/>
      <protection locked="true" hidden="false"/>
    </xf>
    <xf numFmtId="164" fontId="22" fillId="0" borderId="5" applyFont="true" applyBorder="true" applyAlignment="true" applyProtection="true">
      <alignment horizontal="general" vertical="bottom" textRotation="0" wrapText="false" indent="0" shrinkToFit="false"/>
      <protection locked="true" hidden="false"/>
    </xf>
    <xf numFmtId="164" fontId="23" fillId="0" borderId="6" applyFont="true" applyBorder="true" applyAlignment="true" applyProtection="true">
      <alignment horizontal="center" vertical="bottom" textRotation="0" wrapText="false" indent="0" shrinkToFit="false"/>
      <protection locked="true" hidden="false"/>
    </xf>
    <xf numFmtId="164" fontId="23" fillId="0" borderId="0" applyFont="true" applyBorder="true" applyAlignment="true" applyProtection="true">
      <alignment horizontal="left" vertical="bottom" textRotation="0" wrapText="false" indent="0" shrinkToFit="false"/>
      <protection locked="true" hidden="false"/>
    </xf>
    <xf numFmtId="164" fontId="24" fillId="0" borderId="0" applyFont="true" applyBorder="true" applyAlignment="true" applyProtection="true">
      <alignment horizontal="center"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5" fillId="0" borderId="0" applyFont="true" applyBorder="true" applyAlignment="true" applyProtection="true">
      <alignment horizontal="general" vertical="bottom" textRotation="0" wrapText="false" indent="0" shrinkToFit="false"/>
      <protection locked="true" hidden="false"/>
    </xf>
    <xf numFmtId="164" fontId="26" fillId="0" borderId="7" applyFont="true" applyBorder="true" applyAlignment="true" applyProtection="true">
      <alignment horizontal="general" vertical="bottom" textRotation="0" wrapText="false" indent="0" shrinkToFit="false"/>
      <protection locked="true" hidden="false"/>
    </xf>
    <xf numFmtId="164" fontId="27" fillId="0" borderId="7" applyFont="true" applyBorder="true" applyAlignment="true" applyProtection="true">
      <alignment horizontal="general" vertical="bottom" textRotation="0" wrapText="false" indent="0" shrinkToFit="false"/>
      <protection locked="true" hidden="false"/>
    </xf>
    <xf numFmtId="164" fontId="27" fillId="0" borderId="7" applyFont="true" applyBorder="true" applyAlignment="true" applyProtection="true">
      <alignment horizontal="general" vertical="bottom" textRotation="0" wrapText="false" indent="0" shrinkToFit="false"/>
      <protection locked="true" hidden="false"/>
    </xf>
    <xf numFmtId="164" fontId="28" fillId="0" borderId="7" applyFont="true" applyBorder="true" applyAlignment="true" applyProtection="true">
      <alignment horizontal="general" vertical="bottom" textRotation="0" wrapText="false" indent="0" shrinkToFit="false"/>
      <protection locked="true" hidden="false"/>
    </xf>
    <xf numFmtId="164" fontId="11" fillId="0" borderId="7"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97" fontId="32" fillId="21" borderId="0" applyFont="true" applyBorder="true" applyAlignment="true" applyProtection="true">
      <alignment horizontal="left" vertical="bottom" textRotation="0" wrapText="false" indent="0" shrinkToFit="false"/>
      <protection locked="true" hidden="false"/>
    </xf>
    <xf numFmtId="198" fontId="31" fillId="0" borderId="0" applyFont="true" applyBorder="true" applyAlignment="true" applyProtection="true">
      <alignment horizontal="general" vertical="bottom" textRotation="0" wrapText="false" indent="0" shrinkToFit="false"/>
      <protection locked="true" hidden="false"/>
    </xf>
    <xf numFmtId="198" fontId="31" fillId="0" borderId="0" applyFont="true" applyBorder="true" applyAlignment="true" applyProtection="true">
      <alignment horizontal="general" vertical="bottom" textRotation="0" wrapText="false" indent="0" shrinkToFit="false"/>
      <protection locked="true" hidden="false"/>
    </xf>
    <xf numFmtId="164" fontId="33" fillId="0"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96" fontId="36" fillId="0" borderId="0"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97" fontId="39" fillId="0" borderId="0"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40" fillId="0" borderId="0" applyFont="true" applyBorder="true" applyAlignment="true" applyProtection="true">
      <alignment horizontal="general" vertical="bottom" textRotation="0" wrapText="false" indent="0" shrinkToFit="false"/>
      <protection locked="true" hidden="false"/>
    </xf>
    <xf numFmtId="164" fontId="41" fillId="6" borderId="11" applyFont="true" applyBorder="true" applyAlignment="true" applyProtection="true">
      <alignment horizontal="left" vertical="center" textRotation="0" wrapText="false" indent="0" shrinkToFit="false"/>
      <protection locked="true" hidden="false"/>
    </xf>
    <xf numFmtId="197" fontId="42" fillId="0" borderId="0" applyFont="true" applyBorder="true" applyAlignment="true" applyProtection="true">
      <alignment horizontal="general" vertical="center" textRotation="0" wrapText="false" indent="0" shrinkToFit="false"/>
      <protection locked="true" hidden="false"/>
    </xf>
    <xf numFmtId="164" fontId="43" fillId="0" borderId="0" applyFont="true" applyBorder="true" applyAlignment="true" applyProtection="true">
      <alignment horizontal="center" vertical="bottom" textRotation="0" wrapText="true" indent="0" shrinkToFit="false"/>
      <protection locked="true" hidden="true"/>
    </xf>
    <xf numFmtId="164" fontId="44" fillId="0" borderId="0" applyFont="true" applyBorder="true" applyAlignment="true" applyProtection="true">
      <alignment horizontal="right" vertical="center"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199" fontId="18" fillId="0" borderId="0" applyFont="true" applyBorder="true" applyAlignment="true" applyProtection="true">
      <alignment horizontal="general" vertical="bottom" textRotation="0" wrapText="false" indent="0" shrinkToFit="false"/>
      <protection locked="true" hidden="false"/>
    </xf>
    <xf numFmtId="200" fontId="0" fillId="0" borderId="0" applyFont="true" applyBorder="true" applyAlignment="true" applyProtection="true">
      <alignment horizontal="general" vertical="bottom" textRotation="0" wrapText="false" indent="0" shrinkToFit="false"/>
      <protection locked="true" hidden="false"/>
    </xf>
    <xf numFmtId="201"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196" fontId="6" fillId="0" borderId="0" applyFont="true" applyBorder="true" applyAlignment="true" applyProtection="true">
      <alignment horizontal="right" vertical="bottom" textRotation="0" wrapText="false" indent="0" shrinkToFit="false"/>
      <protection locked="true" hidden="false"/>
    </xf>
    <xf numFmtId="203" fontId="45" fillId="0" borderId="2" applyFont="true" applyBorder="true" applyAlignment="true" applyProtection="true">
      <alignment horizontal="general" vertical="bottom" textRotation="0" wrapText="false" indent="0" shrinkToFit="false"/>
      <protection locked="true" hidden="false"/>
    </xf>
    <xf numFmtId="204" fontId="46" fillId="0" borderId="0" applyFont="true" applyBorder="true" applyAlignment="true" applyProtection="true">
      <alignment horizontal="left" vertical="bottom" textRotation="0" wrapText="false" indent="0" shrinkToFit="false"/>
      <protection locked="true" hidden="false"/>
    </xf>
    <xf numFmtId="164" fontId="0" fillId="24" borderId="12" applyFont="true" applyBorder="true" applyAlignment="true" applyProtection="true">
      <alignment horizontal="general" vertical="bottom" textRotation="0" wrapText="false" indent="0" shrinkToFit="false"/>
      <protection locked="true" hidden="false"/>
    </xf>
    <xf numFmtId="164" fontId="47" fillId="25" borderId="0" applyFont="true" applyBorder="true" applyAlignment="true" applyProtection="true">
      <alignment horizontal="center" vertical="center" textRotation="0" wrapText="true" indent="0" shrinkToFit="false"/>
      <protection locked="true" hidden="false"/>
    </xf>
    <xf numFmtId="196" fontId="48" fillId="0" borderId="0" applyFont="true" applyBorder="true" applyAlignment="true" applyProtection="true">
      <alignment horizontal="general" vertical="bottom" textRotation="0" wrapText="false" indent="0" shrinkToFit="false"/>
      <protection locked="true" hidden="false"/>
    </xf>
    <xf numFmtId="205" fontId="48" fillId="0" borderId="0" applyFont="true" applyBorder="true" applyAlignment="true" applyProtection="true">
      <alignment horizontal="general" vertical="bottom" textRotation="0" wrapText="false" indent="0" shrinkToFit="false"/>
      <protection locked="true" hidden="false"/>
    </xf>
    <xf numFmtId="206" fontId="49" fillId="23" borderId="0" applyFont="true" applyBorder="true" applyAlignment="true" applyProtection="true">
      <alignment horizontal="left" vertical="bottom" textRotation="0" wrapText="false" indent="0" shrinkToFit="false"/>
      <protection locked="true" hidden="false"/>
    </xf>
    <xf numFmtId="164" fontId="50" fillId="26" borderId="13" applyFont="true" applyBorder="true" applyAlignment="true" applyProtection="true">
      <alignment horizontal="general" vertical="center" textRotation="0" wrapText="false" indent="0" shrinkToFit="false"/>
      <protection locked="true" hidden="false"/>
    </xf>
    <xf numFmtId="207" fontId="43" fillId="0" borderId="0" applyFont="true" applyBorder="true" applyAlignment="true" applyProtection="true">
      <alignment horizontal="right" vertical="bottom" textRotation="0" wrapText="false" indent="0" shrinkToFit="false"/>
      <protection locked="false" hidden="false"/>
    </xf>
    <xf numFmtId="208" fontId="33" fillId="0" borderId="14" applyFont="true" applyBorder="true" applyAlignment="true" applyProtection="true">
      <alignment horizontal="general" vertical="bottom" textRotation="0" wrapText="false" indent="0" shrinkToFit="false"/>
      <protection locked="true" hidden="false"/>
    </xf>
    <xf numFmtId="209" fontId="17" fillId="0" borderId="0" applyFont="true" applyBorder="true" applyAlignment="true" applyProtection="true">
      <alignment horizontal="general" vertical="bottom" textRotation="0" wrapText="false" indent="0" shrinkToFit="false"/>
      <protection locked="true" hidden="false"/>
    </xf>
    <xf numFmtId="210" fontId="0" fillId="0" borderId="0" applyFont="true" applyBorder="true" applyAlignment="true" applyProtection="true">
      <alignment horizontal="general" vertical="bottom" textRotation="0" wrapText="false" indent="0" shrinkToFit="false"/>
      <protection locked="true" hidden="false"/>
    </xf>
    <xf numFmtId="210" fontId="0"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fals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35" fillId="22" borderId="8" applyFont="true" applyBorder="true" applyAlignment="true" applyProtection="true">
      <alignment horizontal="general" vertical="bottom" textRotation="0" wrapText="false" indent="0" shrinkToFit="false"/>
      <protection locked="true" hidden="false"/>
    </xf>
    <xf numFmtId="164" fontId="18" fillId="0" borderId="15" applyFont="true" applyBorder="true" applyAlignment="true" applyProtection="true">
      <alignment horizontal="general" vertical="bottom" textRotation="0" wrapText="false" indent="0" shrinkToFit="false"/>
      <protection locked="true" hidden="false"/>
    </xf>
    <xf numFmtId="164" fontId="0" fillId="22" borderId="16" applyFont="true" applyBorder="true" applyAlignment="true" applyProtection="true">
      <alignment horizontal="general" vertical="bottom" textRotation="0" wrapText="false" indent="0" shrinkToFit="false"/>
      <protection locked="true" hidden="false"/>
    </xf>
    <xf numFmtId="164" fontId="0" fillId="22" borderId="16" applyFont="true" applyBorder="true" applyAlignment="true" applyProtection="true">
      <alignment horizontal="general" vertical="bottom" textRotation="0" wrapText="false" indent="0" shrinkToFit="false"/>
      <protection locked="true" hidden="false"/>
    </xf>
    <xf numFmtId="211" fontId="51" fillId="0" borderId="0" applyFont="true" applyBorder="true" applyAlignment="true" applyProtection="true">
      <alignment horizontal="general" vertical="bottom" textRotation="0" wrapText="false" indent="0" shrinkToFit="false"/>
      <protection locked="true" hidden="false"/>
    </xf>
    <xf numFmtId="212" fontId="17" fillId="0" borderId="0" applyFont="true" applyBorder="true" applyAlignment="true" applyProtection="true">
      <alignment horizontal="general" vertical="bottom" textRotation="0" wrapText="false" indent="0" shrinkToFit="false"/>
      <protection locked="true" hidden="false"/>
    </xf>
    <xf numFmtId="213" fontId="36" fillId="0" borderId="0" applyFont="true" applyBorder="true" applyAlignment="true" applyProtection="true">
      <alignment horizontal="center" vertical="bottom" textRotation="0" wrapText="false" indent="0" shrinkToFit="false"/>
      <protection locked="true" hidden="false"/>
    </xf>
    <xf numFmtId="214" fontId="36" fillId="0" borderId="0" applyFont="true" applyBorder="true" applyAlignment="true" applyProtection="true">
      <alignment horizontal="center" vertical="bottom" textRotation="0" wrapText="false" indent="0" shrinkToFit="false"/>
      <protection locked="true" hidden="false"/>
    </xf>
    <xf numFmtId="215" fontId="52" fillId="0" borderId="0" applyFont="true" applyBorder="true" applyAlignment="true" applyProtection="true">
      <alignment horizontal="right" vertical="bottom" textRotation="0" wrapText="false" indent="0" shrinkToFit="false"/>
      <protection locked="true" hidden="false"/>
    </xf>
    <xf numFmtId="216" fontId="53" fillId="0" borderId="0" applyFont="true" applyBorder="true" applyAlignment="true" applyProtection="true">
      <alignment horizontal="right" vertical="bottom" textRotation="0" wrapText="false" indent="0" shrinkToFit="false"/>
      <protection locked="true" hidden="false"/>
    </xf>
    <xf numFmtId="217" fontId="0" fillId="0" borderId="0" applyFont="true" applyBorder="true" applyAlignment="true" applyProtection="true">
      <alignment horizontal="right" vertical="bottom" textRotation="0" wrapText="false" indent="0" shrinkToFit="false"/>
      <protection locked="true" hidden="false"/>
    </xf>
    <xf numFmtId="213" fontId="36" fillId="0" borderId="0" applyFont="true" applyBorder="true" applyAlignment="true" applyProtection="true">
      <alignment horizontal="general" vertical="bottom" textRotation="0" wrapText="false" indent="0" shrinkToFit="false"/>
      <protection locked="true" hidden="false"/>
    </xf>
    <xf numFmtId="214" fontId="36" fillId="0" borderId="0" applyFont="true" applyBorder="true" applyAlignment="true" applyProtection="true">
      <alignment horizontal="general" vertical="bottom" textRotation="0" wrapText="false" indent="0" shrinkToFit="false"/>
      <protection locked="true" hidden="false"/>
    </xf>
    <xf numFmtId="218" fontId="54" fillId="0" borderId="0" applyFont="true" applyBorder="true" applyAlignment="true" applyProtection="true">
      <alignment horizontal="general" vertical="bottom" textRotation="0" wrapText="false" indent="0" shrinkToFit="false"/>
      <protection locked="true" hidden="false"/>
    </xf>
    <xf numFmtId="219" fontId="54" fillId="0" borderId="0" applyFont="true" applyBorder="true" applyAlignment="true" applyProtection="true">
      <alignment horizontal="general" vertical="bottom" textRotation="0" wrapText="false" indent="0" shrinkToFit="false"/>
      <protection locked="true" hidden="false"/>
    </xf>
    <xf numFmtId="220" fontId="11" fillId="0" borderId="0" applyFont="true" applyBorder="true" applyAlignment="true" applyProtection="true">
      <alignment horizontal="general" vertical="bottom" textRotation="0" wrapText="false" indent="0" shrinkToFit="false"/>
      <protection locked="true" hidden="false"/>
    </xf>
    <xf numFmtId="221" fontId="11" fillId="0" borderId="0" applyFont="true" applyBorder="true" applyAlignment="true" applyProtection="true">
      <alignment horizontal="general" vertical="bottom" textRotation="0" wrapText="false" indent="0" shrinkToFit="false"/>
      <protection locked="true" hidden="false"/>
    </xf>
    <xf numFmtId="222" fontId="11" fillId="0" borderId="0" applyFont="true" applyBorder="true" applyAlignment="true" applyProtection="true">
      <alignment horizontal="general" vertical="bottom" textRotation="0" wrapText="false" indent="0" shrinkToFit="false"/>
      <protection locked="true" hidden="false"/>
    </xf>
    <xf numFmtId="197" fontId="1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5" fillId="27" borderId="0" applyFont="true" applyBorder="true" applyAlignment="true" applyProtection="true">
      <alignment horizontal="general" vertical="top" textRotation="0" wrapText="false" indent="0" shrinkToFit="false"/>
      <protection locked="false" hidden="false"/>
    </xf>
    <xf numFmtId="164" fontId="55" fillId="27" borderId="0" applyFont="true" applyBorder="true" applyAlignment="true" applyProtection="true">
      <alignment horizontal="general" vertical="top" textRotation="0" wrapText="false" indent="0" shrinkToFit="false"/>
      <protection locked="false" hidden="false"/>
    </xf>
    <xf numFmtId="223" fontId="0" fillId="0" borderId="0" applyFont="true" applyBorder="true" applyAlignment="true" applyProtection="true">
      <alignment horizontal="general" vertical="bottom" textRotation="0" wrapText="false" indent="0" shrinkToFit="false"/>
      <protection locked="true" hidden="false"/>
    </xf>
    <xf numFmtId="224" fontId="56" fillId="0" borderId="0" applyFont="true" applyBorder="true" applyAlignment="true" applyProtection="true">
      <alignment horizontal="general" vertical="bottom" textRotation="0" wrapText="false" indent="0" shrinkToFit="false"/>
      <protection locked="true" hidden="false"/>
    </xf>
    <xf numFmtId="225" fontId="57" fillId="0" borderId="0" applyFont="true" applyBorder="true" applyAlignment="true" applyProtection="true">
      <alignment horizontal="right" vertical="bottom" textRotation="0" wrapText="false" indent="0" shrinkToFit="false"/>
      <protection locked="true" hidden="false"/>
    </xf>
    <xf numFmtId="226" fontId="57" fillId="0" borderId="0" applyFont="true" applyBorder="true" applyAlignment="true" applyProtection="true">
      <alignment horizontal="right" vertical="bottom" textRotation="0" wrapText="false" indent="0" shrinkToFit="false"/>
      <protection locked="true" hidden="false"/>
    </xf>
    <xf numFmtId="227" fontId="57" fillId="0" borderId="0" applyFont="true" applyBorder="true" applyAlignment="true" applyProtection="true">
      <alignment horizontal="right" vertical="bottom" textRotation="0" wrapText="false" indent="0" shrinkToFit="false"/>
      <protection locked="true" hidden="false"/>
    </xf>
    <xf numFmtId="228" fontId="58" fillId="0" borderId="0" applyFont="true" applyBorder="true" applyAlignment="true" applyProtection="true">
      <alignment horizontal="general" vertical="bottom" textRotation="0" wrapText="false" indent="0" shrinkToFit="false"/>
      <protection locked="true" hidden="false"/>
    </xf>
    <xf numFmtId="229" fontId="31" fillId="0" borderId="0" applyFont="true" applyBorder="true" applyAlignment="true" applyProtection="true">
      <alignment horizontal="general" vertical="bottom" textRotation="0" wrapText="false" indent="0" shrinkToFit="false"/>
      <protection locked="true" hidden="false"/>
    </xf>
    <xf numFmtId="230" fontId="36" fillId="0" borderId="0" applyFont="true" applyBorder="true" applyAlignment="true" applyProtection="true">
      <alignment horizontal="general" vertical="bottom" textRotation="0" wrapText="false" indent="0" shrinkToFit="false"/>
      <protection locked="true" hidden="false"/>
    </xf>
    <xf numFmtId="208" fontId="31" fillId="0" borderId="0" applyFont="true" applyBorder="true" applyAlignment="true" applyProtection="true">
      <alignment horizontal="general" vertical="bottom" textRotation="0" wrapText="false" indent="0" shrinkToFit="false"/>
      <protection locked="true" hidden="false"/>
    </xf>
    <xf numFmtId="229" fontId="0" fillId="0" borderId="0" applyFont="true" applyBorder="true" applyAlignment="true" applyProtection="true">
      <alignment horizontal="general" vertical="bottom" textRotation="0" wrapText="false" indent="0" shrinkToFit="false"/>
      <protection locked="true" hidden="false"/>
    </xf>
    <xf numFmtId="218" fontId="17" fillId="0" borderId="0" applyFont="true" applyBorder="true" applyAlignment="true" applyProtection="true">
      <alignment horizontal="general" vertical="bottom" textRotation="0" wrapText="false" indent="0" shrinkToFit="false"/>
      <protection locked="true" hidden="false"/>
    </xf>
    <xf numFmtId="218" fontId="17" fillId="0" borderId="0" applyFont="true" applyBorder="true" applyAlignment="true" applyProtection="true">
      <alignment horizontal="general" vertical="bottom" textRotation="0" wrapText="false" indent="0" shrinkToFit="false"/>
      <protection locked="true" hidden="false"/>
    </xf>
    <xf numFmtId="208" fontId="31" fillId="0" borderId="0" applyFont="true" applyBorder="true" applyAlignment="true" applyProtection="true">
      <alignment horizontal="general" vertical="bottom" textRotation="0" wrapText="false" indent="0" shrinkToFit="false"/>
      <protection locked="true" hidden="false"/>
    </xf>
    <xf numFmtId="208" fontId="31" fillId="0" borderId="0" applyFont="true" applyBorder="true" applyAlignment="true" applyProtection="true">
      <alignment horizontal="general" vertical="bottom" textRotation="0" wrapText="false" indent="0" shrinkToFit="false"/>
      <protection locked="true" hidden="false"/>
    </xf>
    <xf numFmtId="164" fontId="17" fillId="0" borderId="17" applyFont="true" applyBorder="true" applyAlignment="true" applyProtection="true">
      <alignment horizontal="general" vertical="bottom" textRotation="0" wrapText="false" indent="0" shrinkToFit="false"/>
      <protection locked="true" hidden="false"/>
    </xf>
    <xf numFmtId="164" fontId="59" fillId="0" borderId="18" applyFont="true" applyBorder="true" applyAlignment="true" applyProtection="true">
      <alignment horizontal="general" vertical="bottom" textRotation="0" wrapText="false" indent="0" shrinkToFit="false"/>
      <protection locked="true" hidden="false"/>
    </xf>
    <xf numFmtId="231" fontId="11" fillId="0" borderId="19"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64" fontId="5" fillId="0" borderId="15" applyFont="true" applyBorder="true" applyAlignment="true" applyProtection="true">
      <alignment horizontal="general" vertical="bottom" textRotation="0" wrapText="false" indent="0" shrinkToFit="false"/>
      <protection locked="true" hidden="false"/>
    </xf>
    <xf numFmtId="196" fontId="0" fillId="2" borderId="0" applyFont="true" applyBorder="true" applyAlignment="true" applyProtection="true">
      <alignment horizontal="right"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1" fillId="28" borderId="0" applyFont="true" applyBorder="true" applyAlignment="true" applyProtection="true">
      <alignment horizontal="general" vertical="bottom" textRotation="0" wrapText="false" indent="0" shrinkToFit="false"/>
      <protection locked="true" hidden="false"/>
    </xf>
    <xf numFmtId="164" fontId="62" fillId="7" borderId="8" applyFont="true" applyBorder="true" applyAlignment="true" applyProtection="true">
      <alignment horizontal="general" vertical="bottom" textRotation="0" wrapText="false" indent="0" shrinkToFit="false"/>
      <protection locked="true" hidden="false"/>
    </xf>
    <xf numFmtId="164" fontId="31" fillId="29" borderId="20" applyFont="true" applyBorder="true" applyAlignment="true" applyProtection="true">
      <alignment horizontal="general" vertical="bottom" textRotation="0" wrapText="false" indent="0" shrinkToFit="false"/>
      <protection locked="false" hidden="false"/>
    </xf>
    <xf numFmtId="164" fontId="62" fillId="7" borderId="8" applyFont="true" applyBorder="true" applyAlignment="true" applyProtection="true">
      <alignment horizontal="general" vertical="bottom" textRotation="0" wrapText="false" indent="0" shrinkToFit="false"/>
      <protection locked="true" hidden="false"/>
    </xf>
    <xf numFmtId="229" fontId="31" fillId="0" borderId="0" applyFont="true" applyBorder="true" applyAlignment="true" applyProtection="true">
      <alignment horizontal="general" vertical="bottom" textRotation="0" wrapText="false" indent="0" shrinkToFit="false"/>
      <protection locked="true" hidden="false"/>
    </xf>
    <xf numFmtId="178" fontId="0" fillId="0" borderId="0" applyFont="true" applyBorder="true" applyAlignment="true" applyProtection="true">
      <alignment horizontal="right" vertical="bottom" textRotation="0" wrapText="false" indent="0" shrinkToFit="false"/>
      <protection locked="true" hidden="false"/>
    </xf>
    <xf numFmtId="178" fontId="0" fillId="0" borderId="0" applyFont="true" applyBorder="true" applyAlignment="true" applyProtection="true">
      <alignment horizontal="right" vertical="bottom" textRotation="0" wrapText="false" indent="0" shrinkToFit="false"/>
      <protection locked="true" hidden="false"/>
    </xf>
    <xf numFmtId="178" fontId="0" fillId="0" borderId="21" applyFont="true" applyBorder="true" applyAlignment="true" applyProtection="true">
      <alignment horizontal="general" vertical="bottom" textRotation="0" wrapText="false" indent="0" shrinkToFit="false"/>
      <protection locked="true" hidden="false"/>
    </xf>
    <xf numFmtId="178" fontId="0" fillId="0" borderId="21" applyFont="true" applyBorder="true" applyAlignment="true" applyProtection="true">
      <alignment horizontal="general" vertical="bottom" textRotation="0" wrapText="false" indent="0" shrinkToFit="false"/>
      <protection locked="true" hidden="false"/>
    </xf>
    <xf numFmtId="232" fontId="0" fillId="0" borderId="0" applyFont="true" applyBorder="true" applyAlignment="true" applyProtection="true">
      <alignment horizontal="general" vertical="bottom" textRotation="0" wrapText="false" indent="0" shrinkToFit="false"/>
      <protection locked="true" hidden="false"/>
    </xf>
    <xf numFmtId="232" fontId="0" fillId="0" borderId="0" applyFont="true" applyBorder="true" applyAlignment="true" applyProtection="true">
      <alignment horizontal="general" vertical="bottom" textRotation="0" wrapText="false" indent="0" shrinkToFit="false"/>
      <protection locked="true" hidden="false"/>
    </xf>
    <xf numFmtId="203" fontId="17"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center" vertical="top" textRotation="0" wrapText="false" indent="0" shrinkToFit="false"/>
      <protection locked="true" hidden="false"/>
    </xf>
    <xf numFmtId="233" fontId="64" fillId="0" borderId="0" applyFont="true" applyBorder="true" applyAlignment="true" applyProtection="true">
      <alignment horizontal="right" vertical="top" textRotation="0" wrapText="false" indent="0" shrinkToFit="false"/>
      <protection locked="true" hidden="false"/>
    </xf>
    <xf numFmtId="234" fontId="16" fillId="0" borderId="0" applyFont="true" applyBorder="true" applyAlignment="true" applyProtection="true">
      <alignment horizontal="right" vertical="top" textRotation="0" wrapText="false" indent="0" shrinkToFit="false"/>
      <protection locked="true" hidden="false"/>
    </xf>
    <xf numFmtId="234" fontId="64" fillId="0" borderId="0" applyFont="true" applyBorder="true" applyAlignment="true" applyProtection="true">
      <alignment horizontal="right" vertical="top" textRotation="0" wrapText="false" indent="0" shrinkToFit="false"/>
      <protection locked="true" hidden="false"/>
    </xf>
    <xf numFmtId="235" fontId="16" fillId="0" borderId="0" applyFont="true" applyBorder="true" applyAlignment="true" applyProtection="true">
      <alignment horizontal="right" vertical="top"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77" fontId="16" fillId="0" borderId="0" applyFont="true" applyBorder="true" applyAlignment="true" applyProtection="true">
      <alignment horizontal="right" vertical="top" textRotation="0" wrapText="false" indent="0" shrinkToFit="false"/>
      <protection locked="true" hidden="false"/>
    </xf>
    <xf numFmtId="236" fontId="16" fillId="0" borderId="0" applyFont="true" applyBorder="true" applyAlignment="true" applyProtection="true">
      <alignment horizontal="right" vertical="top" textRotation="0" wrapText="false" indent="0" shrinkToFit="false"/>
      <protection locked="true" hidden="false"/>
    </xf>
    <xf numFmtId="237" fontId="16" fillId="0" borderId="0" applyFont="true" applyBorder="true" applyAlignment="true" applyProtection="true">
      <alignment horizontal="right" vertical="top" textRotation="0" wrapText="false" indent="0" shrinkToFit="false"/>
      <protection locked="true" hidden="false"/>
    </xf>
    <xf numFmtId="164" fontId="65" fillId="0" borderId="0" applyFont="true" applyBorder="true" applyAlignment="true" applyProtection="true">
      <alignment horizontal="left" vertical="bottom" textRotation="0" wrapText="false" indent="0" shrinkToFit="false"/>
      <protection locked="true" hidden="false"/>
    </xf>
    <xf numFmtId="164" fontId="65" fillId="0" borderId="1" applyFont="true" applyBorder="true" applyAlignment="true" applyProtection="true">
      <alignment horizontal="right" vertical="bottom" textRotation="0" wrapText="true" indent="0" shrinkToFit="false"/>
      <protection locked="true" hidden="false"/>
    </xf>
    <xf numFmtId="169" fontId="8" fillId="0" borderId="1" applyFont="true" applyBorder="true" applyAlignment="true" applyProtection="true">
      <alignment horizontal="left" vertical="bottom" textRotation="0" wrapText="false" indent="0" shrinkToFit="false"/>
      <protection locked="true" hidden="false"/>
    </xf>
    <xf numFmtId="164" fontId="66" fillId="0" borderId="0" applyFont="true" applyBorder="true" applyAlignment="true" applyProtection="true">
      <alignment horizontal="general" vertical="center" textRotation="0" wrapText="false" indent="0" shrinkToFit="false"/>
      <protection locked="true" hidden="false"/>
    </xf>
    <xf numFmtId="238" fontId="66" fillId="0" borderId="0" applyFont="true" applyBorder="true" applyAlignment="true" applyProtection="true">
      <alignment horizontal="left" vertical="center" textRotation="0" wrapText="false" indent="0" shrinkToFit="false"/>
      <protection locked="true" hidden="false"/>
    </xf>
    <xf numFmtId="239" fontId="67" fillId="0" borderId="0" applyFont="true" applyBorder="true" applyAlignment="true" applyProtection="true">
      <alignment horizontal="general" vertical="center" textRotation="0" wrapText="false" indent="0" shrinkToFit="false"/>
      <protection locked="true" hidden="false"/>
    </xf>
    <xf numFmtId="164" fontId="68" fillId="0" borderId="0" applyFont="true" applyBorder="true" applyAlignment="true" applyProtection="true">
      <alignment horizontal="general" vertical="center" textRotation="0" wrapText="false" indent="0" shrinkToFit="false"/>
      <protection locked="true" hidden="false"/>
    </xf>
    <xf numFmtId="169" fontId="8" fillId="0" borderId="1" applyFont="true" applyBorder="true" applyAlignment="true" applyProtection="true">
      <alignment horizontal="left" vertical="bottom" textRotation="0" wrapText="false" indent="0" shrinkToFit="false"/>
      <protection locked="true" hidden="false"/>
    </xf>
    <xf numFmtId="169" fontId="69" fillId="0" borderId="0" applyFont="true" applyBorder="true" applyAlignment="true" applyProtection="true">
      <alignment horizontal="general" vertical="top" textRotation="0" wrapText="false" indent="0" shrinkToFit="false"/>
      <protection locked="true" hidden="false"/>
    </xf>
    <xf numFmtId="169" fontId="70" fillId="0" borderId="0" applyFont="true" applyBorder="true" applyAlignment="true" applyProtection="true">
      <alignment horizontal="general" vertical="top" textRotation="0" wrapText="false" indent="0" shrinkToFit="false"/>
      <protection locked="true" hidden="false"/>
    </xf>
    <xf numFmtId="169" fontId="71" fillId="0" borderId="0" applyFont="true" applyBorder="true" applyAlignment="true" applyProtection="true">
      <alignment horizontal="general" vertical="top" textRotation="0" wrapText="false" indent="0" shrinkToFit="false"/>
      <protection locked="true" hidden="false"/>
    </xf>
    <xf numFmtId="169" fontId="16" fillId="0" borderId="0" applyFont="true" applyBorder="true" applyAlignment="true" applyProtection="true">
      <alignment horizontal="center" vertical="bottom" textRotation="0" wrapText="false" indent="0" shrinkToFit="false"/>
      <protection locked="true" hidden="false"/>
    </xf>
    <xf numFmtId="169" fontId="72" fillId="0" borderId="1" applyFont="true" applyBorder="true" applyAlignment="true" applyProtection="true">
      <alignment horizontal="center" vertical="bottom" textRotation="0" wrapText="false" indent="0" shrinkToFit="false"/>
      <protection locked="true" hidden="false"/>
    </xf>
    <xf numFmtId="223" fontId="16" fillId="0" borderId="1" applyFont="true" applyBorder="true" applyAlignment="true" applyProtection="true">
      <alignment horizontal="right" vertical="top" textRotation="0" wrapText="false" indent="0" shrinkToFit="false"/>
      <protection locked="true" hidden="false"/>
    </xf>
    <xf numFmtId="238" fontId="18" fillId="0" borderId="0" applyFont="true" applyBorder="true" applyAlignment="true" applyProtection="true">
      <alignment horizontal="left" vertical="center" textRotation="0" wrapText="false" indent="0" shrinkToFit="false"/>
      <protection locked="true" hidden="false"/>
    </xf>
    <xf numFmtId="169" fontId="18" fillId="0" borderId="0" applyFont="true" applyBorder="true" applyAlignment="true" applyProtection="true">
      <alignment horizontal="general" vertical="bottom" textRotation="0" wrapText="false" indent="0" shrinkToFit="false"/>
      <protection locked="true" hidden="false"/>
    </xf>
    <xf numFmtId="169" fontId="73" fillId="0" borderId="0" applyFont="true" applyBorder="true" applyAlignment="true" applyProtection="true">
      <alignment horizontal="general" vertical="bottom" textRotation="0" wrapText="false" indent="0" shrinkToFit="false"/>
      <protection locked="true" hidden="false"/>
    </xf>
    <xf numFmtId="169" fontId="21"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9" fontId="74" fillId="0" borderId="0" applyFont="true" applyBorder="true" applyAlignment="true" applyProtection="true">
      <alignment horizontal="left" vertical="top" textRotation="0" wrapText="false" indent="0" shrinkToFit="false"/>
      <protection locked="true" hidden="false"/>
    </xf>
    <xf numFmtId="164" fontId="16" fillId="0" borderId="0" applyFont="true" applyBorder="true" applyAlignment="true" applyProtection="true">
      <alignment horizontal="left" vertical="top" textRotation="0" wrapText="true" indent="0" shrinkToFit="false"/>
      <protection locked="true" hidden="false"/>
    </xf>
    <xf numFmtId="164" fontId="75" fillId="0" borderId="0" applyFont="true" applyBorder="true" applyAlignment="true" applyProtection="true">
      <alignment horizontal="left" vertical="top" textRotation="0" wrapText="true" indent="0" shrinkToFit="false"/>
      <protection locked="true" hidden="false"/>
    </xf>
    <xf numFmtId="164" fontId="76" fillId="0" borderId="0" applyFont="true" applyBorder="true" applyAlignment="true" applyProtection="true">
      <alignment horizontal="left" vertical="top" textRotation="0" wrapText="true" indent="0" shrinkToFit="false"/>
      <protection locked="true" hidden="false"/>
    </xf>
    <xf numFmtId="164" fontId="64" fillId="0" borderId="0" applyFont="true" applyBorder="true" applyAlignment="true" applyProtection="true">
      <alignment horizontal="left" vertical="top" textRotation="0" wrapText="true" indent="0" shrinkToFit="false"/>
      <protection locked="true" hidden="false"/>
    </xf>
    <xf numFmtId="172" fontId="0" fillId="0" borderId="22" applyFont="true" applyBorder="true" applyAlignment="true" applyProtection="true">
      <alignment horizontal="general" vertical="bottom" textRotation="0" wrapText="false" indent="0" shrinkToFit="false"/>
      <protection locked="true" hidden="false"/>
    </xf>
    <xf numFmtId="172" fontId="0" fillId="0" borderId="22" applyFont="true" applyBorder="true" applyAlignment="true" applyProtection="true">
      <alignment horizontal="general" vertical="bottom" textRotation="0" wrapText="false" indent="0" shrinkToFit="false"/>
      <protection locked="true" hidden="false"/>
    </xf>
    <xf numFmtId="174" fontId="1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7" fillId="0" borderId="0" applyFont="true" applyBorder="true" applyAlignment="true" applyProtection="true">
      <alignment horizontal="left" vertical="bottom" textRotation="0" wrapText="false" indent="0" shrinkToFit="false"/>
      <protection locked="true" hidden="false"/>
    </xf>
    <xf numFmtId="164" fontId="78" fillId="22" borderId="0" applyFont="true" applyBorder="true" applyAlignment="true" applyProtection="true">
      <alignment horizontal="general" vertical="bottom" textRotation="0" wrapText="false" indent="0" shrinkToFit="false"/>
      <protection locked="true" hidden="false"/>
    </xf>
    <xf numFmtId="164" fontId="79" fillId="22" borderId="0" applyFont="true" applyBorder="true" applyAlignment="true" applyProtection="true">
      <alignment horizontal="general" vertical="bottom" textRotation="0" wrapText="false" indent="0" shrinkToFit="false"/>
      <protection locked="true" hidden="false"/>
    </xf>
    <xf numFmtId="164" fontId="80" fillId="0" borderId="23" applyFont="true" applyBorder="true" applyAlignment="true" applyProtection="true">
      <alignment horizontal="general" vertical="bottom" textRotation="0" wrapText="false" indent="0" shrinkToFit="false"/>
      <protection locked="true" hidden="false"/>
    </xf>
    <xf numFmtId="164" fontId="80" fillId="0" borderId="15" applyFont="true" applyBorder="true" applyAlignment="true" applyProtection="true">
      <alignment horizontal="general" vertical="bottom" textRotation="0" wrapText="false" indent="0" shrinkToFit="false"/>
      <protection locked="true" hidden="false"/>
    </xf>
    <xf numFmtId="164" fontId="80" fillId="30" borderId="15" applyFont="true" applyBorder="true" applyAlignment="true" applyProtection="true">
      <alignment horizontal="general" vertical="bottom" textRotation="0" wrapText="false" indent="0" shrinkToFit="false"/>
      <protection locked="true" hidden="false"/>
    </xf>
    <xf numFmtId="196" fontId="43" fillId="0" borderId="18" applyFont="true" applyBorder="true" applyAlignment="true" applyProtection="true">
      <alignment horizontal="general" vertical="bottom" textRotation="0" wrapText="false" indent="0" shrinkToFit="false"/>
      <protection locked="true" hidden="false"/>
    </xf>
    <xf numFmtId="205" fontId="43" fillId="0" borderId="0" applyFont="true" applyBorder="true" applyAlignment="true" applyProtection="true">
      <alignment horizontal="general" vertical="bottom" textRotation="0" wrapText="false" indent="0" shrinkToFit="false"/>
      <protection locked="true" hidden="false"/>
    </xf>
    <xf numFmtId="196" fontId="43" fillId="0" borderId="0" applyFont="true" applyBorder="true" applyAlignment="true" applyProtection="true">
      <alignment horizontal="general" vertical="bottom" textRotation="0" wrapText="false" indent="0" shrinkToFit="false"/>
      <protection locked="true" hidden="false"/>
    </xf>
    <xf numFmtId="240" fontId="27" fillId="0" borderId="0" applyFont="true" applyBorder="true" applyAlignment="true" applyProtection="true">
      <alignment horizontal="general" vertical="bottom" textRotation="0" wrapText="false" indent="0" shrinkToFit="false"/>
      <protection locked="true" hidden="false"/>
    </xf>
    <xf numFmtId="240" fontId="27" fillId="0" borderId="0" applyFont="true" applyBorder="true" applyAlignment="true" applyProtection="true">
      <alignment horizontal="general" vertical="bottom" textRotation="0" wrapText="false" indent="0" shrinkToFit="false"/>
      <protection locked="true" hidden="false"/>
    </xf>
    <xf numFmtId="164" fontId="31" fillId="0" borderId="0" applyFont="true" applyBorder="true" applyAlignment="true" applyProtection="true">
      <alignment horizontal="right" vertical="bottom" textRotation="0" wrapText="false" indent="0" shrinkToFit="false"/>
      <protection locked="true" hidden="false"/>
    </xf>
    <xf numFmtId="164" fontId="31" fillId="0" borderId="0" applyFont="true" applyBorder="true" applyAlignment="true" applyProtection="true">
      <alignment horizontal="right" vertical="bottom" textRotation="0" wrapText="false" indent="0" shrinkToFit="false"/>
      <protection locked="true" hidden="false"/>
    </xf>
    <xf numFmtId="164" fontId="81" fillId="0"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11" fillId="22" borderId="0" applyFont="true" applyBorder="true" applyAlignment="true" applyProtection="true">
      <alignment horizontal="general" vertical="bottom" textRotation="0" wrapText="false" indent="0" shrinkToFit="false"/>
      <protection locked="true" hidden="false"/>
    </xf>
    <xf numFmtId="241" fontId="31" fillId="0" borderId="0" applyFont="true" applyBorder="true" applyAlignment="true" applyProtection="true">
      <alignment horizontal="general" vertical="bottom" textRotation="0" wrapText="false" indent="0" shrinkToFit="false"/>
      <protection locked="true" hidden="false"/>
    </xf>
    <xf numFmtId="242" fontId="82"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164" fontId="0" fillId="24" borderId="15" applyFont="true" applyBorder="true" applyAlignment="true" applyProtection="true">
      <alignment horizontal="general" vertical="bottom" textRotation="0" wrapText="false" indent="0" shrinkToFit="false"/>
      <protection locked="true" hidden="false"/>
    </xf>
    <xf numFmtId="164" fontId="0" fillId="24" borderId="15" applyFont="true" applyBorder="true" applyAlignment="true" applyProtection="true">
      <alignment horizontal="general" vertical="bottom" textRotation="0" wrapText="false" indent="0" shrinkToFit="false"/>
      <protection locked="true" hidden="false"/>
    </xf>
    <xf numFmtId="164" fontId="27" fillId="24" borderId="15" applyFont="true" applyBorder="true" applyAlignment="true" applyProtection="true">
      <alignment horizontal="general" vertical="bottom" textRotation="0" wrapText="false" indent="0" shrinkToFit="false"/>
      <protection locked="true" hidden="false"/>
    </xf>
    <xf numFmtId="164" fontId="27" fillId="24" borderId="15" applyFont="true" applyBorder="true" applyAlignment="true" applyProtection="true">
      <alignment horizontal="general" vertical="bottom" textRotation="0" wrapText="false" indent="0" shrinkToFit="false"/>
      <protection locked="true" hidden="false"/>
    </xf>
    <xf numFmtId="243" fontId="17" fillId="0" borderId="0" applyFont="true" applyBorder="true" applyAlignment="true" applyProtection="true">
      <alignment horizontal="general" vertical="bottom" textRotation="0" wrapText="false" indent="0" shrinkToFit="false"/>
      <protection locked="true" hidden="false"/>
    </xf>
    <xf numFmtId="181" fontId="18" fillId="0" borderId="0" applyFont="true" applyBorder="true" applyAlignment="true" applyProtection="true">
      <alignment horizontal="general" vertical="bottom" textRotation="0" wrapText="false" indent="0" shrinkToFit="false"/>
      <protection locked="true" hidden="false"/>
    </xf>
    <xf numFmtId="164" fontId="83" fillId="0" borderId="0" applyFont="true" applyBorder="true" applyAlignment="true" applyProtection="true">
      <alignment horizontal="center" vertical="bottom" textRotation="0" wrapText="false" indent="0" shrinkToFit="false"/>
      <protection locked="true" hidden="false"/>
    </xf>
    <xf numFmtId="164" fontId="84" fillId="0" borderId="0"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244" fontId="0" fillId="0" borderId="0"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84" fillId="0" borderId="0" applyFont="true" applyBorder="true" applyAlignment="true" applyProtection="true">
      <alignment horizontal="general" vertical="bottom" textRotation="0" wrapText="false" indent="0" shrinkToFit="false"/>
      <protection locked="true" hidden="false"/>
    </xf>
    <xf numFmtId="164" fontId="87" fillId="0" borderId="0" applyFont="true" applyBorder="true" applyAlignment="true" applyProtection="true">
      <alignment horizontal="general" vertical="bottom" textRotation="0" wrapText="false" indent="0" shrinkToFit="false"/>
      <protection locked="true" hidden="false"/>
    </xf>
    <xf numFmtId="164" fontId="52" fillId="0" borderId="0" applyFont="true" applyBorder="true" applyAlignment="true" applyProtection="true">
      <alignment horizontal="general" vertical="bottom" textRotation="0" wrapText="false" indent="0" shrinkToFit="false"/>
      <protection locked="true" hidden="false"/>
    </xf>
    <xf numFmtId="164" fontId="53" fillId="0" borderId="0" applyFont="true" applyBorder="true" applyAlignment="true" applyProtection="true">
      <alignment horizontal="general" vertical="bottom" textRotation="0" wrapText="false" indent="0" shrinkToFit="false"/>
      <protection locked="true" hidden="false"/>
    </xf>
    <xf numFmtId="164" fontId="53" fillId="0" borderId="0" applyFont="true" applyBorder="true" applyAlignment="true" applyProtection="true">
      <alignment horizontal="general" vertical="bottom" textRotation="0" wrapText="false" indent="0" shrinkToFit="false"/>
      <protection locked="true" hidden="false"/>
    </xf>
    <xf numFmtId="205" fontId="88" fillId="0" borderId="0" applyFont="true" applyBorder="true" applyAlignment="true" applyProtection="true">
      <alignment horizontal="center" vertical="bottom" textRotation="0" wrapText="false" indent="0" shrinkToFit="false"/>
      <protection locked="true" hidden="false"/>
    </xf>
    <xf numFmtId="205" fontId="88" fillId="0" borderId="0" applyFont="true" applyBorder="true" applyAlignment="true" applyProtection="true">
      <alignment horizontal="left"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97" fontId="89" fillId="3" borderId="27" applyFont="true" applyBorder="true" applyAlignment="true" applyProtection="true">
      <alignment horizontal="center" vertical="bottom" textRotation="0" wrapText="false" indent="0" shrinkToFit="false"/>
      <protection locked="true" hidden="false"/>
    </xf>
    <xf numFmtId="164" fontId="90" fillId="4" borderId="0" applyFont="true" applyBorder="true" applyAlignment="true" applyProtection="true">
      <alignment horizontal="general" vertical="bottom" textRotation="0" wrapText="false" indent="0" shrinkToFit="false"/>
      <protection locked="true" hidden="false"/>
    </xf>
    <xf numFmtId="164" fontId="79" fillId="0" borderId="0" applyFont="true" applyBorder="true" applyAlignment="true" applyProtection="true">
      <alignment horizontal="general" vertical="bottom" textRotation="0" wrapText="false" indent="0" shrinkToFit="false"/>
      <protection locked="true" hidden="false"/>
    </xf>
    <xf numFmtId="245" fontId="0" fillId="0" borderId="0" applyFont="true" applyBorder="true" applyAlignment="true" applyProtection="true">
      <alignment horizontal="general" vertical="bottom" textRotation="0" wrapText="false" indent="0" shrinkToFit="false"/>
      <protection locked="true" hidden="false"/>
    </xf>
    <xf numFmtId="246" fontId="0" fillId="0" borderId="0" applyFont="true" applyBorder="true" applyAlignment="true" applyProtection="true">
      <alignment horizontal="general" vertical="bottom" textRotation="0" wrapText="false" indent="0" shrinkToFit="false"/>
      <protection locked="true" hidden="false"/>
    </xf>
    <xf numFmtId="164" fontId="91" fillId="0" borderId="0" applyFont="true" applyBorder="true" applyAlignment="true" applyProtection="true">
      <alignment horizontal="general" vertical="bottom" textRotation="0" wrapText="false" indent="0" shrinkToFit="false"/>
      <protection locked="true" hidden="false"/>
    </xf>
    <xf numFmtId="164" fontId="92" fillId="27" borderId="0" applyFont="true" applyBorder="true" applyAlignment="true" applyProtection="true">
      <alignment horizontal="left" vertical="bottom" textRotation="0" wrapText="false" indent="0" shrinkToFit="false"/>
      <protection locked="false" hidden="false"/>
    </xf>
    <xf numFmtId="206" fontId="93" fillId="8" borderId="0"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247" fontId="17"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81" fontId="94" fillId="0" borderId="0" applyFont="true" applyBorder="true" applyAlignment="true" applyProtection="true">
      <alignment horizontal="general" vertical="bottom" textRotation="0" wrapText="false" indent="0" shrinkToFit="false"/>
      <protection locked="true" hidden="false"/>
    </xf>
    <xf numFmtId="164" fontId="11" fillId="24" borderId="15" applyFont="true" applyBorder="true" applyAlignment="true" applyProtection="true">
      <alignment horizontal="general" vertical="bottom" textRotation="0" wrapText="false" indent="0" shrinkToFit="false"/>
      <protection locked="true" hidden="false"/>
    </xf>
    <xf numFmtId="248" fontId="95" fillId="4" borderId="0" applyFont="true" applyBorder="true" applyAlignment="true" applyProtection="true">
      <alignment horizontal="right" vertical="bottom" textRotation="0" wrapText="false" indent="0" shrinkToFit="false"/>
      <protection locked="true" hidden="false"/>
    </xf>
    <xf numFmtId="174" fontId="96" fillId="0" borderId="0" applyFont="true" applyBorder="true" applyAlignment="true" applyProtection="true">
      <alignment horizontal="general" vertical="bottom" textRotation="0" wrapText="false" indent="0" shrinkToFit="false"/>
      <protection locked="true" hidden="false"/>
    </xf>
    <xf numFmtId="164" fontId="97" fillId="0" borderId="0" applyFont="true" applyBorder="true" applyAlignment="true" applyProtection="true">
      <alignment horizontal="general" vertical="bottom" textRotation="0" wrapText="false" indent="0" shrinkToFit="false"/>
      <protection locked="true" hidden="false"/>
    </xf>
    <xf numFmtId="249" fontId="98" fillId="0" borderId="0" applyFont="true" applyBorder="true" applyAlignment="true" applyProtection="true">
      <alignment horizontal="general" vertical="bottom" textRotation="0" wrapText="false" indent="0" shrinkToFit="false"/>
      <protection locked="true" hidden="false"/>
    </xf>
    <xf numFmtId="164" fontId="30" fillId="3"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right" vertical="bottom" textRotation="0" wrapText="false" indent="0" shrinkToFit="false"/>
      <protection locked="false" hidden="false"/>
    </xf>
    <xf numFmtId="250" fontId="43" fillId="0" borderId="0" applyFont="true" applyBorder="true" applyAlignment="true" applyProtection="true">
      <alignment horizontal="right" vertical="bottom" textRotation="0" wrapText="false" indent="0" shrinkToFit="false"/>
      <protection locked="false" hidden="false"/>
    </xf>
    <xf numFmtId="164" fontId="99"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4" fillId="30" borderId="15" applyFont="true" applyBorder="true" applyAlignment="true" applyProtection="true">
      <alignment horizontal="left" vertical="center" textRotation="0" wrapText="true" indent="0" shrinkToFit="false"/>
      <protection locked="true" hidden="false"/>
    </xf>
    <xf numFmtId="164" fontId="101" fillId="0" borderId="0" applyFont="true" applyBorder="true" applyAlignment="true" applyProtection="true">
      <alignment horizontal="left" vertical="center" textRotation="0" wrapText="false" indent="0" shrinkToFit="false"/>
      <protection locked="true" hidden="false"/>
    </xf>
    <xf numFmtId="164" fontId="102" fillId="0" borderId="0" applyFont="true" applyBorder="true" applyAlignment="true" applyProtection="true">
      <alignment horizontal="general" vertical="bottom" textRotation="0" wrapText="false" indent="0" shrinkToFit="false"/>
      <protection locked="false" hidden="false"/>
    </xf>
    <xf numFmtId="164" fontId="68" fillId="30" borderId="15"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55" fillId="27" borderId="0" applyFont="true" applyBorder="true" applyAlignment="true" applyProtection="true">
      <alignment horizontal="right" vertical="bottom" textRotation="0" wrapText="false" indent="0" shrinkToFit="false"/>
      <protection locked="fals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164" fontId="38" fillId="0" borderId="10" applyFont="true" applyBorder="true" applyAlignment="true" applyProtection="true">
      <alignment horizontal="general" vertical="bottom" textRotation="0" wrapText="false" indent="0" shrinkToFit="false"/>
      <protection locked="true" hidden="false"/>
    </xf>
    <xf numFmtId="251" fontId="31"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1" fontId="70" fillId="0" borderId="19" applyFont="true" applyBorder="true" applyAlignment="true" applyProtection="true">
      <alignment horizontal="right" vertical="bottom" textRotation="0" wrapText="false" indent="0" shrinkToFit="false"/>
      <protection locked="true" hidden="false"/>
    </xf>
    <xf numFmtId="242" fontId="103" fillId="0" borderId="0" applyFont="true" applyBorder="true" applyAlignment="true" applyProtection="true">
      <alignment horizontal="general" vertical="bottom" textRotation="0" wrapText="false" indent="0" shrinkToFit="false"/>
      <protection locked="true" hidden="false"/>
    </xf>
    <xf numFmtId="241" fontId="31" fillId="0" borderId="0" applyFont="true" applyBorder="true" applyAlignment="true" applyProtection="true">
      <alignment horizontal="general" vertical="bottom" textRotation="0" wrapText="false" indent="0" shrinkToFit="false"/>
      <protection locked="true" hidden="false"/>
    </xf>
    <xf numFmtId="164" fontId="104" fillId="0" borderId="0" applyFont="true" applyBorder="true" applyAlignment="true" applyProtection="true">
      <alignment horizontal="right" vertical="center" textRotation="0" wrapText="false" indent="0" shrinkToFit="false"/>
      <protection locked="true" hidden="false"/>
    </xf>
    <xf numFmtId="205" fontId="0" fillId="4" borderId="28" applyFont="true" applyBorder="true" applyAlignment="true" applyProtection="true">
      <alignment horizontal="right"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30" applyFont="true" applyBorder="true" applyAlignment="true" applyProtection="true">
      <alignment horizontal="general" vertical="bottom" textRotation="0" wrapText="false" indent="0" shrinkToFit="false"/>
      <protection locked="true" hidden="false"/>
    </xf>
    <xf numFmtId="164" fontId="0" fillId="0" borderId="30" applyFont="true" applyBorder="true" applyAlignment="true" applyProtection="true">
      <alignment horizontal="general" vertical="bottom" textRotation="0" wrapText="false" indent="0" shrinkToFit="false"/>
      <protection locked="true" hidden="false"/>
    </xf>
    <xf numFmtId="252" fontId="105" fillId="0" borderId="0" applyFont="true" applyBorder="true" applyAlignment="true" applyProtection="true">
      <alignment horizontal="right" vertical="bottom" textRotation="0" wrapText="false" indent="0" shrinkToFit="false"/>
      <protection locked="true" hidden="false"/>
    </xf>
    <xf numFmtId="164" fontId="104" fillId="27" borderId="0" applyFont="true" applyBorder="true" applyAlignment="true" applyProtection="true">
      <alignment horizontal="right" vertical="bottom" textRotation="0" wrapText="false" indent="0" shrinkToFit="false"/>
      <protection locked="false" hidden="false"/>
    </xf>
    <xf numFmtId="164" fontId="104" fillId="27" borderId="0" applyFont="true" applyBorder="true" applyAlignment="true" applyProtection="true">
      <alignment horizontal="right" vertical="bottom" textRotation="0" wrapText="false" indent="0" shrinkToFit="false"/>
      <protection locked="false" hidden="false"/>
    </xf>
    <xf numFmtId="164" fontId="106" fillId="27" borderId="0" applyFont="true" applyBorder="true" applyAlignment="true" applyProtection="true">
      <alignment horizontal="right" vertical="bottom" textRotation="0" wrapText="false" indent="0" shrinkToFit="false"/>
      <protection locked="false" hidden="false"/>
    </xf>
    <xf numFmtId="205" fontId="43" fillId="0" borderId="0" applyFont="true" applyBorder="true" applyAlignment="true" applyProtection="true">
      <alignment horizontal="general" vertical="bottom" textRotation="0" wrapText="false" indent="0" shrinkToFit="false"/>
      <protection locked="true" hidden="false"/>
    </xf>
    <xf numFmtId="202" fontId="0" fillId="0" borderId="0" applyFont="true" applyBorder="true" applyAlignment="true" applyProtection="true">
      <alignment horizontal="general" vertical="bottom" textRotation="0" wrapText="false" indent="0" shrinkToFit="false"/>
      <protection locked="true" hidden="false"/>
    </xf>
    <xf numFmtId="253" fontId="11" fillId="0" borderId="19" applyFont="true" applyBorder="true" applyAlignment="true" applyProtection="true">
      <alignment horizontal="general" vertical="bottom" textRotation="0" wrapText="false" indent="0" shrinkToFit="false"/>
      <protection locked="true" hidden="false"/>
    </xf>
    <xf numFmtId="205" fontId="0" fillId="4" borderId="31" applyFont="true" applyBorder="true" applyAlignment="true" applyProtection="true">
      <alignment horizontal="right" vertical="bottom" textRotation="0" wrapText="false" indent="0" shrinkToFit="false"/>
      <protection locked="true" hidden="false"/>
    </xf>
    <xf numFmtId="254" fontId="43" fillId="0" borderId="0" applyFont="true" applyBorder="true" applyAlignment="true" applyProtection="true">
      <alignment horizontal="general" vertical="bottom" textRotation="0" wrapText="false" indent="0" shrinkToFit="false"/>
      <protection locked="true" hidden="false"/>
    </xf>
    <xf numFmtId="210" fontId="0" fillId="0" borderId="0" applyFont="true" applyBorder="true" applyAlignment="true" applyProtection="true">
      <alignment horizontal="general" vertical="bottom" textRotation="0" wrapText="false" indent="0" shrinkToFit="false"/>
      <protection locked="true" hidden="false"/>
    </xf>
    <xf numFmtId="255" fontId="31" fillId="0" borderId="0" applyFont="true" applyBorder="true" applyAlignment="true" applyProtection="true">
      <alignment horizontal="general" vertical="bottom" textRotation="0" wrapText="false" indent="0" shrinkToFit="false"/>
      <protection locked="true" hidden="false"/>
    </xf>
    <xf numFmtId="256" fontId="31" fillId="0" borderId="0" applyFont="true" applyBorder="true" applyAlignment="true" applyProtection="true">
      <alignment horizontal="general" vertical="bottom" textRotation="0" wrapText="false" indent="0" shrinkToFit="false"/>
      <protection locked="true" hidden="false"/>
    </xf>
    <xf numFmtId="255" fontId="31" fillId="0" borderId="0" applyFont="true" applyBorder="true" applyAlignment="true" applyProtection="true">
      <alignment horizontal="general" vertical="bottom" textRotation="0" wrapText="false" indent="0" shrinkToFit="false"/>
      <protection locked="true" hidden="false"/>
    </xf>
    <xf numFmtId="174" fontId="17" fillId="0"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64" fontId="107" fillId="16" borderId="0" applyFont="true" applyBorder="true" applyAlignment="true" applyProtection="true">
      <alignment horizontal="general" vertical="bottom" textRotation="0" wrapText="false" indent="0" shrinkToFit="false"/>
      <protection locked="true" hidden="false"/>
    </xf>
    <xf numFmtId="181" fontId="108" fillId="0" borderId="0" applyFont="true" applyBorder="true" applyAlignment="true" applyProtection="true">
      <alignment horizontal="general" vertical="bottom" textRotation="0" wrapText="false" indent="0" shrinkToFit="false"/>
      <protection locked="true" hidden="false"/>
    </xf>
    <xf numFmtId="244" fontId="17" fillId="0" borderId="0" applyFont="true" applyBorder="true" applyAlignment="true" applyProtection="true">
      <alignment horizontal="general" vertical="bottom" textRotation="0" wrapText="false" indent="0" shrinkToFit="false"/>
      <protection locked="true" hidden="false"/>
    </xf>
    <xf numFmtId="257" fontId="17" fillId="0" borderId="18" applyFont="true" applyBorder="true" applyAlignment="true" applyProtection="true">
      <alignment horizontal="general" vertical="bottom" textRotation="0" wrapText="false" indent="0" shrinkToFit="false"/>
      <protection locked="true" hidden="false"/>
    </xf>
    <xf numFmtId="247" fontId="17" fillId="0" borderId="0" applyFont="true" applyBorder="true" applyAlignment="true" applyProtection="true">
      <alignment horizontal="general" vertical="bottom" textRotation="0" wrapText="false" indent="0" shrinkToFit="false"/>
      <protection locked="true" hidden="false"/>
    </xf>
    <xf numFmtId="181" fontId="33" fillId="0" borderId="0" applyFont="true" applyBorder="true" applyAlignment="true" applyProtection="true">
      <alignment horizontal="general" vertical="bottom" textRotation="0" wrapText="false" indent="0" shrinkToFit="false"/>
      <protection locked="true" hidden="false"/>
    </xf>
    <xf numFmtId="205" fontId="109" fillId="0" borderId="0" applyFont="true" applyBorder="true" applyAlignment="true" applyProtection="true">
      <alignment horizontal="general" vertical="bottom" textRotation="0" wrapText="false" indent="0" shrinkToFit="false"/>
      <protection locked="true" hidden="false"/>
    </xf>
    <xf numFmtId="258" fontId="110" fillId="0" borderId="0" applyFont="true" applyBorder="true" applyAlignment="true" applyProtection="true">
      <alignment horizontal="general" vertical="bottom" textRotation="0" wrapText="false" indent="0" shrinkToFit="false"/>
      <protection locked="true" hidden="false"/>
    </xf>
    <xf numFmtId="259" fontId="17" fillId="0" borderId="0" applyFont="true" applyBorder="true" applyAlignment="true" applyProtection="true">
      <alignment horizontal="right" vertical="bottom" textRotation="0" wrapText="false" indent="0" shrinkToFit="false"/>
      <protection locked="true" hidden="false"/>
    </xf>
    <xf numFmtId="260" fontId="110" fillId="0" borderId="0" applyFont="true" applyBorder="true" applyAlignment="true" applyProtection="true">
      <alignment horizontal="general" vertical="bottom" textRotation="0" wrapText="false" indent="0" shrinkToFit="false"/>
      <protection locked="true" hidden="false"/>
    </xf>
    <xf numFmtId="261" fontId="111"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113"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24" borderId="12" applyFont="true" applyBorder="true" applyAlignment="true" applyProtection="true">
      <alignment horizontal="general" vertical="bottom" textRotation="0" wrapText="false" indent="0" shrinkToFit="false"/>
      <protection locked="true" hidden="false"/>
    </xf>
    <xf numFmtId="164" fontId="0"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2" fillId="24" borderId="12" applyFont="true" applyBorder="true" applyAlignment="true" applyProtection="true">
      <alignment horizontal="general" vertical="bottom" textRotation="0" wrapText="false" indent="0" shrinkToFit="false"/>
      <protection locked="true" hidden="false"/>
    </xf>
    <xf numFmtId="164" fontId="100" fillId="0" borderId="21" applyFont="true" applyBorder="true" applyAlignment="true" applyProtection="true">
      <alignment horizontal="general"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3" fontId="114" fillId="0" borderId="0" applyFont="true" applyBorder="true" applyAlignment="true" applyProtection="true">
      <alignment horizontal="right" vertical="bottom" textRotation="0" wrapText="false" indent="0" shrinkToFit="false"/>
      <protection locked="true" hidden="false"/>
    </xf>
    <xf numFmtId="264" fontId="114" fillId="0" borderId="0" applyFont="true" applyBorder="true" applyAlignment="true" applyProtection="true">
      <alignment horizontal="right"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5" fontId="114" fillId="0" borderId="0" applyFont="true" applyBorder="true" applyAlignment="true" applyProtection="true">
      <alignment horizontal="right"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6" fontId="114" fillId="0" borderId="0" applyFont="true" applyBorder="true" applyAlignment="true" applyProtection="true">
      <alignment horizontal="right" vertical="bottom" textRotation="0" wrapText="false" indent="0" shrinkToFit="false"/>
      <protection locked="true" hidden="false"/>
    </xf>
    <xf numFmtId="266" fontId="115" fillId="0" borderId="0" applyFont="true" applyBorder="true" applyAlignment="true" applyProtection="true">
      <alignment horizontal="right" vertical="bottom" textRotation="0" wrapText="false" indent="0" shrinkToFit="false"/>
      <protection locked="true" hidden="false"/>
    </xf>
    <xf numFmtId="267" fontId="114" fillId="0" borderId="0" applyFont="true" applyBorder="true" applyAlignment="true" applyProtection="true">
      <alignment horizontal="right"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62" fontId="0" fillId="0" borderId="15" applyFont="true" applyBorder="true" applyAlignment="true" applyProtection="true">
      <alignment horizontal="center" vertical="bottom" textRotation="0" wrapText="false" indent="0" shrinkToFit="false"/>
      <protection locked="true" hidden="false"/>
    </xf>
    <xf numFmtId="225" fontId="116" fillId="0" borderId="0" applyFont="true" applyBorder="true" applyAlignment="true" applyProtection="true">
      <alignment horizontal="right" vertical="bottom" textRotation="0" wrapText="false" indent="0" shrinkToFit="false"/>
      <protection locked="true" hidden="false"/>
    </xf>
    <xf numFmtId="268" fontId="114" fillId="0" borderId="0" applyFont="true" applyBorder="true" applyAlignment="true" applyProtection="true">
      <alignment horizontal="right" vertical="bottom" textRotation="0" wrapText="false" indent="0" shrinkToFit="false"/>
      <protection locked="true" hidden="false"/>
    </xf>
    <xf numFmtId="196" fontId="40" fillId="0" borderId="0" applyFont="true" applyBorder="true" applyAlignment="true" applyProtection="true">
      <alignment horizontal="right" vertical="bottom" textRotation="0" wrapText="false" indent="0" shrinkToFit="false"/>
      <protection locked="true" hidden="false"/>
    </xf>
    <xf numFmtId="168" fontId="0" fillId="0" borderId="21" applyFont="true" applyBorder="true" applyAlignment="true" applyProtection="true">
      <alignment horizontal="general" vertical="bottom" textRotation="0" wrapText="false" indent="0" shrinkToFit="false"/>
      <protection locked="true" hidden="false"/>
    </xf>
    <xf numFmtId="269" fontId="0" fillId="0" borderId="21"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256" fontId="100" fillId="0" borderId="0" applyFont="true" applyBorder="true" applyAlignment="true" applyProtection="true">
      <alignment horizontal="right" vertical="bottom" textRotation="0" wrapText="false" indent="0" shrinkToFit="false"/>
      <protection locked="true" hidden="false"/>
    </xf>
    <xf numFmtId="256" fontId="100" fillId="0" borderId="0" applyFont="true" applyBorder="true" applyAlignment="true" applyProtection="true">
      <alignment horizontal="right" vertical="bottom" textRotation="0" wrapText="false" indent="0" shrinkToFit="false"/>
      <protection locked="true" hidden="false"/>
    </xf>
    <xf numFmtId="205" fontId="0" fillId="0" borderId="0" applyFont="true" applyBorder="true" applyAlignment="true" applyProtection="true">
      <alignment horizontal="general" vertical="bottom" textRotation="0" wrapText="false" indent="0" shrinkToFit="false"/>
      <protection locked="true" hidden="false"/>
    </xf>
    <xf numFmtId="205" fontId="0" fillId="0" borderId="0" applyFont="true" applyBorder="true" applyAlignment="true" applyProtection="true">
      <alignment horizontal="general" vertical="bottom" textRotation="0" wrapText="false" indent="0" shrinkToFit="false"/>
      <protection locked="true" hidden="false"/>
    </xf>
    <xf numFmtId="256" fontId="0" fillId="0" borderId="0" applyFont="true" applyBorder="true" applyAlignment="true" applyProtection="true">
      <alignment horizontal="right" vertical="bottom" textRotation="0" wrapText="false" indent="0" shrinkToFit="false"/>
      <protection locked="true" hidden="false"/>
    </xf>
    <xf numFmtId="256" fontId="0" fillId="0" borderId="0" applyFont="true" applyBorder="true" applyAlignment="true" applyProtection="true">
      <alignment horizontal="right" vertical="bottom" textRotation="0" wrapText="false" indent="0" shrinkToFit="false"/>
      <protection locked="true" hidden="false"/>
    </xf>
    <xf numFmtId="197" fontId="117"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81" fontId="78" fillId="0" borderId="0" applyFont="true" applyBorder="true" applyAlignment="true" applyProtection="true">
      <alignment horizontal="general" vertical="bottom" textRotation="0" wrapText="false" indent="0" shrinkToFit="false"/>
      <protection locked="true" hidden="false"/>
    </xf>
    <xf numFmtId="164" fontId="118" fillId="0" borderId="0" applyFont="true" applyBorder="true" applyAlignment="true" applyProtection="true">
      <alignment horizontal="general" vertical="bottom" textRotation="0" wrapText="false" indent="0" shrinkToFit="false"/>
      <protection locked="true" hidden="false"/>
    </xf>
    <xf numFmtId="270" fontId="31" fillId="0" borderId="0" applyFont="true" applyBorder="true" applyAlignment="true" applyProtection="true">
      <alignment horizontal="general" vertical="bottom" textRotation="0" wrapText="false" indent="0" shrinkToFit="false"/>
      <protection locked="true" hidden="false"/>
    </xf>
    <xf numFmtId="164" fontId="119" fillId="0" borderId="0" applyFont="true" applyBorder="true" applyAlignment="true" applyProtection="true">
      <alignment horizontal="general" vertical="bottom" textRotation="0" wrapText="false" indent="0" shrinkToFit="false"/>
      <protection locked="true" hidden="false"/>
    </xf>
    <xf numFmtId="164" fontId="120" fillId="0" borderId="27" applyFont="true" applyBorder="true" applyAlignment="true" applyProtection="true">
      <alignment horizontal="right" vertical="center" textRotation="0" wrapText="false" indent="0" shrinkToFit="false"/>
      <protection locked="false" hidden="false"/>
    </xf>
    <xf numFmtId="164" fontId="121" fillId="0" borderId="0" applyFont="true" applyBorder="true" applyAlignment="true" applyProtection="true">
      <alignment horizontal="left" vertical="center" textRotation="0" wrapText="false" indent="0" shrinkToFit="false"/>
      <protection locked="false" hidden="false"/>
    </xf>
    <xf numFmtId="224" fontId="121" fillId="0" borderId="0" applyFont="true" applyBorder="true" applyAlignment="true" applyProtection="true">
      <alignment horizontal="right" vertical="center" textRotation="0" wrapText="false" indent="0" shrinkToFit="false"/>
      <protection locked="false" hidden="false"/>
    </xf>
    <xf numFmtId="164" fontId="27" fillId="0" borderId="32" applyFont="true" applyBorder="true" applyAlignment="true" applyProtection="true">
      <alignment horizontal="general" vertical="bottom" textRotation="0" wrapText="false" indent="0" shrinkToFit="false"/>
      <protection locked="false" hidden="false"/>
    </xf>
    <xf numFmtId="164" fontId="27" fillId="0" borderId="32" applyFont="true" applyBorder="true" applyAlignment="true" applyProtection="true">
      <alignment horizontal="general" vertical="bottom" textRotation="0" wrapText="false" indent="0" shrinkToFit="false"/>
      <protection locked="false" hidden="false"/>
    </xf>
    <xf numFmtId="197" fontId="122" fillId="0" borderId="0" applyFont="true" applyBorder="true" applyAlignment="true" applyProtection="true">
      <alignment horizontal="right" vertical="center" textRotation="0" wrapText="false" indent="0" shrinkToFit="false"/>
      <protection locked="true" hidden="false"/>
    </xf>
    <xf numFmtId="164" fontId="10" fillId="22" borderId="15" applyFont="true" applyBorder="true" applyAlignment="true" applyProtection="true">
      <alignment horizontal="general" vertical="bottom" textRotation="0" wrapText="false" indent="0" shrinkToFit="false"/>
      <protection locked="true" hidden="false"/>
    </xf>
    <xf numFmtId="164" fontId="10" fillId="22" borderId="15" applyFont="true" applyBorder="true" applyAlignment="true" applyProtection="true">
      <alignment horizontal="general" vertical="bottom" textRotation="0" wrapText="false" indent="0" shrinkToFit="false"/>
      <protection locked="true" hidden="false"/>
    </xf>
    <xf numFmtId="164" fontId="123" fillId="0" borderId="0" applyFont="true" applyBorder="true" applyAlignment="true" applyProtection="true">
      <alignment horizontal="center" vertical="center" textRotation="0" wrapText="false" indent="0" shrinkToFit="false"/>
      <protection locked="true" hidden="false"/>
    </xf>
    <xf numFmtId="271" fontId="11" fillId="0" borderId="0" applyFont="true" applyBorder="true" applyAlignment="true" applyProtection="true">
      <alignment horizontal="general" vertical="bottom" textRotation="0" wrapText="false" indent="0" shrinkToFit="false"/>
      <protection locked="true" hidden="false"/>
    </xf>
    <xf numFmtId="271" fontId="11" fillId="0" borderId="0" applyFont="true" applyBorder="true" applyAlignment="true" applyProtection="true">
      <alignment horizontal="general" vertical="bottom" textRotation="0" wrapText="false" indent="0" shrinkToFit="false"/>
      <protection locked="true" hidden="false"/>
    </xf>
    <xf numFmtId="251" fontId="11" fillId="0" borderId="0" applyFont="true" applyBorder="true" applyAlignment="true" applyProtection="true">
      <alignment horizontal="general" vertical="bottom" textRotation="0" wrapText="false" indent="0" shrinkToFit="false"/>
      <protection locked="true" hidden="false"/>
    </xf>
    <xf numFmtId="272" fontId="11" fillId="0" borderId="0" applyFont="true" applyBorder="true" applyAlignment="true" applyProtection="true">
      <alignment horizontal="general" vertical="bottom" textRotation="0" wrapText="false" indent="0" shrinkToFit="false"/>
      <protection locked="true" hidden="false"/>
    </xf>
    <xf numFmtId="251" fontId="0" fillId="0" borderId="21" applyFont="true" applyBorder="true" applyAlignment="true" applyProtection="true">
      <alignment horizontal="general" vertical="bottom" textRotation="0" wrapText="false" indent="0" shrinkToFit="false"/>
      <protection locked="true" hidden="false"/>
    </xf>
    <xf numFmtId="272" fontId="0" fillId="0" borderId="0" applyFont="true" applyBorder="true" applyAlignment="true" applyProtection="true">
      <alignment horizontal="general" vertical="bottom" textRotation="0" wrapText="false" indent="0" shrinkToFit="false"/>
      <protection locked="true" hidden="false"/>
    </xf>
    <xf numFmtId="273" fontId="11" fillId="0" borderId="0" applyFont="true" applyBorder="true" applyAlignment="true" applyProtection="true">
      <alignment horizontal="general" vertical="bottom" textRotation="0" wrapText="false" indent="0" shrinkToFit="false"/>
      <protection locked="true" hidden="false"/>
    </xf>
    <xf numFmtId="262" fontId="31" fillId="0" borderId="0" applyFont="true" applyBorder="true" applyAlignment="true" applyProtection="true">
      <alignment horizontal="general" vertical="bottom" textRotation="0" wrapText="false" indent="0" shrinkToFit="false"/>
      <protection locked="true" hidden="false"/>
    </xf>
    <xf numFmtId="274" fontId="124" fillId="0" borderId="0" applyFont="true" applyBorder="true" applyAlignment="true" applyProtection="true">
      <alignment horizontal="general" vertical="bottom" textRotation="0" wrapText="false" indent="0" shrinkToFit="false"/>
      <protection locked="true" hidden="false"/>
    </xf>
    <xf numFmtId="275" fontId="114" fillId="0" borderId="0" applyFont="true" applyBorder="true" applyAlignment="true" applyProtection="true">
      <alignment horizontal="right"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62" fontId="18" fillId="0" borderId="0" applyFont="true" applyBorder="true" applyAlignment="true" applyProtection="true">
      <alignment horizontal="general" vertical="bottom" textRotation="0" wrapText="false" indent="0" shrinkToFit="false"/>
      <protection locked="true" hidden="false"/>
    </xf>
    <xf numFmtId="273" fontId="0" fillId="0" borderId="0" applyFont="true" applyBorder="true" applyAlignment="true" applyProtection="true">
      <alignment horizontal="general" vertical="bottom" textRotation="0" wrapText="false" indent="0" shrinkToFit="false"/>
      <protection locked="true" hidden="false"/>
    </xf>
    <xf numFmtId="273" fontId="0" fillId="0" borderId="0" applyFont="true" applyBorder="true" applyAlignment="true" applyProtection="true">
      <alignment horizontal="general" vertical="bottom" textRotation="0" wrapText="false" indent="0" shrinkToFit="false"/>
      <protection locked="true" hidden="false"/>
    </xf>
    <xf numFmtId="276" fontId="48" fillId="0" borderId="0" applyFont="true" applyBorder="true" applyAlignment="true" applyProtection="true">
      <alignment horizontal="general" vertical="bottom" textRotation="0" wrapText="false" indent="0" shrinkToFit="false"/>
      <protection locked="true" hidden="false"/>
    </xf>
    <xf numFmtId="276" fontId="43" fillId="0" borderId="0" applyFont="true" applyBorder="true" applyAlignment="true" applyProtection="true">
      <alignment horizontal="general" vertical="bottom" textRotation="0" wrapText="false" indent="0" shrinkToFit="false"/>
      <protection locked="true" hidden="false"/>
    </xf>
    <xf numFmtId="251" fontId="11" fillId="0" borderId="0" applyFont="true" applyBorder="true" applyAlignment="true" applyProtection="true">
      <alignment horizontal="general" vertical="bottom" textRotation="0" wrapText="false" indent="0" shrinkToFit="false"/>
      <protection locked="true" hidden="false"/>
    </xf>
    <xf numFmtId="262" fontId="125" fillId="0" borderId="0" applyFont="true" applyBorder="true" applyAlignment="true" applyProtection="true">
      <alignment horizontal="right" vertical="bottom" textRotation="0" wrapText="false" indent="0" shrinkToFit="false"/>
      <protection locked="true" hidden="false"/>
    </xf>
    <xf numFmtId="277" fontId="43" fillId="0" borderId="0" applyFont="true" applyBorder="true" applyAlignment="true" applyProtection="true">
      <alignment horizontal="right" vertical="bottom" textRotation="0" wrapText="false" indent="0" shrinkToFit="false"/>
      <protection locked="false" hidden="false"/>
    </xf>
    <xf numFmtId="278" fontId="87" fillId="0" borderId="0" applyFont="true" applyBorder="true" applyAlignment="true" applyProtection="true">
      <alignment horizontal="right" vertical="bottom" textRotation="0" wrapText="false" indent="0" shrinkToFit="false"/>
      <protection locked="true" hidden="false"/>
    </xf>
    <xf numFmtId="241" fontId="31" fillId="0" borderId="0" applyFont="true" applyBorder="true" applyAlignment="true" applyProtection="true">
      <alignment horizontal="general" vertical="bottom" textRotation="0" wrapText="false" indent="0" shrinkToFit="false"/>
      <protection locked="true" hidden="false"/>
    </xf>
    <xf numFmtId="205" fontId="126" fillId="0" borderId="0" applyFont="true" applyBorder="true" applyAlignment="true" applyProtection="true">
      <alignment horizontal="right" vertical="bottom" textRotation="0" wrapText="false" indent="0" shrinkToFit="false"/>
      <protection locked="true" hidden="false"/>
    </xf>
    <xf numFmtId="196" fontId="126" fillId="0" borderId="0" applyFont="true" applyBorder="true" applyAlignment="true" applyProtection="true">
      <alignment horizontal="center" vertical="bottom" textRotation="0" wrapText="false" indent="0" shrinkToFit="false"/>
      <protection locked="true" hidden="false"/>
    </xf>
    <xf numFmtId="279" fontId="31" fillId="0" borderId="0" applyFont="true" applyBorder="true" applyAlignment="true" applyProtection="true">
      <alignment horizontal="general" vertical="bottom" textRotation="0" wrapText="false" indent="0" shrinkToFit="false"/>
      <protection locked="true" hidden="false"/>
    </xf>
    <xf numFmtId="280" fontId="0" fillId="0" borderId="0" applyFont="true" applyBorder="true" applyAlignment="true" applyProtection="true">
      <alignment horizontal="general" vertical="bottom" textRotation="0" wrapText="false" indent="0" shrinkToFit="false"/>
      <protection locked="true" hidden="false"/>
    </xf>
    <xf numFmtId="262" fontId="0" fillId="0" borderId="0" applyFont="true" applyBorder="true" applyAlignment="true" applyProtection="true">
      <alignment horizontal="general" vertical="bottom" textRotation="0" wrapText="false" indent="0" shrinkToFit="false"/>
      <protection locked="true" hidden="false"/>
    </xf>
    <xf numFmtId="205" fontId="31" fillId="0" borderId="0" applyFont="true" applyBorder="true" applyAlignment="true" applyProtection="true">
      <alignment horizontal="general" vertical="bottom" textRotation="0" wrapText="false" indent="0" shrinkToFit="false"/>
      <protection locked="true" hidden="false"/>
    </xf>
    <xf numFmtId="229" fontId="127" fillId="0" borderId="32" applyFont="true" applyBorder="true" applyAlignment="true" applyProtection="true">
      <alignment horizontal="right" vertical="bottom" textRotation="0" wrapText="false" indent="0" shrinkToFit="false"/>
      <protection locked="true" hidden="false"/>
    </xf>
    <xf numFmtId="164" fontId="128" fillId="18" borderId="0" applyFont="true" applyBorder="true" applyAlignment="true" applyProtection="true">
      <alignment horizontal="general" vertical="bottom" textRotation="0" wrapText="false" indent="0" shrinkToFit="false"/>
      <protection locked="true" hidden="false"/>
    </xf>
    <xf numFmtId="164" fontId="40" fillId="26" borderId="27" applyFont="true" applyBorder="true" applyAlignment="true" applyProtection="true">
      <alignment horizontal="center" vertical="center" textRotation="0" wrapText="false" indent="0" shrinkToFit="false"/>
      <protection locked="true" hidden="false"/>
    </xf>
    <xf numFmtId="281" fontId="0" fillId="0" borderId="0" applyFont="true" applyBorder="true" applyAlignment="true" applyProtection="true">
      <alignment horizontal="right" vertical="bottom" textRotation="0" wrapText="false" indent="0" shrinkToFit="false"/>
      <protection locked="false" hidden="false"/>
    </xf>
    <xf numFmtId="281" fontId="0" fillId="0" borderId="0" applyFont="true" applyBorder="true" applyAlignment="true" applyProtection="true">
      <alignment horizontal="right" vertical="bottom" textRotation="0" wrapText="false" indent="0" shrinkToFit="false"/>
      <protection locked="false" hidden="false"/>
    </xf>
    <xf numFmtId="282" fontId="43" fillId="0" borderId="0" applyFont="true" applyBorder="true" applyAlignment="true" applyProtection="true">
      <alignment horizontal="right" vertical="bottom" textRotation="0" wrapText="false" indent="0" shrinkToFit="false"/>
      <protection locked="false" hidden="false"/>
    </xf>
    <xf numFmtId="164" fontId="129" fillId="0" borderId="2" applyFont="true" applyBorder="true" applyAlignment="true" applyProtection="true">
      <alignment horizontal="general" vertical="bottom" textRotation="0" wrapText="false" indent="0" shrinkToFit="false"/>
      <protection locked="true" hidden="false"/>
    </xf>
    <xf numFmtId="164" fontId="13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29"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41" fillId="0" borderId="30" applyFont="true" applyBorder="true" applyAlignment="true" applyProtection="true">
      <alignment horizontal="left" vertical="center" textRotation="0" wrapText="false" indent="0" shrinkToFit="false"/>
      <protection locked="true" hidden="false"/>
    </xf>
    <xf numFmtId="164" fontId="131"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132"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right" vertical="bottom" textRotation="0" wrapText="false" indent="0" shrinkToFit="false"/>
      <protection locked="true" hidden="false"/>
    </xf>
    <xf numFmtId="164" fontId="0" fillId="0" borderId="0" applyFont="true" applyBorder="true" applyAlignment="true" applyProtection="true">
      <alignment horizontal="right" vertical="bottom" textRotation="0" wrapText="false" indent="0" shrinkToFit="false"/>
      <protection locked="true" hidden="false"/>
    </xf>
    <xf numFmtId="164" fontId="133" fillId="0" borderId="33" applyFont="true" applyBorder="true" applyAlignment="true" applyProtection="true">
      <alignment horizontal="general" vertical="bottom" textRotation="0" wrapText="false" indent="0" shrinkToFit="false"/>
      <protection locked="false" hidden="false"/>
    </xf>
    <xf numFmtId="164" fontId="101" fillId="0" borderId="0" applyFont="true" applyBorder="true" applyAlignment="true" applyProtection="true">
      <alignment horizontal="right" vertical="center" textRotation="0" wrapText="false" indent="0" shrinkToFit="false"/>
      <protection locked="true" hidden="false"/>
    </xf>
    <xf numFmtId="164" fontId="101" fillId="0" borderId="0" applyFont="true" applyBorder="true" applyAlignment="true" applyProtection="true">
      <alignment horizontal="right" vertical="center" textRotation="0" wrapText="false" indent="0" shrinkToFit="false"/>
      <protection locked="true" hidden="false"/>
    </xf>
    <xf numFmtId="252" fontId="105" fillId="0" borderId="0" applyFont="true" applyBorder="true" applyAlignment="true" applyProtection="true">
      <alignment horizontal="left" vertical="bottom" textRotation="0" wrapText="false" indent="0" shrinkToFit="false"/>
      <protection locked="true" hidden="false"/>
    </xf>
    <xf numFmtId="268" fontId="114" fillId="0" borderId="0" applyFont="true" applyBorder="true" applyAlignment="true" applyProtection="true">
      <alignment horizontal="right" vertical="bottom" textRotation="0" wrapText="false" indent="0" shrinkToFit="false"/>
      <protection locked="true" hidden="false"/>
    </xf>
    <xf numFmtId="283" fontId="114"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00" fillId="0" borderId="0" applyFont="true" applyBorder="true" applyAlignment="true" applyProtection="true">
      <alignment horizontal="right" vertical="bottom" textRotation="0" wrapText="false" indent="0" shrinkToFit="false"/>
      <protection locked="true" hidden="false"/>
    </xf>
    <xf numFmtId="164" fontId="134" fillId="0" borderId="0" applyFont="true" applyBorder="true" applyAlignment="true" applyProtection="true">
      <alignment horizontal="general" vertical="bottom" textRotation="0" wrapText="false" indent="0" shrinkToFit="false"/>
      <protection locked="true" hidden="false"/>
    </xf>
    <xf numFmtId="164" fontId="135" fillId="22" borderId="34" applyFont="true" applyBorder="true" applyAlignment="true" applyProtection="true">
      <alignment horizontal="general" vertical="bottom" textRotation="0" wrapText="false" indent="0" shrinkToFit="false"/>
      <protection locked="true" hidden="false"/>
    </xf>
    <xf numFmtId="164" fontId="10" fillId="31" borderId="35" applyFont="true" applyBorder="true" applyAlignment="true" applyProtection="true">
      <alignment horizontal="left" vertical="center" textRotation="0" wrapText="false" indent="1" shrinkToFit="false"/>
      <protection locked="true" hidden="false"/>
    </xf>
    <xf numFmtId="164" fontId="10" fillId="31" borderId="35" applyFont="true" applyBorder="true" applyAlignment="true" applyProtection="true">
      <alignment horizontal="left" vertical="center" textRotation="0" wrapText="false" indent="1" shrinkToFit="false"/>
      <protection locked="true" hidden="false"/>
    </xf>
    <xf numFmtId="284" fontId="55" fillId="6" borderId="35" applyFont="true" applyBorder="true" applyAlignment="true" applyProtection="true">
      <alignment horizontal="right" vertical="center" textRotation="0" wrapText="false" indent="0" shrinkToFit="false"/>
      <protection locked="true" hidden="false"/>
    </xf>
    <xf numFmtId="164" fontId="34" fillId="4"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left" vertical="center" textRotation="0" wrapText="false" indent="0" shrinkToFit="false"/>
      <protection locked="false" hidden="false"/>
    </xf>
    <xf numFmtId="285" fontId="136" fillId="0" borderId="0" applyFont="true" applyBorder="true" applyAlignment="true" applyProtection="true">
      <alignment horizontal="right" vertical="bottom" textRotation="0" wrapText="false" indent="0" shrinkToFit="false"/>
      <protection locked="true" hidden="true"/>
    </xf>
    <xf numFmtId="164" fontId="137" fillId="25" borderId="15" applyFont="true" applyBorder="true" applyAlignment="true" applyProtection="true">
      <alignment horizontal="center" vertical="center" textRotation="0" wrapText="true" indent="0" shrinkToFit="false"/>
      <protection locked="true" hidden="true"/>
    </xf>
    <xf numFmtId="244" fontId="17" fillId="0" borderId="27" applyFont="true" applyBorder="true" applyAlignment="true" applyProtection="true">
      <alignment horizontal="general" vertical="bottom" textRotation="0" wrapText="false" indent="0" shrinkToFit="false"/>
      <protection locked="true" hidden="false"/>
    </xf>
    <xf numFmtId="196" fontId="31" fillId="0" borderId="27" applyFont="true" applyBorder="true" applyAlignment="true" applyProtection="true">
      <alignment horizontal="general" vertical="bottom" textRotation="0" wrapText="false" indent="0" shrinkToFit="false"/>
      <protection locked="true" hidden="false"/>
    </xf>
    <xf numFmtId="223" fontId="138" fillId="0" borderId="0" applyFont="true" applyBorder="true" applyAlignment="true" applyProtection="true">
      <alignment horizontal="general" vertical="bottom" textRotation="0" wrapText="false" indent="0" shrinkToFit="false"/>
      <protection locked="true" hidden="false"/>
    </xf>
    <xf numFmtId="219" fontId="138" fillId="0" borderId="0" applyFont="true" applyBorder="true" applyAlignment="true" applyProtection="true">
      <alignment horizontal="general" vertical="bottom" textRotation="0" wrapText="false" indent="0" shrinkToFit="false"/>
      <protection locked="true" hidden="false"/>
    </xf>
    <xf numFmtId="164" fontId="135" fillId="22" borderId="34" applyFont="true" applyBorder="true" applyAlignment="true" applyProtection="true">
      <alignment horizontal="general" vertical="bottom" textRotation="0" wrapText="false" indent="0" shrinkToFit="false"/>
      <protection locked="true" hidden="false"/>
    </xf>
    <xf numFmtId="197" fontId="42" fillId="0" borderId="0" applyFont="true" applyBorder="true" applyAlignment="true" applyProtection="true">
      <alignment horizontal="general" vertical="center" textRotation="0" wrapText="false" indent="0" shrinkToFit="false"/>
      <protection locked="true" hidden="false"/>
    </xf>
    <xf numFmtId="164" fontId="139" fillId="0" borderId="0" applyFont="true" applyBorder="true" applyAlignment="true" applyProtection="true">
      <alignment horizontal="general" vertical="bottom" textRotation="0" wrapText="false" indent="0" shrinkToFit="false"/>
      <protection locked="false" hidden="false"/>
    </xf>
    <xf numFmtId="286" fontId="0" fillId="0" borderId="0" applyFont="true" applyBorder="true" applyAlignment="true" applyProtection="true">
      <alignment horizontal="general" vertical="bottom" textRotation="0" wrapText="false" indent="0" shrinkToFit="false"/>
      <protection locked="false" hidden="false"/>
    </xf>
    <xf numFmtId="286" fontId="0" fillId="0" borderId="0" applyFont="true" applyBorder="true" applyAlignment="true" applyProtection="true">
      <alignment horizontal="general" vertical="bottom" textRotation="0" wrapText="false" indent="0" shrinkToFit="false"/>
      <protection locked="fals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137" fillId="0" borderId="15" applyFont="true" applyBorder="true" applyAlignment="true" applyProtection="true">
      <alignment horizontal="center" vertical="bottom"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140" fillId="27" borderId="0" applyFont="true" applyBorder="true" applyAlignment="true" applyProtection="true">
      <alignment horizontal="center" vertical="center" textRotation="0" wrapText="false" indent="0" shrinkToFit="false"/>
      <protection locked="true" hidden="false"/>
    </xf>
    <xf numFmtId="164" fontId="140" fillId="27" borderId="0" applyFont="true" applyBorder="true" applyAlignment="true" applyProtection="true">
      <alignment horizontal="center" vertical="top" textRotation="0" wrapText="false" indent="0" shrinkToFit="false"/>
      <protection locked="true" hidden="false"/>
    </xf>
    <xf numFmtId="164" fontId="140" fillId="27" borderId="36" applyFont="true" applyBorder="true" applyAlignment="true" applyProtection="true">
      <alignment horizontal="left" vertical="center" textRotation="0" wrapText="false" indent="0" shrinkToFit="false"/>
      <protection locked="true" hidden="false"/>
    </xf>
    <xf numFmtId="164" fontId="140" fillId="27" borderId="36" applyFont="true" applyBorder="true" applyAlignment="true" applyProtection="true">
      <alignment horizontal="right" vertical="center" textRotation="0" wrapText="false" indent="0" shrinkToFit="false"/>
      <protection locked="true" hidden="false"/>
    </xf>
    <xf numFmtId="164" fontId="141" fillId="27" borderId="0" applyFont="true" applyBorder="true" applyAlignment="true" applyProtection="true">
      <alignment horizontal="right" vertical="center" textRotation="0" wrapText="true" indent="0" shrinkToFit="false"/>
      <protection locked="true" hidden="false"/>
    </xf>
    <xf numFmtId="164" fontId="142" fillId="27" borderId="0" applyFont="true" applyBorder="true" applyAlignment="true" applyProtection="true">
      <alignment horizontal="left" vertical="center"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287" fontId="143" fillId="27" borderId="37" applyFont="true" applyBorder="true" applyAlignment="true" applyProtection="true">
      <alignment horizontal="right" vertical="center" textRotation="0" wrapText="false" indent="0" shrinkToFit="false"/>
      <protection locked="true" hidden="false"/>
    </xf>
    <xf numFmtId="164" fontId="144" fillId="27" borderId="0" applyFont="true" applyBorder="true" applyAlignment="true" applyProtection="true">
      <alignment horizontal="left" vertical="center"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287" fontId="142" fillId="27" borderId="0" applyFont="true" applyBorder="true" applyAlignment="true" applyProtection="true">
      <alignment horizontal="right" vertical="center" textRotation="0" wrapText="false" indent="0" shrinkToFit="false"/>
      <protection locked="true" hidden="false"/>
    </xf>
    <xf numFmtId="164" fontId="145" fillId="27" borderId="0" applyFont="true" applyBorder="true" applyAlignment="true" applyProtection="true">
      <alignment horizontal="left" vertical="center"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0" fillId="0" borderId="0" applyFont="true" applyBorder="true" applyAlignment="true" applyProtection="true">
      <alignment horizontal="general" vertical="top"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81" fontId="18" fillId="0" borderId="0" applyFont="true" applyBorder="true" applyAlignment="true" applyProtection="true">
      <alignment horizontal="general" vertical="bottom" textRotation="0" wrapText="false" indent="0" shrinkToFit="false"/>
      <protection locked="true" hidden="false"/>
    </xf>
    <xf numFmtId="164" fontId="146" fillId="0" borderId="0" applyFont="true" applyBorder="true" applyAlignment="true" applyProtection="true">
      <alignment horizontal="left" vertical="center" textRotation="0" wrapText="false" indent="0" shrinkToFit="false"/>
      <protection locked="true" hidden="false"/>
    </xf>
    <xf numFmtId="244" fontId="0" fillId="0" borderId="0" applyFont="true" applyBorder="true" applyAlignment="true" applyProtection="true">
      <alignment horizontal="general" vertical="bottom" textRotation="0" wrapText="false" indent="0" shrinkToFit="false"/>
      <protection locked="true" hidden="false"/>
    </xf>
    <xf numFmtId="196" fontId="31" fillId="0" borderId="0"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33" applyFont="true" applyBorder="true" applyAlignment="true" applyProtection="true">
      <alignment horizontal="general" vertical="bottom" textRotation="0" wrapText="false" indent="0" shrinkToFit="false"/>
      <protection locked="true" hidden="false"/>
    </xf>
    <xf numFmtId="164" fontId="0" fillId="0" borderId="33" applyFont="true" applyBorder="true" applyAlignment="true" applyProtection="true">
      <alignment horizontal="general" vertical="bottom" textRotation="0" wrapText="false" indent="0" shrinkToFit="false"/>
      <protection locked="true" hidden="false"/>
    </xf>
    <xf numFmtId="164" fontId="146" fillId="0" borderId="38" applyFont="true" applyBorder="true" applyAlignment="true" applyProtection="true">
      <alignment horizontal="right" vertical="center" textRotation="0" wrapText="false" indent="0" shrinkToFit="false"/>
      <protection locked="true" hidden="false"/>
    </xf>
    <xf numFmtId="164" fontId="147" fillId="16" borderId="40" applyFont="true" applyBorder="true" applyAlignment="true" applyProtection="true">
      <alignment horizontal="center" vertical="bottom" textRotation="0" wrapText="false" indent="0" shrinkToFit="false"/>
      <protection locked="true" hidden="false"/>
    </xf>
    <xf numFmtId="164" fontId="147" fillId="16" borderId="41" applyFont="true" applyBorder="true" applyAlignment="true" applyProtection="true">
      <alignment horizontal="center" vertical="bottom" textRotation="0" wrapText="false" indent="0" shrinkToFit="false"/>
      <protection locked="true" hidden="false"/>
    </xf>
    <xf numFmtId="164" fontId="147" fillId="16" borderId="42" applyFont="true" applyBorder="true" applyAlignment="true" applyProtection="true">
      <alignment horizontal="center" vertical="bottom" textRotation="0" wrapText="false" indent="0" shrinkToFit="false"/>
      <protection locked="true" hidden="false"/>
    </xf>
    <xf numFmtId="164" fontId="148" fillId="0" borderId="7" applyFont="true" applyBorder="true" applyAlignment="true" applyProtection="true">
      <alignment horizontal="general" vertical="bottom" textRotation="0" wrapText="false" indent="0" shrinkToFit="false"/>
      <protection locked="true" hidden="false"/>
    </xf>
    <xf numFmtId="164" fontId="0" fillId="32" borderId="43" applyFont="true" applyBorder="true" applyAlignment="true" applyProtection="true">
      <alignment horizontal="general" vertical="bottom" textRotation="0" wrapText="false" indent="0" shrinkToFit="false"/>
      <protection locked="true" hidden="false"/>
    </xf>
    <xf numFmtId="197" fontId="149" fillId="0" borderId="0" applyFont="true" applyBorder="true" applyAlignment="true" applyProtection="true">
      <alignment horizontal="general" vertical="center" textRotation="0" wrapText="false" indent="0" shrinkToFit="false"/>
      <protection locked="true" hidden="false"/>
    </xf>
    <xf numFmtId="164" fontId="18" fillId="0" borderId="15" applyFont="true" applyBorder="true" applyAlignment="true" applyProtection="true">
      <alignment horizontal="general" vertical="bottom" textRotation="0" wrapText="false" indent="0" shrinkToFit="false"/>
      <protection locked="true" hidden="false"/>
    </xf>
    <xf numFmtId="164" fontId="150" fillId="0" borderId="0" applyFont="true" applyBorder="true" applyAlignment="true" applyProtection="true">
      <alignment horizontal="general" vertical="center" textRotation="0" wrapText="false" indent="0" shrinkToFit="false"/>
      <protection locked="true" hidden="false"/>
    </xf>
    <xf numFmtId="288" fontId="17" fillId="0" borderId="27" applyFont="true" applyBorder="true" applyAlignment="true" applyProtection="true">
      <alignment horizontal="right" vertical="center" textRotation="0" wrapText="false" indent="0" shrinkToFit="false"/>
      <protection locked="true" hidden="false"/>
    </xf>
    <xf numFmtId="164" fontId="151" fillId="26" borderId="0" applyFont="true" applyBorder="true" applyAlignment="true" applyProtection="true">
      <alignment horizontal="center" vertical="center" textRotation="0" wrapText="false" indent="0" shrinkToFit="false"/>
      <protection locked="true" hidden="false"/>
    </xf>
    <xf numFmtId="164" fontId="151" fillId="33" borderId="27" applyFont="true" applyBorder="true" applyAlignment="true" applyProtection="true">
      <alignment horizontal="center" vertical="center" textRotation="0" wrapText="false" indent="0" shrinkToFit="false"/>
      <protection locked="true" hidden="false"/>
    </xf>
    <xf numFmtId="164" fontId="27" fillId="0" borderId="27" applyFont="true" applyBorder="true" applyAlignment="true" applyProtection="true">
      <alignment horizontal="right" vertical="center" textRotation="0" wrapText="false" indent="0" shrinkToFit="false"/>
      <protection locked="false" hidden="false"/>
    </xf>
    <xf numFmtId="164" fontId="27" fillId="0" borderId="27" applyFont="true" applyBorder="true" applyAlignment="true" applyProtection="true">
      <alignment horizontal="right" vertical="center" textRotation="0" wrapText="false" indent="0" shrinkToFit="false"/>
      <protection locked="false" hidden="false"/>
    </xf>
    <xf numFmtId="164" fontId="11" fillId="0" borderId="0" applyFont="true" applyBorder="true" applyAlignment="true" applyProtection="true">
      <alignment horizontal="left" vertical="center" textRotation="0" wrapText="false" indent="0" shrinkToFit="false"/>
      <protection locked="true" hidden="false"/>
    </xf>
    <xf numFmtId="164" fontId="121" fillId="0" borderId="0" applyFont="true" applyBorder="true" applyAlignment="true" applyProtection="true">
      <alignment horizontal="general" vertical="bottom" textRotation="0" wrapText="false" indent="0" shrinkToFit="false"/>
      <protection locked="false" hidden="false"/>
    </xf>
    <xf numFmtId="228" fontId="11" fillId="0" borderId="0" applyFont="true" applyBorder="true" applyAlignment="true" applyProtection="true">
      <alignment horizontal="right" vertical="center" textRotation="0" wrapText="false" indent="0" shrinkToFit="false"/>
      <protection locked="true" hidden="false"/>
    </xf>
    <xf numFmtId="244" fontId="11" fillId="0" borderId="0" applyFont="true" applyBorder="true" applyAlignment="true" applyProtection="true">
      <alignment horizontal="right" vertical="center" textRotation="0" wrapText="false" indent="0" shrinkToFit="false"/>
      <protection locked="true" hidden="false"/>
    </xf>
    <xf numFmtId="164" fontId="40" fillId="0" borderId="32" applyFont="true" applyBorder="true" applyAlignment="true" applyProtection="true">
      <alignment horizontal="general" vertical="bottom" textRotation="0" wrapText="false" indent="0" shrinkToFit="false"/>
      <protection locked="false" hidden="false"/>
    </xf>
    <xf numFmtId="164" fontId="77" fillId="0" borderId="2" applyFont="true" applyBorder="true" applyAlignment="true" applyProtection="true">
      <alignment horizontal="left" vertical="top" textRotation="0" wrapText="false" indent="0" shrinkToFit="false"/>
      <protection locked="true" hidden="false"/>
    </xf>
    <xf numFmtId="164" fontId="11" fillId="0" borderId="0" applyFont="true" applyBorder="true" applyAlignment="true" applyProtection="true">
      <alignment horizontal="left" vertical="bottom" textRotation="0" wrapText="false" indent="0" shrinkToFit="false"/>
      <protection locked="true" hidden="false"/>
    </xf>
    <xf numFmtId="164" fontId="11" fillId="0" borderId="0" applyFont="true" applyBorder="true" applyAlignment="true" applyProtection="true">
      <alignment horizontal="right" vertical="bottom" textRotation="0" wrapText="false" indent="0" shrinkToFit="false"/>
      <protection locked="true" hidden="false"/>
    </xf>
    <xf numFmtId="164" fontId="152" fillId="34" borderId="0" applyFont="true" applyBorder="true" applyAlignment="true" applyProtection="true">
      <alignment horizontal="general" vertical="top" textRotation="0" wrapText="tru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63" fillId="0" borderId="0" applyFont="true" applyBorder="true" applyAlignment="true" applyProtection="true">
      <alignment horizontal="general" vertical="bottom" textRotation="0" wrapText="false" indent="0" shrinkToFit="false"/>
      <protection locked="true" hidden="false"/>
    </xf>
    <xf numFmtId="164" fontId="0" fillId="0" borderId="44" applyFont="true" applyBorder="true" applyAlignment="true" applyProtection="true">
      <alignment horizontal="general" vertical="bottom" textRotation="0" wrapText="false" indent="0" shrinkToFit="false"/>
      <protection locked="true" hidden="false"/>
    </xf>
    <xf numFmtId="164" fontId="0" fillId="0" borderId="44" applyFont="true" applyBorder="true" applyAlignment="true" applyProtection="true">
      <alignment horizontal="general" vertical="bottom" textRotation="0" wrapText="false" indent="0" shrinkToFit="false"/>
      <protection locked="true" hidden="false"/>
    </xf>
    <xf numFmtId="164" fontId="0" fillId="0" borderId="45" applyFont="true" applyBorder="true" applyAlignment="true" applyProtection="true">
      <alignment horizontal="general" vertical="bottom" textRotation="0" wrapText="false" indent="0" shrinkToFit="false"/>
      <protection locked="true" hidden="false"/>
    </xf>
    <xf numFmtId="164" fontId="0" fillId="0" borderId="45" applyFont="true" applyBorder="true" applyAlignment="true" applyProtection="true">
      <alignment horizontal="general" vertical="bottom" textRotation="0" wrapText="false" indent="0" shrinkToFit="false"/>
      <protection locked="true" hidden="false"/>
    </xf>
    <xf numFmtId="164" fontId="0" fillId="0" borderId="27" applyFont="true" applyBorder="true" applyAlignment="true" applyProtection="true">
      <alignment horizontal="general" vertical="bottom" textRotation="0" wrapText="false" indent="0" shrinkToFit="false"/>
      <protection locked="true" hidden="false"/>
    </xf>
    <xf numFmtId="164" fontId="0" fillId="0" borderId="27" applyFont="true" applyBorder="true" applyAlignment="true" applyProtection="true">
      <alignment horizontal="general" vertical="bottom" textRotation="0" wrapText="false" indent="0" shrinkToFit="false"/>
      <protection locked="true" hidden="false"/>
    </xf>
    <xf numFmtId="164" fontId="0" fillId="0" borderId="46" applyFont="true" applyBorder="true" applyAlignment="true" applyProtection="true">
      <alignment horizontal="general" vertical="bottom" textRotation="0" wrapText="false" indent="0" shrinkToFit="false"/>
      <protection locked="true" hidden="false"/>
    </xf>
    <xf numFmtId="164" fontId="0" fillId="0" borderId="46" applyFont="true" applyBorder="true" applyAlignment="true" applyProtection="true">
      <alignment horizontal="general" vertical="bottom" textRotation="0" wrapText="false" indent="0" shrinkToFit="false"/>
      <protection locked="true" hidden="false"/>
    </xf>
    <xf numFmtId="164" fontId="0" fillId="0" borderId="15" applyFont="true" applyBorder="true" applyAlignment="true" applyProtection="true">
      <alignment horizontal="general" vertical="bottom" textRotation="0" wrapText="false" indent="0" shrinkToFit="false"/>
      <protection locked="true" hidden="false"/>
    </xf>
    <xf numFmtId="164" fontId="0" fillId="0" borderId="15" applyFont="true" applyBorder="true" applyAlignment="true" applyProtection="true">
      <alignment horizontal="general" vertical="bottom" textRotation="0" wrapText="false" indent="0" shrinkToFit="false"/>
      <protection locked="true" hidden="false"/>
    </xf>
    <xf numFmtId="164" fontId="0" fillId="0" borderId="47" applyFont="true" applyBorder="true" applyAlignment="true" applyProtection="true">
      <alignment horizontal="general" vertical="bottom" textRotation="0" wrapText="false" indent="0" shrinkToFit="false"/>
      <protection locked="true" hidden="false"/>
    </xf>
    <xf numFmtId="164" fontId="0" fillId="0" borderId="47" applyFont="true" applyBorder="true" applyAlignment="true" applyProtection="true">
      <alignment horizontal="general" vertical="bottom" textRotation="0" wrapText="false" indent="0" shrinkToFit="false"/>
      <protection locked="true" hidden="false"/>
    </xf>
    <xf numFmtId="164" fontId="0" fillId="0" borderId="14" applyFont="true" applyBorder="true" applyAlignment="true" applyProtection="true">
      <alignment horizontal="general" vertical="bottom" textRotation="0" wrapText="false" indent="0" shrinkToFit="false"/>
      <protection locked="true" hidden="false"/>
    </xf>
    <xf numFmtId="164" fontId="0" fillId="0" borderId="14" applyFont="true" applyBorder="true" applyAlignment="true" applyProtection="true">
      <alignment horizontal="general" vertical="bottom" textRotation="0" wrapText="false" indent="0" shrinkToFit="false"/>
      <protection locked="true" hidden="false"/>
    </xf>
    <xf numFmtId="164" fontId="0" fillId="0" borderId="48" applyFont="true" applyBorder="true" applyAlignment="true" applyProtection="true">
      <alignment horizontal="general" vertical="bottom" textRotation="0" wrapText="false" indent="0" shrinkToFit="false"/>
      <protection locked="true" hidden="false"/>
    </xf>
    <xf numFmtId="164" fontId="0" fillId="0" borderId="48"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38" applyFont="true" applyBorder="true" applyAlignment="true" applyProtection="true">
      <alignment horizontal="general" vertical="bottom" textRotation="0" wrapText="false" indent="0" shrinkToFit="false"/>
      <protection locked="true" hidden="false"/>
    </xf>
    <xf numFmtId="164" fontId="0" fillId="0" borderId="16" applyFont="true" applyBorder="true" applyAlignment="true" applyProtection="true">
      <alignment horizontal="general" vertical="bottom" textRotation="0" wrapText="false" indent="0" shrinkToFit="false"/>
      <protection locked="true" hidden="false"/>
    </xf>
    <xf numFmtId="164" fontId="0" fillId="0" borderId="16" applyFont="true" applyBorder="true" applyAlignment="true" applyProtection="true">
      <alignment horizontal="general" vertical="bottom" textRotation="0" wrapText="false" indent="0" shrinkToFit="false"/>
      <protection locked="true" hidden="false"/>
    </xf>
    <xf numFmtId="164" fontId="0" fillId="0" borderId="49" applyFont="true" applyBorder="true" applyAlignment="true" applyProtection="true">
      <alignment horizontal="general" vertical="bottom" textRotation="0" wrapText="false" indent="0" shrinkToFit="false"/>
      <protection locked="true" hidden="false"/>
    </xf>
    <xf numFmtId="164" fontId="0" fillId="0" borderId="49" applyFont="true" applyBorder="true" applyAlignment="true" applyProtection="true">
      <alignment horizontal="general" vertical="bottom" textRotation="0" wrapText="false" indent="0" shrinkToFit="false"/>
      <protection locked="true" hidden="false"/>
    </xf>
    <xf numFmtId="164" fontId="0" fillId="0" borderId="21" applyFont="true" applyBorder="true" applyAlignment="true" applyProtection="true">
      <alignment horizontal="general" vertical="bottom" textRotation="0" wrapText="false" indent="0" shrinkToFit="false"/>
      <protection locked="true" hidden="false"/>
    </xf>
    <xf numFmtId="164" fontId="0" fillId="0" borderId="21" applyFont="true" applyBorder="true" applyAlignment="true" applyProtection="true">
      <alignment horizontal="general" vertical="bottom" textRotation="0" wrapText="false" indent="0" shrinkToFit="false"/>
      <protection locked="true" hidden="false"/>
    </xf>
    <xf numFmtId="164" fontId="0" fillId="0" borderId="22" applyFont="true" applyBorder="true" applyAlignment="true" applyProtection="true">
      <alignment horizontal="general" vertical="bottom" textRotation="0" wrapText="false" indent="0" shrinkToFit="false"/>
      <protection locked="true" hidden="false"/>
    </xf>
    <xf numFmtId="164" fontId="0" fillId="0" borderId="22"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39" applyFont="true" applyBorder="true" applyAlignment="true" applyProtection="true">
      <alignment horizontal="general" vertical="bottom" textRotation="0" wrapText="false" indent="0" shrinkToFit="false"/>
      <protection locked="true" hidden="false"/>
    </xf>
    <xf numFmtId="164" fontId="0" fillId="0" borderId="50" applyFont="true" applyBorder="true" applyAlignment="true" applyProtection="true">
      <alignment horizontal="general" vertical="bottom" textRotation="0" wrapText="false" indent="0" shrinkToFit="false"/>
      <protection locked="true" hidden="false"/>
    </xf>
    <xf numFmtId="164" fontId="0" fillId="0" borderId="50" applyFont="true" applyBorder="true" applyAlignment="true" applyProtection="true">
      <alignment horizontal="general" vertical="bottom" textRotation="0" wrapText="false" indent="0" shrinkToFit="false"/>
      <protection locked="true" hidden="false"/>
    </xf>
    <xf numFmtId="289" fontId="27" fillId="0" borderId="0" applyFont="true" applyBorder="true" applyAlignment="true" applyProtection="true">
      <alignment horizontal="right" vertical="bottom" textRotation="0" wrapText="false" indent="0" shrinkToFit="false"/>
      <protection locked="true" hidden="false"/>
    </xf>
    <xf numFmtId="289" fontId="27" fillId="0" borderId="0" applyFont="true" applyBorder="true" applyAlignment="true" applyProtection="true">
      <alignment horizontal="right" vertical="bottom" textRotation="0" wrapText="false" indent="0" shrinkToFit="false"/>
      <protection locked="true" hidden="false"/>
    </xf>
    <xf numFmtId="197" fontId="36" fillId="0" borderId="38" applyFont="true" applyBorder="true" applyAlignment="true" applyProtection="true">
      <alignment horizontal="right" vertical="bottom" textRotation="0" wrapText="false" indent="0" shrinkToFit="false"/>
      <protection locked="true" hidden="false"/>
    </xf>
    <xf numFmtId="173" fontId="11" fillId="0" borderId="0" applyFont="true" applyBorder="true" applyAlignment="true" applyProtection="true">
      <alignment horizontal="general" vertical="bottom" textRotation="0" wrapText="false" indent="0" shrinkToFit="false"/>
      <protection locked="true" hidden="false"/>
    </xf>
    <xf numFmtId="290" fontId="11" fillId="0" borderId="19"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53" fillId="28"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96" fontId="36" fillId="0" borderId="0" applyFont="true" applyBorder="true" applyAlignment="true" applyProtection="true">
      <alignment horizontal="general" vertical="bottom" textRotation="0" wrapText="false" indent="0" shrinkToFit="false"/>
      <protection locked="true" hidden="false"/>
    </xf>
    <xf numFmtId="164" fontId="155" fillId="26" borderId="51" applyFont="true" applyBorder="true" applyAlignment="true" applyProtection="true">
      <alignment horizontal="left" vertical="center" textRotation="0" wrapText="false" indent="0" shrinkToFit="false"/>
      <protection locked="true" hidden="false"/>
    </xf>
    <xf numFmtId="196" fontId="156" fillId="0" borderId="52" applyFont="true" applyBorder="true" applyAlignment="true" applyProtection="true">
      <alignment horizontal="general" vertical="bottom" textRotation="0" wrapText="false" indent="0" shrinkToFit="false"/>
      <protection locked="true" hidden="false"/>
    </xf>
    <xf numFmtId="164" fontId="127" fillId="0" borderId="0" applyFont="true" applyBorder="true" applyAlignment="true" applyProtection="true">
      <alignment horizontal="general" vertical="bottom" textRotation="0" wrapText="false" indent="0" shrinkToFit="false"/>
      <protection locked="true" hidden="false"/>
    </xf>
    <xf numFmtId="164" fontId="43" fillId="0" borderId="0" applyFont="true" applyBorder="true" applyAlignment="true" applyProtection="true">
      <alignment horizontal="general" vertical="bottom" textRotation="0" wrapText="false" indent="0" shrinkToFit="false"/>
      <protection locked="true" hidden="false"/>
    </xf>
    <xf numFmtId="224" fontId="128" fillId="17" borderId="53" applyFont="true" applyBorder="true" applyAlignment="true" applyProtection="true">
      <alignment horizontal="center"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157" fillId="24" borderId="0" applyFont="true" applyBorder="true" applyAlignment="true" applyProtection="true">
      <alignment horizontal="center" vertical="bottom" textRotation="0" wrapText="false" indent="0" shrinkToFit="false"/>
      <protection locked="false" hidden="false"/>
    </xf>
    <xf numFmtId="164" fontId="55" fillId="27" borderId="0" applyFont="true" applyBorder="true" applyAlignment="true" applyProtection="true">
      <alignment horizontal="center" vertical="bottom" textRotation="0" wrapText="false" indent="0" shrinkToFit="false"/>
      <protection locked="false" hidden="false"/>
    </xf>
    <xf numFmtId="164" fontId="158" fillId="27" borderId="0" applyFont="true" applyBorder="true" applyAlignment="true" applyProtection="true">
      <alignment horizontal="center" vertical="bottom" textRotation="0" wrapText="false" indent="0" shrinkToFit="false"/>
      <protection locked="false" hidden="false"/>
    </xf>
    <xf numFmtId="164" fontId="158" fillId="27" borderId="0" applyFont="true" applyBorder="true" applyAlignment="true" applyProtection="true">
      <alignment horizontal="center" vertical="bottom" textRotation="0" wrapText="false" indent="0" shrinkToFit="false"/>
      <protection locked="false" hidden="false"/>
    </xf>
    <xf numFmtId="164" fontId="23"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left" vertical="bottom" textRotation="0" wrapText="false" indent="0" shrinkToFit="false"/>
      <protection locked="false" hidden="false"/>
    </xf>
    <xf numFmtId="164" fontId="160" fillId="27" borderId="0" applyFont="true" applyBorder="true" applyAlignment="true" applyProtection="true">
      <alignment horizontal="general" vertical="bottom" textRotation="0" wrapText="false" indent="0" shrinkToFit="false"/>
      <protection locked="fals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60" fillId="0" borderId="0" applyFont="true" applyBorder="true" applyAlignment="true" applyProtection="true">
      <alignment horizontal="general" vertical="bottom" textRotation="0" wrapText="false" indent="0" shrinkToFit="false"/>
      <protection locked="true" hidden="false"/>
    </xf>
    <xf numFmtId="164" fontId="0" fillId="0" borderId="18" applyFont="true" applyBorder="true" applyAlignment="true" applyProtection="true">
      <alignment horizontal="general" vertical="bottom" textRotation="0" wrapText="false" indent="0" shrinkToFit="false"/>
      <protection locked="true" hidden="false"/>
    </xf>
    <xf numFmtId="164" fontId="0" fillId="0" borderId="18"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61" fillId="0" borderId="54" applyFont="true" applyBorder="true" applyAlignment="true" applyProtection="true">
      <alignment horizontal="general" vertical="bottom" textRotation="0" wrapText="false" indent="0" shrinkToFit="false"/>
      <protection locked="tru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32"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27" borderId="0" applyFont="true" applyBorder="true" applyAlignment="true" applyProtection="true">
      <alignment horizontal="general" vertical="bottom" textRotation="0" wrapText="false" indent="0" shrinkToFit="false"/>
      <protection locked="false" hidden="false"/>
    </xf>
    <xf numFmtId="164" fontId="159" fillId="35" borderId="0" applyFont="true" applyBorder="true" applyAlignment="true" applyProtection="true">
      <alignment horizontal="general" vertical="top" textRotation="0" wrapText="false" indent="0" shrinkToFit="false"/>
      <protection locked="false" hidden="false"/>
    </xf>
    <xf numFmtId="164" fontId="162" fillId="36" borderId="0" applyFont="true" applyBorder="true" applyAlignment="true" applyProtection="true">
      <alignment horizontal="general" vertical="bottom" textRotation="0" wrapText="false" indent="0" shrinkToFit="false"/>
      <protection locked="false" hidden="false"/>
    </xf>
    <xf numFmtId="164" fontId="70" fillId="0" borderId="33" applyFont="true" applyBorder="true" applyAlignment="true" applyProtection="true">
      <alignment horizontal="general" vertical="bottom" textRotation="0" wrapText="false" indent="0" shrinkToFit="false"/>
      <protection locked="true" hidden="false"/>
    </xf>
    <xf numFmtId="164" fontId="68" fillId="0" borderId="23" applyFont="true" applyBorder="true" applyAlignment="true" applyProtection="true">
      <alignment horizontal="general" vertical="bottom" textRotation="0" wrapText="false" indent="0" shrinkToFit="false"/>
      <protection locked="true" hidden="false"/>
    </xf>
    <xf numFmtId="164" fontId="68" fillId="0" borderId="15" applyFont="true" applyBorder="true" applyAlignment="true" applyProtection="true">
      <alignment horizontal="general" vertical="bottom" textRotation="0" wrapText="false" indent="0" shrinkToFit="false"/>
      <protection locked="true" hidden="false"/>
    </xf>
    <xf numFmtId="291" fontId="117" fillId="0" borderId="0" applyFont="true" applyBorder="true" applyAlignment="true" applyProtection="true">
      <alignment horizontal="center" vertical="center" textRotation="0" wrapText="false" indent="0" shrinkToFit="false"/>
      <protection locked="true" hidden="false"/>
    </xf>
    <xf numFmtId="164" fontId="104" fillId="0" borderId="0" applyFont="true" applyBorder="true" applyAlignment="true" applyProtection="true">
      <alignment horizontal="left" vertical="center" textRotation="0" wrapText="false" indent="0" shrinkToFit="false"/>
      <protection locked="true" hidden="false"/>
    </xf>
    <xf numFmtId="292" fontId="11" fillId="0" borderId="0" applyFont="true" applyBorder="true" applyAlignment="true" applyProtection="true">
      <alignment horizontal="right" vertical="bottom" textRotation="0" wrapText="false" indent="0" shrinkToFit="false"/>
      <protection locked="true" hidden="false"/>
    </xf>
    <xf numFmtId="164" fontId="154" fillId="0" borderId="0" applyFont="true" applyBorder="true" applyAlignment="true" applyProtection="true">
      <alignment horizontal="general" vertical="bottom" textRotation="0" wrapText="false" indent="0" shrinkToFit="false"/>
      <protection locked="true" hidden="false"/>
    </xf>
    <xf numFmtId="164" fontId="85" fillId="0" borderId="24" applyFont="true" applyBorder="true" applyAlignment="true" applyProtection="true">
      <alignment horizontal="general" vertical="bottom" textRotation="0" wrapText="false" indent="0" shrinkToFit="false"/>
      <protection locked="true" hidden="false"/>
    </xf>
    <xf numFmtId="164" fontId="86" fillId="0" borderId="25" applyFont="true" applyBorder="true" applyAlignment="true" applyProtection="true">
      <alignment horizontal="general" vertical="bottom" textRotation="0" wrapText="false" indent="0" shrinkToFit="false"/>
      <protection locked="true" hidden="false"/>
    </xf>
    <xf numFmtId="164" fontId="60" fillId="0" borderId="26" applyFont="true" applyBorder="true" applyAlignment="true" applyProtection="true">
      <alignment horizontal="general" vertical="bottom" textRotation="0" wrapText="false" indent="0" shrinkToFit="false"/>
      <protection locked="true" hidden="false"/>
    </xf>
    <xf numFmtId="164" fontId="17" fillId="37" borderId="15" applyFont="true" applyBorder="true" applyAlignment="true" applyProtection="true">
      <alignment horizontal="general" vertical="bottom" textRotation="0" wrapText="false" indent="0" shrinkToFit="false"/>
      <protection locked="true" hidden="false"/>
    </xf>
    <xf numFmtId="279" fontId="163" fillId="0" borderId="0" applyFont="true" applyBorder="true" applyAlignment="true" applyProtection="true">
      <alignment horizontal="general" vertical="bottom" textRotation="0" wrapText="false" indent="0" shrinkToFit="false"/>
      <protection locked="true" hidden="false"/>
    </xf>
    <xf numFmtId="164" fontId="164" fillId="0" borderId="0" applyFont="true" applyBorder="true" applyAlignment="true" applyProtection="true">
      <alignment horizontal="general" vertical="top" textRotation="0" wrapText="false" indent="0" shrinkToFit="false"/>
      <protection locked="true" hidden="false"/>
    </xf>
    <xf numFmtId="164" fontId="165" fillId="0" borderId="0" applyFont="true" applyBorder="true" applyAlignment="true" applyProtection="true">
      <alignment horizontal="general" vertical="bottom" textRotation="0" wrapText="false" indent="0" shrinkToFit="false"/>
      <protection locked="true" hidden="false"/>
    </xf>
    <xf numFmtId="293" fontId="0" fillId="0" borderId="0" applyFont="true" applyBorder="true" applyAlignment="true" applyProtection="true">
      <alignment horizontal="general" vertical="bottom" textRotation="0" wrapText="false" indent="0" shrinkToFit="false"/>
      <protection locked="true" hidden="false"/>
    </xf>
    <xf numFmtId="294" fontId="0" fillId="0" borderId="0" applyFont="true" applyBorder="true" applyAlignment="true" applyProtection="true">
      <alignment horizontal="general" vertical="bottom" textRotation="0" wrapText="false" indent="0" shrinkToFit="false"/>
      <protection locked="true" hidden="false"/>
    </xf>
    <xf numFmtId="164" fontId="100" fillId="6" borderId="55" applyFont="true" applyBorder="true" applyAlignment="true" applyProtection="true">
      <alignment horizontal="left" vertical="bottom" textRotation="0" wrapText="false" indent="0" shrinkToFit="false"/>
      <protection locked="true" hidden="false"/>
    </xf>
    <xf numFmtId="164" fontId="100" fillId="6" borderId="55" applyFont="true" applyBorder="true" applyAlignment="true" applyProtection="true">
      <alignment horizontal="left" vertical="bottom" textRotation="0" wrapText="false" indent="0" shrinkToFit="false"/>
      <protection locked="true" hidden="false"/>
    </xf>
    <xf numFmtId="205" fontId="31" fillId="0" borderId="0" applyFont="true" applyBorder="true" applyAlignment="true" applyProtection="true">
      <alignment horizontal="general" vertical="bottom" textRotation="0" wrapText="false" indent="0" shrinkToFit="false"/>
      <protection locked="true" hidden="false"/>
    </xf>
    <xf numFmtId="205" fontId="36" fillId="0" borderId="0" applyFont="true" applyBorder="true" applyAlignment="true" applyProtection="true">
      <alignment horizontal="general" vertical="bottom" textRotation="0" wrapText="false" indent="0" shrinkToFit="false"/>
      <protection locked="true" hidden="false"/>
    </xf>
    <xf numFmtId="205" fontId="31" fillId="0" borderId="0" applyFont="true" applyBorder="true" applyAlignment="true" applyProtection="true">
      <alignment horizontal="general" vertical="bottom" textRotation="0" wrapText="false" indent="0" shrinkToFit="false"/>
      <protection locked="true" hidden="false"/>
    </xf>
    <xf numFmtId="164" fontId="166" fillId="0" borderId="0" applyFont="true" applyBorder="true" applyAlignment="true" applyProtection="true">
      <alignment horizontal="right" vertical="bottom" textRotation="0" wrapText="false" indent="0" shrinkToFit="false"/>
      <protection locked="true" hidden="false"/>
    </xf>
    <xf numFmtId="164" fontId="37" fillId="23" borderId="9"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64" fontId="29" fillId="0" borderId="0" applyFont="true" applyBorder="true" applyAlignment="true" applyProtection="true">
      <alignment horizontal="general" vertical="bottom" textRotation="0" wrapText="false" indent="0" shrinkToFit="false"/>
      <protection locked="true" hidden="false"/>
    </xf>
    <xf numFmtId="197" fontId="31" fillId="0" borderId="0" applyFont="true" applyBorder="true" applyAlignment="true" applyProtection="true">
      <alignment horizontal="general" vertical="bottom" textRotation="0" wrapText="false" indent="0" shrinkToFit="false"/>
      <protection locked="true" hidden="false"/>
    </xf>
    <xf numFmtId="164" fontId="167" fillId="0" borderId="7" applyFont="true" applyBorder="true" applyAlignment="true" applyProtection="true">
      <alignment horizontal="general" vertical="bottom" textRotation="0" wrapText="false" indent="0" shrinkToFit="false"/>
      <protection locked="true" hidden="false"/>
    </xf>
    <xf numFmtId="164" fontId="168" fillId="0" borderId="7" applyFont="true" applyBorder="true" applyAlignment="true" applyProtection="true">
      <alignment horizontal="general" vertical="bottom" textRotation="0" wrapText="false" indent="0" shrinkToFit="false"/>
      <protection locked="true" hidden="false"/>
    </xf>
    <xf numFmtId="164" fontId="169" fillId="0" borderId="7" applyFont="true" applyBorder="true" applyAlignment="true" applyProtection="true">
      <alignment horizontal="general" vertical="bottom" textRotation="0" wrapText="false" indent="0" shrinkToFit="false"/>
      <protection locked="true" hidden="false"/>
    </xf>
    <xf numFmtId="295" fontId="0" fillId="0" borderId="0" applyFont="true" applyBorder="true" applyAlignment="true" applyProtection="true">
      <alignment horizontal="general" vertical="bottom" textRotation="0" wrapText="false" indent="0" shrinkToFit="false"/>
      <protection locked="true" hidden="false"/>
    </xf>
    <xf numFmtId="296" fontId="56" fillId="0" borderId="0" applyFont="true" applyBorder="true" applyAlignment="true" applyProtection="true">
      <alignment horizontal="general" vertical="bottom" textRotation="0" wrapText="false" indent="0" shrinkToFit="false"/>
      <protection locked="true" hidden="false"/>
    </xf>
    <xf numFmtId="261" fontId="6"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right" vertical="bottom" textRotation="0" wrapText="false" indent="0" shrinkToFit="false"/>
      <protection locked="true" hidden="false"/>
    </xf>
    <xf numFmtId="164" fontId="10" fillId="0" borderId="0" applyFont="true" applyBorder="true" applyAlignment="true" applyProtection="true">
      <alignment horizontal="right" vertical="bottom" textRotation="0" wrapText="false" indent="0" shrinkToFit="false"/>
      <protection locked="true" hidden="false"/>
    </xf>
    <xf numFmtId="164" fontId="99" fillId="0" borderId="0" applyFont="true" applyBorder="true" applyAlignment="true" applyProtection="true">
      <alignment horizontal="left" vertical="bottom" textRotation="0" wrapText="false" indent="0" shrinkToFit="false"/>
      <protection locked="true" hidden="false"/>
    </xf>
    <xf numFmtId="197" fontId="0" fillId="0" borderId="0" applyFont="true" applyBorder="true" applyAlignment="true" applyProtection="true">
      <alignment horizontal="general" vertical="bottom" textRotation="0" wrapText="false" indent="0" shrinkToFit="false"/>
      <protection locked="true" hidden="false"/>
    </xf>
    <xf numFmtId="297" fontId="0" fillId="0" borderId="0" applyFont="true" applyBorder="true" applyAlignment="true" applyProtection="true">
      <alignment horizontal="general" vertical="bottom" textRotation="0" wrapText="false" indent="0" shrinkToFit="false"/>
      <protection locked="true" hidden="false"/>
    </xf>
    <xf numFmtId="164" fontId="170" fillId="0" borderId="0" applyFont="true" applyBorder="true" applyAlignment="true" applyProtection="true">
      <alignment horizontal="general" vertical="bottom" textRotation="0" wrapText="false" indent="0" shrinkToFit="false"/>
      <protection locked="true" hidden="false"/>
    </xf>
    <xf numFmtId="298" fontId="16" fillId="0" borderId="0" applyFont="true" applyBorder="true" applyAlignment="true" applyProtection="true">
      <alignment horizontal="general" vertical="bottom" textRotation="0" wrapText="false" indent="0" shrinkToFit="false"/>
      <protection locked="fals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17" borderId="0" applyFont="true" applyBorder="true" applyAlignment="true" applyProtection="true">
      <alignment horizontal="general" vertical="bottom" textRotation="0" wrapText="false" indent="0" shrinkToFit="false"/>
      <protection locked="true" hidden="false"/>
    </xf>
    <xf numFmtId="164" fontId="13" fillId="18" borderId="0" applyFont="true" applyBorder="true" applyAlignment="true" applyProtection="true">
      <alignment horizontal="general" vertical="bottom" textRotation="0" wrapText="false" indent="0" shrinkToFit="false"/>
      <protection locked="true" hidden="false"/>
    </xf>
    <xf numFmtId="164" fontId="13" fillId="19" borderId="0" applyFont="true" applyBorder="true" applyAlignment="true" applyProtection="true">
      <alignment horizontal="general" vertical="bottom" textRotation="0" wrapText="false" indent="0" shrinkToFit="false"/>
      <protection locked="true" hidden="false"/>
    </xf>
    <xf numFmtId="164" fontId="13" fillId="13" borderId="0" applyFont="true" applyBorder="true" applyAlignment="true" applyProtection="true">
      <alignment horizontal="general" vertical="bottom" textRotation="0" wrapText="false" indent="0" shrinkToFit="false"/>
      <protection locked="true" hidden="false"/>
    </xf>
    <xf numFmtId="164" fontId="13" fillId="14" borderId="0" applyFont="true" applyBorder="true" applyAlignment="true" applyProtection="true">
      <alignment horizontal="general" vertical="bottom" textRotation="0" wrapText="false" indent="0" shrinkToFit="false"/>
      <protection locked="true" hidden="false"/>
    </xf>
    <xf numFmtId="164" fontId="13" fillId="20" borderId="0" applyFont="true" applyBorder="true" applyAlignment="true" applyProtection="true">
      <alignment horizontal="general" vertical="bottom" textRotation="0" wrapText="false" indent="0" shrinkToFit="false"/>
      <protection locked="true" hidden="false"/>
    </xf>
    <xf numFmtId="299" fontId="0" fillId="0" borderId="0" applyFont="true" applyBorder="true" applyAlignment="true" applyProtection="true">
      <alignment horizontal="general" vertical="bottom" textRotation="0" wrapText="false" indent="0" shrinkToFit="false"/>
      <protection locked="true" hidden="false"/>
    </xf>
    <xf numFmtId="299"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224" fontId="134"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true" applyAlignment="true" applyProtection="true">
      <alignment horizontal="general" vertical="bottom" textRotation="0" wrapText="false" indent="0" shrinkToFit="false"/>
      <protection locked="true" hidden="false"/>
    </xf>
    <xf numFmtId="164" fontId="171" fillId="0" borderId="0" applyFont="true" applyBorder="true" applyAlignment="true" applyProtection="true">
      <alignment horizontal="general" vertical="bottom" textRotation="0" wrapText="false" indent="0" shrinkToFit="false"/>
      <protection locked="true" hidden="false"/>
    </xf>
    <xf numFmtId="164" fontId="171" fillId="0" borderId="0" applyFont="true" applyBorder="true" applyAlignment="true" applyProtection="true">
      <alignment horizontal="general" vertical="bottom" textRotation="0" wrapText="false" indent="0" shrinkToFit="false"/>
      <protection locked="true" hidden="false"/>
    </xf>
    <xf numFmtId="164" fontId="172" fillId="24" borderId="0" applyFont="true" applyBorder="true" applyAlignment="true" applyProtection="true">
      <alignment horizontal="general" vertical="bottom" textRotation="0" wrapText="false" indent="0" shrinkToFit="false"/>
      <protection locked="false" hidden="false"/>
    </xf>
    <xf numFmtId="164" fontId="171" fillId="0" borderId="0" applyFont="true" applyBorder="true" applyAlignment="true" applyProtection="true">
      <alignment horizontal="general" vertical="bottom" textRotation="0" wrapText="false" indent="0" shrinkToFit="false"/>
      <protection locked="true" hidden="false"/>
    </xf>
    <xf numFmtId="164" fontId="173" fillId="0" borderId="0" applyFont="true" applyBorder="true" applyAlignment="true" applyProtection="true">
      <alignment horizontal="general" vertical="bottom" textRotation="0" wrapText="false" indent="0" shrinkToFit="false"/>
      <protection locked="false" hidden="false"/>
    </xf>
    <xf numFmtId="273" fontId="87"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224" fontId="134" fillId="0" borderId="0" applyFont="true" applyBorder="true" applyAlignment="true" applyProtection="true">
      <alignment horizontal="general" vertical="bottom" textRotation="0" wrapText="false" indent="0" shrinkToFit="false"/>
      <protection locked="true" hidden="false"/>
    </xf>
    <xf numFmtId="205" fontId="174" fillId="0" borderId="0" applyFont="true" applyBorder="true" applyAlignment="true" applyProtection="true">
      <alignment horizontal="general" vertical="bottom" textRotation="0" wrapText="false" indent="0" shrinkToFit="false"/>
      <protection locked="true" hidden="false"/>
    </xf>
    <xf numFmtId="164" fontId="174" fillId="0" borderId="0" applyFont="true" applyBorder="true" applyAlignment="true" applyProtection="true">
      <alignment horizontal="general" vertical="bottom" textRotation="0" wrapText="false" indent="0" shrinkToFit="false"/>
      <protection locked="true" hidden="false"/>
    </xf>
    <xf numFmtId="176" fontId="174" fillId="0" borderId="0" applyFont="true" applyBorder="true" applyAlignment="true" applyProtection="true">
      <alignment horizontal="general" vertical="bottom" textRotation="0" wrapText="false" indent="0" shrinkToFit="false"/>
      <protection locked="true" hidden="false"/>
    </xf>
    <xf numFmtId="175" fontId="174" fillId="0" borderId="0" applyFont="true" applyBorder="true" applyAlignment="true" applyProtection="true">
      <alignment horizontal="general" vertical="bottom" textRotation="0" wrapText="false" indent="0" shrinkToFit="false"/>
      <protection locked="true" hidden="false"/>
    </xf>
  </cellStyleXfs>
  <cellXfs count="346">
    <xf numFmtId="164" fontId="0" fillId="0" borderId="0" xfId="0" applyFont="false" applyBorder="false" applyAlignment="false" applyProtection="false">
      <alignment horizontal="general" vertical="bottom" textRotation="0" wrapText="false" indent="0" shrinkToFit="false"/>
      <protection locked="true" hidden="false"/>
    </xf>
    <xf numFmtId="164" fontId="175" fillId="0" borderId="0" xfId="0" applyFont="true" applyBorder="false" applyAlignment="false" applyProtection="false">
      <alignment horizontal="general" vertical="bottom" textRotation="0" wrapText="false" indent="0" shrinkToFit="false"/>
      <protection locked="true" hidden="false"/>
    </xf>
    <xf numFmtId="164" fontId="176" fillId="0" borderId="0" xfId="0" applyFont="true" applyBorder="false" applyAlignment="false" applyProtection="false">
      <alignment horizontal="general" vertical="bottom" textRotation="0" wrapText="false" indent="0" shrinkToFit="false"/>
      <protection locked="true" hidden="false"/>
    </xf>
    <xf numFmtId="164" fontId="177" fillId="38" borderId="0" xfId="0" applyFont="true" applyBorder="false" applyAlignment="false" applyProtection="false">
      <alignment horizontal="general" vertical="bottom" textRotation="0" wrapText="false" indent="0" shrinkToFit="false"/>
      <protection locked="true" hidden="false"/>
    </xf>
    <xf numFmtId="164" fontId="0" fillId="38" borderId="0" xfId="0" applyFont="false" applyBorder="false" applyAlignment="false" applyProtection="false">
      <alignment horizontal="general" vertical="bottom" textRotation="0" wrapText="false" indent="0" shrinkToFit="false"/>
      <protection locked="true" hidden="false"/>
    </xf>
    <xf numFmtId="164" fontId="178"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78" fillId="39" borderId="0" xfId="0" applyFont="true" applyBorder="false" applyAlignment="true" applyProtection="false">
      <alignment horizontal="center" vertical="bottom" textRotation="0" wrapText="false" indent="0" shrinkToFit="false"/>
      <protection locked="true" hidden="false"/>
    </xf>
    <xf numFmtId="164" fontId="179" fillId="0" borderId="0" xfId="0" applyFont="true" applyBorder="false" applyAlignment="true" applyProtection="false">
      <alignment horizontal="center" vertical="bottom" textRotation="0" wrapText="false" indent="0" shrinkToFit="false"/>
      <protection locked="true" hidden="false"/>
    </xf>
    <xf numFmtId="164" fontId="179" fillId="39" borderId="0" xfId="0" applyFont="true" applyBorder="false" applyAlignment="true" applyProtection="false">
      <alignment horizontal="center" vertical="bottom" textRotation="0" wrapText="false" indent="0" shrinkToFit="false"/>
      <protection locked="true" hidden="false"/>
    </xf>
    <xf numFmtId="164" fontId="180" fillId="0" borderId="0" xfId="0" applyFont="true" applyBorder="false" applyAlignment="true" applyProtection="false">
      <alignment horizontal="center" vertical="bottom" textRotation="0" wrapText="false" indent="0" shrinkToFit="false"/>
      <protection locked="true" hidden="false"/>
    </xf>
    <xf numFmtId="164" fontId="181" fillId="39" borderId="0" xfId="0" applyFont="true" applyBorder="false" applyAlignment="true" applyProtection="false">
      <alignment horizontal="center" vertical="bottom" textRotation="0" wrapText="false" indent="0" shrinkToFit="false"/>
      <protection locked="true" hidden="false"/>
    </xf>
    <xf numFmtId="164" fontId="182" fillId="0" borderId="0" xfId="0" applyFont="true" applyBorder="false" applyAlignment="false" applyProtection="false">
      <alignment horizontal="general" vertical="bottom" textRotation="0" wrapText="false" indent="0" shrinkToFit="false"/>
      <protection locked="true" hidden="false"/>
    </xf>
    <xf numFmtId="164" fontId="183" fillId="0" borderId="0" xfId="0" applyFont="true" applyBorder="false" applyAlignment="false" applyProtection="false">
      <alignment horizontal="general" vertical="bottom" textRotation="0" wrapText="false" indent="0" shrinkToFit="false"/>
      <protection locked="true" hidden="false"/>
    </xf>
    <xf numFmtId="300" fontId="0" fillId="0" borderId="0" xfId="0" applyFont="false" applyBorder="false" applyAlignment="false" applyProtection="false">
      <alignment horizontal="general" vertical="bottom" textRotation="0" wrapText="false" indent="0" shrinkToFit="false"/>
      <protection locked="true" hidden="false"/>
    </xf>
    <xf numFmtId="300" fontId="0" fillId="39" borderId="0" xfId="0" applyFont="false" applyBorder="false" applyAlignment="false" applyProtection="false">
      <alignment horizontal="general" vertical="bottom" textRotation="0" wrapText="false" indent="0" shrinkToFit="false"/>
      <protection locked="true" hidden="false"/>
    </xf>
    <xf numFmtId="164" fontId="183" fillId="0" borderId="0" xfId="0" applyFont="true" applyBorder="false" applyAlignment="true" applyProtection="false">
      <alignment horizontal="general" vertical="top" textRotation="0" wrapText="true" indent="0" shrinkToFit="false"/>
      <protection locked="true" hidden="false"/>
    </xf>
    <xf numFmtId="164" fontId="182" fillId="40" borderId="56" xfId="0" applyFont="true" applyBorder="true" applyAlignment="false" applyProtection="false">
      <alignment horizontal="general" vertical="bottom" textRotation="0" wrapText="false" indent="0" shrinkToFit="false"/>
      <protection locked="true" hidden="false"/>
    </xf>
    <xf numFmtId="217"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82" fillId="40" borderId="0" xfId="0" applyFont="true" applyBorder="false" applyAlignment="false" applyProtection="false">
      <alignment horizontal="general" vertical="bottom" textRotation="0" wrapText="false" indent="0" shrinkToFit="false"/>
      <protection locked="true" hidden="false"/>
    </xf>
    <xf numFmtId="164" fontId="182" fillId="40" borderId="0" xfId="0" applyFont="true" applyBorder="true" applyAlignment="true" applyProtection="false">
      <alignment horizontal="center" vertical="bottom" textRotation="0" wrapText="false" indent="0" shrinkToFit="false"/>
      <protection locked="true" hidden="false"/>
    </xf>
    <xf numFmtId="164" fontId="0" fillId="40" borderId="56" xfId="0" applyFont="false" applyBorder="true" applyAlignment="false" applyProtection="false">
      <alignment horizontal="general" vertical="bottom" textRotation="0" wrapText="false" indent="0" shrinkToFit="false"/>
      <protection locked="true" hidden="false"/>
    </xf>
    <xf numFmtId="164" fontId="182" fillId="40" borderId="56" xfId="0" applyFont="true" applyBorder="true" applyAlignment="true" applyProtection="false">
      <alignment horizontal="center" vertical="bottom" textRotation="0" wrapText="false" indent="0" shrinkToFit="false"/>
      <protection locked="true" hidden="false"/>
    </xf>
    <xf numFmtId="300" fontId="180" fillId="0" borderId="0" xfId="0" applyFont="true" applyBorder="false" applyAlignment="false" applyProtection="false">
      <alignment horizontal="general" vertical="bottom" textRotation="0" wrapText="false" indent="0" shrinkToFit="false"/>
      <protection locked="true" hidden="false"/>
    </xf>
    <xf numFmtId="301" fontId="179" fillId="0" borderId="0" xfId="0" applyFont="true" applyBorder="false" applyAlignment="false" applyProtection="false">
      <alignment horizontal="general" vertical="bottom" textRotation="0" wrapText="false" indent="0" shrinkToFit="false"/>
      <protection locked="true" hidden="false"/>
    </xf>
    <xf numFmtId="302" fontId="180" fillId="0" borderId="0" xfId="0" applyFont="true" applyBorder="false" applyAlignment="false" applyProtection="false">
      <alignment horizontal="general" vertical="bottom" textRotation="0" wrapText="false" indent="0" shrinkToFit="false"/>
      <protection locked="true" hidden="false"/>
    </xf>
    <xf numFmtId="303" fontId="179" fillId="0" borderId="0" xfId="0" applyFont="true" applyBorder="false" applyAlignment="false" applyProtection="false">
      <alignment horizontal="general" vertical="bottom" textRotation="0" wrapText="false" indent="0" shrinkToFit="false"/>
      <protection locked="true" hidden="false"/>
    </xf>
    <xf numFmtId="164" fontId="183"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9" fontId="179" fillId="0" borderId="0" xfId="0" applyFont="true" applyBorder="false" applyAlignment="true" applyProtection="false">
      <alignment horizontal="general" vertical="bottom" textRotation="0" wrapText="false" indent="0" shrinkToFit="false"/>
      <protection locked="true" hidden="false"/>
    </xf>
    <xf numFmtId="169" fontId="179" fillId="39" borderId="0" xfId="0" applyFont="true" applyBorder="false" applyAlignment="true" applyProtection="false">
      <alignment horizontal="general" vertical="bottom" textRotation="0" wrapText="false" indent="0" shrinkToFit="false"/>
      <protection locked="true" hidden="false"/>
    </xf>
    <xf numFmtId="164" fontId="182" fillId="0" borderId="0" xfId="0" applyFont="true" applyBorder="false" applyAlignment="true" applyProtection="false">
      <alignment horizontal="center" vertical="bottom" textRotation="0" wrapText="false" indent="0" shrinkToFit="false"/>
      <protection locked="true" hidden="false"/>
    </xf>
    <xf numFmtId="169" fontId="184" fillId="0" borderId="0" xfId="0" applyFont="true" applyBorder="false" applyAlignment="true" applyProtection="false">
      <alignment horizontal="general" vertical="bottom" textRotation="0" wrapText="false" indent="0" shrinkToFit="false"/>
      <protection locked="true" hidden="false"/>
    </xf>
    <xf numFmtId="169" fontId="185" fillId="0" borderId="0" xfId="0" applyFont="true" applyBorder="false" applyAlignment="true" applyProtection="false">
      <alignment horizontal="general" vertical="bottom" textRotation="0" wrapText="false" indent="0" shrinkToFit="false"/>
      <protection locked="true" hidden="false"/>
    </xf>
    <xf numFmtId="304" fontId="0" fillId="0" borderId="0" xfId="0" applyFont="false" applyBorder="false" applyAlignment="true" applyProtection="false">
      <alignment horizontal="general" vertical="bottom" textRotation="0" wrapText="false" indent="0" shrinkToFit="false"/>
      <protection locked="true" hidden="false"/>
    </xf>
    <xf numFmtId="304" fontId="178" fillId="0" borderId="0" xfId="0" applyFont="true" applyBorder="false" applyAlignment="true" applyProtection="false">
      <alignment horizontal="general" vertical="bottom" textRotation="0" wrapText="false" indent="0" shrinkToFit="false"/>
      <protection locked="true" hidden="false"/>
    </xf>
    <xf numFmtId="164" fontId="177" fillId="38" borderId="0" xfId="0" applyFont="true" applyBorder="false" applyAlignment="true" applyProtection="false">
      <alignment horizontal="general" vertical="bottom" textRotation="0" wrapText="false" indent="0" shrinkToFit="false"/>
      <protection locked="true" hidden="false"/>
    </xf>
    <xf numFmtId="304" fontId="0" fillId="38" borderId="0" xfId="0" applyFont="false" applyBorder="false" applyAlignment="true" applyProtection="false">
      <alignment horizontal="general" vertical="bottom" textRotation="0" wrapText="false" indent="0" shrinkToFit="false"/>
      <protection locked="true" hidden="false"/>
    </xf>
    <xf numFmtId="164" fontId="183" fillId="38" borderId="0" xfId="0" applyFont="true" applyBorder="false" applyAlignment="true" applyProtection="false">
      <alignment horizontal="center" vertical="bottom" textRotation="0" wrapText="false" indent="0" shrinkToFit="false"/>
      <protection locked="true" hidden="false"/>
    </xf>
    <xf numFmtId="304" fontId="184" fillId="38" borderId="0" xfId="0" applyFont="true" applyBorder="false" applyAlignment="true" applyProtection="false">
      <alignment horizontal="general" vertical="bottom" textRotation="0" wrapText="false" indent="0" shrinkToFit="false"/>
      <protection locked="true" hidden="false"/>
    </xf>
    <xf numFmtId="304" fontId="185" fillId="38" borderId="0" xfId="0" applyFont="true" applyBorder="false" applyAlignment="true" applyProtection="false">
      <alignment horizontal="general" vertical="bottom" textRotation="0" wrapText="false" indent="0" shrinkToFit="false"/>
      <protection locked="true" hidden="false"/>
    </xf>
    <xf numFmtId="305" fontId="0" fillId="0" borderId="0" xfId="0" applyFont="false" applyBorder="false" applyAlignment="true" applyProtection="false">
      <alignment horizontal="general" vertical="bottom" textRotation="0" wrapText="false" indent="0" shrinkToFit="false"/>
      <protection locked="true" hidden="false"/>
    </xf>
    <xf numFmtId="305" fontId="178" fillId="39" borderId="0" xfId="0" applyFont="true" applyBorder="false" applyAlignment="true" applyProtection="false">
      <alignment horizontal="general" vertical="bottom" textRotation="0" wrapText="false" indent="0" shrinkToFit="false"/>
      <protection locked="true" hidden="false"/>
    </xf>
    <xf numFmtId="169" fontId="0" fillId="38" borderId="0" xfId="0" applyFont="false" applyBorder="false" applyAlignment="true" applyProtection="false">
      <alignment horizontal="general" vertical="bottom" textRotation="0" wrapText="false" indent="0" shrinkToFit="false"/>
      <protection locked="true" hidden="false"/>
    </xf>
    <xf numFmtId="169" fontId="179" fillId="38" borderId="0" xfId="0" applyFont="true" applyBorder="false" applyAlignment="true" applyProtection="false">
      <alignment horizontal="general" vertical="bottom" textRotation="0" wrapText="false" indent="0" shrinkToFit="false"/>
      <protection locked="true" hidden="false"/>
    </xf>
    <xf numFmtId="164" fontId="182" fillId="0" borderId="0" xfId="0" applyFont="true" applyBorder="false" applyAlignment="true" applyProtection="false">
      <alignment horizontal="general" vertical="bottom" textRotation="0" wrapText="false" indent="0" shrinkToFit="false"/>
      <protection locked="true" hidden="false"/>
    </xf>
    <xf numFmtId="305" fontId="185" fillId="0" borderId="0" xfId="0" applyFont="true" applyBorder="false" applyAlignment="true" applyProtection="false">
      <alignment horizontal="general" vertical="bottom" textRotation="0" wrapText="false" indent="0" shrinkToFit="false"/>
      <protection locked="true" hidden="false"/>
    </xf>
    <xf numFmtId="304" fontId="179" fillId="0" borderId="0" xfId="0" applyFont="true" applyBorder="false" applyAlignment="true" applyProtection="false">
      <alignment horizontal="general" vertical="bottom" textRotation="0" wrapText="false" indent="0" shrinkToFit="false"/>
      <protection locked="true" hidden="false"/>
    </xf>
    <xf numFmtId="164" fontId="183" fillId="0" borderId="0" xfId="0" applyFont="true" applyBorder="false" applyAlignment="true" applyProtection="false">
      <alignment horizontal="center" vertical="bottom" textRotation="0" wrapText="false" indent="0" shrinkToFit="false"/>
      <protection locked="true" hidden="false"/>
    </xf>
    <xf numFmtId="164" fontId="182" fillId="0" borderId="57" xfId="0" applyFont="true" applyBorder="true" applyAlignment="true" applyProtection="false">
      <alignment horizontal="general" vertical="bottom" textRotation="0" wrapText="false" indent="0" shrinkToFit="false"/>
      <protection locked="true" hidden="false"/>
    </xf>
    <xf numFmtId="169" fontId="185" fillId="0" borderId="57" xfId="0" applyFont="true" applyBorder="true" applyAlignment="true" applyProtection="false">
      <alignment horizontal="general" vertical="bottom" textRotation="0" wrapText="false" indent="0" shrinkToFit="false"/>
      <protection locked="true" hidden="false"/>
    </xf>
    <xf numFmtId="169" fontId="0" fillId="0" borderId="57" xfId="0" applyFont="false" applyBorder="true" applyAlignment="true" applyProtection="false">
      <alignment horizontal="general" vertical="bottom" textRotation="0" wrapText="false" indent="0" shrinkToFit="false"/>
      <protection locked="true" hidden="false"/>
    </xf>
    <xf numFmtId="164" fontId="183" fillId="0" borderId="57" xfId="0" applyFont="true" applyBorder="true" applyAlignment="true" applyProtection="false">
      <alignment horizontal="center" vertical="bottom" textRotation="0" wrapText="false" indent="0" shrinkToFit="false"/>
      <protection locked="true" hidden="false"/>
    </xf>
    <xf numFmtId="169" fontId="179" fillId="0" borderId="57" xfId="0" applyFont="true" applyBorder="true" applyAlignment="true" applyProtection="false">
      <alignment horizontal="general" vertical="bottom" textRotation="0" wrapText="false" indent="0" shrinkToFit="false"/>
      <protection locked="true" hidden="false"/>
    </xf>
    <xf numFmtId="306" fontId="0" fillId="0" borderId="0" xfId="0" applyFont="false" applyBorder="false" applyAlignment="true" applyProtection="false">
      <alignment horizontal="general" vertical="bottom" textRotation="0" wrapText="false" indent="0" shrinkToFit="false"/>
      <protection locked="true" hidden="false"/>
    </xf>
    <xf numFmtId="306" fontId="179" fillId="0" borderId="0" xfId="0" applyFont="true" applyBorder="false" applyAlignment="true" applyProtection="false">
      <alignment horizontal="general" vertical="bottom" textRotation="0" wrapText="false" indent="0" shrinkToFit="false"/>
      <protection locked="true" hidden="false"/>
    </xf>
    <xf numFmtId="306" fontId="178" fillId="0" borderId="0" xfId="0" applyFont="true" applyBorder="false" applyAlignment="true" applyProtection="false">
      <alignment horizontal="general" vertical="bottom" textRotation="0" wrapText="false" indent="0" shrinkToFit="false"/>
      <protection locked="true" hidden="false"/>
    </xf>
    <xf numFmtId="305" fontId="179" fillId="0" borderId="0" xfId="0" applyFont="true" applyBorder="false" applyAlignment="true" applyProtection="false">
      <alignment horizontal="general" vertical="bottom" textRotation="0" wrapText="false" indent="0" shrinkToFit="false"/>
      <protection locked="true" hidden="false"/>
    </xf>
    <xf numFmtId="305" fontId="178" fillId="0" borderId="0" xfId="0" applyFont="true" applyBorder="false" applyAlignment="true" applyProtection="false">
      <alignment horizontal="general" vertical="bottom" textRotation="0" wrapText="false" indent="0" shrinkToFit="false"/>
      <protection locked="true" hidden="false"/>
    </xf>
    <xf numFmtId="164" fontId="182" fillId="0" borderId="57" xfId="0" applyFont="true" applyBorder="true" applyAlignment="true" applyProtection="false">
      <alignment horizontal="center" vertical="bottom" textRotation="0" wrapText="false" indent="0" shrinkToFit="false"/>
      <protection locked="true" hidden="false"/>
    </xf>
    <xf numFmtId="169" fontId="178" fillId="0" borderId="0" xfId="0" applyFont="true" applyBorder="false" applyAlignment="true" applyProtection="false">
      <alignment horizontal="general" vertical="bottom" textRotation="0" wrapText="false" indent="0" shrinkToFit="false"/>
      <protection locked="true" hidden="false"/>
    </xf>
    <xf numFmtId="169" fontId="178" fillId="0" borderId="57" xfId="0" applyFont="true" applyBorder="true" applyAlignment="true" applyProtection="false">
      <alignment horizontal="general" vertical="bottom" textRotation="0" wrapText="false" indent="0" shrinkToFit="false"/>
      <protection locked="true" hidden="false"/>
    </xf>
    <xf numFmtId="164" fontId="182" fillId="0" borderId="58" xfId="0" applyFont="true" applyBorder="true" applyAlignment="true" applyProtection="false">
      <alignment horizontal="general" vertical="bottom" textRotation="0" wrapText="false" indent="0" shrinkToFit="false"/>
      <protection locked="true" hidden="false"/>
    </xf>
    <xf numFmtId="169" fontId="185" fillId="0" borderId="58" xfId="0" applyFont="true" applyBorder="true" applyAlignment="true" applyProtection="false">
      <alignment horizontal="general" vertical="bottom" textRotation="0" wrapText="false" indent="0" shrinkToFit="false"/>
      <protection locked="true" hidden="false"/>
    </xf>
    <xf numFmtId="169" fontId="0" fillId="0" borderId="58" xfId="0" applyFont="false" applyBorder="true" applyAlignment="true" applyProtection="false">
      <alignment horizontal="general" vertical="bottom" textRotation="0" wrapText="false" indent="0" shrinkToFit="false"/>
      <protection locked="true" hidden="false"/>
    </xf>
    <xf numFmtId="164" fontId="183" fillId="0" borderId="58" xfId="0" applyFont="true" applyBorder="true" applyAlignment="true" applyProtection="false">
      <alignment horizontal="center" vertical="bottom" textRotation="0" wrapText="false" indent="0" shrinkToFit="false"/>
      <protection locked="true" hidden="false"/>
    </xf>
    <xf numFmtId="169" fontId="179" fillId="0" borderId="58" xfId="0" applyFont="true" applyBorder="true" applyAlignment="true" applyProtection="false">
      <alignment horizontal="general" vertical="bottom" textRotation="0" wrapText="false" indent="0" shrinkToFit="false"/>
      <protection locked="true" hidden="false"/>
    </xf>
    <xf numFmtId="169" fontId="185" fillId="39" borderId="57" xfId="0" applyFont="true" applyBorder="true" applyAlignment="true" applyProtection="false">
      <alignment horizontal="general" vertical="bottom" textRotation="0" wrapText="false" indent="0" shrinkToFit="false"/>
      <protection locked="true" hidden="false"/>
    </xf>
    <xf numFmtId="164" fontId="186" fillId="32" borderId="0" xfId="0" applyFont="true" applyBorder="false" applyAlignment="true" applyProtection="false">
      <alignment horizontal="general" vertical="bottom" textRotation="0" wrapText="false" indent="0" shrinkToFit="false"/>
      <protection locked="true" hidden="false"/>
    </xf>
    <xf numFmtId="304" fontId="0" fillId="32" borderId="0" xfId="0" applyFont="false" applyBorder="false" applyAlignment="true" applyProtection="false">
      <alignment horizontal="general" vertical="bottom" textRotation="0" wrapText="false" indent="0" shrinkToFit="false"/>
      <protection locked="true" hidden="false"/>
    </xf>
    <xf numFmtId="164" fontId="182" fillId="32" borderId="0" xfId="0" applyFont="true" applyBorder="false" applyAlignment="true" applyProtection="false">
      <alignment horizontal="center" vertical="bottom" textRotation="0" wrapText="false" indent="0" shrinkToFit="false"/>
      <protection locked="true" hidden="false"/>
    </xf>
    <xf numFmtId="304" fontId="185" fillId="32" borderId="0" xfId="0" applyFont="true" applyBorder="false" applyAlignment="true" applyProtection="false">
      <alignment horizontal="general" vertical="bottom" textRotation="0" wrapText="false" indent="0" shrinkToFit="false"/>
      <protection locked="true" hidden="false"/>
    </xf>
    <xf numFmtId="304" fontId="185" fillId="0" borderId="0" xfId="0" applyFont="true" applyBorder="false" applyAlignment="true" applyProtection="false">
      <alignment horizontal="general" vertical="bottom" textRotation="0" wrapText="false" indent="0" shrinkToFit="false"/>
      <protection locked="true" hidden="false"/>
    </xf>
    <xf numFmtId="304" fontId="185" fillId="39" borderId="0" xfId="0" applyFont="true" applyBorder="false" applyAlignment="true" applyProtection="false">
      <alignment horizontal="general" vertical="bottom" textRotation="0" wrapText="false" indent="0" shrinkToFit="false"/>
      <protection locked="true" hidden="false"/>
    </xf>
    <xf numFmtId="305" fontId="179" fillId="0" borderId="57" xfId="0" applyFont="true" applyBorder="true" applyAlignment="true" applyProtection="false">
      <alignment horizontal="general" vertical="bottom" textRotation="0" wrapText="false" indent="0" shrinkToFit="false"/>
      <protection locked="true" hidden="false"/>
    </xf>
    <xf numFmtId="305" fontId="0" fillId="0" borderId="57" xfId="0" applyFont="false" applyBorder="true" applyAlignment="true" applyProtection="false">
      <alignment horizontal="general" vertical="bottom" textRotation="0" wrapText="false" indent="0" shrinkToFit="false"/>
      <protection locked="true" hidden="false"/>
    </xf>
    <xf numFmtId="304" fontId="184" fillId="0" borderId="0" xfId="0" applyFont="true" applyBorder="false" applyAlignment="true" applyProtection="false">
      <alignment horizontal="general" vertical="bottom" textRotation="0" wrapText="false" indent="0" shrinkToFit="false"/>
      <protection locked="true" hidden="false"/>
    </xf>
    <xf numFmtId="307" fontId="179" fillId="0" borderId="0" xfId="0" applyFont="true" applyBorder="false" applyAlignment="true" applyProtection="false">
      <alignment horizontal="general" vertical="bottom" textRotation="0" wrapText="false" indent="0" shrinkToFit="false"/>
      <protection locked="true" hidden="false"/>
    </xf>
    <xf numFmtId="307" fontId="0" fillId="0" borderId="0" xfId="0" applyFont="false" applyBorder="false" applyAlignment="true" applyProtection="false">
      <alignment horizontal="general" vertical="bottom" textRotation="0" wrapText="false" indent="0" shrinkToFit="false"/>
      <protection locked="true" hidden="false"/>
    </xf>
    <xf numFmtId="304" fontId="178" fillId="39" borderId="0" xfId="0" applyFont="true" applyBorder="false" applyAlignment="true" applyProtection="false">
      <alignment horizontal="general" vertical="bottom" textRotation="0" wrapText="false" indent="0" shrinkToFit="false"/>
      <protection locked="true" hidden="false"/>
    </xf>
    <xf numFmtId="305" fontId="178" fillId="32" borderId="0" xfId="0" applyFont="true" applyBorder="false" applyAlignment="true" applyProtection="false">
      <alignment horizontal="general" vertical="bottom" textRotation="0" wrapText="false" indent="0" shrinkToFit="false"/>
      <protection locked="true" hidden="false"/>
    </xf>
    <xf numFmtId="305" fontId="0" fillId="32" borderId="0" xfId="0" applyFont="false" applyBorder="false" applyAlignment="true" applyProtection="false">
      <alignment horizontal="general" vertical="bottom" textRotation="0" wrapText="false" indent="0" shrinkToFit="false"/>
      <protection locked="true" hidden="false"/>
    </xf>
    <xf numFmtId="304" fontId="179" fillId="32" borderId="0" xfId="0" applyFont="true" applyBorder="false" applyAlignment="true" applyProtection="false">
      <alignment horizontal="general" vertical="bottom" textRotation="0" wrapText="false" indent="0" shrinkToFit="false"/>
      <protection locked="true" hidden="false"/>
    </xf>
    <xf numFmtId="305" fontId="179" fillId="32" borderId="0" xfId="0" applyFont="true" applyBorder="false" applyAlignment="true" applyProtection="false">
      <alignment horizontal="general" vertical="bottom" textRotation="0" wrapText="false" indent="0" shrinkToFit="false"/>
      <protection locked="true" hidden="false"/>
    </xf>
    <xf numFmtId="169" fontId="0" fillId="32" borderId="0" xfId="0" applyFont="false" applyBorder="false" applyAlignment="true" applyProtection="false">
      <alignment horizontal="general" vertical="bottom" textRotation="0" wrapText="false" indent="0" shrinkToFit="false"/>
      <protection locked="true" hidden="false"/>
    </xf>
    <xf numFmtId="164" fontId="177" fillId="38" borderId="0" xfId="0" applyFont="true" applyBorder="true" applyAlignment="true" applyProtection="false">
      <alignment horizontal="general" vertical="bottom" textRotation="0" wrapText="false" indent="0" shrinkToFit="false"/>
      <protection locked="true" hidden="false"/>
    </xf>
    <xf numFmtId="164" fontId="183" fillId="0" borderId="0" xfId="0" applyFont="true" applyBorder="true" applyAlignment="true" applyProtection="false">
      <alignment horizontal="general" vertical="bottom" textRotation="0" wrapText="false" indent="0" shrinkToFit="false"/>
      <protection locked="true" hidden="false"/>
    </xf>
    <xf numFmtId="305" fontId="179" fillId="39" borderId="0" xfId="0" applyFont="true" applyBorder="false" applyAlignment="true" applyProtection="false">
      <alignment horizontal="general" vertical="bottom" textRotation="0" wrapText="false" indent="0" shrinkToFit="false"/>
      <protection locked="true" hidden="false"/>
    </xf>
    <xf numFmtId="304" fontId="184" fillId="39" borderId="0" xfId="0" applyFont="true" applyBorder="false" applyAlignment="true" applyProtection="false">
      <alignment horizontal="general" vertical="bottom" textRotation="0" wrapText="false" indent="0" shrinkToFit="false"/>
      <protection locked="true" hidden="false"/>
    </xf>
    <xf numFmtId="169" fontId="178" fillId="39" borderId="57" xfId="0" applyFont="true" applyBorder="true" applyAlignment="true" applyProtection="false">
      <alignment horizontal="general" vertical="bottom" textRotation="0" wrapText="false" indent="0" shrinkToFit="false"/>
      <protection locked="true" hidden="false"/>
    </xf>
    <xf numFmtId="169" fontId="178" fillId="39" borderId="0" xfId="0" applyFont="true" applyBorder="false" applyAlignment="true" applyProtection="false">
      <alignment horizontal="general" vertical="bottom" textRotation="0" wrapText="false" indent="0" shrinkToFit="false"/>
      <protection locked="true" hidden="false"/>
    </xf>
    <xf numFmtId="169" fontId="184" fillId="39" borderId="0" xfId="0" applyFont="true" applyBorder="false" applyAlignment="true" applyProtection="false">
      <alignment horizontal="general" vertical="bottom" textRotation="0" wrapText="false" indent="0" shrinkToFit="false"/>
      <protection locked="true" hidden="false"/>
    </xf>
    <xf numFmtId="304" fontId="179" fillId="39" borderId="0" xfId="0" applyFont="true" applyBorder="false" applyAlignment="true" applyProtection="false">
      <alignment horizontal="general" vertical="bottom" textRotation="0" wrapText="false" indent="0" shrinkToFit="false"/>
      <protection locked="true" hidden="false"/>
    </xf>
    <xf numFmtId="169" fontId="184" fillId="0" borderId="57" xfId="0" applyFont="true" applyBorder="true" applyAlignment="true" applyProtection="false">
      <alignment horizontal="general" vertical="bottom" textRotation="0" wrapText="false" indent="0" shrinkToFit="false"/>
      <protection locked="true" hidden="false"/>
    </xf>
    <xf numFmtId="169" fontId="184" fillId="39" borderId="57" xfId="0" applyFont="true" applyBorder="true" applyAlignment="true" applyProtection="false">
      <alignment horizontal="general" vertical="bottom" textRotation="0" wrapText="false" indent="0" shrinkToFit="false"/>
      <protection locked="true" hidden="false"/>
    </xf>
    <xf numFmtId="304" fontId="185" fillId="0" borderId="57" xfId="0" applyFont="true" applyBorder="true" applyAlignment="true" applyProtection="false">
      <alignment horizontal="general" vertical="bottom" textRotation="0" wrapText="false" indent="0" shrinkToFit="false"/>
      <protection locked="true" hidden="false"/>
    </xf>
    <xf numFmtId="304" fontId="0" fillId="0" borderId="57" xfId="0" applyFont="false" applyBorder="true" applyAlignment="true" applyProtection="false">
      <alignment horizontal="general" vertical="bottom" textRotation="0" wrapText="false" indent="0" shrinkToFit="false"/>
      <protection locked="true" hidden="false"/>
    </xf>
    <xf numFmtId="305" fontId="185" fillId="39" borderId="0" xfId="0" applyFont="true" applyBorder="false" applyAlignment="true" applyProtection="false">
      <alignment horizontal="general" vertical="bottom" textRotation="0" wrapText="false" indent="0" shrinkToFit="false"/>
      <protection locked="true" hidden="false"/>
    </xf>
    <xf numFmtId="305" fontId="184" fillId="0" borderId="0" xfId="0" applyFont="true" applyBorder="false" applyAlignment="true" applyProtection="false">
      <alignment horizontal="general" vertical="bottom" textRotation="0" wrapText="false" indent="0" shrinkToFit="false"/>
      <protection locked="true" hidden="false"/>
    </xf>
    <xf numFmtId="169" fontId="185" fillId="39" borderId="0" xfId="0" applyFont="true" applyBorder="false" applyAlignment="true" applyProtection="false">
      <alignment horizontal="general" vertical="bottom" textRotation="0" wrapText="false" indent="0" shrinkToFit="false"/>
      <protection locked="true" hidden="false"/>
    </xf>
    <xf numFmtId="306" fontId="184" fillId="0" borderId="0" xfId="0" applyFont="true" applyBorder="false" applyAlignment="true" applyProtection="false">
      <alignment horizontal="general" vertical="bottom" textRotation="0" wrapText="false" indent="0" shrinkToFit="false"/>
      <protection locked="true" hidden="false"/>
    </xf>
    <xf numFmtId="307" fontId="185" fillId="0" borderId="0" xfId="0" applyFont="true" applyBorder="false" applyAlignment="true" applyProtection="false">
      <alignment horizontal="general" vertical="bottom" textRotation="0" wrapText="false" indent="0" shrinkToFit="false"/>
      <protection locked="true" hidden="false"/>
    </xf>
    <xf numFmtId="307" fontId="185" fillId="39" borderId="0" xfId="0" applyFont="true" applyBorder="false" applyAlignment="true" applyProtection="false">
      <alignment horizontal="general" vertical="bottom" textRotation="0" wrapText="false" indent="0" shrinkToFit="false"/>
      <protection locked="true" hidden="false"/>
    </xf>
    <xf numFmtId="164" fontId="175" fillId="0" borderId="0" xfId="0" applyFont="true" applyBorder="false" applyAlignment="true" applyProtection="false">
      <alignment horizontal="general" vertical="bottom" textRotation="0" wrapText="false" indent="0" shrinkToFit="false"/>
      <protection locked="true" hidden="false"/>
    </xf>
    <xf numFmtId="164" fontId="176" fillId="0" borderId="0" xfId="0" applyFont="true" applyBorder="false" applyAlignment="true" applyProtection="false">
      <alignment horizontal="general" vertical="bottom" textRotation="0" wrapText="false" indent="0" shrinkToFit="false"/>
      <protection locked="true" hidden="false"/>
    </xf>
    <xf numFmtId="164" fontId="182" fillId="41" borderId="0" xfId="0" applyFont="true" applyBorder="true" applyAlignment="true" applyProtection="false">
      <alignment horizontal="center" vertical="bottom" textRotation="0" wrapText="false" indent="0" shrinkToFit="false"/>
      <protection locked="true" hidden="false"/>
    </xf>
    <xf numFmtId="164" fontId="182" fillId="42" borderId="0" xfId="0" applyFont="true" applyBorder="true" applyAlignment="true" applyProtection="false">
      <alignment horizontal="center" vertical="bottom" textRotation="0" wrapText="false" indent="0" shrinkToFit="false"/>
      <protection locked="true" hidden="false"/>
    </xf>
    <xf numFmtId="164" fontId="182" fillId="43" borderId="0" xfId="0" applyFont="true" applyBorder="true" applyAlignment="true" applyProtection="false">
      <alignment horizontal="center" vertical="bottom" textRotation="0" wrapText="false" indent="0" shrinkToFit="false"/>
      <protection locked="true" hidden="false"/>
    </xf>
    <xf numFmtId="164" fontId="182" fillId="36" borderId="0" xfId="0" applyFont="true" applyBorder="true" applyAlignment="true" applyProtection="false">
      <alignment horizontal="center" vertical="bottom" textRotation="0" wrapText="false" indent="0" shrinkToFit="false"/>
      <protection locked="true" hidden="false"/>
    </xf>
    <xf numFmtId="164" fontId="182" fillId="41" borderId="56" xfId="0" applyFont="true" applyBorder="true" applyAlignment="true" applyProtection="false">
      <alignment horizontal="center" vertical="bottom" textRotation="0" wrapText="false" indent="0" shrinkToFit="false"/>
      <protection locked="true" hidden="false"/>
    </xf>
    <xf numFmtId="164" fontId="182" fillId="42" borderId="56" xfId="0" applyFont="true" applyBorder="true" applyAlignment="true" applyProtection="false">
      <alignment horizontal="center" vertical="bottom" textRotation="0" wrapText="false" indent="0" shrinkToFit="false"/>
      <protection locked="true" hidden="false"/>
    </xf>
    <xf numFmtId="164" fontId="182" fillId="43" borderId="56" xfId="0" applyFont="true" applyBorder="true" applyAlignment="true" applyProtection="false">
      <alignment horizontal="center" vertical="bottom" textRotation="0" wrapText="false" indent="0" shrinkToFit="false"/>
      <protection locked="true" hidden="false"/>
    </xf>
    <xf numFmtId="164" fontId="182" fillId="36" borderId="56" xfId="0" applyFont="true" applyBorder="true" applyAlignment="true" applyProtection="false">
      <alignment horizontal="center" vertical="bottom" textRotation="0" wrapText="false" indent="0" shrinkToFit="false"/>
      <protection locked="true" hidden="false"/>
    </xf>
    <xf numFmtId="164" fontId="187" fillId="0" borderId="0" xfId="0" applyFont="true" applyBorder="false" applyAlignment="true" applyProtection="false">
      <alignment horizontal="general" vertical="bottom" textRotation="0" wrapText="false" indent="0" shrinkToFit="false"/>
      <protection locked="true" hidden="false"/>
    </xf>
    <xf numFmtId="164" fontId="187" fillId="0" borderId="0" xfId="0" applyFont="true" applyBorder="false" applyAlignment="true" applyProtection="false">
      <alignment horizontal="center" vertical="bottom" textRotation="0" wrapText="false" indent="0" shrinkToFit="false"/>
      <protection locked="true" hidden="false"/>
    </xf>
    <xf numFmtId="164" fontId="0" fillId="38" borderId="0" xfId="0" applyFont="false" applyBorder="false" applyAlignment="true" applyProtection="false">
      <alignment horizontal="general" vertical="bottom" textRotation="0" wrapText="false" indent="0" shrinkToFit="false"/>
      <protection locked="true" hidden="false"/>
    </xf>
    <xf numFmtId="305" fontId="180" fillId="0" borderId="0" xfId="0" applyFont="true" applyBorder="false" applyAlignment="true" applyProtection="false">
      <alignment horizontal="general" vertical="bottom" textRotation="0" wrapText="false" indent="0" shrinkToFit="false"/>
      <protection locked="true" hidden="false"/>
    </xf>
    <xf numFmtId="164" fontId="185" fillId="0" borderId="59" xfId="0" applyFont="true" applyBorder="true" applyAlignment="true" applyProtection="false">
      <alignment horizontal="general" vertical="bottom" textRotation="0" wrapText="false" indent="0" shrinkToFit="false"/>
      <protection locked="true" hidden="false"/>
    </xf>
    <xf numFmtId="305" fontId="185" fillId="0" borderId="59" xfId="0" applyFont="true" applyBorder="true" applyAlignment="true" applyProtection="false">
      <alignment horizontal="general" vertical="bottom" textRotation="0" wrapText="false" indent="0" shrinkToFit="false"/>
      <protection locked="true" hidden="false"/>
    </xf>
    <xf numFmtId="305" fontId="184" fillId="0" borderId="59" xfId="0" applyFont="true" applyBorder="true" applyAlignment="true" applyProtection="false">
      <alignment horizontal="general" vertical="bottom" textRotation="0" wrapText="false" indent="0" shrinkToFit="false"/>
      <protection locked="true" hidden="false"/>
    </xf>
    <xf numFmtId="305" fontId="188" fillId="0" borderId="59" xfId="0" applyFont="true" applyBorder="true" applyAlignment="true" applyProtection="false">
      <alignment horizontal="general" vertical="bottom" textRotation="0" wrapText="false" indent="0" shrinkToFit="false"/>
      <protection locked="true" hidden="false"/>
    </xf>
    <xf numFmtId="169" fontId="180" fillId="0" borderId="0" xfId="0" applyFont="true" applyBorder="false" applyAlignment="true" applyProtection="false">
      <alignment horizontal="general" vertical="bottom" textRotation="0" wrapText="false" indent="0" shrinkToFit="false"/>
      <protection locked="true" hidden="false"/>
    </xf>
    <xf numFmtId="169" fontId="185" fillId="0" borderId="59" xfId="0" applyFont="true" applyBorder="true" applyAlignment="true" applyProtection="false">
      <alignment horizontal="general" vertical="bottom" textRotation="0" wrapText="false" indent="0" shrinkToFit="false"/>
      <protection locked="true" hidden="false"/>
    </xf>
    <xf numFmtId="169" fontId="188" fillId="0" borderId="59" xfId="0" applyFont="true" applyBorder="true" applyAlignment="true" applyProtection="false">
      <alignment horizontal="general" vertical="bottom" textRotation="0" wrapText="false" indent="0" shrinkToFit="false"/>
      <protection locked="true" hidden="false"/>
    </xf>
    <xf numFmtId="305" fontId="185" fillId="39" borderId="59" xfId="0" applyFont="true" applyBorder="tru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left" vertical="bottom" textRotation="0" wrapText="false" indent="0" shrinkToFit="false"/>
      <protection locked="true" hidden="false"/>
    </xf>
    <xf numFmtId="164" fontId="179" fillId="0" borderId="0" xfId="0" applyFont="true" applyBorder="false" applyAlignment="true" applyProtection="false">
      <alignment horizontal="general" vertical="bottom" textRotation="0" wrapText="false" indent="0" shrinkToFit="false"/>
      <protection locked="true" hidden="false"/>
    </xf>
    <xf numFmtId="164" fontId="0" fillId="0" borderId="21" xfId="0" applyFont="false" applyBorder="tru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308" fontId="0" fillId="0" borderId="21" xfId="70" applyFont="true" applyBorder="true" applyAlignment="true" applyProtection="false">
      <alignment horizontal="general" vertical="bottom" textRotation="0" wrapText="false" indent="0" shrinkToFit="false"/>
      <protection locked="true" hidden="false"/>
    </xf>
    <xf numFmtId="164" fontId="185" fillId="0" borderId="0" xfId="0" applyFont="true" applyBorder="false" applyAlignment="true" applyProtection="false">
      <alignment horizontal="general" vertical="bottom" textRotation="0" wrapText="false" indent="0" shrinkToFit="false"/>
      <protection locked="true" hidden="false"/>
    </xf>
    <xf numFmtId="164" fontId="185" fillId="0" borderId="0" xfId="0" applyFont="true" applyBorder="false" applyAlignment="true" applyProtection="false">
      <alignment horizontal="right" vertical="bottom" textRotation="0" wrapText="false" indent="0" shrinkToFit="false"/>
      <protection locked="true" hidden="false"/>
    </xf>
    <xf numFmtId="164" fontId="185" fillId="0" borderId="21" xfId="0" applyFont="true" applyBorder="true" applyAlignment="true" applyProtection="false">
      <alignment horizontal="general" vertical="bottom" textRotation="0" wrapText="false" indent="0" shrinkToFit="false"/>
      <protection locked="true" hidden="false"/>
    </xf>
    <xf numFmtId="308" fontId="185" fillId="0" borderId="21" xfId="70" applyFont="true" applyBorder="true" applyAlignment="true" applyProtection="false">
      <alignment horizontal="general" vertical="bottom" textRotation="0" wrapText="false" indent="0" shrinkToFit="false"/>
      <protection locked="true" hidden="false"/>
    </xf>
    <xf numFmtId="291" fontId="0" fillId="0" borderId="0" xfId="0" applyFont="false" applyBorder="false" applyAlignment="true" applyProtection="false">
      <alignment horizontal="general" vertical="bottom" textRotation="0" wrapText="false" indent="0" shrinkToFit="false"/>
      <protection locked="true" hidden="false"/>
    </xf>
    <xf numFmtId="202" fontId="0" fillId="0" borderId="0" xfId="70" applyFont="true" applyBorder="false" applyAlignment="true" applyProtection="false">
      <alignment horizontal="general" vertical="bottom" textRotation="0" wrapText="false" indent="0" shrinkToFit="false"/>
      <protection locked="true" hidden="false"/>
    </xf>
    <xf numFmtId="308" fontId="179" fillId="0" borderId="0" xfId="70" applyFont="true" applyBorder="false" applyAlignment="true" applyProtection="false">
      <alignment horizontal="general" vertical="bottom" textRotation="0" wrapText="false" indent="0" shrinkToFit="false"/>
      <protection locked="true" hidden="false"/>
    </xf>
    <xf numFmtId="308" fontId="0" fillId="0" borderId="0" xfId="70" applyFont="true" applyBorder="false" applyAlignment="true" applyProtection="false">
      <alignment horizontal="general" vertical="bottom" textRotation="0" wrapText="false" indent="0" shrinkToFit="false"/>
      <protection locked="true" hidden="false"/>
    </xf>
    <xf numFmtId="202" fontId="0" fillId="0" borderId="0" xfId="0" applyFont="false" applyBorder="false" applyAlignment="true" applyProtection="false">
      <alignment horizontal="general" vertical="bottom" textRotation="0" wrapText="false" indent="0" shrinkToFit="false"/>
      <protection locked="true" hidden="false"/>
    </xf>
    <xf numFmtId="308" fontId="178" fillId="0" borderId="0" xfId="70" applyFont="true" applyBorder="false" applyAlignment="true" applyProtection="false">
      <alignment horizontal="general" vertical="bottom" textRotation="0" wrapText="false" indent="0" shrinkToFit="false"/>
      <protection locked="true" hidden="false"/>
    </xf>
    <xf numFmtId="308" fontId="179" fillId="39" borderId="0" xfId="70" applyFont="true" applyBorder="false" applyAlignment="true" applyProtection="false">
      <alignment horizontal="general" vertical="bottom" textRotation="0" wrapText="false" indent="0" shrinkToFit="false"/>
      <protection locked="true" hidden="false"/>
    </xf>
    <xf numFmtId="308" fontId="178" fillId="39" borderId="0" xfId="70" applyFont="true" applyBorder="false" applyAlignment="true" applyProtection="false">
      <alignment horizontal="general" vertical="bottom" textRotation="0" wrapText="false" indent="0" shrinkToFit="false"/>
      <protection locked="true" hidden="false"/>
    </xf>
    <xf numFmtId="308" fontId="179" fillId="0" borderId="21" xfId="70" applyFont="true" applyBorder="true" applyAlignment="true" applyProtection="false">
      <alignment horizontal="general" vertical="bottom" textRotation="0" wrapText="false" indent="0" shrinkToFit="false"/>
      <protection locked="true" hidden="false"/>
    </xf>
    <xf numFmtId="164" fontId="178" fillId="0" borderId="0" xfId="0" applyFont="true" applyBorder="false" applyAlignment="true" applyProtection="false">
      <alignment horizontal="general" vertical="bottom" textRotation="0" wrapText="false" indent="0" shrinkToFit="false"/>
      <protection locked="true" hidden="false"/>
    </xf>
    <xf numFmtId="309" fontId="178" fillId="39" borderId="0" xfId="0" applyFont="true" applyBorder="false" applyAlignment="true" applyProtection="false">
      <alignment horizontal="general" vertical="bottom" textRotation="0" wrapText="false" indent="0" shrinkToFit="false"/>
      <protection locked="true" hidden="false"/>
    </xf>
    <xf numFmtId="308" fontId="185" fillId="0" borderId="0" xfId="70" applyFont="true" applyBorder="false" applyAlignment="true" applyProtection="false">
      <alignment horizontal="general" vertical="bottom" textRotation="0" wrapText="false" indent="0" shrinkToFit="false"/>
      <protection locked="true" hidden="false"/>
    </xf>
    <xf numFmtId="308" fontId="184" fillId="0" borderId="0" xfId="70" applyFont="true" applyBorder="false" applyAlignment="true" applyProtection="false">
      <alignment horizontal="general" vertical="bottom" textRotation="0" wrapText="false" indent="0" shrinkToFit="false"/>
      <protection locked="true" hidden="false"/>
    </xf>
    <xf numFmtId="308" fontId="184" fillId="39" borderId="0" xfId="70" applyFont="true" applyBorder="false" applyAlignment="true" applyProtection="false">
      <alignment horizontal="general" vertical="bottom" textRotation="0" wrapText="false" indent="0" shrinkToFit="false"/>
      <protection locked="true" hidden="false"/>
    </xf>
    <xf numFmtId="202" fontId="185" fillId="0" borderId="0" xfId="0" applyFont="true" applyBorder="false" applyAlignment="true" applyProtection="false">
      <alignment horizontal="general" vertical="bottom" textRotation="0" wrapText="false" indent="0" shrinkToFit="false"/>
      <protection locked="true" hidden="false"/>
    </xf>
    <xf numFmtId="273" fontId="0" fillId="0" borderId="0" xfId="74" applyFont="true" applyBorder="false" applyAlignment="true" applyProtection="false">
      <alignment horizontal="general" vertical="bottom" textRotation="0" wrapText="false" indent="0" shrinkToFit="false"/>
      <protection locked="true" hidden="false"/>
    </xf>
    <xf numFmtId="273" fontId="0" fillId="0" borderId="21" xfId="74" applyFont="true" applyBorder="true" applyAlignment="true" applyProtection="false">
      <alignment horizontal="general" vertical="bottom" textRotation="0" wrapText="false" indent="0" shrinkToFit="false"/>
      <protection locked="true" hidden="false"/>
    </xf>
    <xf numFmtId="202" fontId="55" fillId="0" borderId="0" xfId="74" applyFont="true" applyBorder="false" applyAlignment="true" applyProtection="false">
      <alignment horizontal="general" vertical="bottom" textRotation="0" wrapText="false" indent="0" shrinkToFit="false"/>
      <protection locked="true" hidden="false"/>
    </xf>
    <xf numFmtId="308" fontId="0" fillId="0" borderId="0" xfId="74" applyFont="true" applyBorder="false" applyAlignment="true" applyProtection="false">
      <alignment horizontal="general" vertical="bottom" textRotation="0" wrapText="false" indent="0" shrinkToFit="false"/>
      <protection locked="true" hidden="false"/>
    </xf>
    <xf numFmtId="251" fontId="179" fillId="0" borderId="0" xfId="74" applyFont="true" applyBorder="false" applyAlignment="true" applyProtection="false">
      <alignment horizontal="general" vertical="bottom" textRotation="0" wrapText="false" indent="0" shrinkToFit="false"/>
      <protection locked="true" hidden="false"/>
    </xf>
    <xf numFmtId="251" fontId="0" fillId="0" borderId="0" xfId="74" applyFont="true" applyBorder="false" applyAlignment="true" applyProtection="false">
      <alignment horizontal="general" vertical="bottom" textRotation="0" wrapText="false" indent="0" shrinkToFit="false"/>
      <protection locked="true" hidden="false"/>
    </xf>
    <xf numFmtId="171" fontId="179"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308" fontId="55" fillId="0" borderId="0" xfId="70" applyFont="true" applyBorder="false" applyAlignment="true" applyProtection="false">
      <alignment horizontal="general" vertical="bottom" textRotation="0" wrapText="false" indent="0" shrinkToFit="false"/>
      <protection locked="true" hidden="false"/>
    </xf>
    <xf numFmtId="262" fontId="0" fillId="0" borderId="0" xfId="74" applyFont="true" applyBorder="false" applyAlignment="true" applyProtection="false">
      <alignment horizontal="general" vertical="bottom" textRotation="0" wrapText="false" indent="0" shrinkToFit="false"/>
      <protection locked="true" hidden="false"/>
    </xf>
    <xf numFmtId="202" fontId="0" fillId="0" borderId="21" xfId="0" applyFont="false" applyBorder="true" applyAlignment="true" applyProtection="false">
      <alignment horizontal="general" vertical="bottom" textRotation="0" wrapText="false" indent="0" shrinkToFit="false"/>
      <protection locked="true" hidden="false"/>
    </xf>
    <xf numFmtId="308" fontId="55" fillId="0" borderId="0" xfId="0" applyFont="true" applyBorder="false" applyAlignment="true" applyProtection="false">
      <alignment horizontal="general" vertical="bottom" textRotation="0" wrapText="false" indent="0" shrinkToFit="false"/>
      <protection locked="true" hidden="false"/>
    </xf>
    <xf numFmtId="308" fontId="0" fillId="0" borderId="0" xfId="0" applyFont="false" applyBorder="false" applyAlignment="true" applyProtection="false">
      <alignment horizontal="general" vertical="bottom" textRotation="0" wrapText="false" indent="0" shrinkToFit="false"/>
      <protection locked="true" hidden="false"/>
    </xf>
    <xf numFmtId="171" fontId="178" fillId="0" borderId="0" xfId="0" applyFont="true" applyBorder="false" applyAlignment="true" applyProtection="false">
      <alignment horizontal="general" vertical="bottom" textRotation="0" wrapText="false" indent="0" shrinkToFit="false"/>
      <protection locked="true" hidden="false"/>
    </xf>
    <xf numFmtId="310" fontId="178" fillId="0" borderId="0" xfId="70" applyFont="true" applyBorder="false" applyAlignment="true" applyProtection="false">
      <alignment horizontal="general" vertical="bottom" textRotation="0" wrapText="false" indent="0" shrinkToFit="false"/>
      <protection locked="true" hidden="false"/>
    </xf>
    <xf numFmtId="310" fontId="0" fillId="0" borderId="0" xfId="70" applyFont="true" applyBorder="false" applyAlignment="true" applyProtection="false">
      <alignment horizontal="general" vertical="bottom" textRotation="0" wrapText="false" indent="0" shrinkToFit="false"/>
      <protection locked="true" hidden="false"/>
    </xf>
    <xf numFmtId="311" fontId="179" fillId="16" borderId="0" xfId="0" applyFont="true" applyBorder="false" applyAlignment="true" applyProtection="false">
      <alignment horizontal="general" vertical="bottom" textRotation="0" wrapText="false" indent="0" shrinkToFit="false"/>
      <protection locked="true" hidden="false"/>
    </xf>
    <xf numFmtId="311" fontId="179" fillId="0" borderId="0" xfId="0" applyFont="true" applyBorder="false" applyAlignment="true" applyProtection="false">
      <alignment horizontal="general" vertical="bottom" textRotation="0" wrapText="false" indent="0" shrinkToFit="false"/>
      <protection locked="true" hidden="false"/>
    </xf>
    <xf numFmtId="311" fontId="0" fillId="0" borderId="0" xfId="0" applyFont="false" applyBorder="false" applyAlignment="true" applyProtection="false">
      <alignment horizontal="general" vertical="bottom" textRotation="0" wrapText="false" indent="0" shrinkToFit="false"/>
      <protection locked="true" hidden="false"/>
    </xf>
    <xf numFmtId="311" fontId="0" fillId="0" borderId="21" xfId="0" applyFont="false" applyBorder="true" applyAlignment="true" applyProtection="false">
      <alignment horizontal="general" vertical="bottom" textRotation="0" wrapText="false" indent="0" shrinkToFit="false"/>
      <protection locked="true" hidden="false"/>
    </xf>
    <xf numFmtId="312" fontId="0" fillId="0" borderId="0" xfId="0" applyFont="false" applyBorder="false" applyAlignment="true" applyProtection="false">
      <alignment horizontal="general" vertical="bottom" textRotation="0" wrapText="false" indent="0" shrinkToFit="false"/>
      <protection locked="true" hidden="false"/>
    </xf>
    <xf numFmtId="312" fontId="0" fillId="0" borderId="21" xfId="0" applyFont="false" applyBorder="true" applyAlignment="true" applyProtection="false">
      <alignment horizontal="general" vertical="bottom" textRotation="0" wrapText="false" indent="0" shrinkToFit="false"/>
      <protection locked="true" hidden="false"/>
    </xf>
    <xf numFmtId="310" fontId="178" fillId="39" borderId="0" xfId="70" applyFont="true" applyBorder="false" applyAlignment="true" applyProtection="false">
      <alignment horizontal="general" vertical="bottom" textRotation="0" wrapText="false" indent="0" shrinkToFit="false"/>
      <protection locked="true" hidden="false"/>
    </xf>
    <xf numFmtId="309" fontId="179" fillId="39" borderId="0" xfId="0" applyFont="true" applyBorder="false" applyAlignment="true" applyProtection="false">
      <alignment horizontal="general" vertical="bottom" textRotation="0" wrapText="false" indent="0" shrinkToFit="false"/>
      <protection locked="true" hidden="false"/>
    </xf>
    <xf numFmtId="308" fontId="179" fillId="39" borderId="0" xfId="0" applyFont="true" applyBorder="false" applyAlignment="true" applyProtection="false">
      <alignment horizontal="general" vertical="bottom" textRotation="0" wrapText="false" indent="0" shrinkToFit="false"/>
      <protection locked="true" hidden="false"/>
    </xf>
    <xf numFmtId="308" fontId="178" fillId="0" borderId="0" xfId="0" applyFont="true" applyBorder="false" applyAlignment="true" applyProtection="false">
      <alignment horizontal="general" vertical="bottom" textRotation="0" wrapText="false" indent="0" shrinkToFit="false"/>
      <protection locked="true" hidden="false"/>
    </xf>
    <xf numFmtId="308" fontId="179" fillId="0" borderId="0" xfId="0" applyFont="true" applyBorder="false" applyAlignment="true" applyProtection="false">
      <alignment horizontal="general" vertical="bottom" textRotation="0" wrapText="false" indent="0" shrinkToFit="false"/>
      <protection locked="true" hidden="false"/>
    </xf>
    <xf numFmtId="308" fontId="7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202" fontId="179" fillId="16" borderId="0" xfId="0" applyFont="true" applyBorder="false" applyAlignment="true" applyProtection="false">
      <alignment horizontal="general" vertical="bottom" textRotation="0" wrapText="false" indent="0" shrinkToFit="false"/>
      <protection locked="true" hidden="false"/>
    </xf>
    <xf numFmtId="202" fontId="179" fillId="0" borderId="0" xfId="0" applyFont="true" applyBorder="false" applyAlignment="true" applyProtection="false">
      <alignment horizontal="general" vertical="bottom" textRotation="0" wrapText="false" indent="0" shrinkToFit="false"/>
      <protection locked="true" hidden="false"/>
    </xf>
    <xf numFmtId="308" fontId="184" fillId="0" borderId="0" xfId="70" applyFont="true" applyBorder="false" applyAlignment="true" applyProtection="false">
      <alignment horizontal="general" vertical="top" textRotation="0" wrapText="false" indent="0" shrinkToFit="false"/>
      <protection locked="true" hidden="false"/>
    </xf>
    <xf numFmtId="310" fontId="184" fillId="0" borderId="0" xfId="70" applyFont="true" applyBorder="false" applyAlignment="true" applyProtection="false">
      <alignment horizontal="general" vertical="bottom" textRotation="0" wrapText="false" indent="0" shrinkToFit="false"/>
      <protection locked="true" hidden="false"/>
    </xf>
    <xf numFmtId="310" fontId="184" fillId="39" borderId="0" xfId="0" applyFont="true" applyBorder="false" applyAlignment="true" applyProtection="false">
      <alignment horizontal="general" vertical="bottom" textRotation="0" wrapText="false" indent="0" shrinkToFit="false"/>
      <protection locked="true" hidden="false"/>
    </xf>
    <xf numFmtId="308" fontId="184" fillId="39" borderId="0" xfId="0" applyFont="true" applyBorder="false" applyAlignment="true" applyProtection="false">
      <alignment horizontal="general" vertical="bottom" textRotation="0" wrapText="false" indent="0" shrinkToFit="false"/>
      <protection locked="true" hidden="false"/>
    </xf>
    <xf numFmtId="308" fontId="185" fillId="39" borderId="0" xfId="0" applyFont="true" applyBorder="false" applyAlignment="true" applyProtection="false">
      <alignment horizontal="general" vertical="bottom" textRotation="0" wrapText="false" indent="0" shrinkToFit="false"/>
      <protection locked="true" hidden="false"/>
    </xf>
    <xf numFmtId="308" fontId="178" fillId="0" borderId="0" xfId="70" applyFont="true" applyBorder="false" applyAlignment="true" applyProtection="false">
      <alignment horizontal="general" vertical="top" textRotation="0" wrapText="false" indent="0" shrinkToFit="false"/>
      <protection locked="true" hidden="false"/>
    </xf>
    <xf numFmtId="202" fontId="178" fillId="0" borderId="0" xfId="0" applyFont="true" applyBorder="false" applyAlignment="true" applyProtection="false">
      <alignment horizontal="general" vertical="bottom" textRotation="0" wrapText="false" indent="0" shrinkToFit="false"/>
      <protection locked="true" hidden="false"/>
    </xf>
    <xf numFmtId="308" fontId="178" fillId="39" borderId="0" xfId="0" applyFont="true" applyBorder="false" applyAlignment="true" applyProtection="false">
      <alignment horizontal="general" vertical="bottom" textRotation="0" wrapText="false" indent="0" shrinkToFit="false"/>
      <protection locked="true" hidden="false"/>
    </xf>
    <xf numFmtId="310" fontId="0" fillId="0" borderId="21" xfId="70" applyFont="true" applyBorder="true" applyAlignment="true" applyProtection="false">
      <alignment horizontal="general" vertical="bottom" textRotation="0" wrapText="false" indent="0" shrinkToFit="false"/>
      <protection locked="true" hidden="false"/>
    </xf>
    <xf numFmtId="310" fontId="185" fillId="0" borderId="0" xfId="70" applyFont="true" applyBorder="false" applyAlignment="true" applyProtection="false">
      <alignment horizontal="general" vertical="bottom" textRotation="0" wrapText="false" indent="0" shrinkToFit="false"/>
      <protection locked="true" hidden="false"/>
    </xf>
    <xf numFmtId="202" fontId="185" fillId="0" borderId="0" xfId="70" applyFont="true" applyBorder="false" applyAlignment="true" applyProtection="false">
      <alignment horizontal="general" vertical="bottom" textRotation="0" wrapText="false" indent="0" shrinkToFit="false"/>
      <protection locked="true" hidden="false"/>
    </xf>
    <xf numFmtId="308" fontId="10" fillId="0" borderId="0" xfId="70" applyFont="true" applyBorder="false" applyAlignment="true" applyProtection="false">
      <alignment horizontal="general" vertical="bottom" textRotation="0" wrapText="false" indent="0" shrinkToFit="false"/>
      <protection locked="true" hidden="false"/>
    </xf>
    <xf numFmtId="202" fontId="10" fillId="0" borderId="0" xfId="0" applyFont="true" applyBorder="false" applyAlignment="true" applyProtection="false">
      <alignment horizontal="general" vertical="bottom" textRotation="0" wrapText="false" indent="0" shrinkToFit="false"/>
      <protection locked="true" hidden="false"/>
    </xf>
    <xf numFmtId="310" fontId="10" fillId="0" borderId="0" xfId="70" applyFont="true" applyBorder="false" applyAlignment="true" applyProtection="false">
      <alignment horizontal="general" vertical="bottom" textRotation="0" wrapText="false" indent="0" shrinkToFit="false"/>
      <protection locked="true" hidden="false"/>
    </xf>
    <xf numFmtId="310" fontId="10" fillId="0" borderId="21" xfId="70" applyFont="true" applyBorder="true" applyAlignment="true" applyProtection="false">
      <alignment horizontal="general" vertical="bottom" textRotation="0" wrapText="false" indent="0" shrinkToFit="false"/>
      <protection locked="true" hidden="false"/>
    </xf>
    <xf numFmtId="164" fontId="159" fillId="0" borderId="0" xfId="0" applyFont="true" applyBorder="false" applyAlignment="true" applyProtection="false">
      <alignment horizontal="general" vertical="bottom" textRotation="0" wrapText="false" indent="0" shrinkToFit="false"/>
      <protection locked="true" hidden="false"/>
    </xf>
    <xf numFmtId="308" fontId="10" fillId="0" borderId="0" xfId="0" applyFont="true" applyBorder="false" applyAlignment="true" applyProtection="false">
      <alignment horizontal="general" vertical="bottom" textRotation="0" wrapText="false" indent="0" shrinkToFit="false"/>
      <protection locked="true" hidden="false"/>
    </xf>
    <xf numFmtId="202" fontId="178" fillId="0" borderId="0" xfId="417" applyFont="true" applyBorder="false" applyAlignment="true" applyProtection="false">
      <alignment horizontal="general" vertical="top" textRotation="0" wrapText="false" indent="0" shrinkToFit="false"/>
      <protection locked="true" hidden="false"/>
    </xf>
    <xf numFmtId="202" fontId="179" fillId="0" borderId="0" xfId="70" applyFont="true" applyBorder="false" applyAlignment="true" applyProtection="false">
      <alignment horizontal="general" vertical="bottom" textRotation="0" wrapText="false" indent="0" shrinkToFit="false"/>
      <protection locked="true" hidden="false"/>
    </xf>
    <xf numFmtId="202" fontId="178" fillId="0" borderId="0" xfId="70" applyFont="true" applyBorder="false" applyAlignment="true" applyProtection="false">
      <alignment horizontal="general" vertical="bottom" textRotation="0" wrapText="false" indent="0" shrinkToFit="false"/>
      <protection locked="true" hidden="false"/>
    </xf>
    <xf numFmtId="313" fontId="179" fillId="0" borderId="0" xfId="70" applyFont="true" applyBorder="false" applyAlignment="true" applyProtection="false">
      <alignment horizontal="general" vertical="bottom" textRotation="0" wrapText="false" indent="0" shrinkToFit="false"/>
      <protection locked="true" hidden="false"/>
    </xf>
    <xf numFmtId="308" fontId="189" fillId="0" borderId="0" xfId="70" applyFont="true" applyBorder="false" applyAlignment="true" applyProtection="false">
      <alignment horizontal="general" vertical="bottom" textRotation="0" wrapText="false" indent="0" shrinkToFit="false"/>
      <protection locked="true" hidden="false"/>
    </xf>
    <xf numFmtId="197" fontId="178" fillId="0" borderId="0" xfId="0" applyFont="true" applyBorder="false" applyAlignment="true" applyProtection="false">
      <alignment horizontal="general" vertical="bottom" textRotation="0" wrapText="false" indent="0" shrinkToFit="false"/>
      <protection locked="true" hidden="false"/>
    </xf>
    <xf numFmtId="197" fontId="0" fillId="0" borderId="0" xfId="0" applyFont="false" applyBorder="false" applyAlignment="true" applyProtection="false">
      <alignment horizontal="general" vertical="bottom" textRotation="0" wrapText="false" indent="0" shrinkToFit="false"/>
      <protection locked="true" hidden="false"/>
    </xf>
    <xf numFmtId="308" fontId="185" fillId="39" borderId="0" xfId="70" applyFont="true" applyBorder="false" applyAlignment="true" applyProtection="false">
      <alignment horizontal="general" vertical="bottom" textRotation="0" wrapText="false" indent="0" shrinkToFit="false"/>
      <protection locked="true" hidden="false"/>
    </xf>
    <xf numFmtId="314" fontId="179" fillId="39" borderId="0" xfId="70" applyFont="true" applyBorder="false" applyAlignment="true" applyProtection="false">
      <alignment horizontal="general" vertical="bottom" textRotation="0" wrapText="false" indent="0" shrinkToFit="false"/>
      <protection locked="true" hidden="false"/>
    </xf>
    <xf numFmtId="202" fontId="179" fillId="39" borderId="0" xfId="70" applyFont="true" applyBorder="false" applyAlignment="true" applyProtection="false">
      <alignment horizontal="general" vertical="bottom" textRotation="0" wrapText="false" indent="0" shrinkToFit="false"/>
      <protection locked="true" hidden="false"/>
    </xf>
    <xf numFmtId="308" fontId="190" fillId="0" borderId="21" xfId="70" applyFont="true" applyBorder="true" applyAlignment="true" applyProtection="false">
      <alignment horizontal="general" vertical="bottom" textRotation="0" wrapText="false" indent="0" shrinkToFit="false"/>
      <protection locked="true" hidden="false"/>
    </xf>
    <xf numFmtId="313" fontId="179" fillId="39" borderId="0" xfId="70" applyFont="true" applyBorder="false" applyAlignment="true" applyProtection="false">
      <alignment horizontal="general" vertical="bottom" textRotation="0" wrapText="false" indent="0" shrinkToFit="false"/>
      <protection locked="true" hidden="false"/>
    </xf>
    <xf numFmtId="313" fontId="190" fillId="0" borderId="0" xfId="70" applyFont="true" applyBorder="false" applyAlignment="true" applyProtection="false">
      <alignment horizontal="general" vertical="bottom" textRotation="0" wrapText="false" indent="0" shrinkToFit="false"/>
      <protection locked="true" hidden="false"/>
    </xf>
    <xf numFmtId="313" fontId="190" fillId="0" borderId="21" xfId="70" applyFont="true" applyBorder="true" applyAlignment="true" applyProtection="false">
      <alignment horizontal="general" vertical="bottom" textRotation="0" wrapText="false" indent="0" shrinkToFit="false"/>
      <protection locked="true" hidden="false"/>
    </xf>
    <xf numFmtId="197" fontId="179" fillId="0" borderId="0" xfId="0" applyFont="true" applyBorder="false" applyAlignment="true" applyProtection="false">
      <alignment horizontal="general" vertical="bottom" textRotation="0" wrapText="false" indent="0" shrinkToFit="false"/>
      <protection locked="true" hidden="false"/>
    </xf>
    <xf numFmtId="308" fontId="55" fillId="0" borderId="21" xfId="70" applyFont="true" applyBorder="true" applyAlignment="true" applyProtection="false">
      <alignment horizontal="general" vertical="bottom" textRotation="0" wrapText="false" indent="0" shrinkToFit="false"/>
      <protection locked="true" hidden="false"/>
    </xf>
    <xf numFmtId="197" fontId="55" fillId="0" borderId="0" xfId="0" applyFont="true" applyBorder="false" applyAlignment="true" applyProtection="false">
      <alignment horizontal="general" vertical="bottom" textRotation="0" wrapText="false" indent="0" shrinkToFit="false"/>
      <protection locked="true" hidden="false"/>
    </xf>
    <xf numFmtId="310" fontId="55" fillId="0" borderId="0" xfId="70" applyFont="true" applyBorder="false" applyAlignment="true" applyProtection="false">
      <alignment horizontal="general" vertical="bottom" textRotation="0" wrapText="false" indent="0" shrinkToFit="false"/>
      <protection locked="true" hidden="false"/>
    </xf>
    <xf numFmtId="171" fontId="185" fillId="0" borderId="0" xfId="0" applyFont="true" applyBorder="false" applyAlignment="true" applyProtection="false">
      <alignment horizontal="general" vertical="bottom" textRotation="0" wrapText="false" indent="0" shrinkToFit="false"/>
      <protection locked="true" hidden="false"/>
    </xf>
    <xf numFmtId="172" fontId="185"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4" fontId="10" fillId="0" borderId="21" xfId="0" applyFont="true" applyBorder="true" applyAlignment="true" applyProtection="false">
      <alignment horizontal="general" vertical="bottom" textRotation="0" wrapText="false" indent="0" shrinkToFit="false"/>
      <protection locked="true" hidden="false"/>
    </xf>
    <xf numFmtId="308" fontId="159" fillId="0" borderId="21" xfId="70" applyFont="true" applyBorder="true" applyAlignment="true" applyProtection="false">
      <alignment horizontal="general" vertical="bottom" textRotation="0" wrapText="false" indent="0" shrinkToFit="false"/>
      <protection locked="true" hidden="false"/>
    </xf>
    <xf numFmtId="310" fontId="185" fillId="0" borderId="21" xfId="70" applyFont="true" applyBorder="true" applyAlignment="true" applyProtection="false">
      <alignment horizontal="general" vertical="bottom" textRotation="0" wrapText="false" indent="0" shrinkToFit="false"/>
      <protection locked="true" hidden="false"/>
    </xf>
    <xf numFmtId="172" fontId="179" fillId="0" borderId="0" xfId="0" applyFont="true" applyBorder="false" applyAlignment="true" applyProtection="false">
      <alignment horizontal="general" vertical="bottom" textRotation="0" wrapText="false" indent="0" shrinkToFit="false"/>
      <protection locked="true" hidden="false"/>
    </xf>
    <xf numFmtId="310" fontId="179" fillId="0" borderId="0" xfId="70" applyFont="true" applyBorder="false" applyAlignment="true" applyProtection="false">
      <alignment horizontal="general" vertical="bottom" textRotation="0" wrapText="false" indent="0" shrinkToFit="false"/>
      <protection locked="true" hidden="false"/>
    </xf>
    <xf numFmtId="310" fontId="179" fillId="0" borderId="21" xfId="70" applyFont="true" applyBorder="true" applyAlignment="true" applyProtection="false">
      <alignment horizontal="general" vertical="bottom" textRotation="0" wrapText="false" indent="0" shrinkToFit="false"/>
      <protection locked="true" hidden="false"/>
    </xf>
    <xf numFmtId="172" fontId="185" fillId="0" borderId="21" xfId="0" applyFont="true" applyBorder="true" applyAlignment="true" applyProtection="false">
      <alignment horizontal="general" vertical="bottom" textRotation="0" wrapText="false" indent="0" shrinkToFit="false"/>
      <protection locked="true" hidden="false"/>
    </xf>
    <xf numFmtId="172" fontId="159" fillId="0" borderId="0" xfId="0" applyFont="true" applyBorder="false" applyAlignment="true" applyProtection="false">
      <alignment horizontal="general" vertical="bottom" textRotation="0" wrapText="false" indent="0" shrinkToFit="false"/>
      <protection locked="true" hidden="false"/>
    </xf>
    <xf numFmtId="310" fontId="159" fillId="0" borderId="0" xfId="70" applyFont="true" applyBorder="false" applyAlignment="true" applyProtection="false">
      <alignment horizontal="general" vertical="bottom" textRotation="0" wrapText="false" indent="0" shrinkToFit="false"/>
      <protection locked="true" hidden="false"/>
    </xf>
    <xf numFmtId="273" fontId="55" fillId="0" borderId="0" xfId="74" applyFont="true" applyBorder="false" applyAlignment="true" applyProtection="false">
      <alignment horizontal="general" vertical="bottom" textRotation="0" wrapText="false" indent="0" shrinkToFit="false"/>
      <protection locked="true" hidden="false"/>
    </xf>
    <xf numFmtId="172" fontId="178"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178" fillId="0" borderId="21" xfId="0" applyFont="true" applyBorder="true" applyAlignment="true" applyProtection="false">
      <alignment horizontal="general" vertical="bottom" textRotation="0" wrapText="false" indent="0" shrinkToFit="false"/>
      <protection locked="true" hidden="false"/>
    </xf>
    <xf numFmtId="308" fontId="180" fillId="0" borderId="0" xfId="0" applyFont="true" applyBorder="false" applyAlignment="true" applyProtection="false">
      <alignment horizontal="general" vertical="bottom" textRotation="0" wrapText="false" indent="0" shrinkToFit="false"/>
      <protection locked="true" hidden="false"/>
    </xf>
    <xf numFmtId="202" fontId="179" fillId="0" borderId="21" xfId="0" applyFont="true" applyBorder="true" applyAlignment="true" applyProtection="false">
      <alignment horizontal="general" vertical="bottom" textRotation="0" wrapText="false" indent="0" shrinkToFit="false"/>
      <protection locked="true" hidden="false"/>
    </xf>
    <xf numFmtId="202" fontId="55" fillId="0" borderId="0" xfId="0" applyFont="true" applyBorder="false" applyAlignment="true" applyProtection="false">
      <alignment horizontal="general" vertical="bottom" textRotation="0" wrapText="false" indent="0" shrinkToFit="false"/>
      <protection locked="true" hidden="false"/>
    </xf>
    <xf numFmtId="172" fontId="179" fillId="0" borderId="21" xfId="0" applyFont="true" applyBorder="true" applyAlignment="true" applyProtection="false">
      <alignment horizontal="general" vertical="bottom" textRotation="0" wrapText="false" indent="0" shrinkToFit="false"/>
      <protection locked="true" hidden="false"/>
    </xf>
    <xf numFmtId="172" fontId="55" fillId="0" borderId="0" xfId="0" applyFont="true" applyBorder="false" applyAlignment="true" applyProtection="false">
      <alignment horizontal="general" vertical="bottom" textRotation="0" wrapText="false" indent="0" shrinkToFit="false"/>
      <protection locked="true" hidden="false"/>
    </xf>
    <xf numFmtId="164" fontId="10" fillId="0" borderId="38" xfId="0" applyFont="true" applyBorder="true" applyAlignment="true" applyProtection="false">
      <alignment horizontal="general" vertical="bottom" textRotation="0" wrapText="false" indent="0" shrinkToFit="false"/>
      <protection locked="true" hidden="false"/>
    </xf>
    <xf numFmtId="308" fontId="185" fillId="0" borderId="38" xfId="0" applyFont="true" applyBorder="true" applyAlignment="true" applyProtection="false">
      <alignment horizontal="general" vertical="bottom" textRotation="0" wrapText="false" indent="0" shrinkToFit="false"/>
      <protection locked="true" hidden="false"/>
    </xf>
    <xf numFmtId="164" fontId="185" fillId="0" borderId="38" xfId="0" applyFont="true" applyBorder="true" applyAlignment="true" applyProtection="false">
      <alignment horizontal="general" vertical="bottom" textRotation="0" wrapText="false" indent="0" shrinkToFit="false"/>
      <protection locked="true" hidden="false"/>
    </xf>
    <xf numFmtId="308" fontId="10" fillId="0" borderId="38" xfId="0" applyFont="true" applyBorder="true" applyAlignment="true" applyProtection="false">
      <alignment horizontal="general" vertical="bottom" textRotation="0" wrapText="false" indent="0" shrinkToFit="false"/>
      <protection locked="true" hidden="false"/>
    </xf>
    <xf numFmtId="308" fontId="159" fillId="0" borderId="15" xfId="70" applyFont="true" applyBorder="true" applyAlignment="true" applyProtection="false">
      <alignment horizontal="general" vertical="bottom" textRotation="0" wrapText="false" indent="0" shrinkToFit="false"/>
      <protection locked="true" hidden="false"/>
    </xf>
    <xf numFmtId="164" fontId="159" fillId="0" borderId="38" xfId="0" applyFont="true" applyBorder="true" applyAlignment="true" applyProtection="false">
      <alignment horizontal="general" vertical="bottom" textRotation="0" wrapText="false" indent="0" shrinkToFit="false"/>
      <protection locked="true" hidden="false"/>
    </xf>
    <xf numFmtId="251"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308"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308" fontId="179" fillId="0" borderId="0" xfId="70" applyFont="true" applyBorder="false" applyAlignment="true" applyProtection="false">
      <alignment horizontal="right" vertical="bottom" textRotation="0" wrapText="false" indent="0" shrinkToFit="false"/>
      <protection locked="true" hidden="false"/>
    </xf>
    <xf numFmtId="262" fontId="0" fillId="0" borderId="0" xfId="0" applyFont="false" applyBorder="false" applyAlignment="true" applyProtection="false">
      <alignment horizontal="general" vertical="bottom" textRotation="0" wrapText="false" indent="0" shrinkToFit="false"/>
      <protection locked="true" hidden="false"/>
    </xf>
    <xf numFmtId="308" fontId="10" fillId="0" borderId="21" xfId="70" applyFont="true" applyBorder="true" applyAlignment="true" applyProtection="false">
      <alignment horizontal="general" vertical="bottom" textRotation="0" wrapText="false" indent="0" shrinkToFit="false"/>
      <protection locked="true" hidden="false"/>
    </xf>
    <xf numFmtId="164" fontId="184" fillId="0" borderId="0" xfId="0" applyFont="true" applyBorder="false" applyAlignment="true" applyProtection="false">
      <alignment horizontal="general" vertical="bottom" textRotation="0" wrapText="false" indent="0" shrinkToFit="false"/>
      <protection locked="true" hidden="false"/>
    </xf>
    <xf numFmtId="251" fontId="185" fillId="0" borderId="0" xfId="74" applyFont="true" applyBorder="false" applyAlignment="true" applyProtection="false">
      <alignment horizontal="general" vertical="bottom" textRotation="0" wrapText="false" indent="0" shrinkToFit="false"/>
      <protection locked="true" hidden="false"/>
    </xf>
    <xf numFmtId="251" fontId="10" fillId="0" borderId="0" xfId="74" applyFont="true" applyBorder="false" applyAlignment="true" applyProtection="false">
      <alignment horizontal="general" vertical="bottom" textRotation="0" wrapText="false" indent="0" shrinkToFit="false"/>
      <protection locked="true" hidden="false"/>
    </xf>
    <xf numFmtId="310" fontId="0" fillId="0" borderId="0" xfId="0" applyFont="false" applyBorder="false" applyAlignment="true" applyProtection="false">
      <alignment horizontal="general" vertical="bottom" textRotation="0" wrapText="false" indent="0" shrinkToFit="false"/>
      <protection locked="true" hidden="false"/>
    </xf>
    <xf numFmtId="164" fontId="195" fillId="0" borderId="0" xfId="0" applyFont="true" applyBorder="false" applyAlignment="true" applyProtection="false">
      <alignment horizontal="general" vertical="bottom" textRotation="0" wrapText="false" indent="0" shrinkToFit="false"/>
      <protection locked="true" hidden="false"/>
    </xf>
    <xf numFmtId="164" fontId="185" fillId="44" borderId="0" xfId="0" applyFont="true" applyBorder="false" applyAlignment="true" applyProtection="false">
      <alignment horizontal="general" vertical="bottom" textRotation="0" wrapText="false" indent="0" shrinkToFit="false"/>
      <protection locked="true" hidden="false"/>
    </xf>
    <xf numFmtId="164" fontId="10" fillId="44" borderId="0" xfId="0" applyFont="true" applyBorder="false" applyAlignment="true" applyProtection="false">
      <alignment horizontal="general" vertical="bottom" textRotation="0" wrapText="false" indent="0" shrinkToFit="false"/>
      <protection locked="true" hidden="false"/>
    </xf>
    <xf numFmtId="164" fontId="185" fillId="45" borderId="0" xfId="0" applyFont="true" applyBorder="false" applyAlignment="true" applyProtection="false">
      <alignment horizontal="general" vertical="bottom" textRotation="0" wrapText="false" indent="0" shrinkToFit="false"/>
      <protection locked="true" hidden="false"/>
    </xf>
    <xf numFmtId="164" fontId="10" fillId="45" borderId="0" xfId="0" applyFont="true" applyBorder="false" applyAlignment="true" applyProtection="false">
      <alignment horizontal="general" vertical="bottom" textRotation="0" wrapText="false" indent="0" shrinkToFit="false"/>
      <protection locked="true" hidden="false"/>
    </xf>
    <xf numFmtId="164" fontId="185" fillId="46" borderId="0" xfId="0" applyFont="true" applyBorder="false" applyAlignment="true" applyProtection="false">
      <alignment horizontal="general" vertical="bottom" textRotation="0" wrapText="false" indent="0" shrinkToFit="false"/>
      <protection locked="true" hidden="false"/>
    </xf>
    <xf numFmtId="164" fontId="0" fillId="46" borderId="0" xfId="0" applyFont="false" applyBorder="false" applyAlignment="true" applyProtection="false">
      <alignment horizontal="general" vertical="bottom" textRotation="0" wrapText="false" indent="0" shrinkToFit="false"/>
      <protection locked="true" hidden="false"/>
    </xf>
    <xf numFmtId="291" fontId="185" fillId="21" borderId="16" xfId="0" applyFont="true" applyBorder="true" applyAlignment="true" applyProtection="false">
      <alignment horizontal="general" vertical="bottom" textRotation="0" wrapText="false" indent="0" shrinkToFit="false"/>
      <protection locked="true" hidden="false"/>
    </xf>
    <xf numFmtId="291" fontId="185" fillId="21" borderId="18" xfId="0" applyFont="true" applyBorder="true" applyAlignment="true" applyProtection="false">
      <alignment horizontal="general" vertical="bottom" textRotation="0" wrapText="false" indent="0" shrinkToFit="false"/>
      <protection locked="true" hidden="false"/>
    </xf>
    <xf numFmtId="291" fontId="185" fillId="45" borderId="18" xfId="0" applyFont="true" applyBorder="true" applyAlignment="true" applyProtection="false">
      <alignment horizontal="general" vertical="bottom" textRotation="0" wrapText="false" indent="0" shrinkToFit="false"/>
      <protection locked="true" hidden="false"/>
    </xf>
    <xf numFmtId="291" fontId="185" fillId="46" borderId="18" xfId="0" applyFont="true" applyBorder="true" applyAlignment="true" applyProtection="false">
      <alignment horizontal="general" vertical="bottom" textRotation="0" wrapText="false" indent="0" shrinkToFit="false"/>
      <protection locked="true" hidden="false"/>
    </xf>
    <xf numFmtId="308" fontId="180" fillId="21" borderId="2" xfId="70" applyFont="true" applyBorder="true" applyAlignment="true" applyProtection="false">
      <alignment horizontal="general" vertical="bottom" textRotation="0" wrapText="false" indent="0" shrinkToFit="false"/>
      <protection locked="true" hidden="false"/>
    </xf>
    <xf numFmtId="308" fontId="180" fillId="21" borderId="0" xfId="70" applyFont="true" applyBorder="false" applyAlignment="true" applyProtection="false">
      <alignment horizontal="general" vertical="bottom" textRotation="0" wrapText="false" indent="0" shrinkToFit="false"/>
      <protection locked="true" hidden="false"/>
    </xf>
    <xf numFmtId="308" fontId="180" fillId="45" borderId="0" xfId="70" applyFont="true" applyBorder="false" applyAlignment="true" applyProtection="false">
      <alignment horizontal="general" vertical="bottom" textRotation="0" wrapText="false" indent="0" shrinkToFit="false"/>
      <protection locked="true" hidden="false"/>
    </xf>
    <xf numFmtId="308" fontId="0" fillId="46" borderId="0" xfId="70" applyFont="true" applyBorder="false" applyAlignment="true" applyProtection="false">
      <alignment horizontal="general" vertical="bottom" textRotation="0" wrapText="false" indent="0" shrinkToFit="false"/>
      <protection locked="true" hidden="false"/>
    </xf>
    <xf numFmtId="251" fontId="179" fillId="21" borderId="2" xfId="74" applyFont="true" applyBorder="true" applyAlignment="true" applyProtection="false">
      <alignment horizontal="general" vertical="bottom" textRotation="0" wrapText="false" indent="0" shrinkToFit="false"/>
      <protection locked="true" hidden="false"/>
    </xf>
    <xf numFmtId="251" fontId="179" fillId="21" borderId="0" xfId="74" applyFont="true" applyBorder="false" applyAlignment="true" applyProtection="false">
      <alignment horizontal="general" vertical="bottom" textRotation="0" wrapText="false" indent="0" shrinkToFit="false"/>
      <protection locked="true" hidden="false"/>
    </xf>
    <xf numFmtId="251" fontId="179" fillId="45" borderId="0" xfId="74" applyFont="true" applyBorder="false" applyAlignment="true" applyProtection="false">
      <alignment horizontal="general" vertical="bottom" textRotation="0" wrapText="false" indent="0" shrinkToFit="false"/>
      <protection locked="true" hidden="false"/>
    </xf>
    <xf numFmtId="251" fontId="184" fillId="46" borderId="0" xfId="0" applyFont="true" applyBorder="false" applyAlignment="true" applyProtection="false">
      <alignment horizontal="general" vertical="bottom" textRotation="0" wrapText="false" indent="0" shrinkToFit="false"/>
      <protection locked="true" hidden="false"/>
    </xf>
    <xf numFmtId="308" fontId="178" fillId="21" borderId="2" xfId="70" applyFont="true" applyBorder="true" applyAlignment="true" applyProtection="false">
      <alignment horizontal="general" vertical="bottom" textRotation="0" wrapText="false" indent="0" shrinkToFit="false"/>
      <protection locked="true" hidden="false"/>
    </xf>
    <xf numFmtId="308" fontId="178" fillId="21" borderId="0" xfId="70" applyFont="true" applyBorder="false" applyAlignment="true" applyProtection="false">
      <alignment horizontal="general" vertical="bottom" textRotation="0" wrapText="false" indent="0" shrinkToFit="false"/>
      <protection locked="true" hidden="false"/>
    </xf>
    <xf numFmtId="308" fontId="179" fillId="21" borderId="2" xfId="70" applyFont="true" applyBorder="true" applyAlignment="true" applyProtection="false">
      <alignment horizontal="general" vertical="bottom" textRotation="0" wrapText="false" indent="0" shrinkToFit="false"/>
      <protection locked="true" hidden="false"/>
    </xf>
    <xf numFmtId="308" fontId="179" fillId="21" borderId="0" xfId="70" applyFont="true" applyBorder="false" applyAlignment="true" applyProtection="false">
      <alignment horizontal="general" vertical="bottom" textRotation="0" wrapText="false" indent="0" shrinkToFit="false"/>
      <protection locked="true" hidden="false"/>
    </xf>
    <xf numFmtId="308" fontId="179" fillId="45" borderId="0" xfId="70" applyFont="true" applyBorder="false" applyAlignment="true" applyProtection="false">
      <alignment horizontal="general" vertical="bottom" textRotation="0" wrapText="false" indent="0" shrinkToFit="false"/>
      <protection locked="true" hidden="false"/>
    </xf>
    <xf numFmtId="308" fontId="179" fillId="46" borderId="0" xfId="70" applyFont="true" applyBorder="false" applyAlignment="true" applyProtection="false">
      <alignment horizontal="general" vertical="bottom" textRotation="0" wrapText="false" indent="0" shrinkToFit="false"/>
      <protection locked="true" hidden="false"/>
    </xf>
    <xf numFmtId="309" fontId="179" fillId="46" borderId="0" xfId="0" applyFont="true" applyBorder="false" applyAlignment="true" applyProtection="false">
      <alignment horizontal="general" vertical="bottom" textRotation="0" wrapText="false" indent="0" shrinkToFit="false"/>
      <protection locked="true" hidden="false"/>
    </xf>
    <xf numFmtId="308" fontId="178" fillId="21" borderId="46" xfId="70" applyFont="true" applyBorder="true" applyAlignment="true" applyProtection="false">
      <alignment horizontal="general" vertical="bottom" textRotation="0" wrapText="false" indent="0" shrinkToFit="false"/>
      <protection locked="true" hidden="false"/>
    </xf>
    <xf numFmtId="308" fontId="178" fillId="21" borderId="27" xfId="70" applyFont="true" applyBorder="true" applyAlignment="true" applyProtection="false">
      <alignment horizontal="general" vertical="bottom" textRotation="0" wrapText="false" indent="0" shrinkToFit="false"/>
      <protection locked="true" hidden="false"/>
    </xf>
    <xf numFmtId="308" fontId="180" fillId="45" borderId="27" xfId="70" applyFont="true" applyBorder="true" applyAlignment="true" applyProtection="false">
      <alignment horizontal="general" vertical="bottom" textRotation="0" wrapText="false" indent="0" shrinkToFit="false"/>
      <protection locked="true" hidden="false"/>
    </xf>
    <xf numFmtId="308" fontId="185" fillId="0" borderId="0" xfId="0" applyFont="true" applyBorder="false" applyAlignment="true" applyProtection="false">
      <alignment horizontal="general" vertical="bottom" textRotation="0" wrapText="false" indent="0" shrinkToFit="false"/>
      <protection locked="true" hidden="false"/>
    </xf>
    <xf numFmtId="262" fontId="179" fillId="0" borderId="0" xfId="74" applyFont="true" applyBorder="false" applyAlignment="true" applyProtection="false">
      <alignment horizontal="general" vertical="bottom" textRotation="0" wrapText="false" indent="0" shrinkToFit="false"/>
      <protection locked="true" hidden="false"/>
    </xf>
    <xf numFmtId="262" fontId="179" fillId="0" borderId="0" xfId="0" applyFont="true" applyBorder="false" applyAlignment="true" applyProtection="false">
      <alignment horizontal="general" vertical="bottom" textRotation="0" wrapText="false" indent="0" shrinkToFit="false"/>
      <protection locked="true" hidden="false"/>
    </xf>
    <xf numFmtId="164" fontId="6" fillId="0" borderId="0" xfId="719" applyFont="true" applyBorder="false" applyAlignment="true" applyProtection="false">
      <alignment horizontal="general" vertical="bottom" textRotation="0" wrapText="false" indent="0" shrinkToFit="false"/>
      <protection locked="true" hidden="false"/>
    </xf>
    <xf numFmtId="164" fontId="179" fillId="0" borderId="60" xfId="719" applyFont="true" applyBorder="true" applyAlignment="true" applyProtection="false">
      <alignment horizontal="general" vertical="bottom" textRotation="0" wrapText="false" indent="0" shrinkToFit="false"/>
      <protection locked="true" hidden="false"/>
    </xf>
    <xf numFmtId="251" fontId="179" fillId="0" borderId="0" xfId="0" applyFont="true" applyBorder="false" applyAlignment="true" applyProtection="false">
      <alignment horizontal="general" vertical="bottom" textRotation="0" wrapText="false" indent="0" shrinkToFit="false"/>
      <protection locked="true" hidden="false"/>
    </xf>
    <xf numFmtId="262" fontId="0" fillId="30" borderId="0" xfId="0" applyFont="false" applyBorder="false" applyAlignment="true" applyProtection="false">
      <alignment horizontal="general" vertical="bottom" textRotation="0" wrapText="false" indent="0" shrinkToFit="false"/>
      <protection locked="true" hidden="false"/>
    </xf>
    <xf numFmtId="310" fontId="179" fillId="30" borderId="0" xfId="70" applyFont="true" applyBorder="false" applyAlignment="true" applyProtection="false">
      <alignment horizontal="general" vertical="bottom" textRotation="0" wrapText="false" indent="0" shrinkToFit="false"/>
      <protection locked="true" hidden="false"/>
    </xf>
    <xf numFmtId="224" fontId="0" fillId="0" borderId="0" xfId="0" applyFont="false" applyBorder="false" applyAlignment="true" applyProtection="false">
      <alignment horizontal="general" vertical="bottom" textRotation="0" wrapText="false" indent="0" shrinkToFit="false"/>
      <protection locked="true" hidden="false"/>
    </xf>
    <xf numFmtId="164" fontId="196" fillId="0" borderId="60" xfId="719" applyFont="true" applyBorder="true" applyAlignment="true" applyProtection="false">
      <alignment horizontal="general" vertical="bottom" textRotation="0" wrapText="false" indent="0" shrinkToFit="false"/>
      <protection locked="true" hidden="false"/>
    </xf>
    <xf numFmtId="309" fontId="185" fillId="30" borderId="0" xfId="70" applyFont="true" applyBorder="false" applyAlignment="true" applyProtection="false">
      <alignment horizontal="general" vertical="bottom" textRotation="0" wrapText="false" indent="0" shrinkToFit="false"/>
      <protection locked="true" hidden="false"/>
    </xf>
    <xf numFmtId="164" fontId="197" fillId="27" borderId="0" xfId="695" applyFont="true" applyBorder="false" applyAlignment="true" applyProtection="false">
      <alignment horizontal="general" vertical="bottom" textRotation="0" wrapText="false" indent="0" shrinkToFit="false"/>
      <protection locked="true" hidden="false"/>
    </xf>
    <xf numFmtId="164" fontId="179" fillId="27" borderId="0" xfId="695" applyFont="true" applyBorder="false" applyAlignment="true" applyProtection="false">
      <alignment horizontal="general" vertical="bottom" textRotation="0" wrapText="false" indent="0" shrinkToFit="false"/>
      <protection locked="true" hidden="false"/>
    </xf>
    <xf numFmtId="273" fontId="0" fillId="0" borderId="0" xfId="0" applyFont="false" applyBorder="false" applyAlignment="true" applyProtection="false">
      <alignment horizontal="general" vertical="bottom" textRotation="0" wrapText="false" indent="0" shrinkToFit="false"/>
      <protection locked="true" hidden="false"/>
    </xf>
    <xf numFmtId="251" fontId="178" fillId="0" borderId="0" xfId="74" applyFont="true" applyBorder="false" applyAlignment="true" applyProtection="false">
      <alignment horizontal="general" vertical="bottom" textRotation="0" wrapText="false" indent="0" shrinkToFit="false"/>
      <protection locked="true" hidden="false"/>
    </xf>
    <xf numFmtId="164" fontId="198" fillId="27" borderId="0" xfId="695" applyFont="true" applyBorder="false" applyAlignment="true" applyProtection="false">
      <alignment horizontal="general" vertical="bottom" textRotation="0" wrapText="false" indent="0" shrinkToFit="false"/>
      <protection locked="true" hidden="false"/>
    </xf>
    <xf numFmtId="308" fontId="185" fillId="30" borderId="0" xfId="70" applyFont="true" applyBorder="fals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right" vertical="bottom" textRotation="0" wrapText="false" indent="0" shrinkToFit="false"/>
      <protection locked="true" hidden="false"/>
    </xf>
    <xf numFmtId="172" fontId="178" fillId="39" borderId="0" xfId="0" applyFont="true" applyBorder="false" applyAlignment="true" applyProtection="false">
      <alignment horizontal="general" vertical="bottom" textRotation="0" wrapText="false" indent="0" shrinkToFit="false"/>
      <protection locked="true" hidden="false"/>
    </xf>
    <xf numFmtId="309" fontId="181" fillId="39" borderId="0" xfId="0" applyFont="true" applyBorder="false" applyAlignment="true" applyProtection="false">
      <alignment horizontal="general" vertical="bottom" textRotation="0" wrapText="false" indent="0" shrinkToFit="false"/>
      <protection locked="true" hidden="false"/>
    </xf>
    <xf numFmtId="262" fontId="184" fillId="0" borderId="0" xfId="0" applyFont="true" applyBorder="false" applyAlignment="true" applyProtection="false">
      <alignment horizontal="general" vertical="bottom" textRotation="0" wrapText="false" indent="0" shrinkToFit="false"/>
      <protection locked="true" hidden="false"/>
    </xf>
    <xf numFmtId="262" fontId="185" fillId="39" borderId="0" xfId="0" applyFont="true" applyBorder="false" applyAlignment="true" applyProtection="false">
      <alignment horizontal="general" vertical="bottom" textRotation="0" wrapText="false" indent="0" shrinkToFit="false"/>
      <protection locked="true" hidden="false"/>
    </xf>
    <xf numFmtId="310" fontId="179" fillId="39" borderId="0" xfId="70" applyFont="true" applyBorder="false" applyAlignment="true" applyProtection="false">
      <alignment horizontal="general" vertical="bottom" textRotation="0" wrapText="false" indent="0" shrinkToFit="false"/>
      <protection locked="true" hidden="false"/>
    </xf>
    <xf numFmtId="164" fontId="179" fillId="0" borderId="22" xfId="0" applyFont="true" applyBorder="true" applyAlignment="true" applyProtection="false">
      <alignment horizontal="general" vertical="center" textRotation="0" wrapText="false" indent="0" shrinkToFit="false"/>
      <protection locked="true" hidden="false"/>
    </xf>
    <xf numFmtId="164" fontId="199" fillId="0" borderId="16" xfId="0" applyFont="true" applyBorder="true" applyAlignment="true" applyProtection="false">
      <alignment horizontal="general" vertical="center" textRotation="0" wrapText="false" indent="0" shrinkToFit="false"/>
      <protection locked="true" hidden="false"/>
    </xf>
    <xf numFmtId="164" fontId="179" fillId="0" borderId="18" xfId="0" applyFont="true" applyBorder="true" applyAlignment="true" applyProtection="false">
      <alignment horizontal="general" vertical="center" textRotation="0" wrapText="false" indent="0" shrinkToFit="false"/>
      <protection locked="true" hidden="false"/>
    </xf>
    <xf numFmtId="164" fontId="199" fillId="0" borderId="49" xfId="0" applyFont="true" applyBorder="true" applyAlignment="true" applyProtection="false">
      <alignment horizontal="general" vertical="center" textRotation="0" wrapText="false" indent="0" shrinkToFit="false"/>
      <protection locked="true" hidden="false"/>
    </xf>
    <xf numFmtId="164" fontId="199" fillId="0" borderId="45" xfId="0" applyFont="true" applyBorder="true" applyAlignment="true" applyProtection="false">
      <alignment horizontal="general" vertical="center" textRotation="0" wrapText="false" indent="0" shrinkToFit="false"/>
      <protection locked="true" hidden="false"/>
    </xf>
    <xf numFmtId="164" fontId="179" fillId="0" borderId="14" xfId="0" applyFont="true" applyBorder="true" applyAlignment="true" applyProtection="false">
      <alignment horizontal="center" vertical="center" textRotation="0" wrapText="false" indent="0" shrinkToFit="false"/>
      <protection locked="true" hidden="false"/>
    </xf>
    <xf numFmtId="164" fontId="179" fillId="0" borderId="15" xfId="0" applyFont="true" applyBorder="true" applyAlignment="true" applyProtection="false">
      <alignment horizontal="center" vertical="center" textRotation="0" wrapText="false" indent="0" shrinkToFit="false"/>
      <protection locked="true" hidden="false"/>
    </xf>
    <xf numFmtId="164" fontId="179" fillId="0" borderId="48" xfId="0" applyFont="true" applyBorder="true" applyAlignment="true" applyProtection="false">
      <alignment horizontal="center" vertical="center" textRotation="0" wrapText="false" indent="0" shrinkToFit="false"/>
      <protection locked="true" hidden="false"/>
    </xf>
    <xf numFmtId="164" fontId="179" fillId="0" borderId="21" xfId="0" applyFont="true" applyBorder="true" applyAlignment="true" applyProtection="false">
      <alignment horizontal="general" vertical="center" textRotation="0" wrapText="false" indent="0" shrinkToFit="false"/>
      <protection locked="true" hidden="false"/>
    </xf>
    <xf numFmtId="308" fontId="178" fillId="0" borderId="16" xfId="70" applyFont="true" applyBorder="true" applyAlignment="true" applyProtection="false">
      <alignment horizontal="general" vertical="center" textRotation="0" wrapText="false" indent="0" shrinkToFit="false"/>
      <protection locked="true" hidden="false"/>
    </xf>
    <xf numFmtId="308" fontId="178" fillId="0" borderId="22" xfId="70" applyFont="true" applyBorder="true" applyAlignment="true" applyProtection="false">
      <alignment horizontal="general" vertical="center" textRotation="0" wrapText="false" indent="0" shrinkToFit="false"/>
      <protection locked="true" hidden="false"/>
    </xf>
    <xf numFmtId="310" fontId="179" fillId="0" borderId="49" xfId="70" applyFont="true" applyBorder="true" applyAlignment="true" applyProtection="false">
      <alignment horizontal="general" vertical="center" textRotation="0" wrapText="false" indent="0" shrinkToFit="false"/>
      <protection locked="true" hidden="false"/>
    </xf>
    <xf numFmtId="308" fontId="178" fillId="0" borderId="2" xfId="70" applyFont="true" applyBorder="true" applyAlignment="true" applyProtection="false">
      <alignment horizontal="general" vertical="center" textRotation="0" wrapText="false" indent="0" shrinkToFit="false"/>
      <protection locked="true" hidden="false"/>
    </xf>
    <xf numFmtId="308" fontId="178" fillId="0" borderId="21" xfId="70" applyFont="true" applyBorder="true" applyAlignment="true" applyProtection="false">
      <alignment horizontal="general" vertical="center" textRotation="0" wrapText="false" indent="0" shrinkToFit="false"/>
      <protection locked="true" hidden="false"/>
    </xf>
    <xf numFmtId="310" fontId="179" fillId="0" borderId="19" xfId="70" applyFont="true" applyBorder="true" applyAlignment="true" applyProtection="false">
      <alignment horizontal="general" vertical="center" textRotation="0" wrapText="false" indent="0" shrinkToFit="false"/>
      <protection locked="true" hidden="false"/>
    </xf>
    <xf numFmtId="164" fontId="179" fillId="0" borderId="15" xfId="0" applyFont="true" applyBorder="true" applyAlignment="true" applyProtection="false">
      <alignment horizontal="general" vertical="center" textRotation="0" wrapText="false" indent="0" shrinkToFit="false"/>
      <protection locked="true" hidden="false"/>
    </xf>
    <xf numFmtId="308" fontId="179" fillId="0" borderId="14" xfId="70" applyFont="true" applyBorder="true" applyAlignment="true" applyProtection="false">
      <alignment horizontal="general" vertical="center" textRotation="0" wrapText="false" indent="0" shrinkToFit="false"/>
      <protection locked="true" hidden="false"/>
    </xf>
    <xf numFmtId="308" fontId="179" fillId="0" borderId="15" xfId="70" applyFont="true" applyBorder="true" applyAlignment="true" applyProtection="false">
      <alignment horizontal="general" vertical="center" textRotation="0" wrapText="false" indent="0" shrinkToFit="false"/>
      <protection locked="true" hidden="false"/>
    </xf>
    <xf numFmtId="310" fontId="179" fillId="0" borderId="48" xfId="70" applyFont="true" applyBorder="true" applyAlignment="true" applyProtection="false">
      <alignment horizontal="general" vertical="center" textRotation="0" wrapText="false" indent="0" shrinkToFit="false"/>
      <protection locked="true" hidden="false"/>
    </xf>
    <xf numFmtId="308" fontId="179" fillId="0" borderId="46" xfId="70" applyFont="true" applyBorder="true" applyAlignment="true" applyProtection="false">
      <alignment horizontal="general" vertical="center" textRotation="0" wrapText="false" indent="0" shrinkToFit="false"/>
      <protection locked="true" hidden="false"/>
    </xf>
    <xf numFmtId="308" fontId="179" fillId="0" borderId="45" xfId="70" applyFont="true" applyBorder="true" applyAlignment="true" applyProtection="false">
      <alignment horizontal="general" vertical="center" textRotation="0" wrapText="false" indent="0" shrinkToFit="false"/>
      <protection locked="true" hidden="false"/>
    </xf>
    <xf numFmtId="310" fontId="179" fillId="0" borderId="47" xfId="70" applyFont="true" applyBorder="true" applyAlignment="true" applyProtection="false">
      <alignment horizontal="general" vertical="center" textRotation="0" wrapText="false" indent="0" shrinkToFit="false"/>
      <protection locked="true" hidden="false"/>
    </xf>
    <xf numFmtId="164" fontId="0" fillId="47" borderId="0" xfId="0" applyFont="false" applyBorder="true" applyAlignment="true" applyProtection="false">
      <alignment horizontal="general" vertical="bottom" textRotation="0" wrapText="true" indent="0" shrinkToFit="false"/>
      <protection locked="true" hidden="false"/>
    </xf>
    <xf numFmtId="291" fontId="200" fillId="47" borderId="0" xfId="0" applyFont="true" applyBorder="false" applyAlignment="true" applyProtection="false">
      <alignment horizontal="left" vertical="bottom" textRotation="0" wrapText="true" indent="0" shrinkToFit="false"/>
      <protection locked="true" hidden="false"/>
    </xf>
    <xf numFmtId="164" fontId="197" fillId="47" borderId="0" xfId="0" applyFont="true" applyBorder="false" applyAlignment="true" applyProtection="false">
      <alignment horizontal="left" vertical="bottom" textRotation="0" wrapText="true" indent="0" shrinkToFit="false"/>
      <protection locked="true" hidden="false"/>
    </xf>
    <xf numFmtId="164" fontId="197" fillId="27" borderId="0" xfId="0" applyFont="true" applyBorder="true" applyAlignment="true" applyProtection="false">
      <alignment horizontal="general" vertical="bottom" textRotation="0" wrapText="true" indent="0" shrinkToFit="false"/>
      <protection locked="true" hidden="false"/>
    </xf>
    <xf numFmtId="164" fontId="197" fillId="23" borderId="0" xfId="0" applyFont="true" applyBorder="false" applyAlignment="true" applyProtection="false">
      <alignment horizontal="general" vertical="bottom" textRotation="0" wrapText="true" indent="0" shrinkToFit="false"/>
      <protection locked="true" hidden="false"/>
    </xf>
    <xf numFmtId="164" fontId="178" fillId="23" borderId="0" xfId="0" applyFont="true" applyBorder="false" applyAlignment="true" applyProtection="false">
      <alignment horizontal="right" vertical="bottom" textRotation="0" wrapText="true" indent="0" shrinkToFit="false"/>
      <protection locked="true" hidden="false"/>
    </xf>
    <xf numFmtId="164" fontId="197" fillId="22" borderId="0" xfId="0" applyFont="true" applyBorder="false" applyAlignment="true" applyProtection="false">
      <alignment horizontal="general" vertical="bottom" textRotation="0" wrapText="true" indent="0" shrinkToFit="false"/>
      <protection locked="true" hidden="false"/>
    </xf>
    <xf numFmtId="164" fontId="178" fillId="22" borderId="0" xfId="0" applyFont="true" applyBorder="false" applyAlignment="true" applyProtection="false">
      <alignment horizontal="right" vertical="bottom" textRotation="0" wrapText="true" indent="0" shrinkToFit="false"/>
      <protection locked="true" hidden="false"/>
    </xf>
    <xf numFmtId="164" fontId="0" fillId="27" borderId="0" xfId="0" applyFont="false" applyBorder="false" applyAlignment="true" applyProtection="false">
      <alignment horizontal="general" vertical="bottom" textRotation="0" wrapText="true" indent="0" shrinkToFit="false"/>
      <protection locked="true" hidden="false"/>
    </xf>
    <xf numFmtId="164" fontId="201" fillId="27" borderId="0" xfId="75"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85" fillId="3" borderId="0" xfId="0" applyFont="true" applyBorder="false" applyAlignment="true" applyProtection="false">
      <alignment horizontal="general" vertical="bottom" textRotation="0" wrapText="false" indent="0" shrinkToFit="false"/>
      <protection locked="true" hidden="false"/>
    </xf>
    <xf numFmtId="273" fontId="178" fillId="0" borderId="0" xfId="0" applyFont="true" applyBorder="false" applyAlignment="true" applyProtection="false">
      <alignment horizontal="general" vertical="bottom" textRotation="0" wrapText="false" indent="0" shrinkToFit="false"/>
      <protection locked="true" hidden="false"/>
    </xf>
    <xf numFmtId="170" fontId="178"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179" fillId="0" borderId="0" xfId="0" applyFont="true" applyBorder="false" applyAlignment="true" applyProtection="false">
      <alignment horizontal="general" vertical="bottom" textRotation="0" wrapText="false" indent="0" shrinkToFit="false"/>
      <protection locked="true" hidden="false"/>
    </xf>
    <xf numFmtId="164" fontId="179" fillId="0" borderId="0" xfId="0" applyFont="true" applyBorder="false" applyAlignment="true" applyProtection="false">
      <alignment horizontal="general" vertical="bottom" textRotation="0" wrapText="true" indent="0" shrinkToFit="false"/>
      <protection locked="true" hidden="false"/>
    </xf>
  </cellXfs>
  <cellStyles count="1082">
    <cellStyle name="Normal" xfId="0" builtinId="0"/>
    <cellStyle name="Comma" xfId="15" builtinId="3"/>
    <cellStyle name="Comma [0]" xfId="16" builtinId="6"/>
    <cellStyle name="Currency" xfId="17" builtinId="4"/>
    <cellStyle name="Currency [0]" xfId="18" builtinId="7"/>
    <cellStyle name="Percent" xfId="19" builtinId="5"/>
    <cellStyle name="&#10;386grabber=M" xfId="20"/>
    <cellStyle name="&#10;386grabber=M 2" xfId="21"/>
    <cellStyle name="&#10;386grabber=S" xfId="22"/>
    <cellStyle name=" " xfId="23"/>
    <cellStyle name="  2" xfId="24"/>
    <cellStyle name="#,##0" xfId="25"/>
    <cellStyle name="#,##0%" xfId="26"/>
    <cellStyle name="#,##0.0%" xfId="27"/>
    <cellStyle name="$" xfId="28"/>
    <cellStyle name="%" xfId="29"/>
    <cellStyle name="******************************************" xfId="30"/>
    <cellStyle name="+" xfId="31"/>
    <cellStyle name="0" xfId="32"/>
    <cellStyle name="0.0" xfId="33"/>
    <cellStyle name="0.00" xfId="34"/>
    <cellStyle name="0.0x" xfId="35"/>
    <cellStyle name="05 Datum" xfId="36"/>
    <cellStyle name="05 Datum 2" xfId="37"/>
    <cellStyle name="05 Datum 2 2" xfId="38"/>
    <cellStyle name="06 tabel 2 kolom" xfId="39"/>
    <cellStyle name="06 tabel 2 kolom 2" xfId="40"/>
    <cellStyle name="07 tabel 5 kolom" xfId="41"/>
    <cellStyle name="07 tabel 5 kolom 2" xfId="42"/>
    <cellStyle name="1,comma" xfId="43"/>
    <cellStyle name="1,comma 2" xfId="44"/>
    <cellStyle name="10 Grijze lijn" xfId="45"/>
    <cellStyle name="20% - Accent1 2" xfId="46"/>
    <cellStyle name="20% - Accent1 3" xfId="47"/>
    <cellStyle name="20% - Accent1 4" xfId="48"/>
    <cellStyle name="20% - Accent1 5" xfId="49"/>
    <cellStyle name="20% - Accent1 6" xfId="50"/>
    <cellStyle name="20% - Accent2 2" xfId="51"/>
    <cellStyle name="20% - Accent2 3" xfId="52"/>
    <cellStyle name="20% - Accent2 4" xfId="53"/>
    <cellStyle name="20% - Accent2 5" xfId="54"/>
    <cellStyle name="20% - Accent2 6" xfId="55"/>
    <cellStyle name="20% - Accent3 2" xfId="56"/>
    <cellStyle name="20% - Accent3 3" xfId="57"/>
    <cellStyle name="20% - Accent3 4" xfId="58"/>
    <cellStyle name="20% - Accent3 5" xfId="59"/>
    <cellStyle name="20% - Accent3 6" xfId="60"/>
    <cellStyle name="20% - Accent4 2" xfId="61"/>
    <cellStyle name="20% - Accent4 3" xfId="62"/>
    <cellStyle name="20% - Accent4 4" xfId="63"/>
    <cellStyle name="20% - Accent4 5" xfId="64"/>
    <cellStyle name="20% - Accent4 6" xfId="65"/>
    <cellStyle name="20% - Accent5 2" xfId="66"/>
    <cellStyle name="20% - Accent5 3" xfId="67"/>
    <cellStyle name="20% - Accent5 4" xfId="68"/>
    <cellStyle name="20% - Accent5 5" xfId="69"/>
    <cellStyle name="20% - Accent5 6" xfId="70"/>
    <cellStyle name="20% - Accent6 2" xfId="71"/>
    <cellStyle name="20% - Accent6 3" xfId="72"/>
    <cellStyle name="20% - Accent6 4" xfId="73"/>
    <cellStyle name="20% - Accent6 5" xfId="74"/>
    <cellStyle name="20% - Accent6 6" xfId="75"/>
    <cellStyle name="20% - Énfasis1" xfId="76"/>
    <cellStyle name="20% - Énfasis2" xfId="77"/>
    <cellStyle name="20% - Énfasis3" xfId="78"/>
    <cellStyle name="20% - Énfasis4" xfId="79"/>
    <cellStyle name="20% - Énfasis5" xfId="80"/>
    <cellStyle name="20% - Énfasis6" xfId="81"/>
    <cellStyle name="20 % - Accent1" xfId="82"/>
    <cellStyle name="20 % - Accent2" xfId="83"/>
    <cellStyle name="20 % - Accent3" xfId="84"/>
    <cellStyle name="20 % - Accent4" xfId="85"/>
    <cellStyle name="20 % - Accent5" xfId="86"/>
    <cellStyle name="20 % - Accent6" xfId="87"/>
    <cellStyle name="3" xfId="88"/>
    <cellStyle name="40% - Accent1 2" xfId="89"/>
    <cellStyle name="40% - Accent1 3" xfId="90"/>
    <cellStyle name="40% - Accent1 4" xfId="91"/>
    <cellStyle name="40% - Accent1 5" xfId="92"/>
    <cellStyle name="40% - Accent1 6" xfId="93"/>
    <cellStyle name="40% - Accent2 2" xfId="94"/>
    <cellStyle name="40% - Accent2 3" xfId="95"/>
    <cellStyle name="40% - Accent2 4" xfId="96"/>
    <cellStyle name="40% - Accent2 5" xfId="97"/>
    <cellStyle name="40% - Accent2 6" xfId="98"/>
    <cellStyle name="40% - Accent3 2" xfId="99"/>
    <cellStyle name="40% - Accent3 3" xfId="100"/>
    <cellStyle name="40% - Accent3 4" xfId="101"/>
    <cellStyle name="40% - Accent3 5" xfId="102"/>
    <cellStyle name="40% - Accent3 6" xfId="103"/>
    <cellStyle name="40% - Accent4 2" xfId="104"/>
    <cellStyle name="40% - Accent4 3" xfId="105"/>
    <cellStyle name="40% - Accent4 4" xfId="106"/>
    <cellStyle name="40% - Accent4 5" xfId="107"/>
    <cellStyle name="40% - Accent4 6" xfId="108"/>
    <cellStyle name="40% - Accent5 2" xfId="109"/>
    <cellStyle name="40% - Accent5 3" xfId="110"/>
    <cellStyle name="40% - Accent5 4" xfId="111"/>
    <cellStyle name="40% - Accent5 5" xfId="112"/>
    <cellStyle name="40% - Accent5 6" xfId="113"/>
    <cellStyle name="40% - Accent6 2" xfId="114"/>
    <cellStyle name="40% - Accent6 3" xfId="115"/>
    <cellStyle name="40% - Accent6 4" xfId="116"/>
    <cellStyle name="40% - Accent6 5" xfId="117"/>
    <cellStyle name="40% - Accent6 6" xfId="118"/>
    <cellStyle name="40% - Énfasis1" xfId="119"/>
    <cellStyle name="40% - Énfasis2" xfId="120"/>
    <cellStyle name="40% - Énfasis3" xfId="121"/>
    <cellStyle name="40% - Énfasis4" xfId="122"/>
    <cellStyle name="40% - Énfasis5" xfId="123"/>
    <cellStyle name="40% - Énfasis6" xfId="124"/>
    <cellStyle name="40 % - Accent1" xfId="125"/>
    <cellStyle name="40 % - Accent2" xfId="126"/>
    <cellStyle name="40 % - Accent3" xfId="127"/>
    <cellStyle name="40 % - Accent4" xfId="128"/>
    <cellStyle name="40 % - Accent5" xfId="129"/>
    <cellStyle name="40 % - Accent6" xfId="130"/>
    <cellStyle name="60% - Accent1 2" xfId="131"/>
    <cellStyle name="60% - Accent1 3" xfId="132"/>
    <cellStyle name="60% - Accent1 4" xfId="133"/>
    <cellStyle name="60% - Accent1 5" xfId="134"/>
    <cellStyle name="60% - Accent1 6" xfId="135"/>
    <cellStyle name="60% - Accent2 2" xfId="136"/>
    <cellStyle name="60% - Accent2 3" xfId="137"/>
    <cellStyle name="60% - Accent2 4" xfId="138"/>
    <cellStyle name="60% - Accent2 5" xfId="139"/>
    <cellStyle name="60% - Accent2 6" xfId="140"/>
    <cellStyle name="60% - Accent3 2" xfId="141"/>
    <cellStyle name="60% - Accent3 3" xfId="142"/>
    <cellStyle name="60% - Accent3 4" xfId="143"/>
    <cellStyle name="60% - Accent3 5" xfId="144"/>
    <cellStyle name="60% - Accent3 6" xfId="145"/>
    <cellStyle name="60% - Accent4 2" xfId="146"/>
    <cellStyle name="60% - Accent4 3" xfId="147"/>
    <cellStyle name="60% - Accent4 4" xfId="148"/>
    <cellStyle name="60% - Accent4 5" xfId="149"/>
    <cellStyle name="60% - Accent4 6" xfId="150"/>
    <cellStyle name="60% - Accent5 2" xfId="151"/>
    <cellStyle name="60% - Accent5 3" xfId="152"/>
    <cellStyle name="60% - Accent5 4" xfId="153"/>
    <cellStyle name="60% - Accent5 5" xfId="154"/>
    <cellStyle name="60% - Accent5 6" xfId="155"/>
    <cellStyle name="60% - Accent6 2" xfId="156"/>
    <cellStyle name="60% - Accent6 3" xfId="157"/>
    <cellStyle name="60% - Accent6 4" xfId="158"/>
    <cellStyle name="60% - Accent6 5" xfId="159"/>
    <cellStyle name="60% - Accent6 6" xfId="160"/>
    <cellStyle name="60% - Énfasis1" xfId="161"/>
    <cellStyle name="60% - Énfasis2" xfId="162"/>
    <cellStyle name="60% - Énfasis3" xfId="163"/>
    <cellStyle name="60% - Énfasis4" xfId="164"/>
    <cellStyle name="60% - Énfasis5" xfId="165"/>
    <cellStyle name="60% - Énfasis6" xfId="166"/>
    <cellStyle name="60 % - Accent1" xfId="167"/>
    <cellStyle name="60 % - Accent2" xfId="168"/>
    <cellStyle name="60 % - Accent3" xfId="169"/>
    <cellStyle name="60 % - Accent4" xfId="170"/>
    <cellStyle name="60 % - Accent5" xfId="171"/>
    <cellStyle name="60 % - Accent6" xfId="172"/>
    <cellStyle name="??" xfId="173"/>
    <cellStyle name="?? [0.00]_????" xfId="174"/>
    <cellStyle name="??_??" xfId="175"/>
    <cellStyle name="?Q\?1@" xfId="176"/>
    <cellStyle name="\" xfId="177"/>
    <cellStyle name="\_9 Jan pres tables" xfId="178"/>
    <cellStyle name="\_9 Jan pres tables 2" xfId="179"/>
    <cellStyle name="\_Report_apurva" xfId="180"/>
    <cellStyle name="\_Report_apurva 2" xfId="181"/>
    <cellStyle name="]" xfId="182"/>
    <cellStyle name="_%(SignOnly)" xfId="183"/>
    <cellStyle name="_%(SignSpaceOnly)" xfId="184"/>
    <cellStyle name="_2w industry wip" xfId="185"/>
    <cellStyle name="_About" xfId="186"/>
    <cellStyle name="_balfy15-wip" xfId="187"/>
    <cellStyle name="_Book8" xfId="188"/>
    <cellStyle name="_COLG-wip" xfId="189"/>
    <cellStyle name="_Comma" xfId="190"/>
    <cellStyle name="_Comma_AventisSanofi Merger 26-Jan-2004" xfId="191"/>
    <cellStyle name="_Comma_DCF" xfId="192"/>
    <cellStyle name="_Comma_Novartis Roche Merger IV" xfId="193"/>
    <cellStyle name="_Comma_NRM V" xfId="194"/>
    <cellStyle name="_Comma_Pharma CSC" xfId="195"/>
    <cellStyle name="_Consumer Quarterlies" xfId="196"/>
    <cellStyle name="_Consumer Sector Oct07-Revised" xfId="197"/>
    <cellStyle name="_Copy of Tables" xfId="198"/>
    <cellStyle name="_Copy of Tables 2" xfId="199"/>
    <cellStyle name="_cost_dre_final_tally_sch5_011" xfId="200"/>
    <cellStyle name="_cost_dre_final_tally_sch5_011 2" xfId="201"/>
    <cellStyle name="_Currency" xfId="202"/>
    <cellStyle name="_Currency_AventisSanofi Merger 26-Jan-2004" xfId="203"/>
    <cellStyle name="_Currency_Novartis Roche Merger IV" xfId="204"/>
    <cellStyle name="_Currency_NRM V" xfId="205"/>
    <cellStyle name="_Currency_Pharma CSC" xfId="206"/>
    <cellStyle name="_CurrencySpace" xfId="207"/>
    <cellStyle name="_CurrencySpace_AventisSanofi Merger 26-Jan-2004" xfId="208"/>
    <cellStyle name="_CurrencySpace_Novartis Roche Merger IV" xfId="209"/>
    <cellStyle name="_CurrencySpace_NRM V" xfId="210"/>
    <cellStyle name="_CurrencySpace_Pharma CSC" xfId="211"/>
    <cellStyle name="_DCF" xfId="212"/>
    <cellStyle name="_Euro" xfId="213"/>
    <cellStyle name="_Exide Model" xfId="214"/>
    <cellStyle name="_Exide Model 2" xfId="215"/>
    <cellStyle name="_Financials" xfId="216"/>
    <cellStyle name="_Heading" xfId="217"/>
    <cellStyle name="_Highlight" xfId="218"/>
    <cellStyle name="_HLL-wip" xfId="219"/>
    <cellStyle name="_Incentives data May" xfId="220"/>
    <cellStyle name="_Incentives data May 2" xfId="221"/>
    <cellStyle name="_Industry Stats" xfId="222"/>
    <cellStyle name="_Industry Stats 2" xfId="223"/>
    <cellStyle name="_ITC" xfId="224"/>
    <cellStyle name="_ITC-wip" xfId="225"/>
    <cellStyle name="_ITC.SSB" xfId="226"/>
    <cellStyle name="_Japan data" xfId="227"/>
    <cellStyle name="_Japan data 2" xfId="228"/>
    <cellStyle name="_Japan dataMay" xfId="229"/>
    <cellStyle name="_Japan dataMay 2" xfId="230"/>
    <cellStyle name="_Main Model" xfId="231"/>
    <cellStyle name="_Main Model 2" xfId="232"/>
    <cellStyle name="_Main Model_1" xfId="233"/>
    <cellStyle name="_Main Model_Main Model" xfId="234"/>
    <cellStyle name="_Main Model_Main Model 2" xfId="235"/>
    <cellStyle name="_Misc Info" xfId="236"/>
    <cellStyle name="_Misc Info 2" xfId="237"/>
    <cellStyle name="_MSIL_DCF_4 June 2011" xfId="238"/>
    <cellStyle name="_mul04wip" xfId="239"/>
    <cellStyle name="_Multiple" xfId="240"/>
    <cellStyle name="_Multiple_AventisSanofi Merger 26-Jan-2004" xfId="241"/>
    <cellStyle name="_Multiple_csc" xfId="242"/>
    <cellStyle name="_Multiple_Novartis Roche Merger IV" xfId="243"/>
    <cellStyle name="_Multiple_NRM V" xfId="244"/>
    <cellStyle name="_Multiple_Pharma CSC" xfId="245"/>
    <cellStyle name="_MultipleSpace" xfId="246"/>
    <cellStyle name="_MultipleSpace_AventisSanofi Merger 26-Jan-2004" xfId="247"/>
    <cellStyle name="_MultipleSpace_csc" xfId="248"/>
    <cellStyle name="_MultipleSpace_Novartis Roche Merger IV" xfId="249"/>
    <cellStyle name="_MultipleSpace_NRM V" xfId="250"/>
    <cellStyle name="_MultipleSpace_Pharma CSC" xfId="251"/>
    <cellStyle name="_Padmini_Base_Model_26Dec07" xfId="252"/>
    <cellStyle name="_PADMIN~1" xfId="253"/>
    <cellStyle name="_Percent" xfId="254"/>
    <cellStyle name="_PercentSpace" xfId="255"/>
    <cellStyle name="_Sheet1" xfId="256"/>
    <cellStyle name="_Sheet1_1" xfId="257"/>
    <cellStyle name="_Sheet1_1 2" xfId="258"/>
    <cellStyle name="_Sheet1_AllCompanies" xfId="259"/>
    <cellStyle name="_Sheet1_AllCompanies 2" xfId="260"/>
    <cellStyle name="_SubHeading" xfId="261"/>
    <cellStyle name="_Table" xfId="262"/>
    <cellStyle name="_TableHead" xfId="263"/>
    <cellStyle name="_TableRowHead" xfId="264"/>
    <cellStyle name="_TableSuperHead" xfId="265"/>
    <cellStyle name="_Tata Motors JLR impact on consol financials_sonaal" xfId="266"/>
    <cellStyle name="_TBBOM(~2 (2)" xfId="267"/>
    <cellStyle name="_TBBOM(~2 (2) 2" xfId="268"/>
    <cellStyle name="_Tbc_03_2001final" xfId="269"/>
    <cellStyle name="_Tbc_03_2001final 2" xfId="270"/>
    <cellStyle name="_UBS GSK Model" xfId="271"/>
    <cellStyle name="_UBS JBL Master Model inc Pellet" xfId="272"/>
    <cellStyle name="_ZEE ENTERTAINMENT" xfId="273"/>
    <cellStyle name="Accent1 2" xfId="274"/>
    <cellStyle name="Accent1 3" xfId="275"/>
    <cellStyle name="Accent1 4" xfId="276"/>
    <cellStyle name="Accent1 5" xfId="277"/>
    <cellStyle name="Accent1 6" xfId="278"/>
    <cellStyle name="Accent2 2" xfId="279"/>
    <cellStyle name="Accent2 3" xfId="280"/>
    <cellStyle name="Accent2 4" xfId="281"/>
    <cellStyle name="Accent2 5" xfId="282"/>
    <cellStyle name="Accent2 6" xfId="283"/>
    <cellStyle name="Accent3 2" xfId="284"/>
    <cellStyle name="Accent3 3" xfId="285"/>
    <cellStyle name="Accent3 4" xfId="286"/>
    <cellStyle name="Accent3 5" xfId="287"/>
    <cellStyle name="Accent3 6" xfId="288"/>
    <cellStyle name="Accent4 2" xfId="289"/>
    <cellStyle name="Accent4 3" xfId="290"/>
    <cellStyle name="Accent4 4" xfId="291"/>
    <cellStyle name="Accent4 5" xfId="292"/>
    <cellStyle name="Accent4 6" xfId="293"/>
    <cellStyle name="Accent5 2" xfId="294"/>
    <cellStyle name="Accent5 3" xfId="295"/>
    <cellStyle name="Accent5 4" xfId="296"/>
    <cellStyle name="Accent5 5" xfId="297"/>
    <cellStyle name="Accent5 6" xfId="298"/>
    <cellStyle name="Accent6 2" xfId="299"/>
    <cellStyle name="Accent6 3" xfId="300"/>
    <cellStyle name="Accent6 4" xfId="301"/>
    <cellStyle name="Accent6 5" xfId="302"/>
    <cellStyle name="Accent6 6" xfId="303"/>
    <cellStyle name="AFE" xfId="304"/>
    <cellStyle name="AFE 2" xfId="305"/>
    <cellStyle name="ales" xfId="306"/>
    <cellStyle name="Arial6Bold" xfId="307"/>
    <cellStyle name="Arial8Bold" xfId="308"/>
    <cellStyle name="Arial8Bold 2" xfId="309"/>
    <cellStyle name="Arial8Italic" xfId="310"/>
    <cellStyle name="ArialNormal" xfId="311"/>
    <cellStyle name="Auto" xfId="312"/>
    <cellStyle name="Avertissement" xfId="313"/>
    <cellStyle name="Bad 2" xfId="314"/>
    <cellStyle name="Bad 3" xfId="315"/>
    <cellStyle name="Bad 4" xfId="316"/>
    <cellStyle name="Bad 5" xfId="317"/>
    <cellStyle name="Bad 6" xfId="318"/>
    <cellStyle name="BalanceSheet" xfId="319"/>
    <cellStyle name="BGM Style 1" xfId="320"/>
    <cellStyle name="Blank" xfId="321"/>
    <cellStyle name="Blank 2" xfId="322"/>
    <cellStyle name="Blue" xfId="323"/>
    <cellStyle name="Buena" xfId="324"/>
    <cellStyle name="Calcul" xfId="325"/>
    <cellStyle name="Calculation 2" xfId="326"/>
    <cellStyle name="Calculation 3" xfId="327"/>
    <cellStyle name="Calculation 4" xfId="328"/>
    <cellStyle name="Calculation 5" xfId="329"/>
    <cellStyle name="Calculation 6" xfId="330"/>
    <cellStyle name="Cash Flow Statement" xfId="331"/>
    <cellStyle name="CashFlow" xfId="332"/>
    <cellStyle name="Celda de comprobación" xfId="333"/>
    <cellStyle name="Celda vinculada" xfId="334"/>
    <cellStyle name="Cellule liée" xfId="335"/>
    <cellStyle name="Changeable" xfId="336"/>
    <cellStyle name="Check Cell 2" xfId="337"/>
    <cellStyle name="Check Cell 3" xfId="338"/>
    <cellStyle name="Check Cell 4" xfId="339"/>
    <cellStyle name="Check Cell 5" xfId="340"/>
    <cellStyle name="Check Cell 6" xfId="341"/>
    <cellStyle name="CitiConsCell" xfId="342"/>
    <cellStyle name="Co Name" xfId="343"/>
    <cellStyle name="col" xfId="344"/>
    <cellStyle name="ColHeading" xfId="345"/>
    <cellStyle name="Column Header" xfId="346"/>
    <cellStyle name="Comma  - Style1" xfId="347"/>
    <cellStyle name="Comma  - Style2" xfId="348"/>
    <cellStyle name="Comma  - Style3" xfId="349"/>
    <cellStyle name="Comma  - Style4" xfId="350"/>
    <cellStyle name="Comma  - Style5" xfId="351"/>
    <cellStyle name="Comma  - Style6" xfId="352"/>
    <cellStyle name="Comma  - Style7" xfId="353"/>
    <cellStyle name="Comma  - Style8" xfId="354"/>
    <cellStyle name="Comma 0" xfId="355"/>
    <cellStyle name="Comma 0*" xfId="356"/>
    <cellStyle name="Comma 2" xfId="357"/>
    <cellStyle name="Comma 2 2" xfId="358"/>
    <cellStyle name="Comma 2 2 2" xfId="359"/>
    <cellStyle name="Comma 2 3" xfId="360"/>
    <cellStyle name="Comma 3" xfId="361"/>
    <cellStyle name="Comma 3 2" xfId="362"/>
    <cellStyle name="Comma 4" xfId="363"/>
    <cellStyle name="Comma 4 2" xfId="364"/>
    <cellStyle name="Comma 5" xfId="365"/>
    <cellStyle name="Comma 5 2" xfId="366"/>
    <cellStyle name="Comma 6" xfId="367"/>
    <cellStyle name="Comma 6 2" xfId="368"/>
    <cellStyle name="Comma 7" xfId="369"/>
    <cellStyle name="Comma 7 2" xfId="370"/>
    <cellStyle name="Comma 8" xfId="371"/>
    <cellStyle name="Comma 8 2" xfId="372"/>
    <cellStyle name="Comma 8 2 2" xfId="373"/>
    <cellStyle name="Comma [1]" xfId="374"/>
    <cellStyle name="Comma [3]" xfId="375"/>
    <cellStyle name="Comment" xfId="376"/>
    <cellStyle name="Commentaire" xfId="377"/>
    <cellStyle name="Company" xfId="378"/>
    <cellStyle name="Constant" xfId="379"/>
    <cellStyle name="Constant 0." xfId="380"/>
    <cellStyle name="ControlFormular" xfId="381"/>
    <cellStyle name="CoTitle" xfId="382"/>
    <cellStyle name="CurRatio" xfId="383"/>
    <cellStyle name="Currency (B)" xfId="384"/>
    <cellStyle name="Currency 0" xfId="385"/>
    <cellStyle name="Currency 2" xfId="386"/>
    <cellStyle name="Currency 2 2" xfId="387"/>
    <cellStyle name="CUS.Work.Area" xfId="388"/>
    <cellStyle name="Custom - Style8" xfId="389"/>
    <cellStyle name="Cálculo" xfId="390"/>
    <cellStyle name="Data   - Style2" xfId="391"/>
    <cellStyle name="DataSheet Style" xfId="392"/>
    <cellStyle name="DataSheet Style 2" xfId="393"/>
    <cellStyle name="Date" xfId="394"/>
    <cellStyle name="Date Aligned" xfId="395"/>
    <cellStyle name="Date Day" xfId="396"/>
    <cellStyle name="Date Year" xfId="397"/>
    <cellStyle name="date2" xfId="398"/>
    <cellStyle name="date3" xfId="399"/>
    <cellStyle name="Date_comps" xfId="400"/>
    <cellStyle name="Dates" xfId="401"/>
    <cellStyle name="DateYear" xfId="402"/>
    <cellStyle name="DblLineDollarAcct" xfId="403"/>
    <cellStyle name="DblLinePercent" xfId="404"/>
    <cellStyle name="Dec0" xfId="405"/>
    <cellStyle name="Dec2" xfId="406"/>
    <cellStyle name="Dec3" xfId="407"/>
    <cellStyle name="Dec_0" xfId="408"/>
    <cellStyle name="Define your own named style" xfId="409"/>
    <cellStyle name="Define your own named style 2" xfId="410"/>
    <cellStyle name="Detail ligne" xfId="411"/>
    <cellStyle name="Detail ligne 2" xfId="412"/>
    <cellStyle name="Dezimal [0]_CIBA.H12001" xfId="413"/>
    <cellStyle name="Dezimal_ACEA" xfId="414"/>
    <cellStyle name="Dfc" xfId="415"/>
    <cellStyle name="Dfc%" xfId="416"/>
    <cellStyle name="Dfc_7944C_CF" xfId="417"/>
    <cellStyle name="DOH" xfId="418"/>
    <cellStyle name="Dollar" xfId="419"/>
    <cellStyle name="Dollar (Canadian)" xfId="420"/>
    <cellStyle name="Dollar Whole" xfId="421"/>
    <cellStyle name="dollar_Book1" xfId="422"/>
    <cellStyle name="DollarAccounting" xfId="423"/>
    <cellStyle name="DollarAccounting 2" xfId="424"/>
    <cellStyle name="Dollars" xfId="425"/>
    <cellStyle name="DollarWhole" xfId="426"/>
    <cellStyle name="Dotted Line" xfId="427"/>
    <cellStyle name="Download" xfId="428"/>
    <cellStyle name="DPS" xfId="429"/>
    <cellStyle name="Draw lines around data in range" xfId="430"/>
    <cellStyle name="Draw lines around data in range 2" xfId="431"/>
    <cellStyle name="Draw shadow and lines within range" xfId="432"/>
    <cellStyle name="Draw shadow and lines within range 2" xfId="433"/>
    <cellStyle name="Eingabe" xfId="434"/>
    <cellStyle name="Encabezado 4" xfId="435"/>
    <cellStyle name="Enlarge title text, yellow on blue" xfId="436"/>
    <cellStyle name="Entrada" xfId="437"/>
    <cellStyle name="Entry" xfId="438"/>
    <cellStyle name="Entrée" xfId="439"/>
    <cellStyle name="EPS" xfId="440"/>
    <cellStyle name="EsText" xfId="441"/>
    <cellStyle name="EsText 2" xfId="442"/>
    <cellStyle name="Estimate" xfId="443"/>
    <cellStyle name="Estimate 2" xfId="444"/>
    <cellStyle name="Euro" xfId="445"/>
    <cellStyle name="Euro 2" xfId="446"/>
    <cellStyle name="ExchRate" xfId="447"/>
    <cellStyle name="Explanatory Text 2" xfId="448"/>
    <cellStyle name="Explanatory Text 3" xfId="449"/>
    <cellStyle name="Explanatory Text 4" xfId="450"/>
    <cellStyle name="Explanatory Text 5" xfId="451"/>
    <cellStyle name="Explanatory Text 6" xfId="452"/>
    <cellStyle name="EY Narrative text" xfId="453"/>
    <cellStyle name="EY%colcalc" xfId="454"/>
    <cellStyle name="EY%input" xfId="455"/>
    <cellStyle name="EY%rowcalc" xfId="456"/>
    <cellStyle name="EY0dp" xfId="457"/>
    <cellStyle name="EY10" xfId="458"/>
    <cellStyle name="EY1dp" xfId="459"/>
    <cellStyle name="EY2dp" xfId="460"/>
    <cellStyle name="EY3dp" xfId="461"/>
    <cellStyle name="EYChartTitle" xfId="462"/>
    <cellStyle name="EYColumnHeading" xfId="463"/>
    <cellStyle name="EYColumnHeadingItalic" xfId="464"/>
    <cellStyle name="EYCoverDatabookName" xfId="465"/>
    <cellStyle name="EYCoverDate" xfId="466"/>
    <cellStyle name="EYCoverDraft" xfId="467"/>
    <cellStyle name="EYCoverProjectName" xfId="468"/>
    <cellStyle name="EYCurrency" xfId="469"/>
    <cellStyle name="EYHeading1" xfId="470"/>
    <cellStyle name="EYheading2" xfId="471"/>
    <cellStyle name="EYheading3" xfId="472"/>
    <cellStyle name="EYNotes" xfId="473"/>
    <cellStyle name="EYNotesHeading" xfId="474"/>
    <cellStyle name="EYnumber" xfId="475"/>
    <cellStyle name="EYRelianceRestricted" xfId="476"/>
    <cellStyle name="EYSectionHeading" xfId="477"/>
    <cellStyle name="EYSheetHeader1" xfId="478"/>
    <cellStyle name="EYSheetHeading" xfId="479"/>
    <cellStyle name="EYsmallheading" xfId="480"/>
    <cellStyle name="EYsmallheading 2" xfId="481"/>
    <cellStyle name="EYSource" xfId="482"/>
    <cellStyle name="EYtext" xfId="483"/>
    <cellStyle name="EYtextbold" xfId="484"/>
    <cellStyle name="EYtextbolditalic" xfId="485"/>
    <cellStyle name="EYtextitalic" xfId="486"/>
    <cellStyle name="Figure" xfId="487"/>
    <cellStyle name="Figure 2" xfId="488"/>
    <cellStyle name="Financial" xfId="489"/>
    <cellStyle name="fo]&#13;&#10;UserName=Murat Zelef&#13;&#10;UserCompany=Bumerang&#13;&#10;&#13;&#10;[File Paths]&#13;&#10;WorkingDirectory=C:\EQUIS\DLWIN&#13;&#10;DownLoader=C" xfId="490"/>
    <cellStyle name="Footnote 1" xfId="491"/>
    <cellStyle name="Forecast" xfId="492"/>
    <cellStyle name="ForecastData" xfId="493"/>
    <cellStyle name="Format a column of totals" xfId="494"/>
    <cellStyle name="Format a row of totals" xfId="495"/>
    <cellStyle name="Format text as bold, black on yellow" xfId="496"/>
    <cellStyle name="Formula" xfId="497"/>
    <cellStyle name="Formula 0." xfId="498"/>
    <cellStyle name="Formula 0.0" xfId="499"/>
    <cellStyle name="fourdecplace" xfId="500"/>
    <cellStyle name="fourdecplace 2" xfId="501"/>
    <cellStyle name="General" xfId="502"/>
    <cellStyle name="General 2" xfId="503"/>
    <cellStyle name="Global" xfId="504"/>
    <cellStyle name="Good 2" xfId="505"/>
    <cellStyle name="Good 3" xfId="506"/>
    <cellStyle name="Good 4" xfId="507"/>
    <cellStyle name="Good 5" xfId="508"/>
    <cellStyle name="Good 6" xfId="509"/>
    <cellStyle name="Grey" xfId="510"/>
    <cellStyle name="Growth" xfId="511"/>
    <cellStyle name="GrowthRate" xfId="512"/>
    <cellStyle name="GWN Table Body" xfId="513"/>
    <cellStyle name="GWN Table Header" xfId="514"/>
    <cellStyle name="GWN Table Left Header" xfId="515"/>
    <cellStyle name="GWN Table Note" xfId="516"/>
    <cellStyle name="GWN Table Title" xfId="517"/>
    <cellStyle name="hard no" xfId="518"/>
    <cellStyle name="hard no 2" xfId="519"/>
    <cellStyle name="hard no." xfId="520"/>
    <cellStyle name="hard no. 2" xfId="521"/>
    <cellStyle name="Hard Percent" xfId="522"/>
    <cellStyle name="Head - Style2" xfId="523"/>
    <cellStyle name="Header" xfId="524"/>
    <cellStyle name="Heading 1 1" xfId="525"/>
    <cellStyle name="Heading 1 2" xfId="526"/>
    <cellStyle name="Heading 1 3" xfId="527"/>
    <cellStyle name="Heading 1 4" xfId="528"/>
    <cellStyle name="Heading 1 5" xfId="529"/>
    <cellStyle name="Heading 1 6" xfId="530"/>
    <cellStyle name="Heading 2 2" xfId="531"/>
    <cellStyle name="Heading 2 3" xfId="532"/>
    <cellStyle name="Heading 2 4" xfId="533"/>
    <cellStyle name="Heading 2 5" xfId="534"/>
    <cellStyle name="Heading 2 6" xfId="535"/>
    <cellStyle name="Heading 3" xfId="536"/>
    <cellStyle name="Heading 3 2" xfId="537"/>
    <cellStyle name="Heading 3 3" xfId="538"/>
    <cellStyle name="Heading 3 4" xfId="539"/>
    <cellStyle name="Heading 3 5" xfId="540"/>
    <cellStyle name="Heading 3 6" xfId="541"/>
    <cellStyle name="Heading 4 2" xfId="542"/>
    <cellStyle name="Heading 4 3" xfId="543"/>
    <cellStyle name="Heading 4 4" xfId="544"/>
    <cellStyle name="Heading 4 5" xfId="545"/>
    <cellStyle name="Heading 4 6" xfId="546"/>
    <cellStyle name="Heading2" xfId="547"/>
    <cellStyle name="Heading3" xfId="548"/>
    <cellStyle name="Heading4" xfId="549"/>
    <cellStyle name="Heading5" xfId="550"/>
    <cellStyle name="Heading6" xfId="551"/>
    <cellStyle name="Headings" xfId="552"/>
    <cellStyle name="Headings-Blue bold" xfId="553"/>
    <cellStyle name="helvetica" xfId="554"/>
    <cellStyle name="Hidden" xfId="555"/>
    <cellStyle name="Historic" xfId="556"/>
    <cellStyle name="HistoricData" xfId="557"/>
    <cellStyle name="HK$#,##0" xfId="558"/>
    <cellStyle name="HK$#,##0.00" xfId="559"/>
    <cellStyle name="Hyperlink 2" xfId="560"/>
    <cellStyle name="Identification requete" xfId="561"/>
    <cellStyle name="Import" xfId="562"/>
    <cellStyle name="IncomeStatement" xfId="563"/>
    <cellStyle name="Incorrecto" xfId="564"/>
    <cellStyle name="Input (%)" xfId="565"/>
    <cellStyle name="Input 2" xfId="566"/>
    <cellStyle name="Input 3" xfId="567"/>
    <cellStyle name="Input 4" xfId="568"/>
    <cellStyle name="Input 5" xfId="569"/>
    <cellStyle name="Input 6" xfId="570"/>
    <cellStyle name="Input [yellow]" xfId="571"/>
    <cellStyle name="Input,1d" xfId="572"/>
    <cellStyle name="Input1dp" xfId="573"/>
    <cellStyle name="InputHead" xfId="574"/>
    <cellStyle name="InputSheet" xfId="575"/>
    <cellStyle name="Insatisfaisant" xfId="576"/>
    <cellStyle name="Integer" xfId="577"/>
    <cellStyle name="Item" xfId="578"/>
    <cellStyle name="Item1" xfId="579"/>
    <cellStyle name="Item2" xfId="580"/>
    <cellStyle name="Item2 2" xfId="581"/>
    <cellStyle name="Item3" xfId="582"/>
    <cellStyle name="ItemTot" xfId="583"/>
    <cellStyle name="ItemTot 2" xfId="584"/>
    <cellStyle name="ItemTypeClass" xfId="585"/>
    <cellStyle name="KP_Normal" xfId="586"/>
    <cellStyle name="Köprü_İŞTİRAKLER-TEK DOSYA" xfId="587"/>
    <cellStyle name="Labels - Style3" xfId="588"/>
    <cellStyle name="LEVERS69" xfId="589"/>
    <cellStyle name="LEVERS69 2" xfId="590"/>
    <cellStyle name="Ligne détail" xfId="591"/>
    <cellStyle name="Linked Cell 2" xfId="592"/>
    <cellStyle name="Linked Cell 3" xfId="593"/>
    <cellStyle name="Linked Cell 4" xfId="594"/>
    <cellStyle name="Linked Cell 5" xfId="595"/>
    <cellStyle name="Linked Cell 6" xfId="596"/>
    <cellStyle name="LTGR" xfId="597"/>
    <cellStyle name="MAND&#13;CHECK.COMMAND_x000e_RENAME.COMMAND_x0008_SHOW.BAR_x000b_DELETE.MENU_x000e_DELETE.COMMAND_x000e_GET.CHA" xfId="598"/>
    <cellStyle name="MANKAD" xfId="599"/>
    <cellStyle name="Margin" xfId="600"/>
    <cellStyle name="Margins" xfId="601"/>
    <cellStyle name="masterTitles" xfId="602"/>
    <cellStyle name="MaxLimitCell" xfId="603"/>
    <cellStyle name="MedLine(B)" xfId="604"/>
    <cellStyle name="MedLine(B) 2" xfId="605"/>
    <cellStyle name="MedLines(2)" xfId="606"/>
    <cellStyle name="MedLines(2) 2" xfId="607"/>
    <cellStyle name="Message" xfId="608"/>
    <cellStyle name="MEV1" xfId="609"/>
    <cellStyle name="MEV1 2" xfId="610"/>
    <cellStyle name="MEV2" xfId="611"/>
    <cellStyle name="Milliers [0]" xfId="612"/>
    <cellStyle name="Milliers_EciaNew" xfId="613"/>
    <cellStyle name="Millions" xfId="614"/>
    <cellStyle name="MinLimitCell" xfId="615"/>
    <cellStyle name="Monétaire [0]" xfId="616"/>
    <cellStyle name="Monétaire_EciaNew" xfId="617"/>
    <cellStyle name="Multiple" xfId="618"/>
    <cellStyle name="Multiple Without" xfId="619"/>
    <cellStyle name="Multiple_DCF" xfId="620"/>
    <cellStyle name="MultipleBelow" xfId="621"/>
    <cellStyle name="Neutral 2" xfId="622"/>
    <cellStyle name="Neutral 3" xfId="623"/>
    <cellStyle name="Neutral 4" xfId="624"/>
    <cellStyle name="Neutral 5" xfId="625"/>
    <cellStyle name="Neutral 6" xfId="626"/>
    <cellStyle name="Neutre" xfId="627"/>
    <cellStyle name="no dec" xfId="628"/>
    <cellStyle name="No zero - 1dp" xfId="629"/>
    <cellStyle name="No zero - percent" xfId="630"/>
    <cellStyle name="Normal (%)" xfId="631"/>
    <cellStyle name="Normal (B)" xfId="632"/>
    <cellStyle name="Normal (G)" xfId="633"/>
    <cellStyle name="Normal (No)" xfId="634"/>
    <cellStyle name="Normal (x)" xfId="635"/>
    <cellStyle name="Normal (£m)" xfId="636"/>
    <cellStyle name="Normal - Style1" xfId="637"/>
    <cellStyle name="Normal 10" xfId="638"/>
    <cellStyle name="Normal 10 3" xfId="639"/>
    <cellStyle name="Normal 11" xfId="640"/>
    <cellStyle name="Normal 12" xfId="641"/>
    <cellStyle name="Normal 13" xfId="642"/>
    <cellStyle name="Normal 14" xfId="643"/>
    <cellStyle name="Normal 2" xfId="644"/>
    <cellStyle name="Normal 2 10" xfId="645"/>
    <cellStyle name="Normal 2 11" xfId="646"/>
    <cellStyle name="Normal 2 2" xfId="647"/>
    <cellStyle name="Normal 2 2 2" xfId="648"/>
    <cellStyle name="Normal 2 2 3" xfId="649"/>
    <cellStyle name="Normal 2 2 4" xfId="650"/>
    <cellStyle name="Normal 2 3" xfId="651"/>
    <cellStyle name="Normal 2 3 2" xfId="652"/>
    <cellStyle name="Normal 2 3 2 2" xfId="653"/>
    <cellStyle name="Normal 2 3 3" xfId="654"/>
    <cellStyle name="Normal 2 4" xfId="655"/>
    <cellStyle name="Normal 2 4 2" xfId="656"/>
    <cellStyle name="Normal 2 5" xfId="657"/>
    <cellStyle name="Normal 2 5 2" xfId="658"/>
    <cellStyle name="Normal 2 6" xfId="659"/>
    <cellStyle name="Normal 2 7" xfId="660"/>
    <cellStyle name="Normal 2 8" xfId="661"/>
    <cellStyle name="Normal 2 9" xfId="662"/>
    <cellStyle name="Normal 251" xfId="663"/>
    <cellStyle name="Normal 3" xfId="664"/>
    <cellStyle name="Normal 4" xfId="665"/>
    <cellStyle name="Normal 4 10" xfId="666"/>
    <cellStyle name="Normal 4 11" xfId="667"/>
    <cellStyle name="Normal 4 12" xfId="668"/>
    <cellStyle name="Normal 4 13" xfId="669"/>
    <cellStyle name="Normal 4 14" xfId="670"/>
    <cellStyle name="Normal 4 15" xfId="671"/>
    <cellStyle name="Normal 4 16" xfId="672"/>
    <cellStyle name="Normal 4 17" xfId="673"/>
    <cellStyle name="Normal 4 18" xfId="674"/>
    <cellStyle name="Normal 4 19" xfId="675"/>
    <cellStyle name="Normal 4 2" xfId="676"/>
    <cellStyle name="Normal 4 20" xfId="677"/>
    <cellStyle name="Normal 4 21" xfId="678"/>
    <cellStyle name="Normal 4 22" xfId="679"/>
    <cellStyle name="Normal 4 23" xfId="680"/>
    <cellStyle name="Normal 4 24" xfId="681"/>
    <cellStyle name="Normal 4 25" xfId="682"/>
    <cellStyle name="Normal 4 26" xfId="683"/>
    <cellStyle name="Normal 4 27" xfId="684"/>
    <cellStyle name="Normal 4 28" xfId="685"/>
    <cellStyle name="Normal 4 3" xfId="686"/>
    <cellStyle name="Normal 4 4" xfId="687"/>
    <cellStyle name="Normal 4 5" xfId="688"/>
    <cellStyle name="Normal 4 6" xfId="689"/>
    <cellStyle name="Normal 4 7" xfId="690"/>
    <cellStyle name="Normal 4 8" xfId="691"/>
    <cellStyle name="Normal 4 9" xfId="692"/>
    <cellStyle name="Normal 5" xfId="693"/>
    <cellStyle name="Normal 5 2" xfId="694"/>
    <cellStyle name="Normal 6" xfId="695"/>
    <cellStyle name="Normal 6 2" xfId="696"/>
    <cellStyle name="Normal 7" xfId="697"/>
    <cellStyle name="Normal 7 2" xfId="698"/>
    <cellStyle name="Normal 8" xfId="699"/>
    <cellStyle name="Normal 9" xfId="700"/>
    <cellStyle name="Normal 9 2" xfId="701"/>
    <cellStyle name="Normal 9 2 2" xfId="702"/>
    <cellStyle name="Normal 9 3" xfId="703"/>
    <cellStyle name="Normal_hhlfy6" xfId="704"/>
    <cellStyle name="Notas" xfId="705"/>
    <cellStyle name="Notas 2" xfId="706"/>
    <cellStyle name="Note 2" xfId="707"/>
    <cellStyle name="Note 3" xfId="708"/>
    <cellStyle name="Note 4" xfId="709"/>
    <cellStyle name="Note 5" xfId="710"/>
    <cellStyle name="Note 6" xfId="711"/>
    <cellStyle name="Notes" xfId="712"/>
    <cellStyle name="NUMBER" xfId="713"/>
    <cellStyle name="Number 0d" xfId="714"/>
    <cellStyle name="Number 1d" xfId="715"/>
    <cellStyle name="NUMBER 2" xfId="716"/>
    <cellStyle name="Number 2d" xfId="717"/>
    <cellStyle name="NUMBER 3" xfId="718"/>
    <cellStyle name="Number 3d" xfId="719"/>
    <cellStyle name="Number 3d big" xfId="720"/>
    <cellStyle name="Number 3d_7944C_CF" xfId="721"/>
    <cellStyle name="NUMBER 4" xfId="722"/>
    <cellStyle name="NUMBER 5" xfId="723"/>
    <cellStyle name="Number, 3d big" xfId="724"/>
    <cellStyle name="Number,1d" xfId="725"/>
    <cellStyle name="Numbers" xfId="726"/>
    <cellStyle name="Numdec1" xfId="727"/>
    <cellStyle name="Numdec1bold" xfId="728"/>
    <cellStyle name="NumGen" xfId="729"/>
    <cellStyle name="NumGen 2" xfId="730"/>
    <cellStyle name="NumPcnt(2)" xfId="731"/>
    <cellStyle name="NumPcnt(2) 2" xfId="732"/>
    <cellStyle name="NumTh(0)" xfId="733"/>
    <cellStyle name="NumTh(0) 2" xfId="734"/>
    <cellStyle name="NumThRed(2)" xfId="735"/>
    <cellStyle name="NumThRed(2) 2" xfId="736"/>
    <cellStyle name="Onedec" xfId="737"/>
    <cellStyle name="Output 2" xfId="738"/>
    <cellStyle name="Output 3" xfId="739"/>
    <cellStyle name="Output 4" xfId="740"/>
    <cellStyle name="Output 5" xfId="741"/>
    <cellStyle name="Output 6" xfId="742"/>
    <cellStyle name="Output Labels" xfId="743"/>
    <cellStyle name="P/E" xfId="744"/>
    <cellStyle name="p1 Source/note" xfId="745"/>
    <cellStyle name="p1 Table headers" xfId="746"/>
    <cellStyle name="p1 Table stubs" xfId="747"/>
    <cellStyle name="p1 Table text" xfId="748"/>
    <cellStyle name="p1 Table title" xfId="749"/>
    <cellStyle name="p1 Table title 2" xfId="750"/>
    <cellStyle name="Page Number" xfId="751"/>
    <cellStyle name="ParaHead" xfId="752"/>
    <cellStyle name="ParaHead 2" xfId="753"/>
    <cellStyle name="pb_table_format_columnheading" xfId="754"/>
    <cellStyle name="pcent" xfId="755"/>
    <cellStyle name="pcent 2" xfId="756"/>
    <cellStyle name="Pctdec1" xfId="757"/>
    <cellStyle name="Pctdec1+" xfId="758"/>
    <cellStyle name="Pctdec1itals" xfId="759"/>
    <cellStyle name="Pctdec1itals+" xfId="760"/>
    <cellStyle name="Pctdec2" xfId="761"/>
    <cellStyle name="PE/LTGR" xfId="762"/>
    <cellStyle name="Percent (M)" xfId="763"/>
    <cellStyle name="Percent 1d" xfId="764"/>
    <cellStyle name="Percent 2" xfId="765"/>
    <cellStyle name="Percent 2 2" xfId="766"/>
    <cellStyle name="Percent 3" xfId="767"/>
    <cellStyle name="Percent 3 2" xfId="768"/>
    <cellStyle name="Percent 4" xfId="769"/>
    <cellStyle name="Percent 4 2" xfId="770"/>
    <cellStyle name="Percent 5" xfId="771"/>
    <cellStyle name="Percent 5 2" xfId="772"/>
    <cellStyle name="Percent 6" xfId="773"/>
    <cellStyle name="Percent 6 2" xfId="774"/>
    <cellStyle name="Percent 7" xfId="775"/>
    <cellStyle name="Percent 7 2" xfId="776"/>
    <cellStyle name="Percent 8" xfId="777"/>
    <cellStyle name="Percent [2]" xfId="778"/>
    <cellStyle name="Percent [2] 2" xfId="779"/>
    <cellStyle name="Percent-constant" xfId="780"/>
    <cellStyle name="Percent-formula" xfId="781"/>
    <cellStyle name="Percent1" xfId="782"/>
    <cellStyle name="Percentage[0]" xfId="783"/>
    <cellStyle name="PercentChange" xfId="784"/>
    <cellStyle name="PercentERR" xfId="785"/>
    <cellStyle name="PercentPresentation" xfId="786"/>
    <cellStyle name="Plug 0." xfId="787"/>
    <cellStyle name="Plug 0.0" xfId="788"/>
    <cellStyle name="POPS" xfId="789"/>
    <cellStyle name="Poundsdec0" xfId="790"/>
    <cellStyle name="Pourcentage_EciaNew" xfId="791"/>
    <cellStyle name="PresentationZero" xfId="792"/>
    <cellStyle name="Price" xfId="793"/>
    <cellStyle name="Problem" xfId="794"/>
    <cellStyle name="ProfileTitle" xfId="795"/>
    <cellStyle name="Ratio" xfId="796"/>
    <cellStyle name="Ratio 2" xfId="797"/>
    <cellStyle name="RatioX" xfId="798"/>
    <cellStyle name="Red" xfId="799"/>
    <cellStyle name="Reference" xfId="800"/>
    <cellStyle name="Reset  - Style7" xfId="801"/>
    <cellStyle name="Reset range style to defaults" xfId="802"/>
    <cellStyle name="Reset range style to defaults 2" xfId="803"/>
    <cellStyle name="Result F1" xfId="804"/>
    <cellStyle name="Result F1 2" xfId="805"/>
    <cellStyle name="Result Item" xfId="806"/>
    <cellStyle name="Result Item 2" xfId="807"/>
    <cellStyle name="Result Item Total" xfId="808"/>
    <cellStyle name="Result Item Total 2" xfId="809"/>
    <cellStyle name="Result T1" xfId="810"/>
    <cellStyle name="Result T2" xfId="811"/>
    <cellStyle name="Result T3" xfId="812"/>
    <cellStyle name="Result T4" xfId="813"/>
    <cellStyle name="Result Total" xfId="814"/>
    <cellStyle name="Result Total 2" xfId="815"/>
    <cellStyle name="revenue_model_q" xfId="816"/>
    <cellStyle name="Right" xfId="817"/>
    <cellStyle name="Right 2" xfId="818"/>
    <cellStyle name="Rmess" xfId="819"/>
    <cellStyle name="Rnumber" xfId="820"/>
    <cellStyle name="Rnumber3" xfId="821"/>
    <cellStyle name="Rs Notation" xfId="822"/>
    <cellStyle name="Rs Notation 2" xfId="823"/>
    <cellStyle name="s" xfId="824"/>
    <cellStyle name="Salida" xfId="825"/>
    <cellStyle name="SAPBEXHLevel1" xfId="826"/>
    <cellStyle name="SAPBEXHLevel1 2" xfId="827"/>
    <cellStyle name="SAPBEXstdData" xfId="828"/>
    <cellStyle name="Satisfaisant" xfId="829"/>
    <cellStyle name="SB_Normal" xfId="830"/>
    <cellStyle name="ScripFactor" xfId="831"/>
    <cellStyle name="SectionHeading" xfId="832"/>
    <cellStyle name="Share" xfId="833"/>
    <cellStyle name="Shares" xfId="834"/>
    <cellStyle name="SingleLineAcctgn" xfId="835"/>
    <cellStyle name="SingleLinePercent" xfId="836"/>
    <cellStyle name="Sortie" xfId="837"/>
    <cellStyle name="source" xfId="838"/>
    <cellStyle name="Source/note" xfId="839"/>
    <cellStyle name="Standard" xfId="840"/>
    <cellStyle name="Standard 2" xfId="841"/>
    <cellStyle name="style" xfId="842"/>
    <cellStyle name="Style 1" xfId="843"/>
    <cellStyle name="Style 1 2" xfId="844"/>
    <cellStyle name="Style 10" xfId="845"/>
    <cellStyle name="Style 11" xfId="846"/>
    <cellStyle name="Style 11 2" xfId="847"/>
    <cellStyle name="Style 12" xfId="848"/>
    <cellStyle name="Style 13" xfId="849"/>
    <cellStyle name="Style 13 2" xfId="850"/>
    <cellStyle name="Style 14" xfId="851"/>
    <cellStyle name="Style 15" xfId="852"/>
    <cellStyle name="Style 16" xfId="853"/>
    <cellStyle name="Style 16 2" xfId="854"/>
    <cellStyle name="Style 17" xfId="855"/>
    <cellStyle name="Style 18" xfId="856"/>
    <cellStyle name="Style 19" xfId="857"/>
    <cellStyle name="Style 19 2" xfId="858"/>
    <cellStyle name="Style 2" xfId="859"/>
    <cellStyle name="Style 2 2" xfId="860"/>
    <cellStyle name="Style 20" xfId="861"/>
    <cellStyle name="Style 21" xfId="862"/>
    <cellStyle name="Style 21 2" xfId="863"/>
    <cellStyle name="Style 22" xfId="864"/>
    <cellStyle name="Style 23" xfId="865"/>
    <cellStyle name="Style 24" xfId="866"/>
    <cellStyle name="Style 24 2" xfId="867"/>
    <cellStyle name="style 25" xfId="868"/>
    <cellStyle name="style 26" xfId="869"/>
    <cellStyle name="style 27" xfId="870"/>
    <cellStyle name="style 28" xfId="871"/>
    <cellStyle name="Style 3" xfId="872"/>
    <cellStyle name="Style 3 2" xfId="873"/>
    <cellStyle name="Style 34" xfId="874"/>
    <cellStyle name="Style 35" xfId="875"/>
    <cellStyle name="Style 36" xfId="876"/>
    <cellStyle name="Style 37" xfId="877"/>
    <cellStyle name="Style 38" xfId="878"/>
    <cellStyle name="Style 39" xfId="879"/>
    <cellStyle name="Style 4" xfId="880"/>
    <cellStyle name="Style 4 2" xfId="881"/>
    <cellStyle name="Style 45" xfId="882"/>
    <cellStyle name="Style 46" xfId="883"/>
    <cellStyle name="Style 5" xfId="884"/>
    <cellStyle name="Style 5 2" xfId="885"/>
    <cellStyle name="Style 52" xfId="886"/>
    <cellStyle name="Style 53" xfId="887"/>
    <cellStyle name="Style 6" xfId="888"/>
    <cellStyle name="Style 6 2" xfId="889"/>
    <cellStyle name="Style 7" xfId="890"/>
    <cellStyle name="Style 7 2" xfId="891"/>
    <cellStyle name="Style 8" xfId="892"/>
    <cellStyle name="Style 8 2" xfId="893"/>
    <cellStyle name="Style 9" xfId="894"/>
    <cellStyle name="Style 9 2" xfId="895"/>
    <cellStyle name="Style1" xfId="896"/>
    <cellStyle name="Style2" xfId="897"/>
    <cellStyle name="Style3" xfId="898"/>
    <cellStyle name="Style4" xfId="899"/>
    <cellStyle name="Style5" xfId="900"/>
    <cellStyle name="Style6" xfId="901"/>
    <cellStyle name="Style7" xfId="902"/>
    <cellStyle name="Sub - Style3" xfId="903"/>
    <cellStyle name="Subhead" xfId="904"/>
    <cellStyle name="Subheadbldun" xfId="905"/>
    <cellStyle name="Subscribers" xfId="906"/>
    <cellStyle name="SubTot 1" xfId="907"/>
    <cellStyle name="SubTot 1 2" xfId="908"/>
    <cellStyle name="SubTot 2" xfId="909"/>
    <cellStyle name="SubTot 2 2" xfId="910"/>
    <cellStyle name="SubTot 3" xfId="911"/>
    <cellStyle name="SubTot 3 2" xfId="912"/>
    <cellStyle name="Subtotal_right" xfId="913"/>
    <cellStyle name="SummaryFormat" xfId="914"/>
    <cellStyle name="SummaryFormatEnd" xfId="915"/>
    <cellStyle name="SummaryFormatStart" xfId="916"/>
    <cellStyle name="SymbolBlue" xfId="917"/>
    <cellStyle name="t%" xfId="918"/>
    <cellStyle name="table" xfId="919"/>
    <cellStyle name="Table  - Style6" xfId="920"/>
    <cellStyle name="Table Head" xfId="921"/>
    <cellStyle name="Table Head Aligned" xfId="922"/>
    <cellStyle name="Table Head Blue" xfId="923"/>
    <cellStyle name="Table Head Green" xfId="924"/>
    <cellStyle name="Table headers" xfId="925"/>
    <cellStyle name="Table headers 2" xfId="926"/>
    <cellStyle name="Table stubs" xfId="927"/>
    <cellStyle name="Table text" xfId="928"/>
    <cellStyle name="Table text #,##0;(#,##0)" xfId="929"/>
    <cellStyle name="Table text 0.0" xfId="930"/>
    <cellStyle name="Table title" xfId="931"/>
    <cellStyle name="Table Units" xfId="932"/>
    <cellStyle name="TableBody_Deutsche Telekom " xfId="933"/>
    <cellStyle name="TableColHeads_Deutsche Telekom " xfId="934"/>
    <cellStyle name="Terms" xfId="935"/>
    <cellStyle name="Texte explicatif" xfId="936"/>
    <cellStyle name="Texto de advertencia" xfId="937"/>
    <cellStyle name="Texto explicativo" xfId="938"/>
    <cellStyle name="Thin2Lines(B)" xfId="939"/>
    <cellStyle name="Thin2Lines(B) 2" xfId="940"/>
    <cellStyle name="ThinBotRow" xfId="941"/>
    <cellStyle name="ThinBotRow 2" xfId="942"/>
    <cellStyle name="ThinLine(B)" xfId="943"/>
    <cellStyle name="ThinLine(B) 2" xfId="944"/>
    <cellStyle name="ThinLine(BL)" xfId="945"/>
    <cellStyle name="ThinLine(BL) 2" xfId="946"/>
    <cellStyle name="ThinLine(Box)" xfId="947"/>
    <cellStyle name="ThinLine(Box) 2" xfId="948"/>
    <cellStyle name="ThinLine(BR)" xfId="949"/>
    <cellStyle name="ThinLine(BR) 2" xfId="950"/>
    <cellStyle name="ThinLine(LBox)" xfId="951"/>
    <cellStyle name="ThinLine(LBox) 2" xfId="952"/>
    <cellStyle name="ThinLine(RBox)" xfId="953"/>
    <cellStyle name="ThinLine(RBox) 2" xfId="954"/>
    <cellStyle name="ThinLine(TB)" xfId="955"/>
    <cellStyle name="ThinLine(TB) 2" xfId="956"/>
    <cellStyle name="ThinLine(TL)" xfId="957"/>
    <cellStyle name="ThinLine(TL) 2" xfId="958"/>
    <cellStyle name="ThinLine(TR)" xfId="959"/>
    <cellStyle name="ThinLine(TR) 2" xfId="960"/>
    <cellStyle name="ThinMidRow" xfId="961"/>
    <cellStyle name="ThinMidRow 2" xfId="962"/>
    <cellStyle name="ThinTopRow" xfId="963"/>
    <cellStyle name="ThinTopRow 2" xfId="964"/>
    <cellStyle name="ThinTotLine" xfId="965"/>
    <cellStyle name="ThinTotLine 2" xfId="966"/>
    <cellStyle name="ThinTotLine(Box)" xfId="967"/>
    <cellStyle name="ThinTotLine(Box) 2" xfId="968"/>
    <cellStyle name="threedecplace" xfId="969"/>
    <cellStyle name="threedecplace 2" xfId="970"/>
    <cellStyle name="Time Strip" xfId="971"/>
    <cellStyle name="Timesdec1" xfId="972"/>
    <cellStyle name="Timesdec2" xfId="973"/>
    <cellStyle name="titel" xfId="974"/>
    <cellStyle name="Title  - Style1" xfId="975"/>
    <cellStyle name="Title 2" xfId="976"/>
    <cellStyle name="Title 3" xfId="977"/>
    <cellStyle name="Title 4" xfId="978"/>
    <cellStyle name="Title 5" xfId="979"/>
    <cellStyle name="Title 6" xfId="980"/>
    <cellStyle name="Title II" xfId="981"/>
    <cellStyle name="Title1" xfId="982"/>
    <cellStyle name="Title2" xfId="983"/>
    <cellStyle name="TitleII" xfId="984"/>
    <cellStyle name="Titles" xfId="985"/>
    <cellStyle name="TitleStartCell" xfId="986"/>
    <cellStyle name="Titre" xfId="987"/>
    <cellStyle name="Titre colonne" xfId="988"/>
    <cellStyle name="Titre colonnes" xfId="989"/>
    <cellStyle name="Titre general" xfId="990"/>
    <cellStyle name="Titre général" xfId="991"/>
    <cellStyle name="Titre ligne" xfId="992"/>
    <cellStyle name="Titre lignes" xfId="993"/>
    <cellStyle name="Titre tableau" xfId="994"/>
    <cellStyle name="Titre 1" xfId="995"/>
    <cellStyle name="Titre 2" xfId="996"/>
    <cellStyle name="Titre 3" xfId="997"/>
    <cellStyle name="Titre 4" xfId="998"/>
    <cellStyle name="Topline" xfId="999"/>
    <cellStyle name="Topline 2" xfId="1000"/>
    <cellStyle name="Total 2" xfId="1001"/>
    <cellStyle name="Total 3" xfId="1002"/>
    <cellStyle name="Total 4" xfId="1003"/>
    <cellStyle name="Total 5" xfId="1004"/>
    <cellStyle name="Total 6" xfId="1005"/>
    <cellStyle name="Total intermediaire" xfId="1006"/>
    <cellStyle name="Total intermediaire 0" xfId="1007"/>
    <cellStyle name="Total intermediaire 0 2" xfId="1008"/>
    <cellStyle name="Total intermediaire 1" xfId="1009"/>
    <cellStyle name="Total intermediaire 2" xfId="1010"/>
    <cellStyle name="Total intermediaire 3" xfId="1011"/>
    <cellStyle name="Total intermediaire 4" xfId="1012"/>
    <cellStyle name="Total intermediaire_ACEA download sheet" xfId="1013"/>
    <cellStyle name="Total tableau" xfId="1014"/>
    <cellStyle name="totals" xfId="1015"/>
    <cellStyle name="TotCol - Style5" xfId="1016"/>
    <cellStyle name="TotRow - Style4" xfId="1017"/>
    <cellStyle name="tsDates" xfId="1018"/>
    <cellStyle name="tsTitles" xfId="1019"/>
    <cellStyle name="twodecplace" xfId="1020"/>
    <cellStyle name="Título" xfId="1021"/>
    <cellStyle name="Título 1" xfId="1022"/>
    <cellStyle name="Título 2" xfId="1023"/>
    <cellStyle name="Título 3" xfId="1024"/>
    <cellStyle name="Ugly" xfId="1025"/>
    <cellStyle name="Units" xfId="1026"/>
    <cellStyle name="Update" xfId="1027"/>
    <cellStyle name="Upload Only" xfId="1028"/>
    <cellStyle name="US$#,##0" xfId="1029"/>
    <cellStyle name="US$#,##0.00" xfId="1030"/>
    <cellStyle name="Validation" xfId="1031"/>
    <cellStyle name="Validation 2" xfId="1032"/>
    <cellStyle name="Valuation" xfId="1033"/>
    <cellStyle name="Valuation Bold" xfId="1034"/>
    <cellStyle name="Valuation_Global Pipeline" xfId="1035"/>
    <cellStyle name="Volumes_Data" xfId="1036"/>
    <cellStyle name="Vérification" xfId="1037"/>
    <cellStyle name="Warning Text 2" xfId="1038"/>
    <cellStyle name="Warning Text 3" xfId="1039"/>
    <cellStyle name="Warning Text 4" xfId="1040"/>
    <cellStyle name="Warning Text 5" xfId="1041"/>
    <cellStyle name="Warning Text 6" xfId="1042"/>
    <cellStyle name="WholeNumber" xfId="1043"/>
    <cellStyle name="WingdingsBlack" xfId="1044"/>
    <cellStyle name="WingdingsRed" xfId="1045"/>
    <cellStyle name="WingdingsWhite" xfId="1046"/>
    <cellStyle name="Währung [0]_CIBA.H12001" xfId="1047"/>
    <cellStyle name="Währung_ACEA" xfId="1048"/>
    <cellStyle name="x" xfId="1049"/>
    <cellStyle name="YE Num" xfId="1050"/>
    <cellStyle name="YE Num 2" xfId="1051"/>
    <cellStyle name="YE String" xfId="1052"/>
    <cellStyle name="Year" xfId="1053"/>
    <cellStyle name="Year Estimate" xfId="1054"/>
    <cellStyle name="years" xfId="1055"/>
    <cellStyle name="zero" xfId="1056"/>
    <cellStyle name="ÊÝ [0.00]_COMPANY" xfId="1057"/>
    <cellStyle name="ÊÝ_COMPANY" xfId="1058"/>
    <cellStyle name="W_GTParent" xfId="1059"/>
    <cellStyle name="§" xfId="1060"/>
    <cellStyle name="§ 2" xfId="1061"/>
    <cellStyle name="§Q" xfId="1062"/>
    <cellStyle name="§Q 2" xfId="1063"/>
    <cellStyle name="§Q\" xfId="1064"/>
    <cellStyle name="§Q\ 2" xfId="1065"/>
    <cellStyle name="§Q\?" xfId="1066"/>
    <cellStyle name="§Q\? 2" xfId="1067"/>
    <cellStyle name="§Q\?1" xfId="1068"/>
    <cellStyle name="§Q\?1 2" xfId="1069"/>
    <cellStyle name="§Q\?1@" xfId="1070"/>
    <cellStyle name="§Q\_Japan data" xfId="1071"/>
    <cellStyle name="Énfasis1" xfId="1072"/>
    <cellStyle name="Énfasis2" xfId="1073"/>
    <cellStyle name="Énfasis3" xfId="1074"/>
    <cellStyle name="Énfasis4" xfId="1075"/>
    <cellStyle name="Énfasis5" xfId="1076"/>
    <cellStyle name="Énfasis6" xfId="1077"/>
    <cellStyle name="þ_x001d_ð &amp;ý&amp;†ýG_x0008_ X&#10;_x0007__x0001__x0001_" xfId="1078"/>
    <cellStyle name="þ_x001d_ð &amp;ý&amp;†ýG_x0008_ X&#10;_x0007__x0001__x0001_ 2" xfId="1079"/>
    <cellStyle name="þ_x001d_ð&quot;_x000c_Býò_x000c_5ýU_x0001_e_x0005_¹,_x0007__x0001__x0001_" xfId="1080"/>
    <cellStyle name="þ_x001d_ð&quot;_x000c_Býò_x000c_5ýU_x0001_e_x0005_¹,_x0007__x0001__x0001_ 2" xfId="1081"/>
    <cellStyle name="Œ…‹æØ‚è [0.00]_4535" xfId="1082"/>
    <cellStyle name="Œ…‹æØ‚è_GE 3 MINIMUM" xfId="1083"/>
    <cellStyle name="’Ê‰Ý [0.00]_4501mc" xfId="1084"/>
    <cellStyle name="’Ê‰Ý_4501mc" xfId="1085"/>
    <cellStyle name="“ü—Í—“" xfId="1086"/>
    <cellStyle name="•W€_4501mc" xfId="1087"/>
    <cellStyle name="ハイパーリンク" xfId="1088"/>
    <cellStyle name="パーセント_8001C_CF" xfId="1089"/>
    <cellStyle name="常规_11月上报协会数据" xfId="1090"/>
    <cellStyle name="桁区切り [0.00]_4502TAKE" xfId="1091"/>
    <cellStyle name="桁区切り_4505 Daiichi Model" xfId="1092"/>
    <cellStyle name="標準_２目次案" xfId="1093"/>
    <cellStyle name="通貨 [0.00]_２目次案" xfId="1094"/>
    <cellStyle name="通貨_２目次案" xfId="1095"/>
  </cellStyles>
  <dxfs count="2">
    <dxf>
      <font>
        <b val="1"/>
        <color rgb="FF00FF00"/>
      </font>
    </dxf>
    <dxf>
      <font>
        <b val="1"/>
        <color rgb="FFFF000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C0C0FF"/>
      <rgbColor rgb="FF800080"/>
      <rgbColor rgb="FF008080"/>
      <rgbColor rgb="FFC0C0C0"/>
      <rgbColor rgb="FF798089"/>
      <rgbColor rgb="FF989898"/>
      <rgbColor rgb="FFF2DCDB"/>
      <rgbColor rgb="FFFFFFCC"/>
      <rgbColor rgb="FFCCFFFF"/>
      <rgbColor rgb="FFFDE9D9"/>
      <rgbColor rgb="FFFF8080"/>
      <rgbColor rgb="FF0067CB"/>
      <rgbColor rgb="FFCCCCFF"/>
      <rgbColor rgb="FFFFFFF9"/>
      <rgbColor rgb="FFDCE6F2"/>
      <rgbColor rgb="FFFFF2CC"/>
      <rgbColor rgb="FFC6D9F1"/>
      <rgbColor rgb="FFE2EFDA"/>
      <rgbColor rgb="FFEFEFEF"/>
      <rgbColor rgb="FFD7E4BD"/>
      <rgbColor rgb="FFF2F2F2"/>
      <rgbColor rgb="FF00CCFF"/>
      <rgbColor rgb="FFDDEBF7"/>
      <rgbColor rgb="FFCCFFCC"/>
      <rgbColor rgb="FFFFFF99"/>
      <rgbColor rgb="FF99CCFF"/>
      <rgbColor rgb="FFFF99CC"/>
      <rgbColor rgb="FFCC99FF"/>
      <rgbColor rgb="FFFFCC99"/>
      <rgbColor rgb="FF2F71E8"/>
      <rgbColor rgb="FF33CCCC"/>
      <rgbColor rgb="FFBFBFBF"/>
      <rgbColor rgb="FFFFCC00"/>
      <rgbColor rgb="FFFF9900"/>
      <rgbColor rgb="FFFC6E06"/>
      <rgbColor rgb="FF404040"/>
      <rgbColor rgb="FF969696"/>
      <rgbColor rgb="FF003366"/>
      <rgbColor rgb="FF339966"/>
      <rgbColor rgb="FF1F3864"/>
      <rgbColor rgb="FF1D331D"/>
      <rgbColor rgb="FF993315"/>
      <rgbColor rgb="FFDAE2F3"/>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993366"/>
            </a:solidFill>
            <a:ln w="12600">
              <a:solidFill>
                <a:srgbClr val="000000"/>
              </a:solidFill>
              <a:round/>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'New Qrtrly'!$B$172:$O$172</c:f>
              <c:strCache>
                <c:ptCount val="14"/>
                <c:pt idx="0">
                  <c:v/>
                </c:pt>
                <c:pt idx="1">
                  <c:v/>
                </c:pt>
                <c:pt idx="2">
                  <c:v/>
                </c:pt>
                <c:pt idx="3">
                  <c:v/>
                </c:pt>
                <c:pt idx="4">
                  <c:v/>
                </c:pt>
                <c:pt idx="5">
                  <c:v/>
                </c:pt>
                <c:pt idx="6">
                  <c:v/>
                </c:pt>
                <c:pt idx="7">
                  <c:v/>
                </c:pt>
                <c:pt idx="8">
                  <c:v/>
                </c:pt>
                <c:pt idx="9">
                  <c:v/>
                </c:pt>
                <c:pt idx="10">
                  <c:v/>
                </c:pt>
                <c:pt idx="11">
                  <c:v/>
                </c:pt>
                <c:pt idx="12">
                  <c:v/>
                </c:pt>
                <c:pt idx="13">
                  <c:v/>
                </c:pt>
              </c:strCache>
            </c:strRef>
          </c:cat>
          <c:val>
            <c:numRef>
              <c:f>'New Qrtrly'!$B$173:$O$173</c:f>
              <c:numCache>
                <c:formatCode>General</c:formatCode>
                <c:ptCount val="14"/>
              </c:numCache>
            </c:numRef>
          </c:val>
        </c:ser>
        <c:gapWidth val="150"/>
        <c:overlap val="0"/>
        <c:axId val="8022714"/>
        <c:axId val="89992301"/>
      </c:barChart>
      <c:lineChart>
        <c:grouping val="standard"/>
        <c:varyColors val="0"/>
        <c:ser>
          <c:idx val="1"/>
          <c:order val="1"/>
          <c:spPr>
            <a:solidFill>
              <a:srgbClr val="000080"/>
            </a:solidFill>
            <a:ln w="12600">
              <a:solidFill>
                <a:srgbClr val="000080"/>
              </a:solidFill>
              <a:round/>
            </a:ln>
          </c:spPr>
          <c:marker>
            <c:symbol val="diamond"/>
            <c:size val="5"/>
            <c:spPr>
              <a:solidFill>
                <a:srgbClr val="00008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'New Qrtrly'!$B$172:$O$172</c:f>
              <c:strCache>
                <c:ptCount val="14"/>
                <c:pt idx="0">
                  <c:v/>
                </c:pt>
                <c:pt idx="1">
                  <c:v/>
                </c:pt>
                <c:pt idx="2">
                  <c:v/>
                </c:pt>
                <c:pt idx="3">
                  <c:v/>
                </c:pt>
                <c:pt idx="4">
                  <c:v/>
                </c:pt>
                <c:pt idx="5">
                  <c:v/>
                </c:pt>
                <c:pt idx="6">
                  <c:v/>
                </c:pt>
                <c:pt idx="7">
                  <c:v/>
                </c:pt>
                <c:pt idx="8">
                  <c:v/>
                </c:pt>
                <c:pt idx="9">
                  <c:v/>
                </c:pt>
                <c:pt idx="10">
                  <c:v/>
                </c:pt>
                <c:pt idx="11">
                  <c:v/>
                </c:pt>
                <c:pt idx="12">
                  <c:v/>
                </c:pt>
                <c:pt idx="13">
                  <c:v/>
                </c:pt>
              </c:strCache>
            </c:strRef>
          </c:cat>
          <c:val>
            <c:numRef>
              <c:f>'New Qrtrly'!$B$174:$O$174</c:f>
              <c:numCache>
                <c:formatCode>General</c:formatCode>
                <c:ptCount val="14"/>
              </c:numCache>
            </c:numRef>
          </c:val>
          <c:smooth val="0"/>
        </c:ser>
        <c:hiLowLines>
          <c:spPr>
            <a:ln w="0">
              <a:noFill/>
            </a:ln>
          </c:spPr>
        </c:hiLowLines>
        <c:marker val="1"/>
        <c:axId val="70188308"/>
        <c:axId val="74384822"/>
      </c:lineChart>
      <c:catAx>
        <c:axId val="8022714"/>
        <c:scaling>
          <c:orientation val="minMax"/>
        </c:scaling>
        <c:delete val="0"/>
        <c:axPos val="b"/>
        <c:numFmt formatCode="General" sourceLinked="0"/>
        <c:majorTickMark val="cross"/>
        <c:minorTickMark val="none"/>
        <c:tickLblPos val="nextTo"/>
        <c:spPr>
          <a:ln w="3240">
            <a:solidFill>
              <a:srgbClr val="000000"/>
            </a:solidFill>
            <a:round/>
          </a:ln>
        </c:spPr>
        <c:txPr>
          <a:bodyPr rot="-2700000"/>
          <a:lstStyle/>
          <a:p>
            <a:pPr>
              <a:defRPr b="0" lang="en-US" sz="1000" spc="-1" strike="noStrike">
                <a:solidFill>
                  <a:srgbClr val="000000"/>
                </a:solidFill>
                <a:latin typeface="HelveticaNeue Condensed"/>
                <a:ea typeface="HelveticaNeue Condensed"/>
              </a:defRPr>
            </a:pPr>
          </a:p>
        </c:txPr>
        <c:crossAx val="89992301"/>
        <c:crosses val="autoZero"/>
        <c:auto val="1"/>
        <c:lblAlgn val="ctr"/>
        <c:lblOffset val="100"/>
        <c:noMultiLvlLbl val="0"/>
      </c:catAx>
      <c:valAx>
        <c:axId val="89992301"/>
        <c:scaling>
          <c:orientation val="minMax"/>
          <c:min val="8"/>
        </c:scaling>
        <c:delete val="0"/>
        <c:axPos val="l"/>
        <c:numFmt formatCode="0.00" sourceLinked="0"/>
        <c:majorTickMark val="cross"/>
        <c:minorTickMark val="none"/>
        <c:tickLblPos val="nextTo"/>
        <c:spPr>
          <a:ln w="3240">
            <a:solidFill>
              <a:srgbClr val="000000"/>
            </a:solidFill>
            <a:round/>
          </a:ln>
        </c:spPr>
        <c:txPr>
          <a:bodyPr/>
          <a:lstStyle/>
          <a:p>
            <a:pPr>
              <a:defRPr b="0" lang="en-US" sz="1000" spc="-1" strike="noStrike">
                <a:solidFill>
                  <a:srgbClr val="000000"/>
                </a:solidFill>
                <a:latin typeface="HelveticaNeue Condensed"/>
                <a:ea typeface="HelveticaNeue Condensed"/>
              </a:defRPr>
            </a:pPr>
          </a:p>
        </c:txPr>
        <c:crossAx val="8022714"/>
        <c:crosses val="autoZero"/>
        <c:crossBetween val="between"/>
        <c:majorUnit val="0.8"/>
      </c:valAx>
      <c:catAx>
        <c:axId val="70188308"/>
        <c:scaling>
          <c:orientation val="minMax"/>
        </c:scaling>
        <c:delete val="1"/>
        <c:axPos val="t"/>
        <c:numFmt formatCode="General" sourceLinked="1"/>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384822"/>
        <c:auto val="1"/>
        <c:lblAlgn val="ctr"/>
        <c:lblOffset val="100"/>
        <c:noMultiLvlLbl val="0"/>
      </c:catAx>
      <c:valAx>
        <c:axId val="74384822"/>
        <c:scaling>
          <c:orientation val="minMax"/>
        </c:scaling>
        <c:delete val="0"/>
        <c:axPos val="r"/>
        <c:numFmt formatCode="_(* #,##0.0_);_(* \(#,##0.0\);_(* \-??_);_(@_)" sourceLinked="0"/>
        <c:majorTickMark val="cross"/>
        <c:minorTickMark val="none"/>
        <c:tickLblPos val="nextTo"/>
        <c:spPr>
          <a:ln w="3240">
            <a:solidFill>
              <a:srgbClr val="000000"/>
            </a:solidFill>
            <a:round/>
          </a:ln>
        </c:spPr>
        <c:txPr>
          <a:bodyPr/>
          <a:lstStyle/>
          <a:p>
            <a:pPr>
              <a:defRPr b="0" lang="en-US" sz="1000" spc="-1" strike="noStrike">
                <a:solidFill>
                  <a:srgbClr val="000000"/>
                </a:solidFill>
                <a:latin typeface="HelveticaNeue Condensed"/>
                <a:ea typeface="HelveticaNeue Condensed"/>
              </a:defRPr>
            </a:pPr>
          </a:p>
        </c:txPr>
        <c:crossAx val="70188308"/>
        <c:crosses val="max"/>
        <c:crossBetween val="between"/>
      </c:valAx>
      <c:spPr>
        <a:noFill/>
        <a:ln w="0">
          <a:noFill/>
        </a:ln>
      </c:spPr>
    </c:plotArea>
    <c:legend>
      <c:legendPos val="r"/>
      <c:overlay val="0"/>
      <c:spPr>
        <a:solidFill>
          <a:srgbClr val="ffffff"/>
        </a:solidFill>
        <a:ln w="3240">
          <a:solidFill>
            <a:srgbClr val="000000"/>
          </a:solidFill>
          <a:round/>
        </a:ln>
      </c:spPr>
      <c:txPr>
        <a:bodyPr/>
        <a:lstStyle/>
        <a:p>
          <a:pPr>
            <a:defRPr b="0" lang="en-US" sz="920" spc="-1" strike="noStrike">
              <a:solidFill>
                <a:srgbClr val="000000"/>
              </a:solidFill>
              <a:latin typeface="HelveticaNeue Condensed"/>
              <a:ea typeface="HelveticaNeue Condensed"/>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175</xdr:row>
      <xdr:rowOff>114840</xdr:rowOff>
    </xdr:from>
    <xdr:to>
      <xdr:col>15</xdr:col>
      <xdr:colOff>0</xdr:colOff>
      <xdr:row>190</xdr:row>
      <xdr:rowOff>141480</xdr:rowOff>
    </xdr:to>
    <xdr:graphicFrame>
      <xdr:nvGraphicFramePr>
        <xdr:cNvPr id="0" name="Chart 1"/>
        <xdr:cNvGraphicFramePr/>
      </xdr:nvGraphicFramePr>
      <xdr:xfrm>
        <a:off x="13371840" y="27327600"/>
        <a:ext cx="0" cy="2312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G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 collapsed="false" customWidth="true" hidden="false" outlineLevel="0" max="7" min="4" style="0" width="18"/>
  </cols>
  <sheetData>
    <row r="1" customFormat="false" ht="16.15" hidden="false" customHeight="false" outlineLevel="0" collapsed="false">
      <c r="B1" s="1" t="s">
        <v>0</v>
      </c>
    </row>
    <row r="2" customFormat="false" ht="15" hidden="false" customHeight="false" outlineLevel="0" collapsed="false">
      <c r="B2" s="2" t="s">
        <v>1</v>
      </c>
    </row>
    <row r="4" customFormat="false" ht="13.5" hidden="false" customHeight="true" outlineLevel="0" collapsed="false">
      <c r="B4" s="3" t="s">
        <v>2</v>
      </c>
      <c r="C4" s="4"/>
    </row>
    <row r="5" customFormat="false" ht="13.5" hidden="false" customHeight="true" outlineLevel="0" collapsed="false">
      <c r="B5" s="5" t="s">
        <v>3</v>
      </c>
      <c r="C5" s="6" t="s">
        <v>4</v>
      </c>
    </row>
    <row r="6" customFormat="false" ht="25.5" hidden="false" customHeight="true" outlineLevel="0" collapsed="false">
      <c r="B6" s="7" t="s">
        <v>3</v>
      </c>
      <c r="C6" s="6" t="s">
        <v>5</v>
      </c>
    </row>
    <row r="7" customFormat="false" ht="13.5" hidden="false" customHeight="true" outlineLevel="0" collapsed="false">
      <c r="B7" s="8" t="s">
        <v>3</v>
      </c>
      <c r="C7" s="6" t="s">
        <v>6</v>
      </c>
    </row>
    <row r="8" customFormat="false" ht="25.5" hidden="false" customHeight="true" outlineLevel="0" collapsed="false">
      <c r="B8" s="9" t="s">
        <v>3</v>
      </c>
      <c r="C8" s="6" t="s">
        <v>7</v>
      </c>
    </row>
    <row r="9" customFormat="false" ht="13.5" hidden="false" customHeight="true" outlineLevel="0" collapsed="false">
      <c r="B9" s="10" t="s">
        <v>3</v>
      </c>
      <c r="C9" s="6" t="s">
        <v>8</v>
      </c>
    </row>
    <row r="10" customFormat="false" ht="13.5" hidden="false" customHeight="true" outlineLevel="0" collapsed="false">
      <c r="B10" s="11" t="s">
        <v>3</v>
      </c>
      <c r="C10" s="6" t="s">
        <v>9</v>
      </c>
    </row>
    <row r="11" customFormat="false" ht="13.5" hidden="false" customHeight="true" outlineLevel="0" collapsed="false"/>
    <row r="12" customFormat="false" ht="13.5" hidden="false" customHeight="true" outlineLevel="0" collapsed="false">
      <c r="B12" s="3" t="s">
        <v>10</v>
      </c>
      <c r="C12" s="4"/>
    </row>
    <row r="13" customFormat="false" ht="13.5" hidden="false" customHeight="true" outlineLevel="0" collapsed="false">
      <c r="B13" s="12" t="s">
        <v>11</v>
      </c>
      <c r="C13" s="12" t="s">
        <v>12</v>
      </c>
      <c r="D13" s="12" t="s">
        <v>13</v>
      </c>
      <c r="E13" s="12" t="s">
        <v>14</v>
      </c>
      <c r="F13" s="12" t="s">
        <v>15</v>
      </c>
      <c r="G13" s="12" t="s">
        <v>16</v>
      </c>
    </row>
    <row r="14" customFormat="false" ht="13.5" hidden="false" customHeight="true" outlineLevel="0" collapsed="false">
      <c r="B14" s="13" t="s">
        <v>17</v>
      </c>
      <c r="C14" s="14" t="n">
        <v>2833</v>
      </c>
      <c r="D14" s="14" t="n">
        <v>870</v>
      </c>
      <c r="E14" s="14" t="n">
        <v>564</v>
      </c>
      <c r="F14" s="14" t="n">
        <v>19</v>
      </c>
      <c r="G14" s="14" t="n">
        <v>401</v>
      </c>
    </row>
    <row r="15" customFormat="false" ht="13.5" hidden="false" customHeight="true" outlineLevel="0" collapsed="false">
      <c r="B15" s="13" t="s">
        <v>18</v>
      </c>
      <c r="C15" s="14" t="n">
        <v>592</v>
      </c>
      <c r="D15" s="14" t="n">
        <v>137</v>
      </c>
      <c r="E15" s="14" t="n">
        <v>136</v>
      </c>
      <c r="F15" s="14" t="n">
        <v>8</v>
      </c>
      <c r="G15" s="14" t="n">
        <v>8</v>
      </c>
    </row>
    <row r="16" customFormat="false" ht="13.5" hidden="false" customHeight="true" outlineLevel="0" collapsed="false">
      <c r="B16" s="13" t="s">
        <v>19</v>
      </c>
      <c r="C16" s="14" t="n">
        <v>15502</v>
      </c>
      <c r="D16" s="14" t="n">
        <v>2806</v>
      </c>
      <c r="E16" s="14" t="n">
        <v>1576</v>
      </c>
      <c r="F16" s="14" t="n">
        <v>91</v>
      </c>
      <c r="G16" s="14" t="n">
        <v>108</v>
      </c>
    </row>
    <row r="17" customFormat="false" ht="13.5" hidden="false" customHeight="true" outlineLevel="0" collapsed="false">
      <c r="B17" s="13" t="s">
        <v>20</v>
      </c>
      <c r="C17" s="15" t="n">
        <v>535</v>
      </c>
      <c r="D17" s="15" t="n">
        <v>173</v>
      </c>
      <c r="E17" s="15" t="n">
        <v>37</v>
      </c>
      <c r="F17" s="14" t="n">
        <v>0</v>
      </c>
      <c r="G17" s="15" t="n">
        <v>10</v>
      </c>
    </row>
    <row r="18" customFormat="false" ht="13.5" hidden="false" customHeight="true" outlineLevel="0" collapsed="false">
      <c r="B18" s="13" t="s">
        <v>21</v>
      </c>
      <c r="C18" s="14" t="n">
        <v>0</v>
      </c>
      <c r="D18" s="14" t="n">
        <v>91</v>
      </c>
      <c r="E18" s="14" t="n">
        <v>3</v>
      </c>
      <c r="F18" s="14" t="n">
        <v>23</v>
      </c>
      <c r="G18" s="14" t="n">
        <v>0</v>
      </c>
    </row>
    <row r="19" customFormat="false" ht="13.5" hidden="false" customHeight="true" outlineLevel="0" collapsed="false">
      <c r="B19" s="13" t="s">
        <v>22</v>
      </c>
      <c r="C19" s="14" t="n">
        <v>0</v>
      </c>
      <c r="D19" s="14" t="n">
        <v>0</v>
      </c>
      <c r="E19" s="14" t="n">
        <v>0</v>
      </c>
      <c r="F19" s="14" t="n">
        <v>0</v>
      </c>
      <c r="G19" s="15" t="n">
        <v>3</v>
      </c>
    </row>
    <row r="20" customFormat="false" ht="13.5" hidden="false" customHeight="true" outlineLevel="0" collapsed="false">
      <c r="B20" s="13" t="s">
        <v>23</v>
      </c>
      <c r="C20" s="14" t="n">
        <v>986</v>
      </c>
      <c r="D20" s="14" t="n">
        <v>416</v>
      </c>
      <c r="E20" s="14" t="n">
        <v>165</v>
      </c>
      <c r="F20" s="14" t="n">
        <v>55</v>
      </c>
      <c r="G20" s="14" t="n">
        <v>692</v>
      </c>
    </row>
    <row r="21" customFormat="false" ht="13.5" hidden="false" customHeight="true" outlineLevel="0" collapsed="false"/>
    <row r="22" customFormat="false" ht="13.5" hidden="false" customHeight="true" outlineLevel="0" collapsed="false">
      <c r="B22" s="3" t="s">
        <v>24</v>
      </c>
      <c r="C22" s="4"/>
    </row>
    <row r="23" customFormat="false" ht="25.5" hidden="false" customHeight="true" outlineLevel="0" collapsed="false">
      <c r="B23" s="12" t="s">
        <v>25</v>
      </c>
      <c r="C23" s="16" t="s">
        <v>26</v>
      </c>
    </row>
    <row r="24" customFormat="false" ht="39" hidden="false" customHeight="true" outlineLevel="0" collapsed="false">
      <c r="B24" s="12" t="s">
        <v>27</v>
      </c>
      <c r="C24" s="16" t="s">
        <v>28</v>
      </c>
    </row>
    <row r="25" customFormat="false" ht="25.5" hidden="false" customHeight="true" outlineLevel="0" collapsed="false">
      <c r="B25" s="12" t="s">
        <v>29</v>
      </c>
      <c r="C25" s="16" t="s">
        <v>30</v>
      </c>
    </row>
    <row r="26" customFormat="false" ht="13.5" hidden="false" customHeight="true" outlineLevel="0" collapsed="false">
      <c r="B26" s="12" t="s">
        <v>31</v>
      </c>
      <c r="C26" s="16" t="s">
        <v>32</v>
      </c>
    </row>
    <row r="27" customFormat="false" ht="25.5" hidden="false" customHeight="true" outlineLevel="0" collapsed="false">
      <c r="B27" s="12" t="s">
        <v>33</v>
      </c>
      <c r="C27" s="16" t="s">
        <v>34</v>
      </c>
    </row>
    <row r="28" customFormat="false" ht="25.5" hidden="false" customHeight="true" outlineLevel="0" collapsed="false">
      <c r="B28" s="12" t="s">
        <v>35</v>
      </c>
      <c r="C28" s="16" t="s">
        <v>36</v>
      </c>
    </row>
    <row r="29" customFormat="false" ht="25.5" hidden="false" customHeight="true" outlineLevel="0" collapsed="false">
      <c r="B29" s="12" t="s">
        <v>37</v>
      </c>
      <c r="C29" s="16" t="s">
        <v>38</v>
      </c>
    </row>
    <row r="30" customFormat="false" ht="25.5" hidden="false" customHeight="true" outlineLevel="0" collapsed="false">
      <c r="B30" s="12" t="s">
        <v>39</v>
      </c>
      <c r="C30" s="16" t="s">
        <v>40</v>
      </c>
    </row>
    <row r="31" customFormat="false" ht="25.5" hidden="false" customHeight="true" outlineLevel="0" collapsed="false">
      <c r="B31" s="12" t="s">
        <v>41</v>
      </c>
      <c r="C31" s="16" t="s">
        <v>42</v>
      </c>
    </row>
    <row r="32" customFormat="false" ht="13.5" hidden="false" customHeight="true" outlineLevel="0" collapsed="false">
      <c r="B32" s="12" t="s">
        <v>43</v>
      </c>
      <c r="C32" s="16" t="s">
        <v>44</v>
      </c>
    </row>
    <row r="33" customFormat="false" ht="13.5" hidden="false" customHeight="true" outlineLevel="0" collapsed="false"/>
    <row r="34" customFormat="false" ht="13.5" hidden="false" customHeight="true" outlineLevel="0" collapsed="false">
      <c r="B34" s="3" t="s">
        <v>45</v>
      </c>
      <c r="C34" s="4"/>
    </row>
    <row r="35" customFormat="false" ht="39" hidden="false" customHeight="true" outlineLevel="0" collapsed="false">
      <c r="B35" s="12" t="s">
        <v>46</v>
      </c>
      <c r="C35" s="16" t="s">
        <v>47</v>
      </c>
    </row>
    <row r="36" customFormat="false" ht="25.5" hidden="false" customHeight="true" outlineLevel="0" collapsed="false">
      <c r="B36" s="12" t="s">
        <v>48</v>
      </c>
      <c r="C36" s="16" t="s">
        <v>49</v>
      </c>
    </row>
    <row r="37" customFormat="false" ht="39" hidden="false" customHeight="true" outlineLevel="0" collapsed="false">
      <c r="B37" s="12" t="s">
        <v>50</v>
      </c>
      <c r="C37" s="16" t="s">
        <v>51</v>
      </c>
    </row>
    <row r="38" customFormat="false" ht="51.75" hidden="false" customHeight="true" outlineLevel="0" collapsed="false">
      <c r="B38" s="12" t="s">
        <v>52</v>
      </c>
      <c r="C38" s="16" t="s">
        <v>53</v>
      </c>
    </row>
    <row r="39" customFormat="false" ht="25.5" hidden="false" customHeight="true" outlineLevel="0" collapsed="false">
      <c r="B39" s="12" t="s">
        <v>39</v>
      </c>
      <c r="C39" s="16" t="s">
        <v>54</v>
      </c>
    </row>
    <row r="40" customFormat="false" ht="25.5" hidden="false" customHeight="true" outlineLevel="0" collapsed="false">
      <c r="B40" s="12" t="s">
        <v>55</v>
      </c>
      <c r="C40" s="16" t="s">
        <v>56</v>
      </c>
    </row>
    <row r="41" customFormat="false" ht="51.75" hidden="false" customHeight="true" outlineLevel="0" collapsed="false">
      <c r="B41" s="12" t="s">
        <v>41</v>
      </c>
      <c r="C41" s="16" t="s">
        <v>57</v>
      </c>
    </row>
    <row r="42" customFormat="false" ht="39" hidden="false" customHeight="true" outlineLevel="0" collapsed="false">
      <c r="B42" s="12" t="s">
        <v>58</v>
      </c>
      <c r="C42" s="16" t="s">
        <v>59</v>
      </c>
    </row>
    <row r="43" customFormat="false" ht="25.5" hidden="false" customHeight="true" outlineLevel="0" collapsed="false">
      <c r="B43" s="12" t="s">
        <v>43</v>
      </c>
      <c r="C43" s="16" t="s">
        <v>60</v>
      </c>
    </row>
    <row r="44" customFormat="false" ht="13.5" hidden="false" customHeight="true" outlineLevel="0" collapsed="false"/>
    <row r="45" customFormat="false" ht="13.5" hidden="false" customHeight="true" outlineLevel="0" collapsed="false">
      <c r="B45" s="3" t="s">
        <v>61</v>
      </c>
      <c r="C45" s="4"/>
    </row>
    <row r="46" customFormat="false" ht="13.5" hidden="false" customHeight="true" outlineLevel="0" collapsed="false">
      <c r="B46" s="12" t="s">
        <v>62</v>
      </c>
      <c r="C46" s="16" t="s">
        <v>63</v>
      </c>
    </row>
    <row r="47" customFormat="false" ht="13.5" hidden="false" customHeight="true" outlineLevel="0" collapsed="false">
      <c r="B47" s="12" t="s">
        <v>64</v>
      </c>
      <c r="C47" s="16" t="s">
        <v>65</v>
      </c>
    </row>
    <row r="48" customFormat="false" ht="13.5" hidden="false" customHeight="true" outlineLevel="0" collapsed="false">
      <c r="B48" s="12" t="s">
        <v>13</v>
      </c>
      <c r="C48" s="16" t="s">
        <v>66</v>
      </c>
    </row>
    <row r="49" customFormat="false" ht="13.5" hidden="false" customHeight="true" outlineLevel="0" collapsed="false">
      <c r="B49" s="12" t="s">
        <v>67</v>
      </c>
      <c r="C49" s="16" t="s">
        <v>68</v>
      </c>
    </row>
    <row r="50" customFormat="false" ht="25.5" hidden="false" customHeight="true" outlineLevel="0" collapsed="false">
      <c r="B50" s="12" t="s">
        <v>12</v>
      </c>
      <c r="C50" s="16" t="s">
        <v>69</v>
      </c>
    </row>
    <row r="51" customFormat="false" ht="13.5" hidden="false" customHeight="true" outlineLevel="0" collapsed="false">
      <c r="B51" s="12" t="s">
        <v>14</v>
      </c>
      <c r="C51" s="16" t="s">
        <v>70</v>
      </c>
    </row>
    <row r="52" customFormat="false" ht="13.5" hidden="false" customHeight="true" outlineLevel="0" collapsed="false">
      <c r="B52" s="12" t="s">
        <v>71</v>
      </c>
      <c r="C52" s="16"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B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4"/>
    <col collapsed="false" customWidth="true" hidden="false" outlineLevel="0" max="4" min="4" style="0" width="100"/>
  </cols>
  <sheetData>
    <row r="1" customFormat="false" ht="16.15" hidden="false" customHeight="false" outlineLevel="0" collapsed="false">
      <c r="B1" s="1" t="s">
        <v>73</v>
      </c>
    </row>
    <row r="2" customFormat="false" ht="15" hidden="false" customHeight="false" outlineLevel="0" collapsed="false">
      <c r="B2" s="2" t="s">
        <v>74</v>
      </c>
    </row>
    <row r="4" customFormat="false" ht="15" hidden="false" customHeight="false" outlineLevel="0" collapsed="false">
      <c r="B4" s="17" t="s">
        <v>11</v>
      </c>
      <c r="C4" s="17" t="s">
        <v>75</v>
      </c>
      <c r="D4" s="17" t="s">
        <v>76</v>
      </c>
    </row>
    <row r="5" customFormat="false" ht="25.5" hidden="false" customHeight="true" outlineLevel="0" collapsed="false">
      <c r="B5" s="6" t="s">
        <v>77</v>
      </c>
      <c r="C5" s="6" t="s">
        <v>78</v>
      </c>
      <c r="D5" s="6" t="s">
        <v>79</v>
      </c>
    </row>
    <row r="6" customFormat="false" ht="25.5" hidden="false" customHeight="true" outlineLevel="0" collapsed="false">
      <c r="B6" s="6" t="s">
        <v>77</v>
      </c>
      <c r="C6" s="6" t="s">
        <v>80</v>
      </c>
      <c r="D6" s="6" t="s">
        <v>79</v>
      </c>
    </row>
    <row r="7" customFormat="false" ht="25.5" hidden="false" customHeight="true" outlineLevel="0" collapsed="false">
      <c r="B7" s="6" t="s">
        <v>77</v>
      </c>
      <c r="C7" s="6" t="s">
        <v>81</v>
      </c>
      <c r="D7" s="6" t="s">
        <v>79</v>
      </c>
    </row>
    <row r="8" customFormat="false" ht="25.5" hidden="false" customHeight="true" outlineLevel="0" collapsed="false">
      <c r="B8" s="6" t="s">
        <v>77</v>
      </c>
      <c r="C8" s="6" t="s">
        <v>82</v>
      </c>
      <c r="D8" s="6" t="s">
        <v>79</v>
      </c>
    </row>
    <row r="9" customFormat="false" ht="25.5" hidden="false" customHeight="true" outlineLevel="0" collapsed="false">
      <c r="B9" s="6" t="s">
        <v>77</v>
      </c>
      <c r="C9" s="6" t="s">
        <v>83</v>
      </c>
      <c r="D9" s="6" t="s">
        <v>79</v>
      </c>
    </row>
    <row r="10" customFormat="false" ht="25.5" hidden="false" customHeight="true" outlineLevel="0" collapsed="false">
      <c r="B10" s="6" t="s">
        <v>77</v>
      </c>
      <c r="C10" s="6" t="s">
        <v>84</v>
      </c>
      <c r="D10" s="6" t="s">
        <v>79</v>
      </c>
    </row>
    <row r="11" customFormat="false" ht="25.5" hidden="false" customHeight="true" outlineLevel="0" collapsed="false">
      <c r="B11" s="6" t="s">
        <v>77</v>
      </c>
      <c r="C11" s="6" t="s">
        <v>85</v>
      </c>
      <c r="D11" s="6" t="s">
        <v>79</v>
      </c>
    </row>
    <row r="12" customFormat="false" ht="25.5" hidden="false" customHeight="true" outlineLevel="0" collapsed="false">
      <c r="B12" s="6" t="s">
        <v>77</v>
      </c>
      <c r="C12" s="6" t="s">
        <v>86</v>
      </c>
      <c r="D12" s="6" t="s">
        <v>79</v>
      </c>
    </row>
    <row r="13" customFormat="false" ht="25.5" hidden="false" customHeight="true" outlineLevel="0" collapsed="false">
      <c r="B13" s="6" t="s">
        <v>77</v>
      </c>
      <c r="C13" s="6" t="s">
        <v>87</v>
      </c>
      <c r="D13" s="6" t="s">
        <v>79</v>
      </c>
    </row>
    <row r="14" customFormat="false" ht="25.5" hidden="false" customHeight="true" outlineLevel="0" collapsed="false">
      <c r="B14" s="6" t="s">
        <v>77</v>
      </c>
      <c r="C14" s="6" t="s">
        <v>88</v>
      </c>
      <c r="D14" s="6" t="s">
        <v>79</v>
      </c>
    </row>
    <row r="15" customFormat="false" ht="25.5" hidden="false" customHeight="true" outlineLevel="0" collapsed="false">
      <c r="B15" s="6" t="s">
        <v>77</v>
      </c>
      <c r="C15" s="6" t="s">
        <v>89</v>
      </c>
      <c r="D15" s="6" t="s">
        <v>79</v>
      </c>
    </row>
    <row r="16" customFormat="false" ht="25.5" hidden="false" customHeight="true" outlineLevel="0" collapsed="false">
      <c r="B16" s="6" t="s">
        <v>12</v>
      </c>
      <c r="C16" s="6" t="s">
        <v>90</v>
      </c>
      <c r="D16" s="6" t="s">
        <v>91</v>
      </c>
    </row>
    <row r="17" customFormat="false" ht="25.5" hidden="false" customHeight="true" outlineLevel="0" collapsed="false">
      <c r="B17" s="6" t="s">
        <v>12</v>
      </c>
      <c r="C17" s="6" t="s">
        <v>92</v>
      </c>
      <c r="D17" s="6" t="s">
        <v>93</v>
      </c>
    </row>
    <row r="18" customFormat="false" ht="13.5" hidden="false" customHeight="true" outlineLevel="0" collapsed="false">
      <c r="B18" s="6" t="s">
        <v>14</v>
      </c>
      <c r="C18" s="6" t="s">
        <v>94</v>
      </c>
      <c r="D18" s="6" t="s">
        <v>95</v>
      </c>
    </row>
    <row r="19" customFormat="false" ht="13.5" hidden="false" customHeight="true" outlineLevel="0" collapsed="false">
      <c r="B19" s="6" t="s">
        <v>15</v>
      </c>
      <c r="C19" s="6" t="s">
        <v>94</v>
      </c>
      <c r="D19" s="6" t="s">
        <v>96</v>
      </c>
    </row>
    <row r="20" customFormat="false" ht="13.5" hidden="false" customHeight="true" outlineLevel="0" collapsed="false">
      <c r="B20" s="6" t="s">
        <v>16</v>
      </c>
      <c r="C20" s="6" t="s">
        <v>94</v>
      </c>
      <c r="D20" s="6" t="s">
        <v>97</v>
      </c>
    </row>
    <row r="21" customFormat="false" ht="13.5" hidden="false" customHeight="true" outlineLevel="0" collapsed="false">
      <c r="B21" s="6" t="s">
        <v>13</v>
      </c>
      <c r="C21" s="6" t="s">
        <v>94</v>
      </c>
      <c r="D21" s="6" t="s">
        <v>98</v>
      </c>
    </row>
    <row r="22" customFormat="false" ht="51.75" hidden="false" customHeight="true" outlineLevel="0" collapsed="false">
      <c r="B22" s="6" t="s">
        <v>13</v>
      </c>
      <c r="C22" s="6" t="s">
        <v>99</v>
      </c>
      <c r="D22" s="6" t="s">
        <v>100</v>
      </c>
    </row>
    <row r="23" customFormat="false" ht="64.5" hidden="false" customHeight="true" outlineLevel="0" collapsed="false">
      <c r="B23" s="6" t="s">
        <v>13</v>
      </c>
      <c r="C23" s="6" t="s">
        <v>101</v>
      </c>
      <c r="D23" s="6" t="s">
        <v>102</v>
      </c>
    </row>
    <row r="24" customFormat="false" ht="39" hidden="false" customHeight="true" outlineLevel="0" collapsed="false">
      <c r="B24" s="6" t="s">
        <v>13</v>
      </c>
      <c r="C24" s="6" t="s">
        <v>103</v>
      </c>
      <c r="D24" s="6" t="s">
        <v>104</v>
      </c>
    </row>
    <row r="25" customFormat="false" ht="25.5" hidden="false" customHeight="true" outlineLevel="0" collapsed="false">
      <c r="B25" s="6" t="s">
        <v>13</v>
      </c>
      <c r="C25" s="6" t="s">
        <v>105</v>
      </c>
      <c r="D25" s="6" t="s">
        <v>106</v>
      </c>
    </row>
    <row r="26" customFormat="false" ht="13.5" hidden="false" customHeight="true" outlineLevel="0" collapsed="false">
      <c r="B26" s="6" t="s">
        <v>13</v>
      </c>
      <c r="C26" s="6" t="s">
        <v>107</v>
      </c>
      <c r="D26" s="6" t="s">
        <v>108</v>
      </c>
    </row>
    <row r="27" customFormat="false" ht="25.5" hidden="false" customHeight="true" outlineLevel="0" collapsed="false">
      <c r="B27" s="6" t="s">
        <v>13</v>
      </c>
      <c r="C27" s="6" t="s">
        <v>109</v>
      </c>
      <c r="D27" s="6" t="s">
        <v>110</v>
      </c>
    </row>
    <row r="28" customFormat="false" ht="25.5" hidden="false" customHeight="true" outlineLevel="0" collapsed="false">
      <c r="B28" s="6" t="s">
        <v>111</v>
      </c>
      <c r="C28" s="6" t="s">
        <v>112</v>
      </c>
      <c r="D28" s="6" t="s">
        <v>113</v>
      </c>
    </row>
    <row r="29" customFormat="false" ht="64.5" hidden="false" customHeight="true" outlineLevel="0" collapsed="false">
      <c r="B29" s="6" t="s">
        <v>12</v>
      </c>
      <c r="C29" s="6" t="s">
        <v>114</v>
      </c>
      <c r="D29" s="6" t="s">
        <v>115</v>
      </c>
    </row>
    <row r="30" customFormat="false" ht="39" hidden="false" customHeight="true" outlineLevel="0" collapsed="false">
      <c r="B30" s="6" t="s">
        <v>12</v>
      </c>
      <c r="C30" s="6" t="s">
        <v>116</v>
      </c>
      <c r="D30" s="6" t="s">
        <v>117</v>
      </c>
    </row>
    <row r="31" customFormat="false" ht="25.5" hidden="false" customHeight="true" outlineLevel="0" collapsed="false">
      <c r="B31" s="6" t="s">
        <v>12</v>
      </c>
      <c r="C31" s="6" t="s">
        <v>118</v>
      </c>
      <c r="D31" s="6" t="s">
        <v>119</v>
      </c>
    </row>
    <row r="32" customFormat="false" ht="51.75" hidden="false" customHeight="true" outlineLevel="0" collapsed="false">
      <c r="B32" s="6" t="s">
        <v>12</v>
      </c>
      <c r="C32" s="6" t="s">
        <v>120</v>
      </c>
      <c r="D32" s="6" t="s">
        <v>121</v>
      </c>
    </row>
    <row r="33" customFormat="false" ht="13.5" hidden="false" customHeight="true" outlineLevel="0" collapsed="false">
      <c r="B33" s="6" t="s">
        <v>12</v>
      </c>
      <c r="C33" s="6" t="s">
        <v>122</v>
      </c>
      <c r="D33" s="6" t="s">
        <v>123</v>
      </c>
    </row>
    <row r="34" customFormat="false" ht="78" hidden="false" customHeight="true" outlineLevel="0" collapsed="false">
      <c r="B34" s="6" t="s">
        <v>12</v>
      </c>
      <c r="C34" s="6" t="s">
        <v>124</v>
      </c>
      <c r="D34" s="6"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2" zeroHeight="false" outlineLevelRow="0" outlineLevelCol="0"/>
  <sheetData>
    <row r="2" customFormat="false" ht="12.75" hidden="false" customHeight="true" outlineLevel="0" collapsed="false">
      <c r="A2" s="18" t="n">
        <v>41401</v>
      </c>
    </row>
    <row r="3" customFormat="false" ht="12.75" hidden="false" customHeight="true" outlineLevel="0" collapsed="false">
      <c r="A3" s="19" t="s">
        <v>126</v>
      </c>
    </row>
    <row r="4" customFormat="false" ht="12" hidden="false" customHeight="true" outlineLevel="0" collapsed="false">
      <c r="A4" s="20" t="s">
        <v>127</v>
      </c>
    </row>
    <row r="5" customFormat="false" ht="12" hidden="false" customHeight="true" outlineLevel="0" collapsed="false">
      <c r="A5" s="20" t="s">
        <v>128</v>
      </c>
    </row>
    <row r="6" customFormat="false" ht="12" hidden="false" customHeight="true" outlineLevel="0" collapsed="false">
      <c r="A6" s="20"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P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16" min="2" style="0" width="11"/>
  </cols>
  <sheetData>
    <row r="1" customFormat="false" ht="16.15" hidden="false" customHeight="false" outlineLevel="0" collapsed="false">
      <c r="A1" s="1" t="s">
        <v>130</v>
      </c>
    </row>
    <row r="2" customFormat="false" ht="15" hidden="false" customHeight="false" outlineLevel="0" collapsed="false">
      <c r="A2" s="2" t="s">
        <v>131</v>
      </c>
    </row>
    <row r="4" customFormat="false" ht="15" hidden="false" customHeight="false" outlineLevel="0" collapsed="false">
      <c r="A4" s="21" t="s">
        <v>132</v>
      </c>
      <c r="B4" s="22" t="s">
        <v>133</v>
      </c>
      <c r="C4" s="22"/>
      <c r="D4" s="22"/>
      <c r="E4" s="22" t="s">
        <v>134</v>
      </c>
      <c r="F4" s="22"/>
      <c r="G4" s="22"/>
      <c r="H4" s="22" t="s">
        <v>135</v>
      </c>
      <c r="I4" s="22"/>
      <c r="J4" s="22"/>
      <c r="K4" s="22" t="s">
        <v>136</v>
      </c>
      <c r="L4" s="22"/>
      <c r="M4" s="22"/>
      <c r="N4" s="22" t="s">
        <v>137</v>
      </c>
      <c r="O4" s="22"/>
      <c r="P4" s="22"/>
    </row>
    <row r="5" customFormat="false" ht="15" hidden="false" customHeight="false" outlineLevel="0" collapsed="false">
      <c r="A5" s="23"/>
      <c r="B5" s="24" t="s">
        <v>138</v>
      </c>
      <c r="C5" s="24" t="s">
        <v>139</v>
      </c>
      <c r="D5" s="24" t="s">
        <v>140</v>
      </c>
      <c r="E5" s="24" t="s">
        <v>138</v>
      </c>
      <c r="F5" s="24" t="s">
        <v>139</v>
      </c>
      <c r="G5" s="24" t="s">
        <v>140</v>
      </c>
      <c r="H5" s="24" t="s">
        <v>138</v>
      </c>
      <c r="I5" s="24" t="s">
        <v>139</v>
      </c>
      <c r="J5" s="24" t="s">
        <v>140</v>
      </c>
      <c r="K5" s="24" t="s">
        <v>138</v>
      </c>
      <c r="L5" s="24" t="s">
        <v>139</v>
      </c>
      <c r="M5" s="24" t="s">
        <v>140</v>
      </c>
      <c r="N5" s="24" t="s">
        <v>138</v>
      </c>
      <c r="O5" s="24" t="s">
        <v>139</v>
      </c>
      <c r="P5" s="24" t="s">
        <v>140</v>
      </c>
    </row>
    <row r="6" customFormat="false" ht="15" hidden="false" customHeight="false" outlineLevel="0" collapsed="false">
      <c r="A6" s="12" t="s">
        <v>141</v>
      </c>
      <c r="B6" s="25" t="n">
        <f aca="false">'New Qrtrly - Ind AS'!AZ11</f>
        <v>59521</v>
      </c>
      <c r="C6" s="25" t="n">
        <f aca="false">'New Qrtrly - Ind AS'!U11</f>
        <v>59521</v>
      </c>
      <c r="D6" s="26" t="n">
        <f aca="false">IFERROR('New Qrtrly - Ind AS'!U11/'New Qrtrly - Ind AS'!AZ11-1,"")</f>
        <v>0</v>
      </c>
      <c r="E6" s="25" t="n">
        <f aca="false">'New Qrtrly - Ind AS'!AZ33</f>
        <v>85167.781902429</v>
      </c>
      <c r="F6" s="25" t="n">
        <f aca="false">'New Qrtrly - Ind AS'!U33</f>
        <v>88459.3</v>
      </c>
      <c r="G6" s="26" t="n">
        <f aca="false">IFERROR('New Qrtrly - Ind AS'!U33/'New Qrtrly - Ind AS'!AZ33-1,"")</f>
        <v>0.0386474559281333</v>
      </c>
      <c r="H6" s="25" t="n">
        <f aca="false">'New Qrtrly - Ind AS'!AZ40</f>
        <v>9096.97893268013</v>
      </c>
      <c r="I6" s="25" t="n">
        <f aca="false">'New Qrtrly - Ind AS'!U40</f>
        <v>9854.40000000001</v>
      </c>
      <c r="J6" s="26" t="n">
        <f aca="false">IFERROR('New Qrtrly - Ind AS'!U40/'New Qrtrly - Ind AS'!AZ40-1,"")</f>
        <v>0.0832607256678273</v>
      </c>
      <c r="K6" s="27" t="n">
        <f aca="false">'New Qrtrly - Ind AS'!AZ61</f>
        <v>10.6812443972087</v>
      </c>
      <c r="L6" s="27" t="n">
        <f aca="false">'New Qrtrly - Ind AS'!U61</f>
        <v>11.1400384131459</v>
      </c>
      <c r="M6" s="28" t="n">
        <f aca="false">IFERROR(('New Qrtrly - Ind AS'!U61-'New Qrtrly - Ind AS'!AZ61)*100,"")</f>
        <v>45.8794015937238</v>
      </c>
      <c r="N6" s="25" t="n">
        <f aca="false">'New Qrtrly - Ind AS'!AZ51</f>
        <v>5618.98419951009</v>
      </c>
      <c r="O6" s="25" t="n">
        <f aca="false">'New Qrtrly - Ind AS'!U51</f>
        <v>6611.66000000001</v>
      </c>
      <c r="P6" s="26" t="n">
        <f aca="false">IFERROR('New Qrtrly - Ind AS'!U51/'New Qrtrly - Ind AS'!AZ51-1,"")</f>
        <v>0.17666463639041</v>
      </c>
    </row>
    <row r="7" customFormat="false" ht="15" hidden="false" customHeight="false" outlineLevel="0" collapsed="false">
      <c r="A7" s="12" t="s">
        <v>142</v>
      </c>
      <c r="B7" s="25" t="n">
        <f aca="false">'New Qrtrly - Ind AS'!BA11</f>
        <v>39608</v>
      </c>
      <c r="C7" s="25" t="n">
        <f aca="false">'New Qrtrly - Ind AS'!V11</f>
        <v>39608</v>
      </c>
      <c r="D7" s="26" t="n">
        <f aca="false">IFERROR('New Qrtrly - Ind AS'!V11/'New Qrtrly - Ind AS'!BA11-1,"")</f>
        <v>0</v>
      </c>
      <c r="E7" s="25" t="n">
        <f aca="false">'New Qrtrly - Ind AS'!BA33</f>
        <v>58864.8704558055</v>
      </c>
      <c r="F7" s="25" t="n">
        <f aca="false">'New Qrtrly - Ind AS'!V33</f>
        <v>56838.6</v>
      </c>
      <c r="G7" s="26" t="n">
        <f aca="false">IFERROR('New Qrtrly - Ind AS'!V33/'New Qrtrly - Ind AS'!BA33-1,"")</f>
        <v>-0.0344224057594214</v>
      </c>
      <c r="H7" s="25" t="n">
        <f aca="false">'New Qrtrly - Ind AS'!BA40</f>
        <v>4482.16372762554</v>
      </c>
      <c r="I7" s="25" t="n">
        <f aca="false">'New Qrtrly - Ind AS'!V40</f>
        <v>5369.7</v>
      </c>
      <c r="J7" s="26" t="n">
        <f aca="false">IFERROR('New Qrtrly - Ind AS'!V40/'New Qrtrly - Ind AS'!BA40-1,"")</f>
        <v>0.198015138738504</v>
      </c>
      <c r="K7" s="27" t="n">
        <f aca="false">'New Qrtrly - Ind AS'!BA61</f>
        <v>7.61432700508643</v>
      </c>
      <c r="L7" s="27" t="n">
        <f aca="false">'New Qrtrly - Ind AS'!V61</f>
        <v>9.44727702652775</v>
      </c>
      <c r="M7" s="28" t="n">
        <f aca="false">IFERROR(('New Qrtrly - Ind AS'!V61-'New Qrtrly - Ind AS'!BA61)*100,"")</f>
        <v>183.295002144132</v>
      </c>
      <c r="N7" s="25" t="n">
        <f aca="false">'New Qrtrly - Ind AS'!BA51</f>
        <v>2529.12279571916</v>
      </c>
      <c r="O7" s="25" t="n">
        <f aca="false">'New Qrtrly - Ind AS'!V51</f>
        <v>2442.97000000001</v>
      </c>
      <c r="P7" s="26" t="n">
        <f aca="false">IFERROR('New Qrtrly - Ind AS'!V51/'New Qrtrly - Ind AS'!BA51-1,"")</f>
        <v>-0.0340642992364688</v>
      </c>
    </row>
    <row r="8" customFormat="false" ht="15" hidden="false" customHeight="false" outlineLevel="0" collapsed="false">
      <c r="A8" s="12" t="s">
        <v>143</v>
      </c>
      <c r="B8" s="25" t="n">
        <f aca="false">'New Qrtrly - Ind AS'!BB11</f>
        <v>28938</v>
      </c>
      <c r="C8" s="25" t="n">
        <f aca="false">'New Qrtrly - Ind AS'!W11</f>
        <v>28938</v>
      </c>
      <c r="D8" s="26" t="n">
        <f aca="false">IFERROR('New Qrtrly - Ind AS'!W11/'New Qrtrly - Ind AS'!BB11-1,"")</f>
        <v>0</v>
      </c>
      <c r="E8" s="25" t="n">
        <f aca="false">'New Qrtrly - Ind AS'!BB33</f>
        <v>40696.3113175116</v>
      </c>
      <c r="F8" s="25" t="n">
        <f aca="false">'New Qrtrly - Ind AS'!W33</f>
        <v>39295</v>
      </c>
      <c r="G8" s="26" t="n">
        <f aca="false">IFERROR('New Qrtrly - Ind AS'!W33/'New Qrtrly - Ind AS'!BB33-1,"")</f>
        <v>-0.0344333742333208</v>
      </c>
      <c r="H8" s="25" t="n">
        <f aca="false">'New Qrtrly - Ind AS'!BB40</f>
        <v>1812.37495184104</v>
      </c>
      <c r="I8" s="25" t="n">
        <f aca="false">'New Qrtrly - Ind AS'!W40</f>
        <v>2285.8</v>
      </c>
      <c r="J8" s="26" t="n">
        <f aca="false">IFERROR('New Qrtrly - Ind AS'!W40/'New Qrtrly - Ind AS'!BB40-1,"")</f>
        <v>0.261218048548977</v>
      </c>
      <c r="K8" s="27" t="n">
        <f aca="false">'New Qrtrly - Ind AS'!BB61</f>
        <v>4.45341332707266</v>
      </c>
      <c r="L8" s="27" t="n">
        <f aca="false">'New Qrtrly - Ind AS'!W61</f>
        <v>5.8170250668024</v>
      </c>
      <c r="M8" s="28" t="n">
        <f aca="false">IFERROR(('New Qrtrly - Ind AS'!W61-'New Qrtrly - Ind AS'!BB61)*100,"")</f>
        <v>136.361173972974</v>
      </c>
      <c r="N8" s="25" t="n">
        <f aca="false">'New Qrtrly - Ind AS'!BB51</f>
        <v>203.204963399191</v>
      </c>
      <c r="O8" s="25" t="n">
        <f aca="false">'New Qrtrly - Ind AS'!W51</f>
        <v>874.775000000003</v>
      </c>
      <c r="P8" s="26" t="n">
        <f aca="false">IFERROR('New Qrtrly - Ind AS'!W51/'New Qrtrly - Ind AS'!BB51-1,"")</f>
        <v>3.30488992673634</v>
      </c>
    </row>
    <row r="9" customFormat="false" ht="15" hidden="false" customHeight="false" outlineLevel="0" collapsed="false">
      <c r="A9" s="12" t="s">
        <v>144</v>
      </c>
      <c r="B9" s="25" t="n">
        <f aca="false">'New Qrtrly - Ind AS'!BC11</f>
        <v>31200</v>
      </c>
      <c r="C9" s="25" t="n">
        <f aca="false">'New Qrtrly - Ind AS'!X11</f>
        <v>31200</v>
      </c>
      <c r="D9" s="26" t="n">
        <f aca="false">IFERROR('New Qrtrly - Ind AS'!X11/'New Qrtrly - Ind AS'!BC11-1,"")</f>
        <v>0</v>
      </c>
      <c r="E9" s="25" t="n">
        <f aca="false">'New Qrtrly - Ind AS'!BC33</f>
        <v>41307.4123989218</v>
      </c>
      <c r="F9" s="25" t="n">
        <f aca="false">'New Qrtrly - Ind AS'!X33</f>
        <v>40156.5</v>
      </c>
      <c r="G9" s="26" t="n">
        <f aca="false">IFERROR('New Qrtrly - Ind AS'!X33/'New Qrtrly - Ind AS'!BC33-1,"")</f>
        <v>-0.0278621276928949</v>
      </c>
      <c r="H9" s="25" t="n">
        <f aca="false">'New Qrtrly - Ind AS'!BC40</f>
        <v>2490.06819407008</v>
      </c>
      <c r="I9" s="25" t="n">
        <f aca="false">'New Qrtrly - Ind AS'!X40</f>
        <v>2251.5</v>
      </c>
      <c r="J9" s="26" t="n">
        <f aca="false">IFERROR('New Qrtrly - Ind AS'!X40/'New Qrtrly - Ind AS'!BC40-1,"")</f>
        <v>-0.0958078957990848</v>
      </c>
      <c r="K9" s="27" t="n">
        <f aca="false">'New Qrtrly - Ind AS'!BC61</f>
        <v>6.02813889677359</v>
      </c>
      <c r="L9" s="27" t="n">
        <f aca="false">'New Qrtrly - Ind AS'!X61</f>
        <v>5.60681334279631</v>
      </c>
      <c r="M9" s="28" t="n">
        <f aca="false">IFERROR(('New Qrtrly - Ind AS'!X61-'New Qrtrly - Ind AS'!BC61)*100,"")</f>
        <v>-42.1325553977276</v>
      </c>
      <c r="N9" s="25" t="n">
        <f aca="false">'New Qrtrly - Ind AS'!BC51</f>
        <v>832.054555256065</v>
      </c>
      <c r="O9" s="25" t="n">
        <f aca="false">'New Qrtrly - Ind AS'!X51</f>
        <v>292.69</v>
      </c>
      <c r="P9" s="26" t="n">
        <f aca="false">IFERROR('New Qrtrly - Ind AS'!X51/'New Qrtrly - Ind AS'!BC51-1,"")</f>
        <v>-0.648232200459591</v>
      </c>
    </row>
    <row r="10" customFormat="false" ht="15" hidden="false" customHeight="false" outlineLevel="0" collapsed="false">
      <c r="A10" s="12" t="s">
        <v>145</v>
      </c>
      <c r="B10" s="25" t="n">
        <f aca="false">'New Qrtrly - Ind AS'!BD11</f>
        <v>25507</v>
      </c>
      <c r="C10" s="25" t="n">
        <f aca="false">'New Qrtrly - Ind AS'!Y11</f>
        <v>25507</v>
      </c>
      <c r="D10" s="26" t="n">
        <f aca="false">IFERROR('New Qrtrly - Ind AS'!Y11/'New Qrtrly - Ind AS'!BD11-1,"")</f>
        <v>0</v>
      </c>
      <c r="E10" s="25" t="n">
        <f aca="false">'New Qrtrly - Ind AS'!BD33</f>
        <v>32829.2258173077</v>
      </c>
      <c r="F10" s="25" t="n">
        <f aca="false">'New Qrtrly - Ind AS'!Y33</f>
        <v>38384.6</v>
      </c>
      <c r="G10" s="26" t="n">
        <f aca="false">IFERROR('New Qrtrly - Ind AS'!Y33/'New Qrtrly - Ind AS'!BD33-1,"")</f>
        <v>0.169220383496327</v>
      </c>
      <c r="H10" s="25" t="n">
        <f aca="false">'New Qrtrly - Ind AS'!BD40</f>
        <v>634.086389951921</v>
      </c>
      <c r="I10" s="25" t="n">
        <f aca="false">'New Qrtrly - Ind AS'!Y40</f>
        <v>1829.5</v>
      </c>
      <c r="J10" s="26" t="n">
        <f aca="false">IFERROR('New Qrtrly - Ind AS'!Y40/'New Qrtrly - Ind AS'!BD40-1,"")</f>
        <v>1.88525353798986</v>
      </c>
      <c r="K10" s="27" t="n">
        <f aca="false">'New Qrtrly - Ind AS'!BD61</f>
        <v>1.93146921429268</v>
      </c>
      <c r="L10" s="27" t="n">
        <f aca="false">'New Qrtrly - Ind AS'!Y61</f>
        <v>4.76623437524424</v>
      </c>
      <c r="M10" s="28" t="n">
        <f aca="false">IFERROR(('New Qrtrly - Ind AS'!Y61-'New Qrtrly - Ind AS'!BD61)*100,"")</f>
        <v>283.476516095156</v>
      </c>
      <c r="N10" s="25" t="n">
        <f aca="false">'New Qrtrly - Ind AS'!BD51</f>
        <v>-704.139527033655</v>
      </c>
      <c r="O10" s="25" t="n">
        <f aca="false">'New Qrtrly - Ind AS'!Y51</f>
        <v>-57.7249999999999</v>
      </c>
      <c r="P10" s="26" t="n">
        <f aca="false">IFERROR('New Qrtrly - Ind AS'!Y51/'New Qrtrly - Ind AS'!BD51-1,"")</f>
        <v>-0.918020509027267</v>
      </c>
    </row>
    <row r="11" customFormat="false" ht="15" hidden="false" customHeight="false" outlineLevel="0" collapsed="false">
      <c r="A11" s="12" t="s">
        <v>146</v>
      </c>
      <c r="B11" s="25" t="n">
        <f aca="false">'New Qrtrly - Ind AS'!BE11</f>
        <v>3814</v>
      </c>
      <c r="C11" s="25" t="n">
        <f aca="false">'New Qrtrly - Ind AS'!Z11</f>
        <v>3814</v>
      </c>
      <c r="D11" s="26" t="n">
        <f aca="false">IFERROR('New Qrtrly - Ind AS'!Z11/'New Qrtrly - Ind AS'!BE11-1,"")</f>
        <v>0</v>
      </c>
      <c r="E11" s="25" t="n">
        <f aca="false">'New Qrtrly - Ind AS'!BE33</f>
        <v>6313.51201003646</v>
      </c>
      <c r="F11" s="25" t="n">
        <f aca="false">'New Qrtrly - Ind AS'!Z33</f>
        <v>6508.7</v>
      </c>
      <c r="G11" s="26" t="n">
        <f aca="false">IFERROR('New Qrtrly - Ind AS'!Z33/'New Qrtrly - Ind AS'!BE33-1,"")</f>
        <v>0.03091591330677</v>
      </c>
      <c r="H11" s="25" t="n">
        <f aca="false">'New Qrtrly - Ind AS'!BE40</f>
        <v>-3069.08151708943</v>
      </c>
      <c r="I11" s="25" t="n">
        <f aca="false">'New Qrtrly - Ind AS'!Z40</f>
        <v>-3332.4</v>
      </c>
      <c r="J11" s="26" t="n">
        <f aca="false">IFERROR('New Qrtrly - Ind AS'!Z40/'New Qrtrly - Ind AS'!BE40-1,"")</f>
        <v>0.0857971616082374</v>
      </c>
      <c r="K11" s="27" t="n">
        <f aca="false">'New Qrtrly - Ind AS'!BE61</f>
        <v>-48.6113198519393</v>
      </c>
      <c r="L11" s="27" t="n">
        <f aca="false">'New Qrtrly - Ind AS'!Z61</f>
        <v>-51.1991641956151</v>
      </c>
      <c r="M11" s="28" t="n">
        <f aca="false">IFERROR(('New Qrtrly - Ind AS'!Z61-'New Qrtrly - Ind AS'!BE61)*100,"")</f>
        <v>-258.784434367583</v>
      </c>
      <c r="N11" s="25" t="n">
        <f aca="false">'New Qrtrly - Ind AS'!BE51</f>
        <v>-3527.3570619626</v>
      </c>
      <c r="O11" s="25" t="n">
        <f aca="false">'New Qrtrly - Ind AS'!Z51</f>
        <v>-3875.475</v>
      </c>
      <c r="P11" s="26" t="n">
        <f aca="false">IFERROR('New Qrtrly - Ind AS'!Z51/'New Qrtrly - Ind AS'!BE51-1,"")</f>
        <v>0.0986908702244371</v>
      </c>
    </row>
    <row r="12" customFormat="false" ht="15" hidden="false" customHeight="false" outlineLevel="0" collapsed="false">
      <c r="A12" s="12" t="s">
        <v>147</v>
      </c>
      <c r="B12" s="25" t="n">
        <f aca="false">'New Qrtrly - Ind AS'!BF11</f>
        <v>19444</v>
      </c>
      <c r="C12" s="25" t="n">
        <f aca="false">'New Qrtrly - Ind AS'!AA11</f>
        <v>19444</v>
      </c>
      <c r="D12" s="26" t="n">
        <f aca="false">IFERROR('New Qrtrly - Ind AS'!AA11/'New Qrtrly - Ind AS'!BF11-1,"")</f>
        <v>0</v>
      </c>
      <c r="E12" s="25" t="n">
        <f aca="false">'New Qrtrly - Ind AS'!BF33</f>
        <v>31522.6546040902</v>
      </c>
      <c r="F12" s="25" t="n">
        <f aca="false">'New Qrtrly - Ind AS'!AA33</f>
        <v>28365.8</v>
      </c>
      <c r="G12" s="26" t="n">
        <f aca="false">IFERROR('New Qrtrly - Ind AS'!AA33/'New Qrtrly - Ind AS'!BF33-1,"")</f>
        <v>-0.100145582399034</v>
      </c>
      <c r="H12" s="25" t="n">
        <f aca="false">'New Qrtrly - Ind AS'!BF40</f>
        <v>1087.24947330886</v>
      </c>
      <c r="I12" s="25" t="n">
        <f aca="false">'New Qrtrly - Ind AS'!AA40</f>
        <v>804.299999999999</v>
      </c>
      <c r="J12" s="26" t="n">
        <f aca="false">IFERROR('New Qrtrly - Ind AS'!AA40/'New Qrtrly - Ind AS'!BF40-1,"")</f>
        <v>-0.260243375835127</v>
      </c>
      <c r="K12" s="27" t="n">
        <f aca="false">'New Qrtrly - Ind AS'!BF61</f>
        <v>3.44910505464786</v>
      </c>
      <c r="L12" s="27" t="n">
        <f aca="false">'New Qrtrly - Ind AS'!AA61</f>
        <v>2.83545678246339</v>
      </c>
      <c r="M12" s="28" t="n">
        <f aca="false">IFERROR(('New Qrtrly - Ind AS'!AA61-'New Qrtrly - Ind AS'!BF61)*100,"")</f>
        <v>-61.3648272184471</v>
      </c>
      <c r="N12" s="25" t="n">
        <f aca="false">'New Qrtrly - Ind AS'!BF51</f>
        <v>-561.925368683798</v>
      </c>
      <c r="O12" s="25" t="n">
        <f aca="false">'New Qrtrly - Ind AS'!AA51</f>
        <v>-1453.95</v>
      </c>
      <c r="P12" s="26" t="n">
        <f aca="false">IFERROR('New Qrtrly - Ind AS'!AA51/'New Qrtrly - Ind AS'!BF51-1,"")</f>
        <v>1.58744324607661</v>
      </c>
    </row>
    <row r="13" customFormat="false" ht="15" hidden="false" customHeight="false" outlineLevel="0" collapsed="false">
      <c r="A13" s="12" t="s">
        <v>148</v>
      </c>
      <c r="B13" s="25" t="n">
        <f aca="false">'New Qrtrly - Ind AS'!BG11</f>
        <v>33410</v>
      </c>
      <c r="C13" s="25" t="n">
        <f aca="false">'New Qrtrly - Ind AS'!AB11</f>
        <v>33410</v>
      </c>
      <c r="D13" s="26" t="n">
        <f aca="false">IFERROR('New Qrtrly - Ind AS'!AB11/'New Qrtrly - Ind AS'!BG11-1,"")</f>
        <v>0</v>
      </c>
      <c r="E13" s="25" t="n">
        <f aca="false">'New Qrtrly - Ind AS'!BG33</f>
        <v>50689.6437523143</v>
      </c>
      <c r="F13" s="25" t="n">
        <f aca="false">'New Qrtrly - Ind AS'!AB33</f>
        <v>48135.1</v>
      </c>
      <c r="G13" s="26" t="n">
        <f aca="false">IFERROR('New Qrtrly - Ind AS'!AB33/'New Qrtrly - Ind AS'!BG33-1,"")</f>
        <v>-0.0503957724539681</v>
      </c>
      <c r="H13" s="25" t="n">
        <f aca="false">'New Qrtrly - Ind AS'!BG40</f>
        <v>4246.54846940959</v>
      </c>
      <c r="I13" s="25" t="n">
        <f aca="false">'New Qrtrly - Ind AS'!AB40</f>
        <v>2537.90000000001</v>
      </c>
      <c r="J13" s="26" t="n">
        <f aca="false">IFERROR('New Qrtrly - Ind AS'!AB40/'New Qrtrly - Ind AS'!BG40-1,"")</f>
        <v>-0.402361701913445</v>
      </c>
      <c r="K13" s="27" t="n">
        <f aca="false">'New Qrtrly - Ind AS'!BG61</f>
        <v>8.37754648693048</v>
      </c>
      <c r="L13" s="27" t="n">
        <f aca="false">'New Qrtrly - Ind AS'!AB61</f>
        <v>5.27245191139108</v>
      </c>
      <c r="M13" s="28" t="n">
        <f aca="false">IFERROR(('New Qrtrly - Ind AS'!AB61-'New Qrtrly - Ind AS'!BG61)*100,"")</f>
        <v>-310.50945755394</v>
      </c>
      <c r="N13" s="25" t="n">
        <f aca="false">'New Qrtrly - Ind AS'!BG51</f>
        <v>1467.58392858671</v>
      </c>
      <c r="O13" s="25" t="n">
        <f aca="false">'New Qrtrly - Ind AS'!AB51</f>
        <v>151.425000000009</v>
      </c>
      <c r="P13" s="26" t="n">
        <f aca="false">IFERROR('New Qrtrly - Ind AS'!AB51/'New Qrtrly - Ind AS'!BG51-1,"")</f>
        <v>-0.896820211062252</v>
      </c>
    </row>
    <row r="14" customFormat="false" ht="15" hidden="false" customHeight="false" outlineLevel="0" collapsed="false">
      <c r="A14" s="12" t="s">
        <v>149</v>
      </c>
      <c r="B14" s="25" t="n">
        <f aca="false">'New Qrtrly - Ind AS'!BH11</f>
        <v>44060</v>
      </c>
      <c r="C14" s="25" t="n">
        <f aca="false">'New Qrtrly - Ind AS'!AC11</f>
        <v>44060</v>
      </c>
      <c r="D14" s="26" t="n">
        <f aca="false">IFERROR('New Qrtrly - Ind AS'!AC11/'New Qrtrly - Ind AS'!BH11-1,"")</f>
        <v>0</v>
      </c>
      <c r="E14" s="25" t="n">
        <f aca="false">'New Qrtrly - Ind AS'!BH33</f>
        <v>65065.9478793774</v>
      </c>
      <c r="F14" s="25" t="n">
        <f aca="false">'New Qrtrly - Ind AS'!AC33</f>
        <v>70004.9</v>
      </c>
      <c r="G14" s="26" t="n">
        <f aca="false">IFERROR('New Qrtrly - Ind AS'!AC33/'New Qrtrly - Ind AS'!BH33-1,"")</f>
        <v>0.0759068649822585</v>
      </c>
      <c r="H14" s="25" t="n">
        <f aca="false">'New Qrtrly - Ind AS'!BH40</f>
        <v>4845.95938680934</v>
      </c>
      <c r="I14" s="25" t="n">
        <f aca="false">'New Qrtrly - Ind AS'!AC40</f>
        <v>5341.59999999999</v>
      </c>
      <c r="J14" s="26" t="n">
        <f aca="false">IFERROR('New Qrtrly - Ind AS'!AC40/'New Qrtrly - Ind AS'!BH40-1,"")</f>
        <v>0.102279151273901</v>
      </c>
      <c r="K14" s="27" t="n">
        <f aca="false">'New Qrtrly - Ind AS'!BH61</f>
        <v>7.447765758816</v>
      </c>
      <c r="L14" s="27" t="n">
        <f aca="false">'New Qrtrly - Ind AS'!AC61</f>
        <v>7.63032302024571</v>
      </c>
      <c r="M14" s="28" t="n">
        <f aca="false">IFERROR(('New Qrtrly - Ind AS'!AC61-'New Qrtrly - Ind AS'!BH61)*100,"")</f>
        <v>18.2557261429715</v>
      </c>
      <c r="N14" s="25" t="n">
        <f aca="false">'New Qrtrly - Ind AS'!BH51</f>
        <v>1747.17157076654</v>
      </c>
      <c r="O14" s="25" t="n">
        <f aca="false">'New Qrtrly - Ind AS'!AC51</f>
        <v>2131.57499999999</v>
      </c>
      <c r="P14" s="26" t="n">
        <f aca="false">IFERROR('New Qrtrly - Ind AS'!AC51/'New Qrtrly - Ind AS'!BH51-1,"")</f>
        <v>0.220014700138926</v>
      </c>
    </row>
    <row r="15" customFormat="false" ht="15" hidden="false" customHeight="false" outlineLevel="0" collapsed="false">
      <c r="A15" s="12" t="s">
        <v>150</v>
      </c>
      <c r="B15" s="25" t="n">
        <f aca="false">'New Qrtrly - Ind AS'!BI11</f>
        <v>17987</v>
      </c>
      <c r="C15" s="25" t="n">
        <f aca="false">'New Qrtrly - Ind AS'!AD11</f>
        <v>17987</v>
      </c>
      <c r="D15" s="26" t="n">
        <f aca="false">IFERROR('New Qrtrly - Ind AS'!AD11/'New Qrtrly - Ind AS'!BI11-1,"")</f>
        <v>0</v>
      </c>
      <c r="E15" s="25" t="n">
        <f aca="false">'New Qrtrly - Ind AS'!BI33</f>
        <v>27149.7782452338</v>
      </c>
      <c r="F15" s="25" t="n">
        <f aca="false">'New Qrtrly - Ind AS'!AD33</f>
        <v>29509.9</v>
      </c>
      <c r="G15" s="26" t="n">
        <f aca="false">IFERROR('New Qrtrly - Ind AS'!AD33/'New Qrtrly - Ind AS'!BI33-1,"")</f>
        <v>0.086929688097197</v>
      </c>
      <c r="H15" s="25" t="n">
        <f aca="false">'New Qrtrly - Ind AS'!BI40</f>
        <v>-1019.80211237006</v>
      </c>
      <c r="I15" s="25" t="n">
        <f aca="false">'New Qrtrly - Ind AS'!AD40</f>
        <v>-1401</v>
      </c>
      <c r="J15" s="26" t="n">
        <f aca="false">IFERROR('New Qrtrly - Ind AS'!AD40/'New Qrtrly - Ind AS'!BI40-1,"")</f>
        <v>0.373795938453212</v>
      </c>
      <c r="K15" s="27" t="n">
        <f aca="false">'New Qrtrly - Ind AS'!BI61</f>
        <v>-3.75620788928209</v>
      </c>
      <c r="L15" s="27" t="n">
        <f aca="false">'New Qrtrly - Ind AS'!AD61</f>
        <v>-4.74755929366077</v>
      </c>
      <c r="M15" s="28" t="n">
        <f aca="false">IFERROR(('New Qrtrly - Ind AS'!AD61-'New Qrtrly - Ind AS'!BI61)*100,"")</f>
        <v>-99.135140437868</v>
      </c>
      <c r="N15" s="25" t="n">
        <f aca="false">'New Qrtrly - Ind AS'!BI51</f>
        <v>-2463.86147865904</v>
      </c>
      <c r="O15" s="25" t="n">
        <f aca="false">'New Qrtrly - Ind AS'!AD51</f>
        <v>-2810.3</v>
      </c>
      <c r="P15" s="26" t="n">
        <f aca="false">IFERROR('New Qrtrly - Ind AS'!AD51/'New Qrtrly - Ind AS'!BI51-1,"")</f>
        <v>0.140607953954256</v>
      </c>
    </row>
    <row r="16" customFormat="false" ht="15" hidden="false" customHeight="false" outlineLevel="0" collapsed="false">
      <c r="A16" s="12" t="s">
        <v>151</v>
      </c>
      <c r="B16" s="25" t="n">
        <f aca="false">'New Qrtrly - Ind AS'!BJ11</f>
        <v>27543</v>
      </c>
      <c r="C16" s="25" t="n">
        <f aca="false">'New Qrtrly - Ind AS'!AE11</f>
        <v>27543</v>
      </c>
      <c r="D16" s="26" t="n">
        <f aca="false">IFERROR('New Qrtrly - Ind AS'!AE11/'New Qrtrly - Ind AS'!BJ11-1,"")</f>
        <v>0</v>
      </c>
      <c r="E16" s="25" t="n">
        <f aca="false">'New Qrtrly - Ind AS'!BJ33</f>
        <v>46091.4548959804</v>
      </c>
      <c r="F16" s="25" t="n">
        <f aca="false">'New Qrtrly - Ind AS'!AE33</f>
        <v>44578.5</v>
      </c>
      <c r="G16" s="26" t="n">
        <f aca="false">IFERROR('New Qrtrly - Ind AS'!AE33/'New Qrtrly - Ind AS'!BJ33-1,"")</f>
        <v>-0.0328250626801624</v>
      </c>
      <c r="H16" s="25" t="n">
        <f aca="false">'New Qrtrly - Ind AS'!BJ40</f>
        <v>1799.41245337098</v>
      </c>
      <c r="I16" s="25" t="n">
        <f aca="false">'New Qrtrly - Ind AS'!AE40</f>
        <v>1346.89999999999</v>
      </c>
      <c r="J16" s="26" t="n">
        <f aca="false">IFERROR('New Qrtrly - Ind AS'!AE40/'New Qrtrly - Ind AS'!BJ40-1,"")</f>
        <v>-0.251477893533115</v>
      </c>
      <c r="K16" s="27" t="n">
        <f aca="false">'New Qrtrly - Ind AS'!BJ61</f>
        <v>3.90400445686063</v>
      </c>
      <c r="L16" s="27" t="n">
        <f aca="false">'New Qrtrly - Ind AS'!AE61</f>
        <v>3.02141166705922</v>
      </c>
      <c r="M16" s="28" t="n">
        <f aca="false">IFERROR(('New Qrtrly - Ind AS'!AE61-'New Qrtrly - Ind AS'!BJ61)*100,"")</f>
        <v>-88.2592789801412</v>
      </c>
      <c r="N16" s="25" t="n">
        <f aca="false">'New Qrtrly - Ind AS'!BJ51</f>
        <v>-420.411282640311</v>
      </c>
      <c r="O16" s="25" t="n">
        <f aca="false">'New Qrtrly - Ind AS'!AE51</f>
        <v>-831.825000000006</v>
      </c>
      <c r="P16" s="26" t="n">
        <f aca="false">IFERROR('New Qrtrly - Ind AS'!AE51/'New Qrtrly - Ind AS'!BJ51-1,"")</f>
        <v>0.978598183131268</v>
      </c>
    </row>
    <row r="17" customFormat="false" ht="15" hidden="false" customHeight="false" outlineLevel="0" collapsed="false">
      <c r="A17" s="12" t="s">
        <v>152</v>
      </c>
      <c r="B17" s="25" t="n">
        <f aca="false">'New Qrtrly - Ind AS'!BK11</f>
        <v>34077</v>
      </c>
      <c r="C17" s="25" t="n">
        <f aca="false">'New Qrtrly - Ind AS'!AF11</f>
        <v>34077</v>
      </c>
      <c r="D17" s="26" t="n">
        <f aca="false">IFERROR('New Qrtrly - Ind AS'!AF11/'New Qrtrly - Ind AS'!BK11-1,"")</f>
        <v>0</v>
      </c>
      <c r="E17" s="25" t="n">
        <f aca="false">'New Qrtrly - Ind AS'!BK33</f>
        <v>56808.4301214465</v>
      </c>
      <c r="F17" s="25" t="n">
        <f aca="false">'New Qrtrly - Ind AS'!AF33</f>
        <v>55351.6</v>
      </c>
      <c r="G17" s="26" t="n">
        <f aca="false">IFERROR('New Qrtrly - Ind AS'!AF33/'New Qrtrly - Ind AS'!BK33-1,"")</f>
        <v>-0.0256446115186076</v>
      </c>
      <c r="H17" s="25" t="n">
        <f aca="false">'New Qrtrly - Ind AS'!BK40</f>
        <v>2952.32206768979</v>
      </c>
      <c r="I17" s="25" t="n">
        <f aca="false">'New Qrtrly - Ind AS'!AF40</f>
        <v>2238.9</v>
      </c>
      <c r="J17" s="26" t="n">
        <f aca="false">IFERROR('New Qrtrly - Ind AS'!AF40/'New Qrtrly - Ind AS'!BK40-1,"")</f>
        <v>-0.241647778031225</v>
      </c>
      <c r="K17" s="27" t="n">
        <f aca="false">'New Qrtrly - Ind AS'!BK61</f>
        <v>5.19697879589041</v>
      </c>
      <c r="L17" s="27" t="n">
        <f aca="false">'New Qrtrly - Ind AS'!AF61</f>
        <v>4.04486952500018</v>
      </c>
      <c r="M17" s="28" t="n">
        <f aca="false">IFERROR(('New Qrtrly - Ind AS'!AF61-'New Qrtrly - Ind AS'!BK61)*100,"")</f>
        <v>-115.210927089022</v>
      </c>
      <c r="N17" s="25" t="n">
        <f aca="false">'New Qrtrly - Ind AS'!BK51</f>
        <v>337.625447382854</v>
      </c>
      <c r="O17" s="25" t="n">
        <f aca="false">'New Qrtrly - Ind AS'!AF51</f>
        <v>-257.549999999998</v>
      </c>
      <c r="P17" s="26" t="n">
        <f aca="false">IFERROR('New Qrtrly - Ind AS'!AF51/'New Qrtrly - Ind AS'!BK51-1,"")</f>
        <v>-1.76282757119296</v>
      </c>
    </row>
    <row r="18" customFormat="false" ht="15" hidden="false" customHeight="false" outlineLevel="0" collapsed="false">
      <c r="A18" s="12" t="s">
        <v>153</v>
      </c>
      <c r="B18" s="25" t="n">
        <f aca="false">'New Qrtrly - Ind AS'!BL11</f>
        <v>48719</v>
      </c>
      <c r="C18" s="25" t="n">
        <f aca="false">'New Qrtrly - Ind AS'!AG11</f>
        <v>48719</v>
      </c>
      <c r="D18" s="26" t="n">
        <f aca="false">IFERROR('New Qrtrly - Ind AS'!AG11/'New Qrtrly - Ind AS'!BL11-1,"")</f>
        <v>0</v>
      </c>
      <c r="E18" s="25" t="n">
        <f aca="false">'New Qrtrly - Ind AS'!BL33</f>
        <v>81508.784177363</v>
      </c>
      <c r="F18" s="25" t="n">
        <f aca="false">'New Qrtrly - Ind AS'!AG33</f>
        <v>87442.9</v>
      </c>
      <c r="G18" s="26" t="n">
        <f aca="false">IFERROR('New Qrtrly - Ind AS'!AG33/'New Qrtrly - Ind AS'!BL33-1,"")</f>
        <v>0.0728033902422631</v>
      </c>
      <c r="H18" s="25" t="n">
        <f aca="false">'New Qrtrly - Ind AS'!BL40</f>
        <v>5809.30075635942</v>
      </c>
      <c r="I18" s="25" t="n">
        <f aca="false">'New Qrtrly - Ind AS'!AG40</f>
        <v>7760.39999999999</v>
      </c>
      <c r="J18" s="26" t="n">
        <f aca="false">IFERROR('New Qrtrly - Ind AS'!AG40/'New Qrtrly - Ind AS'!BL40-1,"")</f>
        <v>0.335857846833755</v>
      </c>
      <c r="K18" s="27" t="n">
        <f aca="false">'New Qrtrly - Ind AS'!BL61</f>
        <v>7.12720820828143</v>
      </c>
      <c r="L18" s="27" t="n">
        <f aca="false">'New Qrtrly - Ind AS'!AG61</f>
        <v>8.87482002541086</v>
      </c>
      <c r="M18" s="28" t="n">
        <f aca="false">IFERROR(('New Qrtrly - Ind AS'!AG61-'New Qrtrly - Ind AS'!BL61)*100,"")</f>
        <v>174.761181712943</v>
      </c>
      <c r="N18" s="25" t="n">
        <f aca="false">'New Qrtrly - Ind AS'!BL51</f>
        <v>2372.51052945159</v>
      </c>
      <c r="O18" s="25" t="n">
        <f aca="false">'New Qrtrly - Ind AS'!AG51</f>
        <v>5486.74999999999</v>
      </c>
      <c r="P18" s="26" t="n">
        <f aca="false">IFERROR('New Qrtrly - Ind AS'!AG51/'New Qrtrly - Ind AS'!BL51-1,"")</f>
        <v>1.31263462559564</v>
      </c>
    </row>
    <row r="19" customFormat="false" ht="15" hidden="false" customHeight="false" outlineLevel="0" collapsed="false">
      <c r="A19" s="12" t="s">
        <v>154</v>
      </c>
      <c r="B19" s="25" t="n">
        <f aca="false">'New Qrtrly - Ind AS'!BM11</f>
        <v>39651</v>
      </c>
      <c r="C19" s="25" t="n">
        <f aca="false">'New Qrtrly - Ind AS'!AH11</f>
        <v>39651</v>
      </c>
      <c r="D19" s="26" t="n">
        <f aca="false">IFERROR('New Qrtrly - Ind AS'!AH11/'New Qrtrly - Ind AS'!BM11-1,"")</f>
        <v>0</v>
      </c>
      <c r="E19" s="25" t="n">
        <f aca="false">'New Qrtrly - Ind AS'!BM33</f>
        <v>71167.2741209795</v>
      </c>
      <c r="F19" s="25" t="n">
        <f aca="false">'New Qrtrly - Ind AS'!AH33</f>
        <v>72228.5</v>
      </c>
      <c r="G19" s="26" t="n">
        <f aca="false">IFERROR('New Qrtrly - Ind AS'!AH33/'New Qrtrly - Ind AS'!BM33-1,"")</f>
        <v>0.0149117117681998</v>
      </c>
      <c r="H19" s="25" t="n">
        <f aca="false">'New Qrtrly - Ind AS'!BM40</f>
        <v>4545.1275654057</v>
      </c>
      <c r="I19" s="25" t="n">
        <f aca="false">'New Qrtrly - Ind AS'!AH40</f>
        <v>3202.8</v>
      </c>
      <c r="J19" s="26" t="n">
        <f aca="false">IFERROR('New Qrtrly - Ind AS'!AH40/'New Qrtrly - Ind AS'!BM40-1,"")</f>
        <v>-0.295333309371236</v>
      </c>
      <c r="K19" s="27" t="n">
        <f aca="false">'New Qrtrly - Ind AS'!BM61</f>
        <v>6.38654159730678</v>
      </c>
      <c r="L19" s="27" t="n">
        <f aca="false">'New Qrtrly - Ind AS'!AH61</f>
        <v>4.434260714261</v>
      </c>
      <c r="M19" s="28" t="n">
        <f aca="false">IFERROR(('New Qrtrly - Ind AS'!AH61-'New Qrtrly - Ind AS'!BM61)*100,"")</f>
        <v>-195.228088304578</v>
      </c>
      <c r="N19" s="25" t="n">
        <f aca="false">'New Qrtrly - Ind AS'!BM51</f>
        <v>1424.58929578399</v>
      </c>
      <c r="O19" s="25" t="n">
        <f aca="false">'New Qrtrly - Ind AS'!AH51</f>
        <v>582.925000000003</v>
      </c>
      <c r="P19" s="26" t="n">
        <f aca="false">IFERROR('New Qrtrly - Ind AS'!AH51/'New Qrtrly - Ind AS'!BM51-1,"")</f>
        <v>-0.590811891030527</v>
      </c>
    </row>
    <row r="20" customFormat="false" ht="15" hidden="false" customHeight="false" outlineLevel="0" collapsed="false">
      <c r="A20" s="12" t="s">
        <v>155</v>
      </c>
      <c r="B20" s="25" t="n">
        <f aca="false">'New Qrtrly - Ind AS'!BN11</f>
        <v>45295</v>
      </c>
      <c r="C20" s="25" t="n">
        <f aca="false">'New Qrtrly - Ind AS'!AI11</f>
        <v>45295</v>
      </c>
      <c r="D20" s="26" t="n">
        <f aca="false">IFERROR('New Qrtrly - Ind AS'!AI11/'New Qrtrly - Ind AS'!BN11-1,"")</f>
        <v>0</v>
      </c>
      <c r="E20" s="25" t="n">
        <f aca="false">'New Qrtrly - Ind AS'!BN33</f>
        <v>82922.1925559885</v>
      </c>
      <c r="F20" s="25" t="n">
        <f aca="false">'New Qrtrly - Ind AS'!AI33</f>
        <v>82659.5</v>
      </c>
      <c r="G20" s="26" t="n">
        <f aca="false">IFERROR('New Qrtrly - Ind AS'!AI33/'New Qrtrly - Ind AS'!BN33-1,"")</f>
        <v>-0.00316794030513767</v>
      </c>
      <c r="H20" s="25" t="n">
        <f aca="false">'New Qrtrly - Ind AS'!BN40</f>
        <v>4956.3502442016</v>
      </c>
      <c r="I20" s="25" t="n">
        <f aca="false">'New Qrtrly - Ind AS'!AI40</f>
        <v>5373.39999999999</v>
      </c>
      <c r="J20" s="26" t="n">
        <f aca="false">IFERROR('New Qrtrly - Ind AS'!AI40/'New Qrtrly - Ind AS'!BN40-1,"")</f>
        <v>0.0841445287863372</v>
      </c>
      <c r="K20" s="27" t="n">
        <f aca="false">'New Qrtrly - Ind AS'!BN61</f>
        <v>5.9771094943674</v>
      </c>
      <c r="L20" s="27" t="n">
        <f aca="false">'New Qrtrly - Ind AS'!AI61</f>
        <v>6.50064420907457</v>
      </c>
      <c r="M20" s="28" t="n">
        <f aca="false">IFERROR(('New Qrtrly - Ind AS'!AI61-'New Qrtrly - Ind AS'!BN61)*100,"")</f>
        <v>52.3534714707173</v>
      </c>
      <c r="N20" s="25" t="n">
        <f aca="false">'New Qrtrly - Ind AS'!BN51</f>
        <v>1866.44517094112</v>
      </c>
      <c r="O20" s="25" t="n">
        <f aca="false">'New Qrtrly - Ind AS'!AI51</f>
        <v>1931.37499999999</v>
      </c>
      <c r="P20" s="26" t="n">
        <f aca="false">IFERROR('New Qrtrly - Ind AS'!AI51/'New Qrtrly - Ind AS'!BN51-1,"")</f>
        <v>0.0347879648809248</v>
      </c>
    </row>
    <row r="21" customFormat="false" ht="15" hidden="false" customHeight="false" outlineLevel="0" collapsed="false">
      <c r="A21" s="12" t="s">
        <v>156</v>
      </c>
      <c r="B21" s="25" t="n">
        <f aca="false">'New Qrtrly - Ind AS'!BO11</f>
        <v>47562</v>
      </c>
      <c r="C21" s="25" t="n">
        <f aca="false">'New Qrtrly - Ind AS'!AJ11</f>
        <v>47562</v>
      </c>
      <c r="D21" s="26" t="n">
        <f aca="false">IFERROR('New Qrtrly - Ind AS'!AJ11/'New Qrtrly - Ind AS'!BO11-1,"")</f>
        <v>0</v>
      </c>
      <c r="E21" s="25" t="n">
        <f aca="false">'New Qrtrly - Ind AS'!BO33</f>
        <v>87924.9366112595</v>
      </c>
      <c r="F21" s="25" t="n">
        <f aca="false">'New Qrtrly - Ind AS'!AJ33</f>
        <v>90296.7</v>
      </c>
      <c r="G21" s="26" t="n">
        <f aca="false">IFERROR('New Qrtrly - Ind AS'!AJ33/'New Qrtrly - Ind AS'!BO33-1,"")</f>
        <v>0.0269748660636142</v>
      </c>
      <c r="H21" s="25" t="n">
        <f aca="false">'New Qrtrly - Ind AS'!BO40</f>
        <v>6631.31873753338</v>
      </c>
      <c r="I21" s="25" t="n">
        <f aca="false">'New Qrtrly - Ind AS'!AJ40</f>
        <v>7973.39999999999</v>
      </c>
      <c r="J21" s="26" t="n">
        <f aca="false">IFERROR('New Qrtrly - Ind AS'!AJ40/'New Qrtrly - Ind AS'!BO40-1,"")</f>
        <v>0.202385274420668</v>
      </c>
      <c r="K21" s="27" t="n">
        <f aca="false">'New Qrtrly - Ind AS'!BO61</f>
        <v>7.54202276750255</v>
      </c>
      <c r="L21" s="27" t="n">
        <f aca="false">'New Qrtrly - Ind AS'!AJ61</f>
        <v>8.83022303140646</v>
      </c>
      <c r="M21" s="28" t="n">
        <f aca="false">IFERROR(('New Qrtrly - Ind AS'!AJ61-'New Qrtrly - Ind AS'!BO61)*100,"")</f>
        <v>128.82002639039</v>
      </c>
      <c r="N21" s="25" t="n">
        <f aca="false">'New Qrtrly - Ind AS'!BO51</f>
        <v>2989.92311627337</v>
      </c>
      <c r="O21" s="25" t="n">
        <f aca="false">'New Qrtrly - Ind AS'!AJ51</f>
        <v>3561.34999999999</v>
      </c>
      <c r="P21" s="26" t="n">
        <f aca="false">IFERROR('New Qrtrly - Ind AS'!AJ51/'New Qrtrly - Ind AS'!BO51-1,"")</f>
        <v>0.191117584467808</v>
      </c>
    </row>
    <row r="22" customFormat="false" ht="15" hidden="false" customHeight="false" outlineLevel="0" collapsed="false">
      <c r="A22" s="12" t="s">
        <v>157</v>
      </c>
      <c r="B22" s="25" t="n">
        <f aca="false">'New Qrtrly - Ind AS'!BP11</f>
        <v>59697</v>
      </c>
      <c r="C22" s="25" t="n">
        <f aca="false">'New Qrtrly - Ind AS'!AK11</f>
        <v>59697</v>
      </c>
      <c r="D22" s="26" t="n">
        <f aca="false">IFERROR('New Qrtrly - Ind AS'!AK11/'New Qrtrly - Ind AS'!BP11-1,"")</f>
        <v>0</v>
      </c>
      <c r="E22" s="25" t="n">
        <f aca="false">'New Qrtrly - Ind AS'!BP33</f>
        <v>114695.08021317</v>
      </c>
      <c r="F22" s="25" t="n">
        <f aca="false">'New Qrtrly - Ind AS'!AK33</f>
        <v>116256.7</v>
      </c>
      <c r="G22" s="26" t="n">
        <f aca="false">IFERROR('New Qrtrly - Ind AS'!AK33/'New Qrtrly - Ind AS'!BP33-1,"")</f>
        <v>0.0136154034151024</v>
      </c>
      <c r="H22" s="25" t="n">
        <f aca="false">'New Qrtrly - Ind AS'!BP40</f>
        <v>12264.1942511608</v>
      </c>
      <c r="I22" s="25" t="n">
        <f aca="false">'New Qrtrly - Ind AS'!AK40</f>
        <v>12757.4</v>
      </c>
      <c r="J22" s="26" t="n">
        <f aca="false">IFERROR('New Qrtrly - Ind AS'!AK40/'New Qrtrly - Ind AS'!BP40-1,"")</f>
        <v>0.0402150959727714</v>
      </c>
      <c r="K22" s="27" t="n">
        <f aca="false">'New Qrtrly - Ind AS'!BP61</f>
        <v>10.6928686290352</v>
      </c>
      <c r="L22" s="27" t="n">
        <f aca="false">'New Qrtrly - Ind AS'!AK61</f>
        <v>10.9734750771353</v>
      </c>
      <c r="M22" s="28" t="n">
        <f aca="false">IFERROR(('New Qrtrly - Ind AS'!AK61-'New Qrtrly - Ind AS'!BP61)*100,"")</f>
        <v>28.0606448100118</v>
      </c>
      <c r="N22" s="25" t="n">
        <f aca="false">'New Qrtrly - Ind AS'!BP51</f>
        <v>6904.93597581259</v>
      </c>
      <c r="O22" s="25" t="n">
        <f aca="false">'New Qrtrly - Ind AS'!AK51</f>
        <v>7090.87499999998</v>
      </c>
      <c r="P22" s="26" t="n">
        <f aca="false">IFERROR('New Qrtrly - Ind AS'!AK51/'New Qrtrly - Ind AS'!BP51-1,"")</f>
        <v>0.0269284211814163</v>
      </c>
    </row>
    <row r="23" customFormat="false" ht="15" hidden="false" customHeight="false" outlineLevel="0" collapsed="false">
      <c r="A23" s="12" t="s">
        <v>158</v>
      </c>
      <c r="B23" s="25" t="n">
        <f aca="false">'New Qrtrly - Ind AS'!BQ11</f>
        <v>41329</v>
      </c>
      <c r="C23" s="25" t="n">
        <f aca="false">'New Qrtrly - Ind AS'!AL11</f>
        <v>41329</v>
      </c>
      <c r="D23" s="26" t="n">
        <f aca="false">IFERROR('New Qrtrly - Ind AS'!AL11/'New Qrtrly - Ind AS'!BQ11-1,"")</f>
        <v>0</v>
      </c>
      <c r="E23" s="25" t="n">
        <f aca="false">'New Qrtrly - Ind AS'!BQ33</f>
        <v>80486.0069065447</v>
      </c>
      <c r="F23" s="25" t="n">
        <f aca="false">'New Qrtrly - Ind AS'!AL33</f>
        <v>81892.9</v>
      </c>
      <c r="G23" s="26" t="n">
        <f aca="false">IFERROR('New Qrtrly - Ind AS'!AL33/'New Qrtrly - Ind AS'!BQ33-1,"")</f>
        <v>0.0174799713332638</v>
      </c>
      <c r="H23" s="25" t="n">
        <f aca="false">'New Qrtrly - Ind AS'!BQ40</f>
        <v>6140.52971282309</v>
      </c>
      <c r="I23" s="25" t="n">
        <f aca="false">'New Qrtrly - Ind AS'!AL40</f>
        <v>8207.5</v>
      </c>
      <c r="J23" s="26" t="n">
        <f aca="false">IFERROR('New Qrtrly - Ind AS'!AL40/'New Qrtrly - Ind AS'!BQ40-1,"")</f>
        <v>0.336611071657306</v>
      </c>
      <c r="K23" s="27" t="n">
        <f aca="false">'New Qrtrly - Ind AS'!BQ61</f>
        <v>7.62931340345047</v>
      </c>
      <c r="L23" s="27" t="n">
        <f aca="false">'New Qrtrly - Ind AS'!AL61</f>
        <v>10.0222363599286</v>
      </c>
      <c r="M23" s="28" t="n">
        <f aca="false">IFERROR(('New Qrtrly - Ind AS'!AL61-'New Qrtrly - Ind AS'!BQ61)*100,"")</f>
        <v>239.292295647817</v>
      </c>
      <c r="N23" s="25" t="n">
        <f aca="false">'New Qrtrly - Ind AS'!BQ51</f>
        <v>2618.37079897616</v>
      </c>
      <c r="O23" s="25" t="n">
        <f aca="false">'New Qrtrly - Ind AS'!AL51</f>
        <v>5768.625</v>
      </c>
      <c r="P23" s="26" t="n">
        <f aca="false">IFERROR('New Qrtrly - Ind AS'!AL51/'New Qrtrly - Ind AS'!BQ51-1,"")</f>
        <v>1.20313524816869</v>
      </c>
    </row>
    <row r="24" customFormat="false" ht="15" hidden="false" customHeight="false" outlineLevel="0" collapsed="false">
      <c r="A24" s="12" t="s">
        <v>159</v>
      </c>
      <c r="B24" s="25" t="n">
        <f aca="false">'New Qrtrly - Ind AS'!BR11</f>
        <v>49846</v>
      </c>
      <c r="C24" s="25" t="n">
        <f aca="false">'New Qrtrly - Ind AS'!AM11</f>
        <v>49846</v>
      </c>
      <c r="D24" s="26" t="n">
        <f aca="false">IFERROR('New Qrtrly - Ind AS'!AM11/'New Qrtrly - Ind AS'!BR11-1,"")</f>
        <v>0</v>
      </c>
      <c r="E24" s="25" t="n">
        <f aca="false">'New Qrtrly - Ind AS'!BR33</f>
        <v>96793.8450853396</v>
      </c>
      <c r="F24" s="25" t="n">
        <f aca="false">'New Qrtrly - Ind AS'!AM33</f>
        <v>96380.4</v>
      </c>
      <c r="G24" s="26" t="n">
        <f aca="false">IFERROR('New Qrtrly - Ind AS'!AM33/'New Qrtrly - Ind AS'!BR33-1,"")</f>
        <v>-0.00427139850653813</v>
      </c>
      <c r="H24" s="25" t="n">
        <f aca="false">'New Qrtrly - Ind AS'!BR40</f>
        <v>10466.3997221883</v>
      </c>
      <c r="I24" s="25" t="n">
        <f aca="false">'New Qrtrly - Ind AS'!AM40</f>
        <v>10797.9</v>
      </c>
      <c r="J24" s="26" t="n">
        <f aca="false">IFERROR('New Qrtrly - Ind AS'!AM40/'New Qrtrly - Ind AS'!BR40-1,"")</f>
        <v>0.0316728088560327</v>
      </c>
      <c r="K24" s="27" t="n">
        <f aca="false">'New Qrtrly - Ind AS'!BR61</f>
        <v>10.8130839445013</v>
      </c>
      <c r="L24" s="27" t="n">
        <f aca="false">'New Qrtrly - Ind AS'!AM61</f>
        <v>11.2034189524011</v>
      </c>
      <c r="M24" s="28" t="n">
        <f aca="false">IFERROR(('New Qrtrly - Ind AS'!AM61-'New Qrtrly - Ind AS'!BR61)*100,"")</f>
        <v>39.0335007899832</v>
      </c>
      <c r="N24" s="25" t="n">
        <f aca="false">'New Qrtrly - Ind AS'!BR51</f>
        <v>5821.4798055318</v>
      </c>
      <c r="O24" s="25" t="n">
        <f aca="false">'New Qrtrly - Ind AS'!AM51</f>
        <v>5781.69999999999</v>
      </c>
      <c r="P24" s="26" t="n">
        <f aca="false">IFERROR('New Qrtrly - Ind AS'!AM51/'New Qrtrly - Ind AS'!BR51-1,"")</f>
        <v>-0.00683328068818645</v>
      </c>
    </row>
    <row r="25" customFormat="false" ht="15" hidden="false" customHeight="false" outlineLevel="0" collapsed="false">
      <c r="A25" s="12" t="s">
        <v>160</v>
      </c>
      <c r="B25" s="25" t="n">
        <f aca="false">'New Qrtrly - Ind AS'!BS11</f>
        <v>47241</v>
      </c>
      <c r="C25" s="25" t="n">
        <f aca="false">'New Qrtrly - Ind AS'!AN11</f>
        <v>47241</v>
      </c>
      <c r="D25" s="26" t="n">
        <f aca="false">IFERROR('New Qrtrly - Ind AS'!AN11/'New Qrtrly - Ind AS'!BS11-1,"")</f>
        <v>0</v>
      </c>
      <c r="E25" s="25" t="n">
        <f aca="false">'New Qrtrly - Ind AS'!BS33</f>
        <v>89516.5980594631</v>
      </c>
      <c r="F25" s="25" t="n">
        <f aca="false">'New Qrtrly - Ind AS'!AN33</f>
        <v>92730.1</v>
      </c>
      <c r="G25" s="26" t="n">
        <f aca="false">IFERROR('New Qrtrly - Ind AS'!AN33/'New Qrtrly - Ind AS'!BS33-1,"")</f>
        <v>0.0358983921440159</v>
      </c>
      <c r="H25" s="25" t="n">
        <f aca="false">'New Qrtrly - Ind AS'!BS40</f>
        <v>9211.41508381719</v>
      </c>
      <c r="I25" s="25" t="n">
        <f aca="false">'New Qrtrly - Ind AS'!AN40</f>
        <v>11139.3</v>
      </c>
      <c r="J25" s="26" t="n">
        <f aca="false">IFERROR('New Qrtrly - Ind AS'!AN40/'New Qrtrly - Ind AS'!BS40-1,"")</f>
        <v>0.209293023779785</v>
      </c>
      <c r="K25" s="27" t="n">
        <f aca="false">'New Qrtrly - Ind AS'!BS61</f>
        <v>10.2901755467722</v>
      </c>
      <c r="L25" s="27" t="n">
        <f aca="false">'New Qrtrly - Ind AS'!AN61</f>
        <v>12.0126043215741</v>
      </c>
      <c r="M25" s="28" t="n">
        <f aca="false">IFERROR(('New Qrtrly - Ind AS'!AN61-'New Qrtrly - Ind AS'!BS61)*100,"")</f>
        <v>172.242877480198</v>
      </c>
      <c r="N25" s="25" t="n">
        <f aca="false">'New Qrtrly - Ind AS'!BS51</f>
        <v>5082.99055867203</v>
      </c>
      <c r="O25" s="25" t="n">
        <f aca="false">'New Qrtrly - Ind AS'!AN51</f>
        <v>5804.72500000002</v>
      </c>
      <c r="P25" s="26" t="n">
        <f aca="false">IFERROR('New Qrtrly - Ind AS'!AN51/'New Qrtrly - Ind AS'!BS51-1,"")</f>
        <v>0.141990120382309</v>
      </c>
    </row>
    <row r="26" customFormat="false" ht="15" hidden="false" customHeight="false" outlineLevel="0" collapsed="false">
      <c r="A26" s="12" t="s">
        <v>161</v>
      </c>
      <c r="B26" s="25" t="n">
        <f aca="false">'New Qrtrly - Ind AS'!BT11</f>
        <v>56269</v>
      </c>
      <c r="C26" s="25" t="n">
        <f aca="false">'New Qrtrly - Ind AS'!AO11</f>
        <v>56269</v>
      </c>
      <c r="D26" s="26" t="n">
        <f aca="false">IFERROR('New Qrtrly - Ind AS'!AO11/'New Qrtrly - Ind AS'!BT11-1,"")</f>
        <v>0</v>
      </c>
      <c r="E26" s="25" t="n">
        <f aca="false">'New Qrtrly - Ind AS'!BT33</f>
        <v>111003.559342192</v>
      </c>
      <c r="F26" s="25" t="n">
        <f aca="false">'New Qrtrly - Ind AS'!AO33</f>
        <v>112666.9</v>
      </c>
      <c r="G26" s="26" t="n">
        <f aca="false">IFERROR('New Qrtrly - Ind AS'!AO33/'New Qrtrly - Ind AS'!BT33-1,"")</f>
        <v>0.014984570473819</v>
      </c>
      <c r="H26" s="25" t="n">
        <f aca="false">'New Qrtrly - Ind AS'!BT40</f>
        <v>13735.9650223919</v>
      </c>
      <c r="I26" s="25" t="n">
        <f aca="false">'New Qrtrly - Ind AS'!AO40</f>
        <v>15921.1</v>
      </c>
      <c r="J26" s="26" t="n">
        <f aca="false">IFERROR('New Qrtrly - Ind AS'!AO40/'New Qrtrly - Ind AS'!BT40-1,"")</f>
        <v>0.159081285810352</v>
      </c>
      <c r="K26" s="27" t="n">
        <f aca="false">'New Qrtrly - Ind AS'!BT61</f>
        <v>12.3743464658172</v>
      </c>
      <c r="L26" s="27" t="n">
        <f aca="false">'New Qrtrly - Ind AS'!AO61</f>
        <v>14.1311245805112</v>
      </c>
      <c r="M26" s="28" t="n">
        <f aca="false">IFERROR(('New Qrtrly - Ind AS'!AO61-'New Qrtrly - Ind AS'!BT61)*100,"")</f>
        <v>175.6778114694</v>
      </c>
      <c r="N26" s="25" t="n">
        <f aca="false">'New Qrtrly - Ind AS'!BT51</f>
        <v>8131.17551567432</v>
      </c>
      <c r="O26" s="25" t="n">
        <f aca="false">'New Qrtrly - Ind AS'!AO51</f>
        <v>9526.55000000001</v>
      </c>
      <c r="P26" s="26" t="n">
        <f aca="false">IFERROR('New Qrtrly - Ind AS'!AO51/'New Qrtrly - Ind AS'!BT51-1,"")</f>
        <v>0.171607965125811</v>
      </c>
    </row>
    <row r="27" customFormat="false" ht="15" hidden="false" customHeight="false" outlineLevel="0" collapsed="false">
      <c r="A27" s="12" t="s">
        <v>162</v>
      </c>
      <c r="B27" s="25" t="n">
        <f aca="false">'New Qrtrly - Ind AS'!BU11</f>
        <v>43893</v>
      </c>
      <c r="C27" s="25" t="n">
        <f aca="false">'New Qrtrly - Ind AS'!AP11</f>
        <v>43893</v>
      </c>
      <c r="D27" s="26" t="n">
        <f aca="false">IFERROR('New Qrtrly - Ind AS'!AP11/'New Qrtrly - Ind AS'!BU11-1,"")</f>
        <v>0</v>
      </c>
      <c r="E27" s="25" t="n">
        <f aca="false">'New Qrtrly - Ind AS'!BU33</f>
        <v>86128.8182989923</v>
      </c>
      <c r="F27" s="25" t="n">
        <f aca="false">'New Qrtrly - Ind AS'!AP33</f>
        <v>85985.3</v>
      </c>
      <c r="G27" s="26" t="n">
        <f aca="false">IFERROR('New Qrtrly - Ind AS'!AP33/'New Qrtrly - Ind AS'!BU33-1,"")</f>
        <v>-0.00166632146854862</v>
      </c>
      <c r="H27" s="25" t="n">
        <f aca="false">'New Qrtrly - Ind AS'!BU40</f>
        <v>8971.55385052187</v>
      </c>
      <c r="I27" s="25" t="n">
        <f aca="false">'New Qrtrly - Ind AS'!AP40</f>
        <v>9108.7</v>
      </c>
      <c r="J27" s="26" t="n">
        <f aca="false">IFERROR('New Qrtrly - Ind AS'!AP40/'New Qrtrly - Ind AS'!BU40-1,"")</f>
        <v>0.0152867777157852</v>
      </c>
      <c r="K27" s="27" t="n">
        <f aca="false">'New Qrtrly - Ind AS'!BU61</f>
        <v>10.4164367138738</v>
      </c>
      <c r="L27" s="27" t="n">
        <f aca="false">'New Qrtrly - Ind AS'!AP61</f>
        <v>10.5933223469593</v>
      </c>
      <c r="M27" s="28" t="n">
        <f aca="false">IFERROR(('New Qrtrly - Ind AS'!AP61-'New Qrtrly - Ind AS'!BU61)*100,"")</f>
        <v>17.6885633085528</v>
      </c>
      <c r="N27" s="25" t="n">
        <f aca="false">'New Qrtrly - Ind AS'!BU51</f>
        <v>5286.08769536531</v>
      </c>
      <c r="O27" s="25" t="n">
        <f aca="false">'New Qrtrly - Ind AS'!AP51</f>
        <v>5255.8</v>
      </c>
      <c r="P27" s="26" t="n">
        <f aca="false">IFERROR('New Qrtrly - Ind AS'!AP51/'New Qrtrly - Ind AS'!BU51-1,"")</f>
        <v>-0.00572969975353765</v>
      </c>
    </row>
    <row r="28" customFormat="false" ht="15" hidden="false" customHeight="false" outlineLevel="0" collapsed="false">
      <c r="A28" s="12" t="s">
        <v>163</v>
      </c>
      <c r="B28" s="25" t="n">
        <f aca="false">'New Qrtrly - Ind AS'!BV11</f>
        <v>45624</v>
      </c>
      <c r="C28" s="25" t="n">
        <f aca="false">'New Qrtrly - Ind AS'!AQ11</f>
        <v>45624</v>
      </c>
      <c r="D28" s="26" t="n">
        <f aca="false">IFERROR('New Qrtrly - Ind AS'!AQ11/'New Qrtrly - Ind AS'!BV11-1,"")</f>
        <v>0</v>
      </c>
      <c r="E28" s="25" t="n">
        <f aca="false">'New Qrtrly - Ind AS'!BV33</f>
        <v>87588.7604095414</v>
      </c>
      <c r="F28" s="25" t="n">
        <f aca="false">'New Qrtrly - Ind AS'!AQ33</f>
        <v>87688.3</v>
      </c>
      <c r="G28" s="26" t="n">
        <f aca="false">IFERROR('New Qrtrly - Ind AS'!AQ33/'New Qrtrly - Ind AS'!BV33-1,"")</f>
        <v>0.0011364425069289</v>
      </c>
      <c r="H28" s="25" t="n">
        <f aca="false">'New Qrtrly - Ind AS'!BV40</f>
        <v>9349.67539385251</v>
      </c>
      <c r="I28" s="25" t="n">
        <f aca="false">'New Qrtrly - Ind AS'!AQ40</f>
        <v>10173</v>
      </c>
      <c r="J28" s="26" t="n">
        <f aca="false">IFERROR('New Qrtrly - Ind AS'!AQ40/'New Qrtrly - Ind AS'!BV40-1,"")</f>
        <v>0.0880591647800775</v>
      </c>
      <c r="K28" s="27" t="n">
        <f aca="false">'New Qrtrly - Ind AS'!BV61</f>
        <v>10.6745150292526</v>
      </c>
      <c r="L28" s="27" t="n">
        <f aca="false">'New Qrtrly - Ind AS'!AQ61</f>
        <v>11.6013196743465</v>
      </c>
      <c r="M28" s="28" t="n">
        <f aca="false">IFERROR(('New Qrtrly - Ind AS'!AQ61-'New Qrtrly - Ind AS'!BV61)*100,"")</f>
        <v>92.6804645093965</v>
      </c>
      <c r="N28" s="25" t="n">
        <f aca="false">'New Qrtrly - Ind AS'!BV51</f>
        <v>5074.77277569676</v>
      </c>
      <c r="O28" s="25" t="n">
        <f aca="false">'New Qrtrly - Ind AS'!AQ51</f>
        <v>6820.65</v>
      </c>
      <c r="P28" s="26" t="n">
        <f aca="false">IFERROR('New Qrtrly - Ind AS'!AQ51/'New Qrtrly - Ind AS'!BV51-1,"")</f>
        <v>0.344030619984467</v>
      </c>
    </row>
    <row r="29" customFormat="false" ht="15" hidden="false" customHeight="false" outlineLevel="0" collapsed="false">
      <c r="A29" s="12" t="s">
        <v>164</v>
      </c>
      <c r="B29" s="25" t="n">
        <f aca="false">'New Qrtrly - Ind AS'!BW11</f>
        <v>46404</v>
      </c>
      <c r="C29" s="25" t="n">
        <f aca="false">'New Qrtrly - Ind AS'!AR11</f>
        <v>46404</v>
      </c>
      <c r="D29" s="26" t="n">
        <f aca="false">IFERROR('New Qrtrly - Ind AS'!AR11/'New Qrtrly - Ind AS'!BW11-1,"")</f>
        <v>0</v>
      </c>
      <c r="E29" s="25" t="n">
        <f aca="false">'New Qrtrly - Ind AS'!BW33</f>
        <v>90525.254061415</v>
      </c>
      <c r="F29" s="25" t="n">
        <f aca="false">'New Qrtrly - Ind AS'!AR33</f>
        <v>94786.7</v>
      </c>
      <c r="G29" s="26" t="n">
        <f aca="false">IFERROR('New Qrtrly - Ind AS'!AR33/'New Qrtrly - Ind AS'!BW33-1,"")</f>
        <v>0.0470746642223603</v>
      </c>
      <c r="H29" s="25" t="n">
        <f aca="false">'New Qrtrly - Ind AS'!BW40</f>
        <v>10680.9416615647</v>
      </c>
      <c r="I29" s="25" t="n">
        <f aca="false">'New Qrtrly - Ind AS'!AR40</f>
        <v>12114.3</v>
      </c>
      <c r="J29" s="26" t="n">
        <f aca="false">IFERROR('New Qrtrly - Ind AS'!AR40/'New Qrtrly - Ind AS'!BW40-1,"")</f>
        <v>0.134197749959935</v>
      </c>
      <c r="K29" s="27" t="n">
        <f aca="false">'New Qrtrly - Ind AS'!BW61</f>
        <v>11.7988530077125</v>
      </c>
      <c r="L29" s="27" t="n">
        <f aca="false">'New Qrtrly - Ind AS'!AR61</f>
        <v>12.780590525886</v>
      </c>
      <c r="M29" s="28" t="n">
        <f aca="false">IFERROR(('New Qrtrly - Ind AS'!AR61-'New Qrtrly - Ind AS'!BW61)*100,"")</f>
        <v>98.1737518173473</v>
      </c>
      <c r="N29" s="25" t="n">
        <f aca="false">'New Qrtrly - Ind AS'!BW51</f>
        <v>6069.65916309528</v>
      </c>
      <c r="O29" s="25" t="n">
        <f aca="false">'New Qrtrly - Ind AS'!AR51</f>
        <v>7617.4</v>
      </c>
      <c r="P29" s="26" t="n">
        <f aca="false">IFERROR('New Qrtrly - Ind AS'!AR51/'New Qrtrly - Ind AS'!BW51-1,"")</f>
        <v>0.254996334277761</v>
      </c>
    </row>
    <row r="30" customFormat="false" ht="15" hidden="false" customHeight="false" outlineLevel="0" collapsed="false">
      <c r="A30" s="12" t="s">
        <v>165</v>
      </c>
      <c r="B30" s="25" t="n">
        <f aca="false">'New Qrtrly - Ind AS'!BX11</f>
        <v>59176</v>
      </c>
      <c r="C30" s="25" t="n">
        <f aca="false">'New Qrtrly - Ind AS'!AS11</f>
        <v>59176</v>
      </c>
      <c r="D30" s="26" t="n">
        <f aca="false">IFERROR('New Qrtrly - Ind AS'!AS11/'New Qrtrly - Ind AS'!BX11-1,"")</f>
        <v>0</v>
      </c>
      <c r="E30" s="25" t="n">
        <f aca="false">'New Qrtrly - Ind AS'!BX33</f>
        <v>122688.436893113</v>
      </c>
      <c r="F30" s="25" t="n">
        <f aca="false">'New Qrtrly - Ind AS'!AS33</f>
        <v>119067.1</v>
      </c>
      <c r="G30" s="26" t="n">
        <f aca="false">IFERROR('New Qrtrly - Ind AS'!AS33/'New Qrtrly - Ind AS'!BX33-1,"")</f>
        <v>-0.0295165297139418</v>
      </c>
      <c r="H30" s="25" t="n">
        <f aca="false">'New Qrtrly - Ind AS'!BX40</f>
        <v>17366.2045145371</v>
      </c>
      <c r="I30" s="25" t="n">
        <f aca="false">'New Qrtrly - Ind AS'!AS40</f>
        <v>17909.6</v>
      </c>
      <c r="J30" s="26" t="n">
        <f aca="false">IFERROR('New Qrtrly - Ind AS'!AS40/'New Qrtrly - Ind AS'!BX40-1,"")</f>
        <v>0.0312903999839473</v>
      </c>
      <c r="K30" s="27" t="n">
        <f aca="false">'New Qrtrly - Ind AS'!BX61</f>
        <v>14.1547198369368</v>
      </c>
      <c r="L30" s="27" t="n">
        <f aca="false">'New Qrtrly - Ind AS'!AS61</f>
        <v>15.0416025921518</v>
      </c>
      <c r="M30" s="28" t="n">
        <f aca="false">IFERROR(('New Qrtrly - Ind AS'!AS61-'New Qrtrly - Ind AS'!BX61)*100,"")</f>
        <v>88.6882755215019</v>
      </c>
      <c r="N30" s="25" t="n">
        <f aca="false">'New Qrtrly - Ind AS'!BX51</f>
        <v>11322.1533859028</v>
      </c>
      <c r="O30" s="25" t="n">
        <f aca="false">'New Qrtrly - Ind AS'!AS51</f>
        <v>12561.075</v>
      </c>
      <c r="P30" s="26" t="n">
        <f aca="false">IFERROR('New Qrtrly - Ind AS'!AS51/'New Qrtrly - Ind AS'!BX51-1,"")</f>
        <v>0.109424556607734</v>
      </c>
    </row>
    <row r="31" customFormat="false" ht="15" hidden="false" customHeight="false" outlineLevel="0" collapsed="false">
      <c r="A31" s="12" t="s">
        <v>166</v>
      </c>
      <c r="B31" s="25" t="n">
        <f aca="false">'New Qrtrly - Ind AS'!BY11</f>
        <v>44238</v>
      </c>
      <c r="C31" s="25" t="n">
        <f aca="false">'New Qrtrly - Ind AS'!AT11</f>
        <v>44238</v>
      </c>
      <c r="D31" s="26" t="n">
        <f aca="false">IFERROR('New Qrtrly - Ind AS'!AT11/'New Qrtrly - Ind AS'!BY11-1,"")</f>
        <v>0</v>
      </c>
      <c r="E31" s="25" t="n">
        <f aca="false">'New Qrtrly - Ind AS'!BY33</f>
        <v>87230.3731648641</v>
      </c>
      <c r="F31" s="25" t="n">
        <f aca="false">'New Qrtrly - Ind AS'!AT33</f>
        <v>87245.1</v>
      </c>
      <c r="G31" s="26" t="n">
        <f aca="false">IFERROR('New Qrtrly - Ind AS'!AT33/'New Qrtrly - Ind AS'!BY33-1,"")</f>
        <v>0.000168826918899301</v>
      </c>
      <c r="H31" s="25" t="n">
        <f aca="false">'New Qrtrly - Ind AS'!BY40</f>
        <v>9685.11709831601</v>
      </c>
      <c r="I31" s="25" t="n">
        <f aca="false">'New Qrtrly - Ind AS'!AT40</f>
        <v>9695.5</v>
      </c>
      <c r="J31" s="26" t="n">
        <f aca="false">IFERROR('New Qrtrly - Ind AS'!AT40/'New Qrtrly - Ind AS'!BY40-1,"")</f>
        <v>0.00107204709851083</v>
      </c>
      <c r="K31" s="27" t="n">
        <f aca="false">'New Qrtrly - Ind AS'!BY61</f>
        <v>11.1029183378722</v>
      </c>
      <c r="L31" s="27" t="n">
        <f aca="false">'New Qrtrly - Ind AS'!AT61</f>
        <v>11.1129450249928</v>
      </c>
      <c r="M31" s="28" t="n">
        <f aca="false">IFERROR(('New Qrtrly - Ind AS'!AT61-'New Qrtrly - Ind AS'!BY61)*100,"")</f>
        <v>1.00266871206536</v>
      </c>
      <c r="N31" s="25" t="n">
        <f aca="false">'New Qrtrly - Ind AS'!BY51</f>
        <v>5883.58196882121</v>
      </c>
      <c r="O31" s="25" t="n">
        <f aca="false">'New Qrtrly - Ind AS'!AT51</f>
        <v>5937.3</v>
      </c>
      <c r="P31" s="26" t="n">
        <f aca="false">IFERROR('New Qrtrly - Ind AS'!AT51/'New Qrtrly - Ind AS'!BY51-1,"")</f>
        <v>0.00913015769363934</v>
      </c>
    </row>
    <row r="32" customFormat="false" ht="15" hidden="false" customHeight="false" outlineLevel="0" collapsed="false">
      <c r="A32" s="12" t="s">
        <v>167</v>
      </c>
      <c r="B32" s="25" t="n">
        <f aca="false">'New Qrtrly - Ind AS'!BZ11</f>
        <v>49116</v>
      </c>
      <c r="C32" s="25" t="n">
        <f aca="false">'New Qrtrly - Ind AS'!AU11</f>
        <v>49116</v>
      </c>
      <c r="D32" s="26" t="n">
        <f aca="false">IFERROR('New Qrtrly - Ind AS'!AU11/'New Qrtrly - Ind AS'!BZ11-1,"")</f>
        <v>0</v>
      </c>
      <c r="E32" s="25" t="n">
        <f aca="false">'New Qrtrly - Ind AS'!BZ33</f>
        <v>96381.0452538994</v>
      </c>
      <c r="F32" s="25" t="n">
        <f aca="false">'New Qrtrly - Ind AS'!AU33</f>
        <v>95881.8</v>
      </c>
      <c r="G32" s="26" t="n">
        <f aca="false">IFERROR('New Qrtrly - Ind AS'!AU33/'New Qrtrly - Ind AS'!BZ33-1,"")</f>
        <v>-0.0051799111805042</v>
      </c>
      <c r="H32" s="25" t="n">
        <f aca="false">'New Qrtrly - Ind AS'!BZ40</f>
        <v>11004.1220783769</v>
      </c>
      <c r="I32" s="25" t="n">
        <f aca="false">'New Qrtrly - Ind AS'!AU40</f>
        <v>11621.6</v>
      </c>
      <c r="J32" s="26" t="n">
        <f aca="false">IFERROR('New Qrtrly - Ind AS'!AU40/'New Qrtrly - Ind AS'!BZ40-1,"")</f>
        <v>0.056113328916662</v>
      </c>
      <c r="K32" s="27" t="n">
        <f aca="false">'New Qrtrly - Ind AS'!BZ61</f>
        <v>11.4173093364867</v>
      </c>
      <c r="L32" s="27" t="n">
        <f aca="false">'New Qrtrly - Ind AS'!AU61</f>
        <v>12.1207570154085</v>
      </c>
      <c r="M32" s="28" t="n">
        <f aca="false">IFERROR(('New Qrtrly - Ind AS'!AU61-'New Qrtrly - Ind AS'!BZ61)*100,"")</f>
        <v>70.3447678921844</v>
      </c>
      <c r="N32" s="25" t="n">
        <f aca="false">'New Qrtrly - Ind AS'!BZ51</f>
        <v>6449.88545486385</v>
      </c>
      <c r="O32" s="25" t="n">
        <f aca="false">'New Qrtrly - Ind AS'!AU51</f>
        <v>8010.59999999999</v>
      </c>
      <c r="P32" s="26" t="n">
        <f aca="false">IFERROR('New Qrtrly - Ind AS'!AU51/'New Qrtrly - Ind AS'!BZ51-1,"")</f>
        <v>0.241975544536099</v>
      </c>
    </row>
    <row r="33" customFormat="false" ht="15" hidden="false" customHeight="false" outlineLevel="0" collapsed="false">
      <c r="A33" s="12" t="s">
        <v>168</v>
      </c>
      <c r="B33" s="25" t="n">
        <f aca="false">'New Qrtrly - Ind AS'!CA11</f>
        <v>57625</v>
      </c>
      <c r="C33" s="25" t="n">
        <f aca="false">'New Qrtrly - Ind AS'!AV11</f>
        <v>57625</v>
      </c>
      <c r="D33" s="26" t="n">
        <f aca="false">IFERROR('New Qrtrly - Ind AS'!AV11/'New Qrtrly - Ind AS'!CA11-1,"")</f>
        <v>0</v>
      </c>
      <c r="E33" s="25" t="n">
        <f aca="false">'New Qrtrly - Ind AS'!CA33</f>
        <v>114180.034120755</v>
      </c>
      <c r="F33" s="25" t="n">
        <f aca="false">'New Qrtrly - Ind AS'!AV33</f>
        <v>115338.5</v>
      </c>
      <c r="G33" s="26" t="n">
        <f aca="false">IFERROR('New Qrtrly - Ind AS'!AV33/'New Qrtrly - Ind AS'!CA33-1,"")</f>
        <v>0.0101459584257952</v>
      </c>
      <c r="H33" s="25" t="n">
        <f aca="false">'New Qrtrly - Ind AS'!CA40</f>
        <v>14798.7696220529</v>
      </c>
      <c r="I33" s="25" t="n">
        <f aca="false">'New Qrtrly - Ind AS'!AV40</f>
        <v>15350.2</v>
      </c>
      <c r="J33" s="26" t="n">
        <f aca="false">IFERROR('New Qrtrly - Ind AS'!AV40/'New Qrtrly - Ind AS'!CA40-1,"")</f>
        <v>0.0372619070389042</v>
      </c>
      <c r="K33" s="27" t="n">
        <f aca="false">'New Qrtrly - Ind AS'!CA61</f>
        <v>12.9609083899922</v>
      </c>
      <c r="L33" s="27" t="n">
        <f aca="false">'New Qrtrly - Ind AS'!AV61</f>
        <v>13.3088257606957</v>
      </c>
      <c r="M33" s="28" t="n">
        <f aca="false">IFERROR(('New Qrtrly - Ind AS'!AV61-'New Qrtrly - Ind AS'!CA61)*100,"")</f>
        <v>34.7917370703474</v>
      </c>
      <c r="N33" s="25" t="n">
        <f aca="false">'New Qrtrly - Ind AS'!CA51</f>
        <v>9996.57721653968</v>
      </c>
      <c r="O33" s="25" t="n">
        <f aca="false">'New Qrtrly - Ind AS'!AV51</f>
        <v>10273.8</v>
      </c>
      <c r="P33" s="26" t="n">
        <f aca="false">IFERROR('New Qrtrly - Ind AS'!AV51/'New Qrtrly - Ind AS'!CA51-1,"")</f>
        <v>0.0277317703305131</v>
      </c>
    </row>
    <row r="34" customFormat="false" ht="15" hidden="false" customHeight="false" outlineLevel="0" collapsed="false">
      <c r="A34" s="12" t="s">
        <v>169</v>
      </c>
      <c r="B34" s="25" t="n">
        <f aca="false">'New Qrtrly - Ind AS'!CB11</f>
        <v>69458</v>
      </c>
      <c r="C34" s="25" t="n">
        <f aca="false">'New Qrtrly - Ind AS'!AW11</f>
        <v>69458</v>
      </c>
      <c r="D34" s="26" t="n">
        <f aca="false">IFERROR('New Qrtrly - Ind AS'!AW11/'New Qrtrly - Ind AS'!CB11-1,"")</f>
        <v>0</v>
      </c>
      <c r="E34" s="25" t="n">
        <f aca="false">'New Qrtrly - Ind AS'!CB33</f>
        <v>140899.479109683</v>
      </c>
      <c r="F34" s="25" t="n">
        <f aca="false">'New Qrtrly - Ind AS'!AW33</f>
        <v>141604.9</v>
      </c>
      <c r="G34" s="26" t="n">
        <f aca="false">IFERROR('New Qrtrly - Ind AS'!AW33/'New Qrtrly - Ind AS'!CB33-1,"")</f>
        <v>0.00500655428092522</v>
      </c>
      <c r="H34" s="25" t="n">
        <f aca="false">'New Qrtrly - Ind AS'!CB40</f>
        <v>19806.4572760532</v>
      </c>
      <c r="I34" s="25" t="n">
        <f aca="false">'New Qrtrly - Ind AS'!AW40</f>
        <v>20655.2</v>
      </c>
      <c r="J34" s="26" t="n">
        <f aca="false">IFERROR('New Qrtrly - Ind AS'!AW40/'New Qrtrly - Ind AS'!CB40-1,"")</f>
        <v>0.0428518190869465</v>
      </c>
      <c r="K34" s="27" t="n">
        <f aca="false">'New Qrtrly - Ind AS'!CB61</f>
        <v>14.0571543636686</v>
      </c>
      <c r="L34" s="27" t="n">
        <f aca="false">'New Qrtrly - Ind AS'!AW61</f>
        <v>14.586500890859</v>
      </c>
      <c r="M34" s="28" t="n">
        <f aca="false">IFERROR(('New Qrtrly - Ind AS'!AW61-'New Qrtrly - Ind AS'!CB61)*100,"")</f>
        <v>52.9346527190357</v>
      </c>
      <c r="N34" s="25" t="n">
        <f aca="false">'New Qrtrly - Ind AS'!CB51</f>
        <v>13774.8429570399</v>
      </c>
      <c r="O34" s="25" t="n">
        <f aca="false">'New Qrtrly - Ind AS'!AW51</f>
        <v>14047.2</v>
      </c>
      <c r="P34" s="26" t="n">
        <f aca="false">IFERROR('New Qrtrly - Ind AS'!AW51/'New Qrtrly - Ind AS'!CB51-1,"")</f>
        <v>0.0197720615624788</v>
      </c>
    </row>
    <row r="35" customFormat="false" ht="15" hidden="false" customHeight="false" outlineLevel="0" collapsed="false">
      <c r="A35" s="12" t="s">
        <v>170</v>
      </c>
      <c r="B35" s="25" t="n">
        <f aca="false">'New Qrtrly - Ind AS'!CC11</f>
        <v>48763</v>
      </c>
      <c r="C35" s="25" t="n">
        <f aca="false">'New Qrtrly - Ind AS'!AX11</f>
        <v>48763</v>
      </c>
      <c r="D35" s="26" t="n">
        <f aca="false">IFERROR('New Qrtrly - Ind AS'!AX11/'New Qrtrly - Ind AS'!CC11-1,"")</f>
        <v>0</v>
      </c>
      <c r="E35" s="25" t="n">
        <f aca="false">'New Qrtrly - Ind AS'!CC33</f>
        <v>98419.6052479628</v>
      </c>
      <c r="F35" s="25" t="n">
        <f aca="false">'New Qrtrly - Ind AS'!AX33</f>
        <v>96343.5</v>
      </c>
      <c r="G35" s="26" t="n">
        <f aca="false">IFERROR('New Qrtrly - Ind AS'!AX33/'New Qrtrly - Ind AS'!CC33-1,"")</f>
        <v>-0.0210944277080989</v>
      </c>
      <c r="H35" s="25" t="n">
        <f aca="false">'New Qrtrly - Ind AS'!CC40</f>
        <v>9576.45420645403</v>
      </c>
      <c r="I35" s="25" t="n">
        <f aca="false">'New Qrtrly - Ind AS'!AX40</f>
        <v>9695.3</v>
      </c>
      <c r="J35" s="26" t="n">
        <f aca="false">IFERROR('New Qrtrly - Ind AS'!AX40/'New Qrtrly - Ind AS'!CC40-1,"")</f>
        <v>0.0124102085159952</v>
      </c>
      <c r="K35" s="27" t="n">
        <f aca="false">'New Qrtrly - Ind AS'!CC61</f>
        <v>9.73023025476142</v>
      </c>
      <c r="L35" s="27" t="n">
        <f aca="false">'New Qrtrly - Ind AS'!AX61</f>
        <v>10.0632632196256</v>
      </c>
      <c r="M35" s="28" t="n">
        <f aca="false">IFERROR(('New Qrtrly - Ind AS'!AX61-'New Qrtrly - Ind AS'!CC61)*100,"")</f>
        <v>33.3032964864197</v>
      </c>
      <c r="N35" s="25" t="n">
        <f aca="false">'New Qrtrly - Ind AS'!CC51</f>
        <v>6004.84065484052</v>
      </c>
      <c r="O35" s="25" t="n">
        <f aca="false">'New Qrtrly - Ind AS'!AX51</f>
        <v>6091.1</v>
      </c>
      <c r="P35" s="26" t="n">
        <f aca="false">IFERROR('New Qrtrly - Ind AS'!AX51/'New Qrtrly - Ind AS'!CC51-1,"")</f>
        <v>0.0143649682177571</v>
      </c>
    </row>
  </sheetData>
  <mergeCells count="5">
    <mergeCell ref="B4:D4"/>
    <mergeCell ref="E4:G4"/>
    <mergeCell ref="H4:J4"/>
    <mergeCell ref="K4:M4"/>
    <mergeCell ref="N4:P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7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11.5078125" defaultRowHeight="15" zeroHeight="false" outlineLevelRow="0" outlineLevelCol="0"/>
  <cols>
    <col collapsed="false" customWidth="true" hidden="false" outlineLevel="0" max="1" min="1" style="20" width="40"/>
    <col collapsed="false" customWidth="true" hidden="false" outlineLevel="0" max="51" min="2" style="20" width="10.51"/>
  </cols>
  <sheetData>
    <row r="1" customFormat="false" ht="15" hidden="false" customHeight="true" outlineLevel="0" collapsed="false">
      <c r="A1" s="29"/>
      <c r="B1" s="30"/>
      <c r="C1" s="30"/>
      <c r="D1" s="30"/>
      <c r="E1" s="30"/>
      <c r="F1" s="30"/>
      <c r="G1" s="30"/>
      <c r="H1" s="30"/>
      <c r="I1" s="30"/>
      <c r="J1" s="30"/>
      <c r="K1" s="30"/>
      <c r="L1" s="30"/>
      <c r="M1" s="30"/>
      <c r="N1" s="30"/>
      <c r="O1" s="30"/>
      <c r="P1" s="30"/>
      <c r="Q1" s="30"/>
      <c r="R1" s="30"/>
      <c r="S1" s="30"/>
      <c r="T1" s="30"/>
      <c r="U1" s="30"/>
      <c r="V1" s="30"/>
      <c r="W1" s="30"/>
      <c r="X1" s="30"/>
      <c r="Y1" s="31" t="n">
        <f aca="false">+Y57</f>
        <v>1.68256519827992E-011</v>
      </c>
      <c r="Z1" s="32" t="n">
        <f aca="false">+Z31+Z34-Z37-(23279.2)</f>
        <v>0</v>
      </c>
      <c r="AA1" s="32" t="n">
        <f aca="false">+AA31+AA34-AA37-30757.301</f>
        <v>0</v>
      </c>
      <c r="AB1" s="30"/>
      <c r="AC1" s="32" t="n">
        <f aca="false">+AC31+AC34-AC37-23096.1</f>
        <v>0</v>
      </c>
      <c r="AD1" s="31" t="n">
        <f aca="false">+AD31+AD34-AD37</f>
        <v>17791.1</v>
      </c>
      <c r="AE1" s="32" t="n">
        <f aca="false">+AE31+AE34-AE37-22381</f>
        <v>0</v>
      </c>
      <c r="AF1" s="32" t="n">
        <f aca="false">+AF31+AF34-AF37-32504.3</f>
        <v>0</v>
      </c>
      <c r="AG1" s="30"/>
      <c r="AH1" s="31" t="n">
        <f aca="false">+AH18</f>
        <v>1986372.6530424</v>
      </c>
      <c r="AI1" s="31" t="n">
        <f aca="false">+AI18</f>
        <v>1996354.06034377</v>
      </c>
      <c r="AJ1" s="31" t="n">
        <f aca="false">+AJ18</f>
        <v>2021180.70441359</v>
      </c>
      <c r="AK1" s="31" t="n">
        <f aca="false">+AK18</f>
        <v>2039068.73627596</v>
      </c>
      <c r="AL1" s="31" t="n">
        <f aca="false">+AL18</f>
        <v>2061411.20809065</v>
      </c>
      <c r="AM1" s="33" t="s">
        <v>171</v>
      </c>
      <c r="AN1" s="33" t="s">
        <v>172</v>
      </c>
      <c r="AO1" s="33" t="s">
        <v>173</v>
      </c>
      <c r="AP1" s="33" t="s">
        <v>174</v>
      </c>
      <c r="AQ1" s="30"/>
      <c r="AR1" s="30"/>
      <c r="AS1" s="30"/>
      <c r="AT1" s="30"/>
      <c r="AU1" s="30"/>
      <c r="AV1" s="30"/>
      <c r="AW1" s="30"/>
      <c r="AX1" s="30"/>
      <c r="AY1" s="30"/>
    </row>
    <row r="2" customFormat="false" ht="15" hidden="false" customHeight="true" outlineLevel="0" collapsed="false">
      <c r="A2" s="29"/>
      <c r="B2" s="30"/>
      <c r="C2" s="30"/>
      <c r="D2" s="30"/>
      <c r="E2" s="30"/>
      <c r="F2" s="30"/>
      <c r="G2" s="30"/>
      <c r="H2" s="30"/>
      <c r="I2" s="30"/>
      <c r="J2" s="30"/>
      <c r="K2" s="30"/>
      <c r="L2" s="30"/>
      <c r="M2" s="30"/>
      <c r="N2" s="30"/>
      <c r="O2" s="30"/>
      <c r="P2" s="30"/>
      <c r="Q2" s="30"/>
      <c r="R2" s="30"/>
      <c r="S2" s="30"/>
      <c r="T2" s="30"/>
      <c r="U2" s="30"/>
      <c r="V2" s="30"/>
      <c r="W2" s="30"/>
      <c r="X2" s="30"/>
      <c r="Y2" s="30"/>
      <c r="Z2" s="31" t="n">
        <f aca="false">+Z207</f>
        <v>113296</v>
      </c>
      <c r="AA2" s="30"/>
      <c r="AB2" s="30"/>
      <c r="AC2" s="30"/>
      <c r="AD2" s="31" t="n">
        <f aca="false">+AD34+AD31-AD37</f>
        <v>17791.1</v>
      </c>
      <c r="AE2" s="31" t="n">
        <f aca="false">+AE34+AE31-AE37</f>
        <v>22381</v>
      </c>
      <c r="AF2" s="31" t="n">
        <f aca="false">+AF34+AF31-AF37</f>
        <v>32504.3</v>
      </c>
      <c r="AG2" s="32" t="n">
        <f aca="false">+AG31+AG34-AG37-36150.6</f>
        <v>0</v>
      </c>
      <c r="AH2" s="32" t="n">
        <f aca="false">+AH31+AH34-AH37-37931.3</f>
        <v>0</v>
      </c>
      <c r="AI2" s="30"/>
      <c r="AJ2" s="30"/>
      <c r="AK2" s="30"/>
      <c r="AL2" s="30"/>
      <c r="AM2" s="34" t="n">
        <v>18</v>
      </c>
      <c r="AN2" s="35" t="n">
        <f aca="false">+AVERAGE(AJ43:AK43)</f>
        <v>60694.8113590445</v>
      </c>
      <c r="AO2" s="35" t="n">
        <f aca="false">AVERAGE(AJ101:AK101)</f>
        <v>-81674.8081560778</v>
      </c>
      <c r="AP2" s="35" t="n">
        <f aca="false">+ROUND(((AM2*AN2-AO2)/AH78)/5,0)*5</f>
        <v>200</v>
      </c>
      <c r="AQ2" s="31" t="n">
        <f aca="false">+AP2/AP3-1+AJ119/AP3</f>
        <v>0.121498003030033</v>
      </c>
      <c r="AR2" s="31" t="n">
        <f aca="false">+ROUND(((AM2*AN2-AO2)/AH78)/1,0)*1</f>
        <v>200</v>
      </c>
      <c r="AS2" s="30"/>
      <c r="AT2" s="30"/>
      <c r="AU2" s="30"/>
      <c r="AV2" s="30"/>
      <c r="AW2" s="30"/>
      <c r="AX2" s="30"/>
      <c r="AY2" s="30"/>
    </row>
    <row r="3" customFormat="false" ht="15" hidden="false" customHeight="true" outlineLevel="0" collapsed="false">
      <c r="A3" s="29"/>
      <c r="B3" s="33" t="s">
        <v>175</v>
      </c>
      <c r="C3" s="33" t="s">
        <v>176</v>
      </c>
      <c r="D3" s="33" t="s">
        <v>177</v>
      </c>
      <c r="E3" s="33" t="s">
        <v>178</v>
      </c>
      <c r="F3" s="33" t="s">
        <v>179</v>
      </c>
      <c r="G3" s="33" t="s">
        <v>180</v>
      </c>
      <c r="H3" s="33" t="s">
        <v>181</v>
      </c>
      <c r="I3" s="33" t="s">
        <v>182</v>
      </c>
      <c r="J3" s="33" t="s">
        <v>183</v>
      </c>
      <c r="K3" s="33" t="s">
        <v>184</v>
      </c>
      <c r="L3" s="33" t="s">
        <v>185</v>
      </c>
      <c r="M3" s="33" t="s">
        <v>186</v>
      </c>
      <c r="N3" s="33" t="s">
        <v>187</v>
      </c>
      <c r="O3" s="33" t="s">
        <v>188</v>
      </c>
      <c r="P3" s="33" t="s">
        <v>189</v>
      </c>
      <c r="Q3" s="33" t="s">
        <v>190</v>
      </c>
      <c r="R3" s="33" t="s">
        <v>191</v>
      </c>
      <c r="S3" s="33" t="s">
        <v>192</v>
      </c>
      <c r="T3" s="33" t="s">
        <v>193</v>
      </c>
      <c r="U3" s="33" t="s">
        <v>194</v>
      </c>
      <c r="V3" s="33" t="s">
        <v>195</v>
      </c>
      <c r="W3" s="33" t="s">
        <v>196</v>
      </c>
      <c r="X3" s="33" t="s">
        <v>197</v>
      </c>
      <c r="Y3" s="33" t="s">
        <v>198</v>
      </c>
      <c r="Z3" s="33" t="s">
        <v>199</v>
      </c>
      <c r="AA3" s="33" t="s">
        <v>200</v>
      </c>
      <c r="AB3" s="33" t="s">
        <v>201</v>
      </c>
      <c r="AC3" s="33" t="s">
        <v>202</v>
      </c>
      <c r="AD3" s="33" t="s">
        <v>203</v>
      </c>
      <c r="AE3" s="33" t="s">
        <v>204</v>
      </c>
      <c r="AF3" s="33" t="s">
        <v>205</v>
      </c>
      <c r="AG3" s="33" t="s">
        <v>206</v>
      </c>
      <c r="AH3" s="33" t="s">
        <v>207</v>
      </c>
      <c r="AI3" s="33" t="s">
        <v>208</v>
      </c>
      <c r="AJ3" s="33" t="s">
        <v>209</v>
      </c>
      <c r="AK3" s="33" t="s">
        <v>210</v>
      </c>
      <c r="AL3" s="33" t="s">
        <v>211</v>
      </c>
      <c r="AM3" s="36"/>
      <c r="AN3" s="36"/>
      <c r="AO3" s="33" t="s">
        <v>212</v>
      </c>
      <c r="AP3" s="37" t="n">
        <v>181.3</v>
      </c>
      <c r="AQ3" s="36"/>
      <c r="AR3" s="36"/>
      <c r="AS3" s="36"/>
      <c r="AT3" s="36"/>
      <c r="AU3" s="36"/>
      <c r="AV3" s="36"/>
      <c r="AW3" s="36"/>
      <c r="AX3" s="36"/>
      <c r="AY3" s="36"/>
    </row>
    <row r="4" customFormat="false" ht="15" hidden="false" customHeight="true" outlineLevel="0" collapsed="false">
      <c r="A4" s="38" t="s">
        <v>213</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40" t="s">
        <v>214</v>
      </c>
      <c r="AP4" s="41" t="n">
        <v>165</v>
      </c>
      <c r="AQ4" s="42" t="n">
        <f aca="false">+AP2/AP4-1</f>
        <v>0.212121212121212</v>
      </c>
      <c r="AR4" s="39"/>
      <c r="AS4" s="39"/>
      <c r="AT4" s="39"/>
      <c r="AU4" s="39"/>
      <c r="AV4" s="39"/>
      <c r="AW4" s="39"/>
      <c r="AX4" s="39"/>
      <c r="AY4" s="39"/>
    </row>
    <row r="5" customFormat="false" ht="15" hidden="false" customHeight="true" outlineLevel="0" collapsed="false">
      <c r="A5" s="29"/>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4" t="n">
        <f aca="false">145/130-1</f>
        <v>0.115384615384615</v>
      </c>
      <c r="AQ5" s="43"/>
      <c r="AR5" s="43"/>
      <c r="AS5" s="43"/>
      <c r="AT5" s="43"/>
      <c r="AU5" s="43"/>
      <c r="AV5" s="43"/>
      <c r="AW5" s="43"/>
      <c r="AX5" s="43"/>
      <c r="AY5" s="43"/>
    </row>
    <row r="6" customFormat="false" ht="15" hidden="false" customHeight="true" outlineLevel="0" collapsed="false">
      <c r="A6" s="38" t="s">
        <v>215</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6" t="n">
        <f aca="false">+AE8/12</f>
        <v>10693.8333333333</v>
      </c>
      <c r="AF6" s="46" t="n">
        <f aca="false">+AF8/12</f>
        <v>16017.0833333333</v>
      </c>
      <c r="AG6" s="46" t="n">
        <f aca="false">+AG8/12</f>
        <v>16223.5833333333</v>
      </c>
      <c r="AH6" s="46" t="n">
        <f aca="false">+AH8/12</f>
        <v>16257.75</v>
      </c>
      <c r="AI6" s="46" t="n">
        <f aca="false">+AI8/12</f>
        <v>18369.75</v>
      </c>
      <c r="AJ6" s="46" t="n">
        <f aca="false">+AJ8/12</f>
        <v>19782.97</v>
      </c>
      <c r="AK6" s="46" t="n">
        <f aca="false">+AK8/12</f>
        <v>21182.6576</v>
      </c>
      <c r="AL6" s="46" t="n">
        <f aca="false">+AL8/12</f>
        <v>22525.657056</v>
      </c>
      <c r="AM6" s="45"/>
      <c r="AN6" s="45"/>
      <c r="AO6" s="45"/>
      <c r="AP6" s="45"/>
      <c r="AQ6" s="45"/>
      <c r="AR6" s="45"/>
      <c r="AS6" s="45"/>
      <c r="AT6" s="45"/>
      <c r="AU6" s="45"/>
      <c r="AV6" s="45"/>
      <c r="AW6" s="45"/>
      <c r="AX6" s="45"/>
      <c r="AY6" s="45"/>
    </row>
    <row r="7" customFormat="false" ht="15" hidden="false" customHeight="true" outlineLevel="0" collapsed="false">
      <c r="A7" s="47" t="s">
        <v>216</v>
      </c>
      <c r="B7" s="33" t="s">
        <v>175</v>
      </c>
      <c r="C7" s="33" t="s">
        <v>176</v>
      </c>
      <c r="D7" s="33" t="s">
        <v>177</v>
      </c>
      <c r="E7" s="33" t="s">
        <v>217</v>
      </c>
      <c r="F7" s="33" t="s">
        <v>218</v>
      </c>
      <c r="G7" s="33" t="s">
        <v>219</v>
      </c>
      <c r="H7" s="33" t="s">
        <v>220</v>
      </c>
      <c r="I7" s="33" t="s">
        <v>182</v>
      </c>
      <c r="J7" s="33" t="s">
        <v>183</v>
      </c>
      <c r="K7" s="33" t="s">
        <v>184</v>
      </c>
      <c r="L7" s="33" t="s">
        <v>221</v>
      </c>
      <c r="M7" s="33" t="s">
        <v>186</v>
      </c>
      <c r="N7" s="33" t="s">
        <v>222</v>
      </c>
      <c r="O7" s="33" t="s">
        <v>223</v>
      </c>
      <c r="P7" s="33" t="s">
        <v>224</v>
      </c>
      <c r="Q7" s="33" t="s">
        <v>190</v>
      </c>
      <c r="R7" s="33" t="s">
        <v>191</v>
      </c>
      <c r="S7" s="33" t="s">
        <v>192</v>
      </c>
      <c r="T7" s="33" t="s">
        <v>193</v>
      </c>
      <c r="U7" s="33" t="s">
        <v>194</v>
      </c>
      <c r="V7" s="48" t="str">
        <f aca="false">+V3</f>
        <v>FY2013</v>
      </c>
      <c r="W7" s="48" t="str">
        <f aca="false">+W3</f>
        <v>FY2014</v>
      </c>
      <c r="X7" s="48" t="str">
        <f aca="false">+X3</f>
        <v>FY2015</v>
      </c>
      <c r="Y7" s="48" t="str">
        <f aca="false">+Y3</f>
        <v>FY2016</v>
      </c>
      <c r="Z7" s="48" t="str">
        <f aca="false">+Z3</f>
        <v>FY2017</v>
      </c>
      <c r="AA7" s="48" t="str">
        <f aca="false">+AA3</f>
        <v>FY2018</v>
      </c>
      <c r="AB7" s="48" t="str">
        <f aca="false">+AB3</f>
        <v>FY2019</v>
      </c>
      <c r="AC7" s="48" t="str">
        <f aca="false">+AC3</f>
        <v>FY2020</v>
      </c>
      <c r="AD7" s="48" t="str">
        <f aca="false">+AD3</f>
        <v>FY2021</v>
      </c>
      <c r="AE7" s="48" t="str">
        <f aca="false">+AE3</f>
        <v>FY2022</v>
      </c>
      <c r="AF7" s="48" t="str">
        <f aca="false">+AF3</f>
        <v>FY2023</v>
      </c>
      <c r="AG7" s="48" t="str">
        <f aca="false">+AG3</f>
        <v>FY2024</v>
      </c>
      <c r="AH7" s="48" t="str">
        <f aca="false">+AH3</f>
        <v>FY2025</v>
      </c>
      <c r="AI7" s="48" t="str">
        <f aca="false">+AI3</f>
        <v>FY2026</v>
      </c>
      <c r="AJ7" s="48" t="str">
        <f aca="false">+AJ3</f>
        <v>FY2027E</v>
      </c>
      <c r="AK7" s="48" t="str">
        <f aca="false">+AK3</f>
        <v>FY2028E</v>
      </c>
      <c r="AL7" s="48" t="str">
        <f aca="false">+AL3</f>
        <v>FY2029E</v>
      </c>
      <c r="AM7" s="43"/>
      <c r="AN7" s="43"/>
      <c r="AO7" s="43"/>
      <c r="AP7" s="43"/>
      <c r="AQ7" s="43"/>
      <c r="AR7" s="43"/>
      <c r="AS7" s="43"/>
      <c r="AT7" s="43"/>
      <c r="AU7" s="43"/>
      <c r="AV7" s="43"/>
      <c r="AW7" s="43"/>
      <c r="AX7" s="43"/>
      <c r="AY7" s="43"/>
    </row>
    <row r="8" customFormat="false" ht="15" hidden="false" customHeight="true" outlineLevel="0" collapsed="false">
      <c r="A8" s="47" t="s">
        <v>225</v>
      </c>
      <c r="B8" s="35" t="n">
        <f aca="false">+B281</f>
        <v>20571</v>
      </c>
      <c r="C8" s="35" t="n">
        <f aca="false">+C281</f>
        <v>24226</v>
      </c>
      <c r="D8" s="35" t="n">
        <f aca="false">+D281</f>
        <v>30410</v>
      </c>
      <c r="E8" s="35" t="n">
        <f aca="false">+E281</f>
        <v>37399</v>
      </c>
      <c r="F8" s="35" t="n">
        <f aca="false">+F281</f>
        <v>43352</v>
      </c>
      <c r="G8" s="35" t="n">
        <f aca="false">+G281</f>
        <v>31547</v>
      </c>
      <c r="H8" s="35" t="n">
        <f aca="false">+H281</f>
        <v>29741</v>
      </c>
      <c r="I8" s="35" t="n">
        <f aca="false">+I281</f>
        <v>37859</v>
      </c>
      <c r="J8" s="35" t="n">
        <f aca="false">+J281</f>
        <v>32475</v>
      </c>
      <c r="K8" s="35" t="n">
        <f aca="false">+K281</f>
        <v>29673</v>
      </c>
      <c r="L8" s="35" t="n">
        <f aca="false">+L281</f>
        <v>36444</v>
      </c>
      <c r="M8" s="35" t="n">
        <f aca="false">+M281</f>
        <v>48654</v>
      </c>
      <c r="N8" s="35" t="n">
        <f aca="false">+N281</f>
        <v>54740</v>
      </c>
      <c r="O8" s="35" t="n">
        <f aca="false">+O281</f>
        <v>61655</v>
      </c>
      <c r="P8" s="35" t="n">
        <f aca="false">+P281</f>
        <v>83091</v>
      </c>
      <c r="Q8" s="35" t="n">
        <f aca="false">+Q281</f>
        <v>83309</v>
      </c>
      <c r="R8" s="35" t="n">
        <f aca="false">+R281</f>
        <v>54431</v>
      </c>
      <c r="S8" s="35" t="n">
        <f aca="false">+S281</f>
        <v>63926</v>
      </c>
      <c r="T8" s="35" t="n">
        <f aca="false">+T281</f>
        <v>94106</v>
      </c>
      <c r="U8" s="35" t="n">
        <f aca="false">+U281+U288</f>
        <v>101990</v>
      </c>
      <c r="V8" s="35" t="n">
        <f aca="false">+V281+V288</f>
        <v>114611</v>
      </c>
      <c r="W8" s="35" t="n">
        <f aca="false">+W281+W288</f>
        <v>89337</v>
      </c>
      <c r="X8" s="35" t="n">
        <f aca="false">+X281+X288</f>
        <v>104902</v>
      </c>
      <c r="Y8" s="35" t="n">
        <f aca="false">+Y281+Y288</f>
        <v>140457</v>
      </c>
      <c r="Z8" s="35" t="n">
        <f aca="false">+Z281+Z288</f>
        <v>145066</v>
      </c>
      <c r="AA8" s="35" t="n">
        <f aca="false">+AA281+AA288</f>
        <v>174873</v>
      </c>
      <c r="AB8" s="35" t="n">
        <f aca="false">+AB281+AB288</f>
        <v>197366</v>
      </c>
      <c r="AC8" s="35" t="n">
        <f aca="false">+AC281+AC288</f>
        <v>125253</v>
      </c>
      <c r="AD8" s="35" t="n">
        <f aca="false">+AD281+AD288</f>
        <v>100715</v>
      </c>
      <c r="AE8" s="35" t="n">
        <f aca="false">+AE281+AE288</f>
        <v>128326</v>
      </c>
      <c r="AF8" s="35" t="n">
        <f aca="false">+AF281+AF288</f>
        <v>192205</v>
      </c>
      <c r="AG8" s="35" t="n">
        <f aca="false">+AG281+AG288</f>
        <v>194683</v>
      </c>
      <c r="AH8" s="35" t="n">
        <f aca="false">+AH281+AH288</f>
        <v>195093</v>
      </c>
      <c r="AI8" s="35" t="n">
        <f aca="false">+AI281+AI288</f>
        <v>220437</v>
      </c>
      <c r="AJ8" s="35" t="n">
        <f aca="false">+AJ281+AJ288</f>
        <v>237395.64</v>
      </c>
      <c r="AK8" s="35" t="n">
        <f aca="false">+AK281+AK288</f>
        <v>254191.8912</v>
      </c>
      <c r="AL8" s="35" t="n">
        <f aca="false">+AL281+AL288</f>
        <v>270307.884672</v>
      </c>
      <c r="AM8" s="30"/>
      <c r="AN8" s="30"/>
      <c r="AO8" s="30"/>
      <c r="AP8" s="30"/>
      <c r="AQ8" s="30"/>
      <c r="AR8" s="30"/>
      <c r="AS8" s="30"/>
      <c r="AT8" s="30"/>
      <c r="AU8" s="30"/>
      <c r="AV8" s="30"/>
      <c r="AW8" s="30"/>
      <c r="AX8" s="30"/>
      <c r="AY8" s="30"/>
    </row>
    <row r="9" customFormat="false" ht="15" hidden="false" customHeight="true" outlineLevel="0" collapsed="false">
      <c r="A9" s="29" t="s">
        <v>226</v>
      </c>
      <c r="B9" s="36"/>
      <c r="C9" s="49" t="n">
        <f aca="false">C8/B8*100-100</f>
        <v>17.7677312721793</v>
      </c>
      <c r="D9" s="49" t="n">
        <f aca="false">D8/C8*100-100</f>
        <v>25.5262940642285</v>
      </c>
      <c r="E9" s="49" t="n">
        <f aca="false">E8/D8*100-100</f>
        <v>22.9825715225255</v>
      </c>
      <c r="F9" s="49" t="n">
        <f aca="false">F8/E8*100-100</f>
        <v>15.9175379020829</v>
      </c>
      <c r="G9" s="49" t="n">
        <f aca="false">G8/F8*100-100</f>
        <v>-27.2305775973427</v>
      </c>
      <c r="H9" s="49" t="n">
        <f aca="false">H8/G8*100-100</f>
        <v>-5.72479158081592</v>
      </c>
      <c r="I9" s="49" t="n">
        <f aca="false">I8/H8*100-100</f>
        <v>27.2956524662923</v>
      </c>
      <c r="J9" s="49" t="n">
        <f aca="false">J8/I8*100-100</f>
        <v>-14.2211891492115</v>
      </c>
      <c r="K9" s="49" t="n">
        <f aca="false">K8/J8*100-100</f>
        <v>-8.62817551963049</v>
      </c>
      <c r="L9" s="49" t="n">
        <f aca="false">L8/K8*100-100</f>
        <v>22.8187240926094</v>
      </c>
      <c r="M9" s="49" t="n">
        <f aca="false">M8/L8*100-100</f>
        <v>33.5034573592361</v>
      </c>
      <c r="N9" s="49" t="n">
        <f aca="false">N8/M8*100-100</f>
        <v>12.5087351502446</v>
      </c>
      <c r="O9" s="49" t="n">
        <f aca="false">O8/N8*100-100</f>
        <v>12.6324442820606</v>
      </c>
      <c r="P9" s="49" t="n">
        <f aca="false">P8/O8*100-100</f>
        <v>34.7676587462493</v>
      </c>
      <c r="Q9" s="49" t="n">
        <f aca="false">Q8/P8*100-100</f>
        <v>0.262362951462848</v>
      </c>
      <c r="R9" s="49" t="n">
        <f aca="false">R8/Q8*100-100</f>
        <v>-34.6637218067676</v>
      </c>
      <c r="S9" s="49" t="n">
        <f aca="false">S8/R8*100-100</f>
        <v>17.4441035439364</v>
      </c>
      <c r="T9" s="49" t="n">
        <f aca="false">T8/S8*100-100</f>
        <v>47.2108375308951</v>
      </c>
      <c r="U9" s="49" t="n">
        <f aca="false">U8/T8*100-100</f>
        <v>8.37778675111045</v>
      </c>
      <c r="V9" s="49" t="n">
        <f aca="false">V8/U8*100-100</f>
        <v>12.3747426218257</v>
      </c>
      <c r="W9" s="49" t="n">
        <f aca="false">W8/V8*100-100</f>
        <v>-22.0519845390059</v>
      </c>
      <c r="X9" s="49" t="n">
        <f aca="false">X8/W8*100-100</f>
        <v>17.4227923480753</v>
      </c>
      <c r="Y9" s="49" t="n">
        <f aca="false">Y8/X8*100-100</f>
        <v>33.8935387313874</v>
      </c>
      <c r="Z9" s="49" t="n">
        <f aca="false">Z8/Y8*100-100</f>
        <v>3.28143132773731</v>
      </c>
      <c r="AA9" s="49" t="n">
        <f aca="false">AA8/Z8*100-100</f>
        <v>20.5471992058787</v>
      </c>
      <c r="AB9" s="49" t="n">
        <f aca="false">AB8/AA8*100-100</f>
        <v>12.8624773406987</v>
      </c>
      <c r="AC9" s="49" t="n">
        <f aca="false">AC8/AB8*100-100</f>
        <v>-36.5377015291388</v>
      </c>
      <c r="AD9" s="49" t="n">
        <f aca="false">AD8/AC8*100-100</f>
        <v>-19.5907483253894</v>
      </c>
      <c r="AE9" s="49" t="n">
        <f aca="false">AE8/AD8*100-100</f>
        <v>27.4149828724619</v>
      </c>
      <c r="AF9" s="49" t="n">
        <f aca="false">AF8/AE8*100-100</f>
        <v>49.7786886523386</v>
      </c>
      <c r="AG9" s="49" t="n">
        <f aca="false">AG8/AF8*100-100</f>
        <v>1.28924845867692</v>
      </c>
      <c r="AH9" s="49" t="n">
        <f aca="false">AH8/AG8*100-100</f>
        <v>0.210598768254044</v>
      </c>
      <c r="AI9" s="49" t="n">
        <f aca="false">AI8/AH8*100-100</f>
        <v>12.9907274991927</v>
      </c>
      <c r="AJ9" s="49" t="n">
        <f aca="false">AJ8/AI8*100-100</f>
        <v>7.69319125192232</v>
      </c>
      <c r="AK9" s="49" t="n">
        <f aca="false">AK8/AJ8*100-100</f>
        <v>7.07521469223276</v>
      </c>
      <c r="AL9" s="49" t="n">
        <f aca="false">AL8/AK8*100-100</f>
        <v>6.34008952682122</v>
      </c>
      <c r="AM9" s="36"/>
      <c r="AN9" s="36"/>
      <c r="AO9" s="36"/>
      <c r="AP9" s="36"/>
      <c r="AQ9" s="36"/>
      <c r="AR9" s="36"/>
      <c r="AS9" s="36"/>
      <c r="AT9" s="36"/>
      <c r="AU9" s="36"/>
      <c r="AV9" s="36"/>
      <c r="AW9" s="36"/>
      <c r="AX9" s="36"/>
      <c r="AY9" s="36"/>
    </row>
    <row r="10" customFormat="false" ht="15" hidden="false" customHeight="true" outlineLevel="0" collapsed="false">
      <c r="A10" s="47" t="s">
        <v>227</v>
      </c>
      <c r="B10" s="35" t="n">
        <f aca="false">+B327</f>
        <v>9544.37</v>
      </c>
      <c r="C10" s="35" t="n">
        <f aca="false">+C327</f>
        <v>11812.94</v>
      </c>
      <c r="D10" s="35" t="n">
        <f aca="false">+D327</f>
        <v>15132.92</v>
      </c>
      <c r="E10" s="35" t="n">
        <f aca="false">+E327</f>
        <v>20097.02</v>
      </c>
      <c r="F10" s="35" t="n">
        <f aca="false">+F327</f>
        <v>24824.51</v>
      </c>
      <c r="G10" s="35" t="n">
        <f aca="false">+G327</f>
        <v>20142.801576</v>
      </c>
      <c r="H10" s="35" t="n">
        <f aca="false">+H327</f>
        <v>20450.478378296</v>
      </c>
      <c r="I10" s="35" t="n">
        <f aca="false">+I327</f>
        <v>25987.18</v>
      </c>
      <c r="J10" s="35" t="n">
        <f aca="false">+J327</f>
        <v>26066.63</v>
      </c>
      <c r="K10" s="35" t="n">
        <f aca="false">+K327</f>
        <v>26304.48</v>
      </c>
      <c r="L10" s="35" t="n">
        <f aca="false">+L327</f>
        <v>30739.95</v>
      </c>
      <c r="M10" s="35" t="n">
        <f aca="false">+M327</f>
        <v>39272.73</v>
      </c>
      <c r="N10" s="35" t="n">
        <f aca="false">+N327</f>
        <v>48112.82</v>
      </c>
      <c r="O10" s="35" t="n">
        <f aca="false">+O327</f>
        <v>60531.08</v>
      </c>
      <c r="P10" s="35" t="n">
        <f aca="false">+P327</f>
        <v>83047.17</v>
      </c>
      <c r="Q10" s="35" t="n">
        <f aca="false">+Q327</f>
        <v>89336.9</v>
      </c>
      <c r="R10" s="35" t="n">
        <f aca="false">+R327</f>
        <v>66666.401</v>
      </c>
      <c r="S10" s="35" t="n">
        <f aca="false">+S327</f>
        <v>78725.974</v>
      </c>
      <c r="T10" s="35" t="n">
        <f aca="false">+T327</f>
        <v>120936.068</v>
      </c>
      <c r="U10" s="35" t="n">
        <f aca="false">+U327</f>
        <v>136469.116</v>
      </c>
      <c r="V10" s="35" t="n">
        <f aca="false">+V327</f>
        <v>132985.589</v>
      </c>
      <c r="W10" s="35" t="n">
        <f aca="false">+W327</f>
        <v>105608.453</v>
      </c>
      <c r="X10" s="35" t="n">
        <f aca="false">+X327</f>
        <v>144859.335</v>
      </c>
      <c r="Y10" s="35" t="n">
        <f aca="false">+Y327</f>
        <v>199929.742</v>
      </c>
      <c r="Z10" s="35" t="n">
        <f aca="false">+Z327</f>
        <v>213316.691</v>
      </c>
      <c r="AA10" s="35" t="n">
        <f aca="false">+AA327</f>
        <v>265245.119</v>
      </c>
      <c r="AB10" s="35" t="n">
        <f aca="false">+AB327</f>
        <v>290549.5</v>
      </c>
      <c r="AC10" s="35" t="n">
        <f aca="false">+AC327</f>
        <v>174674.7</v>
      </c>
      <c r="AD10" s="35" t="n">
        <f aca="false">+AD327</f>
        <v>153014.5</v>
      </c>
      <c r="AE10" s="35" t="n">
        <f aca="false">+AE327</f>
        <v>216882.9</v>
      </c>
      <c r="AF10" s="35" t="n">
        <f aca="false">+AF327</f>
        <v>361441.4</v>
      </c>
      <c r="AG10" s="35" t="n">
        <f aca="false">+AG327</f>
        <v>383670.3</v>
      </c>
      <c r="AH10" s="35" t="n">
        <f aca="false">+AH327</f>
        <v>387527.4</v>
      </c>
      <c r="AI10" s="35" t="n">
        <f aca="false">+AI327</f>
        <v>440070.3</v>
      </c>
      <c r="AJ10" s="35" t="n">
        <f aca="false">+AJ327</f>
        <v>479819.486879914</v>
      </c>
      <c r="AK10" s="35" t="n">
        <f aca="false">+AK327</f>
        <v>518314.738360781</v>
      </c>
      <c r="AL10" s="35" t="n">
        <f aca="false">+AL327</f>
        <v>557215.703098136</v>
      </c>
      <c r="AM10" s="30"/>
      <c r="AN10" s="30"/>
      <c r="AO10" s="34" t="n">
        <v>33236</v>
      </c>
      <c r="AP10" s="30"/>
      <c r="AQ10" s="30"/>
      <c r="AR10" s="30"/>
      <c r="AS10" s="30"/>
      <c r="AT10" s="30"/>
      <c r="AU10" s="30"/>
      <c r="AV10" s="30"/>
      <c r="AW10" s="30"/>
      <c r="AX10" s="30"/>
      <c r="AY10" s="30"/>
    </row>
    <row r="11" customFormat="false" ht="15" hidden="false" customHeight="true" outlineLevel="0" collapsed="false">
      <c r="A11" s="29" t="s">
        <v>226</v>
      </c>
      <c r="B11" s="30"/>
      <c r="C11" s="31" t="n">
        <f aca="false">C10/B10*100-100</f>
        <v>23.7686720024475</v>
      </c>
      <c r="D11" s="31" t="n">
        <f aca="false">D10/C10*100-100</f>
        <v>28.1046039343296</v>
      </c>
      <c r="E11" s="31" t="n">
        <f aca="false">E10/D10*100-100</f>
        <v>32.8033188571671</v>
      </c>
      <c r="F11" s="31" t="n">
        <f aca="false">F10/E10*100-100</f>
        <v>23.5233382859747</v>
      </c>
      <c r="G11" s="31" t="n">
        <f aca="false">G10/F10*100-100</f>
        <v>-18.859217861702</v>
      </c>
      <c r="H11" s="31" t="n">
        <f aca="false">H10/G10*100-100</f>
        <v>1.52747770033437</v>
      </c>
      <c r="I11" s="31" t="n">
        <f aca="false">I10/H10*100-100</f>
        <v>27.073702234663</v>
      </c>
      <c r="J11" s="31" t="n">
        <f aca="false">J10/I10*100-100</f>
        <v>0.305727670335926</v>
      </c>
      <c r="K11" s="31" t="n">
        <f aca="false">K10/J10*100-100</f>
        <v>0.91246931421513</v>
      </c>
      <c r="L11" s="31" t="n">
        <f aca="false">L10/K10*100-100</f>
        <v>16.8620326271419</v>
      </c>
      <c r="M11" s="31" t="n">
        <f aca="false">M10/L10*100-100</f>
        <v>27.7579501593203</v>
      </c>
      <c r="N11" s="31" t="n">
        <f aca="false">N10/M10*100-100</f>
        <v>22.5094868627671</v>
      </c>
      <c r="O11" s="31" t="n">
        <f aca="false">O10/N10*100-100</f>
        <v>25.8107090792018</v>
      </c>
      <c r="P11" s="31" t="n">
        <f aca="false">P10/O10*100-100</f>
        <v>37.1975685879056</v>
      </c>
      <c r="Q11" s="31" t="n">
        <f aca="false">Q10/P10*100-100</f>
        <v>7.5736837269711</v>
      </c>
      <c r="R11" s="31" t="n">
        <f aca="false">R10/Q10*100-100</f>
        <v>-25.3764110910497</v>
      </c>
      <c r="S11" s="31" t="n">
        <f aca="false">S10/R10*100-100</f>
        <v>18.0894315863849</v>
      </c>
      <c r="T11" s="31" t="n">
        <f aca="false">T10/S10*100-100</f>
        <v>53.6164773267842</v>
      </c>
      <c r="U11" s="31" t="n">
        <f aca="false">U10/T10*100-100</f>
        <v>12.8440160630987</v>
      </c>
      <c r="V11" s="31" t="n">
        <f aca="false">V10/U10*100-100</f>
        <v>-2.55261197705714</v>
      </c>
      <c r="W11" s="31" t="n">
        <f aca="false">W10/V10*100-100</f>
        <v>-20.5865434035864</v>
      </c>
      <c r="X11" s="31" t="n">
        <f aca="false">X10/W10*100-100</f>
        <v>37.1664207598989</v>
      </c>
      <c r="Y11" s="31" t="n">
        <f aca="false">Y10/X10*100-100</f>
        <v>38.0164709440368</v>
      </c>
      <c r="Z11" s="31" t="n">
        <f aca="false">Z10/Y10*100-100</f>
        <v>6.69582667695335</v>
      </c>
      <c r="AA11" s="31" t="n">
        <f aca="false">AA10/Z10*100-100</f>
        <v>24.3433496725298</v>
      </c>
      <c r="AB11" s="31" t="n">
        <f aca="false">AB10/AA10*100-100</f>
        <v>9.53999873603706</v>
      </c>
      <c r="AC11" s="31" t="n">
        <f aca="false">AC10/AB10*100-100</f>
        <v>-39.8812594755799</v>
      </c>
      <c r="AD11" s="31" t="n">
        <f aca="false">AD10/AC10*100-100</f>
        <v>-12.4003075431073</v>
      </c>
      <c r="AE11" s="31" t="n">
        <f aca="false">AE10/AD10*100-100</f>
        <v>41.7400965267998</v>
      </c>
      <c r="AF11" s="31" t="n">
        <f aca="false">AF10/AE10*100-100</f>
        <v>66.6527882096744</v>
      </c>
      <c r="AG11" s="31" t="n">
        <f aca="false">AG10/AF10*100-100</f>
        <v>6.15007024651852</v>
      </c>
      <c r="AH11" s="31" t="n">
        <f aca="false">AH10/AG10*100-100</f>
        <v>1.00531628327761</v>
      </c>
      <c r="AI11" s="31" t="n">
        <f aca="false">AI10/AH10*100-100</f>
        <v>13.558499347401</v>
      </c>
      <c r="AJ11" s="31" t="n">
        <f aca="false">AJ10/AI10*100-100</f>
        <v>9.03246296782898</v>
      </c>
      <c r="AK11" s="31" t="n">
        <f aca="false">AK10/AJ10*100-100</f>
        <v>8.02286120790694</v>
      </c>
      <c r="AL11" s="31" t="n">
        <f aca="false">AL10/AK10*100-100</f>
        <v>7.50527852254072</v>
      </c>
      <c r="AM11" s="30"/>
      <c r="AN11" s="30"/>
      <c r="AO11" s="31" t="n">
        <f aca="false">+AO10-AD8</f>
        <v>-67479</v>
      </c>
      <c r="AP11" s="30"/>
      <c r="AQ11" s="30"/>
      <c r="AR11" s="30"/>
      <c r="AS11" s="30"/>
      <c r="AT11" s="30"/>
      <c r="AU11" s="30"/>
      <c r="AV11" s="30"/>
      <c r="AW11" s="30"/>
      <c r="AX11" s="30"/>
      <c r="AY11" s="30"/>
    </row>
    <row r="12" customFormat="false" ht="15" hidden="false" customHeight="true" outlineLevel="0" collapsed="false">
      <c r="A12" s="29"/>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2" t="n">
        <f aca="false">174674.7-AC10</f>
        <v>0</v>
      </c>
      <c r="AD12" s="30"/>
      <c r="AE12" s="31" t="n">
        <f aca="false">+AE8/AC8-1</f>
        <v>0.0245343424907987</v>
      </c>
      <c r="AF12" s="30"/>
      <c r="AG12" s="30"/>
      <c r="AH12" s="30"/>
      <c r="AI12" s="30"/>
      <c r="AJ12" s="30"/>
      <c r="AK12" s="30"/>
      <c r="AL12" s="30"/>
      <c r="AM12" s="30"/>
      <c r="AN12" s="30"/>
      <c r="AO12" s="35" t="n">
        <f aca="false">+AO11/5</f>
        <v>-13495.8</v>
      </c>
      <c r="AP12" s="30"/>
      <c r="AQ12" s="30"/>
      <c r="AR12" s="30"/>
      <c r="AS12" s="30"/>
      <c r="AT12" s="30"/>
      <c r="AU12" s="30"/>
      <c r="AV12" s="30"/>
      <c r="AW12" s="30"/>
      <c r="AX12" s="30"/>
      <c r="AY12" s="30"/>
    </row>
    <row r="13" customFormat="false" ht="15" hidden="false" customHeight="true" outlineLevel="0" collapsed="false">
      <c r="A13" s="29" t="s">
        <v>228</v>
      </c>
      <c r="B13" s="31" t="n">
        <f aca="false">+B440</f>
        <v>1330.6</v>
      </c>
      <c r="C13" s="31" t="n">
        <f aca="false">+C440</f>
        <v>1223.45</v>
      </c>
      <c r="D13" s="31" t="n">
        <f aca="false">+D440</f>
        <v>1791.33</v>
      </c>
      <c r="E13" s="31" t="n">
        <f aca="false">+E440</f>
        <v>2199.23</v>
      </c>
      <c r="F13" s="31" t="n">
        <f aca="false">+F440</f>
        <v>3011.55</v>
      </c>
      <c r="G13" s="31" t="n">
        <f aca="false">+G440</f>
        <v>2454.9</v>
      </c>
      <c r="H13" s="31" t="n">
        <f aca="false">+H440</f>
        <v>2263.75</v>
      </c>
      <c r="I13" s="31" t="n">
        <f aca="false">+I440</f>
        <v>3454.64</v>
      </c>
      <c r="J13" s="31" t="n">
        <f aca="false">+J440</f>
        <v>3546.51</v>
      </c>
      <c r="K13" s="31" t="n">
        <f aca="false">+K440</f>
        <v>3692</v>
      </c>
      <c r="L13" s="31" t="n">
        <f aca="false">+L440</f>
        <v>3936.2</v>
      </c>
      <c r="M13" s="31" t="n">
        <f aca="false">+M440</f>
        <v>5333.89</v>
      </c>
      <c r="N13" s="31" t="n">
        <f aca="false">+N440</f>
        <v>6289.04</v>
      </c>
      <c r="O13" s="31" t="n">
        <f aca="false">+O440</f>
        <v>8054.51</v>
      </c>
      <c r="P13" s="31" t="n">
        <f aca="false">+P440</f>
        <v>11365.41</v>
      </c>
      <c r="Q13" s="31" t="n">
        <f aca="false">+Q440</f>
        <v>12045.67</v>
      </c>
      <c r="R13" s="31" t="n">
        <f aca="false">+R440</f>
        <v>6855.664</v>
      </c>
      <c r="S13" s="31" t="n">
        <f aca="false">+S440</f>
        <v>6278.869</v>
      </c>
      <c r="T13" s="31" t="n">
        <f aca="false">+T440</f>
        <v>9758.978</v>
      </c>
      <c r="U13" s="31" t="n">
        <f aca="false">+U440</f>
        <v>8164.785</v>
      </c>
      <c r="V13" s="31" t="n">
        <f aca="false">+V440</f>
        <v>8173.589</v>
      </c>
      <c r="W13" s="31" t="n">
        <f aca="false">+W440</f>
        <v>6174.186</v>
      </c>
      <c r="X13" s="31" t="n">
        <f aca="false">+X440</f>
        <v>9237.499</v>
      </c>
      <c r="Y13" s="31" t="n">
        <f aca="false">+Y440</f>
        <v>10556.702</v>
      </c>
      <c r="Z13" s="31" t="n">
        <f aca="false">+Z440</f>
        <v>13130.123</v>
      </c>
      <c r="AA13" s="31" t="n">
        <f aca="false">+AA440</f>
        <v>2766.04</v>
      </c>
      <c r="AB13" s="31" t="n">
        <f aca="false">+AB440</f>
        <v>0</v>
      </c>
      <c r="AC13" s="31" t="n">
        <f aca="false">+AC440</f>
        <v>0</v>
      </c>
      <c r="AD13" s="31" t="n">
        <f aca="false">+AD440</f>
        <v>0</v>
      </c>
      <c r="AE13" s="31" t="n">
        <f aca="false">+AE440</f>
        <v>0</v>
      </c>
      <c r="AF13" s="31" t="n">
        <f aca="false">+AF440</f>
        <v>0</v>
      </c>
      <c r="AG13" s="31" t="n">
        <f aca="false">+AG440</f>
        <v>0</v>
      </c>
      <c r="AH13" s="31" t="n">
        <f aca="false">+AH440</f>
        <v>0</v>
      </c>
      <c r="AI13" s="31" t="n">
        <f aca="false">+AI440</f>
        <v>0</v>
      </c>
      <c r="AJ13" s="31" t="n">
        <f aca="false">+AJ440</f>
        <v>0</v>
      </c>
      <c r="AK13" s="31" t="n">
        <f aca="false">+AK440</f>
        <v>0</v>
      </c>
      <c r="AL13" s="31" t="n">
        <f aca="false">+AL440</f>
        <v>0</v>
      </c>
      <c r="AM13" s="30"/>
      <c r="AN13" s="30"/>
      <c r="AO13" s="30"/>
      <c r="AP13" s="30"/>
      <c r="AQ13" s="30"/>
      <c r="AR13" s="30"/>
      <c r="AS13" s="30"/>
      <c r="AT13" s="30"/>
      <c r="AU13" s="30"/>
      <c r="AV13" s="30"/>
      <c r="AW13" s="30"/>
      <c r="AX13" s="30"/>
      <c r="AY13" s="30"/>
    </row>
    <row r="14" customFormat="false" ht="15" hidden="false" customHeight="true" outlineLevel="0" collapsed="false">
      <c r="A14" s="29" t="s">
        <v>229</v>
      </c>
      <c r="B14" s="49" t="n">
        <f aca="false">+B442</f>
        <v>13.9412030338304</v>
      </c>
      <c r="C14" s="49" t="n">
        <f aca="false">+C442</f>
        <v>10.3568628978053</v>
      </c>
      <c r="D14" s="49" t="n">
        <f aca="false">+D442</f>
        <v>11.8373056885254</v>
      </c>
      <c r="E14" s="49" t="n">
        <f aca="false">+E442</f>
        <v>10.9430651907596</v>
      </c>
      <c r="F14" s="49" t="n">
        <f aca="false">+F442</f>
        <v>12.1313572755313</v>
      </c>
      <c r="G14" s="49" t="n">
        <f aca="false">+G442</f>
        <v>12.1874804293609</v>
      </c>
      <c r="H14" s="49" t="n">
        <f aca="false">+H442</f>
        <v>11.0694232092023</v>
      </c>
      <c r="I14" s="49" t="n">
        <f aca="false">+I442</f>
        <v>13.2936317060951</v>
      </c>
      <c r="J14" s="49" t="n">
        <f aca="false">+J442</f>
        <v>13.6055562226494</v>
      </c>
      <c r="K14" s="49" t="n">
        <f aca="false">+K442</f>
        <v>14.0356319531882</v>
      </c>
      <c r="L14" s="49" t="n">
        <f aca="false">+L442</f>
        <v>12.8048354014889</v>
      </c>
      <c r="M14" s="49" t="n">
        <f aca="false">+M442</f>
        <v>13.5816634086808</v>
      </c>
      <c r="N14" s="49" t="n">
        <f aca="false">+N442</f>
        <v>13.0714433284102</v>
      </c>
      <c r="O14" s="49" t="n">
        <f aca="false">+O442</f>
        <v>13.3064039167978</v>
      </c>
      <c r="P14" s="49" t="n">
        <f aca="false">+P442</f>
        <v>13.6854874163683</v>
      </c>
      <c r="Q14" s="49" t="n">
        <f aca="false">+Q442</f>
        <v>13.4834206246243</v>
      </c>
      <c r="R14" s="49" t="n">
        <f aca="false">+R442</f>
        <v>10.2835369798949</v>
      </c>
      <c r="S14" s="49" t="n">
        <f aca="false">+S442</f>
        <v>7.97560027647292</v>
      </c>
      <c r="T14" s="49" t="n">
        <f aca="false">+T442</f>
        <v>8.06953472309022</v>
      </c>
      <c r="U14" s="49" t="n">
        <f aca="false">+U442</f>
        <v>5.98288113773669</v>
      </c>
      <c r="V14" s="49" t="n">
        <f aca="false">+V442</f>
        <v>6.14622160300392</v>
      </c>
      <c r="W14" s="49" t="n">
        <f aca="false">+W442</f>
        <v>5.84629906471597</v>
      </c>
      <c r="X14" s="49" t="n">
        <f aca="false">+X442</f>
        <v>6.37687519413229</v>
      </c>
      <c r="Y14" s="49" t="n">
        <f aca="false">+Y442</f>
        <v>5.28020588352482</v>
      </c>
      <c r="Z14" s="49" t="n">
        <f aca="false">+Z442</f>
        <v>6.15522533114861</v>
      </c>
      <c r="AA14" s="49" t="n">
        <f aca="false">+AA442</f>
        <v>1.04282409057262</v>
      </c>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row>
    <row r="15" customFormat="false" ht="15" hidden="false" customHeight="true" outlineLevel="0" collapsed="false">
      <c r="A15" s="29"/>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33" t="s">
        <v>230</v>
      </c>
      <c r="AO15" s="50" t="s">
        <v>231</v>
      </c>
      <c r="AP15" s="50" t="s">
        <v>232</v>
      </c>
      <c r="AQ15" s="50" t="s">
        <v>233</v>
      </c>
      <c r="AR15" s="50" t="s">
        <v>234</v>
      </c>
      <c r="AS15" s="50" t="s">
        <v>235</v>
      </c>
      <c r="AT15" s="50" t="s">
        <v>236</v>
      </c>
      <c r="AU15" s="50" t="s">
        <v>237</v>
      </c>
      <c r="AV15" s="50" t="s">
        <v>238</v>
      </c>
      <c r="AW15" s="50" t="s">
        <v>239</v>
      </c>
      <c r="AX15" s="50" t="s">
        <v>240</v>
      </c>
      <c r="AY15" s="43"/>
    </row>
    <row r="16" customFormat="false" ht="15" hidden="false" customHeight="true" outlineLevel="0" collapsed="false">
      <c r="A16" s="51" t="s">
        <v>241</v>
      </c>
      <c r="B16" s="52" t="n">
        <f aca="false">B10-B13</f>
        <v>8213.77</v>
      </c>
      <c r="C16" s="52" t="n">
        <f aca="false">C10-C13</f>
        <v>10589.49</v>
      </c>
      <c r="D16" s="52" t="n">
        <f aca="false">D10-D13</f>
        <v>13341.59</v>
      </c>
      <c r="E16" s="52" t="n">
        <f aca="false">E10-E13</f>
        <v>17897.79</v>
      </c>
      <c r="F16" s="52" t="n">
        <f aca="false">F10-F13</f>
        <v>21812.96</v>
      </c>
      <c r="G16" s="52" t="n">
        <f aca="false">G10-G13</f>
        <v>17687.901576</v>
      </c>
      <c r="H16" s="52" t="n">
        <f aca="false">H10-H13</f>
        <v>18186.728378296</v>
      </c>
      <c r="I16" s="52" t="n">
        <f aca="false">I10-I13</f>
        <v>22532.54</v>
      </c>
      <c r="J16" s="52" t="n">
        <f aca="false">J10-J13</f>
        <v>22520.12</v>
      </c>
      <c r="K16" s="52" t="n">
        <f aca="false">K10-K13</f>
        <v>22612.48</v>
      </c>
      <c r="L16" s="52" t="n">
        <f aca="false">L10-L13</f>
        <v>26803.75</v>
      </c>
      <c r="M16" s="52" t="n">
        <f aca="false">M10-M13</f>
        <v>33938.84</v>
      </c>
      <c r="N16" s="52" t="n">
        <f aca="false">N10-N13</f>
        <v>41823.78</v>
      </c>
      <c r="O16" s="52" t="n">
        <f aca="false">O10-O13</f>
        <v>52476.57</v>
      </c>
      <c r="P16" s="52" t="n">
        <f aca="false">P10-P13</f>
        <v>71681.76</v>
      </c>
      <c r="Q16" s="52" t="n">
        <f aca="false">Q10-Q13</f>
        <v>77291.23</v>
      </c>
      <c r="R16" s="52" t="n">
        <f aca="false">R10-R13</f>
        <v>59810.737</v>
      </c>
      <c r="S16" s="52" t="n">
        <f aca="false">S10-S13</f>
        <v>72447.105</v>
      </c>
      <c r="T16" s="52" t="n">
        <f aca="false">T10-T13</f>
        <v>111177.09</v>
      </c>
      <c r="U16" s="52" t="n">
        <f aca="false">U10-U13</f>
        <v>128304.331</v>
      </c>
      <c r="V16" s="52" t="n">
        <f aca="false">V10-V13</f>
        <v>124812</v>
      </c>
      <c r="W16" s="52" t="n">
        <f aca="false">W10-W13</f>
        <v>99434.267</v>
      </c>
      <c r="X16" s="52" t="n">
        <f aca="false">X10-X13</f>
        <v>135621.836</v>
      </c>
      <c r="Y16" s="52" t="n">
        <f aca="false">Y10-Y13</f>
        <v>189373.04</v>
      </c>
      <c r="Z16" s="52" t="n">
        <f aca="false">Z10-Z13</f>
        <v>200186.568</v>
      </c>
      <c r="AA16" s="52" t="n">
        <f aca="false">AA10-AA13</f>
        <v>262479.079</v>
      </c>
      <c r="AB16" s="52" t="n">
        <f aca="false">AB10-AB13</f>
        <v>290549.5</v>
      </c>
      <c r="AC16" s="52" t="n">
        <f aca="false">AC10-AC13</f>
        <v>174674.7</v>
      </c>
      <c r="AD16" s="52" t="n">
        <f aca="false">AD10-AD13</f>
        <v>153014.5</v>
      </c>
      <c r="AE16" s="52" t="n">
        <f aca="false">AE10-AE13</f>
        <v>216882.9</v>
      </c>
      <c r="AF16" s="52" t="n">
        <f aca="false">AF10-AF13</f>
        <v>361441.4</v>
      </c>
      <c r="AG16" s="52" t="n">
        <f aca="false">AG10-AG13</f>
        <v>383670.3</v>
      </c>
      <c r="AH16" s="52" t="n">
        <f aca="false">AH10-AH13</f>
        <v>387527.4</v>
      </c>
      <c r="AI16" s="52" t="n">
        <f aca="false">AI10-AI13</f>
        <v>440070.3</v>
      </c>
      <c r="AJ16" s="52" t="n">
        <f aca="false">AJ10-AJ13</f>
        <v>479819.486879914</v>
      </c>
      <c r="AK16" s="52" t="n">
        <f aca="false">AK10-AK13</f>
        <v>518314.738360781</v>
      </c>
      <c r="AL16" s="52" t="n">
        <f aca="false">AL10-AL13</f>
        <v>557215.703098136</v>
      </c>
      <c r="AM16" s="53"/>
      <c r="AN16" s="54" t="s">
        <v>242</v>
      </c>
      <c r="AO16" s="55" t="n">
        <f aca="false">+AB8</f>
        <v>197366</v>
      </c>
      <c r="AP16" s="55" t="n">
        <f aca="false">+AC8</f>
        <v>125253</v>
      </c>
      <c r="AQ16" s="55" t="n">
        <f aca="false">+AD8</f>
        <v>100715</v>
      </c>
      <c r="AR16" s="55" t="n">
        <f aca="false">+AE8</f>
        <v>128326</v>
      </c>
      <c r="AS16" s="55" t="n">
        <f aca="false">+AF8</f>
        <v>192205</v>
      </c>
      <c r="AT16" s="55" t="n">
        <f aca="false">+AG8</f>
        <v>194683</v>
      </c>
      <c r="AU16" s="55" t="n">
        <f aca="false">+AH8</f>
        <v>195093</v>
      </c>
      <c r="AV16" s="55" t="n">
        <f aca="false">+AI8</f>
        <v>220437</v>
      </c>
      <c r="AW16" s="55" t="n">
        <f aca="false">+AJ8</f>
        <v>237395.64</v>
      </c>
      <c r="AX16" s="55" t="n">
        <f aca="false">+AK8</f>
        <v>254191.8912</v>
      </c>
      <c r="AY16" s="52" t="n">
        <f aca="false">+SQRT(AX16/AV16)-1</f>
        <v>0.0738375842831758</v>
      </c>
    </row>
    <row r="17" customFormat="false" ht="15" hidden="false" customHeight="true" outlineLevel="0" collapsed="false">
      <c r="A17" s="29" t="s">
        <v>226</v>
      </c>
      <c r="B17" s="36"/>
      <c r="C17" s="49" t="n">
        <f aca="false">C16/B16*100-100</f>
        <v>28.9236245962573</v>
      </c>
      <c r="D17" s="49" t="n">
        <f aca="false">D16/C16*100-100</f>
        <v>25.9889758619159</v>
      </c>
      <c r="E17" s="49" t="n">
        <f aca="false">E16/D16*100-100</f>
        <v>34.1503523942799</v>
      </c>
      <c r="F17" s="49" t="n">
        <f aca="false">F16/E16*100-100</f>
        <v>21.875158888332</v>
      </c>
      <c r="G17" s="49" t="n">
        <f aca="false">G16/F16*100-100</f>
        <v>-18.9110438198209</v>
      </c>
      <c r="H17" s="49" t="n">
        <f aca="false">H16/G16*100-100</f>
        <v>2.82015817508187</v>
      </c>
      <c r="I17" s="49" t="n">
        <f aca="false">I16/H16*100-100</f>
        <v>23.8955106784917</v>
      </c>
      <c r="J17" s="49" t="n">
        <f aca="false">J16/I16*100-100</f>
        <v>-0.055120283820628</v>
      </c>
      <c r="K17" s="49" t="n">
        <f aca="false">K16/J16*100-100</f>
        <v>0.410122148549803</v>
      </c>
      <c r="L17" s="49" t="n">
        <f aca="false">L16/K16*100-100</f>
        <v>18.535207106872</v>
      </c>
      <c r="M17" s="49" t="n">
        <f aca="false">M16/L16*100-100</f>
        <v>26.6197453714499</v>
      </c>
      <c r="N17" s="49" t="n">
        <f aca="false">N16/M16*100-100</f>
        <v>23.2327916923501</v>
      </c>
      <c r="O17" s="49" t="n">
        <f aca="false">O16/N16*100-100</f>
        <v>25.4706532981954</v>
      </c>
      <c r="P17" s="49" t="n">
        <f aca="false">P16/O16*100-100</f>
        <v>36.5976472928776</v>
      </c>
      <c r="Q17" s="49" t="n">
        <f aca="false">Q16/P16*100-100</f>
        <v>7.82551935108738</v>
      </c>
      <c r="R17" s="49" t="n">
        <f aca="false">R16/Q16*100-100</f>
        <v>-22.6163990403569</v>
      </c>
      <c r="S17" s="49" t="n">
        <f aca="false">S16/R16*100-100</f>
        <v>21.1272568000625</v>
      </c>
      <c r="T17" s="49" t="n">
        <f aca="false">T16/S16*100-100</f>
        <v>53.4596724051292</v>
      </c>
      <c r="U17" s="49" t="n">
        <f aca="false">U16/T16*100-100</f>
        <v>15.4053690378117</v>
      </c>
      <c r="V17" s="49" t="n">
        <f aca="false">V16/U16*100-100</f>
        <v>-2.72191201402235</v>
      </c>
      <c r="W17" s="49" t="n">
        <f aca="false">W16/V16*100-100</f>
        <v>-20.3327668813896</v>
      </c>
      <c r="X17" s="49" t="n">
        <f aca="false">X16/W16*100-100</f>
        <v>36.3934588063087</v>
      </c>
      <c r="Y17" s="49" t="n">
        <f aca="false">Y16/X16*100-100</f>
        <v>39.6331487504712</v>
      </c>
      <c r="Z17" s="49" t="n">
        <f aca="false">Z16/Y16*100-100</f>
        <v>5.71017289472673</v>
      </c>
      <c r="AA17" s="49" t="n">
        <f aca="false">AA16/Z16*100-100</f>
        <v>31.1172281049346</v>
      </c>
      <c r="AB17" s="49" t="n">
        <f aca="false">AB16/AA16*100-100</f>
        <v>10.6943460434803</v>
      </c>
      <c r="AC17" s="49" t="n">
        <f aca="false">AC16/AB16*100-100</f>
        <v>-39.8812594755799</v>
      </c>
      <c r="AD17" s="49" t="n">
        <f aca="false">AD16/AC16*100-100</f>
        <v>-12.4003075431073</v>
      </c>
      <c r="AE17" s="49" t="n">
        <f aca="false">AE16/AD16*100-100</f>
        <v>41.7400965267998</v>
      </c>
      <c r="AF17" s="49" t="n">
        <f aca="false">AF16/AE16*100-100</f>
        <v>66.6527882096744</v>
      </c>
      <c r="AG17" s="49" t="n">
        <f aca="false">AG16/AF16*100-100</f>
        <v>6.15007024651852</v>
      </c>
      <c r="AH17" s="49" t="n">
        <f aca="false">AH16/AG16*100-100</f>
        <v>1.00531628327761</v>
      </c>
      <c r="AI17" s="49" t="n">
        <f aca="false">AI16/AH16*100-100</f>
        <v>13.558499347401</v>
      </c>
      <c r="AJ17" s="49" t="n">
        <f aca="false">AJ16/AI16*100-100</f>
        <v>9.03246296782898</v>
      </c>
      <c r="AK17" s="49" t="n">
        <f aca="false">AK16/AJ16*100-100</f>
        <v>8.02286120790694</v>
      </c>
      <c r="AL17" s="49" t="n">
        <f aca="false">AL16/AK16*100-100</f>
        <v>7.50527852254072</v>
      </c>
      <c r="AM17" s="36"/>
      <c r="AN17" s="50" t="s">
        <v>243</v>
      </c>
      <c r="AO17" s="49" t="n">
        <f aca="false">+AO16/AA8-1</f>
        <v>0.128624773406987</v>
      </c>
      <c r="AP17" s="49" t="n">
        <f aca="false">+AP16/AO16-1</f>
        <v>-0.365377015291388</v>
      </c>
      <c r="AQ17" s="49" t="n">
        <f aca="false">+AQ16/AP16-1</f>
        <v>-0.195907483253894</v>
      </c>
      <c r="AR17" s="49" t="n">
        <f aca="false">+AR16/AQ16-1</f>
        <v>0.274149828724619</v>
      </c>
      <c r="AS17" s="49" t="n">
        <f aca="false">+AS16/AR16-1</f>
        <v>0.497786886523386</v>
      </c>
      <c r="AT17" s="49" t="n">
        <f aca="false">+AT16/AS16-1</f>
        <v>0.0128924845867693</v>
      </c>
      <c r="AU17" s="49" t="n">
        <f aca="false">+AU16/AT16-1</f>
        <v>0.00210598768254044</v>
      </c>
      <c r="AV17" s="49" t="n">
        <f aca="false">+AV16/AU16-1</f>
        <v>0.129907274991927</v>
      </c>
      <c r="AW17" s="49" t="n">
        <f aca="false">+AW16/AV16-1</f>
        <v>0.0769319125192232</v>
      </c>
      <c r="AX17" s="49" t="n">
        <f aca="false">+AX16/AW16-1</f>
        <v>0.0707521469223276</v>
      </c>
      <c r="AY17" s="36"/>
    </row>
    <row r="18" customFormat="false" ht="15" hidden="false" customHeight="true" outlineLevel="0" collapsed="false">
      <c r="A18" s="29" t="s">
        <v>244</v>
      </c>
      <c r="B18" s="30"/>
      <c r="C18" s="30"/>
      <c r="D18" s="30"/>
      <c r="E18" s="30"/>
      <c r="F18" s="30"/>
      <c r="G18" s="30"/>
      <c r="H18" s="30"/>
      <c r="I18" s="30"/>
      <c r="J18" s="30"/>
      <c r="K18" s="30"/>
      <c r="L18" s="30"/>
      <c r="M18" s="30"/>
      <c r="N18" s="30"/>
      <c r="O18" s="30"/>
      <c r="P18" s="30"/>
      <c r="Q18" s="30"/>
      <c r="R18" s="30"/>
      <c r="S18" s="30"/>
      <c r="T18" s="30"/>
      <c r="U18" s="30"/>
      <c r="V18" s="30"/>
      <c r="W18" s="30"/>
      <c r="X18" s="32" t="n">
        <f aca="false">+X16-135621.836</f>
        <v>0</v>
      </c>
      <c r="Y18" s="30"/>
      <c r="Z18" s="30"/>
      <c r="AA18" s="30"/>
      <c r="AB18" s="30"/>
      <c r="AC18" s="31" t="n">
        <f aca="false">+AC16*1000000/AC8</f>
        <v>1394574.98023999</v>
      </c>
      <c r="AD18" s="31" t="n">
        <f aca="false">+AD16*1000000/AD8</f>
        <v>1519282.13275083</v>
      </c>
      <c r="AE18" s="31" t="n">
        <f aca="false">+AE16*1000000/AE8</f>
        <v>1690093.20013092</v>
      </c>
      <c r="AF18" s="31" t="n">
        <f aca="false">+AF16*1000000/AF8</f>
        <v>1880499.46671523</v>
      </c>
      <c r="AG18" s="31" t="n">
        <f aca="false">+AG16*1000000/AG8</f>
        <v>1970743.72184526</v>
      </c>
      <c r="AH18" s="31" t="n">
        <f aca="false">+AH16*1000000/AH8</f>
        <v>1986372.6530424</v>
      </c>
      <c r="AI18" s="31" t="n">
        <f aca="false">+AI16*1000000/AI8</f>
        <v>1996354.06034377</v>
      </c>
      <c r="AJ18" s="31" t="n">
        <f aca="false">+AJ16*1000000/AJ8</f>
        <v>2021180.70441359</v>
      </c>
      <c r="AK18" s="31" t="n">
        <f aca="false">+AK16*1000000/AK8</f>
        <v>2039068.73627596</v>
      </c>
      <c r="AL18" s="31" t="n">
        <f aca="false">+AL16*1000000/AL8</f>
        <v>2061411.20809065</v>
      </c>
      <c r="AM18" s="30"/>
      <c r="AN18" s="50" t="s">
        <v>244</v>
      </c>
      <c r="AO18" s="31" t="n">
        <f aca="false">+AB19</f>
        <v>1472135.52486244</v>
      </c>
      <c r="AP18" s="31" t="n">
        <f aca="false">+AC19</f>
        <v>1394574.98023999</v>
      </c>
      <c r="AQ18" s="31" t="n">
        <f aca="false">+AD19</f>
        <v>1519282.13275083</v>
      </c>
      <c r="AR18" s="31" t="n">
        <f aca="false">+AE19</f>
        <v>1690093.20013092</v>
      </c>
      <c r="AS18" s="31" t="n">
        <f aca="false">+AF19</f>
        <v>1880499.46671523</v>
      </c>
      <c r="AT18" s="31" t="n">
        <f aca="false">+AG19</f>
        <v>1970743.72184526</v>
      </c>
      <c r="AU18" s="31" t="n">
        <f aca="false">+AH19</f>
        <v>1986372.6530424</v>
      </c>
      <c r="AV18" s="31" t="n">
        <f aca="false">+AI19</f>
        <v>1996354.06034377</v>
      </c>
      <c r="AW18" s="31" t="n">
        <f aca="false">+AJ19</f>
        <v>2021180.70441359</v>
      </c>
      <c r="AX18" s="31" t="n">
        <f aca="false">+AK19</f>
        <v>2039068.73627596</v>
      </c>
      <c r="AY18" s="35" t="n">
        <f aca="false">+SQRT(AX18/AV18)-1</f>
        <v>0.0106415501321666</v>
      </c>
    </row>
    <row r="19" customFormat="false" ht="15" hidden="false" customHeight="true" outlineLevel="0" collapsed="false">
      <c r="A19" s="29" t="s">
        <v>245</v>
      </c>
      <c r="B19" s="31" t="n">
        <f aca="false">+B16/B8*1000000</f>
        <v>399288.804627874</v>
      </c>
      <c r="C19" s="31" t="n">
        <f aca="false">+C16/C8*1000000</f>
        <v>437112.606290762</v>
      </c>
      <c r="D19" s="31" t="n">
        <f aca="false">+D16/D8*1000000</f>
        <v>438723.775073989</v>
      </c>
      <c r="E19" s="31" t="n">
        <f aca="false">+E16/E8*1000000</f>
        <v>478563.330570336</v>
      </c>
      <c r="F19" s="31" t="n">
        <f aca="false">+F16/F8*1000000</f>
        <v>503159.254474995</v>
      </c>
      <c r="G19" s="31" t="n">
        <f aca="false">+G16/G8*1000000</f>
        <v>560684.108663264</v>
      </c>
      <c r="H19" s="31" t="n">
        <f aca="false">+H16/H8*1000000</f>
        <v>611503.593634915</v>
      </c>
      <c r="I19" s="31" t="n">
        <f aca="false">+I16/I8*1000000</f>
        <v>595169.972793788</v>
      </c>
      <c r="J19" s="31" t="n">
        <f aca="false">+J16/J8*1000000</f>
        <v>693460.200153965</v>
      </c>
      <c r="K19" s="31" t="n">
        <f aca="false">+K16/K8*1000000</f>
        <v>762055.740909244</v>
      </c>
      <c r="L19" s="31" t="n">
        <f aca="false">+L16/L8*1000000</f>
        <v>735477.719240479</v>
      </c>
      <c r="M19" s="31" t="n">
        <f aca="false">+M16/M8*1000000</f>
        <v>697554.980063304</v>
      </c>
      <c r="N19" s="31" t="n">
        <f aca="false">+N16/N8*1000000</f>
        <v>764044.208987943</v>
      </c>
      <c r="O19" s="31" t="n">
        <f aca="false">+O16/O8*1000000</f>
        <v>851132.430459817</v>
      </c>
      <c r="P19" s="31" t="n">
        <f aca="false">+P16/P8*1000000</f>
        <v>862689.822002383</v>
      </c>
      <c r="Q19" s="31" t="n">
        <f aca="false">+Q16/Q8*1000000</f>
        <v>927765.667574932</v>
      </c>
      <c r="R19" s="31" t="n">
        <f aca="false">+R16/R8*1000000</f>
        <v>1098835.90233507</v>
      </c>
      <c r="S19" s="31" t="n">
        <f aca="false">S16/S8*1000000</f>
        <v>1133296.38957545</v>
      </c>
      <c r="T19" s="31" t="n">
        <f aca="false">T16/T8*1000000</f>
        <v>1181402.77984401</v>
      </c>
      <c r="U19" s="31" t="n">
        <f aca="false">U16/U8*1000000</f>
        <v>1258008.93224826</v>
      </c>
      <c r="V19" s="31" t="n">
        <f aca="false">V16/V8*1000000</f>
        <v>1089005.41832808</v>
      </c>
      <c r="W19" s="31" t="n">
        <f aca="false">W16/W8*1000000</f>
        <v>1113024.46914492</v>
      </c>
      <c r="X19" s="31" t="n">
        <f aca="false">X16/X8*1000000</f>
        <v>1292843.18697451</v>
      </c>
      <c r="Y19" s="31" t="n">
        <f aca="false">Y16/Y8*1000000</f>
        <v>1348263.45429562</v>
      </c>
      <c r="Z19" s="31" t="n">
        <f aca="false">Z16/Z8*1000000</f>
        <v>1379968.89691589</v>
      </c>
      <c r="AA19" s="31" t="n">
        <f aca="false">AA16/AA8*1000000</f>
        <v>1500969.72660159</v>
      </c>
      <c r="AB19" s="31" t="n">
        <f aca="false">AB16/AB8*1000000</f>
        <v>1472135.52486244</v>
      </c>
      <c r="AC19" s="31" t="n">
        <f aca="false">AC16/AC8*1000000</f>
        <v>1394574.98023999</v>
      </c>
      <c r="AD19" s="31" t="n">
        <f aca="false">AD16/AD8*1000000</f>
        <v>1519282.13275083</v>
      </c>
      <c r="AE19" s="31" t="n">
        <f aca="false">AE16/AE8*1000000</f>
        <v>1690093.20013092</v>
      </c>
      <c r="AF19" s="31" t="n">
        <f aca="false">AF16/AF8*1000000</f>
        <v>1880499.46671523</v>
      </c>
      <c r="AG19" s="31" t="n">
        <f aca="false">AG16/AG8*1000000</f>
        <v>1970743.72184526</v>
      </c>
      <c r="AH19" s="31" t="n">
        <f aca="false">AH16/AH8*1000000</f>
        <v>1986372.6530424</v>
      </c>
      <c r="AI19" s="31" t="n">
        <f aca="false">AI16/AI8*1000000</f>
        <v>1996354.06034377</v>
      </c>
      <c r="AJ19" s="31" t="n">
        <f aca="false">AJ16/AJ8*1000000</f>
        <v>2021180.70441359</v>
      </c>
      <c r="AK19" s="31" t="n">
        <f aca="false">AK16/AK8*1000000</f>
        <v>2039068.73627596</v>
      </c>
      <c r="AL19" s="31" t="n">
        <f aca="false">AL16/AL8*1000000</f>
        <v>2061411.20809065</v>
      </c>
      <c r="AM19" s="30"/>
      <c r="AN19" s="50" t="s">
        <v>243</v>
      </c>
      <c r="AO19" s="31" t="n">
        <f aca="false">+AO18/AA19-1</f>
        <v>-0.0192103819471678</v>
      </c>
      <c r="AP19" s="31" t="n">
        <f aca="false">+AP18/AO18-1</f>
        <v>-0.0526857366815403</v>
      </c>
      <c r="AQ19" s="31" t="n">
        <f aca="false">+AQ18/AP18-1</f>
        <v>0.0894230531006488</v>
      </c>
      <c r="AR19" s="31" t="n">
        <f aca="false">+AR18/AQ18-1</f>
        <v>0.112428800219491</v>
      </c>
      <c r="AS19" s="31" t="n">
        <f aca="false">+AS18/AR18-1</f>
        <v>0.112660216945172</v>
      </c>
      <c r="AT19" s="31" t="n">
        <f aca="false">+AT18/AS18-1</f>
        <v>0.0479895138112776</v>
      </c>
      <c r="AU19" s="31" t="n">
        <f aca="false">+AU18/AT18-1</f>
        <v>0.00793047367036914</v>
      </c>
      <c r="AV19" s="31" t="n">
        <f aca="false">+AV18/AU18-1</f>
        <v>0.00502494196448455</v>
      </c>
      <c r="AW19" s="31" t="n">
        <f aca="false">+AW18/AV18-1</f>
        <v>0.0124359924739692</v>
      </c>
      <c r="AX19" s="31" t="n">
        <f aca="false">+AX18/AW18-1</f>
        <v>0.0088502882613688</v>
      </c>
      <c r="AY19" s="30"/>
    </row>
    <row r="20" customFormat="false" ht="15" hidden="false" customHeight="true" outlineLevel="0" collapsed="false">
      <c r="A20" s="29"/>
      <c r="B20" s="30"/>
      <c r="C20" s="30"/>
      <c r="D20" s="30"/>
      <c r="E20" s="30"/>
      <c r="F20" s="30"/>
      <c r="G20" s="30"/>
      <c r="H20" s="30"/>
      <c r="I20" s="30"/>
      <c r="J20" s="30"/>
      <c r="K20" s="30"/>
      <c r="L20" s="30"/>
      <c r="M20" s="30"/>
      <c r="N20" s="30"/>
      <c r="O20" s="30"/>
      <c r="P20" s="30"/>
      <c r="Q20" s="30"/>
      <c r="R20" s="30"/>
      <c r="S20" s="30"/>
      <c r="T20" s="30"/>
      <c r="U20" s="30"/>
      <c r="V20" s="30"/>
      <c r="W20" s="30"/>
      <c r="X20" s="32" t="n">
        <f aca="false">86266.352+13911.872-526.126-X22</f>
        <v>0</v>
      </c>
      <c r="Y20" s="32" t="n">
        <f aca="false">122521.706+15312.255-5214.366-Y22</f>
        <v>670.99099999998</v>
      </c>
      <c r="Z20" s="30"/>
      <c r="AA20" s="31" t="n">
        <f aca="false">+AA19/Z19-1</f>
        <v>0.0876837368988028</v>
      </c>
      <c r="AB20" s="31" t="n">
        <f aca="false">+AB19/AA19-1</f>
        <v>-0.0192103819471678</v>
      </c>
      <c r="AC20" s="31" t="n">
        <f aca="false">+AC19/AB19-1</f>
        <v>-0.0526857366815403</v>
      </c>
      <c r="AD20" s="31" t="n">
        <f aca="false">+AD19/AC19-1</f>
        <v>0.0894230531006488</v>
      </c>
      <c r="AE20" s="31" t="n">
        <f aca="false">+AE19/AD19-1</f>
        <v>0.112428800219491</v>
      </c>
      <c r="AF20" s="31" t="n">
        <f aca="false">+AF19/AE19-1</f>
        <v>0.112660216945172</v>
      </c>
      <c r="AG20" s="31" t="n">
        <f aca="false">+AG19/AF19-1</f>
        <v>0.0479895138112776</v>
      </c>
      <c r="AH20" s="31" t="n">
        <f aca="false">+AH19/AG19-1</f>
        <v>0.00793047367036914</v>
      </c>
      <c r="AI20" s="31" t="n">
        <f aca="false">+AI19/AH19-1</f>
        <v>0.00502494196448455</v>
      </c>
      <c r="AJ20" s="31" t="n">
        <f aca="false">+AJ19/AI19-1</f>
        <v>0.0124359924739692</v>
      </c>
      <c r="AK20" s="31" t="n">
        <f aca="false">+AK19/AJ19-1</f>
        <v>0.0088502882613688</v>
      </c>
      <c r="AL20" s="31" t="n">
        <f aca="false">+AL19/AK19-1</f>
        <v>0.0109571940451076</v>
      </c>
      <c r="AM20" s="30"/>
      <c r="AN20" s="50" t="s">
        <v>246</v>
      </c>
      <c r="AO20" s="31" t="n">
        <f aca="false">+AO18*AO16/1000000</f>
        <v>290549.5</v>
      </c>
      <c r="AP20" s="31" t="n">
        <f aca="false">+AP18*AP16/1000000</f>
        <v>174674.7</v>
      </c>
      <c r="AQ20" s="31" t="n">
        <f aca="false">+AQ18*AQ16/1000000</f>
        <v>153014.5</v>
      </c>
      <c r="AR20" s="31" t="n">
        <f aca="false">+AR18*AR16/1000000</f>
        <v>216882.9</v>
      </c>
      <c r="AS20" s="31" t="n">
        <f aca="false">+AS18*AS16/1000000</f>
        <v>361441.4</v>
      </c>
      <c r="AT20" s="31" t="n">
        <f aca="false">+AT18*AT16/1000000</f>
        <v>383670.3</v>
      </c>
      <c r="AU20" s="31" t="n">
        <f aca="false">+AU18*AU16/1000000</f>
        <v>387527.4</v>
      </c>
      <c r="AV20" s="31" t="n">
        <f aca="false">+AV18*AV16/1000000</f>
        <v>440070.3</v>
      </c>
      <c r="AW20" s="31" t="n">
        <f aca="false">+AW18*AW16/1000000</f>
        <v>479819.486879914</v>
      </c>
      <c r="AX20" s="31" t="n">
        <f aca="false">+AX18*AX16/1000000</f>
        <v>518314.738360781</v>
      </c>
      <c r="AY20" s="30"/>
    </row>
    <row r="21" customFormat="false" ht="15" hidden="false" customHeight="true" outlineLevel="0" collapsed="false">
      <c r="A21" s="29"/>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7" t="n">
        <f aca="false">+AG18/AF18-1</f>
        <v>0.0479895138112776</v>
      </c>
      <c r="AH21" s="57" t="n">
        <f aca="false">+AH18/AG18-1</f>
        <v>0.00793047367036914</v>
      </c>
      <c r="AI21" s="57" t="n">
        <f aca="false">+AI18/AH18-1</f>
        <v>0.00502494196448478</v>
      </c>
      <c r="AJ21" s="57" t="n">
        <f aca="false">+AJ18/AI18-1</f>
        <v>0.0124359924739692</v>
      </c>
      <c r="AK21" s="56"/>
      <c r="AL21" s="56"/>
      <c r="AM21" s="56"/>
      <c r="AN21" s="56"/>
      <c r="AO21" s="56"/>
      <c r="AP21" s="56"/>
      <c r="AQ21" s="57" t="n">
        <f aca="false">+AQ18/AP18-1</f>
        <v>0.0894230531006488</v>
      </c>
      <c r="AR21" s="57" t="n">
        <f aca="false">+AR18/AQ18-1</f>
        <v>0.112428800219491</v>
      </c>
      <c r="AS21" s="57" t="n">
        <f aca="false">+AS18/AR18-1</f>
        <v>0.112660216945172</v>
      </c>
      <c r="AT21" s="57" t="n">
        <f aca="false">+AT18/AS18-1</f>
        <v>0.0479895138112776</v>
      </c>
      <c r="AU21" s="57" t="n">
        <f aca="false">+AU18/AT18-1</f>
        <v>0.00793047367036914</v>
      </c>
      <c r="AV21" s="57" t="n">
        <f aca="false">+AV18/AU18-1</f>
        <v>0.00502494196448455</v>
      </c>
      <c r="AW21" s="57" t="n">
        <f aca="false">+AW18/AV18-1</f>
        <v>0.0124359924739692</v>
      </c>
      <c r="AX21" s="57" t="n">
        <f aca="false">+AX18/AW18-1</f>
        <v>0.0088502882613688</v>
      </c>
      <c r="AY21" s="56"/>
    </row>
    <row r="22" customFormat="false" ht="15" hidden="false" customHeight="true" outlineLevel="0" collapsed="false">
      <c r="A22" s="51" t="s">
        <v>247</v>
      </c>
      <c r="B22" s="55" t="n">
        <f aca="false">+B434</f>
        <v>5960.34</v>
      </c>
      <c r="C22" s="55" t="n">
        <f aca="false">+C434</f>
        <v>7619.16</v>
      </c>
      <c r="D22" s="55" t="n">
        <f aca="false">+D434</f>
        <v>9785.26</v>
      </c>
      <c r="E22" s="55" t="n">
        <f aca="false">+E434</f>
        <v>13034.08</v>
      </c>
      <c r="F22" s="55" t="n">
        <f aca="false">+F434</f>
        <v>15709.15</v>
      </c>
      <c r="G22" s="55" t="n">
        <f aca="false">+G434</f>
        <v>12432.96</v>
      </c>
      <c r="H22" s="55" t="n">
        <f aca="false">+H434</f>
        <v>12799.48</v>
      </c>
      <c r="I22" s="55" t="n">
        <f aca="false">+I434</f>
        <v>15614.33</v>
      </c>
      <c r="J22" s="55" t="n">
        <f aca="false">+J434</f>
        <v>15084.83</v>
      </c>
      <c r="K22" s="55" t="n">
        <f aca="false">+K434</f>
        <v>14905.06</v>
      </c>
      <c r="L22" s="55" t="n">
        <f aca="false">+L434</f>
        <v>18380.6</v>
      </c>
      <c r="M22" s="55" t="n">
        <f aca="false">+M434</f>
        <v>23894.03</v>
      </c>
      <c r="N22" s="55" t="n">
        <f aca="false">+N434</f>
        <v>30342.86</v>
      </c>
      <c r="O22" s="55" t="n">
        <f aca="false">+O434</f>
        <v>38681.71</v>
      </c>
      <c r="P22" s="55" t="n">
        <f aca="false">+P434</f>
        <v>54633.13</v>
      </c>
      <c r="Q22" s="55" t="n">
        <f aca="false">+Q434</f>
        <v>57653.46</v>
      </c>
      <c r="R22" s="55" t="n">
        <f aca="false">+R434</f>
        <v>44524.434</v>
      </c>
      <c r="S22" s="55" t="n">
        <f aca="false">+S434</f>
        <v>52193.167</v>
      </c>
      <c r="T22" s="55" t="n">
        <f aca="false">+T434</f>
        <v>81234.515</v>
      </c>
      <c r="U22" s="55" t="n">
        <f aca="false">+U434</f>
        <v>94641.003</v>
      </c>
      <c r="V22" s="55" t="n">
        <f aca="false">+V434</f>
        <v>91234.36</v>
      </c>
      <c r="W22" s="55" t="n">
        <f aca="false">+W434</f>
        <v>76029.73</v>
      </c>
      <c r="X22" s="55" t="n">
        <f aca="false">+X434</f>
        <v>99652.098</v>
      </c>
      <c r="Y22" s="55" t="n">
        <f aca="false">+Y434</f>
        <v>131948.604</v>
      </c>
      <c r="Z22" s="55" t="n">
        <f aca="false">+Z434</f>
        <v>139572.646</v>
      </c>
      <c r="AA22" s="55" t="n">
        <f aca="false">+AA434</f>
        <v>186212.747</v>
      </c>
      <c r="AB22" s="55" t="n">
        <f aca="false">+AB434</f>
        <v>206795.7</v>
      </c>
      <c r="AC22" s="55" t="n">
        <f aca="false">+AC434</f>
        <v>123691.5</v>
      </c>
      <c r="AD22" s="55" t="n">
        <f aca="false">+AD434</f>
        <v>114033.1</v>
      </c>
      <c r="AE22" s="55" t="n">
        <f aca="false">+AE434</f>
        <v>167610.7</v>
      </c>
      <c r="AF22" s="55" t="n">
        <f aca="false">+AF434</f>
        <v>278491.5</v>
      </c>
      <c r="AG22" s="55" t="n">
        <f aca="false">+AG434</f>
        <v>279120.1</v>
      </c>
      <c r="AH22" s="55" t="n">
        <f aca="false">+AH434</f>
        <v>276227.8</v>
      </c>
      <c r="AI22" s="55" t="n">
        <f aca="false">+AI434</f>
        <v>314171.4</v>
      </c>
      <c r="AJ22" s="55" t="n">
        <f aca="false">+AJ434</f>
        <v>347869.127987938</v>
      </c>
      <c r="AK22" s="55" t="n">
        <f aca="false">+AK434</f>
        <v>373186.611619762</v>
      </c>
      <c r="AL22" s="55" t="n">
        <f aca="false">+AL434</f>
        <v>401195.306230658</v>
      </c>
      <c r="AM22" s="53"/>
      <c r="AN22" s="54" t="s">
        <v>172</v>
      </c>
      <c r="AO22" s="55" t="n">
        <f aca="false">+AO20*AO23</f>
        <v>31357.3999999999</v>
      </c>
      <c r="AP22" s="55" t="n">
        <f aca="false">+AP20*AP23</f>
        <v>11736.5</v>
      </c>
      <c r="AQ22" s="55" t="n">
        <f aca="false">+AQ20*AQ23</f>
        <v>5351.39999999999</v>
      </c>
      <c r="AR22" s="55" t="n">
        <f aca="false">+AR20*AR23</f>
        <v>9945.20000000001</v>
      </c>
      <c r="AS22" s="55" t="n">
        <f aca="false">+AS20*AS23</f>
        <v>29307</v>
      </c>
      <c r="AT22" s="55" t="n">
        <f aca="false">+AT20*AT23</f>
        <v>46065.8000000001</v>
      </c>
      <c r="AU22" s="55" t="n">
        <f aca="false">+AU20*AU23</f>
        <v>49305.6</v>
      </c>
      <c r="AV22" s="55" t="n">
        <f aca="false">+AV20*AV23</f>
        <v>57322.5000000002</v>
      </c>
      <c r="AW22" s="55" t="n">
        <f aca="false">+AW20*AW23</f>
        <v>57545.4850789212</v>
      </c>
      <c r="AX22" s="55" t="n">
        <f aca="false">+AX20*AX23</f>
        <v>63844.1376391677</v>
      </c>
      <c r="AY22" s="52" t="n">
        <f aca="false">+SQRT(AX22/AV22)-1</f>
        <v>0.0553534910787283</v>
      </c>
    </row>
    <row r="23" customFormat="false" ht="15" hidden="false" customHeight="true" outlineLevel="0" collapsed="false">
      <c r="A23" s="29" t="s">
        <v>229</v>
      </c>
      <c r="B23" s="49" t="n">
        <f aca="false">B22/B16*100</f>
        <v>72.5652167031704</v>
      </c>
      <c r="C23" s="49" t="n">
        <f aca="false">C22/C16*100</f>
        <v>71.9502072337761</v>
      </c>
      <c r="D23" s="49" t="n">
        <f aca="false">D22/D16*100</f>
        <v>73.3440317083646</v>
      </c>
      <c r="E23" s="49" t="n">
        <f aca="false">E22/E16*100</f>
        <v>72.8250806384475</v>
      </c>
      <c r="F23" s="49" t="n">
        <f aca="false">F22/F16*100</f>
        <v>72.0175070233476</v>
      </c>
      <c r="G23" s="49" t="n">
        <f aca="false">G22/G16*100</f>
        <v>70.2907574795067</v>
      </c>
      <c r="H23" s="49" t="n">
        <f aca="false">H22/H16*100</f>
        <v>70.3781336244889</v>
      </c>
      <c r="I23" s="49" t="n">
        <f aca="false">I22/I16*100</f>
        <v>69.2968036448621</v>
      </c>
      <c r="J23" s="49" t="n">
        <f aca="false">J22/J16*100</f>
        <v>66.9837904948997</v>
      </c>
      <c r="K23" s="49" t="n">
        <f aca="false">K22/K16*100</f>
        <v>65.9151937337258</v>
      </c>
      <c r="L23" s="49" t="n">
        <f aca="false">L22/L16*100</f>
        <v>68.5747330131045</v>
      </c>
      <c r="M23" s="49" t="n">
        <f aca="false">M22/M16*100</f>
        <v>70.4032017594002</v>
      </c>
      <c r="N23" s="49" t="n">
        <f aca="false">N22/N16*100</f>
        <v>72.5493009001099</v>
      </c>
      <c r="O23" s="49" t="n">
        <f aca="false">O22/O16*100</f>
        <v>73.7123443853133</v>
      </c>
      <c r="P23" s="49" t="n">
        <f aca="false">P22/P16*100</f>
        <v>76.2162229275621</v>
      </c>
      <c r="Q23" s="49" t="n">
        <f aca="false">Q22/Q16*100</f>
        <v>74.5924990454932</v>
      </c>
      <c r="R23" s="49" t="n">
        <f aca="false">R22/R16*100</f>
        <v>74.4422092641995</v>
      </c>
      <c r="S23" s="49" t="n">
        <f aca="false">S22/S16*100</f>
        <v>72.0431368513621</v>
      </c>
      <c r="T23" s="49" t="n">
        <f aca="false">T22/T16*100</f>
        <v>73.0676751837991</v>
      </c>
      <c r="U23" s="49" t="n">
        <f aca="false">U22/U16*100</f>
        <v>73.762905945864</v>
      </c>
      <c r="V23" s="49" t="n">
        <f aca="false">V22/V16*100</f>
        <v>73.0974265295004</v>
      </c>
      <c r="W23" s="49" t="n">
        <f aca="false">W22/W16*100</f>
        <v>76.4623024776761</v>
      </c>
      <c r="X23" s="49" t="n">
        <f aca="false">X22/X16*100</f>
        <v>73.4779154589826</v>
      </c>
      <c r="Y23" s="49" t="n">
        <f aca="false">Y22/Y16*100</f>
        <v>69.6765516358611</v>
      </c>
      <c r="Z23" s="49" t="n">
        <f aca="false">Z22/Z16*100</f>
        <v>69.7212841972494</v>
      </c>
      <c r="AA23" s="49" t="n">
        <f aca="false">AA22/AA16*100</f>
        <v>70.9438434900939</v>
      </c>
      <c r="AB23" s="49" t="n">
        <f aca="false">AB22/AB16*100</f>
        <v>71.1739996110818</v>
      </c>
      <c r="AC23" s="49" t="n">
        <f aca="false">AC22/AC16*100</f>
        <v>70.8124874409402</v>
      </c>
      <c r="AD23" s="49" t="n">
        <f aca="false">AD22/AD16*100</f>
        <v>74.524375140918</v>
      </c>
      <c r="AE23" s="49" t="n">
        <f aca="false">AE22/AE16*100</f>
        <v>77.2816575211785</v>
      </c>
      <c r="AF23" s="49" t="n">
        <f aca="false">AF22/AF16*100</f>
        <v>77.0502493626906</v>
      </c>
      <c r="AG23" s="49" t="n">
        <f aca="false">AG22/AG16*100</f>
        <v>72.7499887273005</v>
      </c>
      <c r="AH23" s="49" t="n">
        <f aca="false">AH22/AH16*100</f>
        <v>71.27955339416</v>
      </c>
      <c r="AI23" s="49" t="n">
        <f aca="false">AI22/AI16*100</f>
        <v>71.3911845448329</v>
      </c>
      <c r="AJ23" s="49" t="n">
        <f aca="false">AJ22/AJ16*100</f>
        <v>72.5</v>
      </c>
      <c r="AK23" s="49" t="n">
        <f aca="false">AK22/AK16*100</f>
        <v>72</v>
      </c>
      <c r="AL23" s="49" t="n">
        <f aca="false">AL22/AL16*100</f>
        <v>72</v>
      </c>
      <c r="AM23" s="36"/>
      <c r="AN23" s="50" t="s">
        <v>248</v>
      </c>
      <c r="AO23" s="49" t="n">
        <f aca="false">+AB44</f>
        <v>0.107924467259451</v>
      </c>
      <c r="AP23" s="49" t="n">
        <f aca="false">+AC44</f>
        <v>0.0671906120348282</v>
      </c>
      <c r="AQ23" s="49" t="n">
        <f aca="false">+AD44</f>
        <v>0.0349731561387973</v>
      </c>
      <c r="AR23" s="49" t="n">
        <f aca="false">+AE44</f>
        <v>0.0458551596276148</v>
      </c>
      <c r="AS23" s="49" t="n">
        <f aca="false">+AF44</f>
        <v>0.0810836832747992</v>
      </c>
      <c r="AT23" s="49" t="n">
        <f aca="false">+AG44</f>
        <v>0.120066108843974</v>
      </c>
      <c r="AU23" s="49" t="n">
        <f aca="false">+AH44</f>
        <v>0.127231261583052</v>
      </c>
      <c r="AV23" s="49" t="n">
        <f aca="false">+AI44</f>
        <v>0.130257597479312</v>
      </c>
      <c r="AW23" s="49" t="n">
        <f aca="false">+AJ44</f>
        <v>0.119931529778246</v>
      </c>
      <c r="AX23" s="49" t="n">
        <f aca="false">+AK44</f>
        <v>0.123176388618778</v>
      </c>
      <c r="AY23" s="36"/>
    </row>
    <row r="24" customFormat="false" ht="15" hidden="false" customHeight="true" outlineLevel="0" collapsed="false">
      <c r="A24" s="29"/>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50" t="s">
        <v>249</v>
      </c>
      <c r="AO24" s="31" t="n">
        <f aca="false">+AB46-AB45-AB49</f>
        <v>-5814.5</v>
      </c>
      <c r="AP24" s="31" t="n">
        <f aca="false">+AC46-AC45-AC49</f>
        <v>-6559.1</v>
      </c>
      <c r="AQ24" s="31" t="n">
        <f aca="false">+AD46-AD45-AD49</f>
        <v>-9350</v>
      </c>
      <c r="AR24" s="31" t="n">
        <f aca="false">+AE46-AE45-AE49</f>
        <v>-9777.4</v>
      </c>
      <c r="AS24" s="31" t="n">
        <f aca="false">+AF46-AF45-AF49+AF50</f>
        <v>-8203</v>
      </c>
      <c r="AT24" s="31" t="n">
        <f aca="false">+AG46-AG45-AG49</f>
        <v>-7206.8</v>
      </c>
      <c r="AU24" s="31" t="n">
        <f aca="false">+AH46-AH45-AH49</f>
        <v>-6860</v>
      </c>
      <c r="AV24" s="31" t="n">
        <f aca="false">+AI46-AI45-AI49</f>
        <v>-5697.5</v>
      </c>
      <c r="AW24" s="31" t="n">
        <f aca="false">+AJ46-AJ45-AJ49</f>
        <v>-5423.03479716902</v>
      </c>
      <c r="AX24" s="31" t="n">
        <f aca="false">+AK46-AK45-AK49</f>
        <v>-5383.36486134668</v>
      </c>
      <c r="AY24" s="30"/>
    </row>
    <row r="25" customFormat="false" ht="15" hidden="false" customHeight="true" outlineLevel="0" collapsed="false">
      <c r="A25" s="29" t="s">
        <v>250</v>
      </c>
      <c r="B25" s="31" t="n">
        <f aca="false">B22/B8*1000000</f>
        <v>289744.786349716</v>
      </c>
      <c r="C25" s="31" t="n">
        <f aca="false">C22/C8*1000000</f>
        <v>314503.426071163</v>
      </c>
      <c r="D25" s="31" t="n">
        <f aca="false">D22/D8*1000000</f>
        <v>321777.704702401</v>
      </c>
      <c r="E25" s="31" t="n">
        <f aca="false">E22/E8*1000000</f>
        <v>348514.131393888</v>
      </c>
      <c r="F25" s="31" t="n">
        <f aca="false">F22/F8*1000000</f>
        <v>362362.751430153</v>
      </c>
      <c r="G25" s="31" t="n">
        <f aca="false">G22/G8*1000000</f>
        <v>394109.107046629</v>
      </c>
      <c r="H25" s="31" t="n">
        <f aca="false">H22/H8*1000000</f>
        <v>430364.816246932</v>
      </c>
      <c r="I25" s="31" t="n">
        <f aca="false">I22/I8*1000000</f>
        <v>412433.76740009</v>
      </c>
      <c r="J25" s="31" t="n">
        <f aca="false">J22/J8*1000000</f>
        <v>464505.927636644</v>
      </c>
      <c r="K25" s="31" t="n">
        <f aca="false">K22/K8*1000000</f>
        <v>502310.517979308</v>
      </c>
      <c r="L25" s="31" t="n">
        <f aca="false">L22/L8*1000000</f>
        <v>504351.882340029</v>
      </c>
      <c r="M25" s="31" t="n">
        <f aca="false">M22/M8*1000000</f>
        <v>491101.039996712</v>
      </c>
      <c r="N25" s="31" t="n">
        <f aca="false">N22/N8*1000000</f>
        <v>554308.732188528</v>
      </c>
      <c r="O25" s="31" t="n">
        <f aca="false">O22/O8*1000000</f>
        <v>627389.668315627</v>
      </c>
      <c r="P25" s="31" t="n">
        <f aca="false">P22/P8*1000000</f>
        <v>657509.597910725</v>
      </c>
      <c r="Q25" s="31" t="n">
        <f aca="false">Q22/Q8*1000000</f>
        <v>692043.596730245</v>
      </c>
      <c r="R25" s="31" t="n">
        <f aca="false">R22/R8*1000000</f>
        <v>817997.721886425</v>
      </c>
      <c r="S25" s="31" t="n">
        <f aca="false">S22/S8*1000000</f>
        <v>816462.268873385</v>
      </c>
      <c r="T25" s="31" t="n">
        <f aca="false">T22/T8*1000000</f>
        <v>863223.545788791</v>
      </c>
      <c r="U25" s="31" t="n">
        <f aca="false">U22/U8*1000000</f>
        <v>927943.945484852</v>
      </c>
      <c r="V25" s="31" t="n">
        <f aca="false">V22/V8*1000000</f>
        <v>796034.935564649</v>
      </c>
      <c r="W25" s="31" t="n">
        <f aca="false">W22/W8*1000000</f>
        <v>851044.136248139</v>
      </c>
      <c r="X25" s="31" t="n">
        <f aca="false">X22/X8*1000000</f>
        <v>949954.223942346</v>
      </c>
      <c r="Y25" s="31" t="n">
        <f aca="false">Y22/Y8*1000000</f>
        <v>939423.481919734</v>
      </c>
      <c r="Z25" s="31" t="n">
        <f aca="false">Z22/Z8*1000000</f>
        <v>962132.036452374</v>
      </c>
      <c r="AA25" s="31" t="n">
        <f aca="false">AA22/AA8*1000000</f>
        <v>1064845.61367392</v>
      </c>
      <c r="AB25" s="31" t="n">
        <f aca="false">AB22/AB8*1000000</f>
        <v>1047777.73274019</v>
      </c>
      <c r="AC25" s="31" t="n">
        <f aca="false">AC22/AC8*1000000</f>
        <v>987533.23273694</v>
      </c>
      <c r="AD25" s="31" t="n">
        <f aca="false">AD22/AD8*1000000</f>
        <v>1132235.51606017</v>
      </c>
      <c r="AE25" s="31" t="n">
        <f aca="false">AE22/AE8*1000000</f>
        <v>1306132.0387139</v>
      </c>
      <c r="AF25" s="31" t="n">
        <f aca="false">AF22/AF8*1000000</f>
        <v>1448929.52836815</v>
      </c>
      <c r="AG25" s="31" t="n">
        <f aca="false">AG22/AG8*1000000</f>
        <v>1433715.83548641</v>
      </c>
      <c r="AH25" s="31" t="n">
        <f aca="false">AH22/AH8*1000000</f>
        <v>1415877.55583235</v>
      </c>
      <c r="AI25" s="31" t="n">
        <f aca="false">AI22/AI8*1000000</f>
        <v>1425220.81138829</v>
      </c>
      <c r="AJ25" s="31" t="n">
        <f aca="false">AJ22/AJ8*1000000</f>
        <v>1465356.01069985</v>
      </c>
      <c r="AK25" s="31" t="n">
        <f aca="false">AK22/AK8*1000000</f>
        <v>1468129.49011869</v>
      </c>
      <c r="AL25" s="31" t="n">
        <f aca="false">AL22/AL8*1000000</f>
        <v>1484216.06982527</v>
      </c>
      <c r="AM25" s="30"/>
      <c r="AN25" s="50" t="s">
        <v>251</v>
      </c>
      <c r="AO25" s="31" t="n">
        <f aca="false">+AO22+AO24</f>
        <v>25542.8999999999</v>
      </c>
      <c r="AP25" s="31" t="n">
        <f aca="false">+AP22+AP24</f>
        <v>5177.4</v>
      </c>
      <c r="AQ25" s="31" t="n">
        <f aca="false">+AQ22+AQ24</f>
        <v>-3998.60000000001</v>
      </c>
      <c r="AR25" s="31" t="n">
        <f aca="false">+AR22+AR24</f>
        <v>167.80000000001</v>
      </c>
      <c r="AS25" s="31" t="n">
        <f aca="false">+AS22+AS24</f>
        <v>21104</v>
      </c>
      <c r="AT25" s="31" t="n">
        <f aca="false">+AT22+AT24</f>
        <v>38859</v>
      </c>
      <c r="AU25" s="31" t="n">
        <f aca="false">+AU22+AU24</f>
        <v>42445.6</v>
      </c>
      <c r="AV25" s="31" t="n">
        <f aca="false">+AV22+AV24</f>
        <v>51625.0000000002</v>
      </c>
      <c r="AW25" s="31" t="n">
        <f aca="false">+AW22+AW24</f>
        <v>52122.4502817522</v>
      </c>
      <c r="AX25" s="31" t="n">
        <f aca="false">+AX22+AX24</f>
        <v>58460.772777821</v>
      </c>
      <c r="AY25" s="30"/>
    </row>
    <row r="26" customFormat="false" ht="15" hidden="false" customHeight="true" outlineLevel="0" collapsed="false">
      <c r="A26" s="29"/>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50" t="s">
        <v>252</v>
      </c>
      <c r="AO26" s="31" t="n">
        <f aca="false">+AB52</f>
        <v>5136</v>
      </c>
      <c r="AP26" s="31" t="n">
        <f aca="false">+AC52</f>
        <v>1224</v>
      </c>
      <c r="AQ26" s="31" t="n">
        <f aca="false">+AD52</f>
        <v>-982.3</v>
      </c>
      <c r="AR26" s="31" t="n">
        <f aca="false">+AE52</f>
        <v>-142.2</v>
      </c>
      <c r="AS26" s="31" t="n">
        <f aca="false">+AF52</f>
        <v>7302.9</v>
      </c>
      <c r="AT26" s="31" t="n">
        <f aca="false">+AG52</f>
        <v>11743.1</v>
      </c>
      <c r="AU26" s="31" t="n">
        <f aca="false">+AH52</f>
        <v>10450</v>
      </c>
      <c r="AV26" s="31" t="n">
        <f aca="false">+AI52</f>
        <v>12484.9</v>
      </c>
      <c r="AW26" s="31" t="n">
        <f aca="false">+AJ52</f>
        <v>13030.6125704381</v>
      </c>
      <c r="AX26" s="31" t="n">
        <f aca="false">+AK52</f>
        <v>14615.1931944552</v>
      </c>
      <c r="AY26" s="30"/>
    </row>
    <row r="27" customFormat="false" ht="15" hidden="false" customHeight="true" outlineLevel="0" collapsed="false">
      <c r="A27" s="29" t="s">
        <v>253</v>
      </c>
      <c r="B27" s="31" t="n">
        <f aca="false">(B16-B22)/B8*1000000</f>
        <v>109544.018278159</v>
      </c>
      <c r="C27" s="31" t="n">
        <f aca="false">(C16-C22)/C8*1000000</f>
        <v>122609.180219599</v>
      </c>
      <c r="D27" s="31" t="n">
        <f aca="false">(D16-D22)/D8*1000000</f>
        <v>116946.070371588</v>
      </c>
      <c r="E27" s="31" t="n">
        <f aca="false">(E16-E22)/E8*1000000</f>
        <v>130049.199176449</v>
      </c>
      <c r="F27" s="31" t="n">
        <f aca="false">(F16-F22)/F8*1000000</f>
        <v>140796.503044842</v>
      </c>
      <c r="G27" s="31" t="n">
        <f aca="false">(G16-G22)/G8*1000000</f>
        <v>166575.001616635</v>
      </c>
      <c r="H27" s="31" t="n">
        <f aca="false">(H16-H22)/H8*1000000</f>
        <v>181138.777387983</v>
      </c>
      <c r="I27" s="31" t="n">
        <f aca="false">(I16-I22)/I8*1000000</f>
        <v>182736.205393698</v>
      </c>
      <c r="J27" s="31" t="n">
        <f aca="false">(J16-J22)/J8*1000000</f>
        <v>228954.272517321</v>
      </c>
      <c r="K27" s="31" t="n">
        <f aca="false">(K16-K22)/K8*1000000</f>
        <v>259745.222929936</v>
      </c>
      <c r="L27" s="31" t="n">
        <f aca="false">(L16-L22)/L8*1000000</f>
        <v>231125.83690045</v>
      </c>
      <c r="M27" s="31" t="n">
        <f aca="false">(M16-M22)/M8*1000000</f>
        <v>206453.940066593</v>
      </c>
      <c r="N27" s="31" t="n">
        <f aca="false">(N16-N22)/N8*1000000</f>
        <v>209735.476799415</v>
      </c>
      <c r="O27" s="31" t="n">
        <f aca="false">(O16-O22)/O8*1000000</f>
        <v>223742.762144189</v>
      </c>
      <c r="P27" s="31" t="n">
        <f aca="false">(P16-P22)/P8*1000000</f>
        <v>205180.224091658</v>
      </c>
      <c r="Q27" s="31" t="n">
        <f aca="false">(Q16-Q22)/Q8*1000000</f>
        <v>235722.070844687</v>
      </c>
      <c r="R27" s="31" t="n">
        <f aca="false">(R16-R22)/R8*1000000</f>
        <v>280838.180448642</v>
      </c>
      <c r="S27" s="31" t="n">
        <f aca="false">(S16-S22)/S8*1000000</f>
        <v>316834.120702062</v>
      </c>
      <c r="T27" s="31" t="n">
        <f aca="false">(T16-T22)/T8*1000000</f>
        <v>318179.234055215</v>
      </c>
      <c r="U27" s="31" t="n">
        <f aca="false">(U16-U22)/U8*1000000</f>
        <v>330064.986763408</v>
      </c>
      <c r="V27" s="31" t="n">
        <f aca="false">(V16-V22)/V8*1000000</f>
        <v>292970.482763435</v>
      </c>
      <c r="W27" s="31" t="n">
        <f aca="false">(W16-W22)/W8*1000000</f>
        <v>261980.332896784</v>
      </c>
      <c r="X27" s="31" t="n">
        <f aca="false">(X16-X22)/X8*1000000</f>
        <v>342888.963032164</v>
      </c>
      <c r="Y27" s="31" t="n">
        <f aca="false">(Y16-Y22)/Y8*1000000</f>
        <v>408839.972375887</v>
      </c>
      <c r="Z27" s="31" t="n">
        <f aca="false">(Z16-Z22)/Z8*1000000</f>
        <v>417836.860463513</v>
      </c>
      <c r="AA27" s="31" t="n">
        <f aca="false">(AA16-AA22)/AA8*1000000</f>
        <v>436124.112927667</v>
      </c>
      <c r="AB27" s="31" t="n">
        <f aca="false">(AB16-AB22)/AB8*1000000</f>
        <v>424357.79212225</v>
      </c>
      <c r="AC27" s="31" t="n">
        <f aca="false">(AC16-AC22)/AC8*1000000</f>
        <v>407041.747503054</v>
      </c>
      <c r="AD27" s="31" t="n">
        <f aca="false">(AD16-AD22)/AD8*1000000</f>
        <v>387046.616690662</v>
      </c>
      <c r="AE27" s="31" t="n">
        <f aca="false">(AE16-AE22)/AE8*1000000</f>
        <v>383961.161417016</v>
      </c>
      <c r="AF27" s="31" t="n">
        <f aca="false">(AF16-AF22)/AF8*1000000</f>
        <v>431569.938347077</v>
      </c>
      <c r="AG27" s="31" t="n">
        <f aca="false">(AG16-AG22)/AG8*1000000</f>
        <v>537027.88635885</v>
      </c>
      <c r="AH27" s="31" t="n">
        <f aca="false">(AH16-AH22)/AH8*1000000</f>
        <v>570495.097210049</v>
      </c>
      <c r="AI27" s="31" t="n">
        <f aca="false">(AI16-AI22)/AI8*1000000</f>
        <v>571133.248955485</v>
      </c>
      <c r="AJ27" s="31" t="n">
        <f aca="false">(AJ16-AJ22)/AJ8*1000000</f>
        <v>555824.693713736</v>
      </c>
      <c r="AK27" s="31" t="n">
        <f aca="false">(AK16-AK22)/AK8*1000000</f>
        <v>570939.246157269</v>
      </c>
      <c r="AL27" s="31" t="n">
        <f aca="false">(AL16-AL22)/AL8*1000000</f>
        <v>577195.138265382</v>
      </c>
      <c r="AM27" s="30"/>
      <c r="AN27" s="50" t="s">
        <v>254</v>
      </c>
      <c r="AO27" s="31" t="n">
        <f aca="false">+AO25-AO26</f>
        <v>20406.8999999999</v>
      </c>
      <c r="AP27" s="31" t="n">
        <f aca="false">+AP25-AP26</f>
        <v>3953.4</v>
      </c>
      <c r="AQ27" s="31" t="n">
        <f aca="false">+AQ25-AQ26</f>
        <v>-3016.30000000001</v>
      </c>
      <c r="AR27" s="31" t="n">
        <f aca="false">+AR25-AR26</f>
        <v>310.00000000001</v>
      </c>
      <c r="AS27" s="31" t="n">
        <f aca="false">+AS25-AS26</f>
        <v>13801.1</v>
      </c>
      <c r="AT27" s="31" t="n">
        <f aca="false">+AT25-AT26</f>
        <v>27115.9</v>
      </c>
      <c r="AU27" s="31" t="n">
        <f aca="false">+AU25-AU26+AH55-AH53+AH50</f>
        <v>32254.925</v>
      </c>
      <c r="AV27" s="31" t="n">
        <f aca="false">+AV25-AV26</f>
        <v>39140.1000000002</v>
      </c>
      <c r="AW27" s="31" t="n">
        <f aca="false">+AW25-AW26</f>
        <v>39091.8377113142</v>
      </c>
      <c r="AX27" s="31" t="n">
        <f aca="false">+AX25-AX26</f>
        <v>43845.5795833657</v>
      </c>
      <c r="AY27" s="30"/>
    </row>
    <row r="28" customFormat="false" ht="15" hidden="false" customHeight="true" outlineLevel="0" collapsed="false">
      <c r="A28" s="29"/>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50" t="s">
        <v>255</v>
      </c>
      <c r="AO28" s="31" t="n">
        <f aca="false">+AB101</f>
        <v>-7412.3</v>
      </c>
      <c r="AP28" s="31" t="n">
        <f aca="false">+AC101</f>
        <v>19588.9</v>
      </c>
      <c r="AQ28" s="31" t="n">
        <f aca="false">+AD101</f>
        <v>30183</v>
      </c>
      <c r="AR28" s="31" t="n">
        <f aca="false">+AE101</f>
        <v>12088.7</v>
      </c>
      <c r="AS28" s="31" t="n">
        <f aca="false">+AF101</f>
        <v>-478.800000000003</v>
      </c>
      <c r="AT28" s="31" t="n">
        <f aca="false">+AG101</f>
        <v>-13878.4</v>
      </c>
      <c r="AU28" s="31" t="n">
        <f aca="false">+AH101</f>
        <v>-42429.3</v>
      </c>
      <c r="AV28" s="31" t="n">
        <f aca="false">+AI101</f>
        <v>-59017.2</v>
      </c>
      <c r="AW28" s="31" t="n">
        <f aca="false">+AJ101</f>
        <v>-69724.188568351</v>
      </c>
      <c r="AX28" s="31" t="n">
        <f aca="false">+AK101</f>
        <v>-93625.4277438045</v>
      </c>
      <c r="AY28" s="30"/>
    </row>
    <row r="29" customFormat="false" ht="15" hidden="false" customHeight="true" outlineLevel="0" collapsed="false">
      <c r="A29" s="29" t="s">
        <v>256</v>
      </c>
      <c r="B29" s="31" t="n">
        <f aca="false">+B467</f>
        <v>718.28</v>
      </c>
      <c r="C29" s="31" t="n">
        <f aca="false">+C467</f>
        <v>934.41</v>
      </c>
      <c r="D29" s="31" t="n">
        <f aca="false">+D467</f>
        <v>1138.95</v>
      </c>
      <c r="E29" s="31" t="n">
        <f aca="false">+E467</f>
        <v>1571.62</v>
      </c>
      <c r="F29" s="31" t="n">
        <f aca="false">+F467</f>
        <v>1864.34</v>
      </c>
      <c r="G29" s="31" t="n">
        <f aca="false">+G467</f>
        <v>1846.74</v>
      </c>
      <c r="H29" s="31" t="n">
        <f aca="false">+H467</f>
        <v>2083.88</v>
      </c>
      <c r="I29" s="31" t="n">
        <f aca="false">+I467</f>
        <v>2286.04</v>
      </c>
      <c r="J29" s="31" t="n">
        <f aca="false">+J467</f>
        <v>2502.22</v>
      </c>
      <c r="K29" s="31" t="n">
        <f aca="false">+K467</f>
        <v>2570.68</v>
      </c>
      <c r="L29" s="31" t="n">
        <f aca="false">+L467</f>
        <v>2906.46</v>
      </c>
      <c r="M29" s="31" t="n">
        <f aca="false">+M467</f>
        <v>3097.42</v>
      </c>
      <c r="N29" s="31" t="n">
        <f aca="false">+N467</f>
        <v>3540.45</v>
      </c>
      <c r="O29" s="31" t="n">
        <f aca="false">+O467</f>
        <v>4038.87</v>
      </c>
      <c r="P29" s="31" t="n">
        <f aca="false">+P467</f>
        <v>4806.95</v>
      </c>
      <c r="Q29" s="31" t="n">
        <f aca="false">+Q467</f>
        <v>6161.72</v>
      </c>
      <c r="R29" s="31" t="n">
        <f aca="false">+R467</f>
        <v>5662.611</v>
      </c>
      <c r="S29" s="31" t="n">
        <f aca="false">+S467</f>
        <v>6716.148</v>
      </c>
      <c r="T29" s="31" t="n">
        <f aca="false">+T467</f>
        <v>9246.001</v>
      </c>
      <c r="U29" s="31" t="n">
        <f aca="false">+U467</f>
        <v>10361.927</v>
      </c>
      <c r="V29" s="31" t="n">
        <f aca="false">+V467</f>
        <v>10867.378</v>
      </c>
      <c r="W29" s="31" t="n">
        <f aca="false">+W467</f>
        <v>9996.723</v>
      </c>
      <c r="X29" s="31" t="n">
        <f aca="false">+X467</f>
        <v>11840.038</v>
      </c>
      <c r="Y29" s="31" t="n">
        <f aca="false">+Y467</f>
        <v>13850.628</v>
      </c>
      <c r="Z29" s="31" t="n">
        <f aca="false">+Z467</f>
        <v>15309.35</v>
      </c>
      <c r="AA29" s="31" t="n">
        <f aca="false">+AA467</f>
        <v>18119.224</v>
      </c>
      <c r="AB29" s="31" t="n">
        <f aca="false">+AB467</f>
        <v>20987.7</v>
      </c>
      <c r="AC29" s="31" t="n">
        <f aca="false">+AC467</f>
        <v>16150.6</v>
      </c>
      <c r="AD29" s="31" t="n">
        <f aca="false">+AD467</f>
        <v>15838.9</v>
      </c>
      <c r="AE29" s="31" t="n">
        <f aca="false">+AE467</f>
        <v>16946</v>
      </c>
      <c r="AF29" s="31" t="n">
        <f aca="false">+AF467</f>
        <v>21138.6</v>
      </c>
      <c r="AG29" s="31" t="n">
        <f aca="false">+AG467</f>
        <v>22333.8</v>
      </c>
      <c r="AH29" s="31" t="n">
        <f aca="false">+AH467</f>
        <v>24062.7</v>
      </c>
      <c r="AI29" s="31" t="n">
        <f aca="false">+AI467</f>
        <v>26066.9</v>
      </c>
      <c r="AJ29" s="31" t="n">
        <f aca="false">+AJ467</f>
        <v>28673.59</v>
      </c>
      <c r="AK29" s="31" t="n">
        <f aca="false">+AK467</f>
        <v>30967.4772</v>
      </c>
      <c r="AL29" s="31" t="n">
        <f aca="false">+AL467</f>
        <v>33444.875376</v>
      </c>
      <c r="AM29" s="30"/>
      <c r="AN29" s="50" t="s">
        <v>171</v>
      </c>
      <c r="AO29" s="30"/>
      <c r="AP29" s="31" t="n">
        <f aca="false">+AM2</f>
        <v>18</v>
      </c>
      <c r="AQ29" s="30"/>
      <c r="AR29" s="30"/>
      <c r="AS29" s="30"/>
      <c r="AT29" s="30"/>
      <c r="AU29" s="30"/>
      <c r="AV29" s="30"/>
      <c r="AW29" s="30"/>
      <c r="AX29" s="30"/>
      <c r="AY29" s="30"/>
    </row>
    <row r="30" customFormat="false" ht="15" hidden="false" customHeight="true" outlineLevel="0" collapsed="false">
      <c r="A30" s="29" t="s">
        <v>229</v>
      </c>
      <c r="B30" s="49" t="n">
        <f aca="false">B29/B16*100</f>
        <v>8.74482728393904</v>
      </c>
      <c r="C30" s="49" t="n">
        <f aca="false">C29/C16*100</f>
        <v>8.82393769671627</v>
      </c>
      <c r="D30" s="49" t="n">
        <f aca="false">D29/D16*100</f>
        <v>8.53683856272004</v>
      </c>
      <c r="E30" s="49" t="n">
        <f aca="false">E29/E16*100</f>
        <v>8.78108414502573</v>
      </c>
      <c r="F30" s="49" t="n">
        <f aca="false">F29/F16*100</f>
        <v>8.54693723364459</v>
      </c>
      <c r="G30" s="49" t="n">
        <f aca="false">G29/G16*100</f>
        <v>10.4406958172233</v>
      </c>
      <c r="H30" s="49" t="n">
        <f aca="false">H29/H16*100</f>
        <v>11.4582455769609</v>
      </c>
      <c r="I30" s="49" t="n">
        <f aca="false">I29/I16*100</f>
        <v>10.1455051228135</v>
      </c>
      <c r="J30" s="49" t="n">
        <f aca="false">J29/J16*100</f>
        <v>11.1110420370762</v>
      </c>
      <c r="K30" s="49" t="n">
        <f aca="false">K29/K16*100</f>
        <v>11.3684124872637</v>
      </c>
      <c r="L30" s="49" t="n">
        <f aca="false">L29/L16*100</f>
        <v>10.8434827216341</v>
      </c>
      <c r="M30" s="49" t="n">
        <f aca="false">M29/M16*100</f>
        <v>9.12647574283623</v>
      </c>
      <c r="N30" s="49" t="n">
        <f aca="false">N29/N16*100</f>
        <v>8.46516025093858</v>
      </c>
      <c r="O30" s="49" t="n">
        <f aca="false">O29/O16*100</f>
        <v>7.696520561462</v>
      </c>
      <c r="P30" s="49" t="n">
        <f aca="false">P29/P16*100</f>
        <v>6.70595978670167</v>
      </c>
      <c r="Q30" s="49" t="n">
        <f aca="false">Q29/Q16*100</f>
        <v>7.97208169672031</v>
      </c>
      <c r="R30" s="49" t="n">
        <f aca="false">R29/R16*100</f>
        <v>9.46754927965526</v>
      </c>
      <c r="S30" s="49" t="n">
        <f aca="false">S29/S16*100</f>
        <v>9.27041598142534</v>
      </c>
      <c r="T30" s="49" t="n">
        <f aca="false">T29/T16*100</f>
        <v>8.31646250140204</v>
      </c>
      <c r="U30" s="49" t="n">
        <f aca="false">U29/U16*100</f>
        <v>8.0760539564327</v>
      </c>
      <c r="V30" s="49" t="n">
        <f aca="false">V29/V16*100</f>
        <v>8.70699772457776</v>
      </c>
      <c r="W30" s="49" t="n">
        <f aca="false">W29/W16*100</f>
        <v>10.0535995302304</v>
      </c>
      <c r="X30" s="49" t="n">
        <f aca="false">X29/X16*100</f>
        <v>8.7301856022654</v>
      </c>
      <c r="Y30" s="49" t="n">
        <f aca="false">Y29/Y16*100</f>
        <v>7.31393866835533</v>
      </c>
      <c r="Z30" s="49" t="n">
        <f aca="false">Z29/Z16*100</f>
        <v>7.64754106779032</v>
      </c>
      <c r="AA30" s="49" t="n">
        <f aca="false">AA29/AA16*100</f>
        <v>6.90311169523724</v>
      </c>
      <c r="AB30" s="49" t="n">
        <f aca="false">AB29/AB16*100</f>
        <v>7.22345073730982</v>
      </c>
      <c r="AC30" s="49" t="n">
        <f aca="false">AC29/AC16*100</f>
        <v>9.24610146747068</v>
      </c>
      <c r="AD30" s="49" t="n">
        <f aca="false">AD29/AD16*100</f>
        <v>10.3512412222371</v>
      </c>
      <c r="AE30" s="49" t="n">
        <f aca="false">AE29/AE16*100</f>
        <v>7.81343296313356</v>
      </c>
      <c r="AF30" s="49" t="n">
        <f aca="false">AF29/AF16*100</f>
        <v>5.84841692180254</v>
      </c>
      <c r="AG30" s="49" t="n">
        <f aca="false">AG29/AG16*100</f>
        <v>5.82109170295433</v>
      </c>
      <c r="AH30" s="49" t="n">
        <f aca="false">AH29/AH16*100</f>
        <v>6.2092899753669</v>
      </c>
      <c r="AI30" s="49" t="n">
        <f aca="false">AI29/AI16*100</f>
        <v>5.92334906491076</v>
      </c>
      <c r="AJ30" s="49" t="n">
        <f aca="false">AJ29/AJ16*100</f>
        <v>5.97591193856123</v>
      </c>
      <c r="AK30" s="49" t="n">
        <f aca="false">AK29/AK16*100</f>
        <v>5.97464723807345</v>
      </c>
      <c r="AL30" s="49" t="n">
        <f aca="false">AL29/AL16*100</f>
        <v>6.0021415746264</v>
      </c>
      <c r="AM30" s="36"/>
      <c r="AN30" s="50" t="s">
        <v>174</v>
      </c>
      <c r="AO30" s="36"/>
      <c r="AP30" s="49" t="n">
        <f aca="false">+ROUND((AP29*AVERAGE(AW22:AX22)-AVERAGE(AW28:AX28))/$AH$78/5,0)*5</f>
        <v>200</v>
      </c>
      <c r="AQ30" s="49" t="n">
        <f aca="false">+AP30-AP2</f>
        <v>0</v>
      </c>
      <c r="AR30" s="49" t="n">
        <f aca="false">+AQ30-AQ2</f>
        <v>-0.121498003030033</v>
      </c>
      <c r="AS30" s="49" t="n">
        <f aca="false">+AR30-AR2</f>
        <v>-200.12149800303</v>
      </c>
      <c r="AT30" s="49" t="n">
        <f aca="false">+AS30-AS2</f>
        <v>-200.12149800303</v>
      </c>
      <c r="AU30" s="49" t="n">
        <f aca="false">+AT30-AT2</f>
        <v>-200.12149800303</v>
      </c>
      <c r="AV30" s="49" t="n">
        <f aca="false">+AU30-AU2</f>
        <v>-200.12149800303</v>
      </c>
      <c r="AW30" s="49" t="n">
        <f aca="false">+AV30-AV2</f>
        <v>-200.12149800303</v>
      </c>
      <c r="AX30" s="49" t="n">
        <f aca="false">+AW30-AW2</f>
        <v>-200.12149800303</v>
      </c>
      <c r="AY30" s="36"/>
    </row>
    <row r="31" customFormat="false" ht="15" hidden="false" customHeight="true" outlineLevel="0" collapsed="false">
      <c r="A31" s="29" t="s">
        <v>257</v>
      </c>
      <c r="B31" s="31" t="n">
        <f aca="false">+B448</f>
        <v>82.84</v>
      </c>
      <c r="C31" s="31" t="n">
        <f aca="false">+C448</f>
        <v>132.1</v>
      </c>
      <c r="D31" s="31" t="n">
        <f aca="false">+D448</f>
        <v>123.6</v>
      </c>
      <c r="E31" s="31" t="n">
        <f aca="false">+E448</f>
        <v>237.2</v>
      </c>
      <c r="F31" s="31" t="n">
        <f aca="false">+F448</f>
        <v>295.4</v>
      </c>
      <c r="G31" s="31" t="n">
        <f aca="false">+G448</f>
        <v>217.18</v>
      </c>
      <c r="H31" s="31" t="n">
        <f aca="false">+H448</f>
        <v>163.68</v>
      </c>
      <c r="I31" s="31" t="n">
        <f aca="false">+I448</f>
        <v>230.14</v>
      </c>
      <c r="J31" s="31" t="n">
        <f aca="false">+J448</f>
        <v>228.13</v>
      </c>
      <c r="K31" s="31" t="n">
        <f aca="false">+K448</f>
        <v>240.11</v>
      </c>
      <c r="L31" s="31" t="n">
        <f aca="false">+L448</f>
        <v>-42.6</v>
      </c>
      <c r="M31" s="31" t="n">
        <f aca="false">+M448</f>
        <v>321.27</v>
      </c>
      <c r="N31" s="31" t="n">
        <f aca="false">+N448</f>
        <v>392.32</v>
      </c>
      <c r="O31" s="31" t="n">
        <f aca="false">+O448</f>
        <v>342.28</v>
      </c>
      <c r="P31" s="31" t="n">
        <f aca="false">+P448</f>
        <v>378.88</v>
      </c>
      <c r="Q31" s="31" t="n">
        <f aca="false">+Q448</f>
        <v>412.75</v>
      </c>
      <c r="R31" s="31" t="n">
        <f aca="false">+R448</f>
        <v>303.099</v>
      </c>
      <c r="S31" s="31" t="n">
        <f aca="false">+S448</f>
        <v>341.219</v>
      </c>
      <c r="T31" s="31" t="n">
        <f aca="false">+T448</f>
        <v>660.255</v>
      </c>
      <c r="U31" s="31" t="n">
        <f aca="false">+U448</f>
        <v>710.862</v>
      </c>
      <c r="V31" s="31" t="n">
        <f aca="false">+V448</f>
        <v>739.831</v>
      </c>
      <c r="W31" s="31" t="n">
        <f aca="false">+W448</f>
        <v>502.502</v>
      </c>
      <c r="X31" s="31" t="n">
        <f aca="false">+X448</f>
        <v>611.43</v>
      </c>
      <c r="Y31" s="31" t="n">
        <f aca="false">+Y448</f>
        <v>762.528</v>
      </c>
      <c r="Z31" s="31" t="n">
        <f aca="false">+Z448</f>
        <v>916.756</v>
      </c>
      <c r="AA31" s="31" t="n">
        <f aca="false">+AA448</f>
        <v>1082.912</v>
      </c>
      <c r="AB31" s="31" t="n">
        <f aca="false">+AB448</f>
        <v>1321</v>
      </c>
      <c r="AC31" s="31" t="n">
        <f aca="false">+AC448</f>
        <v>565.6</v>
      </c>
      <c r="AD31" s="31" t="n">
        <f aca="false">+AD448</f>
        <v>550.4</v>
      </c>
      <c r="AE31" s="31" t="n">
        <f aca="false">+AE448</f>
        <v>680.4</v>
      </c>
      <c r="AF31" s="31" t="n">
        <f aca="false">+AF448</f>
        <v>1063.6</v>
      </c>
      <c r="AG31" s="31" t="n">
        <f aca="false">+AG448</f>
        <v>1085.5</v>
      </c>
      <c r="AH31" s="31" t="n">
        <f aca="false">+AH448</f>
        <v>922.2</v>
      </c>
      <c r="AI31" s="31" t="n">
        <f aca="false">+AI448</f>
        <v>1232.19684</v>
      </c>
      <c r="AJ31" s="31" t="n">
        <f aca="false">+AJ448</f>
        <v>1919.27794751966</v>
      </c>
      <c r="AK31" s="31" t="n">
        <f aca="false">+AK448</f>
        <v>3109.88843016469</v>
      </c>
      <c r="AL31" s="31" t="n">
        <f aca="false">+AL448</f>
        <v>3900.50992168695</v>
      </c>
      <c r="AM31" s="30"/>
      <c r="AN31" s="33" t="s">
        <v>258</v>
      </c>
      <c r="AO31" s="31" t="str">
        <f aca="false">+AO15</f>
        <v>FY19</v>
      </c>
      <c r="AP31" s="31" t="str">
        <f aca="false">+AP15</f>
        <v>FY20</v>
      </c>
      <c r="AQ31" s="31" t="str">
        <f aca="false">+AQ15</f>
        <v>FY21</v>
      </c>
      <c r="AR31" s="31" t="str">
        <f aca="false">+AR15</f>
        <v>FY22</v>
      </c>
      <c r="AS31" s="31" t="str">
        <f aca="false">+AS15</f>
        <v>FY23</v>
      </c>
      <c r="AT31" s="31" t="str">
        <f aca="false">+AT15</f>
        <v>FY24</v>
      </c>
      <c r="AU31" s="31" t="str">
        <f aca="false">+AU15</f>
        <v>FY25</v>
      </c>
      <c r="AV31" s="31" t="str">
        <f aca="false">+AV15</f>
        <v>FY26</v>
      </c>
      <c r="AW31" s="31" t="str">
        <f aca="false">+AW15</f>
        <v>FY27</v>
      </c>
      <c r="AX31" s="31" t="str">
        <f aca="false">+AX15</f>
        <v>FY28</v>
      </c>
      <c r="AY31" s="30"/>
    </row>
    <row r="32" customFormat="false" ht="15" hidden="false" customHeight="true" outlineLevel="0" collapsed="false">
      <c r="A32" s="29" t="s">
        <v>229</v>
      </c>
      <c r="B32" s="31" t="n">
        <f aca="false">B31/B16*100</f>
        <v>1.00855027593906</v>
      </c>
      <c r="C32" s="31" t="n">
        <f aca="false">C31/C16*100</f>
        <v>1.24746328671164</v>
      </c>
      <c r="D32" s="31" t="n">
        <f aca="false">D31/D16*100</f>
        <v>0.926426310507219</v>
      </c>
      <c r="E32" s="31" t="n">
        <f aca="false">E31/E16*100</f>
        <v>1.32530329163545</v>
      </c>
      <c r="F32" s="31" t="n">
        <f aca="false">F31/F16*100</f>
        <v>1.35424078162707</v>
      </c>
      <c r="G32" s="31" t="n">
        <f aca="false">G31/G16*100</f>
        <v>1.22784491459791</v>
      </c>
      <c r="H32" s="31" t="n">
        <f aca="false">H31/H16*100</f>
        <v>0.899996946099087</v>
      </c>
      <c r="I32" s="31" t="n">
        <f aca="false">I31/I16*100</f>
        <v>1.02136732032873</v>
      </c>
      <c r="J32" s="31" t="n">
        <f aca="false">J31/J16*100</f>
        <v>1.01300525929702</v>
      </c>
      <c r="K32" s="31" t="n">
        <f aca="false">K31/K16*100</f>
        <v>1.06184726310427</v>
      </c>
      <c r="L32" s="31" t="n">
        <f aca="false">L31/L16*100</f>
        <v>-0.15893298512335</v>
      </c>
      <c r="M32" s="31" t="n">
        <f aca="false">M31/M16*100</f>
        <v>0.946614557244738</v>
      </c>
      <c r="N32" s="31" t="n">
        <f aca="false">N31/N16*100</f>
        <v>0.938030947943969</v>
      </c>
      <c r="O32" s="31" t="n">
        <f aca="false">O31/O16*100</f>
        <v>0.6522529959561</v>
      </c>
      <c r="P32" s="31" t="n">
        <f aca="false">P31/P16*100</f>
        <v>0.528558450573758</v>
      </c>
      <c r="Q32" s="31" t="n">
        <f aca="false">Q31/Q16*100</f>
        <v>0.534019189499248</v>
      </c>
      <c r="R32" s="31" t="n">
        <f aca="false">R31/R16*100</f>
        <v>0.506763526421686</v>
      </c>
      <c r="S32" s="31" t="n">
        <f aca="false">S31/S16*100</f>
        <v>0.470990524742155</v>
      </c>
      <c r="T32" s="31" t="n">
        <f aca="false">T31/T16*100</f>
        <v>0.593876849987709</v>
      </c>
      <c r="U32" s="31" t="n">
        <f aca="false">U31/U16*100</f>
        <v>0.554043651106368</v>
      </c>
      <c r="V32" s="31" t="n">
        <f aca="false">V31/V16*100</f>
        <v>0.592756305483447</v>
      </c>
      <c r="W32" s="31" t="n">
        <f aca="false">W31/W16*100</f>
        <v>0.505360993911687</v>
      </c>
      <c r="X32" s="31" t="n">
        <f aca="false">X31/X16*100</f>
        <v>0.450834480665783</v>
      </c>
      <c r="Y32" s="31" t="n">
        <f aca="false">Y31/Y16*100</f>
        <v>0.402659216961401</v>
      </c>
      <c r="Z32" s="31" t="n">
        <f aca="false">Z31/Z16*100</f>
        <v>0.457950805170904</v>
      </c>
      <c r="AA32" s="31" t="n">
        <f aca="false">AA31/AA16*100</f>
        <v>0.412570786260645</v>
      </c>
      <c r="AB32" s="31" t="n">
        <f aca="false">AB31/AB16*100</f>
        <v>0.454655747127426</v>
      </c>
      <c r="AC32" s="31" t="n">
        <f aca="false">AC31/AC16*100</f>
        <v>0.323801901477432</v>
      </c>
      <c r="AD32" s="31" t="n">
        <f aca="false">AD31/AD16*100</f>
        <v>0.359704472451957</v>
      </c>
      <c r="AE32" s="31" t="n">
        <f aca="false">AE31/AE16*100</f>
        <v>0.31371767898714</v>
      </c>
      <c r="AF32" s="31" t="n">
        <f aca="false">AF31/AF16*100</f>
        <v>0.294266235135211</v>
      </c>
      <c r="AG32" s="31" t="n">
        <f aca="false">AG31/AG16*100</f>
        <v>0.282925209483246</v>
      </c>
      <c r="AH32" s="31" t="n">
        <f aca="false">AH31/AH16*100</f>
        <v>0.237970269973168</v>
      </c>
      <c r="AI32" s="31" t="n">
        <f aca="false">AI31/AI16*100</f>
        <v>0.28</v>
      </c>
      <c r="AJ32" s="31" t="n">
        <f aca="false">AJ31/AJ16*100</f>
        <v>0.4</v>
      </c>
      <c r="AK32" s="31" t="n">
        <f aca="false">AK31/AK16*100</f>
        <v>0.6</v>
      </c>
      <c r="AL32" s="31" t="n">
        <f aca="false">AL31/AL16*100</f>
        <v>0.7</v>
      </c>
      <c r="AM32" s="30"/>
      <c r="AN32" s="50" t="s">
        <v>242</v>
      </c>
      <c r="AO32" s="31" t="n">
        <f aca="false">+AO16</f>
        <v>197366</v>
      </c>
      <c r="AP32" s="31" t="n">
        <f aca="false">+AP16</f>
        <v>125253</v>
      </c>
      <c r="AQ32" s="31" t="n">
        <f aca="false">+AQ16</f>
        <v>100715</v>
      </c>
      <c r="AR32" s="31" t="n">
        <f aca="false">+AR16</f>
        <v>128326</v>
      </c>
      <c r="AS32" s="31" t="n">
        <f aca="false">+AS16</f>
        <v>192205</v>
      </c>
      <c r="AT32" s="31" t="n">
        <f aca="false">+AT16</f>
        <v>194683</v>
      </c>
      <c r="AU32" s="31" t="n">
        <f aca="false">+AU16</f>
        <v>195093</v>
      </c>
      <c r="AV32" s="31" t="n">
        <f aca="false">+AV16</f>
        <v>220437</v>
      </c>
      <c r="AW32" s="31" t="n">
        <f aca="false">+AV32*(1+AW33)</f>
        <v>242480.7</v>
      </c>
      <c r="AX32" s="31" t="n">
        <f aca="false">+AW32*(1+AX33)</f>
        <v>266728.77</v>
      </c>
      <c r="AY32" s="35" t="n">
        <f aca="false">+SQRT(AX32/AV32)-1</f>
        <v>0.1</v>
      </c>
    </row>
    <row r="33" customFormat="false" ht="15" hidden="false" customHeight="true" outlineLevel="0" collapsed="false">
      <c r="A33" s="29"/>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0" t="s">
        <v>243</v>
      </c>
      <c r="AO33" s="56"/>
      <c r="AP33" s="56"/>
      <c r="AQ33" s="56"/>
      <c r="AR33" s="56"/>
      <c r="AS33" s="56"/>
      <c r="AT33" s="56"/>
      <c r="AU33" s="56"/>
      <c r="AV33" s="56"/>
      <c r="AW33" s="58" t="n">
        <v>0.1</v>
      </c>
      <c r="AX33" s="58" t="n">
        <v>0.1</v>
      </c>
      <c r="AY33" s="56"/>
    </row>
    <row r="34" customFormat="false" ht="15" hidden="false" customHeight="true" outlineLevel="0" collapsed="false">
      <c r="A34" s="29" t="s">
        <v>259</v>
      </c>
      <c r="B34" s="31" t="n">
        <f aca="false">B486-B29</f>
        <v>827.29</v>
      </c>
      <c r="C34" s="31" t="n">
        <f aca="false">C486-C29</f>
        <v>1027.32</v>
      </c>
      <c r="D34" s="31" t="n">
        <f aca="false">D486-D29</f>
        <v>1212.78</v>
      </c>
      <c r="E34" s="31" t="n">
        <f aca="false">E486-E29</f>
        <v>1643</v>
      </c>
      <c r="F34" s="31" t="n">
        <f aca="false">F486-F29</f>
        <v>1731.23</v>
      </c>
      <c r="G34" s="31" t="n">
        <f aca="false">G486-G29</f>
        <v>1647.68</v>
      </c>
      <c r="H34" s="31" t="n">
        <f aca="false">H486-H29</f>
        <v>1483.97</v>
      </c>
      <c r="I34" s="31" t="n">
        <f aca="false">I486-I29</f>
        <v>1796.29</v>
      </c>
      <c r="J34" s="31" t="n">
        <f aca="false">J486-J29</f>
        <v>1836.24</v>
      </c>
      <c r="K34" s="31" t="n">
        <f aca="false">K486-K29</f>
        <v>1937.8</v>
      </c>
      <c r="L34" s="31" t="n">
        <f aca="false">L486-L29</f>
        <v>2290.99</v>
      </c>
      <c r="M34" s="31" t="n">
        <f aca="false">M486-M29</f>
        <v>2683.73</v>
      </c>
      <c r="N34" s="31" t="n">
        <f aca="false">N486-N29</f>
        <v>3327.75</v>
      </c>
      <c r="O34" s="31" t="n">
        <f aca="false">O486-O29</f>
        <v>4017.11</v>
      </c>
      <c r="P34" s="31" t="n">
        <f aca="false">P486-P29</f>
        <v>4837.2</v>
      </c>
      <c r="Q34" s="31" t="n">
        <f aca="false">Q486-Q29</f>
        <v>5030.08</v>
      </c>
      <c r="R34" s="31" t="n">
        <f aca="false">R486-R29</f>
        <v>4708.233</v>
      </c>
      <c r="S34" s="31" t="n">
        <f aca="false">S486-S29</f>
        <v>5720.707</v>
      </c>
      <c r="T34" s="31" t="n">
        <f aca="false">T486-T29</f>
        <v>7601.349</v>
      </c>
      <c r="U34" s="31" t="n">
        <f aca="false">U486-U29</f>
        <v>10396.103</v>
      </c>
      <c r="V34" s="31" t="n">
        <f aca="false">V486-V29</f>
        <v>13410.809</v>
      </c>
      <c r="W34" s="31" t="n">
        <f aca="false">W486-W29</f>
        <v>11391.054</v>
      </c>
      <c r="X34" s="31" t="n">
        <f aca="false">X486-X29</f>
        <v>13267.963</v>
      </c>
      <c r="Y34" s="31" t="n">
        <f aca="false">Y486-Y29</f>
        <v>20299.179</v>
      </c>
      <c r="Z34" s="31" t="n">
        <f aca="false">Z486-Z29</f>
        <v>22820.938</v>
      </c>
      <c r="AA34" s="31" t="n">
        <f aca="false">AA486-AA29</f>
        <v>30624.801</v>
      </c>
      <c r="AB34" s="31" t="n">
        <f aca="false">AB486-AB29</f>
        <v>32166.7</v>
      </c>
      <c r="AC34" s="31" t="n">
        <f aca="false">AC486-AC29</f>
        <v>26112.5</v>
      </c>
      <c r="AD34" s="31" t="n">
        <f aca="false">AD486-AD29</f>
        <v>18551.6</v>
      </c>
      <c r="AE34" s="31" t="n">
        <f aca="false">AE486-AE29</f>
        <v>22423.2</v>
      </c>
      <c r="AF34" s="31" t="n">
        <f aca="false">AF486-AF29</f>
        <v>32513.9</v>
      </c>
      <c r="AG34" s="31" t="n">
        <f aca="false">AG486-AG29</f>
        <v>35726.5</v>
      </c>
      <c r="AH34" s="31" t="n">
        <f aca="false">AH486-AH29</f>
        <v>38005.8</v>
      </c>
      <c r="AI34" s="31" t="n">
        <f aca="false">AI486-AI29</f>
        <v>42177.30316</v>
      </c>
      <c r="AJ34" s="31" t="n">
        <f aca="false">AJ486-AJ29</f>
        <v>44712.0058655354</v>
      </c>
      <c r="AK34" s="31" t="n">
        <f aca="false">AK486-AK29</f>
        <v>48106.6234716863</v>
      </c>
      <c r="AL34" s="31" t="n">
        <f aca="false">AL486-AL29</f>
        <v>51306.6979993087</v>
      </c>
      <c r="AM34" s="30"/>
      <c r="AN34" s="50" t="s">
        <v>244</v>
      </c>
      <c r="AO34" s="31" t="n">
        <f aca="false">+AO18</f>
        <v>1472135.52486244</v>
      </c>
      <c r="AP34" s="31" t="n">
        <f aca="false">+AP18</f>
        <v>1394574.98023999</v>
      </c>
      <c r="AQ34" s="31" t="n">
        <f aca="false">+AQ18</f>
        <v>1519282.13275083</v>
      </c>
      <c r="AR34" s="31" t="n">
        <f aca="false">+AR18</f>
        <v>1690093.20013092</v>
      </c>
      <c r="AS34" s="31" t="n">
        <f aca="false">+AS18</f>
        <v>1880499.46671523</v>
      </c>
      <c r="AT34" s="31" t="n">
        <f aca="false">+AT18</f>
        <v>1970743.72184526</v>
      </c>
      <c r="AU34" s="31" t="n">
        <f aca="false">+AU18</f>
        <v>1986372.6530424</v>
      </c>
      <c r="AV34" s="31" t="n">
        <f aca="false">+AV18</f>
        <v>1996354.06034377</v>
      </c>
      <c r="AW34" s="31" t="n">
        <f aca="false">+AV34*(1+AW35)</f>
        <v>2116135.3039644</v>
      </c>
      <c r="AX34" s="31" t="n">
        <f aca="false">+AW34*(1+AX35)</f>
        <v>2158458.01004369</v>
      </c>
      <c r="AY34" s="35" t="n">
        <f aca="false">+SQRT(AX34/AV34)-1</f>
        <v>0.0398076745244766</v>
      </c>
    </row>
    <row r="35" customFormat="false" ht="15" hidden="false" customHeight="true" outlineLevel="0" collapsed="false">
      <c r="A35" s="29" t="s">
        <v>229</v>
      </c>
      <c r="B35" s="49" t="n">
        <f aca="false">B34/B16*100</f>
        <v>10.071988867475</v>
      </c>
      <c r="C35" s="49" t="n">
        <f aca="false">C34/C16*100</f>
        <v>9.70131706059499</v>
      </c>
      <c r="D35" s="49" t="n">
        <f aca="false">D34/D16*100</f>
        <v>9.09022088071962</v>
      </c>
      <c r="E35" s="49" t="n">
        <f aca="false">E34/E16*100</f>
        <v>9.17990433455751</v>
      </c>
      <c r="F35" s="49" t="n">
        <f aca="false">F34/F16*100</f>
        <v>7.93670368441514</v>
      </c>
      <c r="G35" s="49" t="n">
        <f aca="false">G34/G16*100</f>
        <v>9.31529380644944</v>
      </c>
      <c r="H35" s="49" t="n">
        <f aca="false">H34/H16*100</f>
        <v>8.15963140336426</v>
      </c>
      <c r="I35" s="49" t="n">
        <f aca="false">I34/I16*100</f>
        <v>7.971981853799</v>
      </c>
      <c r="J35" s="49" t="n">
        <f aca="false">J34/J16*100</f>
        <v>8.15377537952728</v>
      </c>
      <c r="K35" s="49" t="n">
        <f aca="false">K34/K16*100</f>
        <v>8.56960404166195</v>
      </c>
      <c r="L35" s="49" t="n">
        <f aca="false">L34/L16*100</f>
        <v>8.54727416872639</v>
      </c>
      <c r="M35" s="49" t="n">
        <f aca="false">M34/M16*100</f>
        <v>7.9075478124768</v>
      </c>
      <c r="N35" s="49" t="n">
        <f aca="false">N34/N16*100</f>
        <v>7.95659789717716</v>
      </c>
      <c r="O35" s="49" t="n">
        <f aca="false">O34/O16*100</f>
        <v>7.65505443667526</v>
      </c>
      <c r="P35" s="49" t="n">
        <f aca="false">P34/P16*100</f>
        <v>6.74816020142363</v>
      </c>
      <c r="Q35" s="49" t="n">
        <f aca="false">Q34/Q16*100</f>
        <v>6.50795698295913</v>
      </c>
      <c r="R35" s="49" t="n">
        <f aca="false">R34/R16*100</f>
        <v>7.87188594582942</v>
      </c>
      <c r="S35" s="49" t="n">
        <f aca="false">S34/S16*100</f>
        <v>7.89639144310873</v>
      </c>
      <c r="T35" s="49" t="n">
        <f aca="false">T34/T16*100</f>
        <v>6.83715412950636</v>
      </c>
      <c r="U35" s="49" t="n">
        <f aca="false">U34/U16*100</f>
        <v>8.10269062546299</v>
      </c>
      <c r="V35" s="49" t="n">
        <f aca="false">V34/V16*100</f>
        <v>10.744807390315</v>
      </c>
      <c r="W35" s="49" t="n">
        <f aca="false">W34/W16*100</f>
        <v>11.4558636008249</v>
      </c>
      <c r="X35" s="49" t="n">
        <f aca="false">X34/X16*100</f>
        <v>9.78305809102894</v>
      </c>
      <c r="Y35" s="49" t="n">
        <f aca="false">Y34/Y16*100</f>
        <v>10.7191493572686</v>
      </c>
      <c r="Z35" s="49" t="n">
        <f aca="false">Z34/Z16*100</f>
        <v>11.3998347781256</v>
      </c>
      <c r="AA35" s="49" t="n">
        <f aca="false">AA34/AA16*100</f>
        <v>11.6675207474345</v>
      </c>
      <c r="AB35" s="49" t="n">
        <f aca="false">AB34/AB16*100</f>
        <v>11.0709879039544</v>
      </c>
      <c r="AC35" s="49" t="n">
        <f aca="false">AC34/AC16*100</f>
        <v>14.9492170302854</v>
      </c>
      <c r="AD35" s="49" t="n">
        <f aca="false">AD34/AD16*100</f>
        <v>12.1240797440765</v>
      </c>
      <c r="AE35" s="49" t="n">
        <f aca="false">AE34/AE16*100</f>
        <v>10.3388510574139</v>
      </c>
      <c r="AF35" s="49" t="n">
        <f aca="false">AF34/AF16*100</f>
        <v>8.99562142023576</v>
      </c>
      <c r="AG35" s="49" t="n">
        <f aca="false">AG34/AG16*100</f>
        <v>9.31177107010889</v>
      </c>
      <c r="AH35" s="49" t="n">
        <f aca="false">AH34/AH16*100</f>
        <v>9.80725491926506</v>
      </c>
      <c r="AI35" s="49" t="n">
        <f aca="false">AI34/AI16*100</f>
        <v>9.58421942130609</v>
      </c>
      <c r="AJ35" s="49" t="n">
        <f aca="false">AJ34/AJ16*100</f>
        <v>9.31850562307937</v>
      </c>
      <c r="AK35" s="49" t="n">
        <f aca="false">AK34/AK16*100</f>
        <v>9.28135356980741</v>
      </c>
      <c r="AL35" s="49" t="n">
        <f aca="false">AL34/AL16*100</f>
        <v>9.20769061497046</v>
      </c>
      <c r="AM35" s="36"/>
      <c r="AN35" s="50" t="s">
        <v>243</v>
      </c>
      <c r="AO35" s="36"/>
      <c r="AP35" s="36"/>
      <c r="AQ35" s="36"/>
      <c r="AR35" s="36"/>
      <c r="AS35" s="36"/>
      <c r="AT35" s="36"/>
      <c r="AU35" s="36"/>
      <c r="AV35" s="36"/>
      <c r="AW35" s="37" t="n">
        <v>0.06</v>
      </c>
      <c r="AX35" s="37" t="n">
        <v>0.02</v>
      </c>
      <c r="AY35" s="36"/>
    </row>
    <row r="36" customFormat="false" ht="15" hidden="false" customHeight="true" outlineLevel="0" collapsed="false">
      <c r="A36" s="29"/>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50" t="s">
        <v>246</v>
      </c>
      <c r="AO36" s="31" t="n">
        <f aca="false">+AO34*AO32/1000000</f>
        <v>290549.5</v>
      </c>
      <c r="AP36" s="31" t="n">
        <f aca="false">+AP34*AP32/1000000</f>
        <v>174674.7</v>
      </c>
      <c r="AQ36" s="31" t="n">
        <f aca="false">+AQ34*AQ32/1000000</f>
        <v>153014.5</v>
      </c>
      <c r="AR36" s="31" t="n">
        <f aca="false">+AR34*AR32/1000000</f>
        <v>216882.9</v>
      </c>
      <c r="AS36" s="31" t="n">
        <f aca="false">+AS34*AS32/1000000</f>
        <v>361441.4</v>
      </c>
      <c r="AT36" s="31" t="n">
        <f aca="false">+AT34*AT32/1000000</f>
        <v>383670.3</v>
      </c>
      <c r="AU36" s="31" t="n">
        <f aca="false">+AU34*AU32/1000000</f>
        <v>387527.4</v>
      </c>
      <c r="AV36" s="31" t="n">
        <f aca="false">+AV34*AV32/1000000</f>
        <v>440070.3</v>
      </c>
      <c r="AW36" s="31" t="n">
        <f aca="false">+AW34*AW32/1000000</f>
        <v>513121.9698</v>
      </c>
      <c r="AX36" s="31" t="n">
        <f aca="false">+AX34*AX32/1000000</f>
        <v>575722.8501156</v>
      </c>
      <c r="AY36" s="30"/>
    </row>
    <row r="37" customFormat="false" ht="15" hidden="false" customHeight="true" outlineLevel="0" collapsed="false">
      <c r="A37" s="29" t="s">
        <v>260</v>
      </c>
      <c r="B37" s="31" t="n">
        <f aca="false">+B494</f>
        <v>1.3</v>
      </c>
      <c r="C37" s="31" t="n">
        <f aca="false">+C494</f>
        <v>0.83</v>
      </c>
      <c r="D37" s="31" t="n">
        <f aca="false">+D494</f>
        <v>-0.4</v>
      </c>
      <c r="E37" s="31" t="n">
        <f aca="false">+E494</f>
        <v>42.29</v>
      </c>
      <c r="F37" s="31" t="n">
        <f aca="false">+F494</f>
        <v>77.21</v>
      </c>
      <c r="G37" s="31" t="n">
        <f aca="false">+G494</f>
        <v>4.28</v>
      </c>
      <c r="H37" s="31" t="n">
        <f aca="false">+H494</f>
        <v>0</v>
      </c>
      <c r="I37" s="31" t="n">
        <f aca="false">+I494</f>
        <v>2.47</v>
      </c>
      <c r="J37" s="31" t="n">
        <f aca="false">+J494</f>
        <v>3.56</v>
      </c>
      <c r="K37" s="31" t="n">
        <f aca="false">+K494</f>
        <v>2.9</v>
      </c>
      <c r="L37" s="31" t="n">
        <f aca="false">+L494</f>
        <v>1.99</v>
      </c>
      <c r="M37" s="31" t="n">
        <f aca="false">+M494</f>
        <v>3.65</v>
      </c>
      <c r="N37" s="31" t="n">
        <f aca="false">+N494</f>
        <v>8.1</v>
      </c>
      <c r="O37" s="31" t="n">
        <f aca="false">+O494</f>
        <v>4.1</v>
      </c>
      <c r="P37" s="31" t="n">
        <f aca="false">+P494</f>
        <v>1.25</v>
      </c>
      <c r="Q37" s="31" t="n">
        <f aca="false">+Q494</f>
        <v>6.67</v>
      </c>
      <c r="R37" s="31" t="n">
        <f aca="false">+R494</f>
        <v>81.991</v>
      </c>
      <c r="S37" s="31" t="n">
        <f aca="false">+S494</f>
        <v>152.527</v>
      </c>
      <c r="T37" s="31" t="n">
        <f aca="false">+T494</f>
        <v>240.604</v>
      </c>
      <c r="U37" s="31" t="n">
        <f aca="false">+U494</f>
        <v>250.912</v>
      </c>
      <c r="V37" s="31" t="n">
        <f aca="false">+V494</f>
        <v>205.061</v>
      </c>
      <c r="W37" s="31" t="n">
        <f aca="false">+W494</f>
        <v>151.365</v>
      </c>
      <c r="X37" s="31" t="n">
        <f aca="false">+X494</f>
        <v>16.03</v>
      </c>
      <c r="Y37" s="31" t="n">
        <f aca="false">+Y494</f>
        <v>34.21</v>
      </c>
      <c r="Z37" s="31" t="n">
        <f aca="false">+Z494</f>
        <v>458.494</v>
      </c>
      <c r="AA37" s="31" t="n">
        <f aca="false">+AA494</f>
        <v>950.412</v>
      </c>
      <c r="AB37" s="31" t="n">
        <f aca="false">+AB494</f>
        <v>2079</v>
      </c>
      <c r="AC37" s="31" t="n">
        <f aca="false">+AC494</f>
        <v>3582</v>
      </c>
      <c r="AD37" s="31" t="n">
        <f aca="false">+AD494</f>
        <v>1310.9</v>
      </c>
      <c r="AE37" s="31" t="n">
        <f aca="false">+AE494</f>
        <v>722.6</v>
      </c>
      <c r="AF37" s="31" t="n">
        <f aca="false">+AF494</f>
        <v>1073.2</v>
      </c>
      <c r="AG37" s="31" t="n">
        <f aca="false">+AG494</f>
        <v>661.4</v>
      </c>
      <c r="AH37" s="31" t="n">
        <f aca="false">+AH494</f>
        <v>996.7</v>
      </c>
      <c r="AI37" s="31" t="n">
        <f aca="false">+AI494</f>
        <v>900</v>
      </c>
      <c r="AJ37" s="31" t="n">
        <f aca="false">+AJ494</f>
        <v>900</v>
      </c>
      <c r="AK37" s="31" t="n">
        <f aca="false">+AK494</f>
        <v>900</v>
      </c>
      <c r="AL37" s="31" t="n">
        <f aca="false">+AL494</f>
        <v>900</v>
      </c>
      <c r="AM37" s="30"/>
      <c r="AN37" s="50" t="s">
        <v>172</v>
      </c>
      <c r="AO37" s="31" t="n">
        <f aca="false">+AO22</f>
        <v>31357.3999999999</v>
      </c>
      <c r="AP37" s="31" t="n">
        <f aca="false">+AP22</f>
        <v>11736.5</v>
      </c>
      <c r="AQ37" s="31" t="n">
        <f aca="false">+AQ22</f>
        <v>5351.39999999999</v>
      </c>
      <c r="AR37" s="31" t="n">
        <f aca="false">+AR22</f>
        <v>9945.20000000001</v>
      </c>
      <c r="AS37" s="31" t="n">
        <f aca="false">+AS22</f>
        <v>29307</v>
      </c>
      <c r="AT37" s="31" t="n">
        <f aca="false">+AT22</f>
        <v>46065.8000000001</v>
      </c>
      <c r="AU37" s="31" t="n">
        <f aca="false">+AU22</f>
        <v>49305.6</v>
      </c>
      <c r="AV37" s="31" t="n">
        <f aca="false">+AV22</f>
        <v>57322.5000000002</v>
      </c>
      <c r="AW37" s="31" t="n">
        <f aca="false">+AW36*AW38</f>
        <v>66705.856074</v>
      </c>
      <c r="AX37" s="31" t="n">
        <f aca="false">+AX36*AX38</f>
        <v>77722.5847656061</v>
      </c>
      <c r="AY37" s="35" t="n">
        <f aca="false">+SQRT(AX37/AV37)-1</f>
        <v>0.164423753292398</v>
      </c>
    </row>
    <row r="38" customFormat="false" ht="15" hidden="false" customHeight="true" outlineLevel="0" collapsed="false">
      <c r="A38" s="29" t="s">
        <v>229</v>
      </c>
      <c r="B38" s="59" t="n">
        <f aca="false">B37/B16*100</f>
        <v>0.0158270806219312</v>
      </c>
      <c r="C38" s="59" t="n">
        <f aca="false">C37/C16*100</f>
        <v>0.00783796009061815</v>
      </c>
      <c r="D38" s="59" t="n">
        <f aca="false">D37/D16*100</f>
        <v>-0.00299814339969974</v>
      </c>
      <c r="E38" s="59" t="n">
        <f aca="false">E37/E16*100</f>
        <v>0.236286156000266</v>
      </c>
      <c r="F38" s="59" t="n">
        <f aca="false">F37/F16*100</f>
        <v>0.353963882022431</v>
      </c>
      <c r="G38" s="59" t="n">
        <f aca="false">G37/G16*100</f>
        <v>0.024197330483834</v>
      </c>
      <c r="H38" s="59" t="n">
        <f aca="false">H37/H16*100</f>
        <v>0</v>
      </c>
      <c r="I38" s="59" t="n">
        <f aca="false">I37/I16*100</f>
        <v>0.0109619243991135</v>
      </c>
      <c r="J38" s="59" t="n">
        <f aca="false">J37/J16*100</f>
        <v>0.0158080862801797</v>
      </c>
      <c r="K38" s="59" t="n">
        <f aca="false">K37/K16*100</f>
        <v>0.0128247764066569</v>
      </c>
      <c r="L38" s="59" t="n">
        <f aca="false">L37/L16*100</f>
        <v>0.00742433428158373</v>
      </c>
      <c r="M38" s="59" t="n">
        <f aca="false">M37/M16*100</f>
        <v>0.0107546398167999</v>
      </c>
      <c r="N38" s="59" t="n">
        <f aca="false">N37/N16*100</f>
        <v>0.0193669725691939</v>
      </c>
      <c r="O38" s="59" t="n">
        <f aca="false">O37/O16*100</f>
        <v>0.00781301064456004</v>
      </c>
      <c r="P38" s="59" t="n">
        <f aca="false">P37/P16*100</f>
        <v>0.00174381879016363</v>
      </c>
      <c r="Q38" s="59" t="n">
        <f aca="false">Q37/Q16*100</f>
        <v>0.00862969834999391</v>
      </c>
      <c r="R38" s="59" t="n">
        <f aca="false">R37/R16*100</f>
        <v>0.137084082411491</v>
      </c>
      <c r="S38" s="59" t="n">
        <f aca="false">S37/S16*100</f>
        <v>0.210535672888516</v>
      </c>
      <c r="T38" s="59" t="n">
        <f aca="false">T37/T16*100</f>
        <v>0.216415090555078</v>
      </c>
      <c r="U38" s="59" t="n">
        <f aca="false">U37/U16*100</f>
        <v>0.195560039200859</v>
      </c>
      <c r="V38" s="59" t="n">
        <f aca="false">V37/V16*100</f>
        <v>0.164295901035157</v>
      </c>
      <c r="W38" s="59" t="n">
        <f aca="false">W37/W16*100</f>
        <v>0.152226193813044</v>
      </c>
      <c r="X38" s="59" t="n">
        <f aca="false">X37/X16*100</f>
        <v>0.0118196305792527</v>
      </c>
      <c r="Y38" s="59" t="n">
        <f aca="false">Y37/Y16*100</f>
        <v>0.0180648734371059</v>
      </c>
      <c r="Z38" s="59" t="n">
        <f aca="false">Z37/Z16*100</f>
        <v>0.229033348531156</v>
      </c>
      <c r="AA38" s="59" t="n">
        <f aca="false">AA37/AA16*100</f>
        <v>0.362090572559499</v>
      </c>
      <c r="AB38" s="59" t="n">
        <f aca="false">AB37/AB16*100</f>
        <v>0.715540725418561</v>
      </c>
      <c r="AC38" s="59" t="n">
        <f aca="false">AC37/AC16*100</f>
        <v>2.05066904365658</v>
      </c>
      <c r="AD38" s="59" t="n">
        <f aca="false">AD37/AD16*100</f>
        <v>0.856716193563355</v>
      </c>
      <c r="AE38" s="59" t="n">
        <f aca="false">AE37/AE16*100</f>
        <v>0.333175183474585</v>
      </c>
      <c r="AF38" s="59" t="n">
        <f aca="false">AF37/AF16*100</f>
        <v>0.296922267344029</v>
      </c>
      <c r="AG38" s="59" t="n">
        <f aca="false">AG37/AG16*100</f>
        <v>0.172387594244329</v>
      </c>
      <c r="AH38" s="59" t="n">
        <f aca="false">AH37/AH16*100</f>
        <v>0.257194717070329</v>
      </c>
      <c r="AI38" s="59" t="n">
        <f aca="false">AI37/AI16*100</f>
        <v>0.204512778980995</v>
      </c>
      <c r="AJ38" s="59" t="n">
        <f aca="false">AJ37/AJ16*100</f>
        <v>0.18757053946524</v>
      </c>
      <c r="AK38" s="59" t="n">
        <f aca="false">AK37/AK16*100</f>
        <v>0.173639669758636</v>
      </c>
      <c r="AL38" s="59" t="n">
        <f aca="false">AL37/AL16*100</f>
        <v>0.161517343283036</v>
      </c>
      <c r="AM38" s="43"/>
      <c r="AN38" s="50" t="s">
        <v>248</v>
      </c>
      <c r="AO38" s="59" t="n">
        <f aca="false">+AO37/AO36</f>
        <v>0.107924467259451</v>
      </c>
      <c r="AP38" s="59" t="n">
        <f aca="false">+AP37/AP36</f>
        <v>0.0671906120348282</v>
      </c>
      <c r="AQ38" s="59" t="n">
        <f aca="false">+AQ37/AQ36</f>
        <v>0.0349731561387973</v>
      </c>
      <c r="AR38" s="59" t="n">
        <f aca="false">+AR37/AR36</f>
        <v>0.0458551596276148</v>
      </c>
      <c r="AS38" s="59" t="n">
        <f aca="false">+AS37/AS36</f>
        <v>0.0810836832747992</v>
      </c>
      <c r="AT38" s="59" t="n">
        <f aca="false">+AT37/AT36</f>
        <v>0.120066108843974</v>
      </c>
      <c r="AU38" s="59" t="n">
        <f aca="false">+AU37/AU36</f>
        <v>0.127231261583052</v>
      </c>
      <c r="AV38" s="59" t="n">
        <f aca="false">+AV37/AV36</f>
        <v>0.130257597479312</v>
      </c>
      <c r="AW38" s="60" t="n">
        <v>0.13</v>
      </c>
      <c r="AX38" s="60" t="n">
        <v>0.135</v>
      </c>
      <c r="AY38" s="43"/>
    </row>
    <row r="39" customFormat="false" ht="15" hidden="false" customHeight="true" outlineLevel="0" collapsed="false">
      <c r="A39" s="29"/>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50" t="s">
        <v>249</v>
      </c>
      <c r="AO39" s="31" t="n">
        <f aca="false">+AO24</f>
        <v>-5814.5</v>
      </c>
      <c r="AP39" s="31" t="n">
        <f aca="false">+AP24</f>
        <v>-6559.1</v>
      </c>
      <c r="AQ39" s="31" t="n">
        <f aca="false">+AQ24</f>
        <v>-9350</v>
      </c>
      <c r="AR39" s="31" t="n">
        <f aca="false">+AR24</f>
        <v>-9777.4</v>
      </c>
      <c r="AS39" s="31" t="n">
        <f aca="false">+AS24</f>
        <v>-8203</v>
      </c>
      <c r="AT39" s="31" t="n">
        <f aca="false">+AT24</f>
        <v>-7206.8</v>
      </c>
      <c r="AU39" s="31" t="n">
        <f aca="false">+AU24</f>
        <v>-6860</v>
      </c>
      <c r="AV39" s="31" t="n">
        <f aca="false">+AV24</f>
        <v>-5697.5</v>
      </c>
      <c r="AW39" s="31" t="n">
        <f aca="false">+AW24</f>
        <v>-5423.03479716902</v>
      </c>
      <c r="AX39" s="31" t="n">
        <f aca="false">+AX24</f>
        <v>-5383.36486134668</v>
      </c>
      <c r="AY39" s="30"/>
    </row>
    <row r="40" customFormat="false" ht="15" hidden="false" customHeight="true" outlineLevel="0" collapsed="false">
      <c r="A40" s="51" t="s">
        <v>261</v>
      </c>
      <c r="B40" s="52" t="n">
        <f aca="false">+B22+B29+B31+B34-B37</f>
        <v>7587.45</v>
      </c>
      <c r="C40" s="52" t="n">
        <f aca="false">+C22+C29+C31+C34-C37</f>
        <v>9712.16</v>
      </c>
      <c r="D40" s="52" t="n">
        <f aca="false">+D22+D29+D31+D34-D37</f>
        <v>12260.99</v>
      </c>
      <c r="E40" s="52" t="n">
        <f aca="false">+E22+E29+E31+E34-E37</f>
        <v>16443.61</v>
      </c>
      <c r="F40" s="52" t="n">
        <f aca="false">+F22+F29+F31+F34-F37</f>
        <v>19522.91</v>
      </c>
      <c r="G40" s="52" t="n">
        <f aca="false">+G22+G29+G31+G34-G37</f>
        <v>16140.28</v>
      </c>
      <c r="H40" s="52" t="n">
        <f aca="false">+H22+H29+H31+H34-H37</f>
        <v>16531.01</v>
      </c>
      <c r="I40" s="52" t="n">
        <f aca="false">+I22+I29+I31+I34-I37</f>
        <v>19924.33</v>
      </c>
      <c r="J40" s="52" t="n">
        <f aca="false">+J22+J29+J31+J34-J37</f>
        <v>19647.86</v>
      </c>
      <c r="K40" s="52" t="n">
        <f aca="false">+K22+K29+K31+K34-K37</f>
        <v>19650.75</v>
      </c>
      <c r="L40" s="52" t="n">
        <f aca="false">+L22+L29+L31+L34-L37</f>
        <v>23533.46</v>
      </c>
      <c r="M40" s="52" t="n">
        <f aca="false">+M22+M29+M31+M34-M37</f>
        <v>29992.8</v>
      </c>
      <c r="N40" s="52" t="n">
        <f aca="false">+N22+N29+N31+N34-N37</f>
        <v>37595.28</v>
      </c>
      <c r="O40" s="52" t="n">
        <f aca="false">+O22+O29+O31+O34-O37</f>
        <v>47075.87</v>
      </c>
      <c r="P40" s="52" t="n">
        <f aca="false">+P22+P29+P31+P34-P37</f>
        <v>64654.91</v>
      </c>
      <c r="Q40" s="52" t="n">
        <f aca="false">+Q22+Q29+Q31+Q34-Q37</f>
        <v>69251.34</v>
      </c>
      <c r="R40" s="52" t="n">
        <f aca="false">+R22+R29+R31+R34-R37</f>
        <v>55116.386</v>
      </c>
      <c r="S40" s="52" t="n">
        <f aca="false">+S22+S29+S31+S34-S37</f>
        <v>64818.714</v>
      </c>
      <c r="T40" s="52" t="n">
        <f aca="false">+T22+T29+T31+T34-T37</f>
        <v>98501.516</v>
      </c>
      <c r="U40" s="52" t="n">
        <f aca="false">+U22+U29+U31+U34-U37</f>
        <v>115858.983</v>
      </c>
      <c r="V40" s="52" t="n">
        <f aca="false">+V22+V29+V31+V34-V37</f>
        <v>116047.317</v>
      </c>
      <c r="W40" s="52" t="n">
        <f aca="false">+W22+W29+W31+W34-W37</f>
        <v>97768.644</v>
      </c>
      <c r="X40" s="52" t="n">
        <f aca="false">+X22+X29+X31+X34-X37</f>
        <v>125355.499</v>
      </c>
      <c r="Y40" s="52" t="n">
        <f aca="false">+Y22+Y29+Y31+Y34-Y37</f>
        <v>166826.729</v>
      </c>
      <c r="Z40" s="52" t="n">
        <f aca="false">+Z22+Z29+Z31+Z34-Z37</f>
        <v>178161.196</v>
      </c>
      <c r="AA40" s="52" t="n">
        <f aca="false">+AA22+AA29+AA31+AA34-AA37</f>
        <v>235089.272</v>
      </c>
      <c r="AB40" s="52" t="n">
        <f aca="false">+AB22+AB29+AB31+AB34-AB37</f>
        <v>259192.1</v>
      </c>
      <c r="AC40" s="52" t="n">
        <f aca="false">+AC22+AC29+AC31+AC34-AC37</f>
        <v>162938.2</v>
      </c>
      <c r="AD40" s="52" t="n">
        <f aca="false">+AD22+AD29+AD31+AD34-AD37</f>
        <v>147663.1</v>
      </c>
      <c r="AE40" s="52" t="n">
        <f aca="false">+AE22+AE29+AE31+AE34-AE37</f>
        <v>206937.7</v>
      </c>
      <c r="AF40" s="52" t="n">
        <f aca="false">+AF22+AF29+AF31+AF34-AF37</f>
        <v>332134.4</v>
      </c>
      <c r="AG40" s="52" t="n">
        <f aca="false">+AG22+AG29+AG31+AG34-AG37</f>
        <v>337604.5</v>
      </c>
      <c r="AH40" s="52" t="n">
        <f aca="false">+AH22+AH29+AH31+AH34-AH37</f>
        <v>338221.8</v>
      </c>
      <c r="AI40" s="52" t="n">
        <f aca="false">+AI22+AI29+AI31+AI34-AI37</f>
        <v>382747.8</v>
      </c>
      <c r="AJ40" s="52" t="n">
        <f aca="false">+AJ22+AJ29+AJ31+AJ34-AJ37</f>
        <v>422274.001800993</v>
      </c>
      <c r="AK40" s="52" t="n">
        <f aca="false">+AK22+AK29+AK31+AK34-AK37</f>
        <v>454470.600721613</v>
      </c>
      <c r="AL40" s="52" t="n">
        <f aca="false">+AL22+AL29+AL31+AL34-AL37</f>
        <v>488947.389527653</v>
      </c>
      <c r="AM40" s="53"/>
      <c r="AN40" s="54" t="s">
        <v>251</v>
      </c>
      <c r="AO40" s="55" t="n">
        <f aca="false">+AO37+AO39</f>
        <v>25542.8999999999</v>
      </c>
      <c r="AP40" s="55" t="n">
        <f aca="false">+AP37+AP39</f>
        <v>5177.4</v>
      </c>
      <c r="AQ40" s="55" t="n">
        <f aca="false">+AQ37+AQ39</f>
        <v>-3998.60000000001</v>
      </c>
      <c r="AR40" s="55" t="n">
        <f aca="false">+AR37+AR39</f>
        <v>167.80000000001</v>
      </c>
      <c r="AS40" s="55" t="n">
        <f aca="false">+AS37+AS39</f>
        <v>21104</v>
      </c>
      <c r="AT40" s="55" t="n">
        <f aca="false">+AT37+AT39</f>
        <v>38859</v>
      </c>
      <c r="AU40" s="55" t="n">
        <f aca="false">+AU37+AU39</f>
        <v>42445.6</v>
      </c>
      <c r="AV40" s="55" t="n">
        <f aca="false">+AV37+AV39</f>
        <v>51625.0000000002</v>
      </c>
      <c r="AW40" s="55" t="n">
        <f aca="false">+AW37+AW39</f>
        <v>61282.821276831</v>
      </c>
      <c r="AX40" s="55" t="n">
        <f aca="false">+AX37+AX39</f>
        <v>72339.2199042594</v>
      </c>
      <c r="AY40" s="53"/>
    </row>
    <row r="41" customFormat="false" ht="15" hidden="false" customHeight="true" outlineLevel="0" collapsed="false">
      <c r="A41" s="47" t="s">
        <v>229</v>
      </c>
      <c r="B41" s="35" t="n">
        <f aca="false">B40/B16*100</f>
        <v>92.3747560499016</v>
      </c>
      <c r="C41" s="35" t="n">
        <f aca="false">C40/C16*100</f>
        <v>91.7150873177084</v>
      </c>
      <c r="D41" s="35" t="n">
        <f aca="false">D40/D16*100</f>
        <v>91.9005156057112</v>
      </c>
      <c r="E41" s="35" t="n">
        <f aca="false">E40/E16*100</f>
        <v>91.875086253666</v>
      </c>
      <c r="F41" s="35" t="n">
        <f aca="false">F40/F16*100</f>
        <v>89.501424841012</v>
      </c>
      <c r="G41" s="35" t="n">
        <f aca="false">G40/G16*100</f>
        <v>91.2503946872935</v>
      </c>
      <c r="H41" s="35" t="n">
        <f aca="false">H40/H16*100</f>
        <v>90.8960075509132</v>
      </c>
      <c r="I41" s="35" t="n">
        <f aca="false">I40/I16*100</f>
        <v>88.4246960174041</v>
      </c>
      <c r="J41" s="35" t="n">
        <f aca="false">J40/J16*100</f>
        <v>87.24580508452</v>
      </c>
      <c r="K41" s="35" t="n">
        <f aca="false">K40/K16*100</f>
        <v>86.902232749349</v>
      </c>
      <c r="L41" s="35" t="n">
        <f aca="false">L40/L16*100</f>
        <v>87.7991325840601</v>
      </c>
      <c r="M41" s="35" t="n">
        <f aca="false">M40/M16*100</f>
        <v>88.3730852321411</v>
      </c>
      <c r="N41" s="35" t="n">
        <f aca="false">N40/N16*100</f>
        <v>89.8897230236005</v>
      </c>
      <c r="O41" s="35" t="n">
        <f aca="false">O40/O16*100</f>
        <v>89.7083593687621</v>
      </c>
      <c r="P41" s="35" t="n">
        <f aca="false">P40/P16*100</f>
        <v>90.1971575474709</v>
      </c>
      <c r="Q41" s="35" t="n">
        <f aca="false">Q40/Q16*100</f>
        <v>89.597927216322</v>
      </c>
      <c r="R41" s="35" t="n">
        <f aca="false">R40/R16*100</f>
        <v>92.1513239336944</v>
      </c>
      <c r="S41" s="35" t="n">
        <f aca="false">S40/S16*100</f>
        <v>89.4703991277498</v>
      </c>
      <c r="T41" s="35" t="n">
        <f aca="false">T40/T16*100</f>
        <v>88.5987535741401</v>
      </c>
      <c r="U41" s="35" t="n">
        <f aca="false">U40/U16*100</f>
        <v>90.3001341396652</v>
      </c>
      <c r="V41" s="35" t="n">
        <f aca="false">V40/V16*100</f>
        <v>92.9776920488415</v>
      </c>
      <c r="W41" s="35" t="n">
        <f aca="false">W40/W16*100</f>
        <v>98.3249004088299</v>
      </c>
      <c r="X41" s="35" t="n">
        <f aca="false">X40/X16*100</f>
        <v>92.4301740023634</v>
      </c>
      <c r="Y41" s="35" t="n">
        <f aca="false">Y40/Y16*100</f>
        <v>88.0942340050094</v>
      </c>
      <c r="Z41" s="35" t="n">
        <f aca="false">Z40/Z16*100</f>
        <v>88.9975774998051</v>
      </c>
      <c r="AA41" s="35" t="n">
        <f aca="false">AA40/AA16*100</f>
        <v>89.5649561464668</v>
      </c>
      <c r="AB41" s="35" t="n">
        <f aca="false">AB40/AB16*100</f>
        <v>89.2075532740549</v>
      </c>
      <c r="AC41" s="35" t="n">
        <f aca="false">AC40/AC16*100</f>
        <v>93.2809387965172</v>
      </c>
      <c r="AD41" s="35" t="n">
        <f aca="false">AD40/AD16*100</f>
        <v>96.5026843861203</v>
      </c>
      <c r="AE41" s="35" t="n">
        <f aca="false">AE40/AE16*100</f>
        <v>95.4144840372385</v>
      </c>
      <c r="AF41" s="35" t="n">
        <f aca="false">AF40/AF16*100</f>
        <v>91.8916316725201</v>
      </c>
      <c r="AG41" s="35" t="n">
        <f aca="false">AG40/AG16*100</f>
        <v>87.9933891156026</v>
      </c>
      <c r="AH41" s="35" t="n">
        <f aca="false">AH40/AH16*100</f>
        <v>87.2768738416948</v>
      </c>
      <c r="AI41" s="35" t="n">
        <f aca="false">AI40/AI16*100</f>
        <v>86.9742402520688</v>
      </c>
      <c r="AJ41" s="35" t="n">
        <f aca="false">AJ40/AJ16*100</f>
        <v>88.0068470221754</v>
      </c>
      <c r="AK41" s="35" t="n">
        <f aca="false">AK40/AK16*100</f>
        <v>87.6823611381222</v>
      </c>
      <c r="AL41" s="35" t="n">
        <f aca="false">AL40/AL16*100</f>
        <v>87.7483148463138</v>
      </c>
      <c r="AM41" s="30"/>
      <c r="AN41" s="50" t="s">
        <v>252</v>
      </c>
      <c r="AO41" s="31" t="n">
        <f aca="false">+AO26/AO25*AO40</f>
        <v>5136</v>
      </c>
      <c r="AP41" s="31" t="n">
        <f aca="false">+AP26/AP25*AP40</f>
        <v>1224</v>
      </c>
      <c r="AQ41" s="31" t="n">
        <f aca="false">+AQ26/AQ25*AQ40</f>
        <v>-982.3</v>
      </c>
      <c r="AR41" s="31" t="n">
        <f aca="false">+AR26/AR25*AR40</f>
        <v>-142.2</v>
      </c>
      <c r="AS41" s="31" t="n">
        <f aca="false">+AS26/AS25*AS40</f>
        <v>7302.9</v>
      </c>
      <c r="AT41" s="31" t="n">
        <f aca="false">+AT26/AT25*AT40</f>
        <v>11743.1</v>
      </c>
      <c r="AU41" s="31" t="n">
        <f aca="false">+AU26/AU25*AU40</f>
        <v>10450</v>
      </c>
      <c r="AV41" s="31" t="n">
        <f aca="false">+AV26/AV25*AV40</f>
        <v>12484.9</v>
      </c>
      <c r="AW41" s="31" t="n">
        <f aca="false">+AW26/AW25*AW40</f>
        <v>15320.7053192078</v>
      </c>
      <c r="AX41" s="31" t="n">
        <f aca="false">+AX26/AX25*AX40</f>
        <v>18084.8049760649</v>
      </c>
      <c r="AY41" s="30"/>
    </row>
    <row r="42" customFormat="false" ht="15" hidden="false" customHeight="true" outlineLevel="0" collapsed="false">
      <c r="A42" s="29"/>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2" t="n">
        <f aca="false">+(AB43/W43)^0.2-1</f>
        <v>0.79867487143792</v>
      </c>
      <c r="AC42" s="32" t="n">
        <f aca="false">+(AC43/Z43)^0.33333-1</f>
        <v>-0.18927662496909</v>
      </c>
      <c r="AD42" s="30"/>
      <c r="AE42" s="32" t="n">
        <f aca="false">42000/AE43</f>
        <v>4.22314282266822</v>
      </c>
      <c r="AF42" s="31" t="n">
        <f aca="false">+AF43/Z43-1</f>
        <v>0.330601816850129</v>
      </c>
      <c r="AG42" s="31" t="n">
        <f aca="false">+AG43/AA43-1</f>
        <v>0.681859240556171</v>
      </c>
      <c r="AH42" s="31" t="n">
        <f aca="false">+AH43/AB43-1</f>
        <v>0.572375260704018</v>
      </c>
      <c r="AI42" s="31" t="n">
        <f aca="false">+AI43/AC43-1</f>
        <v>3.8841221829336</v>
      </c>
      <c r="AJ42" s="31" t="n">
        <f aca="false">+AJ43/AD43-1</f>
        <v>9.75335147417897</v>
      </c>
      <c r="AK42" s="31" t="n">
        <f aca="false">+AK43/AE43-1</f>
        <v>5.41959313429268</v>
      </c>
      <c r="AL42" s="31" t="n">
        <f aca="false">+AL43/AF43-1</f>
        <v>1.32942005563457</v>
      </c>
      <c r="AM42" s="30"/>
      <c r="AN42" s="50" t="s">
        <v>254</v>
      </c>
      <c r="AO42" s="31" t="n">
        <f aca="false">+AO40-AO41</f>
        <v>20406.8999999999</v>
      </c>
      <c r="AP42" s="31" t="n">
        <f aca="false">+AP40-AP41</f>
        <v>3953.4</v>
      </c>
      <c r="AQ42" s="31" t="n">
        <f aca="false">+AQ40-AQ41</f>
        <v>-3016.30000000001</v>
      </c>
      <c r="AR42" s="31" t="n">
        <f aca="false">+AR40-AR41</f>
        <v>310.00000000001</v>
      </c>
      <c r="AS42" s="31" t="n">
        <f aca="false">+AS40-AS41</f>
        <v>13801.1</v>
      </c>
      <c r="AT42" s="31" t="n">
        <f aca="false">+AT40-AT41</f>
        <v>27115.9</v>
      </c>
      <c r="AU42" s="31" t="n">
        <f aca="false">+AU27</f>
        <v>32254.925</v>
      </c>
      <c r="AV42" s="31" t="n">
        <f aca="false">+AV27</f>
        <v>39140.1000000002</v>
      </c>
      <c r="AW42" s="31" t="n">
        <f aca="false">+AW40-AW41</f>
        <v>45962.1159576232</v>
      </c>
      <c r="AX42" s="31" t="n">
        <f aca="false">+AX40-AX41</f>
        <v>54254.4149281945</v>
      </c>
      <c r="AY42" s="30"/>
    </row>
    <row r="43" customFormat="false" ht="15" hidden="false" customHeight="true" outlineLevel="0" collapsed="false">
      <c r="A43" s="51" t="s">
        <v>172</v>
      </c>
      <c r="B43" s="52" t="n">
        <f aca="false">+B16-B40</f>
        <v>626.320000000002</v>
      </c>
      <c r="C43" s="52" t="n">
        <f aca="false">+C16-C40</f>
        <v>877.33</v>
      </c>
      <c r="D43" s="52" t="n">
        <f aca="false">+D16-D40</f>
        <v>1080.6</v>
      </c>
      <c r="E43" s="52" t="n">
        <f aca="false">+E16-E40</f>
        <v>1454.18</v>
      </c>
      <c r="F43" s="52" t="n">
        <f aca="false">+F16-F40</f>
        <v>2290.05</v>
      </c>
      <c r="G43" s="52" t="n">
        <f aca="false">+G16-G40</f>
        <v>1547.621576</v>
      </c>
      <c r="H43" s="52" t="n">
        <f aca="false">+H16-H40</f>
        <v>1655.71837829599</v>
      </c>
      <c r="I43" s="52" t="n">
        <f aca="false">+I16-I40</f>
        <v>2608.21</v>
      </c>
      <c r="J43" s="52" t="n">
        <f aca="false">+J16-J40</f>
        <v>2872.26</v>
      </c>
      <c r="K43" s="52" t="n">
        <f aca="false">+K16-K40</f>
        <v>2961.73</v>
      </c>
      <c r="L43" s="52" t="n">
        <f aca="false">+L16-L40</f>
        <v>3270.29</v>
      </c>
      <c r="M43" s="52" t="n">
        <f aca="false">+M16-M40</f>
        <v>3946.04</v>
      </c>
      <c r="N43" s="52" t="n">
        <f aca="false">+N16-N40</f>
        <v>4228.5</v>
      </c>
      <c r="O43" s="52" t="n">
        <f aca="false">+O16-O40</f>
        <v>5400.69999999999</v>
      </c>
      <c r="P43" s="52" t="n">
        <f aca="false">+P16-P40</f>
        <v>7026.85</v>
      </c>
      <c r="Q43" s="52" t="n">
        <f aca="false">+Q16-Q40</f>
        <v>8039.89</v>
      </c>
      <c r="R43" s="52" t="n">
        <f aca="false">+R16-R40</f>
        <v>4694.35100000001</v>
      </c>
      <c r="S43" s="52" t="n">
        <f aca="false">+S16-S40</f>
        <v>7628.39100000003</v>
      </c>
      <c r="T43" s="52" t="n">
        <f aca="false">+T16-T40</f>
        <v>12675.574</v>
      </c>
      <c r="U43" s="52" t="n">
        <f aca="false">+U16-U40</f>
        <v>12445.348</v>
      </c>
      <c r="V43" s="52" t="n">
        <f aca="false">+V16-V40</f>
        <v>8764.68300000001</v>
      </c>
      <c r="W43" s="52" t="n">
        <f aca="false">+W16-W40</f>
        <v>1665.62299999998</v>
      </c>
      <c r="X43" s="52" t="n">
        <f aca="false">+X16-X40</f>
        <v>10266.337</v>
      </c>
      <c r="Y43" s="52" t="n">
        <f aca="false">+Y16-Y40</f>
        <v>22546.311</v>
      </c>
      <c r="Z43" s="52" t="n">
        <f aca="false">+Z16-Z40</f>
        <v>22025.372</v>
      </c>
      <c r="AA43" s="52" t="n">
        <f aca="false">+AA16-AA40</f>
        <v>27389.807</v>
      </c>
      <c r="AB43" s="52" t="n">
        <f aca="false">+AB16-AB40</f>
        <v>31357.3999999999</v>
      </c>
      <c r="AC43" s="52" t="n">
        <f aca="false">+AC16-AC40</f>
        <v>11736.5</v>
      </c>
      <c r="AD43" s="52" t="n">
        <f aca="false">+AD16-AD40</f>
        <v>5351.39999999999</v>
      </c>
      <c r="AE43" s="52" t="n">
        <f aca="false">+AE16-AE40</f>
        <v>9945.20000000001</v>
      </c>
      <c r="AF43" s="52" t="n">
        <f aca="false">+AF16-AF40</f>
        <v>29307</v>
      </c>
      <c r="AG43" s="52" t="n">
        <f aca="false">+AG16-AG40</f>
        <v>46065.8000000001</v>
      </c>
      <c r="AH43" s="52" t="n">
        <f aca="false">+AH16-AH40</f>
        <v>49305.6</v>
      </c>
      <c r="AI43" s="52" t="n">
        <f aca="false">+AI16-AI40</f>
        <v>57322.5000000002</v>
      </c>
      <c r="AJ43" s="52" t="n">
        <f aca="false">+AJ16-AJ40</f>
        <v>57545.4850789213</v>
      </c>
      <c r="AK43" s="52" t="n">
        <f aca="false">+AK16-AK40</f>
        <v>63844.1376391677</v>
      </c>
      <c r="AL43" s="52" t="n">
        <f aca="false">+AL16-AL40</f>
        <v>68268.3135704823</v>
      </c>
      <c r="AM43" s="55" t="n">
        <f aca="false">+AJ43/AI43-1</f>
        <v>0.00389000966323994</v>
      </c>
      <c r="AN43" s="54" t="s">
        <v>255</v>
      </c>
      <c r="AO43" s="55" t="n">
        <f aca="false">+AO28</f>
        <v>-7412.3</v>
      </c>
      <c r="AP43" s="55" t="n">
        <f aca="false">+AP28</f>
        <v>19588.9</v>
      </c>
      <c r="AQ43" s="55" t="n">
        <f aca="false">+AQ28</f>
        <v>30183</v>
      </c>
      <c r="AR43" s="55" t="n">
        <f aca="false">+AR28</f>
        <v>12088.7</v>
      </c>
      <c r="AS43" s="55" t="n">
        <f aca="false">+AS28</f>
        <v>-478.800000000003</v>
      </c>
      <c r="AT43" s="55" t="n">
        <f aca="false">+AT28</f>
        <v>-13878.4</v>
      </c>
      <c r="AU43" s="55" t="n">
        <f aca="false">+AU28</f>
        <v>-42429.3</v>
      </c>
      <c r="AV43" s="55" t="n">
        <f aca="false">+AV28</f>
        <v>-59017.2</v>
      </c>
      <c r="AW43" s="55" t="n">
        <f aca="false">+AW28-(AW37-AW22)*(1-AJ531/100)</f>
        <v>-76594.4668146601</v>
      </c>
      <c r="AX43" s="55" t="n">
        <f aca="false">+AX28-(AX37-AX22)*(1-AK531/100)</f>
        <v>-104034.263088633</v>
      </c>
      <c r="AY43" s="53"/>
    </row>
    <row r="44" customFormat="false" ht="15" hidden="false" customHeight="true" outlineLevel="0" collapsed="false">
      <c r="A44" s="29" t="s">
        <v>248</v>
      </c>
      <c r="B44" s="56"/>
      <c r="C44" s="56"/>
      <c r="D44" s="56"/>
      <c r="E44" s="56"/>
      <c r="F44" s="57" t="n">
        <f aca="false">+F43/F16</f>
        <v>0.10498575158988</v>
      </c>
      <c r="G44" s="57" t="n">
        <f aca="false">+G43/G16</f>
        <v>0.0874960531270654</v>
      </c>
      <c r="H44" s="57" t="n">
        <f aca="false">+H43/H16</f>
        <v>0.0910399244908681</v>
      </c>
      <c r="I44" s="57" t="n">
        <f aca="false">+I43/I16</f>
        <v>0.115753039825958</v>
      </c>
      <c r="J44" s="57" t="n">
        <f aca="false">+J43/J16</f>
        <v>0.1275419491548</v>
      </c>
      <c r="K44" s="57" t="n">
        <f aca="false">+K43/K16</f>
        <v>0.13097767250651</v>
      </c>
      <c r="L44" s="57" t="n">
        <f aca="false">+L43/L16</f>
        <v>0.1220086741594</v>
      </c>
      <c r="M44" s="57" t="n">
        <f aca="false">+M43/M16</f>
        <v>0.116269147678589</v>
      </c>
      <c r="N44" s="57" t="n">
        <f aca="false">+N43/N16</f>
        <v>0.101102769763996</v>
      </c>
      <c r="O44" s="57" t="n">
        <f aca="false">+O43/O16</f>
        <v>0.102916406312379</v>
      </c>
      <c r="P44" s="57" t="n">
        <f aca="false">+P43/P16</f>
        <v>0.0980284245252907</v>
      </c>
      <c r="Q44" s="57" t="n">
        <f aca="false">+Q43/Q16</f>
        <v>0.10402072783678</v>
      </c>
      <c r="R44" s="57" t="n">
        <f aca="false">+R43/R16</f>
        <v>0.0784867606630564</v>
      </c>
      <c r="S44" s="57" t="n">
        <f aca="false">+S43/S16</f>
        <v>0.105296008722502</v>
      </c>
      <c r="T44" s="57" t="n">
        <f aca="false">+T43/T16</f>
        <v>0.114012464258599</v>
      </c>
      <c r="U44" s="57" t="n">
        <f aca="false">+U43/U16</f>
        <v>0.0969986586033483</v>
      </c>
      <c r="V44" s="57" t="n">
        <f aca="false">+V43/V16</f>
        <v>0.0702230795115855</v>
      </c>
      <c r="W44" s="57" t="n">
        <f aca="false">+W43/W16</f>
        <v>0.0167509959117009</v>
      </c>
      <c r="X44" s="57" t="n">
        <f aca="false">+X43/X16</f>
        <v>0.0756982599763656</v>
      </c>
      <c r="Y44" s="57" t="n">
        <f aca="false">+Y43/Y16</f>
        <v>0.119057659949906</v>
      </c>
      <c r="Z44" s="57" t="n">
        <f aca="false">+Z43/Z16</f>
        <v>0.110024225001949</v>
      </c>
      <c r="AA44" s="57" t="n">
        <f aca="false">+AA43/AA16</f>
        <v>0.104350438535332</v>
      </c>
      <c r="AB44" s="57" t="n">
        <f aca="false">+AB43/AB16</f>
        <v>0.107924467259451</v>
      </c>
      <c r="AC44" s="57" t="n">
        <f aca="false">+AC43/AC16</f>
        <v>0.0671906120348282</v>
      </c>
      <c r="AD44" s="57" t="n">
        <f aca="false">+AD43/AD16</f>
        <v>0.0349731561387973</v>
      </c>
      <c r="AE44" s="57" t="n">
        <f aca="false">+AE43/AE16</f>
        <v>0.0458551596276148</v>
      </c>
      <c r="AF44" s="57" t="n">
        <f aca="false">+AF43/AF16</f>
        <v>0.0810836832747992</v>
      </c>
      <c r="AG44" s="57" t="n">
        <f aca="false">+AG43/AG16</f>
        <v>0.120066108843974</v>
      </c>
      <c r="AH44" s="57" t="n">
        <f aca="false">+AH43/AH16</f>
        <v>0.127231261583052</v>
      </c>
      <c r="AI44" s="57" t="n">
        <f aca="false">+AI43/AI16</f>
        <v>0.130257597479312</v>
      </c>
      <c r="AJ44" s="57" t="n">
        <f aca="false">+AJ43/AJ16</f>
        <v>0.119931529778246</v>
      </c>
      <c r="AK44" s="57" t="n">
        <f aca="false">+AK43/AK16</f>
        <v>0.123176388618778</v>
      </c>
      <c r="AL44" s="57" t="n">
        <f aca="false">+AL43/AL16</f>
        <v>0.122516851536862</v>
      </c>
      <c r="AM44" s="56"/>
      <c r="AN44" s="50" t="s">
        <v>171</v>
      </c>
      <c r="AO44" s="57" t="n">
        <f aca="false">+AP29</f>
        <v>18</v>
      </c>
      <c r="AP44" s="58" t="n">
        <v>20</v>
      </c>
      <c r="AQ44" s="56"/>
      <c r="AR44" s="56"/>
      <c r="AS44" s="56"/>
      <c r="AT44" s="56"/>
      <c r="AU44" s="56"/>
      <c r="AV44" s="56"/>
      <c r="AW44" s="56"/>
      <c r="AX44" s="56"/>
      <c r="AY44" s="56"/>
    </row>
    <row r="45" customFormat="false" ht="15" hidden="false" customHeight="true" outlineLevel="0" collapsed="false">
      <c r="A45" s="29" t="s">
        <v>262</v>
      </c>
      <c r="B45" s="31" t="n">
        <f aca="false">+B519</f>
        <v>835.55</v>
      </c>
      <c r="C45" s="31" t="n">
        <f aca="false">+C519</f>
        <v>671.57</v>
      </c>
      <c r="D45" s="31" t="n">
        <f aca="false">+D519</f>
        <v>751.67</v>
      </c>
      <c r="E45" s="31" t="n">
        <f aca="false">+E519</f>
        <v>990.46</v>
      </c>
      <c r="F45" s="31" t="n">
        <f aca="false">+F519</f>
        <v>1369.45</v>
      </c>
      <c r="G45" s="31" t="n">
        <f aca="false">+G519</f>
        <v>1724.3</v>
      </c>
      <c r="H45" s="31" t="n">
        <f aca="false">+H519</f>
        <v>1534.57</v>
      </c>
      <c r="I45" s="31" t="n">
        <f aca="false">+I519</f>
        <v>1400.67</v>
      </c>
      <c r="J45" s="31" t="n">
        <f aca="false">+J519</f>
        <v>1349.37</v>
      </c>
      <c r="K45" s="31" t="n">
        <f aca="false">+K519</f>
        <v>1152.53</v>
      </c>
      <c r="L45" s="31" t="n">
        <f aca="false">+L519</f>
        <v>956.15</v>
      </c>
      <c r="M45" s="31" t="n">
        <f aca="false">+M519</f>
        <v>594.09</v>
      </c>
      <c r="N45" s="31" t="n">
        <f aca="false">+N519</f>
        <v>304.01</v>
      </c>
      <c r="O45" s="31" t="n">
        <f aca="false">+O519</f>
        <v>383.74</v>
      </c>
      <c r="P45" s="31" t="n">
        <f aca="false">+P519</f>
        <v>288.37</v>
      </c>
      <c r="Q45" s="31" t="n">
        <f aca="false">+Q519</f>
        <v>763.12</v>
      </c>
      <c r="R45" s="31" t="n">
        <f aca="false">+R519</f>
        <v>1603.183</v>
      </c>
      <c r="S45" s="31" t="n">
        <f aca="false">+S519</f>
        <v>1018.515</v>
      </c>
      <c r="T45" s="31" t="n">
        <f aca="false">+T519</f>
        <v>1889.234</v>
      </c>
      <c r="U45" s="31" t="n">
        <f aca="false">+U519</f>
        <v>2552.532</v>
      </c>
      <c r="V45" s="31" t="n">
        <f aca="false">+V519</f>
        <v>3768.857</v>
      </c>
      <c r="W45" s="31" t="n">
        <f aca="false">+W519</f>
        <v>4529.248</v>
      </c>
      <c r="X45" s="31" t="n">
        <f aca="false">+X519</f>
        <v>3935.075</v>
      </c>
      <c r="Y45" s="31" t="n">
        <f aca="false">+Y519</f>
        <v>2476.387</v>
      </c>
      <c r="Z45" s="31" t="n">
        <f aca="false">+Z519</f>
        <v>1553.787</v>
      </c>
      <c r="AA45" s="31" t="n">
        <f aca="false">+AA519</f>
        <v>1312.459</v>
      </c>
      <c r="AB45" s="31" t="n">
        <f aca="false">+AB519</f>
        <v>703.8</v>
      </c>
      <c r="AC45" s="31" t="n">
        <f aca="false">+AC519</f>
        <v>1094.5</v>
      </c>
      <c r="AD45" s="31" t="n">
        <f aca="false">+AD519</f>
        <v>3067.9</v>
      </c>
      <c r="AE45" s="31" t="n">
        <f aca="false">+AE519</f>
        <v>3011.1</v>
      </c>
      <c r="AF45" s="31" t="n">
        <f aca="false">+AF519</f>
        <v>2890.9</v>
      </c>
      <c r="AG45" s="31" t="n">
        <f aca="false">+AG519</f>
        <v>2494.4</v>
      </c>
      <c r="AH45" s="31" t="n">
        <f aca="false">+AH519</f>
        <v>2169.1</v>
      </c>
      <c r="AI45" s="31" t="n">
        <f aca="false">+AI519</f>
        <v>1697.3</v>
      </c>
      <c r="AJ45" s="31" t="n">
        <f aca="false">+AJ519</f>
        <v>1314.048</v>
      </c>
      <c r="AK45" s="31" t="n">
        <f aca="false">+AK519</f>
        <v>1074.048</v>
      </c>
      <c r="AL45" s="31" t="n">
        <f aca="false">+AL519</f>
        <v>764.544</v>
      </c>
      <c r="AM45" s="30"/>
      <c r="AN45" s="50" t="s">
        <v>174</v>
      </c>
      <c r="AO45" s="31" t="n">
        <f aca="false">+ROUND((AO44*AVERAGE(AU37)-AVERAGE(AU43))/$AB$78/5,0)*5</f>
        <v>160</v>
      </c>
      <c r="AP45" s="31" t="n">
        <f aca="false">+ROUND((AP44*AVERAGE(AW37:AX37)-AVERAGE(AW43:AX43))/$AH$78/5,0)*5</f>
        <v>260</v>
      </c>
      <c r="AQ45" s="30"/>
      <c r="AR45" s="30"/>
      <c r="AS45" s="30"/>
      <c r="AT45" s="30"/>
      <c r="AU45" s="30"/>
      <c r="AV45" s="30"/>
      <c r="AW45" s="30"/>
      <c r="AX45" s="30"/>
      <c r="AY45" s="30"/>
    </row>
    <row r="46" customFormat="false" ht="15" hidden="false" customHeight="true" outlineLevel="0" collapsed="false">
      <c r="A46" s="29" t="s">
        <v>263</v>
      </c>
      <c r="B46" s="31" t="n">
        <f aca="false">+B355</f>
        <v>569.31</v>
      </c>
      <c r="C46" s="31" t="n">
        <f aca="false">+C355</f>
        <v>475.64</v>
      </c>
      <c r="D46" s="31" t="n">
        <f aca="false">+D355</f>
        <v>768.76</v>
      </c>
      <c r="E46" s="31" t="n">
        <f aca="false">+E355</f>
        <v>1418.16</v>
      </c>
      <c r="F46" s="31" t="n">
        <f aca="false">+F355</f>
        <v>1305.73</v>
      </c>
      <c r="G46" s="31" t="n">
        <f aca="false">+G355</f>
        <v>1088.93</v>
      </c>
      <c r="H46" s="31" t="n">
        <f aca="false">+H355</f>
        <v>877.44</v>
      </c>
      <c r="I46" s="31" t="n">
        <f aca="false">+I355</f>
        <v>549.76</v>
      </c>
      <c r="J46" s="31" t="n">
        <f aca="false">+J355</f>
        <v>434.7</v>
      </c>
      <c r="K46" s="31" t="n">
        <f aca="false">+K355</f>
        <v>506.84</v>
      </c>
      <c r="L46" s="31" t="n">
        <f aca="false">+L355</f>
        <v>523.98</v>
      </c>
      <c r="M46" s="31" t="n">
        <f aca="false">+M355</f>
        <v>572.38</v>
      </c>
      <c r="N46" s="31" t="n">
        <f aca="false">+N355</f>
        <v>544.9916</v>
      </c>
      <c r="O46" s="31" t="n">
        <f aca="false">+O355</f>
        <v>548.95</v>
      </c>
      <c r="P46" s="31" t="n">
        <f aca="false">+P355</f>
        <v>943.08</v>
      </c>
      <c r="Q46" s="31" t="n">
        <f aca="false">+Q355</f>
        <v>1005.71</v>
      </c>
      <c r="R46" s="31" t="n">
        <f aca="false">+R355</f>
        <v>1367.324</v>
      </c>
      <c r="S46" s="31" t="n">
        <f aca="false">+S355</f>
        <v>911.665</v>
      </c>
      <c r="T46" s="31" t="n">
        <f aca="false">+T355</f>
        <v>405.963</v>
      </c>
      <c r="U46" s="31" t="n">
        <f aca="false">+U355</f>
        <v>519.104</v>
      </c>
      <c r="V46" s="31" t="n">
        <f aca="false">+V355</f>
        <v>623.515</v>
      </c>
      <c r="W46" s="31" t="n">
        <f aca="false">+W355</f>
        <v>665.207</v>
      </c>
      <c r="X46" s="31" t="n">
        <f aca="false">+X355</f>
        <v>1244.713</v>
      </c>
      <c r="Y46" s="31" t="n">
        <f aca="false">+Y355</f>
        <v>1176.202</v>
      </c>
      <c r="Z46" s="31" t="n">
        <f aca="false">+Z355</f>
        <v>1362.701</v>
      </c>
      <c r="AA46" s="31" t="n">
        <f aca="false">+AA355</f>
        <v>1897.647</v>
      </c>
      <c r="AB46" s="31" t="n">
        <f aca="false">+AB355</f>
        <v>1099.4</v>
      </c>
      <c r="AC46" s="31" t="n">
        <f aca="false">+AC355</f>
        <v>1233.4</v>
      </c>
      <c r="AD46" s="31" t="n">
        <f aca="false">+AD355</f>
        <v>1195</v>
      </c>
      <c r="AE46" s="31" t="n">
        <f aca="false">+AE355</f>
        <v>761.3</v>
      </c>
      <c r="AF46" s="31" t="n">
        <f aca="false">+AF355</f>
        <v>1161.4</v>
      </c>
      <c r="AG46" s="31" t="n">
        <f aca="false">+AG355</f>
        <v>2465.7</v>
      </c>
      <c r="AH46" s="31" t="n">
        <f aca="false">+AH355</f>
        <v>2502.5</v>
      </c>
      <c r="AI46" s="31" t="n">
        <f aca="false">+AI355</f>
        <v>3151.7</v>
      </c>
      <c r="AJ46" s="31" t="n">
        <f aca="false">+AJ355</f>
        <v>3442.45860283098</v>
      </c>
      <c r="AK46" s="31" t="n">
        <f aca="false">+AK355</f>
        <v>3802.62853865332</v>
      </c>
      <c r="AL46" s="31" t="n">
        <f aca="false">+AL355</f>
        <v>4299.41212036945</v>
      </c>
      <c r="AM46" s="30"/>
      <c r="AN46" s="30"/>
      <c r="AO46" s="30"/>
      <c r="AP46" s="30"/>
      <c r="AQ46" s="30"/>
      <c r="AR46" s="30"/>
      <c r="AS46" s="30"/>
      <c r="AT46" s="30"/>
      <c r="AU46" s="30"/>
      <c r="AV46" s="30"/>
      <c r="AW46" s="30"/>
      <c r="AX46" s="30"/>
      <c r="AY46" s="30"/>
    </row>
    <row r="47" customFormat="false" ht="15" hidden="false" customHeight="true" outlineLevel="0" collapsed="false">
      <c r="A47" s="51" t="s">
        <v>264</v>
      </c>
      <c r="B47" s="55" t="n">
        <f aca="false">+B43-B45+B46</f>
        <v>360.080000000002</v>
      </c>
      <c r="C47" s="55" t="n">
        <f aca="false">+C43-C45+C46</f>
        <v>681.4</v>
      </c>
      <c r="D47" s="55" t="n">
        <f aca="false">+D43-D45+D46</f>
        <v>1097.69</v>
      </c>
      <c r="E47" s="55" t="n">
        <f aca="false">+E43-E45+E46</f>
        <v>1881.88</v>
      </c>
      <c r="F47" s="55" t="n">
        <f aca="false">+F43-F45+F46</f>
        <v>2226.33</v>
      </c>
      <c r="G47" s="55" t="n">
        <f aca="false">+G43-G45+G46</f>
        <v>912.251575999999</v>
      </c>
      <c r="H47" s="55" t="n">
        <f aca="false">+H43-H45+H46</f>
        <v>998.588378295995</v>
      </c>
      <c r="I47" s="55" t="n">
        <f aca="false">+I43-I45+I46</f>
        <v>1757.3</v>
      </c>
      <c r="J47" s="55" t="n">
        <f aca="false">+J43-J45+J46</f>
        <v>1957.59</v>
      </c>
      <c r="K47" s="55" t="n">
        <f aca="false">+K43-K45+K46</f>
        <v>2316.04</v>
      </c>
      <c r="L47" s="55" t="n">
        <f aca="false">+L43-L45+L46</f>
        <v>2838.12</v>
      </c>
      <c r="M47" s="55" t="n">
        <f aca="false">+M43-M45+M46</f>
        <v>3924.33</v>
      </c>
      <c r="N47" s="55" t="n">
        <f aca="false">+N43-N45+N46</f>
        <v>4469.4816</v>
      </c>
      <c r="O47" s="55" t="n">
        <f aca="false">+O43-O45+O46</f>
        <v>5565.90999999999</v>
      </c>
      <c r="P47" s="55" t="n">
        <f aca="false">+P43-P45+P46</f>
        <v>7681.56</v>
      </c>
      <c r="Q47" s="55" t="n">
        <f aca="false">+Q43-Q45+Q46</f>
        <v>8282.48</v>
      </c>
      <c r="R47" s="55" t="n">
        <f aca="false">+R43-R45+R46</f>
        <v>4458.49200000001</v>
      </c>
      <c r="S47" s="55" t="n">
        <f aca="false">+S43-S45+S46</f>
        <v>7521.54100000003</v>
      </c>
      <c r="T47" s="55" t="n">
        <f aca="false">+T43-T45+T46</f>
        <v>11192.303</v>
      </c>
      <c r="U47" s="55" t="n">
        <f aca="false">+U43-U45+U46</f>
        <v>10411.92</v>
      </c>
      <c r="V47" s="55" t="n">
        <f aca="false">+V43-V45+V46</f>
        <v>5619.34100000001</v>
      </c>
      <c r="W47" s="55" t="n">
        <f aca="false">+W43-W45+W46</f>
        <v>-2198.41800000002</v>
      </c>
      <c r="X47" s="55" t="n">
        <f aca="false">+X43-X45+X46</f>
        <v>7575.97500000001</v>
      </c>
      <c r="Y47" s="55" t="n">
        <f aca="false">+Y43-Y45+Y46</f>
        <v>21246.126</v>
      </c>
      <c r="Z47" s="55" t="n">
        <f aca="false">+Z43-Z45+Z46</f>
        <v>21834.286</v>
      </c>
      <c r="AA47" s="55" t="n">
        <f aca="false">+AA43-AA45+AA46</f>
        <v>27974.995</v>
      </c>
      <c r="AB47" s="55" t="n">
        <f aca="false">+AB43-AB45+AB46</f>
        <v>31752.9999999999</v>
      </c>
      <c r="AC47" s="55" t="n">
        <f aca="false">+AC43-AC45+AC46</f>
        <v>11875.4</v>
      </c>
      <c r="AD47" s="55" t="n">
        <f aca="false">+AD43-AD45+AD46</f>
        <v>3478.49999999999</v>
      </c>
      <c r="AE47" s="55" t="n">
        <f aca="false">+AE43-AE45+AE46</f>
        <v>7695.40000000001</v>
      </c>
      <c r="AF47" s="55" t="n">
        <f aca="false">+AF43-AF45+AF46</f>
        <v>27577.5</v>
      </c>
      <c r="AG47" s="55" t="n">
        <f aca="false">+AG43-AG45+AG46</f>
        <v>46037.1</v>
      </c>
      <c r="AH47" s="55" t="n">
        <f aca="false">+AH43-AH45+AH46</f>
        <v>49639</v>
      </c>
      <c r="AI47" s="55" t="n">
        <f aca="false">+AI43-AI45+AI46</f>
        <v>58776.9000000002</v>
      </c>
      <c r="AJ47" s="55" t="n">
        <f aca="false">+AJ43-AJ45+AJ46</f>
        <v>59673.8956817522</v>
      </c>
      <c r="AK47" s="55" t="n">
        <f aca="false">+AK43-AK45+AK46</f>
        <v>66572.718177821</v>
      </c>
      <c r="AL47" s="55" t="n">
        <f aca="false">+AL43-AL45+AL46</f>
        <v>71803.1816908518</v>
      </c>
      <c r="AM47" s="53"/>
      <c r="AN47" s="61" t="s">
        <v>265</v>
      </c>
      <c r="AO47" s="54" t="s">
        <v>231</v>
      </c>
      <c r="AP47" s="55" t="str">
        <f aca="false">+AP31</f>
        <v>FY20</v>
      </c>
      <c r="AQ47" s="55" t="str">
        <f aca="false">+AQ31</f>
        <v>FY21</v>
      </c>
      <c r="AR47" s="55" t="str">
        <f aca="false">+AR31</f>
        <v>FY22</v>
      </c>
      <c r="AS47" s="55" t="str">
        <f aca="false">+AS31</f>
        <v>FY23</v>
      </c>
      <c r="AT47" s="55" t="str">
        <f aca="false">+AT31</f>
        <v>FY24</v>
      </c>
      <c r="AU47" s="55" t="str">
        <f aca="false">+AU31</f>
        <v>FY25</v>
      </c>
      <c r="AV47" s="55" t="str">
        <f aca="false">+AV31</f>
        <v>FY26</v>
      </c>
      <c r="AW47" s="55" t="str">
        <f aca="false">+AW31</f>
        <v>FY27</v>
      </c>
      <c r="AX47" s="55" t="str">
        <f aca="false">+AX31</f>
        <v>FY28</v>
      </c>
      <c r="AY47" s="53"/>
    </row>
    <row r="48" customFormat="false" ht="15" hidden="false" customHeight="true" outlineLevel="0" collapsed="false">
      <c r="A48" s="29" t="s">
        <v>266</v>
      </c>
      <c r="B48" s="30"/>
      <c r="C48" s="30"/>
      <c r="D48" s="30"/>
      <c r="E48" s="30"/>
      <c r="F48" s="30"/>
      <c r="G48" s="30"/>
      <c r="H48" s="30"/>
      <c r="I48" s="30"/>
      <c r="J48" s="30"/>
      <c r="K48" s="30"/>
      <c r="L48" s="30"/>
      <c r="M48" s="30"/>
      <c r="N48" s="30"/>
      <c r="O48" s="30"/>
      <c r="P48" s="30"/>
      <c r="Q48" s="30"/>
      <c r="R48" s="30"/>
      <c r="S48" s="30"/>
      <c r="T48" s="30"/>
      <c r="U48" s="30"/>
      <c r="V48" s="30"/>
      <c r="W48" s="30"/>
      <c r="X48" s="30"/>
      <c r="Y48" s="31" t="n">
        <f aca="false">+Y521</f>
        <v>50.48</v>
      </c>
      <c r="Z48" s="31" t="n">
        <f aca="false">+Z521</f>
        <v>153.974</v>
      </c>
      <c r="AA48" s="31" t="n">
        <f aca="false">+AA521</f>
        <v>3.913</v>
      </c>
      <c r="AB48" s="31" t="n">
        <f aca="false">+AB521</f>
        <v>-26.3</v>
      </c>
      <c r="AC48" s="31" t="n">
        <f aca="false">+AC521</f>
        <v>0.1</v>
      </c>
      <c r="AD48" s="31" t="n">
        <f aca="false">+AD521</f>
        <v>0</v>
      </c>
      <c r="AE48" s="31" t="n">
        <f aca="false">+AE521</f>
        <v>0</v>
      </c>
      <c r="AF48" s="31" t="n">
        <f aca="false">+AF521</f>
        <v>0</v>
      </c>
      <c r="AG48" s="31" t="n">
        <f aca="false">+AG521</f>
        <v>0</v>
      </c>
      <c r="AH48" s="31" t="n">
        <f aca="false">+AH521</f>
        <v>0</v>
      </c>
      <c r="AI48" s="31" t="n">
        <f aca="false">+AI521</f>
        <v>0</v>
      </c>
      <c r="AJ48" s="31" t="n">
        <f aca="false">+AJ521</f>
        <v>0</v>
      </c>
      <c r="AK48" s="31" t="n">
        <f aca="false">+AK521</f>
        <v>0</v>
      </c>
      <c r="AL48" s="31" t="n">
        <f aca="false">+AL521</f>
        <v>0</v>
      </c>
      <c r="AM48" s="30"/>
      <c r="AN48" s="50" t="s">
        <v>242</v>
      </c>
      <c r="AO48" s="31" t="n">
        <f aca="false">+AO16</f>
        <v>197366</v>
      </c>
      <c r="AP48" s="31" t="n">
        <f aca="false">+AP16</f>
        <v>125253</v>
      </c>
      <c r="AQ48" s="31" t="n">
        <f aca="false">+AQ16</f>
        <v>100715</v>
      </c>
      <c r="AR48" s="31" t="n">
        <f aca="false">+AR16</f>
        <v>128326</v>
      </c>
      <c r="AS48" s="31" t="n">
        <f aca="false">+AS16</f>
        <v>192205</v>
      </c>
      <c r="AT48" s="31" t="n">
        <f aca="false">+AT16</f>
        <v>194683</v>
      </c>
      <c r="AU48" s="31" t="n">
        <f aca="false">+AU16</f>
        <v>195093</v>
      </c>
      <c r="AV48" s="31" t="n">
        <f aca="false">+AV16</f>
        <v>220437</v>
      </c>
      <c r="AW48" s="31" t="n">
        <f aca="false">+AV48*(1+AW49)</f>
        <v>227050.11</v>
      </c>
      <c r="AX48" s="31" t="n">
        <f aca="false">+AW48*(1+AX49)</f>
        <v>233861.6133</v>
      </c>
      <c r="AY48" s="35" t="n">
        <f aca="false">+SQRT(AX48/AV48)-1</f>
        <v>0.03</v>
      </c>
    </row>
    <row r="49" customFormat="false" ht="15" hidden="false" customHeight="true" outlineLevel="0" collapsed="false">
      <c r="A49" s="29" t="s">
        <v>267</v>
      </c>
      <c r="B49" s="31" t="n">
        <f aca="false">+B522</f>
        <v>315.83</v>
      </c>
      <c r="C49" s="31" t="n">
        <f aca="false">+C522</f>
        <v>328.1</v>
      </c>
      <c r="D49" s="31" t="n">
        <f aca="false">+D522</f>
        <v>391.79</v>
      </c>
      <c r="E49" s="31" t="n">
        <f aca="false">+E522</f>
        <v>546.05</v>
      </c>
      <c r="F49" s="31" t="n">
        <f aca="false">+F522</f>
        <v>655.98</v>
      </c>
      <c r="G49" s="31" t="n">
        <f aca="false">+G522</f>
        <v>705.57</v>
      </c>
      <c r="H49" s="31" t="n">
        <f aca="false">+H522</f>
        <v>761.9</v>
      </c>
      <c r="I49" s="31" t="n">
        <f aca="false">+I522</f>
        <v>824.43</v>
      </c>
      <c r="J49" s="31" t="n">
        <f aca="false">+J522</f>
        <v>883.5</v>
      </c>
      <c r="K49" s="31" t="n">
        <f aca="false">+K522</f>
        <v>953.55</v>
      </c>
      <c r="L49" s="31" t="n">
        <f aca="false">+L522</f>
        <v>1029.69</v>
      </c>
      <c r="M49" s="31" t="n">
        <f aca="false">+M522</f>
        <v>964.54</v>
      </c>
      <c r="N49" s="31" t="n">
        <f aca="false">+N522</f>
        <v>1092.14</v>
      </c>
      <c r="O49" s="31" t="n">
        <f aca="false">+O522</f>
        <v>1260.06</v>
      </c>
      <c r="P49" s="31" t="n">
        <f aca="false">+P522</f>
        <v>1505.74</v>
      </c>
      <c r="Q49" s="31" t="n">
        <f aca="false">+Q522</f>
        <v>1773.61</v>
      </c>
      <c r="R49" s="31" t="n">
        <f aca="false">+R522</f>
        <v>1784.142</v>
      </c>
      <c r="S49" s="31" t="n">
        <f aca="false">+S522</f>
        <v>2041.079</v>
      </c>
      <c r="T49" s="31" t="n">
        <f aca="false">+T522</f>
        <v>2674.31</v>
      </c>
      <c r="U49" s="31" t="n">
        <f aca="false">+U522</f>
        <v>3528.132</v>
      </c>
      <c r="V49" s="31" t="n">
        <f aca="false">+V522</f>
        <v>3807.835</v>
      </c>
      <c r="W49" s="31" t="n">
        <f aca="false">+W522</f>
        <v>3770.36</v>
      </c>
      <c r="X49" s="31" t="n">
        <f aca="false">+X522</f>
        <v>4163.367</v>
      </c>
      <c r="Y49" s="31" t="n">
        <f aca="false">+Y522</f>
        <v>4879.004</v>
      </c>
      <c r="Z49" s="31" t="n">
        <f aca="false">+Z522</f>
        <v>5178.939</v>
      </c>
      <c r="AA49" s="31" t="n">
        <f aca="false">+AA522</f>
        <v>5546.094</v>
      </c>
      <c r="AB49" s="31" t="n">
        <f aca="false">+AB522</f>
        <v>6210.1</v>
      </c>
      <c r="AC49" s="31" t="n">
        <f aca="false">+AC522</f>
        <v>6698</v>
      </c>
      <c r="AD49" s="31" t="n">
        <f aca="false">+AD522</f>
        <v>7477.1</v>
      </c>
      <c r="AE49" s="31" t="n">
        <f aca="false">+AE522</f>
        <v>7527.6</v>
      </c>
      <c r="AF49" s="31" t="n">
        <f aca="false">+AF522</f>
        <v>7319.6</v>
      </c>
      <c r="AG49" s="31" t="n">
        <f aca="false">+AG522</f>
        <v>7178.1</v>
      </c>
      <c r="AH49" s="31" t="n">
        <f aca="false">+AH522</f>
        <v>7193.4</v>
      </c>
      <c r="AI49" s="31" t="n">
        <f aca="false">+AI522</f>
        <v>7151.9</v>
      </c>
      <c r="AJ49" s="31" t="n">
        <f aca="false">+AJ522</f>
        <v>7551.4454</v>
      </c>
      <c r="AK49" s="31" t="n">
        <f aca="false">+AK522</f>
        <v>8111.9454</v>
      </c>
      <c r="AL49" s="31" t="n">
        <f aca="false">+AL522</f>
        <v>8467.4548</v>
      </c>
      <c r="AM49" s="30"/>
      <c r="AN49" s="50" t="s">
        <v>243</v>
      </c>
      <c r="AO49" s="30"/>
      <c r="AP49" s="30"/>
      <c r="AQ49" s="30"/>
      <c r="AR49" s="30"/>
      <c r="AS49" s="30"/>
      <c r="AT49" s="30"/>
      <c r="AU49" s="30"/>
      <c r="AV49" s="30"/>
      <c r="AW49" s="62" t="n">
        <v>0.03</v>
      </c>
      <c r="AX49" s="62" t="n">
        <v>0.03</v>
      </c>
      <c r="AY49" s="30"/>
    </row>
    <row r="50" customFormat="false" ht="15" hidden="false" customHeight="true" outlineLevel="0" collapsed="false">
      <c r="A50" s="29" t="s">
        <v>268</v>
      </c>
      <c r="B50" s="31" t="n">
        <f aca="false">+B524</f>
        <v>0</v>
      </c>
      <c r="C50" s="31" t="n">
        <f aca="false">+C524</f>
        <v>0</v>
      </c>
      <c r="D50" s="31" t="n">
        <f aca="false">+D524</f>
        <v>0</v>
      </c>
      <c r="E50" s="31" t="n">
        <f aca="false">+E524</f>
        <v>0</v>
      </c>
      <c r="F50" s="31" t="n">
        <f aca="false">+F524</f>
        <v>0</v>
      </c>
      <c r="G50" s="31" t="n">
        <f aca="false">+G524</f>
        <v>0</v>
      </c>
      <c r="H50" s="31" t="n">
        <f aca="false">+H524</f>
        <v>0</v>
      </c>
      <c r="I50" s="31" t="n">
        <f aca="false">+I524</f>
        <v>0</v>
      </c>
      <c r="J50" s="31" t="n">
        <f aca="false">+J524</f>
        <v>-54.68</v>
      </c>
      <c r="K50" s="31" t="n">
        <f aca="false">+K524</f>
        <v>-40.43</v>
      </c>
      <c r="L50" s="31" t="n">
        <f aca="false">+L524</f>
        <v>-107.41</v>
      </c>
      <c r="M50" s="31" t="n">
        <f aca="false">+M524</f>
        <v>-95.19</v>
      </c>
      <c r="N50" s="31" t="n">
        <f aca="false">+N524</f>
        <v>358.7584</v>
      </c>
      <c r="O50" s="31" t="n">
        <f aca="false">+O524</f>
        <v>217.15</v>
      </c>
      <c r="P50" s="31" t="n">
        <f aca="false">+P524</f>
        <v>-130.76</v>
      </c>
      <c r="Q50" s="31" t="n">
        <f aca="false">+Q524</f>
        <v>-127.37</v>
      </c>
      <c r="R50" s="31" t="n">
        <f aca="false">+R524</f>
        <v>-589.887</v>
      </c>
      <c r="S50" s="31" t="n">
        <f aca="false">+S524</f>
        <v>-32.715</v>
      </c>
      <c r="T50" s="31" t="n">
        <f aca="false">+T524</f>
        <v>-500</v>
      </c>
      <c r="U50" s="31" t="n">
        <f aca="false">+U524</f>
        <v>15.978</v>
      </c>
      <c r="V50" s="31" t="n">
        <f aca="false">+V524</f>
        <v>2895.561</v>
      </c>
      <c r="W50" s="31" t="n">
        <f aca="false">+W524</f>
        <v>5056.589</v>
      </c>
      <c r="X50" s="31" t="n">
        <f aca="false">+X524</f>
        <v>1009.359</v>
      </c>
      <c r="Y50" s="31" t="n">
        <f aca="false">+Y524</f>
        <v>-8152.235</v>
      </c>
      <c r="Z50" s="31" t="n">
        <f aca="false">+Z524</f>
        <v>-268.459</v>
      </c>
      <c r="AA50" s="31" t="n">
        <f aca="false">+AA524</f>
        <v>-125.66</v>
      </c>
      <c r="AB50" s="31" t="n">
        <f aca="false">+AB524</f>
        <v>-548.6</v>
      </c>
      <c r="AC50" s="31" t="n">
        <f aca="false">+AC524</f>
        <v>-1558.3</v>
      </c>
      <c r="AD50" s="31" t="n">
        <f aca="false">+AD524</f>
        <v>-120.5</v>
      </c>
      <c r="AE50" s="31" t="n">
        <f aca="false">+AE524</f>
        <v>5108.3</v>
      </c>
      <c r="AF50" s="31" t="n">
        <f aca="false">+AF524</f>
        <v>846.1</v>
      </c>
      <c r="AG50" s="31" t="n">
        <f aca="false">+AG524</f>
        <v>-937.2</v>
      </c>
      <c r="AH50" s="31" t="n">
        <f aca="false">+AH524</f>
        <v>1037.3</v>
      </c>
      <c r="AI50" s="31" t="n">
        <f aca="false">+AI524</f>
        <v>-3484.8</v>
      </c>
      <c r="AJ50" s="31" t="n">
        <f aca="false">+AJ524</f>
        <v>0</v>
      </c>
      <c r="AK50" s="31" t="n">
        <f aca="false">+AK524</f>
        <v>0</v>
      </c>
      <c r="AL50" s="31" t="n">
        <f aca="false">+AL524</f>
        <v>0</v>
      </c>
      <c r="AM50" s="30"/>
      <c r="AN50" s="50" t="s">
        <v>244</v>
      </c>
      <c r="AO50" s="31" t="n">
        <f aca="false">+AO18</f>
        <v>1472135.52486244</v>
      </c>
      <c r="AP50" s="31" t="n">
        <f aca="false">+AP18</f>
        <v>1394574.98023999</v>
      </c>
      <c r="AQ50" s="31" t="n">
        <f aca="false">+AQ18</f>
        <v>1519282.13275083</v>
      </c>
      <c r="AR50" s="31" t="n">
        <f aca="false">+AR18</f>
        <v>1690093.20013092</v>
      </c>
      <c r="AS50" s="31" t="n">
        <f aca="false">+AS18</f>
        <v>1880499.46671523</v>
      </c>
      <c r="AT50" s="31" t="n">
        <f aca="false">+AT18</f>
        <v>1970743.72184526</v>
      </c>
      <c r="AU50" s="31" t="n">
        <f aca="false">+AU18</f>
        <v>1986372.6530424</v>
      </c>
      <c r="AV50" s="31" t="n">
        <f aca="false">+AV18</f>
        <v>1996354.06034377</v>
      </c>
      <c r="AW50" s="31" t="n">
        <f aca="false">+AV50*(1+AW51)</f>
        <v>1996354.06034377</v>
      </c>
      <c r="AX50" s="31" t="n">
        <f aca="false">+AW50*(1+AX51)</f>
        <v>2016317.60094721</v>
      </c>
      <c r="AY50" s="35" t="n">
        <f aca="false">+SQRT(AX50/AV50)-1</f>
        <v>0.00498756211208895</v>
      </c>
    </row>
    <row r="51" customFormat="false" ht="15" hidden="false" customHeight="true" outlineLevel="0" collapsed="false">
      <c r="A51" s="51" t="s">
        <v>251</v>
      </c>
      <c r="B51" s="55" t="n">
        <f aca="false">+B47-B49+B50</f>
        <v>44.2500000000017</v>
      </c>
      <c r="C51" s="55" t="n">
        <f aca="false">+C47-C49+C50</f>
        <v>353.3</v>
      </c>
      <c r="D51" s="55" t="n">
        <f aca="false">+D47-D49+D50</f>
        <v>705.899999999997</v>
      </c>
      <c r="E51" s="55" t="n">
        <f aca="false">+E47-E49+E50</f>
        <v>1335.83</v>
      </c>
      <c r="F51" s="55" t="n">
        <f aca="false">+F47-F49+F50</f>
        <v>1570.35</v>
      </c>
      <c r="G51" s="55" t="n">
        <f aca="false">+G47-G49+G50</f>
        <v>206.681575999999</v>
      </c>
      <c r="H51" s="55" t="n">
        <f aca="false">+H47-H49+H50</f>
        <v>236.688378295995</v>
      </c>
      <c r="I51" s="55" t="n">
        <f aca="false">+I47-I49+I50</f>
        <v>932.870000000003</v>
      </c>
      <c r="J51" s="55" t="n">
        <f aca="false">+J47-J49+J50</f>
        <v>1019.41</v>
      </c>
      <c r="K51" s="55" t="n">
        <f aca="false">+K47-K49+K50</f>
        <v>1322.06</v>
      </c>
      <c r="L51" s="55" t="n">
        <f aca="false">+L47-L49+L50</f>
        <v>1701.02</v>
      </c>
      <c r="M51" s="55" t="n">
        <f aca="false">+M47-M49+M50</f>
        <v>2864.6</v>
      </c>
      <c r="N51" s="55" t="n">
        <f aca="false">+N47-N49+N50</f>
        <v>3736.1</v>
      </c>
      <c r="O51" s="55" t="n">
        <f aca="false">+O47-O49+O50</f>
        <v>4522.99999999999</v>
      </c>
      <c r="P51" s="55" t="n">
        <f aca="false">+P47-P49+P50</f>
        <v>6045.06</v>
      </c>
      <c r="Q51" s="55" t="n">
        <f aca="false">+Q47-Q49+Q50</f>
        <v>6381.5</v>
      </c>
      <c r="R51" s="55" t="n">
        <f aca="false">+R47-R49+R50</f>
        <v>2084.46300000001</v>
      </c>
      <c r="S51" s="55" t="n">
        <f aca="false">+S47-S49+S50</f>
        <v>5447.74700000003</v>
      </c>
      <c r="T51" s="55" t="n">
        <f aca="false">+T47-T49+T50</f>
        <v>8017.99300000001</v>
      </c>
      <c r="U51" s="55" t="n">
        <f aca="false">+U47-U49+U50</f>
        <v>6899.766</v>
      </c>
      <c r="V51" s="55" t="n">
        <f aca="false">+V47-V49+V50</f>
        <v>4707.06700000001</v>
      </c>
      <c r="W51" s="55" t="n">
        <f aca="false">+W47-W49+W50</f>
        <v>-912.189000000022</v>
      </c>
      <c r="X51" s="55" t="n">
        <f aca="false">+X47-X49+X50</f>
        <v>4421.96700000001</v>
      </c>
      <c r="Y51" s="55" t="n">
        <f aca="false">+Y47-Y49+Y50+Y48</f>
        <v>8265.36700000002</v>
      </c>
      <c r="Z51" s="55" t="n">
        <f aca="false">+Z47-Z49+Z50+Z48</f>
        <v>16540.862</v>
      </c>
      <c r="AA51" s="55" t="n">
        <f aca="false">+AA47-AA49+AA50+AA48</f>
        <v>22307.154</v>
      </c>
      <c r="AB51" s="55" t="n">
        <f aca="false">+AB47-AB49+AB50+AB48</f>
        <v>24967.9999999999</v>
      </c>
      <c r="AC51" s="55" t="n">
        <f aca="false">+AC47-AC49+AC50+AC48</f>
        <v>3619.2</v>
      </c>
      <c r="AD51" s="55" t="n">
        <f aca="false">+AD47-AD49+AD50</f>
        <v>-4119.10000000001</v>
      </c>
      <c r="AE51" s="55" t="n">
        <f aca="false">+AE47-AE49+AE50</f>
        <v>5276.10000000001</v>
      </c>
      <c r="AF51" s="55" t="n">
        <f aca="false">+AF47-AF49+AF50</f>
        <v>21104</v>
      </c>
      <c r="AG51" s="55" t="n">
        <f aca="false">+AG47-AG49+AG50</f>
        <v>37921.8000000001</v>
      </c>
      <c r="AH51" s="55" t="n">
        <f aca="false">+AH47-AH49+AH50</f>
        <v>43482.9</v>
      </c>
      <c r="AI51" s="55" t="n">
        <f aca="false">+AI47-AI49+AI50</f>
        <v>48140.2000000002</v>
      </c>
      <c r="AJ51" s="55" t="n">
        <f aca="false">+AJ47-AJ49+AJ50</f>
        <v>52122.4502817522</v>
      </c>
      <c r="AK51" s="55" t="n">
        <f aca="false">+AK47-AK49+AK50</f>
        <v>58460.772777821</v>
      </c>
      <c r="AL51" s="55" t="n">
        <f aca="false">+AL47-AL49+AL50</f>
        <v>63335.7268908518</v>
      </c>
      <c r="AM51" s="53"/>
      <c r="AN51" s="54" t="s">
        <v>243</v>
      </c>
      <c r="AO51" s="53"/>
      <c r="AP51" s="53"/>
      <c r="AQ51" s="53"/>
      <c r="AR51" s="53"/>
      <c r="AS51" s="53"/>
      <c r="AT51" s="53"/>
      <c r="AU51" s="53"/>
      <c r="AV51" s="53"/>
      <c r="AW51" s="63" t="n">
        <v>0</v>
      </c>
      <c r="AX51" s="63" t="n">
        <v>0.01</v>
      </c>
      <c r="AY51" s="53"/>
    </row>
    <row r="52" customFormat="false" ht="15" hidden="false" customHeight="true" outlineLevel="0" collapsed="false">
      <c r="A52" s="29" t="s">
        <v>269</v>
      </c>
      <c r="B52" s="31" t="n">
        <f aca="false">+B530</f>
        <v>0</v>
      </c>
      <c r="C52" s="31" t="n">
        <f aca="false">+C530</f>
        <v>0</v>
      </c>
      <c r="D52" s="31" t="n">
        <f aca="false">+D530</f>
        <v>0</v>
      </c>
      <c r="E52" s="31" t="n">
        <f aca="false">+E530</f>
        <v>205</v>
      </c>
      <c r="F52" s="31" t="n">
        <f aca="false">+F530</f>
        <v>321</v>
      </c>
      <c r="G52" s="31" t="n">
        <f aca="false">+G530</f>
        <v>22.5</v>
      </c>
      <c r="H52" s="31" t="n">
        <f aca="false">+H530</f>
        <v>29.5</v>
      </c>
      <c r="I52" s="31" t="n">
        <f aca="false">+I530</f>
        <v>148</v>
      </c>
      <c r="J52" s="31" t="n">
        <f aca="false">+J530</f>
        <v>102.6</v>
      </c>
      <c r="K52" s="31" t="n">
        <f aca="false">+K530</f>
        <v>399.5</v>
      </c>
      <c r="L52" s="31" t="n">
        <f aca="false">+L530</f>
        <v>498.9</v>
      </c>
      <c r="M52" s="31" t="n">
        <f aca="false">+M530</f>
        <v>928.8</v>
      </c>
      <c r="N52" s="31" t="n">
        <f aca="false">+N530</f>
        <v>1022</v>
      </c>
      <c r="O52" s="31" t="n">
        <f aca="false">+O530</f>
        <v>1249.8</v>
      </c>
      <c r="P52" s="31" t="n">
        <f aca="false">+P530</f>
        <v>1632.2</v>
      </c>
      <c r="Q52" s="31" t="n">
        <f aca="false">+Q530</f>
        <v>1688.4</v>
      </c>
      <c r="R52" s="31" t="n">
        <f aca="false">+R530</f>
        <v>184.5</v>
      </c>
      <c r="S52" s="31" t="n">
        <f aca="false">+S530</f>
        <v>1211</v>
      </c>
      <c r="T52" s="31" t="n">
        <f aca="false">+T530</f>
        <v>1705</v>
      </c>
      <c r="U52" s="31" t="n">
        <f aca="false">+U530</f>
        <v>1240</v>
      </c>
      <c r="V52" s="31" t="n">
        <f aca="false">+V530</f>
        <v>370</v>
      </c>
      <c r="W52" s="31" t="n">
        <f aca="false">+W530</f>
        <v>-1206</v>
      </c>
      <c r="X52" s="31" t="n">
        <f aca="false">+X530</f>
        <v>1073.907</v>
      </c>
      <c r="Y52" s="31" t="n">
        <f aca="false">+Y530</f>
        <v>4369.382</v>
      </c>
      <c r="Z52" s="31" t="n">
        <f aca="false">+Z530</f>
        <v>4310.09</v>
      </c>
      <c r="AA52" s="31" t="n">
        <f aca="false">+AA530</f>
        <v>6681.258</v>
      </c>
      <c r="AB52" s="31" t="n">
        <f aca="false">+AB530</f>
        <v>5136</v>
      </c>
      <c r="AC52" s="31" t="n">
        <f aca="false">+AC530</f>
        <v>1224</v>
      </c>
      <c r="AD52" s="31" t="n">
        <f aca="false">+AD530</f>
        <v>-982.3</v>
      </c>
      <c r="AE52" s="31" t="n">
        <f aca="false">+AE530</f>
        <v>-142.2</v>
      </c>
      <c r="AF52" s="31" t="n">
        <f aca="false">+AF530</f>
        <v>7302.9</v>
      </c>
      <c r="AG52" s="31" t="n">
        <f aca="false">+AG530</f>
        <v>11743.1</v>
      </c>
      <c r="AH52" s="31" t="n">
        <f aca="false">+AH530</f>
        <v>10450</v>
      </c>
      <c r="AI52" s="31" t="n">
        <f aca="false">+AI530</f>
        <v>12484.9</v>
      </c>
      <c r="AJ52" s="31" t="n">
        <f aca="false">+AJ530</f>
        <v>13030.6125704381</v>
      </c>
      <c r="AK52" s="31" t="n">
        <f aca="false">+AK530</f>
        <v>14615.1931944552</v>
      </c>
      <c r="AL52" s="31" t="n">
        <f aca="false">+AL530</f>
        <v>15833.9317227129</v>
      </c>
      <c r="AM52" s="30"/>
      <c r="AN52" s="50" t="s">
        <v>246</v>
      </c>
      <c r="AO52" s="31" t="n">
        <f aca="false">+AO50*AO48/1000000</f>
        <v>290549.5</v>
      </c>
      <c r="AP52" s="31" t="n">
        <f aca="false">+AP50*AP48/1000000</f>
        <v>174674.7</v>
      </c>
      <c r="AQ52" s="31" t="n">
        <f aca="false">+AQ50*AQ48/1000000</f>
        <v>153014.5</v>
      </c>
      <c r="AR52" s="31" t="n">
        <f aca="false">+AR50*AR48/1000000</f>
        <v>216882.9</v>
      </c>
      <c r="AS52" s="31" t="n">
        <f aca="false">+AS50*AS48/1000000</f>
        <v>361441.4</v>
      </c>
      <c r="AT52" s="31" t="n">
        <f aca="false">+AT50*AT48/1000000</f>
        <v>383670.3</v>
      </c>
      <c r="AU52" s="31" t="n">
        <f aca="false">+AU50*AU48/1000000</f>
        <v>387527.4</v>
      </c>
      <c r="AV52" s="31" t="n">
        <f aca="false">+AV50*AV48/1000000</f>
        <v>440070.3</v>
      </c>
      <c r="AW52" s="31" t="n">
        <f aca="false">+AW50*AW48/1000000</f>
        <v>453272.409</v>
      </c>
      <c r="AX52" s="31" t="n">
        <f aca="false">+AX50*AX48/1000000</f>
        <v>471539.2870827</v>
      </c>
      <c r="AY52" s="30"/>
    </row>
    <row r="53" customFormat="false" ht="15" hidden="false" customHeight="true" outlineLevel="0" collapsed="false">
      <c r="A53" s="64" t="s">
        <v>254</v>
      </c>
      <c r="B53" s="65" t="n">
        <f aca="false">+B51-B52</f>
        <v>44.2500000000017</v>
      </c>
      <c r="C53" s="65" t="n">
        <f aca="false">+C51-C52</f>
        <v>353.3</v>
      </c>
      <c r="D53" s="65" t="n">
        <f aca="false">+D51-D52</f>
        <v>705.899999999997</v>
      </c>
      <c r="E53" s="65" t="n">
        <f aca="false">+E51-E52</f>
        <v>1130.83</v>
      </c>
      <c r="F53" s="65" t="n">
        <f aca="false">+F51-F52</f>
        <v>1249.35</v>
      </c>
      <c r="G53" s="65" t="n">
        <f aca="false">+G51-G52</f>
        <v>184.181575999999</v>
      </c>
      <c r="H53" s="65" t="n">
        <f aca="false">+H51-H52</f>
        <v>207.188378295995</v>
      </c>
      <c r="I53" s="65" t="n">
        <f aca="false">+I51-I52</f>
        <v>784.870000000003</v>
      </c>
      <c r="J53" s="65" t="n">
        <f aca="false">+J51-J52</f>
        <v>916.809999999999</v>
      </c>
      <c r="K53" s="65" t="n">
        <f aca="false">+K51-K52</f>
        <v>922.56</v>
      </c>
      <c r="L53" s="65" t="n">
        <f aca="false">+L51-L52</f>
        <v>1202.12</v>
      </c>
      <c r="M53" s="65" t="n">
        <f aca="false">+M51-M52</f>
        <v>1935.8</v>
      </c>
      <c r="N53" s="65" t="n">
        <f aca="false">+N51-N52</f>
        <v>2714.1</v>
      </c>
      <c r="O53" s="65" t="n">
        <f aca="false">+O51-O52</f>
        <v>3273.19999999999</v>
      </c>
      <c r="P53" s="65" t="n">
        <f aca="false">+P51-P52</f>
        <v>4412.86</v>
      </c>
      <c r="Q53" s="65" t="n">
        <f aca="false">+Q51-Q52</f>
        <v>4693.1</v>
      </c>
      <c r="R53" s="65" t="n">
        <f aca="false">+R51-R52</f>
        <v>1899.96300000001</v>
      </c>
      <c r="S53" s="65" t="n">
        <f aca="false">+S51-S52</f>
        <v>4236.74700000003</v>
      </c>
      <c r="T53" s="65" t="n">
        <f aca="false">+T51-T52</f>
        <v>6312.99300000001</v>
      </c>
      <c r="U53" s="65" t="n">
        <f aca="false">+U51-U52</f>
        <v>5659.766</v>
      </c>
      <c r="V53" s="65" t="n">
        <f aca="false">+V51-V52</f>
        <v>4337.06700000001</v>
      </c>
      <c r="W53" s="65" t="n">
        <f aca="false">+W51-W52</f>
        <v>293.810999999978</v>
      </c>
      <c r="X53" s="65" t="n">
        <f aca="false">+X51-X52</f>
        <v>3348.06000000001</v>
      </c>
      <c r="Y53" s="65" t="n">
        <f aca="false">+Y51-Y52</f>
        <v>3895.98500000002</v>
      </c>
      <c r="Z53" s="65" t="n">
        <f aca="false">+Z51-Z52</f>
        <v>12230.772</v>
      </c>
      <c r="AA53" s="65" t="n">
        <f aca="false">+AA51-AA52</f>
        <v>15625.896</v>
      </c>
      <c r="AB53" s="65" t="n">
        <f aca="false">+AB51-AB52</f>
        <v>19831.9999999999</v>
      </c>
      <c r="AC53" s="65" t="n">
        <f aca="false">+AC51-AC52</f>
        <v>2395.2</v>
      </c>
      <c r="AD53" s="65" t="n">
        <f aca="false">+AD51-AD52</f>
        <v>-3136.80000000001</v>
      </c>
      <c r="AE53" s="65" t="n">
        <f aca="false">+AE51-AE52</f>
        <v>5418.30000000001</v>
      </c>
      <c r="AF53" s="65" t="n">
        <f aca="false">+AF51-AF52</f>
        <v>13801.1</v>
      </c>
      <c r="AG53" s="65" t="n">
        <f aca="false">+AG51-AG52</f>
        <v>26178.7</v>
      </c>
      <c r="AH53" s="65" t="n">
        <f aca="false">+AH51-AH52</f>
        <v>33032.9</v>
      </c>
      <c r="AI53" s="65" t="n">
        <f aca="false">+AI51-AI52</f>
        <v>35655.3000000002</v>
      </c>
      <c r="AJ53" s="65" t="n">
        <f aca="false">+AJ51-AJ52</f>
        <v>39091.8377113142</v>
      </c>
      <c r="AK53" s="65" t="n">
        <f aca="false">+AK51-AK52</f>
        <v>43845.5795833657</v>
      </c>
      <c r="AL53" s="65" t="n">
        <f aca="false">+AL51-AL52</f>
        <v>47501.7951681388</v>
      </c>
      <c r="AM53" s="66"/>
      <c r="AN53" s="67" t="s">
        <v>172</v>
      </c>
      <c r="AO53" s="68" t="n">
        <f aca="false">+AO22</f>
        <v>31357.3999999999</v>
      </c>
      <c r="AP53" s="68" t="n">
        <f aca="false">+AP22</f>
        <v>11736.5</v>
      </c>
      <c r="AQ53" s="68" t="n">
        <f aca="false">+AQ22</f>
        <v>5351.39999999999</v>
      </c>
      <c r="AR53" s="68" t="n">
        <f aca="false">+AR22</f>
        <v>9945.20000000001</v>
      </c>
      <c r="AS53" s="68" t="n">
        <f aca="false">+AS22</f>
        <v>29307</v>
      </c>
      <c r="AT53" s="68" t="n">
        <f aca="false">+AT22</f>
        <v>46065.8000000001</v>
      </c>
      <c r="AU53" s="68" t="n">
        <f aca="false">+AU22</f>
        <v>49305.6</v>
      </c>
      <c r="AV53" s="68" t="n">
        <f aca="false">+AV22</f>
        <v>57322.5000000002</v>
      </c>
      <c r="AW53" s="68" t="n">
        <f aca="false">+AW52*AW54</f>
        <v>50766.509808</v>
      </c>
      <c r="AX53" s="68" t="n">
        <f aca="false">+AX52*AX54</f>
        <v>54227.0180145105</v>
      </c>
      <c r="AY53" s="65" t="n">
        <f aca="false">+SQRT(AX53/AV53)-1</f>
        <v>-0.0273752874681669</v>
      </c>
    </row>
    <row r="54" customFormat="false" ht="15" hidden="false" customHeight="true" outlineLevel="0" collapsed="false">
      <c r="A54" s="29"/>
      <c r="B54" s="59" t="n">
        <f aca="false">+B53-B532</f>
        <v>0</v>
      </c>
      <c r="C54" s="59" t="n">
        <f aca="false">+C53-C532</f>
        <v>-1.70530256582424E-012</v>
      </c>
      <c r="D54" s="59" t="n">
        <f aca="false">+D53-D532</f>
        <v>0</v>
      </c>
      <c r="E54" s="59" t="n">
        <f aca="false">+E53-E532</f>
        <v>0</v>
      </c>
      <c r="F54" s="59" t="n">
        <f aca="false">+F53-F532</f>
        <v>0</v>
      </c>
      <c r="G54" s="59" t="n">
        <f aca="false">+G53-G532</f>
        <v>-1.81898940354586E-012</v>
      </c>
      <c r="H54" s="59" t="n">
        <f aca="false">+H53-H532</f>
        <v>-3.41060513164848E-012</v>
      </c>
      <c r="I54" s="59" t="n">
        <f aca="false">+I53-I532</f>
        <v>3.41060513164848E-012</v>
      </c>
      <c r="J54" s="59" t="n">
        <f aca="false">+J53-J532</f>
        <v>0</v>
      </c>
      <c r="K54" s="59" t="n">
        <f aca="false">+K53-K532</f>
        <v>0</v>
      </c>
      <c r="L54" s="59" t="n">
        <f aca="false">+L53-L532</f>
        <v>0</v>
      </c>
      <c r="M54" s="59" t="n">
        <f aca="false">+M53-M532</f>
        <v>0</v>
      </c>
      <c r="N54" s="59" t="n">
        <f aca="false">+N53-N532</f>
        <v>0</v>
      </c>
      <c r="O54" s="59" t="n">
        <f aca="false">+O53-O532</f>
        <v>0</v>
      </c>
      <c r="P54" s="59" t="n">
        <f aca="false">+P53-P532</f>
        <v>0</v>
      </c>
      <c r="Q54" s="59" t="n">
        <f aca="false">+Q53-Q532</f>
        <v>0</v>
      </c>
      <c r="R54" s="59" t="n">
        <f aca="false">+R53-R532</f>
        <v>0</v>
      </c>
      <c r="S54" s="59" t="n">
        <f aca="false">+S53-S532</f>
        <v>0</v>
      </c>
      <c r="T54" s="59" t="n">
        <f aca="false">+T53-T532</f>
        <v>0</v>
      </c>
      <c r="U54" s="59" t="n">
        <f aca="false">+U53-U532</f>
        <v>0</v>
      </c>
      <c r="V54" s="59" t="n">
        <f aca="false">+V53-V532</f>
        <v>0</v>
      </c>
      <c r="W54" s="59" t="n">
        <f aca="false">+W53-W532</f>
        <v>0</v>
      </c>
      <c r="X54" s="59" t="n">
        <f aca="false">+X53-X532</f>
        <v>-1.45519152283669E-011</v>
      </c>
      <c r="Y54" s="59" t="n">
        <f aca="false">+Y53-Y532</f>
        <v>0</v>
      </c>
      <c r="Z54" s="59" t="n">
        <f aca="false">+Z53-Z532</f>
        <v>0</v>
      </c>
      <c r="AA54" s="59" t="n">
        <f aca="false">+AA53-AA532</f>
        <v>0</v>
      </c>
      <c r="AB54" s="59" t="n">
        <f aca="false">+AB53-AB532</f>
        <v>0</v>
      </c>
      <c r="AC54" s="59" t="n">
        <f aca="false">+AC53-AC532</f>
        <v>0</v>
      </c>
      <c r="AD54" s="59" t="n">
        <f aca="false">+AD53-AD532</f>
        <v>0</v>
      </c>
      <c r="AE54" s="59" t="n">
        <f aca="false">+AE53-AE532</f>
        <v>0</v>
      </c>
      <c r="AF54" s="59" t="n">
        <f aca="false">+AF53-AF532</f>
        <v>0</v>
      </c>
      <c r="AG54" s="59" t="n">
        <f aca="false">+AG53-AG532</f>
        <v>0</v>
      </c>
      <c r="AH54" s="59" t="n">
        <f aca="false">+AH53-AH532</f>
        <v>0</v>
      </c>
      <c r="AI54" s="59" t="n">
        <f aca="false">+AI53-AI532</f>
        <v>0</v>
      </c>
      <c r="AJ54" s="59" t="n">
        <f aca="false">+AJ53-AJ532</f>
        <v>0</v>
      </c>
      <c r="AK54" s="59" t="n">
        <f aca="false">+AK53-AK532</f>
        <v>0</v>
      </c>
      <c r="AL54" s="59" t="n">
        <f aca="false">+AL53-AL532</f>
        <v>0</v>
      </c>
      <c r="AM54" s="43"/>
      <c r="AN54" s="50" t="s">
        <v>248</v>
      </c>
      <c r="AO54" s="59" t="n">
        <f aca="false">+AO53/AO52</f>
        <v>0.107924467259451</v>
      </c>
      <c r="AP54" s="59" t="n">
        <f aca="false">+AP53/AP52</f>
        <v>0.0671906120348282</v>
      </c>
      <c r="AQ54" s="59" t="n">
        <f aca="false">+AQ53/AQ52</f>
        <v>0.0349731561387973</v>
      </c>
      <c r="AR54" s="59" t="n">
        <f aca="false">+AR53/AR52</f>
        <v>0.0458551596276148</v>
      </c>
      <c r="AS54" s="59" t="n">
        <f aca="false">+AS53/AS52</f>
        <v>0.0810836832747992</v>
      </c>
      <c r="AT54" s="59" t="n">
        <f aca="false">+AT53/AT52</f>
        <v>0.120066108843974</v>
      </c>
      <c r="AU54" s="59" t="n">
        <f aca="false">+AU53/AU52</f>
        <v>0.127231261583052</v>
      </c>
      <c r="AV54" s="59" t="n">
        <f aca="false">+AV53/AV52</f>
        <v>0.130257597479312</v>
      </c>
      <c r="AW54" s="60" t="n">
        <v>0.112</v>
      </c>
      <c r="AX54" s="60" t="n">
        <v>0.115</v>
      </c>
      <c r="AY54" s="43"/>
    </row>
    <row r="55" customFormat="false" ht="15" hidden="false" customHeight="true" outlineLevel="0" collapsed="false">
      <c r="A55" s="51" t="s">
        <v>270</v>
      </c>
      <c r="B55" s="52" t="n">
        <f aca="false">+B535</f>
        <v>44.2500000000015</v>
      </c>
      <c r="C55" s="52" t="n">
        <f aca="false">+C535</f>
        <v>353.300000000002</v>
      </c>
      <c r="D55" s="52" t="n">
        <f aca="false">+D535</f>
        <v>705.899999999999</v>
      </c>
      <c r="E55" s="52" t="n">
        <f aca="false">+E535</f>
        <v>1130.83</v>
      </c>
      <c r="F55" s="52" t="n">
        <f aca="false">+F535</f>
        <v>1249.35</v>
      </c>
      <c r="G55" s="52" t="n">
        <f aca="false">+G535</f>
        <v>184.181576000001</v>
      </c>
      <c r="H55" s="52" t="n">
        <f aca="false">+H535</f>
        <v>207.188378295998</v>
      </c>
      <c r="I55" s="52" t="n">
        <f aca="false">+I535</f>
        <v>784.869999999999</v>
      </c>
      <c r="J55" s="52" t="n">
        <f aca="false">+J535</f>
        <v>971.489999999998</v>
      </c>
      <c r="K55" s="52" t="n">
        <f aca="false">+K535</f>
        <v>962.99</v>
      </c>
      <c r="L55" s="52" t="n">
        <f aca="false">+L535</f>
        <v>1309.53</v>
      </c>
      <c r="M55" s="52" t="n">
        <f aca="false">+M535</f>
        <v>2030.99</v>
      </c>
      <c r="N55" s="52" t="n">
        <f aca="false">+N535</f>
        <v>2355.3416</v>
      </c>
      <c r="O55" s="52" t="n">
        <f aca="false">+O535</f>
        <v>3094.3581101039</v>
      </c>
      <c r="P55" s="52" t="n">
        <f aca="false">+P535</f>
        <v>4543.61999999999</v>
      </c>
      <c r="Q55" s="52" t="n">
        <f aca="false">+Q535</f>
        <v>4820.47</v>
      </c>
      <c r="R55" s="52" t="n">
        <f aca="false">+R53-R48-R50</f>
        <v>2489.85000000001</v>
      </c>
      <c r="S55" s="52" t="n">
        <f aca="false">+S53-S48-S50</f>
        <v>4269.46200000003</v>
      </c>
      <c r="T55" s="52" t="n">
        <f aca="false">+T53-T48-T50</f>
        <v>6812.99300000001</v>
      </c>
      <c r="U55" s="52" t="n">
        <f aca="false">+U53-U48-U50</f>
        <v>5643.788</v>
      </c>
      <c r="V55" s="52" t="n">
        <f aca="false">+V53-V48-V50</f>
        <v>1441.506</v>
      </c>
      <c r="W55" s="52" t="n">
        <f aca="false">+W53-W48-W50</f>
        <v>-4762.77800000002</v>
      </c>
      <c r="X55" s="52" t="n">
        <f aca="false">+X53-X48-X50</f>
        <v>2338.70100000001</v>
      </c>
      <c r="Y55" s="52" t="n">
        <f aca="false">+Y535</f>
        <v>9878.58348007646</v>
      </c>
      <c r="Z55" s="52" t="n">
        <f aca="false">+Z535</f>
        <v>12430.3952361218</v>
      </c>
      <c r="AA55" s="52" t="n">
        <f aca="false">+AA53-AA48-AA50</f>
        <v>15747.643</v>
      </c>
      <c r="AB55" s="69" t="n">
        <f aca="false">+AB53-(AB48+AB50)*0.8</f>
        <v>20291.9199999999</v>
      </c>
      <c r="AC55" s="52" t="n">
        <f aca="false">+AC53-(AC48+AC50)*0.75</f>
        <v>3563.85</v>
      </c>
      <c r="AD55" s="52" t="n">
        <f aca="false">+AD53-(AD48+AD50)*0.75</f>
        <v>-3046.42500000001</v>
      </c>
      <c r="AE55" s="52" t="n">
        <f aca="false">+AE53-(AE48+AE50)*0.75</f>
        <v>1587.07500000001</v>
      </c>
      <c r="AF55" s="52" t="n">
        <f aca="false">+AF53-(AF48+AF50)*0.75</f>
        <v>13166.525</v>
      </c>
      <c r="AG55" s="52" t="n">
        <f aca="false">+AG53-(AG48+AG50)*0.75</f>
        <v>26881.6000000001</v>
      </c>
      <c r="AH55" s="52" t="n">
        <f aca="false">+AH53-(AH48+AH50)*0.75</f>
        <v>32254.925</v>
      </c>
      <c r="AI55" s="52" t="n">
        <f aca="false">+AI53-(AI48+AI50)*1</f>
        <v>39140.1000000002</v>
      </c>
      <c r="AJ55" s="52" t="n">
        <f aca="false">+AJ53-(AJ48+AJ50)*0.75</f>
        <v>39091.8377113142</v>
      </c>
      <c r="AK55" s="52" t="n">
        <f aca="false">+AK53-(AK48+AK50)*0.75</f>
        <v>43845.5795833657</v>
      </c>
      <c r="AL55" s="52" t="n">
        <f aca="false">+AL53-(AL48+AL50)*0.75</f>
        <v>47501.7951681388</v>
      </c>
      <c r="AM55" s="53"/>
      <c r="AN55" s="54" t="s">
        <v>249</v>
      </c>
      <c r="AO55" s="55" t="n">
        <f aca="false">+AO24</f>
        <v>-5814.5</v>
      </c>
      <c r="AP55" s="55" t="n">
        <f aca="false">+AP24</f>
        <v>-6559.1</v>
      </c>
      <c r="AQ55" s="55" t="n">
        <f aca="false">+AQ24</f>
        <v>-9350</v>
      </c>
      <c r="AR55" s="55" t="n">
        <f aca="false">+AR24</f>
        <v>-9777.4</v>
      </c>
      <c r="AS55" s="55" t="n">
        <f aca="false">+AS24</f>
        <v>-8203</v>
      </c>
      <c r="AT55" s="55" t="n">
        <f aca="false">+AT24</f>
        <v>-7206.8</v>
      </c>
      <c r="AU55" s="55" t="n">
        <f aca="false">+AU24</f>
        <v>-6860</v>
      </c>
      <c r="AV55" s="55" t="n">
        <f aca="false">+AV24</f>
        <v>-5697.5</v>
      </c>
      <c r="AW55" s="55" t="n">
        <f aca="false">+AW24</f>
        <v>-5423.03479716902</v>
      </c>
      <c r="AX55" s="55" t="n">
        <f aca="false">+AX24</f>
        <v>-5383.36486134668</v>
      </c>
      <c r="AY55" s="53"/>
    </row>
    <row r="56" customFormat="false" ht="15" hidden="false" customHeight="true" outlineLevel="0" collapsed="false">
      <c r="A56" s="29"/>
      <c r="B56" s="30"/>
      <c r="C56" s="30"/>
      <c r="D56" s="30"/>
      <c r="E56" s="30"/>
      <c r="F56" s="30"/>
      <c r="G56" s="30"/>
      <c r="H56" s="62" t="n">
        <v>207.188378295998</v>
      </c>
      <c r="I56" s="62" t="n">
        <v>784.869999999999</v>
      </c>
      <c r="J56" s="62" t="n">
        <v>916.809999999998</v>
      </c>
      <c r="K56" s="62" t="n">
        <v>922.56</v>
      </c>
      <c r="L56" s="62" t="n">
        <v>1202.12</v>
      </c>
      <c r="M56" s="62" t="n">
        <v>1935.8</v>
      </c>
      <c r="N56" s="62" t="n">
        <v>2714.1</v>
      </c>
      <c r="O56" s="62" t="n">
        <v>3273.19999999999</v>
      </c>
      <c r="P56" s="62" t="n">
        <v>4412.85999999999</v>
      </c>
      <c r="Q56" s="62" t="n">
        <v>4693.1</v>
      </c>
      <c r="R56" s="62" t="n">
        <v>1899.96300000001</v>
      </c>
      <c r="S56" s="62" t="n">
        <v>4236.74700000003</v>
      </c>
      <c r="T56" s="62" t="n">
        <v>6312.993</v>
      </c>
      <c r="U56" s="62" t="n">
        <v>5659.766</v>
      </c>
      <c r="V56" s="62" t="n">
        <v>4337.067</v>
      </c>
      <c r="W56" s="62" t="n">
        <v>293.811</v>
      </c>
      <c r="X56" s="62" t="n">
        <v>3348.06</v>
      </c>
      <c r="Y56" s="62" t="n">
        <v>7217.758</v>
      </c>
      <c r="Z56" s="62" t="n">
        <v>12230.772</v>
      </c>
      <c r="AA56" s="62" t="n">
        <v>15625.896</v>
      </c>
      <c r="AB56" s="62" t="n">
        <v>19832</v>
      </c>
      <c r="AC56" s="62" t="n">
        <v>2395.2</v>
      </c>
      <c r="AD56" s="62" t="n">
        <v>-3136.8</v>
      </c>
      <c r="AE56" s="62" t="n">
        <v>5418.3</v>
      </c>
      <c r="AF56" s="62" t="n">
        <v>13801.1</v>
      </c>
      <c r="AG56" s="62" t="n">
        <v>26178.7</v>
      </c>
      <c r="AH56" s="62" t="n">
        <v>33032.9</v>
      </c>
      <c r="AI56" s="62" t="n">
        <v>35655.3</v>
      </c>
      <c r="AJ56" s="30"/>
      <c r="AK56" s="30"/>
      <c r="AL56" s="30"/>
      <c r="AM56" s="30"/>
      <c r="AN56" s="50" t="s">
        <v>251</v>
      </c>
      <c r="AO56" s="31" t="n">
        <f aca="false">+AO53+AO55</f>
        <v>25542.8999999999</v>
      </c>
      <c r="AP56" s="31" t="n">
        <f aca="false">+AP53+AP55</f>
        <v>5177.4</v>
      </c>
      <c r="AQ56" s="31" t="n">
        <f aca="false">+AQ53+AQ55</f>
        <v>-3998.60000000001</v>
      </c>
      <c r="AR56" s="31" t="n">
        <f aca="false">+AR53+AR55</f>
        <v>167.80000000001</v>
      </c>
      <c r="AS56" s="31" t="n">
        <f aca="false">+AS53+AS55</f>
        <v>21104</v>
      </c>
      <c r="AT56" s="31" t="n">
        <f aca="false">+AT53+AT55</f>
        <v>38859</v>
      </c>
      <c r="AU56" s="31" t="n">
        <f aca="false">+AU53+AU55</f>
        <v>42445.6</v>
      </c>
      <c r="AV56" s="31" t="n">
        <f aca="false">+AV53+AV55</f>
        <v>51625.0000000002</v>
      </c>
      <c r="AW56" s="31" t="n">
        <f aca="false">+AW53+AW55</f>
        <v>45343.475010831</v>
      </c>
      <c r="AX56" s="31" t="n">
        <f aca="false">+AX53+AX55</f>
        <v>48843.6531531639</v>
      </c>
      <c r="AY56" s="30"/>
    </row>
    <row r="57" customFormat="false" ht="15" hidden="false" customHeight="true" outlineLevel="0" collapsed="false">
      <c r="A57" s="29"/>
      <c r="B57" s="30"/>
      <c r="C57" s="30"/>
      <c r="D57" s="30"/>
      <c r="E57" s="30"/>
      <c r="F57" s="30"/>
      <c r="G57" s="30"/>
      <c r="H57" s="31" t="n">
        <f aca="false">+H56-H53</f>
        <v>3.46744855050929E-012</v>
      </c>
      <c r="I57" s="31" t="n">
        <f aca="false">+I56-I53</f>
        <v>-3.75166564481333E-012</v>
      </c>
      <c r="J57" s="31" t="n">
        <f aca="false">+J56-J53</f>
        <v>0</v>
      </c>
      <c r="K57" s="31" t="n">
        <f aca="false">+K56-K53</f>
        <v>0</v>
      </c>
      <c r="L57" s="31" t="n">
        <f aca="false">+L56-L53</f>
        <v>-4.54747350886464E-012</v>
      </c>
      <c r="M57" s="31" t="n">
        <f aca="false">+M56-M53</f>
        <v>0</v>
      </c>
      <c r="N57" s="31" t="n">
        <f aca="false">+N56-N53</f>
        <v>0</v>
      </c>
      <c r="O57" s="31" t="n">
        <f aca="false">+O56-O53</f>
        <v>0</v>
      </c>
      <c r="P57" s="31" t="n">
        <f aca="false">+P56-P53</f>
        <v>0</v>
      </c>
      <c r="Q57" s="31" t="n">
        <f aca="false">+Q56-Q53</f>
        <v>0</v>
      </c>
      <c r="R57" s="31" t="n">
        <f aca="false">+R56-R53</f>
        <v>0</v>
      </c>
      <c r="S57" s="31" t="n">
        <f aca="false">+S56-S53</f>
        <v>0</v>
      </c>
      <c r="T57" s="31" t="n">
        <f aca="false">+T56-T53</f>
        <v>0</v>
      </c>
      <c r="U57" s="31" t="n">
        <f aca="false">+U56-U53</f>
        <v>0</v>
      </c>
      <c r="V57" s="31" t="n">
        <f aca="false">+V56-V53</f>
        <v>0</v>
      </c>
      <c r="W57" s="31" t="n">
        <f aca="false">+W56-W53</f>
        <v>2.21120899368543E-011</v>
      </c>
      <c r="X57" s="31" t="n">
        <f aca="false">+X56-X53</f>
        <v>-1.40971678774804E-011</v>
      </c>
      <c r="Y57" s="32" t="n">
        <f aca="false">+Y53-3895.985</f>
        <v>1.68256519827992E-011</v>
      </c>
      <c r="Z57" s="32" t="n">
        <f aca="false">+Z53-12230.772</f>
        <v>0</v>
      </c>
      <c r="AA57" s="31" t="n">
        <f aca="false">+AA56-AA53</f>
        <v>0</v>
      </c>
      <c r="AB57" s="31" t="n">
        <f aca="false">+AB56-AB53</f>
        <v>9.09494701772928E-011</v>
      </c>
      <c r="AC57" s="31" t="n">
        <f aca="false">+AC56-AC53</f>
        <v>0</v>
      </c>
      <c r="AD57" s="31" t="n">
        <f aca="false">+AD56-AD53</f>
        <v>0</v>
      </c>
      <c r="AE57" s="31" t="n">
        <f aca="false">+AE56-AE53</f>
        <v>0</v>
      </c>
      <c r="AF57" s="31" t="n">
        <f aca="false">+AF56-AF53</f>
        <v>0</v>
      </c>
      <c r="AG57" s="31" t="n">
        <f aca="false">+AG56-AG53</f>
        <v>0</v>
      </c>
      <c r="AH57" s="31" t="n">
        <f aca="false">+AH56-AH53</f>
        <v>0</v>
      </c>
      <c r="AI57" s="31" t="n">
        <f aca="false">+AI56-AI53</f>
        <v>-1.60071067512035E-010</v>
      </c>
      <c r="AJ57" s="30"/>
      <c r="AK57" s="30"/>
      <c r="AL57" s="30"/>
      <c r="AM57" s="30"/>
      <c r="AN57" s="50" t="s">
        <v>252</v>
      </c>
      <c r="AO57" s="31" t="n">
        <f aca="false">+AO26/AO25*AO56</f>
        <v>5136</v>
      </c>
      <c r="AP57" s="31" t="n">
        <f aca="false">+AP26/AP25*AP56</f>
        <v>1224</v>
      </c>
      <c r="AQ57" s="31" t="n">
        <f aca="false">+AQ26/AQ25*AQ56</f>
        <v>-982.3</v>
      </c>
      <c r="AR57" s="31" t="n">
        <f aca="false">+AR26/AR25*AR56</f>
        <v>-142.2</v>
      </c>
      <c r="AS57" s="31" t="n">
        <f aca="false">+AS26/AS25*AS56</f>
        <v>7302.9</v>
      </c>
      <c r="AT57" s="31" t="n">
        <f aca="false">+AT26/AT25*AT56</f>
        <v>11743.1</v>
      </c>
      <c r="AU57" s="31" t="n">
        <f aca="false">+AU26/AU25*AU56</f>
        <v>10450</v>
      </c>
      <c r="AV57" s="31" t="n">
        <f aca="false">+AV26/AV25*AV56</f>
        <v>12484.9</v>
      </c>
      <c r="AW57" s="31" t="n">
        <f aca="false">+AW26/AW25*AW56</f>
        <v>11335.8687527078</v>
      </c>
      <c r="AX57" s="31" t="n">
        <f aca="false">+AX26/AX25*AX56</f>
        <v>12210.913288291</v>
      </c>
      <c r="AY57" s="30"/>
    </row>
    <row r="58" customFormat="false" ht="15" hidden="false" customHeight="true" outlineLevel="0" collapsed="false">
      <c r="A58" s="29"/>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5" t="n">
        <f aca="false">+AA55-AA535</f>
        <v>0</v>
      </c>
      <c r="AB58" s="35" t="n">
        <f aca="false">+AB55-AB535</f>
        <v>0</v>
      </c>
      <c r="AC58" s="35" t="n">
        <f aca="false">+AC55-AC535</f>
        <v>0</v>
      </c>
      <c r="AD58" s="35" t="n">
        <f aca="false">+AD55-AD535</f>
        <v>0</v>
      </c>
      <c r="AE58" s="35" t="n">
        <f aca="false">+AE55-AE535</f>
        <v>0</v>
      </c>
      <c r="AF58" s="35" t="n">
        <f aca="false">+AF55-AF535</f>
        <v>0</v>
      </c>
      <c r="AG58" s="35" t="n">
        <f aca="false">+AG55-AG535</f>
        <v>0</v>
      </c>
      <c r="AH58" s="35" t="n">
        <f aca="false">+AH55-AH535</f>
        <v>0</v>
      </c>
      <c r="AI58" s="35" t="n">
        <f aca="false">+AI55-AI535</f>
        <v>0</v>
      </c>
      <c r="AJ58" s="35" t="n">
        <f aca="false">+AJ55-AJ535</f>
        <v>0</v>
      </c>
      <c r="AK58" s="35" t="n">
        <f aca="false">+AK55-AK535</f>
        <v>0</v>
      </c>
      <c r="AL58" s="35" t="n">
        <f aca="false">+AL55-AL535</f>
        <v>0</v>
      </c>
      <c r="AM58" s="30"/>
      <c r="AN58" s="50" t="s">
        <v>254</v>
      </c>
      <c r="AO58" s="31" t="n">
        <f aca="false">+AO56-AO57</f>
        <v>20406.8999999999</v>
      </c>
      <c r="AP58" s="31" t="n">
        <f aca="false">+AP56-AP57</f>
        <v>3953.4</v>
      </c>
      <c r="AQ58" s="31" t="n">
        <f aca="false">+AQ56-AQ57</f>
        <v>-3016.30000000001</v>
      </c>
      <c r="AR58" s="31" t="n">
        <f aca="false">+AR56-AR57</f>
        <v>310.00000000001</v>
      </c>
      <c r="AS58" s="31" t="n">
        <f aca="false">+AS56-AS57</f>
        <v>13801.1</v>
      </c>
      <c r="AT58" s="31" t="n">
        <f aca="false">+AT56-AT57</f>
        <v>27115.9</v>
      </c>
      <c r="AU58" s="31" t="n">
        <f aca="false">+AU42</f>
        <v>32254.925</v>
      </c>
      <c r="AV58" s="31" t="n">
        <f aca="false">+AV42</f>
        <v>39140.1000000002</v>
      </c>
      <c r="AW58" s="31" t="n">
        <f aca="false">+AW56-AW57</f>
        <v>34007.6062581232</v>
      </c>
      <c r="AX58" s="31" t="n">
        <f aca="false">+AX56-AX57</f>
        <v>36632.7398648729</v>
      </c>
      <c r="AY58" s="30"/>
    </row>
    <row r="59" customFormat="false" ht="15" hidden="false" customHeight="true" outlineLevel="0" collapsed="false">
      <c r="A59" s="29" t="s">
        <v>271</v>
      </c>
      <c r="B59" s="31" t="n">
        <f aca="false">+B43+B46</f>
        <v>1195.63</v>
      </c>
      <c r="C59" s="31" t="n">
        <f aca="false">+C43+C46</f>
        <v>1352.97</v>
      </c>
      <c r="D59" s="31" t="n">
        <f aca="false">+D43+D46</f>
        <v>1849.36</v>
      </c>
      <c r="E59" s="31" t="n">
        <f aca="false">+E43+E46</f>
        <v>2872.34</v>
      </c>
      <c r="F59" s="31" t="n">
        <f aca="false">+F43+F46</f>
        <v>3595.78</v>
      </c>
      <c r="G59" s="31" t="n">
        <f aca="false">+G43+G46</f>
        <v>2636.551576</v>
      </c>
      <c r="H59" s="31" t="n">
        <f aca="false">+H43+H46</f>
        <v>2533.15837829599</v>
      </c>
      <c r="I59" s="31" t="n">
        <f aca="false">+I43+I46</f>
        <v>3157.97</v>
      </c>
      <c r="J59" s="31" t="n">
        <f aca="false">+J43+J46</f>
        <v>3306.96</v>
      </c>
      <c r="K59" s="31" t="n">
        <f aca="false">+K43+K46</f>
        <v>3468.57</v>
      </c>
      <c r="L59" s="31" t="n">
        <f aca="false">+L43+L46</f>
        <v>3794.27</v>
      </c>
      <c r="M59" s="31" t="n">
        <f aca="false">+M43+M46</f>
        <v>4518.42</v>
      </c>
      <c r="N59" s="31" t="n">
        <f aca="false">+N43+N46</f>
        <v>4773.4916</v>
      </c>
      <c r="O59" s="31" t="n">
        <f aca="false">+O43+O46</f>
        <v>5949.64999999999</v>
      </c>
      <c r="P59" s="31" t="n">
        <f aca="false">+P43+P46</f>
        <v>7969.93</v>
      </c>
      <c r="Q59" s="31" t="n">
        <f aca="false">+Q43+Q46</f>
        <v>9045.6</v>
      </c>
      <c r="R59" s="31" t="n">
        <f aca="false">+R43+R46</f>
        <v>6061.67500000001</v>
      </c>
      <c r="S59" s="31" t="n">
        <f aca="false">+S43+S46</f>
        <v>8540.05600000003</v>
      </c>
      <c r="T59" s="31" t="n">
        <f aca="false">+T43+T46</f>
        <v>13081.537</v>
      </c>
      <c r="U59" s="31" t="n">
        <f aca="false">+U43+U46</f>
        <v>12964.452</v>
      </c>
      <c r="V59" s="31" t="n">
        <f aca="false">+V43+V46</f>
        <v>9388.198</v>
      </c>
      <c r="W59" s="31" t="n">
        <f aca="false">+W43+W46</f>
        <v>2330.82999999998</v>
      </c>
      <c r="X59" s="31" t="n">
        <f aca="false">+X43+X46</f>
        <v>11511.05</v>
      </c>
      <c r="Y59" s="31" t="n">
        <f aca="false">+Y43+Y46</f>
        <v>23722.513</v>
      </c>
      <c r="Z59" s="31" t="n">
        <f aca="false">+Z43+Z46</f>
        <v>23388.073</v>
      </c>
      <c r="AA59" s="31" t="n">
        <f aca="false">+AA43+AA46</f>
        <v>29287.454</v>
      </c>
      <c r="AB59" s="31" t="n">
        <f aca="false">+AB43+AB46</f>
        <v>32456.7999999999</v>
      </c>
      <c r="AC59" s="31" t="n">
        <f aca="false">+AC43+AC46</f>
        <v>12969.9</v>
      </c>
      <c r="AD59" s="31" t="n">
        <f aca="false">+AD43+AD46</f>
        <v>6546.39999999999</v>
      </c>
      <c r="AE59" s="31" t="n">
        <f aca="false">+AE43+AE46</f>
        <v>10706.5</v>
      </c>
      <c r="AF59" s="31" t="n">
        <f aca="false">+AF43+AF46</f>
        <v>30468.4</v>
      </c>
      <c r="AG59" s="31" t="n">
        <f aca="false">+AG43+AG46</f>
        <v>48531.5</v>
      </c>
      <c r="AH59" s="31" t="n">
        <f aca="false">+AH43+AH46</f>
        <v>51808.1</v>
      </c>
      <c r="AI59" s="31" t="n">
        <f aca="false">+AI43+AI46</f>
        <v>60474.2000000002</v>
      </c>
      <c r="AJ59" s="31" t="n">
        <f aca="false">+AJ43+AJ46</f>
        <v>60987.9436817522</v>
      </c>
      <c r="AK59" s="31" t="n">
        <f aca="false">+AK43+AK46</f>
        <v>67646.766177821</v>
      </c>
      <c r="AL59" s="31" t="n">
        <f aca="false">+AL43+AL46</f>
        <v>72567.7256908518</v>
      </c>
      <c r="AM59" s="30"/>
      <c r="AN59" s="50" t="s">
        <v>255</v>
      </c>
      <c r="AO59" s="31" t="n">
        <f aca="false">+AO28</f>
        <v>-7412.3</v>
      </c>
      <c r="AP59" s="31" t="n">
        <f aca="false">+AP28</f>
        <v>19588.9</v>
      </c>
      <c r="AQ59" s="31" t="n">
        <f aca="false">+AQ28</f>
        <v>30183</v>
      </c>
      <c r="AR59" s="31" t="n">
        <f aca="false">+AR28</f>
        <v>12088.7</v>
      </c>
      <c r="AS59" s="31" t="n">
        <f aca="false">+AS28</f>
        <v>-478.800000000003</v>
      </c>
      <c r="AT59" s="31" t="n">
        <f aca="false">+AT28</f>
        <v>-13878.4</v>
      </c>
      <c r="AU59" s="31" t="n">
        <f aca="false">+AU28</f>
        <v>-42429.3</v>
      </c>
      <c r="AV59" s="31" t="n">
        <f aca="false">+AV28</f>
        <v>-59017.2</v>
      </c>
      <c r="AW59" s="31" t="n">
        <f aca="false">+AW28-(AW53-AW22)*(1-AJ531/100)</f>
        <v>-64639.9571151601</v>
      </c>
      <c r="AX59" s="31" t="n">
        <f aca="false">+AX28-(AX53-AX22)*(1-AK531/100)</f>
        <v>-86412.5880253116</v>
      </c>
      <c r="AY59" s="30"/>
    </row>
    <row r="60" customFormat="false" ht="15" hidden="false" customHeight="true" outlineLevel="0" collapsed="false">
      <c r="A60" s="29" t="s">
        <v>272</v>
      </c>
      <c r="B60" s="31" t="n">
        <f aca="false">+B59-B49</f>
        <v>879.800000000002</v>
      </c>
      <c r="C60" s="31" t="n">
        <f aca="false">+C59-C49</f>
        <v>1024.87</v>
      </c>
      <c r="D60" s="31" t="n">
        <f aca="false">+D59-D49</f>
        <v>1457.57</v>
      </c>
      <c r="E60" s="31" t="n">
        <f aca="false">+E59-E49</f>
        <v>2326.29</v>
      </c>
      <c r="F60" s="31" t="n">
        <f aca="false">+F59-F49</f>
        <v>2939.8</v>
      </c>
      <c r="G60" s="31" t="n">
        <f aca="false">+G59-G49</f>
        <v>1930.981576</v>
      </c>
      <c r="H60" s="31" t="n">
        <f aca="false">+H59-H49</f>
        <v>1771.25837829599</v>
      </c>
      <c r="I60" s="31" t="n">
        <f aca="false">+I59-I49</f>
        <v>2333.54</v>
      </c>
      <c r="J60" s="31" t="n">
        <f aca="false">+J59-J49</f>
        <v>2423.46</v>
      </c>
      <c r="K60" s="31" t="n">
        <f aca="false">+K59-K49</f>
        <v>2515.02</v>
      </c>
      <c r="L60" s="31" t="n">
        <f aca="false">+L59-L49</f>
        <v>2764.58</v>
      </c>
      <c r="M60" s="31" t="n">
        <f aca="false">+M59-M49</f>
        <v>3553.88</v>
      </c>
      <c r="N60" s="31" t="n">
        <f aca="false">+N59-N49</f>
        <v>3681.3516</v>
      </c>
      <c r="O60" s="31" t="n">
        <f aca="false">+O59-O49</f>
        <v>4689.58999999999</v>
      </c>
      <c r="P60" s="31" t="n">
        <f aca="false">+P59-P49</f>
        <v>6464.19</v>
      </c>
      <c r="Q60" s="31" t="n">
        <f aca="false">+Q59-Q49</f>
        <v>7271.99</v>
      </c>
      <c r="R60" s="31" t="n">
        <f aca="false">+R59-R49</f>
        <v>4277.53300000001</v>
      </c>
      <c r="S60" s="31" t="n">
        <f aca="false">+S59-S49</f>
        <v>6498.97700000003</v>
      </c>
      <c r="T60" s="31" t="n">
        <f aca="false">+T59-T49</f>
        <v>10407.227</v>
      </c>
      <c r="U60" s="31" t="n">
        <f aca="false">+U59-U49</f>
        <v>9436.32</v>
      </c>
      <c r="V60" s="31" t="n">
        <f aca="false">+V59-V49</f>
        <v>5580.363</v>
      </c>
      <c r="W60" s="31" t="n">
        <f aca="false">+W59-W49</f>
        <v>-1439.53000000002</v>
      </c>
      <c r="X60" s="31" t="n">
        <f aca="false">+X59-X49</f>
        <v>7347.68300000001</v>
      </c>
      <c r="Y60" s="31" t="n">
        <f aca="false">+Y59-Y49</f>
        <v>18843.509</v>
      </c>
      <c r="Z60" s="31" t="n">
        <f aca="false">+Z59-Z49</f>
        <v>18209.134</v>
      </c>
      <c r="AA60" s="31" t="n">
        <f aca="false">+AA59-AA49</f>
        <v>23741.36</v>
      </c>
      <c r="AB60" s="31" t="n">
        <f aca="false">+AB59-AB49</f>
        <v>26246.6999999999</v>
      </c>
      <c r="AC60" s="31" t="n">
        <f aca="false">+AC59-AC49</f>
        <v>6271.9</v>
      </c>
      <c r="AD60" s="31" t="n">
        <f aca="false">+AD59-AD49</f>
        <v>-930.700000000006</v>
      </c>
      <c r="AE60" s="31" t="n">
        <f aca="false">+AE59-AE49</f>
        <v>3178.90000000001</v>
      </c>
      <c r="AF60" s="31" t="n">
        <f aca="false">+AF59-AF49</f>
        <v>23148.8</v>
      </c>
      <c r="AG60" s="31" t="n">
        <f aca="false">+AG59-AG49</f>
        <v>41353.4</v>
      </c>
      <c r="AH60" s="31" t="n">
        <f aca="false">+AH59-AH49</f>
        <v>44614.7</v>
      </c>
      <c r="AI60" s="31" t="n">
        <f aca="false">+AI59-AI49</f>
        <v>53322.3000000002</v>
      </c>
      <c r="AJ60" s="31" t="n">
        <f aca="false">+AJ59-AJ49</f>
        <v>53436.4982817522</v>
      </c>
      <c r="AK60" s="31" t="n">
        <f aca="false">+AK59-AK49</f>
        <v>59534.820777821</v>
      </c>
      <c r="AL60" s="31" t="n">
        <f aca="false">+AL59-AL49</f>
        <v>64100.2708908518</v>
      </c>
      <c r="AM60" s="30"/>
      <c r="AN60" s="50" t="s">
        <v>171</v>
      </c>
      <c r="AO60" s="31" t="n">
        <f aca="false">+AP29</f>
        <v>18</v>
      </c>
      <c r="AP60" s="62" t="n">
        <v>14</v>
      </c>
      <c r="AQ60" s="30"/>
      <c r="AR60" s="30"/>
      <c r="AS60" s="30"/>
      <c r="AT60" s="30"/>
      <c r="AU60" s="30"/>
      <c r="AV60" s="30"/>
      <c r="AW60" s="30"/>
      <c r="AX60" s="30"/>
      <c r="AY60" s="30"/>
    </row>
    <row r="61" customFormat="false" ht="15" hidden="false" customHeight="true" outlineLevel="0" collapsed="false">
      <c r="A61" s="29" t="s">
        <v>273</v>
      </c>
      <c r="B61" s="31" t="n">
        <f aca="false">+B43-B49</f>
        <v>310.490000000002</v>
      </c>
      <c r="C61" s="31" t="n">
        <f aca="false">+C43-C49</f>
        <v>549.23</v>
      </c>
      <c r="D61" s="31" t="n">
        <f aca="false">+D43-D49</f>
        <v>688.809999999997</v>
      </c>
      <c r="E61" s="31" t="n">
        <f aca="false">+E43-E49</f>
        <v>908.13</v>
      </c>
      <c r="F61" s="31" t="n">
        <f aca="false">+F43-F49</f>
        <v>1634.07</v>
      </c>
      <c r="G61" s="31" t="n">
        <f aca="false">+G43-G49</f>
        <v>842.051576</v>
      </c>
      <c r="H61" s="31" t="n">
        <f aca="false">+H43-H49</f>
        <v>893.818378295995</v>
      </c>
      <c r="I61" s="31" t="n">
        <f aca="false">+I43-I49</f>
        <v>1783.78</v>
      </c>
      <c r="J61" s="31" t="n">
        <f aca="false">+J43-J49</f>
        <v>1988.76</v>
      </c>
      <c r="K61" s="31" t="n">
        <f aca="false">+K43-K49</f>
        <v>2008.18</v>
      </c>
      <c r="L61" s="31" t="n">
        <f aca="false">+L43-L49</f>
        <v>2240.6</v>
      </c>
      <c r="M61" s="31" t="n">
        <f aca="false">+M43-M49</f>
        <v>2981.5</v>
      </c>
      <c r="N61" s="31" t="n">
        <f aca="false">+N43-N49</f>
        <v>3136.36</v>
      </c>
      <c r="O61" s="31" t="n">
        <f aca="false">+O43-O49</f>
        <v>4140.63999999999</v>
      </c>
      <c r="P61" s="31" t="n">
        <f aca="false">+P43-P49</f>
        <v>5521.11</v>
      </c>
      <c r="Q61" s="31" t="n">
        <f aca="false">+Q43-Q49</f>
        <v>6266.28</v>
      </c>
      <c r="R61" s="31" t="n">
        <f aca="false">+R43-R49</f>
        <v>2910.20900000001</v>
      </c>
      <c r="S61" s="31" t="n">
        <f aca="false">+S43-S49</f>
        <v>5587.31200000003</v>
      </c>
      <c r="T61" s="31" t="n">
        <f aca="false">+T43-T49</f>
        <v>10001.264</v>
      </c>
      <c r="U61" s="31" t="n">
        <f aca="false">+U43-U49</f>
        <v>8917.216</v>
      </c>
      <c r="V61" s="31" t="n">
        <f aca="false">+V43-V49</f>
        <v>4956.848</v>
      </c>
      <c r="W61" s="31" t="n">
        <f aca="false">+W43-W49</f>
        <v>-2104.73700000002</v>
      </c>
      <c r="X61" s="31" t="n">
        <f aca="false">+X43-X49</f>
        <v>6102.97000000001</v>
      </c>
      <c r="Y61" s="31" t="n">
        <f aca="false">+Y43-Y49</f>
        <v>17667.307</v>
      </c>
      <c r="Z61" s="31" t="n">
        <f aca="false">+Z43-Z49</f>
        <v>16846.433</v>
      </c>
      <c r="AA61" s="31" t="n">
        <f aca="false">+AA43-AA49</f>
        <v>21843.713</v>
      </c>
      <c r="AB61" s="31" t="n">
        <f aca="false">+AB43-AB49</f>
        <v>25147.2999999999</v>
      </c>
      <c r="AC61" s="31" t="n">
        <f aca="false">+AC43-AC49</f>
        <v>5038.5</v>
      </c>
      <c r="AD61" s="31" t="n">
        <f aca="false">+AD43-AD49</f>
        <v>-2125.70000000001</v>
      </c>
      <c r="AE61" s="31" t="n">
        <f aca="false">+AE43-AE49</f>
        <v>2417.60000000001</v>
      </c>
      <c r="AF61" s="31" t="n">
        <f aca="false">+AF43-AF49</f>
        <v>21987.4</v>
      </c>
      <c r="AG61" s="31" t="n">
        <f aca="false">+AG43-AG49</f>
        <v>38887.7000000001</v>
      </c>
      <c r="AH61" s="31" t="n">
        <f aca="false">+AH43-AH49</f>
        <v>42112.2</v>
      </c>
      <c r="AI61" s="31" t="n">
        <f aca="false">+AI43-AI49</f>
        <v>50170.6000000002</v>
      </c>
      <c r="AJ61" s="31" t="n">
        <f aca="false">+AJ43-AJ49</f>
        <v>49994.0396789213</v>
      </c>
      <c r="AK61" s="31" t="n">
        <f aca="false">+AK43-AK49</f>
        <v>55732.1922391677</v>
      </c>
      <c r="AL61" s="31" t="n">
        <f aca="false">+AL43-AL49</f>
        <v>59800.8587704823</v>
      </c>
      <c r="AM61" s="30"/>
      <c r="AN61" s="50" t="s">
        <v>174</v>
      </c>
      <c r="AO61" s="31" t="n">
        <f aca="false">+ROUND((AO60*AVERAGE(AU53)-AVERAGE(AU59))/$AB$78/5,0)*5</f>
        <v>160</v>
      </c>
      <c r="AP61" s="31" t="n">
        <f aca="false">+ROUND((AP60*AVERAGE(AW53:AX53)-AVERAGE(AW59:AX59))/$AH$78/5,0)*5</f>
        <v>140</v>
      </c>
      <c r="AQ61" s="30"/>
      <c r="AR61" s="30"/>
      <c r="AS61" s="30"/>
      <c r="AT61" s="30"/>
      <c r="AU61" s="30"/>
      <c r="AV61" s="30"/>
      <c r="AW61" s="30"/>
      <c r="AX61" s="30"/>
      <c r="AY61" s="30"/>
    </row>
    <row r="62" customFormat="false" ht="15" hidden="false" customHeight="true" outlineLevel="0" collapsed="false">
      <c r="A62" s="29" t="s">
        <v>274</v>
      </c>
      <c r="B62" s="31" t="n">
        <f aca="false">+B55+B49</f>
        <v>360.080000000002</v>
      </c>
      <c r="C62" s="31" t="n">
        <f aca="false">+C55+C49</f>
        <v>681.400000000002</v>
      </c>
      <c r="D62" s="31" t="n">
        <f aca="false">+D55+D49</f>
        <v>1097.69</v>
      </c>
      <c r="E62" s="31" t="n">
        <f aca="false">+E55+E49</f>
        <v>1676.88</v>
      </c>
      <c r="F62" s="31" t="n">
        <f aca="false">+F55+F49</f>
        <v>1905.33</v>
      </c>
      <c r="G62" s="31" t="n">
        <f aca="false">+G55+G49</f>
        <v>889.751576000001</v>
      </c>
      <c r="H62" s="31" t="n">
        <f aca="false">+H55+H49</f>
        <v>969.088378295998</v>
      </c>
      <c r="I62" s="31" t="n">
        <f aca="false">+I55+I49</f>
        <v>1609.3</v>
      </c>
      <c r="J62" s="31" t="n">
        <f aca="false">+J55+J49</f>
        <v>1854.99</v>
      </c>
      <c r="K62" s="31" t="n">
        <f aca="false">+K55+K49</f>
        <v>1916.54</v>
      </c>
      <c r="L62" s="31" t="n">
        <f aca="false">+L55+L49</f>
        <v>2339.22000000001</v>
      </c>
      <c r="M62" s="31" t="n">
        <f aca="false">+M55+M49</f>
        <v>2995.53</v>
      </c>
      <c r="N62" s="31" t="n">
        <f aca="false">+N55+N49</f>
        <v>3447.4816</v>
      </c>
      <c r="O62" s="31" t="n">
        <f aca="false">+O55+O49</f>
        <v>4354.4181101039</v>
      </c>
      <c r="P62" s="31" t="n">
        <f aca="false">+P55+P49</f>
        <v>6049.35999999999</v>
      </c>
      <c r="Q62" s="31" t="n">
        <f aca="false">+Q55+Q49</f>
        <v>6594.08</v>
      </c>
      <c r="R62" s="31" t="n">
        <f aca="false">+R55+R49</f>
        <v>4273.99200000001</v>
      </c>
      <c r="S62" s="31" t="n">
        <f aca="false">+S55+S49</f>
        <v>6310.54100000003</v>
      </c>
      <c r="T62" s="31" t="n">
        <f aca="false">+T55+T49</f>
        <v>9487.30300000001</v>
      </c>
      <c r="U62" s="31" t="n">
        <f aca="false">+U55+U49</f>
        <v>9171.92</v>
      </c>
      <c r="V62" s="31" t="n">
        <f aca="false">+V55+V49</f>
        <v>5249.341</v>
      </c>
      <c r="W62" s="31" t="n">
        <f aca="false">+W55+W49</f>
        <v>-992.418000000022</v>
      </c>
      <c r="X62" s="31" t="n">
        <f aca="false">+X55+X49</f>
        <v>6502.06800000001</v>
      </c>
      <c r="Y62" s="31" t="n">
        <f aca="false">+Y55+Y49</f>
        <v>14757.5874800765</v>
      </c>
      <c r="Z62" s="31" t="n">
        <f aca="false">+Z55+Z49</f>
        <v>17609.3342361218</v>
      </c>
      <c r="AA62" s="31" t="n">
        <f aca="false">+AA55+AA49</f>
        <v>21293.737</v>
      </c>
      <c r="AB62" s="31" t="n">
        <f aca="false">+AB55+AB49</f>
        <v>26502.0199999999</v>
      </c>
      <c r="AC62" s="31" t="n">
        <f aca="false">+AC55+AC49</f>
        <v>10261.85</v>
      </c>
      <c r="AD62" s="31" t="n">
        <f aca="false">+AD55+AD49</f>
        <v>4430.675</v>
      </c>
      <c r="AE62" s="31" t="n">
        <f aca="false">+AE55+AE49</f>
        <v>9114.67500000001</v>
      </c>
      <c r="AF62" s="31" t="n">
        <f aca="false">+AF55+AF49</f>
        <v>20486.125</v>
      </c>
      <c r="AG62" s="31" t="n">
        <f aca="false">+AG55+AG49</f>
        <v>34059.7000000001</v>
      </c>
      <c r="AH62" s="31" t="n">
        <f aca="false">+AH55+AH49</f>
        <v>39448.325</v>
      </c>
      <c r="AI62" s="31" t="n">
        <f aca="false">+AI55+AI49</f>
        <v>46292.0000000002</v>
      </c>
      <c r="AJ62" s="31" t="n">
        <f aca="false">+AJ55+AJ49</f>
        <v>46643.2831113142</v>
      </c>
      <c r="AK62" s="31" t="n">
        <f aca="false">+AK55+AK49</f>
        <v>51957.5249833657</v>
      </c>
      <c r="AL62" s="31" t="n">
        <f aca="false">+AL55+AL49</f>
        <v>55969.2499681388</v>
      </c>
      <c r="AM62" s="30"/>
      <c r="AN62" s="30"/>
      <c r="AO62" s="30"/>
      <c r="AP62" s="30"/>
      <c r="AQ62" s="30"/>
      <c r="AR62" s="30"/>
      <c r="AS62" s="30"/>
      <c r="AT62" s="30"/>
      <c r="AU62" s="30"/>
      <c r="AV62" s="30"/>
      <c r="AW62" s="30"/>
      <c r="AX62" s="30"/>
      <c r="AY62" s="30"/>
    </row>
    <row r="63" customFormat="false" ht="15" hidden="false" customHeight="true" outlineLevel="0" collapsed="false">
      <c r="A63" s="29"/>
      <c r="B63" s="33" t="s">
        <v>175</v>
      </c>
      <c r="C63" s="33" t="s">
        <v>176</v>
      </c>
      <c r="D63" s="33" t="s">
        <v>177</v>
      </c>
      <c r="E63" s="33" t="s">
        <v>178</v>
      </c>
      <c r="F63" s="33" t="s">
        <v>179</v>
      </c>
      <c r="G63" s="33" t="s">
        <v>180</v>
      </c>
      <c r="H63" s="33" t="s">
        <v>181</v>
      </c>
      <c r="I63" s="33" t="s">
        <v>182</v>
      </c>
      <c r="J63" s="33" t="s">
        <v>183</v>
      </c>
      <c r="K63" s="33" t="s">
        <v>184</v>
      </c>
      <c r="L63" s="33" t="s">
        <v>185</v>
      </c>
      <c r="M63" s="33" t="s">
        <v>186</v>
      </c>
      <c r="N63" s="33" t="s">
        <v>187</v>
      </c>
      <c r="O63" s="33" t="s">
        <v>188</v>
      </c>
      <c r="P63" s="33" t="s">
        <v>189</v>
      </c>
      <c r="Q63" s="33" t="s">
        <v>190</v>
      </c>
      <c r="R63" s="33" t="s">
        <v>191</v>
      </c>
      <c r="S63" s="33" t="s">
        <v>192</v>
      </c>
      <c r="T63" s="33" t="s">
        <v>193</v>
      </c>
      <c r="U63" s="33" t="s">
        <v>194</v>
      </c>
      <c r="V63" s="33" t="s">
        <v>275</v>
      </c>
      <c r="W63" s="33" t="s">
        <v>276</v>
      </c>
      <c r="X63" s="33" t="s">
        <v>277</v>
      </c>
      <c r="Y63" s="48" t="str">
        <f aca="false">+Y3</f>
        <v>FY2016</v>
      </c>
      <c r="Z63" s="48" t="str">
        <f aca="false">+Z3</f>
        <v>FY2017</v>
      </c>
      <c r="AA63" s="48" t="str">
        <f aca="false">+AA3</f>
        <v>FY2018</v>
      </c>
      <c r="AB63" s="48" t="str">
        <f aca="false">+AB3</f>
        <v>FY2019</v>
      </c>
      <c r="AC63" s="48" t="str">
        <f aca="false">+AC3</f>
        <v>FY2020</v>
      </c>
      <c r="AD63" s="48" t="str">
        <f aca="false">+AD3</f>
        <v>FY2021</v>
      </c>
      <c r="AE63" s="48" t="str">
        <f aca="false">+AE3</f>
        <v>FY2022</v>
      </c>
      <c r="AF63" s="48" t="str">
        <f aca="false">+AF3</f>
        <v>FY2023</v>
      </c>
      <c r="AG63" s="48" t="str">
        <f aca="false">+AG3</f>
        <v>FY2024</v>
      </c>
      <c r="AH63" s="48" t="str">
        <f aca="false">+AH3</f>
        <v>FY2025</v>
      </c>
      <c r="AI63" s="48" t="str">
        <f aca="false">+AI3</f>
        <v>FY2026</v>
      </c>
      <c r="AJ63" s="48" t="str">
        <f aca="false">+AJ3</f>
        <v>FY2027E</v>
      </c>
      <c r="AK63" s="48" t="str">
        <f aca="false">+AK3</f>
        <v>FY2028E</v>
      </c>
      <c r="AL63" s="48" t="str">
        <f aca="false">+AL3</f>
        <v>FY2029E</v>
      </c>
      <c r="AM63" s="43"/>
      <c r="AN63" s="43"/>
      <c r="AO63" s="43"/>
      <c r="AP63" s="43"/>
      <c r="AQ63" s="43"/>
      <c r="AR63" s="43"/>
      <c r="AS63" s="43"/>
      <c r="AT63" s="43"/>
      <c r="AU63" s="43"/>
      <c r="AV63" s="43"/>
      <c r="AW63" s="43"/>
      <c r="AX63" s="43"/>
      <c r="AY63" s="43"/>
    </row>
    <row r="64" customFormat="false" ht="15" hidden="false" customHeight="true" outlineLevel="0" collapsed="false">
      <c r="A64" s="70" t="s">
        <v>278</v>
      </c>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2" t="s">
        <v>258</v>
      </c>
      <c r="AO64" s="73" t="n">
        <f aca="false">+AP45</f>
        <v>260</v>
      </c>
      <c r="AP64" s="71"/>
      <c r="AQ64" s="71"/>
      <c r="AR64" s="71"/>
      <c r="AS64" s="71"/>
      <c r="AT64" s="71"/>
      <c r="AU64" s="71"/>
      <c r="AV64" s="71"/>
      <c r="AW64" s="71"/>
      <c r="AX64" s="71"/>
      <c r="AY64" s="71"/>
    </row>
    <row r="65" customFormat="false" ht="15" hidden="false" customHeight="true" outlineLevel="0" collapsed="false">
      <c r="A65" s="29" t="s">
        <v>279</v>
      </c>
      <c r="B65" s="49" t="n">
        <f aca="false">+B43/B10*100</f>
        <v>6.56219320919035</v>
      </c>
      <c r="C65" s="49" t="n">
        <f aca="false">+C43/C10*100</f>
        <v>7.42685563458377</v>
      </c>
      <c r="D65" s="49" t="n">
        <f aca="false">+D43/D10*100</f>
        <v>7.14072366734244</v>
      </c>
      <c r="E65" s="49" t="n">
        <f aca="false">+E43/E10*100</f>
        <v>7.23579913837972</v>
      </c>
      <c r="F65" s="49" t="n">
        <f aca="false">+F43/F10*100</f>
        <v>9.22495549761103</v>
      </c>
      <c r="G65" s="49" t="n">
        <f aca="false">+G43/G10*100</f>
        <v>7.68324887757411</v>
      </c>
      <c r="H65" s="49" t="n">
        <f aca="false">+H43/H10*100</f>
        <v>8.09623299596356</v>
      </c>
      <c r="I65" s="49" t="n">
        <f aca="false">+I43/I10*100</f>
        <v>10.0365257022886</v>
      </c>
      <c r="J65" s="49" t="n">
        <f aca="false">+J43/J10*100</f>
        <v>11.0189157555081</v>
      </c>
      <c r="K65" s="49" t="n">
        <f aca="false">+K43/K10*100</f>
        <v>11.2594128452644</v>
      </c>
      <c r="L65" s="49" t="n">
        <f aca="false">+L43/L10*100</f>
        <v>10.6385664257749</v>
      </c>
      <c r="M65" s="49" t="n">
        <f aca="false">+M43/M10*100</f>
        <v>10.0477863392741</v>
      </c>
      <c r="N65" s="49" t="n">
        <f aca="false">+N43/N10*100</f>
        <v>8.78871785108418</v>
      </c>
      <c r="O65" s="49" t="n">
        <f aca="false">+O43/O10*100</f>
        <v>8.92219335918009</v>
      </c>
      <c r="P65" s="49" t="n">
        <f aca="false">+P43/P10*100</f>
        <v>8.46127568224179</v>
      </c>
      <c r="Q65" s="49" t="n">
        <f aca="false">+Q43/Q10*100</f>
        <v>8.99951755657517</v>
      </c>
      <c r="R65" s="49" t="n">
        <f aca="false">+R43/R10*100</f>
        <v>7.04155456059494</v>
      </c>
      <c r="S65" s="49" t="n">
        <f aca="false">+S43/S10*100</f>
        <v>9.68980199597152</v>
      </c>
      <c r="T65" s="49" t="n">
        <f aca="false">+T43/T10*100</f>
        <v>10.48121888666</v>
      </c>
      <c r="U65" s="49" t="n">
        <f aca="false">+U43/U10*100</f>
        <v>9.1195344153911</v>
      </c>
      <c r="V65" s="49" t="n">
        <f aca="false">+V43/V10*100</f>
        <v>6.59070134283498</v>
      </c>
      <c r="W65" s="49" t="n">
        <f aca="false">+W43/W10*100</f>
        <v>1.57716825943845</v>
      </c>
      <c r="X65" s="49" t="n">
        <f aca="false">+X43/X10*100</f>
        <v>7.08710764135429</v>
      </c>
      <c r="Y65" s="49" t="n">
        <f aca="false">+Y43/Y10*100</f>
        <v>11.2771170384444</v>
      </c>
      <c r="Z65" s="49" t="n">
        <f aca="false">+Z43/Z10*100</f>
        <v>10.3251986034229</v>
      </c>
      <c r="AA65" s="49" t="n">
        <f aca="false">+AA43/AA10*100</f>
        <v>10.3262247023667</v>
      </c>
      <c r="AB65" s="49" t="n">
        <f aca="false">+AB43/AB10*100</f>
        <v>10.7924467259451</v>
      </c>
      <c r="AC65" s="49" t="n">
        <f aca="false">+AC43/AC10*100</f>
        <v>6.71906120348282</v>
      </c>
      <c r="AD65" s="49" t="n">
        <f aca="false">+AD43/AD10*100</f>
        <v>3.49731561387973</v>
      </c>
      <c r="AE65" s="49" t="n">
        <f aca="false">+AE43/AE10*100</f>
        <v>4.58551596276148</v>
      </c>
      <c r="AF65" s="49" t="n">
        <f aca="false">+AF43/AF10*100</f>
        <v>8.10836832747992</v>
      </c>
      <c r="AG65" s="49" t="n">
        <f aca="false">+AG43/AG10*100</f>
        <v>12.0066108843974</v>
      </c>
      <c r="AH65" s="49" t="n">
        <f aca="false">+AH43/AH10*100</f>
        <v>12.7231261583052</v>
      </c>
      <c r="AI65" s="49" t="n">
        <f aca="false">+AI43/AI10*100</f>
        <v>13.0257597479312</v>
      </c>
      <c r="AJ65" s="49" t="n">
        <f aca="false">+AJ43/AJ10*100</f>
        <v>11.9931529778246</v>
      </c>
      <c r="AK65" s="49" t="n">
        <f aca="false">+AK43/AK10*100</f>
        <v>12.3176388618778</v>
      </c>
      <c r="AL65" s="49" t="n">
        <f aca="false">+AL43/AL10*100</f>
        <v>12.2516851536862</v>
      </c>
      <c r="AM65" s="36"/>
      <c r="AN65" s="50" t="s">
        <v>280</v>
      </c>
      <c r="AO65" s="49" t="n">
        <f aca="false">+AO64-AO66-AP2</f>
        <v>-40</v>
      </c>
      <c r="AP65" s="36"/>
      <c r="AQ65" s="36"/>
      <c r="AR65" s="36"/>
      <c r="AS65" s="36"/>
      <c r="AT65" s="36"/>
      <c r="AU65" s="36"/>
      <c r="AV65" s="36"/>
      <c r="AW65" s="36"/>
      <c r="AX65" s="36"/>
      <c r="AY65" s="36"/>
    </row>
    <row r="66" customFormat="false" ht="15" hidden="false" customHeight="true" outlineLevel="0" collapsed="false">
      <c r="A66" s="29" t="s">
        <v>281</v>
      </c>
      <c r="B66" s="49" t="n">
        <f aca="false">B43/B16*100</f>
        <v>7.62524395009845</v>
      </c>
      <c r="C66" s="49" t="n">
        <f aca="false">C43/C16*100</f>
        <v>8.28491268229159</v>
      </c>
      <c r="D66" s="49" t="n">
        <f aca="false">D43/D16*100</f>
        <v>8.09948439428881</v>
      </c>
      <c r="E66" s="49" t="n">
        <f aca="false">E43/E16*100</f>
        <v>8.12491374633405</v>
      </c>
      <c r="F66" s="49" t="n">
        <f aca="false">F43/F16*100</f>
        <v>10.498575158988</v>
      </c>
      <c r="G66" s="49" t="n">
        <f aca="false">G43/G16*100</f>
        <v>8.74960531270654</v>
      </c>
      <c r="H66" s="49" t="n">
        <f aca="false">H43/H16*100</f>
        <v>9.10399244908681</v>
      </c>
      <c r="I66" s="49" t="n">
        <f aca="false">I43/I16*100</f>
        <v>11.5753039825958</v>
      </c>
      <c r="J66" s="49" t="n">
        <f aca="false">J43/J16*100</f>
        <v>12.75419491548</v>
      </c>
      <c r="K66" s="49" t="n">
        <f aca="false">K43/K16*100</f>
        <v>13.097767250651</v>
      </c>
      <c r="L66" s="49" t="n">
        <f aca="false">L43/L16*100</f>
        <v>12.20086741594</v>
      </c>
      <c r="M66" s="49" t="n">
        <f aca="false">M43/M16*100</f>
        <v>11.6269147678589</v>
      </c>
      <c r="N66" s="49" t="n">
        <f aca="false">N43/N16*100</f>
        <v>10.1102769763996</v>
      </c>
      <c r="O66" s="49" t="n">
        <f aca="false">O43/O16*100</f>
        <v>10.2916406312379</v>
      </c>
      <c r="P66" s="49" t="n">
        <f aca="false">P43/P16*100</f>
        <v>9.80284245252907</v>
      </c>
      <c r="Q66" s="49" t="n">
        <f aca="false">Q43/Q16*100</f>
        <v>10.402072783678</v>
      </c>
      <c r="R66" s="49" t="n">
        <f aca="false">R43/R16*100</f>
        <v>7.84867606630564</v>
      </c>
      <c r="S66" s="49" t="n">
        <f aca="false">S43/S16*100</f>
        <v>10.5296008722502</v>
      </c>
      <c r="T66" s="49" t="n">
        <f aca="false">T43/T16*100</f>
        <v>11.4012464258599</v>
      </c>
      <c r="U66" s="49" t="n">
        <f aca="false">U43/U16*100</f>
        <v>9.69986586033483</v>
      </c>
      <c r="V66" s="49" t="n">
        <f aca="false">V43/V16*100</f>
        <v>7.02230795115855</v>
      </c>
      <c r="W66" s="49" t="n">
        <f aca="false">W43/W16*100</f>
        <v>1.67509959117009</v>
      </c>
      <c r="X66" s="49" t="n">
        <f aca="false">X43/X16*100</f>
        <v>7.56982599763656</v>
      </c>
      <c r="Y66" s="49" t="n">
        <f aca="false">Y43/Y16*100</f>
        <v>11.9057659949906</v>
      </c>
      <c r="Z66" s="49" t="n">
        <f aca="false">Z43/Z16*100</f>
        <v>11.0024225001949</v>
      </c>
      <c r="AA66" s="49" t="n">
        <f aca="false">AA43/AA16*100</f>
        <v>10.4350438535332</v>
      </c>
      <c r="AB66" s="49" t="n">
        <f aca="false">AB43/AB16*100</f>
        <v>10.7924467259451</v>
      </c>
      <c r="AC66" s="49" t="n">
        <f aca="false">AC43/AC16*100</f>
        <v>6.71906120348282</v>
      </c>
      <c r="AD66" s="49" t="n">
        <f aca="false">AD43/AD16*100</f>
        <v>3.49731561387973</v>
      </c>
      <c r="AE66" s="49" t="n">
        <f aca="false">AE43/AE16*100</f>
        <v>4.58551596276148</v>
      </c>
      <c r="AF66" s="49" t="n">
        <f aca="false">AF43/AF16*100</f>
        <v>8.10836832747992</v>
      </c>
      <c r="AG66" s="49" t="n">
        <f aca="false">AG43/AG16*100</f>
        <v>12.0066108843974</v>
      </c>
      <c r="AH66" s="49" t="n">
        <f aca="false">AH43/AH16*100</f>
        <v>12.7231261583052</v>
      </c>
      <c r="AI66" s="49" t="n">
        <f aca="false">AI43/AI16*100</f>
        <v>13.0257597479312</v>
      </c>
      <c r="AJ66" s="49" t="n">
        <f aca="false">AJ43/AJ16*100</f>
        <v>11.9931529778246</v>
      </c>
      <c r="AK66" s="49" t="n">
        <f aca="false">AK43/AK16*100</f>
        <v>12.3176388618778</v>
      </c>
      <c r="AL66" s="49" t="n">
        <f aca="false">AL43/AL16*100</f>
        <v>12.2516851536862</v>
      </c>
      <c r="AM66" s="36"/>
      <c r="AN66" s="50" t="s">
        <v>282</v>
      </c>
      <c r="AO66" s="49" t="n">
        <f aca="false">+AP45-AO45</f>
        <v>100</v>
      </c>
      <c r="AP66" s="36"/>
      <c r="AQ66" s="36"/>
      <c r="AR66" s="36"/>
      <c r="AS66" s="36"/>
      <c r="AT66" s="36"/>
      <c r="AU66" s="36"/>
      <c r="AV66" s="36"/>
      <c r="AW66" s="36"/>
      <c r="AX66" s="36"/>
      <c r="AY66" s="36"/>
    </row>
    <row r="67" customFormat="false" ht="15" hidden="false" customHeight="true" outlineLevel="0" collapsed="false">
      <c r="A67" s="29"/>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3" t="s">
        <v>230</v>
      </c>
      <c r="AO67" s="74" t="n">
        <f aca="false">+AO64-AO65-AO66</f>
        <v>200</v>
      </c>
      <c r="AP67" s="49" t="n">
        <f aca="false">+AO67-AP30</f>
        <v>0</v>
      </c>
      <c r="AQ67" s="36"/>
      <c r="AR67" s="36"/>
      <c r="AS67" s="36"/>
      <c r="AT67" s="36"/>
      <c r="AU67" s="36"/>
      <c r="AV67" s="36"/>
      <c r="AW67" s="36"/>
      <c r="AX67" s="36"/>
      <c r="AY67" s="36"/>
    </row>
    <row r="68" customFormat="false" ht="15" hidden="false" customHeight="true" outlineLevel="0" collapsed="false">
      <c r="A68" s="29" t="s">
        <v>283</v>
      </c>
      <c r="B68" s="49" t="n">
        <f aca="false">+B46/B59*100</f>
        <v>47.6159012403502</v>
      </c>
      <c r="C68" s="49" t="n">
        <f aca="false">+C46/C59*100</f>
        <v>35.1552510403039</v>
      </c>
      <c r="D68" s="49" t="n">
        <f aca="false">+D46/D59*100</f>
        <v>41.5689752130468</v>
      </c>
      <c r="E68" s="49" t="n">
        <f aca="false">+E46/E59*100</f>
        <v>49.3729850922941</v>
      </c>
      <c r="F68" s="49" t="n">
        <f aca="false">+F46/F59*100</f>
        <v>36.312844501054</v>
      </c>
      <c r="G68" s="49" t="n">
        <f aca="false">+G46/G59*100</f>
        <v>41.3012971152285</v>
      </c>
      <c r="H68" s="49" t="n">
        <f aca="false">+H46/H59*100</f>
        <v>34.6381816280369</v>
      </c>
      <c r="I68" s="49" t="n">
        <f aca="false">+I46/I59*100</f>
        <v>17.4086517604664</v>
      </c>
      <c r="J68" s="49" t="n">
        <f aca="false">+J46/J59*100</f>
        <v>13.1450032658393</v>
      </c>
      <c r="K68" s="49" t="n">
        <f aca="false">+K46/K59*100</f>
        <v>14.6123618667059</v>
      </c>
      <c r="L68" s="49" t="n">
        <f aca="false">+L46/L59*100</f>
        <v>13.8097710495036</v>
      </c>
      <c r="M68" s="49" t="n">
        <f aca="false">+M46/M59*100</f>
        <v>12.6677024269546</v>
      </c>
      <c r="N68" s="49" t="n">
        <f aca="false">+N46/N59*100</f>
        <v>11.4170432393764</v>
      </c>
      <c r="O68" s="49" t="n">
        <f aca="false">+O46/O59*100</f>
        <v>9.22659316094226</v>
      </c>
      <c r="P68" s="49" t="n">
        <f aca="false">+P46/P59*100</f>
        <v>11.832977203062</v>
      </c>
      <c r="Q68" s="49" t="n">
        <f aca="false">+Q46/Q59*100</f>
        <v>11.1182232245512</v>
      </c>
      <c r="R68" s="49" t="n">
        <f aca="false">+R46/R59*100</f>
        <v>22.5568675324889</v>
      </c>
      <c r="S68" s="49" t="n">
        <f aca="false">+S46/S59*100</f>
        <v>10.6751641909608</v>
      </c>
      <c r="T68" s="49" t="n">
        <f aca="false">+T46/T59*100</f>
        <v>3.1033279957852</v>
      </c>
      <c r="U68" s="49" t="n">
        <f aca="false">+U46/U59*100</f>
        <v>4.00405663116343</v>
      </c>
      <c r="V68" s="49" t="n">
        <f aca="false">+V46/V59*100</f>
        <v>6.64147688406231</v>
      </c>
      <c r="W68" s="49" t="n">
        <f aca="false">+W46/W59*100</f>
        <v>28.5394902245126</v>
      </c>
      <c r="X68" s="49" t="n">
        <f aca="false">+X46/X59*100</f>
        <v>10.8132012283849</v>
      </c>
      <c r="Y68" s="49" t="n">
        <f aca="false">+Y46/Y59*100</f>
        <v>4.95816779613525</v>
      </c>
      <c r="Z68" s="49" t="n">
        <f aca="false">+Z46/Z59*100</f>
        <v>5.82647830798202</v>
      </c>
      <c r="AA68" s="49" t="n">
        <f aca="false">+AA46/AA59*100</f>
        <v>6.47938533680668</v>
      </c>
      <c r="AB68" s="49" t="n">
        <f aca="false">+AB46/AB59*100</f>
        <v>3.38727169653202</v>
      </c>
      <c r="AC68" s="49" t="n">
        <f aca="false">+AC46/AC59*100</f>
        <v>9.50971094611369</v>
      </c>
      <c r="AD68" s="49" t="n">
        <f aca="false">+AD46/AD59*100</f>
        <v>18.2543077111084</v>
      </c>
      <c r="AE68" s="49" t="n">
        <f aca="false">+AE46/AE59*100</f>
        <v>7.11063372717507</v>
      </c>
      <c r="AF68" s="49" t="n">
        <f aca="false">+AF46/AF59*100</f>
        <v>3.81181814601358</v>
      </c>
      <c r="AG68" s="49" t="n">
        <f aca="false">+AG46/AG59*100</f>
        <v>5.08061774311529</v>
      </c>
      <c r="AH68" s="49" t="n">
        <f aca="false">+AH46/AH59*100</f>
        <v>4.83032575987152</v>
      </c>
      <c r="AI68" s="49" t="n">
        <f aca="false">+AI46/AI59*100</f>
        <v>5.21164397379377</v>
      </c>
      <c r="AJ68" s="49" t="n">
        <f aca="false">+AJ46/AJ59*100</f>
        <v>5.64449036156137</v>
      </c>
      <c r="AK68" s="49" t="n">
        <f aca="false">+AK46/AK59*100</f>
        <v>5.62130128830914</v>
      </c>
      <c r="AL68" s="49" t="n">
        <f aca="false">+AL46/AL59*100</f>
        <v>5.9246890810462</v>
      </c>
      <c r="AM68" s="36"/>
      <c r="AN68" s="50" t="s">
        <v>284</v>
      </c>
      <c r="AO68" s="49" t="n">
        <f aca="false">+AO61-AP61</f>
        <v>20</v>
      </c>
      <c r="AP68" s="36"/>
      <c r="AQ68" s="36"/>
      <c r="AR68" s="36"/>
      <c r="AS68" s="36"/>
      <c r="AT68" s="36"/>
      <c r="AU68" s="36"/>
      <c r="AV68" s="36"/>
      <c r="AW68" s="36"/>
      <c r="AX68" s="36"/>
      <c r="AY68" s="36"/>
    </row>
    <row r="69" customFormat="false" ht="15" hidden="false" customHeight="true" outlineLevel="0" collapsed="false">
      <c r="A69" s="29" t="s">
        <v>285</v>
      </c>
      <c r="B69" s="31" t="n">
        <f aca="false">+B46/B55*100</f>
        <v>1286.5762711864</v>
      </c>
      <c r="C69" s="31" t="n">
        <f aca="false">+C46/C55*100</f>
        <v>134.627795075006</v>
      </c>
      <c r="D69" s="31" t="n">
        <f aca="false">+D46/D55*100</f>
        <v>108.904944043066</v>
      </c>
      <c r="E69" s="31" t="n">
        <f aca="false">+E46/E55*100</f>
        <v>125.408770549065</v>
      </c>
      <c r="F69" s="31" t="n">
        <f aca="false">+F46/F55*100</f>
        <v>104.512746628247</v>
      </c>
      <c r="G69" s="31" t="n">
        <f aca="false">+G46/G55*100</f>
        <v>591.226345028122</v>
      </c>
      <c r="H69" s="31" t="n">
        <f aca="false">+H46/H55*100</f>
        <v>423.498657220268</v>
      </c>
      <c r="I69" s="31" t="n">
        <f aca="false">+I46/I55*100</f>
        <v>70.0447207817856</v>
      </c>
      <c r="J69" s="31" t="n">
        <f aca="false">+J46/J55*100</f>
        <v>44.7456999042708</v>
      </c>
      <c r="K69" s="31" t="n">
        <f aca="false">+K46/K55*100</f>
        <v>52.631906873384</v>
      </c>
      <c r="L69" s="31" t="n">
        <f aca="false">+L46/L55*100</f>
        <v>40.0128290302626</v>
      </c>
      <c r="M69" s="31" t="n">
        <f aca="false">+M46/M55*100</f>
        <v>28.1823150286313</v>
      </c>
      <c r="N69" s="31" t="n">
        <f aca="false">+N46/N55*100</f>
        <v>23.1385375267859</v>
      </c>
      <c r="O69" s="31" t="n">
        <f aca="false">+O46/O55*100</f>
        <v>17.7403513254504</v>
      </c>
      <c r="P69" s="31" t="n">
        <f aca="false">+P46/P55*100</f>
        <v>20.7561371769647</v>
      </c>
      <c r="Q69" s="31" t="n">
        <f aca="false">+Q46/Q55*100</f>
        <v>20.863318307136</v>
      </c>
      <c r="R69" s="31" t="n">
        <f aca="false">+R46/R55*100</f>
        <v>54.9159186296361</v>
      </c>
      <c r="S69" s="31" t="n">
        <f aca="false">+S46/S55*100</f>
        <v>21.3531587820666</v>
      </c>
      <c r="T69" s="31" t="n">
        <f aca="false">+T46/T55*100</f>
        <v>5.95865869816686</v>
      </c>
      <c r="U69" s="31" t="n">
        <f aca="false">+U46/U55*100</f>
        <v>9.19779410566095</v>
      </c>
      <c r="V69" s="31" t="n">
        <f aca="false">+V46/V55*100</f>
        <v>43.2544158678492</v>
      </c>
      <c r="W69" s="31" t="n">
        <f aca="false">+W46/W55*100</f>
        <v>-13.9667857708253</v>
      </c>
      <c r="X69" s="31" t="n">
        <f aca="false">+X46/X55*100</f>
        <v>53.2224085079706</v>
      </c>
      <c r="Y69" s="31" t="n">
        <f aca="false">+Y46/Y55*100</f>
        <v>11.9065856190031</v>
      </c>
      <c r="Z69" s="31" t="n">
        <f aca="false">+Z46/Z55*100</f>
        <v>10.9626522255712</v>
      </c>
      <c r="AA69" s="31" t="n">
        <f aca="false">+AA46/AA55*100</f>
        <v>12.0503557262506</v>
      </c>
      <c r="AB69" s="31" t="n">
        <f aca="false">+AB46/AB55*100</f>
        <v>5.41792003910919</v>
      </c>
      <c r="AC69" s="31" t="n">
        <f aca="false">+AC46/AC55*100</f>
        <v>34.6086395330892</v>
      </c>
      <c r="AD69" s="31" t="n">
        <f aca="false">+AD46/AD55*100</f>
        <v>-39.2263062442042</v>
      </c>
      <c r="AE69" s="31" t="n">
        <f aca="false">+AE46/AE55*100</f>
        <v>47.9687475387108</v>
      </c>
      <c r="AF69" s="31" t="n">
        <f aca="false">+AF46/AF55*100</f>
        <v>8.82085440159799</v>
      </c>
      <c r="AG69" s="31" t="n">
        <f aca="false">+AG46/AG55*100</f>
        <v>9.172445092554</v>
      </c>
      <c r="AH69" s="31" t="n">
        <f aca="false">+AH46/AH55*100</f>
        <v>7.75850509650851</v>
      </c>
      <c r="AI69" s="31" t="n">
        <f aca="false">+AI46/AI55*100</f>
        <v>8.05235551263279</v>
      </c>
      <c r="AJ69" s="31" t="n">
        <f aca="false">+AJ46/AJ55*100</f>
        <v>8.80608025709328</v>
      </c>
      <c r="AK69" s="31" t="n">
        <f aca="false">+AK46/AK55*100</f>
        <v>8.67277516864203</v>
      </c>
      <c r="AL69" s="31" t="n">
        <f aca="false">+AL46/AL55*100</f>
        <v>9.05105187109481</v>
      </c>
      <c r="AM69" s="30"/>
      <c r="AN69" s="50" t="s">
        <v>286</v>
      </c>
      <c r="AO69" s="31" t="n">
        <f aca="false">+AO67-AP61-AO68</f>
        <v>40</v>
      </c>
      <c r="AP69" s="30"/>
      <c r="AQ69" s="30"/>
      <c r="AR69" s="30"/>
      <c r="AS69" s="30"/>
      <c r="AT69" s="30"/>
      <c r="AU69" s="30"/>
      <c r="AV69" s="30"/>
      <c r="AW69" s="30"/>
      <c r="AX69" s="30"/>
      <c r="AY69" s="30"/>
    </row>
    <row r="70" customFormat="false" ht="15" hidden="false" customHeight="true" outlineLevel="0" collapsed="false">
      <c r="A70" s="29"/>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3" t="s">
        <v>265</v>
      </c>
      <c r="AO70" s="74" t="n">
        <f aca="false">+AO67-AO69-AO68</f>
        <v>140</v>
      </c>
      <c r="AP70" s="36"/>
      <c r="AQ70" s="36"/>
      <c r="AR70" s="36"/>
      <c r="AS70" s="36"/>
      <c r="AT70" s="36"/>
      <c r="AU70" s="36"/>
      <c r="AV70" s="36"/>
      <c r="AW70" s="36"/>
      <c r="AX70" s="36"/>
      <c r="AY70" s="36"/>
    </row>
    <row r="71" customFormat="false" ht="15" hidden="false" customHeight="true" outlineLevel="0" collapsed="false">
      <c r="A71" s="29" t="s">
        <v>287</v>
      </c>
      <c r="B71" s="49" t="n">
        <f aca="false">+B61/B10*100</f>
        <v>3.25312199757555</v>
      </c>
      <c r="C71" s="49" t="n">
        <f aca="false">+C61/C10*100</f>
        <v>4.6493929538286</v>
      </c>
      <c r="D71" s="49" t="n">
        <f aca="false">+D61/D10*100</f>
        <v>4.5517322499557</v>
      </c>
      <c r="E71" s="49" t="n">
        <f aca="false">+E61/E10*100</f>
        <v>4.51872964250421</v>
      </c>
      <c r="F71" s="49" t="n">
        <f aca="false">+F61/F10*100</f>
        <v>6.58248642168566</v>
      </c>
      <c r="G71" s="49" t="n">
        <f aca="false">+G61/G10*100</f>
        <v>4.18040942727301</v>
      </c>
      <c r="H71" s="49" t="n">
        <f aca="false">+H61/H10*100</f>
        <v>4.37064777538212</v>
      </c>
      <c r="I71" s="49" t="n">
        <f aca="false">+I61/I10*100</f>
        <v>6.86407682557324</v>
      </c>
      <c r="J71" s="49" t="n">
        <f aca="false">+J61/J10*100</f>
        <v>7.62952479856429</v>
      </c>
      <c r="K71" s="49" t="n">
        <f aca="false">+K61/K10*100</f>
        <v>7.63436494467863</v>
      </c>
      <c r="L71" s="49" t="n">
        <f aca="false">+L61/L10*100</f>
        <v>7.28888628641232</v>
      </c>
      <c r="M71" s="49" t="n">
        <f aca="false">+M61/M10*100</f>
        <v>7.59178188020034</v>
      </c>
      <c r="N71" s="49" t="n">
        <f aca="false">+N61/N10*100</f>
        <v>6.51876152759285</v>
      </c>
      <c r="O71" s="49" t="n">
        <f aca="false">+O61/O10*100</f>
        <v>6.84051895323855</v>
      </c>
      <c r="P71" s="49" t="n">
        <f aca="false">+P61/P10*100</f>
        <v>6.64816152073574</v>
      </c>
      <c r="Q71" s="49" t="n">
        <f aca="false">+Q61/Q10*100</f>
        <v>7.01421249226244</v>
      </c>
      <c r="R71" s="49" t="n">
        <f aca="false">+R61/R10*100</f>
        <v>4.36533089584364</v>
      </c>
      <c r="S71" s="49" t="n">
        <f aca="false">+S61/S10*100</f>
        <v>7.09716465368853</v>
      </c>
      <c r="T71" s="49" t="n">
        <f aca="false">+T61/T10*100</f>
        <v>8.26987694026898</v>
      </c>
      <c r="U71" s="49" t="n">
        <f aca="false">+U61/U10*100</f>
        <v>6.53423738745402</v>
      </c>
      <c r="V71" s="49" t="n">
        <f aca="false">+V61/V10*100</f>
        <v>3.72735725522861</v>
      </c>
      <c r="W71" s="49" t="n">
        <f aca="false">+W61/W10*100</f>
        <v>-1.99296262771695</v>
      </c>
      <c r="X71" s="49" t="n">
        <f aca="false">+X61/X10*100</f>
        <v>4.21303190436434</v>
      </c>
      <c r="Y71" s="49" t="n">
        <f aca="false">+Y61/Y10*100</f>
        <v>8.83675776463515</v>
      </c>
      <c r="Z71" s="49" t="n">
        <f aca="false">+Z61/Z10*100</f>
        <v>7.8973815508886</v>
      </c>
      <c r="AA71" s="49" t="n">
        <f aca="false">+AA61/AA10*100</f>
        <v>8.2352931063738</v>
      </c>
      <c r="AB71" s="49" t="n">
        <f aca="false">+AB61/AB10*100</f>
        <v>8.65508286883988</v>
      </c>
      <c r="AC71" s="49" t="n">
        <f aca="false">+AC61/AC10*100</f>
        <v>2.88450473938126</v>
      </c>
      <c r="AD71" s="49" t="n">
        <f aca="false">+AD61/AD10*100</f>
        <v>-1.38921474762196</v>
      </c>
      <c r="AE71" s="49" t="n">
        <f aca="false">+AE61/AE10*100</f>
        <v>1.1147029111101</v>
      </c>
      <c r="AF71" s="49" t="n">
        <f aca="false">+AF61/AF10*100</f>
        <v>6.08325443626547</v>
      </c>
      <c r="AG71" s="49" t="n">
        <f aca="false">+AG61/AG10*100</f>
        <v>10.1357076635851</v>
      </c>
      <c r="AH71" s="49" t="n">
        <f aca="false">+AH61/AH10*100</f>
        <v>10.8668961214097</v>
      </c>
      <c r="AI71" s="49" t="n">
        <f aca="false">+AI61/AI10*100</f>
        <v>11.4005875879377</v>
      </c>
      <c r="AJ71" s="49" t="n">
        <f aca="false">+AJ61/AJ10*100</f>
        <v>10.4193433251354</v>
      </c>
      <c r="AK71" s="49" t="n">
        <f aca="false">+AK61/AK10*100</f>
        <v>10.7525771725932</v>
      </c>
      <c r="AL71" s="49" t="n">
        <f aca="false">+AL61/AL10*100</f>
        <v>10.7320842607248</v>
      </c>
      <c r="AM71" s="36"/>
      <c r="AN71" s="36"/>
      <c r="AO71" s="36"/>
      <c r="AP71" s="36"/>
      <c r="AQ71" s="36"/>
      <c r="AR71" s="36"/>
      <c r="AS71" s="36"/>
      <c r="AT71" s="36"/>
      <c r="AU71" s="36"/>
      <c r="AV71" s="36"/>
      <c r="AW71" s="36"/>
      <c r="AX71" s="36"/>
      <c r="AY71" s="36"/>
    </row>
    <row r="72" customFormat="false" ht="15" hidden="false" customHeight="true" outlineLevel="0" collapsed="false">
      <c r="A72" s="29" t="s">
        <v>288</v>
      </c>
      <c r="B72" s="49" t="n">
        <f aca="false">B61/B16*100</f>
        <v>3.78011558638727</v>
      </c>
      <c r="C72" s="49" t="n">
        <f aca="false">C61/C16*100</f>
        <v>5.18655761514483</v>
      </c>
      <c r="D72" s="49" t="n">
        <f aca="false">D61/D16*100</f>
        <v>5.16287788786791</v>
      </c>
      <c r="E72" s="49" t="n">
        <f aca="false">E61/E16*100</f>
        <v>5.07397840738997</v>
      </c>
      <c r="F72" s="49" t="n">
        <f aca="false">F61/F16*100</f>
        <v>7.4912804131122</v>
      </c>
      <c r="G72" s="49" t="n">
        <f aca="false">G61/G16*100</f>
        <v>4.76060753946384</v>
      </c>
      <c r="H72" s="49" t="n">
        <f aca="false">H61/H16*100</f>
        <v>4.91467381985358</v>
      </c>
      <c r="I72" s="49" t="n">
        <f aca="false">I61/I16*100</f>
        <v>7.91646214763184</v>
      </c>
      <c r="J72" s="49" t="n">
        <f aca="false">J61/J16*100</f>
        <v>8.83103642431745</v>
      </c>
      <c r="K72" s="49" t="n">
        <f aca="false">K61/K16*100</f>
        <v>8.88084809804144</v>
      </c>
      <c r="L72" s="49" t="n">
        <f aca="false">L61/L16*100</f>
        <v>8.35927808608872</v>
      </c>
      <c r="M72" s="49" t="n">
        <f aca="false">M61/M16*100</f>
        <v>8.78492016816132</v>
      </c>
      <c r="N72" s="49" t="n">
        <f aca="false">N61/N16*100</f>
        <v>7.49898741816259</v>
      </c>
      <c r="O72" s="49" t="n">
        <f aca="false">O61/O16*100</f>
        <v>7.89045473055878</v>
      </c>
      <c r="P72" s="49" t="n">
        <f aca="false">P61/P16*100</f>
        <v>7.70225228844827</v>
      </c>
      <c r="Q72" s="49" t="n">
        <f aca="false">Q61/Q16*100</f>
        <v>8.10736224536729</v>
      </c>
      <c r="R72" s="49" t="n">
        <f aca="false">R61/R16*100</f>
        <v>4.86569660561115</v>
      </c>
      <c r="S72" s="49" t="n">
        <f aca="false">S61/S16*100</f>
        <v>7.71226400281975</v>
      </c>
      <c r="T72" s="49" t="n">
        <f aca="false">T61/T16*100</f>
        <v>8.99579580649215</v>
      </c>
      <c r="U72" s="49" t="n">
        <f aca="false">U61/U16*100</f>
        <v>6.95005065729231</v>
      </c>
      <c r="V72" s="49" t="n">
        <f aca="false">V61/V16*100</f>
        <v>3.97145146300036</v>
      </c>
      <c r="W72" s="49" t="n">
        <f aca="false">W61/W16*100</f>
        <v>-2.11671193794793</v>
      </c>
      <c r="X72" s="49" t="n">
        <f aca="false">X61/X16*100</f>
        <v>4.4999906947138</v>
      </c>
      <c r="Y72" s="49" t="n">
        <f aca="false">Y61/Y16*100</f>
        <v>9.32936758051728</v>
      </c>
      <c r="Z72" s="49" t="n">
        <f aca="false">Z61/Z16*100</f>
        <v>8.41536630969168</v>
      </c>
      <c r="AA72" s="49" t="n">
        <f aca="false">AA61/AA16*100</f>
        <v>8.32207773786039</v>
      </c>
      <c r="AB72" s="49" t="n">
        <f aca="false">AB61/AB16*100</f>
        <v>8.65508286883988</v>
      </c>
      <c r="AC72" s="49" t="n">
        <f aca="false">AC61/AC16*100</f>
        <v>2.88450473938126</v>
      </c>
      <c r="AD72" s="49" t="n">
        <f aca="false">AD61/AD16*100</f>
        <v>-1.38921474762196</v>
      </c>
      <c r="AE72" s="49" t="n">
        <f aca="false">AE61/AE16*100</f>
        <v>1.1147029111101</v>
      </c>
      <c r="AF72" s="49" t="n">
        <f aca="false">AF61/AF16*100</f>
        <v>6.08325443626547</v>
      </c>
      <c r="AG72" s="49" t="n">
        <f aca="false">AG61/AG16*100</f>
        <v>10.1357076635851</v>
      </c>
      <c r="AH72" s="49" t="n">
        <f aca="false">AH61/AH16*100</f>
        <v>10.8668961214097</v>
      </c>
      <c r="AI72" s="49" t="n">
        <f aca="false">AI61/AI16*100</f>
        <v>11.4005875879377</v>
      </c>
      <c r="AJ72" s="49" t="n">
        <f aca="false">AJ61/AJ16*100</f>
        <v>10.4193433251354</v>
      </c>
      <c r="AK72" s="49" t="n">
        <f aca="false">AK61/AK16*100</f>
        <v>10.7525771725932</v>
      </c>
      <c r="AL72" s="49" t="n">
        <f aca="false">AL61/AL16*100</f>
        <v>10.7320842607248</v>
      </c>
      <c r="AM72" s="36"/>
      <c r="AN72" s="36"/>
      <c r="AO72" s="36"/>
      <c r="AP72" s="36"/>
      <c r="AQ72" s="36"/>
      <c r="AR72" s="36"/>
      <c r="AS72" s="36"/>
      <c r="AT72" s="36"/>
      <c r="AU72" s="36"/>
      <c r="AV72" s="36"/>
      <c r="AW72" s="36"/>
      <c r="AX72" s="36"/>
      <c r="AY72" s="36"/>
    </row>
    <row r="73" customFormat="false" ht="15" hidden="false" customHeight="true" outlineLevel="0" collapsed="false">
      <c r="A73" s="29" t="s">
        <v>289</v>
      </c>
      <c r="B73" s="49" t="n">
        <f aca="false">+B59/B45</f>
        <v>1.43094967386751</v>
      </c>
      <c r="C73" s="49" t="n">
        <f aca="false">+C59/C45</f>
        <v>2.01463734234704</v>
      </c>
      <c r="D73" s="49" t="n">
        <f aca="false">+D59/D45</f>
        <v>2.46033498742799</v>
      </c>
      <c r="E73" s="49" t="n">
        <f aca="false">+E59/E45</f>
        <v>2.90000605779133</v>
      </c>
      <c r="F73" s="49" t="n">
        <f aca="false">+F59/F45</f>
        <v>2.62571105188214</v>
      </c>
      <c r="G73" s="49" t="n">
        <f aca="false">+G59/G45</f>
        <v>1.52905618279882</v>
      </c>
      <c r="H73" s="49" t="n">
        <f aca="false">+H59/H45</f>
        <v>1.65072846354092</v>
      </c>
      <c r="I73" s="49" t="n">
        <f aca="false">+I59/I45</f>
        <v>2.25461386336539</v>
      </c>
      <c r="J73" s="49" t="n">
        <f aca="false">+J59/J45</f>
        <v>2.45074368038418</v>
      </c>
      <c r="K73" s="49" t="n">
        <f aca="false">+K59/K45</f>
        <v>3.0095268669796</v>
      </c>
      <c r="L73" s="49" t="n">
        <f aca="false">+L59/L45</f>
        <v>3.96827903571616</v>
      </c>
      <c r="M73" s="49" t="n">
        <f aca="false">+M59/M45</f>
        <v>7.60561531081149</v>
      </c>
      <c r="N73" s="49" t="n">
        <f aca="false">+N59/N45</f>
        <v>15.7017584947864</v>
      </c>
      <c r="O73" s="49" t="n">
        <f aca="false">+O59/O45</f>
        <v>15.5043779642466</v>
      </c>
      <c r="P73" s="49" t="n">
        <f aca="false">+P59/P45</f>
        <v>27.6378610812498</v>
      </c>
      <c r="Q73" s="49" t="n">
        <f aca="false">+Q59/Q45</f>
        <v>11.8534437572073</v>
      </c>
      <c r="R73" s="49" t="n">
        <f aca="false">+R59/R45</f>
        <v>3.78102499839383</v>
      </c>
      <c r="S73" s="49" t="n">
        <f aca="false">+S59/S45</f>
        <v>8.38481122025697</v>
      </c>
      <c r="T73" s="49" t="n">
        <f aca="false">+T59/T45</f>
        <v>6.92425448620976</v>
      </c>
      <c r="U73" s="49" t="n">
        <f aca="false">+U59/U45</f>
        <v>5.07905562006666</v>
      </c>
      <c r="V73" s="49" t="n">
        <f aca="false">+V59/V45</f>
        <v>2.49099342320497</v>
      </c>
      <c r="W73" s="49" t="n">
        <f aca="false">+W59/W45</f>
        <v>0.5146174375967</v>
      </c>
      <c r="X73" s="49" t="n">
        <f aca="false">+X59/X45</f>
        <v>2.92524284797622</v>
      </c>
      <c r="Y73" s="49" t="n">
        <f aca="false">+Y59/Y45</f>
        <v>9.57948535507577</v>
      </c>
      <c r="Z73" s="49" t="n">
        <f aca="false">+Z59/Z45</f>
        <v>15.0523031792646</v>
      </c>
      <c r="AA73" s="49" t="n">
        <f aca="false">+AA59/AA45</f>
        <v>22.3149477431295</v>
      </c>
      <c r="AB73" s="49" t="n">
        <f aca="false">+AB59/AB45</f>
        <v>46.1165103722647</v>
      </c>
      <c r="AC73" s="49" t="n">
        <f aca="false">+AC59/AC45</f>
        <v>11.8500685244404</v>
      </c>
      <c r="AD73" s="49" t="n">
        <f aca="false">+AD59/AD45</f>
        <v>2.13383747840542</v>
      </c>
      <c r="AE73" s="49" t="n">
        <f aca="false">+AE59/AE45</f>
        <v>3.55567732722261</v>
      </c>
      <c r="AF73" s="49" t="n">
        <f aca="false">+AF59/AF45</f>
        <v>10.5394167906188</v>
      </c>
      <c r="AG73" s="49" t="n">
        <f aca="false">+AG59/AG45</f>
        <v>19.4561818473381</v>
      </c>
      <c r="AH73" s="49" t="n">
        <f aca="false">+AH59/AH45</f>
        <v>23.8846065188327</v>
      </c>
      <c r="AI73" s="49" t="n">
        <f aca="false">+AI59/AI45</f>
        <v>35.6296470865493</v>
      </c>
      <c r="AJ73" s="49" t="n">
        <f aca="false">+AJ59/AJ45</f>
        <v>46.4122647587853</v>
      </c>
      <c r="AK73" s="49" t="n">
        <f aca="false">+AK59/AK45</f>
        <v>62.9830009253041</v>
      </c>
      <c r="AL73" s="49" t="n">
        <f aca="false">+AL59/AL45</f>
        <v>94.9163497337652</v>
      </c>
      <c r="AM73" s="36"/>
      <c r="AN73" s="36"/>
      <c r="AO73" s="36"/>
      <c r="AP73" s="36"/>
      <c r="AQ73" s="36"/>
      <c r="AR73" s="36"/>
      <c r="AS73" s="36"/>
      <c r="AT73" s="36"/>
      <c r="AU73" s="36"/>
      <c r="AV73" s="36"/>
      <c r="AW73" s="36"/>
      <c r="AX73" s="36"/>
      <c r="AY73" s="36"/>
    </row>
    <row r="74" customFormat="false" ht="15" hidden="false" customHeight="true" outlineLevel="0" collapsed="false">
      <c r="A74" s="29" t="s">
        <v>290</v>
      </c>
      <c r="B74" s="49" t="n">
        <f aca="false">+B47/B10*100</f>
        <v>3.77269531671553</v>
      </c>
      <c r="C74" s="49" t="n">
        <f aca="false">+C47/C10*100</f>
        <v>5.76825074875518</v>
      </c>
      <c r="D74" s="49" t="n">
        <f aca="false">+D47/D10*100</f>
        <v>7.25365626726367</v>
      </c>
      <c r="E74" s="49" t="n">
        <f aca="false">+E47/E10*100</f>
        <v>9.36397535555023</v>
      </c>
      <c r="F74" s="49" t="n">
        <f aca="false">+F47/F10*100</f>
        <v>8.96827369402256</v>
      </c>
      <c r="G74" s="49" t="n">
        <f aca="false">+G47/G10*100</f>
        <v>4.52892102698832</v>
      </c>
      <c r="H74" s="49" t="n">
        <f aca="false">+H47/H10*100</f>
        <v>4.88295852949725</v>
      </c>
      <c r="I74" s="49" t="n">
        <f aca="false">+I47/I10*100</f>
        <v>6.76218042896537</v>
      </c>
      <c r="J74" s="49" t="n">
        <f aca="false">+J47/J10*100</f>
        <v>7.50994662524461</v>
      </c>
      <c r="K74" s="49" t="n">
        <f aca="false">+K47/K10*100</f>
        <v>8.8047359233104</v>
      </c>
      <c r="L74" s="49" t="n">
        <f aca="false">+L47/L10*100</f>
        <v>9.23267604534166</v>
      </c>
      <c r="M74" s="49" t="n">
        <f aca="false">+M47/M10*100</f>
        <v>9.9925062505204</v>
      </c>
      <c r="N74" s="49" t="n">
        <f aca="false">+N47/N10*100</f>
        <v>9.28958560317188</v>
      </c>
      <c r="O74" s="49" t="n">
        <f aca="false">+O47/O10*100</f>
        <v>9.19512752787492</v>
      </c>
      <c r="P74" s="49" t="n">
        <f aca="false">+P47/P10*100</f>
        <v>9.2496348761794</v>
      </c>
      <c r="Q74" s="49" t="n">
        <f aca="false">+Q47/Q10*100</f>
        <v>9.27106268518384</v>
      </c>
      <c r="R74" s="49" t="n">
        <f aca="false">+R47/R16*100</f>
        <v>7.45433382638306</v>
      </c>
      <c r="S74" s="49" t="n">
        <f aca="false">+S47/S16*100</f>
        <v>10.3821139574867</v>
      </c>
      <c r="T74" s="49" t="n">
        <f aca="false">+T47/T16*100</f>
        <v>10.0670947584615</v>
      </c>
      <c r="U74" s="49" t="n">
        <f aca="false">+U47/U16*100</f>
        <v>8.11501834649681</v>
      </c>
      <c r="V74" s="49" t="n">
        <f aca="false">+V47/V16*100</f>
        <v>4.50224417523956</v>
      </c>
      <c r="W74" s="49" t="n">
        <f aca="false">+W47/W16*100</f>
        <v>-2.21092593763478</v>
      </c>
      <c r="X74" s="49" t="n">
        <f aca="false">+X47/X16*100</f>
        <v>5.58610266859978</v>
      </c>
      <c r="Y74" s="49" t="n">
        <f aca="false">+Y47/Y16*100</f>
        <v>11.2191925524351</v>
      </c>
      <c r="Z74" s="49" t="n">
        <f aca="false">+Z47/Z16*100</f>
        <v>10.9069685434639</v>
      </c>
      <c r="AA74" s="49" t="n">
        <f aca="false">+AA47/AA16*100</f>
        <v>10.6579903840641</v>
      </c>
      <c r="AB74" s="49" t="n">
        <f aca="false">+AB47/AB16*100</f>
        <v>10.9286025272802</v>
      </c>
      <c r="AC74" s="49" t="n">
        <f aca="false">+AC47/AC16*100</f>
        <v>6.79858044696799</v>
      </c>
      <c r="AD74" s="49" t="n">
        <f aca="false">+AD47/AD16*100</f>
        <v>2.27331396697698</v>
      </c>
      <c r="AE74" s="49" t="n">
        <f aca="false">+AE47/AE16*100</f>
        <v>3.54818199129577</v>
      </c>
      <c r="AF74" s="49" t="n">
        <f aca="false">+AF47/AF16*100</f>
        <v>7.62986752486019</v>
      </c>
      <c r="AG74" s="49" t="n">
        <f aca="false">+AG47/AG16*100</f>
        <v>11.9991305034557</v>
      </c>
      <c r="AH74" s="49" t="n">
        <f aca="false">+AH47/AH16*100</f>
        <v>12.8091587846434</v>
      </c>
      <c r="AI74" s="49" t="n">
        <f aca="false">+AI47/AI16*100</f>
        <v>13.3562523987645</v>
      </c>
      <c r="AJ74" s="49" t="n">
        <f aca="false">+AJ47/AJ16*100</f>
        <v>12.436738672243</v>
      </c>
      <c r="AK74" s="49" t="n">
        <f aca="false">+AK47/AK16*100</f>
        <v>12.8440719992573</v>
      </c>
      <c r="AL74" s="49" t="n">
        <f aca="false">+AL47/AL16*100</f>
        <v>12.8860657177506</v>
      </c>
      <c r="AM74" s="36"/>
      <c r="AN74" s="36"/>
      <c r="AO74" s="36"/>
      <c r="AP74" s="36"/>
      <c r="AQ74" s="36"/>
      <c r="AR74" s="36"/>
      <c r="AS74" s="36"/>
      <c r="AT74" s="36"/>
      <c r="AU74" s="36"/>
      <c r="AV74" s="36"/>
      <c r="AW74" s="36"/>
      <c r="AX74" s="36"/>
      <c r="AY74" s="36"/>
    </row>
    <row r="75" customFormat="false" ht="15" hidden="false" customHeight="true" outlineLevel="0" collapsed="false">
      <c r="A75" s="29" t="s">
        <v>291</v>
      </c>
      <c r="B75" s="49" t="n">
        <f aca="false">+B51/B10*100</f>
        <v>0.463624105100721</v>
      </c>
      <c r="C75" s="49" t="n">
        <f aca="false">+C51/C10*100</f>
        <v>2.99078806800001</v>
      </c>
      <c r="D75" s="49" t="n">
        <f aca="false">+D51/D10*100</f>
        <v>4.66466484987694</v>
      </c>
      <c r="E75" s="49" t="n">
        <f aca="false">+E51/E10*100</f>
        <v>6.64690585967472</v>
      </c>
      <c r="F75" s="49" t="n">
        <f aca="false">+F51/F10*100</f>
        <v>6.32580461809719</v>
      </c>
      <c r="G75" s="49" t="n">
        <f aca="false">+G51/G10*100</f>
        <v>1.02608157668722</v>
      </c>
      <c r="H75" s="49" t="n">
        <f aca="false">+H51/H10*100</f>
        <v>1.1573733089158</v>
      </c>
      <c r="I75" s="49" t="n">
        <f aca="false">+I51/I10*100</f>
        <v>3.58973155225</v>
      </c>
      <c r="J75" s="49" t="n">
        <f aca="false">+J51/J10*100</f>
        <v>3.91078555225589</v>
      </c>
      <c r="K75" s="49" t="n">
        <f aca="false">+K51/K10*100</f>
        <v>5.02598796858938</v>
      </c>
      <c r="L75" s="49" t="n">
        <f aca="false">+L51/L10*100</f>
        <v>5.53358089391819</v>
      </c>
      <c r="M75" s="49" t="n">
        <f aca="false">+M51/M10*100</f>
        <v>7.29411986383427</v>
      </c>
      <c r="N75" s="49" t="n">
        <f aca="false">+N51/N10*100</f>
        <v>7.76528999963004</v>
      </c>
      <c r="O75" s="49" t="n">
        <f aca="false">+O51/O10*100</f>
        <v>7.47219444952905</v>
      </c>
      <c r="P75" s="49" t="n">
        <f aca="false">+P51/P10*100</f>
        <v>7.27906802844696</v>
      </c>
      <c r="Q75" s="49" t="n">
        <f aca="false">+Q51/Q10*100</f>
        <v>7.14318495492904</v>
      </c>
      <c r="R75" s="49" t="n">
        <f aca="false">+R51/R16*100</f>
        <v>3.48509833610646</v>
      </c>
      <c r="S75" s="49" t="n">
        <f aca="false">+S51/S16*100</f>
        <v>7.51962000413961</v>
      </c>
      <c r="T75" s="49" t="n">
        <f aca="false">+T51/T16*100</f>
        <v>7.2119111950133</v>
      </c>
      <c r="U75" s="49" t="n">
        <f aca="false">+U51/U16*100</f>
        <v>5.37765634739173</v>
      </c>
      <c r="V75" s="49" t="n">
        <f aca="false">+V51/V16*100</f>
        <v>3.77132567381342</v>
      </c>
      <c r="W75" s="49" t="n">
        <f aca="false">+W51/W16*100</f>
        <v>-0.917378915258683</v>
      </c>
      <c r="X75" s="49" t="n">
        <f aca="false">+X51/X16*100</f>
        <v>3.26051256229861</v>
      </c>
      <c r="Y75" s="49" t="n">
        <f aca="false">+Y51/Y16*100</f>
        <v>4.36459540386531</v>
      </c>
      <c r="Z75" s="49" t="n">
        <f aca="false">+Z51/Z16*100</f>
        <v>8.26272320128892</v>
      </c>
      <c r="AA75" s="49" t="n">
        <f aca="false">+AA51/AA16*100</f>
        <v>8.49864076214622</v>
      </c>
      <c r="AB75" s="49" t="n">
        <f aca="false">+AB51/AB16*100</f>
        <v>8.59337221368473</v>
      </c>
      <c r="AC75" s="49" t="n">
        <f aca="false">+AC51/AC16*100</f>
        <v>2.07196577409321</v>
      </c>
      <c r="AD75" s="49" t="n">
        <f aca="false">+AD51/AD16*100</f>
        <v>-2.69196710115708</v>
      </c>
      <c r="AE75" s="49" t="n">
        <f aca="false">+AE51/AE16*100</f>
        <v>2.43269524706651</v>
      </c>
      <c r="AF75" s="49" t="n">
        <f aca="false">+AF51/AF16*100</f>
        <v>5.83884413904993</v>
      </c>
      <c r="AG75" s="49" t="n">
        <f aca="false">+AG51/AG16*100</f>
        <v>9.88395505203297</v>
      </c>
      <c r="AH75" s="49" t="n">
        <f aca="false">+AH51/AH16*100</f>
        <v>11.2206001433705</v>
      </c>
      <c r="AI75" s="49" t="n">
        <f aca="false">+AI51/AI16*100</f>
        <v>10.9392067585566</v>
      </c>
      <c r="AJ75" s="49" t="n">
        <f aca="false">+AJ51/AJ16*100</f>
        <v>10.8629290195538</v>
      </c>
      <c r="AK75" s="49" t="n">
        <f aca="false">+AK51/AK16*100</f>
        <v>11.2790103099728</v>
      </c>
      <c r="AL75" s="49" t="n">
        <f aca="false">+AL51/AL16*100</f>
        <v>11.3664648247893</v>
      </c>
      <c r="AM75" s="36"/>
      <c r="AN75" s="36"/>
      <c r="AO75" s="36"/>
      <c r="AP75" s="36"/>
      <c r="AQ75" s="36"/>
      <c r="AR75" s="36"/>
      <c r="AS75" s="36"/>
      <c r="AT75" s="36"/>
      <c r="AU75" s="36"/>
      <c r="AV75" s="36"/>
      <c r="AW75" s="36"/>
      <c r="AX75" s="36"/>
      <c r="AY75" s="36"/>
    </row>
    <row r="76" customFormat="false" ht="15" hidden="false" customHeight="true" outlineLevel="0" collapsed="false">
      <c r="A76" s="29" t="s">
        <v>292</v>
      </c>
      <c r="B76" s="49" t="n">
        <f aca="false">+B52/B51*100</f>
        <v>0</v>
      </c>
      <c r="C76" s="49" t="n">
        <f aca="false">+C52/C51*100</f>
        <v>0</v>
      </c>
      <c r="D76" s="49" t="n">
        <f aca="false">+D52/D51*100</f>
        <v>0</v>
      </c>
      <c r="E76" s="49" t="n">
        <f aca="false">+E52/E51*100</f>
        <v>15.3462641204345</v>
      </c>
      <c r="F76" s="49" t="n">
        <f aca="false">+F52/F51*100</f>
        <v>20.4413028942593</v>
      </c>
      <c r="G76" s="49" t="n">
        <f aca="false">+G52/G51*100</f>
        <v>10.8863114146179</v>
      </c>
      <c r="H76" s="49" t="n">
        <f aca="false">+H52/H51*100</f>
        <v>12.4636453265603</v>
      </c>
      <c r="I76" s="49" t="n">
        <f aca="false">+I52/I51*100</f>
        <v>15.8650187057146</v>
      </c>
      <c r="J76" s="49" t="n">
        <f aca="false">+J52/J51*100</f>
        <v>10.0646452359698</v>
      </c>
      <c r="K76" s="49" t="n">
        <f aca="false">+K52/K51*100</f>
        <v>30.2179931319305</v>
      </c>
      <c r="L76" s="49" t="n">
        <f aca="false">+L52/L51*100</f>
        <v>29.3294611468412</v>
      </c>
      <c r="M76" s="49" t="n">
        <f aca="false">+M52/M51*100</f>
        <v>32.4233749912728</v>
      </c>
      <c r="N76" s="49" t="n">
        <f aca="false">+N52/N51*100</f>
        <v>27.3547281925002</v>
      </c>
      <c r="O76" s="49" t="n">
        <f aca="false">+O52/O51*100</f>
        <v>27.6321025867788</v>
      </c>
      <c r="P76" s="49" t="n">
        <f aca="false">+P52/P51*100</f>
        <v>27.0005591342352</v>
      </c>
      <c r="Q76" s="49" t="n">
        <f aca="false">+Q52/Q51*100</f>
        <v>26.4577293739716</v>
      </c>
      <c r="R76" s="49" t="n">
        <f aca="false">+R52/R51*100</f>
        <v>8.85120052502727</v>
      </c>
      <c r="S76" s="49" t="n">
        <f aca="false">+S52/S51*100</f>
        <v>22.2293729866676</v>
      </c>
      <c r="T76" s="49" t="n">
        <f aca="false">+T52/T51*100</f>
        <v>21.2646730921316</v>
      </c>
      <c r="U76" s="49" t="n">
        <f aca="false">+U52/U51*100</f>
        <v>17.9716239652185</v>
      </c>
      <c r="V76" s="49" t="n">
        <f aca="false">+V52/V51*100</f>
        <v>7.86052121204138</v>
      </c>
      <c r="W76" s="49" t="n">
        <f aca="false">+W52/W51*100</f>
        <v>132.209443437705</v>
      </c>
      <c r="X76" s="49" t="n">
        <f aca="false">+X52/X51*100</f>
        <v>24.2857307618984</v>
      </c>
      <c r="Y76" s="49" t="n">
        <f aca="false">+Y52/Y51*100</f>
        <v>52.8637385369578</v>
      </c>
      <c r="Z76" s="49" t="n">
        <f aca="false">+Z52/Z51*100</f>
        <v>26.0572272472861</v>
      </c>
      <c r="AA76" s="49" t="n">
        <f aca="false">+AA52/AA51*100</f>
        <v>29.951189649742</v>
      </c>
      <c r="AB76" s="49" t="n">
        <f aca="false">+AB52/AB51*100</f>
        <v>20.5703300224288</v>
      </c>
      <c r="AC76" s="49" t="n">
        <f aca="false">+AC52/AC51*100</f>
        <v>33.8196286472149</v>
      </c>
      <c r="AD76" s="49" t="n">
        <f aca="false">+AD52/AD51*100</f>
        <v>23.8474424024665</v>
      </c>
      <c r="AE76" s="49" t="n">
        <f aca="false">+AE52/AE51*100</f>
        <v>-2.69517257064877</v>
      </c>
      <c r="AF76" s="49" t="n">
        <f aca="false">+AF52/AF51*100</f>
        <v>34.6043404094011</v>
      </c>
      <c r="AG76" s="49" t="n">
        <f aca="false">+AG52/AG51*100</f>
        <v>30.9666207827687</v>
      </c>
      <c r="AH76" s="49" t="n">
        <f aca="false">+AH52/AH51*100</f>
        <v>24.0324357391066</v>
      </c>
      <c r="AI76" s="49" t="n">
        <f aca="false">+AI52/AI51*100</f>
        <v>25.9344581036222</v>
      </c>
      <c r="AJ76" s="49" t="n">
        <f aca="false">+AJ52/AJ51*100</f>
        <v>25</v>
      </c>
      <c r="AK76" s="49" t="n">
        <f aca="false">+AK52/AK51*100</f>
        <v>25</v>
      </c>
      <c r="AL76" s="49" t="n">
        <f aca="false">+AL52/AL51*100</f>
        <v>25</v>
      </c>
      <c r="AM76" s="36"/>
      <c r="AN76" s="36"/>
      <c r="AO76" s="36"/>
      <c r="AP76" s="36"/>
      <c r="AQ76" s="36"/>
      <c r="AR76" s="36"/>
      <c r="AS76" s="36"/>
      <c r="AT76" s="36"/>
      <c r="AU76" s="36"/>
      <c r="AV76" s="36"/>
      <c r="AW76" s="36"/>
      <c r="AX76" s="36"/>
      <c r="AY76" s="36"/>
    </row>
    <row r="77" customFormat="false" ht="15" hidden="false" customHeight="true" outlineLevel="0" collapsed="false">
      <c r="A77" s="29" t="s">
        <v>293</v>
      </c>
      <c r="B77" s="59" t="n">
        <f aca="false">+B55/B16*100</f>
        <v>0.538729475015754</v>
      </c>
      <c r="C77" s="59" t="n">
        <f aca="false">+C55/C16*100</f>
        <v>3.33632686748844</v>
      </c>
      <c r="D77" s="59" t="n">
        <f aca="false">+D55/D16*100</f>
        <v>5.2909735646201</v>
      </c>
      <c r="E77" s="59" t="n">
        <f aca="false">+E55/E16*100</f>
        <v>6.31826610994991</v>
      </c>
      <c r="F77" s="59" t="n">
        <f aca="false">+F55/F16*100</f>
        <v>5.72755829561873</v>
      </c>
      <c r="G77" s="59" t="n">
        <f aca="false">+G55/G16*100</f>
        <v>1.04128562231435</v>
      </c>
      <c r="H77" s="59" t="n">
        <f aca="false">+H55/H16*100</f>
        <v>1.13922841968243</v>
      </c>
      <c r="I77" s="59" t="n">
        <f aca="false">+I55/I16*100</f>
        <v>3.48327352353529</v>
      </c>
      <c r="J77" s="59" t="n">
        <f aca="false">+J55/J16*100</f>
        <v>4.3138757697561</v>
      </c>
      <c r="K77" s="59" t="n">
        <f aca="false">+K55/K16*100</f>
        <v>4.25866601098155</v>
      </c>
      <c r="L77" s="59" t="n">
        <f aca="false">+L55/L16*100</f>
        <v>4.88562234761929</v>
      </c>
      <c r="M77" s="59" t="n">
        <f aca="false">+M55/M16*100</f>
        <v>5.98426463603353</v>
      </c>
      <c r="N77" s="59" t="n">
        <f aca="false">+N55/N16*100</f>
        <v>5.63158471089892</v>
      </c>
      <c r="O77" s="59" t="n">
        <f aca="false">+O55/O16*100</f>
        <v>5.89664703715182</v>
      </c>
      <c r="P77" s="59" t="n">
        <f aca="false">+P55/P16*100</f>
        <v>6.33859994509062</v>
      </c>
      <c r="Q77" s="59" t="n">
        <f aca="false">+Q55/Q16*100</f>
        <v>6.23676191981936</v>
      </c>
      <c r="R77" s="59" t="n">
        <f aca="false">+R55/R16*100</f>
        <v>4.1628813234654</v>
      </c>
      <c r="S77" s="59" t="n">
        <f aca="false">+S55/S16*100</f>
        <v>5.89321271015595</v>
      </c>
      <c r="T77" s="59" t="n">
        <f aca="false">+T55/T16*100</f>
        <v>6.12805479977935</v>
      </c>
      <c r="U77" s="59" t="n">
        <f aca="false">+U55/U16*100</f>
        <v>4.39875096655934</v>
      </c>
      <c r="V77" s="59" t="n">
        <f aca="false">+V55/V16*100</f>
        <v>1.15494183251611</v>
      </c>
      <c r="W77" s="59" t="n">
        <f aca="false">+W55/W16*100</f>
        <v>-4.78987590867444</v>
      </c>
      <c r="X77" s="59" t="n">
        <f aca="false">+X55/X16*100</f>
        <v>1.72442806333931</v>
      </c>
      <c r="Y77" s="59" t="n">
        <f aca="false">+Y55/Y16*100</f>
        <v>5.21646770843224</v>
      </c>
      <c r="Z77" s="59" t="n">
        <f aca="false">+Z55/Z16*100</f>
        <v>6.20940523648008</v>
      </c>
      <c r="AA77" s="59" t="n">
        <f aca="false">+AA55/AA16*100</f>
        <v>5.99958025607061</v>
      </c>
      <c r="AB77" s="59" t="n">
        <f aca="false">+AB55/AB16*100</f>
        <v>6.98398035446625</v>
      </c>
      <c r="AC77" s="59" t="n">
        <f aca="false">+AC55/AC16*100</f>
        <v>2.04027830017742</v>
      </c>
      <c r="AD77" s="59" t="n">
        <f aca="false">+AD55/AD16*100</f>
        <v>-1.99093876724102</v>
      </c>
      <c r="AE77" s="59" t="n">
        <f aca="false">+AE55/AE16*100</f>
        <v>0.731765851526335</v>
      </c>
      <c r="AF77" s="59" t="n">
        <f aca="false">+AF55/AF16*100</f>
        <v>3.64278275814558</v>
      </c>
      <c r="AG77" s="59" t="n">
        <f aca="false">+AG55/AG16*100</f>
        <v>7.00643234568849</v>
      </c>
      <c r="AH77" s="59" t="n">
        <f aca="false">+AH55/AH16*100</f>
        <v>8.32326307765594</v>
      </c>
      <c r="AI77" s="59" t="n">
        <f aca="false">+AI55/AI16*100</f>
        <v>8.89405624510451</v>
      </c>
      <c r="AJ77" s="59" t="n">
        <f aca="false">+AJ55/AJ16*100</f>
        <v>8.14719676466533</v>
      </c>
      <c r="AK77" s="59" t="n">
        <f aca="false">+AK55/AK16*100</f>
        <v>8.45925773247959</v>
      </c>
      <c r="AL77" s="59" t="n">
        <f aca="false">+AL55/AL16*100</f>
        <v>8.52484861859195</v>
      </c>
      <c r="AM77" s="43"/>
      <c r="AN77" s="43"/>
      <c r="AO77" s="43"/>
      <c r="AP77" s="43"/>
      <c r="AQ77" s="43"/>
      <c r="AR77" s="43"/>
      <c r="AS77" s="43"/>
      <c r="AT77" s="43"/>
      <c r="AU77" s="43"/>
      <c r="AV77" s="43"/>
      <c r="AW77" s="43"/>
      <c r="AX77" s="43"/>
      <c r="AY77" s="43"/>
    </row>
    <row r="78" customFormat="false" ht="15" hidden="false" customHeight="true" outlineLevel="0" collapsed="false">
      <c r="A78" s="29" t="s">
        <v>294</v>
      </c>
      <c r="B78" s="31" t="n">
        <f aca="false">(+B584)*2*2</f>
        <v>2774.48</v>
      </c>
      <c r="C78" s="31" t="n">
        <f aca="false">(+C584)*2*2</f>
        <v>3119.92</v>
      </c>
      <c r="D78" s="31" t="n">
        <f aca="false">(+D584)*2*2</f>
        <v>4757</v>
      </c>
      <c r="E78" s="31" t="n">
        <f aca="false">(+E584)*2*2</f>
        <v>4757.16</v>
      </c>
      <c r="F78" s="31" t="n">
        <f aca="false">(+F584)*2*2</f>
        <v>4757.16</v>
      </c>
      <c r="G78" s="31" t="n">
        <f aca="false">(+G584)*2*2</f>
        <v>4757.16</v>
      </c>
      <c r="H78" s="31" t="n">
        <f aca="false">(+H584)*2*2</f>
        <v>4757.16</v>
      </c>
      <c r="I78" s="31" t="n">
        <f aca="false">(+I584)*2*2</f>
        <v>4757.16</v>
      </c>
      <c r="J78" s="31" t="n">
        <f aca="false">(+J584)*2*2</f>
        <v>4757.16</v>
      </c>
      <c r="K78" s="31" t="n">
        <f aca="false">(+K584)*2*2</f>
        <v>4757.16</v>
      </c>
      <c r="L78" s="31" t="n">
        <f aca="false">(+L584)*2*2</f>
        <v>4757.16</v>
      </c>
      <c r="M78" s="31" t="n">
        <f aca="false">(+M584)*2*2</f>
        <v>4757.16</v>
      </c>
      <c r="N78" s="31" t="n">
        <f aca="false">(+N584)*2*2</f>
        <v>4757.16</v>
      </c>
      <c r="O78" s="31" t="n">
        <f aca="false">(+O584)*2*2</f>
        <v>4886.36</v>
      </c>
      <c r="P78" s="31" t="n">
        <f aca="false">(+P584)*2*2</f>
        <v>5295.48</v>
      </c>
      <c r="Q78" s="31" t="n">
        <f aca="false">(+Q584)*2*2</f>
        <v>5321.36</v>
      </c>
      <c r="R78" s="31" t="n">
        <f aca="false">(+R584)*2*2</f>
        <v>5321.368</v>
      </c>
      <c r="S78" s="31" t="n">
        <f aca="false">(+S584)*2*2</f>
        <v>5321.368</v>
      </c>
      <c r="T78" s="31" t="n">
        <f aca="false">(+T584)*2*2</f>
        <v>5321.368</v>
      </c>
      <c r="U78" s="31" t="n">
        <f aca="false">+U584*2</f>
        <v>5321.36</v>
      </c>
      <c r="V78" s="31" t="n">
        <f aca="false">+V584*2</f>
        <v>5321.36</v>
      </c>
      <c r="W78" s="31" t="n">
        <f aca="false">+W584*2</f>
        <v>5321.36</v>
      </c>
      <c r="X78" s="31" t="n">
        <f aca="false">+X584*2</f>
        <v>5691.76</v>
      </c>
      <c r="Y78" s="31" t="n">
        <f aca="false">+Y584*2</f>
        <v>5691.76</v>
      </c>
      <c r="Z78" s="31" t="n">
        <f aca="false">+Z584*2</f>
        <v>5691.76</v>
      </c>
      <c r="AA78" s="31" t="n">
        <f aca="false">+AA584*2</f>
        <v>5854.216</v>
      </c>
      <c r="AB78" s="31" t="n">
        <f aca="false">+AB584*2</f>
        <v>5871</v>
      </c>
      <c r="AC78" s="31" t="n">
        <f aca="false">+AC584*2</f>
        <v>5871</v>
      </c>
      <c r="AD78" s="31" t="n">
        <f aca="false">+AD584*2</f>
        <v>5871</v>
      </c>
      <c r="AE78" s="31" t="n">
        <f aca="false">+AE584*2</f>
        <v>5871</v>
      </c>
      <c r="AF78" s="31" t="n">
        <f aca="false">+AF584*2</f>
        <v>5872.2</v>
      </c>
      <c r="AG78" s="31" t="n">
        <f aca="false">+AG584*2</f>
        <v>5872.6</v>
      </c>
      <c r="AH78" s="31" t="n">
        <f aca="false">+AH584*2</f>
        <v>5873</v>
      </c>
      <c r="AI78" s="31" t="n">
        <f aca="false">+AI584</f>
        <v>5873.9</v>
      </c>
      <c r="AJ78" s="31" t="n">
        <f aca="false">+AJ584</f>
        <v>5873.9</v>
      </c>
      <c r="AK78" s="31" t="n">
        <f aca="false">+AK584</f>
        <v>5873.9</v>
      </c>
      <c r="AL78" s="31" t="n">
        <f aca="false">+AL584</f>
        <v>5873.9</v>
      </c>
      <c r="AM78" s="30"/>
      <c r="AN78" s="30"/>
      <c r="AO78" s="30"/>
      <c r="AP78" s="30"/>
      <c r="AQ78" s="30"/>
      <c r="AR78" s="30"/>
      <c r="AS78" s="30"/>
      <c r="AT78" s="30"/>
      <c r="AU78" s="30"/>
      <c r="AV78" s="30"/>
      <c r="AW78" s="30"/>
      <c r="AX78" s="30"/>
      <c r="AY78" s="30"/>
    </row>
    <row r="79" customFormat="false" ht="15" hidden="false" customHeight="true" outlineLevel="0" collapsed="false">
      <c r="A79" s="29"/>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75" t="n">
        <f aca="false">95/AD80</f>
        <v>-183.081809005637</v>
      </c>
      <c r="AN79" s="36"/>
      <c r="AO79" s="36"/>
      <c r="AP79" s="36"/>
      <c r="AQ79" s="36"/>
      <c r="AR79" s="36"/>
      <c r="AS79" s="36"/>
      <c r="AT79" s="36"/>
      <c r="AU79" s="36"/>
      <c r="AV79" s="36"/>
      <c r="AW79" s="36"/>
      <c r="AX79" s="36"/>
      <c r="AY79" s="36"/>
    </row>
    <row r="80" customFormat="false" ht="15" hidden="false" customHeight="true" outlineLevel="0" collapsed="false">
      <c r="A80" s="51" t="s">
        <v>295</v>
      </c>
      <c r="B80" s="76" t="n">
        <f aca="false">+B55/B78</f>
        <v>0.0159489345751281</v>
      </c>
      <c r="C80" s="76" t="n">
        <f aca="false">+C55/C78</f>
        <v>0.113240083079054</v>
      </c>
      <c r="D80" s="76" t="n">
        <f aca="false">+D55/D78</f>
        <v>0.148391843598907</v>
      </c>
      <c r="E80" s="76" t="n">
        <f aca="false">+E55/E78</f>
        <v>0.237711155395237</v>
      </c>
      <c r="F80" s="76" t="n">
        <f aca="false">+F55/F78</f>
        <v>0.262625179729081</v>
      </c>
      <c r="G80" s="76" t="n">
        <f aca="false">+G55/G78</f>
        <v>0.0387167082881386</v>
      </c>
      <c r="H80" s="76" t="n">
        <f aca="false">+H55/H78</f>
        <v>0.0435529556071265</v>
      </c>
      <c r="I80" s="76" t="n">
        <f aca="false">+I55/I78</f>
        <v>0.164987093139604</v>
      </c>
      <c r="J80" s="76" t="n">
        <f aca="false">+J55/J78</f>
        <v>0.20421638120223</v>
      </c>
      <c r="K80" s="76" t="n">
        <f aca="false">+K55/K78</f>
        <v>0.202429600854291</v>
      </c>
      <c r="L80" s="76" t="n">
        <f aca="false">+L55/L78</f>
        <v>0.275275584592489</v>
      </c>
      <c r="M80" s="76" t="n">
        <f aca="false">+M55/M78</f>
        <v>0.42693329633647</v>
      </c>
      <c r="N80" s="76" t="n">
        <f aca="false">+N55/N78</f>
        <v>0.495115068654407</v>
      </c>
      <c r="O80" s="76" t="n">
        <f aca="false">+O55/O78</f>
        <v>0.633264456590162</v>
      </c>
      <c r="P80" s="76" t="n">
        <f aca="false">+P55/P78</f>
        <v>0.858018536563256</v>
      </c>
      <c r="Q80" s="76" t="n">
        <f aca="false">+Q55/Q78</f>
        <v>0.90587180720718</v>
      </c>
      <c r="R80" s="76" t="n">
        <f aca="false">+R55/R78</f>
        <v>0.4678966010244</v>
      </c>
      <c r="S80" s="76" t="n">
        <f aca="false">+S55/S78</f>
        <v>0.802324139206314</v>
      </c>
      <c r="T80" s="76" t="n">
        <f aca="false">+T55/T78</f>
        <v>1.28030855975381</v>
      </c>
      <c r="U80" s="76" t="n">
        <f aca="false">+U55/U78</f>
        <v>1.0605912774178</v>
      </c>
      <c r="V80" s="76" t="n">
        <f aca="false">+V55/V78</f>
        <v>0.27089052422689</v>
      </c>
      <c r="W80" s="76" t="n">
        <f aca="false">+W55/W78</f>
        <v>-0.895030217839053</v>
      </c>
      <c r="X80" s="76" t="n">
        <f aca="false">+X55/X78</f>
        <v>0.410892412891621</v>
      </c>
      <c r="Y80" s="76" t="n">
        <f aca="false">+Y55/Y78</f>
        <v>1.73559381985123</v>
      </c>
      <c r="Z80" s="76" t="n">
        <f aca="false">+Z55/Z78</f>
        <v>2.18392821133037</v>
      </c>
      <c r="AA80" s="76" t="n">
        <f aca="false">+AA55/AA78</f>
        <v>2.68996617138827</v>
      </c>
      <c r="AB80" s="76" t="n">
        <f aca="false">+AB55/AB78</f>
        <v>3.45629705331288</v>
      </c>
      <c r="AC80" s="76" t="n">
        <f aca="false">+AC55/AC78</f>
        <v>0.607026060296372</v>
      </c>
      <c r="AD80" s="76" t="n">
        <f aca="false">+AD55/AD78</f>
        <v>-0.5188937148697</v>
      </c>
      <c r="AE80" s="76" t="n">
        <f aca="false">+AE55/AE78</f>
        <v>0.270324476239143</v>
      </c>
      <c r="AF80" s="76" t="n">
        <f aca="false">+AF55/AF78</f>
        <v>2.2421792513879</v>
      </c>
      <c r="AG80" s="76" t="n">
        <f aca="false">+AG55/AG78</f>
        <v>4.57746143105269</v>
      </c>
      <c r="AH80" s="76" t="n">
        <f aca="false">+AH55/AH78</f>
        <v>5.49206964072877</v>
      </c>
      <c r="AI80" s="76" t="n">
        <f aca="false">+AI55/AI78</f>
        <v>6.66339229472755</v>
      </c>
      <c r="AJ80" s="76" t="n">
        <f aca="false">+AJ55/AJ78</f>
        <v>6.65517589868983</v>
      </c>
      <c r="AK80" s="76" t="n">
        <f aca="false">+AK55/AK78</f>
        <v>7.46447497971803</v>
      </c>
      <c r="AL80" s="76" t="n">
        <f aca="false">+AL55/AL78</f>
        <v>8.08692609137691</v>
      </c>
      <c r="AM80" s="77"/>
      <c r="AN80" s="77"/>
      <c r="AO80" s="77"/>
      <c r="AP80" s="77"/>
      <c r="AQ80" s="77"/>
      <c r="AR80" s="77"/>
      <c r="AS80" s="77"/>
      <c r="AT80" s="77"/>
      <c r="AU80" s="77"/>
      <c r="AV80" s="77"/>
      <c r="AW80" s="77"/>
      <c r="AX80" s="77"/>
      <c r="AY80" s="77"/>
    </row>
    <row r="81" customFormat="false" ht="15" hidden="false" customHeight="true" outlineLevel="0" collapsed="false">
      <c r="A81" s="29" t="s">
        <v>296</v>
      </c>
      <c r="B81" s="59" t="n">
        <f aca="false">+B62/B78</f>
        <v>0.129782878233039</v>
      </c>
      <c r="C81" s="59" t="n">
        <f aca="false">+C62/C78</f>
        <v>0.218403035975282</v>
      </c>
      <c r="D81" s="59" t="n">
        <f aca="false">+D62/D78</f>
        <v>0.230752575152407</v>
      </c>
      <c r="E81" s="59" t="n">
        <f aca="false">+E62/E78</f>
        <v>0.352496027041345</v>
      </c>
      <c r="F81" s="59" t="n">
        <f aca="false">+F62/F78</f>
        <v>0.400518376510354</v>
      </c>
      <c r="G81" s="59" t="n">
        <f aca="false">+G62/G78</f>
        <v>0.187034191828738</v>
      </c>
      <c r="H81" s="59" t="n">
        <f aca="false">+H62/H78</f>
        <v>0.203711537618242</v>
      </c>
      <c r="I81" s="59" t="n">
        <f aca="false">+I62/I78</f>
        <v>0.338290072227968</v>
      </c>
      <c r="J81" s="59" t="n">
        <f aca="false">+J62/J78</f>
        <v>0.389936432661504</v>
      </c>
      <c r="K81" s="59" t="n">
        <f aca="false">+K62/K78</f>
        <v>0.402874824475107</v>
      </c>
      <c r="L81" s="59" t="n">
        <f aca="false">+L62/L78</f>
        <v>0.491726155941781</v>
      </c>
      <c r="M81" s="59" t="n">
        <f aca="false">+M62/M78</f>
        <v>0.629688721842444</v>
      </c>
      <c r="N81" s="59" t="n">
        <f aca="false">+N62/N78</f>
        <v>0.724693220324732</v>
      </c>
      <c r="O81" s="59" t="n">
        <f aca="false">+O62/O78</f>
        <v>0.891137392681649</v>
      </c>
      <c r="P81" s="59" t="n">
        <f aca="false">+P62/P78</f>
        <v>1.14236292083059</v>
      </c>
      <c r="Q81" s="59" t="n">
        <f aca="false">+Q62/Q78</f>
        <v>1.23917194100756</v>
      </c>
      <c r="R81" s="59" t="n">
        <f aca="false">+R62/R78</f>
        <v>0.803175424063889</v>
      </c>
      <c r="S81" s="59" t="n">
        <f aca="false">+S62/S78</f>
        <v>1.18588697492826</v>
      </c>
      <c r="T81" s="59" t="n">
        <f aca="false">+T62/T78</f>
        <v>1.78286917950422</v>
      </c>
      <c r="U81" s="59" t="n">
        <f aca="false">+U62/U78</f>
        <v>1.72360449208473</v>
      </c>
      <c r="V81" s="59" t="n">
        <f aca="false">+V62/V78</f>
        <v>0.986466053790761</v>
      </c>
      <c r="W81" s="59" t="n">
        <f aca="false">+W62/W78</f>
        <v>-0.186497060901729</v>
      </c>
      <c r="X81" s="59" t="n">
        <f aca="false">+X62/X78</f>
        <v>1.14236510323696</v>
      </c>
      <c r="Y81" s="59" t="n">
        <f aca="false">+Y62/Y78</f>
        <v>2.59279862117807</v>
      </c>
      <c r="Z81" s="59" t="n">
        <f aca="false">+Z62/Z78</f>
        <v>3.09382936668478</v>
      </c>
      <c r="AA81" s="59" t="n">
        <f aca="false">+AA62/AA78</f>
        <v>3.63733367542297</v>
      </c>
      <c r="AB81" s="59" t="n">
        <f aca="false">+AB62/AB78</f>
        <v>4.51405552716742</v>
      </c>
      <c r="AC81" s="59" t="n">
        <f aca="false">+AC62/AC78</f>
        <v>1.74788792369273</v>
      </c>
      <c r="AD81" s="59" t="n">
        <f aca="false">+AD62/AD78</f>
        <v>0.754671265542496</v>
      </c>
      <c r="AE81" s="59" t="n">
        <f aca="false">+AE62/AE78</f>
        <v>1.55249105774144</v>
      </c>
      <c r="AF81" s="59" t="n">
        <f aca="false">+AF62/AF78</f>
        <v>3.48866268178877</v>
      </c>
      <c r="AG81" s="59" t="n">
        <f aca="false">+AG62/AG78</f>
        <v>5.79976501038723</v>
      </c>
      <c r="AH81" s="59" t="n">
        <f aca="false">+AH62/AH78</f>
        <v>6.71689511323004</v>
      </c>
      <c r="AI81" s="59" t="n">
        <f aca="false">+AI62/AI78</f>
        <v>7.88096494662833</v>
      </c>
      <c r="AJ81" s="59" t="n">
        <f aca="false">+AJ62/AJ78</f>
        <v>7.94076901399652</v>
      </c>
      <c r="AK81" s="59" t="n">
        <f aca="false">+AK62/AK78</f>
        <v>8.84549021661345</v>
      </c>
      <c r="AL81" s="59" t="n">
        <f aca="false">+AL62/AL78</f>
        <v>9.52846489864295</v>
      </c>
      <c r="AM81" s="43"/>
      <c r="AN81" s="43"/>
      <c r="AO81" s="43"/>
      <c r="AP81" s="43"/>
      <c r="AQ81" s="43"/>
      <c r="AR81" s="43"/>
      <c r="AS81" s="43"/>
      <c r="AT81" s="43"/>
      <c r="AU81" s="43"/>
      <c r="AV81" s="43"/>
      <c r="AW81" s="43"/>
      <c r="AX81" s="43"/>
      <c r="AY81" s="43"/>
    </row>
    <row r="82" customFormat="false" ht="15" hidden="false" customHeight="true" outlineLevel="0" collapsed="false">
      <c r="A82" s="29" t="s">
        <v>297</v>
      </c>
      <c r="B82" s="31" t="n">
        <f aca="false">B78</f>
        <v>2774.48</v>
      </c>
      <c r="C82" s="31" t="n">
        <f aca="false">C78</f>
        <v>3119.92</v>
      </c>
      <c r="D82" s="31" t="n">
        <f aca="false">+$G$78</f>
        <v>4757.16</v>
      </c>
      <c r="E82" s="31" t="n">
        <f aca="false">+$G$78</f>
        <v>4757.16</v>
      </c>
      <c r="F82" s="31" t="n">
        <f aca="false">+$G$78</f>
        <v>4757.16</v>
      </c>
      <c r="G82" s="31" t="n">
        <f aca="false">+$G$78</f>
        <v>4757.16</v>
      </c>
      <c r="H82" s="31" t="n">
        <f aca="false">+$G$78</f>
        <v>4757.16</v>
      </c>
      <c r="I82" s="31" t="n">
        <f aca="false">+$G$78</f>
        <v>4757.16</v>
      </c>
      <c r="J82" s="31" t="n">
        <f aca="false">+$G$78</f>
        <v>4757.16</v>
      </c>
      <c r="K82" s="31" t="n">
        <f aca="false">+$G$78</f>
        <v>4757.16</v>
      </c>
      <c r="L82" s="31" t="n">
        <f aca="false">+$G$78</f>
        <v>4757.16</v>
      </c>
      <c r="M82" s="31" t="n">
        <f aca="false">+$G$78</f>
        <v>4757.16</v>
      </c>
      <c r="N82" s="32" t="n">
        <f aca="false">+$G$78+131.6418*2</f>
        <v>5020.4436</v>
      </c>
      <c r="O82" s="31" t="n">
        <f aca="false">+O78</f>
        <v>4886.36</v>
      </c>
      <c r="P82" s="31" t="n">
        <f aca="false">+P78</f>
        <v>5295.48</v>
      </c>
      <c r="Q82" s="31" t="n">
        <f aca="false">+Q78</f>
        <v>5321.36</v>
      </c>
      <c r="R82" s="31" t="n">
        <f aca="false">+R78</f>
        <v>5321.368</v>
      </c>
      <c r="S82" s="31" t="n">
        <f aca="false">+S78</f>
        <v>5321.368</v>
      </c>
      <c r="T82" s="31" t="n">
        <f aca="false">+T78</f>
        <v>5321.368</v>
      </c>
      <c r="U82" s="31" t="n">
        <f aca="false">+U78</f>
        <v>5321.36</v>
      </c>
      <c r="V82" s="31" t="n">
        <f aca="false">+V78</f>
        <v>5321.36</v>
      </c>
      <c r="W82" s="31" t="n">
        <f aca="false">+W78</f>
        <v>5321.36</v>
      </c>
      <c r="X82" s="31" t="n">
        <f aca="false">+X78</f>
        <v>5691.76</v>
      </c>
      <c r="Y82" s="31" t="n">
        <f aca="false">+Y78</f>
        <v>5691.76</v>
      </c>
      <c r="Z82" s="31" t="n">
        <f aca="false">+Z78</f>
        <v>5691.76</v>
      </c>
      <c r="AA82" s="31" t="n">
        <f aca="false">+AA78</f>
        <v>5854.216</v>
      </c>
      <c r="AB82" s="31" t="n">
        <f aca="false">+AB78</f>
        <v>5871</v>
      </c>
      <c r="AC82" s="31" t="n">
        <f aca="false">+AC78</f>
        <v>5871</v>
      </c>
      <c r="AD82" s="31" t="n">
        <f aca="false">+AD78</f>
        <v>5871</v>
      </c>
      <c r="AE82" s="31" t="n">
        <f aca="false">+AE78</f>
        <v>5871</v>
      </c>
      <c r="AF82" s="31" t="n">
        <f aca="false">+AF78</f>
        <v>5872.2</v>
      </c>
      <c r="AG82" s="31" t="n">
        <f aca="false">+AG78</f>
        <v>5872.6</v>
      </c>
      <c r="AH82" s="31" t="n">
        <f aca="false">+AH78</f>
        <v>5873</v>
      </c>
      <c r="AI82" s="31" t="n">
        <f aca="false">+AI78</f>
        <v>5873.9</v>
      </c>
      <c r="AJ82" s="31" t="n">
        <f aca="false">+AJ78</f>
        <v>5873.9</v>
      </c>
      <c r="AK82" s="31" t="n">
        <f aca="false">+AK78</f>
        <v>5873.9</v>
      </c>
      <c r="AL82" s="31" t="n">
        <f aca="false">+AL78</f>
        <v>5873.9</v>
      </c>
      <c r="AM82" s="30"/>
      <c r="AN82" s="30"/>
      <c r="AO82" s="30"/>
      <c r="AP82" s="30"/>
      <c r="AQ82" s="30"/>
      <c r="AR82" s="30"/>
      <c r="AS82" s="30"/>
      <c r="AT82" s="30"/>
      <c r="AU82" s="30"/>
      <c r="AV82" s="30"/>
      <c r="AW82" s="30"/>
      <c r="AX82" s="30"/>
      <c r="AY82" s="30"/>
    </row>
    <row r="83" customFormat="false" ht="15" hidden="false" customHeight="true" outlineLevel="0" collapsed="false">
      <c r="A83" s="29" t="s">
        <v>298</v>
      </c>
      <c r="B83" s="59" t="n">
        <f aca="false">+B55/B82</f>
        <v>0.0159489345751281</v>
      </c>
      <c r="C83" s="59" t="n">
        <f aca="false">+C55/C82</f>
        <v>0.113240083079054</v>
      </c>
      <c r="D83" s="59" t="n">
        <f aca="false">+D55/D82</f>
        <v>0.14838685265999</v>
      </c>
      <c r="E83" s="59" t="n">
        <f aca="false">+E55/E82</f>
        <v>0.237711155395237</v>
      </c>
      <c r="F83" s="59" t="n">
        <f aca="false">+F55/F82</f>
        <v>0.262625179729081</v>
      </c>
      <c r="G83" s="59" t="n">
        <f aca="false">+G55/G82</f>
        <v>0.0387167082881386</v>
      </c>
      <c r="H83" s="59" t="n">
        <f aca="false">+H55/H82</f>
        <v>0.0435529556071265</v>
      </c>
      <c r="I83" s="59" t="n">
        <f aca="false">+I55/I82</f>
        <v>0.164987093139604</v>
      </c>
      <c r="J83" s="59" t="n">
        <f aca="false">+J55/J82</f>
        <v>0.20421638120223</v>
      </c>
      <c r="K83" s="59" t="n">
        <f aca="false">+K55/K82</f>
        <v>0.202429600854291</v>
      </c>
      <c r="L83" s="59" t="n">
        <f aca="false">+L55/L82</f>
        <v>0.275275584592489</v>
      </c>
      <c r="M83" s="59" t="n">
        <f aca="false">+M55/M82</f>
        <v>0.42693329633647</v>
      </c>
      <c r="N83" s="59" t="n">
        <f aca="false">+N55/N82</f>
        <v>0.46915009661696</v>
      </c>
      <c r="O83" s="59" t="n">
        <f aca="false">+O55/O82</f>
        <v>0.633264456590162</v>
      </c>
      <c r="P83" s="59" t="n">
        <f aca="false">+P55/P82</f>
        <v>0.858018536563256</v>
      </c>
      <c r="Q83" s="59" t="n">
        <f aca="false">+Q55/Q82</f>
        <v>0.90587180720718</v>
      </c>
      <c r="R83" s="59" t="n">
        <f aca="false">+R55/R82</f>
        <v>0.4678966010244</v>
      </c>
      <c r="S83" s="59" t="n">
        <f aca="false">+S55/S82</f>
        <v>0.802324139206314</v>
      </c>
      <c r="T83" s="59" t="n">
        <f aca="false">+T55/T82</f>
        <v>1.28030855975381</v>
      </c>
      <c r="U83" s="59" t="n">
        <f aca="false">+U55/U82</f>
        <v>1.0605912774178</v>
      </c>
      <c r="V83" s="59" t="n">
        <f aca="false">+V55/V82</f>
        <v>0.27089052422689</v>
      </c>
      <c r="W83" s="59" t="n">
        <f aca="false">+W55/W82</f>
        <v>-0.895030217839053</v>
      </c>
      <c r="X83" s="59" t="n">
        <f aca="false">+X55/X82</f>
        <v>0.410892412891621</v>
      </c>
      <c r="Y83" s="59" t="n">
        <f aca="false">+Y55/Y82</f>
        <v>1.73559381985123</v>
      </c>
      <c r="Z83" s="59" t="n">
        <f aca="false">+Z55/Z82</f>
        <v>2.18392821133037</v>
      </c>
      <c r="AA83" s="59" t="n">
        <f aca="false">+AA55/AA82</f>
        <v>2.68996617138827</v>
      </c>
      <c r="AB83" s="59" t="n">
        <f aca="false">+AB55/AB82</f>
        <v>3.45629705331288</v>
      </c>
      <c r="AC83" s="59" t="n">
        <f aca="false">+AC55/AC82</f>
        <v>0.607026060296372</v>
      </c>
      <c r="AD83" s="59" t="n">
        <f aca="false">+AD55/AD82</f>
        <v>-0.5188937148697</v>
      </c>
      <c r="AE83" s="59" t="n">
        <f aca="false">+AE55/AE82</f>
        <v>0.270324476239143</v>
      </c>
      <c r="AF83" s="59" t="n">
        <f aca="false">+AF55/AF82</f>
        <v>2.2421792513879</v>
      </c>
      <c r="AG83" s="59" t="n">
        <f aca="false">+AG55/AG82</f>
        <v>4.57746143105269</v>
      </c>
      <c r="AH83" s="59" t="n">
        <f aca="false">+AH55/AH82</f>
        <v>5.49206964072877</v>
      </c>
      <c r="AI83" s="59" t="n">
        <f aca="false">+AI55/AI82</f>
        <v>6.66339229472755</v>
      </c>
      <c r="AJ83" s="59" t="n">
        <f aca="false">+AJ55/AJ82</f>
        <v>6.65517589868983</v>
      </c>
      <c r="AK83" s="59" t="n">
        <f aca="false">+AK55/AK82</f>
        <v>7.46447497971803</v>
      </c>
      <c r="AL83" s="59" t="n">
        <f aca="false">+AL55/AL82</f>
        <v>8.08692609137691</v>
      </c>
      <c r="AM83" s="43"/>
      <c r="AN83" s="43"/>
      <c r="AO83" s="43"/>
      <c r="AP83" s="43"/>
      <c r="AQ83" s="43"/>
      <c r="AR83" s="43"/>
      <c r="AS83" s="43"/>
      <c r="AT83" s="43"/>
      <c r="AU83" s="43"/>
      <c r="AV83" s="43"/>
      <c r="AW83" s="43"/>
      <c r="AX83" s="43"/>
      <c r="AY83" s="43"/>
    </row>
    <row r="84" customFormat="false" ht="15" hidden="false" customHeight="true" outlineLevel="0" collapsed="false">
      <c r="A84" s="29" t="s">
        <v>299</v>
      </c>
      <c r="B84" s="59" t="n">
        <f aca="false">+B62/B82</f>
        <v>0.129782878233039</v>
      </c>
      <c r="C84" s="59" t="n">
        <f aca="false">+C62/C82</f>
        <v>0.218403035975282</v>
      </c>
      <c r="D84" s="59" t="n">
        <f aca="false">+D62/D82</f>
        <v>0.230744814132802</v>
      </c>
      <c r="E84" s="59" t="n">
        <f aca="false">+E62/E82</f>
        <v>0.352496027041345</v>
      </c>
      <c r="F84" s="59" t="n">
        <f aca="false">+F62/F82</f>
        <v>0.400518376510354</v>
      </c>
      <c r="G84" s="59" t="n">
        <f aca="false">+G62/G82</f>
        <v>0.187034191828738</v>
      </c>
      <c r="H84" s="59" t="n">
        <f aca="false">+H62/H82</f>
        <v>0.203711537618242</v>
      </c>
      <c r="I84" s="59" t="n">
        <f aca="false">+I62/I82</f>
        <v>0.338290072227968</v>
      </c>
      <c r="J84" s="59" t="n">
        <f aca="false">+J62/J82</f>
        <v>0.389936432661504</v>
      </c>
      <c r="K84" s="59" t="n">
        <f aca="false">+K62/K82</f>
        <v>0.402874824475107</v>
      </c>
      <c r="L84" s="59" t="n">
        <f aca="false">+L62/L82</f>
        <v>0.491726155941781</v>
      </c>
      <c r="M84" s="59" t="n">
        <f aca="false">+M62/M82</f>
        <v>0.629688721842444</v>
      </c>
      <c r="N84" s="59" t="n">
        <f aca="false">+N62/N82</f>
        <v>0.686688642413989</v>
      </c>
      <c r="O84" s="59" t="n">
        <f aca="false">+O62/O82</f>
        <v>0.891137392681649</v>
      </c>
      <c r="P84" s="59" t="n">
        <f aca="false">+P62/P82</f>
        <v>1.14236292083059</v>
      </c>
      <c r="Q84" s="59" t="n">
        <f aca="false">+Q62/Q82</f>
        <v>1.23917194100756</v>
      </c>
      <c r="R84" s="59" t="n">
        <f aca="false">+R62/R82</f>
        <v>0.803175424063889</v>
      </c>
      <c r="S84" s="59" t="n">
        <f aca="false">+S62/S82</f>
        <v>1.18588697492826</v>
      </c>
      <c r="T84" s="59" t="n">
        <f aca="false">+T62/T82</f>
        <v>1.78286917950422</v>
      </c>
      <c r="U84" s="59" t="n">
        <f aca="false">+U62/U82</f>
        <v>1.72360449208473</v>
      </c>
      <c r="V84" s="59" t="n">
        <f aca="false">+V62/V82</f>
        <v>0.986466053790761</v>
      </c>
      <c r="W84" s="59" t="n">
        <f aca="false">+W62/W82</f>
        <v>-0.186497060901729</v>
      </c>
      <c r="X84" s="59" t="n">
        <f aca="false">+X62/X82</f>
        <v>1.14236510323696</v>
      </c>
      <c r="Y84" s="59" t="n">
        <f aca="false">+Y62/Y82</f>
        <v>2.59279862117807</v>
      </c>
      <c r="Z84" s="59" t="n">
        <f aca="false">+Z62/Z82</f>
        <v>3.09382936668478</v>
      </c>
      <c r="AA84" s="59" t="n">
        <f aca="false">+AA62/AA82</f>
        <v>3.63733367542297</v>
      </c>
      <c r="AB84" s="59" t="n">
        <f aca="false">+AB62/AB82</f>
        <v>4.51405552716742</v>
      </c>
      <c r="AC84" s="59" t="n">
        <f aca="false">+AC62/AC82</f>
        <v>1.74788792369273</v>
      </c>
      <c r="AD84" s="59" t="n">
        <f aca="false">+AD62/AD82</f>
        <v>0.754671265542496</v>
      </c>
      <c r="AE84" s="59" t="n">
        <f aca="false">+AE62/AE82</f>
        <v>1.55249105774144</v>
      </c>
      <c r="AF84" s="59" t="n">
        <f aca="false">+AF62/AF82</f>
        <v>3.48866268178877</v>
      </c>
      <c r="AG84" s="59" t="n">
        <f aca="false">+AG62/AG82</f>
        <v>5.79976501038723</v>
      </c>
      <c r="AH84" s="59" t="n">
        <f aca="false">+AH62/AH82</f>
        <v>6.71689511323004</v>
      </c>
      <c r="AI84" s="59" t="n">
        <f aca="false">+AI62/AI82</f>
        <v>7.88096494662833</v>
      </c>
      <c r="AJ84" s="59" t="n">
        <f aca="false">+AJ62/AJ82</f>
        <v>7.94076901399652</v>
      </c>
      <c r="AK84" s="59" t="n">
        <f aca="false">+AK62/AK82</f>
        <v>8.84549021661345</v>
      </c>
      <c r="AL84" s="59" t="n">
        <f aca="false">+AL62/AL82</f>
        <v>9.52846489864295</v>
      </c>
      <c r="AM84" s="43"/>
      <c r="AN84" s="43"/>
      <c r="AO84" s="43"/>
      <c r="AP84" s="43"/>
      <c r="AQ84" s="43"/>
      <c r="AR84" s="43"/>
      <c r="AS84" s="43"/>
      <c r="AT84" s="43"/>
      <c r="AU84" s="43"/>
      <c r="AV84" s="43"/>
      <c r="AW84" s="43"/>
      <c r="AX84" s="43"/>
      <c r="AY84" s="43"/>
    </row>
    <row r="85" customFormat="false" ht="15" hidden="false" customHeight="true" outlineLevel="0" collapsed="false">
      <c r="A85" s="29" t="s">
        <v>300</v>
      </c>
      <c r="B85" s="49" t="n">
        <f aca="false">(B599-B587)/B82</f>
        <v>1.3622012052709</v>
      </c>
      <c r="C85" s="49" t="n">
        <f aca="false">(C599-C587)/C82</f>
        <v>1.40092694684479</v>
      </c>
      <c r="D85" s="49" t="n">
        <f aca="false">(D599-D587)/D82</f>
        <v>1.97992499726728</v>
      </c>
      <c r="E85" s="49" t="n">
        <f aca="false">(E599-E587)/E82</f>
        <v>2.11829326741165</v>
      </c>
      <c r="F85" s="49" t="n">
        <f aca="false">(F599-F587)/F82</f>
        <v>2.243418342036</v>
      </c>
      <c r="G85" s="49" t="n">
        <f aca="false">(G599-G587)/G82</f>
        <v>2.25461619958126</v>
      </c>
      <c r="H85" s="49" t="n">
        <f aca="false">(H599-H587)/H82</f>
        <v>2.27037770434461</v>
      </c>
      <c r="I85" s="49" t="n">
        <f aca="false">(I599-I587)/I82</f>
        <v>2.33823751986479</v>
      </c>
      <c r="J85" s="49" t="n">
        <f aca="false">(J599-J587)/J82</f>
        <v>2.42075944471071</v>
      </c>
      <c r="K85" s="49" t="n">
        <f aca="false">(K599-K587)/K82</f>
        <v>2.12402357709221</v>
      </c>
      <c r="L85" s="49" t="n">
        <f aca="false">(L599-L587)/L82</f>
        <v>1.96253436924552</v>
      </c>
      <c r="M85" s="49" t="n">
        <f aca="false">(M599-M587)/M82</f>
        <v>2.15793456600156</v>
      </c>
      <c r="N85" s="49" t="n">
        <f aca="false">(N599-N587)/N82</f>
        <v>2.27724099918183</v>
      </c>
      <c r="O85" s="49" t="n">
        <f aca="false">(O599-O587)/O82</f>
        <v>2.84159988212084</v>
      </c>
      <c r="P85" s="49" t="n">
        <f aca="false">(P599-P587)/P82</f>
        <v>3.53435949149086</v>
      </c>
      <c r="Q85" s="49" t="n">
        <f aca="false">(Q599-Q587)/Q82</f>
        <v>3.99635619465701</v>
      </c>
      <c r="R85" s="49" t="n">
        <f aca="false">(R599-R587)/R82</f>
        <v>3.96333160946584</v>
      </c>
      <c r="S85" s="49" t="n">
        <f aca="false">(S599-S587)/S82</f>
        <v>4.38906705944787</v>
      </c>
      <c r="T85" s="49" t="n">
        <f aca="false">(T599-T587)/T82</f>
        <v>4.99248708226907</v>
      </c>
      <c r="U85" s="49" t="n">
        <f aca="false">(U599-U587)/U82</f>
        <v>5.43999372340905</v>
      </c>
      <c r="V85" s="49" t="n">
        <f aca="false">(V599-V587)/V82</f>
        <v>5.93723578183021</v>
      </c>
      <c r="W85" s="49" t="n">
        <f aca="false">(W599-W587)/W82</f>
        <v>6.16362452455763</v>
      </c>
      <c r="X85" s="49" t="n">
        <f aca="false">(X599-X587)/X82</f>
        <v>7.2229561682151</v>
      </c>
      <c r="Y85" s="49" t="n">
        <f aca="false">(Y599-Y587)/Y82</f>
        <v>9.49995607685496</v>
      </c>
      <c r="Z85" s="49" t="n">
        <f aca="false">(Z599-Z587)/Z82</f>
        <v>10.7630462282317</v>
      </c>
      <c r="AA85" s="49" t="n">
        <f aca="false">(AA599-AA587)/AA82</f>
        <v>12.2386968639353</v>
      </c>
      <c r="AB85" s="49" t="n">
        <f aca="false">(AB599-AB587)/AB82</f>
        <v>14.1925225685573</v>
      </c>
      <c r="AC85" s="49" t="n">
        <f aca="false">(AC599-AC587)/AC82</f>
        <v>12.3726622381196</v>
      </c>
      <c r="AD85" s="49" t="n">
        <f aca="false">(AD599-AD587)/AD82</f>
        <v>11.8841764605689</v>
      </c>
      <c r="AE85" s="49" t="n">
        <f aca="false">(AE599-AE587)/AE82</f>
        <v>12.4968489184125</v>
      </c>
      <c r="AF85" s="49" t="n">
        <f aca="false">(AF599-AF587)/AF82</f>
        <v>14.3486257280065</v>
      </c>
      <c r="AG85" s="49" t="n">
        <f aca="false">(AG599-AG587)/AG82</f>
        <v>15.0025031502231</v>
      </c>
      <c r="AH85" s="49" t="n">
        <f aca="false">(AH599-AH587)/AH82</f>
        <v>19.6131278733186</v>
      </c>
      <c r="AI85" s="49" t="n">
        <f aca="false">(AI599-AI587)/AI82</f>
        <v>22.3248948739338</v>
      </c>
      <c r="AJ85" s="49" t="n">
        <f aca="false">(AJ599-AJ587)/AJ82</f>
        <v>26.4545340763912</v>
      </c>
      <c r="AK85" s="49" t="n">
        <f aca="false">(AK599-AK587)/AK82</f>
        <v>30.5658844105318</v>
      </c>
      <c r="AL85" s="49" t="n">
        <f aca="false">(AL599-AL587)/AL82</f>
        <v>34.8950363158172</v>
      </c>
      <c r="AM85" s="36"/>
      <c r="AN85" s="36"/>
      <c r="AO85" s="36"/>
      <c r="AP85" s="36"/>
      <c r="AQ85" s="36"/>
      <c r="AR85" s="36"/>
      <c r="AS85" s="36"/>
      <c r="AT85" s="36"/>
      <c r="AU85" s="36"/>
      <c r="AV85" s="36"/>
      <c r="AW85" s="36"/>
      <c r="AX85" s="36"/>
      <c r="AY85" s="36"/>
    </row>
    <row r="86" customFormat="false" ht="15" hidden="false" customHeight="true" outlineLevel="0" collapsed="false">
      <c r="A86" s="29" t="s">
        <v>301</v>
      </c>
      <c r="B86" s="78" t="n">
        <v>127</v>
      </c>
      <c r="C86" s="74" t="n">
        <f aca="false">B86</f>
        <v>127</v>
      </c>
      <c r="D86" s="74" t="n">
        <f aca="false">C86</f>
        <v>127</v>
      </c>
      <c r="E86" s="74" t="n">
        <f aca="false">D86</f>
        <v>127</v>
      </c>
      <c r="F86" s="74" t="n">
        <f aca="false">E86</f>
        <v>127</v>
      </c>
      <c r="G86" s="74" t="n">
        <f aca="false">F86</f>
        <v>127</v>
      </c>
      <c r="H86" s="74" t="n">
        <f aca="false">G86</f>
        <v>127</v>
      </c>
      <c r="I86" s="74" t="n">
        <f aca="false">H86</f>
        <v>127</v>
      </c>
      <c r="J86" s="74" t="n">
        <f aca="false">I86</f>
        <v>127</v>
      </c>
      <c r="K86" s="74" t="n">
        <f aca="false">J86</f>
        <v>127</v>
      </c>
      <c r="L86" s="74" t="n">
        <f aca="false">K86</f>
        <v>127</v>
      </c>
      <c r="M86" s="74" t="n">
        <f aca="false">L86</f>
        <v>127</v>
      </c>
      <c r="N86" s="74" t="n">
        <f aca="false">M86</f>
        <v>127</v>
      </c>
      <c r="O86" s="74" t="n">
        <f aca="false">N86</f>
        <v>127</v>
      </c>
      <c r="P86" s="74" t="n">
        <f aca="false">O86</f>
        <v>127</v>
      </c>
      <c r="Q86" s="74" t="n">
        <f aca="false">P86</f>
        <v>127</v>
      </c>
      <c r="R86" s="74" t="n">
        <f aca="false">Q86</f>
        <v>127</v>
      </c>
      <c r="S86" s="74" t="n">
        <f aca="false">R86</f>
        <v>127</v>
      </c>
      <c r="T86" s="74" t="n">
        <f aca="false">S86</f>
        <v>127</v>
      </c>
      <c r="U86" s="74" t="n">
        <f aca="false">T86</f>
        <v>127</v>
      </c>
      <c r="V86" s="74" t="n">
        <f aca="false">U86</f>
        <v>127</v>
      </c>
      <c r="W86" s="74" t="n">
        <f aca="false">V86</f>
        <v>127</v>
      </c>
      <c r="X86" s="74" t="n">
        <f aca="false">W86</f>
        <v>127</v>
      </c>
      <c r="Y86" s="74" t="n">
        <f aca="false">X86</f>
        <v>127</v>
      </c>
      <c r="Z86" s="74" t="n">
        <f aca="false">Y86</f>
        <v>127</v>
      </c>
      <c r="AA86" s="74" t="n">
        <f aca="false">Z86</f>
        <v>127</v>
      </c>
      <c r="AB86" s="74" t="n">
        <f aca="false">AA86</f>
        <v>127</v>
      </c>
      <c r="AC86" s="74" t="n">
        <f aca="false">AB86</f>
        <v>127</v>
      </c>
      <c r="AD86" s="74" t="n">
        <f aca="false">AC86</f>
        <v>127</v>
      </c>
      <c r="AE86" s="74" t="n">
        <f aca="false">AD86</f>
        <v>127</v>
      </c>
      <c r="AF86" s="74" t="n">
        <f aca="false">AE86</f>
        <v>127</v>
      </c>
      <c r="AG86" s="74" t="n">
        <f aca="false">AF86</f>
        <v>127</v>
      </c>
      <c r="AH86" s="74" t="n">
        <f aca="false">AG86</f>
        <v>127</v>
      </c>
      <c r="AI86" s="74" t="n">
        <f aca="false">AH86</f>
        <v>127</v>
      </c>
      <c r="AJ86" s="74" t="n">
        <f aca="false">AI86</f>
        <v>127</v>
      </c>
      <c r="AK86" s="74" t="n">
        <f aca="false">AJ86</f>
        <v>127</v>
      </c>
      <c r="AL86" s="74" t="n">
        <f aca="false">AK86</f>
        <v>127</v>
      </c>
      <c r="AM86" s="36"/>
      <c r="AN86" s="36"/>
      <c r="AO86" s="36"/>
      <c r="AP86" s="36"/>
      <c r="AQ86" s="36"/>
      <c r="AR86" s="36"/>
      <c r="AS86" s="36"/>
      <c r="AT86" s="36"/>
      <c r="AU86" s="36"/>
      <c r="AV86" s="36"/>
      <c r="AW86" s="36"/>
      <c r="AX86" s="36"/>
      <c r="AY86" s="36"/>
    </row>
    <row r="87" customFormat="false" ht="15" hidden="false" customHeight="true" outlineLevel="0" collapsed="false">
      <c r="A87" s="38" t="s">
        <v>302</v>
      </c>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row>
    <row r="88" customFormat="false" ht="15" hidden="false" customHeight="true" outlineLevel="0" collapsed="false">
      <c r="A88" s="29" t="s">
        <v>303</v>
      </c>
      <c r="B88" s="79" t="n">
        <f aca="false">+B86/B83</f>
        <v>7962.91435028221</v>
      </c>
      <c r="C88" s="79" t="n">
        <f aca="false">+C86/C83</f>
        <v>1121.51101047268</v>
      </c>
      <c r="D88" s="79" t="n">
        <f aca="false">+D86/D83</f>
        <v>855.870973225671</v>
      </c>
      <c r="E88" s="79" t="n">
        <f aca="false">+E86/E83</f>
        <v>534.261843071017</v>
      </c>
      <c r="F88" s="79" t="n">
        <f aca="false">+F86/F83</f>
        <v>483.578917036861</v>
      </c>
      <c r="G88" s="79" t="n">
        <f aca="false">+G86/G83</f>
        <v>3280.23754124026</v>
      </c>
      <c r="H88" s="79" t="n">
        <f aca="false">+H86/H83</f>
        <v>2915.99038985127</v>
      </c>
      <c r="I88" s="79" t="n">
        <f aca="false">+I86/I83</f>
        <v>769.757182718158</v>
      </c>
      <c r="J88" s="79" t="n">
        <f aca="false">+J86/J83</f>
        <v>621.889386406449</v>
      </c>
      <c r="K88" s="79" t="n">
        <f aca="false">+K86/K83</f>
        <v>627.378602062327</v>
      </c>
      <c r="L88" s="79" t="n">
        <f aca="false">+L86/L83</f>
        <v>461.355845226912</v>
      </c>
      <c r="M88" s="79" t="n">
        <f aca="false">+M86/M83</f>
        <v>297.470356821058</v>
      </c>
      <c r="N88" s="79" t="n">
        <f aca="false">+N86/N83</f>
        <v>270.702278259765</v>
      </c>
      <c r="O88" s="79" t="n">
        <f aca="false">+O86/O83</f>
        <v>200.548125950155</v>
      </c>
      <c r="P88" s="79" t="n">
        <f aca="false">+P86/P83</f>
        <v>148.015450235715</v>
      </c>
      <c r="Q88" s="79" t="n">
        <f aca="false">+Q86/Q83</f>
        <v>140.196437276863</v>
      </c>
      <c r="R88" s="79" t="n">
        <f aca="false">+R86/R83</f>
        <v>271.427490009437</v>
      </c>
      <c r="S88" s="79" t="n">
        <f aca="false">+S86/S83</f>
        <v>158.290139600726</v>
      </c>
      <c r="T88" s="79" t="n">
        <f aca="false">+T86/T83</f>
        <v>99.1948378634763</v>
      </c>
      <c r="U88" s="79" t="n">
        <f aca="false">+U86/U83</f>
        <v>119.744526194109</v>
      </c>
      <c r="V88" s="79" t="n">
        <f aca="false">+V86/V83</f>
        <v>468.824077041648</v>
      </c>
      <c r="W88" s="79" t="n">
        <f aca="false">+W86/W83</f>
        <v>-141.89465055898</v>
      </c>
      <c r="X88" s="79" t="n">
        <f aca="false">+X86/X83</f>
        <v>309.083341564397</v>
      </c>
      <c r="Y88" s="79" t="n">
        <f aca="false">+Y86/Y83</f>
        <v>73.1738028491515</v>
      </c>
      <c r="Z88" s="79" t="n">
        <f aca="false">+Z86/Z83</f>
        <v>58.1520946252331</v>
      </c>
      <c r="AA88" s="79" t="n">
        <f aca="false">+AA86/AA83</f>
        <v>47.2124896405133</v>
      </c>
      <c r="AB88" s="79" t="n">
        <f aca="false">+AB86/AB83</f>
        <v>36.7445268855783</v>
      </c>
      <c r="AC88" s="79" t="n">
        <f aca="false">+AC86/AC83</f>
        <v>209.216717875332</v>
      </c>
      <c r="AD88" s="79" t="n">
        <f aca="false">+AD86/AD83</f>
        <v>-244.751470986484</v>
      </c>
      <c r="AE88" s="79" t="n">
        <f aca="false">+AE86/AE83</f>
        <v>469.805774774346</v>
      </c>
      <c r="AF88" s="79" t="n">
        <f aca="false">+AF86/AF83</f>
        <v>56.6413233560108</v>
      </c>
      <c r="AG88" s="79" t="n">
        <f aca="false">+AG86/AG83</f>
        <v>27.744635735968</v>
      </c>
      <c r="AH88" s="79" t="n">
        <f aca="false">+AH86/AH83</f>
        <v>23.1242515677838</v>
      </c>
      <c r="AI88" s="79" t="n">
        <f aca="false">+AI86/AI83</f>
        <v>19.0593611155822</v>
      </c>
      <c r="AJ88" s="79" t="n">
        <f aca="false">+AJ86/AJ83</f>
        <v>19.0828915618897</v>
      </c>
      <c r="AK88" s="79" t="n">
        <f aca="false">+AK86/AK83</f>
        <v>17.0139226596748</v>
      </c>
      <c r="AL88" s="79" t="n">
        <f aca="false">+AL86/AL83</f>
        <v>15.7043601691154</v>
      </c>
      <c r="AM88" s="80"/>
      <c r="AN88" s="80"/>
      <c r="AO88" s="80"/>
      <c r="AP88" s="80"/>
      <c r="AQ88" s="80"/>
      <c r="AR88" s="80"/>
      <c r="AS88" s="80"/>
      <c r="AT88" s="80"/>
      <c r="AU88" s="80"/>
      <c r="AV88" s="80"/>
      <c r="AW88" s="80"/>
      <c r="AX88" s="80"/>
      <c r="AY88" s="80"/>
    </row>
    <row r="89" customFormat="false" ht="15" hidden="false" customHeight="true" outlineLevel="0" collapsed="false">
      <c r="A89" s="29" t="s">
        <v>304</v>
      </c>
      <c r="B89" s="36"/>
      <c r="C89" s="49" t="n">
        <f aca="false">+C83/B83*100-100</f>
        <v>610.016600454604</v>
      </c>
      <c r="D89" s="49" t="n">
        <f aca="false">+D83/C83*100-100</f>
        <v>31.0373929665877</v>
      </c>
      <c r="E89" s="49" t="n">
        <f aca="false">+E83/D83*100-100</f>
        <v>60.1969117438739</v>
      </c>
      <c r="F89" s="49" t="n">
        <f aca="false">+F83/E83*100-100</f>
        <v>10.480797290485</v>
      </c>
      <c r="G89" s="49" t="n">
        <f aca="false">+G83/F83*100-100</f>
        <v>-85.2578079801495</v>
      </c>
      <c r="H89" s="49" t="n">
        <f aca="false">+H83/G83*100-100</f>
        <v>12.4913700901314</v>
      </c>
      <c r="I89" s="49" t="n">
        <f aca="false">+I83/H83*100-100</f>
        <v>278.819510271325</v>
      </c>
      <c r="J89" s="49" t="n">
        <f aca="false">+J83/I83*100-100</f>
        <v>23.7771860308075</v>
      </c>
      <c r="K89" s="49" t="n">
        <f aca="false">+K83/J83*100-100</f>
        <v>-0.874944672616124</v>
      </c>
      <c r="L89" s="49" t="n">
        <f aca="false">+L83/K83*100-100</f>
        <v>35.9858357823035</v>
      </c>
      <c r="M89" s="49" t="n">
        <f aca="false">+M83/L83*100-100</f>
        <v>55.0930486510423</v>
      </c>
      <c r="N89" s="49" t="n">
        <f aca="false">+N83/M83*100-100</f>
        <v>9.88838318368568</v>
      </c>
      <c r="O89" s="49" t="n">
        <f aca="false">+O83/N83*100-100</f>
        <v>34.9812056219597</v>
      </c>
      <c r="P89" s="49" t="n">
        <f aca="false">+P83/O83*100-100</f>
        <v>35.4913460931144</v>
      </c>
      <c r="Q89" s="49" t="n">
        <f aca="false">+Q83/P83*100-100</f>
        <v>5.57718377922201</v>
      </c>
      <c r="R89" s="49" t="n">
        <f aca="false">+R83/Q83*100-100</f>
        <v>-48.3484752145081</v>
      </c>
      <c r="S89" s="49" t="n">
        <f aca="false">+S83/R83*100-100</f>
        <v>71.4746671486238</v>
      </c>
      <c r="T89" s="49" t="n">
        <f aca="false">+T83/S83*100-100</f>
        <v>59.5749768940435</v>
      </c>
      <c r="U89" s="49" t="n">
        <f aca="false">+U83/T83*100-100</f>
        <v>-17.1612757457668</v>
      </c>
      <c r="V89" s="49" t="n">
        <f aca="false">+V83/U83*100-100</f>
        <v>-74.4585374220292</v>
      </c>
      <c r="W89" s="49" t="n">
        <f aca="false">+W83/V83*100-100</f>
        <v>-430.40292582896</v>
      </c>
      <c r="X89" s="49" t="n">
        <f aca="false">+X83/W83*100-100</f>
        <v>-145.908216806766</v>
      </c>
      <c r="Y89" s="49" t="n">
        <f aca="false">+Y83/X83*100-100</f>
        <v>322.39617121113</v>
      </c>
      <c r="Z89" s="49" t="n">
        <f aca="false">+Z83/Y83*100-100</f>
        <v>25.8317577736919</v>
      </c>
      <c r="AA89" s="49" t="n">
        <f aca="false">+AA83/Z83*100-100</f>
        <v>23.1709979033441</v>
      </c>
      <c r="AB89" s="49" t="n">
        <f aca="false">+AB83/AA83*100-100</f>
        <v>28.4884951370636</v>
      </c>
      <c r="AC89" s="49" t="n">
        <f aca="false">+AC83/AB83*100-100</f>
        <v>-82.4370981159002</v>
      </c>
      <c r="AD89" s="49" t="n">
        <f aca="false">+AD83/AC83*100-100</f>
        <v>-185.481291300139</v>
      </c>
      <c r="AE89" s="49" t="n">
        <f aca="false">+AE83/AD83*100-100</f>
        <v>-152.096309608804</v>
      </c>
      <c r="AF89" s="49" t="n">
        <f aca="false">+AF83/AE83*100-100</f>
        <v>729.439968804136</v>
      </c>
      <c r="AG89" s="49" t="n">
        <f aca="false">+AG83/AF83*100-100</f>
        <v>104.15234099679</v>
      </c>
      <c r="AH89" s="49" t="n">
        <f aca="false">+AH83/AG83*100-100</f>
        <v>19.9806863138492</v>
      </c>
      <c r="AI89" s="49" t="n">
        <f aca="false">+AI83/AH83*100-100</f>
        <v>21.3275273370962</v>
      </c>
      <c r="AJ89" s="49" t="n">
        <f aca="false">+AJ83/AI83*100-100</f>
        <v>-0.123306503269021</v>
      </c>
      <c r="AK89" s="49" t="n">
        <f aca="false">+AK83/AJ83*100-100</f>
        <v>12.1604461451955</v>
      </c>
      <c r="AL89" s="49" t="n">
        <f aca="false">+AL83/AK83*100-100</f>
        <v>8.33884651432501</v>
      </c>
      <c r="AM89" s="36"/>
      <c r="AN89" s="36"/>
      <c r="AO89" s="36"/>
      <c r="AP89" s="36"/>
      <c r="AQ89" s="36"/>
      <c r="AR89" s="36"/>
      <c r="AS89" s="36"/>
      <c r="AT89" s="36"/>
      <c r="AU89" s="36"/>
      <c r="AV89" s="36"/>
      <c r="AW89" s="36"/>
      <c r="AX89" s="36"/>
      <c r="AY89" s="36"/>
    </row>
    <row r="90" customFormat="false" ht="15" hidden="false" customHeight="true" outlineLevel="0" collapsed="false">
      <c r="A90" s="29" t="s">
        <v>305</v>
      </c>
      <c r="B90" s="79" t="n">
        <f aca="false">+B89/B88</f>
        <v>0</v>
      </c>
      <c r="C90" s="79" t="n">
        <f aca="false">+C89/C88</f>
        <v>0.543923862323475</v>
      </c>
      <c r="D90" s="79" t="n">
        <f aca="false">+D89/D88</f>
        <v>0.0362641028116793</v>
      </c>
      <c r="E90" s="79" t="n">
        <f aca="false">+E89/E88</f>
        <v>0.112673050723318</v>
      </c>
      <c r="F90" s="79" t="n">
        <f aca="false">+F89/F88</f>
        <v>0.0216733958434463</v>
      </c>
      <c r="G90" s="79" t="n">
        <f aca="false">+G89/G88</f>
        <v>-0.0259913518177447</v>
      </c>
      <c r="H90" s="79" t="n">
        <f aca="false">+H89/H88</f>
        <v>0.0042837487165959</v>
      </c>
      <c r="I90" s="79" t="n">
        <f aca="false">+I89/I88</f>
        <v>0.362217484332865</v>
      </c>
      <c r="J90" s="79" t="n">
        <f aca="false">+J89/J88</f>
        <v>0.0382337865069584</v>
      </c>
      <c r="K90" s="79" t="n">
        <f aca="false">+K89/K88</f>
        <v>-0.00139460394367929</v>
      </c>
      <c r="L90" s="79" t="n">
        <f aca="false">+L89/L88</f>
        <v>0.0780001730867946</v>
      </c>
      <c r="M90" s="79" t="n">
        <f aca="false">+M89/M88</f>
        <v>0.185205172171772</v>
      </c>
      <c r="N90" s="79" t="n">
        <f aca="false">+N89/N88</f>
        <v>0.0365286293386745</v>
      </c>
      <c r="O90" s="79" t="n">
        <f aca="false">+O89/O88</f>
        <v>0.174427985583142</v>
      </c>
      <c r="P90" s="79" t="n">
        <f aca="false">+P89/P88</f>
        <v>0.239781360909245</v>
      </c>
      <c r="Q90" s="79" t="n">
        <f aca="false">+Q89/Q88</f>
        <v>0.0397812090489009</v>
      </c>
      <c r="R90" s="79" t="n">
        <f aca="false">+R89/R88</f>
        <v>-0.178126671004573</v>
      </c>
      <c r="S90" s="79" t="n">
        <f aca="false">+S89/S88</f>
        <v>0.451542132244704</v>
      </c>
      <c r="T90" s="79" t="n">
        <f aca="false">+T89/T88</f>
        <v>0.600585455626609</v>
      </c>
      <c r="U90" s="79" t="n">
        <f aca="false">+U89/U88</f>
        <v>-0.143315743034031</v>
      </c>
      <c r="V90" s="79" t="n">
        <f aca="false">+V89/V88</f>
        <v>-0.158819781381268</v>
      </c>
      <c r="W90" s="79" t="n">
        <f aca="false">+W89/W88</f>
        <v>3.03325688553748</v>
      </c>
      <c r="X90" s="79" t="n">
        <f aca="false">+X89/X88</f>
        <v>-0.472067553263353</v>
      </c>
      <c r="Y90" s="79" t="n">
        <f aca="false">+Y89/Y88</f>
        <v>4.40589608108455</v>
      </c>
      <c r="Z90" s="79" t="n">
        <f aca="false">+Z89/Z88</f>
        <v>0.444210272048964</v>
      </c>
      <c r="AA90" s="79" t="n">
        <f aca="false">+AA89/AA88</f>
        <v>0.490781106435466</v>
      </c>
      <c r="AB90" s="79" t="n">
        <f aca="false">+AB89/AB88</f>
        <v>0.775312612563395</v>
      </c>
      <c r="AC90" s="79" t="n">
        <f aca="false">+AC89/AC88</f>
        <v>-0.394027298358743</v>
      </c>
      <c r="AD90" s="79" t="n">
        <f aca="false">+AD89/AD88</f>
        <v>0.757835246311481</v>
      </c>
      <c r="AE90" s="79" t="n">
        <f aca="false">+AE89/AE88</f>
        <v>-0.323742954589815</v>
      </c>
      <c r="AF90" s="79" t="n">
        <f aca="false">+AF89/AF88</f>
        <v>12.8782296313832</v>
      </c>
      <c r="AG90" s="79" t="n">
        <f aca="false">+AG89/AG88</f>
        <v>3.7539631800524</v>
      </c>
      <c r="AH90" s="79" t="n">
        <f aca="false">+AH89/AH88</f>
        <v>0.864057643348157</v>
      </c>
      <c r="AI90" s="79" t="n">
        <f aca="false">+AI89/AI88</f>
        <v>1.11900536475274</v>
      </c>
      <c r="AJ90" s="79" t="n">
        <f aca="false">+AJ89/AJ88</f>
        <v>-0.00646162573785594</v>
      </c>
      <c r="AK90" s="79" t="n">
        <f aca="false">+AK89/AK88</f>
        <v>0.714735007819055</v>
      </c>
      <c r="AL90" s="79" t="n">
        <f aca="false">+AL89/AL88</f>
        <v>0.530989255501436</v>
      </c>
      <c r="AM90" s="80"/>
      <c r="AN90" s="80"/>
      <c r="AO90" s="80"/>
      <c r="AP90" s="80"/>
      <c r="AQ90" s="80"/>
      <c r="AR90" s="80"/>
      <c r="AS90" s="80"/>
      <c r="AT90" s="80"/>
      <c r="AU90" s="80"/>
      <c r="AV90" s="80"/>
      <c r="AW90" s="80"/>
      <c r="AX90" s="80"/>
      <c r="AY90" s="80"/>
    </row>
    <row r="91" customFormat="false" ht="15" hidden="false" customHeight="true" outlineLevel="0" collapsed="false">
      <c r="A91" s="29" t="s">
        <v>306</v>
      </c>
      <c r="B91" s="59" t="n">
        <f aca="false">100/B88</f>
        <v>0.0125582162008883</v>
      </c>
      <c r="C91" s="59" t="n">
        <f aca="false">100/C88</f>
        <v>0.0891654197472865</v>
      </c>
      <c r="D91" s="59" t="n">
        <f aca="false">100/D88</f>
        <v>0.116840041464559</v>
      </c>
      <c r="E91" s="59" t="n">
        <f aca="false">100/E88</f>
        <v>0.187174138106486</v>
      </c>
      <c r="F91" s="59" t="n">
        <f aca="false">100/F88</f>
        <v>0.206791480101639</v>
      </c>
      <c r="G91" s="59" t="n">
        <f aca="false">100/G88</f>
        <v>0.0304855970772745</v>
      </c>
      <c r="H91" s="59" t="n">
        <f aca="false">100/H88</f>
        <v>0.0342936658323831</v>
      </c>
      <c r="I91" s="59" t="n">
        <f aca="false">100/I88</f>
        <v>0.129911096960318</v>
      </c>
      <c r="J91" s="59" t="n">
        <f aca="false">100/J88</f>
        <v>0.160800300159236</v>
      </c>
      <c r="K91" s="59" t="n">
        <f aca="false">100/K88</f>
        <v>0.159393386499442</v>
      </c>
      <c r="L91" s="59" t="n">
        <f aca="false">100/L88</f>
        <v>0.216752428812983</v>
      </c>
      <c r="M91" s="59" t="n">
        <f aca="false">100/M88</f>
        <v>0.336167949871236</v>
      </c>
      <c r="N91" s="59" t="n">
        <f aca="false">100/N88</f>
        <v>0.369409524895244</v>
      </c>
      <c r="O91" s="59" t="n">
        <f aca="false">100/O88</f>
        <v>0.498633430385954</v>
      </c>
      <c r="P91" s="59" t="n">
        <f aca="false">100/P88</f>
        <v>0.675605146900202</v>
      </c>
      <c r="Q91" s="59" t="n">
        <f aca="false">100/Q88</f>
        <v>0.713284887564709</v>
      </c>
      <c r="R91" s="59" t="n">
        <f aca="false">100/R88</f>
        <v>0.368422520491654</v>
      </c>
      <c r="S91" s="59" t="n">
        <f aca="false">100/S88</f>
        <v>0.631751290713633</v>
      </c>
      <c r="T91" s="59" t="n">
        <f aca="false">100/T88</f>
        <v>1.0081169761841</v>
      </c>
      <c r="U91" s="59" t="n">
        <f aca="false">100/U88</f>
        <v>0.835111242061262</v>
      </c>
      <c r="V91" s="59" t="n">
        <f aca="false">100/V88</f>
        <v>0.213299625375504</v>
      </c>
      <c r="W91" s="59" t="n">
        <f aca="false">100/W88</f>
        <v>-0.704748203022876</v>
      </c>
      <c r="X91" s="59" t="n">
        <f aca="false">100/X88</f>
        <v>0.323537332985529</v>
      </c>
      <c r="Y91" s="59" t="n">
        <f aca="false">100/Y88</f>
        <v>1.36660930696948</v>
      </c>
      <c r="Z91" s="59" t="n">
        <f aca="false">100/Z88</f>
        <v>1.71962851285856</v>
      </c>
      <c r="AA91" s="59" t="n">
        <f aca="false">100/AA88</f>
        <v>2.11808359951833</v>
      </c>
      <c r="AB91" s="59" t="n">
        <f aca="false">100/AB88</f>
        <v>2.72149374276605</v>
      </c>
      <c r="AC91" s="59" t="n">
        <f aca="false">100/AC88</f>
        <v>0.477973275823915</v>
      </c>
      <c r="AD91" s="59" t="n">
        <f aca="false">100/AD88</f>
        <v>-0.408577728243858</v>
      </c>
      <c r="AE91" s="59" t="n">
        <f aca="false">100/AE88</f>
        <v>0.212853918298538</v>
      </c>
      <c r="AF91" s="59" t="n">
        <f aca="false">100/AF88</f>
        <v>1.76549547353378</v>
      </c>
      <c r="AG91" s="59" t="n">
        <f aca="false">100/AG88</f>
        <v>3.60430033941157</v>
      </c>
      <c r="AH91" s="59" t="n">
        <f aca="false">100/AH88</f>
        <v>4.3244642840384</v>
      </c>
      <c r="AI91" s="59" t="n">
        <f aca="false">100/AI88</f>
        <v>5.24676558639965</v>
      </c>
      <c r="AJ91" s="59" t="n">
        <f aca="false">100/AJ88</f>
        <v>5.24029598322034</v>
      </c>
      <c r="AK91" s="59" t="n">
        <f aca="false">100/AK88</f>
        <v>5.87753935410869</v>
      </c>
      <c r="AL91" s="59" t="n">
        <f aca="false">100/AL88</f>
        <v>6.36765833966686</v>
      </c>
      <c r="AM91" s="43"/>
      <c r="AN91" s="43"/>
      <c r="AO91" s="43"/>
      <c r="AP91" s="43"/>
      <c r="AQ91" s="43"/>
      <c r="AR91" s="43"/>
      <c r="AS91" s="43"/>
      <c r="AT91" s="43"/>
      <c r="AU91" s="43"/>
      <c r="AV91" s="43"/>
      <c r="AW91" s="43"/>
      <c r="AX91" s="43"/>
      <c r="AY91" s="43"/>
    </row>
    <row r="92" customFormat="false" ht="15" hidden="false" customHeight="true" outlineLevel="0" collapsed="false">
      <c r="A92" s="29" t="s">
        <v>307</v>
      </c>
      <c r="B92" s="79" t="n">
        <f aca="false">+B86/B84</f>
        <v>978.557431681844</v>
      </c>
      <c r="C92" s="79" t="n">
        <f aca="false">+C86/C84</f>
        <v>581.49374816554</v>
      </c>
      <c r="D92" s="79" t="n">
        <f aca="false">+D86/D84</f>
        <v>550.391567746814</v>
      </c>
      <c r="E92" s="79" t="n">
        <f aca="false">+E86/E84</f>
        <v>360.287748676112</v>
      </c>
      <c r="F92" s="79" t="n">
        <f aca="false">+F86/F84</f>
        <v>317.08907118452</v>
      </c>
      <c r="G92" s="79" t="n">
        <f aca="false">+G86/G84</f>
        <v>679.020230249077</v>
      </c>
      <c r="H92" s="79" t="n">
        <f aca="false">+H86/H84</f>
        <v>623.43056993659</v>
      </c>
      <c r="I92" s="79" t="n">
        <f aca="false">+I86/I84</f>
        <v>375.417461007892</v>
      </c>
      <c r="J92" s="79" t="n">
        <f aca="false">+J86/J84</f>
        <v>325.694111558553</v>
      </c>
      <c r="K92" s="79" t="n">
        <f aca="false">+K86/K84</f>
        <v>315.234391142371</v>
      </c>
      <c r="L92" s="79" t="n">
        <f aca="false">+L86/L84</f>
        <v>258.273834868032</v>
      </c>
      <c r="M92" s="79" t="n">
        <f aca="false">+M86/M84</f>
        <v>201.686953560806</v>
      </c>
      <c r="N92" s="79" t="n">
        <f aca="false">+N86/N84</f>
        <v>184.945537403303</v>
      </c>
      <c r="O92" s="79" t="n">
        <f aca="false">+O86/O84</f>
        <v>142.514500056861</v>
      </c>
      <c r="P92" s="79" t="n">
        <f aca="false">+P86/P84</f>
        <v>111.173076160123</v>
      </c>
      <c r="Q92" s="79" t="n">
        <f aca="false">+Q86/Q84</f>
        <v>102.487795113192</v>
      </c>
      <c r="R92" s="79" t="n">
        <f aca="false">+R86/R84</f>
        <v>158.122368034381</v>
      </c>
      <c r="S92" s="79" t="n">
        <f aca="false">+S86/S84</f>
        <v>107.092836572965</v>
      </c>
      <c r="T92" s="79" t="n">
        <f aca="false">+T86/T84</f>
        <v>71.2334934385462</v>
      </c>
      <c r="U92" s="79" t="n">
        <f aca="false">+U86/U84</f>
        <v>73.6827970588492</v>
      </c>
      <c r="V92" s="79" t="n">
        <f aca="false">+V86/V84</f>
        <v>128.742392616521</v>
      </c>
      <c r="W92" s="79" t="n">
        <f aca="false">+W86/W84</f>
        <v>-680.975879115438</v>
      </c>
      <c r="X92" s="79" t="n">
        <f aca="false">+X86/X84</f>
        <v>111.172863771957</v>
      </c>
      <c r="Y92" s="79" t="n">
        <f aca="false">+Y86/Y84</f>
        <v>48.9818217900379</v>
      </c>
      <c r="Z92" s="79" t="n">
        <f aca="false">+Z86/Z84</f>
        <v>41.0494519728759</v>
      </c>
      <c r="AA92" s="79" t="n">
        <f aca="false">+AA86/AA84</f>
        <v>34.9156858657548</v>
      </c>
      <c r="AB92" s="79" t="n">
        <f aca="false">+AB86/AB84</f>
        <v>28.1343459857023</v>
      </c>
      <c r="AC92" s="79" t="n">
        <f aca="false">+AC86/AC84</f>
        <v>72.6591209187427</v>
      </c>
      <c r="AD92" s="79" t="n">
        <f aca="false">+AD86/AD84</f>
        <v>168.285193565315</v>
      </c>
      <c r="AE92" s="79" t="n">
        <f aca="false">+AE86/AE84</f>
        <v>81.8040138567748</v>
      </c>
      <c r="AF92" s="79" t="n">
        <f aca="false">+AF86/AF84</f>
        <v>36.4036341670277</v>
      </c>
      <c r="AG92" s="79" t="n">
        <f aca="false">+AG86/AG84</f>
        <v>21.8974389087396</v>
      </c>
      <c r="AH92" s="79" t="n">
        <f aca="false">+AH86/AH84</f>
        <v>18.90754550415</v>
      </c>
      <c r="AI92" s="79" t="n">
        <f aca="false">+AI86/AI84</f>
        <v>16.114777931392</v>
      </c>
      <c r="AJ92" s="79" t="n">
        <f aca="false">+AJ86/AJ84</f>
        <v>15.9934132042058</v>
      </c>
      <c r="AK92" s="79" t="n">
        <f aca="false">+AK86/AK84</f>
        <v>14.3575988317155</v>
      </c>
      <c r="AL92" s="79" t="n">
        <f aca="false">+AL86/AL84</f>
        <v>13.3284848452438</v>
      </c>
      <c r="AM92" s="80"/>
      <c r="AN92" s="80"/>
      <c r="AO92" s="80"/>
      <c r="AP92" s="80"/>
      <c r="AQ92" s="80"/>
      <c r="AR92" s="80"/>
      <c r="AS92" s="80"/>
      <c r="AT92" s="80"/>
      <c r="AU92" s="80"/>
      <c r="AV92" s="80"/>
      <c r="AW92" s="80"/>
      <c r="AX92" s="80"/>
      <c r="AY92" s="80"/>
    </row>
    <row r="93" customFormat="false" ht="15" hidden="false" customHeight="true" outlineLevel="0" collapsed="false">
      <c r="A93" s="29" t="s">
        <v>308</v>
      </c>
      <c r="B93" s="36"/>
      <c r="C93" s="49" t="n">
        <f aca="false">+C84/B84*100-100</f>
        <v>68.283396815346</v>
      </c>
      <c r="D93" s="49" t="n">
        <f aca="false">+D84/C84*100-100</f>
        <v>5.65091877153053</v>
      </c>
      <c r="E93" s="49" t="n">
        <f aca="false">+E84/D84*100-100</f>
        <v>52.7644416911884</v>
      </c>
      <c r="F93" s="49" t="n">
        <f aca="false">+F84/E84*100-100</f>
        <v>13.6235150994699</v>
      </c>
      <c r="G93" s="49" t="n">
        <f aca="false">+G84/F84*100-100</f>
        <v>-53.301969947463</v>
      </c>
      <c r="H93" s="49" t="n">
        <f aca="false">+H84/G84*100-100</f>
        <v>8.91673636057675</v>
      </c>
      <c r="I93" s="49" t="n">
        <f aca="false">+I84/H84*100-100</f>
        <v>66.0632854590333</v>
      </c>
      <c r="J93" s="49" t="n">
        <f aca="false">+J84/I84*100-100</f>
        <v>15.266886223824</v>
      </c>
      <c r="K93" s="49" t="n">
        <f aca="false">+K84/J84*100-100</f>
        <v>3.3180771864</v>
      </c>
      <c r="L93" s="49" t="n">
        <f aca="false">+L84/K84*100-100</f>
        <v>22.0543270685718</v>
      </c>
      <c r="M93" s="49" t="n">
        <f aca="false">+M84/L84*100-100</f>
        <v>28.0567881601557</v>
      </c>
      <c r="N93" s="49" t="n">
        <f aca="false">+N84/M84*100-100</f>
        <v>9.05207900258492</v>
      </c>
      <c r="O93" s="49" t="n">
        <f aca="false">+O84/N84*100-100</f>
        <v>29.7731369997528</v>
      </c>
      <c r="P93" s="49" t="n">
        <f aca="false">+P84/O84*100-100</f>
        <v>28.1915594847778</v>
      </c>
      <c r="Q93" s="49" t="n">
        <f aca="false">+Q84/P84*100-100</f>
        <v>8.47445399458347</v>
      </c>
      <c r="R93" s="49" t="n">
        <f aca="false">+R84/Q84*100-100</f>
        <v>-35.1845052744793</v>
      </c>
      <c r="S93" s="49" t="n">
        <f aca="false">+S84/R84*100-100</f>
        <v>47.6498084226646</v>
      </c>
      <c r="T93" s="49" t="n">
        <f aca="false">+T84/S84*100-100</f>
        <v>50.3405650957655</v>
      </c>
      <c r="U93" s="49" t="n">
        <f aca="false">+U84/T84*100-100</f>
        <v>-3.32411867908161</v>
      </c>
      <c r="V93" s="49" t="n">
        <f aca="false">+V84/U84*100-100</f>
        <v>-42.7672613803871</v>
      </c>
      <c r="W93" s="49" t="n">
        <f aca="false">+W84/V84*100-100</f>
        <v>-118.905573099557</v>
      </c>
      <c r="X93" s="49" t="n">
        <f aca="false">+X84/W84*100-100</f>
        <v>-712.537858620149</v>
      </c>
      <c r="Y93" s="49" t="n">
        <f aca="false">+Y84/X84*100-100</f>
        <v>126.967596771926</v>
      </c>
      <c r="Z93" s="49" t="n">
        <f aca="false">+Z84/Y84*100-100</f>
        <v>19.3239359745982</v>
      </c>
      <c r="AA93" s="49" t="n">
        <f aca="false">+AA84/Z84*100-100</f>
        <v>17.567365368976</v>
      </c>
      <c r="AB93" s="49" t="n">
        <f aca="false">+AB84/AA84*100-100</f>
        <v>24.1034210764976</v>
      </c>
      <c r="AC93" s="49" t="n">
        <f aca="false">+AC84/AB84*100-100</f>
        <v>-61.2789892996834</v>
      </c>
      <c r="AD93" s="49" t="n">
        <f aca="false">+AD84/AC84*100-100</f>
        <v>-56.82381831736</v>
      </c>
      <c r="AE93" s="49" t="n">
        <f aca="false">+AE84/AD84*100-100</f>
        <v>105.717526110582</v>
      </c>
      <c r="AF93" s="49" t="n">
        <f aca="false">+AF84/AE84*100-100</f>
        <v>124.713866427293</v>
      </c>
      <c r="AG93" s="49" t="n">
        <f aca="false">+AG84/AF84*100-100</f>
        <v>66.2460816479246</v>
      </c>
      <c r="AH93" s="49" t="n">
        <f aca="false">+AH84/AG84*100-100</f>
        <v>15.8132286601312</v>
      </c>
      <c r="AI93" s="49" t="n">
        <f aca="false">+AI84/AH84*100-100</f>
        <v>17.3304750747925</v>
      </c>
      <c r="AJ93" s="49" t="n">
        <f aca="false">+AJ84/AI84*100-100</f>
        <v>0.758841940970356</v>
      </c>
      <c r="AK93" s="49" t="n">
        <f aca="false">+AK84/AJ84*100-100</f>
        <v>11.3933701008335</v>
      </c>
      <c r="AL93" s="49" t="n">
        <f aca="false">+AL84/AK84*100-100</f>
        <v>7.72116259590393</v>
      </c>
      <c r="AM93" s="36"/>
      <c r="AN93" s="36"/>
      <c r="AO93" s="36"/>
      <c r="AP93" s="36"/>
      <c r="AQ93" s="36"/>
      <c r="AR93" s="36"/>
      <c r="AS93" s="36"/>
      <c r="AT93" s="36"/>
      <c r="AU93" s="36"/>
      <c r="AV93" s="36"/>
      <c r="AW93" s="36"/>
      <c r="AX93" s="36"/>
      <c r="AY93" s="36"/>
    </row>
    <row r="94" customFormat="false" ht="15" hidden="false" customHeight="true" outlineLevel="0" collapsed="false">
      <c r="A94" s="29" t="s">
        <v>309</v>
      </c>
      <c r="B94" s="43"/>
      <c r="C94" s="59" t="n">
        <f aca="false">+C93/C92</f>
        <v>0.11742756827698</v>
      </c>
      <c r="D94" s="59" t="n">
        <f aca="false">+D93/D92</f>
        <v>0.0102670882017037</v>
      </c>
      <c r="E94" s="59" t="n">
        <f aca="false">+E93/E92</f>
        <v>0.146450835159044</v>
      </c>
      <c r="F94" s="59" t="n">
        <f aca="false">+F93/F92</f>
        <v>0.0429643161417636</v>
      </c>
      <c r="G94" s="59" t="n">
        <f aca="false">+G93/G92</f>
        <v>-0.0784983533228617</v>
      </c>
      <c r="H94" s="59" t="n">
        <f aca="false">+H93/H92</f>
        <v>0.0143026935003904</v>
      </c>
      <c r="I94" s="59" t="n">
        <f aca="false">+I93/I92</f>
        <v>0.175972863067348</v>
      </c>
      <c r="J94" s="59" t="n">
        <f aca="false">+J93/J92</f>
        <v>0.0468749224564329</v>
      </c>
      <c r="K94" s="59" t="n">
        <f aca="false">+K93/K92</f>
        <v>0.0105257461737461</v>
      </c>
      <c r="L94" s="59" t="n">
        <f aca="false">+L93/L92</f>
        <v>0.0853912556796186</v>
      </c>
      <c r="M94" s="59" t="n">
        <f aca="false">+M93/M92</f>
        <v>0.13911057539821</v>
      </c>
      <c r="N94" s="59" t="n">
        <f aca="false">+N93/N92</f>
        <v>0.0489445656796001</v>
      </c>
      <c r="O94" s="59" t="n">
        <f aca="false">+O93/O92</f>
        <v>0.208913036833963</v>
      </c>
      <c r="P94" s="59" t="n">
        <f aca="false">+P93/P92</f>
        <v>0.253582616029923</v>
      </c>
      <c r="Q94" s="59" t="n">
        <f aca="false">+Q93/Q92</f>
        <v>0.0826874457121834</v>
      </c>
      <c r="R94" s="59" t="n">
        <f aca="false">+R93/R92</f>
        <v>-0.2225144090103</v>
      </c>
      <c r="S94" s="59" t="n">
        <f aca="false">+S93/S92</f>
        <v>0.444939269025706</v>
      </c>
      <c r="T94" s="59" t="n">
        <f aca="false">+T93/T92</f>
        <v>0.706697968409969</v>
      </c>
      <c r="U94" s="59" t="n">
        <f aca="false">+U93/U92</f>
        <v>-0.0451139046258883</v>
      </c>
      <c r="V94" s="59" t="n">
        <f aca="false">+V93/V92</f>
        <v>-0.332192532010618</v>
      </c>
      <c r="W94" s="59" t="n">
        <f aca="false">+W93/W92</f>
        <v>0.174610550455929</v>
      </c>
      <c r="X94" s="59" t="n">
        <f aca="false">+X93/X92</f>
        <v>-6.40927861750276</v>
      </c>
      <c r="Y94" s="59" t="n">
        <f aca="false">+Y93/Y92</f>
        <v>2.5921370853901</v>
      </c>
      <c r="Z94" s="59" t="n">
        <f aca="false">+Z93/Z92</f>
        <v>0.470747721245264</v>
      </c>
      <c r="AA94" s="59" t="n">
        <f aca="false">+AA93/AA92</f>
        <v>0.503136768858549</v>
      </c>
      <c r="AB94" s="59" t="n">
        <f aca="false">+AB93/AB92</f>
        <v>0.856725835700848</v>
      </c>
      <c r="AC94" s="59" t="n">
        <f aca="false">+AC93/AC92</f>
        <v>-0.843376420259941</v>
      </c>
      <c r="AD94" s="59" t="n">
        <f aca="false">+AD93/AD92</f>
        <v>-0.337663802224558</v>
      </c>
      <c r="AE94" s="59" t="n">
        <f aca="false">+AE93/AE92</f>
        <v>1.29232688136398</v>
      </c>
      <c r="AF94" s="59" t="n">
        <f aca="false">+AF93/AF92</f>
        <v>3.42586308430303</v>
      </c>
      <c r="AG94" s="59" t="n">
        <f aca="false">+AG93/AG92</f>
        <v>3.02528902690463</v>
      </c>
      <c r="AH94" s="59" t="n">
        <f aca="false">+AH93/AH92</f>
        <v>0.836344868595467</v>
      </c>
      <c r="AI94" s="59" t="n">
        <f aca="false">+AI93/AI92</f>
        <v>1.07543989427446</v>
      </c>
      <c r="AJ94" s="59" t="n">
        <f aca="false">+AJ93/AJ92</f>
        <v>0.0474471541053416</v>
      </c>
      <c r="AK94" s="59" t="n">
        <f aca="false">+AK93/AK92</f>
        <v>0.793542864261248</v>
      </c>
      <c r="AL94" s="59" t="n">
        <f aca="false">+AL93/AL92</f>
        <v>0.579297848596736</v>
      </c>
      <c r="AM94" s="43"/>
      <c r="AN94" s="43"/>
      <c r="AO94" s="43"/>
      <c r="AP94" s="43"/>
      <c r="AQ94" s="43"/>
      <c r="AR94" s="43"/>
      <c r="AS94" s="43"/>
      <c r="AT94" s="43"/>
      <c r="AU94" s="43"/>
      <c r="AV94" s="43"/>
      <c r="AW94" s="43"/>
      <c r="AX94" s="43"/>
      <c r="AY94" s="43"/>
    </row>
    <row r="95" customFormat="false" ht="15" hidden="false" customHeight="true" outlineLevel="0" collapsed="false">
      <c r="A95" s="29" t="s">
        <v>310</v>
      </c>
      <c r="B95" s="79" t="n">
        <f aca="false">+B86/+B85</f>
        <v>93.2314547282638</v>
      </c>
      <c r="C95" s="79" t="n">
        <f aca="false">+C86/+C85</f>
        <v>90.6542630834771</v>
      </c>
      <c r="D95" s="79" t="n">
        <f aca="false">+D86/+D85</f>
        <v>64.1438439210007</v>
      </c>
      <c r="E95" s="79" t="n">
        <f aca="false">+E86/+E85</f>
        <v>59.9539270382433</v>
      </c>
      <c r="F95" s="79" t="n">
        <f aca="false">+F86/+F85</f>
        <v>56.6100390731145</v>
      </c>
      <c r="G95" s="79" t="n">
        <f aca="false">+G86/+G85</f>
        <v>56.3288776260842</v>
      </c>
      <c r="H95" s="79" t="n">
        <f aca="false">+H86/+H85</f>
        <v>55.937829092037</v>
      </c>
      <c r="I95" s="79" t="n">
        <f aca="false">+I86/+I85</f>
        <v>54.3144137073567</v>
      </c>
      <c r="J95" s="79" t="n">
        <f aca="false">+J86/+J85</f>
        <v>52.4628749368267</v>
      </c>
      <c r="K95" s="79" t="n">
        <f aca="false">+K86/+K85</f>
        <v>59.7921799784647</v>
      </c>
      <c r="L95" s="79" t="n">
        <f aca="false">+L86/+L85</f>
        <v>64.7122424912356</v>
      </c>
      <c r="M95" s="79" t="n">
        <f aca="false">+M86/+M85</f>
        <v>58.852572270214</v>
      </c>
      <c r="N95" s="79" t="n">
        <f aca="false">+N86/+N85</f>
        <v>55.7692400785112</v>
      </c>
      <c r="O95" s="79" t="n">
        <f aca="false">+O86/+O85</f>
        <v>44.6931324846526</v>
      </c>
      <c r="P95" s="79" t="n">
        <f aca="false">+P86/+P85</f>
        <v>35.9329604998469</v>
      </c>
      <c r="Q95" s="79" t="n">
        <f aca="false">+Q86/+Q85</f>
        <v>31.7789490761096</v>
      </c>
      <c r="R95" s="79" t="n">
        <f aca="false">+R86/+R85</f>
        <v>32.0437481680007</v>
      </c>
      <c r="S95" s="79" t="n">
        <f aca="false">+S86/+S85</f>
        <v>28.9355341989184</v>
      </c>
      <c r="T95" s="79" t="n">
        <f aca="false">+T86/+T85</f>
        <v>25.4382230554073</v>
      </c>
      <c r="U95" s="79" t="n">
        <f aca="false">+U86/+U85</f>
        <v>23.3456151711171</v>
      </c>
      <c r="V95" s="79" t="n">
        <f aca="false">+V86/+V85</f>
        <v>21.3904255560575</v>
      </c>
      <c r="W95" s="79" t="n">
        <f aca="false">+W86/+W85</f>
        <v>20.6047593415199</v>
      </c>
      <c r="X95" s="79" t="n">
        <f aca="false">+X86/+X85</f>
        <v>17.5828285597064</v>
      </c>
      <c r="Y95" s="79" t="n">
        <f aca="false">+Y86/+Y85</f>
        <v>13.3684828616644</v>
      </c>
      <c r="Z95" s="79" t="n">
        <f aca="false">+Z86/+Z85</f>
        <v>11.7996334222626</v>
      </c>
      <c r="AA95" s="79" t="n">
        <f aca="false">+AA86/+AA85</f>
        <v>10.3769217762261</v>
      </c>
      <c r="AB95" s="79" t="n">
        <f aca="false">+AB86/+AB85</f>
        <v>8.94837400374201</v>
      </c>
      <c r="AC95" s="79" t="n">
        <f aca="false">+AC86/+AC85</f>
        <v>10.264565342188</v>
      </c>
      <c r="AD95" s="79" t="n">
        <f aca="false">+AD86/+AD85</f>
        <v>10.6864788167173</v>
      </c>
      <c r="AE95" s="79" t="n">
        <f aca="false">+AE86/+AE85</f>
        <v>10.1625618449209</v>
      </c>
      <c r="AF95" s="79" t="n">
        <f aca="false">+AF86/+AF85</f>
        <v>8.85102186142562</v>
      </c>
      <c r="AG95" s="79" t="n">
        <f aca="false">+AG86/+AG85</f>
        <v>8.46525401316857</v>
      </c>
      <c r="AH95" s="79" t="n">
        <f aca="false">+AH86/+AH85</f>
        <v>6.47525477936485</v>
      </c>
      <c r="AI95" s="79" t="n">
        <f aca="false">+AI86/+AI85</f>
        <v>5.68871659719585</v>
      </c>
      <c r="AJ95" s="79" t="n">
        <f aca="false">+AJ86/+AJ85</f>
        <v>4.8006893500097</v>
      </c>
      <c r="AK95" s="79" t="n">
        <f aca="false">+AK86/+AK85</f>
        <v>4.15495911370524</v>
      </c>
      <c r="AL95" s="79" t="n">
        <f aca="false">+AL86/+AL85</f>
        <v>3.63948611059142</v>
      </c>
      <c r="AM95" s="80"/>
      <c r="AN95" s="80"/>
      <c r="AO95" s="80"/>
      <c r="AP95" s="80"/>
      <c r="AQ95" s="80"/>
      <c r="AR95" s="80"/>
      <c r="AS95" s="80"/>
      <c r="AT95" s="80"/>
      <c r="AU95" s="80"/>
      <c r="AV95" s="80"/>
      <c r="AW95" s="80"/>
      <c r="AX95" s="80"/>
      <c r="AY95" s="80"/>
    </row>
    <row r="96" customFormat="false" ht="15" hidden="false" customHeight="true" outlineLevel="0" collapsed="false">
      <c r="A96" s="29" t="s">
        <v>311</v>
      </c>
      <c r="B96" s="31" t="n">
        <f aca="false">B86*X78</f>
        <v>722853.52</v>
      </c>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row>
    <row r="97" customFormat="false" ht="15" hidden="false" customHeight="true" outlineLevel="0" collapsed="false">
      <c r="A97" s="29" t="s">
        <v>312</v>
      </c>
      <c r="B97" s="79" t="n">
        <f aca="false">+$B$96/B10</f>
        <v>75.7361166844957</v>
      </c>
      <c r="C97" s="79" t="n">
        <f aca="false">+$B$96/C10</f>
        <v>61.1916694743222</v>
      </c>
      <c r="D97" s="79" t="n">
        <f aca="false">+$B$96/D10</f>
        <v>47.7669557494522</v>
      </c>
      <c r="E97" s="79" t="n">
        <f aca="false">+$B$96/E10</f>
        <v>35.9681942895016</v>
      </c>
      <c r="F97" s="79" t="n">
        <f aca="false">+$B$96/F10</f>
        <v>29.1185413125979</v>
      </c>
      <c r="G97" s="79" t="n">
        <f aca="false">+$B$96/G10</f>
        <v>35.8864439622577</v>
      </c>
      <c r="H97" s="79" t="n">
        <f aca="false">+$B$96/H10</f>
        <v>35.3465335445239</v>
      </c>
      <c r="I97" s="79" t="n">
        <f aca="false">+$B$96/I10</f>
        <v>27.8157737776858</v>
      </c>
      <c r="J97" s="79" t="n">
        <f aca="false">+$B$96/J10</f>
        <v>27.7309924604753</v>
      </c>
      <c r="K97" s="79" t="n">
        <f aca="false">+$B$96/K10</f>
        <v>27.4802436695194</v>
      </c>
      <c r="L97" s="79" t="n">
        <f aca="false">+$B$96/L10</f>
        <v>23.5151169731896</v>
      </c>
      <c r="M97" s="79" t="n">
        <f aca="false">+$B$96/M10</f>
        <v>18.4059911292136</v>
      </c>
      <c r="N97" s="79" t="n">
        <f aca="false">+$B$96/N10</f>
        <v>15.0241353551922</v>
      </c>
      <c r="O97" s="79" t="n">
        <f aca="false">+$B$96/O10</f>
        <v>11.9418573070231</v>
      </c>
      <c r="P97" s="79" t="n">
        <f aca="false">+$B$96/P10</f>
        <v>8.70413188071309</v>
      </c>
      <c r="Q97" s="79" t="n">
        <f aca="false">+$B$96/Q10</f>
        <v>8.09132083159366</v>
      </c>
      <c r="R97" s="79" t="n">
        <f aca="false">+$B$96/R10</f>
        <v>10.8428460087413</v>
      </c>
      <c r="S97" s="79" t="n">
        <f aca="false">+$B$96/S10</f>
        <v>9.18189364033781</v>
      </c>
      <c r="T97" s="79" t="n">
        <f aca="false">+$B$96/T10</f>
        <v>5.97715414395646</v>
      </c>
      <c r="U97" s="79" t="n">
        <f aca="false">+$B$96/U10</f>
        <v>5.29682862458052</v>
      </c>
      <c r="V97" s="79" t="n">
        <f aca="false">+$B$96/V10</f>
        <v>5.43557783542997</v>
      </c>
      <c r="W97" s="79" t="n">
        <f aca="false">+$B$96/W10</f>
        <v>6.8446558913234</v>
      </c>
      <c r="X97" s="79" t="n">
        <f aca="false">+$B$96/X10</f>
        <v>4.99003754228197</v>
      </c>
      <c r="Y97" s="79" t="n">
        <f aca="false">+$B$96/Y10</f>
        <v>3.61553770223942</v>
      </c>
      <c r="Z97" s="79" t="n">
        <f aca="false">+$B$96/Z10</f>
        <v>3.38864022600088</v>
      </c>
      <c r="AA97" s="79" t="n">
        <f aca="false">+$B$96/AA10</f>
        <v>2.72522835754802</v>
      </c>
      <c r="AB97" s="79" t="n">
        <f aca="false">+$B$96/AB10</f>
        <v>2.48788423315132</v>
      </c>
      <c r="AC97" s="79" t="n">
        <f aca="false">+$B$96/AC10</f>
        <v>4.13828402167</v>
      </c>
      <c r="AD97" s="79" t="n">
        <f aca="false">+$B$96/AD10</f>
        <v>4.72408510304579</v>
      </c>
      <c r="AE97" s="79" t="n">
        <f aca="false">+$B$96/AE10</f>
        <v>3.33292076046567</v>
      </c>
      <c r="AF97" s="79" t="n">
        <f aca="false">+$B$96/AF10</f>
        <v>1.99991899101763</v>
      </c>
      <c r="AG97" s="79" t="n">
        <f aca="false">+$B$96/AG10</f>
        <v>1.88404867408293</v>
      </c>
      <c r="AH97" s="79" t="n">
        <f aca="false">+$B$96/AH10</f>
        <v>1.86529654419275</v>
      </c>
      <c r="AI97" s="79" t="n">
        <f aca="false">+$B$96/AI10</f>
        <v>1.64258646857104</v>
      </c>
      <c r="AJ97" s="79" t="n">
        <f aca="false">+$B$96/AJ10</f>
        <v>1.50651138556386</v>
      </c>
      <c r="AK97" s="79" t="n">
        <f aca="false">+$B$96/AK10</f>
        <v>1.39462273885187</v>
      </c>
      <c r="AL97" s="79" t="n">
        <f aca="false">+$B$96/AL10</f>
        <v>1.29725977925768</v>
      </c>
      <c r="AM97" s="80"/>
      <c r="AN97" s="80"/>
      <c r="AO97" s="80"/>
      <c r="AP97" s="80"/>
      <c r="AQ97" s="80"/>
      <c r="AR97" s="80"/>
      <c r="AS97" s="80"/>
      <c r="AT97" s="80"/>
      <c r="AU97" s="80"/>
      <c r="AV97" s="80"/>
      <c r="AW97" s="80"/>
      <c r="AX97" s="80"/>
      <c r="AY97" s="80"/>
    </row>
    <row r="98" customFormat="false" ht="15" hidden="false" customHeight="true" outlineLevel="0" collapsed="false">
      <c r="A98" s="29" t="s">
        <v>313</v>
      </c>
      <c r="B98" s="79" t="n">
        <f aca="false">+$B$96/B16</f>
        <v>88.0050841452829</v>
      </c>
      <c r="C98" s="79" t="n">
        <f aca="false">+$B$96/C16</f>
        <v>68.2614101340102</v>
      </c>
      <c r="D98" s="79" t="n">
        <f aca="false">+$B$96/D16</f>
        <v>54.180462748443</v>
      </c>
      <c r="E98" s="79" t="n">
        <f aca="false">+$B$96/E16</f>
        <v>40.387864646976</v>
      </c>
      <c r="F98" s="79" t="n">
        <f aca="false">+$B$96/F16</f>
        <v>33.1387175330629</v>
      </c>
      <c r="G98" s="79" t="n">
        <f aca="false">+$B$96/G16</f>
        <v>40.8671156888848</v>
      </c>
      <c r="H98" s="79" t="n">
        <f aca="false">+$B$96/H16</f>
        <v>39.7462097065601</v>
      </c>
      <c r="I98" s="79" t="n">
        <f aca="false">+$B$96/I16</f>
        <v>32.0804276836966</v>
      </c>
      <c r="J98" s="79" t="n">
        <f aca="false">+$B$96/J16</f>
        <v>32.0981202586842</v>
      </c>
      <c r="K98" s="79" t="n">
        <f aca="false">+$B$96/K16</f>
        <v>31.9670164440168</v>
      </c>
      <c r="L98" s="79" t="n">
        <f aca="false">+$B$96/L16</f>
        <v>26.9683727090426</v>
      </c>
      <c r="M98" s="79" t="n">
        <f aca="false">+$B$96/M16</f>
        <v>21.2987102682355</v>
      </c>
      <c r="N98" s="79" t="n">
        <f aca="false">+$B$96/N16</f>
        <v>17.2833139424509</v>
      </c>
      <c r="O98" s="79" t="n">
        <f aca="false">+$B$96/O16</f>
        <v>13.7747859663846</v>
      </c>
      <c r="P98" s="79" t="n">
        <f aca="false">+$B$96/P16</f>
        <v>10.0842044056954</v>
      </c>
      <c r="Q98" s="79" t="n">
        <f aca="false">+$B$96/Q16</f>
        <v>9.35233557545921</v>
      </c>
      <c r="R98" s="79" t="n">
        <f aca="false">+$B$96/R16</f>
        <v>12.0856815390855</v>
      </c>
      <c r="S98" s="79" t="n">
        <f aca="false">+$B$96/S16</f>
        <v>9.97767295187296</v>
      </c>
      <c r="T98" s="79" t="n">
        <f aca="false">+$B$96/T16</f>
        <v>6.5018208337707</v>
      </c>
      <c r="U98" s="79" t="n">
        <f aca="false">+$B$96/U16</f>
        <v>5.63389804822723</v>
      </c>
      <c r="V98" s="79" t="n">
        <f aca="false">+$B$96/V16</f>
        <v>5.7915386341057</v>
      </c>
      <c r="W98" s="79" t="n">
        <f aca="false">+$B$96/W16</f>
        <v>7.26966207736011</v>
      </c>
      <c r="X98" s="79" t="n">
        <f aca="false">+$B$96/X16</f>
        <v>5.32991988104334</v>
      </c>
      <c r="Y98" s="79" t="n">
        <f aca="false">+$B$96/Y16</f>
        <v>3.81708779665786</v>
      </c>
      <c r="Z98" s="79" t="n">
        <f aca="false">+$B$96/Z16</f>
        <v>3.61089920878208</v>
      </c>
      <c r="AA98" s="79" t="n">
        <f aca="false">+$B$96/AA16</f>
        <v>2.75394718220571</v>
      </c>
      <c r="AB98" s="79" t="n">
        <f aca="false">+$B$96/AB16</f>
        <v>2.48788423315132</v>
      </c>
      <c r="AC98" s="79" t="n">
        <f aca="false">+$B$96/AC16</f>
        <v>4.13828402167</v>
      </c>
      <c r="AD98" s="79" t="n">
        <f aca="false">+$B$96/AD16</f>
        <v>4.72408510304579</v>
      </c>
      <c r="AE98" s="79" t="n">
        <f aca="false">+$B$96/AE16</f>
        <v>3.33292076046567</v>
      </c>
      <c r="AF98" s="79" t="n">
        <f aca="false">+$B$96/AF16</f>
        <v>1.99991899101763</v>
      </c>
      <c r="AG98" s="79" t="n">
        <f aca="false">+$B$96/AG16</f>
        <v>1.88404867408293</v>
      </c>
      <c r="AH98" s="79" t="n">
        <f aca="false">+$B$96/AH16</f>
        <v>1.86529654419275</v>
      </c>
      <c r="AI98" s="79" t="n">
        <f aca="false">+$B$96/AI16</f>
        <v>1.64258646857104</v>
      </c>
      <c r="AJ98" s="79" t="n">
        <f aca="false">+$B$96/AJ16</f>
        <v>1.50651138556386</v>
      </c>
      <c r="AK98" s="79" t="n">
        <f aca="false">+$B$96/AK16</f>
        <v>1.39462273885187</v>
      </c>
      <c r="AL98" s="79" t="n">
        <f aca="false">+$B$96/AL16</f>
        <v>1.29725977925768</v>
      </c>
      <c r="AM98" s="80"/>
      <c r="AN98" s="80"/>
      <c r="AO98" s="80"/>
      <c r="AP98" s="80"/>
      <c r="AQ98" s="80"/>
      <c r="AR98" s="80"/>
      <c r="AS98" s="80"/>
      <c r="AT98" s="80"/>
      <c r="AU98" s="80"/>
      <c r="AV98" s="80"/>
      <c r="AW98" s="80"/>
      <c r="AX98" s="80"/>
      <c r="AY98" s="80"/>
    </row>
    <row r="99" customFormat="false" ht="15" hidden="false" customHeight="true" outlineLevel="0" collapsed="false">
      <c r="A99" s="29" t="s">
        <v>314</v>
      </c>
      <c r="B99" s="79" t="n">
        <f aca="false">+B10/B82</f>
        <v>3.44005723595052</v>
      </c>
      <c r="C99" s="79" t="n">
        <f aca="false">+C10/C82</f>
        <v>3.78629580245647</v>
      </c>
      <c r="D99" s="79" t="n">
        <f aca="false">+D10/D82</f>
        <v>3.18108283093274</v>
      </c>
      <c r="E99" s="79" t="n">
        <f aca="false">+E10/E82</f>
        <v>4.2245835750742</v>
      </c>
      <c r="F99" s="79" t="n">
        <f aca="false">+F10/F82</f>
        <v>5.21834666061263</v>
      </c>
      <c r="G99" s="79" t="n">
        <f aca="false">+G10/G82</f>
        <v>4.23420729510885</v>
      </c>
      <c r="H99" s="79" t="n">
        <f aca="false">+H10/H82</f>
        <v>4.29888386732756</v>
      </c>
      <c r="I99" s="79" t="n">
        <f aca="false">+I10/I82</f>
        <v>5.4627508849818</v>
      </c>
      <c r="J99" s="79" t="n">
        <f aca="false">+J10/J82</f>
        <v>5.47945202599871</v>
      </c>
      <c r="K99" s="79" t="n">
        <f aca="false">+K10/K82</f>
        <v>5.52945034432308</v>
      </c>
      <c r="L99" s="79" t="n">
        <f aca="false">+L10/L82</f>
        <v>6.46182806548445</v>
      </c>
      <c r="M99" s="79" t="n">
        <f aca="false">+M10/M82</f>
        <v>8.2554990792826</v>
      </c>
      <c r="N99" s="79" t="n">
        <f aca="false">+N10/N82</f>
        <v>9.58338024153882</v>
      </c>
      <c r="O99" s="79" t="n">
        <f aca="false">+O10/O82</f>
        <v>12.3877651257787</v>
      </c>
      <c r="P99" s="79" t="n">
        <f aca="false">+P10/P82</f>
        <v>15.6826519975526</v>
      </c>
      <c r="Q99" s="79" t="n">
        <f aca="false">+Q10/Q82</f>
        <v>16.7883586150909</v>
      </c>
      <c r="R99" s="79" t="n">
        <f aca="false">+R10/R82</f>
        <v>12.5280568831173</v>
      </c>
      <c r="S99" s="79" t="n">
        <f aca="false">+S10/S82</f>
        <v>14.7943111620922</v>
      </c>
      <c r="T99" s="79" t="n">
        <f aca="false">+T10/T82</f>
        <v>22.7264996519692</v>
      </c>
      <c r="U99" s="79" t="n">
        <f aca="false">+U10/U82</f>
        <v>25.6455334726461</v>
      </c>
      <c r="V99" s="79" t="n">
        <f aca="false">+V10/V82</f>
        <v>24.9909025136431</v>
      </c>
      <c r="W99" s="79" t="n">
        <f aca="false">+W10/W82</f>
        <v>19.846139520724</v>
      </c>
      <c r="X99" s="79" t="n">
        <f aca="false">+X10/X82</f>
        <v>25.4507103251016</v>
      </c>
      <c r="Y99" s="79" t="n">
        <f aca="false">+Y10/Y82</f>
        <v>35.1261722208948</v>
      </c>
      <c r="Z99" s="79" t="n">
        <f aca="false">+Z10/Z82</f>
        <v>37.478159831054</v>
      </c>
      <c r="AA99" s="79" t="n">
        <f aca="false">+AA10/AA82</f>
        <v>45.3083929598771</v>
      </c>
      <c r="AB99" s="79" t="n">
        <f aca="false">+AB10/AB82</f>
        <v>49.4889286322603</v>
      </c>
      <c r="AC99" s="79" t="n">
        <f aca="false">+AC10/AC82</f>
        <v>29.752120592744</v>
      </c>
      <c r="AD99" s="79" t="n">
        <f aca="false">+AD10/AD82</f>
        <v>26.0627661386476</v>
      </c>
      <c r="AE99" s="79" t="n">
        <f aca="false">+AE10/AE82</f>
        <v>36.9413898824732</v>
      </c>
      <c r="AF99" s="79" t="n">
        <f aca="false">+AF10/AF82</f>
        <v>61.5512755015156</v>
      </c>
      <c r="AG99" s="79" t="n">
        <f aca="false">+AG10/AG82</f>
        <v>65.3322719068215</v>
      </c>
      <c r="AH99" s="79" t="n">
        <f aca="false">+AH10/AH82</f>
        <v>65.9845734718202</v>
      </c>
      <c r="AI99" s="79" t="n">
        <f aca="false">+AI10/AI82</f>
        <v>74.9196104802602</v>
      </c>
      <c r="AJ99" s="79" t="n">
        <f aca="false">+AJ10/AJ82</f>
        <v>81.6866965525314</v>
      </c>
      <c r="AK99" s="79" t="n">
        <f aca="false">+AK10/AK82</f>
        <v>88.2403068422651</v>
      </c>
      <c r="AL99" s="79" t="n">
        <f aca="false">+AL10/AL82</f>
        <v>94.8629876399217</v>
      </c>
      <c r="AM99" s="80"/>
      <c r="AN99" s="80"/>
      <c r="AO99" s="80"/>
      <c r="AP99" s="80"/>
      <c r="AQ99" s="80"/>
      <c r="AR99" s="80"/>
      <c r="AS99" s="80"/>
      <c r="AT99" s="80"/>
      <c r="AU99" s="80"/>
      <c r="AV99" s="80"/>
      <c r="AW99" s="80"/>
      <c r="AX99" s="80"/>
      <c r="AY99" s="80"/>
    </row>
    <row r="100" customFormat="false" ht="15" hidden="false" customHeight="true" outlineLevel="0" collapsed="false">
      <c r="A100" s="29"/>
      <c r="B100" s="33" t="s">
        <v>175</v>
      </c>
      <c r="C100" s="33" t="s">
        <v>176</v>
      </c>
      <c r="D100" s="33" t="s">
        <v>177</v>
      </c>
      <c r="E100" s="33" t="s">
        <v>178</v>
      </c>
      <c r="F100" s="33" t="s">
        <v>179</v>
      </c>
      <c r="G100" s="33" t="s">
        <v>180</v>
      </c>
      <c r="H100" s="33" t="s">
        <v>181</v>
      </c>
      <c r="I100" s="33" t="s">
        <v>182</v>
      </c>
      <c r="J100" s="33" t="s">
        <v>183</v>
      </c>
      <c r="K100" s="33" t="s">
        <v>184</v>
      </c>
      <c r="L100" s="33" t="s">
        <v>185</v>
      </c>
      <c r="M100" s="33" t="s">
        <v>186</v>
      </c>
      <c r="N100" s="33" t="s">
        <v>187</v>
      </c>
      <c r="O100" s="33" t="s">
        <v>188</v>
      </c>
      <c r="P100" s="33" t="s">
        <v>189</v>
      </c>
      <c r="Q100" s="33" t="s">
        <v>190</v>
      </c>
      <c r="R100" s="33" t="s">
        <v>191</v>
      </c>
      <c r="S100" s="33" t="s">
        <v>192</v>
      </c>
      <c r="T100" s="33" t="s">
        <v>193</v>
      </c>
      <c r="U100" s="33" t="s">
        <v>194</v>
      </c>
      <c r="V100" s="33" t="s">
        <v>275</v>
      </c>
      <c r="W100" s="33" t="s">
        <v>276</v>
      </c>
      <c r="X100" s="33" t="s">
        <v>277</v>
      </c>
      <c r="Y100" s="33" t="s">
        <v>315</v>
      </c>
      <c r="Z100" s="33" t="s">
        <v>316</v>
      </c>
      <c r="AA100" s="48" t="str">
        <f aca="false">+AA3</f>
        <v>FY2018</v>
      </c>
      <c r="AB100" s="48" t="str">
        <f aca="false">+AB3</f>
        <v>FY2019</v>
      </c>
      <c r="AC100" s="48" t="str">
        <f aca="false">+AC3</f>
        <v>FY2020</v>
      </c>
      <c r="AD100" s="48" t="str">
        <f aca="false">+AD3</f>
        <v>FY2021</v>
      </c>
      <c r="AE100" s="48" t="str">
        <f aca="false">+AE3</f>
        <v>FY2022</v>
      </c>
      <c r="AF100" s="48" t="str">
        <f aca="false">+AF3</f>
        <v>FY2023</v>
      </c>
      <c r="AG100" s="48" t="str">
        <f aca="false">+AG3</f>
        <v>FY2024</v>
      </c>
      <c r="AH100" s="48" t="str">
        <f aca="false">+AH3</f>
        <v>FY2025</v>
      </c>
      <c r="AI100" s="48" t="str">
        <f aca="false">+AI3</f>
        <v>FY2026</v>
      </c>
      <c r="AJ100" s="48" t="str">
        <f aca="false">+AJ3</f>
        <v>FY2027E</v>
      </c>
      <c r="AK100" s="48" t="str">
        <f aca="false">+AK3</f>
        <v>FY2028E</v>
      </c>
      <c r="AL100" s="48" t="str">
        <f aca="false">+AL3</f>
        <v>FY2029E</v>
      </c>
      <c r="AM100" s="43"/>
      <c r="AN100" s="43"/>
      <c r="AO100" s="43"/>
      <c r="AP100" s="43"/>
      <c r="AQ100" s="43"/>
      <c r="AR100" s="43"/>
      <c r="AS100" s="43"/>
      <c r="AT100" s="43"/>
      <c r="AU100" s="43"/>
      <c r="AV100" s="43"/>
      <c r="AW100" s="43"/>
      <c r="AX100" s="43"/>
      <c r="AY100" s="43"/>
    </row>
    <row r="101" customFormat="false" ht="15" hidden="false" customHeight="true" outlineLevel="0" collapsed="false">
      <c r="A101" s="51" t="s">
        <v>317</v>
      </c>
      <c r="B101" s="55" t="n">
        <f aca="false">+B610-B658-B638</f>
        <v>4211.56</v>
      </c>
      <c r="C101" s="55" t="n">
        <f aca="false">+C610-C658-C638</f>
        <v>4954.64</v>
      </c>
      <c r="D101" s="55" t="n">
        <f aca="false">+D610-D658-D638</f>
        <v>4680.07</v>
      </c>
      <c r="E101" s="55" t="n">
        <f aca="false">+E610-E658-E638</f>
        <v>8360.11</v>
      </c>
      <c r="F101" s="55" t="n">
        <f aca="false">+F610-F658-F638</f>
        <v>11415.7</v>
      </c>
      <c r="G101" s="55" t="n">
        <f aca="false">+G610-G658-G638</f>
        <v>12264.76</v>
      </c>
      <c r="H101" s="55" t="n">
        <f aca="false">+H610-H658-H638</f>
        <v>8825.39</v>
      </c>
      <c r="I101" s="55" t="n">
        <f aca="false">+I610-I658-I638</f>
        <v>8526.46</v>
      </c>
      <c r="J101" s="55" t="n">
        <f aca="false">+J610-J658-J638</f>
        <v>6918.12</v>
      </c>
      <c r="K101" s="55" t="n">
        <f aca="false">+K610-K658-K638</f>
        <v>5856.12</v>
      </c>
      <c r="L101" s="55" t="n">
        <f aca="false">+L610-L658-L638</f>
        <v>4591.19</v>
      </c>
      <c r="M101" s="55" t="n">
        <f aca="false">+M610-M658-M638</f>
        <v>1107.13</v>
      </c>
      <c r="N101" s="55" t="n">
        <f aca="false">+N610-N658-N638</f>
        <v>-1293.92</v>
      </c>
      <c r="O101" s="55" t="n">
        <f aca="false">+O610-O658-O638</f>
        <v>-2491.86</v>
      </c>
      <c r="P101" s="55" t="n">
        <f aca="false">+P610-P658-P638</f>
        <v>331.559999999999</v>
      </c>
      <c r="Q101" s="55" t="n">
        <f aca="false">+Q610-Q658-Q638</f>
        <v>-1167.73</v>
      </c>
      <c r="R101" s="55" t="n">
        <f aca="false">+R610-R658-R638</f>
        <v>16994.589</v>
      </c>
      <c r="S101" s="55" t="n">
        <f aca="false">+S610-S658-S638</f>
        <v>15669.307</v>
      </c>
      <c r="T101" s="55" t="n">
        <f aca="false">+T610-T658-T638</f>
        <v>19727.054</v>
      </c>
      <c r="U101" s="55" t="n">
        <f aca="false">+U610-U658-U638</f>
        <v>22355.996</v>
      </c>
      <c r="V101" s="55" t="n">
        <f aca="false">+V610-V658-V638</f>
        <v>30739.911</v>
      </c>
      <c r="W101" s="55" t="n">
        <f aca="false">+W610-W658-W638</f>
        <v>40661.172</v>
      </c>
      <c r="X101" s="55" t="n">
        <f aca="false">+X610-X658-X638</f>
        <v>21899.877</v>
      </c>
      <c r="Y101" s="55" t="n">
        <f aca="false">+Y610-Y658-Y638</f>
        <v>8218.525</v>
      </c>
      <c r="Z101" s="55" t="n">
        <f aca="false">+Z610-Z658-Z638</f>
        <v>3557.054</v>
      </c>
      <c r="AA101" s="55" t="n">
        <f aca="false">+AA610-AA658-AA638</f>
        <v>-30572.456</v>
      </c>
      <c r="AB101" s="55" t="n">
        <f aca="false">+AB610-AB658-AB638</f>
        <v>-7412.3</v>
      </c>
      <c r="AC101" s="55" t="n">
        <f aca="false">+AC610-AC658-AC638</f>
        <v>19588.9</v>
      </c>
      <c r="AD101" s="55" t="n">
        <f aca="false">+AD610-AD658-AD638</f>
        <v>30183</v>
      </c>
      <c r="AE101" s="55" t="n">
        <f aca="false">+AE610-AE658-AE638</f>
        <v>12088.7</v>
      </c>
      <c r="AF101" s="55" t="n">
        <f aca="false">+AF610-AF658-AF638</f>
        <v>-478.800000000003</v>
      </c>
      <c r="AG101" s="55" t="n">
        <f aca="false">+AG610-AG658-AG638</f>
        <v>-13878.4</v>
      </c>
      <c r="AH101" s="55" t="n">
        <f aca="false">+AH610-AH658-AH638</f>
        <v>-42429.3</v>
      </c>
      <c r="AI101" s="55" t="n">
        <f aca="false">+AI610-AI658-AI638</f>
        <v>-59017.2</v>
      </c>
      <c r="AJ101" s="55" t="n">
        <f aca="false">+AJ610-AJ658-AJ638</f>
        <v>-69724.188568351</v>
      </c>
      <c r="AK101" s="55" t="n">
        <f aca="false">+AK610-AK658-AK638</f>
        <v>-93625.4277438045</v>
      </c>
      <c r="AL101" s="55" t="n">
        <f aca="false">+AL610-AL658-AL638</f>
        <v>-120404.609946719</v>
      </c>
      <c r="AM101" s="53"/>
      <c r="AN101" s="53"/>
      <c r="AO101" s="53"/>
      <c r="AP101" s="53"/>
      <c r="AQ101" s="53"/>
      <c r="AR101" s="53"/>
      <c r="AS101" s="53"/>
      <c r="AT101" s="53"/>
      <c r="AU101" s="53"/>
      <c r="AV101" s="53"/>
      <c r="AW101" s="53"/>
      <c r="AX101" s="53"/>
      <c r="AY101" s="53"/>
    </row>
    <row r="102" customFormat="false" ht="15" hidden="false" customHeight="true" outlineLevel="0" collapsed="false">
      <c r="A102" s="29"/>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59" t="n">
        <f aca="false">+AC101/AC43</f>
        <v>1.66905806671495</v>
      </c>
      <c r="AD102" s="59" t="n">
        <f aca="false">+AD101/AD43</f>
        <v>5.64020630115484</v>
      </c>
      <c r="AE102" s="43"/>
      <c r="AF102" s="43"/>
      <c r="AG102" s="43"/>
      <c r="AH102" s="43"/>
      <c r="AI102" s="43"/>
      <c r="AJ102" s="43"/>
      <c r="AK102" s="43"/>
      <c r="AL102" s="43"/>
      <c r="AM102" s="43"/>
      <c r="AN102" s="43"/>
      <c r="AO102" s="43"/>
      <c r="AP102" s="43"/>
      <c r="AQ102" s="43"/>
      <c r="AR102" s="43"/>
      <c r="AS102" s="43"/>
      <c r="AT102" s="43"/>
      <c r="AU102" s="43"/>
      <c r="AV102" s="43"/>
      <c r="AW102" s="43"/>
      <c r="AX102" s="43"/>
      <c r="AY102" s="43"/>
    </row>
    <row r="103" customFormat="false" ht="15" hidden="false" customHeight="true" outlineLevel="0" collapsed="false">
      <c r="A103" s="29" t="s">
        <v>318</v>
      </c>
      <c r="B103" s="31" t="n">
        <f aca="false">+$B$96+B610-B658-B638</f>
        <v>727065.08</v>
      </c>
      <c r="C103" s="31" t="n">
        <f aca="false">+$B$96+C610-C658-C638</f>
        <v>727808.16</v>
      </c>
      <c r="D103" s="31" t="n">
        <f aca="false">+$B$96+D610-D658-D638</f>
        <v>727533.59</v>
      </c>
      <c r="E103" s="31" t="n">
        <f aca="false">+$B$96+E610-E658-E638</f>
        <v>731213.63</v>
      </c>
      <c r="F103" s="31" t="n">
        <f aca="false">+$B$96+F610-F658-F638</f>
        <v>734269.22</v>
      </c>
      <c r="G103" s="31" t="n">
        <f aca="false">+$B$96+G610-G658-G638</f>
        <v>735118.28</v>
      </c>
      <c r="H103" s="31" t="n">
        <f aca="false">+$B$96+H610-H658-H638</f>
        <v>731678.91</v>
      </c>
      <c r="I103" s="31" t="n">
        <f aca="false">+$B$96+I610-I658-I638</f>
        <v>731379.98</v>
      </c>
      <c r="J103" s="31" t="n">
        <f aca="false">+$B$96+J610-J658-J638</f>
        <v>729771.64</v>
      </c>
      <c r="K103" s="31" t="n">
        <f aca="false">+$B$96+K610-K658-K638</f>
        <v>728709.64</v>
      </c>
      <c r="L103" s="31" t="n">
        <f aca="false">+$B$96+L610-L658-L638</f>
        <v>727444.71</v>
      </c>
      <c r="M103" s="31" t="n">
        <f aca="false">+$B$96+M610-M658-M638</f>
        <v>723960.65</v>
      </c>
      <c r="N103" s="31" t="n">
        <f aca="false">+$B$96+N610-N658-N638</f>
        <v>721559.6</v>
      </c>
      <c r="O103" s="31" t="n">
        <f aca="false">+$B$96+O610-O658-O638</f>
        <v>720361.66</v>
      </c>
      <c r="P103" s="31" t="n">
        <f aca="false">+$B$96+P610-P658-P638</f>
        <v>723185.08</v>
      </c>
      <c r="Q103" s="31" t="n">
        <f aca="false">+$B$96+Q610-Q658-Q638</f>
        <v>721685.79</v>
      </c>
      <c r="R103" s="31" t="n">
        <f aca="false">+$B$96+R610-R658-R638</f>
        <v>739848.109</v>
      </c>
      <c r="S103" s="31" t="n">
        <f aca="false">+$B$96+S610-S658-S638</f>
        <v>738522.827</v>
      </c>
      <c r="T103" s="31" t="n">
        <f aca="false">+$B$96+T610-T658-T638</f>
        <v>742580.574</v>
      </c>
      <c r="U103" s="31" t="n">
        <f aca="false">+$B$96+U610-U658-U638</f>
        <v>745209.516</v>
      </c>
      <c r="V103" s="31" t="n">
        <f aca="false">+$B$96+V610-V658-V638</f>
        <v>753593.431</v>
      </c>
      <c r="W103" s="31" t="n">
        <f aca="false">+$B$96+W610-W658-W638</f>
        <v>763514.692</v>
      </c>
      <c r="X103" s="31" t="n">
        <f aca="false">+$B$96+X610-X658-X638</f>
        <v>744753.397</v>
      </c>
      <c r="Y103" s="31" t="n">
        <f aca="false">+$B$96+Y610-Y658-Y638</f>
        <v>731072.045</v>
      </c>
      <c r="Z103" s="31" t="n">
        <f aca="false">+$B$96+Z610-Z658-Z638</f>
        <v>726410.574</v>
      </c>
      <c r="AA103" s="31" t="n">
        <f aca="false">+$B$96+AA610-AA658-AA638</f>
        <v>692281.064</v>
      </c>
      <c r="AB103" s="31" t="n">
        <f aca="false">+$B$96+AB610-AB658-AB638</f>
        <v>715441.22</v>
      </c>
      <c r="AC103" s="31" t="n">
        <f aca="false">+$B$96+AC610-AC658-AC638</f>
        <v>742442.42</v>
      </c>
      <c r="AD103" s="31" t="n">
        <f aca="false">+$B$96+AD610-AD658-AD638</f>
        <v>753036.52</v>
      </c>
      <c r="AE103" s="31" t="n">
        <f aca="false">+$B$96+AE610-AE658-AE638</f>
        <v>734942.22</v>
      </c>
      <c r="AF103" s="31" t="n">
        <f aca="false">+$B$96+AF610-AF658-AF638</f>
        <v>722374.72</v>
      </c>
      <c r="AG103" s="31" t="n">
        <f aca="false">+$B$96+AG610-AG658-AG638</f>
        <v>708975.12</v>
      </c>
      <c r="AH103" s="31" t="n">
        <f aca="false">+$B$96+AH610-AH658-AH638</f>
        <v>680424.22</v>
      </c>
      <c r="AI103" s="31" t="n">
        <f aca="false">+$B$96+AI610-AI658-AI638</f>
        <v>663836.32</v>
      </c>
      <c r="AJ103" s="31" t="n">
        <f aca="false">+$B$96+AJ610-AJ658-AJ638</f>
        <v>653129.331431649</v>
      </c>
      <c r="AK103" s="31" t="n">
        <f aca="false">+$B$96+AK610-AK658-AK638</f>
        <v>629228.092256196</v>
      </c>
      <c r="AL103" s="31" t="n">
        <f aca="false">+$B$96+AL610-AL658-AL638</f>
        <v>602448.910053281</v>
      </c>
      <c r="AM103" s="30"/>
      <c r="AN103" s="30"/>
      <c r="AO103" s="30"/>
      <c r="AP103" s="30"/>
      <c r="AQ103" s="30"/>
      <c r="AR103" s="30"/>
      <c r="AS103" s="30"/>
      <c r="AT103" s="30"/>
      <c r="AU103" s="30"/>
      <c r="AV103" s="30"/>
      <c r="AW103" s="30"/>
      <c r="AX103" s="30"/>
      <c r="AY103" s="30"/>
    </row>
    <row r="104" customFormat="false" ht="15" hidden="false" customHeight="true" outlineLevel="0" collapsed="false">
      <c r="A104" s="29" t="s">
        <v>319</v>
      </c>
      <c r="B104" s="79" t="n">
        <f aca="false">+B103/B82</f>
        <v>262.054539949828</v>
      </c>
      <c r="C104" s="79" t="n">
        <f aca="false">+C103/C82</f>
        <v>233.277827636606</v>
      </c>
      <c r="D104" s="79" t="n">
        <f aca="false">+D103/D82</f>
        <v>152.934437773798</v>
      </c>
      <c r="E104" s="79" t="n">
        <f aca="false">+E103/E82</f>
        <v>153.708016968107</v>
      </c>
      <c r="F104" s="79" t="n">
        <f aca="false">+F103/F82</f>
        <v>154.350330869679</v>
      </c>
      <c r="G104" s="79" t="n">
        <f aca="false">+G103/G82</f>
        <v>154.528811307587</v>
      </c>
      <c r="H104" s="79" t="n">
        <f aca="false">+H103/H82</f>
        <v>153.805823222259</v>
      </c>
      <c r="I104" s="79" t="n">
        <f aca="false">+I103/I82</f>
        <v>153.742985310563</v>
      </c>
      <c r="J104" s="79" t="n">
        <f aca="false">+J103/J82</f>
        <v>153.40489703941</v>
      </c>
      <c r="K104" s="79" t="n">
        <f aca="false">+K103/K82</f>
        <v>153.181654600644</v>
      </c>
      <c r="L104" s="79" t="n">
        <f aca="false">+L103/L82</f>
        <v>152.915754357642</v>
      </c>
      <c r="M104" s="79" t="n">
        <f aca="false">+M103/M82</f>
        <v>152.183372011873</v>
      </c>
      <c r="N104" s="79" t="n">
        <f aca="false">+N103/N82</f>
        <v>143.724271695832</v>
      </c>
      <c r="O104" s="79" t="n">
        <f aca="false">+O103/O82</f>
        <v>147.422961058948</v>
      </c>
      <c r="P104" s="79" t="n">
        <f aca="false">+P103/P82</f>
        <v>136.566483113901</v>
      </c>
      <c r="Q104" s="79" t="n">
        <f aca="false">+Q103/Q82</f>
        <v>135.62055376821</v>
      </c>
      <c r="R104" s="79" t="n">
        <f aca="false">+R103/R82</f>
        <v>139.033441964547</v>
      </c>
      <c r="S104" s="79" t="n">
        <f aca="false">+S103/S82</f>
        <v>138.784392847854</v>
      </c>
      <c r="T104" s="79" t="n">
        <f aca="false">+T103/T82</f>
        <v>139.546931165069</v>
      </c>
      <c r="U104" s="79" t="n">
        <f aca="false">+U103/U82</f>
        <v>140.041176691673</v>
      </c>
      <c r="V104" s="79" t="n">
        <f aca="false">+V103/V82</f>
        <v>141.616697799059</v>
      </c>
      <c r="W104" s="79" t="n">
        <f aca="false">+W103/W82</f>
        <v>143.481119864095</v>
      </c>
      <c r="X104" s="79" t="n">
        <f aca="false">+X103/X82</f>
        <v>130.847645895119</v>
      </c>
      <c r="Y104" s="79" t="n">
        <f aca="false">+Y103/Y82</f>
        <v>128.443933862285</v>
      </c>
      <c r="Z104" s="79" t="n">
        <f aca="false">+Z103/Z82</f>
        <v>127.624947994996</v>
      </c>
      <c r="AA104" s="79" t="n">
        <f aca="false">+AA103/AA82</f>
        <v>118.253420099293</v>
      </c>
      <c r="AB104" s="79" t="n">
        <f aca="false">+AB103/AB82</f>
        <v>121.860197581332</v>
      </c>
      <c r="AC104" s="79" t="n">
        <f aca="false">+AC103/AC82</f>
        <v>126.459277806166</v>
      </c>
      <c r="AD104" s="79" t="n">
        <f aca="false">+AD103/AD82</f>
        <v>128.263757451882</v>
      </c>
      <c r="AE104" s="79" t="n">
        <f aca="false">+AE103/AE82</f>
        <v>125.181778231988</v>
      </c>
      <c r="AF104" s="79" t="n">
        <f aca="false">+AF103/AF82</f>
        <v>123.016028064439</v>
      </c>
      <c r="AG104" s="79" t="n">
        <f aca="false">+AG103/AG82</f>
        <v>120.72593399857</v>
      </c>
      <c r="AH104" s="79" t="n">
        <f aca="false">+AH103/AH82</f>
        <v>115.856328963051</v>
      </c>
      <c r="AI104" s="79" t="n">
        <f aca="false">+AI103/AI82</f>
        <v>113.01457634621</v>
      </c>
      <c r="AJ104" s="79" t="n">
        <f aca="false">+AJ103/AJ82</f>
        <v>111.191768915312</v>
      </c>
      <c r="AK104" s="79" t="n">
        <f aca="false">+AK103/AK82</f>
        <v>107.122711019288</v>
      </c>
      <c r="AL104" s="79" t="n">
        <f aca="false">+AL103/AL82</f>
        <v>102.563698744153</v>
      </c>
      <c r="AM104" s="80"/>
      <c r="AN104" s="80"/>
      <c r="AO104" s="80"/>
      <c r="AP104" s="80"/>
      <c r="AQ104" s="80"/>
      <c r="AR104" s="80"/>
      <c r="AS104" s="80"/>
      <c r="AT104" s="80"/>
      <c r="AU104" s="80"/>
      <c r="AV104" s="80"/>
      <c r="AW104" s="80"/>
      <c r="AX104" s="80"/>
      <c r="AY104" s="80"/>
    </row>
    <row r="105" customFormat="false" ht="15" hidden="false" customHeight="true" outlineLevel="0" collapsed="false">
      <c r="A105" s="29" t="s">
        <v>320</v>
      </c>
      <c r="B105" s="79" t="n">
        <f aca="false">+B103/B43</f>
        <v>1160.8524077149</v>
      </c>
      <c r="C105" s="79" t="n">
        <f aca="false">+C103/C43</f>
        <v>829.571723296821</v>
      </c>
      <c r="D105" s="79" t="n">
        <f aca="false">+D103/D43</f>
        <v>673.268175087916</v>
      </c>
      <c r="E105" s="79" t="n">
        <f aca="false">+E103/E43</f>
        <v>502.835708096659</v>
      </c>
      <c r="F105" s="79" t="n">
        <f aca="false">+F103/F43</f>
        <v>320.634580031004</v>
      </c>
      <c r="G105" s="79" t="n">
        <f aca="false">+G103/G43</f>
        <v>474.998727983617</v>
      </c>
      <c r="H105" s="79" t="n">
        <f aca="false">+H103/H43</f>
        <v>441.91024246105</v>
      </c>
      <c r="I105" s="79" t="n">
        <f aca="false">+I103/I43</f>
        <v>280.414529504909</v>
      </c>
      <c r="J105" s="79" t="n">
        <f aca="false">+J103/J43</f>
        <v>254.075759158294</v>
      </c>
      <c r="K105" s="79" t="n">
        <f aca="false">+K103/K43</f>
        <v>246.041887680511</v>
      </c>
      <c r="L105" s="79" t="n">
        <f aca="false">+L103/L43</f>
        <v>222.44042883047</v>
      </c>
      <c r="M105" s="79" t="n">
        <f aca="false">+M103/M43</f>
        <v>183.465106790605</v>
      </c>
      <c r="N105" s="79" t="n">
        <f aca="false">+N103/N43</f>
        <v>170.641977060423</v>
      </c>
      <c r="O105" s="79" t="n">
        <f aca="false">+O103/O43</f>
        <v>133.383017016313</v>
      </c>
      <c r="P105" s="79" t="n">
        <f aca="false">+P103/P43</f>
        <v>102.917392572774</v>
      </c>
      <c r="Q105" s="79" t="n">
        <f aca="false">+Q103/Q43</f>
        <v>89.7631422817974</v>
      </c>
      <c r="R105" s="79" t="n">
        <f aca="false">+R103/R43</f>
        <v>157.603917772659</v>
      </c>
      <c r="S105" s="79" t="n">
        <f aca="false">+S103/S43</f>
        <v>96.8123981846234</v>
      </c>
      <c r="T105" s="79" t="n">
        <f aca="false">+T103/T43</f>
        <v>58.5835855638569</v>
      </c>
      <c r="U105" s="79" t="n">
        <f aca="false">+U103/U43</f>
        <v>59.8785599245598</v>
      </c>
      <c r="V105" s="79" t="n">
        <f aca="false">+V103/V43</f>
        <v>85.9806830435282</v>
      </c>
      <c r="W105" s="79" t="n">
        <f aca="false">+W103/W43</f>
        <v>458.395862689222</v>
      </c>
      <c r="X105" s="79" t="n">
        <f aca="false">+X103/X43</f>
        <v>72.5432446840581</v>
      </c>
      <c r="Y105" s="79" t="n">
        <f aca="false">+Y103/Y43</f>
        <v>32.4253508700381</v>
      </c>
      <c r="Z105" s="79" t="n">
        <f aca="false">+Z103/Z43</f>
        <v>32.9806267971319</v>
      </c>
      <c r="AA105" s="79" t="n">
        <f aca="false">+AA103/AA43</f>
        <v>25.2751347974084</v>
      </c>
      <c r="AB105" s="79" t="n">
        <f aca="false">+AB103/AB43</f>
        <v>22.8157060215452</v>
      </c>
      <c r="AC105" s="79" t="n">
        <f aca="false">+AC103/AC43</f>
        <v>63.2592697993439</v>
      </c>
      <c r="AD105" s="79" t="n">
        <f aca="false">+AD103/AD43</f>
        <v>140.717666405053</v>
      </c>
      <c r="AE105" s="79" t="n">
        <f aca="false">+AE103/AE43</f>
        <v>73.8991895587821</v>
      </c>
      <c r="AF105" s="79" t="n">
        <f aca="false">+AF103/AF43</f>
        <v>24.648538574402</v>
      </c>
      <c r="AG105" s="79" t="n">
        <f aca="false">+AG103/AG43</f>
        <v>15.3904875200257</v>
      </c>
      <c r="AH105" s="79" t="n">
        <f aca="false">+AH103/AH43</f>
        <v>13.8001407548027</v>
      </c>
      <c r="AI105" s="79" t="n">
        <f aca="false">+AI103/AI43</f>
        <v>11.580728684199</v>
      </c>
      <c r="AJ105" s="79" t="n">
        <f aca="false">+AJ103/AJ43</f>
        <v>11.3497927862787</v>
      </c>
      <c r="AK105" s="79" t="n">
        <f aca="false">+AK103/AK43</f>
        <v>9.85569099253008</v>
      </c>
      <c r="AL105" s="79" t="n">
        <f aca="false">+AL103/AL43</f>
        <v>8.8247223132485</v>
      </c>
      <c r="AM105" s="80"/>
      <c r="AN105" s="80"/>
      <c r="AO105" s="80"/>
      <c r="AP105" s="80"/>
      <c r="AQ105" s="80"/>
      <c r="AR105" s="80"/>
      <c r="AS105" s="80"/>
      <c r="AT105" s="80"/>
      <c r="AU105" s="80"/>
      <c r="AV105" s="80"/>
      <c r="AW105" s="80"/>
      <c r="AX105" s="80"/>
      <c r="AY105" s="80"/>
    </row>
    <row r="106" customFormat="false" ht="15" hidden="false" customHeight="true" outlineLevel="0" collapsed="false">
      <c r="A106" s="29" t="s">
        <v>321</v>
      </c>
      <c r="B106" s="79" t="n">
        <f aca="false">+B103/B62</f>
        <v>2019.1765163297</v>
      </c>
      <c r="C106" s="79" t="n">
        <f aca="false">+C103/C62</f>
        <v>1068.10707367185</v>
      </c>
      <c r="D106" s="79" t="n">
        <f aca="false">+D103/D62</f>
        <v>662.786023376364</v>
      </c>
      <c r="E106" s="79" t="n">
        <f aca="false">+E103/E62</f>
        <v>436.056026668574</v>
      </c>
      <c r="F106" s="79" t="n">
        <f aca="false">+F103/F62</f>
        <v>385.376401988108</v>
      </c>
      <c r="G106" s="79" t="n">
        <f aca="false">+G103/G62</f>
        <v>826.206212867668</v>
      </c>
      <c r="H106" s="79" t="n">
        <f aca="false">+H103/H62</f>
        <v>755.01773252771</v>
      </c>
      <c r="I106" s="79" t="n">
        <f aca="false">+I103/I62</f>
        <v>454.470875535948</v>
      </c>
      <c r="J106" s="79" t="n">
        <f aca="false">+J103/J62</f>
        <v>393.410012991984</v>
      </c>
      <c r="K106" s="79" t="n">
        <f aca="false">+K103/K62</f>
        <v>380.221461592244</v>
      </c>
      <c r="L106" s="79" t="n">
        <f aca="false">+L103/L62</f>
        <v>310.977466847923</v>
      </c>
      <c r="M106" s="79" t="n">
        <f aca="false">+M103/M62</f>
        <v>241.680320343979</v>
      </c>
      <c r="N106" s="79" t="n">
        <f aca="false">+N103/N62</f>
        <v>209.300493438457</v>
      </c>
      <c r="O106" s="79" t="n">
        <f aca="false">+O103/O62</f>
        <v>165.432358993843</v>
      </c>
      <c r="P106" s="79" t="n">
        <f aca="false">+P103/P62</f>
        <v>119.547370300329</v>
      </c>
      <c r="Q106" s="79" t="n">
        <f aca="false">+Q103/Q62</f>
        <v>109.444500218378</v>
      </c>
      <c r="R106" s="79" t="n">
        <f aca="false">+R103/R62</f>
        <v>173.104701412637</v>
      </c>
      <c r="S106" s="79" t="n">
        <f aca="false">+S103/S62</f>
        <v>117.030033875067</v>
      </c>
      <c r="T106" s="79" t="n">
        <f aca="false">+T103/T62</f>
        <v>78.2709874450093</v>
      </c>
      <c r="U106" s="79" t="n">
        <f aca="false">+U103/U62</f>
        <v>81.2490204886218</v>
      </c>
      <c r="V106" s="79" t="n">
        <f aca="false">+V103/V62</f>
        <v>143.559626055918</v>
      </c>
      <c r="W106" s="79" t="n">
        <f aca="false">+W103/W62</f>
        <v>-769.347887684406</v>
      </c>
      <c r="X106" s="79" t="n">
        <f aca="false">+X103/X62</f>
        <v>114.541004031333</v>
      </c>
      <c r="Y106" s="79" t="n">
        <f aca="false">+Y103/Y62</f>
        <v>49.5387234523926</v>
      </c>
      <c r="Z106" s="79" t="n">
        <f aca="false">+Z103/Z62</f>
        <v>41.2514501831605</v>
      </c>
      <c r="AA106" s="79" t="n">
        <f aca="false">+AA103/AA62</f>
        <v>32.511017864079</v>
      </c>
      <c r="AB106" s="79" t="n">
        <f aca="false">+AB103/AB62</f>
        <v>26.9957240995216</v>
      </c>
      <c r="AC106" s="79" t="n">
        <f aca="false">+AC103/AC62</f>
        <v>72.3497634442133</v>
      </c>
      <c r="AD106" s="79" t="n">
        <f aca="false">+AD103/AD62</f>
        <v>169.959773623658</v>
      </c>
      <c r="AE106" s="79" t="n">
        <f aca="false">+AE103/AE62</f>
        <v>80.6328497724822</v>
      </c>
      <c r="AF106" s="79" t="n">
        <f aca="false">+AF103/AF62</f>
        <v>35.2616573412493</v>
      </c>
      <c r="AG106" s="79" t="n">
        <f aca="false">+AG103/AG62</f>
        <v>20.8156595624741</v>
      </c>
      <c r="AH106" s="79" t="n">
        <f aca="false">+AH103/AH62</f>
        <v>17.2484945812021</v>
      </c>
      <c r="AI106" s="79" t="n">
        <f aca="false">+AI103/AI62</f>
        <v>14.3401952821221</v>
      </c>
      <c r="AJ106" s="79" t="n">
        <f aca="false">+AJ103/AJ62</f>
        <v>14.0026449225917</v>
      </c>
      <c r="AK106" s="79" t="n">
        <f aca="false">+AK103/AK62</f>
        <v>12.1104323667774</v>
      </c>
      <c r="AL106" s="79" t="n">
        <f aca="false">+AL103/AL62</f>
        <v>10.76392680617</v>
      </c>
      <c r="AM106" s="80"/>
      <c r="AN106" s="80"/>
      <c r="AO106" s="80"/>
      <c r="AP106" s="80"/>
      <c r="AQ106" s="80"/>
      <c r="AR106" s="80"/>
      <c r="AS106" s="80"/>
      <c r="AT106" s="80"/>
      <c r="AU106" s="80"/>
      <c r="AV106" s="80"/>
      <c r="AW106" s="80"/>
      <c r="AX106" s="80"/>
      <c r="AY106" s="80"/>
    </row>
    <row r="107" customFormat="false" ht="15" hidden="false" customHeight="true" outlineLevel="0" collapsed="false">
      <c r="A107" s="29" t="s">
        <v>322</v>
      </c>
      <c r="B107" s="49" t="n">
        <f aca="false">+B103/B10</f>
        <v>76.1773778677901</v>
      </c>
      <c r="C107" s="49" t="n">
        <f aca="false">+C103/C10</f>
        <v>61.6110942745836</v>
      </c>
      <c r="D107" s="49" t="n">
        <f aca="false">+D103/D10</f>
        <v>48.0762199231873</v>
      </c>
      <c r="E107" s="49" t="n">
        <f aca="false">+E103/E10</f>
        <v>36.3841818339236</v>
      </c>
      <c r="F107" s="49" t="n">
        <f aca="false">+F103/F10</f>
        <v>29.5783973178121</v>
      </c>
      <c r="G107" s="49" t="n">
        <f aca="false">+G103/G10</f>
        <v>36.4953344362925</v>
      </c>
      <c r="H107" s="49" t="n">
        <f aca="false">+H103/H10</f>
        <v>35.7780828626741</v>
      </c>
      <c r="I107" s="49" t="n">
        <f aca="false">+I103/I10</f>
        <v>28.1438763267119</v>
      </c>
      <c r="J107" s="49" t="n">
        <f aca="false">+J103/J10</f>
        <v>27.99639385682</v>
      </c>
      <c r="K107" s="49" t="n">
        <f aca="false">+K103/K10</f>
        <v>27.7028719062304</v>
      </c>
      <c r="L107" s="49" t="n">
        <f aca="false">+L103/L10</f>
        <v>23.6644727789082</v>
      </c>
      <c r="M107" s="49" t="n">
        <f aca="false">+M103/M10</f>
        <v>18.4341819374411</v>
      </c>
      <c r="N107" s="49" t="n">
        <f aca="false">+N103/N10</f>
        <v>14.9972418993524</v>
      </c>
      <c r="O107" s="49" t="n">
        <f aca="false">+O103/O10</f>
        <v>11.9006906865035</v>
      </c>
      <c r="P107" s="49" t="n">
        <f aca="false">+P103/P10</f>
        <v>8.70812431055748</v>
      </c>
      <c r="Q107" s="49" t="n">
        <f aca="false">+Q103/Q10</f>
        <v>8.0782497489839</v>
      </c>
      <c r="R107" s="49" t="n">
        <f aca="false">+R103/R10</f>
        <v>11.097765859597</v>
      </c>
      <c r="S107" s="49" t="n">
        <f aca="false">+S103/S10</f>
        <v>9.38092969164154</v>
      </c>
      <c r="T107" s="49" t="n">
        <f aca="false">+T103/T10</f>
        <v>6.1402738346016</v>
      </c>
      <c r="U107" s="49" t="n">
        <f aca="false">+U103/U10</f>
        <v>5.46064587976081</v>
      </c>
      <c r="V107" s="49" t="n">
        <f aca="false">+V103/V10</f>
        <v>5.6667300319285</v>
      </c>
      <c r="W107" s="49" t="n">
        <f aca="false">+W103/W10</f>
        <v>7.22967404891349</v>
      </c>
      <c r="X107" s="49" t="n">
        <f aca="false">+X103/X10</f>
        <v>5.14121783729022</v>
      </c>
      <c r="Y107" s="49" t="n">
        <f aca="false">+Y103/Y10</f>
        <v>3.65664476774046</v>
      </c>
      <c r="Z107" s="49" t="n">
        <f aca="false">+Z103/Z10</f>
        <v>3.4053152174576</v>
      </c>
      <c r="AA107" s="49" t="n">
        <f aca="false">+AA103/AA10</f>
        <v>2.60996721300647</v>
      </c>
      <c r="AB107" s="49" t="n">
        <f aca="false">+AB103/AB10</f>
        <v>2.46237291752352</v>
      </c>
      <c r="AC107" s="49" t="n">
        <f aca="false">+AC103/AC10</f>
        <v>4.25042905469424</v>
      </c>
      <c r="AD107" s="49" t="n">
        <f aca="false">+AD103/AD10</f>
        <v>4.92134091867111</v>
      </c>
      <c r="AE107" s="49" t="n">
        <f aca="false">+AE103/AE10</f>
        <v>3.38865913356931</v>
      </c>
      <c r="AF107" s="49" t="n">
        <f aca="false">+AF103/AF10</f>
        <v>1.99859429495348</v>
      </c>
      <c r="AG107" s="49" t="n">
        <f aca="false">+AG103/AG10</f>
        <v>1.84787594974122</v>
      </c>
      <c r="AH107" s="49" t="n">
        <f aca="false">+AH103/AH10</f>
        <v>1.75580931825724</v>
      </c>
      <c r="AI107" s="49" t="n">
        <f aca="false">+AI103/AI10</f>
        <v>1.50847789546352</v>
      </c>
      <c r="AJ107" s="49" t="n">
        <f aca="false">+AJ103/AJ10</f>
        <v>1.36119801152451</v>
      </c>
      <c r="AK107" s="49" t="n">
        <f aca="false">+AK103/AK10</f>
        <v>1.21398842380247</v>
      </c>
      <c r="AL107" s="49" t="n">
        <f aca="false">+AL103/AL10</f>
        <v>1.0811771935063</v>
      </c>
      <c r="AM107" s="36"/>
      <c r="AN107" s="36"/>
      <c r="AO107" s="36"/>
      <c r="AP107" s="36"/>
      <c r="AQ107" s="36"/>
      <c r="AR107" s="36"/>
      <c r="AS107" s="36"/>
      <c r="AT107" s="36"/>
      <c r="AU107" s="36"/>
      <c r="AV107" s="36"/>
      <c r="AW107" s="36"/>
      <c r="AX107" s="36"/>
      <c r="AY107" s="36"/>
    </row>
    <row r="108" customFormat="false" ht="15" hidden="false" customHeight="true" outlineLevel="0" collapsed="false">
      <c r="A108" s="29" t="s">
        <v>323</v>
      </c>
      <c r="B108" s="49" t="n">
        <f aca="false">+B103/B16</f>
        <v>88.5178279888529</v>
      </c>
      <c r="C108" s="49" t="n">
        <f aca="false">+C103/C16</f>
        <v>68.7292929121233</v>
      </c>
      <c r="D108" s="49" t="n">
        <f aca="false">+D103/D16</f>
        <v>54.5312507729589</v>
      </c>
      <c r="E108" s="49" t="n">
        <f aca="false">+E103/E16</f>
        <v>40.8549675686216</v>
      </c>
      <c r="F108" s="49" t="n">
        <f aca="false">+F103/F16</f>
        <v>33.6620623702606</v>
      </c>
      <c r="G108" s="49" t="n">
        <f aca="false">+G103/G16</f>
        <v>41.560513938943</v>
      </c>
      <c r="H108" s="49" t="n">
        <f aca="false">+H103/H16</f>
        <v>40.2314751053952</v>
      </c>
      <c r="I108" s="49" t="n">
        <f aca="false">+I103/I16</f>
        <v>32.4588342015592</v>
      </c>
      <c r="J108" s="49" t="n">
        <f aca="false">+J103/J16</f>
        <v>32.4053175560343</v>
      </c>
      <c r="K108" s="49" t="n">
        <f aca="false">+K103/K16</f>
        <v>32.2259937875014</v>
      </c>
      <c r="L108" s="49" t="n">
        <f aca="false">+L103/L16</f>
        <v>27.139661801054</v>
      </c>
      <c r="M108" s="49" t="n">
        <f aca="false">+M103/M16</f>
        <v>21.331331595305</v>
      </c>
      <c r="N108" s="49" t="n">
        <f aca="false">+N103/N16</f>
        <v>17.252376518813</v>
      </c>
      <c r="O108" s="49" t="n">
        <f aca="false">+O103/O16</f>
        <v>13.7273007744218</v>
      </c>
      <c r="P108" s="49" t="n">
        <f aca="false">+P103/P16</f>
        <v>10.0888298501599</v>
      </c>
      <c r="Q108" s="49" t="n">
        <f aca="false">+Q103/Q16</f>
        <v>9.33722739306904</v>
      </c>
      <c r="R108" s="49" t="n">
        <f aca="false">+R103/R16</f>
        <v>12.3698209737827</v>
      </c>
      <c r="S108" s="49" t="n">
        <f aca="false">+S103/S16</f>
        <v>10.1939591236945</v>
      </c>
      <c r="T108" s="49" t="n">
        <f aca="false">+T103/T16</f>
        <v>6.67925895523979</v>
      </c>
      <c r="U108" s="49" t="n">
        <f aca="false">+U103/U16</f>
        <v>5.80813999178251</v>
      </c>
      <c r="V108" s="49" t="n">
        <f aca="false">+V103/V16</f>
        <v>6.03782834182611</v>
      </c>
      <c r="W108" s="49" t="n">
        <f aca="false">+W103/W16</f>
        <v>7.67858722184778</v>
      </c>
      <c r="X108" s="49" t="n">
        <f aca="false">+X103/X16</f>
        <v>5.49139739562293</v>
      </c>
      <c r="Y108" s="49" t="n">
        <f aca="false">+Y103/Y16</f>
        <v>3.8604863976414</v>
      </c>
      <c r="Z108" s="49" t="n">
        <f aca="false">+Z103/Z16</f>
        <v>3.62866790343296</v>
      </c>
      <c r="AA108" s="49" t="n">
        <f aca="false">+AA103/AA16</f>
        <v>2.63747140014919</v>
      </c>
      <c r="AB108" s="49" t="n">
        <f aca="false">+AB103/AB16</f>
        <v>2.46237291752352</v>
      </c>
      <c r="AC108" s="49" t="n">
        <f aca="false">+AC103/AC16</f>
        <v>4.25042905469424</v>
      </c>
      <c r="AD108" s="49" t="n">
        <f aca="false">+AD103/AD16</f>
        <v>4.92134091867111</v>
      </c>
      <c r="AE108" s="49" t="n">
        <f aca="false">+AE103/AE16</f>
        <v>3.38865913356931</v>
      </c>
      <c r="AF108" s="49" t="n">
        <f aca="false">+AF103/AF16</f>
        <v>1.99859429495348</v>
      </c>
      <c r="AG108" s="49" t="n">
        <f aca="false">+AG103/AG16</f>
        <v>1.84787594974122</v>
      </c>
      <c r="AH108" s="49" t="n">
        <f aca="false">+AH103/AH16</f>
        <v>1.75580931825724</v>
      </c>
      <c r="AI108" s="49" t="n">
        <f aca="false">+AI103/AI16</f>
        <v>1.50847789546352</v>
      </c>
      <c r="AJ108" s="49" t="n">
        <f aca="false">+AJ103/AJ16</f>
        <v>1.36119801152451</v>
      </c>
      <c r="AK108" s="49" t="n">
        <f aca="false">+AK103/AK16</f>
        <v>1.21398842380247</v>
      </c>
      <c r="AL108" s="49" t="n">
        <f aca="false">+AL103/AL16</f>
        <v>1.0811771935063</v>
      </c>
      <c r="AM108" s="36"/>
      <c r="AN108" s="36"/>
      <c r="AO108" s="36"/>
      <c r="AP108" s="36"/>
      <c r="AQ108" s="36"/>
      <c r="AR108" s="36"/>
      <c r="AS108" s="36"/>
      <c r="AT108" s="36"/>
      <c r="AU108" s="36"/>
      <c r="AV108" s="36"/>
      <c r="AW108" s="36"/>
      <c r="AX108" s="36"/>
      <c r="AY108" s="36"/>
    </row>
    <row r="109" customFormat="false" ht="15" hidden="false" customHeight="true" outlineLevel="0" collapsed="false">
      <c r="A109" s="29" t="s">
        <v>324</v>
      </c>
      <c r="B109" s="31" t="n">
        <f aca="false">+B103/B61</f>
        <v>2341.66987664658</v>
      </c>
      <c r="C109" s="31" t="n">
        <f aca="false">+C103/C61</f>
        <v>1325.14276350527</v>
      </c>
      <c r="D109" s="31" t="n">
        <f aca="false">+D103/D61</f>
        <v>1056.21810078251</v>
      </c>
      <c r="E109" s="31" t="n">
        <f aca="false">+E103/E61</f>
        <v>805.186074680938</v>
      </c>
      <c r="F109" s="31" t="n">
        <f aca="false">+F103/F61</f>
        <v>449.349917690185</v>
      </c>
      <c r="G109" s="31" t="n">
        <f aca="false">+G103/G61</f>
        <v>873.008614854728</v>
      </c>
      <c r="H109" s="31" t="n">
        <f aca="false">+H103/H61</f>
        <v>818.599088771141</v>
      </c>
      <c r="I109" s="31" t="n">
        <f aca="false">+I103/I61</f>
        <v>410.016919126798</v>
      </c>
      <c r="J109" s="31" t="n">
        <f aca="false">+J103/J61</f>
        <v>366.948068142964</v>
      </c>
      <c r="K109" s="31" t="n">
        <f aca="false">+K103/K61</f>
        <v>362.870678923204</v>
      </c>
      <c r="L109" s="31" t="n">
        <f aca="false">+L103/L61</f>
        <v>324.665138802106</v>
      </c>
      <c r="M109" s="31" t="n">
        <f aca="false">+M103/M61</f>
        <v>242.8175918162</v>
      </c>
      <c r="N109" s="31" t="n">
        <f aca="false">+N103/N61</f>
        <v>230.062747898838</v>
      </c>
      <c r="O109" s="31" t="n">
        <f aca="false">+O103/O61</f>
        <v>173.973506511071</v>
      </c>
      <c r="P109" s="31" t="n">
        <f aca="false">+P103/P61</f>
        <v>130.985450389505</v>
      </c>
      <c r="Q109" s="31" t="n">
        <f aca="false">+Q103/Q61</f>
        <v>115.169732281354</v>
      </c>
      <c r="R109" s="31" t="n">
        <f aca="false">+R103/R61</f>
        <v>254.225077649062</v>
      </c>
      <c r="S109" s="31" t="n">
        <f aca="false">+S103/S61</f>
        <v>132.178555090533</v>
      </c>
      <c r="T109" s="31" t="n">
        <f aca="false">+T103/T61</f>
        <v>74.2486723678127</v>
      </c>
      <c r="U109" s="31" t="n">
        <f aca="false">+U103/U61</f>
        <v>83.5697504692048</v>
      </c>
      <c r="V109" s="31" t="n">
        <f aca="false">+V103/V61</f>
        <v>152.030772579671</v>
      </c>
      <c r="W109" s="31" t="n">
        <f aca="false">+W103/W61</f>
        <v>-362.760141528368</v>
      </c>
      <c r="X109" s="31" t="n">
        <f aca="false">+X103/X61</f>
        <v>122.031305577448</v>
      </c>
      <c r="Y109" s="31" t="n">
        <f aca="false">+Y103/Y61</f>
        <v>41.3799366819176</v>
      </c>
      <c r="Z109" s="31" t="n">
        <f aca="false">+Z103/Z61</f>
        <v>43.1195478591817</v>
      </c>
      <c r="AA109" s="31" t="n">
        <f aca="false">+AA103/AA61</f>
        <v>31.6924629068328</v>
      </c>
      <c r="AB109" s="31" t="n">
        <f aca="false">+AB103/AB61</f>
        <v>28.4500212746499</v>
      </c>
      <c r="AC109" s="31" t="n">
        <f aca="false">+AC103/AC61</f>
        <v>147.353859283517</v>
      </c>
      <c r="AD109" s="31" t="n">
        <f aca="false">+AD103/AD61</f>
        <v>-354.253431810697</v>
      </c>
      <c r="AE109" s="31" t="n">
        <f aca="false">+AE103/AE61</f>
        <v>303.996616479152</v>
      </c>
      <c r="AF109" s="31" t="n">
        <f aca="false">+AF103/AF61</f>
        <v>32.8540309449958</v>
      </c>
      <c r="AG109" s="31" t="n">
        <f aca="false">+AG103/AG61</f>
        <v>18.2313461582968</v>
      </c>
      <c r="AH109" s="31" t="n">
        <f aca="false">+AH103/AH61</f>
        <v>16.1574132911603</v>
      </c>
      <c r="AI109" s="31" t="n">
        <f aca="false">+AI103/AI61</f>
        <v>13.2315802481931</v>
      </c>
      <c r="AJ109" s="31" t="n">
        <f aca="false">+AJ103/AJ61</f>
        <v>13.0641439584852</v>
      </c>
      <c r="AK109" s="31" t="n">
        <f aca="false">+AK103/AK61</f>
        <v>11.2902088896116</v>
      </c>
      <c r="AL109" s="31" t="n">
        <f aca="false">+AL103/AL61</f>
        <v>10.0742518157724</v>
      </c>
      <c r="AM109" s="30"/>
      <c r="AN109" s="30"/>
      <c r="AO109" s="30"/>
      <c r="AP109" s="30"/>
      <c r="AQ109" s="30"/>
      <c r="AR109" s="30"/>
      <c r="AS109" s="30"/>
      <c r="AT109" s="30"/>
      <c r="AU109" s="30"/>
      <c r="AV109" s="30"/>
      <c r="AW109" s="30"/>
      <c r="AX109" s="30"/>
      <c r="AY109" s="30"/>
    </row>
    <row r="110" customFormat="false" ht="15" hidden="false" customHeight="true" outlineLevel="0" collapsed="false">
      <c r="A110" s="38" t="s">
        <v>325</v>
      </c>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row>
    <row r="111" customFormat="false" ht="15" hidden="false" customHeight="true" outlineLevel="0" collapsed="false">
      <c r="A111" s="47"/>
      <c r="B111" s="36"/>
      <c r="C111" s="36"/>
      <c r="D111" s="36"/>
      <c r="E111" s="36"/>
      <c r="F111" s="36"/>
      <c r="G111" s="36"/>
      <c r="H111" s="36"/>
      <c r="I111" s="36"/>
      <c r="J111" s="36"/>
      <c r="K111" s="36"/>
      <c r="L111" s="36"/>
      <c r="M111" s="36"/>
      <c r="N111" s="36"/>
      <c r="O111" s="36"/>
      <c r="P111" s="36"/>
      <c r="Q111" s="81" t="n">
        <f aca="false">10.5*1.2</f>
        <v>12.6</v>
      </c>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row>
    <row r="112" customFormat="false" ht="15" hidden="false" customHeight="true" outlineLevel="0" collapsed="false">
      <c r="A112" s="70" t="s">
        <v>326</v>
      </c>
      <c r="B112" s="82" t="n">
        <v>2.4</v>
      </c>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row>
    <row r="113" customFormat="false" ht="15" hidden="false" customHeight="true" outlineLevel="0" collapsed="false">
      <c r="A113" s="70" t="s">
        <v>327</v>
      </c>
      <c r="B113" s="84" t="n">
        <f aca="false">B86</f>
        <v>127</v>
      </c>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row>
    <row r="114" customFormat="false" ht="15" hidden="false" customHeight="true" outlineLevel="0" collapsed="false">
      <c r="A114" s="70" t="s">
        <v>328</v>
      </c>
      <c r="B114" s="85" t="n">
        <f aca="false">(100*B113)/B86-100</f>
        <v>0</v>
      </c>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row>
    <row r="115" customFormat="false" ht="15" hidden="false" customHeight="true" outlineLevel="0" collapsed="false">
      <c r="A115" s="29" t="s">
        <v>303</v>
      </c>
      <c r="B115" s="79" t="n">
        <f aca="false">+$B$113/B83</f>
        <v>7962.91435028221</v>
      </c>
      <c r="C115" s="79" t="n">
        <f aca="false">+$B$113/C83</f>
        <v>1121.51101047268</v>
      </c>
      <c r="D115" s="79" t="n">
        <f aca="false">+$B$113/D83</f>
        <v>855.870973225671</v>
      </c>
      <c r="E115" s="79" t="n">
        <f aca="false">+$B$113/E83</f>
        <v>534.261843071017</v>
      </c>
      <c r="F115" s="79" t="n">
        <f aca="false">+$B$113/F83</f>
        <v>483.578917036861</v>
      </c>
      <c r="G115" s="79" t="n">
        <f aca="false">+$B$113/G83</f>
        <v>3280.23754124026</v>
      </c>
      <c r="H115" s="79" t="n">
        <f aca="false">+$B$113/H83</f>
        <v>2915.99038985127</v>
      </c>
      <c r="I115" s="79" t="n">
        <f aca="false">+$B$113/I83</f>
        <v>769.757182718158</v>
      </c>
      <c r="J115" s="79" t="n">
        <f aca="false">+$B$113/J83</f>
        <v>621.889386406449</v>
      </c>
      <c r="K115" s="79" t="n">
        <f aca="false">+$B$113/K83</f>
        <v>627.378602062327</v>
      </c>
      <c r="L115" s="79" t="n">
        <f aca="false">+$B$113/L83</f>
        <v>461.355845226912</v>
      </c>
      <c r="M115" s="79" t="n">
        <f aca="false">+$B$113/M83</f>
        <v>297.470356821058</v>
      </c>
      <c r="N115" s="79" t="n">
        <f aca="false">+$B$113/N83</f>
        <v>270.702278259765</v>
      </c>
      <c r="O115" s="79" t="n">
        <f aca="false">+$B$113/O83</f>
        <v>200.548125950155</v>
      </c>
      <c r="P115" s="79" t="n">
        <f aca="false">+$B$113/P83</f>
        <v>148.015450235715</v>
      </c>
      <c r="Q115" s="79" t="n">
        <f aca="false">+$B$113/Q83</f>
        <v>140.196437276863</v>
      </c>
      <c r="R115" s="79" t="n">
        <f aca="false">+$B$113/R83</f>
        <v>271.427490009437</v>
      </c>
      <c r="S115" s="79" t="n">
        <f aca="false">+$B$113/S83</f>
        <v>158.290139600726</v>
      </c>
      <c r="T115" s="79" t="n">
        <f aca="false">+$B$113/T83</f>
        <v>99.1948378634763</v>
      </c>
      <c r="U115" s="79" t="n">
        <f aca="false">+$B$113/U83</f>
        <v>119.744526194109</v>
      </c>
      <c r="V115" s="79" t="n">
        <f aca="false">+$B$113/V83</f>
        <v>468.824077041648</v>
      </c>
      <c r="W115" s="79" t="n">
        <f aca="false">+$B$113/W83</f>
        <v>-141.89465055898</v>
      </c>
      <c r="X115" s="79" t="n">
        <f aca="false">+$B$113/X83</f>
        <v>309.083341564397</v>
      </c>
      <c r="Y115" s="79" t="n">
        <f aca="false">+$B$113/Y83</f>
        <v>73.1738028491515</v>
      </c>
      <c r="Z115" s="79" t="n">
        <f aca="false">+$B$113/Z83</f>
        <v>58.1520946252331</v>
      </c>
      <c r="AA115" s="79" t="n">
        <f aca="false">+$B$113/AA83</f>
        <v>47.2124896405133</v>
      </c>
      <c r="AB115" s="79" t="n">
        <f aca="false">+$B$113/AB83</f>
        <v>36.7445268855783</v>
      </c>
      <c r="AC115" s="79" t="n">
        <f aca="false">+$B$113/AC83</f>
        <v>209.216717875332</v>
      </c>
      <c r="AD115" s="79" t="n">
        <f aca="false">+$B$113/AD83</f>
        <v>-244.751470986484</v>
      </c>
      <c r="AE115" s="79" t="n">
        <f aca="false">+$B$113/AE83</f>
        <v>469.805774774346</v>
      </c>
      <c r="AF115" s="79" t="n">
        <f aca="false">+$B$113/AF83</f>
        <v>56.6413233560108</v>
      </c>
      <c r="AG115" s="79" t="n">
        <f aca="false">+$B$113/AG83</f>
        <v>27.744635735968</v>
      </c>
      <c r="AH115" s="79" t="n">
        <f aca="false">+$B$113/AH83</f>
        <v>23.1242515677838</v>
      </c>
      <c r="AI115" s="79" t="n">
        <f aca="false">+$B$113/AI83</f>
        <v>19.0593611155822</v>
      </c>
      <c r="AJ115" s="79" t="n">
        <f aca="false">+$B$113/AJ83</f>
        <v>19.0828915618897</v>
      </c>
      <c r="AK115" s="79" t="n">
        <f aca="false">+$B$113/AK83</f>
        <v>17.0139226596748</v>
      </c>
      <c r="AL115" s="79" t="n">
        <f aca="false">+$B$113/AL83</f>
        <v>15.7043601691154</v>
      </c>
      <c r="AM115" s="80"/>
      <c r="AN115" s="80"/>
      <c r="AO115" s="80"/>
      <c r="AP115" s="80"/>
      <c r="AQ115" s="80"/>
      <c r="AR115" s="80"/>
      <c r="AS115" s="80"/>
      <c r="AT115" s="80"/>
      <c r="AU115" s="80"/>
      <c r="AV115" s="80"/>
      <c r="AW115" s="80"/>
      <c r="AX115" s="80"/>
      <c r="AY115" s="80"/>
    </row>
    <row r="116" customFormat="false" ht="15" hidden="false" customHeight="true" outlineLevel="0" collapsed="false">
      <c r="A116" s="29" t="s">
        <v>304</v>
      </c>
      <c r="B116" s="36"/>
      <c r="C116" s="49" t="n">
        <f aca="false">+C89</f>
        <v>610.016600454604</v>
      </c>
      <c r="D116" s="49" t="n">
        <f aca="false">+D89</f>
        <v>31.0373929665877</v>
      </c>
      <c r="E116" s="49" t="n">
        <f aca="false">+E89</f>
        <v>60.1969117438739</v>
      </c>
      <c r="F116" s="49" t="n">
        <f aca="false">+F89</f>
        <v>10.480797290485</v>
      </c>
      <c r="G116" s="49" t="n">
        <f aca="false">+G89</f>
        <v>-85.2578079801495</v>
      </c>
      <c r="H116" s="49" t="n">
        <f aca="false">+H89</f>
        <v>12.4913700901314</v>
      </c>
      <c r="I116" s="49" t="n">
        <f aca="false">+I89</f>
        <v>278.819510271325</v>
      </c>
      <c r="J116" s="49" t="n">
        <f aca="false">+J89</f>
        <v>23.7771860308075</v>
      </c>
      <c r="K116" s="49" t="n">
        <f aca="false">+K89</f>
        <v>-0.874944672616124</v>
      </c>
      <c r="L116" s="49" t="n">
        <f aca="false">+L89</f>
        <v>35.9858357823035</v>
      </c>
      <c r="M116" s="49" t="n">
        <f aca="false">+M89</f>
        <v>55.0930486510423</v>
      </c>
      <c r="N116" s="49" t="n">
        <f aca="false">+N89</f>
        <v>9.88838318368568</v>
      </c>
      <c r="O116" s="49" t="n">
        <f aca="false">+O89</f>
        <v>34.9812056219597</v>
      </c>
      <c r="P116" s="49" t="n">
        <f aca="false">+P89</f>
        <v>35.4913460931144</v>
      </c>
      <c r="Q116" s="49" t="n">
        <f aca="false">+Q89</f>
        <v>5.57718377922201</v>
      </c>
      <c r="R116" s="49" t="n">
        <f aca="false">+R89</f>
        <v>-48.3484752145081</v>
      </c>
      <c r="S116" s="49" t="n">
        <f aca="false">+S89</f>
        <v>71.4746671486238</v>
      </c>
      <c r="T116" s="49" t="n">
        <f aca="false">+T89</f>
        <v>59.5749768940435</v>
      </c>
      <c r="U116" s="49" t="n">
        <f aca="false">+U89</f>
        <v>-17.1612757457668</v>
      </c>
      <c r="V116" s="49" t="n">
        <f aca="false">+V89</f>
        <v>-74.4585374220292</v>
      </c>
      <c r="W116" s="49" t="n">
        <f aca="false">+W89</f>
        <v>-430.40292582896</v>
      </c>
      <c r="X116" s="49" t="n">
        <f aca="false">+X89</f>
        <v>-145.908216806766</v>
      </c>
      <c r="Y116" s="49" t="n">
        <f aca="false">+Y89</f>
        <v>322.39617121113</v>
      </c>
      <c r="Z116" s="49" t="n">
        <f aca="false">+Z89</f>
        <v>25.8317577736919</v>
      </c>
      <c r="AA116" s="49" t="n">
        <f aca="false">+AA89</f>
        <v>23.1709979033441</v>
      </c>
      <c r="AB116" s="49" t="n">
        <f aca="false">+AB89</f>
        <v>28.4884951370636</v>
      </c>
      <c r="AC116" s="49" t="n">
        <f aca="false">+AC89</f>
        <v>-82.4370981159002</v>
      </c>
      <c r="AD116" s="49" t="n">
        <f aca="false">+AD89</f>
        <v>-185.481291300139</v>
      </c>
      <c r="AE116" s="49" t="n">
        <f aca="false">+AE89</f>
        <v>-152.096309608804</v>
      </c>
      <c r="AF116" s="49" t="n">
        <f aca="false">+AF89</f>
        <v>729.439968804136</v>
      </c>
      <c r="AG116" s="49" t="n">
        <f aca="false">+AG89</f>
        <v>104.15234099679</v>
      </c>
      <c r="AH116" s="49" t="n">
        <f aca="false">+AH89</f>
        <v>19.9806863138492</v>
      </c>
      <c r="AI116" s="49" t="n">
        <f aca="false">+AI89</f>
        <v>21.3275273370962</v>
      </c>
      <c r="AJ116" s="49" t="n">
        <f aca="false">+AJ89</f>
        <v>-0.123306503269021</v>
      </c>
      <c r="AK116" s="49" t="n">
        <f aca="false">+AK89</f>
        <v>12.1604461451955</v>
      </c>
      <c r="AL116" s="49" t="n">
        <f aca="false">+AL89</f>
        <v>8.33884651432501</v>
      </c>
      <c r="AM116" s="36"/>
      <c r="AN116" s="36"/>
      <c r="AO116" s="36"/>
      <c r="AP116" s="36"/>
      <c r="AQ116" s="36"/>
      <c r="AR116" s="36"/>
      <c r="AS116" s="36"/>
      <c r="AT116" s="36"/>
      <c r="AU116" s="36"/>
      <c r="AV116" s="36"/>
      <c r="AW116" s="36"/>
      <c r="AX116" s="36"/>
      <c r="AY116" s="36"/>
    </row>
    <row r="117" customFormat="false" ht="15" hidden="false" customHeight="true" outlineLevel="0" collapsed="false">
      <c r="A117" s="70" t="s">
        <v>329</v>
      </c>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row>
    <row r="118" customFormat="false" ht="15" hidden="false" customHeight="true" outlineLevel="0" collapsed="false">
      <c r="A118" s="70" t="s">
        <v>330</v>
      </c>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row>
    <row r="119" customFormat="false" ht="15" hidden="false" customHeight="true" outlineLevel="0" collapsed="false">
      <c r="A119" s="29" t="s">
        <v>331</v>
      </c>
      <c r="B119" s="49" t="n">
        <f aca="false">B541/B82</f>
        <v>0.0250425304922003</v>
      </c>
      <c r="C119" s="49" t="n">
        <f aca="false">C541/C82</f>
        <v>0.0622900587194543</v>
      </c>
      <c r="D119" s="49" t="n">
        <f aca="false">D541/D82</f>
        <v>0.0620349115859042</v>
      </c>
      <c r="E119" s="49" t="n">
        <f aca="false">E541/E82</f>
        <v>0.100000840837811</v>
      </c>
      <c r="F119" s="49" t="n">
        <f aca="false">F541/F82</f>
        <v>0.124990540574629</v>
      </c>
      <c r="G119" s="49" t="n">
        <f aca="false">G541/G82</f>
        <v>0.025</v>
      </c>
      <c r="H119" s="49" t="n">
        <f aca="false">H541/H82</f>
        <v>0.025</v>
      </c>
      <c r="I119" s="49" t="n">
        <f aca="false">I541/I82</f>
        <v>0.087499684685821</v>
      </c>
      <c r="J119" s="49" t="n">
        <f aca="false">J541/J82</f>
        <v>0.100000840837811</v>
      </c>
      <c r="K119" s="49" t="n">
        <f aca="false">K541/K82</f>
        <v>0.112499894895274</v>
      </c>
      <c r="L119" s="49" t="n">
        <f aca="false">L541/L82</f>
        <v>0.124998948952737</v>
      </c>
      <c r="M119" s="49" t="n">
        <f aca="false">M541/M82</f>
        <v>0.187500525523632</v>
      </c>
      <c r="N119" s="49" t="n">
        <f aca="false">N541/N82</f>
        <v>0.236889425468299</v>
      </c>
      <c r="O119" s="49" t="n">
        <f aca="false">O541/O82</f>
        <v>0.32700415032867</v>
      </c>
      <c r="P119" s="49" t="n">
        <f aca="false">P541/P82</f>
        <v>0.37500094420147</v>
      </c>
      <c r="Q119" s="49" t="n">
        <f aca="false">Q541/Q82</f>
        <v>0.375413428146188</v>
      </c>
      <c r="R119" s="49" t="n">
        <f aca="false">R541/R82</f>
        <v>0.250008644393697</v>
      </c>
      <c r="S119" s="49" t="n">
        <f aca="false">S541/S82</f>
        <v>0.374998872470387</v>
      </c>
      <c r="T119" s="49" t="n">
        <f aca="false">T541/T82</f>
        <v>0.499998684548785</v>
      </c>
      <c r="U119" s="49" t="n">
        <f aca="false">U541/U82</f>
        <v>0.499999436234346</v>
      </c>
      <c r="V119" s="49" t="n">
        <f aca="false">V541/V82</f>
        <v>0.299999624156231</v>
      </c>
      <c r="W119" s="49" t="n">
        <f aca="false">W541/W82</f>
        <v>0</v>
      </c>
      <c r="X119" s="49" t="n">
        <f aca="false">X541/X82</f>
        <v>0.22499964861484</v>
      </c>
      <c r="Y119" s="49" t="n">
        <f aca="false">Y541/Y82</f>
        <v>0.47499947292226</v>
      </c>
      <c r="Z119" s="49" t="n">
        <f aca="false">Z541/Z82</f>
        <v>0.78</v>
      </c>
      <c r="AA119" s="49" t="n">
        <f aca="false">AA541/AA82</f>
        <v>1.215</v>
      </c>
      <c r="AB119" s="49" t="n">
        <f aca="false">AB541/AB82</f>
        <v>1.55</v>
      </c>
      <c r="AC119" s="49" t="n">
        <f aca="false">AC541/AC82</f>
        <v>0.25</v>
      </c>
      <c r="AD119" s="49" t="n">
        <f aca="false">AD541/AD82</f>
        <v>0.3</v>
      </c>
      <c r="AE119" s="49" t="n">
        <f aca="false">AE541/AE82</f>
        <v>0.5</v>
      </c>
      <c r="AF119" s="49" t="n">
        <f aca="false">AF541/AF82</f>
        <v>1.3</v>
      </c>
      <c r="AG119" s="49" t="n">
        <f aca="false">AG541/AG82</f>
        <v>2.475</v>
      </c>
      <c r="AH119" s="49" t="n">
        <f aca="false">AH541/AH82</f>
        <v>3.125</v>
      </c>
      <c r="AI119" s="49" t="n">
        <f aca="false">AI541/AI82</f>
        <v>3.5</v>
      </c>
      <c r="AJ119" s="49" t="n">
        <f aca="false">AJ541/AJ82</f>
        <v>3.32758794934492</v>
      </c>
      <c r="AK119" s="49" t="n">
        <f aca="false">AK541/AK82</f>
        <v>3.73223748985902</v>
      </c>
      <c r="AL119" s="49" t="n">
        <f aca="false">AL541/AL82</f>
        <v>4.04346304568846</v>
      </c>
      <c r="AM119" s="81" t="n">
        <f aca="false">10.5*1.2</f>
        <v>12.6</v>
      </c>
      <c r="AN119" s="36"/>
      <c r="AO119" s="36"/>
      <c r="AP119" s="36"/>
      <c r="AQ119" s="36"/>
      <c r="AR119" s="36"/>
      <c r="AS119" s="36"/>
      <c r="AT119" s="36"/>
      <c r="AU119" s="36"/>
      <c r="AV119" s="36"/>
      <c r="AW119" s="36"/>
      <c r="AX119" s="36"/>
      <c r="AY119" s="36"/>
    </row>
    <row r="120" customFormat="false" ht="15" hidden="false" customHeight="true" outlineLevel="0" collapsed="false">
      <c r="A120" s="29" t="s">
        <v>332</v>
      </c>
      <c r="B120" s="59" t="n">
        <f aca="false">+B541/B82</f>
        <v>0.0250425304922003</v>
      </c>
      <c r="C120" s="59" t="n">
        <f aca="false">+C541/C82</f>
        <v>0.0622900587194543</v>
      </c>
      <c r="D120" s="59" t="n">
        <f aca="false">+D541/D82</f>
        <v>0.0620349115859042</v>
      </c>
      <c r="E120" s="59" t="n">
        <f aca="false">+E541/E82</f>
        <v>0.100000840837811</v>
      </c>
      <c r="F120" s="59" t="n">
        <f aca="false">+F541/F82</f>
        <v>0.124990540574629</v>
      </c>
      <c r="G120" s="59" t="n">
        <f aca="false">+G541/G82</f>
        <v>0.025</v>
      </c>
      <c r="H120" s="59" t="n">
        <f aca="false">+H541/H82</f>
        <v>0.025</v>
      </c>
      <c r="I120" s="59" t="n">
        <f aca="false">+I541/I82</f>
        <v>0.087499684685821</v>
      </c>
      <c r="J120" s="59" t="n">
        <f aca="false">+J541/J82</f>
        <v>0.100000840837811</v>
      </c>
      <c r="K120" s="59" t="n">
        <f aca="false">+K541/K82</f>
        <v>0.112499894895274</v>
      </c>
      <c r="L120" s="59" t="n">
        <f aca="false">+L541/L82</f>
        <v>0.124998948952737</v>
      </c>
      <c r="M120" s="59" t="n">
        <f aca="false">+M541/M82</f>
        <v>0.187500525523632</v>
      </c>
      <c r="N120" s="59" t="n">
        <f aca="false">+N541/N82</f>
        <v>0.236889425468299</v>
      </c>
      <c r="O120" s="59" t="n">
        <f aca="false">+O541/O82</f>
        <v>0.32700415032867</v>
      </c>
      <c r="P120" s="59" t="n">
        <f aca="false">+P541/P82</f>
        <v>0.37500094420147</v>
      </c>
      <c r="Q120" s="59" t="n">
        <f aca="false">+Q541/Q82</f>
        <v>0.375413428146188</v>
      </c>
      <c r="R120" s="59" t="n">
        <f aca="false">+R541/R82</f>
        <v>0.250008644393697</v>
      </c>
      <c r="S120" s="59" t="n">
        <f aca="false">+S541/S82</f>
        <v>0.374998872470387</v>
      </c>
      <c r="T120" s="59" t="n">
        <f aca="false">+T541/T82</f>
        <v>0.499998684548785</v>
      </c>
      <c r="U120" s="59" t="n">
        <f aca="false">+U541/U82</f>
        <v>0.499999436234346</v>
      </c>
      <c r="V120" s="59" t="n">
        <f aca="false">+V541/V82</f>
        <v>0.299999624156231</v>
      </c>
      <c r="W120" s="59" t="n">
        <f aca="false">+W541/W82</f>
        <v>0</v>
      </c>
      <c r="X120" s="59" t="n">
        <f aca="false">+X541/X82</f>
        <v>0.22499964861484</v>
      </c>
      <c r="Y120" s="59" t="n">
        <f aca="false">+Y541/Y82</f>
        <v>0.47499947292226</v>
      </c>
      <c r="Z120" s="59" t="n">
        <f aca="false">+Z541/Z82</f>
        <v>0.78</v>
      </c>
      <c r="AA120" s="59" t="n">
        <f aca="false">+AA541/AA82</f>
        <v>1.215</v>
      </c>
      <c r="AB120" s="59" t="n">
        <f aca="false">+AB541/AB82</f>
        <v>1.55</v>
      </c>
      <c r="AC120" s="59" t="n">
        <f aca="false">+AC541/AC82</f>
        <v>0.25</v>
      </c>
      <c r="AD120" s="59" t="n">
        <f aca="false">+AD541/AD82</f>
        <v>0.3</v>
      </c>
      <c r="AE120" s="59" t="n">
        <f aca="false">+AE541/AE82</f>
        <v>0.5</v>
      </c>
      <c r="AF120" s="59" t="n">
        <f aca="false">+AF541/AF82</f>
        <v>1.3</v>
      </c>
      <c r="AG120" s="59" t="n">
        <f aca="false">+AG541/AG82</f>
        <v>2.475</v>
      </c>
      <c r="AH120" s="59" t="n">
        <f aca="false">+AH541/AH82</f>
        <v>3.125</v>
      </c>
      <c r="AI120" s="59" t="n">
        <f aca="false">+AI541/AI82</f>
        <v>3.5</v>
      </c>
      <c r="AJ120" s="59" t="n">
        <f aca="false">+AJ541/AJ82</f>
        <v>3.32758794934492</v>
      </c>
      <c r="AK120" s="59" t="n">
        <f aca="false">+AK541/AK82</f>
        <v>3.73223748985902</v>
      </c>
      <c r="AL120" s="59" t="n">
        <f aca="false">+AL541/AL82</f>
        <v>4.04346304568846</v>
      </c>
      <c r="AM120" s="43"/>
      <c r="AN120" s="43"/>
      <c r="AO120" s="43"/>
      <c r="AP120" s="43"/>
      <c r="AQ120" s="43"/>
      <c r="AR120" s="43"/>
      <c r="AS120" s="43"/>
      <c r="AT120" s="43"/>
      <c r="AU120" s="43"/>
      <c r="AV120" s="43"/>
      <c r="AW120" s="43"/>
      <c r="AX120" s="43"/>
      <c r="AY120" s="43"/>
    </row>
    <row r="121" customFormat="false" ht="15" hidden="false" customHeight="true" outlineLevel="0" collapsed="false">
      <c r="A121" s="29" t="s">
        <v>333</v>
      </c>
      <c r="B121" s="49" t="n">
        <f aca="false">+B119/B80*100</f>
        <v>157.016949152537</v>
      </c>
      <c r="C121" s="49" t="n">
        <f aca="false">+C119/C80*100</f>
        <v>55.0070761392582</v>
      </c>
      <c r="D121" s="49" t="n">
        <f aca="false">+D119/D80*100</f>
        <v>41.8047987553686</v>
      </c>
      <c r="E121" s="49" t="n">
        <f aca="false">+E119/E80*100</f>
        <v>42.0682153816222</v>
      </c>
      <c r="F121" s="49" t="n">
        <f aca="false">+F119/F80*100</f>
        <v>47.5927482290793</v>
      </c>
      <c r="G121" s="49" t="n">
        <f aca="false">+G119/G80*100</f>
        <v>64.5716051425248</v>
      </c>
      <c r="H121" s="49" t="n">
        <f aca="false">+H119/H80*100</f>
        <v>57.4013856269936</v>
      </c>
      <c r="I121" s="49" t="n">
        <f aca="false">+I119/I80*100</f>
        <v>53.0342604507753</v>
      </c>
      <c r="J121" s="49" t="n">
        <f aca="false">+J119/J80*100</f>
        <v>48.9680799596497</v>
      </c>
      <c r="K121" s="49" t="n">
        <f aca="false">+K119/K80*100</f>
        <v>55.5748242453193</v>
      </c>
      <c r="L121" s="49" t="n">
        <f aca="false">+L119/L80*100</f>
        <v>45.4086580681617</v>
      </c>
      <c r="M121" s="49" t="n">
        <f aca="false">+M119/M80*100</f>
        <v>43.9179907335831</v>
      </c>
      <c r="N121" s="49" t="n">
        <f aca="false">+N119/N80*100</f>
        <v>47.845327372504</v>
      </c>
      <c r="O121" s="49" t="n">
        <f aca="false">+O119/O80*100</f>
        <v>51.6378500207381</v>
      </c>
      <c r="P121" s="49" t="n">
        <f aca="false">+P119/P80*100</f>
        <v>43.7054595234637</v>
      </c>
      <c r="Q121" s="49" t="n">
        <f aca="false">+Q119/Q80*100</f>
        <v>41.4422245133773</v>
      </c>
      <c r="R121" s="49" t="n">
        <f aca="false">+R119/R80*100</f>
        <v>53.4324557704277</v>
      </c>
      <c r="S121" s="49" t="n">
        <f aca="false">+S119/S80*100</f>
        <v>46.7390739161044</v>
      </c>
      <c r="T121" s="49" t="n">
        <f aca="false">+T119/T80*100</f>
        <v>39.0529830281639</v>
      </c>
      <c r="U121" s="49" t="n">
        <f aca="false">+U119/U80*100</f>
        <v>47.1434610938611</v>
      </c>
      <c r="V121" s="49" t="n">
        <f aca="false">+V119/V80*100</f>
        <v>110.745706226682</v>
      </c>
      <c r="W121" s="49" t="n">
        <f aca="false">+W119/W80*100</f>
        <v>-0</v>
      </c>
      <c r="X121" s="49" t="n">
        <f aca="false">+X119/X80*100</f>
        <v>54.7587742084171</v>
      </c>
      <c r="Y121" s="49" t="n">
        <f aca="false">+Y119/Y80*100</f>
        <v>27.3681242402081</v>
      </c>
      <c r="Z121" s="49" t="n">
        <f aca="false">+Z119/Z80*100</f>
        <v>35.7154596910881</v>
      </c>
      <c r="AA121" s="49" t="n">
        <f aca="false">+AA119/AA80*100</f>
        <v>45.1678542623808</v>
      </c>
      <c r="AB121" s="49" t="n">
        <f aca="false">+AB119/AB80*100</f>
        <v>44.8456824194066</v>
      </c>
      <c r="AC121" s="49" t="n">
        <f aca="false">+AC119/AC80*100</f>
        <v>41.1843932825456</v>
      </c>
      <c r="AD121" s="49" t="n">
        <f aca="false">+AD119/AD80*100</f>
        <v>-57.8153081070434</v>
      </c>
      <c r="AE121" s="49" t="n">
        <f aca="false">+AE119/AE80*100</f>
        <v>184.962903454467</v>
      </c>
      <c r="AF121" s="49" t="n">
        <f aca="false">+AF119/AF80*100</f>
        <v>57.9793073722945</v>
      </c>
      <c r="AG121" s="49" t="n">
        <f aca="false">+AG119/AG80*100</f>
        <v>54.0692704303314</v>
      </c>
      <c r="AH121" s="49" t="n">
        <f aca="false">+AH119/AH80*100</f>
        <v>56.9002253144287</v>
      </c>
      <c r="AI121" s="49" t="n">
        <f aca="false">+AI119/AI80*100</f>
        <v>52.5257983500296</v>
      </c>
      <c r="AJ121" s="49" t="n">
        <f aca="false">+AJ119/AJ80*100</f>
        <v>50.0000000000001</v>
      </c>
      <c r="AK121" s="49" t="n">
        <f aca="false">+AK119/AK80*100</f>
        <v>50</v>
      </c>
      <c r="AL121" s="49" t="n">
        <f aca="false">+AL119/AL80*100</f>
        <v>50</v>
      </c>
      <c r="AM121" s="36"/>
      <c r="AN121" s="36"/>
      <c r="AO121" s="36"/>
      <c r="AP121" s="36"/>
      <c r="AQ121" s="36"/>
      <c r="AR121" s="36"/>
      <c r="AS121" s="36"/>
      <c r="AT121" s="36"/>
      <c r="AU121" s="36"/>
      <c r="AV121" s="36"/>
      <c r="AW121" s="36"/>
      <c r="AX121" s="36"/>
      <c r="AY121" s="36"/>
    </row>
    <row r="122" customFormat="false" ht="15" hidden="false" customHeight="true" outlineLevel="0" collapsed="false">
      <c r="A122" s="29" t="s">
        <v>334</v>
      </c>
      <c r="B122" s="59" t="n">
        <f aca="false">+B120/B86*100</f>
        <v>0.0197185279466144</v>
      </c>
      <c r="C122" s="59" t="n">
        <f aca="false">+C120/C86*100</f>
        <v>0.049047290330279</v>
      </c>
      <c r="D122" s="59" t="n">
        <f aca="false">+D120/D86*100</f>
        <v>0.0488463870755151</v>
      </c>
      <c r="E122" s="59" t="n">
        <f aca="false">+E120/E86*100</f>
        <v>0.0787408195573313</v>
      </c>
      <c r="F122" s="59" t="n">
        <f aca="false">+F120/F86*100</f>
        <v>0.0984177484839595</v>
      </c>
      <c r="G122" s="59" t="n">
        <f aca="false">+G120/G86*100</f>
        <v>0.0196850393700787</v>
      </c>
      <c r="H122" s="59" t="n">
        <f aca="false">+H120/H86*100</f>
        <v>0.0196850393700787</v>
      </c>
      <c r="I122" s="59" t="n">
        <f aca="false">+I120/I86*100</f>
        <v>0.0688973895163944</v>
      </c>
      <c r="J122" s="59" t="n">
        <f aca="false">+J120/J86*100</f>
        <v>0.0787408195573313</v>
      </c>
      <c r="K122" s="59" t="n">
        <f aca="false">+K120/K86*100</f>
        <v>0.0885825944057273</v>
      </c>
      <c r="L122" s="59" t="n">
        <f aca="false">+L120/L86*100</f>
        <v>0.0984243692541232</v>
      </c>
      <c r="M122" s="59" t="n">
        <f aca="false">+M120/M86*100</f>
        <v>0.147638209073726</v>
      </c>
      <c r="N122" s="59" t="n">
        <f aca="false">+N120/N86*100</f>
        <v>0.186527106667952</v>
      </c>
      <c r="O122" s="59" t="n">
        <f aca="false">+O120/O86*100</f>
        <v>0.257483582935961</v>
      </c>
      <c r="P122" s="59" t="n">
        <f aca="false">+P120/P86*100</f>
        <v>0.295276334016905</v>
      </c>
      <c r="Q122" s="59" t="n">
        <f aca="false">+Q120/Q86*100</f>
        <v>0.295601124524558</v>
      </c>
      <c r="R122" s="59" t="n">
        <f aca="false">+R120/R86*100</f>
        <v>0.196857200309998</v>
      </c>
      <c r="S122" s="59" t="n">
        <f aca="false">+S120/S86*100</f>
        <v>0.295274702732588</v>
      </c>
      <c r="T122" s="59" t="n">
        <f aca="false">+T120/T86*100</f>
        <v>0.393699751613217</v>
      </c>
      <c r="U122" s="59" t="n">
        <f aca="false">+U120/U86*100</f>
        <v>0.393700343491611</v>
      </c>
      <c r="V122" s="59" t="n">
        <f aca="false">+V120/V86*100</f>
        <v>0.236220176500969</v>
      </c>
      <c r="W122" s="59" t="n">
        <f aca="false">+W120/W86*100</f>
        <v>0</v>
      </c>
      <c r="X122" s="59" t="n">
        <f aca="false">+X120/X86*100</f>
        <v>0.17716507764948</v>
      </c>
      <c r="Y122" s="59" t="n">
        <f aca="false">+Y120/Y86*100</f>
        <v>0.374015333009653</v>
      </c>
      <c r="Z122" s="59" t="n">
        <f aca="false">+Z120/Z86*100</f>
        <v>0.614173228346457</v>
      </c>
      <c r="AA122" s="59" t="n">
        <f aca="false">+AA120/AA86*100</f>
        <v>0.956692913385827</v>
      </c>
      <c r="AB122" s="59" t="n">
        <f aca="false">+AB120/AB86*100</f>
        <v>1.22047244094488</v>
      </c>
      <c r="AC122" s="59" t="n">
        <f aca="false">+AC120/AC86*100</f>
        <v>0.196850393700787</v>
      </c>
      <c r="AD122" s="59" t="n">
        <f aca="false">+AD120/AD86*100</f>
        <v>0.236220472440945</v>
      </c>
      <c r="AE122" s="59" t="n">
        <f aca="false">+AE120/AE86*100</f>
        <v>0.393700787401575</v>
      </c>
      <c r="AF122" s="59" t="n">
        <f aca="false">+AF120/AF86*100</f>
        <v>1.02362204724409</v>
      </c>
      <c r="AG122" s="59" t="n">
        <f aca="false">+AG120/AG86*100</f>
        <v>1.9488188976378</v>
      </c>
      <c r="AH122" s="59" t="n">
        <f aca="false">+AH120/AH86*100</f>
        <v>2.46062992125984</v>
      </c>
      <c r="AI122" s="59" t="n">
        <f aca="false">+AI120/AI86*100</f>
        <v>2.75590551181102</v>
      </c>
      <c r="AJ122" s="59" t="n">
        <f aca="false">+AJ120/AJ86*100</f>
        <v>2.62014799161017</v>
      </c>
      <c r="AK122" s="59" t="n">
        <f aca="false">+AK120/AK86*100</f>
        <v>2.93876967705434</v>
      </c>
      <c r="AL122" s="59" t="n">
        <f aca="false">+AL120/AL86*100</f>
        <v>3.18382916983343</v>
      </c>
      <c r="AM122" s="43"/>
      <c r="AN122" s="43"/>
      <c r="AO122" s="43"/>
      <c r="AP122" s="43"/>
      <c r="AQ122" s="43"/>
      <c r="AR122" s="43"/>
      <c r="AS122" s="43"/>
      <c r="AT122" s="43"/>
      <c r="AU122" s="43"/>
      <c r="AV122" s="43"/>
      <c r="AW122" s="43"/>
      <c r="AX122" s="43"/>
      <c r="AY122" s="43"/>
    </row>
    <row r="123" customFormat="false" ht="15" hidden="false" customHeight="true" outlineLevel="0" collapsed="false">
      <c r="A123" s="29" t="s">
        <v>335</v>
      </c>
      <c r="B123" s="79" t="n">
        <f aca="false">+B80/B119</f>
        <v>0.636873920552699</v>
      </c>
      <c r="C123" s="79" t="n">
        <f aca="false">+C80/C119</f>
        <v>1.81794792631471</v>
      </c>
      <c r="D123" s="79" t="n">
        <f aca="false">+D80/D119</f>
        <v>2.39206988138313</v>
      </c>
      <c r="E123" s="79" t="n">
        <f aca="false">+E80/E119</f>
        <v>2.37709156646768</v>
      </c>
      <c r="F123" s="79" t="n">
        <f aca="false">+F80/F119</f>
        <v>2.10116044399596</v>
      </c>
      <c r="G123" s="79" t="n">
        <f aca="false">+G80/G119</f>
        <v>1.54866833152554</v>
      </c>
      <c r="H123" s="79" t="n">
        <f aca="false">+H80/H119</f>
        <v>1.74211822428506</v>
      </c>
      <c r="I123" s="79" t="n">
        <f aca="false">+I80/I119</f>
        <v>1.88557357357357</v>
      </c>
      <c r="J123" s="79" t="n">
        <f aca="false">+J80/J119</f>
        <v>2.04214664088119</v>
      </c>
      <c r="K123" s="79" t="n">
        <f aca="false">+K80/K119</f>
        <v>1.79937591090848</v>
      </c>
      <c r="L123" s="79" t="n">
        <f aca="false">+L80/L119</f>
        <v>2.2022231938652</v>
      </c>
      <c r="M123" s="79" t="n">
        <f aca="false">+M80/M119</f>
        <v>2.27697119858291</v>
      </c>
      <c r="N123" s="79" t="n">
        <f aca="false">+N80/N119</f>
        <v>2.09006825727079</v>
      </c>
      <c r="O123" s="79" t="n">
        <f aca="false">+O80/O119</f>
        <v>1.936563973129</v>
      </c>
      <c r="P123" s="79" t="n">
        <f aca="false">+P80/P119</f>
        <v>2.28804366983749</v>
      </c>
      <c r="Q123" s="79" t="n">
        <f aca="false">+Q80/Q119</f>
        <v>2.41299788257555</v>
      </c>
      <c r="R123" s="79" t="n">
        <f aca="false">+R80/R119</f>
        <v>1.87152169141635</v>
      </c>
      <c r="S123" s="79" t="n">
        <f aca="false">+S80/S119</f>
        <v>2.13953747092845</v>
      </c>
      <c r="T123" s="79" t="n">
        <f aca="false">+T80/T119</f>
        <v>2.56062385625914</v>
      </c>
      <c r="U123" s="79" t="n">
        <f aca="false">+U80/U119</f>
        <v>2.12118494653804</v>
      </c>
      <c r="V123" s="79" t="n">
        <f aca="false">+V80/V119</f>
        <v>0.902969545341225</v>
      </c>
      <c r="W123" s="79" t="e">
        <f aca="false">+W80/W119</f>
        <v>#DIV/0!</v>
      </c>
      <c r="X123" s="79" t="n">
        <f aca="false">+X80/X119</f>
        <v>1.82619135372517</v>
      </c>
      <c r="Y123" s="79" t="n">
        <f aca="false">+Y80/Y119</f>
        <v>3.65388578049073</v>
      </c>
      <c r="Z123" s="79" t="n">
        <f aca="false">+Z80/Z119</f>
        <v>2.79990796324407</v>
      </c>
      <c r="AA123" s="79" t="n">
        <f aca="false">+AA80/AA119</f>
        <v>2.21396392706854</v>
      </c>
      <c r="AB123" s="79" t="n">
        <f aca="false">+AB80/AB119</f>
        <v>2.22986906665347</v>
      </c>
      <c r="AC123" s="79" t="n">
        <f aca="false">+AC80/AC119</f>
        <v>2.42810424118549</v>
      </c>
      <c r="AD123" s="79" t="n">
        <f aca="false">+AD80/AD119</f>
        <v>-1.72964571623233</v>
      </c>
      <c r="AE123" s="79" t="n">
        <f aca="false">+AE80/AE119</f>
        <v>0.540648952478287</v>
      </c>
      <c r="AF123" s="79" t="n">
        <f aca="false">+AF80/AF119</f>
        <v>1.72475327029838</v>
      </c>
      <c r="AG123" s="79" t="n">
        <f aca="false">+AG80/AG119</f>
        <v>1.8494793660819</v>
      </c>
      <c r="AH123" s="79" t="n">
        <f aca="false">+AH80/AH119</f>
        <v>1.75746228503321</v>
      </c>
      <c r="AI123" s="79" t="n">
        <f aca="false">+AI80/AI119</f>
        <v>1.90382636992216</v>
      </c>
      <c r="AJ123" s="79" t="n">
        <f aca="false">+AJ80/AJ119</f>
        <v>2</v>
      </c>
      <c r="AK123" s="79" t="n">
        <f aca="false">+AK80/AK119</f>
        <v>2</v>
      </c>
      <c r="AL123" s="79" t="n">
        <f aca="false">+AL80/AL119</f>
        <v>2</v>
      </c>
      <c r="AM123" s="80"/>
      <c r="AN123" s="80"/>
      <c r="AO123" s="80"/>
      <c r="AP123" s="80"/>
      <c r="AQ123" s="80"/>
      <c r="AR123" s="80"/>
      <c r="AS123" s="80"/>
      <c r="AT123" s="80"/>
      <c r="AU123" s="80"/>
      <c r="AV123" s="80"/>
      <c r="AW123" s="80"/>
      <c r="AX123" s="80"/>
      <c r="AY123" s="80"/>
    </row>
    <row r="124" customFormat="false" ht="15" hidden="false" customHeight="true" outlineLevel="0" collapsed="false">
      <c r="A124" s="29" t="s">
        <v>336</v>
      </c>
      <c r="B124" s="79" t="n">
        <f aca="false">1-(B119/B80)</f>
        <v>-0.570169491525369</v>
      </c>
      <c r="C124" s="79" t="n">
        <f aca="false">1-(C119/C80)</f>
        <v>0.449929238607418</v>
      </c>
      <c r="D124" s="79" t="n">
        <f aca="false">1-(D119/D80)</f>
        <v>0.581952012446314</v>
      </c>
      <c r="E124" s="79" t="n">
        <f aca="false">1-(E119/E80)</f>
        <v>0.579317846183778</v>
      </c>
      <c r="F124" s="79" t="n">
        <f aca="false">1-(F119/F80)</f>
        <v>0.524072517709207</v>
      </c>
      <c r="G124" s="79" t="n">
        <f aca="false">1-(G119/G80)</f>
        <v>0.354283948574752</v>
      </c>
      <c r="H124" s="79" t="n">
        <f aca="false">1-(H119/H80)</f>
        <v>0.425986143730065</v>
      </c>
      <c r="I124" s="79" t="n">
        <f aca="false">1-(I119/I80)</f>
        <v>0.469657395492247</v>
      </c>
      <c r="J124" s="79" t="n">
        <f aca="false">1-(J119/J80)</f>
        <v>0.510319200403503</v>
      </c>
      <c r="K124" s="79" t="n">
        <f aca="false">1-(K119/K80)</f>
        <v>0.444251757546807</v>
      </c>
      <c r="L124" s="79" t="n">
        <f aca="false">1-(L119/L80)</f>
        <v>0.545913419318383</v>
      </c>
      <c r="M124" s="79" t="n">
        <f aca="false">1-(M119/M80)</f>
        <v>0.560820092664169</v>
      </c>
      <c r="N124" s="79" t="n">
        <f aca="false">1-(N119/N80)</f>
        <v>0.52154672627496</v>
      </c>
      <c r="O124" s="79" t="n">
        <f aca="false">1-(O119/O80)</f>
        <v>0.483621499792619</v>
      </c>
      <c r="P124" s="79" t="n">
        <f aca="false">1-(P119/P80)</f>
        <v>0.562945404765363</v>
      </c>
      <c r="Q124" s="79" t="n">
        <f aca="false">1-(Q119/Q80)</f>
        <v>0.585577754866227</v>
      </c>
      <c r="R124" s="79" t="n">
        <f aca="false">1-(R119/R80)</f>
        <v>0.465675442295723</v>
      </c>
      <c r="S124" s="79" t="n">
        <f aca="false">1-(S119/S80)</f>
        <v>0.532609260838956</v>
      </c>
      <c r="T124" s="79" t="n">
        <f aca="false">1-(T119/T80)</f>
        <v>0.609470169718361</v>
      </c>
      <c r="U124" s="79" t="n">
        <f aca="false">1-(U119/U80)</f>
        <v>0.528565389061389</v>
      </c>
      <c r="V124" s="79" t="n">
        <f aca="false">1-(V119/V80)</f>
        <v>-0.107457062266821</v>
      </c>
      <c r="W124" s="79" t="n">
        <f aca="false">1-(W119/W80)</f>
        <v>1</v>
      </c>
      <c r="X124" s="79" t="n">
        <f aca="false">1-(X119/X80)</f>
        <v>0.452412257915829</v>
      </c>
      <c r="Y124" s="79" t="n">
        <f aca="false">1-(Y119/Y80)</f>
        <v>0.726318757597919</v>
      </c>
      <c r="Z124" s="79" t="n">
        <f aca="false">1-(Z119/Z80)</f>
        <v>0.642845403089119</v>
      </c>
      <c r="AA124" s="79" t="n">
        <f aca="false">1-(AA119/AA80)</f>
        <v>0.548321457376192</v>
      </c>
      <c r="AB124" s="79" t="n">
        <f aca="false">1-(AB119/AB80)</f>
        <v>0.551543175805934</v>
      </c>
      <c r="AC124" s="79" t="n">
        <f aca="false">1-(AC119/AC80)</f>
        <v>0.588156067174544</v>
      </c>
      <c r="AD124" s="79" t="n">
        <f aca="false">1-(AD119/AD80)</f>
        <v>1.57815308107043</v>
      </c>
      <c r="AE124" s="79" t="n">
        <f aca="false">1-(AE119/AE80)</f>
        <v>-0.849629034544669</v>
      </c>
      <c r="AF124" s="79" t="n">
        <f aca="false">1-(AF119/AF80)</f>
        <v>0.420206926277055</v>
      </c>
      <c r="AG124" s="79" t="n">
        <f aca="false">1-(AG119/AG80)</f>
        <v>0.459307295696686</v>
      </c>
      <c r="AH124" s="79" t="n">
        <f aca="false">1-(AH119/AH80)</f>
        <v>0.430997746855713</v>
      </c>
      <c r="AI124" s="79" t="n">
        <f aca="false">1-(AI119/AI80)</f>
        <v>0.474742016499705</v>
      </c>
      <c r="AJ124" s="79" t="n">
        <f aca="false">1-(AJ119/AJ80)</f>
        <v>0.499999999999999</v>
      </c>
      <c r="AK124" s="79" t="n">
        <f aca="false">1-(AK119/AK80)</f>
        <v>0.5</v>
      </c>
      <c r="AL124" s="79" t="n">
        <f aca="false">1-(AL119/AL80)</f>
        <v>0.5</v>
      </c>
      <c r="AM124" s="80"/>
      <c r="AN124" s="80"/>
      <c r="AO124" s="80"/>
      <c r="AP124" s="80"/>
      <c r="AQ124" s="80"/>
      <c r="AR124" s="80"/>
      <c r="AS124" s="80"/>
      <c r="AT124" s="80"/>
      <c r="AU124" s="80"/>
      <c r="AV124" s="80"/>
      <c r="AW124" s="80"/>
      <c r="AX124" s="80"/>
      <c r="AY124" s="80"/>
    </row>
    <row r="125" customFormat="false" ht="15" hidden="false" customHeight="true" outlineLevel="0" collapsed="false">
      <c r="A125" s="38" t="s">
        <v>337</v>
      </c>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row>
    <row r="126" customFormat="false" ht="15" hidden="false" customHeight="true" outlineLevel="0" collapsed="false">
      <c r="A126" s="70" t="s">
        <v>16</v>
      </c>
      <c r="B126" s="72" t="s">
        <v>338</v>
      </c>
      <c r="C126" s="72" t="s">
        <v>339</v>
      </c>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row>
    <row r="127" customFormat="false" ht="15" hidden="false" customHeight="true" outlineLevel="0" collapsed="false">
      <c r="A127" s="47"/>
      <c r="B127" s="33" t="s">
        <v>340</v>
      </c>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row>
    <row r="128" customFormat="false" ht="15" hidden="false" customHeight="true" outlineLevel="0" collapsed="false">
      <c r="A128" s="70" t="s">
        <v>341</v>
      </c>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row>
    <row r="129" customFormat="false" ht="15" hidden="false" customHeight="true" outlineLevel="0" collapsed="false">
      <c r="A129" s="70" t="s">
        <v>342</v>
      </c>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row>
    <row r="130" customFormat="false" ht="15" hidden="false" customHeight="true" outlineLevel="0" collapsed="false">
      <c r="A130" s="29" t="s">
        <v>343</v>
      </c>
      <c r="B130" s="59" t="n">
        <f aca="false">B83</f>
        <v>0.0159489345751281</v>
      </c>
      <c r="C130" s="59" t="n">
        <f aca="false">C83</f>
        <v>0.113240083079054</v>
      </c>
      <c r="D130" s="59" t="n">
        <f aca="false">D83</f>
        <v>0.14838685265999</v>
      </c>
      <c r="E130" s="59" t="n">
        <f aca="false">E83</f>
        <v>0.237711155395237</v>
      </c>
      <c r="F130" s="59" t="n">
        <f aca="false">F83</f>
        <v>0.262625179729081</v>
      </c>
      <c r="G130" s="59" t="n">
        <f aca="false">G83</f>
        <v>0.0387167082881386</v>
      </c>
      <c r="H130" s="59" t="n">
        <f aca="false">H83</f>
        <v>0.0435529556071265</v>
      </c>
      <c r="I130" s="59" t="n">
        <f aca="false">I83</f>
        <v>0.164987093139604</v>
      </c>
      <c r="J130" s="59" t="n">
        <f aca="false">J83</f>
        <v>0.20421638120223</v>
      </c>
      <c r="K130" s="59" t="n">
        <f aca="false">K83</f>
        <v>0.202429600854291</v>
      </c>
      <c r="L130" s="59" t="n">
        <f aca="false">L83</f>
        <v>0.275275584592489</v>
      </c>
      <c r="M130" s="59" t="n">
        <f aca="false">M83</f>
        <v>0.42693329633647</v>
      </c>
      <c r="N130" s="59" t="n">
        <f aca="false">N83</f>
        <v>0.46915009661696</v>
      </c>
      <c r="O130" s="59" t="n">
        <f aca="false">O83</f>
        <v>0.633264456590162</v>
      </c>
      <c r="P130" s="59" t="n">
        <f aca="false">P83</f>
        <v>0.858018536563256</v>
      </c>
      <c r="Q130" s="59" t="n">
        <f aca="false">Q83</f>
        <v>0.90587180720718</v>
      </c>
      <c r="R130" s="59" t="n">
        <f aca="false">R83</f>
        <v>0.4678966010244</v>
      </c>
      <c r="S130" s="59" t="n">
        <f aca="false">S83</f>
        <v>0.802324139206314</v>
      </c>
      <c r="T130" s="59" t="n">
        <f aca="false">T83</f>
        <v>1.28030855975381</v>
      </c>
      <c r="U130" s="59" t="n">
        <f aca="false">U83</f>
        <v>1.0605912774178</v>
      </c>
      <c r="V130" s="59" t="n">
        <f aca="false">V83</f>
        <v>0.27089052422689</v>
      </c>
      <c r="W130" s="59" t="n">
        <f aca="false">W83</f>
        <v>-0.895030217839053</v>
      </c>
      <c r="X130" s="59" t="n">
        <f aca="false">X83</f>
        <v>0.410892412891621</v>
      </c>
      <c r="Y130" s="59" t="n">
        <f aca="false">Y83</f>
        <v>1.73559381985123</v>
      </c>
      <c r="Z130" s="59" t="n">
        <f aca="false">Z83</f>
        <v>2.18392821133037</v>
      </c>
      <c r="AA130" s="59" t="n">
        <f aca="false">AA83</f>
        <v>2.68996617138827</v>
      </c>
      <c r="AB130" s="59" t="n">
        <f aca="false">AB83</f>
        <v>3.45629705331288</v>
      </c>
      <c r="AC130" s="59" t="n">
        <f aca="false">AC83</f>
        <v>0.607026060296372</v>
      </c>
      <c r="AD130" s="59" t="n">
        <f aca="false">AD83</f>
        <v>-0.5188937148697</v>
      </c>
      <c r="AE130" s="59" t="n">
        <f aca="false">AE83</f>
        <v>0.270324476239143</v>
      </c>
      <c r="AF130" s="59" t="n">
        <f aca="false">AF83</f>
        <v>2.2421792513879</v>
      </c>
      <c r="AG130" s="59" t="n">
        <f aca="false">AG83</f>
        <v>4.57746143105269</v>
      </c>
      <c r="AH130" s="59" t="n">
        <f aca="false">AH83</f>
        <v>5.49206964072877</v>
      </c>
      <c r="AI130" s="59" t="n">
        <f aca="false">AI83</f>
        <v>6.66339229472755</v>
      </c>
      <c r="AJ130" s="59" t="n">
        <f aca="false">AJ83</f>
        <v>6.65517589868983</v>
      </c>
      <c r="AK130" s="59" t="n">
        <f aca="false">AK83</f>
        <v>7.46447497971803</v>
      </c>
      <c r="AL130" s="59" t="n">
        <f aca="false">AL83</f>
        <v>8.08692609137691</v>
      </c>
      <c r="AM130" s="43"/>
      <c r="AN130" s="43"/>
      <c r="AO130" s="43"/>
      <c r="AP130" s="43"/>
      <c r="AQ130" s="43"/>
      <c r="AR130" s="43"/>
      <c r="AS130" s="43"/>
      <c r="AT130" s="43"/>
      <c r="AU130" s="43"/>
      <c r="AV130" s="43"/>
      <c r="AW130" s="43"/>
      <c r="AX130" s="43"/>
      <c r="AY130" s="43"/>
    </row>
    <row r="131" customFormat="false" ht="15" hidden="false" customHeight="true" outlineLevel="0" collapsed="false">
      <c r="A131" s="29" t="s">
        <v>344</v>
      </c>
      <c r="B131" s="49" t="n">
        <f aca="false">B85</f>
        <v>1.3622012052709</v>
      </c>
      <c r="C131" s="49" t="n">
        <f aca="false">C85</f>
        <v>1.40092694684479</v>
      </c>
      <c r="D131" s="49" t="n">
        <f aca="false">D85</f>
        <v>1.97992499726728</v>
      </c>
      <c r="E131" s="49" t="n">
        <f aca="false">E85</f>
        <v>2.11829326741165</v>
      </c>
      <c r="F131" s="49" t="n">
        <f aca="false">F85</f>
        <v>2.243418342036</v>
      </c>
      <c r="G131" s="49" t="n">
        <f aca="false">G85</f>
        <v>2.25461619958126</v>
      </c>
      <c r="H131" s="49" t="n">
        <f aca="false">H85</f>
        <v>2.27037770434461</v>
      </c>
      <c r="I131" s="49" t="n">
        <f aca="false">I85</f>
        <v>2.33823751986479</v>
      </c>
      <c r="J131" s="49" t="n">
        <f aca="false">J85</f>
        <v>2.42075944471071</v>
      </c>
      <c r="K131" s="49" t="n">
        <f aca="false">K85</f>
        <v>2.12402357709221</v>
      </c>
      <c r="L131" s="49" t="n">
        <f aca="false">L85</f>
        <v>1.96253436924552</v>
      </c>
      <c r="M131" s="49" t="n">
        <f aca="false">M85</f>
        <v>2.15793456600156</v>
      </c>
      <c r="N131" s="49" t="n">
        <f aca="false">N85</f>
        <v>2.27724099918183</v>
      </c>
      <c r="O131" s="49" t="n">
        <f aca="false">O85</f>
        <v>2.84159988212084</v>
      </c>
      <c r="P131" s="49" t="n">
        <f aca="false">P85</f>
        <v>3.53435949149086</v>
      </c>
      <c r="Q131" s="49" t="n">
        <f aca="false">Q85</f>
        <v>3.99635619465701</v>
      </c>
      <c r="R131" s="49" t="n">
        <f aca="false">R85</f>
        <v>3.96333160946584</v>
      </c>
      <c r="S131" s="49" t="n">
        <f aca="false">S85</f>
        <v>4.38906705944787</v>
      </c>
      <c r="T131" s="49" t="n">
        <f aca="false">T85</f>
        <v>4.99248708226907</v>
      </c>
      <c r="U131" s="49" t="n">
        <f aca="false">U85</f>
        <v>5.43999372340905</v>
      </c>
      <c r="V131" s="49" t="n">
        <f aca="false">V85</f>
        <v>5.93723578183021</v>
      </c>
      <c r="W131" s="49" t="n">
        <f aca="false">W85</f>
        <v>6.16362452455763</v>
      </c>
      <c r="X131" s="49" t="n">
        <f aca="false">X85</f>
        <v>7.2229561682151</v>
      </c>
      <c r="Y131" s="49" t="n">
        <f aca="false">Y85</f>
        <v>9.49995607685496</v>
      </c>
      <c r="Z131" s="49" t="n">
        <f aca="false">Z85</f>
        <v>10.7630462282317</v>
      </c>
      <c r="AA131" s="49" t="n">
        <f aca="false">AA85</f>
        <v>12.2386968639353</v>
      </c>
      <c r="AB131" s="49" t="n">
        <f aca="false">AB85</f>
        <v>14.1925225685573</v>
      </c>
      <c r="AC131" s="49" t="n">
        <f aca="false">AC85</f>
        <v>12.3726622381196</v>
      </c>
      <c r="AD131" s="49" t="n">
        <f aca="false">AD85</f>
        <v>11.8841764605689</v>
      </c>
      <c r="AE131" s="49" t="n">
        <f aca="false">AE85</f>
        <v>12.4968489184125</v>
      </c>
      <c r="AF131" s="49" t="n">
        <f aca="false">AF85</f>
        <v>14.3486257280065</v>
      </c>
      <c r="AG131" s="49" t="n">
        <f aca="false">AG85</f>
        <v>15.0025031502231</v>
      </c>
      <c r="AH131" s="49" t="n">
        <f aca="false">AH85</f>
        <v>19.6131278733186</v>
      </c>
      <c r="AI131" s="49" t="n">
        <f aca="false">AI85</f>
        <v>22.3248948739338</v>
      </c>
      <c r="AJ131" s="49" t="n">
        <f aca="false">AJ85</f>
        <v>26.4545340763912</v>
      </c>
      <c r="AK131" s="49" t="n">
        <f aca="false">AK85</f>
        <v>30.5658844105318</v>
      </c>
      <c r="AL131" s="49" t="n">
        <f aca="false">AL85</f>
        <v>34.8950363158172</v>
      </c>
      <c r="AM131" s="36"/>
      <c r="AN131" s="36"/>
      <c r="AO131" s="36"/>
      <c r="AP131" s="36"/>
      <c r="AQ131" s="36"/>
      <c r="AR131" s="36"/>
      <c r="AS131" s="36"/>
      <c r="AT131" s="36"/>
      <c r="AU131" s="36"/>
      <c r="AV131" s="36"/>
      <c r="AW131" s="36"/>
      <c r="AX131" s="36"/>
      <c r="AY131" s="36"/>
    </row>
    <row r="132" customFormat="false" ht="15" hidden="false" customHeight="true" outlineLevel="0" collapsed="false">
      <c r="A132" s="29" t="s">
        <v>345</v>
      </c>
      <c r="B132" s="49" t="n">
        <f aca="false">B43/B82</f>
        <v>0.225743202329807</v>
      </c>
      <c r="C132" s="49" t="n">
        <f aca="false">C43/C82</f>
        <v>0.281202723146747</v>
      </c>
      <c r="D132" s="49" t="n">
        <f aca="false">D43/D82</f>
        <v>0.227152334586181</v>
      </c>
      <c r="E132" s="49" t="n">
        <f aca="false">E43/E82</f>
        <v>0.30568238192535</v>
      </c>
      <c r="F132" s="49" t="n">
        <f aca="false">F43/F82</f>
        <v>0.481390157152587</v>
      </c>
      <c r="G132" s="49" t="n">
        <f aca="false">G43/G82</f>
        <v>0.325324684475611</v>
      </c>
      <c r="H132" s="49" t="n">
        <f aca="false">H43/H82</f>
        <v>0.348047654124729</v>
      </c>
      <c r="I132" s="49" t="n">
        <f aca="false">I43/I82</f>
        <v>0.548270396623196</v>
      </c>
      <c r="J132" s="49" t="n">
        <f aca="false">J43/J82</f>
        <v>0.603776202608279</v>
      </c>
      <c r="K132" s="49" t="n">
        <f aca="false">K43/K82</f>
        <v>0.622583642341229</v>
      </c>
      <c r="L132" s="49" t="n">
        <f aca="false">L43/L82</f>
        <v>0.687445871065931</v>
      </c>
      <c r="M132" s="49" t="n">
        <f aca="false">M43/M82</f>
        <v>0.829494908727056</v>
      </c>
      <c r="N132" s="49" t="n">
        <f aca="false">N43/N82</f>
        <v>0.842256250025396</v>
      </c>
      <c r="O132" s="49" t="n">
        <f aca="false">O43/O82</f>
        <v>1.10526035740305</v>
      </c>
      <c r="P132" s="49" t="n">
        <f aca="false">P43/P82</f>
        <v>1.32695241979953</v>
      </c>
      <c r="Q132" s="49" t="n">
        <f aca="false">Q43/Q82</f>
        <v>1.5108712810259</v>
      </c>
      <c r="R132" s="49" t="n">
        <f aca="false">R43/R82</f>
        <v>0.882169960807072</v>
      </c>
      <c r="S132" s="49" t="n">
        <f aca="false">S43/S82</f>
        <v>1.43353945827464</v>
      </c>
      <c r="T132" s="49" t="n">
        <f aca="false">T43/T82</f>
        <v>2.38201417379892</v>
      </c>
      <c r="U132" s="49" t="n">
        <f aca="false">U43/U82</f>
        <v>2.3387532510486</v>
      </c>
      <c r="V132" s="49" t="n">
        <f aca="false">V43/V82</f>
        <v>1.64707574755326</v>
      </c>
      <c r="W132" s="49" t="n">
        <f aca="false">W43/W82</f>
        <v>0.31300701324473</v>
      </c>
      <c r="X132" s="49" t="n">
        <f aca="false">X43/X82</f>
        <v>1.80371923622922</v>
      </c>
      <c r="Y132" s="49" t="n">
        <f aca="false">Y43/Y82</f>
        <v>3.96121955247586</v>
      </c>
      <c r="Z132" s="49" t="n">
        <f aca="false">Z43/Z82</f>
        <v>3.86969443546461</v>
      </c>
      <c r="AA132" s="49" t="n">
        <f aca="false">AA43/AA82</f>
        <v>4.67864646606821</v>
      </c>
      <c r="AB132" s="49" t="n">
        <f aca="false">AB43/AB82</f>
        <v>5.34106625787769</v>
      </c>
      <c r="AC132" s="49" t="n">
        <f aca="false">AC43/AC82</f>
        <v>1.99906319196048</v>
      </c>
      <c r="AD132" s="49" t="n">
        <f aca="false">AD43/AD82</f>
        <v>0.91149718957588</v>
      </c>
      <c r="AE132" s="49" t="n">
        <f aca="false">AE43/AE82</f>
        <v>1.69395332992676</v>
      </c>
      <c r="AF132" s="49" t="n">
        <f aca="false">AF43/AF82</f>
        <v>4.9908041279248</v>
      </c>
      <c r="AG132" s="49" t="n">
        <f aca="false">AG43/AG82</f>
        <v>7.84419166978852</v>
      </c>
      <c r="AH132" s="49" t="n">
        <f aca="false">AH43/AH82</f>
        <v>8.39530052783927</v>
      </c>
      <c r="AI132" s="49" t="n">
        <f aca="false">AI43/AI82</f>
        <v>9.75884846524459</v>
      </c>
      <c r="AJ132" s="49" t="n">
        <f aca="false">AJ43/AJ82</f>
        <v>9.79681048007648</v>
      </c>
      <c r="AK132" s="49" t="n">
        <f aca="false">AK43/AK82</f>
        <v>10.869122327443</v>
      </c>
      <c r="AL132" s="49" t="n">
        <f aca="false">AL43/AL82</f>
        <v>11.6223145730234</v>
      </c>
      <c r="AM132" s="36"/>
      <c r="AN132" s="36"/>
      <c r="AO132" s="36"/>
      <c r="AP132" s="36"/>
      <c r="AQ132" s="36"/>
      <c r="AR132" s="36"/>
      <c r="AS132" s="36"/>
      <c r="AT132" s="36"/>
      <c r="AU132" s="36"/>
      <c r="AV132" s="36"/>
      <c r="AW132" s="36"/>
      <c r="AX132" s="36"/>
      <c r="AY132" s="36"/>
    </row>
    <row r="133" customFormat="false" ht="15" hidden="false" customHeight="true" outlineLevel="0" collapsed="false">
      <c r="A133" s="29" t="s">
        <v>346</v>
      </c>
      <c r="B133" s="49" t="n">
        <f aca="false">B101/B82</f>
        <v>1.51796372653614</v>
      </c>
      <c r="C133" s="49" t="n">
        <f aca="false">C101/C82</f>
        <v>1.58806636067591</v>
      </c>
      <c r="D133" s="49" t="n">
        <f aca="false">D101/D82</f>
        <v>0.98379495329146</v>
      </c>
      <c r="E133" s="49" t="n">
        <f aca="false">E101/E82</f>
        <v>1.75737414760067</v>
      </c>
      <c r="F133" s="49" t="n">
        <f aca="false">F101/F82</f>
        <v>2.3996880491722</v>
      </c>
      <c r="G133" s="49" t="n">
        <f aca="false">G101/G82</f>
        <v>2.57816848708053</v>
      </c>
      <c r="H133" s="49" t="n">
        <f aca="false">H101/H82</f>
        <v>1.85518040175231</v>
      </c>
      <c r="I133" s="49" t="n">
        <f aca="false">I101/I82</f>
        <v>1.79234249005709</v>
      </c>
      <c r="J133" s="49" t="n">
        <f aca="false">J101/J82</f>
        <v>1.45425421890372</v>
      </c>
      <c r="K133" s="49" t="n">
        <f aca="false">K101/K82</f>
        <v>1.23101178013773</v>
      </c>
      <c r="L133" s="49" t="n">
        <f aca="false">L101/L82</f>
        <v>0.965111537135602</v>
      </c>
      <c r="M133" s="49" t="n">
        <f aca="false">M101/M82</f>
        <v>0.232729191366277</v>
      </c>
      <c r="N133" s="49" t="n">
        <f aca="false">N101/N82</f>
        <v>-0.257730213322185</v>
      </c>
      <c r="O133" s="49" t="n">
        <f aca="false">O101/O82</f>
        <v>-0.50996242601855</v>
      </c>
      <c r="P133" s="49" t="n">
        <f aca="false">P101/P82</f>
        <v>0.0626118878741869</v>
      </c>
      <c r="Q133" s="49" t="n">
        <f aca="false">Q101/Q82</f>
        <v>-0.219442022340154</v>
      </c>
      <c r="R133" s="49" t="n">
        <f aca="false">R101/R82</f>
        <v>3.1936503921548</v>
      </c>
      <c r="S133" s="49" t="n">
        <f aca="false">S101/S82</f>
        <v>2.9446012754615</v>
      </c>
      <c r="T133" s="49" t="n">
        <f aca="false">T101/T82</f>
        <v>3.70713959267617</v>
      </c>
      <c r="U133" s="49" t="n">
        <f aca="false">U101/U82</f>
        <v>4.20118090112302</v>
      </c>
      <c r="V133" s="49" t="n">
        <f aca="false">V101/V82</f>
        <v>5.7767020085091</v>
      </c>
      <c r="W133" s="49" t="n">
        <f aca="false">W101/W82</f>
        <v>7.64112407354511</v>
      </c>
      <c r="X133" s="49" t="n">
        <f aca="false">X101/X82</f>
        <v>3.84764589511856</v>
      </c>
      <c r="Y133" s="49" t="n">
        <f aca="false">Y101/Y82</f>
        <v>1.44393386228513</v>
      </c>
      <c r="Z133" s="49" t="n">
        <f aca="false">Z101/Z82</f>
        <v>0.624947994996275</v>
      </c>
      <c r="AA133" s="49" t="n">
        <f aca="false">AA101/AA82</f>
        <v>-5.22229722989381</v>
      </c>
      <c r="AB133" s="49" t="n">
        <f aca="false">AB101/AB82</f>
        <v>-1.26252767841935</v>
      </c>
      <c r="AC133" s="49" t="n">
        <f aca="false">AC101/AC82</f>
        <v>3.33655254641458</v>
      </c>
      <c r="AD133" s="49" t="n">
        <f aca="false">AD101/AD82</f>
        <v>5.14103219213081</v>
      </c>
      <c r="AE133" s="49" t="n">
        <f aca="false">AE101/AE82</f>
        <v>2.05905297223642</v>
      </c>
      <c r="AF133" s="49" t="n">
        <f aca="false">AF101/AF82</f>
        <v>-0.0815367324001231</v>
      </c>
      <c r="AG133" s="49" t="n">
        <f aca="false">AG101/AG82</f>
        <v>-2.3632462623029</v>
      </c>
      <c r="AH133" s="49" t="n">
        <f aca="false">AH101/AH82</f>
        <v>-7.22446790396731</v>
      </c>
      <c r="AI133" s="49" t="n">
        <f aca="false">AI101/AI82</f>
        <v>-10.0473620592792</v>
      </c>
      <c r="AJ133" s="49" t="n">
        <f aca="false">AJ101/AJ82</f>
        <v>-11.8701694901771</v>
      </c>
      <c r="AK133" s="49" t="n">
        <f aca="false">AK101/AK82</f>
        <v>-15.9392273862007</v>
      </c>
      <c r="AL133" s="49" t="n">
        <f aca="false">AL101/AL82</f>
        <v>-20.4982396613356</v>
      </c>
      <c r="AM133" s="36"/>
      <c r="AN133" s="36"/>
      <c r="AO133" s="36"/>
      <c r="AP133" s="36"/>
      <c r="AQ133" s="36"/>
      <c r="AR133" s="36"/>
      <c r="AS133" s="36"/>
      <c r="AT133" s="36"/>
      <c r="AU133" s="36"/>
      <c r="AV133" s="36"/>
      <c r="AW133" s="36"/>
      <c r="AX133" s="36"/>
      <c r="AY133" s="36"/>
    </row>
    <row r="134" customFormat="false" ht="15" hidden="false" customHeight="true" outlineLevel="0" collapsed="false">
      <c r="A134" s="29" t="s">
        <v>347</v>
      </c>
      <c r="B134" s="49" t="n">
        <f aca="false">B16/B82</f>
        <v>2.96047187220668</v>
      </c>
      <c r="C134" s="49" t="n">
        <f aca="false">C16/C82</f>
        <v>3.3941543372907</v>
      </c>
      <c r="D134" s="49" t="n">
        <f aca="false">D16/D82</f>
        <v>2.80452833203003</v>
      </c>
      <c r="E134" s="49" t="n">
        <f aca="false">E16/E82</f>
        <v>3.76228464041571</v>
      </c>
      <c r="F134" s="49" t="n">
        <f aca="false">F16/F82</f>
        <v>4.58529038333796</v>
      </c>
      <c r="G134" s="49" t="n">
        <f aca="false">G16/G82</f>
        <v>3.71816410967888</v>
      </c>
      <c r="H134" s="49" t="n">
        <f aca="false">H16/H82</f>
        <v>3.82302221878095</v>
      </c>
      <c r="I134" s="49" t="n">
        <f aca="false">I16/I82</f>
        <v>4.73655290131087</v>
      </c>
      <c r="J134" s="49" t="n">
        <f aca="false">J16/J82</f>
        <v>4.73394209990835</v>
      </c>
      <c r="K134" s="49" t="n">
        <f aca="false">K16/K82</f>
        <v>4.7533570449596</v>
      </c>
      <c r="L134" s="49" t="n">
        <f aca="false">L16/L82</f>
        <v>5.63440161777195</v>
      </c>
      <c r="M134" s="49" t="n">
        <f aca="false">M16/M82</f>
        <v>7.13426498162769</v>
      </c>
      <c r="N134" s="49" t="n">
        <f aca="false">N16/N82</f>
        <v>8.33069412432001</v>
      </c>
      <c r="O134" s="49" t="n">
        <f aca="false">O16/O82</f>
        <v>10.7393990618784</v>
      </c>
      <c r="P134" s="49" t="n">
        <f aca="false">P16/P82</f>
        <v>13.5364046318747</v>
      </c>
      <c r="Q134" s="49" t="n">
        <f aca="false">Q16/Q82</f>
        <v>14.5247136070478</v>
      </c>
      <c r="R134" s="49" t="n">
        <f aca="false">R16/R82</f>
        <v>11.2397295206796</v>
      </c>
      <c r="S134" s="49" t="n">
        <f aca="false">S16/S82</f>
        <v>13.6143760401461</v>
      </c>
      <c r="T134" s="49" t="n">
        <f aca="false">T16/T82</f>
        <v>20.8925768712106</v>
      </c>
      <c r="U134" s="49" t="n">
        <f aca="false">U16/U82</f>
        <v>24.1111916878392</v>
      </c>
      <c r="V134" s="49" t="n">
        <f aca="false">V16/V82</f>
        <v>23.454906264564</v>
      </c>
      <c r="W134" s="49" t="n">
        <f aca="false">W16/W82</f>
        <v>18.6858748515417</v>
      </c>
      <c r="X134" s="49" t="n">
        <f aca="false">X16/X82</f>
        <v>23.8277502916497</v>
      </c>
      <c r="Y134" s="49" t="n">
        <f aca="false">Y16/Y82</f>
        <v>33.27143800863</v>
      </c>
      <c r="Z134" s="49" t="n">
        <f aca="false">Z16/Z82</f>
        <v>35.1712946434846</v>
      </c>
      <c r="AA134" s="49" t="n">
        <f aca="false">AA16/AA82</f>
        <v>44.8359061230402</v>
      </c>
      <c r="AB134" s="49" t="n">
        <f aca="false">AB16/AB82</f>
        <v>49.4889286322603</v>
      </c>
      <c r="AC134" s="49" t="n">
        <f aca="false">AC16/AC82</f>
        <v>29.752120592744</v>
      </c>
      <c r="AD134" s="49" t="n">
        <f aca="false">AD16/AD82</f>
        <v>26.0627661386476</v>
      </c>
      <c r="AE134" s="49" t="n">
        <f aca="false">AE16/AE82</f>
        <v>36.9413898824732</v>
      </c>
      <c r="AF134" s="49" t="n">
        <f aca="false">AF16/AF82</f>
        <v>61.5512755015156</v>
      </c>
      <c r="AG134" s="49" t="n">
        <f aca="false">AG16/AG82</f>
        <v>65.3322719068215</v>
      </c>
      <c r="AH134" s="49" t="n">
        <f aca="false">AH16/AH82</f>
        <v>65.9845734718202</v>
      </c>
      <c r="AI134" s="49" t="n">
        <f aca="false">AI16/AI82</f>
        <v>74.9196104802602</v>
      </c>
      <c r="AJ134" s="49" t="n">
        <f aca="false">AJ16/AJ82</f>
        <v>81.6866965525314</v>
      </c>
      <c r="AK134" s="49" t="n">
        <f aca="false">AK16/AK82</f>
        <v>88.2403068422651</v>
      </c>
      <c r="AL134" s="49" t="n">
        <f aca="false">AL16/AL82</f>
        <v>94.8629876399217</v>
      </c>
      <c r="AM134" s="36"/>
      <c r="AN134" s="36"/>
      <c r="AO134" s="36"/>
      <c r="AP134" s="36"/>
      <c r="AQ134" s="36"/>
      <c r="AR134" s="36"/>
      <c r="AS134" s="36"/>
      <c r="AT134" s="36"/>
      <c r="AU134" s="36"/>
      <c r="AV134" s="36"/>
      <c r="AW134" s="36"/>
      <c r="AX134" s="36"/>
      <c r="AY134" s="36"/>
    </row>
    <row r="135" customFormat="false" ht="15" hidden="false" customHeight="true" outlineLevel="0" collapsed="false">
      <c r="A135" s="29" t="s">
        <v>216</v>
      </c>
      <c r="B135" s="48" t="str">
        <f aca="false">+B3</f>
        <v>FY 1993</v>
      </c>
      <c r="C135" s="48" t="str">
        <f aca="false">+C3</f>
        <v>FY 1994</v>
      </c>
      <c r="D135" s="48" t="str">
        <f aca="false">+D3</f>
        <v>FY 1995</v>
      </c>
      <c r="E135" s="48" t="str">
        <f aca="false">+E3</f>
        <v>FY 1996 </v>
      </c>
      <c r="F135" s="48" t="str">
        <f aca="false">+F3</f>
        <v>FY 1997</v>
      </c>
      <c r="G135" s="48" t="str">
        <f aca="false">+G3</f>
        <v>FY 1998</v>
      </c>
      <c r="H135" s="48" t="str">
        <f aca="false">+H3</f>
        <v>FY 1999</v>
      </c>
      <c r="I135" s="48" t="str">
        <f aca="false">+I3</f>
        <v>FY2000</v>
      </c>
      <c r="J135" s="48" t="str">
        <f aca="false">+J3</f>
        <v>FY2001</v>
      </c>
      <c r="K135" s="48" t="str">
        <f aca="false">+K3</f>
        <v>FY2002</v>
      </c>
      <c r="L135" s="48" t="str">
        <f aca="false">+L3</f>
        <v>FY2003</v>
      </c>
      <c r="M135" s="48" t="str">
        <f aca="false">+M3</f>
        <v>FY2004</v>
      </c>
      <c r="N135" s="48" t="str">
        <f aca="false">+N3</f>
        <v>FY2005</v>
      </c>
      <c r="O135" s="48" t="str">
        <f aca="false">+O3</f>
        <v>FY2006</v>
      </c>
      <c r="P135" s="48" t="str">
        <f aca="false">+P3</f>
        <v>FY2007</v>
      </c>
      <c r="Q135" s="48" t="str">
        <f aca="false">+Q3</f>
        <v>FY2008</v>
      </c>
      <c r="R135" s="48" t="str">
        <f aca="false">+R3</f>
        <v>FY2009</v>
      </c>
      <c r="S135" s="48" t="str">
        <f aca="false">+S3</f>
        <v>FY2010</v>
      </c>
      <c r="T135" s="48" t="str">
        <f aca="false">+T3</f>
        <v>FY2011</v>
      </c>
      <c r="U135" s="48" t="str">
        <f aca="false">+U3</f>
        <v>FY2012</v>
      </c>
      <c r="V135" s="48" t="str">
        <f aca="false">+V3</f>
        <v>FY2013</v>
      </c>
      <c r="W135" s="48" t="str">
        <f aca="false">+W3</f>
        <v>FY2014</v>
      </c>
      <c r="X135" s="48" t="str">
        <f aca="false">+X3</f>
        <v>FY2015</v>
      </c>
      <c r="Y135" s="48" t="str">
        <f aca="false">+Y3</f>
        <v>FY2016</v>
      </c>
      <c r="Z135" s="48" t="str">
        <f aca="false">+Z3</f>
        <v>FY2017</v>
      </c>
      <c r="AA135" s="48" t="str">
        <f aca="false">+AA3</f>
        <v>FY2018</v>
      </c>
      <c r="AB135" s="48" t="str">
        <f aca="false">+AB3</f>
        <v>FY2019</v>
      </c>
      <c r="AC135" s="48" t="str">
        <f aca="false">+AC3</f>
        <v>FY2020</v>
      </c>
      <c r="AD135" s="48" t="str">
        <f aca="false">+AD3</f>
        <v>FY2021</v>
      </c>
      <c r="AE135" s="48" t="str">
        <f aca="false">+AE3</f>
        <v>FY2022</v>
      </c>
      <c r="AF135" s="48" t="str">
        <f aca="false">+AF3</f>
        <v>FY2023</v>
      </c>
      <c r="AG135" s="48" t="str">
        <f aca="false">+AG3</f>
        <v>FY2024</v>
      </c>
      <c r="AH135" s="48" t="str">
        <f aca="false">+AH3</f>
        <v>FY2025</v>
      </c>
      <c r="AI135" s="48" t="str">
        <f aca="false">+AI3</f>
        <v>FY2026</v>
      </c>
      <c r="AJ135" s="48" t="str">
        <f aca="false">+AJ3</f>
        <v>FY2027E</v>
      </c>
      <c r="AK135" s="48" t="str">
        <f aca="false">+AK3</f>
        <v>FY2028E</v>
      </c>
      <c r="AL135" s="48" t="str">
        <f aca="false">+AL3</f>
        <v>FY2029E</v>
      </c>
      <c r="AM135" s="43"/>
      <c r="AN135" s="43"/>
      <c r="AO135" s="43"/>
      <c r="AP135" s="43"/>
      <c r="AQ135" s="43"/>
      <c r="AR135" s="43"/>
      <c r="AS135" s="43"/>
      <c r="AT135" s="43"/>
      <c r="AU135" s="43"/>
      <c r="AV135" s="43"/>
      <c r="AW135" s="43"/>
      <c r="AX135" s="43"/>
      <c r="AY135" s="43"/>
    </row>
    <row r="136" customFormat="false" ht="15" hidden="false" customHeight="true" outlineLevel="0" collapsed="false">
      <c r="A136" s="38" t="s">
        <v>348</v>
      </c>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c r="AT136" s="45"/>
      <c r="AU136" s="45"/>
      <c r="AV136" s="45"/>
      <c r="AW136" s="45"/>
      <c r="AX136" s="45"/>
      <c r="AY136" s="45"/>
    </row>
    <row r="137" customFormat="false" ht="15" hidden="false" customHeight="true" outlineLevel="0" collapsed="false">
      <c r="A137" s="47" t="s">
        <v>349</v>
      </c>
      <c r="B137" s="31" t="n">
        <f aca="false">+B584</f>
        <v>693.62</v>
      </c>
      <c r="C137" s="31" t="n">
        <f aca="false">+C584</f>
        <v>779.98</v>
      </c>
      <c r="D137" s="31" t="n">
        <f aca="false">+D584</f>
        <v>1189.25</v>
      </c>
      <c r="E137" s="31" t="n">
        <f aca="false">+E584</f>
        <v>1189.29</v>
      </c>
      <c r="F137" s="31" t="n">
        <f aca="false">+F584</f>
        <v>1189.29</v>
      </c>
      <c r="G137" s="31" t="n">
        <f aca="false">+G584</f>
        <v>1189.29</v>
      </c>
      <c r="H137" s="31" t="n">
        <f aca="false">+H584</f>
        <v>1189.29</v>
      </c>
      <c r="I137" s="31" t="n">
        <f aca="false">+I584</f>
        <v>1189.29</v>
      </c>
      <c r="J137" s="31" t="n">
        <f aca="false">+J584</f>
        <v>1189.29</v>
      </c>
      <c r="K137" s="31" t="n">
        <f aca="false">+K584</f>
        <v>1189.29</v>
      </c>
      <c r="L137" s="31" t="n">
        <f aca="false">+L584</f>
        <v>1189.29</v>
      </c>
      <c r="M137" s="31" t="n">
        <f aca="false">+M584</f>
        <v>1189.29</v>
      </c>
      <c r="N137" s="31" t="n">
        <f aca="false">+N584</f>
        <v>1189.29</v>
      </c>
      <c r="O137" s="31" t="n">
        <f aca="false">+O584</f>
        <v>1221.59</v>
      </c>
      <c r="P137" s="31" t="n">
        <f aca="false">+P584</f>
        <v>1323.87</v>
      </c>
      <c r="Q137" s="31" t="n">
        <f aca="false">+Q584</f>
        <v>1330.34</v>
      </c>
      <c r="R137" s="31" t="n">
        <f aca="false">+R584</f>
        <v>1330.342</v>
      </c>
      <c r="S137" s="31" t="n">
        <f aca="false">+S584</f>
        <v>1330.342</v>
      </c>
      <c r="T137" s="31" t="n">
        <f aca="false">+T584</f>
        <v>1330.342</v>
      </c>
      <c r="U137" s="31" t="n">
        <f aca="false">+U584</f>
        <v>2660.68</v>
      </c>
      <c r="V137" s="31" t="n">
        <f aca="false">+V584</f>
        <v>2660.68</v>
      </c>
      <c r="W137" s="31" t="n">
        <f aca="false">+W584</f>
        <v>2660.68</v>
      </c>
      <c r="X137" s="31" t="n">
        <f aca="false">+X584</f>
        <v>2845.88</v>
      </c>
      <c r="Y137" s="31" t="n">
        <f aca="false">+Y584</f>
        <v>2845.88</v>
      </c>
      <c r="Z137" s="31" t="n">
        <f aca="false">+Z584</f>
        <v>2845.88</v>
      </c>
      <c r="AA137" s="31" t="n">
        <f aca="false">+AA584</f>
        <v>2927.108</v>
      </c>
      <c r="AB137" s="31" t="n">
        <f aca="false">+AB584</f>
        <v>2935.5</v>
      </c>
      <c r="AC137" s="31" t="n">
        <f aca="false">+AC584</f>
        <v>2935.5</v>
      </c>
      <c r="AD137" s="31" t="n">
        <f aca="false">+AD584</f>
        <v>2935.5</v>
      </c>
      <c r="AE137" s="31" t="n">
        <f aca="false">+AE584</f>
        <v>2935.5</v>
      </c>
      <c r="AF137" s="31" t="n">
        <f aca="false">+AF584</f>
        <v>2936.1</v>
      </c>
      <c r="AG137" s="31" t="n">
        <f aca="false">+AG584</f>
        <v>2936.3</v>
      </c>
      <c r="AH137" s="31" t="n">
        <f aca="false">+AH584</f>
        <v>2936.5</v>
      </c>
      <c r="AI137" s="31" t="n">
        <f aca="false">+AI584</f>
        <v>5873.9</v>
      </c>
      <c r="AJ137" s="31" t="n">
        <f aca="false">+AJ584</f>
        <v>5873.9</v>
      </c>
      <c r="AK137" s="31" t="n">
        <f aca="false">+AK584</f>
        <v>5873.9</v>
      </c>
      <c r="AL137" s="31" t="n">
        <f aca="false">+AL584</f>
        <v>5873.9</v>
      </c>
      <c r="AM137" s="30"/>
      <c r="AN137" s="30"/>
      <c r="AO137" s="30"/>
      <c r="AP137" s="30"/>
      <c r="AQ137" s="30"/>
      <c r="AR137" s="30"/>
      <c r="AS137" s="30"/>
      <c r="AT137" s="30"/>
      <c r="AU137" s="30"/>
      <c r="AV137" s="30"/>
      <c r="AW137" s="30"/>
      <c r="AX137" s="30"/>
      <c r="AY137" s="30"/>
    </row>
    <row r="138" customFormat="false" ht="15" hidden="false" customHeight="true" outlineLevel="0" collapsed="false">
      <c r="A138" s="47" t="s">
        <v>350</v>
      </c>
      <c r="B138" s="31" t="n">
        <f aca="false">+B597</f>
        <v>3418.37</v>
      </c>
      <c r="C138" s="31" t="n">
        <f aca="false">+C597</f>
        <v>3917.53</v>
      </c>
      <c r="D138" s="31" t="n">
        <f aca="false">+D597</f>
        <v>8550.43</v>
      </c>
      <c r="E138" s="31" t="n">
        <f aca="false">+E597</f>
        <v>9202.13</v>
      </c>
      <c r="F138" s="31" t="n">
        <f aca="false">+F597</f>
        <v>9791.53</v>
      </c>
      <c r="G138" s="31" t="n">
        <f aca="false">+G597</f>
        <v>9838.96</v>
      </c>
      <c r="H138" s="31" t="n">
        <f aca="false">+H597</f>
        <v>9905.78</v>
      </c>
      <c r="I138" s="31" t="n">
        <f aca="false">+I597</f>
        <v>10212.18</v>
      </c>
      <c r="J138" s="31" t="n">
        <f aca="false">+J597</f>
        <v>10598.31</v>
      </c>
      <c r="K138" s="31" t="n">
        <f aca="false">+K597</f>
        <v>9180.24</v>
      </c>
      <c r="L138" s="31" t="n">
        <f aca="false">+L597</f>
        <v>8405.57</v>
      </c>
      <c r="M138" s="31" t="n">
        <f aca="false">+M597</f>
        <v>9328.68</v>
      </c>
      <c r="N138" s="31" t="n">
        <f aca="false">+N597</f>
        <v>10489.36</v>
      </c>
      <c r="O138" s="31" t="n">
        <f aca="false">+O597</f>
        <v>12902.94</v>
      </c>
      <c r="P138" s="31" t="n">
        <f aca="false">+P597</f>
        <v>17621.81</v>
      </c>
      <c r="Q138" s="31" t="n">
        <f aca="false">+Q597</f>
        <v>20159.48</v>
      </c>
      <c r="R138" s="31" t="n">
        <f aca="false">+R597</f>
        <v>33408.648</v>
      </c>
      <c r="S138" s="31" t="n">
        <f aca="false">+S597</f>
        <v>35357.239</v>
      </c>
      <c r="T138" s="31" t="n">
        <f aca="false">+T597</f>
        <v>38299.279</v>
      </c>
      <c r="U138" s="31" t="n">
        <f aca="false">+U597</f>
        <v>39421.055</v>
      </c>
      <c r="V138" s="31" t="n">
        <f aca="false">+V597</f>
        <v>41900.001</v>
      </c>
      <c r="W138" s="31" t="n">
        <f aca="false">+W597</f>
        <v>41877.452</v>
      </c>
      <c r="X138" s="31" t="n">
        <f aca="false">+X597</f>
        <v>48483.543</v>
      </c>
      <c r="Y138" s="31" t="n">
        <f aca="false">+Y597</f>
        <v>51225.59</v>
      </c>
      <c r="Z138" s="31" t="n">
        <f aca="false">+Z597</f>
        <v>58414.796</v>
      </c>
      <c r="AA138" s="31" t="n">
        <f aca="false">+AA597</f>
        <v>68720.867</v>
      </c>
      <c r="AB138" s="31" t="n">
        <f aca="false">+AB597</f>
        <v>80388.8</v>
      </c>
      <c r="AC138" s="31" t="n">
        <f aca="false">+AC597</f>
        <v>69704.4</v>
      </c>
      <c r="AD138" s="31" t="n">
        <f aca="false">+AD597</f>
        <v>66836.5</v>
      </c>
      <c r="AE138" s="31" t="n">
        <f aca="false">+AE597</f>
        <v>70433.5</v>
      </c>
      <c r="AF138" s="31" t="n">
        <f aca="false">+AF597</f>
        <v>81321.9</v>
      </c>
      <c r="AG138" s="31" t="n">
        <f aca="false">+AG597</f>
        <v>85167.4</v>
      </c>
      <c r="AH138" s="31" t="n">
        <f aca="false">+AH597</f>
        <v>112251.4</v>
      </c>
      <c r="AI138" s="31" t="n">
        <f aca="false">+AI597</f>
        <v>125260.3</v>
      </c>
      <c r="AJ138" s="31" t="n">
        <f aca="false">+AJ597</f>
        <v>149517.387711314</v>
      </c>
      <c r="AK138" s="31" t="n">
        <f aca="false">+AK597</f>
        <v>173667.048439023</v>
      </c>
      <c r="AL138" s="31" t="n">
        <f aca="false">+AL597</f>
        <v>199096.053815479</v>
      </c>
      <c r="AM138" s="30"/>
      <c r="AN138" s="30"/>
      <c r="AO138" s="30"/>
      <c r="AP138" s="30"/>
      <c r="AQ138" s="30"/>
      <c r="AR138" s="30"/>
      <c r="AS138" s="30"/>
      <c r="AT138" s="30"/>
      <c r="AU138" s="30"/>
      <c r="AV138" s="30"/>
      <c r="AW138" s="30"/>
      <c r="AX138" s="30"/>
      <c r="AY138" s="30"/>
    </row>
    <row r="139" customFormat="false" ht="15" hidden="false" customHeight="true" outlineLevel="0" collapsed="false">
      <c r="A139" s="51" t="s">
        <v>351</v>
      </c>
      <c r="B139" s="55" t="n">
        <f aca="false">+B138+B137</f>
        <v>4111.99</v>
      </c>
      <c r="C139" s="55" t="n">
        <f aca="false">+C138+C137</f>
        <v>4697.51</v>
      </c>
      <c r="D139" s="55" t="n">
        <f aca="false">+D138+D137</f>
        <v>9739.68</v>
      </c>
      <c r="E139" s="55" t="n">
        <f aca="false">+E138+E137</f>
        <v>10391.42</v>
      </c>
      <c r="F139" s="55" t="n">
        <f aca="false">+F138+F137</f>
        <v>10980.82</v>
      </c>
      <c r="G139" s="55" t="n">
        <f aca="false">+G138+G137</f>
        <v>11028.25</v>
      </c>
      <c r="H139" s="55" t="n">
        <f aca="false">+H138+H137</f>
        <v>11095.07</v>
      </c>
      <c r="I139" s="55" t="n">
        <f aca="false">+I138+I137</f>
        <v>11401.47</v>
      </c>
      <c r="J139" s="55" t="n">
        <f aca="false">+J138+J137</f>
        <v>11787.6</v>
      </c>
      <c r="K139" s="55" t="n">
        <f aca="false">+K138+K137</f>
        <v>10369.53</v>
      </c>
      <c r="L139" s="55" t="n">
        <f aca="false">+L138+L137</f>
        <v>9594.86</v>
      </c>
      <c r="M139" s="55" t="n">
        <f aca="false">+M138+M137</f>
        <v>10517.97</v>
      </c>
      <c r="N139" s="55" t="n">
        <f aca="false">+N138+N137</f>
        <v>11678.65</v>
      </c>
      <c r="O139" s="55" t="n">
        <f aca="false">+O138+O137</f>
        <v>14124.53</v>
      </c>
      <c r="P139" s="55" t="n">
        <f aca="false">+P138+P137</f>
        <v>18945.68</v>
      </c>
      <c r="Q139" s="55" t="n">
        <f aca="false">+Q138+Q137</f>
        <v>21489.82</v>
      </c>
      <c r="R139" s="55" t="n">
        <f aca="false">+R138+R137</f>
        <v>34738.99</v>
      </c>
      <c r="S139" s="55" t="n">
        <f aca="false">+S138+S137</f>
        <v>36687.581</v>
      </c>
      <c r="T139" s="55" t="n">
        <f aca="false">+T138+T137</f>
        <v>39629.621</v>
      </c>
      <c r="U139" s="55" t="n">
        <f aca="false">+U138+U137</f>
        <v>42081.735</v>
      </c>
      <c r="V139" s="55" t="n">
        <f aca="false">+V138+V137</f>
        <v>44560.681</v>
      </c>
      <c r="W139" s="55" t="n">
        <f aca="false">+W138+W137</f>
        <v>44538.132</v>
      </c>
      <c r="X139" s="55" t="n">
        <f aca="false">+X138+X137</f>
        <v>51329.423</v>
      </c>
      <c r="Y139" s="55" t="n">
        <f aca="false">+Y138+Y137</f>
        <v>54071.47</v>
      </c>
      <c r="Z139" s="55" t="n">
        <f aca="false">+Z138+Z137</f>
        <v>61260.676</v>
      </c>
      <c r="AA139" s="55" t="n">
        <f aca="false">+AA138+AA137</f>
        <v>71647.975</v>
      </c>
      <c r="AB139" s="55" t="n">
        <f aca="false">+AB138+AB137</f>
        <v>83324.3</v>
      </c>
      <c r="AC139" s="55" t="n">
        <f aca="false">+AC138+AC137</f>
        <v>72639.9</v>
      </c>
      <c r="AD139" s="55" t="n">
        <f aca="false">+AD138+AD137</f>
        <v>69772</v>
      </c>
      <c r="AE139" s="55" t="n">
        <f aca="false">+AE138+AE137</f>
        <v>73369</v>
      </c>
      <c r="AF139" s="55" t="n">
        <f aca="false">+AF138+AF137</f>
        <v>84258</v>
      </c>
      <c r="AG139" s="55" t="n">
        <f aca="false">+AG138+AG137</f>
        <v>88103.7</v>
      </c>
      <c r="AH139" s="55" t="n">
        <f aca="false">+AH138+AH137</f>
        <v>115187.9</v>
      </c>
      <c r="AI139" s="55" t="n">
        <f aca="false">+AI138+AI137</f>
        <v>131134.2</v>
      </c>
      <c r="AJ139" s="55" t="n">
        <f aca="false">+AJ138+AJ137</f>
        <v>155391.287711314</v>
      </c>
      <c r="AK139" s="55" t="n">
        <f aca="false">+AK138+AK137</f>
        <v>179540.948439023</v>
      </c>
      <c r="AL139" s="55" t="n">
        <f aca="false">+AL138+AL137</f>
        <v>204969.953815479</v>
      </c>
      <c r="AM139" s="53"/>
      <c r="AN139" s="53"/>
      <c r="AO139" s="53"/>
      <c r="AP139" s="53"/>
      <c r="AQ139" s="53"/>
      <c r="AR139" s="53"/>
      <c r="AS139" s="53"/>
      <c r="AT139" s="53"/>
      <c r="AU139" s="53"/>
      <c r="AV139" s="53"/>
      <c r="AW139" s="53"/>
      <c r="AX139" s="53"/>
      <c r="AY139" s="53"/>
    </row>
    <row r="140" customFormat="false" ht="15" hidden="false" customHeight="true" outlineLevel="0" collapsed="false">
      <c r="A140" s="51" t="s">
        <v>352</v>
      </c>
      <c r="B140" s="55" t="n">
        <f aca="false">+B610</f>
        <v>5137.36</v>
      </c>
      <c r="C140" s="55" t="n">
        <f aca="false">+C610</f>
        <v>5325.51</v>
      </c>
      <c r="D140" s="55" t="n">
        <f aca="false">+D610</f>
        <v>5911.07</v>
      </c>
      <c r="E140" s="55" t="n">
        <f aca="false">+E610</f>
        <v>8865.66</v>
      </c>
      <c r="F140" s="55" t="n">
        <f aca="false">+F610</f>
        <v>11760.45</v>
      </c>
      <c r="G140" s="55" t="n">
        <f aca="false">+G610</f>
        <v>12473.44</v>
      </c>
      <c r="H140" s="55" t="n">
        <f aca="false">+H610</f>
        <v>9621.66</v>
      </c>
      <c r="I140" s="55" t="n">
        <f aca="false">+I610</f>
        <v>9656.91</v>
      </c>
      <c r="J140" s="55" t="n">
        <f aca="false">+J610</f>
        <v>9330.08</v>
      </c>
      <c r="K140" s="55" t="n">
        <f aca="false">+K610</f>
        <v>8884.49</v>
      </c>
      <c r="L140" s="55" t="n">
        <f aca="false">+L610</f>
        <v>7175.22</v>
      </c>
      <c r="M140" s="55" t="n">
        <f aca="false">+M610</f>
        <v>4990.73</v>
      </c>
      <c r="N140" s="55" t="n">
        <f aca="false">+N610</f>
        <v>8804.06</v>
      </c>
      <c r="O140" s="55" t="n">
        <f aca="false">+O610</f>
        <v>6919.28</v>
      </c>
      <c r="P140" s="55" t="n">
        <f aca="false">+P610</f>
        <v>6403.98</v>
      </c>
      <c r="Q140" s="55" t="n">
        <f aca="false">+Q610</f>
        <v>8875.01</v>
      </c>
      <c r="R140" s="55" t="n">
        <f aca="false">+R610</f>
        <v>19581.439</v>
      </c>
      <c r="S140" s="55" t="n">
        <f aca="false">+S610</f>
        <v>22038.918</v>
      </c>
      <c r="T140" s="55" t="n">
        <f aca="false">+T610</f>
        <v>25682.648</v>
      </c>
      <c r="U140" s="55" t="n">
        <f aca="false">+U610</f>
        <v>30978.933</v>
      </c>
      <c r="V140" s="55" t="n">
        <f aca="false">+V610</f>
        <v>43554.325</v>
      </c>
      <c r="W140" s="55" t="n">
        <f aca="false">+W610</f>
        <v>46903.208</v>
      </c>
      <c r="X140" s="55" t="n">
        <f aca="false">+X610</f>
        <v>33497.276</v>
      </c>
      <c r="Y140" s="55" t="n">
        <f aca="false">+Y610</f>
        <v>24149.839</v>
      </c>
      <c r="Z140" s="55" t="n">
        <f aca="false">+Z610</f>
        <v>21448.525</v>
      </c>
      <c r="AA140" s="55" t="n">
        <f aca="false">+AA610</f>
        <v>10023.173</v>
      </c>
      <c r="AB140" s="55" t="n">
        <f aca="false">+AB610</f>
        <v>6323.6</v>
      </c>
      <c r="AC140" s="55" t="n">
        <f aca="false">+AC610</f>
        <v>32813.6</v>
      </c>
      <c r="AD140" s="55" t="n">
        <f aca="false">+AD610</f>
        <v>38412.5</v>
      </c>
      <c r="AE140" s="55" t="n">
        <f aca="false">+AE610</f>
        <v>35538.8</v>
      </c>
      <c r="AF140" s="55" t="n">
        <f aca="false">+AF610</f>
        <v>32248.3</v>
      </c>
      <c r="AG140" s="55" t="n">
        <f aca="false">+AG610</f>
        <v>22994</v>
      </c>
      <c r="AH140" s="55" t="n">
        <f aca="false">+AH610</f>
        <v>14817.2</v>
      </c>
      <c r="AI140" s="55" t="n">
        <f aca="false">+AI610</f>
        <v>11950.4</v>
      </c>
      <c r="AJ140" s="55" t="n">
        <f aca="false">+AJ610</f>
        <v>9950.4</v>
      </c>
      <c r="AK140" s="55" t="n">
        <f aca="false">+AK610</f>
        <v>7950.4</v>
      </c>
      <c r="AL140" s="55" t="n">
        <f aca="false">+AL610</f>
        <v>5950.4</v>
      </c>
      <c r="AM140" s="53"/>
      <c r="AN140" s="53"/>
      <c r="AO140" s="53"/>
      <c r="AP140" s="53"/>
      <c r="AQ140" s="53"/>
      <c r="AR140" s="53"/>
      <c r="AS140" s="53"/>
      <c r="AT140" s="53"/>
      <c r="AU140" s="53"/>
      <c r="AV140" s="53"/>
      <c r="AW140" s="53"/>
      <c r="AX140" s="53"/>
      <c r="AY140" s="53"/>
    </row>
    <row r="141" customFormat="false" ht="15" hidden="false" customHeight="true" outlineLevel="0" collapsed="false">
      <c r="A141" s="47" t="s">
        <v>353</v>
      </c>
      <c r="B141" s="31" t="n">
        <f aca="false">+B618</f>
        <v>0</v>
      </c>
      <c r="C141" s="31" t="n">
        <f aca="false">+C618</f>
        <v>0</v>
      </c>
      <c r="D141" s="31" t="n">
        <f aca="false">+D618</f>
        <v>0</v>
      </c>
      <c r="E141" s="31" t="n">
        <f aca="false">+E618</f>
        <v>0</v>
      </c>
      <c r="F141" s="31" t="n">
        <f aca="false">+F618</f>
        <v>0</v>
      </c>
      <c r="G141" s="31" t="n">
        <f aca="false">+G618</f>
        <v>0</v>
      </c>
      <c r="H141" s="31" t="n">
        <f aca="false">+H618</f>
        <v>0</v>
      </c>
      <c r="I141" s="31" t="n">
        <f aca="false">+I618</f>
        <v>0</v>
      </c>
      <c r="J141" s="31" t="n">
        <f aca="false">+J618</f>
        <v>0</v>
      </c>
      <c r="K141" s="31" t="n">
        <f aca="false">+K618</f>
        <v>1891.5</v>
      </c>
      <c r="L141" s="31" t="n">
        <f aca="false">+L618</f>
        <v>1684.99</v>
      </c>
      <c r="M141" s="31" t="n">
        <f aca="false">+M618</f>
        <v>1802.86</v>
      </c>
      <c r="N141" s="31" t="n">
        <f aca="false">+N618</f>
        <v>1708.48</v>
      </c>
      <c r="O141" s="31" t="n">
        <f aca="false">+O618</f>
        <v>1796.89</v>
      </c>
      <c r="P141" s="31" t="n">
        <f aca="false">+P618</f>
        <v>1969.29</v>
      </c>
      <c r="Q141" s="31" t="n">
        <f aca="false">+Q618</f>
        <v>2538.2</v>
      </c>
      <c r="R141" s="31" t="n">
        <f aca="false">+R618</f>
        <v>2634.369</v>
      </c>
      <c r="S141" s="31" t="n">
        <f aca="false">+S618</f>
        <v>3845.369</v>
      </c>
      <c r="T141" s="31" t="n">
        <f aca="false">+T618</f>
        <v>4438.869</v>
      </c>
      <c r="U141" s="31" t="n">
        <f aca="false">+U618</f>
        <v>4903.669</v>
      </c>
      <c r="V141" s="31" t="n">
        <f aca="false">+V618</f>
        <v>5273.669</v>
      </c>
      <c r="W141" s="31" t="n">
        <f aca="false">+W618</f>
        <v>4067.669</v>
      </c>
      <c r="X141" s="31" t="n">
        <f aca="false">+X618</f>
        <v>5102.669</v>
      </c>
      <c r="Y141" s="31" t="n">
        <f aca="false">+Y618</f>
        <v>3291.042</v>
      </c>
      <c r="Z141" s="31" t="n">
        <f aca="false">+Z618</f>
        <v>1269.021</v>
      </c>
      <c r="AA141" s="31" t="n">
        <f aca="false">+AA618</f>
        <v>2983.886</v>
      </c>
      <c r="AB141" s="31" t="n">
        <f aca="false">+AB618</f>
        <v>2497.3</v>
      </c>
      <c r="AC141" s="31" t="n">
        <f aca="false">+AC618</f>
        <v>2648.2</v>
      </c>
      <c r="AD141" s="31" t="n">
        <f aca="false">+AD618</f>
        <v>1707.9</v>
      </c>
      <c r="AE141" s="31" t="n">
        <f aca="false">+AE618</f>
        <v>1443.6</v>
      </c>
      <c r="AF141" s="31" t="n">
        <f aca="false">+AF618</f>
        <v>5035.1</v>
      </c>
      <c r="AG141" s="31" t="n">
        <f aca="false">+AG618</f>
        <v>5563.1</v>
      </c>
      <c r="AH141" s="31" t="n">
        <f aca="false">+AH618</f>
        <v>5478.9</v>
      </c>
      <c r="AI141" s="31" t="n">
        <f aca="false">+AI618</f>
        <v>5357.1</v>
      </c>
      <c r="AJ141" s="31" t="n">
        <f aca="false">+AJ618</f>
        <v>5624.955</v>
      </c>
      <c r="AK141" s="31" t="n">
        <f aca="false">+AK618</f>
        <v>5906.20275</v>
      </c>
      <c r="AL141" s="31" t="n">
        <f aca="false">+AL618</f>
        <v>6201.5128875</v>
      </c>
      <c r="AM141" s="30"/>
      <c r="AN141" s="30"/>
      <c r="AO141" s="30"/>
      <c r="AP141" s="30"/>
      <c r="AQ141" s="30"/>
      <c r="AR141" s="30"/>
      <c r="AS141" s="30"/>
      <c r="AT141" s="30"/>
      <c r="AU141" s="30"/>
      <c r="AV141" s="30"/>
      <c r="AW141" s="30"/>
      <c r="AX141" s="30"/>
      <c r="AY141" s="30"/>
    </row>
    <row r="142" customFormat="false" ht="15" hidden="false" customHeight="true" outlineLevel="0" collapsed="false">
      <c r="A142" s="47" t="s">
        <v>354</v>
      </c>
      <c r="B142" s="31" t="n">
        <f aca="false">+B619</f>
        <v>0</v>
      </c>
      <c r="C142" s="31" t="n">
        <f aca="false">+C619</f>
        <v>0</v>
      </c>
      <c r="D142" s="31" t="n">
        <f aca="false">+D619</f>
        <v>0</v>
      </c>
      <c r="E142" s="31" t="n">
        <f aca="false">+E619</f>
        <v>0</v>
      </c>
      <c r="F142" s="31" t="n">
        <f aca="false">+F619</f>
        <v>0</v>
      </c>
      <c r="G142" s="31" t="n">
        <f aca="false">+G619</f>
        <v>0</v>
      </c>
      <c r="H142" s="31" t="n">
        <f aca="false">+H619</f>
        <v>0</v>
      </c>
      <c r="I142" s="31" t="n">
        <f aca="false">+I619</f>
        <v>0</v>
      </c>
      <c r="J142" s="31" t="n">
        <f aca="false">+J619</f>
        <v>0</v>
      </c>
      <c r="K142" s="31" t="n">
        <f aca="false">+K619</f>
        <v>0</v>
      </c>
      <c r="L142" s="31" t="n">
        <f aca="false">+L619</f>
        <v>0</v>
      </c>
      <c r="M142" s="31" t="n">
        <f aca="false">+M619</f>
        <v>0</v>
      </c>
      <c r="N142" s="31" t="n">
        <f aca="false">+N619</f>
        <v>0</v>
      </c>
      <c r="O142" s="31" t="n">
        <f aca="false">+O619</f>
        <v>0</v>
      </c>
      <c r="P142" s="31" t="n">
        <f aca="false">+P619</f>
        <v>0</v>
      </c>
      <c r="Q142" s="31" t="n">
        <f aca="false">+Q619</f>
        <v>0</v>
      </c>
      <c r="R142" s="31" t="n">
        <f aca="false">+R619</f>
        <v>38.411</v>
      </c>
      <c r="S142" s="31" t="n">
        <f aca="false">+S619</f>
        <v>-124.501</v>
      </c>
      <c r="T142" s="31" t="n">
        <f aca="false">+T619</f>
        <v>0</v>
      </c>
      <c r="U142" s="31" t="n">
        <f aca="false">+U619</f>
        <v>35.903</v>
      </c>
      <c r="V142" s="31" t="n">
        <f aca="false">+V619</f>
        <v>17.785</v>
      </c>
      <c r="W142" s="31" t="n">
        <f aca="false">+W619</f>
        <v>23.712</v>
      </c>
      <c r="X142" s="31" t="n">
        <f aca="false">+X619</f>
        <v>20.604</v>
      </c>
      <c r="Y142" s="31" t="n">
        <f aca="false">+Y621</f>
        <v>2034.722</v>
      </c>
      <c r="Z142" s="31" t="n">
        <f aca="false">+Z621</f>
        <v>864.804</v>
      </c>
      <c r="AA142" s="31" t="n">
        <f aca="false">+AA621</f>
        <v>2051.805</v>
      </c>
      <c r="AB142" s="31" t="n">
        <f aca="false">+AB621</f>
        <v>3052.5</v>
      </c>
      <c r="AC142" s="31" t="n">
        <f aca="false">+AC621</f>
        <v>3273.2</v>
      </c>
      <c r="AD142" s="31" t="n">
        <f aca="false">+AD621</f>
        <v>2805</v>
      </c>
      <c r="AE142" s="31" t="n">
        <f aca="false">+AE621</f>
        <v>2199.9</v>
      </c>
      <c r="AF142" s="31" t="n">
        <f aca="false">+AF621</f>
        <v>2730.5</v>
      </c>
      <c r="AG142" s="31" t="n">
        <f aca="false">+AG621</f>
        <v>3047.6</v>
      </c>
      <c r="AH142" s="31" t="n">
        <f aca="false">+AH621</f>
        <v>3854.3</v>
      </c>
      <c r="AI142" s="31" t="n">
        <f aca="false">+AI621</f>
        <v>4349.6</v>
      </c>
      <c r="AJ142" s="31" t="n">
        <f aca="false">+AJ621</f>
        <v>4784.56</v>
      </c>
      <c r="AK142" s="31" t="n">
        <f aca="false">+AK621</f>
        <v>5263.016</v>
      </c>
      <c r="AL142" s="31" t="n">
        <f aca="false">+AL621</f>
        <v>5789.3176</v>
      </c>
      <c r="AM142" s="30"/>
      <c r="AN142" s="30"/>
      <c r="AO142" s="30"/>
      <c r="AP142" s="30"/>
      <c r="AQ142" s="30"/>
      <c r="AR142" s="30"/>
      <c r="AS142" s="30"/>
      <c r="AT142" s="30"/>
      <c r="AU142" s="30"/>
      <c r="AV142" s="30"/>
      <c r="AW142" s="30"/>
      <c r="AX142" s="30"/>
      <c r="AY142" s="30"/>
    </row>
    <row r="143" customFormat="false" ht="15" hidden="false" customHeight="true" outlineLevel="0" collapsed="false">
      <c r="A143" s="47" t="s">
        <v>355</v>
      </c>
      <c r="B143" s="49" t="n">
        <f aca="false">+B620</f>
        <v>0</v>
      </c>
      <c r="C143" s="49" t="n">
        <f aca="false">+C620</f>
        <v>0</v>
      </c>
      <c r="D143" s="49" t="n">
        <f aca="false">+D620</f>
        <v>0</v>
      </c>
      <c r="E143" s="49" t="n">
        <f aca="false">+E620</f>
        <v>0</v>
      </c>
      <c r="F143" s="49" t="n">
        <f aca="false">+F620</f>
        <v>0</v>
      </c>
      <c r="G143" s="49" t="n">
        <f aca="false">+G620</f>
        <v>0</v>
      </c>
      <c r="H143" s="49" t="n">
        <f aca="false">+H620</f>
        <v>0</v>
      </c>
      <c r="I143" s="49" t="n">
        <f aca="false">+I620</f>
        <v>0</v>
      </c>
      <c r="J143" s="49" t="n">
        <f aca="false">+J620</f>
        <v>0</v>
      </c>
      <c r="K143" s="49" t="n">
        <f aca="false">+K620</f>
        <v>0</v>
      </c>
      <c r="L143" s="49" t="n">
        <f aca="false">+L620</f>
        <v>0</v>
      </c>
      <c r="M143" s="49" t="n">
        <f aca="false">+M620</f>
        <v>0</v>
      </c>
      <c r="N143" s="49" t="n">
        <f aca="false">+N620</f>
        <v>0</v>
      </c>
      <c r="O143" s="49" t="n">
        <f aca="false">+O620</f>
        <v>0</v>
      </c>
      <c r="P143" s="49" t="n">
        <f aca="false">+P620</f>
        <v>0</v>
      </c>
      <c r="Q143" s="49" t="n">
        <f aca="false">+Q620</f>
        <v>0</v>
      </c>
      <c r="R143" s="49" t="n">
        <f aca="false">+R620</f>
        <v>0</v>
      </c>
      <c r="S143" s="49" t="n">
        <f aca="false">+S620</f>
        <v>765.485</v>
      </c>
      <c r="T143" s="49" t="n">
        <f aca="false">+T620</f>
        <v>899.267</v>
      </c>
      <c r="U143" s="49" t="n">
        <f aca="false">+U620</f>
        <v>4.307</v>
      </c>
      <c r="V143" s="49" t="n">
        <f aca="false">+V620</f>
        <v>0</v>
      </c>
      <c r="W143" s="49" t="n">
        <f aca="false">+W620</f>
        <v>0</v>
      </c>
      <c r="X143" s="49" t="n">
        <f aca="false">+X620</f>
        <v>0</v>
      </c>
      <c r="Y143" s="49" t="n">
        <f aca="false">+Y620</f>
        <v>0</v>
      </c>
      <c r="Z143" s="49" t="n">
        <f aca="false">+Z620</f>
        <v>0</v>
      </c>
      <c r="AA143" s="49" t="n">
        <f aca="false">+AA620</f>
        <v>0</v>
      </c>
      <c r="AB143" s="49" t="n">
        <f aca="false">+AB620</f>
        <v>0</v>
      </c>
      <c r="AC143" s="49" t="n">
        <f aca="false">+AC620</f>
        <v>0</v>
      </c>
      <c r="AD143" s="49" t="n">
        <f aca="false">+AD620</f>
        <v>0</v>
      </c>
      <c r="AE143" s="49" t="n">
        <f aca="false">+AE620</f>
        <v>0</v>
      </c>
      <c r="AF143" s="49" t="n">
        <f aca="false">+AF620</f>
        <v>0</v>
      </c>
      <c r="AG143" s="49" t="n">
        <f aca="false">+AG620</f>
        <v>0</v>
      </c>
      <c r="AH143" s="49" t="n">
        <f aca="false">+AH620</f>
        <v>0</v>
      </c>
      <c r="AI143" s="49" t="n">
        <f aca="false">+AI620</f>
        <v>0</v>
      </c>
      <c r="AJ143" s="49" t="n">
        <f aca="false">+AJ620</f>
        <v>0</v>
      </c>
      <c r="AK143" s="49" t="n">
        <f aca="false">+AK620</f>
        <v>0</v>
      </c>
      <c r="AL143" s="49" t="n">
        <f aca="false">+AL620</f>
        <v>0</v>
      </c>
      <c r="AM143" s="36"/>
      <c r="AN143" s="36"/>
      <c r="AO143" s="36"/>
      <c r="AP143" s="36"/>
      <c r="AQ143" s="36"/>
      <c r="AR143" s="36"/>
      <c r="AS143" s="36"/>
      <c r="AT143" s="36"/>
      <c r="AU143" s="36"/>
      <c r="AV143" s="36"/>
      <c r="AW143" s="36"/>
      <c r="AX143" s="36"/>
      <c r="AY143" s="36"/>
    </row>
    <row r="144" customFormat="false" ht="15" hidden="false" customHeight="true" outlineLevel="0" collapsed="false">
      <c r="A144" s="47" t="s">
        <v>356</v>
      </c>
      <c r="B144" s="31" t="n">
        <f aca="false">+B622</f>
        <v>0</v>
      </c>
      <c r="C144" s="31" t="n">
        <f aca="false">+C622</f>
        <v>0</v>
      </c>
      <c r="D144" s="31" t="n">
        <f aca="false">+D622</f>
        <v>0</v>
      </c>
      <c r="E144" s="31" t="n">
        <f aca="false">+E622</f>
        <v>0</v>
      </c>
      <c r="F144" s="31" t="n">
        <f aca="false">+F622</f>
        <v>0</v>
      </c>
      <c r="G144" s="31" t="n">
        <f aca="false">+G622</f>
        <v>0</v>
      </c>
      <c r="H144" s="31" t="n">
        <f aca="false">+H622</f>
        <v>0</v>
      </c>
      <c r="I144" s="31" t="n">
        <f aca="false">+I622</f>
        <v>0</v>
      </c>
      <c r="J144" s="31" t="n">
        <f aca="false">+J622</f>
        <v>0</v>
      </c>
      <c r="K144" s="31" t="n">
        <f aca="false">+K622</f>
        <v>0</v>
      </c>
      <c r="L144" s="31" t="n">
        <f aca="false">+L622</f>
        <v>0</v>
      </c>
      <c r="M144" s="31" t="n">
        <f aca="false">+M622</f>
        <v>0</v>
      </c>
      <c r="N144" s="31" t="n">
        <f aca="false">+N622</f>
        <v>0</v>
      </c>
      <c r="O144" s="31" t="n">
        <f aca="false">+O622</f>
        <v>0</v>
      </c>
      <c r="P144" s="31" t="n">
        <f aca="false">+P622</f>
        <v>0</v>
      </c>
      <c r="Q144" s="31" t="n">
        <f aca="false">+Q622</f>
        <v>0</v>
      </c>
      <c r="R144" s="31" t="n">
        <f aca="false">+R622</f>
        <v>0</v>
      </c>
      <c r="S144" s="31" t="n">
        <f aca="false">+S622</f>
        <v>0</v>
      </c>
      <c r="T144" s="31" t="n">
        <f aca="false">+T622</f>
        <v>0</v>
      </c>
      <c r="U144" s="31" t="n">
        <f aca="false">+U622</f>
        <v>765.63</v>
      </c>
      <c r="V144" s="31" t="n">
        <f aca="false">+V622</f>
        <v>785.126</v>
      </c>
      <c r="W144" s="31" t="n">
        <f aca="false">+W622</f>
        <v>678.662</v>
      </c>
      <c r="X144" s="31" t="n">
        <f aca="false">+X622</f>
        <v>786.136</v>
      </c>
      <c r="Y144" s="31" t="n">
        <f aca="false">+Y622</f>
        <v>1228.065</v>
      </c>
      <c r="Z144" s="31" t="n">
        <f aca="false">+Z622</f>
        <v>1325.538</v>
      </c>
      <c r="AA144" s="31" t="n">
        <f aca="false">+AA622</f>
        <v>2550.463</v>
      </c>
      <c r="AB144" s="31" t="n">
        <f aca="false">+AB622</f>
        <v>2496.3</v>
      </c>
      <c r="AC144" s="31" t="n">
        <f aca="false">+AC622</f>
        <v>1806.9</v>
      </c>
      <c r="AD144" s="31" t="n">
        <f aca="false">+AD622</f>
        <v>1895.7</v>
      </c>
      <c r="AE144" s="31" t="n">
        <f aca="false">+AE622</f>
        <v>2002.1</v>
      </c>
      <c r="AF144" s="31" t="n">
        <f aca="false">+AF622</f>
        <v>5192.2</v>
      </c>
      <c r="AG144" s="31" t="n">
        <f aca="false">+AG622</f>
        <v>7240.7</v>
      </c>
      <c r="AH144" s="31" t="n">
        <f aca="false">+AH622</f>
        <v>7089.7</v>
      </c>
      <c r="AI144" s="31" t="n">
        <f aca="false">+AI622</f>
        <v>6354.5</v>
      </c>
      <c r="AJ144" s="31" t="n">
        <f aca="false">+AJ622</f>
        <v>6989.95</v>
      </c>
      <c r="AK144" s="31" t="n">
        <f aca="false">+AK622</f>
        <v>7688.945</v>
      </c>
      <c r="AL144" s="31" t="n">
        <f aca="false">+AL622</f>
        <v>8457.8395</v>
      </c>
      <c r="AM144" s="30"/>
      <c r="AN144" s="30"/>
      <c r="AO144" s="30"/>
      <c r="AP144" s="30"/>
      <c r="AQ144" s="30"/>
      <c r="AR144" s="30"/>
      <c r="AS144" s="30"/>
      <c r="AT144" s="30"/>
      <c r="AU144" s="30"/>
      <c r="AV144" s="30"/>
      <c r="AW144" s="30"/>
      <c r="AX144" s="30"/>
      <c r="AY144" s="30"/>
    </row>
    <row r="145" customFormat="false" ht="15" hidden="false" customHeight="true" outlineLevel="0" collapsed="false">
      <c r="A145" s="64" t="s">
        <v>357</v>
      </c>
      <c r="B145" s="68" t="n">
        <f aca="false">+B144+B143+B142+B140+B139+B141</f>
        <v>9249.35</v>
      </c>
      <c r="C145" s="68" t="n">
        <f aca="false">+C144+C143+C142+C140+C139+C141</f>
        <v>10023.02</v>
      </c>
      <c r="D145" s="68" t="n">
        <f aca="false">+D144+D143+D142+D140+D139+D141</f>
        <v>15650.75</v>
      </c>
      <c r="E145" s="68" t="n">
        <f aca="false">+E144+E143+E142+E140+E139+E141</f>
        <v>19257.08</v>
      </c>
      <c r="F145" s="68" t="n">
        <f aca="false">+F144+F143+F142+F140+F139+F141</f>
        <v>22741.27</v>
      </c>
      <c r="G145" s="68" t="n">
        <f aca="false">+G144+G143+G142+G140+G139+G141</f>
        <v>23501.69</v>
      </c>
      <c r="H145" s="68" t="n">
        <f aca="false">+H144+H143+H142+H140+H139+H141</f>
        <v>20716.73</v>
      </c>
      <c r="I145" s="68" t="n">
        <f aca="false">+I144+I143+I142+I140+I139+I141</f>
        <v>21058.38</v>
      </c>
      <c r="J145" s="68" t="n">
        <f aca="false">+J144+J143+J142+J140+J139+J141</f>
        <v>21117.68</v>
      </c>
      <c r="K145" s="68" t="n">
        <f aca="false">+K144+K143+K142+K140+K139+K141</f>
        <v>21145.52</v>
      </c>
      <c r="L145" s="68" t="n">
        <f aca="false">+L144+L143+L142+L140+L139+L141</f>
        <v>18455.07</v>
      </c>
      <c r="M145" s="68" t="n">
        <f aca="false">+M144+M143+M142+M140+M139+M141</f>
        <v>17311.56</v>
      </c>
      <c r="N145" s="68" t="n">
        <f aca="false">+N144+N143+N142+N140+N139+N141</f>
        <v>22191.19</v>
      </c>
      <c r="O145" s="68" t="n">
        <f aca="false">+O144+O143+O142+O140+O139+O141</f>
        <v>22840.7</v>
      </c>
      <c r="P145" s="68" t="n">
        <f aca="false">+P144+P143+P142+P140+P139+P141</f>
        <v>27318.95</v>
      </c>
      <c r="Q145" s="68" t="n">
        <f aca="false">+Q144+Q143+Q142+Q140+Q139+Q141</f>
        <v>32903.03</v>
      </c>
      <c r="R145" s="65" t="n">
        <f aca="false">+R144+R143+R142+R140+R139+R141</f>
        <v>56993.209</v>
      </c>
      <c r="S145" s="65" t="n">
        <f aca="false">+S144+S143+S142+S140+S139+S141</f>
        <v>63212.852</v>
      </c>
      <c r="T145" s="65" t="n">
        <f aca="false">+T144+T143+T142+T140+T139+T141</f>
        <v>70650.405</v>
      </c>
      <c r="U145" s="65" t="n">
        <f aca="false">+U144+U143+U142+U140+U139+U141</f>
        <v>78770.177</v>
      </c>
      <c r="V145" s="65" t="n">
        <f aca="false">+V144+V143+V142+V140+V139+V141</f>
        <v>94191.586</v>
      </c>
      <c r="W145" s="65" t="n">
        <f aca="false">+W144+W143+W142+W140+W139+W141</f>
        <v>96211.383</v>
      </c>
      <c r="X145" s="65" t="n">
        <f aca="false">+X144+X143+X142+X140+X139+X141</f>
        <v>90736.108</v>
      </c>
      <c r="Y145" s="65" t="n">
        <f aca="false">+Y144+Y143+Y142+Y140+Y139+Y141</f>
        <v>84775.138</v>
      </c>
      <c r="Z145" s="65" t="n">
        <f aca="false">+Z144+Z143+Z142+Z140+Z139+Z141</f>
        <v>86168.564</v>
      </c>
      <c r="AA145" s="65" t="n">
        <f aca="false">+AA144+AA143+AA142+AA140+AA139+AA141</f>
        <v>89257.302</v>
      </c>
      <c r="AB145" s="65" t="n">
        <f aca="false">+AB144+AB143+AB142+AB140+AB139+AB141</f>
        <v>97694</v>
      </c>
      <c r="AC145" s="65" t="n">
        <f aca="false">+AC144+AC143+AC142+AC140+AC139+AC141</f>
        <v>113181.8</v>
      </c>
      <c r="AD145" s="65" t="n">
        <f aca="false">+AD144+AD143+AD142+AD140+AD139+AD141</f>
        <v>114593.1</v>
      </c>
      <c r="AE145" s="65" t="n">
        <f aca="false">+AE144+AE143+AE142+AE140+AE139+AE141</f>
        <v>114553.4</v>
      </c>
      <c r="AF145" s="65" t="n">
        <f aca="false">+AF144+AF143+AF142+AF140+AF139+AF141</f>
        <v>129464.1</v>
      </c>
      <c r="AG145" s="65" t="n">
        <f aca="false">+AG144+AG143+AG142+AG140+AG139+AG141</f>
        <v>126949.1</v>
      </c>
      <c r="AH145" s="65" t="n">
        <f aca="false">+AH144+AH143+AH142+AH140+AH139+AH141</f>
        <v>146428</v>
      </c>
      <c r="AI145" s="65" t="n">
        <f aca="false">+AI144+AI143+AI142+AI140+AI139+AI141</f>
        <v>159145.8</v>
      </c>
      <c r="AJ145" s="65" t="n">
        <f aca="false">+AJ144+AJ143+AJ142+AJ140+AJ139+AJ141</f>
        <v>182741.152711314</v>
      </c>
      <c r="AK145" s="65" t="n">
        <f aca="false">+AK144+AK143+AK142+AK140+AK139+AK141</f>
        <v>206349.512189023</v>
      </c>
      <c r="AL145" s="65" t="n">
        <f aca="false">+AL144+AL143+AL142+AL140+AL139+AL141</f>
        <v>231369.023802979</v>
      </c>
      <c r="AM145" s="66"/>
      <c r="AN145" s="66"/>
      <c r="AO145" s="66"/>
      <c r="AP145" s="66"/>
      <c r="AQ145" s="66"/>
      <c r="AR145" s="66"/>
      <c r="AS145" s="66"/>
      <c r="AT145" s="66"/>
      <c r="AU145" s="66"/>
      <c r="AV145" s="66"/>
      <c r="AW145" s="66"/>
      <c r="AX145" s="66"/>
      <c r="AY145" s="66"/>
    </row>
    <row r="146" customFormat="false" ht="15" hidden="false" customHeight="true" outlineLevel="0" collapsed="false">
      <c r="A146" s="29"/>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1" t="n">
        <f aca="false">+Y145-X145</f>
        <v>-5960.96999999999</v>
      </c>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row>
    <row r="147" customFormat="false" ht="15" hidden="false" customHeight="true" outlineLevel="0" collapsed="false">
      <c r="A147" s="87" t="s">
        <v>358</v>
      </c>
      <c r="B147" s="87"/>
      <c r="C147" s="87"/>
      <c r="D147" s="87"/>
      <c r="E147" s="87"/>
      <c r="F147" s="87"/>
      <c r="G147" s="87"/>
      <c r="H147" s="87"/>
      <c r="I147" s="87"/>
      <c r="J147" s="87"/>
      <c r="K147" s="87"/>
      <c r="L147" s="87"/>
      <c r="M147" s="87"/>
      <c r="N147" s="87"/>
      <c r="O147" s="87"/>
      <c r="P147" s="87"/>
      <c r="Q147" s="87"/>
      <c r="R147" s="87"/>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row>
    <row r="148" customFormat="false" ht="15" hidden="false" customHeight="true" outlineLevel="0" collapsed="false">
      <c r="A148" s="51" t="s">
        <v>359</v>
      </c>
      <c r="B148" s="55" t="n">
        <f aca="false">+B627</f>
        <v>4752.81</v>
      </c>
      <c r="C148" s="55" t="n">
        <f aca="false">+C627</f>
        <v>5709.6</v>
      </c>
      <c r="D148" s="55" t="n">
        <f aca="false">+D627</f>
        <v>8417.8</v>
      </c>
      <c r="E148" s="55" t="n">
        <f aca="false">+E627</f>
        <v>10081.37</v>
      </c>
      <c r="F148" s="55" t="n">
        <f aca="false">+F627</f>
        <v>11882.02</v>
      </c>
      <c r="G148" s="55" t="n">
        <f aca="false">+G627</f>
        <v>12510.5</v>
      </c>
      <c r="H148" s="55" t="n">
        <f aca="false">+H627</f>
        <v>14087.7</v>
      </c>
      <c r="I148" s="55" t="n">
        <f aca="false">+I627</f>
        <v>14944.23</v>
      </c>
      <c r="J148" s="55" t="n">
        <f aca="false">+J627</f>
        <v>15493.71</v>
      </c>
      <c r="K148" s="55" t="n">
        <f aca="false">+K627</f>
        <v>16904.31</v>
      </c>
      <c r="L148" s="55" t="n">
        <f aca="false">+L627</f>
        <v>18120.69</v>
      </c>
      <c r="M148" s="55" t="n">
        <f aca="false">+M627</f>
        <v>18756.42</v>
      </c>
      <c r="N148" s="55" t="n">
        <f aca="false">+N627</f>
        <v>20022.5</v>
      </c>
      <c r="O148" s="55" t="n">
        <f aca="false">+O627</f>
        <v>21384.99</v>
      </c>
      <c r="P148" s="55" t="n">
        <f aca="false">+P627</f>
        <v>26201.97</v>
      </c>
      <c r="Q148" s="55" t="n">
        <f aca="false">+Q627</f>
        <v>29424.38</v>
      </c>
      <c r="R148" s="55" t="n">
        <f aca="false">+R627</f>
        <v>49532.722</v>
      </c>
      <c r="S148" s="55" t="n">
        <f aca="false">+S627</f>
        <v>60186.337</v>
      </c>
      <c r="T148" s="55" t="n">
        <f aca="false">+T627</f>
        <v>66918.887</v>
      </c>
      <c r="U148" s="55" t="n">
        <f aca="false">+U627</f>
        <v>67134.843</v>
      </c>
      <c r="V148" s="55" t="n">
        <f aca="false">+V627</f>
        <v>73519.194</v>
      </c>
      <c r="W148" s="55" t="n">
        <f aca="false">+W627</f>
        <v>78899.256</v>
      </c>
      <c r="X148" s="55" t="n">
        <f aca="false">+X627</f>
        <v>77625.825</v>
      </c>
      <c r="Y148" s="55" t="n">
        <f aca="false">+Y627</f>
        <v>48690.511</v>
      </c>
      <c r="Z148" s="55" t="n">
        <f aca="false">+Z627</f>
        <v>54010.661</v>
      </c>
      <c r="AA148" s="55" t="n">
        <f aca="false">+AA627</f>
        <v>58159.748</v>
      </c>
      <c r="AB148" s="55" t="n">
        <f aca="false">+AB627</f>
        <v>64959.9</v>
      </c>
      <c r="AC148" s="55" t="n">
        <f aca="false">+AC627</f>
        <v>74363.4</v>
      </c>
      <c r="AD148" s="55" t="n">
        <f aca="false">+AD627</f>
        <v>82325</v>
      </c>
      <c r="AE148" s="55" t="n">
        <f aca="false">+AE627</f>
        <v>84295.4</v>
      </c>
      <c r="AF148" s="55" t="n">
        <f aca="false">+AF627</f>
        <v>87317.5</v>
      </c>
      <c r="AG148" s="55" t="n">
        <f aca="false">+AG627</f>
        <v>89716.1</v>
      </c>
      <c r="AH148" s="55" t="n">
        <f aca="false">+AH627</f>
        <v>95953.7</v>
      </c>
      <c r="AI148" s="55" t="n">
        <f aca="false">+AI627</f>
        <v>109760.2</v>
      </c>
      <c r="AJ148" s="55" t="n">
        <f aca="false">+AJ627</f>
        <v>119760.2</v>
      </c>
      <c r="AK148" s="55" t="n">
        <f aca="false">+AK627</f>
        <v>127760.2</v>
      </c>
      <c r="AL148" s="55" t="n">
        <f aca="false">+AL627</f>
        <v>135760.2</v>
      </c>
      <c r="AM148" s="53"/>
      <c r="AN148" s="53"/>
      <c r="AO148" s="53"/>
      <c r="AP148" s="53"/>
      <c r="AQ148" s="53"/>
      <c r="AR148" s="53"/>
      <c r="AS148" s="53"/>
      <c r="AT148" s="53"/>
      <c r="AU148" s="53"/>
      <c r="AV148" s="53"/>
      <c r="AW148" s="53"/>
      <c r="AX148" s="53"/>
      <c r="AY148" s="53"/>
    </row>
    <row r="149" customFormat="false" ht="15" hidden="false" customHeight="true" outlineLevel="0" collapsed="false">
      <c r="A149" s="29" t="s">
        <v>360</v>
      </c>
      <c r="B149" s="31" t="n">
        <f aca="false">+B628</f>
        <v>1955.7</v>
      </c>
      <c r="C149" s="31" t="n">
        <f aca="false">+C628</f>
        <v>2244.57</v>
      </c>
      <c r="D149" s="31" t="n">
        <f aca="false">+D628</f>
        <v>2632.13</v>
      </c>
      <c r="E149" s="31" t="n">
        <f aca="false">+E628</f>
        <v>3162.44</v>
      </c>
      <c r="F149" s="31" t="n">
        <f aca="false">+F628</f>
        <v>3809.5</v>
      </c>
      <c r="G149" s="31" t="n">
        <f aca="false">+G628</f>
        <v>4462.07</v>
      </c>
      <c r="H149" s="31" t="n">
        <f aca="false">+H628</f>
        <v>5152.5</v>
      </c>
      <c r="I149" s="31" t="n">
        <f aca="false">+I628</f>
        <v>5793.89</v>
      </c>
      <c r="J149" s="31" t="n">
        <f aca="false">+J628</f>
        <v>6578.3</v>
      </c>
      <c r="K149" s="31" t="n">
        <f aca="false">+K628</f>
        <v>7343.32</v>
      </c>
      <c r="L149" s="31" t="n">
        <f aca="false">+L628</f>
        <v>9095.5</v>
      </c>
      <c r="M149" s="31" t="n">
        <f aca="false">+M628</f>
        <v>10008.13</v>
      </c>
      <c r="N149" s="31" t="n">
        <f aca="false">+N628</f>
        <v>11084.04</v>
      </c>
      <c r="O149" s="31" t="n">
        <f aca="false">+O628</f>
        <v>11952.28</v>
      </c>
      <c r="P149" s="31" t="n">
        <f aca="false">+P628</f>
        <v>13131.64</v>
      </c>
      <c r="Q149" s="31" t="n">
        <f aca="false">+Q628</f>
        <v>14168.88</v>
      </c>
      <c r="R149" s="31" t="n">
        <f aca="false">+R628</f>
        <v>15541.559</v>
      </c>
      <c r="S149" s="31" t="n">
        <f aca="false">+S628</f>
        <v>17690.745</v>
      </c>
      <c r="T149" s="31" t="n">
        <f aca="false">+T628</f>
        <v>20580.969</v>
      </c>
      <c r="U149" s="31" t="n">
        <f aca="false">+U628</f>
        <v>21477.718</v>
      </c>
      <c r="V149" s="31" t="n">
        <f aca="false">+V628</f>
        <v>24334.852</v>
      </c>
      <c r="W149" s="31" t="n">
        <f aca="false">+W628</f>
        <v>26679.986</v>
      </c>
      <c r="X149" s="31" t="n">
        <f aca="false">+X628</f>
        <v>28800.995</v>
      </c>
      <c r="Y149" s="31" t="n">
        <f aca="false">+Y628</f>
        <v>4153.479</v>
      </c>
      <c r="Z149" s="31" t="n">
        <f aca="false">+Z628</f>
        <v>7449.698</v>
      </c>
      <c r="AA149" s="31" t="n">
        <f aca="false">+AA628</f>
        <v>11283.382</v>
      </c>
      <c r="AB149" s="31" t="n">
        <f aca="false">+AB628</f>
        <v>16900.1</v>
      </c>
      <c r="AC149" s="31" t="n">
        <f aca="false">+AC628</f>
        <v>23996.8</v>
      </c>
      <c r="AD149" s="31" t="n">
        <f aca="false">+AD628</f>
        <v>29228.4</v>
      </c>
      <c r="AE149" s="31" t="n">
        <f aca="false">+AE628</f>
        <v>34524.2</v>
      </c>
      <c r="AF149" s="31" t="n">
        <f aca="false">+AF628</f>
        <v>39839</v>
      </c>
      <c r="AG149" s="31" t="n">
        <f aca="false">+AG628</f>
        <v>44693.9</v>
      </c>
      <c r="AH149" s="31" t="n">
        <f aca="false">+AH628</f>
        <v>51887.3</v>
      </c>
      <c r="AI149" s="31" t="n">
        <f aca="false">+AI628</f>
        <v>59039.2</v>
      </c>
      <c r="AJ149" s="31" t="n">
        <f aca="false">+AJ628</f>
        <v>66590.6454</v>
      </c>
      <c r="AK149" s="31" t="n">
        <f aca="false">+AK628</f>
        <v>74702.5908</v>
      </c>
      <c r="AL149" s="31" t="n">
        <f aca="false">+AL628</f>
        <v>83170.0456</v>
      </c>
      <c r="AM149" s="30"/>
      <c r="AN149" s="30"/>
      <c r="AO149" s="30"/>
      <c r="AP149" s="30"/>
      <c r="AQ149" s="30"/>
      <c r="AR149" s="30"/>
      <c r="AS149" s="30"/>
      <c r="AT149" s="30"/>
      <c r="AU149" s="30"/>
      <c r="AV149" s="30"/>
      <c r="AW149" s="30"/>
      <c r="AX149" s="30"/>
      <c r="AY149" s="30"/>
    </row>
    <row r="150" customFormat="false" ht="15" hidden="false" customHeight="true" outlineLevel="0" collapsed="false">
      <c r="A150" s="51" t="s">
        <v>361</v>
      </c>
      <c r="B150" s="52" t="n">
        <f aca="false">+B148-B149</f>
        <v>2797.11</v>
      </c>
      <c r="C150" s="52" t="n">
        <f aca="false">+C148-C149</f>
        <v>3465.03</v>
      </c>
      <c r="D150" s="52" t="n">
        <f aca="false">+D148-D149</f>
        <v>5785.67</v>
      </c>
      <c r="E150" s="52" t="n">
        <f aca="false">+E148-E149</f>
        <v>6918.93</v>
      </c>
      <c r="F150" s="52" t="n">
        <f aca="false">+F148-F149</f>
        <v>8072.52</v>
      </c>
      <c r="G150" s="52" t="n">
        <f aca="false">+G148-G149</f>
        <v>8048.43</v>
      </c>
      <c r="H150" s="52" t="n">
        <f aca="false">+H148-H149</f>
        <v>8935.2</v>
      </c>
      <c r="I150" s="52" t="n">
        <f aca="false">+I148-I149</f>
        <v>9150.34</v>
      </c>
      <c r="J150" s="52" t="n">
        <f aca="false">+J148-J149</f>
        <v>8915.41</v>
      </c>
      <c r="K150" s="52" t="n">
        <f aca="false">+K148-K149</f>
        <v>9560.99</v>
      </c>
      <c r="L150" s="52" t="n">
        <f aca="false">+L148-L149</f>
        <v>9025.19</v>
      </c>
      <c r="M150" s="52" t="n">
        <f aca="false">+M148-M149</f>
        <v>8748.29</v>
      </c>
      <c r="N150" s="52" t="n">
        <f aca="false">+N148-N149</f>
        <v>8938.46</v>
      </c>
      <c r="O150" s="52" t="n">
        <f aca="false">+O148-O149</f>
        <v>9432.71</v>
      </c>
      <c r="P150" s="52" t="n">
        <f aca="false">+P148-P149</f>
        <v>13070.33</v>
      </c>
      <c r="Q150" s="52" t="n">
        <f aca="false">+Q148-Q149</f>
        <v>15255.5</v>
      </c>
      <c r="R150" s="52" t="n">
        <f aca="false">+R148-R149</f>
        <v>33991.163</v>
      </c>
      <c r="S150" s="52" t="n">
        <f aca="false">+S148-S149</f>
        <v>42495.592</v>
      </c>
      <c r="T150" s="52" t="n">
        <f aca="false">+T148-T149</f>
        <v>46337.918</v>
      </c>
      <c r="U150" s="52" t="n">
        <f aca="false">+U148-U149</f>
        <v>45657.125</v>
      </c>
      <c r="V150" s="52" t="n">
        <f aca="false">+V148-V149</f>
        <v>49184.342</v>
      </c>
      <c r="W150" s="52" t="n">
        <f aca="false">+W148-W149</f>
        <v>52219.27</v>
      </c>
      <c r="X150" s="52" t="n">
        <f aca="false">+X148-X149</f>
        <v>48824.83</v>
      </c>
      <c r="Y150" s="52" t="n">
        <f aca="false">+Y148-Y149</f>
        <v>44537.032</v>
      </c>
      <c r="Z150" s="52" t="n">
        <f aca="false">+Z148-Z149</f>
        <v>46560.963</v>
      </c>
      <c r="AA150" s="52" t="n">
        <f aca="false">+AA148-AA149</f>
        <v>46876.366</v>
      </c>
      <c r="AB150" s="52" t="n">
        <f aca="false">+AB148-AB149</f>
        <v>48059.8</v>
      </c>
      <c r="AC150" s="52" t="n">
        <f aca="false">+AC148-AC149</f>
        <v>50366.6</v>
      </c>
      <c r="AD150" s="52" t="n">
        <f aca="false">+AD148-AD149</f>
        <v>53096.6</v>
      </c>
      <c r="AE150" s="52" t="n">
        <f aca="false">+AE148-AE149</f>
        <v>49771.2</v>
      </c>
      <c r="AF150" s="52" t="n">
        <f aca="false">+AF148-AF149</f>
        <v>47478.5</v>
      </c>
      <c r="AG150" s="52" t="n">
        <f aca="false">+AG148-AG149</f>
        <v>45022.2</v>
      </c>
      <c r="AH150" s="52" t="n">
        <f aca="false">+AH148-AH149</f>
        <v>44066.4</v>
      </c>
      <c r="AI150" s="52" t="n">
        <f aca="false">+AI148-AI149</f>
        <v>50721</v>
      </c>
      <c r="AJ150" s="52" t="n">
        <f aca="false">+AJ148-AJ149</f>
        <v>53169.5546</v>
      </c>
      <c r="AK150" s="52" t="n">
        <f aca="false">+AK148-AK149</f>
        <v>53057.6092</v>
      </c>
      <c r="AL150" s="52" t="n">
        <f aca="false">+AL148-AL149</f>
        <v>52590.1544</v>
      </c>
      <c r="AM150" s="53"/>
      <c r="AN150" s="53"/>
      <c r="AO150" s="53"/>
      <c r="AP150" s="53"/>
      <c r="AQ150" s="53"/>
      <c r="AR150" s="53"/>
      <c r="AS150" s="53"/>
      <c r="AT150" s="53"/>
      <c r="AU150" s="53"/>
      <c r="AV150" s="53"/>
      <c r="AW150" s="53"/>
      <c r="AX150" s="53"/>
      <c r="AY150" s="53"/>
    </row>
    <row r="151" customFormat="false" ht="15" hidden="false" customHeight="true" outlineLevel="0" collapsed="false">
      <c r="A151" s="29" t="s">
        <v>362</v>
      </c>
      <c r="B151" s="31" t="n">
        <f aca="false">+B630</f>
        <v>470.52</v>
      </c>
      <c r="C151" s="31" t="n">
        <f aca="false">+C630</f>
        <v>1556.11</v>
      </c>
      <c r="D151" s="31" t="n">
        <f aca="false">+D630</f>
        <v>118.17</v>
      </c>
      <c r="E151" s="31" t="n">
        <f aca="false">+E630</f>
        <v>223.04</v>
      </c>
      <c r="F151" s="31" t="n">
        <f aca="false">+F630</f>
        <v>326.35</v>
      </c>
      <c r="G151" s="31" t="n">
        <f aca="false">+G630</f>
        <v>977.66</v>
      </c>
      <c r="H151" s="31" t="n">
        <f aca="false">+H630</f>
        <v>612.3</v>
      </c>
      <c r="I151" s="31" t="n">
        <f aca="false">+I630</f>
        <v>308</v>
      </c>
      <c r="J151" s="31" t="n">
        <f aca="false">+J630</f>
        <v>697.54</v>
      </c>
      <c r="K151" s="31" t="n">
        <f aca="false">+K630</f>
        <v>537.35</v>
      </c>
      <c r="L151" s="31" t="n">
        <f aca="false">+L630</f>
        <v>373.19</v>
      </c>
      <c r="M151" s="31" t="n">
        <f aca="false">+M630</f>
        <v>462.71</v>
      </c>
      <c r="N151" s="31" t="n">
        <f aca="false">+N630</f>
        <v>851.55</v>
      </c>
      <c r="O151" s="31" t="n">
        <f aca="false">+O630</f>
        <v>1414.17</v>
      </c>
      <c r="P151" s="31" t="n">
        <f aca="false">+P630</f>
        <v>2374.91</v>
      </c>
      <c r="Q151" s="31" t="n">
        <f aca="false">+Q630</f>
        <v>5292.45</v>
      </c>
      <c r="R151" s="31" t="n">
        <f aca="false">+R630</f>
        <v>9982.894</v>
      </c>
      <c r="S151" s="31" t="n">
        <f aca="false">+S630</f>
        <v>5614.697</v>
      </c>
      <c r="T151" s="31" t="n">
        <f aca="false">+T630</f>
        <v>3579.661</v>
      </c>
      <c r="U151" s="31" t="n">
        <f aca="false">+U630</f>
        <v>4351.906</v>
      </c>
      <c r="V151" s="31" t="n">
        <f aca="false">+V630</f>
        <v>5626.183</v>
      </c>
      <c r="W151" s="31" t="n">
        <f aca="false">+W630</f>
        <v>1551.303</v>
      </c>
      <c r="X151" s="31" t="n">
        <f aca="false">+X630</f>
        <v>697.97</v>
      </c>
      <c r="Y151" s="31" t="n">
        <f aca="false">+Y630</f>
        <v>547.499</v>
      </c>
      <c r="Z151" s="31" t="n">
        <f aca="false">+Z630</f>
        <v>1575.95</v>
      </c>
      <c r="AA151" s="31" t="n">
        <f aca="false">+AA630</f>
        <v>2129.295</v>
      </c>
      <c r="AB151" s="31" t="n">
        <f aca="false">+AB630</f>
        <v>2746.4</v>
      </c>
      <c r="AC151" s="31" t="n">
        <f aca="false">+AC630</f>
        <v>4209.7</v>
      </c>
      <c r="AD151" s="31" t="n">
        <f aca="false">+AD630</f>
        <v>2287.8</v>
      </c>
      <c r="AE151" s="31" t="n">
        <f aca="false">+AE630</f>
        <v>1111.1</v>
      </c>
      <c r="AF151" s="31" t="n">
        <f aca="false">+AF630</f>
        <v>489.5</v>
      </c>
      <c r="AG151" s="31" t="n">
        <f aca="false">+AG630</f>
        <v>955.3</v>
      </c>
      <c r="AH151" s="31" t="n">
        <f aca="false">+AH630</f>
        <v>2768.7</v>
      </c>
      <c r="AI151" s="31" t="n">
        <f aca="false">+AI630</f>
        <v>2099.8</v>
      </c>
      <c r="AJ151" s="31" t="n">
        <f aca="false">+AJ630</f>
        <v>1200</v>
      </c>
      <c r="AK151" s="31" t="n">
        <f aca="false">+AK630</f>
        <v>1200</v>
      </c>
      <c r="AL151" s="31" t="n">
        <f aca="false">+AL630</f>
        <v>1200</v>
      </c>
      <c r="AM151" s="30"/>
      <c r="AN151" s="30"/>
      <c r="AO151" s="30"/>
      <c r="AP151" s="30"/>
      <c r="AQ151" s="30"/>
      <c r="AR151" s="30"/>
      <c r="AS151" s="30"/>
      <c r="AT151" s="30"/>
      <c r="AU151" s="30"/>
      <c r="AV151" s="30"/>
      <c r="AW151" s="30"/>
      <c r="AX151" s="30"/>
      <c r="AY151" s="30"/>
    </row>
    <row r="152" customFormat="false" ht="15" hidden="false" customHeight="true" outlineLevel="0" collapsed="false">
      <c r="A152" s="29" t="s">
        <v>363</v>
      </c>
      <c r="B152" s="31" t="n">
        <f aca="false">+B631</f>
        <v>0</v>
      </c>
      <c r="C152" s="31" t="n">
        <f aca="false">+C631</f>
        <v>0</v>
      </c>
      <c r="D152" s="31" t="n">
        <f aca="false">+D631</f>
        <v>0</v>
      </c>
      <c r="E152" s="31" t="n">
        <f aca="false">+E631</f>
        <v>0</v>
      </c>
      <c r="F152" s="31" t="n">
        <f aca="false">+F631</f>
        <v>0</v>
      </c>
      <c r="G152" s="31" t="n">
        <f aca="false">+G631</f>
        <v>0</v>
      </c>
      <c r="H152" s="31" t="n">
        <f aca="false">+H631</f>
        <v>0</v>
      </c>
      <c r="I152" s="31" t="n">
        <f aca="false">+I631</f>
        <v>0</v>
      </c>
      <c r="J152" s="31" t="n">
        <f aca="false">+J631</f>
        <v>0</v>
      </c>
      <c r="K152" s="31" t="n">
        <f aca="false">+K631</f>
        <v>0</v>
      </c>
      <c r="L152" s="31" t="n">
        <f aca="false">+L631</f>
        <v>0</v>
      </c>
      <c r="M152" s="31" t="n">
        <f aca="false">+M631</f>
        <v>0</v>
      </c>
      <c r="N152" s="31" t="n">
        <f aca="false">+N631</f>
        <v>0</v>
      </c>
      <c r="O152" s="31" t="n">
        <f aca="false">+O631</f>
        <v>0</v>
      </c>
      <c r="P152" s="31" t="n">
        <f aca="false">+P631</f>
        <v>0</v>
      </c>
      <c r="Q152" s="31" t="n">
        <f aca="false">+Q631</f>
        <v>0</v>
      </c>
      <c r="R152" s="31" t="n">
        <f aca="false">+R631</f>
        <v>0</v>
      </c>
      <c r="S152" s="31" t="n">
        <f aca="false">+S631</f>
        <v>0</v>
      </c>
      <c r="T152" s="31" t="n">
        <f aca="false">+T631</f>
        <v>0</v>
      </c>
      <c r="U152" s="31" t="n">
        <f aca="false">+U631</f>
        <v>3477.816</v>
      </c>
      <c r="V152" s="31" t="n">
        <f aca="false">+V631</f>
        <v>3634.486</v>
      </c>
      <c r="W152" s="31" t="n">
        <f aca="false">+W631</f>
        <v>4379.402</v>
      </c>
      <c r="X152" s="31" t="n">
        <f aca="false">+X631</f>
        <v>3730.699</v>
      </c>
      <c r="Y152" s="31" t="n">
        <f aca="false">+Y631</f>
        <v>3382.831</v>
      </c>
      <c r="Z152" s="31" t="n">
        <f aca="false">+Z631</f>
        <v>3147.118</v>
      </c>
      <c r="AA152" s="31" t="n">
        <f aca="false">+AA631</f>
        <v>2865.86</v>
      </c>
      <c r="AB152" s="31" t="n">
        <f aca="false">+AB631</f>
        <v>8085.3</v>
      </c>
      <c r="AC152" s="31" t="n">
        <f aca="false">+AC631</f>
        <v>13604.5</v>
      </c>
      <c r="AD152" s="31" t="n">
        <f aca="false">+AD631</f>
        <v>14511.9</v>
      </c>
      <c r="AE152" s="31" t="n">
        <f aca="false">+AE631</f>
        <v>13272</v>
      </c>
      <c r="AF152" s="31" t="n">
        <f aca="false">+AF631</f>
        <v>13193.2</v>
      </c>
      <c r="AG152" s="31" t="n">
        <f aca="false">+AG631</f>
        <v>12142.8</v>
      </c>
      <c r="AH152" s="31" t="n">
        <f aca="false">+AH631</f>
        <v>11635.2</v>
      </c>
      <c r="AI152" s="31" t="n">
        <f aca="false">+AI631</f>
        <v>10537.3</v>
      </c>
      <c r="AJ152" s="31" t="n">
        <f aca="false">+AJ631</f>
        <v>11037.3</v>
      </c>
      <c r="AK152" s="31" t="n">
        <f aca="false">+AK631</f>
        <v>11537.3</v>
      </c>
      <c r="AL152" s="31" t="n">
        <f aca="false">+AL631</f>
        <v>12037.3</v>
      </c>
      <c r="AM152" s="30"/>
      <c r="AN152" s="30"/>
      <c r="AO152" s="30"/>
      <c r="AP152" s="30"/>
      <c r="AQ152" s="30"/>
      <c r="AR152" s="30"/>
      <c r="AS152" s="30"/>
      <c r="AT152" s="30"/>
      <c r="AU152" s="30"/>
      <c r="AV152" s="30"/>
      <c r="AW152" s="30"/>
      <c r="AX152" s="30"/>
      <c r="AY152" s="30"/>
    </row>
    <row r="153" customFormat="false" ht="15" hidden="false" customHeight="true" outlineLevel="0" collapsed="false">
      <c r="A153" s="88" t="s">
        <v>364</v>
      </c>
      <c r="B153" s="88"/>
      <c r="C153" s="88"/>
      <c r="D153" s="88"/>
      <c r="E153" s="88"/>
      <c r="F153" s="88"/>
      <c r="G153" s="88"/>
      <c r="H153" s="88"/>
      <c r="I153" s="88"/>
      <c r="J153" s="88"/>
      <c r="K153" s="88"/>
      <c r="L153" s="88"/>
      <c r="M153" s="88"/>
      <c r="N153" s="88"/>
      <c r="O153" s="88"/>
      <c r="P153" s="88"/>
      <c r="Q153" s="88"/>
      <c r="R153" s="88"/>
      <c r="S153" s="88"/>
      <c r="T153" s="31" t="n">
        <f aca="false">+T632</f>
        <v>0</v>
      </c>
      <c r="U153" s="31" t="n">
        <f aca="false">+U632</f>
        <v>1130.303</v>
      </c>
      <c r="V153" s="31" t="n">
        <f aca="false">+V632</f>
        <v>1263.091</v>
      </c>
      <c r="W153" s="31" t="n">
        <f aca="false">+W632</f>
        <v>263.969</v>
      </c>
      <c r="X153" s="31" t="n">
        <f aca="false">+X632</f>
        <v>503.466</v>
      </c>
      <c r="Y153" s="31" t="n">
        <f aca="false">+Y632</f>
        <v>211.06</v>
      </c>
      <c r="Z153" s="31" t="n">
        <f aca="false">+Z632</f>
        <v>482.658</v>
      </c>
      <c r="AA153" s="31" t="n">
        <f aca="false">+AA632</f>
        <v>1883.103</v>
      </c>
      <c r="AB153" s="31" t="n">
        <f aca="false">+AB632</f>
        <v>3829.8</v>
      </c>
      <c r="AC153" s="31" t="n">
        <f aca="false">+AC632</f>
        <v>1731.7</v>
      </c>
      <c r="AD153" s="31" t="n">
        <f aca="false">+AD632</f>
        <v>1430.7</v>
      </c>
      <c r="AE153" s="31" t="n">
        <f aca="false">+AE632</f>
        <v>831.6</v>
      </c>
      <c r="AF153" s="31" t="n">
        <f aca="false">+AF632</f>
        <v>835.7</v>
      </c>
      <c r="AG153" s="31" t="n">
        <f aca="false">+AG632</f>
        <v>1060</v>
      </c>
      <c r="AH153" s="31" t="n">
        <f aca="false">+AH632</f>
        <v>1478.9</v>
      </c>
      <c r="AI153" s="31" t="n">
        <f aca="false">+AI632</f>
        <v>2693.1</v>
      </c>
      <c r="AJ153" s="31" t="n">
        <f aca="false">+AJ632</f>
        <v>2693.1</v>
      </c>
      <c r="AK153" s="31" t="n">
        <f aca="false">+AK632</f>
        <v>2693.1</v>
      </c>
      <c r="AL153" s="31" t="n">
        <f aca="false">+AL632</f>
        <v>2693.1</v>
      </c>
      <c r="AM153" s="30"/>
      <c r="AN153" s="30"/>
      <c r="AO153" s="30"/>
      <c r="AP153" s="30"/>
      <c r="AQ153" s="30"/>
      <c r="AR153" s="30"/>
      <c r="AS153" s="30"/>
      <c r="AT153" s="30"/>
      <c r="AU153" s="30"/>
      <c r="AV153" s="30"/>
      <c r="AW153" s="30"/>
      <c r="AX153" s="30"/>
      <c r="AY153" s="30"/>
    </row>
    <row r="154" customFormat="false" ht="15" hidden="false" customHeight="true" outlineLevel="0" collapsed="false">
      <c r="A154" s="29" t="s">
        <v>365</v>
      </c>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1" t="n">
        <f aca="false">+AC633</f>
        <v>4064.6</v>
      </c>
      <c r="AD154" s="31" t="n">
        <f aca="false">+AD633</f>
        <v>2895.4</v>
      </c>
      <c r="AE154" s="31" t="n">
        <f aca="false">+AE633</f>
        <v>2965.8</v>
      </c>
      <c r="AF154" s="31" t="n">
        <f aca="false">+AF633</f>
        <v>2369.8</v>
      </c>
      <c r="AG154" s="31" t="n">
        <f aca="false">+AG633</f>
        <v>2353</v>
      </c>
      <c r="AH154" s="31" t="n">
        <f aca="false">+AH633</f>
        <v>2753.3</v>
      </c>
      <c r="AI154" s="31" t="n">
        <f aca="false">+AI633</f>
        <v>2630.4</v>
      </c>
      <c r="AJ154" s="31" t="n">
        <f aca="false">+AJ633</f>
        <v>2830.4</v>
      </c>
      <c r="AK154" s="31" t="n">
        <f aca="false">+AK633</f>
        <v>3030.4</v>
      </c>
      <c r="AL154" s="31" t="n">
        <f aca="false">+AL633</f>
        <v>3230.4</v>
      </c>
      <c r="AM154" s="30"/>
      <c r="AN154" s="30"/>
      <c r="AO154" s="30"/>
      <c r="AP154" s="30"/>
      <c r="AQ154" s="30"/>
      <c r="AR154" s="30"/>
      <c r="AS154" s="30"/>
      <c r="AT154" s="30"/>
      <c r="AU154" s="30"/>
      <c r="AV154" s="30"/>
      <c r="AW154" s="30"/>
      <c r="AX154" s="30"/>
      <c r="AY154" s="30"/>
    </row>
    <row r="155" customFormat="false" ht="15" hidden="false" customHeight="true" outlineLevel="0" collapsed="false">
      <c r="A155" s="51" t="s">
        <v>366</v>
      </c>
      <c r="B155" s="52" t="n">
        <f aca="false">+B150+B151+B152+B153</f>
        <v>3267.63</v>
      </c>
      <c r="C155" s="52" t="n">
        <f aca="false">+C150+C151+C152+C153</f>
        <v>5021.14</v>
      </c>
      <c r="D155" s="52" t="n">
        <f aca="false">+D150+D151+D152+D153</f>
        <v>5903.84</v>
      </c>
      <c r="E155" s="52" t="n">
        <f aca="false">+E150+E151+E152+E153</f>
        <v>7141.97</v>
      </c>
      <c r="F155" s="52" t="n">
        <f aca="false">+F150+F151+F152+F153</f>
        <v>8398.87</v>
      </c>
      <c r="G155" s="52" t="n">
        <f aca="false">+G150+G151+G152+G153</f>
        <v>9026.09</v>
      </c>
      <c r="H155" s="52" t="n">
        <f aca="false">+H150+H151+H152+H153</f>
        <v>9547.5</v>
      </c>
      <c r="I155" s="52" t="n">
        <f aca="false">+I150+I151+I152+I153</f>
        <v>9458.34</v>
      </c>
      <c r="J155" s="52" t="n">
        <f aca="false">+J150+J151+J152+J153</f>
        <v>9612.95</v>
      </c>
      <c r="K155" s="52" t="n">
        <f aca="false">+K150+K151+K152+K153</f>
        <v>10098.34</v>
      </c>
      <c r="L155" s="52" t="n">
        <f aca="false">+L150+L151+L152+L153</f>
        <v>9398.38</v>
      </c>
      <c r="M155" s="52" t="n">
        <f aca="false">+M150+M151+M152+M153</f>
        <v>9211</v>
      </c>
      <c r="N155" s="52" t="n">
        <f aca="false">+N150+N151+N152+N153</f>
        <v>9790.01</v>
      </c>
      <c r="O155" s="52" t="n">
        <f aca="false">+O150+O151+O152+O153</f>
        <v>10846.88</v>
      </c>
      <c r="P155" s="52" t="n">
        <f aca="false">+P150+P151+P152+P153</f>
        <v>15445.24</v>
      </c>
      <c r="Q155" s="52" t="n">
        <f aca="false">+Q150+Q151+Q152+Q153</f>
        <v>20547.95</v>
      </c>
      <c r="R155" s="52" t="n">
        <f aca="false">+R150+R151+R152+R153</f>
        <v>43974.057</v>
      </c>
      <c r="S155" s="52" t="n">
        <f aca="false">+S150+S151+S152+S153</f>
        <v>48110.289</v>
      </c>
      <c r="T155" s="52" t="n">
        <f aca="false">+T150+T151+T152+T153</f>
        <v>49917.579</v>
      </c>
      <c r="U155" s="52" t="n">
        <f aca="false">+U150+U151+U152+U153</f>
        <v>54617.15</v>
      </c>
      <c r="V155" s="52" t="n">
        <f aca="false">+V150+V151+V152+V153</f>
        <v>59708.102</v>
      </c>
      <c r="W155" s="52" t="n">
        <f aca="false">+W150+W151+W152+W153</f>
        <v>58413.944</v>
      </c>
      <c r="X155" s="52" t="n">
        <f aca="false">+X150+X151+X152+X153</f>
        <v>53756.965</v>
      </c>
      <c r="Y155" s="52" t="n">
        <f aca="false">+Y150+Y151+Y152+Y153</f>
        <v>48678.422</v>
      </c>
      <c r="Z155" s="52" t="n">
        <f aca="false">+Z150+Z151+Z152+Z153</f>
        <v>51766.689</v>
      </c>
      <c r="AA155" s="52" t="n">
        <f aca="false">+AA150+AA151+AA152+AA153</f>
        <v>53754.624</v>
      </c>
      <c r="AB155" s="52" t="n">
        <f aca="false">+AB150+AB151+AB152+AB153</f>
        <v>62721.3</v>
      </c>
      <c r="AC155" s="52" t="n">
        <f aca="false">+AC150+AC151+AC152+AC153+AC154</f>
        <v>73977.1</v>
      </c>
      <c r="AD155" s="52" t="n">
        <f aca="false">+AD150+AD151+AD152+AD153+AD154</f>
        <v>74222.4</v>
      </c>
      <c r="AE155" s="52" t="n">
        <f aca="false">+AE150+AE151+AE152+AE153+AE154</f>
        <v>67951.7</v>
      </c>
      <c r="AF155" s="52" t="n">
        <f aca="false">+AF150+AF151+AF152+AF153+AF154</f>
        <v>64366.7</v>
      </c>
      <c r="AG155" s="52" t="n">
        <f aca="false">+AG150+AG151+AG152+AG153+AG154</f>
        <v>61533.3</v>
      </c>
      <c r="AH155" s="52" t="n">
        <f aca="false">+AH150+AH151+AH152+AH153+AH154</f>
        <v>62702.5</v>
      </c>
      <c r="AI155" s="52" t="n">
        <f aca="false">+AI150+AI151+AI152+AI153+AI154</f>
        <v>68681.6</v>
      </c>
      <c r="AJ155" s="52" t="n">
        <f aca="false">+AJ150+AJ151+AJ152+AJ153+AJ154</f>
        <v>70930.3546</v>
      </c>
      <c r="AK155" s="52" t="n">
        <f aca="false">+AK150+AK151+AK152+AK153+AK154</f>
        <v>71518.4092</v>
      </c>
      <c r="AL155" s="52" t="n">
        <f aca="false">+AL150+AL151+AL152+AL153+AL154</f>
        <v>71750.9544</v>
      </c>
      <c r="AM155" s="53"/>
      <c r="AN155" s="53"/>
      <c r="AO155" s="53"/>
      <c r="AP155" s="53"/>
      <c r="AQ155" s="53"/>
      <c r="AR155" s="53"/>
      <c r="AS155" s="53"/>
      <c r="AT155" s="53"/>
      <c r="AU155" s="53"/>
      <c r="AV155" s="53"/>
      <c r="AW155" s="53"/>
      <c r="AX155" s="53"/>
      <c r="AY155" s="53"/>
    </row>
    <row r="156" customFormat="false" ht="15" hidden="false" customHeight="true" outlineLevel="0" collapsed="false">
      <c r="A156" s="47" t="s">
        <v>367</v>
      </c>
      <c r="B156" s="31" t="n">
        <f aca="false">+B636</f>
        <v>277.49</v>
      </c>
      <c r="C156" s="31" t="n">
        <f aca="false">+C636</f>
        <v>523.18</v>
      </c>
      <c r="D156" s="31" t="n">
        <f aca="false">+D636</f>
        <v>681.18</v>
      </c>
      <c r="E156" s="31" t="n">
        <f aca="false">+E636</f>
        <v>781.41</v>
      </c>
      <c r="F156" s="31" t="n">
        <f aca="false">+F636</f>
        <v>583.06</v>
      </c>
      <c r="G156" s="31" t="n">
        <f aca="false">+G636</f>
        <v>484.8</v>
      </c>
      <c r="H156" s="31" t="n">
        <f aca="false">+H636</f>
        <v>624.72</v>
      </c>
      <c r="I156" s="31" t="n">
        <f aca="false">+I636</f>
        <v>1203.84</v>
      </c>
      <c r="J156" s="31" t="n">
        <f aca="false">+J636</f>
        <v>1179.64</v>
      </c>
      <c r="K156" s="31" t="n">
        <f aca="false">+K636</f>
        <v>1173.38</v>
      </c>
      <c r="L156" s="31" t="n">
        <f aca="false">+L636</f>
        <v>1575.76</v>
      </c>
      <c r="M156" s="31" t="n">
        <f aca="false">+M636</f>
        <v>1466.02</v>
      </c>
      <c r="N156" s="31" t="n">
        <f aca="false">+N636</f>
        <v>2291.9</v>
      </c>
      <c r="O156" s="31" t="n">
        <f aca="false">+O636</f>
        <v>3681.78</v>
      </c>
      <c r="P156" s="31" t="n">
        <f aca="false">+P636</f>
        <v>2210.94</v>
      </c>
      <c r="Q156" s="31" t="n">
        <f aca="false">+Q636</f>
        <v>6099</v>
      </c>
      <c r="R156" s="31" t="n">
        <f aca="false">+R636</f>
        <v>2635.571</v>
      </c>
      <c r="S156" s="31" t="n">
        <f aca="false">+S636</f>
        <v>3261.549</v>
      </c>
      <c r="T156" s="31" t="n">
        <f aca="false">+T636</f>
        <v>12299.968</v>
      </c>
      <c r="U156" s="31" t="n">
        <f aca="false">+U636</f>
        <v>15344.789</v>
      </c>
      <c r="V156" s="31" t="n">
        <f aca="false">+V636</f>
        <v>23376.319</v>
      </c>
      <c r="W156" s="31" t="n">
        <f aca="false">+W636</f>
        <v>27896.859</v>
      </c>
      <c r="X156" s="31" t="n">
        <f aca="false">+X636</f>
        <v>26488.333</v>
      </c>
      <c r="Y156" s="31" t="n">
        <f aca="false">+Y636</f>
        <v>19804.373</v>
      </c>
      <c r="Z156" s="31" t="n">
        <f aca="false">+Z636</f>
        <v>28788.554</v>
      </c>
      <c r="AA156" s="31" t="n">
        <f aca="false">+AA636</f>
        <v>58026.268</v>
      </c>
      <c r="AB156" s="31" t="n">
        <f aca="false">+AB636</f>
        <v>26365</v>
      </c>
      <c r="AC156" s="31" t="n">
        <f aca="false">+AC636</f>
        <v>27196.3</v>
      </c>
      <c r="AD156" s="31" t="n">
        <f aca="false">+AD636</f>
        <v>30687.2</v>
      </c>
      <c r="AE156" s="31" t="n">
        <f aca="false">+AE636</f>
        <v>48196.3</v>
      </c>
      <c r="AF156" s="31" t="n">
        <f aca="false">+AF636</f>
        <v>66636</v>
      </c>
      <c r="AG156" s="31" t="n">
        <f aca="false">+AG636</f>
        <v>55597.7</v>
      </c>
      <c r="AH156" s="31" t="n">
        <f aca="false">+AH636</f>
        <v>86729.6</v>
      </c>
      <c r="AI156" s="31" t="n">
        <f aca="false">+AI636</f>
        <v>106790</v>
      </c>
      <c r="AJ156" s="31" t="n">
        <f aca="false">+AJ636</f>
        <v>118849.855</v>
      </c>
      <c r="AK156" s="31" t="n">
        <f aca="false">+AK636</f>
        <v>124012.70275</v>
      </c>
      <c r="AL156" s="31" t="n">
        <f aca="false">+AL636</f>
        <v>129283.6928875</v>
      </c>
      <c r="AM156" s="30"/>
      <c r="AN156" s="30"/>
      <c r="AO156" s="30"/>
      <c r="AP156" s="30"/>
      <c r="AQ156" s="30"/>
      <c r="AR156" s="30"/>
      <c r="AS156" s="30"/>
      <c r="AT156" s="30"/>
      <c r="AU156" s="30"/>
      <c r="AV156" s="30"/>
      <c r="AW156" s="30"/>
      <c r="AX156" s="30"/>
      <c r="AY156" s="30"/>
    </row>
    <row r="157" customFormat="false" ht="15" hidden="false" customHeight="true" outlineLevel="0" collapsed="false">
      <c r="A157" s="47" t="s">
        <v>368</v>
      </c>
      <c r="B157" s="31" t="n">
        <f aca="false">+B643</f>
        <v>0</v>
      </c>
      <c r="C157" s="31" t="n">
        <f aca="false">+C643</f>
        <v>0</v>
      </c>
      <c r="D157" s="31" t="n">
        <f aca="false">+D643</f>
        <v>0</v>
      </c>
      <c r="E157" s="31" t="n">
        <f aca="false">+E643</f>
        <v>0</v>
      </c>
      <c r="F157" s="31" t="n">
        <f aca="false">+F643</f>
        <v>0</v>
      </c>
      <c r="G157" s="31" t="n">
        <f aca="false">+G643</f>
        <v>0</v>
      </c>
      <c r="H157" s="31" t="n">
        <f aca="false">+H643</f>
        <v>0</v>
      </c>
      <c r="I157" s="31" t="n">
        <f aca="false">+I643</f>
        <v>0</v>
      </c>
      <c r="J157" s="31" t="n">
        <f aca="false">+J643</f>
        <v>0</v>
      </c>
      <c r="K157" s="31" t="n">
        <f aca="false">+K643</f>
        <v>0</v>
      </c>
      <c r="L157" s="31" t="n">
        <f aca="false">+L643</f>
        <v>0</v>
      </c>
      <c r="M157" s="31" t="n">
        <f aca="false">+M643</f>
        <v>0</v>
      </c>
      <c r="N157" s="31" t="n">
        <f aca="false">+N643</f>
        <v>0</v>
      </c>
      <c r="O157" s="31" t="n">
        <f aca="false">+O643</f>
        <v>0</v>
      </c>
      <c r="P157" s="31" t="n">
        <f aca="false">+P643</f>
        <v>0</v>
      </c>
      <c r="Q157" s="31" t="n">
        <f aca="false">+Q643</f>
        <v>0</v>
      </c>
      <c r="R157" s="31" t="n">
        <f aca="false">+R643</f>
        <v>0</v>
      </c>
      <c r="S157" s="31" t="n">
        <f aca="false">+S643</f>
        <v>0</v>
      </c>
      <c r="T157" s="31" t="n">
        <f aca="false">+T643</f>
        <v>0</v>
      </c>
      <c r="U157" s="31" t="n">
        <f aca="false">+U643</f>
        <v>6082.395</v>
      </c>
      <c r="V157" s="31" t="n">
        <f aca="false">+V643</f>
        <v>4796.955</v>
      </c>
      <c r="W157" s="31" t="n">
        <f aca="false">+W643</f>
        <v>6727.653</v>
      </c>
      <c r="X157" s="31" t="n">
        <f aca="false">+X643</f>
        <v>9829.176</v>
      </c>
      <c r="Y157" s="31" t="n">
        <f aca="false">+Y643</f>
        <v>976.206</v>
      </c>
      <c r="Z157" s="31" t="n">
        <f aca="false">+Z643</f>
        <v>0</v>
      </c>
      <c r="AA157" s="31" t="n">
        <f aca="false">+AA643</f>
        <v>335.411</v>
      </c>
      <c r="AB157" s="31" t="n">
        <f aca="false">+AB643</f>
        <v>318.5</v>
      </c>
      <c r="AC157" s="31" t="n">
        <f aca="false">+AC643</f>
        <v>330</v>
      </c>
      <c r="AD157" s="31" t="n">
        <f aca="false">+AD643</f>
        <v>205</v>
      </c>
      <c r="AE157" s="31" t="n">
        <f aca="false">+AE643</f>
        <v>0</v>
      </c>
      <c r="AF157" s="31" t="n">
        <f aca="false">+AF643</f>
        <v>0</v>
      </c>
      <c r="AG157" s="31" t="n">
        <f aca="false">+AG643</f>
        <v>0</v>
      </c>
      <c r="AH157" s="31" t="n">
        <f aca="false">+AH643</f>
        <v>0</v>
      </c>
      <c r="AI157" s="31" t="n">
        <f aca="false">+AI643</f>
        <v>0</v>
      </c>
      <c r="AJ157" s="31" t="n">
        <f aca="false">+AJ643</f>
        <v>0</v>
      </c>
      <c r="AK157" s="31" t="n">
        <f aca="false">+AK643</f>
        <v>0</v>
      </c>
      <c r="AL157" s="31" t="n">
        <f aca="false">+AL643</f>
        <v>0</v>
      </c>
      <c r="AM157" s="30"/>
      <c r="AN157" s="30"/>
      <c r="AO157" s="30"/>
      <c r="AP157" s="30"/>
      <c r="AQ157" s="30"/>
      <c r="AR157" s="30"/>
      <c r="AS157" s="30"/>
      <c r="AT157" s="30"/>
      <c r="AU157" s="30"/>
      <c r="AV157" s="30"/>
      <c r="AW157" s="30"/>
      <c r="AX157" s="30"/>
      <c r="AY157" s="30"/>
    </row>
    <row r="158" customFormat="false" ht="15" hidden="false" customHeight="true" outlineLevel="0" collapsed="false">
      <c r="A158" s="29" t="s">
        <v>369</v>
      </c>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1" t="n">
        <f aca="false">+Y644</f>
        <v>6469.041</v>
      </c>
      <c r="Z158" s="31" t="n">
        <f aca="false">+Z644</f>
        <v>8844.458</v>
      </c>
      <c r="AA158" s="31" t="n">
        <f aca="false">+AA644</f>
        <v>5597.749</v>
      </c>
      <c r="AB158" s="31" t="n">
        <f aca="false">+AB644</f>
        <v>10975.8</v>
      </c>
      <c r="AC158" s="31" t="n">
        <f aca="false">+AC644</f>
        <v>8157.8</v>
      </c>
      <c r="AD158" s="31" t="n">
        <f aca="false">+AD644</f>
        <v>4866.1</v>
      </c>
      <c r="AE158" s="31" t="n">
        <f aca="false">+AE644</f>
        <v>4951.9</v>
      </c>
      <c r="AF158" s="31" t="n">
        <f aca="false">+AF644</f>
        <v>5585.3</v>
      </c>
      <c r="AG158" s="31" t="n">
        <f aca="false">+AG644</f>
        <v>4843.7</v>
      </c>
      <c r="AH158" s="31" t="n">
        <f aca="false">+AH644</f>
        <v>12690.2</v>
      </c>
      <c r="AI158" s="31" t="n">
        <f aca="false">+AI644</f>
        <v>5042.2</v>
      </c>
      <c r="AJ158" s="31" t="n">
        <f aca="false">+AJ644</f>
        <v>5546.42</v>
      </c>
      <c r="AK158" s="31" t="n">
        <f aca="false">+AK644</f>
        <v>6101.062</v>
      </c>
      <c r="AL158" s="31" t="n">
        <f aca="false">+AL644</f>
        <v>6711.1682</v>
      </c>
      <c r="AM158" s="30"/>
      <c r="AN158" s="30"/>
      <c r="AO158" s="30"/>
      <c r="AP158" s="30"/>
      <c r="AQ158" s="30"/>
      <c r="AR158" s="30"/>
      <c r="AS158" s="30"/>
      <c r="AT158" s="30"/>
      <c r="AU158" s="30"/>
      <c r="AV158" s="30"/>
      <c r="AW158" s="30"/>
      <c r="AX158" s="30"/>
      <c r="AY158" s="30"/>
    </row>
    <row r="159" customFormat="false" ht="15" hidden="false" customHeight="true" outlineLevel="0" collapsed="false">
      <c r="A159" s="70" t="s">
        <v>370</v>
      </c>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c r="AT159" s="86"/>
      <c r="AU159" s="86"/>
      <c r="AV159" s="86"/>
      <c r="AW159" s="86"/>
      <c r="AX159" s="86"/>
      <c r="AY159" s="86"/>
    </row>
    <row r="160" customFormat="false" ht="15" hidden="false" customHeight="true" outlineLevel="0" collapsed="false">
      <c r="A160" s="29" t="s">
        <v>371</v>
      </c>
      <c r="B160" s="31" t="n">
        <f aca="false">+B647</f>
        <v>2617.41</v>
      </c>
      <c r="C160" s="31" t="n">
        <f aca="false">+C647</f>
        <v>2540.98</v>
      </c>
      <c r="D160" s="31" t="n">
        <f aca="false">+D647</f>
        <v>3041.86</v>
      </c>
      <c r="E160" s="31" t="n">
        <f aca="false">+E647</f>
        <v>4324.04</v>
      </c>
      <c r="F160" s="31" t="n">
        <f aca="false">+F647</f>
        <v>6529.24</v>
      </c>
      <c r="G160" s="31" t="n">
        <f aca="false">+G647</f>
        <v>6576.04</v>
      </c>
      <c r="H160" s="31" t="n">
        <f aca="false">+H647</f>
        <v>4277.47</v>
      </c>
      <c r="I160" s="31" t="n">
        <f aca="false">+I647</f>
        <v>4577.94</v>
      </c>
      <c r="J160" s="31" t="n">
        <f aca="false">+J647</f>
        <v>5176.74</v>
      </c>
      <c r="K160" s="31" t="n">
        <f aca="false">+K647</f>
        <v>5953.4</v>
      </c>
      <c r="L160" s="31" t="n">
        <f aca="false">+L647</f>
        <v>4104.56</v>
      </c>
      <c r="M160" s="31" t="n">
        <f aca="false">+M647</f>
        <v>5069.41</v>
      </c>
      <c r="N160" s="31" t="n">
        <f aca="false">+N647</f>
        <v>5680.81</v>
      </c>
      <c r="O160" s="31" t="n">
        <f aca="false">+O647</f>
        <v>9025.61</v>
      </c>
      <c r="P160" s="31" t="n">
        <f aca="false">+P647</f>
        <v>10703.21</v>
      </c>
      <c r="Q160" s="31" t="n">
        <f aca="false">+Q647</f>
        <v>12239.14</v>
      </c>
      <c r="R160" s="31" t="n">
        <f aca="false">+R647</f>
        <v>13300.144</v>
      </c>
      <c r="S160" s="31" t="n">
        <f aca="false">+S647</f>
        <v>16382.4</v>
      </c>
      <c r="T160" s="31" t="n">
        <f aca="false">+T647</f>
        <v>22089.034</v>
      </c>
      <c r="U160" s="31" t="n">
        <f aca="false">+U647</f>
        <v>22306.252</v>
      </c>
      <c r="V160" s="31" t="n">
        <f aca="false">+V647</f>
        <v>18960.208</v>
      </c>
      <c r="W160" s="31" t="n">
        <f aca="false">+W647</f>
        <v>11887.031</v>
      </c>
      <c r="X160" s="31" t="n">
        <f aca="false">+X647</f>
        <v>13985.272</v>
      </c>
      <c r="Y160" s="31" t="n">
        <f aca="false">+Y647</f>
        <v>16250.135</v>
      </c>
      <c r="Z160" s="31" t="n">
        <f aca="false">+Z647</f>
        <v>25011.167</v>
      </c>
      <c r="AA160" s="31" t="n">
        <f aca="false">+AA647</f>
        <v>17098.751</v>
      </c>
      <c r="AB160" s="31" t="n">
        <f aca="false">+AB647</f>
        <v>26846.7</v>
      </c>
      <c r="AC160" s="31" t="n">
        <f aca="false">+AC647</f>
        <v>12380</v>
      </c>
      <c r="AD160" s="31" t="n">
        <f aca="false">+AD647</f>
        <v>21422.9</v>
      </c>
      <c r="AE160" s="31" t="n">
        <f aca="false">+AE647</f>
        <v>20752</v>
      </c>
      <c r="AF160" s="31" t="n">
        <f aca="false">+AF647</f>
        <v>27744.8</v>
      </c>
      <c r="AG160" s="31" t="n">
        <f aca="false">+AG647</f>
        <v>31906.9</v>
      </c>
      <c r="AH160" s="31" t="n">
        <f aca="false">+AH647</f>
        <v>29573.2</v>
      </c>
      <c r="AI160" s="31" t="n">
        <f aca="false">+AI647</f>
        <v>34860.2</v>
      </c>
      <c r="AJ160" s="31" t="n">
        <f aca="false">+AJ647</f>
        <v>38115.3206454936</v>
      </c>
      <c r="AK160" s="31" t="n">
        <f aca="false">+AK647</f>
        <v>41576.3673083312</v>
      </c>
      <c r="AL160" s="31" t="n">
        <f aca="false">+AL647</f>
        <v>44710.4594078117</v>
      </c>
      <c r="AM160" s="30"/>
      <c r="AN160" s="30"/>
      <c r="AO160" s="30"/>
      <c r="AP160" s="30"/>
      <c r="AQ160" s="30"/>
      <c r="AR160" s="30"/>
      <c r="AS160" s="30"/>
      <c r="AT160" s="30"/>
      <c r="AU160" s="30"/>
      <c r="AV160" s="30"/>
      <c r="AW160" s="30"/>
      <c r="AX160" s="30"/>
      <c r="AY160" s="30"/>
    </row>
    <row r="161" customFormat="false" ht="15" hidden="false" customHeight="true" outlineLevel="0" collapsed="false">
      <c r="A161" s="29" t="s">
        <v>372</v>
      </c>
      <c r="B161" s="31" t="n">
        <f aca="false">+B657</f>
        <v>3177.93</v>
      </c>
      <c r="C161" s="31" t="n">
        <f aca="false">+C657</f>
        <v>3172.05</v>
      </c>
      <c r="D161" s="31" t="n">
        <f aca="false">+D657</f>
        <v>4770.84</v>
      </c>
      <c r="E161" s="31" t="n">
        <f aca="false">+E657</f>
        <v>7092.52</v>
      </c>
      <c r="F161" s="31" t="n">
        <f aca="false">+F657</f>
        <v>10513.03</v>
      </c>
      <c r="G161" s="31" t="n">
        <f aca="false">+G657</f>
        <v>9011.99</v>
      </c>
      <c r="H161" s="31" t="n">
        <f aca="false">+H657</f>
        <v>7605.75</v>
      </c>
      <c r="I161" s="31" t="n">
        <f aca="false">+I657</f>
        <v>7561.83</v>
      </c>
      <c r="J161" s="31" t="n">
        <f aca="false">+J657</f>
        <v>6679.52</v>
      </c>
      <c r="K161" s="31" t="n">
        <f aca="false">+K657</f>
        <v>4928.46</v>
      </c>
      <c r="L161" s="31" t="n">
        <f aca="false">+L657</f>
        <v>5181.5</v>
      </c>
      <c r="M161" s="31" t="n">
        <f aca="false">+M657</f>
        <v>4056.19</v>
      </c>
      <c r="N161" s="31" t="n">
        <f aca="false">+N657</f>
        <v>4587.66</v>
      </c>
      <c r="O161" s="31" t="n">
        <f aca="false">+O657</f>
        <v>4243.37</v>
      </c>
      <c r="P161" s="31" t="n">
        <f aca="false">+P657</f>
        <v>5228.75</v>
      </c>
      <c r="Q161" s="31" t="n">
        <f aca="false">+Q657</f>
        <v>3758.35</v>
      </c>
      <c r="R161" s="31" t="n">
        <f aca="false">+R657</f>
        <v>9579.742</v>
      </c>
      <c r="S161" s="31" t="n">
        <f aca="false">+S657</f>
        <v>10220.615</v>
      </c>
      <c r="T161" s="31" t="n">
        <f aca="false">+T657</f>
        <v>11852.133</v>
      </c>
      <c r="U161" s="31" t="n">
        <f aca="false">+U657</f>
        <v>12302.479</v>
      </c>
      <c r="V161" s="31" t="n">
        <f aca="false">+V657</f>
        <v>14194.113</v>
      </c>
      <c r="W161" s="31" t="n">
        <f aca="false">+W657</f>
        <v>12990.105</v>
      </c>
      <c r="X161" s="31" t="n">
        <f aca="false">+X657</f>
        <v>12576.925</v>
      </c>
      <c r="Y161" s="31" t="n">
        <f aca="false">+Y657</f>
        <v>12509.495</v>
      </c>
      <c r="Z161" s="31" t="n">
        <f aca="false">+Z657</f>
        <v>8599.016</v>
      </c>
      <c r="AA161" s="31" t="n">
        <f aca="false">+AA657</f>
        <v>9805.056</v>
      </c>
      <c r="AB161" s="31" t="n">
        <f aca="false">+AB657</f>
        <v>25055.3</v>
      </c>
      <c r="AC161" s="31" t="n">
        <f aca="false">+AC657</f>
        <v>11798.2</v>
      </c>
      <c r="AD161" s="31" t="n">
        <f aca="false">+AD657</f>
        <v>28163.1</v>
      </c>
      <c r="AE161" s="31" t="n">
        <f aca="false">+AE657</f>
        <v>31110.5</v>
      </c>
      <c r="AF161" s="31" t="n">
        <f aca="false">+AF657</f>
        <v>40627.1</v>
      </c>
      <c r="AG161" s="31" t="n">
        <f aca="false">+AG657</f>
        <v>35699</v>
      </c>
      <c r="AH161" s="31" t="n">
        <f aca="false">+AH657</f>
        <v>28873.2</v>
      </c>
      <c r="AI161" s="31" t="n">
        <f aca="false">+AI657</f>
        <v>29504.1</v>
      </c>
      <c r="AJ161" s="31" t="n">
        <f aca="false">+AJ657</f>
        <v>33535.0494045229</v>
      </c>
      <c r="AK161" s="31" t="n">
        <f aca="false">+AK657</f>
        <v>36262.5224481775</v>
      </c>
      <c r="AL161" s="31" t="n">
        <f aca="false">+AL657</f>
        <v>38984.1257572121</v>
      </c>
      <c r="AM161" s="30"/>
      <c r="AN161" s="30"/>
      <c r="AO161" s="30"/>
      <c r="AP161" s="30"/>
      <c r="AQ161" s="30"/>
      <c r="AR161" s="30"/>
      <c r="AS161" s="30"/>
      <c r="AT161" s="30"/>
      <c r="AU161" s="30"/>
      <c r="AV161" s="30"/>
      <c r="AW161" s="30"/>
      <c r="AX161" s="30"/>
      <c r="AY161" s="30"/>
    </row>
    <row r="162" customFormat="false" ht="15" hidden="false" customHeight="true" outlineLevel="0" collapsed="false">
      <c r="A162" s="29" t="s">
        <v>373</v>
      </c>
      <c r="B162" s="31" t="n">
        <f aca="false">+B658</f>
        <v>797.86</v>
      </c>
      <c r="C162" s="31" t="n">
        <f aca="false">+C658</f>
        <v>34.77</v>
      </c>
      <c r="D162" s="31" t="n">
        <f aca="false">+D658</f>
        <v>851.2</v>
      </c>
      <c r="E162" s="31" t="n">
        <f aca="false">+E658</f>
        <v>25.52</v>
      </c>
      <c r="F162" s="31" t="n">
        <f aca="false">+F658</f>
        <v>65.42</v>
      </c>
      <c r="G162" s="31" t="n">
        <f aca="false">+G658</f>
        <v>25.11</v>
      </c>
      <c r="H162" s="31" t="n">
        <f aca="false">+H658</f>
        <v>621.55</v>
      </c>
      <c r="I162" s="31" t="n">
        <f aca="false">+I658</f>
        <v>372.84</v>
      </c>
      <c r="J162" s="31" t="n">
        <f aca="false">+J658</f>
        <v>1649.2</v>
      </c>
      <c r="K162" s="31" t="n">
        <f aca="false">+K658</f>
        <v>2748.94</v>
      </c>
      <c r="L162" s="31" t="n">
        <f aca="false">+L658</f>
        <v>2219.23</v>
      </c>
      <c r="M162" s="31" t="n">
        <f aca="false">+M658</f>
        <v>3249.74</v>
      </c>
      <c r="N162" s="31" t="n">
        <f aca="false">+N658</f>
        <v>7966.82</v>
      </c>
      <c r="O162" s="31" t="n">
        <f aca="false">+O658</f>
        <v>6028.76</v>
      </c>
      <c r="P162" s="31" t="n">
        <f aca="false">+P658</f>
        <v>4349.39</v>
      </c>
      <c r="Q162" s="31" t="n">
        <f aca="false">+Q658</f>
        <v>4513.7</v>
      </c>
      <c r="R162" s="31" t="n">
        <f aca="false">+R658</f>
        <v>880.836</v>
      </c>
      <c r="S162" s="31" t="n">
        <f aca="false">+S658</f>
        <v>5189.205</v>
      </c>
      <c r="T162" s="31" t="n">
        <f aca="false">+T658</f>
        <v>1795.272</v>
      </c>
      <c r="U162" s="31" t="n">
        <f aca="false">+U658</f>
        <v>325.558</v>
      </c>
      <c r="V162" s="31" t="n">
        <f aca="false">+V658</f>
        <v>139.424</v>
      </c>
      <c r="W162" s="31" t="n">
        <f aca="false">+W658</f>
        <v>116.906</v>
      </c>
      <c r="X162" s="31" t="n">
        <f aca="false">+X658</f>
        <v>7512.879</v>
      </c>
      <c r="Y162" s="31" t="n">
        <f aca="false">+Y658</f>
        <v>15931.314</v>
      </c>
      <c r="Z162" s="31" t="n">
        <f aca="false">+Z658</f>
        <v>9119.748</v>
      </c>
      <c r="AA162" s="31" t="n">
        <f aca="false">+AA658</f>
        <v>10044.044</v>
      </c>
      <c r="AB162" s="31" t="n">
        <f aca="false">+AB658</f>
        <v>13735.9</v>
      </c>
      <c r="AC162" s="31" t="n">
        <f aca="false">+AC658</f>
        <v>13224.7</v>
      </c>
      <c r="AD162" s="31" t="n">
        <f aca="false">+AD658</f>
        <v>8229.5</v>
      </c>
      <c r="AE162" s="31" t="n">
        <f aca="false">+AE658</f>
        <v>10469.6</v>
      </c>
      <c r="AF162" s="31" t="n">
        <f aca="false">+AF658</f>
        <v>5012.9</v>
      </c>
      <c r="AG162" s="31" t="n">
        <f aca="false">+AG658</f>
        <v>34381.8</v>
      </c>
      <c r="AH162" s="31" t="n">
        <f aca="false">+AH658</f>
        <v>27059.5</v>
      </c>
      <c r="AI162" s="31" t="n">
        <f aca="false">+AI658</f>
        <v>29770.5</v>
      </c>
      <c r="AJ162" s="31" t="n">
        <f aca="false">+AJ658</f>
        <v>36417.633568351</v>
      </c>
      <c r="AK162" s="31" t="n">
        <f aca="false">+AK658</f>
        <v>56156.0249938045</v>
      </c>
      <c r="AL162" s="31" t="n">
        <f aca="false">+AL658</f>
        <v>78664.2170592194</v>
      </c>
      <c r="AM162" s="30"/>
      <c r="AN162" s="30"/>
      <c r="AO162" s="30"/>
      <c r="AP162" s="30"/>
      <c r="AQ162" s="30"/>
      <c r="AR162" s="30"/>
      <c r="AS162" s="30"/>
      <c r="AT162" s="30"/>
      <c r="AU162" s="30"/>
      <c r="AV162" s="30"/>
      <c r="AW162" s="30"/>
      <c r="AX162" s="30"/>
      <c r="AY162" s="30"/>
    </row>
    <row r="163" customFormat="false" ht="15" hidden="false" customHeight="true" outlineLevel="0" collapsed="false">
      <c r="A163" s="29" t="s">
        <v>374</v>
      </c>
      <c r="B163" s="31" t="n">
        <f aca="false">+B659</f>
        <v>1415.74</v>
      </c>
      <c r="C163" s="31" t="n">
        <f aca="false">+C659</f>
        <v>1530.4</v>
      </c>
      <c r="D163" s="31" t="n">
        <f aca="false">+D659</f>
        <v>4127.53</v>
      </c>
      <c r="E163" s="31" t="n">
        <f aca="false">+E659</f>
        <v>5130.49</v>
      </c>
      <c r="F163" s="31" t="n">
        <f aca="false">+F659</f>
        <v>2761.44</v>
      </c>
      <c r="G163" s="31" t="n">
        <f aca="false">+G659</f>
        <v>2875.71</v>
      </c>
      <c r="H163" s="31" t="n">
        <f aca="false">+H659</f>
        <v>1956.27</v>
      </c>
      <c r="I163" s="31" t="n">
        <f aca="false">+I659</f>
        <v>2129.77</v>
      </c>
      <c r="J163" s="31" t="n">
        <f aca="false">+J659</f>
        <v>2128.54</v>
      </c>
      <c r="K163" s="31" t="n">
        <f aca="false">+K659</f>
        <v>1920.96</v>
      </c>
      <c r="L163" s="31" t="n">
        <f aca="false">+L659</f>
        <v>1899.41</v>
      </c>
      <c r="M163" s="31" t="n">
        <f aca="false">+M659</f>
        <v>2261.33</v>
      </c>
      <c r="N163" s="31" t="n">
        <f aca="false">+N659</f>
        <v>3337.34</v>
      </c>
      <c r="O163" s="31" t="n">
        <f aca="false">+O659</f>
        <v>3026.39</v>
      </c>
      <c r="P163" s="31" t="n">
        <f aca="false">+P659</f>
        <v>6695.79</v>
      </c>
      <c r="Q163" s="31" t="n">
        <f aca="false">+Q659</f>
        <v>8241.37</v>
      </c>
      <c r="R163" s="31" t="n">
        <f aca="false">+R659</f>
        <v>7895.435</v>
      </c>
      <c r="S163" s="31" t="n">
        <f aca="false">+S659</f>
        <v>9604.623</v>
      </c>
      <c r="T163" s="31" t="n">
        <f aca="false">+T659</f>
        <v>7936.014</v>
      </c>
      <c r="U163" s="31" t="n">
        <f aca="false">+U659</f>
        <v>7270.906</v>
      </c>
      <c r="V163" s="31" t="n">
        <f aca="false">+V659</f>
        <v>8909.804</v>
      </c>
      <c r="W163" s="31" t="n">
        <f aca="false">+W659</f>
        <v>8007.11</v>
      </c>
      <c r="X163" s="31" t="n">
        <f aca="false">+X659</f>
        <v>5688.217</v>
      </c>
      <c r="Y163" s="31" t="n">
        <f aca="false">+Y659</f>
        <v>706.005</v>
      </c>
      <c r="Z163" s="31" t="n">
        <f aca="false">+Z659</f>
        <v>34.646</v>
      </c>
      <c r="AA163" s="31" t="n">
        <f aca="false">+AA659</f>
        <v>241.016</v>
      </c>
      <c r="AB163" s="31" t="n">
        <f aca="false">+AB659</f>
        <v>224.6</v>
      </c>
      <c r="AC163" s="31" t="n">
        <f aca="false">+AC659</f>
        <v>230</v>
      </c>
      <c r="AD163" s="31" t="n">
        <f aca="false">+AD659</f>
        <v>206.2</v>
      </c>
      <c r="AE163" s="31" t="n">
        <f aca="false">+AE659</f>
        <v>0</v>
      </c>
      <c r="AF163" s="31" t="n">
        <f aca="false">+AF659</f>
        <v>0</v>
      </c>
      <c r="AG163" s="31" t="n">
        <f aca="false">+AG659</f>
        <v>950</v>
      </c>
      <c r="AH163" s="31" t="n">
        <f aca="false">+AH659</f>
        <v>0</v>
      </c>
      <c r="AI163" s="31" t="n">
        <f aca="false">+AI659</f>
        <v>0</v>
      </c>
      <c r="AJ163" s="31" t="n">
        <f aca="false">+AJ659</f>
        <v>0</v>
      </c>
      <c r="AK163" s="31" t="n">
        <f aca="false">+AK659</f>
        <v>0</v>
      </c>
      <c r="AL163" s="31" t="n">
        <f aca="false">+AL659</f>
        <v>0</v>
      </c>
      <c r="AM163" s="30"/>
      <c r="AN163" s="30"/>
      <c r="AO163" s="30"/>
      <c r="AP163" s="30"/>
      <c r="AQ163" s="30"/>
      <c r="AR163" s="30"/>
      <c r="AS163" s="30"/>
      <c r="AT163" s="30"/>
      <c r="AU163" s="30"/>
      <c r="AV163" s="30"/>
      <c r="AW163" s="30"/>
      <c r="AX163" s="30"/>
      <c r="AY163" s="30"/>
    </row>
    <row r="164" customFormat="false" ht="15" hidden="false" customHeight="true" outlineLevel="0" collapsed="false">
      <c r="A164" s="29" t="s">
        <v>375</v>
      </c>
      <c r="B164" s="31" t="n">
        <f aca="false">+B664</f>
        <v>0</v>
      </c>
      <c r="C164" s="31" t="n">
        <f aca="false">+C664</f>
        <v>0</v>
      </c>
      <c r="D164" s="31" t="n">
        <f aca="false">+D664</f>
        <v>0</v>
      </c>
      <c r="E164" s="31" t="n">
        <f aca="false">+E664</f>
        <v>0</v>
      </c>
      <c r="F164" s="31" t="n">
        <f aca="false">+F664</f>
        <v>0</v>
      </c>
      <c r="G164" s="31" t="n">
        <f aca="false">+G664</f>
        <v>0</v>
      </c>
      <c r="H164" s="31" t="n">
        <f aca="false">+H664</f>
        <v>0</v>
      </c>
      <c r="I164" s="31" t="n">
        <f aca="false">+I664</f>
        <v>0</v>
      </c>
      <c r="J164" s="31" t="n">
        <f aca="false">+J664</f>
        <v>0</v>
      </c>
      <c r="K164" s="31" t="n">
        <f aca="false">+K664</f>
        <v>0</v>
      </c>
      <c r="L164" s="31" t="n">
        <f aca="false">+L664</f>
        <v>0</v>
      </c>
      <c r="M164" s="31" t="n">
        <f aca="false">+M664</f>
        <v>0</v>
      </c>
      <c r="N164" s="31" t="n">
        <f aca="false">+N664</f>
        <v>0</v>
      </c>
      <c r="O164" s="31" t="n">
        <f aca="false">+O664</f>
        <v>0</v>
      </c>
      <c r="P164" s="31" t="n">
        <f aca="false">+P664</f>
        <v>0</v>
      </c>
      <c r="Q164" s="31" t="n">
        <f aca="false">+Q664</f>
        <v>0</v>
      </c>
      <c r="R164" s="31" t="n">
        <f aca="false">+R664</f>
        <v>0</v>
      </c>
      <c r="S164" s="31" t="n">
        <f aca="false">+S664</f>
        <v>0</v>
      </c>
      <c r="T164" s="31" t="n">
        <f aca="false">+T664</f>
        <v>0</v>
      </c>
      <c r="U164" s="31" t="n">
        <f aca="false">+U664</f>
        <v>833.668</v>
      </c>
      <c r="V164" s="31" t="n">
        <f aca="false">+V664</f>
        <v>761.775</v>
      </c>
      <c r="W164" s="31" t="n">
        <f aca="false">+W664</f>
        <v>1709.45</v>
      </c>
      <c r="X164" s="31" t="n">
        <f aca="false">+X664</f>
        <v>3082.139</v>
      </c>
      <c r="Y164" s="31" t="n">
        <f aca="false">+Y664</f>
        <v>6412.547</v>
      </c>
      <c r="Z164" s="31" t="n">
        <f aca="false">+Z664</f>
        <v>5829.783</v>
      </c>
      <c r="AA164" s="31" t="n">
        <f aca="false">+AA664</f>
        <v>10957.903</v>
      </c>
      <c r="AB164" s="31" t="n">
        <f aca="false">+AB664</f>
        <v>16000.9</v>
      </c>
      <c r="AC164" s="31" t="n">
        <f aca="false">+AC664</f>
        <v>16602</v>
      </c>
      <c r="AD164" s="31" t="n">
        <f aca="false">+AD664</f>
        <v>16496.7</v>
      </c>
      <c r="AE164" s="31" t="n">
        <f aca="false">+AE664</f>
        <v>19905.8</v>
      </c>
      <c r="AF164" s="31" t="n">
        <f aca="false">+AF664</f>
        <v>15943.5</v>
      </c>
      <c r="AG164" s="31" t="n">
        <f aca="false">+AG664</f>
        <v>11205.1</v>
      </c>
      <c r="AH164" s="31" t="n">
        <f aca="false">+AH664</f>
        <v>7630.1</v>
      </c>
      <c r="AI164" s="31" t="n">
        <f aca="false">+AI664</f>
        <v>11288</v>
      </c>
      <c r="AJ164" s="31" t="n">
        <f aca="false">+AJ664</f>
        <v>13288</v>
      </c>
      <c r="AK164" s="31" t="n">
        <f aca="false">+AK664</f>
        <v>15288</v>
      </c>
      <c r="AL164" s="31" t="n">
        <f aca="false">+AL664</f>
        <v>17288</v>
      </c>
      <c r="AM164" s="30"/>
      <c r="AN164" s="30"/>
      <c r="AO164" s="30"/>
      <c r="AP164" s="30"/>
      <c r="AQ164" s="30"/>
      <c r="AR164" s="30"/>
      <c r="AS164" s="30"/>
      <c r="AT164" s="30"/>
      <c r="AU164" s="30"/>
      <c r="AV164" s="30"/>
      <c r="AW164" s="30"/>
      <c r="AX164" s="30"/>
      <c r="AY164" s="30"/>
    </row>
    <row r="165" customFormat="false" ht="15" hidden="false" customHeight="true" outlineLevel="0" collapsed="false">
      <c r="A165" s="51" t="s">
        <v>376</v>
      </c>
      <c r="B165" s="55" t="n">
        <f aca="false">+SUM(B160:B164)</f>
        <v>8008.94</v>
      </c>
      <c r="C165" s="55" t="n">
        <f aca="false">+SUM(C160:C164)</f>
        <v>7278.2</v>
      </c>
      <c r="D165" s="55" t="n">
        <f aca="false">+SUM(D160:D164)</f>
        <v>12791.43</v>
      </c>
      <c r="E165" s="55" t="n">
        <f aca="false">+SUM(E160:E164)</f>
        <v>16572.57</v>
      </c>
      <c r="F165" s="55" t="n">
        <f aca="false">+SUM(F160:F164)</f>
        <v>19869.13</v>
      </c>
      <c r="G165" s="55" t="n">
        <f aca="false">+SUM(G160:G164)</f>
        <v>18488.85</v>
      </c>
      <c r="H165" s="55" t="n">
        <f aca="false">+SUM(H160:H164)</f>
        <v>14461.04</v>
      </c>
      <c r="I165" s="55" t="n">
        <f aca="false">+SUM(I160:I164)</f>
        <v>14642.38</v>
      </c>
      <c r="J165" s="55" t="n">
        <f aca="false">+SUM(J160:J164)</f>
        <v>15634</v>
      </c>
      <c r="K165" s="55" t="n">
        <f aca="false">+SUM(K160:K164)</f>
        <v>15551.76</v>
      </c>
      <c r="L165" s="55" t="n">
        <f aca="false">+SUM(L160:L164)</f>
        <v>13404.7</v>
      </c>
      <c r="M165" s="55" t="n">
        <f aca="false">+SUM(M160:M164)</f>
        <v>14636.67</v>
      </c>
      <c r="N165" s="55" t="n">
        <f aca="false">+SUM(N160:N164)</f>
        <v>21572.63</v>
      </c>
      <c r="O165" s="55" t="n">
        <f aca="false">+SUM(O160:O164)</f>
        <v>22324.13</v>
      </c>
      <c r="P165" s="55" t="n">
        <f aca="false">+SUM(P160:P164)</f>
        <v>26977.14</v>
      </c>
      <c r="Q165" s="55" t="n">
        <f aca="false">+SUM(Q160:Q164)</f>
        <v>28752.56</v>
      </c>
      <c r="R165" s="55" t="n">
        <f aca="false">+SUM(R160:R164)</f>
        <v>31656.157</v>
      </c>
      <c r="S165" s="55" t="n">
        <f aca="false">+SUM(S160:S164)</f>
        <v>41396.843</v>
      </c>
      <c r="T165" s="55" t="n">
        <f aca="false">+SUM(T160:T164)</f>
        <v>43672.453</v>
      </c>
      <c r="U165" s="55" t="n">
        <f aca="false">+SUM(U160:U164)</f>
        <v>43038.863</v>
      </c>
      <c r="V165" s="55" t="n">
        <f aca="false">+SUM(V160:V164)</f>
        <v>42965.324</v>
      </c>
      <c r="W165" s="55" t="n">
        <f aca="false">+SUM(W160:W164)</f>
        <v>34710.602</v>
      </c>
      <c r="X165" s="55" t="n">
        <f aca="false">+SUM(X160:X164)</f>
        <v>42845.432</v>
      </c>
      <c r="Y165" s="55" t="n">
        <f aca="false">+SUM(Y160:Y164)</f>
        <v>51809.496</v>
      </c>
      <c r="Z165" s="55" t="n">
        <f aca="false">+SUM(Z160:Z164)</f>
        <v>48594.36</v>
      </c>
      <c r="AA165" s="55" t="n">
        <f aca="false">+SUM(AA160:AA164)</f>
        <v>48146.77</v>
      </c>
      <c r="AB165" s="55" t="n">
        <f aca="false">+SUM(AB160:AB164)</f>
        <v>81863.4</v>
      </c>
      <c r="AC165" s="55" t="n">
        <f aca="false">+SUM(AC160:AC164)</f>
        <v>54234.9</v>
      </c>
      <c r="AD165" s="55" t="n">
        <f aca="false">+SUM(AD160:AD164)</f>
        <v>74518.4</v>
      </c>
      <c r="AE165" s="55" t="n">
        <f aca="false">+SUM(AE160:AE164)</f>
        <v>82237.9</v>
      </c>
      <c r="AF165" s="55" t="n">
        <f aca="false">+SUM(AF160:AF164)</f>
        <v>89328.3</v>
      </c>
      <c r="AG165" s="55" t="n">
        <f aca="false">+SUM(AG160:AG164)</f>
        <v>114142.8</v>
      </c>
      <c r="AH165" s="55" t="n">
        <f aca="false">+SUM(AH160:AH164)</f>
        <v>93136</v>
      </c>
      <c r="AI165" s="55" t="n">
        <f aca="false">+SUM(AI160:AI164)</f>
        <v>105422.8</v>
      </c>
      <c r="AJ165" s="55" t="n">
        <f aca="false">+SUM(AJ160:AJ164)</f>
        <v>121356.003618368</v>
      </c>
      <c r="AK165" s="55" t="n">
        <f aca="false">+SUM(AK160:AK164)</f>
        <v>149282.914750313</v>
      </c>
      <c r="AL165" s="55" t="n">
        <f aca="false">+SUM(AL160:AL164)</f>
        <v>179646.802224243</v>
      </c>
      <c r="AM165" s="53"/>
      <c r="AN165" s="53"/>
      <c r="AO165" s="53"/>
      <c r="AP165" s="53"/>
      <c r="AQ165" s="53"/>
      <c r="AR165" s="53"/>
      <c r="AS165" s="53"/>
      <c r="AT165" s="53"/>
      <c r="AU165" s="53"/>
      <c r="AV165" s="53"/>
      <c r="AW165" s="53"/>
      <c r="AX165" s="53"/>
      <c r="AY165" s="53"/>
    </row>
    <row r="166" customFormat="false" ht="15" hidden="false" customHeight="true" outlineLevel="0" collapsed="false">
      <c r="A166" s="70" t="s">
        <v>377</v>
      </c>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c r="AT166" s="86"/>
      <c r="AU166" s="86"/>
      <c r="AV166" s="86"/>
      <c r="AW166" s="86"/>
      <c r="AX166" s="86"/>
      <c r="AY166" s="86"/>
    </row>
    <row r="167" customFormat="false" ht="15" hidden="false" customHeight="true" outlineLevel="0" collapsed="false">
      <c r="A167" s="29" t="s">
        <v>378</v>
      </c>
      <c r="B167" s="31" t="n">
        <f aca="false">+B667</f>
        <v>0</v>
      </c>
      <c r="C167" s="31" t="n">
        <f aca="false">+C667</f>
        <v>0</v>
      </c>
      <c r="D167" s="31" t="n">
        <f aca="false">+D667</f>
        <v>0</v>
      </c>
      <c r="E167" s="31" t="n">
        <f aca="false">+E667</f>
        <v>0</v>
      </c>
      <c r="F167" s="31" t="n">
        <f aca="false">+F667</f>
        <v>0</v>
      </c>
      <c r="G167" s="31" t="n">
        <f aca="false">+G667</f>
        <v>0</v>
      </c>
      <c r="H167" s="31" t="n">
        <f aca="false">+H667</f>
        <v>0</v>
      </c>
      <c r="I167" s="31" t="n">
        <f aca="false">+I667</f>
        <v>0</v>
      </c>
      <c r="J167" s="31" t="n">
        <f aca="false">+J667</f>
        <v>907.34</v>
      </c>
      <c r="K167" s="31" t="n">
        <f aca="false">+K667</f>
        <v>939.73</v>
      </c>
      <c r="L167" s="31" t="n">
        <f aca="false">+L667</f>
        <v>959.79</v>
      </c>
      <c r="M167" s="31" t="n">
        <f aca="false">+M667</f>
        <v>1407.15</v>
      </c>
      <c r="N167" s="31" t="n">
        <f aca="false">+N667</f>
        <v>2264.79</v>
      </c>
      <c r="O167" s="31" t="n">
        <f aca="false">+O667</f>
        <v>3539.72</v>
      </c>
      <c r="P167" s="31" t="n">
        <f aca="false">+P667</f>
        <v>4199.76</v>
      </c>
      <c r="Q167" s="31" t="n">
        <f aca="false">+Q667</f>
        <v>4425.5</v>
      </c>
      <c r="R167" s="31" t="n">
        <f aca="false">+R667</f>
        <v>6612.493</v>
      </c>
      <c r="S167" s="31" t="n">
        <f aca="false">+S667</f>
        <v>7691.259</v>
      </c>
      <c r="T167" s="31" t="n">
        <f aca="false">+T667</f>
        <v>5790.155</v>
      </c>
      <c r="U167" s="31" t="n">
        <f aca="false">+U667</f>
        <v>0</v>
      </c>
      <c r="V167" s="31" t="n">
        <f aca="false">+V667</f>
        <v>0</v>
      </c>
      <c r="W167" s="31" t="n">
        <f aca="false">+W667</f>
        <v>0</v>
      </c>
      <c r="X167" s="31" t="n">
        <f aca="false">+X667</f>
        <v>0</v>
      </c>
      <c r="Y167" s="31" t="n">
        <f aca="false">+Y667</f>
        <v>0</v>
      </c>
      <c r="Z167" s="31" t="n">
        <f aca="false">+Z667</f>
        <v>0</v>
      </c>
      <c r="AA167" s="31" t="n">
        <f aca="false">+AA667</f>
        <v>0</v>
      </c>
      <c r="AB167" s="31" t="n">
        <f aca="false">+AB667</f>
        <v>0</v>
      </c>
      <c r="AC167" s="31" t="n">
        <f aca="false">+AC667</f>
        <v>0</v>
      </c>
      <c r="AD167" s="31" t="n">
        <f aca="false">+AD667</f>
        <v>0</v>
      </c>
      <c r="AE167" s="31" t="n">
        <f aca="false">+AE667</f>
        <v>0</v>
      </c>
      <c r="AF167" s="31" t="n">
        <f aca="false">+AF667</f>
        <v>0</v>
      </c>
      <c r="AG167" s="31" t="n">
        <f aca="false">+AG667</f>
        <v>0</v>
      </c>
      <c r="AH167" s="31" t="n">
        <f aca="false">+AH667</f>
        <v>0</v>
      </c>
      <c r="AI167" s="31" t="n">
        <f aca="false">+AI667</f>
        <v>0</v>
      </c>
      <c r="AJ167" s="31" t="n">
        <f aca="false">+AJ667</f>
        <v>0</v>
      </c>
      <c r="AK167" s="31" t="n">
        <f aca="false">+AK667</f>
        <v>0</v>
      </c>
      <c r="AL167" s="31" t="n">
        <f aca="false">+AL667</f>
        <v>0</v>
      </c>
      <c r="AM167" s="30"/>
      <c r="AN167" s="30"/>
      <c r="AO167" s="30"/>
      <c r="AP167" s="30"/>
      <c r="AQ167" s="30"/>
      <c r="AR167" s="30"/>
      <c r="AS167" s="30"/>
      <c r="AT167" s="30"/>
      <c r="AU167" s="30"/>
      <c r="AV167" s="30"/>
      <c r="AW167" s="30"/>
      <c r="AX167" s="30"/>
      <c r="AY167" s="30"/>
    </row>
    <row r="168" customFormat="false" ht="15" hidden="false" customHeight="true" outlineLevel="0" collapsed="false">
      <c r="A168" s="29" t="s">
        <v>379</v>
      </c>
      <c r="B168" s="31" t="n">
        <f aca="false">+B668</f>
        <v>1525.27</v>
      </c>
      <c r="C168" s="31" t="n">
        <f aca="false">+C668</f>
        <v>1924.63</v>
      </c>
      <c r="D168" s="31" t="n">
        <f aca="false">+D668</f>
        <v>2535.43</v>
      </c>
      <c r="E168" s="31" t="n">
        <f aca="false">+E668</f>
        <v>3413.48</v>
      </c>
      <c r="F168" s="31" t="n">
        <f aca="false">+F668</f>
        <v>4241.81</v>
      </c>
      <c r="G168" s="31" t="n">
        <f aca="false">+G668</f>
        <v>3530.97</v>
      </c>
      <c r="H168" s="31" t="n">
        <f aca="false">+H668</f>
        <v>3088.59</v>
      </c>
      <c r="I168" s="31" t="n">
        <f aca="false">+I668</f>
        <v>3012.98</v>
      </c>
      <c r="J168" s="31" t="n">
        <f aca="false">+J668</f>
        <v>2942.57</v>
      </c>
      <c r="K168" s="31" t="n">
        <f aca="false">+K668</f>
        <v>3337.2</v>
      </c>
      <c r="L168" s="31" t="n">
        <f aca="false">+L668</f>
        <v>3174.01</v>
      </c>
      <c r="M168" s="31" t="n">
        <f aca="false">+M668</f>
        <v>4599.92</v>
      </c>
      <c r="N168" s="31" t="n">
        <f aca="false">+N668</f>
        <v>6354.1</v>
      </c>
      <c r="O168" s="31" t="n">
        <f aca="false">+O668</f>
        <v>6919.81</v>
      </c>
      <c r="P168" s="31" t="n">
        <f aca="false">+P668</f>
        <v>10137.12</v>
      </c>
      <c r="Q168" s="31" t="n">
        <f aca="false">+Q668</f>
        <v>12925.58</v>
      </c>
      <c r="R168" s="31" t="n">
        <f aca="false">+R668</f>
        <v>11100.42</v>
      </c>
      <c r="S168" s="31" t="n">
        <f aca="false">+S668</f>
        <v>15625.52</v>
      </c>
      <c r="T168" s="31" t="n">
        <f aca="false">+T668</f>
        <v>21283.898</v>
      </c>
      <c r="U168" s="31" t="n">
        <f aca="false">+U668</f>
        <v>27724.61</v>
      </c>
      <c r="V168" s="31" t="n">
        <f aca="false">+V668</f>
        <v>24853.685</v>
      </c>
      <c r="W168" s="31" t="n">
        <f aca="false">+W668</f>
        <v>22141.537</v>
      </c>
      <c r="X168" s="31" t="n">
        <f aca="false">+X668</f>
        <v>28283.187</v>
      </c>
      <c r="Y168" s="31" t="n">
        <f aca="false">+Y668</f>
        <v>25626.881</v>
      </c>
      <c r="Z168" s="31" t="n">
        <f aca="false">+Z668</f>
        <v>30521.823</v>
      </c>
      <c r="AA168" s="31" t="n">
        <f aca="false">+AA668</f>
        <v>46586.162</v>
      </c>
      <c r="AB168" s="31" t="n">
        <f aca="false">+AB668</f>
        <v>50189.3</v>
      </c>
      <c r="AC168" s="31" t="n">
        <f aca="false">+AC668</f>
        <v>26239.1</v>
      </c>
      <c r="AD168" s="31" t="n">
        <f aca="false">+AD668</f>
        <v>51646.9</v>
      </c>
      <c r="AE168" s="31" t="n">
        <f aca="false">+AE668</f>
        <v>68752.3</v>
      </c>
      <c r="AF168" s="31" t="n">
        <f aca="false">+AF668</f>
        <v>71751.2</v>
      </c>
      <c r="AG168" s="31" t="n">
        <f aca="false">+AG668</f>
        <v>63051.9</v>
      </c>
      <c r="AH168" s="31" t="n">
        <f aca="false">+AH668</f>
        <v>73046.9</v>
      </c>
      <c r="AI168" s="31" t="n">
        <f aca="false">+AI668</f>
        <v>83292.6</v>
      </c>
      <c r="AJ168" s="31" t="n">
        <f aca="false">+AJ668</f>
        <v>86768.6305070533</v>
      </c>
      <c r="AK168" s="31" t="n">
        <f aca="false">+AK668</f>
        <v>93384.3700112904</v>
      </c>
      <c r="AL168" s="31" t="n">
        <f aca="false">+AL668</f>
        <v>100468.641683764</v>
      </c>
      <c r="AM168" s="30"/>
      <c r="AN168" s="30"/>
      <c r="AO168" s="30"/>
      <c r="AP168" s="30"/>
      <c r="AQ168" s="30"/>
      <c r="AR168" s="30"/>
      <c r="AS168" s="30"/>
      <c r="AT168" s="30"/>
      <c r="AU168" s="30"/>
      <c r="AV168" s="30"/>
      <c r="AW168" s="30"/>
      <c r="AX168" s="30"/>
      <c r="AY168" s="30"/>
    </row>
    <row r="169" customFormat="false" ht="15" hidden="false" customHeight="true" outlineLevel="0" collapsed="false">
      <c r="A169" s="29" t="s">
        <v>380</v>
      </c>
      <c r="B169" s="31" t="n">
        <f aca="false">+B669</f>
        <v>701.45</v>
      </c>
      <c r="C169" s="31" t="n">
        <f aca="false">+C669</f>
        <v>635.67</v>
      </c>
      <c r="D169" s="31" t="n">
        <f aca="false">+D669</f>
        <v>886.58</v>
      </c>
      <c r="E169" s="31" t="n">
        <f aca="false">+E669</f>
        <v>1278.91</v>
      </c>
      <c r="F169" s="31" t="n">
        <f aca="false">+F669</f>
        <v>1141.49</v>
      </c>
      <c r="G169" s="31" t="n">
        <f aca="false">+G669</f>
        <v>752.77</v>
      </c>
      <c r="H169" s="31" t="n">
        <f aca="false">+H669</f>
        <v>561.25</v>
      </c>
      <c r="I169" s="31" t="n">
        <f aca="false">+I669</f>
        <v>624.05</v>
      </c>
      <c r="J169" s="31" t="n">
        <f aca="false">+J669</f>
        <v>820.89</v>
      </c>
      <c r="K169" s="31" t="n">
        <f aca="false">+K669</f>
        <v>661.88</v>
      </c>
      <c r="L169" s="31" t="n">
        <f aca="false">+L669</f>
        <v>794.85</v>
      </c>
      <c r="M169" s="31" t="n">
        <f aca="false">+M669</f>
        <v>813.94</v>
      </c>
      <c r="N169" s="31" t="n">
        <f aca="false">+N669</f>
        <v>992.98</v>
      </c>
      <c r="O169" s="31" t="n">
        <f aca="false">+O669</f>
        <v>1009.42</v>
      </c>
      <c r="P169" s="31" t="n">
        <f aca="false">+P669</f>
        <v>2179.37</v>
      </c>
      <c r="Q169" s="31" t="n">
        <f aca="false">+Q669</f>
        <v>1916.01</v>
      </c>
      <c r="R169" s="31" t="n">
        <f aca="false">+R669</f>
        <v>975.728</v>
      </c>
      <c r="S169" s="31" t="n">
        <f aca="false">+S669</f>
        <v>2603.878</v>
      </c>
      <c r="T169" s="31" t="n">
        <f aca="false">+T669</f>
        <v>3305.424</v>
      </c>
      <c r="U169" s="31" t="n">
        <f aca="false">+U669</f>
        <v>8458.94</v>
      </c>
      <c r="V169" s="31" t="n">
        <f aca="false">+V669</f>
        <v>8844.552</v>
      </c>
      <c r="W169" s="31" t="n">
        <f aca="false">+W669</f>
        <v>8905.059</v>
      </c>
      <c r="X169" s="31" t="n">
        <f aca="false">+X669</f>
        <v>11677.632</v>
      </c>
      <c r="Y169" s="31" t="n">
        <f aca="false">+Y669</f>
        <v>15445.005</v>
      </c>
      <c r="Z169" s="31" t="n">
        <f aca="false">+Z669</f>
        <v>16459.866</v>
      </c>
      <c r="AA169" s="31" t="n">
        <f aca="false">+AA669</f>
        <v>23855.015</v>
      </c>
      <c r="AB169" s="31" t="n">
        <f aca="false">+AB669</f>
        <v>26333</v>
      </c>
      <c r="AC169" s="31" t="n">
        <f aca="false">+AC669</f>
        <v>18226.7</v>
      </c>
      <c r="AD169" s="31" t="n">
        <f aca="false">+AD669</f>
        <v>13609.5</v>
      </c>
      <c r="AE169" s="31" t="n">
        <f aca="false">+AE669</f>
        <v>15329.6</v>
      </c>
      <c r="AF169" s="31" t="n">
        <f aca="false">+AF669</f>
        <v>19507.8</v>
      </c>
      <c r="AG169" s="31" t="n">
        <f aca="false">+AG669</f>
        <v>39609.7</v>
      </c>
      <c r="AH169" s="31" t="n">
        <f aca="false">+AH669</f>
        <v>27531.9</v>
      </c>
      <c r="AI169" s="31" t="n">
        <f aca="false">+AI669</f>
        <v>29994.8</v>
      </c>
      <c r="AJ169" s="31" t="n">
        <f aca="false">+AJ669</f>
        <v>32994.28</v>
      </c>
      <c r="AK169" s="31" t="n">
        <f aca="false">+AK669</f>
        <v>36293.708</v>
      </c>
      <c r="AL169" s="31" t="n">
        <f aca="false">+AL669</f>
        <v>39923.0788</v>
      </c>
      <c r="AM169" s="30"/>
      <c r="AN169" s="30"/>
      <c r="AO169" s="30"/>
      <c r="AP169" s="30"/>
      <c r="AQ169" s="30"/>
      <c r="AR169" s="30"/>
      <c r="AS169" s="30"/>
      <c r="AT169" s="30"/>
      <c r="AU169" s="30"/>
      <c r="AV169" s="30"/>
      <c r="AW169" s="30"/>
      <c r="AX169" s="30"/>
      <c r="AY169" s="30"/>
    </row>
    <row r="170" customFormat="false" ht="15" hidden="false" customHeight="true" outlineLevel="0" collapsed="false">
      <c r="A170" s="29" t="s">
        <v>381</v>
      </c>
      <c r="B170" s="31" t="n">
        <f aca="false">+B671+B672+B673</f>
        <v>96.28</v>
      </c>
      <c r="C170" s="31" t="n">
        <f aca="false">+C671+C672+C673</f>
        <v>254.49</v>
      </c>
      <c r="D170" s="31" t="n">
        <f aca="false">+D671+D672+D673</f>
        <v>369.04</v>
      </c>
      <c r="E170" s="31" t="n">
        <f aca="false">+E671+E672+E673</f>
        <v>596.29</v>
      </c>
      <c r="F170" s="31" t="n">
        <f aca="false">+F671+F672+F673</f>
        <v>813.68</v>
      </c>
      <c r="G170" s="31" t="n">
        <f aca="false">+G671+G672+G673</f>
        <v>290.62</v>
      </c>
      <c r="H170" s="31" t="n">
        <f aca="false">+H671+H672+H673</f>
        <v>320.56</v>
      </c>
      <c r="I170" s="31" t="n">
        <f aca="false">+I671+I672+I673</f>
        <v>675.93</v>
      </c>
      <c r="J170" s="31" t="n">
        <f aca="false">+J671+J672+J673</f>
        <v>740.35</v>
      </c>
      <c r="K170" s="31" t="n">
        <f aca="false">+K671+K672+K673</f>
        <v>788.2</v>
      </c>
      <c r="L170" s="31" t="n">
        <f aca="false">+L671+L672+L673</f>
        <v>995.12</v>
      </c>
      <c r="M170" s="31" t="n">
        <f aca="false">+M671+M672+M673</f>
        <v>1504.36</v>
      </c>
      <c r="N170" s="31" t="n">
        <f aca="false">+N671+N672+N673</f>
        <v>2044.8</v>
      </c>
      <c r="O170" s="31" t="n">
        <f aca="false">+O671+O672+O673</f>
        <v>2616.21</v>
      </c>
      <c r="P170" s="31" t="n">
        <f aca="false">+P671+P672+P673</f>
        <v>1042.3</v>
      </c>
      <c r="Q170" s="31" t="n">
        <f aca="false">+Q671+Q672+Q673</f>
        <v>3452.31</v>
      </c>
      <c r="R170" s="31" t="n">
        <f aca="false">+R671+R672+R673</f>
        <v>2680.817</v>
      </c>
      <c r="S170" s="31" t="n">
        <f aca="false">+S671+S672+S673</f>
        <v>3686.915</v>
      </c>
      <c r="T170" s="31" t="n">
        <f aca="false">+T671+T672+T673</f>
        <v>4903.263</v>
      </c>
      <c r="U170" s="31" t="n">
        <f aca="false">+U671+U672+U673</f>
        <v>4203.744</v>
      </c>
      <c r="V170" s="31" t="n">
        <f aca="false">+V671+V672+V673</f>
        <v>3086.833</v>
      </c>
      <c r="W170" s="31" t="n">
        <f aca="false">+W671+W672+W673</f>
        <v>881.267</v>
      </c>
      <c r="X170" s="31" t="n">
        <f aca="false">+X671+X672+X673</f>
        <v>2560.46</v>
      </c>
      <c r="Y170" s="31" t="n">
        <f aca="false">+Y671+Y672+Y673</f>
        <v>1890.514</v>
      </c>
      <c r="Z170" s="31" t="n">
        <f aca="false">+Z671+Z672+Z673</f>
        <v>4843.808</v>
      </c>
      <c r="AA170" s="31" t="n">
        <f aca="false">+AA671+AA672+AA673</f>
        <v>6162.343</v>
      </c>
      <c r="AB170" s="31" t="n">
        <f aca="false">+AB671+AB672+AB673</f>
        <v>8027.7</v>
      </c>
      <c r="AC170" s="31" t="n">
        <f aca="false">+AC671+AC672+AC673</f>
        <v>6248.5</v>
      </c>
      <c r="AD170" s="31" t="n">
        <f aca="false">+AD671+AD672+AD673</f>
        <v>4649.6</v>
      </c>
      <c r="AE170" s="31" t="n">
        <f aca="false">+AE671+AE672+AE673</f>
        <v>4702.5</v>
      </c>
      <c r="AF170" s="31" t="n">
        <f aca="false">+AF671+AF672+AF673</f>
        <v>5193.2</v>
      </c>
      <c r="AG170" s="31" t="n">
        <f aca="false">+AG671+AG672+AG673</f>
        <v>6506.8</v>
      </c>
      <c r="AH170" s="31" t="n">
        <f aca="false">+AH671+AH672+AH673</f>
        <v>8251.5</v>
      </c>
      <c r="AI170" s="31" t="n">
        <f aca="false">+AI671+AI672+AI673</f>
        <v>13503.4</v>
      </c>
      <c r="AJ170" s="31" t="n">
        <f aca="false">+AJ671+AJ672+AJ673</f>
        <v>14178.57</v>
      </c>
      <c r="AK170" s="31" t="n">
        <f aca="false">+AK671+AK672+AK673</f>
        <v>14887.4985</v>
      </c>
      <c r="AL170" s="31" t="n">
        <f aca="false">+AL671+AL672+AL673</f>
        <v>15631.873425</v>
      </c>
      <c r="AM170" s="30"/>
      <c r="AN170" s="30"/>
      <c r="AO170" s="30"/>
      <c r="AP170" s="30"/>
      <c r="AQ170" s="30"/>
      <c r="AR170" s="30"/>
      <c r="AS170" s="30"/>
      <c r="AT170" s="30"/>
      <c r="AU170" s="30"/>
      <c r="AV170" s="30"/>
      <c r="AW170" s="30"/>
      <c r="AX170" s="30"/>
      <c r="AY170" s="30"/>
    </row>
    <row r="171" customFormat="false" ht="15" hidden="false" customHeight="true" outlineLevel="0" collapsed="false">
      <c r="A171" s="51" t="s">
        <v>382</v>
      </c>
      <c r="B171" s="55" t="n">
        <f aca="false">+SUM(B167:B170)</f>
        <v>2323</v>
      </c>
      <c r="C171" s="55" t="n">
        <f aca="false">+SUM(C167:C170)</f>
        <v>2814.79</v>
      </c>
      <c r="D171" s="55" t="n">
        <f aca="false">+SUM(D167:D170)</f>
        <v>3791.05</v>
      </c>
      <c r="E171" s="55" t="n">
        <f aca="false">+SUM(E167:E170)</f>
        <v>5288.68</v>
      </c>
      <c r="F171" s="55" t="n">
        <f aca="false">+SUM(F167:F170)</f>
        <v>6196.98</v>
      </c>
      <c r="G171" s="55" t="n">
        <f aca="false">+SUM(G167:G170)</f>
        <v>4574.36</v>
      </c>
      <c r="H171" s="55" t="n">
        <f aca="false">+SUM(H167:H170)</f>
        <v>3970.4</v>
      </c>
      <c r="I171" s="55" t="n">
        <f aca="false">+SUM(I167:I170)</f>
        <v>4312.96</v>
      </c>
      <c r="J171" s="55" t="n">
        <f aca="false">+SUM(J167:J170)</f>
        <v>5411.15</v>
      </c>
      <c r="K171" s="55" t="n">
        <f aca="false">+SUM(K167:K170)</f>
        <v>5727.01</v>
      </c>
      <c r="L171" s="55" t="n">
        <f aca="false">+SUM(L167:L170)</f>
        <v>5923.77</v>
      </c>
      <c r="M171" s="55" t="n">
        <f aca="false">+SUM(M167:M170)</f>
        <v>8325.37</v>
      </c>
      <c r="N171" s="55" t="n">
        <f aca="false">+SUM(N167:N170)</f>
        <v>11656.67</v>
      </c>
      <c r="O171" s="55" t="n">
        <f aca="false">+SUM(O167:O170)</f>
        <v>14085.16</v>
      </c>
      <c r="P171" s="55" t="n">
        <f aca="false">+SUM(P167:P170)</f>
        <v>17558.55</v>
      </c>
      <c r="Q171" s="55" t="n">
        <f aca="false">+SUM(Q167:Q170)</f>
        <v>22719.4</v>
      </c>
      <c r="R171" s="55" t="n">
        <f aca="false">+SUM(R167:R170)</f>
        <v>21369.458</v>
      </c>
      <c r="S171" s="55" t="n">
        <f aca="false">+SUM(S167:S170)</f>
        <v>29607.572</v>
      </c>
      <c r="T171" s="55" t="n">
        <f aca="false">+SUM(T167:T170)</f>
        <v>35282.74</v>
      </c>
      <c r="U171" s="55" t="n">
        <f aca="false">+SUM(U167:U170)</f>
        <v>40387.294</v>
      </c>
      <c r="V171" s="55" t="n">
        <f aca="false">+SUM(V167:V170)</f>
        <v>36785.07</v>
      </c>
      <c r="W171" s="55" t="n">
        <f aca="false">+SUM(W167:W170)</f>
        <v>31927.863</v>
      </c>
      <c r="X171" s="55" t="n">
        <f aca="false">+SUM(X167:X170)</f>
        <v>42521.279</v>
      </c>
      <c r="Y171" s="55" t="n">
        <f aca="false">+SUM(Y167:Y170)</f>
        <v>42962.4</v>
      </c>
      <c r="Z171" s="55" t="n">
        <f aca="false">+SUM(Z167:Z170)</f>
        <v>51825.497</v>
      </c>
      <c r="AA171" s="55" t="n">
        <f aca="false">+SUM(AA167:AA170)</f>
        <v>76603.52</v>
      </c>
      <c r="AB171" s="55" t="n">
        <f aca="false">+SUM(AB167:AB170)</f>
        <v>84550</v>
      </c>
      <c r="AC171" s="55" t="n">
        <f aca="false">+SUM(AC167:AC170)</f>
        <v>50714.3</v>
      </c>
      <c r="AD171" s="55" t="n">
        <f aca="false">+SUM(AD167:AD170)</f>
        <v>69906</v>
      </c>
      <c r="AE171" s="55" t="n">
        <f aca="false">+SUM(AE167:AE170)</f>
        <v>88784.4</v>
      </c>
      <c r="AF171" s="55" t="n">
        <f aca="false">+SUM(AF167:AF170)</f>
        <v>96452.2</v>
      </c>
      <c r="AG171" s="55" t="n">
        <f aca="false">+SUM(AG167:AG170)</f>
        <v>109168.4</v>
      </c>
      <c r="AH171" s="55" t="n">
        <f aca="false">+SUM(AH167:AH170)</f>
        <v>108830.3</v>
      </c>
      <c r="AI171" s="55" t="n">
        <f aca="false">+SUM(AI167:AI170)</f>
        <v>126790.8</v>
      </c>
      <c r="AJ171" s="55" t="n">
        <f aca="false">+SUM(AJ167:AJ170)</f>
        <v>133941.480507053</v>
      </c>
      <c r="AK171" s="55" t="n">
        <f aca="false">+SUM(AK167:AK170)</f>
        <v>144565.57651129</v>
      </c>
      <c r="AL171" s="55" t="n">
        <f aca="false">+SUM(AL167:AL170)</f>
        <v>156023.593908764</v>
      </c>
      <c r="AM171" s="53"/>
      <c r="AN171" s="53"/>
      <c r="AO171" s="53"/>
      <c r="AP171" s="53"/>
      <c r="AQ171" s="53"/>
      <c r="AR171" s="53"/>
      <c r="AS171" s="53"/>
      <c r="AT171" s="53"/>
      <c r="AU171" s="53"/>
      <c r="AV171" s="53"/>
      <c r="AW171" s="53"/>
      <c r="AX171" s="53"/>
      <c r="AY171" s="53"/>
    </row>
    <row r="172" customFormat="false" ht="15" hidden="false" customHeight="true" outlineLevel="0" collapsed="false">
      <c r="A172" s="51" t="s">
        <v>383</v>
      </c>
      <c r="B172" s="55" t="n">
        <f aca="false">+B165-B171</f>
        <v>5685.94</v>
      </c>
      <c r="C172" s="55" t="n">
        <f aca="false">+C165-C171</f>
        <v>4463.41</v>
      </c>
      <c r="D172" s="55" t="n">
        <f aca="false">+D165-D171</f>
        <v>9000.38</v>
      </c>
      <c r="E172" s="55" t="n">
        <f aca="false">+E165-E171</f>
        <v>11283.89</v>
      </c>
      <c r="F172" s="55" t="n">
        <f aca="false">+F165-F171</f>
        <v>13672.15</v>
      </c>
      <c r="G172" s="55" t="n">
        <f aca="false">+G165-G171</f>
        <v>13914.49</v>
      </c>
      <c r="H172" s="55" t="n">
        <f aca="false">+H165-H171</f>
        <v>10490.64</v>
      </c>
      <c r="I172" s="55" t="n">
        <f aca="false">+I165-I171</f>
        <v>10329.42</v>
      </c>
      <c r="J172" s="55" t="n">
        <f aca="false">+J165-J171</f>
        <v>10222.85</v>
      </c>
      <c r="K172" s="55" t="n">
        <f aca="false">+K165-K171</f>
        <v>9824.75</v>
      </c>
      <c r="L172" s="55" t="n">
        <f aca="false">+L165-L171</f>
        <v>7480.93</v>
      </c>
      <c r="M172" s="55" t="n">
        <f aca="false">+M165-M171</f>
        <v>6311.3</v>
      </c>
      <c r="N172" s="55" t="n">
        <f aca="false">+N165-N171</f>
        <v>9915.96</v>
      </c>
      <c r="O172" s="55" t="n">
        <f aca="false">+O165-O171</f>
        <v>8238.97</v>
      </c>
      <c r="P172" s="55" t="n">
        <f aca="false">+P165-P171</f>
        <v>9418.59</v>
      </c>
      <c r="Q172" s="55" t="n">
        <f aca="false">+Q165-Q171</f>
        <v>6033.16</v>
      </c>
      <c r="R172" s="55" t="n">
        <f aca="false">+R165-R171</f>
        <v>10286.699</v>
      </c>
      <c r="S172" s="55" t="n">
        <f aca="false">+S165-S171</f>
        <v>11789.271</v>
      </c>
      <c r="T172" s="55" t="n">
        <f aca="false">+T165-T171</f>
        <v>8389.713</v>
      </c>
      <c r="U172" s="55" t="n">
        <f aca="false">+U165-U171</f>
        <v>2651.569</v>
      </c>
      <c r="V172" s="55" t="n">
        <f aca="false">+V165-V171</f>
        <v>6180.254</v>
      </c>
      <c r="W172" s="55" t="n">
        <f aca="false">+W165-W171</f>
        <v>2782.739</v>
      </c>
      <c r="X172" s="55" t="n">
        <f aca="false">+X165-X171</f>
        <v>324.152999999998</v>
      </c>
      <c r="Y172" s="55" t="n">
        <f aca="false">+Y165-Y171</f>
        <v>8847.096</v>
      </c>
      <c r="Z172" s="55" t="n">
        <f aca="false">+Z165-Z171</f>
        <v>-3231.13699999999</v>
      </c>
      <c r="AA172" s="55" t="n">
        <f aca="false">+AA165-AA171</f>
        <v>-28456.75</v>
      </c>
      <c r="AB172" s="55" t="n">
        <f aca="false">+AB165-AB171</f>
        <v>-2686.60000000001</v>
      </c>
      <c r="AC172" s="55" t="n">
        <f aca="false">+AC165-AC171</f>
        <v>3520.60000000001</v>
      </c>
      <c r="AD172" s="55" t="n">
        <f aca="false">+AD165-AD171</f>
        <v>4612.39999999999</v>
      </c>
      <c r="AE172" s="55" t="n">
        <f aca="false">+AE165-AE171</f>
        <v>-6546.5</v>
      </c>
      <c r="AF172" s="55" t="n">
        <f aca="false">+AF165-AF171</f>
        <v>-7123.89999999999</v>
      </c>
      <c r="AG172" s="55" t="n">
        <f aca="false">+AG165-AG171</f>
        <v>4974.39999999999</v>
      </c>
      <c r="AH172" s="55" t="n">
        <f aca="false">+AH165-AH171</f>
        <v>-15694.3</v>
      </c>
      <c r="AI172" s="55" t="n">
        <f aca="false">+AI165-AI171</f>
        <v>-21368</v>
      </c>
      <c r="AJ172" s="55" t="n">
        <f aca="false">+AJ165-AJ171</f>
        <v>-12585.4768886858</v>
      </c>
      <c r="AK172" s="55" t="n">
        <f aca="false">+AK165-AK171</f>
        <v>4717.33823902282</v>
      </c>
      <c r="AL172" s="55" t="n">
        <f aca="false">+AL165-AL171</f>
        <v>23623.2083154788</v>
      </c>
      <c r="AM172" s="53"/>
      <c r="AN172" s="53"/>
      <c r="AO172" s="53"/>
      <c r="AP172" s="53"/>
      <c r="AQ172" s="53"/>
      <c r="AR172" s="53"/>
      <c r="AS172" s="53"/>
      <c r="AT172" s="53"/>
      <c r="AU172" s="53"/>
      <c r="AV172" s="53"/>
      <c r="AW172" s="53"/>
      <c r="AX172" s="53"/>
      <c r="AY172" s="53"/>
    </row>
    <row r="173" customFormat="false" ht="15" hidden="false" customHeight="true" outlineLevel="0" collapsed="false">
      <c r="A173" s="47" t="s">
        <v>384</v>
      </c>
      <c r="B173" s="49" t="n">
        <f aca="false">+B676</f>
        <v>18.36</v>
      </c>
      <c r="C173" s="49" t="n">
        <f aca="false">+C676</f>
        <v>15.15</v>
      </c>
      <c r="D173" s="49" t="n">
        <f aca="false">+D676</f>
        <v>65.36</v>
      </c>
      <c r="E173" s="49" t="n">
        <f aca="false">+E676</f>
        <v>49.8</v>
      </c>
      <c r="F173" s="49" t="n">
        <f aca="false">+F676</f>
        <v>87.18</v>
      </c>
      <c r="G173" s="49" t="n">
        <f aca="false">+G676</f>
        <v>76.31</v>
      </c>
      <c r="H173" s="49" t="n">
        <f aca="false">+H676</f>
        <v>53.86</v>
      </c>
      <c r="I173" s="49" t="n">
        <f aca="false">+I676</f>
        <v>66.78</v>
      </c>
      <c r="J173" s="49" t="n">
        <f aca="false">+J676</f>
        <v>102.24</v>
      </c>
      <c r="K173" s="49" t="n">
        <f aca="false">+K676</f>
        <v>49.05</v>
      </c>
      <c r="L173" s="49" t="n">
        <f aca="false">+L676</f>
        <v>0</v>
      </c>
      <c r="M173" s="49" t="n">
        <f aca="false">+M676</f>
        <v>323.24</v>
      </c>
      <c r="N173" s="49" t="n">
        <f aca="false">+N676</f>
        <v>193.32</v>
      </c>
      <c r="O173" s="49" t="n">
        <f aca="false">+O676</f>
        <v>73.07</v>
      </c>
      <c r="P173" s="49" t="n">
        <f aca="false">+P676</f>
        <v>244.18</v>
      </c>
      <c r="Q173" s="49" t="n">
        <f aca="false">+Q676</f>
        <v>222.92</v>
      </c>
      <c r="R173" s="49" t="n">
        <f aca="false">+R676</f>
        <v>96.882</v>
      </c>
      <c r="S173" s="49" t="n">
        <f aca="false">+S676</f>
        <v>51.743</v>
      </c>
      <c r="T173" s="49" t="n">
        <f aca="false">+T676</f>
        <v>43.145</v>
      </c>
      <c r="U173" s="49" t="n">
        <f aca="false">+U676</f>
        <v>74.274</v>
      </c>
      <c r="V173" s="49" t="n">
        <f aca="false">+V676</f>
        <v>129.956</v>
      </c>
      <c r="W173" s="49" t="n">
        <f aca="false">+W676</f>
        <v>390.188</v>
      </c>
      <c r="X173" s="49" t="n">
        <f aca="false">+X676</f>
        <v>337.481</v>
      </c>
      <c r="Y173" s="49" t="n">
        <f aca="false">+Y676</f>
        <v>0</v>
      </c>
      <c r="Z173" s="49" t="n">
        <f aca="false">+Z676</f>
        <v>0</v>
      </c>
      <c r="AA173" s="49" t="n">
        <f aca="false">+AA676</f>
        <v>0</v>
      </c>
      <c r="AB173" s="49" t="n">
        <f aca="false">+AB676</f>
        <v>0</v>
      </c>
      <c r="AC173" s="49" t="n">
        <f aca="false">+AC676</f>
        <v>0</v>
      </c>
      <c r="AD173" s="49" t="n">
        <f aca="false">+AD676</f>
        <v>0</v>
      </c>
      <c r="AE173" s="49" t="n">
        <f aca="false">+AE676</f>
        <v>0</v>
      </c>
      <c r="AF173" s="49" t="n">
        <f aca="false">+AF676</f>
        <v>0</v>
      </c>
      <c r="AG173" s="49" t="n">
        <f aca="false">+AG676</f>
        <v>0</v>
      </c>
      <c r="AH173" s="49" t="n">
        <f aca="false">+AH676</f>
        <v>0</v>
      </c>
      <c r="AI173" s="49" t="n">
        <f aca="false">+AI676</f>
        <v>0</v>
      </c>
      <c r="AJ173" s="49" t="n">
        <f aca="false">+AJ676</f>
        <v>0</v>
      </c>
      <c r="AK173" s="49" t="n">
        <f aca="false">+AK676</f>
        <v>0</v>
      </c>
      <c r="AL173" s="49" t="n">
        <f aca="false">+AL676</f>
        <v>0</v>
      </c>
      <c r="AM173" s="36"/>
      <c r="AN173" s="36"/>
      <c r="AO173" s="36"/>
      <c r="AP173" s="36"/>
      <c r="AQ173" s="36"/>
      <c r="AR173" s="36"/>
      <c r="AS173" s="36"/>
      <c r="AT173" s="36"/>
      <c r="AU173" s="36"/>
      <c r="AV173" s="36"/>
      <c r="AW173" s="36"/>
      <c r="AX173" s="36"/>
      <c r="AY173" s="36"/>
    </row>
    <row r="174" customFormat="false" ht="15" hidden="false" customHeight="true" outlineLevel="0" collapsed="false">
      <c r="A174" s="64" t="s">
        <v>385</v>
      </c>
      <c r="B174" s="65" t="n">
        <f aca="false">+B173+B172+B157+B156+B155</f>
        <v>9249.42</v>
      </c>
      <c r="C174" s="65" t="n">
        <f aca="false">+C173+C172+C157+C156+C155</f>
        <v>10022.88</v>
      </c>
      <c r="D174" s="65" t="n">
        <f aca="false">+D173+D172+D157+D156+D155</f>
        <v>15650.76</v>
      </c>
      <c r="E174" s="65" t="n">
        <f aca="false">+E173+E172+E157+E156+E155</f>
        <v>19257.07</v>
      </c>
      <c r="F174" s="65" t="n">
        <f aca="false">+F173+F172+F157+F156+F155</f>
        <v>22741.26</v>
      </c>
      <c r="G174" s="65" t="n">
        <f aca="false">+G173+G172+G157+G156+G155</f>
        <v>23501.69</v>
      </c>
      <c r="H174" s="65" t="n">
        <f aca="false">+H173+H172+H157+H156+H155</f>
        <v>20716.72</v>
      </c>
      <c r="I174" s="65" t="n">
        <f aca="false">+I173+I172+I157+I156+I155</f>
        <v>21058.38</v>
      </c>
      <c r="J174" s="65" t="n">
        <f aca="false">+J173+J172+J157+J156+J155</f>
        <v>21117.68</v>
      </c>
      <c r="K174" s="65" t="n">
        <f aca="false">+K173+K172+K157+K156+K155</f>
        <v>21145.52</v>
      </c>
      <c r="L174" s="65" t="n">
        <f aca="false">+L173+L172+L157+L156+L155</f>
        <v>18455.07</v>
      </c>
      <c r="M174" s="65" t="n">
        <f aca="false">+M173+M172+M157+M156+M155</f>
        <v>17311.56</v>
      </c>
      <c r="N174" s="65" t="n">
        <f aca="false">+N173+N172+N157+N156+N155</f>
        <v>22191.19</v>
      </c>
      <c r="O174" s="65" t="n">
        <f aca="false">+O173+O172+O157+O156+O155</f>
        <v>22840.7</v>
      </c>
      <c r="P174" s="65" t="n">
        <f aca="false">+P173+P172+P157+P156+P155</f>
        <v>27318.95</v>
      </c>
      <c r="Q174" s="65" t="n">
        <f aca="false">+Q173+Q172+Q157+Q156+Q155</f>
        <v>32903.03</v>
      </c>
      <c r="R174" s="65" t="n">
        <f aca="false">+R173+R172+R157+R156+R155</f>
        <v>56993.209</v>
      </c>
      <c r="S174" s="65" t="n">
        <f aca="false">+S173+S172+S157+S156+S155</f>
        <v>63212.852</v>
      </c>
      <c r="T174" s="65" t="n">
        <f aca="false">+T173+T172+T157+T156+T155</f>
        <v>70650.405</v>
      </c>
      <c r="U174" s="65" t="n">
        <f aca="false">+U173+U172+U157+U156+U155</f>
        <v>78770.177</v>
      </c>
      <c r="V174" s="65" t="n">
        <f aca="false">+V173+V172+V157+V156+V155</f>
        <v>94191.586</v>
      </c>
      <c r="W174" s="65" t="n">
        <f aca="false">+W173+W172+W157+W156+W155</f>
        <v>96211.383</v>
      </c>
      <c r="X174" s="65" t="n">
        <f aca="false">+X173+X172+X157+X156+X155+X158</f>
        <v>90736.108</v>
      </c>
      <c r="Y174" s="65" t="n">
        <f aca="false">+Y173+Y172+Y157+Y156+Y155+Y158</f>
        <v>84775.138</v>
      </c>
      <c r="Z174" s="65" t="n">
        <f aca="false">+Z173+Z172+Z157+Z156+Z155+Z158</f>
        <v>86168.564</v>
      </c>
      <c r="AA174" s="65" t="n">
        <f aca="false">+AA173+AA172+AA157+AA156+AA155+AA158</f>
        <v>89257.302</v>
      </c>
      <c r="AB174" s="65" t="n">
        <f aca="false">+AB173+AB172+AB157+AB156+AB155+AB158</f>
        <v>97694</v>
      </c>
      <c r="AC174" s="65" t="n">
        <f aca="false">+AC173+AC172+AC157+AC156+AC155+AC158</f>
        <v>113181.8</v>
      </c>
      <c r="AD174" s="65" t="n">
        <f aca="false">+AD173+AD172+AD157+AD156+AD155+AD158</f>
        <v>114593.1</v>
      </c>
      <c r="AE174" s="65" t="n">
        <f aca="false">+AE173+AE172+AE157+AE156+AE155+AE158</f>
        <v>114553.4</v>
      </c>
      <c r="AF174" s="65" t="n">
        <f aca="false">+AF173+AF172+AF157+AF156+AF155+AF158</f>
        <v>129464.1</v>
      </c>
      <c r="AG174" s="65" t="n">
        <f aca="false">+AG173+AG172+AG157+AG156+AG155+AG158</f>
        <v>126949.1</v>
      </c>
      <c r="AH174" s="65" t="n">
        <f aca="false">+AH173+AH172+AH157+AH156+AH155+AH158</f>
        <v>146428</v>
      </c>
      <c r="AI174" s="65" t="n">
        <f aca="false">+AI173+AI172+AI157+AI156+AI155+AI158</f>
        <v>159145.8</v>
      </c>
      <c r="AJ174" s="65" t="n">
        <f aca="false">+AJ173+AJ172+AJ157+AJ156+AJ155+AJ158</f>
        <v>182741.152711314</v>
      </c>
      <c r="AK174" s="65" t="n">
        <f aca="false">+AK173+AK172+AK157+AK156+AK155+AK158</f>
        <v>206349.512189023</v>
      </c>
      <c r="AL174" s="65" t="n">
        <f aca="false">+AL173+AL172+AL157+AL156+AL155+AL158</f>
        <v>231369.023802979</v>
      </c>
      <c r="AM174" s="66"/>
      <c r="AN174" s="66"/>
      <c r="AO174" s="66"/>
      <c r="AP174" s="66"/>
      <c r="AQ174" s="66"/>
      <c r="AR174" s="66"/>
      <c r="AS174" s="66"/>
      <c r="AT174" s="66"/>
      <c r="AU174" s="66"/>
      <c r="AV174" s="66"/>
      <c r="AW174" s="66"/>
      <c r="AX174" s="66"/>
      <c r="AY174" s="66"/>
    </row>
    <row r="175" customFormat="false" ht="15" hidden="false" customHeight="true" outlineLevel="0" collapsed="false">
      <c r="A175" s="29"/>
      <c r="B175" s="59" t="n">
        <f aca="false">+B174-B145</f>
        <v>0.06999999999789</v>
      </c>
      <c r="C175" s="59" t="n">
        <f aca="false">+C174-C145</f>
        <v>-0.139999999999418</v>
      </c>
      <c r="D175" s="59" t="n">
        <f aca="false">+D174-D145</f>
        <v>0.0100000000020373</v>
      </c>
      <c r="E175" s="59" t="n">
        <f aca="false">+E174-E145</f>
        <v>-0.0100000000020373</v>
      </c>
      <c r="F175" s="59" t="n">
        <f aca="false">+F174-F145</f>
        <v>-0.0100000000020373</v>
      </c>
      <c r="G175" s="59" t="n">
        <f aca="false">+G174-G145</f>
        <v>0</v>
      </c>
      <c r="H175" s="59" t="n">
        <f aca="false">+H174-H145</f>
        <v>-0.00999999999839929</v>
      </c>
      <c r="I175" s="59" t="n">
        <f aca="false">+I174-I145</f>
        <v>0</v>
      </c>
      <c r="J175" s="59" t="n">
        <f aca="false">+J174-J145</f>
        <v>0</v>
      </c>
      <c r="K175" s="59" t="n">
        <f aca="false">+K174-K145</f>
        <v>0</v>
      </c>
      <c r="L175" s="59" t="n">
        <f aca="false">+L174-L145</f>
        <v>0</v>
      </c>
      <c r="M175" s="59" t="n">
        <f aca="false">+M174-M145</f>
        <v>0</v>
      </c>
      <c r="N175" s="59" t="n">
        <f aca="false">+N174-N145</f>
        <v>0</v>
      </c>
      <c r="O175" s="59" t="n">
        <f aca="false">+O174-O145</f>
        <v>0</v>
      </c>
      <c r="P175" s="59" t="n">
        <f aca="false">+P174-P145</f>
        <v>0</v>
      </c>
      <c r="Q175" s="59" t="n">
        <f aca="false">+Q174-Q145</f>
        <v>0</v>
      </c>
      <c r="R175" s="59" t="n">
        <f aca="false">+R174-R145</f>
        <v>0</v>
      </c>
      <c r="S175" s="59" t="n">
        <f aca="false">+S174-S145</f>
        <v>0</v>
      </c>
      <c r="T175" s="59" t="n">
        <f aca="false">+T174-T145</f>
        <v>0</v>
      </c>
      <c r="U175" s="59" t="n">
        <f aca="false">+U174-U145</f>
        <v>0</v>
      </c>
      <c r="V175" s="59" t="n">
        <f aca="false">+V174-V145</f>
        <v>0</v>
      </c>
      <c r="W175" s="59" t="n">
        <f aca="false">+W174-W145</f>
        <v>0</v>
      </c>
      <c r="X175" s="59" t="n">
        <f aca="false">+X174-X145</f>
        <v>0</v>
      </c>
      <c r="Y175" s="59" t="n">
        <f aca="false">+Y174-Y145</f>
        <v>0</v>
      </c>
      <c r="Z175" s="59" t="n">
        <f aca="false">+Z174-Z145</f>
        <v>0</v>
      </c>
      <c r="AA175" s="59" t="n">
        <f aca="false">+AA174-AA145</f>
        <v>0</v>
      </c>
      <c r="AB175" s="59" t="n">
        <f aca="false">+AB174-AB145</f>
        <v>0</v>
      </c>
      <c r="AC175" s="59" t="n">
        <f aca="false">+AC174-AC145</f>
        <v>0</v>
      </c>
      <c r="AD175" s="59" t="n">
        <f aca="false">+AD174-AD145</f>
        <v>0</v>
      </c>
      <c r="AE175" s="59" t="n">
        <f aca="false">+AE174-AE145</f>
        <v>0</v>
      </c>
      <c r="AF175" s="59" t="n">
        <f aca="false">+AF174-AF145</f>
        <v>0</v>
      </c>
      <c r="AG175" s="59" t="n">
        <f aca="false">+AG174-AG145</f>
        <v>0</v>
      </c>
      <c r="AH175" s="59" t="n">
        <f aca="false">+AH174-AH145</f>
        <v>0</v>
      </c>
      <c r="AI175" s="59" t="n">
        <f aca="false">+AI174-AI145</f>
        <v>0</v>
      </c>
      <c r="AJ175" s="59" t="n">
        <f aca="false">+AJ174-AJ145</f>
        <v>0</v>
      </c>
      <c r="AK175" s="59" t="n">
        <f aca="false">+AK174-AK145</f>
        <v>0</v>
      </c>
      <c r="AL175" s="59" t="n">
        <f aca="false">+AL174-AL145</f>
        <v>0</v>
      </c>
      <c r="AM175" s="43"/>
      <c r="AN175" s="43"/>
      <c r="AO175" s="43"/>
      <c r="AP175" s="43"/>
      <c r="AQ175" s="43"/>
      <c r="AR175" s="43"/>
      <c r="AS175" s="43"/>
      <c r="AT175" s="43"/>
      <c r="AU175" s="43"/>
      <c r="AV175" s="43"/>
      <c r="AW175" s="43"/>
      <c r="AX175" s="43"/>
      <c r="AY175" s="43"/>
    </row>
    <row r="176" customFormat="false" ht="15" hidden="false" customHeight="true" outlineLevel="0" collapsed="false">
      <c r="A176" s="29"/>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1" t="n">
        <f aca="false">+Y174-Y162-X174+X162</f>
        <v>-14379.405</v>
      </c>
      <c r="Z176" s="31" t="n">
        <f aca="false">+X173+X158+X157+X156+X155-Y155-Y156-Y157-Y158-Y173</f>
        <v>14483.913</v>
      </c>
      <c r="AA176" s="31" t="n">
        <f aca="false">+Z176+(Y172-Y162-X172+X162)</f>
        <v>14588.421</v>
      </c>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row>
    <row r="177" customFormat="false" ht="15" hidden="false" customHeight="true" outlineLevel="0" collapsed="false">
      <c r="A177" s="29" t="s">
        <v>386</v>
      </c>
      <c r="B177" s="62" t="n">
        <v>69.36</v>
      </c>
      <c r="C177" s="62" t="n">
        <v>1993</v>
      </c>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row>
    <row r="178" customFormat="false" ht="15" hidden="false" customHeight="true" outlineLevel="0" collapsed="false">
      <c r="A178" s="29" t="s">
        <v>386</v>
      </c>
      <c r="B178" s="62" t="n">
        <v>78</v>
      </c>
      <c r="C178" s="62" t="n">
        <v>1994</v>
      </c>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row>
    <row r="179" customFormat="false" ht="15" hidden="false" customHeight="true" outlineLevel="0" collapsed="false">
      <c r="A179" s="29" t="s">
        <v>387</v>
      </c>
      <c r="B179" s="62" t="n">
        <v>1189.3</v>
      </c>
      <c r="C179" s="62" t="n">
        <v>1995</v>
      </c>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row>
    <row r="180" customFormat="false" ht="15" hidden="false" customHeight="true" outlineLevel="0" collapsed="false">
      <c r="A180" s="29" t="s">
        <v>388</v>
      </c>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row>
    <row r="181" customFormat="false" ht="15" hidden="false" customHeight="true" outlineLevel="0" collapsed="false">
      <c r="A181" s="29" t="s">
        <v>389</v>
      </c>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row>
    <row r="182" customFormat="false" ht="15" hidden="false" customHeight="true" outlineLevel="0" collapsed="false">
      <c r="A182" s="29" t="s">
        <v>390</v>
      </c>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row>
    <row r="183" customFormat="false" ht="15" hidden="false" customHeight="true" outlineLevel="0" collapsed="false">
      <c r="A183" s="51" t="s">
        <v>391</v>
      </c>
      <c r="B183" s="76" t="n">
        <f aca="false">B327-B440-B16</f>
        <v>0</v>
      </c>
      <c r="C183" s="76" t="n">
        <f aca="false">C327-C440-C16</f>
        <v>0</v>
      </c>
      <c r="D183" s="76" t="n">
        <f aca="false">D327-D440-D16</f>
        <v>0</v>
      </c>
      <c r="E183" s="76" t="n">
        <f aca="false">E327-E440-E16</f>
        <v>0</v>
      </c>
      <c r="F183" s="76" t="n">
        <f aca="false">F327-F440-F16</f>
        <v>0</v>
      </c>
      <c r="G183" s="76" t="n">
        <f aca="false">G327-G440-G16</f>
        <v>0</v>
      </c>
      <c r="H183" s="76" t="n">
        <f aca="false">H327-H440-H16</f>
        <v>0</v>
      </c>
      <c r="I183" s="76" t="n">
        <f aca="false">I327-I440-I16</f>
        <v>0</v>
      </c>
      <c r="J183" s="76" t="n">
        <f aca="false">J327-J440-J16</f>
        <v>0</v>
      </c>
      <c r="K183" s="76" t="n">
        <f aca="false">K327-K440-K16</f>
        <v>0</v>
      </c>
      <c r="L183" s="76" t="n">
        <f aca="false">L327-L440-L16</f>
        <v>0</v>
      </c>
      <c r="M183" s="76" t="n">
        <f aca="false">M327-M440-M16</f>
        <v>0</v>
      </c>
      <c r="N183" s="76" t="n">
        <f aca="false">N327-N440-N16</f>
        <v>0</v>
      </c>
      <c r="O183" s="76" t="n">
        <f aca="false">O327-O440-O16</f>
        <v>0</v>
      </c>
      <c r="P183" s="76" t="n">
        <f aca="false">P327-P440-P16</f>
        <v>0</v>
      </c>
      <c r="Q183" s="76" t="n">
        <f aca="false">Q327-Q440-Q16</f>
        <v>0</v>
      </c>
      <c r="R183" s="76" t="n">
        <f aca="false">R327-R440-R16</f>
        <v>0</v>
      </c>
      <c r="S183" s="76" t="n">
        <f aca="false">S327-S440-S16</f>
        <v>0</v>
      </c>
      <c r="T183" s="76" t="n">
        <f aca="false">T327-T440-T16</f>
        <v>0</v>
      </c>
      <c r="U183" s="76" t="n">
        <f aca="false">U327-U440-U16</f>
        <v>0</v>
      </c>
      <c r="V183" s="76" t="n">
        <f aca="false">V327-V440-V16</f>
        <v>0</v>
      </c>
      <c r="W183" s="77"/>
      <c r="X183" s="77"/>
      <c r="Y183" s="77"/>
      <c r="Z183" s="77"/>
      <c r="AA183" s="77"/>
      <c r="AB183" s="77"/>
      <c r="AC183" s="77"/>
      <c r="AD183" s="77"/>
      <c r="AE183" s="77"/>
      <c r="AF183" s="77"/>
      <c r="AG183" s="77"/>
      <c r="AH183" s="77"/>
      <c r="AI183" s="77"/>
      <c r="AJ183" s="77"/>
      <c r="AK183" s="77"/>
      <c r="AL183" s="77"/>
      <c r="AM183" s="77"/>
      <c r="AN183" s="77"/>
      <c r="AO183" s="77"/>
      <c r="AP183" s="77"/>
      <c r="AQ183" s="77"/>
      <c r="AR183" s="77"/>
      <c r="AS183" s="77"/>
      <c r="AT183" s="77"/>
      <c r="AU183" s="77"/>
      <c r="AV183" s="77"/>
      <c r="AW183" s="77"/>
      <c r="AX183" s="77"/>
      <c r="AY183" s="77"/>
    </row>
    <row r="184" customFormat="false" ht="15" hidden="false" customHeight="true" outlineLevel="0" collapsed="false">
      <c r="A184" s="29" t="s">
        <v>392</v>
      </c>
      <c r="B184" s="59" t="n">
        <f aca="false">B497-B440-B22-B29-B31-B34+B37</f>
        <v>-5.22915044598449E-013</v>
      </c>
      <c r="C184" s="59" t="n">
        <f aca="false">C497-C440-C22-C29-C31-C34+C37</f>
        <v>-3.82027742773516E-013</v>
      </c>
      <c r="D184" s="59" t="n">
        <f aca="false">D497-D440-D22-D29-D31-D34+D37</f>
        <v>-3.63820085169664E-013</v>
      </c>
      <c r="E184" s="59" t="n">
        <f aca="false">E497-E440-E22-E29-E31-E34+E37</f>
        <v>-2.92033064397401E-012</v>
      </c>
      <c r="F184" s="59" t="n">
        <f aca="false">F497-F440-F22-F29-F31-F34+F37</f>
        <v>3.82271991838934E-012</v>
      </c>
      <c r="G184" s="59" t="n">
        <f aca="false">G497-G440-G22-G29-G31-G34+G37</f>
        <v>-4.2721381987576E-013</v>
      </c>
      <c r="H184" s="59" t="n">
        <f aca="false">H497-H440-H22-H29-H31-H34+H37</f>
        <v>0</v>
      </c>
      <c r="I184" s="59" t="n">
        <f aca="false">I497-I440-I22-I29-I31-I34+I37</f>
        <v>2.01927363718823E-012</v>
      </c>
      <c r="J184" s="59" t="n">
        <f aca="false">J497-J440-J22-J29-J31-J34+J37</f>
        <v>-1.30961907984783E-012</v>
      </c>
      <c r="K184" s="59" t="n">
        <f aca="false">K497-K440-K22-K29-K31-K34+K37</f>
        <v>-1.91002769156512E-012</v>
      </c>
      <c r="L184" s="59" t="n">
        <f aca="false">L497-L440-L22-L29-L31-L34+L37</f>
        <v>-2.96496160956394E-012</v>
      </c>
      <c r="M184" s="59" t="n">
        <f aca="false">M497-M440-M22-M29-M31-M34+M37</f>
        <v>-2.81952239333805E-012</v>
      </c>
      <c r="N184" s="59" t="n">
        <f aca="false">N497-N440-N22-N29-N31-N34+N37</f>
        <v>-1.72839520473644E-012</v>
      </c>
      <c r="O184" s="59" t="n">
        <f aca="false">O497-O440-O22-O29-O31-O34+O37</f>
        <v>3.27382565501466E-012</v>
      </c>
      <c r="P184" s="59" t="n">
        <f aca="false">P497-P440-P22-P29-P31-P34+P37</f>
        <v>-9.09494701772928E-013</v>
      </c>
      <c r="Q184" s="59" t="n">
        <f aca="false">Q497-Q440-Q22-Q29-Q31-Q34+Q37</f>
        <v>9.02211638731387E-012</v>
      </c>
      <c r="R184" s="59" t="n">
        <f aca="false">R497-R440-R22-R29-R31-R34+R37</f>
        <v>-1.80477854883065E-012</v>
      </c>
      <c r="S184" s="59" t="n">
        <f aca="false">S497-S440-S22-S29-S31-S34+S37</f>
        <v>-9.66338120633736E-013</v>
      </c>
      <c r="T184" s="59" t="n">
        <f aca="false">T497-T440-T22-T29-T31-T34+T37</f>
        <v>-9.35074240260292E-012</v>
      </c>
      <c r="U184" s="59" t="n">
        <f aca="false">U497-U440-U22-U29-U31-U34+U37</f>
        <v>1.25055521493778E-011</v>
      </c>
      <c r="V184" s="59" t="n">
        <f aca="false">V497-V440-V22-V29-V31-V34+V37</f>
        <v>-1.78772552317241E-011</v>
      </c>
      <c r="W184" s="43"/>
      <c r="X184" s="43"/>
      <c r="Y184" s="43"/>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row>
    <row r="185" customFormat="false" ht="15" hidden="false" customHeight="true" outlineLevel="0" collapsed="false">
      <c r="A185" s="51" t="s">
        <v>393</v>
      </c>
      <c r="B185" s="76" t="n">
        <f aca="false">B10-B40-B43-B13</f>
        <v>0</v>
      </c>
      <c r="C185" s="76" t="n">
        <f aca="false">C10-C40-C43-C13</f>
        <v>0</v>
      </c>
      <c r="D185" s="76" t="n">
        <f aca="false">D10-D40-D43-D13</f>
        <v>0</v>
      </c>
      <c r="E185" s="76" t="n">
        <f aca="false">E10-E40-E43-E13</f>
        <v>0</v>
      </c>
      <c r="F185" s="76" t="n">
        <f aca="false">F10-F40-F43-F13</f>
        <v>0</v>
      </c>
      <c r="G185" s="76" t="n">
        <f aca="false">G10-G40-G43-G13</f>
        <v>0</v>
      </c>
      <c r="H185" s="76" t="n">
        <f aca="false">H10-H40-H43-H13</f>
        <v>0</v>
      </c>
      <c r="I185" s="76" t="n">
        <f aca="false">I10-I40-I43-I13</f>
        <v>0</v>
      </c>
      <c r="J185" s="76" t="n">
        <f aca="false">J10-J40-J43-J13</f>
        <v>0</v>
      </c>
      <c r="K185" s="76" t="n">
        <f aca="false">K10-K40-K43-K13</f>
        <v>0</v>
      </c>
      <c r="L185" s="76" t="n">
        <f aca="false">L10-L40-L43-L13</f>
        <v>0</v>
      </c>
      <c r="M185" s="76" t="n">
        <f aca="false">M10-M40-M43-M13</f>
        <v>0</v>
      </c>
      <c r="N185" s="76" t="n">
        <f aca="false">N10-N40-N43-N13</f>
        <v>0</v>
      </c>
      <c r="O185" s="76" t="n">
        <f aca="false">O10-O40-O43-O13</f>
        <v>0</v>
      </c>
      <c r="P185" s="76" t="n">
        <f aca="false">P10-P40-P43-P13</f>
        <v>0</v>
      </c>
      <c r="Q185" s="76" t="n">
        <f aca="false">Q10-Q40-Q43-Q13</f>
        <v>0</v>
      </c>
      <c r="R185" s="76" t="n">
        <f aca="false">R10-R40-R43-R13</f>
        <v>0</v>
      </c>
      <c r="S185" s="76" t="n">
        <f aca="false">S10-S40-S43-S13</f>
        <v>0</v>
      </c>
      <c r="T185" s="76" t="n">
        <f aca="false">T10-T40-T43-T13</f>
        <v>0</v>
      </c>
      <c r="U185" s="76" t="n">
        <f aca="false">U10-U40-U43-U13</f>
        <v>0</v>
      </c>
      <c r="V185" s="76" t="n">
        <f aca="false">V10-V40-V43-V13</f>
        <v>0</v>
      </c>
      <c r="W185" s="76" t="n">
        <f aca="false">W10-W40-W43-W13</f>
        <v>0</v>
      </c>
      <c r="X185" s="77"/>
      <c r="Y185" s="77"/>
      <c r="Z185" s="77"/>
      <c r="AA185" s="77"/>
      <c r="AB185" s="77"/>
      <c r="AC185" s="77"/>
      <c r="AD185" s="77"/>
      <c r="AE185" s="77"/>
      <c r="AF185" s="77"/>
      <c r="AG185" s="77"/>
      <c r="AH185" s="77"/>
      <c r="AI185" s="77"/>
      <c r="AJ185" s="77"/>
      <c r="AK185" s="77"/>
      <c r="AL185" s="77"/>
      <c r="AM185" s="77"/>
      <c r="AN185" s="77"/>
      <c r="AO185" s="77"/>
      <c r="AP185" s="77"/>
      <c r="AQ185" s="77"/>
      <c r="AR185" s="77"/>
      <c r="AS185" s="77"/>
      <c r="AT185" s="77"/>
      <c r="AU185" s="77"/>
      <c r="AV185" s="77"/>
      <c r="AW185" s="77"/>
      <c r="AX185" s="77"/>
      <c r="AY185" s="77"/>
    </row>
    <row r="186" customFormat="false" ht="15" hidden="false" customHeight="true" outlineLevel="0" collapsed="false">
      <c r="A186" s="51" t="s">
        <v>264</v>
      </c>
      <c r="B186" s="76" t="n">
        <f aca="false">B43-B45+B46-B47</f>
        <v>0</v>
      </c>
      <c r="C186" s="76" t="n">
        <f aca="false">C43-C45+C46-C47</f>
        <v>0</v>
      </c>
      <c r="D186" s="76" t="n">
        <f aca="false">D43-D45+D46-D47</f>
        <v>0</v>
      </c>
      <c r="E186" s="76" t="n">
        <f aca="false">E43-E45+E46-E47</f>
        <v>0</v>
      </c>
      <c r="F186" s="76" t="n">
        <f aca="false">F43-F45+F46-F47</f>
        <v>0</v>
      </c>
      <c r="G186" s="76" t="n">
        <f aca="false">G43-G45+G46-G47</f>
        <v>0</v>
      </c>
      <c r="H186" s="76" t="n">
        <f aca="false">H43-H45+H46-H47</f>
        <v>0</v>
      </c>
      <c r="I186" s="76" t="n">
        <f aca="false">I43-I45+I46-I47</f>
        <v>0</v>
      </c>
      <c r="J186" s="76" t="n">
        <f aca="false">J43-J45+J46-J47</f>
        <v>0</v>
      </c>
      <c r="K186" s="76" t="n">
        <f aca="false">K43-K45+K46-K47</f>
        <v>0</v>
      </c>
      <c r="L186" s="76" t="n">
        <f aca="false">L43-L45+L46-L47</f>
        <v>0</v>
      </c>
      <c r="M186" s="76" t="n">
        <f aca="false">M43-M45+M46-M47</f>
        <v>0</v>
      </c>
      <c r="N186" s="76" t="n">
        <f aca="false">N43-N45+N46-N47</f>
        <v>0</v>
      </c>
      <c r="O186" s="76" t="n">
        <f aca="false">O43-O45+O46-O47</f>
        <v>0</v>
      </c>
      <c r="P186" s="76" t="n">
        <f aca="false">P43-P45+P46-P47</f>
        <v>0</v>
      </c>
      <c r="Q186" s="76" t="n">
        <f aca="false">Q43-Q45+Q46-Q47</f>
        <v>0</v>
      </c>
      <c r="R186" s="76" t="n">
        <f aca="false">R43-R45+R46-R47</f>
        <v>0</v>
      </c>
      <c r="S186" s="76" t="n">
        <f aca="false">S43-S45+S46-S47</f>
        <v>0</v>
      </c>
      <c r="T186" s="76" t="n">
        <f aca="false">T43-T45+T46-T47</f>
        <v>0</v>
      </c>
      <c r="U186" s="76" t="n">
        <f aca="false">U43-U45+U46-U47</f>
        <v>0</v>
      </c>
      <c r="V186" s="76" t="n">
        <f aca="false">V43-V45+V46-V47</f>
        <v>0</v>
      </c>
      <c r="W186" s="76" t="n">
        <f aca="false">W43-W45+W46-W47</f>
        <v>0</v>
      </c>
      <c r="X186" s="77"/>
      <c r="Y186" s="77"/>
      <c r="Z186" s="77"/>
      <c r="AA186" s="77"/>
      <c r="AB186" s="77"/>
      <c r="AC186" s="77"/>
      <c r="AD186" s="77"/>
      <c r="AE186" s="77"/>
      <c r="AF186" s="77"/>
      <c r="AG186" s="77"/>
      <c r="AH186" s="77"/>
      <c r="AI186" s="77"/>
      <c r="AJ186" s="77"/>
      <c r="AK186" s="77"/>
      <c r="AL186" s="77"/>
      <c r="AM186" s="77"/>
      <c r="AN186" s="77"/>
      <c r="AO186" s="77"/>
      <c r="AP186" s="77"/>
      <c r="AQ186" s="77"/>
      <c r="AR186" s="77"/>
      <c r="AS186" s="77"/>
      <c r="AT186" s="77"/>
      <c r="AU186" s="77"/>
      <c r="AV186" s="77"/>
      <c r="AW186" s="77"/>
      <c r="AX186" s="77"/>
      <c r="AY186" s="77"/>
    </row>
    <row r="187" customFormat="false" ht="15" hidden="false" customHeight="true" outlineLevel="0" collapsed="false">
      <c r="A187" s="51" t="s">
        <v>251</v>
      </c>
      <c r="B187" s="76" t="n">
        <f aca="false">B47-B49+B50-B51</f>
        <v>0</v>
      </c>
      <c r="C187" s="76" t="n">
        <f aca="false">C47-C49+C50-C51</f>
        <v>0</v>
      </c>
      <c r="D187" s="76" t="n">
        <f aca="false">D47-D49+D50-D51</f>
        <v>0</v>
      </c>
      <c r="E187" s="76" t="n">
        <f aca="false">E47-E49+E50-E51</f>
        <v>0</v>
      </c>
      <c r="F187" s="76" t="n">
        <f aca="false">F47-F49+F50-F51</f>
        <v>0</v>
      </c>
      <c r="G187" s="76" t="n">
        <f aca="false">G47-G49+G50-G51</f>
        <v>0</v>
      </c>
      <c r="H187" s="76" t="n">
        <f aca="false">H47-H49+H50-H51</f>
        <v>0</v>
      </c>
      <c r="I187" s="76" t="n">
        <f aca="false">I47-I49+I50-I51</f>
        <v>0</v>
      </c>
      <c r="J187" s="76" t="n">
        <f aca="false">J47-J49+J50-J51</f>
        <v>0</v>
      </c>
      <c r="K187" s="76" t="n">
        <f aca="false">K47-K49+K50-K51</f>
        <v>0</v>
      </c>
      <c r="L187" s="76" t="n">
        <f aca="false">L47-L49+L50-L51</f>
        <v>0</v>
      </c>
      <c r="M187" s="76" t="n">
        <f aca="false">M47-M49+M50-M51</f>
        <v>0</v>
      </c>
      <c r="N187" s="76" t="n">
        <f aca="false">N47-N49+N50-N51</f>
        <v>0</v>
      </c>
      <c r="O187" s="76" t="n">
        <f aca="false">O47-O49+O50-O51</f>
        <v>0</v>
      </c>
      <c r="P187" s="76" t="n">
        <f aca="false">P47-P49+P50-P51</f>
        <v>0</v>
      </c>
      <c r="Q187" s="76" t="n">
        <f aca="false">Q47-Q49+Q50-Q51</f>
        <v>0</v>
      </c>
      <c r="R187" s="76" t="n">
        <f aca="false">R47-R49+R50-R51</f>
        <v>0</v>
      </c>
      <c r="S187" s="76" t="n">
        <f aca="false">S47-S49+S50-S51</f>
        <v>0</v>
      </c>
      <c r="T187" s="76" t="n">
        <f aca="false">T47-T49+T50-T51</f>
        <v>0</v>
      </c>
      <c r="U187" s="76" t="n">
        <f aca="false">U47-U49+U50-U51</f>
        <v>0</v>
      </c>
      <c r="V187" s="76" t="n">
        <f aca="false">V47-V49+V50-V51</f>
        <v>0</v>
      </c>
      <c r="W187" s="76" t="n">
        <f aca="false">W47-W49+W50-W51</f>
        <v>0</v>
      </c>
      <c r="X187" s="77"/>
      <c r="Y187" s="77"/>
      <c r="Z187" s="77"/>
      <c r="AA187" s="77"/>
      <c r="AB187" s="77"/>
      <c r="AC187" s="77"/>
      <c r="AD187" s="77"/>
      <c r="AE187" s="77"/>
      <c r="AF187" s="77"/>
      <c r="AG187" s="77"/>
      <c r="AH187" s="77"/>
      <c r="AI187" s="77"/>
      <c r="AJ187" s="77"/>
      <c r="AK187" s="77"/>
      <c r="AL187" s="77"/>
      <c r="AM187" s="77"/>
      <c r="AN187" s="77"/>
      <c r="AO187" s="77"/>
      <c r="AP187" s="77"/>
      <c r="AQ187" s="77"/>
      <c r="AR187" s="77"/>
      <c r="AS187" s="77"/>
      <c r="AT187" s="77"/>
      <c r="AU187" s="77"/>
      <c r="AV187" s="77"/>
      <c r="AW187" s="77"/>
      <c r="AX187" s="77"/>
      <c r="AY187" s="77"/>
    </row>
    <row r="188" customFormat="false" ht="15" hidden="false" customHeight="true" outlineLevel="0" collapsed="false">
      <c r="A188" s="51" t="s">
        <v>254</v>
      </c>
      <c r="B188" s="76" t="n">
        <f aca="false">B51-B52-B53</f>
        <v>0</v>
      </c>
      <c r="C188" s="76" t="n">
        <f aca="false">C51-C52-C53</f>
        <v>0</v>
      </c>
      <c r="D188" s="76" t="n">
        <f aca="false">D51-D52-D53</f>
        <v>0</v>
      </c>
      <c r="E188" s="76" t="n">
        <f aca="false">E51-E52-E53</f>
        <v>0</v>
      </c>
      <c r="F188" s="76" t="n">
        <f aca="false">F51-F52-F53</f>
        <v>0</v>
      </c>
      <c r="G188" s="76" t="n">
        <f aca="false">G51-G52-G53</f>
        <v>0</v>
      </c>
      <c r="H188" s="76" t="n">
        <f aca="false">H51-H52-H53</f>
        <v>0</v>
      </c>
      <c r="I188" s="76" t="n">
        <f aca="false">I51-I52-I53</f>
        <v>0</v>
      </c>
      <c r="J188" s="76" t="n">
        <f aca="false">J51-J52-J53</f>
        <v>0</v>
      </c>
      <c r="K188" s="76" t="n">
        <f aca="false">K51-K52-K53</f>
        <v>0</v>
      </c>
      <c r="L188" s="76" t="n">
        <f aca="false">L51-L52-L53</f>
        <v>0</v>
      </c>
      <c r="M188" s="76" t="n">
        <f aca="false">M51-M52-M53</f>
        <v>0</v>
      </c>
      <c r="N188" s="76" t="n">
        <f aca="false">N51-N52-N53</f>
        <v>0</v>
      </c>
      <c r="O188" s="76" t="n">
        <f aca="false">O51-O52-O53</f>
        <v>0</v>
      </c>
      <c r="P188" s="76" t="n">
        <f aca="false">P51-P52-P53</f>
        <v>0</v>
      </c>
      <c r="Q188" s="76" t="n">
        <f aca="false">Q51-Q52-Q53</f>
        <v>0</v>
      </c>
      <c r="R188" s="76" t="n">
        <f aca="false">R51-R52-R53</f>
        <v>0</v>
      </c>
      <c r="S188" s="76" t="n">
        <f aca="false">S51-S52-S53</f>
        <v>0</v>
      </c>
      <c r="T188" s="76" t="n">
        <f aca="false">T51-T52-T53</f>
        <v>0</v>
      </c>
      <c r="U188" s="76" t="n">
        <f aca="false">U51-U52-U53</f>
        <v>0</v>
      </c>
      <c r="V188" s="76" t="n">
        <f aca="false">V51-V52-V53</f>
        <v>0</v>
      </c>
      <c r="W188" s="76" t="n">
        <f aca="false">W51-W52-W53</f>
        <v>0</v>
      </c>
      <c r="X188" s="77"/>
      <c r="Y188" s="77"/>
      <c r="Z188" s="77"/>
      <c r="AA188" s="77"/>
      <c r="AB188" s="77"/>
      <c r="AC188" s="77"/>
      <c r="AD188" s="77"/>
      <c r="AE188" s="77"/>
      <c r="AF188" s="77"/>
      <c r="AG188" s="77"/>
      <c r="AH188" s="77"/>
      <c r="AI188" s="77"/>
      <c r="AJ188" s="77"/>
      <c r="AK188" s="77"/>
      <c r="AL188" s="77"/>
      <c r="AM188" s="77"/>
      <c r="AN188" s="77"/>
      <c r="AO188" s="77"/>
      <c r="AP188" s="77"/>
      <c r="AQ188" s="77"/>
      <c r="AR188" s="77"/>
      <c r="AS188" s="77"/>
      <c r="AT188" s="77"/>
      <c r="AU188" s="77"/>
      <c r="AV188" s="77"/>
      <c r="AW188" s="77"/>
      <c r="AX188" s="77"/>
      <c r="AY188" s="77"/>
    </row>
    <row r="189" customFormat="false" ht="15" hidden="false" customHeight="true" outlineLevel="0" collapsed="false">
      <c r="A189" s="38" t="s">
        <v>394</v>
      </c>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row>
    <row r="190" customFormat="false" ht="15" hidden="false" customHeight="true" outlineLevel="0" collapsed="false">
      <c r="A190" s="70" t="s">
        <v>395</v>
      </c>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row>
    <row r="191" customFormat="false" ht="15" hidden="false" customHeight="true" outlineLevel="0" collapsed="false">
      <c r="A191" s="29" t="s">
        <v>396</v>
      </c>
      <c r="B191" s="62" t="n">
        <v>27500</v>
      </c>
      <c r="C191" s="62" t="n">
        <v>27500</v>
      </c>
      <c r="D191" s="62" t="n">
        <v>36500</v>
      </c>
      <c r="E191" s="62" t="n">
        <v>43500</v>
      </c>
      <c r="F191" s="62" t="n">
        <v>50000</v>
      </c>
      <c r="G191" s="62" t="n">
        <v>50000</v>
      </c>
      <c r="H191" s="62" t="n">
        <v>50000</v>
      </c>
      <c r="I191" s="62" t="n">
        <v>50000</v>
      </c>
      <c r="J191" s="62" t="n">
        <v>50000</v>
      </c>
      <c r="K191" s="62" t="n">
        <v>50000</v>
      </c>
      <c r="L191" s="62" t="n">
        <v>50000</v>
      </c>
      <c r="M191" s="62" t="n">
        <v>50000</v>
      </c>
      <c r="N191" s="62" t="n">
        <v>67500</v>
      </c>
      <c r="O191" s="62" t="n">
        <v>77200</v>
      </c>
      <c r="P191" s="62" t="n">
        <v>84000</v>
      </c>
      <c r="Q191" s="31" t="n">
        <f aca="false">P191</f>
        <v>84000</v>
      </c>
      <c r="R191" s="62" t="n">
        <v>105000</v>
      </c>
      <c r="S191" s="62" t="n">
        <v>150500</v>
      </c>
      <c r="T191" s="62" t="n">
        <v>150500</v>
      </c>
      <c r="U191" s="31" t="n">
        <f aca="false">T191</f>
        <v>150500</v>
      </c>
      <c r="V191" s="31" t="n">
        <f aca="false">U191</f>
        <v>150500</v>
      </c>
      <c r="W191" s="31" t="n">
        <f aca="false">V191</f>
        <v>150500</v>
      </c>
      <c r="X191" s="31" t="n">
        <f aca="false">W191</f>
        <v>150500</v>
      </c>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row>
    <row r="192" customFormat="false" ht="15" hidden="false" customHeight="true" outlineLevel="0" collapsed="false">
      <c r="A192" s="29" t="s">
        <v>397</v>
      </c>
      <c r="B192" s="62" t="n">
        <v>18434</v>
      </c>
      <c r="C192" s="62" t="n">
        <v>23792</v>
      </c>
      <c r="D192" s="62" t="n">
        <v>30412</v>
      </c>
      <c r="E192" s="62" t="n">
        <v>37901</v>
      </c>
      <c r="F192" s="62" t="n">
        <v>45259</v>
      </c>
      <c r="G192" s="62" t="n">
        <v>33219</v>
      </c>
      <c r="H192" s="62" t="n">
        <v>26503</v>
      </c>
      <c r="I192" s="62" t="n">
        <v>38044</v>
      </c>
      <c r="J192" s="62" t="n">
        <v>33778</v>
      </c>
      <c r="K192" s="62" t="n">
        <v>31824</v>
      </c>
      <c r="L192" s="62" t="n">
        <v>33646</v>
      </c>
      <c r="M192" s="62" t="n">
        <v>49150</v>
      </c>
      <c r="N192" s="62" t="n">
        <v>54519</v>
      </c>
      <c r="O192" s="62" t="n">
        <v>65085</v>
      </c>
      <c r="P192" s="62" t="n">
        <v>83549</v>
      </c>
      <c r="Q192" s="62" t="n">
        <v>84006</v>
      </c>
      <c r="R192" s="62" t="n">
        <v>54049</v>
      </c>
      <c r="S192" s="62" t="n">
        <v>64673</v>
      </c>
      <c r="T192" s="62" t="n">
        <v>95337</v>
      </c>
      <c r="U192" s="31" t="n">
        <f aca="false">+U211</f>
        <v>101990</v>
      </c>
      <c r="V192" s="31" t="n">
        <f aca="false">+V211</f>
        <v>114611</v>
      </c>
      <c r="W192" s="31" t="n">
        <f aca="false">+W211</f>
        <v>89337</v>
      </c>
      <c r="X192" s="31" t="n">
        <f aca="false">+X211</f>
        <v>104902</v>
      </c>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row>
    <row r="193" customFormat="false" ht="15" hidden="false" customHeight="true" outlineLevel="0" collapsed="false">
      <c r="A193" s="47" t="s">
        <v>398</v>
      </c>
      <c r="B193" s="36"/>
      <c r="C193" s="74" t="n">
        <f aca="false">(+C192*100)/B192-100</f>
        <v>29.0658565693827</v>
      </c>
      <c r="D193" s="74" t="n">
        <f aca="false">(+D192*100)/C192-100</f>
        <v>27.8244788164089</v>
      </c>
      <c r="E193" s="74" t="n">
        <f aca="false">(+E192*100)/D192-100</f>
        <v>24.6251479679074</v>
      </c>
      <c r="F193" s="74" t="n">
        <f aca="false">(+F192*100)/E192-100</f>
        <v>19.4137357853355</v>
      </c>
      <c r="G193" s="74" t="n">
        <f aca="false">(+G192*100)/F192-100</f>
        <v>-26.6024437128527</v>
      </c>
      <c r="H193" s="74" t="n">
        <f aca="false">(+H192*100)/G192-100</f>
        <v>-20.217345495048</v>
      </c>
      <c r="I193" s="74" t="n">
        <f aca="false">(+I192*100)/H192-100</f>
        <v>43.5460136588311</v>
      </c>
      <c r="J193" s="74" t="n">
        <f aca="false">(+J192*100)/I192-100</f>
        <v>-11.2133319314478</v>
      </c>
      <c r="K193" s="74" t="n">
        <f aca="false">(+K192*100)/J192-100</f>
        <v>-5.78483036295813</v>
      </c>
      <c r="L193" s="74" t="n">
        <f aca="false">(+L192*100)/K192-100</f>
        <v>5.72523881347411</v>
      </c>
      <c r="M193" s="74" t="n">
        <f aca="false">(+M192*100)/L192-100</f>
        <v>46.0797717410688</v>
      </c>
      <c r="N193" s="74" t="n">
        <f aca="false">(+N192*100)/M192-100</f>
        <v>10.9237029501526</v>
      </c>
      <c r="O193" s="74" t="n">
        <f aca="false">(+O192*100)/N192-100</f>
        <v>19.3803994937545</v>
      </c>
      <c r="P193" s="74" t="n">
        <f aca="false">(+P192*100)/O192-100</f>
        <v>28.3690558500423</v>
      </c>
      <c r="Q193" s="74" t="n">
        <f aca="false">(+Q192*100)/P192-100</f>
        <v>0.54698440436151</v>
      </c>
      <c r="R193" s="74" t="n">
        <f aca="false">(+R192*100)/Q192-100</f>
        <v>-35.6605480560912</v>
      </c>
      <c r="S193" s="74" t="n">
        <f aca="false">(+S192*100)/R192-100</f>
        <v>19.6562378582398</v>
      </c>
      <c r="T193" s="74" t="n">
        <f aca="false">(+T192*100)/S192-100</f>
        <v>47.4139130703694</v>
      </c>
      <c r="U193" s="74" t="n">
        <f aca="false">(+U192*100)/T192-100</f>
        <v>6.97840292855869</v>
      </c>
      <c r="V193" s="74" t="n">
        <f aca="false">(+V192*100)/U192-100</f>
        <v>12.3747426218257</v>
      </c>
      <c r="W193" s="74" t="n">
        <f aca="false">(+W192*100)/V192-100</f>
        <v>-22.0519845390059</v>
      </c>
      <c r="X193" s="74" t="n">
        <f aca="false">(+X192*100)/W192-100</f>
        <v>17.4227923480753</v>
      </c>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row>
    <row r="194" customFormat="false" ht="15" hidden="false" customHeight="true" outlineLevel="0" collapsed="false">
      <c r="A194" s="47" t="s">
        <v>399</v>
      </c>
      <c r="B194" s="74" t="n">
        <f aca="false">+B192/B191*100</f>
        <v>67.0327272727273</v>
      </c>
      <c r="C194" s="74" t="n">
        <f aca="false">+C192/C191*100</f>
        <v>86.5163636363636</v>
      </c>
      <c r="D194" s="74" t="n">
        <f aca="false">+D192/D191*100</f>
        <v>83.3205479452055</v>
      </c>
      <c r="E194" s="74" t="n">
        <f aca="false">+E192/E191*100</f>
        <v>87.1287356321839</v>
      </c>
      <c r="F194" s="74" t="n">
        <f aca="false">+F192/F191*100</f>
        <v>90.518</v>
      </c>
      <c r="G194" s="74" t="n">
        <f aca="false">+G192/G191*100</f>
        <v>66.438</v>
      </c>
      <c r="H194" s="74" t="n">
        <f aca="false">+H192/H191*100</f>
        <v>53.006</v>
      </c>
      <c r="I194" s="74" t="n">
        <f aca="false">+I192/I191*100</f>
        <v>76.088</v>
      </c>
      <c r="J194" s="74" t="n">
        <f aca="false">+J192/J191*100</f>
        <v>67.556</v>
      </c>
      <c r="K194" s="74" t="n">
        <f aca="false">+K192/K191*100</f>
        <v>63.648</v>
      </c>
      <c r="L194" s="74" t="n">
        <f aca="false">+L192/L191*100</f>
        <v>67.292</v>
      </c>
      <c r="M194" s="74" t="n">
        <f aca="false">+M192/M191*100</f>
        <v>98.3</v>
      </c>
      <c r="N194" s="74" t="n">
        <f aca="false">+N192/N191*100</f>
        <v>80.7688888888889</v>
      </c>
      <c r="O194" s="74" t="n">
        <f aca="false">+O192/O191*100</f>
        <v>84.3069948186529</v>
      </c>
      <c r="P194" s="74" t="n">
        <f aca="false">+P192/P191*100</f>
        <v>99.4630952380952</v>
      </c>
      <c r="Q194" s="74" t="n">
        <f aca="false">+Q192/Q191*100</f>
        <v>100.007142857143</v>
      </c>
      <c r="R194" s="74" t="n">
        <f aca="false">+R192/R191*100</f>
        <v>51.4752380952381</v>
      </c>
      <c r="S194" s="74" t="n">
        <f aca="false">+S192/S191*100</f>
        <v>42.9720930232558</v>
      </c>
      <c r="T194" s="74" t="n">
        <f aca="false">+T192/T191*100</f>
        <v>63.3468438538206</v>
      </c>
      <c r="U194" s="74" t="n">
        <f aca="false">+U192/U191*100</f>
        <v>67.7674418604651</v>
      </c>
      <c r="V194" s="74" t="n">
        <f aca="false">+V192/V191*100</f>
        <v>76.153488372093</v>
      </c>
      <c r="W194" s="74" t="n">
        <f aca="false">+W192/W191*100</f>
        <v>59.3601328903655</v>
      </c>
      <c r="X194" s="74" t="n">
        <f aca="false">+X192/X191*100</f>
        <v>69.7023255813954</v>
      </c>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row>
    <row r="195" customFormat="false" ht="15" hidden="false" customHeight="true" outlineLevel="0" collapsed="false">
      <c r="A195" s="29" t="s">
        <v>400</v>
      </c>
      <c r="B195" s="36"/>
      <c r="C195" s="49" t="n">
        <f aca="false">+C191/B191*100-100</f>
        <v>0</v>
      </c>
      <c r="D195" s="49" t="n">
        <f aca="false">+D191/C191*100-100</f>
        <v>32.7272727272728</v>
      </c>
      <c r="E195" s="49" t="n">
        <f aca="false">+E191/D191*100-100</f>
        <v>19.1780821917808</v>
      </c>
      <c r="F195" s="49" t="n">
        <f aca="false">+F191/E191*100-100</f>
        <v>14.9425287356322</v>
      </c>
      <c r="G195" s="49" t="n">
        <f aca="false">+G191/F191*100-100</f>
        <v>0</v>
      </c>
      <c r="H195" s="49" t="n">
        <f aca="false">+H191/G191*100-100</f>
        <v>0</v>
      </c>
      <c r="I195" s="49" t="n">
        <f aca="false">+I191/H191*100-100</f>
        <v>0</v>
      </c>
      <c r="J195" s="49" t="n">
        <f aca="false">+J191/I191*100-100</f>
        <v>0</v>
      </c>
      <c r="K195" s="49" t="n">
        <f aca="false">+K191/J191*100-100</f>
        <v>0</v>
      </c>
      <c r="L195" s="49" t="n">
        <f aca="false">+L191/K191*100-100</f>
        <v>0</v>
      </c>
      <c r="M195" s="49" t="n">
        <f aca="false">+M191/L191*100-100</f>
        <v>0</v>
      </c>
      <c r="N195" s="49" t="n">
        <f aca="false">+N191/M191*100-100</f>
        <v>35</v>
      </c>
      <c r="O195" s="49" t="n">
        <f aca="false">+O191/N191*100-100</f>
        <v>14.3703703703704</v>
      </c>
      <c r="P195" s="49" t="n">
        <f aca="false">+P191/O191*100-100</f>
        <v>8.80829015544042</v>
      </c>
      <c r="Q195" s="49" t="n">
        <f aca="false">+Q191/P191*100-100</f>
        <v>0</v>
      </c>
      <c r="R195" s="49" t="n">
        <f aca="false">+R191/Q191*100-100</f>
        <v>25</v>
      </c>
      <c r="S195" s="49" t="n">
        <f aca="false">+S191/R191*100-100</f>
        <v>43.3333333333333</v>
      </c>
      <c r="T195" s="49" t="n">
        <f aca="false">+T191/S191*100-100</f>
        <v>0</v>
      </c>
      <c r="U195" s="49" t="n">
        <f aca="false">+U191/T191*100-100</f>
        <v>0</v>
      </c>
      <c r="V195" s="49" t="n">
        <f aca="false">+V191/U191*100-100</f>
        <v>0</v>
      </c>
      <c r="W195" s="49" t="n">
        <f aca="false">+W191/V191*100-100</f>
        <v>0</v>
      </c>
      <c r="X195" s="49" t="n">
        <f aca="false">+X191/W191*100-100</f>
        <v>0</v>
      </c>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row>
    <row r="196" customFormat="false" ht="15" hidden="false" customHeight="true" outlineLevel="0" collapsed="false">
      <c r="A196" s="47" t="s">
        <v>401</v>
      </c>
      <c r="B196" s="30"/>
      <c r="C196" s="30"/>
      <c r="D196" s="30"/>
      <c r="E196" s="30"/>
      <c r="F196" s="30"/>
      <c r="G196" s="30"/>
      <c r="H196" s="30"/>
      <c r="I196" s="30"/>
      <c r="J196" s="30"/>
      <c r="K196" s="30"/>
      <c r="L196" s="30"/>
      <c r="M196" s="30"/>
      <c r="N196" s="30"/>
      <c r="O196" s="30"/>
      <c r="P196" s="30"/>
      <c r="Q196" s="30"/>
      <c r="R196" s="30"/>
      <c r="S196" s="30"/>
      <c r="T196" s="62" t="n">
        <v>30000</v>
      </c>
      <c r="U196" s="62" t="n">
        <v>50000</v>
      </c>
      <c r="V196" s="62" t="n">
        <v>50000</v>
      </c>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row>
    <row r="197" customFormat="false" ht="15" hidden="false" customHeight="true" outlineLevel="0" collapsed="false">
      <c r="A197" s="29" t="s">
        <v>396</v>
      </c>
      <c r="B197" s="62" t="n">
        <v>6100</v>
      </c>
      <c r="C197" s="62" t="n">
        <v>6100</v>
      </c>
      <c r="D197" s="62" t="n">
        <v>6100</v>
      </c>
      <c r="E197" s="62" t="n">
        <v>7500</v>
      </c>
      <c r="F197" s="62" t="n">
        <v>10000</v>
      </c>
      <c r="G197" s="62" t="n">
        <v>10000</v>
      </c>
      <c r="H197" s="62" t="n">
        <v>10000</v>
      </c>
      <c r="I197" s="62" t="n">
        <v>10000</v>
      </c>
      <c r="J197" s="62" t="n">
        <v>10000</v>
      </c>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row>
    <row r="198" customFormat="false" ht="15" hidden="false" customHeight="true" outlineLevel="0" collapsed="false">
      <c r="A198" s="29" t="s">
        <v>397</v>
      </c>
      <c r="B198" s="62" t="n">
        <v>3913</v>
      </c>
      <c r="C198" s="62" t="n">
        <v>5650</v>
      </c>
      <c r="D198" s="62" t="n">
        <v>5275</v>
      </c>
      <c r="E198" s="62" t="n">
        <v>6557</v>
      </c>
      <c r="F198" s="62" t="n">
        <v>8405</v>
      </c>
      <c r="G198" s="62" t="n">
        <v>7775</v>
      </c>
      <c r="H198" s="62" t="n">
        <v>7165</v>
      </c>
      <c r="I198" s="62" t="n">
        <v>6045</v>
      </c>
      <c r="J198" s="62" t="n">
        <v>6407</v>
      </c>
      <c r="K198" s="62" t="n">
        <v>5201</v>
      </c>
      <c r="L198" s="62" t="n">
        <v>5917</v>
      </c>
      <c r="M198" s="62" t="n">
        <v>4851</v>
      </c>
      <c r="N198" s="62" t="n">
        <v>6395</v>
      </c>
      <c r="O198" s="62" t="n">
        <v>7190</v>
      </c>
      <c r="P198" s="62" t="n">
        <v>8294</v>
      </c>
      <c r="Q198" s="62" t="n">
        <v>12652</v>
      </c>
      <c r="R198" s="62" t="n">
        <v>21901</v>
      </c>
      <c r="S198" s="62" t="n">
        <v>17934</v>
      </c>
      <c r="T198" s="62" t="n">
        <v>17603</v>
      </c>
      <c r="U198" s="31" t="n">
        <f aca="false">+U296</f>
        <v>16170</v>
      </c>
      <c r="V198" s="31" t="n">
        <f aca="false">+V296</f>
        <v>21757</v>
      </c>
      <c r="W198" s="31" t="n">
        <f aca="false">+W296</f>
        <v>17441</v>
      </c>
      <c r="X198" s="31" t="n">
        <f aca="false">+X296</f>
        <v>14023</v>
      </c>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row>
    <row r="199" customFormat="false" ht="15" hidden="false" customHeight="true" outlineLevel="0" collapsed="false">
      <c r="A199" s="47" t="s">
        <v>398</v>
      </c>
      <c r="B199" s="36"/>
      <c r="C199" s="74" t="n">
        <f aca="false">(+C198*100)/B198-100</f>
        <v>44.3904932277025</v>
      </c>
      <c r="D199" s="74" t="n">
        <f aca="false">(+D198*100)/C198-100</f>
        <v>-6.63716814159292</v>
      </c>
      <c r="E199" s="74" t="n">
        <f aca="false">(+E198*100)/D198-100</f>
        <v>24.303317535545</v>
      </c>
      <c r="F199" s="74" t="n">
        <f aca="false">(+F198*100)/E198-100</f>
        <v>28.1836205581821</v>
      </c>
      <c r="G199" s="74" t="n">
        <f aca="false">(+G198*100)/F198-100</f>
        <v>-7.49553837001784</v>
      </c>
      <c r="H199" s="74" t="n">
        <f aca="false">(+H198*100)/G198-100</f>
        <v>-7.84565916398714</v>
      </c>
      <c r="I199" s="74" t="n">
        <f aca="false">(+I198*100)/H198-100</f>
        <v>-15.6315422191207</v>
      </c>
      <c r="J199" s="74" t="n">
        <f aca="false">(+J198*100)/I198-100</f>
        <v>5.98842018196856</v>
      </c>
      <c r="K199" s="74" t="n">
        <f aca="false">(+K198*100)/J198-100</f>
        <v>-18.8231621663805</v>
      </c>
      <c r="L199" s="74" t="n">
        <f aca="false">(+L198*100)/K198-100</f>
        <v>13.7665833493559</v>
      </c>
      <c r="M199" s="74" t="n">
        <f aca="false">(+M198*100)/L198-100</f>
        <v>-18.0158864289336</v>
      </c>
      <c r="N199" s="74" t="n">
        <f aca="false">(+N198*100)/M198-100</f>
        <v>31.8284889713461</v>
      </c>
      <c r="O199" s="74" t="n">
        <f aca="false">(+O198*100)/N198-100</f>
        <v>12.4315871774824</v>
      </c>
      <c r="P199" s="74" t="n">
        <f aca="false">(+P198*100)/O198-100</f>
        <v>15.3546592489569</v>
      </c>
      <c r="Q199" s="74" t="n">
        <f aca="false">(+Q198*100)/P198-100</f>
        <v>52.5440077164215</v>
      </c>
      <c r="R199" s="74" t="n">
        <f aca="false">(+R198*100)/Q198-100</f>
        <v>73.1030667088207</v>
      </c>
      <c r="S199" s="74" t="n">
        <f aca="false">(+S198*100)/R198-100</f>
        <v>-18.1133281585316</v>
      </c>
      <c r="T199" s="74" t="n">
        <f aca="false">(+T198*100)/S198-100</f>
        <v>-1.84565629530501</v>
      </c>
      <c r="U199" s="74" t="n">
        <f aca="false">(+U198*100)/T198-100</f>
        <v>-8.14065784241322</v>
      </c>
      <c r="V199" s="74" t="n">
        <f aca="false">(+V198*100)/U198-100</f>
        <v>34.5516388373531</v>
      </c>
      <c r="W199" s="74" t="n">
        <f aca="false">(+W198*100)/V198-100</f>
        <v>-19.837293744542</v>
      </c>
      <c r="X199" s="74" t="n">
        <f aca="false">(+X198*100)/W198-100</f>
        <v>-19.5975001433404</v>
      </c>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row>
    <row r="200" customFormat="false" ht="15" hidden="false" customHeight="true" outlineLevel="0" collapsed="false">
      <c r="A200" s="47" t="s">
        <v>399</v>
      </c>
      <c r="B200" s="74" t="n">
        <f aca="false">+B198/B197*100</f>
        <v>64.1475409836066</v>
      </c>
      <c r="C200" s="74" t="n">
        <f aca="false">+C198/C197*100</f>
        <v>92.6229508196721</v>
      </c>
      <c r="D200" s="74" t="n">
        <f aca="false">+D198/D197*100</f>
        <v>86.4754098360656</v>
      </c>
      <c r="E200" s="74" t="n">
        <f aca="false">+E198/E197*100</f>
        <v>87.4266666666667</v>
      </c>
      <c r="F200" s="74" t="n">
        <f aca="false">+F198/F197*100</f>
        <v>84.05</v>
      </c>
      <c r="G200" s="74" t="n">
        <f aca="false">+G198/G197*100</f>
        <v>77.75</v>
      </c>
      <c r="H200" s="74" t="n">
        <f aca="false">+H198/H197*100</f>
        <v>71.65</v>
      </c>
      <c r="I200" s="74" t="n">
        <f aca="false">+I198/I197*100</f>
        <v>60.45</v>
      </c>
      <c r="J200" s="74" t="n">
        <f aca="false">+J198/J197*100</f>
        <v>64.07</v>
      </c>
      <c r="K200" s="74" t="e">
        <f aca="false">+K198/K197*100</f>
        <v>#DIV/0!</v>
      </c>
      <c r="L200" s="74" t="e">
        <f aca="false">+L198/L197*100</f>
        <v>#DIV/0!</v>
      </c>
      <c r="M200" s="74" t="e">
        <f aca="false">+M198/M197*100</f>
        <v>#DIV/0!</v>
      </c>
      <c r="N200" s="74" t="e">
        <f aca="false">+N198/N197*100</f>
        <v>#DIV/0!</v>
      </c>
      <c r="O200" s="74" t="e">
        <f aca="false">+O198/O197*100</f>
        <v>#DIV/0!</v>
      </c>
      <c r="P200" s="74" t="e">
        <f aca="false">+P198/P197*100</f>
        <v>#DIV/0!</v>
      </c>
      <c r="Q200" s="74" t="e">
        <f aca="false">+Q198/Q197*100</f>
        <v>#DIV/0!</v>
      </c>
      <c r="R200" s="74" t="e">
        <f aca="false">+R198/R197*100</f>
        <v>#DIV/0!</v>
      </c>
      <c r="S200" s="74" t="e">
        <f aca="false">+S198/S197*100</f>
        <v>#DIV/0!</v>
      </c>
      <c r="T200" s="74" t="e">
        <f aca="false">+T198/T197*100</f>
        <v>#DIV/0!</v>
      </c>
      <c r="U200" s="74" t="e">
        <f aca="false">+U198/U197*100</f>
        <v>#DIV/0!</v>
      </c>
      <c r="V200" s="74" t="e">
        <f aca="false">+V198/V197*100</f>
        <v>#DIV/0!</v>
      </c>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row>
    <row r="201" customFormat="false" ht="15" hidden="false" customHeight="true" outlineLevel="0" collapsed="false">
      <c r="A201" s="29" t="s">
        <v>400</v>
      </c>
      <c r="B201" s="36"/>
      <c r="C201" s="49" t="n">
        <f aca="false">+C197/B197*100-100</f>
        <v>0</v>
      </c>
      <c r="D201" s="49" t="n">
        <f aca="false">+D197/C197*100-100</f>
        <v>0</v>
      </c>
      <c r="E201" s="49" t="n">
        <f aca="false">+E197/D197*100-100</f>
        <v>22.9508196721311</v>
      </c>
      <c r="F201" s="49" t="n">
        <f aca="false">+F197/E197*100-100</f>
        <v>33.3333333333333</v>
      </c>
      <c r="G201" s="49" t="n">
        <f aca="false">+G197/F197*100-100</f>
        <v>0</v>
      </c>
      <c r="H201" s="49" t="n">
        <f aca="false">+H197/G197*100-100</f>
        <v>0</v>
      </c>
      <c r="I201" s="49" t="n">
        <f aca="false">+I197/H197*100-100</f>
        <v>0</v>
      </c>
      <c r="J201" s="49" t="n">
        <f aca="false">+J197/I197*100-100</f>
        <v>0</v>
      </c>
      <c r="K201" s="49" t="n">
        <f aca="false">+K197/J197*100-100</f>
        <v>-100</v>
      </c>
      <c r="L201" s="49" t="e">
        <f aca="false">+L197/K197*100-100</f>
        <v>#DIV/0!</v>
      </c>
      <c r="M201" s="49" t="e">
        <f aca="false">+M197/L197*100-100</f>
        <v>#DIV/0!</v>
      </c>
      <c r="N201" s="49" t="e">
        <f aca="false">+N197/M197*100-100</f>
        <v>#DIV/0!</v>
      </c>
      <c r="O201" s="49" t="e">
        <f aca="false">+O197/N197*100-100</f>
        <v>#DIV/0!</v>
      </c>
      <c r="P201" s="49" t="e">
        <f aca="false">+P197/O197*100-100</f>
        <v>#DIV/0!</v>
      </c>
      <c r="Q201" s="49" t="e">
        <f aca="false">+Q197/P197*100-100</f>
        <v>#DIV/0!</v>
      </c>
      <c r="R201" s="49" t="e">
        <f aca="false">+R197/Q197*100-100</f>
        <v>#DIV/0!</v>
      </c>
      <c r="S201" s="49" t="e">
        <f aca="false">+S197/R197*100-100</f>
        <v>#DIV/0!</v>
      </c>
      <c r="T201" s="49" t="e">
        <f aca="false">+T197/S197*100-100</f>
        <v>#DIV/0!</v>
      </c>
      <c r="U201" s="49" t="e">
        <f aca="false">+U197/T197*100-100</f>
        <v>#DIV/0!</v>
      </c>
      <c r="V201" s="49" t="e">
        <f aca="false">+V197/U197*100-100</f>
        <v>#DIV/0!</v>
      </c>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row>
    <row r="202" customFormat="false" ht="15" hidden="false" customHeight="true" outlineLevel="0" collapsed="false">
      <c r="A202" s="70" t="s">
        <v>402</v>
      </c>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c r="AQ202" s="86"/>
      <c r="AR202" s="86"/>
      <c r="AS202" s="86"/>
      <c r="AT202" s="86"/>
      <c r="AU202" s="86"/>
      <c r="AV202" s="86"/>
      <c r="AW202" s="86"/>
      <c r="AX202" s="86"/>
      <c r="AY202" s="86"/>
    </row>
    <row r="203" customFormat="false" ht="15" hidden="false" customHeight="true" outlineLevel="0" collapsed="false">
      <c r="A203" s="29" t="s">
        <v>403</v>
      </c>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row>
    <row r="204" customFormat="false" ht="15" hidden="false" customHeight="true" outlineLevel="0" collapsed="false">
      <c r="A204" s="29" t="s">
        <v>404</v>
      </c>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row>
    <row r="205" customFormat="false" ht="15" hidden="false" customHeight="true" outlineLevel="0" collapsed="false">
      <c r="A205" s="51" t="s">
        <v>405</v>
      </c>
      <c r="B205" s="52" t="n">
        <f aca="false">+B281</f>
        <v>20571</v>
      </c>
      <c r="C205" s="52" t="n">
        <f aca="false">+C281</f>
        <v>24226</v>
      </c>
      <c r="D205" s="52" t="n">
        <f aca="false">+D281</f>
        <v>30410</v>
      </c>
      <c r="E205" s="52" t="n">
        <f aca="false">+E281</f>
        <v>37399</v>
      </c>
      <c r="F205" s="52" t="n">
        <f aca="false">+F281</f>
        <v>43352</v>
      </c>
      <c r="G205" s="52" t="n">
        <f aca="false">+G281</f>
        <v>31547</v>
      </c>
      <c r="H205" s="52" t="n">
        <f aca="false">+H281</f>
        <v>29741</v>
      </c>
      <c r="I205" s="52" t="n">
        <f aca="false">+I281</f>
        <v>37859</v>
      </c>
      <c r="J205" s="52" t="n">
        <f aca="false">+J281</f>
        <v>32475</v>
      </c>
      <c r="K205" s="52" t="n">
        <f aca="false">+K281</f>
        <v>29673</v>
      </c>
      <c r="L205" s="52" t="n">
        <f aca="false">+L281</f>
        <v>36444</v>
      </c>
      <c r="M205" s="52" t="n">
        <f aca="false">+M281</f>
        <v>48654</v>
      </c>
      <c r="N205" s="52" t="n">
        <f aca="false">+N281</f>
        <v>54740</v>
      </c>
      <c r="O205" s="52" t="n">
        <f aca="false">+O281</f>
        <v>61655</v>
      </c>
      <c r="P205" s="52" t="n">
        <f aca="false">+P281</f>
        <v>83091</v>
      </c>
      <c r="Q205" s="52" t="n">
        <f aca="false">+Q281</f>
        <v>83309</v>
      </c>
      <c r="R205" s="52" t="n">
        <f aca="false">+R281</f>
        <v>54431</v>
      </c>
      <c r="S205" s="52" t="n">
        <f aca="false">+S281</f>
        <v>63926</v>
      </c>
      <c r="T205" s="52" t="n">
        <f aca="false">+T281</f>
        <v>94106</v>
      </c>
      <c r="U205" s="52" t="n">
        <f aca="false">+U281</f>
        <v>98792</v>
      </c>
      <c r="V205" s="52" t="n">
        <f aca="false">+V281</f>
        <v>89470.76</v>
      </c>
      <c r="W205" s="52" t="n">
        <f aca="false">+W281</f>
        <v>69027</v>
      </c>
      <c r="X205" s="52" t="n">
        <f aca="false">+X281</f>
        <v>86591.5</v>
      </c>
      <c r="Y205" s="52" t="n">
        <f aca="false">+Y281</f>
        <v>120029.25</v>
      </c>
      <c r="Z205" s="52" t="n">
        <f aca="false">+Z281</f>
        <v>122218.75</v>
      </c>
      <c r="AA205" s="52" t="n">
        <f aca="false">+AA281</f>
        <v>144974.25</v>
      </c>
      <c r="AB205" s="52" t="n">
        <f aca="false">+AB281</f>
        <v>197366</v>
      </c>
      <c r="AC205" s="52" t="n">
        <f aca="false">+AC281</f>
        <v>125253</v>
      </c>
      <c r="AD205" s="52" t="n">
        <f aca="false">+AD281</f>
        <v>100715</v>
      </c>
      <c r="AE205" s="52" t="n">
        <f aca="false">+AE281</f>
        <v>128326</v>
      </c>
      <c r="AF205" s="52" t="n">
        <f aca="false">+AF281</f>
        <v>192205</v>
      </c>
      <c r="AG205" s="52" t="n">
        <f aca="false">+AG281</f>
        <v>194683</v>
      </c>
      <c r="AH205" s="52" t="n">
        <f aca="false">+AH281</f>
        <v>195093</v>
      </c>
      <c r="AI205" s="52" t="n">
        <f aca="false">+AI281</f>
        <v>220437</v>
      </c>
      <c r="AJ205" s="52" t="n">
        <f aca="false">+AJ281</f>
        <v>237395.64</v>
      </c>
      <c r="AK205" s="52" t="n">
        <f aca="false">+AK281</f>
        <v>254191.8912</v>
      </c>
      <c r="AL205" s="52" t="n">
        <f aca="false">+AL281</f>
        <v>270307.884672</v>
      </c>
      <c r="AM205" s="53"/>
      <c r="AN205" s="53"/>
      <c r="AO205" s="53"/>
      <c r="AP205" s="53"/>
      <c r="AQ205" s="53"/>
      <c r="AR205" s="53"/>
      <c r="AS205" s="53"/>
      <c r="AT205" s="53"/>
      <c r="AU205" s="53"/>
      <c r="AV205" s="53"/>
      <c r="AW205" s="53"/>
      <c r="AX205" s="53"/>
      <c r="AY205" s="53"/>
    </row>
    <row r="206" customFormat="false" ht="15" hidden="false" customHeight="true" outlineLevel="0" collapsed="false">
      <c r="A206" s="70" t="s">
        <v>406</v>
      </c>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c r="AT206" s="86"/>
      <c r="AU206" s="86"/>
      <c r="AV206" s="86"/>
      <c r="AW206" s="86"/>
      <c r="AX206" s="86"/>
      <c r="AY206" s="86"/>
    </row>
    <row r="207" customFormat="false" ht="15" hidden="false" customHeight="true" outlineLevel="0" collapsed="false">
      <c r="A207" s="29" t="s">
        <v>407</v>
      </c>
      <c r="B207" s="62" t="n">
        <v>20417</v>
      </c>
      <c r="C207" s="62" t="n">
        <v>23098</v>
      </c>
      <c r="D207" s="62" t="n">
        <v>28429</v>
      </c>
      <c r="E207" s="62" t="n">
        <v>34373</v>
      </c>
      <c r="F207" s="62" t="n">
        <v>41697</v>
      </c>
      <c r="G207" s="62" t="n">
        <v>30230</v>
      </c>
      <c r="H207" s="62" t="n">
        <v>29178</v>
      </c>
      <c r="I207" s="62" t="n">
        <v>37375</v>
      </c>
      <c r="J207" s="62" t="n">
        <v>31940</v>
      </c>
      <c r="K207" s="62" t="n">
        <v>29389</v>
      </c>
      <c r="L207" s="62" t="n">
        <v>35808</v>
      </c>
      <c r="M207" s="62" t="n">
        <v>47989</v>
      </c>
      <c r="N207" s="62" t="n">
        <v>54321</v>
      </c>
      <c r="O207" s="31" t="n">
        <f aca="false">O235+O239+O243+O247</f>
        <v>60858</v>
      </c>
      <c r="P207" s="31" t="n">
        <f aca="false">P235+P239+P243+P247</f>
        <v>82791</v>
      </c>
      <c r="Q207" s="31" t="n">
        <f aca="false">Q235+Q239+Q243+Q247</f>
        <v>82486</v>
      </c>
      <c r="R207" s="31" t="n">
        <f aca="false">R235+R239+R243+R247</f>
        <v>53079</v>
      </c>
      <c r="S207" s="31" t="n">
        <f aca="false">S235+S239+S243+S247</f>
        <v>62805</v>
      </c>
      <c r="T207" s="31" t="n">
        <f aca="false">T235+T239+T243+T247</f>
        <v>93235</v>
      </c>
      <c r="U207" s="31" t="n">
        <f aca="false">U235+U239+U243+U247</f>
        <v>93282</v>
      </c>
      <c r="V207" s="31" t="n">
        <f aca="false">V235+V239+V243+V247</f>
        <v>78913</v>
      </c>
      <c r="W207" s="31" t="n">
        <f aca="false">W235+W239+W243+W247</f>
        <v>60347</v>
      </c>
      <c r="X207" s="31" t="n">
        <f aca="false">X235+X239+X243+X247</f>
        <v>77660</v>
      </c>
      <c r="Y207" s="31" t="n">
        <f aca="false">Y235+Y239+Y243+Y247</f>
        <v>109762</v>
      </c>
      <c r="Z207" s="31" t="n">
        <f aca="false">Z235+Z239+Z243+Z247</f>
        <v>113296</v>
      </c>
      <c r="AA207" s="31" t="n">
        <f aca="false">AA235+AA239+AA243+AA247</f>
        <v>131432</v>
      </c>
      <c r="AB207" s="31" t="n">
        <f aca="false">AB235+AB239+AB243+AB247</f>
        <v>142858</v>
      </c>
      <c r="AC207" s="31" t="n">
        <f aca="false">AC235+AC239+AC243+AC247</f>
        <v>78607</v>
      </c>
      <c r="AD207" s="31" t="n">
        <f aca="false">AD235+AD239+AD243+AD247</f>
        <v>51807</v>
      </c>
      <c r="AE207" s="31" t="n">
        <f aca="false">AE235+AE239+AE243+AE247</f>
        <v>73885</v>
      </c>
      <c r="AF207" s="31" t="n">
        <f aca="false">AF235+AF239+AF243+AF247</f>
        <v>124109</v>
      </c>
      <c r="AG207" s="31" t="n">
        <f aca="false">AG235+AG239+AG243+AG247</f>
        <v>124883</v>
      </c>
      <c r="AH207" s="31" t="n">
        <f aca="false">AH235+AH239+AH243+AH247</f>
        <v>126027</v>
      </c>
      <c r="AI207" s="31" t="n">
        <f aca="false">AI235+AI239+AI243+AI247</f>
        <v>142658</v>
      </c>
      <c r="AJ207" s="31" t="n">
        <f aca="false">AJ235+AJ239+AJ243+AJ247</f>
        <v>150629</v>
      </c>
      <c r="AK207" s="31" t="n">
        <f aca="false">AK235+AK239+AK243+AK247</f>
        <v>160590</v>
      </c>
      <c r="AL207" s="31" t="n">
        <f aca="false">AL235+AL239+AL243+AL247</f>
        <v>171127</v>
      </c>
      <c r="AM207" s="30"/>
      <c r="AN207" s="30"/>
      <c r="AO207" s="30"/>
      <c r="AP207" s="30"/>
      <c r="AQ207" s="30"/>
      <c r="AR207" s="30"/>
      <c r="AS207" s="30"/>
      <c r="AT207" s="30"/>
      <c r="AU207" s="30"/>
      <c r="AV207" s="30"/>
      <c r="AW207" s="30"/>
      <c r="AX207" s="30"/>
      <c r="AY207" s="30"/>
    </row>
    <row r="208" customFormat="false" ht="15" hidden="false" customHeight="true" outlineLevel="0" collapsed="false">
      <c r="A208" s="29" t="s">
        <v>408</v>
      </c>
      <c r="B208" s="36"/>
      <c r="C208" s="49" t="n">
        <f aca="false">(100*C207)/B207-100</f>
        <v>13.1312141842582</v>
      </c>
      <c r="D208" s="49" t="n">
        <f aca="false">(100*D207)/C207-100</f>
        <v>23.0799203394233</v>
      </c>
      <c r="E208" s="49" t="n">
        <f aca="false">(100*E207)/D207-100</f>
        <v>20.9082275141581</v>
      </c>
      <c r="F208" s="49" t="n">
        <f aca="false">(100*F207)/E207-100</f>
        <v>21.3074215227068</v>
      </c>
      <c r="G208" s="49" t="n">
        <f aca="false">(100*G207)/F207-100</f>
        <v>-27.5007794325731</v>
      </c>
      <c r="H208" s="49" t="n">
        <f aca="false">(100*H207)/G207-100</f>
        <v>-3.47998676811115</v>
      </c>
      <c r="I208" s="49" t="n">
        <f aca="false">(100*I207)/H207-100</f>
        <v>28.0930838302831</v>
      </c>
      <c r="J208" s="49" t="n">
        <f aca="false">(100*J207)/I207-100</f>
        <v>-14.5418060200669</v>
      </c>
      <c r="K208" s="49" t="n">
        <f aca="false">(100*K207)/J207-100</f>
        <v>-7.98685034439575</v>
      </c>
      <c r="L208" s="49" t="n">
        <f aca="false">(100*L207)/K207-100</f>
        <v>21.8415053251216</v>
      </c>
      <c r="M208" s="49" t="n">
        <f aca="false">(100*M207)/L207-100</f>
        <v>34.0175379803396</v>
      </c>
      <c r="N208" s="49" t="n">
        <f aca="false">(100*N207)/M207-100</f>
        <v>13.1946904498948</v>
      </c>
      <c r="O208" s="49" t="n">
        <f aca="false">(100*O207)/N207-100</f>
        <v>12.0340199922682</v>
      </c>
      <c r="P208" s="49" t="n">
        <f aca="false">(100*P207)/O207-100</f>
        <v>36.0396332446022</v>
      </c>
      <c r="Q208" s="49" t="n">
        <f aca="false">(100*Q207)/P207-100</f>
        <v>-0.368397531132615</v>
      </c>
      <c r="R208" s="49" t="n">
        <f aca="false">(100*R207)/Q207-100</f>
        <v>-35.6508983342628</v>
      </c>
      <c r="S208" s="49" t="n">
        <f aca="false">(100*S207)/R207-100</f>
        <v>18.3236308144464</v>
      </c>
      <c r="T208" s="49" t="n">
        <f aca="false">(100*T207)/S207-100</f>
        <v>48.4515564047449</v>
      </c>
      <c r="U208" s="49" t="n">
        <f aca="false">(100*U207)/T207-100</f>
        <v>0.0504102536601039</v>
      </c>
      <c r="V208" s="49" t="n">
        <f aca="false">(100*V207)/U207-100</f>
        <v>-15.4038292489441</v>
      </c>
      <c r="W208" s="49" t="n">
        <f aca="false">(100*W207)/V207-100</f>
        <v>-23.5271754970664</v>
      </c>
      <c r="X208" s="49" t="n">
        <f aca="false">(100*X207)/W207-100</f>
        <v>28.6890814787811</v>
      </c>
      <c r="Y208" s="49" t="n">
        <f aca="false">(100*Y207)/X207-100</f>
        <v>41.3365954159155</v>
      </c>
      <c r="Z208" s="49" t="n">
        <f aca="false">(100*Z207)/Y207-100</f>
        <v>3.21969351870411</v>
      </c>
      <c r="AA208" s="49" t="n">
        <f aca="false">(100*AA207)/Z207-100</f>
        <v>16.0076260415196</v>
      </c>
      <c r="AB208" s="49" t="n">
        <f aca="false">(100*AB207)/AA207-100</f>
        <v>8.69346886602958</v>
      </c>
      <c r="AC208" s="49" t="n">
        <f aca="false">(100*AC207)/AB207-100</f>
        <v>-44.9754301474191</v>
      </c>
      <c r="AD208" s="49" t="n">
        <f aca="false">(100*AD207)/AC207-100</f>
        <v>-34.0936557812917</v>
      </c>
      <c r="AE208" s="49" t="n">
        <f aca="false">(100*AE207)/AD207-100</f>
        <v>42.6158627212539</v>
      </c>
      <c r="AF208" s="49" t="n">
        <f aca="false">(100*AF207)/AE207-100</f>
        <v>67.9759085064628</v>
      </c>
      <c r="AG208" s="49" t="n">
        <f aca="false">(100*AG207)/AF207-100</f>
        <v>0.623645344012118</v>
      </c>
      <c r="AH208" s="49" t="n">
        <f aca="false">(100*AH207)/AG207-100</f>
        <v>0.916057429754247</v>
      </c>
      <c r="AI208" s="49" t="n">
        <f aca="false">(100*AI207)/AH207-100</f>
        <v>13.196378553802</v>
      </c>
      <c r="AJ208" s="49" t="n">
        <f aca="false">(100*AJ207)/AI207-100</f>
        <v>5.5874889596097</v>
      </c>
      <c r="AK208" s="49" t="n">
        <f aca="false">(100*AK207)/AJ207-100</f>
        <v>6.6129364199457</v>
      </c>
      <c r="AL208" s="49" t="n">
        <f aca="false">(100*AL207)/AK207-100</f>
        <v>6.56142972787845</v>
      </c>
      <c r="AM208" s="36"/>
      <c r="AN208" s="36"/>
      <c r="AO208" s="36"/>
      <c r="AP208" s="36"/>
      <c r="AQ208" s="36"/>
      <c r="AR208" s="36"/>
      <c r="AS208" s="36"/>
      <c r="AT208" s="36"/>
      <c r="AU208" s="36"/>
      <c r="AV208" s="36"/>
      <c r="AW208" s="36"/>
      <c r="AX208" s="36"/>
      <c r="AY208" s="36"/>
    </row>
    <row r="209" customFormat="false" ht="15" hidden="false" customHeight="true" outlineLevel="0" collapsed="false">
      <c r="A209" s="29" t="s">
        <v>409</v>
      </c>
      <c r="B209" s="62" t="n">
        <v>153</v>
      </c>
      <c r="C209" s="62" t="n">
        <v>1264</v>
      </c>
      <c r="D209" s="62" t="n">
        <v>1451</v>
      </c>
      <c r="E209" s="62" t="n">
        <v>2350</v>
      </c>
      <c r="F209" s="62" t="n">
        <v>1834</v>
      </c>
      <c r="G209" s="62" t="n">
        <v>1308</v>
      </c>
      <c r="H209" s="62" t="n">
        <v>567</v>
      </c>
      <c r="I209" s="62" t="n">
        <v>484</v>
      </c>
      <c r="J209" s="62" t="n">
        <v>535</v>
      </c>
      <c r="K209" s="62" t="n">
        <v>284</v>
      </c>
      <c r="L209" s="62" t="n">
        <v>637</v>
      </c>
      <c r="M209" s="62" t="n">
        <v>665</v>
      </c>
      <c r="N209" s="62" t="n">
        <v>419</v>
      </c>
      <c r="O209" s="31" t="n">
        <f aca="false">O261+O265</f>
        <v>797</v>
      </c>
      <c r="P209" s="31" t="n">
        <f aca="false">P261+P265</f>
        <v>300</v>
      </c>
      <c r="Q209" s="31" t="n">
        <f aca="false">Q261+Q265</f>
        <v>823</v>
      </c>
      <c r="R209" s="31" t="n">
        <f aca="false">R261+R265</f>
        <v>1352</v>
      </c>
      <c r="S209" s="31" t="n">
        <f aca="false">S261+S265</f>
        <v>1121</v>
      </c>
      <c r="T209" s="31" t="n">
        <f aca="false">T261+T265</f>
        <v>871</v>
      </c>
      <c r="U209" s="31" t="n">
        <f aca="false">U261+U265</f>
        <v>8708</v>
      </c>
      <c r="V209" s="31" t="n">
        <f aca="false">V261+V265</f>
        <v>35698</v>
      </c>
      <c r="W209" s="31" t="n">
        <f aca="false">W261+W265</f>
        <v>28990</v>
      </c>
      <c r="X209" s="31" t="n">
        <f aca="false">X261+X265</f>
        <v>27242</v>
      </c>
      <c r="Y209" s="31" t="n">
        <f aca="false">Y261+Y265</f>
        <v>30695</v>
      </c>
      <c r="Z209" s="31" t="n">
        <f aca="false">Z261+Z265</f>
        <v>31770</v>
      </c>
      <c r="AA209" s="31" t="n">
        <f aca="false">AA261+AA265</f>
        <v>43441</v>
      </c>
      <c r="AB209" s="31" t="n">
        <f aca="false">AB261+AB265</f>
        <v>54508</v>
      </c>
      <c r="AC209" s="31" t="n">
        <f aca="false">AC261+AC265</f>
        <v>46646</v>
      </c>
      <c r="AD209" s="31" t="n">
        <f aca="false">AD261+AD265</f>
        <v>48908</v>
      </c>
      <c r="AE209" s="31" t="n">
        <f aca="false">AE261+AE265</f>
        <v>54441</v>
      </c>
      <c r="AF209" s="31" t="n">
        <f aca="false">AF261+AF265</f>
        <v>68096</v>
      </c>
      <c r="AG209" s="31" t="n">
        <f aca="false">AG261+AG265</f>
        <v>69800</v>
      </c>
      <c r="AH209" s="31" t="n">
        <f aca="false">AH261+AH265</f>
        <v>69066</v>
      </c>
      <c r="AI209" s="31" t="n">
        <f aca="false">AI261+AI265</f>
        <v>77779</v>
      </c>
      <c r="AJ209" s="31" t="n">
        <f aca="false">AJ261+AJ265</f>
        <v>86766.64</v>
      </c>
      <c r="AK209" s="31" t="n">
        <f aca="false">AK261+AK265</f>
        <v>93601.8912</v>
      </c>
      <c r="AL209" s="31" t="n">
        <f aca="false">AL261+AL265</f>
        <v>99180.884672</v>
      </c>
      <c r="AM209" s="30"/>
      <c r="AN209" s="30"/>
      <c r="AO209" s="30"/>
      <c r="AP209" s="30"/>
      <c r="AQ209" s="30"/>
      <c r="AR209" s="30"/>
      <c r="AS209" s="30"/>
      <c r="AT209" s="30"/>
      <c r="AU209" s="30"/>
      <c r="AV209" s="30"/>
      <c r="AW209" s="30"/>
      <c r="AX209" s="30"/>
      <c r="AY209" s="30"/>
    </row>
    <row r="210" customFormat="false" ht="15" hidden="false" customHeight="true" outlineLevel="0" collapsed="false">
      <c r="A210" s="29" t="s">
        <v>408</v>
      </c>
      <c r="B210" s="36"/>
      <c r="C210" s="49" t="n">
        <f aca="false">(100*C209)/B209-100</f>
        <v>726.143790849673</v>
      </c>
      <c r="D210" s="49" t="n">
        <f aca="false">(100*D209)/C209-100</f>
        <v>14.7943037974684</v>
      </c>
      <c r="E210" s="49" t="n">
        <f aca="false">(100*E209)/D209-100</f>
        <v>61.9572708476912</v>
      </c>
      <c r="F210" s="49" t="n">
        <f aca="false">(100*F209)/E209-100</f>
        <v>-21.9574468085106</v>
      </c>
      <c r="G210" s="49" t="n">
        <f aca="false">(100*G209)/F209-100</f>
        <v>-28.680479825518</v>
      </c>
      <c r="H210" s="49" t="n">
        <f aca="false">(100*H209)/G209-100</f>
        <v>-56.651376146789</v>
      </c>
      <c r="I210" s="49" t="n">
        <f aca="false">(100*I209)/H209-100</f>
        <v>-14.6384479717813</v>
      </c>
      <c r="J210" s="49" t="n">
        <f aca="false">(100*J209)/I209-100</f>
        <v>10.5371900826446</v>
      </c>
      <c r="K210" s="49" t="n">
        <f aca="false">(100*K209)/J209-100</f>
        <v>-46.9158878504673</v>
      </c>
      <c r="L210" s="49" t="n">
        <f aca="false">(100*L209)/K209-100</f>
        <v>124.295774647887</v>
      </c>
      <c r="M210" s="49" t="n">
        <f aca="false">(100*M209)/L209-100</f>
        <v>4.39560439560439</v>
      </c>
      <c r="N210" s="49" t="n">
        <f aca="false">(100*N209)/M209-100</f>
        <v>-36.9924812030075</v>
      </c>
      <c r="O210" s="49" t="n">
        <f aca="false">(100*O209)/N209-100</f>
        <v>90.2147971360382</v>
      </c>
      <c r="P210" s="49" t="n">
        <f aca="false">(100*P209)/O209-100</f>
        <v>-62.3588456712673</v>
      </c>
      <c r="Q210" s="49" t="n">
        <f aca="false">(100*Q209)/P209-100</f>
        <v>174.333333333333</v>
      </c>
      <c r="R210" s="49" t="n">
        <f aca="false">(100*R209)/Q209-100</f>
        <v>64.277035236938</v>
      </c>
      <c r="S210" s="49" t="n">
        <f aca="false">(100*S209)/R209-100</f>
        <v>-17.085798816568</v>
      </c>
      <c r="T210" s="49" t="n">
        <f aca="false">(100*T209)/S209-100</f>
        <v>-22.3015165031222</v>
      </c>
      <c r="U210" s="49" t="n">
        <f aca="false">(100*U209)/T209-100</f>
        <v>899.770378874857</v>
      </c>
      <c r="V210" s="49" t="n">
        <f aca="false">(100*V209)/U209-100</f>
        <v>309.944878272853</v>
      </c>
      <c r="W210" s="49" t="n">
        <f aca="false">(100*W209)/V209-100</f>
        <v>-18.7909686817189</v>
      </c>
      <c r="X210" s="49" t="n">
        <f aca="false">(100*X209)/W209-100</f>
        <v>-6.02966540186272</v>
      </c>
      <c r="Y210" s="49" t="n">
        <f aca="false">(100*Y209)/X209-100</f>
        <v>12.6752808163865</v>
      </c>
      <c r="Z210" s="49" t="n">
        <f aca="false">(100*Z209)/Y209-100</f>
        <v>3.50219905522071</v>
      </c>
      <c r="AA210" s="49" t="n">
        <f aca="false">(100*AA209)/Z209-100</f>
        <v>36.7359143846396</v>
      </c>
      <c r="AB210" s="49" t="n">
        <f aca="false">(100*AB209)/AA209-100</f>
        <v>25.4759328744734</v>
      </c>
      <c r="AC210" s="49" t="n">
        <f aca="false">(100*AC209)/AB209-100</f>
        <v>-14.423570851985</v>
      </c>
      <c r="AD210" s="49" t="n">
        <f aca="false">(100*AD209)/AC209-100</f>
        <v>4.84929040003431</v>
      </c>
      <c r="AE210" s="49" t="n">
        <f aca="false">(100*AE209)/AD209-100</f>
        <v>11.3130776151141</v>
      </c>
      <c r="AF210" s="49" t="n">
        <f aca="false">(100*AF209)/AE209-100</f>
        <v>25.0821990779009</v>
      </c>
      <c r="AG210" s="49" t="n">
        <f aca="false">(100*AG209)/AF209-100</f>
        <v>2.50234962406014</v>
      </c>
      <c r="AH210" s="49" t="n">
        <f aca="false">(100*AH209)/AG209-100</f>
        <v>-1.05157593123209</v>
      </c>
      <c r="AI210" s="49" t="n">
        <f aca="false">(100*AI209)/AH209-100</f>
        <v>12.6154692612863</v>
      </c>
      <c r="AJ210" s="49" t="n">
        <f aca="false">(100*AJ209)/AI209-100</f>
        <v>11.5553555586984</v>
      </c>
      <c r="AK210" s="49" t="n">
        <f aca="false">(100*AK209)/AJ209-100</f>
        <v>7.87774103042369</v>
      </c>
      <c r="AL210" s="49" t="n">
        <f aca="false">(100*AL209)/AK209-100</f>
        <v>5.96034268162309</v>
      </c>
      <c r="AM210" s="36"/>
      <c r="AN210" s="36"/>
      <c r="AO210" s="36"/>
      <c r="AP210" s="36"/>
      <c r="AQ210" s="36"/>
      <c r="AR210" s="36"/>
      <c r="AS210" s="36"/>
      <c r="AT210" s="36"/>
      <c r="AU210" s="36"/>
      <c r="AV210" s="36"/>
      <c r="AW210" s="36"/>
      <c r="AX210" s="36"/>
      <c r="AY210" s="36"/>
    </row>
    <row r="211" customFormat="false" ht="15" hidden="false" customHeight="true" outlineLevel="0" collapsed="false">
      <c r="A211" s="51" t="s">
        <v>410</v>
      </c>
      <c r="B211" s="52" t="n">
        <f aca="false">+B207+B209</f>
        <v>20570</v>
      </c>
      <c r="C211" s="52" t="n">
        <f aca="false">+C207+C209</f>
        <v>24362</v>
      </c>
      <c r="D211" s="52" t="n">
        <f aca="false">+D207+D209</f>
        <v>29880</v>
      </c>
      <c r="E211" s="52" t="n">
        <f aca="false">+E207+E209</f>
        <v>36723</v>
      </c>
      <c r="F211" s="52" t="n">
        <f aca="false">+F207+F209</f>
        <v>43531</v>
      </c>
      <c r="G211" s="52" t="n">
        <f aca="false">+G207+G209</f>
        <v>31538</v>
      </c>
      <c r="H211" s="52" t="n">
        <f aca="false">+H207+H209</f>
        <v>29745</v>
      </c>
      <c r="I211" s="52" t="n">
        <f aca="false">+I207+I209</f>
        <v>37859</v>
      </c>
      <c r="J211" s="52" t="n">
        <f aca="false">+J207+J209</f>
        <v>32475</v>
      </c>
      <c r="K211" s="52" t="n">
        <f aca="false">+K207+K209</f>
        <v>29673</v>
      </c>
      <c r="L211" s="52" t="n">
        <f aca="false">+L207+L209</f>
        <v>36445</v>
      </c>
      <c r="M211" s="52" t="n">
        <f aca="false">+M207+M209</f>
        <v>48654</v>
      </c>
      <c r="N211" s="52" t="n">
        <f aca="false">+N207+N209</f>
        <v>54740</v>
      </c>
      <c r="O211" s="52" t="n">
        <f aca="false">+O207+O209</f>
        <v>61655</v>
      </c>
      <c r="P211" s="52" t="n">
        <f aca="false">+P207+P209</f>
        <v>83091</v>
      </c>
      <c r="Q211" s="52" t="n">
        <f aca="false">+Q207+Q209</f>
        <v>83309</v>
      </c>
      <c r="R211" s="52" t="n">
        <f aca="false">+R207+R209</f>
        <v>54431</v>
      </c>
      <c r="S211" s="52" t="n">
        <f aca="false">+S207+S209</f>
        <v>63926</v>
      </c>
      <c r="T211" s="52" t="n">
        <f aca="false">+T207+T209</f>
        <v>94106</v>
      </c>
      <c r="U211" s="52" t="n">
        <f aca="false">+U207+U209</f>
        <v>101990</v>
      </c>
      <c r="V211" s="52" t="n">
        <f aca="false">+V207+V209</f>
        <v>114611</v>
      </c>
      <c r="W211" s="52" t="n">
        <f aca="false">+W207+W209</f>
        <v>89337</v>
      </c>
      <c r="X211" s="52" t="n">
        <f aca="false">+X207+X209</f>
        <v>104902</v>
      </c>
      <c r="Y211" s="52" t="n">
        <f aca="false">+Y207+Y209</f>
        <v>140457</v>
      </c>
      <c r="Z211" s="52" t="n">
        <f aca="false">+Z207+Z209</f>
        <v>145066</v>
      </c>
      <c r="AA211" s="52" t="n">
        <f aca="false">+AA207+AA209</f>
        <v>174873</v>
      </c>
      <c r="AB211" s="52" t="n">
        <f aca="false">+AB207+AB209</f>
        <v>197366</v>
      </c>
      <c r="AC211" s="52" t="n">
        <f aca="false">+AC207+AC209</f>
        <v>125253</v>
      </c>
      <c r="AD211" s="52" t="n">
        <f aca="false">+AD207+AD209</f>
        <v>100715</v>
      </c>
      <c r="AE211" s="52" t="n">
        <f aca="false">+AE207+AE209</f>
        <v>128326</v>
      </c>
      <c r="AF211" s="52" t="n">
        <f aca="false">+AF207+AF209</f>
        <v>192205</v>
      </c>
      <c r="AG211" s="52" t="n">
        <f aca="false">+AG207+AG209</f>
        <v>194683</v>
      </c>
      <c r="AH211" s="52" t="n">
        <f aca="false">+AH207+AH209</f>
        <v>195093</v>
      </c>
      <c r="AI211" s="52" t="n">
        <f aca="false">+AI207+AI209</f>
        <v>220437</v>
      </c>
      <c r="AJ211" s="52" t="n">
        <f aca="false">+AJ207+AJ209</f>
        <v>237395.64</v>
      </c>
      <c r="AK211" s="52" t="n">
        <f aca="false">+AK207+AK209</f>
        <v>254191.8912</v>
      </c>
      <c r="AL211" s="52" t="n">
        <f aca="false">+AL207+AL209</f>
        <v>270307.884672</v>
      </c>
      <c r="AM211" s="53"/>
      <c r="AN211" s="53"/>
      <c r="AO211" s="53"/>
      <c r="AP211" s="53"/>
      <c r="AQ211" s="53"/>
      <c r="AR211" s="53"/>
      <c r="AS211" s="53"/>
      <c r="AT211" s="53"/>
      <c r="AU211" s="53"/>
      <c r="AV211" s="53"/>
      <c r="AW211" s="53"/>
      <c r="AX211" s="53"/>
      <c r="AY211" s="53"/>
    </row>
    <row r="212" customFormat="false" ht="15" hidden="false" customHeight="true" outlineLevel="0" collapsed="false">
      <c r="A212" s="47" t="s">
        <v>408</v>
      </c>
      <c r="B212" s="36"/>
      <c r="C212" s="74" t="n">
        <f aca="false">(100*C211)/B211-100</f>
        <v>18.4346135148274</v>
      </c>
      <c r="D212" s="74" t="n">
        <f aca="false">(100*D211)/C211-100</f>
        <v>22.6500287332731</v>
      </c>
      <c r="E212" s="74" t="n">
        <f aca="false">(100*E211)/D211-100</f>
        <v>22.9016064257028</v>
      </c>
      <c r="F212" s="74" t="n">
        <f aca="false">(100*F211)/E211-100</f>
        <v>18.5387904038341</v>
      </c>
      <c r="G212" s="74" t="n">
        <f aca="false">(100*G211)/F211-100</f>
        <v>-27.5504812662241</v>
      </c>
      <c r="H212" s="74" t="n">
        <f aca="false">(100*H211)/G211-100</f>
        <v>-5.68520514934365</v>
      </c>
      <c r="I212" s="74" t="n">
        <f aca="false">(100*I211)/H211-100</f>
        <v>27.2785342074298</v>
      </c>
      <c r="J212" s="74" t="n">
        <f aca="false">(100*J211)/I211-100</f>
        <v>-14.2211891492116</v>
      </c>
      <c r="K212" s="74" t="n">
        <f aca="false">(100*K211)/J211-100</f>
        <v>-8.62817551963049</v>
      </c>
      <c r="L212" s="74" t="n">
        <f aca="false">(100*L211)/K211-100</f>
        <v>22.8220941596738</v>
      </c>
      <c r="M212" s="74" t="n">
        <f aca="false">(100*M211)/L211-100</f>
        <v>33.4997942104541</v>
      </c>
      <c r="N212" s="74" t="n">
        <f aca="false">(100*N211)/M211-100</f>
        <v>12.5087351502446</v>
      </c>
      <c r="O212" s="74" t="n">
        <f aca="false">(100*O211)/N211-100</f>
        <v>12.6324442820606</v>
      </c>
      <c r="P212" s="74" t="n">
        <f aca="false">(100*P211)/O211-100</f>
        <v>34.7676587462493</v>
      </c>
      <c r="Q212" s="74" t="n">
        <f aca="false">(100*Q211)/P211-100</f>
        <v>0.262362951462848</v>
      </c>
      <c r="R212" s="74" t="n">
        <f aca="false">(100*R211)/Q211-100</f>
        <v>-34.6637218067676</v>
      </c>
      <c r="S212" s="74" t="n">
        <f aca="false">(100*S211)/R211-100</f>
        <v>17.4441035439364</v>
      </c>
      <c r="T212" s="74" t="n">
        <f aca="false">(100*T211)/S211-100</f>
        <v>47.2108375308951</v>
      </c>
      <c r="U212" s="74" t="n">
        <f aca="false">(100*U211)/T211-100</f>
        <v>8.37778675111045</v>
      </c>
      <c r="V212" s="74" t="n">
        <f aca="false">(100*V211)/U211-100</f>
        <v>12.3747426218257</v>
      </c>
      <c r="W212" s="74" t="n">
        <f aca="false">(100*W211)/V211-100</f>
        <v>-22.0519845390059</v>
      </c>
      <c r="X212" s="74" t="n">
        <f aca="false">(100*X211)/W211-100</f>
        <v>17.4227923480753</v>
      </c>
      <c r="Y212" s="74" t="n">
        <f aca="false">(100*Y211)/X211-100</f>
        <v>33.8935387313874</v>
      </c>
      <c r="Z212" s="74" t="n">
        <f aca="false">(100*Z211)/Y211-100</f>
        <v>3.28143132773731</v>
      </c>
      <c r="AA212" s="74" t="n">
        <f aca="false">(100*AA211)/Z211-100</f>
        <v>20.5471992058787</v>
      </c>
      <c r="AB212" s="74" t="n">
        <f aca="false">(100*AB211)/AA211-100</f>
        <v>12.8624773406987</v>
      </c>
      <c r="AC212" s="74" t="n">
        <f aca="false">(100*AC211)/AB211-100</f>
        <v>-36.5377015291388</v>
      </c>
      <c r="AD212" s="74" t="n">
        <f aca="false">(100*AD211)/AC211-100</f>
        <v>-19.5907483253894</v>
      </c>
      <c r="AE212" s="74" t="n">
        <f aca="false">(100*AE211)/AD211-100</f>
        <v>27.4149828724619</v>
      </c>
      <c r="AF212" s="74" t="n">
        <f aca="false">(100*AF211)/AE211-100</f>
        <v>49.7786886523386</v>
      </c>
      <c r="AG212" s="74" t="n">
        <f aca="false">(100*AG211)/AF211-100</f>
        <v>1.28924845867694</v>
      </c>
      <c r="AH212" s="74" t="n">
        <f aca="false">(100*AH211)/AG211-100</f>
        <v>0.21059876825403</v>
      </c>
      <c r="AI212" s="74" t="n">
        <f aca="false">(100*AI211)/AH211-100</f>
        <v>12.9907274991927</v>
      </c>
      <c r="AJ212" s="74" t="n">
        <f aca="false">(100*AJ211)/AI211-100</f>
        <v>7.69319125192232</v>
      </c>
      <c r="AK212" s="74" t="n">
        <f aca="false">(100*AK211)/AJ211-100</f>
        <v>7.07521469223276</v>
      </c>
      <c r="AL212" s="74" t="n">
        <f aca="false">(100*AL211)/AK211-100</f>
        <v>6.34008952682122</v>
      </c>
      <c r="AM212" s="36"/>
      <c r="AN212" s="36"/>
      <c r="AO212" s="36"/>
      <c r="AP212" s="36"/>
      <c r="AQ212" s="36"/>
      <c r="AR212" s="36"/>
      <c r="AS212" s="36"/>
      <c r="AT212" s="36"/>
      <c r="AU212" s="36"/>
      <c r="AV212" s="36"/>
      <c r="AW212" s="36"/>
      <c r="AX212" s="36"/>
      <c r="AY212" s="36"/>
    </row>
    <row r="213" customFormat="false" ht="15" hidden="false" customHeight="true" outlineLevel="0" collapsed="false">
      <c r="A213" s="29"/>
      <c r="B213" s="56"/>
      <c r="C213" s="56"/>
      <c r="D213" s="56"/>
      <c r="E213" s="56"/>
      <c r="F213" s="56"/>
      <c r="G213" s="56"/>
      <c r="H213" s="56"/>
      <c r="I213" s="56"/>
      <c r="J213" s="56"/>
      <c r="K213" s="56"/>
      <c r="L213" s="56"/>
      <c r="M213" s="56"/>
      <c r="N213" s="56"/>
      <c r="O213" s="56"/>
      <c r="P213" s="56"/>
      <c r="Q213" s="56"/>
      <c r="R213" s="56"/>
      <c r="S213" s="56"/>
      <c r="T213" s="56"/>
      <c r="U213" s="56"/>
      <c r="V213" s="56"/>
      <c r="W213" s="57" t="n">
        <f aca="false">+W207/W211</f>
        <v>0.675498393722646</v>
      </c>
      <c r="X213" s="57" t="n">
        <f aca="false">+X207/X211</f>
        <v>0.740310003622429</v>
      </c>
      <c r="Y213" s="57" t="n">
        <f aca="false">+Y207/Y211</f>
        <v>0.781463366012374</v>
      </c>
      <c r="Z213" s="57" t="n">
        <f aca="false">+Z207/Z211</f>
        <v>0.780996236195938</v>
      </c>
      <c r="AA213" s="57" t="n">
        <f aca="false">+AA207/AA211</f>
        <v>0.751585436288049</v>
      </c>
      <c r="AB213" s="57" t="n">
        <f aca="false">+AB207/AB211</f>
        <v>0.723822745559012</v>
      </c>
      <c r="AC213" s="57" t="n">
        <f aca="false">+AC207/AC211</f>
        <v>0.627585766408789</v>
      </c>
      <c r="AD213" s="57" t="n">
        <f aca="false">+AD207/AD211</f>
        <v>0.514392096509954</v>
      </c>
      <c r="AE213" s="57" t="n">
        <f aca="false">+AE207/AE211</f>
        <v>0.575760173308605</v>
      </c>
      <c r="AF213" s="57" t="n">
        <f aca="false">+AF207/AF211</f>
        <v>0.64571160999974</v>
      </c>
      <c r="AG213" s="57" t="n">
        <f aca="false">+AG207/AG211</f>
        <v>0.641468438435816</v>
      </c>
      <c r="AH213" s="57" t="n">
        <f aca="false">+AH207/AH211</f>
        <v>0.645984222909074</v>
      </c>
      <c r="AI213" s="57" t="n">
        <f aca="false">+AI207/AI211</f>
        <v>0.647159959534924</v>
      </c>
      <c r="AJ213" s="57" t="n">
        <f aca="false">+AJ207/AJ211</f>
        <v>0.634506177114289</v>
      </c>
      <c r="AK213" s="57" t="n">
        <f aca="false">+AK207/AK211</f>
        <v>0.631766809090093</v>
      </c>
      <c r="AL213" s="57" t="n">
        <f aca="false">+AL207/AL211</f>
        <v>0.633081791926458</v>
      </c>
      <c r="AM213" s="56"/>
      <c r="AN213" s="56"/>
      <c r="AO213" s="56"/>
      <c r="AP213" s="56"/>
      <c r="AQ213" s="56"/>
      <c r="AR213" s="56"/>
      <c r="AS213" s="56"/>
      <c r="AT213" s="56"/>
      <c r="AU213" s="56"/>
      <c r="AV213" s="56"/>
      <c r="AW213" s="56"/>
      <c r="AX213" s="56"/>
      <c r="AY213" s="56"/>
    </row>
    <row r="214" customFormat="false" ht="15" hidden="false" customHeight="true" outlineLevel="0" collapsed="false">
      <c r="A214" s="70" t="s">
        <v>411</v>
      </c>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c r="AT214" s="86"/>
      <c r="AU214" s="86"/>
      <c r="AV214" s="86"/>
      <c r="AW214" s="86"/>
      <c r="AX214" s="86"/>
      <c r="AY214" s="86"/>
    </row>
    <row r="215" customFormat="false" ht="15" hidden="false" customHeight="true" outlineLevel="0" collapsed="false">
      <c r="A215" s="29" t="s">
        <v>407</v>
      </c>
      <c r="B215" s="49" t="n">
        <f aca="false">+B207/B211*100</f>
        <v>99.2561983471074</v>
      </c>
      <c r="C215" s="49" t="n">
        <f aca="false">+C207/C211*100</f>
        <v>94.8115918233314</v>
      </c>
      <c r="D215" s="49" t="n">
        <f aca="false">+D207/D211*100</f>
        <v>95.1439089692102</v>
      </c>
      <c r="E215" s="49" t="n">
        <f aca="false">+E207/E211*100</f>
        <v>93.6007406802276</v>
      </c>
      <c r="F215" s="49" t="n">
        <f aca="false">+F207/F211*100</f>
        <v>95.7869104775907</v>
      </c>
      <c r="G215" s="49" t="n">
        <f aca="false">+G207/G211*100</f>
        <v>95.8526222334961</v>
      </c>
      <c r="H215" s="49" t="n">
        <f aca="false">+H207/H211*100</f>
        <v>98.0937972768533</v>
      </c>
      <c r="I215" s="49" t="n">
        <f aca="false">+I207/I211*100</f>
        <v>98.7215721492908</v>
      </c>
      <c r="J215" s="49" t="n">
        <f aca="false">+J207/J211*100</f>
        <v>98.3525789068514</v>
      </c>
      <c r="K215" s="49" t="n">
        <f aca="false">+K207/K211*100</f>
        <v>99.042900953729</v>
      </c>
      <c r="L215" s="49" t="n">
        <f aca="false">+L207/L211*100</f>
        <v>98.2521607902319</v>
      </c>
      <c r="M215" s="49" t="n">
        <f aca="false">+M207/M211*100</f>
        <v>98.6332059029062</v>
      </c>
      <c r="N215" s="49" t="n">
        <f aca="false">+N207/N211*100</f>
        <v>99.2345633905736</v>
      </c>
      <c r="O215" s="49" t="n">
        <f aca="false">+O207/O211*100</f>
        <v>98.7073230070554</v>
      </c>
      <c r="P215" s="49" t="n">
        <f aca="false">+P207/P211*100</f>
        <v>99.6389500667942</v>
      </c>
      <c r="Q215" s="49" t="n">
        <f aca="false">+Q207/Q211*100</f>
        <v>99.0121115365687</v>
      </c>
      <c r="R215" s="49" t="n">
        <f aca="false">+R207/R211*100</f>
        <v>97.5161213279198</v>
      </c>
      <c r="S215" s="49" t="n">
        <f aca="false">+S207/S211*100</f>
        <v>98.2464099114601</v>
      </c>
      <c r="T215" s="49" t="n">
        <f aca="false">+T207/T211*100</f>
        <v>99.0744479629354</v>
      </c>
      <c r="U215" s="49" t="n">
        <f aca="false">+U207/U211*100</f>
        <v>91.461908030199</v>
      </c>
      <c r="V215" s="49" t="n">
        <f aca="false">+V207/V211*100</f>
        <v>68.8529024264687</v>
      </c>
      <c r="W215" s="49" t="n">
        <f aca="false">+W207/W211*100</f>
        <v>67.5498393722646</v>
      </c>
      <c r="X215" s="49" t="n">
        <f aca="false">+X207/X211*100</f>
        <v>74.0310003622429</v>
      </c>
      <c r="Y215" s="49" t="n">
        <f aca="false">+Y207/Y211*100</f>
        <v>78.1463366012374</v>
      </c>
      <c r="Z215" s="49" t="n">
        <f aca="false">+Z207/Z211*100</f>
        <v>78.0996236195938</v>
      </c>
      <c r="AA215" s="49" t="n">
        <f aca="false">+AA207/AA211*100</f>
        <v>75.1585436288049</v>
      </c>
      <c r="AB215" s="49" t="n">
        <f aca="false">+AB207/AB211*100</f>
        <v>72.3822745559012</v>
      </c>
      <c r="AC215" s="49" t="n">
        <f aca="false">+AC207/AC211*100</f>
        <v>62.7585766408789</v>
      </c>
      <c r="AD215" s="49" t="n">
        <f aca="false">+AD207/AD211*100</f>
        <v>51.4392096509954</v>
      </c>
      <c r="AE215" s="49" t="n">
        <f aca="false">+AE207/AE211*100</f>
        <v>57.5760173308605</v>
      </c>
      <c r="AF215" s="49" t="n">
        <f aca="false">+AF207/AF211*100</f>
        <v>64.571160999974</v>
      </c>
      <c r="AG215" s="49" t="n">
        <f aca="false">+AG207/AG211*100</f>
        <v>64.1468438435816</v>
      </c>
      <c r="AH215" s="49" t="n">
        <f aca="false">+AH207/AH211*100</f>
        <v>64.5984222909074</v>
      </c>
      <c r="AI215" s="49" t="n">
        <f aca="false">+AI207/AI211*100</f>
        <v>64.7159959534924</v>
      </c>
      <c r="AJ215" s="49" t="n">
        <f aca="false">+AJ207/AJ211*100</f>
        <v>63.4506177114289</v>
      </c>
      <c r="AK215" s="49" t="n">
        <f aca="false">+AK207/AK211*100</f>
        <v>63.1766809090093</v>
      </c>
      <c r="AL215" s="49" t="n">
        <f aca="false">+AL207/AL211*100</f>
        <v>63.3081791926458</v>
      </c>
      <c r="AM215" s="36"/>
      <c r="AN215" s="36"/>
      <c r="AO215" s="36"/>
      <c r="AP215" s="36"/>
      <c r="AQ215" s="36"/>
      <c r="AR215" s="36"/>
      <c r="AS215" s="36"/>
      <c r="AT215" s="36"/>
      <c r="AU215" s="36"/>
      <c r="AV215" s="36"/>
      <c r="AW215" s="36"/>
      <c r="AX215" s="36"/>
      <c r="AY215" s="36"/>
    </row>
    <row r="216" customFormat="false" ht="15" hidden="false" customHeight="true" outlineLevel="0" collapsed="false">
      <c r="A216" s="29" t="s">
        <v>409</v>
      </c>
      <c r="B216" s="49" t="n">
        <f aca="false">+B209/B211*100</f>
        <v>0.743801652892562</v>
      </c>
      <c r="C216" s="49" t="n">
        <f aca="false">+C209/C211*100</f>
        <v>5.18840817666858</v>
      </c>
      <c r="D216" s="49" t="n">
        <f aca="false">+D209/D211*100</f>
        <v>4.85609103078983</v>
      </c>
      <c r="E216" s="49" t="n">
        <f aca="false">+E209/E211*100</f>
        <v>6.39925931977235</v>
      </c>
      <c r="F216" s="49" t="n">
        <f aca="false">+F209/F211*100</f>
        <v>4.21308952240932</v>
      </c>
      <c r="G216" s="49" t="n">
        <f aca="false">+G209/G211*100</f>
        <v>4.1473777665039</v>
      </c>
      <c r="H216" s="49" t="n">
        <f aca="false">+H209/H211*100</f>
        <v>1.90620272314675</v>
      </c>
      <c r="I216" s="49" t="n">
        <f aca="false">+I209/I211*100</f>
        <v>1.27842785070921</v>
      </c>
      <c r="J216" s="49" t="n">
        <f aca="false">+J209/J211*100</f>
        <v>1.64742109314858</v>
      </c>
      <c r="K216" s="49" t="n">
        <f aca="false">+K209/K211*100</f>
        <v>0.957099046271021</v>
      </c>
      <c r="L216" s="49" t="n">
        <f aca="false">+L209/L211*100</f>
        <v>1.74783920976814</v>
      </c>
      <c r="M216" s="49" t="n">
        <f aca="false">+M209/M211*100</f>
        <v>1.36679409709376</v>
      </c>
      <c r="N216" s="49" t="n">
        <f aca="false">+N209/N211*100</f>
        <v>0.765436609426379</v>
      </c>
      <c r="O216" s="49" t="n">
        <f aca="false">+O209/O211*100</f>
        <v>1.29267699294461</v>
      </c>
      <c r="P216" s="49" t="n">
        <f aca="false">+P209/P211*100</f>
        <v>0.361049933205762</v>
      </c>
      <c r="Q216" s="49" t="n">
        <f aca="false">+Q209/Q211*100</f>
        <v>0.987888463431322</v>
      </c>
      <c r="R216" s="49" t="n">
        <f aca="false">+R209/R211*100</f>
        <v>2.48387867208025</v>
      </c>
      <c r="S216" s="49" t="n">
        <f aca="false">+S209/S211*100</f>
        <v>1.75359008853987</v>
      </c>
      <c r="T216" s="49" t="n">
        <f aca="false">+T209/T211*100</f>
        <v>0.925552037064587</v>
      </c>
      <c r="U216" s="49" t="n">
        <f aca="false">+U209/U211*100</f>
        <v>8.53809196980096</v>
      </c>
      <c r="V216" s="49" t="n">
        <f aca="false">+V209/V211*100</f>
        <v>31.1470975735313</v>
      </c>
      <c r="W216" s="49" t="n">
        <f aca="false">+W209/W211*100</f>
        <v>32.4501606277354</v>
      </c>
      <c r="X216" s="49" t="n">
        <f aca="false">+X209/X211*100</f>
        <v>25.9689996377571</v>
      </c>
      <c r="Y216" s="49" t="n">
        <f aca="false">+Y209/Y211*100</f>
        <v>21.8536633987626</v>
      </c>
      <c r="Z216" s="49" t="n">
        <f aca="false">+Z209/Z211*100</f>
        <v>21.9003763804062</v>
      </c>
      <c r="AA216" s="49" t="n">
        <f aca="false">+AA209/AA211*100</f>
        <v>24.8414563711951</v>
      </c>
      <c r="AB216" s="49" t="n">
        <f aca="false">+AB209/AB211*100</f>
        <v>27.6177254440988</v>
      </c>
      <c r="AC216" s="49" t="n">
        <f aca="false">+AC209/AC211*100</f>
        <v>37.2414233591211</v>
      </c>
      <c r="AD216" s="49" t="n">
        <f aca="false">+AD209/AD211*100</f>
        <v>48.5607903490046</v>
      </c>
      <c r="AE216" s="49" t="n">
        <f aca="false">+AE209/AE211*100</f>
        <v>42.4239826691395</v>
      </c>
      <c r="AF216" s="49" t="n">
        <f aca="false">+AF209/AF211*100</f>
        <v>35.428839000026</v>
      </c>
      <c r="AG216" s="49" t="n">
        <f aca="false">+AG209/AG211*100</f>
        <v>35.8531561564184</v>
      </c>
      <c r="AH216" s="49" t="n">
        <f aca="false">+AH209/AH211*100</f>
        <v>35.4015777090926</v>
      </c>
      <c r="AI216" s="49" t="n">
        <f aca="false">+AI209/AI211*100</f>
        <v>35.2840040465076</v>
      </c>
      <c r="AJ216" s="49" t="n">
        <f aca="false">+AJ209/AJ211*100</f>
        <v>36.5493822885711</v>
      </c>
      <c r="AK216" s="49" t="n">
        <f aca="false">+AK209/AK211*100</f>
        <v>36.8233190909908</v>
      </c>
      <c r="AL216" s="49" t="n">
        <f aca="false">+AL209/AL211*100</f>
        <v>36.6918208073543</v>
      </c>
      <c r="AM216" s="36"/>
      <c r="AN216" s="36"/>
      <c r="AO216" s="36"/>
      <c r="AP216" s="36"/>
      <c r="AQ216" s="36"/>
      <c r="AR216" s="36"/>
      <c r="AS216" s="36"/>
      <c r="AT216" s="36"/>
      <c r="AU216" s="36"/>
      <c r="AV216" s="36"/>
      <c r="AW216" s="36"/>
      <c r="AX216" s="36"/>
      <c r="AY216" s="36"/>
    </row>
    <row r="217" customFormat="false" ht="15" hidden="false" customHeight="true" outlineLevel="0" collapsed="false">
      <c r="A217" s="47" t="s">
        <v>412</v>
      </c>
      <c r="B217" s="33" t="s">
        <v>175</v>
      </c>
      <c r="C217" s="33" t="s">
        <v>176</v>
      </c>
      <c r="D217" s="33" t="s">
        <v>177</v>
      </c>
      <c r="E217" s="33" t="s">
        <v>217</v>
      </c>
      <c r="F217" s="33" t="s">
        <v>179</v>
      </c>
      <c r="G217" s="33" t="s">
        <v>180</v>
      </c>
      <c r="H217" s="33" t="s">
        <v>181</v>
      </c>
      <c r="I217" s="33" t="s">
        <v>413</v>
      </c>
      <c r="J217" s="33" t="s">
        <v>183</v>
      </c>
      <c r="K217" s="33" t="s">
        <v>184</v>
      </c>
      <c r="L217" s="33" t="s">
        <v>221</v>
      </c>
      <c r="M217" s="33" t="s">
        <v>186</v>
      </c>
      <c r="N217" s="33" t="s">
        <v>187</v>
      </c>
      <c r="O217" s="33" t="s">
        <v>188</v>
      </c>
      <c r="P217" s="33" t="s">
        <v>189</v>
      </c>
      <c r="Q217" s="33" t="s">
        <v>190</v>
      </c>
      <c r="R217" s="33" t="s">
        <v>191</v>
      </c>
      <c r="S217" s="33" t="s">
        <v>192</v>
      </c>
      <c r="T217" s="33" t="s">
        <v>193</v>
      </c>
      <c r="U217" s="33" t="s">
        <v>194</v>
      </c>
      <c r="V217" s="48" t="str">
        <f aca="false">+V3</f>
        <v>FY2013</v>
      </c>
      <c r="W217" s="48" t="str">
        <f aca="false">+W3</f>
        <v>FY2014</v>
      </c>
      <c r="X217" s="48" t="str">
        <f aca="false">+X3</f>
        <v>FY2015</v>
      </c>
      <c r="Y217" s="48" t="str">
        <f aca="false">+Y3</f>
        <v>FY2016</v>
      </c>
      <c r="Z217" s="48" t="str">
        <f aca="false">+Z3</f>
        <v>FY2017</v>
      </c>
      <c r="AA217" s="48" t="str">
        <f aca="false">+AA3</f>
        <v>FY2018</v>
      </c>
      <c r="AB217" s="48" t="str">
        <f aca="false">+AB3</f>
        <v>FY2019</v>
      </c>
      <c r="AC217" s="48" t="str">
        <f aca="false">+AC3</f>
        <v>FY2020</v>
      </c>
      <c r="AD217" s="48" t="str">
        <f aca="false">+AD3</f>
        <v>FY2021</v>
      </c>
      <c r="AE217" s="48" t="str">
        <f aca="false">+AE3</f>
        <v>FY2022</v>
      </c>
      <c r="AF217" s="48" t="str">
        <f aca="false">+AF3</f>
        <v>FY2023</v>
      </c>
      <c r="AG217" s="48" t="str">
        <f aca="false">+AG3</f>
        <v>FY2024</v>
      </c>
      <c r="AH217" s="48" t="str">
        <f aca="false">+AH3</f>
        <v>FY2025</v>
      </c>
      <c r="AI217" s="48" t="str">
        <f aca="false">+AI3</f>
        <v>FY2026</v>
      </c>
      <c r="AJ217" s="48" t="str">
        <f aca="false">+AJ3</f>
        <v>FY2027E</v>
      </c>
      <c r="AK217" s="48" t="str">
        <f aca="false">+AK3</f>
        <v>FY2028E</v>
      </c>
      <c r="AL217" s="48" t="str">
        <f aca="false">+AL3</f>
        <v>FY2029E</v>
      </c>
      <c r="AM217" s="43"/>
      <c r="AN217" s="43"/>
      <c r="AO217" s="43"/>
      <c r="AP217" s="43"/>
      <c r="AQ217" s="43"/>
      <c r="AR217" s="43"/>
      <c r="AS217" s="43"/>
      <c r="AT217" s="43"/>
      <c r="AU217" s="43"/>
      <c r="AV217" s="43"/>
      <c r="AW217" s="43"/>
      <c r="AX217" s="43"/>
      <c r="AY217" s="43"/>
    </row>
    <row r="218" customFormat="false" ht="15" hidden="false" customHeight="true" outlineLevel="0" collapsed="false">
      <c r="A218" s="29" t="s">
        <v>407</v>
      </c>
      <c r="B218" s="81" t="n">
        <f aca="false">20417/(67981)*100</f>
        <v>30.0333916829702</v>
      </c>
      <c r="C218" s="81" t="n">
        <f aca="false">23098/(76245)*100</f>
        <v>30.2944455374123</v>
      </c>
      <c r="D218" s="81" t="n">
        <f aca="false">28429/103717*100</f>
        <v>27.4101641968048</v>
      </c>
      <c r="E218" s="81" t="n">
        <f aca="false">34373/128341*100</f>
        <v>26.782555847313</v>
      </c>
      <c r="F218" s="81" t="n">
        <f aca="false">41697/151132*100</f>
        <v>27.5897890585713</v>
      </c>
      <c r="G218" s="37" t="n">
        <v>32.6</v>
      </c>
      <c r="H218" s="37" t="n">
        <v>35.05</v>
      </c>
      <c r="I218" s="37" t="n">
        <v>33.6</v>
      </c>
      <c r="J218" s="37" t="n">
        <v>36.5041087122987</v>
      </c>
      <c r="K218" s="37" t="n">
        <v>32.8866630572099</v>
      </c>
      <c r="L218" s="37" t="n">
        <v>31.6388923250923</v>
      </c>
      <c r="M218" s="37" t="n">
        <v>30.3029343198865</v>
      </c>
      <c r="N218" s="37" t="n">
        <v>27.8</v>
      </c>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row>
    <row r="219" customFormat="false" ht="15" hidden="false" customHeight="true" outlineLevel="0" collapsed="false">
      <c r="A219" s="29" t="s">
        <v>409</v>
      </c>
      <c r="B219" s="89" t="n">
        <f aca="false">+B209/(52595)*100</f>
        <v>0.290902177013024</v>
      </c>
      <c r="C219" s="89" t="n">
        <f aca="false">+C209/(74534)*100</f>
        <v>1.69587034105241</v>
      </c>
      <c r="D219" s="89" t="n">
        <f aca="false">+D209/(94912-5000)*100</f>
        <v>1.6138001601566</v>
      </c>
      <c r="E219" s="44" t="n">
        <f aca="false">(2350)/(128751-22250)*100</f>
        <v>2.20655205115445</v>
      </c>
      <c r="F219" s="44" t="n">
        <f aca="false">1834/(145823-41000)*100</f>
        <v>1.74961601938506</v>
      </c>
      <c r="G219" s="60" t="n">
        <v>2</v>
      </c>
      <c r="H219" s="60" t="n">
        <v>1</v>
      </c>
      <c r="I219" s="60" t="n">
        <v>0.8</v>
      </c>
      <c r="J219" s="60" t="n">
        <v>0.850340136054422</v>
      </c>
      <c r="K219" s="60" t="n">
        <v>0.66474145916199</v>
      </c>
      <c r="L219" s="60" t="n">
        <v>0.902138507293585</v>
      </c>
      <c r="M219" s="60" t="n">
        <v>0.666576401112349</v>
      </c>
      <c r="N219" s="60" t="n">
        <v>0.3</v>
      </c>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row>
    <row r="220" customFormat="false" ht="15" hidden="false" customHeight="true" outlineLevel="0" collapsed="false">
      <c r="A220" s="70" t="s">
        <v>407</v>
      </c>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c r="AQ220" s="86"/>
      <c r="AR220" s="86"/>
      <c r="AS220" s="86"/>
      <c r="AT220" s="86"/>
      <c r="AU220" s="86"/>
      <c r="AV220" s="86"/>
      <c r="AW220" s="86"/>
      <c r="AX220" s="86"/>
      <c r="AY220" s="86"/>
    </row>
    <row r="221" customFormat="false" ht="15" hidden="false" customHeight="true" outlineLevel="0" collapsed="false">
      <c r="A221" s="29" t="s">
        <v>414</v>
      </c>
      <c r="B221" s="90" t="n">
        <f aca="false">11363/44930*100</f>
        <v>25.2904518139328</v>
      </c>
      <c r="C221" s="90" t="n">
        <f aca="false">14742/53183*100</f>
        <v>27.7193840136886</v>
      </c>
      <c r="D221" s="90" t="n">
        <f aca="false">17227/75600*100</f>
        <v>22.787037037037</v>
      </c>
      <c r="E221" s="90" t="n">
        <f aca="false">24865/101626*100</f>
        <v>24.4671639147462</v>
      </c>
      <c r="F221" s="90" t="n">
        <f aca="false">31093/123394*100</f>
        <v>25.1981457769422</v>
      </c>
      <c r="G221" s="90" t="n">
        <f aca="false">16518/65519*100</f>
        <v>25.2110074940094</v>
      </c>
      <c r="H221" s="90" t="n">
        <f aca="false">3408/11173*100</f>
        <v>30.5021032847042</v>
      </c>
      <c r="I221" s="78" t="n">
        <v>29.8</v>
      </c>
      <c r="J221" s="36"/>
      <c r="K221" s="78" t="n">
        <v>26.2</v>
      </c>
      <c r="L221" s="78" t="n">
        <v>25.2</v>
      </c>
      <c r="M221" s="78" t="n">
        <v>25</v>
      </c>
      <c r="N221" s="78" t="n">
        <v>23</v>
      </c>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row>
    <row r="222" customFormat="false" ht="15" hidden="false" customHeight="true" outlineLevel="0" collapsed="false">
      <c r="A222" s="29" t="s">
        <v>415</v>
      </c>
      <c r="B222" s="90" t="n">
        <f aca="false">8978/22683*100</f>
        <v>39.580302429132</v>
      </c>
      <c r="C222" s="90" t="n">
        <f aca="false">9355/23925*100</f>
        <v>39.1013584117032</v>
      </c>
      <c r="D222" s="90" t="n">
        <f aca="false">11429/29292*100</f>
        <v>39.0174791752014</v>
      </c>
      <c r="E222" s="90" t="n">
        <f aca="false">9508/26468*100</f>
        <v>35.9226235454133</v>
      </c>
      <c r="F222" s="90" t="n">
        <f aca="false">10604/28081*100</f>
        <v>37.7621879562694</v>
      </c>
      <c r="G222" s="90" t="n">
        <f aca="false">13720/28109*100</f>
        <v>48.8099896830197</v>
      </c>
      <c r="H222" s="78" t="n">
        <v>44.5</v>
      </c>
      <c r="I222" s="78" t="n">
        <v>45.2</v>
      </c>
      <c r="J222" s="36"/>
      <c r="K222" s="78" t="n">
        <v>50.6</v>
      </c>
      <c r="L222" s="78" t="n">
        <v>48.1</v>
      </c>
      <c r="M222" s="78" t="n">
        <v>44.3</v>
      </c>
      <c r="N222" s="78" t="n">
        <v>41.4</v>
      </c>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row>
    <row r="223" customFormat="false" ht="15" hidden="false" customHeight="true" outlineLevel="0" collapsed="false">
      <c r="A223" s="70" t="s">
        <v>416</v>
      </c>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c r="AQ223" s="86"/>
      <c r="AR223" s="86"/>
      <c r="AS223" s="86"/>
      <c r="AT223" s="86"/>
      <c r="AU223" s="86"/>
      <c r="AV223" s="86"/>
      <c r="AW223" s="86"/>
      <c r="AX223" s="86"/>
      <c r="AY223" s="86"/>
    </row>
    <row r="224" customFormat="false" ht="15" hidden="false" customHeight="true" outlineLevel="0" collapsed="false">
      <c r="A224" s="47" t="s">
        <v>407</v>
      </c>
      <c r="B224" s="30"/>
      <c r="C224" s="30"/>
      <c r="D224" s="30"/>
      <c r="E224" s="30"/>
      <c r="F224" s="31" t="n">
        <f aca="false">+F207</f>
        <v>41697</v>
      </c>
      <c r="G224" s="31" t="n">
        <f aca="false">+G207</f>
        <v>30230</v>
      </c>
      <c r="H224" s="31" t="n">
        <f aca="false">+H207</f>
        <v>29178</v>
      </c>
      <c r="I224" s="31" t="n">
        <f aca="false">+I207</f>
        <v>37375</v>
      </c>
      <c r="J224" s="31" t="n">
        <f aca="false">+J207</f>
        <v>31940</v>
      </c>
      <c r="K224" s="31" t="n">
        <f aca="false">+K207</f>
        <v>29389</v>
      </c>
      <c r="L224" s="31" t="n">
        <f aca="false">+L207</f>
        <v>35808</v>
      </c>
      <c r="M224" s="31" t="n">
        <f aca="false">+M207</f>
        <v>47989</v>
      </c>
      <c r="N224" s="31" t="n">
        <f aca="false">+N207</f>
        <v>54321</v>
      </c>
      <c r="O224" s="31" t="n">
        <f aca="false">+O207</f>
        <v>60858</v>
      </c>
      <c r="P224" s="31" t="n">
        <f aca="false">+P207</f>
        <v>82791</v>
      </c>
      <c r="Q224" s="31" t="n">
        <f aca="false">+Q207</f>
        <v>82486</v>
      </c>
      <c r="R224" s="31" t="n">
        <f aca="false">+R207</f>
        <v>53079</v>
      </c>
      <c r="S224" s="31" t="n">
        <f aca="false">+S207</f>
        <v>62805</v>
      </c>
      <c r="T224" s="31" t="n">
        <f aca="false">+T207</f>
        <v>93235</v>
      </c>
      <c r="U224" s="31" t="n">
        <f aca="false">+U207</f>
        <v>93282</v>
      </c>
      <c r="V224" s="31" t="n">
        <f aca="false">+V207</f>
        <v>78913</v>
      </c>
      <c r="W224" s="31" t="n">
        <f aca="false">+W207</f>
        <v>60347</v>
      </c>
      <c r="X224" s="31" t="n">
        <f aca="false">+X207</f>
        <v>77660</v>
      </c>
      <c r="Y224" s="31" t="n">
        <f aca="false">+Y207</f>
        <v>109762</v>
      </c>
      <c r="Z224" s="31" t="n">
        <f aca="false">+Z207</f>
        <v>113296</v>
      </c>
      <c r="AA224" s="31" t="n">
        <f aca="false">+AA207</f>
        <v>131432</v>
      </c>
      <c r="AB224" s="31" t="n">
        <f aca="false">+AB207</f>
        <v>142858</v>
      </c>
      <c r="AC224" s="31" t="n">
        <f aca="false">+AC207</f>
        <v>78607</v>
      </c>
      <c r="AD224" s="31" t="n">
        <f aca="false">+AD207</f>
        <v>51807</v>
      </c>
      <c r="AE224" s="31" t="n">
        <f aca="false">+AE207</f>
        <v>73885</v>
      </c>
      <c r="AF224" s="31" t="n">
        <f aca="false">+AF207</f>
        <v>124109</v>
      </c>
      <c r="AG224" s="31" t="n">
        <f aca="false">+AG207</f>
        <v>124883</v>
      </c>
      <c r="AH224" s="31" t="n">
        <f aca="false">+AH207</f>
        <v>126027</v>
      </c>
      <c r="AI224" s="31" t="n">
        <f aca="false">+AI207</f>
        <v>142658</v>
      </c>
      <c r="AJ224" s="31" t="n">
        <f aca="false">+AJ207</f>
        <v>150629</v>
      </c>
      <c r="AK224" s="31" t="n">
        <f aca="false">+AK207</f>
        <v>160590</v>
      </c>
      <c r="AL224" s="31" t="n">
        <f aca="false">+AL207</f>
        <v>171127</v>
      </c>
      <c r="AM224" s="30"/>
      <c r="AN224" s="30"/>
      <c r="AO224" s="30"/>
      <c r="AP224" s="30"/>
      <c r="AQ224" s="30"/>
      <c r="AR224" s="30"/>
      <c r="AS224" s="30"/>
      <c r="AT224" s="30"/>
      <c r="AU224" s="30"/>
      <c r="AV224" s="30"/>
      <c r="AW224" s="30"/>
      <c r="AX224" s="30"/>
      <c r="AY224" s="30"/>
    </row>
    <row r="225" customFormat="false" ht="15" hidden="false" customHeight="true" outlineLevel="0" collapsed="false">
      <c r="A225" s="47" t="s">
        <v>417</v>
      </c>
      <c r="B225" s="30"/>
      <c r="C225" s="30"/>
      <c r="D225" s="30"/>
      <c r="E225" s="30"/>
      <c r="F225" s="62" t="n">
        <v>498000</v>
      </c>
      <c r="G225" s="32" t="n">
        <f aca="false">+F225*1.0544</f>
        <v>525091.2</v>
      </c>
      <c r="H225" s="32" t="n">
        <f aca="false">+G225*1.11</f>
        <v>582851.232</v>
      </c>
      <c r="I225" s="32" t="n">
        <f aca="false">+H225*1.0522</f>
        <v>613276.0663104</v>
      </c>
      <c r="J225" s="32" t="n">
        <f aca="false">+I225*1.04</f>
        <v>637807.108962816</v>
      </c>
      <c r="K225" s="32" t="n">
        <f aca="false">+J225*1.04</f>
        <v>663319.393321329</v>
      </c>
      <c r="L225" s="32" t="n">
        <f aca="false">+K225*1.04</f>
        <v>689852.169054182</v>
      </c>
      <c r="M225" s="32" t="n">
        <f aca="false">+L225*1.04</f>
        <v>717446.255816349</v>
      </c>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row>
    <row r="226" customFormat="false" ht="15" hidden="false" customHeight="true" outlineLevel="0" collapsed="false">
      <c r="A226" s="47" t="s">
        <v>418</v>
      </c>
      <c r="B226" s="30"/>
      <c r="C226" s="30"/>
      <c r="D226" s="30"/>
      <c r="E226" s="30"/>
      <c r="F226" s="31" t="n">
        <f aca="false">(+F224*F225)/1000000</f>
        <v>20765.106</v>
      </c>
      <c r="G226" s="31" t="n">
        <f aca="false">(+G224*G225)/1000000</f>
        <v>15873.506976</v>
      </c>
      <c r="H226" s="31" t="n">
        <f aca="false">(+H224*H225)/1000000</f>
        <v>17006.433247296</v>
      </c>
      <c r="I226" s="31" t="n">
        <f aca="false">(+I224*I225)/1000000</f>
        <v>22921.1929783512</v>
      </c>
      <c r="J226" s="31" t="n">
        <f aca="false">(+J224*J225)/1000000</f>
        <v>20371.5590602723</v>
      </c>
      <c r="K226" s="31" t="n">
        <f aca="false">(+K224*K225)/1000000</f>
        <v>19494.2936503205</v>
      </c>
      <c r="L226" s="31" t="n">
        <f aca="false">(+L224*L225)/1000000</f>
        <v>24702.2264694921</v>
      </c>
      <c r="M226" s="31" t="n">
        <f aca="false">(+M224*M225)/1000000</f>
        <v>34429.5283703708</v>
      </c>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row>
    <row r="227" customFormat="false" ht="15" hidden="false" customHeight="true" outlineLevel="0" collapsed="false">
      <c r="A227" s="47" t="s">
        <v>409</v>
      </c>
      <c r="B227" s="30"/>
      <c r="C227" s="30"/>
      <c r="D227" s="30"/>
      <c r="E227" s="30"/>
      <c r="F227" s="31" t="n">
        <f aca="false">+F209</f>
        <v>1834</v>
      </c>
      <c r="G227" s="31" t="n">
        <f aca="false">+G209</f>
        <v>1308</v>
      </c>
      <c r="H227" s="31" t="n">
        <f aca="false">+H209</f>
        <v>567</v>
      </c>
      <c r="I227" s="31" t="n">
        <f aca="false">+I209</f>
        <v>484</v>
      </c>
      <c r="J227" s="31" t="n">
        <f aca="false">+J209</f>
        <v>535</v>
      </c>
      <c r="K227" s="31" t="n">
        <f aca="false">+K209</f>
        <v>284</v>
      </c>
      <c r="L227" s="31" t="n">
        <f aca="false">+L209</f>
        <v>637</v>
      </c>
      <c r="M227" s="31" t="n">
        <f aca="false">+M209</f>
        <v>665</v>
      </c>
      <c r="N227" s="31" t="n">
        <f aca="false">+N209</f>
        <v>419</v>
      </c>
      <c r="O227" s="31" t="n">
        <f aca="false">+O209</f>
        <v>797</v>
      </c>
      <c r="P227" s="31" t="n">
        <f aca="false">+P209</f>
        <v>300</v>
      </c>
      <c r="Q227" s="31" t="n">
        <f aca="false">+Q209</f>
        <v>823</v>
      </c>
      <c r="R227" s="31" t="n">
        <f aca="false">+R209</f>
        <v>1352</v>
      </c>
      <c r="S227" s="31" t="n">
        <f aca="false">+S209</f>
        <v>1121</v>
      </c>
      <c r="T227" s="31" t="n">
        <f aca="false">+T209</f>
        <v>871</v>
      </c>
      <c r="U227" s="31" t="n">
        <f aca="false">+U209</f>
        <v>8708</v>
      </c>
      <c r="V227" s="31" t="n">
        <f aca="false">+V209</f>
        <v>35698</v>
      </c>
      <c r="W227" s="31" t="n">
        <f aca="false">+W209</f>
        <v>28990</v>
      </c>
      <c r="X227" s="31" t="n">
        <f aca="false">+X209</f>
        <v>27242</v>
      </c>
      <c r="Y227" s="31" t="n">
        <f aca="false">+Y209</f>
        <v>30695</v>
      </c>
      <c r="Z227" s="31" t="n">
        <f aca="false">+Z209</f>
        <v>31770</v>
      </c>
      <c r="AA227" s="31" t="n">
        <f aca="false">+AA209</f>
        <v>43441</v>
      </c>
      <c r="AB227" s="31" t="n">
        <f aca="false">+AB209</f>
        <v>54508</v>
      </c>
      <c r="AC227" s="31" t="n">
        <f aca="false">+AC209</f>
        <v>46646</v>
      </c>
      <c r="AD227" s="31" t="n">
        <f aca="false">+AD209</f>
        <v>48908</v>
      </c>
      <c r="AE227" s="31" t="n">
        <f aca="false">+AE209</f>
        <v>54441</v>
      </c>
      <c r="AF227" s="31" t="n">
        <f aca="false">+AF209</f>
        <v>68096</v>
      </c>
      <c r="AG227" s="31" t="n">
        <f aca="false">+AG209</f>
        <v>69800</v>
      </c>
      <c r="AH227" s="31" t="n">
        <f aca="false">+AH209</f>
        <v>69066</v>
      </c>
      <c r="AI227" s="31" t="n">
        <f aca="false">+AI209</f>
        <v>77779</v>
      </c>
      <c r="AJ227" s="31" t="n">
        <f aca="false">+AJ209</f>
        <v>86766.64</v>
      </c>
      <c r="AK227" s="31" t="n">
        <f aca="false">+AK209</f>
        <v>93601.8912</v>
      </c>
      <c r="AL227" s="31" t="n">
        <f aca="false">+AL209</f>
        <v>99180.884672</v>
      </c>
      <c r="AM227" s="30"/>
      <c r="AN227" s="30"/>
      <c r="AO227" s="30"/>
      <c r="AP227" s="30"/>
      <c r="AQ227" s="30"/>
      <c r="AR227" s="30"/>
      <c r="AS227" s="30"/>
      <c r="AT227" s="30"/>
      <c r="AU227" s="30"/>
      <c r="AV227" s="30"/>
      <c r="AW227" s="30"/>
      <c r="AX227" s="30"/>
      <c r="AY227" s="30"/>
    </row>
    <row r="228" customFormat="false" ht="15" hidden="false" customHeight="true" outlineLevel="0" collapsed="false">
      <c r="A228" s="47" t="s">
        <v>417</v>
      </c>
      <c r="B228" s="30"/>
      <c r="C228" s="30"/>
      <c r="D228" s="30"/>
      <c r="E228" s="30"/>
      <c r="F228" s="62" t="n">
        <v>415000</v>
      </c>
      <c r="G228" s="32" t="n">
        <f aca="false">+F228*1.03</f>
        <v>427450</v>
      </c>
      <c r="H228" s="32" t="n">
        <f aca="false">+G228*1.14</f>
        <v>487293</v>
      </c>
      <c r="I228" s="32" t="n">
        <f aca="false">+H228*1.03</f>
        <v>501911.79</v>
      </c>
      <c r="J228" s="32" t="n">
        <f aca="false">+I228*1.03</f>
        <v>516969.1437</v>
      </c>
      <c r="K228" s="32" t="n">
        <f aca="false">+J228*1.03</f>
        <v>532478.218011</v>
      </c>
      <c r="L228" s="32" t="n">
        <f aca="false">+K228*1.03</f>
        <v>548452.56455133</v>
      </c>
      <c r="M228" s="32" t="n">
        <f aca="false">+L228*1.03</f>
        <v>564906.14148787</v>
      </c>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row>
    <row r="229" customFormat="false" ht="15" hidden="false" customHeight="true" outlineLevel="0" collapsed="false">
      <c r="A229" s="47" t="s">
        <v>418</v>
      </c>
      <c r="B229" s="36"/>
      <c r="C229" s="36"/>
      <c r="D229" s="36"/>
      <c r="E229" s="36"/>
      <c r="F229" s="49" t="n">
        <f aca="false">(+F227*F228)/1000000</f>
        <v>761.11</v>
      </c>
      <c r="G229" s="49" t="n">
        <f aca="false">(+G227*G228)/1000000</f>
        <v>559.1046</v>
      </c>
      <c r="H229" s="49" t="n">
        <f aca="false">(+H227*H228)/1000000</f>
        <v>276.295131</v>
      </c>
      <c r="I229" s="49" t="n">
        <f aca="false">(+I227*I228)/1000000</f>
        <v>242.92530636</v>
      </c>
      <c r="J229" s="49" t="n">
        <f aca="false">(+J227*J228)/1000000</f>
        <v>276.5784918795</v>
      </c>
      <c r="K229" s="49" t="n">
        <f aca="false">(+K227*K228)/1000000</f>
        <v>151.223813915124</v>
      </c>
      <c r="L229" s="49" t="n">
        <f aca="false">(+L227*L228)/1000000</f>
        <v>349.364283619197</v>
      </c>
      <c r="M229" s="49" t="n">
        <f aca="false">(+M227*M228)/1000000</f>
        <v>375.662584089434</v>
      </c>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row>
    <row r="230" customFormat="false" ht="15" hidden="false" customHeight="true" outlineLevel="0" collapsed="false">
      <c r="A230" s="47"/>
      <c r="B230" s="43"/>
      <c r="C230" s="43"/>
      <c r="D230" s="43"/>
      <c r="E230" s="43"/>
      <c r="F230" s="43"/>
      <c r="G230" s="43"/>
      <c r="H230" s="43"/>
      <c r="I230" s="43"/>
      <c r="J230" s="43"/>
      <c r="K230" s="43"/>
      <c r="L230" s="43"/>
      <c r="M230" s="43"/>
      <c r="N230" s="50" t="s">
        <v>419</v>
      </c>
      <c r="O230" s="50" t="s">
        <v>420</v>
      </c>
      <c r="P230" s="50" t="s">
        <v>421</v>
      </c>
      <c r="Q230" s="50" t="s">
        <v>422</v>
      </c>
      <c r="R230" s="50" t="s">
        <v>423</v>
      </c>
      <c r="S230" s="50" t="s">
        <v>424</v>
      </c>
      <c r="T230" s="50" t="s">
        <v>425</v>
      </c>
      <c r="U230" s="50" t="s">
        <v>426</v>
      </c>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row>
    <row r="231" customFormat="false" ht="15" hidden="false" customHeight="true" outlineLevel="0" collapsed="false">
      <c r="A231" s="51" t="s">
        <v>427</v>
      </c>
      <c r="B231" s="53"/>
      <c r="C231" s="53"/>
      <c r="D231" s="53"/>
      <c r="E231" s="53"/>
      <c r="F231" s="52" t="n">
        <f aca="false">+F229+F226</f>
        <v>21526.216</v>
      </c>
      <c r="G231" s="52" t="n">
        <f aca="false">+G229+G226</f>
        <v>16432.611576</v>
      </c>
      <c r="H231" s="52" t="n">
        <f aca="false">+H229+H226</f>
        <v>17282.728378296</v>
      </c>
      <c r="I231" s="52" t="n">
        <f aca="false">+I229+I226</f>
        <v>23164.1182847112</v>
      </c>
      <c r="J231" s="52" t="n">
        <f aca="false">+J229+J226</f>
        <v>20648.1375521518</v>
      </c>
      <c r="K231" s="52" t="n">
        <f aca="false">+K229+K226</f>
        <v>19645.5174642357</v>
      </c>
      <c r="L231" s="52" t="n">
        <f aca="false">+L229+L226</f>
        <v>25051.5907531113</v>
      </c>
      <c r="M231" s="52" t="n">
        <f aca="false">+M229+M226</f>
        <v>34805.1909544602</v>
      </c>
      <c r="N231" s="63" t="n">
        <v>6900</v>
      </c>
      <c r="O231" s="63" t="n">
        <v>4300</v>
      </c>
      <c r="P231" s="63" t="n">
        <v>3200</v>
      </c>
      <c r="Q231" s="63" t="n">
        <v>1500</v>
      </c>
      <c r="R231" s="63" t="n">
        <v>1600</v>
      </c>
      <c r="S231" s="91" t="n">
        <f aca="false">1500</f>
        <v>1500</v>
      </c>
      <c r="T231" s="63" t="n">
        <v>3000</v>
      </c>
      <c r="U231" s="63" t="n">
        <v>3000</v>
      </c>
      <c r="V231" s="53"/>
      <c r="W231" s="91" t="n">
        <f aca="false">14951+36876</f>
        <v>51827</v>
      </c>
      <c r="X231" s="53"/>
      <c r="Y231" s="53"/>
      <c r="Z231" s="55" t="n">
        <f aca="false">+Z235+Z243</f>
        <v>102315</v>
      </c>
      <c r="AA231" s="55" t="n">
        <f aca="false">+AA235+AA243</f>
        <v>116534</v>
      </c>
      <c r="AB231" s="55" t="n">
        <f aca="false">+AB235+AB243</f>
        <v>131936</v>
      </c>
      <c r="AC231" s="55" t="n">
        <f aca="false">+AC235+AC243</f>
        <v>71421</v>
      </c>
      <c r="AD231" s="55" t="n">
        <f aca="false">+AD235+AD243</f>
        <v>46043</v>
      </c>
      <c r="AE231" s="55" t="n">
        <f aca="false">+AE235+AE243</f>
        <v>65090</v>
      </c>
      <c r="AF231" s="55" t="n">
        <f aca="false">+AF235+AF243</f>
        <v>114299</v>
      </c>
      <c r="AG231" s="55" t="n">
        <f aca="false">+AG235+AG243</f>
        <v>116197</v>
      </c>
      <c r="AH231" s="55" t="n">
        <f aca="false">+AH235+AH243</f>
        <v>114789</v>
      </c>
      <c r="AI231" s="55" t="n">
        <f aca="false">+AI235+AI243</f>
        <v>128033</v>
      </c>
      <c r="AJ231" s="55" t="n">
        <f aca="false">+AJ235+AJ243</f>
        <v>136575</v>
      </c>
      <c r="AK231" s="55" t="n">
        <f aca="false">+AK235+AK243</f>
        <v>145195</v>
      </c>
      <c r="AL231" s="55" t="n">
        <f aca="false">+AL235+AL243</f>
        <v>154366</v>
      </c>
      <c r="AM231" s="53"/>
      <c r="AN231" s="53"/>
      <c r="AO231" s="53"/>
      <c r="AP231" s="53"/>
      <c r="AQ231" s="53"/>
      <c r="AR231" s="53"/>
      <c r="AS231" s="53"/>
      <c r="AT231" s="53"/>
      <c r="AU231" s="53"/>
      <c r="AV231" s="53"/>
      <c r="AW231" s="53"/>
      <c r="AX231" s="53"/>
      <c r="AY231" s="53"/>
    </row>
    <row r="232" customFormat="false" ht="15" hidden="false" customHeight="true" outlineLevel="0" collapsed="false">
      <c r="A232" s="47"/>
      <c r="B232" s="30"/>
      <c r="C232" s="30"/>
      <c r="D232" s="30"/>
      <c r="E232" s="30"/>
      <c r="F232" s="30"/>
      <c r="G232" s="35" t="n">
        <f aca="false">+G231/F231*100-100</f>
        <v>-23.6623307319782</v>
      </c>
      <c r="H232" s="35" t="n">
        <f aca="false">+H231/G231*100-100</f>
        <v>5.17335177287097</v>
      </c>
      <c r="I232" s="35" t="n">
        <f aca="false">+I231/H231*100-100</f>
        <v>34.0304480732404</v>
      </c>
      <c r="J232" s="35" t="n">
        <f aca="false">+J231/I231*100-100</f>
        <v>-10.8615432784245</v>
      </c>
      <c r="K232" s="35" t="n">
        <f aca="false">+K231/J231*100-100</f>
        <v>-4.85574103419174</v>
      </c>
      <c r="L232" s="35" t="n">
        <f aca="false">+L231/K231*100-100</f>
        <v>27.5181007510612</v>
      </c>
      <c r="M232" s="35" t="n">
        <f aca="false">+M231/L231*100-100</f>
        <v>38.9340553159783</v>
      </c>
      <c r="N232" s="31" t="n">
        <f aca="false">N231*3</f>
        <v>20700</v>
      </c>
      <c r="O232" s="31" t="n">
        <f aca="false">O231*3</f>
        <v>12900</v>
      </c>
      <c r="P232" s="31" t="n">
        <f aca="false">P231*3</f>
        <v>9600</v>
      </c>
      <c r="Q232" s="31" t="n">
        <f aca="false">Q231*3</f>
        <v>4500</v>
      </c>
      <c r="R232" s="31" t="n">
        <f aca="false">R231*3</f>
        <v>4800</v>
      </c>
      <c r="S232" s="31" t="n">
        <f aca="false">S231*3</f>
        <v>4500</v>
      </c>
      <c r="T232" s="31" t="n">
        <f aca="false">T231*3</f>
        <v>9000</v>
      </c>
      <c r="U232" s="31" t="n">
        <f aca="false">U231*3</f>
        <v>9000</v>
      </c>
      <c r="V232" s="30"/>
      <c r="W232" s="92" t="n">
        <f aca="false">14951+36867</f>
        <v>51818</v>
      </c>
      <c r="X232" s="30"/>
      <c r="Y232" s="30"/>
      <c r="Z232" s="30"/>
      <c r="AA232" s="31" t="n">
        <f aca="false">+AA231/Z231-1</f>
        <v>0.138972780139764</v>
      </c>
      <c r="AB232" s="31" t="n">
        <f aca="false">+AB231/AA231-1</f>
        <v>0.132167436113066</v>
      </c>
      <c r="AC232" s="31" t="n">
        <f aca="false">+AC231/AB231-1</f>
        <v>-0.45866935483871</v>
      </c>
      <c r="AD232" s="31" t="n">
        <f aca="false">+AD231/AC231-1</f>
        <v>-0.355329664944484</v>
      </c>
      <c r="AE232" s="31" t="n">
        <f aca="false">+AE231/AD231-1</f>
        <v>0.413678517907174</v>
      </c>
      <c r="AF232" s="31" t="n">
        <f aca="false">+AF231/AE231-1</f>
        <v>0.756014748809341</v>
      </c>
      <c r="AG232" s="31" t="n">
        <f aca="false">+AG231/AF231-1</f>
        <v>0.0166055696025338</v>
      </c>
      <c r="AH232" s="31" t="n">
        <f aca="false">+AH231/AG231-1</f>
        <v>-0.0121173524273432</v>
      </c>
      <c r="AI232" s="31" t="n">
        <f aca="false">+AI231/AH231-1</f>
        <v>0.115376908937268</v>
      </c>
      <c r="AJ232" s="31" t="n">
        <f aca="false">+AJ231/AI231-1</f>
        <v>0.0667171744784547</v>
      </c>
      <c r="AK232" s="31" t="n">
        <f aca="false">+AK231/AJ231-1</f>
        <v>0.0631155043016658</v>
      </c>
      <c r="AL232" s="31" t="n">
        <f aca="false">+AL231/AK231-1</f>
        <v>0.0631633320706635</v>
      </c>
      <c r="AM232" s="30"/>
      <c r="AN232" s="30"/>
      <c r="AO232" s="30"/>
      <c r="AP232" s="30"/>
      <c r="AQ232" s="30"/>
      <c r="AR232" s="30"/>
      <c r="AS232" s="30"/>
      <c r="AT232" s="30"/>
      <c r="AU232" s="30"/>
      <c r="AV232" s="30"/>
      <c r="AW232" s="30"/>
      <c r="AX232" s="30"/>
      <c r="AY232" s="30"/>
    </row>
    <row r="233" customFormat="false" ht="15" hidden="false" customHeight="true" outlineLevel="0" collapsed="false">
      <c r="A233" s="47"/>
      <c r="B233" s="56"/>
      <c r="C233" s="56"/>
      <c r="D233" s="56"/>
      <c r="E233" s="56"/>
      <c r="F233" s="56"/>
      <c r="G233" s="56"/>
      <c r="H233" s="56"/>
      <c r="I233" s="56"/>
      <c r="J233" s="56"/>
      <c r="K233" s="56"/>
      <c r="L233" s="56"/>
      <c r="M233" s="56"/>
      <c r="N233" s="56"/>
      <c r="O233" s="56"/>
      <c r="P233" s="56"/>
      <c r="Q233" s="56"/>
      <c r="R233" s="56"/>
      <c r="S233" s="56"/>
      <c r="T233" s="56"/>
      <c r="U233" s="56"/>
      <c r="V233" s="57" t="n">
        <f aca="false">+V243/V8</f>
        <v>0.453673731142735</v>
      </c>
      <c r="W233" s="56"/>
      <c r="X233" s="57" t="n">
        <f aca="false">+X243/X8</f>
        <v>0.508007473642066</v>
      </c>
      <c r="Y233" s="57" t="n">
        <f aca="false">+Y243/Y8</f>
        <v>0.564065870693522</v>
      </c>
      <c r="Z233" s="57" t="n">
        <f aca="false">+Z243/Z8</f>
        <v>0.583106999572608</v>
      </c>
      <c r="AA233" s="57" t="n">
        <f aca="false">+AA243/AA8</f>
        <v>0.588003865662509</v>
      </c>
      <c r="AB233" s="57" t="n">
        <f aca="false">+AB243/AB8</f>
        <v>0.585779718897885</v>
      </c>
      <c r="AC233" s="57" t="n">
        <f aca="false">+AC243/AC8</f>
        <v>0.425267259067647</v>
      </c>
      <c r="AD233" s="57" t="n">
        <f aca="false">+AD243/AD8</f>
        <v>0.430124609045326</v>
      </c>
      <c r="AE233" s="57" t="n">
        <f aca="false">+AE243/AE8</f>
        <v>0.477697426865951</v>
      </c>
      <c r="AF233" s="57" t="n">
        <f aca="false">+AF243/AF8</f>
        <v>0.538383496787284</v>
      </c>
      <c r="AG233" s="57" t="n">
        <f aca="false">+AG243/AG8</f>
        <v>0.503952579321256</v>
      </c>
      <c r="AH233" s="57" t="n">
        <f aca="false">+AH243/AH8</f>
        <v>0.479463640417647</v>
      </c>
      <c r="AI233" s="57" t="n">
        <f aca="false">+AI243/AI8</f>
        <v>0.484365147411732</v>
      </c>
      <c r="AJ233" s="57" t="n">
        <f aca="false">+AJ243/AJ8</f>
        <v>0.485746073516767</v>
      </c>
      <c r="AK233" s="57" t="n">
        <f aca="false">+AK243/AK8</f>
        <v>0.480868997917114</v>
      </c>
      <c r="AL233" s="57" t="n">
        <f aca="false">+AL243/AL8</f>
        <v>0.479331189903027</v>
      </c>
      <c r="AM233" s="56"/>
      <c r="AN233" s="56"/>
      <c r="AO233" s="56"/>
      <c r="AP233" s="56"/>
      <c r="AQ233" s="56"/>
      <c r="AR233" s="56"/>
      <c r="AS233" s="56"/>
      <c r="AT233" s="56"/>
      <c r="AU233" s="56"/>
      <c r="AV233" s="56"/>
      <c r="AW233" s="56"/>
      <c r="AX233" s="56"/>
      <c r="AY233" s="56"/>
    </row>
    <row r="234" customFormat="false" ht="15" hidden="false" customHeight="true" outlineLevel="0" collapsed="false">
      <c r="A234" s="47" t="s">
        <v>428</v>
      </c>
      <c r="B234" s="30"/>
      <c r="C234" s="30"/>
      <c r="D234" s="30"/>
      <c r="E234" s="30"/>
      <c r="F234" s="30"/>
      <c r="G234" s="30"/>
      <c r="H234" s="30"/>
      <c r="I234" s="30"/>
      <c r="J234" s="30"/>
      <c r="K234" s="30"/>
      <c r="L234" s="31" t="n">
        <f aca="false">L243+L247</f>
        <v>24839</v>
      </c>
      <c r="M234" s="31" t="n">
        <f aca="false">M243+M247</f>
        <v>35386</v>
      </c>
      <c r="N234" s="31" t="n">
        <f aca="false">N243+N247</f>
        <v>41800</v>
      </c>
      <c r="O234" s="31" t="n">
        <f aca="false">O243+O247</f>
        <v>45193</v>
      </c>
      <c r="P234" s="30"/>
      <c r="Q234" s="33" t="s">
        <v>190</v>
      </c>
      <c r="R234" s="33" t="s">
        <v>191</v>
      </c>
      <c r="S234" s="33" t="s">
        <v>192</v>
      </c>
      <c r="T234" s="33" t="s">
        <v>193</v>
      </c>
      <c r="U234" s="33" t="s">
        <v>194</v>
      </c>
      <c r="V234" s="35" t="str">
        <f aca="false">+V217</f>
        <v>FY2013</v>
      </c>
      <c r="W234" s="35" t="str">
        <f aca="false">+W217</f>
        <v>FY2014</v>
      </c>
      <c r="X234" s="35" t="str">
        <f aca="false">+X217</f>
        <v>FY2015</v>
      </c>
      <c r="Y234" s="35" t="str">
        <f aca="false">+Y217</f>
        <v>FY2016</v>
      </c>
      <c r="Z234" s="35" t="str">
        <f aca="false">+Z217</f>
        <v>FY2017</v>
      </c>
      <c r="AA234" s="35" t="str">
        <f aca="false">+AA217</f>
        <v>FY2018</v>
      </c>
      <c r="AB234" s="35" t="str">
        <f aca="false">+AB217</f>
        <v>FY2019</v>
      </c>
      <c r="AC234" s="35" t="str">
        <f aca="false">+AC217</f>
        <v>FY2020</v>
      </c>
      <c r="AD234" s="35" t="str">
        <f aca="false">+AD217</f>
        <v>FY2021</v>
      </c>
      <c r="AE234" s="35" t="str">
        <f aca="false">+AE217</f>
        <v>FY2022</v>
      </c>
      <c r="AF234" s="35" t="str">
        <f aca="false">+AF217</f>
        <v>FY2023</v>
      </c>
      <c r="AG234" s="35" t="str">
        <f aca="false">+AG217</f>
        <v>FY2024</v>
      </c>
      <c r="AH234" s="35" t="str">
        <f aca="false">+AH217</f>
        <v>FY2025</v>
      </c>
      <c r="AI234" s="35" t="str">
        <f aca="false">+AI217</f>
        <v>FY2026</v>
      </c>
      <c r="AJ234" s="35" t="str">
        <f aca="false">+AJ217</f>
        <v>FY2027E</v>
      </c>
      <c r="AK234" s="35" t="str">
        <f aca="false">+AK217</f>
        <v>FY2028E</v>
      </c>
      <c r="AL234" s="35" t="str">
        <f aca="false">+AL217</f>
        <v>FY2029E</v>
      </c>
      <c r="AM234" s="30"/>
      <c r="AN234" s="30"/>
      <c r="AO234" s="30"/>
      <c r="AP234" s="30"/>
      <c r="AQ234" s="30"/>
      <c r="AR234" s="30"/>
      <c r="AS234" s="30"/>
      <c r="AT234" s="30"/>
      <c r="AU234" s="30"/>
      <c r="AV234" s="30"/>
      <c r="AW234" s="30"/>
      <c r="AX234" s="30"/>
      <c r="AY234" s="30"/>
    </row>
    <row r="235" customFormat="false" ht="15" hidden="false" customHeight="true" outlineLevel="0" collapsed="false">
      <c r="A235" s="47" t="s">
        <v>429</v>
      </c>
      <c r="B235" s="30"/>
      <c r="C235" s="30"/>
      <c r="D235" s="30"/>
      <c r="E235" s="30"/>
      <c r="F235" s="30"/>
      <c r="G235" s="30"/>
      <c r="H235" s="34" t="n">
        <v>10016</v>
      </c>
      <c r="I235" s="34" t="n">
        <v>11062</v>
      </c>
      <c r="J235" s="34" t="n">
        <v>12486</v>
      </c>
      <c r="K235" s="34" t="n">
        <v>8422</v>
      </c>
      <c r="L235" s="34" t="n">
        <v>9743</v>
      </c>
      <c r="M235" s="34" t="n">
        <v>11025</v>
      </c>
      <c r="N235" s="34" t="n">
        <v>10469</v>
      </c>
      <c r="O235" s="34" t="n">
        <v>13410</v>
      </c>
      <c r="P235" s="34" t="n">
        <v>11717</v>
      </c>
      <c r="Q235" s="34" t="n">
        <v>17573</v>
      </c>
      <c r="R235" s="34" t="n">
        <v>16038</v>
      </c>
      <c r="S235" s="34" t="n">
        <v>16405</v>
      </c>
      <c r="T235" s="34" t="n">
        <v>20425</v>
      </c>
      <c r="U235" s="34" t="n">
        <v>20635</v>
      </c>
      <c r="V235" s="93" t="n">
        <f aca="false">18642+40</f>
        <v>18682</v>
      </c>
      <c r="W235" s="93" t="n">
        <f aca="false">14951+15</f>
        <v>14966</v>
      </c>
      <c r="X235" s="34" t="n">
        <v>13151</v>
      </c>
      <c r="Y235" s="93" t="n">
        <f aca="false">19586+3</f>
        <v>19589</v>
      </c>
      <c r="Z235" s="93" t="n">
        <f aca="false">17725+1</f>
        <v>17726</v>
      </c>
      <c r="AA235" s="34" t="n">
        <v>13708</v>
      </c>
      <c r="AB235" s="34" t="n">
        <v>16323</v>
      </c>
      <c r="AC235" s="93" t="n">
        <f aca="false">18141+14</f>
        <v>18155</v>
      </c>
      <c r="AD235" s="34" t="n">
        <v>2723</v>
      </c>
      <c r="AE235" s="34" t="n">
        <v>3789</v>
      </c>
      <c r="AF235" s="34" t="n">
        <v>10819</v>
      </c>
      <c r="AG235" s="34" t="n">
        <v>18086</v>
      </c>
      <c r="AH235" s="93" t="n">
        <f aca="false">21253-4</f>
        <v>21249</v>
      </c>
      <c r="AI235" s="34" t="n">
        <v>21261</v>
      </c>
      <c r="AJ235" s="35" t="n">
        <f aca="false">ROUND(AI235*(1+AJ238/100),0)</f>
        <v>21261</v>
      </c>
      <c r="AK235" s="35" t="n">
        <f aca="false">ROUND(AJ235*(1+AK238/100),0)</f>
        <v>22962</v>
      </c>
      <c r="AL235" s="35" t="n">
        <f aca="false">ROUND(AK235*(1+AL238/100),0)</f>
        <v>24799</v>
      </c>
      <c r="AM235" s="30"/>
      <c r="AN235" s="30"/>
      <c r="AO235" s="30"/>
      <c r="AP235" s="30"/>
      <c r="AQ235" s="30"/>
      <c r="AR235" s="30"/>
      <c r="AS235" s="30"/>
      <c r="AT235" s="30"/>
      <c r="AU235" s="30"/>
      <c r="AV235" s="30"/>
      <c r="AW235" s="30"/>
      <c r="AX235" s="30"/>
      <c r="AY235" s="30"/>
    </row>
    <row r="236" customFormat="false" ht="15" hidden="false" customHeight="true" outlineLevel="0" collapsed="false">
      <c r="A236" s="29" t="s">
        <v>430</v>
      </c>
      <c r="B236" s="36"/>
      <c r="C236" s="36"/>
      <c r="D236" s="36"/>
      <c r="E236" s="36"/>
      <c r="F236" s="36"/>
      <c r="G236" s="36"/>
      <c r="H236" s="49" t="n">
        <f aca="false">H235/(H235+H239+H243+H247)*100</f>
        <v>38.1010346926354</v>
      </c>
      <c r="I236" s="49" t="n">
        <f aca="false">I235/(I235+I239+I243+I247)*100</f>
        <v>29.5973244147157</v>
      </c>
      <c r="J236" s="49" t="n">
        <f aca="false">J235/(J235+J239+J243+J247)*100</f>
        <v>39.0920475892298</v>
      </c>
      <c r="K236" s="49" t="n">
        <f aca="false">K235/(K235+K239+K243+K247)*100</f>
        <v>28.6569805029093</v>
      </c>
      <c r="L236" s="49" t="n">
        <f aca="false">L235/(L235+L239+L243+L247)*100</f>
        <v>27.2090035746202</v>
      </c>
      <c r="M236" s="49" t="n">
        <f aca="false">M235/(M235+M239+M243+M247)*100</f>
        <v>22.9740148784096</v>
      </c>
      <c r="N236" s="49" t="n">
        <f aca="false">N235/(N235+N239+N243+N247)*100</f>
        <v>19.2724728926198</v>
      </c>
      <c r="O236" s="49" t="n">
        <f aca="false">O235/(O235+O239+O243+O247)*100</f>
        <v>22.0349009168885</v>
      </c>
      <c r="P236" s="49" t="n">
        <f aca="false">P235/(P235+P239+P243+P247)*100</f>
        <v>14.1525044992813</v>
      </c>
      <c r="Q236" s="49" t="n">
        <f aca="false">Q235/(Q235+Q239+Q243+Q247)*100</f>
        <v>21.3042213224062</v>
      </c>
      <c r="R236" s="49" t="n">
        <f aca="false">R235/(R235+R239+R243+R247)*100</f>
        <v>30.2153393997626</v>
      </c>
      <c r="S236" s="49" t="n">
        <f aca="false">S235/(S235+S239+S243+S247)*100</f>
        <v>26.1205318047926</v>
      </c>
      <c r="T236" s="49" t="n">
        <f aca="false">T235/(T235+T239+T243+T247)*100</f>
        <v>21.9070091703759</v>
      </c>
      <c r="U236" s="49" t="n">
        <f aca="false">U235/(U235+U239+U243+U247)*100</f>
        <v>22.1210951737741</v>
      </c>
      <c r="V236" s="49" t="n">
        <f aca="false">V235/(V235+V239+V243+V247)*100</f>
        <v>23.6741728232357</v>
      </c>
      <c r="W236" s="49" t="n">
        <f aca="false">W235/(W235+W239+W243+W247)*100</f>
        <v>24.7999072033407</v>
      </c>
      <c r="X236" s="49" t="n">
        <f aca="false">X235/(X235+X239+X243+X247)*100</f>
        <v>16.9340715941283</v>
      </c>
      <c r="Y236" s="49" t="n">
        <f aca="false">Y235/(Y235+Y239+Y243+Y247)*100</f>
        <v>17.8467957945373</v>
      </c>
      <c r="Z236" s="49" t="n">
        <f aca="false">Z235/(Z235+Z239+Z243+Z247)*100</f>
        <v>15.6457421268182</v>
      </c>
      <c r="AA236" s="49" t="n">
        <f aca="false">AA235/(AA235+AA239+AA243+AA247)*100</f>
        <v>10.4297279201412</v>
      </c>
      <c r="AB236" s="49" t="n">
        <f aca="false">AB235/(AB235+AB239+AB243+AB247)*100</f>
        <v>11.4260314438113</v>
      </c>
      <c r="AC236" s="49" t="n">
        <f aca="false">AC235/(AC235+AC239+AC243+AC247)*100</f>
        <v>23.0959074891549</v>
      </c>
      <c r="AD236" s="49" t="n">
        <f aca="false">AD235/(AD235+AD239+AD243+AD247)*100</f>
        <v>5.25604648020538</v>
      </c>
      <c r="AE236" s="49" t="n">
        <f aca="false">AE235/(AE235+AE239+AE243+AE247)*100</f>
        <v>5.12823983217162</v>
      </c>
      <c r="AF236" s="49" t="n">
        <f aca="false">AF235/(AF235+AF239+AF243+AF247)*100</f>
        <v>8.71733717941487</v>
      </c>
      <c r="AG236" s="49" t="n">
        <f aca="false">AG235/(AG235+AG239+AG243+AG247)*100</f>
        <v>14.4823554847337</v>
      </c>
      <c r="AH236" s="49" t="n">
        <f aca="false">AH235/(AH235+AH239+AH243+AH247)*100</f>
        <v>16.8606727129901</v>
      </c>
      <c r="AI236" s="49" t="n">
        <f aca="false">AI235/(AI235+AI239+AI243+AI247)*100</f>
        <v>14.90347544477</v>
      </c>
      <c r="AJ236" s="49" t="n">
        <f aca="false">AJ235/(AJ235+AJ239+AJ243+AJ247)*100</f>
        <v>14.1148118888129</v>
      </c>
      <c r="AK236" s="49" t="n">
        <f aca="false">AK235/(AK235+AK239+AK243+AK247)*100</f>
        <v>14.2985241920418</v>
      </c>
      <c r="AL236" s="49" t="n">
        <f aca="false">AL235/(AL235+AL239+AL243+AL247)*100</f>
        <v>14.4915764315392</v>
      </c>
      <c r="AM236" s="36"/>
      <c r="AN236" s="36"/>
      <c r="AO236" s="36"/>
      <c r="AP236" s="36"/>
      <c r="AQ236" s="36"/>
      <c r="AR236" s="36"/>
      <c r="AS236" s="36"/>
      <c r="AT236" s="36"/>
      <c r="AU236" s="36"/>
      <c r="AV236" s="36"/>
      <c r="AW236" s="36"/>
      <c r="AX236" s="36"/>
      <c r="AY236" s="36"/>
    </row>
    <row r="237" customFormat="false" ht="15" hidden="false" customHeight="true" outlineLevel="0" collapsed="false">
      <c r="A237" s="29" t="s">
        <v>431</v>
      </c>
      <c r="B237" s="36"/>
      <c r="C237" s="36"/>
      <c r="D237" s="36"/>
      <c r="E237" s="36"/>
      <c r="F237" s="36"/>
      <c r="G237" s="36"/>
      <c r="H237" s="49" t="n">
        <f aca="false">H235/H273*100</f>
        <v>37.2952040512362</v>
      </c>
      <c r="I237" s="49" t="n">
        <f aca="false">I235/I273*100</f>
        <v>29.2189439763332</v>
      </c>
      <c r="J237" s="49" t="n">
        <f aca="false">J235/J273*100</f>
        <v>38.4480369515012</v>
      </c>
      <c r="K237" s="49" t="n">
        <f aca="false">K235/K273*100</f>
        <v>28.3827048158258</v>
      </c>
      <c r="L237" s="49" t="n">
        <f aca="false">L235/L273*100</f>
        <v>26.7334339415558</v>
      </c>
      <c r="M237" s="49" t="n">
        <f aca="false">M235/M273*100</f>
        <v>22.6600073991861</v>
      </c>
      <c r="N237" s="49" t="n">
        <f aca="false">N235/N273*100</f>
        <v>19.1249543295579</v>
      </c>
      <c r="O237" s="49" t="n">
        <f aca="false">O235/O273*100</f>
        <v>21.7500608223177</v>
      </c>
      <c r="P237" s="49" t="n">
        <f aca="false">P235/P273*100</f>
        <v>14.1014068912397</v>
      </c>
      <c r="Q237" s="49" t="n">
        <f aca="false">Q235/Q273*100</f>
        <v>21.0937593777383</v>
      </c>
      <c r="R237" s="49" t="n">
        <f aca="false">R235/R273*100</f>
        <v>29.4648270287153</v>
      </c>
      <c r="S237" s="49" t="n">
        <f aca="false">S235/S273*100</f>
        <v>25.6624847479899</v>
      </c>
      <c r="T237" s="49" t="n">
        <f aca="false">T235/T273*100</f>
        <v>21.7042484007396</v>
      </c>
      <c r="U237" s="49" t="n">
        <f aca="false">U235/U273*100</f>
        <v>20.2323757231101</v>
      </c>
      <c r="V237" s="49" t="n">
        <f aca="false">V235/V273*100</f>
        <v>16.3003551142561</v>
      </c>
      <c r="W237" s="49" t="n">
        <f aca="false">W235/W273*100</f>
        <v>16.7522974803273</v>
      </c>
      <c r="X237" s="49" t="n">
        <f aca="false">X235/X273*100</f>
        <v>12.5364626031916</v>
      </c>
      <c r="Y237" s="49" t="n">
        <f aca="false">Y235/Y273*100</f>
        <v>13.9466171141346</v>
      </c>
      <c r="Z237" s="49" t="n">
        <f aca="false">Z235/Z273*100</f>
        <v>12.2192657135373</v>
      </c>
      <c r="AA237" s="49" t="n">
        <f aca="false">AA235/AA273*100</f>
        <v>7.83883160922498</v>
      </c>
      <c r="AB237" s="49" t="n">
        <f aca="false">AB235/AB273*100</f>
        <v>8.27042145050313</v>
      </c>
      <c r="AC237" s="49" t="n">
        <f aca="false">AC235/AC273*100</f>
        <v>14.4946628024878</v>
      </c>
      <c r="AD237" s="49" t="n">
        <f aca="false">AD235/AD273*100</f>
        <v>2.70366876830661</v>
      </c>
      <c r="AE237" s="49" t="n">
        <f aca="false">AE235/AE273*100</f>
        <v>2.95263625453922</v>
      </c>
      <c r="AF237" s="49" t="n">
        <f aca="false">AF235/AF273*100</f>
        <v>5.62888582503057</v>
      </c>
      <c r="AG237" s="49" t="n">
        <f aca="false">AG235/AG273*100</f>
        <v>9.28997395766451</v>
      </c>
      <c r="AH237" s="49" t="n">
        <f aca="false">AH235/AH273*100</f>
        <v>10.8917285602251</v>
      </c>
      <c r="AI237" s="49" t="n">
        <f aca="false">AI235/AI273*100</f>
        <v>9.64493256576709</v>
      </c>
      <c r="AJ237" s="49" t="n">
        <f aca="false">AJ235/AJ273*100</f>
        <v>8.955935332258</v>
      </c>
      <c r="AK237" s="49" t="n">
        <f aca="false">AK235/AK273*100</f>
        <v>9.03333300350377</v>
      </c>
      <c r="AL237" s="49" t="n">
        <f aca="false">AL235/AL273*100</f>
        <v>9.17435317511803</v>
      </c>
      <c r="AM237" s="36"/>
      <c r="AN237" s="36"/>
      <c r="AO237" s="36"/>
      <c r="AP237" s="36"/>
      <c r="AQ237" s="36"/>
      <c r="AR237" s="36"/>
      <c r="AS237" s="36"/>
      <c r="AT237" s="36"/>
      <c r="AU237" s="36"/>
      <c r="AV237" s="36"/>
      <c r="AW237" s="36"/>
      <c r="AX237" s="36"/>
      <c r="AY237" s="36"/>
    </row>
    <row r="238" customFormat="false" ht="15" hidden="false" customHeight="true" outlineLevel="0" collapsed="false">
      <c r="A238" s="29" t="s">
        <v>432</v>
      </c>
      <c r="B238" s="36"/>
      <c r="C238" s="36"/>
      <c r="D238" s="36"/>
      <c r="E238" s="36"/>
      <c r="F238" s="36"/>
      <c r="G238" s="36"/>
      <c r="H238" s="36"/>
      <c r="I238" s="49" t="n">
        <f aca="false">I235/H235*100-100</f>
        <v>10.4432907348243</v>
      </c>
      <c r="J238" s="49" t="n">
        <f aca="false">J235/I235*100-100</f>
        <v>12.8728982100886</v>
      </c>
      <c r="K238" s="49" t="n">
        <f aca="false">K235/J235*100-100</f>
        <v>-32.548454268781</v>
      </c>
      <c r="L238" s="49" t="n">
        <f aca="false">L235/K235*100-100</f>
        <v>15.6851104250772</v>
      </c>
      <c r="M238" s="49" t="n">
        <f aca="false">M235/L235*100-100</f>
        <v>13.1581648362927</v>
      </c>
      <c r="N238" s="49" t="n">
        <f aca="false">N235/M235*100-100</f>
        <v>-5.04308390022675</v>
      </c>
      <c r="O238" s="49" t="n">
        <f aca="false">O235/N235*100-100</f>
        <v>28.0924634635591</v>
      </c>
      <c r="P238" s="49" t="n">
        <f aca="false">P235/O235*100-100</f>
        <v>-12.6249067859806</v>
      </c>
      <c r="Q238" s="49" t="n">
        <f aca="false">Q235/P235*100-100</f>
        <v>49.9786634804131</v>
      </c>
      <c r="R238" s="49" t="n">
        <f aca="false">R235/Q235*100-100</f>
        <v>-8.73499117965059</v>
      </c>
      <c r="S238" s="49" t="n">
        <f aca="false">S235/R235*100-100</f>
        <v>2.28831525127822</v>
      </c>
      <c r="T238" s="49" t="n">
        <f aca="false">T235/S235*100-100</f>
        <v>24.5047241694605</v>
      </c>
      <c r="U238" s="49" t="n">
        <f aca="false">U235/T235*100-100</f>
        <v>1.02815177478581</v>
      </c>
      <c r="V238" s="49" t="n">
        <f aca="false">V235/U235*100-100</f>
        <v>-9.46450205960745</v>
      </c>
      <c r="W238" s="49" t="n">
        <f aca="false">W235/V235*100-100</f>
        <v>-19.890803982443</v>
      </c>
      <c r="X238" s="49" t="n">
        <f aca="false">X235/W235*100-100</f>
        <v>-12.12748897501</v>
      </c>
      <c r="Y238" s="49" t="n">
        <f aca="false">Y235/X235*100-100</f>
        <v>48.9544521329177</v>
      </c>
      <c r="Z238" s="49" t="n">
        <f aca="false">Z235/Y235*100-100</f>
        <v>-9.51043953239062</v>
      </c>
      <c r="AA238" s="49" t="n">
        <f aca="false">AA235/Z235*100-100</f>
        <v>-22.6672684192711</v>
      </c>
      <c r="AB238" s="49" t="n">
        <f aca="false">AB235/AA235*100-100</f>
        <v>19.0764517070324</v>
      </c>
      <c r="AC238" s="49" t="n">
        <f aca="false">AC235/AB235*100-100</f>
        <v>11.223427066103</v>
      </c>
      <c r="AD238" s="49" t="n">
        <f aca="false">AD235/AC235*100-100</f>
        <v>-85.0013770311209</v>
      </c>
      <c r="AE238" s="49" t="n">
        <f aca="false">AE235/AD235*100-100</f>
        <v>39.147998531032</v>
      </c>
      <c r="AF238" s="49" t="n">
        <f aca="false">AF235/AE235*100-100</f>
        <v>185.537081024017</v>
      </c>
      <c r="AG238" s="49" t="n">
        <f aca="false">AG235/AF235*100-100</f>
        <v>67.1688695812922</v>
      </c>
      <c r="AH238" s="49" t="n">
        <f aca="false">AH235/AG235*100-100</f>
        <v>17.4886652659516</v>
      </c>
      <c r="AI238" s="49" t="n">
        <f aca="false">AI235/AH235*100-100</f>
        <v>0.0564732457998076</v>
      </c>
      <c r="AJ238" s="37" t="n">
        <v>0</v>
      </c>
      <c r="AK238" s="37" t="n">
        <v>8</v>
      </c>
      <c r="AL238" s="37" t="n">
        <v>8</v>
      </c>
      <c r="AM238" s="36"/>
      <c r="AN238" s="36"/>
      <c r="AO238" s="36"/>
      <c r="AP238" s="36"/>
      <c r="AQ238" s="36"/>
      <c r="AR238" s="36"/>
      <c r="AS238" s="36"/>
      <c r="AT238" s="36"/>
      <c r="AU238" s="36"/>
      <c r="AV238" s="36"/>
      <c r="AW238" s="36"/>
      <c r="AX238" s="36"/>
      <c r="AY238" s="36"/>
    </row>
    <row r="239" customFormat="false" ht="15" hidden="false" customHeight="true" outlineLevel="0" collapsed="false">
      <c r="A239" s="47" t="s">
        <v>433</v>
      </c>
      <c r="B239" s="30"/>
      <c r="C239" s="30"/>
      <c r="D239" s="30"/>
      <c r="E239" s="30"/>
      <c r="F239" s="30"/>
      <c r="G239" s="30"/>
      <c r="H239" s="34" t="n">
        <v>748</v>
      </c>
      <c r="I239" s="34" t="n">
        <v>1131</v>
      </c>
      <c r="J239" s="34" t="n">
        <v>1027</v>
      </c>
      <c r="K239" s="34" t="n">
        <v>853</v>
      </c>
      <c r="L239" s="34" t="n">
        <v>1226</v>
      </c>
      <c r="M239" s="34" t="n">
        <v>1578</v>
      </c>
      <c r="N239" s="34" t="n">
        <v>2052</v>
      </c>
      <c r="O239" s="34" t="n">
        <v>2255</v>
      </c>
      <c r="P239" s="34" t="n">
        <v>3778</v>
      </c>
      <c r="Q239" s="34" t="n">
        <v>4689</v>
      </c>
      <c r="R239" s="34" t="n">
        <v>3696</v>
      </c>
      <c r="S239" s="34" t="n">
        <v>2080</v>
      </c>
      <c r="T239" s="34" t="n">
        <v>4801</v>
      </c>
      <c r="U239" s="34" t="n">
        <v>5207</v>
      </c>
      <c r="V239" s="93" t="n">
        <f aca="false">4830-40</f>
        <v>4790</v>
      </c>
      <c r="W239" s="34" t="n">
        <v>4377</v>
      </c>
      <c r="X239" s="34" t="n">
        <v>7571</v>
      </c>
      <c r="Y239" s="34" t="n">
        <v>6135</v>
      </c>
      <c r="Z239" s="93" t="n">
        <f aca="false">4877+1</f>
        <v>4878</v>
      </c>
      <c r="AA239" s="34" t="n">
        <v>6512</v>
      </c>
      <c r="AB239" s="34" t="n">
        <v>3548</v>
      </c>
      <c r="AC239" s="34" t="n">
        <v>4952</v>
      </c>
      <c r="AD239" s="34" t="n">
        <v>2832</v>
      </c>
      <c r="AE239" s="34" t="n">
        <v>4010</v>
      </c>
      <c r="AF239" s="93" t="n">
        <f aca="false">18332-10819</f>
        <v>7513</v>
      </c>
      <c r="AG239" s="93" t="n">
        <f aca="false">24663-18086</f>
        <v>6577</v>
      </c>
      <c r="AH239" s="93" t="n">
        <f aca="false">29169-21253</f>
        <v>7916</v>
      </c>
      <c r="AI239" s="34" t="n">
        <v>11420</v>
      </c>
      <c r="AJ239" s="35" t="n">
        <f aca="false">ROUND(AI239*(1+AJ242/100),0)</f>
        <v>10849</v>
      </c>
      <c r="AK239" s="35" t="n">
        <f aca="false">ROUND(AJ239*(1+AK242/100),0)</f>
        <v>11934</v>
      </c>
      <c r="AL239" s="35" t="n">
        <f aca="false">ROUND(AK239*(1+AL242/100),0)</f>
        <v>13127</v>
      </c>
      <c r="AM239" s="30"/>
      <c r="AN239" s="30"/>
      <c r="AO239" s="30"/>
      <c r="AP239" s="30"/>
      <c r="AQ239" s="30"/>
      <c r="AR239" s="30"/>
      <c r="AS239" s="30"/>
      <c r="AT239" s="30"/>
      <c r="AU239" s="30"/>
      <c r="AV239" s="30"/>
      <c r="AW239" s="30"/>
      <c r="AX239" s="30"/>
      <c r="AY239" s="30"/>
    </row>
    <row r="240" customFormat="false" ht="15" hidden="false" customHeight="true" outlineLevel="0" collapsed="false">
      <c r="A240" s="29" t="s">
        <v>430</v>
      </c>
      <c r="B240" s="43"/>
      <c r="C240" s="43"/>
      <c r="D240" s="43"/>
      <c r="E240" s="43"/>
      <c r="F240" s="43"/>
      <c r="G240" s="43"/>
      <c r="H240" s="59" t="n">
        <f aca="false">H239/(H235+H239+H243+H247)*100</f>
        <v>2.84540474741327</v>
      </c>
      <c r="I240" s="59" t="n">
        <f aca="false">I239/(I235+I239+I243+I247)*100</f>
        <v>3.02608695652174</v>
      </c>
      <c r="J240" s="59" t="n">
        <f aca="false">J239/(J235+J239+J243+J247)*100</f>
        <v>3.21540388227927</v>
      </c>
      <c r="K240" s="59" t="n">
        <f aca="false">K239/(K235+K239+K243+K247)*100</f>
        <v>2.90244649358604</v>
      </c>
      <c r="L240" s="59" t="n">
        <f aca="false">L239/(L235+L239+L243+L247)*100</f>
        <v>3.42381590705987</v>
      </c>
      <c r="M240" s="59" t="n">
        <f aca="false">M239/(M235+M239+M243+M247)*100</f>
        <v>3.28825355810707</v>
      </c>
      <c r="N240" s="59" t="n">
        <f aca="false">N239/(N235+N239+N243+N247)*100</f>
        <v>3.77754459601259</v>
      </c>
      <c r="O240" s="59" t="n">
        <f aca="false">O239/(O235+O239+O243+O247)*100</f>
        <v>3.70534687304874</v>
      </c>
      <c r="P240" s="59" t="n">
        <f aca="false">P239/(P235+P239+P243+P247)*100</f>
        <v>4.56329794301313</v>
      </c>
      <c r="Q240" s="59" t="n">
        <f aca="false">Q239/(Q235+Q239+Q243+Q247)*100</f>
        <v>5.68460102320394</v>
      </c>
      <c r="R240" s="59" t="n">
        <f aca="false">R239/(R235+R239+R243+R247)*100</f>
        <v>6.96320578759962</v>
      </c>
      <c r="S240" s="59" t="n">
        <f aca="false">S239/(S235+S239+S243+S247)*100</f>
        <v>3.31183822944033</v>
      </c>
      <c r="T240" s="59" t="n">
        <f aca="false">T239/(T235+T239+T243+T247)*100</f>
        <v>5.14935378345042</v>
      </c>
      <c r="U240" s="59" t="n">
        <f aca="false">U239/(U235+U239+U243+U247)*100</f>
        <v>5.58199867069746</v>
      </c>
      <c r="V240" s="59" t="n">
        <f aca="false">V239/(V235+V239+V243+V247)*100</f>
        <v>6.06997579612992</v>
      </c>
      <c r="W240" s="59" t="n">
        <f aca="false">W239/(W235+W239+W243+W247)*100</f>
        <v>7.25305317579996</v>
      </c>
      <c r="X240" s="59" t="n">
        <f aca="false">X239/(X235+X239+X243+X247)*100</f>
        <v>9.7489054854494</v>
      </c>
      <c r="Y240" s="59" t="n">
        <f aca="false">Y239/(Y235+Y239+Y243+Y247)*100</f>
        <v>5.58936608297954</v>
      </c>
      <c r="Z240" s="59" t="n">
        <f aca="false">Z239/(Z235+Z239+Z243+Z247)*100</f>
        <v>4.30553594125124</v>
      </c>
      <c r="AA240" s="59" t="n">
        <f aca="false">AA239/(AA235+AA239+AA243+AA247)*100</f>
        <v>4.95465335686895</v>
      </c>
      <c r="AB240" s="59" t="n">
        <f aca="false">AB239/(AB235+AB239+AB243+AB247)*100</f>
        <v>2.48358509848941</v>
      </c>
      <c r="AC240" s="59" t="n">
        <f aca="false">AC239/(AC235+AC239+AC243+AC247)*100</f>
        <v>6.29969341152824</v>
      </c>
      <c r="AD240" s="59" t="n">
        <f aca="false">AD239/(AD235+AD239+AD243+AD247)*100</f>
        <v>5.46644275870056</v>
      </c>
      <c r="AE240" s="59" t="n">
        <f aca="false">AE239/(AE235+AE239+AE243+AE247)*100</f>
        <v>5.42735331934764</v>
      </c>
      <c r="AF240" s="59" t="n">
        <f aca="false">AF239/(AF235+AF239+AF243+AF247)*100</f>
        <v>6.05354970227784</v>
      </c>
      <c r="AG240" s="59" t="n">
        <f aca="false">AG239/(AG235+AG239+AG243+AG247)*100</f>
        <v>5.2665294715854</v>
      </c>
      <c r="AH240" s="59" t="n">
        <f aca="false">AH239/(AH235+AH239+AH243+AH247)*100</f>
        <v>6.28119371245844</v>
      </c>
      <c r="AI240" s="59" t="n">
        <f aca="false">AI239/(AI235+AI239+AI243+AI247)*100</f>
        <v>8.00515919191353</v>
      </c>
      <c r="AJ240" s="59" t="n">
        <f aca="false">AJ239/(AJ235+AJ239+AJ243+AJ247)*100</f>
        <v>7.20246433289738</v>
      </c>
      <c r="AK240" s="59" t="n">
        <f aca="false">AK239/(AK235+AK239+AK243+AK247)*100</f>
        <v>7.43134690827573</v>
      </c>
      <c r="AL240" s="59" t="n">
        <f aca="false">AL239/(AL235+AL239+AL243+AL247)*100</f>
        <v>7.67091107773759</v>
      </c>
      <c r="AM240" s="43"/>
      <c r="AN240" s="43"/>
      <c r="AO240" s="43"/>
      <c r="AP240" s="43"/>
      <c r="AQ240" s="43"/>
      <c r="AR240" s="43"/>
      <c r="AS240" s="43"/>
      <c r="AT240" s="43"/>
      <c r="AU240" s="43"/>
      <c r="AV240" s="43"/>
      <c r="AW240" s="43"/>
      <c r="AX240" s="43"/>
      <c r="AY240" s="43"/>
    </row>
    <row r="241" customFormat="false" ht="15" hidden="false" customHeight="true" outlineLevel="0" collapsed="false">
      <c r="A241" s="29" t="s">
        <v>431</v>
      </c>
      <c r="B241" s="43"/>
      <c r="C241" s="43"/>
      <c r="D241" s="43"/>
      <c r="E241" s="43"/>
      <c r="F241" s="43"/>
      <c r="G241" s="43"/>
      <c r="H241" s="59" t="n">
        <f aca="false">H239/H273*100</f>
        <v>2.78522490318737</v>
      </c>
      <c r="I241" s="59" t="n">
        <f aca="false">I239/I273*100</f>
        <v>2.98740061808289</v>
      </c>
      <c r="J241" s="59" t="n">
        <f aca="false">J239/J273*100</f>
        <v>3.16243264049269</v>
      </c>
      <c r="K241" s="59" t="n">
        <f aca="false">K239/K273*100</f>
        <v>2.8746672058774</v>
      </c>
      <c r="L241" s="59" t="n">
        <f aca="false">L239/L273*100</f>
        <v>3.363973110166</v>
      </c>
      <c r="M241" s="59" t="n">
        <f aca="false">M239/M273*100</f>
        <v>3.24330990257738</v>
      </c>
      <c r="N241" s="59" t="n">
        <f aca="false">N239/N273*100</f>
        <v>3.7486298867373</v>
      </c>
      <c r="O241" s="59" t="n">
        <f aca="false">O239/O273*100</f>
        <v>3.65744870651204</v>
      </c>
      <c r="P241" s="59" t="n">
        <f aca="false">P239/P273*100</f>
        <v>4.5468221588379</v>
      </c>
      <c r="Q241" s="59" t="n">
        <f aca="false">Q239/Q273*100</f>
        <v>5.62844350550361</v>
      </c>
      <c r="R241" s="59" t="n">
        <f aca="false">R239/R273*100</f>
        <v>6.79024820414837</v>
      </c>
      <c r="S241" s="59" t="n">
        <f aca="false">S239/S273*100</f>
        <v>3.25376216250039</v>
      </c>
      <c r="T241" s="59" t="n">
        <f aca="false">T239/T273*100</f>
        <v>5.10169383461203</v>
      </c>
      <c r="U241" s="59" t="n">
        <f aca="false">U239/U273*100</f>
        <v>5.10540249044024</v>
      </c>
      <c r="V241" s="59" t="n">
        <f aca="false">V239/V273*100</f>
        <v>4.1793545122196</v>
      </c>
      <c r="W241" s="59" t="n">
        <f aca="false">W239/W273*100</f>
        <v>4.89942576983781</v>
      </c>
      <c r="X241" s="59" t="n">
        <f aca="false">X239/X273*100</f>
        <v>7.21721225524776</v>
      </c>
      <c r="Y241" s="59" t="n">
        <f aca="false">Y239/Y273*100</f>
        <v>4.36788483308059</v>
      </c>
      <c r="Z241" s="59" t="n">
        <f aca="false">Z239/Z273*100</f>
        <v>3.36260736492355</v>
      </c>
      <c r="AA241" s="59" t="n">
        <f aca="false">AA239/AA273*100</f>
        <v>3.7238453048784</v>
      </c>
      <c r="AB241" s="59" t="n">
        <f aca="false">AB239/AB273*100</f>
        <v>1.79767538481805</v>
      </c>
      <c r="AC241" s="59" t="n">
        <f aca="false">AC239/AC273*100</f>
        <v>3.95359791781434</v>
      </c>
      <c r="AD241" s="59" t="n">
        <f aca="false">AD239/AD273*100</f>
        <v>2.81189495109964</v>
      </c>
      <c r="AE241" s="59" t="n">
        <f aca="false">AE239/AE273*100</f>
        <v>3.12485388775463</v>
      </c>
      <c r="AF241" s="59" t="n">
        <f aca="false">AF239/AF273*100</f>
        <v>3.90884732447127</v>
      </c>
      <c r="AG241" s="59" t="n">
        <f aca="false">AG239/AG273*100</f>
        <v>3.37831243611409</v>
      </c>
      <c r="AH241" s="59" t="n">
        <f aca="false">AH239/AH273*100</f>
        <v>4.05755203928383</v>
      </c>
      <c r="AI241" s="59" t="n">
        <f aca="false">AI239/AI273*100</f>
        <v>5.18061849870938</v>
      </c>
      <c r="AJ241" s="59" t="n">
        <f aca="false">AJ239/AJ273*100</f>
        <v>4.57000810966874</v>
      </c>
      <c r="AK241" s="59" t="n">
        <f aca="false">AK239/AK273*100</f>
        <v>4.69487832348289</v>
      </c>
      <c r="AL241" s="59" t="n">
        <f aca="false">AL239/AL273*100</f>
        <v>4.85631413080263</v>
      </c>
      <c r="AM241" s="43"/>
      <c r="AN241" s="43"/>
      <c r="AO241" s="43"/>
      <c r="AP241" s="43"/>
      <c r="AQ241" s="43"/>
      <c r="AR241" s="43"/>
      <c r="AS241" s="43"/>
      <c r="AT241" s="43"/>
      <c r="AU241" s="43"/>
      <c r="AV241" s="43"/>
      <c r="AW241" s="43"/>
      <c r="AX241" s="43"/>
      <c r="AY241" s="43"/>
    </row>
    <row r="242" customFormat="false" ht="15" hidden="false" customHeight="true" outlineLevel="0" collapsed="false">
      <c r="A242" s="29" t="s">
        <v>432</v>
      </c>
      <c r="B242" s="36"/>
      <c r="C242" s="36"/>
      <c r="D242" s="36"/>
      <c r="E242" s="36"/>
      <c r="F242" s="36"/>
      <c r="G242" s="36"/>
      <c r="H242" s="36"/>
      <c r="I242" s="49" t="n">
        <f aca="false">I239/H239*100-100</f>
        <v>51.2032085561497</v>
      </c>
      <c r="J242" s="49" t="n">
        <f aca="false">J239/I239*100-100</f>
        <v>-9.19540229885058</v>
      </c>
      <c r="K242" s="49" t="n">
        <f aca="false">K239/J239*100-100</f>
        <v>-16.9425511197663</v>
      </c>
      <c r="L242" s="49" t="n">
        <f aca="false">L239/K239*100-100</f>
        <v>43.7280187573271</v>
      </c>
      <c r="M242" s="49" t="n">
        <f aca="false">M239/L239*100-100</f>
        <v>28.7112561174551</v>
      </c>
      <c r="N242" s="49" t="n">
        <f aca="false">N239/M239*100-100</f>
        <v>30.0380228136882</v>
      </c>
      <c r="O242" s="49" t="n">
        <f aca="false">O239/N239*100-100</f>
        <v>9.89278752436647</v>
      </c>
      <c r="P242" s="49" t="n">
        <f aca="false">P239/O239*100-100</f>
        <v>67.5388026607539</v>
      </c>
      <c r="Q242" s="49" t="n">
        <f aca="false">Q239/P239*100-100</f>
        <v>24.1132874536792</v>
      </c>
      <c r="R242" s="49" t="n">
        <f aca="false">R239/Q239*100-100</f>
        <v>-21.1772232885477</v>
      </c>
      <c r="S242" s="49" t="n">
        <f aca="false">S239/R239*100-100</f>
        <v>-43.7229437229437</v>
      </c>
      <c r="T242" s="49" t="n">
        <f aca="false">T239/S239*100-100</f>
        <v>130.817307692308</v>
      </c>
      <c r="U242" s="49" t="n">
        <f aca="false">+U239/T239*100-100</f>
        <v>8.45657154759425</v>
      </c>
      <c r="V242" s="49" t="n">
        <f aca="false">+V239/U239*100-100</f>
        <v>-8.00845016324179</v>
      </c>
      <c r="W242" s="49" t="n">
        <f aca="false">+W239/V239*100-100</f>
        <v>-8.62212943632568</v>
      </c>
      <c r="X242" s="49" t="n">
        <f aca="false">+X239/W239*100-100</f>
        <v>72.9723554946311</v>
      </c>
      <c r="Y242" s="49" t="n">
        <f aca="false">+Y239/X239*100-100</f>
        <v>-18.9671113459252</v>
      </c>
      <c r="Z242" s="49" t="n">
        <f aca="false">+Z239/Y239*100-100</f>
        <v>-20.4889975550122</v>
      </c>
      <c r="AA242" s="49" t="n">
        <f aca="false">+AA239/Z239*100-100</f>
        <v>33.4973349733497</v>
      </c>
      <c r="AB242" s="49" t="n">
        <f aca="false">+AB239/AA239*100-100</f>
        <v>-45.5159705159705</v>
      </c>
      <c r="AC242" s="49" t="n">
        <f aca="false">+AC239/AB239*100-100</f>
        <v>39.5715896279594</v>
      </c>
      <c r="AD242" s="49" t="n">
        <f aca="false">+AD239/AC239*100-100</f>
        <v>-42.81098546042</v>
      </c>
      <c r="AE242" s="49" t="n">
        <f aca="false">+AE239/AD239*100-100</f>
        <v>41.5960451977401</v>
      </c>
      <c r="AF242" s="49" t="n">
        <f aca="false">+AF239/AE239*100-100</f>
        <v>87.356608478803</v>
      </c>
      <c r="AG242" s="49" t="n">
        <f aca="false">+AG239/AF239*100-100</f>
        <v>-12.458405430587</v>
      </c>
      <c r="AH242" s="49" t="n">
        <f aca="false">+AH239/AG239*100-100</f>
        <v>20.3588262125589</v>
      </c>
      <c r="AI242" s="49" t="n">
        <f aca="false">+AI239/AH239*100-100</f>
        <v>44.2647801920162</v>
      </c>
      <c r="AJ242" s="37" t="n">
        <v>-5</v>
      </c>
      <c r="AK242" s="37" t="n">
        <v>10</v>
      </c>
      <c r="AL242" s="37" t="n">
        <v>10</v>
      </c>
      <c r="AM242" s="36"/>
      <c r="AN242" s="36"/>
      <c r="AO242" s="36"/>
      <c r="AP242" s="36"/>
      <c r="AQ242" s="36"/>
      <c r="AR242" s="36"/>
      <c r="AS242" s="36"/>
      <c r="AT242" s="36"/>
      <c r="AU242" s="36"/>
      <c r="AV242" s="36"/>
      <c r="AW242" s="36"/>
      <c r="AX242" s="36"/>
      <c r="AY242" s="36"/>
    </row>
    <row r="243" customFormat="false" ht="15" hidden="false" customHeight="true" outlineLevel="0" collapsed="false">
      <c r="A243" s="47" t="s">
        <v>434</v>
      </c>
      <c r="B243" s="30"/>
      <c r="C243" s="30"/>
      <c r="D243" s="30"/>
      <c r="E243" s="30"/>
      <c r="F243" s="30"/>
      <c r="G243" s="30"/>
      <c r="H243" s="34" t="n">
        <v>14204</v>
      </c>
      <c r="I243" s="34" t="n">
        <v>24312</v>
      </c>
      <c r="J243" s="34" t="n">
        <v>17243</v>
      </c>
      <c r="K243" s="34" t="n">
        <v>18961</v>
      </c>
      <c r="L243" s="34" t="n">
        <v>23838</v>
      </c>
      <c r="M243" s="34" t="n">
        <v>33471</v>
      </c>
      <c r="N243" s="34" t="n">
        <v>37137</v>
      </c>
      <c r="O243" s="93" t="n">
        <f aca="false">42613</f>
        <v>42613</v>
      </c>
      <c r="P243" s="34" t="n">
        <v>65063</v>
      </c>
      <c r="Q243" s="34" t="n">
        <v>57835</v>
      </c>
      <c r="R243" s="34" t="n">
        <v>31067</v>
      </c>
      <c r="S243" s="34" t="n">
        <v>40706</v>
      </c>
      <c r="T243" s="34" t="n">
        <v>62675</v>
      </c>
      <c r="U243" s="34" t="n">
        <v>60512</v>
      </c>
      <c r="V243" s="93" t="n">
        <f aca="false">51914+82</f>
        <v>51996</v>
      </c>
      <c r="W243" s="93" t="n">
        <f aca="false">36876+28</f>
        <v>36904</v>
      </c>
      <c r="X243" s="34" t="n">
        <v>53291</v>
      </c>
      <c r="Y243" s="93" t="n">
        <f aca="false">79223+4</f>
        <v>79227</v>
      </c>
      <c r="Z243" s="93" t="n">
        <f aca="false">84588+1</f>
        <v>84589</v>
      </c>
      <c r="AA243" s="34" t="n">
        <v>102826</v>
      </c>
      <c r="AB243" s="34" t="n">
        <v>115613</v>
      </c>
      <c r="AC243" s="93" t="n">
        <f aca="false">53267-1</f>
        <v>53266</v>
      </c>
      <c r="AD243" s="34" t="n">
        <v>43320</v>
      </c>
      <c r="AE243" s="34" t="n">
        <v>61301</v>
      </c>
      <c r="AF243" s="34" t="n">
        <v>103480</v>
      </c>
      <c r="AG243" s="34" t="n">
        <v>98111</v>
      </c>
      <c r="AH243" s="93" t="n">
        <f aca="false">93540</f>
        <v>93540</v>
      </c>
      <c r="AI243" s="34" t="n">
        <v>106772</v>
      </c>
      <c r="AJ243" s="35" t="n">
        <f aca="false">ROUND(AI243*(1+AJ246/100),0)</f>
        <v>115314</v>
      </c>
      <c r="AK243" s="35" t="n">
        <f aca="false">ROUND(AJ243*(1+AK246/100),0)</f>
        <v>122233</v>
      </c>
      <c r="AL243" s="35" t="n">
        <f aca="false">ROUND(AK243*(1+AL246/100),0)</f>
        <v>129567</v>
      </c>
      <c r="AM243" s="30"/>
      <c r="AN243" s="30"/>
      <c r="AO243" s="30"/>
      <c r="AP243" s="30"/>
      <c r="AQ243" s="30"/>
      <c r="AR243" s="30"/>
      <c r="AS243" s="30"/>
      <c r="AT243" s="30"/>
      <c r="AU243" s="30"/>
      <c r="AV243" s="30"/>
      <c r="AW243" s="30"/>
      <c r="AX243" s="30"/>
      <c r="AY243" s="30"/>
    </row>
    <row r="244" customFormat="false" ht="15" hidden="false" customHeight="true" outlineLevel="0" collapsed="false">
      <c r="A244" s="29" t="s">
        <v>430</v>
      </c>
      <c r="B244" s="36"/>
      <c r="C244" s="36"/>
      <c r="D244" s="36"/>
      <c r="E244" s="36"/>
      <c r="F244" s="36"/>
      <c r="G244" s="36"/>
      <c r="H244" s="49" t="n">
        <f aca="false">H243/(H235+H239+H243+H247)*100</f>
        <v>54.0322580645161</v>
      </c>
      <c r="I244" s="49" t="n">
        <f aca="false">I243/(I235+I239+I243+I247)*100</f>
        <v>65.0488294314381</v>
      </c>
      <c r="J244" s="49" t="n">
        <f aca="false">J243/(J235+J239+J243+J247)*100</f>
        <v>53.985597996243</v>
      </c>
      <c r="K244" s="49" t="n">
        <f aca="false">K243/(K235+K239+K243+K247)*100</f>
        <v>64.5173364183878</v>
      </c>
      <c r="L244" s="49" t="n">
        <f aca="false">L243/(L235+L239+L243+L247)*100</f>
        <v>66.5717158176944</v>
      </c>
      <c r="M244" s="49" t="n">
        <f aca="false">M243/(M235+M239+M243+M247)*100</f>
        <v>69.7472337410657</v>
      </c>
      <c r="N244" s="49" t="n">
        <f aca="false">N243/(N235+N239+N243+N247)*100</f>
        <v>68.3658253714033</v>
      </c>
      <c r="O244" s="49" t="n">
        <f aca="false">O243/(O235+O239+O243+O247)*100</f>
        <v>70.0203752998784</v>
      </c>
      <c r="P244" s="49" t="n">
        <f aca="false">P243/(P235+P239+P243+P247)*100</f>
        <v>78.5870444855117</v>
      </c>
      <c r="Q244" s="49" t="n">
        <f aca="false">Q243/(Q235+Q239+Q243+Q247)*100</f>
        <v>70.1149285939432</v>
      </c>
      <c r="R244" s="49" t="n">
        <f aca="false">R243/(R235+R239+R243+R247)*100</f>
        <v>58.5297386913845</v>
      </c>
      <c r="S244" s="49" t="n">
        <f aca="false">S243/(S235+S239+S243+S247)*100</f>
        <v>64.8133110421145</v>
      </c>
      <c r="T244" s="49" t="n">
        <f aca="false">T243/(T235+T239+T243+T247)*100</f>
        <v>67.2226095350459</v>
      </c>
      <c r="U244" s="49" t="n">
        <f aca="false">U243/(U235+U239+U243+U247)*100</f>
        <v>64.8699641945927</v>
      </c>
      <c r="V244" s="49" t="n">
        <f aca="false">V243/(V235+V239+V243+V247)*100</f>
        <v>65.8902842370712</v>
      </c>
      <c r="W244" s="49" t="n">
        <f aca="false">W243/(W235+W239+W243+W247)*100</f>
        <v>61.1529984920543</v>
      </c>
      <c r="X244" s="49" t="n">
        <f aca="false">X243/(X235+X239+X243+X247)*100</f>
        <v>68.6209116662375</v>
      </c>
      <c r="Y244" s="49" t="n">
        <f aca="false">Y243/(Y235+Y239+Y243+Y247)*100</f>
        <v>72.1807182813724</v>
      </c>
      <c r="Z244" s="49" t="n">
        <f aca="false">Z243/(Z235+Z239+Z243+Z247)*100</f>
        <v>74.6619474650473</v>
      </c>
      <c r="AA244" s="49" t="n">
        <f aca="false">AA243/(AA235+AA239+AA243+AA247)*100</f>
        <v>78.2351329965305</v>
      </c>
      <c r="AB244" s="49" t="n">
        <f aca="false">AB243/(AB235+AB239+AB243+AB247)*100</f>
        <v>80.9286144283134</v>
      </c>
      <c r="AC244" s="49" t="n">
        <f aca="false">AC243/(AC235+AC239+AC243+AC247)*100</f>
        <v>67.7624130166525</v>
      </c>
      <c r="AD244" s="49" t="n">
        <f aca="false">AD243/(AD235+AD239+AD243+AD247)*100</f>
        <v>83.6180438936823</v>
      </c>
      <c r="AE244" s="49" t="n">
        <f aca="false">AE243/(AE235+AE239+AE243+AE247)*100</f>
        <v>82.9681261419774</v>
      </c>
      <c r="AF244" s="49" t="n">
        <f aca="false">AF243/(AF235+AF239+AF243+AF247)*100</f>
        <v>83.3783206697339</v>
      </c>
      <c r="AG244" s="49" t="n">
        <f aca="false">AG243/(AG235+AG239+AG243+AG247)*100</f>
        <v>78.5623343449469</v>
      </c>
      <c r="AH244" s="49" t="n">
        <f aca="false">AH243/(AH235+AH239+AH243+AH247)*100</f>
        <v>74.2221904829917</v>
      </c>
      <c r="AI244" s="49" t="n">
        <f aca="false">AI243/(AI235+AI239+AI243+AI247)*100</f>
        <v>74.8447335585807</v>
      </c>
      <c r="AJ244" s="49" t="n">
        <f aca="false">AJ243/(AJ235+AJ239+AJ243+AJ247)*100</f>
        <v>76.5549794528278</v>
      </c>
      <c r="AK244" s="49" t="n">
        <f aca="false">AK243/(AK235+AK239+AK243+AK247)*100</f>
        <v>76.1149511177533</v>
      </c>
      <c r="AL244" s="49" t="n">
        <f aca="false">AL243/(AL235+AL239+AL243+AL247)*100</f>
        <v>75.7139434455112</v>
      </c>
      <c r="AM244" s="36"/>
      <c r="AN244" s="36"/>
      <c r="AO244" s="36"/>
      <c r="AP244" s="36"/>
      <c r="AQ244" s="36"/>
      <c r="AR244" s="36"/>
      <c r="AS244" s="36"/>
      <c r="AT244" s="36"/>
      <c r="AU244" s="36"/>
      <c r="AV244" s="36"/>
      <c r="AW244" s="36"/>
      <c r="AX244" s="36"/>
      <c r="AY244" s="36"/>
    </row>
    <row r="245" customFormat="false" ht="15" hidden="false" customHeight="true" outlineLevel="0" collapsed="false">
      <c r="A245" s="29" t="s">
        <v>431</v>
      </c>
      <c r="B245" s="36"/>
      <c r="C245" s="36"/>
      <c r="D245" s="36"/>
      <c r="E245" s="36"/>
      <c r="F245" s="36"/>
      <c r="G245" s="36"/>
      <c r="H245" s="49" t="n">
        <f aca="false">H243/H273*100</f>
        <v>52.8894846589217</v>
      </c>
      <c r="I245" s="49" t="n">
        <f aca="false">I243/I273*100</f>
        <v>64.2172270794263</v>
      </c>
      <c r="J245" s="49" t="n">
        <f aca="false">J243/J273*100</f>
        <v>53.0962278675905</v>
      </c>
      <c r="K245" s="49" t="n">
        <f aca="false">K243/K273*100</f>
        <v>63.899841606848</v>
      </c>
      <c r="L245" s="49" t="n">
        <f aca="false">L243/L273*100</f>
        <v>65.4081492660173</v>
      </c>
      <c r="M245" s="49" t="n">
        <f aca="false">M243/M273*100</f>
        <v>68.7939326674066</v>
      </c>
      <c r="N245" s="49" t="n">
        <f aca="false">N243/N273*100</f>
        <v>67.8425283156741</v>
      </c>
      <c r="O245" s="49" t="n">
        <f aca="false">O243/O273*100</f>
        <v>69.1152380180034</v>
      </c>
      <c r="P245" s="49" t="n">
        <f aca="false">P243/P273*100</f>
        <v>78.3033060138884</v>
      </c>
      <c r="Q245" s="49" t="n">
        <f aca="false">Q243/Q273*100</f>
        <v>69.4222713032205</v>
      </c>
      <c r="R245" s="49" t="n">
        <f aca="false">R243/R273*100</f>
        <v>57.0759309952049</v>
      </c>
      <c r="S245" s="49" t="n">
        <f aca="false">S243/S273*100</f>
        <v>63.6767512436254</v>
      </c>
      <c r="T245" s="49" t="n">
        <f aca="false">T243/T273*100</f>
        <v>66.6004293031263</v>
      </c>
      <c r="U245" s="49" t="n">
        <f aca="false">U243/U273*100</f>
        <v>59.3313069908815</v>
      </c>
      <c r="V245" s="49" t="n">
        <f aca="false">V243/V273*100</f>
        <v>45.3673731142735</v>
      </c>
      <c r="W245" s="49" t="n">
        <f aca="false">W243/W273*100</f>
        <v>41.308752252706</v>
      </c>
      <c r="X245" s="49" t="n">
        <f aca="false">X243/X273*100</f>
        <v>50.8007473642066</v>
      </c>
      <c r="Y245" s="49" t="n">
        <f aca="false">Y243/Y273*100</f>
        <v>56.4065870693522</v>
      </c>
      <c r="Z245" s="49" t="n">
        <f aca="false">Z243/Z273*100</f>
        <v>58.3106999572608</v>
      </c>
      <c r="AA245" s="49" t="n">
        <f aca="false">AA243/AA273*100</f>
        <v>58.8003865662509</v>
      </c>
      <c r="AB245" s="49" t="n">
        <f aca="false">AB243/AB273*100</f>
        <v>58.5779718897885</v>
      </c>
      <c r="AC245" s="49" t="n">
        <f aca="false">AC243/AC273*100</f>
        <v>42.5267259067647</v>
      </c>
      <c r="AD245" s="49" t="n">
        <f aca="false">AD243/AD273*100</f>
        <v>43.0124609045326</v>
      </c>
      <c r="AE245" s="49" t="n">
        <f aca="false">AE243/AE273*100</f>
        <v>47.7697426865951</v>
      </c>
      <c r="AF245" s="49" t="n">
        <f aca="false">AF243/AF273*100</f>
        <v>53.8383496787284</v>
      </c>
      <c r="AG245" s="49" t="n">
        <f aca="false">AG243/AG273*100</f>
        <v>50.3952579321256</v>
      </c>
      <c r="AH245" s="49" t="n">
        <f aca="false">AH243/AH273*100</f>
        <v>47.9463640417647</v>
      </c>
      <c r="AI245" s="49" t="n">
        <f aca="false">AI243/AI273*100</f>
        <v>48.4365147411732</v>
      </c>
      <c r="AJ245" s="49" t="n">
        <f aca="false">AJ243/AJ273*100</f>
        <v>48.5746073516767</v>
      </c>
      <c r="AK245" s="49" t="n">
        <f aca="false">AK243/AK273*100</f>
        <v>48.0868997917114</v>
      </c>
      <c r="AL245" s="49" t="n">
        <f aca="false">AL243/AL273*100</f>
        <v>47.9331189903027</v>
      </c>
      <c r="AM245" s="36"/>
      <c r="AN245" s="36"/>
      <c r="AO245" s="36"/>
      <c r="AP245" s="36"/>
      <c r="AQ245" s="36"/>
      <c r="AR245" s="36"/>
      <c r="AS245" s="36"/>
      <c r="AT245" s="36"/>
      <c r="AU245" s="36"/>
      <c r="AV245" s="94" t="n">
        <f aca="false">+AV246/4200000</f>
        <v>0.00827165371614206</v>
      </c>
      <c r="AW245" s="36"/>
      <c r="AX245" s="36"/>
      <c r="AY245" s="36"/>
    </row>
    <row r="246" customFormat="false" ht="15" hidden="false" customHeight="true" outlineLevel="0" collapsed="false">
      <c r="A246" s="29" t="s">
        <v>432</v>
      </c>
      <c r="B246" s="30"/>
      <c r="C246" s="30"/>
      <c r="D246" s="30"/>
      <c r="E246" s="30"/>
      <c r="F246" s="30"/>
      <c r="G246" s="30"/>
      <c r="H246" s="30"/>
      <c r="I246" s="31" t="n">
        <f aca="false">I243/H243*100-100</f>
        <v>71.1630526612222</v>
      </c>
      <c r="J246" s="31" t="n">
        <f aca="false">J243/I243*100-100</f>
        <v>-29.0761763738072</v>
      </c>
      <c r="K246" s="31" t="n">
        <f aca="false">K243/J243*100-100</f>
        <v>9.96346343443717</v>
      </c>
      <c r="L246" s="31" t="n">
        <f aca="false">L243/K243*100-100</f>
        <v>25.7212172353779</v>
      </c>
      <c r="M246" s="31" t="n">
        <f aca="false">M243/L243*100-100</f>
        <v>40.4102693178958</v>
      </c>
      <c r="N246" s="31" t="n">
        <f aca="false">N243/M243*100-100</f>
        <v>10.9527650802187</v>
      </c>
      <c r="O246" s="31" t="n">
        <f aca="false">O243/N243*100-100</f>
        <v>14.7454021595713</v>
      </c>
      <c r="P246" s="31" t="n">
        <f aca="false">P243/O243*100-100</f>
        <v>52.6834534062375</v>
      </c>
      <c r="Q246" s="31" t="n">
        <f aca="false">Q243/P243*100-100</f>
        <v>-11.1092325899513</v>
      </c>
      <c r="R246" s="31" t="n">
        <f aca="false">R243/Q243*100-100</f>
        <v>-46.2833924094407</v>
      </c>
      <c r="S246" s="31" t="n">
        <f aca="false">S243/R243*100-100</f>
        <v>31.0264911320694</v>
      </c>
      <c r="T246" s="31" t="n">
        <f aca="false">T243/S243*100-100</f>
        <v>53.9699307227436</v>
      </c>
      <c r="U246" s="31" t="n">
        <f aca="false">U243/T243*100-100</f>
        <v>-3.45113681691265</v>
      </c>
      <c r="V246" s="31" t="n">
        <f aca="false">V243/U243*100-100</f>
        <v>-14.0732416710735</v>
      </c>
      <c r="W246" s="31" t="n">
        <f aca="false">W243/V243*100-100</f>
        <v>-29.025309639203</v>
      </c>
      <c r="X246" s="31" t="n">
        <f aca="false">X243/W243*100-100</f>
        <v>44.4044006069803</v>
      </c>
      <c r="Y246" s="31" t="n">
        <f aca="false">Y243/X243*100-100</f>
        <v>48.6686307256385</v>
      </c>
      <c r="Z246" s="31" t="n">
        <f aca="false">Z243/Y243*100-100</f>
        <v>6.76789478334405</v>
      </c>
      <c r="AA246" s="31" t="n">
        <f aca="false">AA243/Z243*100-100</f>
        <v>21.5595408386433</v>
      </c>
      <c r="AB246" s="31" t="n">
        <f aca="false">AB243/AA243*100-100</f>
        <v>12.4355707700387</v>
      </c>
      <c r="AC246" s="31" t="n">
        <f aca="false">AC243/AB243*100-100</f>
        <v>-53.9273265117245</v>
      </c>
      <c r="AD246" s="31" t="n">
        <f aca="false">AD243/AC243*100-100</f>
        <v>-18.6723238088086</v>
      </c>
      <c r="AE246" s="31" t="n">
        <f aca="false">AE243/AD243*100-100</f>
        <v>41.5073868882733</v>
      </c>
      <c r="AF246" s="31" t="n">
        <f aca="false">AF243/AE243*100-100</f>
        <v>68.8063816250958</v>
      </c>
      <c r="AG246" s="31" t="n">
        <f aca="false">AG243/AF243*100-100</f>
        <v>-5.18844221105528</v>
      </c>
      <c r="AH246" s="31" t="n">
        <f aca="false">AH243/AG243*100-100</f>
        <v>-4.659008673849</v>
      </c>
      <c r="AI246" s="31" t="n">
        <f aca="false">AI243/AH243*100-100</f>
        <v>14.1458199700663</v>
      </c>
      <c r="AJ246" s="62" t="n">
        <v>8</v>
      </c>
      <c r="AK246" s="62" t="n">
        <v>6</v>
      </c>
      <c r="AL246" s="62" t="n">
        <v>6</v>
      </c>
      <c r="AM246" s="30"/>
      <c r="AN246" s="92" t="n">
        <f aca="false">69650+10000+9000+13000</f>
        <v>101650</v>
      </c>
      <c r="AO246" s="30"/>
      <c r="AP246" s="30"/>
      <c r="AQ246" s="30"/>
      <c r="AR246" s="30"/>
      <c r="AS246" s="30"/>
      <c r="AT246" s="30"/>
      <c r="AU246" s="33" t="s">
        <v>435</v>
      </c>
      <c r="AV246" s="31" t="n">
        <f aca="false">+AU247*1000000/U256</f>
        <v>34740.9456077967</v>
      </c>
      <c r="AW246" s="30"/>
      <c r="AX246" s="30"/>
      <c r="AY246" s="30"/>
    </row>
    <row r="247" customFormat="false" ht="15" hidden="false" customHeight="true" outlineLevel="0" collapsed="false">
      <c r="A247" s="47" t="s">
        <v>436</v>
      </c>
      <c r="B247" s="30"/>
      <c r="C247" s="30"/>
      <c r="D247" s="30"/>
      <c r="E247" s="30"/>
      <c r="F247" s="30"/>
      <c r="G247" s="30"/>
      <c r="H247" s="34" t="n">
        <v>1320</v>
      </c>
      <c r="I247" s="34" t="n">
        <v>870</v>
      </c>
      <c r="J247" s="34" t="n">
        <v>1184</v>
      </c>
      <c r="K247" s="34" t="n">
        <v>1153</v>
      </c>
      <c r="L247" s="34" t="n">
        <v>1001</v>
      </c>
      <c r="M247" s="34" t="n">
        <v>1915</v>
      </c>
      <c r="N247" s="34" t="n">
        <v>4663</v>
      </c>
      <c r="O247" s="34" t="n">
        <v>2580</v>
      </c>
      <c r="P247" s="34" t="n">
        <v>2233</v>
      </c>
      <c r="Q247" s="34" t="n">
        <v>2389</v>
      </c>
      <c r="R247" s="34" t="n">
        <v>2278</v>
      </c>
      <c r="S247" s="34" t="n">
        <v>3614</v>
      </c>
      <c r="T247" s="34" t="n">
        <v>5334</v>
      </c>
      <c r="U247" s="34" t="n">
        <v>6928</v>
      </c>
      <c r="V247" s="93" t="n">
        <f aca="false">3528-83</f>
        <v>3445</v>
      </c>
      <c r="W247" s="34" t="n">
        <v>4100</v>
      </c>
      <c r="X247" s="34" t="n">
        <v>3647</v>
      </c>
      <c r="Y247" s="34" t="n">
        <v>4811</v>
      </c>
      <c r="Z247" s="93" t="n">
        <f aca="false">6102+1</f>
        <v>6103</v>
      </c>
      <c r="AA247" s="34" t="n">
        <v>8386</v>
      </c>
      <c r="AB247" s="34" t="n">
        <v>7374</v>
      </c>
      <c r="AC247" s="34" t="n">
        <v>2234</v>
      </c>
      <c r="AD247" s="34" t="n">
        <v>2932</v>
      </c>
      <c r="AE247" s="34" t="n">
        <v>4785</v>
      </c>
      <c r="AF247" s="93" t="n">
        <f aca="false">-103480+105777</f>
        <v>2297</v>
      </c>
      <c r="AG247" s="93" t="n">
        <f aca="false">100220-98111</f>
        <v>2109</v>
      </c>
      <c r="AH247" s="93" t="n">
        <f aca="false">96862-93540</f>
        <v>3322</v>
      </c>
      <c r="AI247" s="34" t="n">
        <v>3205</v>
      </c>
      <c r="AJ247" s="35" t="n">
        <f aca="false">ROUND(AI247*(1+AJ250/100),0)</f>
        <v>3205</v>
      </c>
      <c r="AK247" s="35" t="n">
        <f aca="false">ROUND(AJ247*(1+AK250/100),0)</f>
        <v>3461</v>
      </c>
      <c r="AL247" s="35" t="n">
        <f aca="false">ROUND(AK247*(1+AL250/100),0)</f>
        <v>3634</v>
      </c>
      <c r="AM247" s="30"/>
      <c r="AN247" s="30"/>
      <c r="AO247" s="30"/>
      <c r="AP247" s="30"/>
      <c r="AQ247" s="30"/>
      <c r="AR247" s="30"/>
      <c r="AS247" s="30"/>
      <c r="AT247" s="50" t="s">
        <v>437</v>
      </c>
      <c r="AU247" s="62" t="n">
        <v>263.788</v>
      </c>
      <c r="AV247" s="50" t="s">
        <v>438</v>
      </c>
      <c r="AW247" s="30"/>
      <c r="AX247" s="30"/>
      <c r="AY247" s="30"/>
    </row>
    <row r="248" customFormat="false" ht="15" hidden="false" customHeight="true" outlineLevel="0" collapsed="false">
      <c r="A248" s="29" t="s">
        <v>430</v>
      </c>
      <c r="B248" s="36"/>
      <c r="C248" s="36"/>
      <c r="D248" s="36"/>
      <c r="E248" s="36"/>
      <c r="F248" s="36"/>
      <c r="G248" s="36"/>
      <c r="H248" s="49" t="n">
        <f aca="false">H247/(H235+H239+H243+H247)*100</f>
        <v>5.02130249543518</v>
      </c>
      <c r="I248" s="49" t="n">
        <f aca="false">I247/(I235+I239+I243+I247)*100</f>
        <v>2.32775919732442</v>
      </c>
      <c r="J248" s="49" t="n">
        <f aca="false">J247/(J235+J239+J243+J247)*100</f>
        <v>3.70695053224797</v>
      </c>
      <c r="K248" s="49" t="n">
        <f aca="false">K247/(K235+K239+K243+K247)*100</f>
        <v>3.92323658511688</v>
      </c>
      <c r="L248" s="49" t="n">
        <f aca="false">L247/(L235+L239+L243+L247)*100</f>
        <v>2.79546470062556</v>
      </c>
      <c r="M248" s="49" t="n">
        <f aca="false">M247/(M235+M239+M243+M247)*100</f>
        <v>3.99049782241764</v>
      </c>
      <c r="N248" s="49" t="n">
        <f aca="false">N247/(N235+N239+N243+N247)*100</f>
        <v>8.58415713996429</v>
      </c>
      <c r="O248" s="49" t="n">
        <f aca="false">O247/(O235+O239+O243+O247)*100</f>
        <v>4.23937691018436</v>
      </c>
      <c r="P248" s="49" t="n">
        <f aca="false">P247/(P235+P239+P243+P247)*100</f>
        <v>2.69715307219384</v>
      </c>
      <c r="Q248" s="49" t="n">
        <f aca="false">Q247/(Q235+Q239+Q243+Q247)*100</f>
        <v>2.89624906044662</v>
      </c>
      <c r="R248" s="49" t="n">
        <f aca="false">R247/(R235+R239+R243+R247)*100</f>
        <v>4.29171612125323</v>
      </c>
      <c r="S248" s="49" t="n">
        <f aca="false">S247/(S235+S239+S243+S247)*100</f>
        <v>5.75431892365258</v>
      </c>
      <c r="T248" s="49" t="n">
        <f aca="false">T247/(T235+T239+T243+T247)*100</f>
        <v>5.7210275111278</v>
      </c>
      <c r="U248" s="49" t="n">
        <f aca="false">U247/(U235+U239+U243+U247)*100</f>
        <v>7.42694196093566</v>
      </c>
      <c r="V248" s="49" t="n">
        <f aca="false">V247/(V235+V239+V243+V247)*100</f>
        <v>4.36556714356316</v>
      </c>
      <c r="W248" s="49" t="n">
        <f aca="false">W247/(W235+W239+W243+W247)*100</f>
        <v>6.79404112880508</v>
      </c>
      <c r="X248" s="49" t="n">
        <f aca="false">X247/(X235+X239+X243+X247)*100</f>
        <v>4.69611125418491</v>
      </c>
      <c r="Y248" s="49" t="n">
        <f aca="false">Y247/(Y235+Y239+Y243+Y247)*100</f>
        <v>4.38311984111077</v>
      </c>
      <c r="Z248" s="49" t="n">
        <f aca="false">Z247/(Z235+Z239+Z243+Z247)*100</f>
        <v>5.38677446688321</v>
      </c>
      <c r="AA248" s="49" t="n">
        <f aca="false">AA247/(AA235+AA239+AA243+AA247)*100</f>
        <v>6.38048572645931</v>
      </c>
      <c r="AB248" s="49" t="n">
        <f aca="false">AB247/(AB235+AB239+AB243+AB247)*100</f>
        <v>5.16176902938582</v>
      </c>
      <c r="AC248" s="49" t="n">
        <f aca="false">AC247/(AC235+AC239+AC243+AC247)*100</f>
        <v>2.84198608266439</v>
      </c>
      <c r="AD248" s="49" t="n">
        <f aca="false">AD247/(AD235+AD239+AD243+AD247)*100</f>
        <v>5.65946686741174</v>
      </c>
      <c r="AE248" s="49" t="n">
        <f aca="false">AE247/(AE235+AE239+AE243+AE247)*100</f>
        <v>6.47628070650335</v>
      </c>
      <c r="AF248" s="49" t="n">
        <f aca="false">AF247/(AF235+AF239+AF243+AF247)*100</f>
        <v>1.85079244857343</v>
      </c>
      <c r="AG248" s="49" t="n">
        <f aca="false">AG247/(AG235+AG239+AG243+AG247)*100</f>
        <v>1.68878069873401</v>
      </c>
      <c r="AH248" s="49" t="n">
        <f aca="false">AH247/(AH235+AH239+AH243+AH247)*100</f>
        <v>2.63594309155975</v>
      </c>
      <c r="AI248" s="49" t="n">
        <f aca="false">AI247/(AI235+AI239+AI243+AI247)*100</f>
        <v>2.2466318047358</v>
      </c>
      <c r="AJ248" s="49" t="n">
        <f aca="false">AJ247/(AJ235+AJ239+AJ243+AJ247)*100</f>
        <v>2.1277443254619</v>
      </c>
      <c r="AK248" s="49" t="n">
        <f aca="false">AK247/(AK235+AK239+AK243+AK247)*100</f>
        <v>2.15517778192914</v>
      </c>
      <c r="AL248" s="49" t="n">
        <f aca="false">AL247/(AL235+AL239+AL243+AL247)*100</f>
        <v>2.12356904521204</v>
      </c>
      <c r="AM248" s="36"/>
      <c r="AN248" s="36"/>
      <c r="AO248" s="36"/>
      <c r="AP248" s="36"/>
      <c r="AQ248" s="36"/>
      <c r="AR248" s="36"/>
      <c r="AS248" s="36"/>
      <c r="AT248" s="50" t="s">
        <v>439</v>
      </c>
      <c r="AU248" s="37" t="n">
        <v>157.01</v>
      </c>
      <c r="AV248" s="36"/>
      <c r="AW248" s="36"/>
      <c r="AX248" s="36"/>
      <c r="AY248" s="36"/>
    </row>
    <row r="249" customFormat="false" ht="15" hidden="false" customHeight="true" outlineLevel="0" collapsed="false">
      <c r="A249" s="29" t="s">
        <v>431</v>
      </c>
      <c r="B249" s="30"/>
      <c r="C249" s="30"/>
      <c r="D249" s="30"/>
      <c r="E249" s="30"/>
      <c r="F249" s="30"/>
      <c r="G249" s="30"/>
      <c r="H249" s="31" t="n">
        <f aca="false">H247/H273*100</f>
        <v>4.91510277033065</v>
      </c>
      <c r="I249" s="31" t="n">
        <f aca="false">I247/I273*100</f>
        <v>2.29800047544837</v>
      </c>
      <c r="J249" s="31" t="n">
        <f aca="false">J247/J273*100</f>
        <v>3.64588144726713</v>
      </c>
      <c r="K249" s="31" t="n">
        <f aca="false">K247/K273*100</f>
        <v>3.88568732517777</v>
      </c>
      <c r="L249" s="31" t="n">
        <f aca="false">L247/L273*100</f>
        <v>2.7466044724928</v>
      </c>
      <c r="M249" s="31" t="n">
        <f aca="false">M247/M273*100</f>
        <v>3.93595593373618</v>
      </c>
      <c r="N249" s="31" t="n">
        <f aca="false">N247/N273*100</f>
        <v>8.51845085860431</v>
      </c>
      <c r="O249" s="31" t="n">
        <f aca="false">O247/O273*100</f>
        <v>4.1845754602222</v>
      </c>
      <c r="P249" s="31" t="n">
        <f aca="false">P247/P273*100</f>
        <v>2.68741500282822</v>
      </c>
      <c r="Q249" s="31" t="n">
        <f aca="false">Q247/Q273*100</f>
        <v>2.86763735010623</v>
      </c>
      <c r="R249" s="31" t="n">
        <f aca="false">R247/R273*100</f>
        <v>4.18511509985119</v>
      </c>
      <c r="S249" s="31" t="n">
        <f aca="false">S247/S273*100</f>
        <v>5.65341175734443</v>
      </c>
      <c r="T249" s="31" t="n">
        <f aca="false">T247/T273*100</f>
        <v>5.66807642445753</v>
      </c>
      <c r="U249" s="31" t="n">
        <f aca="false">U247/U273*100</f>
        <v>6.79282282576723</v>
      </c>
      <c r="V249" s="31" t="n">
        <f aca="false">V247/V273*100</f>
        <v>3.00581968571952</v>
      </c>
      <c r="W249" s="31" t="n">
        <f aca="false">W247/W273*100</f>
        <v>4.58936386939342</v>
      </c>
      <c r="X249" s="31" t="n">
        <f aca="false">X247/X273*100</f>
        <v>3.47657813959696</v>
      </c>
      <c r="Y249" s="31" t="n">
        <f aca="false">Y247/Y273*100</f>
        <v>3.42524758467004</v>
      </c>
      <c r="Z249" s="31" t="n">
        <f aca="false">Z247/Z273*100</f>
        <v>4.20705058387217</v>
      </c>
      <c r="AA249" s="31" t="n">
        <f aca="false">AA247/AA273*100</f>
        <v>4.79548014845059</v>
      </c>
      <c r="AB249" s="31" t="n">
        <f aca="false">AB247/AB273*100</f>
        <v>3.73620583079152</v>
      </c>
      <c r="AC249" s="31" t="n">
        <f aca="false">AC247/AC273*100</f>
        <v>1.78359001381204</v>
      </c>
      <c r="AD249" s="31" t="n">
        <f aca="false">AD247/AD273*100</f>
        <v>2.91118502705655</v>
      </c>
      <c r="AE249" s="31" t="n">
        <f aca="false">AE247/AE273*100</f>
        <v>3.72878450197154</v>
      </c>
      <c r="AF249" s="31" t="n">
        <f aca="false">AF247/AF273*100</f>
        <v>1.19507817174371</v>
      </c>
      <c r="AG249" s="31" t="n">
        <f aca="false">AG247/AG273*100</f>
        <v>1.08329951767746</v>
      </c>
      <c r="AH249" s="31" t="n">
        <f aca="false">AH247/AH273*100</f>
        <v>1.70277764963376</v>
      </c>
      <c r="AI249" s="31" t="n">
        <f aca="false">AI247/AI273*100</f>
        <v>1.45393014784269</v>
      </c>
      <c r="AJ249" s="31" t="n">
        <f aca="false">AJ247/AJ273*100</f>
        <v>1.35006691782545</v>
      </c>
      <c r="AK249" s="31" t="n">
        <f aca="false">AK247/AK273*100</f>
        <v>1.36156979031123</v>
      </c>
      <c r="AL249" s="31" t="n">
        <f aca="false">AL247/AL273*100</f>
        <v>1.34439289642239</v>
      </c>
      <c r="AM249" s="30"/>
      <c r="AN249" s="30"/>
      <c r="AO249" s="30"/>
      <c r="AP249" s="30"/>
      <c r="AQ249" s="30"/>
      <c r="AR249" s="30"/>
      <c r="AS249" s="30"/>
      <c r="AT249" s="50" t="s">
        <v>440</v>
      </c>
      <c r="AU249" s="62" t="n">
        <v>1565.863</v>
      </c>
      <c r="AV249" s="31" t="n">
        <f aca="false">+AU249/U254*1000000</f>
        <v>356282.821387941</v>
      </c>
      <c r="AW249" s="30"/>
      <c r="AX249" s="30"/>
      <c r="AY249" s="30"/>
    </row>
    <row r="250" customFormat="false" ht="15" hidden="false" customHeight="true" outlineLevel="0" collapsed="false">
      <c r="A250" s="29" t="s">
        <v>432</v>
      </c>
      <c r="B250" s="36"/>
      <c r="C250" s="36"/>
      <c r="D250" s="36"/>
      <c r="E250" s="36"/>
      <c r="F250" s="36"/>
      <c r="G250" s="36"/>
      <c r="H250" s="36"/>
      <c r="I250" s="49" t="n">
        <f aca="false">I247/H247*100-100</f>
        <v>-34.0909090909091</v>
      </c>
      <c r="J250" s="49" t="n">
        <f aca="false">J247/I247*100-100</f>
        <v>36.0919540229885</v>
      </c>
      <c r="K250" s="49" t="n">
        <f aca="false">K247/J247*100-100</f>
        <v>-2.61824324324324</v>
      </c>
      <c r="L250" s="49" t="n">
        <f aca="false">L247/K247*100-100</f>
        <v>-13.1830008673027</v>
      </c>
      <c r="M250" s="49" t="n">
        <f aca="false">M247/L247*100-100</f>
        <v>91.3086913086913</v>
      </c>
      <c r="N250" s="49" t="n">
        <f aca="false">N247/M247*100-100</f>
        <v>143.498694516971</v>
      </c>
      <c r="O250" s="49" t="n">
        <f aca="false">O247/N247*100-100</f>
        <v>-44.6708127814712</v>
      </c>
      <c r="P250" s="49" t="n">
        <f aca="false">P247/O247*100-100</f>
        <v>-13.4496124031008</v>
      </c>
      <c r="Q250" s="49" t="n">
        <f aca="false">Q247/P247*100-100</f>
        <v>6.98611733094492</v>
      </c>
      <c r="R250" s="49" t="n">
        <f aca="false">R247/Q247*100-100</f>
        <v>-4.64629552113856</v>
      </c>
      <c r="S250" s="49" t="n">
        <f aca="false">S247/R247*100-100</f>
        <v>58.647936786655</v>
      </c>
      <c r="T250" s="49" t="n">
        <f aca="false">T247/S247*100-100</f>
        <v>47.5926950747095</v>
      </c>
      <c r="U250" s="49" t="n">
        <f aca="false">U247/T247*100-100</f>
        <v>29.8837645294338</v>
      </c>
      <c r="V250" s="49" t="n">
        <f aca="false">V247/U247*100-100</f>
        <v>-50.2742494226328</v>
      </c>
      <c r="W250" s="49" t="n">
        <f aca="false">W247/V247*100-100</f>
        <v>19.0130624092888</v>
      </c>
      <c r="X250" s="49" t="n">
        <f aca="false">X247/W247*100-100</f>
        <v>-11.0487804878049</v>
      </c>
      <c r="Y250" s="49" t="n">
        <f aca="false">Y247/X247*100-100</f>
        <v>31.9166438168358</v>
      </c>
      <c r="Z250" s="49" t="n">
        <f aca="false">Z247/Y247*100-100</f>
        <v>26.8551236749117</v>
      </c>
      <c r="AA250" s="49" t="n">
        <f aca="false">AA247/Z247*100-100</f>
        <v>37.4078322136654</v>
      </c>
      <c r="AB250" s="49" t="n">
        <f aca="false">AB247/AA247*100-100</f>
        <v>-12.067731934176</v>
      </c>
      <c r="AC250" s="49" t="n">
        <f aca="false">AC247/AB247*100-100</f>
        <v>-69.704366693789</v>
      </c>
      <c r="AD250" s="49" t="n">
        <f aca="false">AD247/AC247*100-100</f>
        <v>31.2444046553268</v>
      </c>
      <c r="AE250" s="49" t="n">
        <f aca="false">AE247/AD247*100-100</f>
        <v>63.1991814461119</v>
      </c>
      <c r="AF250" s="49" t="n">
        <f aca="false">AF247/AE247*100-100</f>
        <v>-51.9958202716823</v>
      </c>
      <c r="AG250" s="49" t="n">
        <f aca="false">AG247/AF247*100-100</f>
        <v>-8.18458859381802</v>
      </c>
      <c r="AH250" s="49" t="n">
        <f aca="false">AH247/AG247*100-100</f>
        <v>57.5154101469891</v>
      </c>
      <c r="AI250" s="49" t="n">
        <f aca="false">AI247/AH247*100-100</f>
        <v>-3.52197471402769</v>
      </c>
      <c r="AJ250" s="37" t="n">
        <v>0</v>
      </c>
      <c r="AK250" s="37" t="n">
        <v>8</v>
      </c>
      <c r="AL250" s="37" t="n">
        <v>5</v>
      </c>
      <c r="AM250" s="36"/>
      <c r="AN250" s="36"/>
      <c r="AO250" s="36"/>
      <c r="AP250" s="36"/>
      <c r="AQ250" s="36"/>
      <c r="AR250" s="36"/>
      <c r="AS250" s="36"/>
      <c r="AT250" s="36"/>
      <c r="AU250" s="36"/>
      <c r="AV250" s="36"/>
      <c r="AW250" s="36"/>
      <c r="AX250" s="36"/>
      <c r="AY250" s="36"/>
    </row>
    <row r="251" customFormat="false" ht="15" hidden="false" customHeight="true" outlineLevel="0" collapsed="false">
      <c r="A251" s="51" t="s">
        <v>441</v>
      </c>
      <c r="B251" s="53"/>
      <c r="C251" s="53"/>
      <c r="D251" s="53"/>
      <c r="E251" s="53"/>
      <c r="F251" s="53"/>
      <c r="G251" s="53"/>
      <c r="H251" s="53"/>
      <c r="I251" s="53"/>
      <c r="J251" s="53"/>
      <c r="K251" s="53"/>
      <c r="L251" s="53"/>
      <c r="M251" s="53"/>
      <c r="N251" s="53"/>
      <c r="O251" s="53"/>
      <c r="P251" s="53"/>
      <c r="Q251" s="53"/>
      <c r="R251" s="52" t="n">
        <f aca="false">+R247+R243+R239+R235</f>
        <v>53079</v>
      </c>
      <c r="S251" s="52" t="n">
        <f aca="false">+S247+S243+S239+S235</f>
        <v>62805</v>
      </c>
      <c r="T251" s="52" t="n">
        <f aca="false">+T247+T243+T239+T235</f>
        <v>93235</v>
      </c>
      <c r="U251" s="52" t="n">
        <f aca="false">+U247+U243+U239+U235</f>
        <v>93282</v>
      </c>
      <c r="V251" s="52" t="n">
        <f aca="false">+V247+V243+V239+V235</f>
        <v>78913</v>
      </c>
      <c r="W251" s="52" t="n">
        <f aca="false">+W247+W243+W239+W235</f>
        <v>60347</v>
      </c>
      <c r="X251" s="52" t="n">
        <f aca="false">+X247+X243+X239+X235</f>
        <v>77660</v>
      </c>
      <c r="Y251" s="52" t="n">
        <f aca="false">+Y247+Y243+Y239+Y235</f>
        <v>109762</v>
      </c>
      <c r="Z251" s="52" t="n">
        <f aca="false">+Z247+Z243+Z239+Z235</f>
        <v>113296</v>
      </c>
      <c r="AA251" s="52" t="n">
        <f aca="false">+AA247+AA243+AA239+AA235</f>
        <v>131432</v>
      </c>
      <c r="AB251" s="52" t="n">
        <f aca="false">+AB247+AB243+AB239+AB235</f>
        <v>142858</v>
      </c>
      <c r="AC251" s="52" t="n">
        <f aca="false">+AC247+AC243+AC239+AC235</f>
        <v>78607</v>
      </c>
      <c r="AD251" s="52" t="n">
        <f aca="false">+AD247+AD243+AD239+AD235</f>
        <v>51807</v>
      </c>
      <c r="AE251" s="52" t="n">
        <f aca="false">+AE247+AE243+AE239+AE235</f>
        <v>73885</v>
      </c>
      <c r="AF251" s="52" t="n">
        <f aca="false">+AF247+AF243+AF239+AF235</f>
        <v>124109</v>
      </c>
      <c r="AG251" s="52" t="n">
        <f aca="false">+AG247+AG243+AG239+AG235</f>
        <v>124883</v>
      </c>
      <c r="AH251" s="52" t="n">
        <f aca="false">+AH247+AH243+AH239+AH235</f>
        <v>126027</v>
      </c>
      <c r="AI251" s="52" t="n">
        <f aca="false">+AI247+AI243+AI239+AI235</f>
        <v>142658</v>
      </c>
      <c r="AJ251" s="52" t="n">
        <f aca="false">+AJ247+AJ243+AJ239+AJ235</f>
        <v>150629</v>
      </c>
      <c r="AK251" s="52" t="n">
        <f aca="false">+AK247+AK243+AK239+AK235</f>
        <v>160590</v>
      </c>
      <c r="AL251" s="52" t="n">
        <f aca="false">+AL247+AL243+AL239+AL235</f>
        <v>171127</v>
      </c>
      <c r="AM251" s="53"/>
      <c r="AN251" s="53"/>
      <c r="AO251" s="53"/>
      <c r="AP251" s="53"/>
      <c r="AQ251" s="53"/>
      <c r="AR251" s="53"/>
      <c r="AS251" s="53"/>
      <c r="AT251" s="53"/>
      <c r="AU251" s="53"/>
      <c r="AV251" s="53"/>
      <c r="AW251" s="53"/>
      <c r="AX251" s="53"/>
      <c r="AY251" s="53"/>
    </row>
    <row r="252" customFormat="false" ht="15" hidden="false" customHeight="true" outlineLevel="0" collapsed="false">
      <c r="A252" s="29"/>
      <c r="B252" s="56"/>
      <c r="C252" s="56"/>
      <c r="D252" s="56"/>
      <c r="E252" s="56"/>
      <c r="F252" s="56"/>
      <c r="G252" s="56"/>
      <c r="H252" s="56"/>
      <c r="I252" s="56"/>
      <c r="J252" s="56"/>
      <c r="K252" s="56"/>
      <c r="L252" s="56"/>
      <c r="M252" s="56"/>
      <c r="N252" s="56"/>
      <c r="O252" s="56"/>
      <c r="P252" s="56"/>
      <c r="Q252" s="56"/>
      <c r="R252" s="57" t="e">
        <f aca="false">+R251/Q251-1</f>
        <v>#DIV/0!</v>
      </c>
      <c r="S252" s="57" t="n">
        <f aca="false">+S251/R251-1</f>
        <v>0.183236308144464</v>
      </c>
      <c r="T252" s="57" t="n">
        <f aca="false">+T251/S251-1</f>
        <v>0.484515564047449</v>
      </c>
      <c r="U252" s="57" t="n">
        <f aca="false">+U251/T251-1</f>
        <v>0.000504102536601048</v>
      </c>
      <c r="V252" s="57" t="n">
        <f aca="false">+V251/U251-1</f>
        <v>-0.154038292489441</v>
      </c>
      <c r="W252" s="57" t="n">
        <f aca="false">+W251/V251-1</f>
        <v>-0.235271754970664</v>
      </c>
      <c r="X252" s="57" t="n">
        <f aca="false">+X251/W251-1</f>
        <v>0.28689081478781</v>
      </c>
      <c r="Y252" s="57" t="n">
        <f aca="false">+Y251/X251-1</f>
        <v>0.413365954159155</v>
      </c>
      <c r="Z252" s="57" t="n">
        <f aca="false">+Z251/Y251-1</f>
        <v>0.032196935187041</v>
      </c>
      <c r="AA252" s="57" t="n">
        <f aca="false">+AA251/Z251-1</f>
        <v>0.160076260415196</v>
      </c>
      <c r="AB252" s="57" t="n">
        <f aca="false">+AB251/AA251-1</f>
        <v>0.0869346886602957</v>
      </c>
      <c r="AC252" s="57" t="n">
        <f aca="false">+AC251/AB251-1</f>
        <v>-0.449754301474191</v>
      </c>
      <c r="AD252" s="57" t="n">
        <f aca="false">+AD251/AC251-1</f>
        <v>-0.340936557812917</v>
      </c>
      <c r="AE252" s="57" t="n">
        <f aca="false">+AE251/AD251-1</f>
        <v>0.426158627212539</v>
      </c>
      <c r="AF252" s="57" t="n">
        <f aca="false">+AF251/AE251-1</f>
        <v>0.679759085064628</v>
      </c>
      <c r="AG252" s="57" t="n">
        <f aca="false">+AG251/AF251-1</f>
        <v>0.00623645344012114</v>
      </c>
      <c r="AH252" s="57" t="n">
        <f aca="false">+AH251/AG251-1</f>
        <v>0.00916057429754247</v>
      </c>
      <c r="AI252" s="57" t="n">
        <f aca="false">+AI251/AH251-1</f>
        <v>0.13196378553802</v>
      </c>
      <c r="AJ252" s="57" t="n">
        <f aca="false">+AJ251/AI251-1</f>
        <v>0.055874889596097</v>
      </c>
      <c r="AK252" s="57" t="n">
        <f aca="false">+AK251/AJ251-1</f>
        <v>0.0661293641994569</v>
      </c>
      <c r="AL252" s="57" t="n">
        <f aca="false">+AL251/AK251-1</f>
        <v>0.0656142972787845</v>
      </c>
      <c r="AM252" s="56"/>
      <c r="AN252" s="56"/>
      <c r="AO252" s="56"/>
      <c r="AP252" s="56"/>
      <c r="AQ252" s="50" t="s">
        <v>442</v>
      </c>
      <c r="AR252" s="56"/>
      <c r="AS252" s="56"/>
      <c r="AT252" s="56"/>
      <c r="AU252" s="56"/>
      <c r="AV252" s="56"/>
      <c r="AW252" s="56"/>
      <c r="AX252" s="56"/>
      <c r="AY252" s="56"/>
    </row>
    <row r="253" customFormat="false" ht="15" hidden="false" customHeight="true" outlineLevel="0" collapsed="false">
      <c r="A253" s="29"/>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89" t="n">
        <f aca="false">+AE251-73885</f>
        <v>0</v>
      </c>
      <c r="AF253" s="89" t="n">
        <f aca="false">+AF251-124109</f>
        <v>0</v>
      </c>
      <c r="AG253" s="89" t="n">
        <f aca="false">+AG251-124883</f>
        <v>0</v>
      </c>
      <c r="AH253" s="43"/>
      <c r="AI253" s="43"/>
      <c r="AJ253" s="43"/>
      <c r="AK253" s="43"/>
      <c r="AL253" s="43"/>
      <c r="AM253" s="43"/>
      <c r="AN253" s="43"/>
      <c r="AO253" s="43"/>
      <c r="AP253" s="43"/>
      <c r="AQ253" s="43"/>
      <c r="AR253" s="43"/>
      <c r="AS253" s="43"/>
      <c r="AT253" s="43"/>
      <c r="AU253" s="43"/>
      <c r="AV253" s="43"/>
      <c r="AW253" s="43"/>
      <c r="AX253" s="43"/>
      <c r="AY253" s="43"/>
    </row>
    <row r="254" customFormat="false" ht="15" hidden="false" customHeight="true" outlineLevel="0" collapsed="false">
      <c r="A254" s="29" t="s">
        <v>443</v>
      </c>
      <c r="B254" s="30"/>
      <c r="C254" s="30"/>
      <c r="D254" s="30"/>
      <c r="E254" s="30"/>
      <c r="F254" s="30"/>
      <c r="G254" s="30"/>
      <c r="H254" s="30"/>
      <c r="I254" s="30"/>
      <c r="J254" s="30"/>
      <c r="K254" s="30"/>
      <c r="L254" s="30"/>
      <c r="M254" s="30"/>
      <c r="N254" s="30"/>
      <c r="O254" s="30"/>
      <c r="P254" s="30"/>
      <c r="Q254" s="30"/>
      <c r="R254" s="30"/>
      <c r="S254" s="30"/>
      <c r="T254" s="30"/>
      <c r="U254" s="62" t="n">
        <v>4395</v>
      </c>
      <c r="V254" s="32" t="n">
        <f aca="false">+V256*0.28</f>
        <v>9776.76</v>
      </c>
      <c r="W254" s="31" t="n">
        <f aca="false">+W256*0.25</f>
        <v>6770</v>
      </c>
      <c r="X254" s="31" t="n">
        <f aca="false">+X256*0.25</f>
        <v>6103.5</v>
      </c>
      <c r="Y254" s="31" t="n">
        <f aca="false">+Y256*0.25</f>
        <v>6809.25</v>
      </c>
      <c r="Z254" s="31" t="n">
        <f aca="false">+Z256*0.25</f>
        <v>7615.75</v>
      </c>
      <c r="AA254" s="31" t="n">
        <f aca="false">+AA256*0.25</f>
        <v>9966.25</v>
      </c>
      <c r="AB254" s="32" t="n">
        <f aca="false">+AB256*0.2</f>
        <v>9893.4</v>
      </c>
      <c r="AC254" s="30"/>
      <c r="AD254" s="92" t="n">
        <f aca="false">0.928571428571429-1</f>
        <v>-0.071428571428571</v>
      </c>
      <c r="AE254" s="30"/>
      <c r="AF254" s="30"/>
      <c r="AG254" s="30"/>
      <c r="AH254" s="30"/>
      <c r="AI254" s="30"/>
      <c r="AJ254" s="30"/>
      <c r="AK254" s="30"/>
      <c r="AL254" s="30"/>
      <c r="AM254" s="50" t="s">
        <v>444</v>
      </c>
      <c r="AN254" s="30"/>
      <c r="AO254" s="30"/>
      <c r="AP254" s="30"/>
      <c r="AQ254" s="30"/>
      <c r="AR254" s="30"/>
      <c r="AS254" s="30"/>
      <c r="AT254" s="30"/>
      <c r="AU254" s="30"/>
      <c r="AV254" s="30"/>
      <c r="AW254" s="30"/>
      <c r="AX254" s="30"/>
      <c r="AY254" s="30"/>
    </row>
    <row r="255" customFormat="false" ht="15" hidden="false" customHeight="true" outlineLevel="0" collapsed="false">
      <c r="A255" s="29" t="s">
        <v>445</v>
      </c>
      <c r="B255" s="30"/>
      <c r="C255" s="30"/>
      <c r="D255" s="30"/>
      <c r="E255" s="30"/>
      <c r="F255" s="30"/>
      <c r="G255" s="30"/>
      <c r="H255" s="30"/>
      <c r="I255" s="30"/>
      <c r="J255" s="30"/>
      <c r="K255" s="30"/>
      <c r="L255" s="30"/>
      <c r="M255" s="30"/>
      <c r="N255" s="30"/>
      <c r="O255" s="30"/>
      <c r="P255" s="30"/>
      <c r="Q255" s="30"/>
      <c r="R255" s="30"/>
      <c r="S255" s="30"/>
      <c r="T255" s="30"/>
      <c r="U255" s="62" t="n">
        <v>3198</v>
      </c>
      <c r="V255" s="31" t="n">
        <f aca="false">+V256-V254</f>
        <v>25140.24</v>
      </c>
      <c r="W255" s="31" t="n">
        <f aca="false">+W256-W254</f>
        <v>20310</v>
      </c>
      <c r="X255" s="31" t="n">
        <f aca="false">+X256-X254</f>
        <v>18310.5</v>
      </c>
      <c r="Y255" s="31" t="n">
        <f aca="false">+Y256-Y254</f>
        <v>20427.75</v>
      </c>
      <c r="Z255" s="31" t="n">
        <f aca="false">+Z256-Z254</f>
        <v>22847.25</v>
      </c>
      <c r="AA255" s="31" t="n">
        <f aca="false">+AA256-AA254</f>
        <v>29898.75</v>
      </c>
      <c r="AB255" s="31" t="n">
        <f aca="false">+AB256-AB254</f>
        <v>39573.6</v>
      </c>
      <c r="AC255" s="30"/>
      <c r="AD255" s="30"/>
      <c r="AE255" s="30"/>
      <c r="AF255" s="30"/>
      <c r="AG255" s="30"/>
      <c r="AH255" s="30"/>
      <c r="AI255" s="30"/>
      <c r="AJ255" s="30"/>
      <c r="AK255" s="30"/>
      <c r="AL255" s="30"/>
      <c r="AM255" s="50" t="s">
        <v>446</v>
      </c>
      <c r="AN255" s="30"/>
      <c r="AO255" s="30"/>
      <c r="AP255" s="30"/>
      <c r="AQ255" s="50" t="s">
        <v>447</v>
      </c>
      <c r="AR255" s="62" t="n">
        <v>1742.063</v>
      </c>
      <c r="AS255" s="30"/>
      <c r="AT255" s="30"/>
      <c r="AU255" s="30"/>
      <c r="AV255" s="30"/>
      <c r="AW255" s="30"/>
      <c r="AX255" s="30"/>
      <c r="AY255" s="30"/>
    </row>
    <row r="256" customFormat="false" ht="15" hidden="false" customHeight="true" outlineLevel="0" collapsed="false">
      <c r="A256" s="51" t="s">
        <v>448</v>
      </c>
      <c r="B256" s="53"/>
      <c r="C256" s="53"/>
      <c r="D256" s="53"/>
      <c r="E256" s="53"/>
      <c r="F256" s="53"/>
      <c r="G256" s="53"/>
      <c r="H256" s="53"/>
      <c r="I256" s="53"/>
      <c r="J256" s="53"/>
      <c r="K256" s="53"/>
      <c r="L256" s="53"/>
      <c r="M256" s="53"/>
      <c r="N256" s="53"/>
      <c r="O256" s="53"/>
      <c r="P256" s="53"/>
      <c r="Q256" s="53"/>
      <c r="R256" s="53"/>
      <c r="S256" s="53"/>
      <c r="T256" s="53"/>
      <c r="U256" s="52" t="n">
        <f aca="false">+U255+U254</f>
        <v>7593</v>
      </c>
      <c r="V256" s="95" t="n">
        <v>34917</v>
      </c>
      <c r="W256" s="96" t="n">
        <f aca="false">27927-847</f>
        <v>27080</v>
      </c>
      <c r="X256" s="95" t="n">
        <v>24414</v>
      </c>
      <c r="Y256" s="95" t="n">
        <v>27237</v>
      </c>
      <c r="Z256" s="95" t="n">
        <v>30463</v>
      </c>
      <c r="AA256" s="95" t="n">
        <v>39865</v>
      </c>
      <c r="AB256" s="95" t="n">
        <v>49467</v>
      </c>
      <c r="AC256" s="53"/>
      <c r="AD256" s="53"/>
      <c r="AE256" s="53"/>
      <c r="AF256" s="53"/>
      <c r="AG256" s="53"/>
      <c r="AH256" s="53"/>
      <c r="AI256" s="53"/>
      <c r="AJ256" s="53"/>
      <c r="AK256" s="53"/>
      <c r="AL256" s="53"/>
      <c r="AM256" s="61" t="s">
        <v>449</v>
      </c>
      <c r="AN256" s="53"/>
      <c r="AO256" s="53"/>
      <c r="AP256" s="53"/>
      <c r="AQ256" s="54" t="s">
        <v>450</v>
      </c>
      <c r="AR256" s="95" t="n">
        <v>251.624</v>
      </c>
      <c r="AS256" s="53"/>
      <c r="AT256" s="53"/>
      <c r="AU256" s="53"/>
      <c r="AV256" s="53"/>
      <c r="AW256" s="53"/>
      <c r="AX256" s="53"/>
      <c r="AY256" s="53"/>
    </row>
    <row r="257" customFormat="false" ht="15" hidden="false" customHeight="true" outlineLevel="0" collapsed="false">
      <c r="A257" s="29" t="s">
        <v>243</v>
      </c>
      <c r="B257" s="56"/>
      <c r="C257" s="56"/>
      <c r="D257" s="56"/>
      <c r="E257" s="56"/>
      <c r="F257" s="56"/>
      <c r="G257" s="56"/>
      <c r="H257" s="56"/>
      <c r="I257" s="56"/>
      <c r="J257" s="56"/>
      <c r="K257" s="56"/>
      <c r="L257" s="56"/>
      <c r="M257" s="56"/>
      <c r="N257" s="56"/>
      <c r="O257" s="56"/>
      <c r="P257" s="56"/>
      <c r="Q257" s="56"/>
      <c r="R257" s="56"/>
      <c r="S257" s="56"/>
      <c r="T257" s="56"/>
      <c r="U257" s="56"/>
      <c r="V257" s="57" t="n">
        <f aca="false">+V256/U256-1</f>
        <v>3.59857763729751</v>
      </c>
      <c r="W257" s="57" t="n">
        <f aca="false">+W256/V256-1</f>
        <v>-0.224446544663058</v>
      </c>
      <c r="X257" s="57" t="n">
        <f aca="false">+X256/W256-1</f>
        <v>-0.0984490398818316</v>
      </c>
      <c r="Y257" s="57" t="n">
        <f aca="false">+Y256/X256-1</f>
        <v>0.115630376013763</v>
      </c>
      <c r="Z257" s="57" t="n">
        <f aca="false">+Z256/Y256-1</f>
        <v>0.118441825458017</v>
      </c>
      <c r="AA257" s="57" t="n">
        <f aca="false">+AA256/Z256-1</f>
        <v>0.308636706824673</v>
      </c>
      <c r="AB257" s="57" t="n">
        <f aca="false">+AB256/AA256-1</f>
        <v>0.240862912329111</v>
      </c>
      <c r="AC257" s="56"/>
      <c r="AD257" s="56"/>
      <c r="AE257" s="56"/>
      <c r="AF257" s="56"/>
      <c r="AG257" s="56"/>
      <c r="AH257" s="56"/>
      <c r="AI257" s="56"/>
      <c r="AJ257" s="56"/>
      <c r="AK257" s="56"/>
      <c r="AL257" s="56"/>
      <c r="AM257" s="50" t="s">
        <v>451</v>
      </c>
      <c r="AN257" s="56"/>
      <c r="AO257" s="56"/>
      <c r="AP257" s="56"/>
      <c r="AQ257" s="56"/>
      <c r="AR257" s="56"/>
      <c r="AS257" s="56"/>
      <c r="AT257" s="56"/>
      <c r="AU257" s="56"/>
      <c r="AV257" s="56"/>
      <c r="AW257" s="56"/>
      <c r="AX257" s="56"/>
      <c r="AY257" s="56"/>
    </row>
    <row r="258" customFormat="false" ht="15" hidden="false" customHeight="true" outlineLevel="0" collapsed="false">
      <c r="A258" s="29" t="s">
        <v>452</v>
      </c>
      <c r="B258" s="30"/>
      <c r="C258" s="30"/>
      <c r="D258" s="30"/>
      <c r="E258" s="30"/>
      <c r="F258" s="30"/>
      <c r="G258" s="30"/>
      <c r="H258" s="30"/>
      <c r="I258" s="30"/>
      <c r="J258" s="30"/>
      <c r="K258" s="30"/>
      <c r="L258" s="30"/>
      <c r="M258" s="30"/>
      <c r="N258" s="30"/>
      <c r="O258" s="30"/>
      <c r="P258" s="30"/>
      <c r="Q258" s="30"/>
      <c r="R258" s="30"/>
      <c r="S258" s="30"/>
      <c r="T258" s="30"/>
      <c r="U258" s="31" t="n">
        <f aca="false">+U261-U256</f>
        <v>341</v>
      </c>
      <c r="V258" s="32" t="n">
        <f aca="false">35155-V256</f>
        <v>238</v>
      </c>
      <c r="W258" s="92" t="n">
        <f aca="false">203+775+3</f>
        <v>981</v>
      </c>
      <c r="X258" s="92" t="n">
        <f aca="false">1160+346-14</f>
        <v>1492</v>
      </c>
      <c r="Y258" s="92" t="n">
        <f aca="false">529+746+1-5</f>
        <v>1271</v>
      </c>
      <c r="Z258" s="92" t="n">
        <f aca="false">488-4</f>
        <v>484</v>
      </c>
      <c r="AA258" s="92" t="n">
        <f aca="false">2213+22</f>
        <v>2235</v>
      </c>
      <c r="AB258" s="62" t="n">
        <v>3662</v>
      </c>
      <c r="AC258" s="30"/>
      <c r="AD258" s="30"/>
      <c r="AE258" s="30"/>
      <c r="AF258" s="30"/>
      <c r="AG258" s="30"/>
      <c r="AH258" s="30"/>
      <c r="AI258" s="30"/>
      <c r="AJ258" s="30"/>
      <c r="AK258" s="30"/>
      <c r="AL258" s="30"/>
      <c r="AM258" s="31" t="n">
        <f aca="false">+W261+W265</f>
        <v>28990</v>
      </c>
      <c r="AN258" s="30"/>
      <c r="AO258" s="30"/>
      <c r="AP258" s="30"/>
      <c r="AQ258" s="34" t="n">
        <v>263.788</v>
      </c>
      <c r="AR258" s="30"/>
      <c r="AS258" s="30"/>
      <c r="AT258" s="30"/>
      <c r="AU258" s="30"/>
      <c r="AV258" s="30"/>
      <c r="AW258" s="30"/>
      <c r="AX258" s="30"/>
      <c r="AY258" s="30"/>
    </row>
    <row r="259" customFormat="false" ht="15" hidden="false" customHeight="true" outlineLevel="0" collapsed="false">
      <c r="A259" s="29" t="s">
        <v>243</v>
      </c>
      <c r="B259" s="56"/>
      <c r="C259" s="56"/>
      <c r="D259" s="56"/>
      <c r="E259" s="56"/>
      <c r="F259" s="56"/>
      <c r="G259" s="56"/>
      <c r="H259" s="56"/>
      <c r="I259" s="56"/>
      <c r="J259" s="56"/>
      <c r="K259" s="56"/>
      <c r="L259" s="56"/>
      <c r="M259" s="56"/>
      <c r="N259" s="56"/>
      <c r="O259" s="56"/>
      <c r="P259" s="56"/>
      <c r="Q259" s="56"/>
      <c r="R259" s="56"/>
      <c r="S259" s="56"/>
      <c r="T259" s="56"/>
      <c r="U259" s="56"/>
      <c r="V259" s="57" t="n">
        <f aca="false">+V258/U258-1</f>
        <v>-0.302052785923754</v>
      </c>
      <c r="W259" s="57" t="n">
        <f aca="false">+W258/V258-1</f>
        <v>3.1218487394958</v>
      </c>
      <c r="X259" s="57" t="n">
        <f aca="false">+X258/W258-1</f>
        <v>0.520897043832824</v>
      </c>
      <c r="Y259" s="57" t="n">
        <f aca="false">+Y258/X258-1</f>
        <v>-0.148123324396783</v>
      </c>
      <c r="Z259" s="57" t="n">
        <f aca="false">+Z258/Y258-1</f>
        <v>-0.619197482297404</v>
      </c>
      <c r="AA259" s="57" t="n">
        <f aca="false">+AA258/Z258-1</f>
        <v>3.61776859504132</v>
      </c>
      <c r="AB259" s="57" t="n">
        <f aca="false">+AB258/AA258-1</f>
        <v>0.638478747203579</v>
      </c>
      <c r="AC259" s="56"/>
      <c r="AD259" s="56"/>
      <c r="AE259" s="56"/>
      <c r="AF259" s="56"/>
      <c r="AG259" s="56"/>
      <c r="AH259" s="56"/>
      <c r="AI259" s="56"/>
      <c r="AJ259" s="56"/>
      <c r="AK259" s="56"/>
      <c r="AL259" s="56"/>
      <c r="AM259" s="56"/>
      <c r="AN259" s="56"/>
      <c r="AO259" s="56"/>
      <c r="AP259" s="56"/>
      <c r="AQ259" s="57" t="n">
        <f aca="false">+AQ258/U254*1000000</f>
        <v>60020.0227531286</v>
      </c>
      <c r="AR259" s="56"/>
      <c r="AS259" s="56"/>
      <c r="AT259" s="56"/>
      <c r="AU259" s="56"/>
      <c r="AV259" s="56"/>
      <c r="AW259" s="56"/>
      <c r="AX259" s="56"/>
      <c r="AY259" s="56"/>
    </row>
    <row r="260" customFormat="false" ht="15" hidden="false" customHeight="true" outlineLevel="0" collapsed="false">
      <c r="A260" s="29"/>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1" t="n">
        <f aca="false">+Z261+Z265</f>
        <v>31770</v>
      </c>
      <c r="AA260" s="31" t="n">
        <f aca="false">+AA261+AA265</f>
        <v>43441</v>
      </c>
      <c r="AB260" s="30"/>
      <c r="AC260" s="30"/>
      <c r="AD260" s="30"/>
      <c r="AE260" s="31" t="n">
        <f aca="false">+AE261/AC261-1</f>
        <v>0.1627627360171</v>
      </c>
      <c r="AF260" s="30"/>
      <c r="AG260" s="30"/>
      <c r="AH260" s="30"/>
      <c r="AI260" s="30"/>
      <c r="AJ260" s="30"/>
      <c r="AK260" s="30"/>
      <c r="AL260" s="30"/>
      <c r="AM260" s="30"/>
      <c r="AN260" s="30"/>
      <c r="AO260" s="30"/>
      <c r="AP260" s="30"/>
      <c r="AQ260" s="30"/>
      <c r="AR260" s="62" t="n">
        <v>70.513</v>
      </c>
      <c r="AS260" s="30"/>
      <c r="AT260" s="30"/>
      <c r="AU260" s="30"/>
      <c r="AV260" s="30"/>
      <c r="AW260" s="30"/>
      <c r="AX260" s="30"/>
      <c r="AY260" s="30"/>
    </row>
    <row r="261" customFormat="false" ht="15" hidden="false" customHeight="true" outlineLevel="0" collapsed="false">
      <c r="A261" s="47" t="s">
        <v>453</v>
      </c>
      <c r="B261" s="30"/>
      <c r="C261" s="30"/>
      <c r="D261" s="30"/>
      <c r="E261" s="30"/>
      <c r="F261" s="30"/>
      <c r="G261" s="30"/>
      <c r="H261" s="34" t="n">
        <v>468</v>
      </c>
      <c r="I261" s="34" t="n">
        <v>297</v>
      </c>
      <c r="J261" s="34" t="n">
        <v>335</v>
      </c>
      <c r="K261" s="34" t="n">
        <v>120</v>
      </c>
      <c r="L261" s="34" t="n">
        <v>314</v>
      </c>
      <c r="M261" s="34" t="n">
        <v>376</v>
      </c>
      <c r="N261" s="34" t="n">
        <v>322</v>
      </c>
      <c r="O261" s="34" t="n">
        <v>753</v>
      </c>
      <c r="P261" s="34" t="n">
        <v>289</v>
      </c>
      <c r="Q261" s="34" t="n">
        <v>615</v>
      </c>
      <c r="R261" s="34" t="n">
        <v>514</v>
      </c>
      <c r="S261" s="34" t="n">
        <v>836</v>
      </c>
      <c r="T261" s="34" t="n">
        <v>700</v>
      </c>
      <c r="U261" s="34" t="n">
        <v>7934</v>
      </c>
      <c r="V261" s="35" t="n">
        <f aca="false">+V256+V258</f>
        <v>35155</v>
      </c>
      <c r="W261" s="35" t="n">
        <f aca="false">+W256+W258</f>
        <v>28061</v>
      </c>
      <c r="X261" s="35" t="n">
        <f aca="false">+X256+X258</f>
        <v>25906</v>
      </c>
      <c r="Y261" s="35" t="n">
        <f aca="false">+Y256+Y258</f>
        <v>28508</v>
      </c>
      <c r="Z261" s="35" t="n">
        <f aca="false">+Z256+Z258</f>
        <v>30947</v>
      </c>
      <c r="AA261" s="35" t="n">
        <f aca="false">+AA256+AA258</f>
        <v>42100</v>
      </c>
      <c r="AB261" s="35" t="n">
        <f aca="false">+AB256+AB258</f>
        <v>53129</v>
      </c>
      <c r="AC261" s="34" t="n">
        <v>44912</v>
      </c>
      <c r="AD261" s="34" t="n">
        <v>46671</v>
      </c>
      <c r="AE261" s="34" t="n">
        <v>52222</v>
      </c>
      <c r="AF261" s="34" t="n">
        <v>66617</v>
      </c>
      <c r="AG261" s="34" t="n">
        <v>66633</v>
      </c>
      <c r="AH261" s="34" t="n">
        <v>65049</v>
      </c>
      <c r="AI261" s="34" t="n">
        <v>74322</v>
      </c>
      <c r="AJ261" s="35" t="n">
        <f aca="false">+AI261*(1+AJ264/100)</f>
        <v>83240.64</v>
      </c>
      <c r="AK261" s="35" t="n">
        <f aca="false">+AJ261*(1+AK264/100)</f>
        <v>89899.8912</v>
      </c>
      <c r="AL261" s="35" t="n">
        <f aca="false">+AK261*(1+AL264/100)</f>
        <v>95293.884672</v>
      </c>
      <c r="AM261" s="30"/>
      <c r="AN261" s="30"/>
      <c r="AO261" s="30"/>
      <c r="AP261" s="30"/>
      <c r="AQ261" s="30"/>
      <c r="AR261" s="31" t="n">
        <f aca="false">+AR260/U254*1000000</f>
        <v>16043.9135381115</v>
      </c>
      <c r="AS261" s="30"/>
      <c r="AT261" s="30"/>
      <c r="AU261" s="30"/>
      <c r="AV261" s="30"/>
      <c r="AW261" s="30"/>
      <c r="AX261" s="30"/>
      <c r="AY261" s="30"/>
    </row>
    <row r="262" customFormat="false" ht="15" hidden="false" customHeight="true" outlineLevel="0" collapsed="false">
      <c r="A262" s="29" t="s">
        <v>454</v>
      </c>
      <c r="B262" s="36"/>
      <c r="C262" s="36"/>
      <c r="D262" s="36"/>
      <c r="E262" s="36"/>
      <c r="F262" s="36"/>
      <c r="G262" s="36"/>
      <c r="H262" s="49" t="n">
        <f aca="false">H261/(H261+H265)*100</f>
        <v>82.3943661971831</v>
      </c>
      <c r="I262" s="49" t="n">
        <f aca="false">I261/(I261+I265)*100</f>
        <v>61.3636363636364</v>
      </c>
      <c r="J262" s="49" t="n">
        <f aca="false">J261/(J261+J265)*100</f>
        <v>62.6168224299065</v>
      </c>
      <c r="K262" s="49" t="n">
        <f aca="false">K261/(K261+K265)*100</f>
        <v>42.2535211267606</v>
      </c>
      <c r="L262" s="49" t="n">
        <f aca="false">L261/(L261+L265)*100</f>
        <v>49.2935635792779</v>
      </c>
      <c r="M262" s="49" t="n">
        <f aca="false">M261/(M261+M265)*100</f>
        <v>56.5413533834587</v>
      </c>
      <c r="N262" s="49" t="n">
        <f aca="false">N261/(N261+N265)*100</f>
        <v>76.8496420047733</v>
      </c>
      <c r="O262" s="49" t="n">
        <f aca="false">O261/(O261+O265)*100</f>
        <v>94.4792973651192</v>
      </c>
      <c r="P262" s="49" t="n">
        <f aca="false">P261/(P261+P265)*100</f>
        <v>96.3333333333333</v>
      </c>
      <c r="Q262" s="49" t="n">
        <f aca="false">Q261/(Q261+Q265)*100</f>
        <v>74.726609963548</v>
      </c>
      <c r="R262" s="49" t="n">
        <f aca="false">R261/(R261+R265)*100</f>
        <v>38.0177514792899</v>
      </c>
      <c r="S262" s="49" t="n">
        <f aca="false">S261/(S261+S265)*100</f>
        <v>74.5762711864407</v>
      </c>
      <c r="T262" s="49" t="n">
        <f aca="false">T261/(T261+T265)*100</f>
        <v>80.3673938002296</v>
      </c>
      <c r="U262" s="49" t="n">
        <f aca="false">U261/(U261+U265)*100</f>
        <v>91.1116214974736</v>
      </c>
      <c r="V262" s="49" t="n">
        <f aca="false">V261/(V261+V265)*100</f>
        <v>98.4789063813099</v>
      </c>
      <c r="W262" s="49" t="n">
        <f aca="false">W261/(W261+W265)*100</f>
        <v>96.7954467057606</v>
      </c>
      <c r="X262" s="49" t="n">
        <f aca="false">X261/(X261+X265)*100</f>
        <v>95.0958079436165</v>
      </c>
      <c r="Y262" s="49" t="n">
        <f aca="false">Y261/(Y261+Y265)*100</f>
        <v>92.8750610848672</v>
      </c>
      <c r="Z262" s="49" t="n">
        <f aca="false">Z261/(Z261+Z265)*100</f>
        <v>97.4095058231036</v>
      </c>
      <c r="AA262" s="49" t="n">
        <f aca="false">AA261/(AA261+AA265)*100</f>
        <v>96.913054487696</v>
      </c>
      <c r="AB262" s="49" t="n">
        <f aca="false">AB261/(AB261+AB265)*100</f>
        <v>97.4700961326778</v>
      </c>
      <c r="AC262" s="49" t="n">
        <f aca="false">AC261/(AC261+AC265)*100</f>
        <v>96.2826394546156</v>
      </c>
      <c r="AD262" s="49" t="n">
        <f aca="false">AD261/(AD261+AD265)*100</f>
        <v>95.4261061585017</v>
      </c>
      <c r="AE262" s="49" t="n">
        <f aca="false">AE261/(AE261+AE265)*100</f>
        <v>95.9240278466597</v>
      </c>
      <c r="AF262" s="49" t="n">
        <f aca="false">AF261/(AF261+AF265)*100</f>
        <v>97.8280662593985</v>
      </c>
      <c r="AG262" s="49" t="n">
        <f aca="false">AG261/(AG261+AG265)*100</f>
        <v>95.4627507163324</v>
      </c>
      <c r="AH262" s="49" t="n">
        <f aca="false">AH261/(AH261+AH265)*100</f>
        <v>94.1838241681869</v>
      </c>
      <c r="AI262" s="49" t="n">
        <f aca="false">AI261/(AI261+AI265)*100</f>
        <v>95.5553555586984</v>
      </c>
      <c r="AJ262" s="49" t="n">
        <f aca="false">AJ261/(AJ261+AJ265)*100</f>
        <v>95.9362261809378</v>
      </c>
      <c r="AK262" s="49" t="n">
        <f aca="false">AK261/(AK261+AK265)*100</f>
        <v>96.0449517071296</v>
      </c>
      <c r="AL262" s="49" t="n">
        <f aca="false">AL261/(AL261+AL265)*100</f>
        <v>96.0808980350854</v>
      </c>
      <c r="AM262" s="36"/>
      <c r="AN262" s="36"/>
      <c r="AO262" s="36"/>
      <c r="AP262" s="36"/>
      <c r="AQ262" s="36"/>
      <c r="AR262" s="36"/>
      <c r="AS262" s="36"/>
      <c r="AT262" s="36"/>
      <c r="AU262" s="36"/>
      <c r="AV262" s="36"/>
      <c r="AW262" s="36"/>
      <c r="AX262" s="36"/>
      <c r="AY262" s="36"/>
    </row>
    <row r="263" customFormat="false" ht="15" hidden="false" customHeight="true" outlineLevel="0" collapsed="false">
      <c r="A263" s="29" t="s">
        <v>431</v>
      </c>
      <c r="B263" s="36"/>
      <c r="C263" s="36"/>
      <c r="D263" s="36"/>
      <c r="E263" s="36"/>
      <c r="F263" s="36"/>
      <c r="G263" s="36"/>
      <c r="H263" s="49" t="n">
        <f aca="false">H261/H273*100</f>
        <v>1.7426273458445</v>
      </c>
      <c r="I263" s="49" t="n">
        <f aca="false">I261/I273*100</f>
        <v>0.784489817480652</v>
      </c>
      <c r="J263" s="49" t="n">
        <f aca="false">J261/J273*100</f>
        <v>1.03156274056967</v>
      </c>
      <c r="K263" s="49" t="n">
        <f aca="false">K261/K273*100</f>
        <v>0.40440804772015</v>
      </c>
      <c r="L263" s="49" t="n">
        <f aca="false">L261/L273*100</f>
        <v>0.861572232130608</v>
      </c>
      <c r="M263" s="49" t="n">
        <f aca="false">M261/M273*100</f>
        <v>0.772803880462038</v>
      </c>
      <c r="N263" s="49" t="n">
        <f aca="false">N261/N273*100</f>
        <v>0.588235294117647</v>
      </c>
      <c r="O263" s="49" t="n">
        <f aca="false">O261/O273*100</f>
        <v>1.22131214013462</v>
      </c>
      <c r="P263" s="49" t="n">
        <f aca="false">P261/P273*100</f>
        <v>0.347811435654884</v>
      </c>
      <c r="Q263" s="49" t="n">
        <f aca="false">Q261/Q273*100</f>
        <v>0.738215558943211</v>
      </c>
      <c r="R263" s="49" t="n">
        <f aca="false">R261/R273*100</f>
        <v>0.944314820598556</v>
      </c>
      <c r="S263" s="49" t="n">
        <f aca="false">S261/S273*100</f>
        <v>1.30776209992804</v>
      </c>
      <c r="T263" s="49" t="n">
        <f aca="false">T261/T273*100</f>
        <v>0.743842050453744</v>
      </c>
      <c r="U263" s="49" t="n">
        <f aca="false">U261/U273*100</f>
        <v>7.77919403863124</v>
      </c>
      <c r="V263" s="49" t="n">
        <f aca="false">V261/V273*100</f>
        <v>30.6733210599332</v>
      </c>
      <c r="W263" s="49" t="n">
        <f aca="false">W261/W273*100</f>
        <v>31.4102779363534</v>
      </c>
      <c r="X263" s="49" t="n">
        <f aca="false">X261/X273*100</f>
        <v>24.6954300204</v>
      </c>
      <c r="Y263" s="49" t="n">
        <f aca="false">Y261/Y273*100</f>
        <v>20.2966032308821</v>
      </c>
      <c r="Z263" s="49" t="n">
        <f aca="false">Z261/Z273*100</f>
        <v>21.3330484055533</v>
      </c>
      <c r="AA263" s="49" t="n">
        <f aca="false">AA261/AA273*100</f>
        <v>24.0746141485535</v>
      </c>
      <c r="AB263" s="49" t="n">
        <f aca="false">AB261/AB273*100</f>
        <v>26.9190235400221</v>
      </c>
      <c r="AC263" s="49" t="n">
        <f aca="false">AC261/AC273*100</f>
        <v>35.8570253806296</v>
      </c>
      <c r="AD263" s="49" t="n">
        <f aca="false">AD261/AD273*100</f>
        <v>46.3396713498486</v>
      </c>
      <c r="AE263" s="49" t="n">
        <f aca="false">AE261/AE273*100</f>
        <v>40.6947929492075</v>
      </c>
      <c r="AF263" s="49" t="n">
        <f aca="false">AF261/AF273*100</f>
        <v>34.6593480918811</v>
      </c>
      <c r="AG263" s="49" t="n">
        <f aca="false">AG261/AG273*100</f>
        <v>34.2264090855391</v>
      </c>
      <c r="AH263" s="49" t="n">
        <f aca="false">AH261/AH273*100</f>
        <v>33.3425597022958</v>
      </c>
      <c r="AI263" s="49" t="n">
        <f aca="false">AI261/AI273*100</f>
        <v>33.7157555219859</v>
      </c>
      <c r="AJ263" s="49" t="n">
        <f aca="false">AJ261/AJ273*100</f>
        <v>35.0640980600992</v>
      </c>
      <c r="AK263" s="49" t="n">
        <f aca="false">AK261/AK273*100</f>
        <v>35.3669390379043</v>
      </c>
      <c r="AL263" s="49" t="n">
        <f aca="false">AL261/AL273*100</f>
        <v>35.2538309371303</v>
      </c>
      <c r="AM263" s="36"/>
      <c r="AN263" s="36"/>
      <c r="AO263" s="36"/>
      <c r="AP263" s="36"/>
      <c r="AQ263" s="36"/>
      <c r="AR263" s="36"/>
      <c r="AS263" s="36"/>
      <c r="AT263" s="36"/>
      <c r="AU263" s="36"/>
      <c r="AV263" s="36"/>
      <c r="AW263" s="36"/>
      <c r="AX263" s="36"/>
      <c r="AY263" s="36"/>
    </row>
    <row r="264" customFormat="false" ht="15" hidden="false" customHeight="true" outlineLevel="0" collapsed="false">
      <c r="A264" s="29" t="s">
        <v>432</v>
      </c>
      <c r="B264" s="30"/>
      <c r="C264" s="30"/>
      <c r="D264" s="30"/>
      <c r="E264" s="30"/>
      <c r="F264" s="30"/>
      <c r="G264" s="30"/>
      <c r="H264" s="30"/>
      <c r="I264" s="31" t="n">
        <f aca="false">I261/H261*100-100</f>
        <v>-36.5384615384615</v>
      </c>
      <c r="J264" s="31" t="n">
        <f aca="false">J261/I261*100-100</f>
        <v>12.7946127946128</v>
      </c>
      <c r="K264" s="31" t="n">
        <f aca="false">K261/J261*100-100</f>
        <v>-64.1791044776119</v>
      </c>
      <c r="L264" s="31" t="n">
        <f aca="false">L261/K261*100-100</f>
        <v>161.666666666667</v>
      </c>
      <c r="M264" s="31" t="n">
        <f aca="false">M261/L261*100-100</f>
        <v>19.7452229299363</v>
      </c>
      <c r="N264" s="31" t="n">
        <f aca="false">N261/M261*100-100</f>
        <v>-14.3617021276596</v>
      </c>
      <c r="O264" s="31" t="n">
        <f aca="false">O261/N261*100-100</f>
        <v>133.850931677019</v>
      </c>
      <c r="P264" s="31" t="n">
        <f aca="false">P261/O261*100-100</f>
        <v>-61.6201859229748</v>
      </c>
      <c r="Q264" s="31" t="n">
        <f aca="false">Q261/P261*100-100</f>
        <v>112.80276816609</v>
      </c>
      <c r="R264" s="31" t="n">
        <f aca="false">R261/Q261*100-100</f>
        <v>-16.4227642276423</v>
      </c>
      <c r="S264" s="31" t="n">
        <f aca="false">S261/R261*100-100</f>
        <v>62.6459143968872</v>
      </c>
      <c r="T264" s="31" t="n">
        <f aca="false">T261/S261*100-100</f>
        <v>-16.2679425837321</v>
      </c>
      <c r="U264" s="31" t="n">
        <f aca="false">U261/T261*100-100</f>
        <v>1033.42857142857</v>
      </c>
      <c r="V264" s="31" t="n">
        <f aca="false">V261/U261*100-100</f>
        <v>343.093017393496</v>
      </c>
      <c r="W264" s="31" t="n">
        <f aca="false">W261/V261*100-100</f>
        <v>-20.1792063717821</v>
      </c>
      <c r="X264" s="31" t="n">
        <f aca="false">X261/W261*100-100</f>
        <v>-7.67969780121878</v>
      </c>
      <c r="Y264" s="31" t="n">
        <f aca="false">Y261/X261*100-100</f>
        <v>10.0440052497491</v>
      </c>
      <c r="Z264" s="31" t="n">
        <f aca="false">Z261/Y261*100-100</f>
        <v>8.55549319489266</v>
      </c>
      <c r="AA264" s="31" t="n">
        <f aca="false">AA261/Z261*100-100</f>
        <v>36.0390344783016</v>
      </c>
      <c r="AB264" s="31" t="n">
        <f aca="false">AB261/AA261*100-100</f>
        <v>26.1971496437055</v>
      </c>
      <c r="AC264" s="31" t="n">
        <f aca="false">AC261/AB261*100-100</f>
        <v>-15.4661296090647</v>
      </c>
      <c r="AD264" s="31" t="n">
        <f aca="false">AD261/AC261*100-100</f>
        <v>3.91654791592448</v>
      </c>
      <c r="AE264" s="31" t="n">
        <f aca="false">AE261/AD261*100-100</f>
        <v>11.8938955668402</v>
      </c>
      <c r="AF264" s="31" t="n">
        <f aca="false">AF261/AE261*100-100</f>
        <v>27.5650109149401</v>
      </c>
      <c r="AG264" s="31" t="n">
        <f aca="false">AG261/AF261*100-100</f>
        <v>0.0240178933305231</v>
      </c>
      <c r="AH264" s="31" t="n">
        <f aca="false">AH261/AG261*100-100</f>
        <v>-2.37720048624556</v>
      </c>
      <c r="AI264" s="31" t="n">
        <f aca="false">AI261/AH261*100-100</f>
        <v>14.2554074620671</v>
      </c>
      <c r="AJ264" s="34" t="n">
        <v>12</v>
      </c>
      <c r="AK264" s="34" t="n">
        <v>8</v>
      </c>
      <c r="AL264" s="34" t="n">
        <v>6</v>
      </c>
      <c r="AM264" s="30"/>
      <c r="AN264" s="30"/>
      <c r="AO264" s="30"/>
      <c r="AP264" s="30"/>
      <c r="AQ264" s="30"/>
      <c r="AR264" s="30"/>
      <c r="AS264" s="30"/>
      <c r="AT264" s="30"/>
      <c r="AU264" s="30"/>
      <c r="AV264" s="30"/>
      <c r="AW264" s="30"/>
      <c r="AX264" s="30"/>
      <c r="AY264" s="30"/>
    </row>
    <row r="265" customFormat="false" ht="15" hidden="false" customHeight="true" outlineLevel="0" collapsed="false">
      <c r="A265" s="47" t="s">
        <v>455</v>
      </c>
      <c r="B265" s="30"/>
      <c r="C265" s="30"/>
      <c r="D265" s="30"/>
      <c r="E265" s="30"/>
      <c r="F265" s="30"/>
      <c r="G265" s="30"/>
      <c r="H265" s="34" t="n">
        <v>100</v>
      </c>
      <c r="I265" s="34" t="n">
        <v>187</v>
      </c>
      <c r="J265" s="34" t="n">
        <v>200</v>
      </c>
      <c r="K265" s="34" t="n">
        <v>164</v>
      </c>
      <c r="L265" s="34" t="n">
        <v>323</v>
      </c>
      <c r="M265" s="34" t="n">
        <v>289</v>
      </c>
      <c r="N265" s="34" t="n">
        <v>97</v>
      </c>
      <c r="O265" s="34" t="n">
        <v>44</v>
      </c>
      <c r="P265" s="34" t="n">
        <v>11</v>
      </c>
      <c r="Q265" s="34" t="n">
        <v>208</v>
      </c>
      <c r="R265" s="34" t="n">
        <v>838</v>
      </c>
      <c r="S265" s="34" t="n">
        <v>285</v>
      </c>
      <c r="T265" s="34" t="n">
        <v>171</v>
      </c>
      <c r="U265" s="34" t="n">
        <v>774</v>
      </c>
      <c r="V265" s="34" t="n">
        <v>543</v>
      </c>
      <c r="W265" s="93" t="n">
        <f aca="false">922+7</f>
        <v>929</v>
      </c>
      <c r="X265" s="93" t="n">
        <f aca="false">1330+6</f>
        <v>1336</v>
      </c>
      <c r="Y265" s="93" t="n">
        <f aca="false">2091+96</f>
        <v>2187</v>
      </c>
      <c r="Z265" s="34" t="n">
        <v>823</v>
      </c>
      <c r="AA265" s="34" t="n">
        <v>1341</v>
      </c>
      <c r="AB265" s="34" t="n">
        <v>1379</v>
      </c>
      <c r="AC265" s="34" t="n">
        <v>1734</v>
      </c>
      <c r="AD265" s="34" t="n">
        <v>2237</v>
      </c>
      <c r="AE265" s="93" t="n">
        <f aca="false">54441-52222</f>
        <v>2219</v>
      </c>
      <c r="AF265" s="93" t="n">
        <f aca="false">68096-66617</f>
        <v>1479</v>
      </c>
      <c r="AG265" s="93" t="n">
        <f aca="false">69800-66633</f>
        <v>3167</v>
      </c>
      <c r="AH265" s="93" t="n">
        <f aca="false">69066-65049</f>
        <v>4017</v>
      </c>
      <c r="AI265" s="34" t="n">
        <v>3457</v>
      </c>
      <c r="AJ265" s="35" t="n">
        <f aca="false">ROUND(AI265*(1+AJ268/100),0)</f>
        <v>3526</v>
      </c>
      <c r="AK265" s="35" t="n">
        <f aca="false">ROUND(AJ265*(1+AK268/100),0)</f>
        <v>3702</v>
      </c>
      <c r="AL265" s="35" t="n">
        <f aca="false">ROUND(AK265*(1+AL268/100),0)</f>
        <v>3887</v>
      </c>
      <c r="AM265" s="30"/>
      <c r="AN265" s="30"/>
      <c r="AO265" s="30"/>
      <c r="AP265" s="30"/>
      <c r="AQ265" s="30"/>
      <c r="AR265" s="30"/>
      <c r="AS265" s="30"/>
      <c r="AT265" s="30"/>
      <c r="AU265" s="30"/>
      <c r="AV265" s="30"/>
      <c r="AW265" s="30"/>
      <c r="AX265" s="30"/>
      <c r="AY265" s="30"/>
    </row>
    <row r="266" customFormat="false" ht="15" hidden="false" customHeight="true" outlineLevel="0" collapsed="false">
      <c r="A266" s="29" t="s">
        <v>454</v>
      </c>
      <c r="B266" s="36"/>
      <c r="C266" s="36"/>
      <c r="D266" s="36"/>
      <c r="E266" s="36"/>
      <c r="F266" s="36"/>
      <c r="G266" s="36"/>
      <c r="H266" s="49" t="n">
        <f aca="false">H265/(H265+H261)*100</f>
        <v>17.6056338028169</v>
      </c>
      <c r="I266" s="49" t="n">
        <f aca="false">I265/(I265+I261)*100</f>
        <v>38.6363636363636</v>
      </c>
      <c r="J266" s="49" t="n">
        <f aca="false">J265/(J265+J261)*100</f>
        <v>37.3831775700935</v>
      </c>
      <c r="K266" s="49" t="n">
        <f aca="false">K265/(K265+K261)*100</f>
        <v>57.7464788732394</v>
      </c>
      <c r="L266" s="49" t="n">
        <f aca="false">L265/(L265+L261)*100</f>
        <v>50.7064364207221</v>
      </c>
      <c r="M266" s="49" t="n">
        <f aca="false">M265/(M265+M261)*100</f>
        <v>43.4586466165414</v>
      </c>
      <c r="N266" s="49" t="n">
        <f aca="false">N265/(N265+N261)*100</f>
        <v>23.1503579952267</v>
      </c>
      <c r="O266" s="49" t="n">
        <f aca="false">O265/(O265+O261)*100</f>
        <v>5.5207026348808</v>
      </c>
      <c r="P266" s="49" t="n">
        <f aca="false">P265/(P265+P261)*100</f>
        <v>3.66666666666667</v>
      </c>
      <c r="Q266" s="49" t="n">
        <f aca="false">Q265/(Q265+Q261)*100</f>
        <v>25.273390036452</v>
      </c>
      <c r="R266" s="49" t="n">
        <f aca="false">R265/(R265+R261)*100</f>
        <v>61.9822485207101</v>
      </c>
      <c r="S266" s="49" t="n">
        <f aca="false">S265/(S265+S261)*100</f>
        <v>25.4237288135593</v>
      </c>
      <c r="T266" s="49" t="n">
        <f aca="false">T265/(T265+T261)*100</f>
        <v>19.6326061997704</v>
      </c>
      <c r="U266" s="49" t="n">
        <f aca="false">U265/(U265+U261)*100</f>
        <v>8.88837850252641</v>
      </c>
      <c r="V266" s="49" t="n">
        <f aca="false">V265/(V265+V261)*100</f>
        <v>1.52109361869012</v>
      </c>
      <c r="W266" s="49" t="n">
        <f aca="false">W265/(W265+W261)*100</f>
        <v>3.20455329423939</v>
      </c>
      <c r="X266" s="49" t="n">
        <f aca="false">X265/(X265+X261)*100</f>
        <v>4.90419205638353</v>
      </c>
      <c r="Y266" s="49" t="n">
        <f aca="false">Y265/(Y265+Y261)*100</f>
        <v>7.12493891513276</v>
      </c>
      <c r="Z266" s="49" t="n">
        <f aca="false">Z265/(Z265+Z261)*100</f>
        <v>2.59049417689644</v>
      </c>
      <c r="AA266" s="49" t="n">
        <f aca="false">AA265/(AA265+AA261)*100</f>
        <v>3.08694551230404</v>
      </c>
      <c r="AB266" s="49" t="n">
        <f aca="false">AB265/(AB265+AB261)*100</f>
        <v>2.52990386732223</v>
      </c>
      <c r="AC266" s="49" t="n">
        <f aca="false">AC265/(AC265+AC261)*100</f>
        <v>3.71736054538438</v>
      </c>
      <c r="AD266" s="49" t="n">
        <f aca="false">AD265/(AD265+AD261)*100</f>
        <v>4.57389384149832</v>
      </c>
      <c r="AE266" s="49" t="n">
        <f aca="false">AE265/(AE265+AE261)*100</f>
        <v>4.07597215334031</v>
      </c>
      <c r="AF266" s="49" t="n">
        <f aca="false">AF265/(AF265+AF261)*100</f>
        <v>2.1719337406015</v>
      </c>
      <c r="AG266" s="49" t="n">
        <f aca="false">AG265/(AG265+AG261)*100</f>
        <v>4.53724928366762</v>
      </c>
      <c r="AH266" s="49" t="n">
        <f aca="false">AH265/(AH265+AH261)*100</f>
        <v>5.81617583181305</v>
      </c>
      <c r="AI266" s="49" t="n">
        <f aca="false">AI265/(AI265+AI261)*100</f>
        <v>4.44464444130164</v>
      </c>
      <c r="AJ266" s="49" t="n">
        <f aca="false">AJ265/(AJ265+AJ261)*100</f>
        <v>4.06377381906226</v>
      </c>
      <c r="AK266" s="49" t="n">
        <f aca="false">AK265/(AK265+AK261)*100</f>
        <v>3.95504829287039</v>
      </c>
      <c r="AL266" s="49" t="n">
        <f aca="false">AL265/(AL265+AL261)*100</f>
        <v>3.91910196491456</v>
      </c>
      <c r="AM266" s="36"/>
      <c r="AN266" s="36"/>
      <c r="AO266" s="36"/>
      <c r="AP266" s="36"/>
      <c r="AQ266" s="36"/>
      <c r="AR266" s="36"/>
      <c r="AS266" s="36"/>
      <c r="AT266" s="36"/>
      <c r="AU266" s="36"/>
      <c r="AV266" s="36"/>
      <c r="AW266" s="36"/>
      <c r="AX266" s="36"/>
      <c r="AY266" s="36"/>
    </row>
    <row r="267" customFormat="false" ht="15" hidden="false" customHeight="true" outlineLevel="0" collapsed="false">
      <c r="A267" s="29" t="s">
        <v>431</v>
      </c>
      <c r="B267" s="43"/>
      <c r="C267" s="43"/>
      <c r="D267" s="43"/>
      <c r="E267" s="43"/>
      <c r="F267" s="43"/>
      <c r="G267" s="43"/>
      <c r="H267" s="59" t="n">
        <f aca="false">H265/H273*100</f>
        <v>0.372356270479595</v>
      </c>
      <c r="I267" s="59" t="n">
        <f aca="false">I265/I273*100</f>
        <v>0.493938033228559</v>
      </c>
      <c r="J267" s="59" t="n">
        <f aca="false">J265/J273*100</f>
        <v>0.615858352578907</v>
      </c>
      <c r="K267" s="59" t="n">
        <f aca="false">K265/K273*100</f>
        <v>0.552690998550871</v>
      </c>
      <c r="L267" s="59" t="n">
        <f aca="false">L265/L273*100</f>
        <v>0.886266977637536</v>
      </c>
      <c r="M267" s="59" t="n">
        <f aca="false">M265/M273*100</f>
        <v>0.593990216631726</v>
      </c>
      <c r="N267" s="59" t="n">
        <f aca="false">N265/N273*100</f>
        <v>0.177201315308732</v>
      </c>
      <c r="O267" s="59" t="n">
        <f aca="false">O265/O273*100</f>
        <v>0.0713648528099911</v>
      </c>
      <c r="P267" s="59" t="n">
        <f aca="false">P265/P273*100</f>
        <v>0.013238497550878</v>
      </c>
      <c r="Q267" s="59" t="n">
        <f aca="false">Q265/Q273*100</f>
        <v>0.249672904488111</v>
      </c>
      <c r="R267" s="59" t="n">
        <f aca="false">R265/R273*100</f>
        <v>1.53956385148169</v>
      </c>
      <c r="S267" s="59" t="n">
        <f aca="false">S265/S273*100</f>
        <v>0.445827988611832</v>
      </c>
      <c r="T267" s="59" t="n">
        <f aca="false">T265/T273*100</f>
        <v>0.181709986610843</v>
      </c>
      <c r="U267" s="59" t="n">
        <f aca="false">U265/U273*100</f>
        <v>0.758897931169723</v>
      </c>
      <c r="V267" s="59" t="n">
        <f aca="false">V265/V273*100</f>
        <v>0.473776513598171</v>
      </c>
      <c r="W267" s="59" t="n">
        <f aca="false">W265/W273*100</f>
        <v>1.03988269138207</v>
      </c>
      <c r="X267" s="59" t="n">
        <f aca="false">X265/X273*100</f>
        <v>1.27356961735715</v>
      </c>
      <c r="Y267" s="59" t="n">
        <f aca="false">Y265/Y273*100</f>
        <v>1.55706016788056</v>
      </c>
      <c r="Z267" s="59" t="n">
        <f aca="false">Z265/Z273*100</f>
        <v>0.567327974852826</v>
      </c>
      <c r="AA267" s="59" t="n">
        <f aca="false">AA265/AA273*100</f>
        <v>0.766842222641574</v>
      </c>
      <c r="AB267" s="59" t="n">
        <f aca="false">AB265/AB273*100</f>
        <v>0.69870190407669</v>
      </c>
      <c r="AC267" s="59" t="n">
        <f aca="false">AC265/AC273*100</f>
        <v>1.38439797849153</v>
      </c>
      <c r="AD267" s="59" t="n">
        <f aca="false">AD265/AD273*100</f>
        <v>2.22111899915603</v>
      </c>
      <c r="AE267" s="59" t="n">
        <f aca="false">AE265/AE273*100</f>
        <v>1.72918971993205</v>
      </c>
      <c r="AF267" s="59" t="n">
        <f aca="false">AF265/AF273*100</f>
        <v>0.769490908144949</v>
      </c>
      <c r="AG267" s="59" t="n">
        <f aca="false">AG265/AG273*100</f>
        <v>1.62674707087933</v>
      </c>
      <c r="AH267" s="59" t="n">
        <f aca="false">AH265/AH273*100</f>
        <v>2.05901800679676</v>
      </c>
      <c r="AI267" s="59" t="n">
        <f aca="false">AI265/AI273*100</f>
        <v>1.56824852452175</v>
      </c>
      <c r="AJ267" s="59" t="n">
        <f aca="false">AJ265/AJ273*100</f>
        <v>1.48528422847193</v>
      </c>
      <c r="AK267" s="59" t="n">
        <f aca="false">AK265/AK273*100</f>
        <v>1.45638005308645</v>
      </c>
      <c r="AL267" s="59" t="n">
        <f aca="false">AL265/AL273*100</f>
        <v>1.43798987022395</v>
      </c>
      <c r="AM267" s="43"/>
      <c r="AN267" s="43"/>
      <c r="AO267" s="43"/>
      <c r="AP267" s="43"/>
      <c r="AQ267" s="43"/>
      <c r="AR267" s="43"/>
      <c r="AS267" s="43"/>
      <c r="AT267" s="43"/>
      <c r="AU267" s="43"/>
      <c r="AV267" s="43"/>
      <c r="AW267" s="43"/>
      <c r="AX267" s="43"/>
      <c r="AY267" s="43"/>
    </row>
    <row r="268" customFormat="false" ht="15" hidden="false" customHeight="true" outlineLevel="0" collapsed="false">
      <c r="A268" s="29" t="s">
        <v>432</v>
      </c>
      <c r="B268" s="30"/>
      <c r="C268" s="30"/>
      <c r="D268" s="30"/>
      <c r="E268" s="30"/>
      <c r="F268" s="30"/>
      <c r="G268" s="30"/>
      <c r="H268" s="30"/>
      <c r="I268" s="31" t="n">
        <f aca="false">I265/H265*100-100</f>
        <v>87</v>
      </c>
      <c r="J268" s="31" t="n">
        <f aca="false">J265/I265*100-100</f>
        <v>6.95187165775401</v>
      </c>
      <c r="K268" s="31" t="n">
        <f aca="false">K265/J265*100-100</f>
        <v>-18</v>
      </c>
      <c r="L268" s="31" t="n">
        <f aca="false">L265/K265*100-100</f>
        <v>96.9512195121951</v>
      </c>
      <c r="M268" s="31" t="n">
        <f aca="false">M265/L265*100-100</f>
        <v>-10.5263157894737</v>
      </c>
      <c r="N268" s="31" t="n">
        <f aca="false">N265/M265*100-100</f>
        <v>-66.4359861591695</v>
      </c>
      <c r="O268" s="31" t="n">
        <f aca="false">O265/N265*100-100</f>
        <v>-54.639175257732</v>
      </c>
      <c r="P268" s="31" t="n">
        <f aca="false">P265/O265*100-100</f>
        <v>-75</v>
      </c>
      <c r="Q268" s="31" t="n">
        <f aca="false">Q265/P265*100-100</f>
        <v>1790.90909090909</v>
      </c>
      <c r="R268" s="31" t="n">
        <f aca="false">R265/Q265*100-100</f>
        <v>302.884615384615</v>
      </c>
      <c r="S268" s="31" t="n">
        <f aca="false">S265/R265*100-100</f>
        <v>-65.9904534606205</v>
      </c>
      <c r="T268" s="31" t="n">
        <f aca="false">T265/S265*100-100</f>
        <v>-40</v>
      </c>
      <c r="U268" s="31" t="n">
        <f aca="false">U265/T265*100-100</f>
        <v>352.631578947368</v>
      </c>
      <c r="V268" s="31" t="n">
        <f aca="false">V265/U265*100-100</f>
        <v>-29.8449612403101</v>
      </c>
      <c r="W268" s="31" t="n">
        <f aca="false">W265/V265*100-100</f>
        <v>71.0865561694291</v>
      </c>
      <c r="X268" s="31" t="n">
        <f aca="false">X265/W265*100-100</f>
        <v>43.8105489773951</v>
      </c>
      <c r="Y268" s="31" t="n">
        <f aca="false">Y265/X265*100-100</f>
        <v>63.6976047904192</v>
      </c>
      <c r="Z268" s="31" t="n">
        <f aca="false">Z265/Y265*100-100</f>
        <v>-62.3685413808871</v>
      </c>
      <c r="AA268" s="31" t="n">
        <f aca="false">AA265/Z265*100-100</f>
        <v>62.9404617253949</v>
      </c>
      <c r="AB268" s="31" t="n">
        <f aca="false">AB265/AA265*100-100</f>
        <v>2.83370618941088</v>
      </c>
      <c r="AC268" s="31" t="n">
        <f aca="false">AC265/AB265*100-100</f>
        <v>25.7432922407542</v>
      </c>
      <c r="AD268" s="31" t="n">
        <f aca="false">AD265/AC265*100-100</f>
        <v>29.0080738177624</v>
      </c>
      <c r="AE268" s="31" t="n">
        <f aca="false">AE265/AD265*100-100</f>
        <v>-0.8046490835941</v>
      </c>
      <c r="AF268" s="31" t="n">
        <f aca="false">AF265/AE265*100-100</f>
        <v>-33.3483551149166</v>
      </c>
      <c r="AG268" s="31" t="n">
        <f aca="false">AG265/AF265*100-100</f>
        <v>114.131169709263</v>
      </c>
      <c r="AH268" s="31" t="n">
        <f aca="false">AH265/AG265*100-100</f>
        <v>26.8392800757815</v>
      </c>
      <c r="AI268" s="31" t="n">
        <f aca="false">AI265/AH265*100-100</f>
        <v>-13.9407518048295</v>
      </c>
      <c r="AJ268" s="34" t="n">
        <v>2</v>
      </c>
      <c r="AK268" s="34" t="n">
        <v>5</v>
      </c>
      <c r="AL268" s="34" t="n">
        <v>5</v>
      </c>
      <c r="AM268" s="34" t="n">
        <v>12</v>
      </c>
      <c r="AN268" s="30"/>
      <c r="AO268" s="30"/>
      <c r="AP268" s="30"/>
      <c r="AQ268" s="30"/>
      <c r="AR268" s="30"/>
      <c r="AS268" s="30"/>
      <c r="AT268" s="30"/>
      <c r="AU268" s="30"/>
      <c r="AV268" s="30"/>
      <c r="AW268" s="30"/>
      <c r="AX268" s="30"/>
      <c r="AY268" s="30"/>
    </row>
    <row r="269" customFormat="false" ht="15" hidden="false" customHeight="true" outlineLevel="0" collapsed="false">
      <c r="A269" s="51" t="s">
        <v>456</v>
      </c>
      <c r="B269" s="53"/>
      <c r="C269" s="53"/>
      <c r="D269" s="53"/>
      <c r="E269" s="53"/>
      <c r="F269" s="53"/>
      <c r="G269" s="53"/>
      <c r="H269" s="52" t="n">
        <f aca="false">H235+H243+H261</f>
        <v>24688</v>
      </c>
      <c r="I269" s="52" t="n">
        <f aca="false">I235+I243+I261</f>
        <v>35671</v>
      </c>
      <c r="J269" s="52" t="n">
        <f aca="false">J235+J243+J261</f>
        <v>30064</v>
      </c>
      <c r="K269" s="52" t="n">
        <f aca="false">K235+K243+K261</f>
        <v>27503</v>
      </c>
      <c r="L269" s="52" t="n">
        <f aca="false">L235+L243+L261</f>
        <v>33895</v>
      </c>
      <c r="M269" s="52" t="n">
        <f aca="false">M235+M243+M261</f>
        <v>44872</v>
      </c>
      <c r="N269" s="52" t="n">
        <f aca="false">N235+N243+N261</f>
        <v>47928</v>
      </c>
      <c r="O269" s="52" t="n">
        <f aca="false">O235+O243+O261</f>
        <v>56776</v>
      </c>
      <c r="P269" s="52" t="n">
        <f aca="false">P235+P243+P261</f>
        <v>77069</v>
      </c>
      <c r="Q269" s="52" t="n">
        <f aca="false">Q235+Q243+Q261</f>
        <v>76023</v>
      </c>
      <c r="R269" s="52" t="n">
        <f aca="false">R235+R243+R261</f>
        <v>47619</v>
      </c>
      <c r="S269" s="52" t="n">
        <f aca="false">S235+S243+S261</f>
        <v>57947</v>
      </c>
      <c r="T269" s="52" t="n">
        <f aca="false">T235+T243+T261</f>
        <v>83800</v>
      </c>
      <c r="U269" s="52" t="n">
        <f aca="false">U235+U243+U261</f>
        <v>89081</v>
      </c>
      <c r="V269" s="52" t="n">
        <f aca="false">V235+V243+V261</f>
        <v>105833</v>
      </c>
      <c r="W269" s="52" t="n">
        <f aca="false">W235+W243+W261</f>
        <v>79931</v>
      </c>
      <c r="X269" s="52" t="n">
        <f aca="false">X235+X243+X261</f>
        <v>92348</v>
      </c>
      <c r="Y269" s="52" t="n">
        <f aca="false">Y235+Y243+Y261</f>
        <v>127324</v>
      </c>
      <c r="Z269" s="52" t="n">
        <f aca="false">Z235+Z243+Z261</f>
        <v>133262</v>
      </c>
      <c r="AA269" s="52" t="n">
        <f aca="false">AA235+AA243+AA261</f>
        <v>158634</v>
      </c>
      <c r="AB269" s="52" t="n">
        <f aca="false">AB235+AB243+AB261</f>
        <v>185065</v>
      </c>
      <c r="AC269" s="52" t="n">
        <f aca="false">AC235+AC243+AC261</f>
        <v>116333</v>
      </c>
      <c r="AD269" s="52" t="n">
        <f aca="false">AD235+AD243+AD261</f>
        <v>92714</v>
      </c>
      <c r="AE269" s="52" t="n">
        <f aca="false">AE235+AE243+AE261</f>
        <v>117312</v>
      </c>
      <c r="AF269" s="52" t="n">
        <f aca="false">AF235+AF243+AF261</f>
        <v>180916</v>
      </c>
      <c r="AG269" s="52" t="n">
        <f aca="false">AG235+AG243+AG261</f>
        <v>182830</v>
      </c>
      <c r="AH269" s="52" t="n">
        <f aca="false">AH235+AH243+AH261</f>
        <v>179838</v>
      </c>
      <c r="AI269" s="52" t="n">
        <f aca="false">AI235+AI243+AI261</f>
        <v>202355</v>
      </c>
      <c r="AJ269" s="52" t="n">
        <f aca="false">AJ235+AJ243+AJ261</f>
        <v>219815.64</v>
      </c>
      <c r="AK269" s="52" t="n">
        <f aca="false">AK235+AK243+AK261</f>
        <v>235094.8912</v>
      </c>
      <c r="AL269" s="52" t="n">
        <f aca="false">AL235+AL243+AL261</f>
        <v>249659.884672</v>
      </c>
      <c r="AM269" s="53"/>
      <c r="AN269" s="53"/>
      <c r="AO269" s="53"/>
      <c r="AP269" s="53"/>
      <c r="AQ269" s="53"/>
      <c r="AR269" s="53"/>
      <c r="AS269" s="53"/>
      <c r="AT269" s="53"/>
      <c r="AU269" s="53"/>
      <c r="AV269" s="53"/>
      <c r="AW269" s="53"/>
      <c r="AX269" s="53"/>
      <c r="AY269" s="53"/>
    </row>
    <row r="270" customFormat="false" ht="15" hidden="false" customHeight="true" outlineLevel="0" collapsed="false">
      <c r="A270" s="29" t="s">
        <v>432</v>
      </c>
      <c r="B270" s="36"/>
      <c r="C270" s="36"/>
      <c r="D270" s="36"/>
      <c r="E270" s="36"/>
      <c r="F270" s="36"/>
      <c r="G270" s="36"/>
      <c r="H270" s="36"/>
      <c r="I270" s="49" t="n">
        <f aca="false">I269/H269*100-100</f>
        <v>44.4872002592352</v>
      </c>
      <c r="J270" s="49" t="n">
        <f aca="false">J269/I269*100-100</f>
        <v>-15.7186510050181</v>
      </c>
      <c r="K270" s="49" t="n">
        <f aca="false">K269/J269*100-100</f>
        <v>-8.51849387972325</v>
      </c>
      <c r="L270" s="49" t="n">
        <f aca="false">L269/K269*100-100</f>
        <v>23.2411009708032</v>
      </c>
      <c r="M270" s="49" t="n">
        <f aca="false">M269/L269*100-100</f>
        <v>32.3853075674878</v>
      </c>
      <c r="N270" s="49" t="n">
        <f aca="false">N269/M269*100-100</f>
        <v>6.81048315207701</v>
      </c>
      <c r="O270" s="49" t="n">
        <f aca="false">O269/N269*100-100</f>
        <v>18.4610248706393</v>
      </c>
      <c r="P270" s="49" t="n">
        <f aca="false">P269/O269*100-100</f>
        <v>35.7422150204312</v>
      </c>
      <c r="Q270" s="49" t="n">
        <f aca="false">Q269/P269*100-100</f>
        <v>-1.35722534352334</v>
      </c>
      <c r="R270" s="49" t="n">
        <f aca="false">R269/Q269*100-100</f>
        <v>-37.3623771753285</v>
      </c>
      <c r="S270" s="49" t="n">
        <f aca="false">S269/R269*100-100</f>
        <v>21.6888216888217</v>
      </c>
      <c r="T270" s="49" t="n">
        <f aca="false">T269/S269*100-100</f>
        <v>44.6149067251109</v>
      </c>
      <c r="U270" s="49" t="n">
        <f aca="false">U269/T269*100-100</f>
        <v>6.30190930787589</v>
      </c>
      <c r="V270" s="49" t="n">
        <f aca="false">V269/U269*100-100</f>
        <v>18.8053569223516</v>
      </c>
      <c r="W270" s="49" t="n">
        <f aca="false">W269/V269*100-100</f>
        <v>-24.4744077934104</v>
      </c>
      <c r="X270" s="49" t="n">
        <f aca="false">X269/W269*100-100</f>
        <v>15.5346486344472</v>
      </c>
      <c r="Y270" s="49" t="n">
        <f aca="false">Y269/X269*100-100</f>
        <v>37.8741282973102</v>
      </c>
      <c r="Z270" s="49" t="n">
        <f aca="false">Z269/Y269*100-100</f>
        <v>4.66369262668466</v>
      </c>
      <c r="AA270" s="49" t="n">
        <f aca="false">AA269/Z269*100-100</f>
        <v>19.039185964491</v>
      </c>
      <c r="AB270" s="49" t="n">
        <f aca="false">AB269/AA269*100-100</f>
        <v>16.6616236115839</v>
      </c>
      <c r="AC270" s="49" t="n">
        <f aca="false">AC269/AB269*100-100</f>
        <v>-37.1393834598655</v>
      </c>
      <c r="AD270" s="49" t="n">
        <f aca="false">AD269/AC269*100-100</f>
        <v>-20.3029235040788</v>
      </c>
      <c r="AE270" s="49" t="n">
        <f aca="false">AE269/AD269*100-100</f>
        <v>26.531052483983</v>
      </c>
      <c r="AF270" s="49" t="n">
        <f aca="false">AF269/AE269*100-100</f>
        <v>54.2178123295145</v>
      </c>
      <c r="AG270" s="49" t="n">
        <f aca="false">AG269/AF269*100-100</f>
        <v>1.05794954564549</v>
      </c>
      <c r="AH270" s="49" t="n">
        <f aca="false">AH269/AG269*100-100</f>
        <v>-1.63649291691735</v>
      </c>
      <c r="AI270" s="49" t="n">
        <f aca="false">AI269/AH269*100-100</f>
        <v>12.520713086222</v>
      </c>
      <c r="AJ270" s="49" t="n">
        <f aca="false">AJ269/AI269*100-100</f>
        <v>8.62871685898546</v>
      </c>
      <c r="AK270" s="49" t="n">
        <f aca="false">AK269/AJ269*100-100</f>
        <v>6.95093906875779</v>
      </c>
      <c r="AL270" s="49" t="n">
        <f aca="false">AL269/AK269*100-100</f>
        <v>6.1953679204408</v>
      </c>
      <c r="AM270" s="36"/>
      <c r="AN270" s="36"/>
      <c r="AO270" s="36"/>
      <c r="AP270" s="36"/>
      <c r="AQ270" s="36"/>
      <c r="AR270" s="36"/>
      <c r="AS270" s="36"/>
      <c r="AT270" s="36"/>
      <c r="AU270" s="36"/>
      <c r="AV270" s="36"/>
      <c r="AW270" s="36"/>
      <c r="AX270" s="36"/>
      <c r="AY270" s="36"/>
    </row>
    <row r="271" customFormat="false" ht="15" hidden="false" customHeight="true" outlineLevel="0" collapsed="false">
      <c r="A271" s="51" t="s">
        <v>457</v>
      </c>
      <c r="B271" s="53"/>
      <c r="C271" s="53"/>
      <c r="D271" s="53"/>
      <c r="E271" s="53"/>
      <c r="F271" s="53"/>
      <c r="G271" s="53"/>
      <c r="H271" s="52" t="n">
        <f aca="false">H239+H247+H265</f>
        <v>2168</v>
      </c>
      <c r="I271" s="52" t="n">
        <f aca="false">I239+I247+I265</f>
        <v>2188</v>
      </c>
      <c r="J271" s="52" t="n">
        <f aca="false">J239+J247+J265</f>
        <v>2411</v>
      </c>
      <c r="K271" s="52" t="n">
        <f aca="false">K239+K247+K265</f>
        <v>2170</v>
      </c>
      <c r="L271" s="52" t="n">
        <f aca="false">L239+L247+L265</f>
        <v>2550</v>
      </c>
      <c r="M271" s="52" t="n">
        <f aca="false">M239+M247+M265</f>
        <v>3782</v>
      </c>
      <c r="N271" s="52" t="n">
        <f aca="false">N239+N247+N265</f>
        <v>6812</v>
      </c>
      <c r="O271" s="52" t="n">
        <f aca="false">O239+O247+O265</f>
        <v>4879</v>
      </c>
      <c r="P271" s="52" t="n">
        <f aca="false">P239+P247+P265</f>
        <v>6022</v>
      </c>
      <c r="Q271" s="52" t="n">
        <f aca="false">Q239+Q247+Q265</f>
        <v>7286</v>
      </c>
      <c r="R271" s="52" t="n">
        <f aca="false">R239+R247+R265</f>
        <v>6812</v>
      </c>
      <c r="S271" s="52" t="n">
        <f aca="false">S239+S247+S265</f>
        <v>5979</v>
      </c>
      <c r="T271" s="52" t="n">
        <f aca="false">T239+T247+T265</f>
        <v>10306</v>
      </c>
      <c r="U271" s="52" t="n">
        <f aca="false">U239+U247+U265</f>
        <v>12909</v>
      </c>
      <c r="V271" s="52" t="n">
        <f aca="false">V239+V247+V265</f>
        <v>8778</v>
      </c>
      <c r="W271" s="52" t="n">
        <f aca="false">W239+W247+W265</f>
        <v>9406</v>
      </c>
      <c r="X271" s="52" t="n">
        <f aca="false">X239+X247+X265</f>
        <v>12554</v>
      </c>
      <c r="Y271" s="52" t="n">
        <f aca="false">Y239+Y247+Y265</f>
        <v>13133</v>
      </c>
      <c r="Z271" s="52" t="n">
        <f aca="false">Z239+Z247+Z265</f>
        <v>11804</v>
      </c>
      <c r="AA271" s="52" t="n">
        <f aca="false">AA239+AA247+AA265</f>
        <v>16239</v>
      </c>
      <c r="AB271" s="52" t="n">
        <f aca="false">AB239+AB247+AB265</f>
        <v>12301</v>
      </c>
      <c r="AC271" s="52" t="n">
        <f aca="false">AC239+AC247+AC265</f>
        <v>8920</v>
      </c>
      <c r="AD271" s="52" t="n">
        <f aca="false">AD239+AD247+AD265</f>
        <v>8001</v>
      </c>
      <c r="AE271" s="52" t="n">
        <f aca="false">AE239+AE247+AE265</f>
        <v>11014</v>
      </c>
      <c r="AF271" s="52" t="n">
        <f aca="false">AF239+AF247+AF265</f>
        <v>11289</v>
      </c>
      <c r="AG271" s="52" t="n">
        <f aca="false">AG239+AG247+AG265</f>
        <v>11853</v>
      </c>
      <c r="AH271" s="52" t="n">
        <f aca="false">AH239+AH247+AH265</f>
        <v>15255</v>
      </c>
      <c r="AI271" s="52" t="n">
        <f aca="false">AI239+AI247+AI265</f>
        <v>18082</v>
      </c>
      <c r="AJ271" s="52" t="n">
        <f aca="false">AJ239+AJ247+AJ265</f>
        <v>17580</v>
      </c>
      <c r="AK271" s="52" t="n">
        <f aca="false">AK239+AK247+AK265</f>
        <v>19097</v>
      </c>
      <c r="AL271" s="52" t="n">
        <f aca="false">AL239+AL247+AL265</f>
        <v>20648</v>
      </c>
      <c r="AM271" s="53"/>
      <c r="AN271" s="53"/>
      <c r="AO271" s="53"/>
      <c r="AP271" s="53"/>
      <c r="AQ271" s="53"/>
      <c r="AR271" s="53"/>
      <c r="AS271" s="53"/>
      <c r="AT271" s="53"/>
      <c r="AU271" s="53"/>
      <c r="AV271" s="53"/>
      <c r="AW271" s="53"/>
      <c r="AX271" s="53"/>
      <c r="AY271" s="53"/>
    </row>
    <row r="272" customFormat="false" ht="15" hidden="false" customHeight="true" outlineLevel="0" collapsed="false">
      <c r="A272" s="29" t="s">
        <v>432</v>
      </c>
      <c r="B272" s="36"/>
      <c r="C272" s="36"/>
      <c r="D272" s="36"/>
      <c r="E272" s="36"/>
      <c r="F272" s="36"/>
      <c r="G272" s="36"/>
      <c r="H272" s="36"/>
      <c r="I272" s="49" t="n">
        <f aca="false">I271/H271*100-100</f>
        <v>0.922509225092256</v>
      </c>
      <c r="J272" s="49" t="n">
        <f aca="false">J271/I271*100-100</f>
        <v>10.1919561243144</v>
      </c>
      <c r="K272" s="49" t="n">
        <f aca="false">K271/J271*100-100</f>
        <v>-9.99585234342597</v>
      </c>
      <c r="L272" s="49" t="n">
        <f aca="false">L271/K271*100-100</f>
        <v>17.5115207373272</v>
      </c>
      <c r="M272" s="49" t="n">
        <f aca="false">M271/L271*100-100</f>
        <v>48.3137254901961</v>
      </c>
      <c r="N272" s="49" t="n">
        <f aca="false">N271/M271*100-100</f>
        <v>80.11634056055</v>
      </c>
      <c r="O272" s="49" t="n">
        <f aca="false">O271/N271*100-100</f>
        <v>-28.3763945977686</v>
      </c>
      <c r="P272" s="49" t="n">
        <f aca="false">P271/O271*100-100</f>
        <v>23.4269317483091</v>
      </c>
      <c r="Q272" s="49" t="n">
        <f aca="false">Q271/P271*100-100</f>
        <v>20.9897044171372</v>
      </c>
      <c r="R272" s="49" t="n">
        <f aca="false">R271/Q271*100-100</f>
        <v>-6.50562723030468</v>
      </c>
      <c r="S272" s="49" t="n">
        <f aca="false">S271/R271*100-100</f>
        <v>-12.2284204345273</v>
      </c>
      <c r="T272" s="49" t="n">
        <f aca="false">T271/S271*100-100</f>
        <v>72.3699615320288</v>
      </c>
      <c r="U272" s="49" t="n">
        <f aca="false">U271/T271*100-100</f>
        <v>25.2571317679022</v>
      </c>
      <c r="V272" s="49" t="n">
        <f aca="false">V271/U271*100-100</f>
        <v>-32.0009295840111</v>
      </c>
      <c r="W272" s="49" t="n">
        <f aca="false">W271/V271*100-100</f>
        <v>7.15424925951243</v>
      </c>
      <c r="X272" s="49" t="n">
        <f aca="false">X271/W271*100-100</f>
        <v>33.4679991494791</v>
      </c>
      <c r="Y272" s="49" t="n">
        <f aca="false">Y271/X271*100-100</f>
        <v>4.61207583240402</v>
      </c>
      <c r="Z272" s="49" t="n">
        <f aca="false">Z271/Y271*100-100</f>
        <v>-10.1195461813752</v>
      </c>
      <c r="AA272" s="49" t="n">
        <f aca="false">AA271/Z271*100-100</f>
        <v>37.5720094883091</v>
      </c>
      <c r="AB272" s="49" t="n">
        <f aca="false">AB271/AA271*100-100</f>
        <v>-24.2502617156229</v>
      </c>
      <c r="AC272" s="49" t="n">
        <f aca="false">AC271/AB271*100-100</f>
        <v>-27.4855702788391</v>
      </c>
      <c r="AD272" s="49" t="n">
        <f aca="false">AD271/AC271*100-100</f>
        <v>-10.3026905829596</v>
      </c>
      <c r="AE272" s="49" t="n">
        <f aca="false">AE271/AD271*100-100</f>
        <v>37.657792775903</v>
      </c>
      <c r="AF272" s="49" t="n">
        <f aca="false">AF271/AE271*100-100</f>
        <v>2.49682222625749</v>
      </c>
      <c r="AG272" s="49" t="n">
        <f aca="false">AG271/AF271*100-100</f>
        <v>4.99601381876163</v>
      </c>
      <c r="AH272" s="49" t="n">
        <f aca="false">AH271/AG271*100-100</f>
        <v>28.7015945330296</v>
      </c>
      <c r="AI272" s="49" t="n">
        <f aca="false">AI271/AH271*100-100</f>
        <v>18.5316289741069</v>
      </c>
      <c r="AJ272" s="49" t="n">
        <f aca="false">AJ271/AI271*100-100</f>
        <v>-2.77624156619844</v>
      </c>
      <c r="AK272" s="49" t="n">
        <f aca="false">AK271/AJ271*100-100</f>
        <v>8.62912400455062</v>
      </c>
      <c r="AL272" s="49" t="n">
        <f aca="false">AL271/AK271*100-100</f>
        <v>8.12169450699062</v>
      </c>
      <c r="AM272" s="36"/>
      <c r="AN272" s="36"/>
      <c r="AO272" s="36"/>
      <c r="AP272" s="36"/>
      <c r="AQ272" s="36"/>
      <c r="AR272" s="36"/>
      <c r="AS272" s="36"/>
      <c r="AT272" s="36"/>
      <c r="AU272" s="36"/>
      <c r="AV272" s="36"/>
      <c r="AW272" s="36"/>
      <c r="AX272" s="36"/>
      <c r="AY272" s="36"/>
    </row>
    <row r="273" customFormat="false" ht="15" hidden="false" customHeight="true" outlineLevel="0" collapsed="false">
      <c r="A273" s="51" t="s">
        <v>427</v>
      </c>
      <c r="B273" s="53"/>
      <c r="C273" s="53"/>
      <c r="D273" s="53"/>
      <c r="E273" s="53"/>
      <c r="F273" s="53"/>
      <c r="G273" s="53"/>
      <c r="H273" s="52" t="n">
        <f aca="false">H235+H239+H243+H247+H261+H265</f>
        <v>26856</v>
      </c>
      <c r="I273" s="52" t="n">
        <f aca="false">I235+I239+I243+I247+I261+I265</f>
        <v>37859</v>
      </c>
      <c r="J273" s="52" t="n">
        <f aca="false">J235+J239+J243+J247+J261+J265</f>
        <v>32475</v>
      </c>
      <c r="K273" s="52" t="n">
        <f aca="false">K235+K239+K243+K247+K261+K265</f>
        <v>29673</v>
      </c>
      <c r="L273" s="52" t="n">
        <f aca="false">L235+L239+L243+L247+L261+L265</f>
        <v>36445</v>
      </c>
      <c r="M273" s="52" t="n">
        <f aca="false">M235+M239+M243+M247+M261+M265</f>
        <v>48654</v>
      </c>
      <c r="N273" s="52" t="n">
        <f aca="false">N235+N239+N243+N247+N261+N265</f>
        <v>54740</v>
      </c>
      <c r="O273" s="52" t="n">
        <f aca="false">O235+O239+O243+O247+O261+O265</f>
        <v>61655</v>
      </c>
      <c r="P273" s="52" t="n">
        <f aca="false">P235+P239+P243+P247+P261+P265</f>
        <v>83091</v>
      </c>
      <c r="Q273" s="52" t="n">
        <f aca="false">Q235+Q239+Q243+Q247+Q261+Q265</f>
        <v>83309</v>
      </c>
      <c r="R273" s="52" t="n">
        <f aca="false">R235+R239+R243+R247+R261+R265</f>
        <v>54431</v>
      </c>
      <c r="S273" s="52" t="n">
        <f aca="false">S235+S239+S243+S247+S261+S265</f>
        <v>63926</v>
      </c>
      <c r="T273" s="52" t="n">
        <f aca="false">T235+T239+T243+T247+T261+T265</f>
        <v>94106</v>
      </c>
      <c r="U273" s="52" t="n">
        <f aca="false">U235+U239+U243+U247+U261+U265</f>
        <v>101990</v>
      </c>
      <c r="V273" s="52" t="n">
        <f aca="false">V235+V239+V243+V247+V261+V265</f>
        <v>114611</v>
      </c>
      <c r="W273" s="52" t="n">
        <f aca="false">W235+W239+W243+W247+W261+W265</f>
        <v>89337</v>
      </c>
      <c r="X273" s="52" t="n">
        <f aca="false">X235+X239+X243+X247+X261+X265</f>
        <v>104902</v>
      </c>
      <c r="Y273" s="52" t="n">
        <f aca="false">Y235+Y239+Y243+Y247+Y261+Y265</f>
        <v>140457</v>
      </c>
      <c r="Z273" s="52" t="n">
        <f aca="false">Z235+Z239+Z243+Z247+Z261+Z265</f>
        <v>145066</v>
      </c>
      <c r="AA273" s="52" t="n">
        <f aca="false">AA235+AA239+AA243+AA247+AA261+AA265</f>
        <v>174873</v>
      </c>
      <c r="AB273" s="52" t="n">
        <f aca="false">AB235+AB239+AB243+AB247+AB261+AB265</f>
        <v>197366</v>
      </c>
      <c r="AC273" s="52" t="n">
        <f aca="false">AC235+AC239+AC243+AC247+AC261+AC265</f>
        <v>125253</v>
      </c>
      <c r="AD273" s="52" t="n">
        <f aca="false">AD235+AD239+AD243+AD247+AD261+AD265</f>
        <v>100715</v>
      </c>
      <c r="AE273" s="52" t="n">
        <f aca="false">AE235+AE239+AE243+AE247+AE261+AE265</f>
        <v>128326</v>
      </c>
      <c r="AF273" s="52" t="n">
        <f aca="false">AF235+AF239+AF243+AF247+AF261+AF265</f>
        <v>192205</v>
      </c>
      <c r="AG273" s="52" t="n">
        <f aca="false">AG235+AG239+AG243+AG247+AG261+AG265</f>
        <v>194683</v>
      </c>
      <c r="AH273" s="52" t="n">
        <f aca="false">AH235+AH239+AH243+AH247+AH261+AH265</f>
        <v>195093</v>
      </c>
      <c r="AI273" s="52" t="n">
        <f aca="false">AI235+AI239+AI243+AI247+AI261+AI265</f>
        <v>220437</v>
      </c>
      <c r="AJ273" s="52" t="n">
        <f aca="false">AJ235+AJ239+AJ243+AJ247+AJ261+AJ265</f>
        <v>237395.64</v>
      </c>
      <c r="AK273" s="52" t="n">
        <f aca="false">AK235+AK239+AK243+AK247+AK261+AK265</f>
        <v>254191.8912</v>
      </c>
      <c r="AL273" s="52" t="n">
        <f aca="false">AL235+AL239+AL243+AL247+AL261+AL265</f>
        <v>270307.884672</v>
      </c>
      <c r="AM273" s="53"/>
      <c r="AN273" s="53"/>
      <c r="AO273" s="53"/>
      <c r="AP273" s="53"/>
      <c r="AQ273" s="53"/>
      <c r="AR273" s="53"/>
      <c r="AS273" s="53"/>
      <c r="AT273" s="53"/>
      <c r="AU273" s="53"/>
      <c r="AV273" s="53"/>
      <c r="AW273" s="53"/>
      <c r="AX273" s="53"/>
      <c r="AY273" s="53"/>
    </row>
    <row r="274" customFormat="false" ht="15" hidden="false" customHeight="true" outlineLevel="0" collapsed="false">
      <c r="A274" s="29" t="s">
        <v>458</v>
      </c>
      <c r="B274" s="43"/>
      <c r="C274" s="43"/>
      <c r="D274" s="43"/>
      <c r="E274" s="43"/>
      <c r="F274" s="43"/>
      <c r="G274" s="43"/>
      <c r="H274" s="59" t="n">
        <f aca="false">H273-H271-H269</f>
        <v>0</v>
      </c>
      <c r="I274" s="59" t="n">
        <f aca="false">I273-I271-I269</f>
        <v>0</v>
      </c>
      <c r="J274" s="59" t="n">
        <f aca="false">J273-J271-J269</f>
        <v>0</v>
      </c>
      <c r="K274" s="59" t="n">
        <f aca="false">K273-K271-K269</f>
        <v>0</v>
      </c>
      <c r="L274" s="59" t="n">
        <f aca="false">L273-L271-L269</f>
        <v>0</v>
      </c>
      <c r="M274" s="59" t="n">
        <f aca="false">M273-M271-M269</f>
        <v>0</v>
      </c>
      <c r="N274" s="59" t="n">
        <f aca="false">N273-N271-N269</f>
        <v>0</v>
      </c>
      <c r="O274" s="59" t="n">
        <f aca="false">O273-O271-O269</f>
        <v>0</v>
      </c>
      <c r="P274" s="59" t="n">
        <f aca="false">P273-P271-P269</f>
        <v>0</v>
      </c>
      <c r="Q274" s="59" t="n">
        <f aca="false">Q273-Q271-Q269</f>
        <v>0</v>
      </c>
      <c r="R274" s="59" t="n">
        <f aca="false">R273-R271-R269</f>
        <v>0</v>
      </c>
      <c r="S274" s="59" t="n">
        <f aca="false">S273-S271-S269</f>
        <v>0</v>
      </c>
      <c r="T274" s="59" t="n">
        <f aca="false">T273-T271-T269</f>
        <v>0</v>
      </c>
      <c r="U274" s="59" t="n">
        <f aca="false">U273-U271-U269</f>
        <v>0</v>
      </c>
      <c r="V274" s="59" t="n">
        <f aca="false">V273-V271-V269</f>
        <v>0</v>
      </c>
      <c r="W274" s="59" t="n">
        <f aca="false">W273-W271-W269</f>
        <v>0</v>
      </c>
      <c r="X274" s="59" t="n">
        <f aca="false">X273-X271-X269</f>
        <v>0</v>
      </c>
      <c r="Y274" s="59" t="n">
        <f aca="false">Y273-Y271-Y269</f>
        <v>0</v>
      </c>
      <c r="Z274" s="59" t="n">
        <f aca="false">Z273-Z271-Z269</f>
        <v>0</v>
      </c>
      <c r="AA274" s="59" t="n">
        <f aca="false">AA273-AA271-AA269</f>
        <v>0</v>
      </c>
      <c r="AB274" s="59" t="n">
        <f aca="false">AB273-AB271-AB269</f>
        <v>0</v>
      </c>
      <c r="AC274" s="59" t="n">
        <f aca="false">AC273-AC271-AC269</f>
        <v>0</v>
      </c>
      <c r="AD274" s="59" t="n">
        <f aca="false">AD273-AD271-AD269</f>
        <v>0</v>
      </c>
      <c r="AE274" s="59" t="n">
        <f aca="false">AE273-AE271-AE269</f>
        <v>0</v>
      </c>
      <c r="AF274" s="59" t="n">
        <f aca="false">AF273-AF271-AF269</f>
        <v>0</v>
      </c>
      <c r="AG274" s="59" t="n">
        <f aca="false">AG273-AG271-AG269</f>
        <v>0</v>
      </c>
      <c r="AH274" s="59" t="n">
        <f aca="false">AH273-AH271-AH269</f>
        <v>0</v>
      </c>
      <c r="AI274" s="59" t="n">
        <f aca="false">AI273-AI271-AI269</f>
        <v>0</v>
      </c>
      <c r="AJ274" s="59" t="n">
        <f aca="false">AJ273-AJ271-AJ269</f>
        <v>0</v>
      </c>
      <c r="AK274" s="59" t="n">
        <f aca="false">AK273-AK271-AK269</f>
        <v>0</v>
      </c>
      <c r="AL274" s="59" t="n">
        <f aca="false">AL273-AL271-AL269</f>
        <v>0</v>
      </c>
      <c r="AM274" s="43"/>
      <c r="AN274" s="43"/>
      <c r="AO274" s="43"/>
      <c r="AP274" s="43"/>
      <c r="AQ274" s="43"/>
      <c r="AR274" s="43"/>
      <c r="AS274" s="43"/>
      <c r="AT274" s="43"/>
      <c r="AU274" s="43"/>
      <c r="AV274" s="43"/>
      <c r="AW274" s="43"/>
      <c r="AX274" s="43"/>
      <c r="AY274" s="43"/>
    </row>
    <row r="275" customFormat="false" ht="15" hidden="false" customHeight="true" outlineLevel="0" collapsed="false">
      <c r="A275" s="29" t="s">
        <v>432</v>
      </c>
      <c r="B275" s="36"/>
      <c r="C275" s="36"/>
      <c r="D275" s="36"/>
      <c r="E275" s="36"/>
      <c r="F275" s="36"/>
      <c r="G275" s="36"/>
      <c r="H275" s="36"/>
      <c r="I275" s="49" t="n">
        <f aca="false">I273/H273*100-100</f>
        <v>40.9703604408698</v>
      </c>
      <c r="J275" s="49" t="n">
        <f aca="false">J273/I273*100-100</f>
        <v>-14.2211891492115</v>
      </c>
      <c r="K275" s="49" t="n">
        <f aca="false">K273/J273*100-100</f>
        <v>-8.62817551963049</v>
      </c>
      <c r="L275" s="49" t="n">
        <f aca="false">L273/K273*100-100</f>
        <v>22.8220941596738</v>
      </c>
      <c r="M275" s="49" t="n">
        <f aca="false">M273/L273*100-100</f>
        <v>33.4997942104541</v>
      </c>
      <c r="N275" s="49" t="n">
        <f aca="false">N273/M273*100-100</f>
        <v>12.5087351502446</v>
      </c>
      <c r="O275" s="49" t="n">
        <f aca="false">O273/N273*100-100</f>
        <v>12.6324442820606</v>
      </c>
      <c r="P275" s="49" t="n">
        <f aca="false">P273/O273*100-100</f>
        <v>34.7676587462493</v>
      </c>
      <c r="Q275" s="49" t="n">
        <f aca="false">Q273/P273*100-100</f>
        <v>0.262362951462848</v>
      </c>
      <c r="R275" s="49" t="n">
        <f aca="false">R273/Q273*100-100</f>
        <v>-34.6637218067676</v>
      </c>
      <c r="S275" s="49" t="n">
        <f aca="false">S273/R273*100-100</f>
        <v>17.4441035439364</v>
      </c>
      <c r="T275" s="49" t="n">
        <f aca="false">T273/S273*100-100</f>
        <v>47.2108375308951</v>
      </c>
      <c r="U275" s="49" t="n">
        <f aca="false">U273/T273*100-100</f>
        <v>8.37778675111045</v>
      </c>
      <c r="V275" s="49" t="n">
        <f aca="false">V273/U273*100-100</f>
        <v>12.3747426218257</v>
      </c>
      <c r="W275" s="49" t="n">
        <f aca="false">W273/V273*100-100</f>
        <v>-22.0519845390059</v>
      </c>
      <c r="X275" s="49" t="n">
        <f aca="false">X273/W273*100-100</f>
        <v>17.4227923480753</v>
      </c>
      <c r="Y275" s="49" t="n">
        <f aca="false">Y273/X273*100-100</f>
        <v>33.8935387313874</v>
      </c>
      <c r="Z275" s="49" t="n">
        <f aca="false">Z273/Y273*100-100</f>
        <v>3.28143132773731</v>
      </c>
      <c r="AA275" s="49" t="n">
        <f aca="false">AA273/Z273*100-100</f>
        <v>20.5471992058787</v>
      </c>
      <c r="AB275" s="49" t="n">
        <f aca="false">AB273/AA273*100-100</f>
        <v>12.8624773406987</v>
      </c>
      <c r="AC275" s="49" t="n">
        <f aca="false">AC273/AB273*100-100</f>
        <v>-36.5377015291388</v>
      </c>
      <c r="AD275" s="49" t="n">
        <f aca="false">AD273/AC273*100-100</f>
        <v>-19.5907483253894</v>
      </c>
      <c r="AE275" s="49" t="n">
        <f aca="false">AE273/AD273*100-100</f>
        <v>27.4149828724619</v>
      </c>
      <c r="AF275" s="49" t="n">
        <f aca="false">AF273/AE273*100-100</f>
        <v>49.7786886523386</v>
      </c>
      <c r="AG275" s="49" t="n">
        <f aca="false">AG273/AF273*100-100</f>
        <v>1.28924845867692</v>
      </c>
      <c r="AH275" s="49" t="n">
        <f aca="false">AH273/AG273*100-100</f>
        <v>0.210598768254044</v>
      </c>
      <c r="AI275" s="49" t="n">
        <f aca="false">AI273/AH273*100-100</f>
        <v>12.9907274991927</v>
      </c>
      <c r="AJ275" s="49" t="n">
        <f aca="false">AJ273/AI273*100-100</f>
        <v>7.69319125192232</v>
      </c>
      <c r="AK275" s="49" t="n">
        <f aca="false">AK273/AJ273*100-100</f>
        <v>7.07521469223276</v>
      </c>
      <c r="AL275" s="49" t="n">
        <f aca="false">AL273/AK273*100-100</f>
        <v>6.34008952682122</v>
      </c>
      <c r="AM275" s="36"/>
      <c r="AN275" s="36"/>
      <c r="AO275" s="36"/>
      <c r="AP275" s="36"/>
      <c r="AQ275" s="36"/>
      <c r="AR275" s="36"/>
      <c r="AS275" s="36"/>
      <c r="AT275" s="36"/>
      <c r="AU275" s="36"/>
      <c r="AV275" s="36"/>
      <c r="AW275" s="36"/>
      <c r="AX275" s="36"/>
      <c r="AY275" s="36"/>
    </row>
    <row r="276" customFormat="false" ht="15" hidden="false" customHeight="true" outlineLevel="0" collapsed="false">
      <c r="A276" s="29" t="s">
        <v>459</v>
      </c>
      <c r="B276" s="36"/>
      <c r="C276" s="36"/>
      <c r="D276" s="36"/>
      <c r="E276" s="36"/>
      <c r="F276" s="36"/>
      <c r="G276" s="36"/>
      <c r="H276" s="49" t="n">
        <f aca="false">H271/H273*100</f>
        <v>8.07268394399762</v>
      </c>
      <c r="I276" s="49" t="n">
        <f aca="false">I271/I273*100</f>
        <v>5.77933912675982</v>
      </c>
      <c r="J276" s="49" t="n">
        <f aca="false">J271/J273*100</f>
        <v>7.42417244033872</v>
      </c>
      <c r="K276" s="49" t="n">
        <f aca="false">K271/K273*100</f>
        <v>7.31304552960604</v>
      </c>
      <c r="L276" s="49" t="n">
        <f aca="false">L271/L273*100</f>
        <v>6.99684456029634</v>
      </c>
      <c r="M276" s="49" t="n">
        <f aca="false">M271/M273*100</f>
        <v>7.77325605294529</v>
      </c>
      <c r="N276" s="49" t="n">
        <f aca="false">N271/N273*100</f>
        <v>12.4442820606503</v>
      </c>
      <c r="O276" s="49" t="n">
        <f aca="false">O271/O273*100</f>
        <v>7.91338901954424</v>
      </c>
      <c r="P276" s="49" t="n">
        <f aca="false">P271/P273*100</f>
        <v>7.247475659217</v>
      </c>
      <c r="Q276" s="49" t="n">
        <f aca="false">Q271/Q273*100</f>
        <v>8.74575376009795</v>
      </c>
      <c r="R276" s="49" t="n">
        <f aca="false">R271/R273*100</f>
        <v>12.5149271554813</v>
      </c>
      <c r="S276" s="49" t="n">
        <f aca="false">S271/S273*100</f>
        <v>9.35300190845665</v>
      </c>
      <c r="T276" s="49" t="n">
        <f aca="false">T271/T273*100</f>
        <v>10.9514802456804</v>
      </c>
      <c r="U276" s="49" t="n">
        <f aca="false">U271/U273*100</f>
        <v>12.6571232473772</v>
      </c>
      <c r="V276" s="49" t="n">
        <f aca="false">V271/V273*100</f>
        <v>7.65895071153729</v>
      </c>
      <c r="W276" s="49" t="n">
        <f aca="false">W271/W273*100</f>
        <v>10.5286723306133</v>
      </c>
      <c r="X276" s="49" t="n">
        <f aca="false">X271/X273*100</f>
        <v>11.9673600122019</v>
      </c>
      <c r="Y276" s="49" t="n">
        <f aca="false">Y271/Y273*100</f>
        <v>9.35019258563119</v>
      </c>
      <c r="Z276" s="49" t="n">
        <f aca="false">Z271/Z273*100</f>
        <v>8.13698592364855</v>
      </c>
      <c r="AA276" s="49" t="n">
        <f aca="false">AA271/AA273*100</f>
        <v>9.28616767597056</v>
      </c>
      <c r="AB276" s="49" t="n">
        <f aca="false">AB271/AB273*100</f>
        <v>6.23258311968627</v>
      </c>
      <c r="AC276" s="49" t="n">
        <f aca="false">AC271/AC273*100</f>
        <v>7.12158591011792</v>
      </c>
      <c r="AD276" s="49" t="n">
        <f aca="false">AD271/AD273*100</f>
        <v>7.94419897731222</v>
      </c>
      <c r="AE276" s="49" t="n">
        <f aca="false">AE271/AE273*100</f>
        <v>8.58282810965821</v>
      </c>
      <c r="AF276" s="49" t="n">
        <f aca="false">AF271/AF273*100</f>
        <v>5.87341640435993</v>
      </c>
      <c r="AG276" s="49" t="n">
        <f aca="false">AG271/AG273*100</f>
        <v>6.08835902467088</v>
      </c>
      <c r="AH276" s="49" t="n">
        <f aca="false">AH271/AH273*100</f>
        <v>7.81934769571435</v>
      </c>
      <c r="AI276" s="49" t="n">
        <f aca="false">AI271/AI273*100</f>
        <v>8.20279717107382</v>
      </c>
      <c r="AJ276" s="49" t="n">
        <f aca="false">AJ271/AJ273*100</f>
        <v>7.40535925596612</v>
      </c>
      <c r="AK276" s="49" t="n">
        <f aca="false">AK271/AK273*100</f>
        <v>7.51282816688056</v>
      </c>
      <c r="AL276" s="49" t="n">
        <f aca="false">AL271/AL273*100</f>
        <v>7.63869689744897</v>
      </c>
      <c r="AM276" s="36"/>
      <c r="AN276" s="36"/>
      <c r="AO276" s="36"/>
      <c r="AP276" s="36"/>
      <c r="AQ276" s="36"/>
      <c r="AR276" s="36"/>
      <c r="AS276" s="36"/>
      <c r="AT276" s="36"/>
      <c r="AU276" s="36"/>
      <c r="AV276" s="36"/>
      <c r="AW276" s="36"/>
      <c r="AX276" s="36"/>
      <c r="AY276" s="36"/>
    </row>
    <row r="277" customFormat="false" ht="15" hidden="false" customHeight="true" outlineLevel="0" collapsed="false">
      <c r="A277" s="70" t="s">
        <v>460</v>
      </c>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row>
    <row r="278" customFormat="false" ht="15" hidden="false" customHeight="true" outlineLevel="0" collapsed="false">
      <c r="A278" s="29"/>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row>
    <row r="279" customFormat="false" ht="15" hidden="false" customHeight="true" outlineLevel="0" collapsed="false">
      <c r="A279" s="70" t="s">
        <v>461</v>
      </c>
      <c r="B279" s="83"/>
      <c r="C279" s="83"/>
      <c r="D279" s="83"/>
      <c r="E279" s="83"/>
      <c r="F279" s="83"/>
      <c r="G279" s="83"/>
      <c r="H279" s="83"/>
      <c r="I279" s="83"/>
      <c r="J279" s="83"/>
      <c r="K279" s="83"/>
      <c r="L279" s="83"/>
      <c r="M279" s="83"/>
      <c r="N279" s="83"/>
      <c r="O279" s="83"/>
      <c r="P279" s="83"/>
      <c r="Q279" s="83"/>
      <c r="R279" s="83"/>
      <c r="S279" s="83"/>
      <c r="T279" s="83"/>
      <c r="U279" s="83"/>
      <c r="V279" s="83"/>
      <c r="W279" s="85" t="n">
        <f aca="false">+V279-V278</f>
        <v>0</v>
      </c>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83"/>
    </row>
    <row r="280" customFormat="false" ht="15" hidden="false" customHeight="true" outlineLevel="0" collapsed="false">
      <c r="A280" s="47" t="s">
        <v>462</v>
      </c>
      <c r="B280" s="34" t="n">
        <v>7967.24</v>
      </c>
      <c r="C280" s="34" t="n">
        <v>9780.27</v>
      </c>
      <c r="D280" s="34" t="n">
        <v>12858.1</v>
      </c>
      <c r="E280" s="34" t="n">
        <v>17279.36</v>
      </c>
      <c r="F280" s="34" t="n">
        <v>21520.1</v>
      </c>
      <c r="G280" s="35" t="n">
        <f aca="false">+G226+G229</f>
        <v>16432.611576</v>
      </c>
      <c r="H280" s="35" t="n">
        <f aca="false">+H226+H229</f>
        <v>17282.728378296</v>
      </c>
      <c r="I280" s="34" t="n">
        <v>23164.2</v>
      </c>
      <c r="J280" s="34" t="n">
        <v>20113.18</v>
      </c>
      <c r="K280" s="34" t="n">
        <v>20370.8</v>
      </c>
      <c r="L280" s="34" t="n">
        <v>25256.31</v>
      </c>
      <c r="M280" s="34" t="n">
        <v>34198.04</v>
      </c>
      <c r="N280" s="34" t="n">
        <v>41778.93</v>
      </c>
      <c r="O280" s="34" t="n">
        <v>52508.74</v>
      </c>
      <c r="P280" s="34" t="n">
        <v>77760.03</v>
      </c>
      <c r="Q280" s="34" t="n">
        <v>81016.63</v>
      </c>
      <c r="R280" s="34" t="n">
        <v>55194.997</v>
      </c>
      <c r="S280" s="34" t="n">
        <v>67455.823</v>
      </c>
      <c r="T280" s="34" t="n">
        <v>109010.964</v>
      </c>
      <c r="U280" s="34" t="n">
        <v>118461.844</v>
      </c>
      <c r="V280" s="34" t="n">
        <v>103183.353</v>
      </c>
      <c r="W280" s="34" t="n">
        <v>79381.1</v>
      </c>
      <c r="X280" s="34" t="n">
        <v>117064.328</v>
      </c>
      <c r="Y280" s="34" t="n">
        <v>170658.387</v>
      </c>
      <c r="Z280" s="34" t="n">
        <v>177556.204</v>
      </c>
      <c r="AA280" s="34" t="n">
        <v>216026.603</v>
      </c>
      <c r="AB280" s="34" t="n">
        <v>253077.8</v>
      </c>
      <c r="AC280" s="34" t="n">
        <v>143263.6</v>
      </c>
      <c r="AD280" s="34" t="n">
        <v>122795.6</v>
      </c>
      <c r="AE280" s="34" t="n">
        <v>180030.9</v>
      </c>
      <c r="AF280" s="34" t="n">
        <v>316460.5</v>
      </c>
      <c r="AG280" s="34" t="n">
        <v>327147</v>
      </c>
      <c r="AH280" s="34" t="n">
        <v>323836.9</v>
      </c>
      <c r="AI280" s="35" t="n">
        <f aca="false">+AI281*AI282/1000000</f>
        <v>383596.849601081</v>
      </c>
      <c r="AJ280" s="35" t="n">
        <f aca="false">+AJ281*AJ282/1000000</f>
        <v>421369.842654786</v>
      </c>
      <c r="AK280" s="35" t="n">
        <f aca="false">+AK281*AK282/1000000</f>
        <v>457950.403626</v>
      </c>
      <c r="AL280" s="35" t="n">
        <f aca="false">+AL281*AL282/1000000</f>
        <v>494289.642242392</v>
      </c>
      <c r="AM280" s="30"/>
      <c r="AN280" s="30"/>
      <c r="AO280" s="30"/>
      <c r="AP280" s="30"/>
      <c r="AQ280" s="30"/>
      <c r="AR280" s="30"/>
      <c r="AS280" s="30"/>
      <c r="AT280" s="30"/>
      <c r="AU280" s="30"/>
      <c r="AV280" s="30"/>
      <c r="AW280" s="30"/>
      <c r="AX280" s="30"/>
      <c r="AY280" s="30"/>
    </row>
    <row r="281" customFormat="false" ht="15" hidden="false" customHeight="true" outlineLevel="0" collapsed="false">
      <c r="A281" s="47" t="s">
        <v>463</v>
      </c>
      <c r="B281" s="34" t="n">
        <v>20571</v>
      </c>
      <c r="C281" s="34" t="n">
        <v>24226</v>
      </c>
      <c r="D281" s="34" t="n">
        <v>30410</v>
      </c>
      <c r="E281" s="34" t="n">
        <v>37399</v>
      </c>
      <c r="F281" s="34" t="n">
        <v>43352</v>
      </c>
      <c r="G281" s="34" t="n">
        <v>31547</v>
      </c>
      <c r="H281" s="34" t="n">
        <v>29741</v>
      </c>
      <c r="I281" s="34" t="n">
        <v>37859</v>
      </c>
      <c r="J281" s="34" t="n">
        <v>32475</v>
      </c>
      <c r="K281" s="34" t="n">
        <v>29673</v>
      </c>
      <c r="L281" s="34" t="n">
        <v>36444</v>
      </c>
      <c r="M281" s="34" t="n">
        <v>48654</v>
      </c>
      <c r="N281" s="34" t="n">
        <v>54740</v>
      </c>
      <c r="O281" s="35" t="n">
        <f aca="false">+O211</f>
        <v>61655</v>
      </c>
      <c r="P281" s="35" t="n">
        <f aca="false">+P211</f>
        <v>83091</v>
      </c>
      <c r="Q281" s="35" t="n">
        <f aca="false">+Q211</f>
        <v>83309</v>
      </c>
      <c r="R281" s="35" t="n">
        <f aca="false">+R211</f>
        <v>54431</v>
      </c>
      <c r="S281" s="35" t="n">
        <f aca="false">+S211</f>
        <v>63926</v>
      </c>
      <c r="T281" s="35" t="n">
        <f aca="false">+T211</f>
        <v>94106</v>
      </c>
      <c r="U281" s="35" t="n">
        <f aca="false">+U211-U288</f>
        <v>98792</v>
      </c>
      <c r="V281" s="35" t="n">
        <f aca="false">+V211-V288</f>
        <v>89470.76</v>
      </c>
      <c r="W281" s="35" t="n">
        <f aca="false">+W211-W288</f>
        <v>69027</v>
      </c>
      <c r="X281" s="35" t="n">
        <f aca="false">+X211-X288</f>
        <v>86591.5</v>
      </c>
      <c r="Y281" s="35" t="n">
        <f aca="false">+Y211-Y288</f>
        <v>120029.25</v>
      </c>
      <c r="Z281" s="35" t="n">
        <f aca="false">+Z211-Z288</f>
        <v>122218.75</v>
      </c>
      <c r="AA281" s="35" t="n">
        <f aca="false">+AA211-AA288</f>
        <v>144974.25</v>
      </c>
      <c r="AB281" s="35" t="n">
        <f aca="false">+AB211</f>
        <v>197366</v>
      </c>
      <c r="AC281" s="35" t="n">
        <f aca="false">+AC211</f>
        <v>125253</v>
      </c>
      <c r="AD281" s="35" t="n">
        <f aca="false">+AD211</f>
        <v>100715</v>
      </c>
      <c r="AE281" s="35" t="n">
        <f aca="false">+AE211</f>
        <v>128326</v>
      </c>
      <c r="AF281" s="35" t="n">
        <f aca="false">+AF211</f>
        <v>192205</v>
      </c>
      <c r="AG281" s="35" t="n">
        <f aca="false">+AG211</f>
        <v>194683</v>
      </c>
      <c r="AH281" s="35" t="n">
        <f aca="false">+AH211</f>
        <v>195093</v>
      </c>
      <c r="AI281" s="35" t="n">
        <f aca="false">+AI211</f>
        <v>220437</v>
      </c>
      <c r="AJ281" s="35" t="n">
        <f aca="false">+AJ211</f>
        <v>237395.64</v>
      </c>
      <c r="AK281" s="35" t="n">
        <f aca="false">+AK211</f>
        <v>254191.8912</v>
      </c>
      <c r="AL281" s="35" t="n">
        <f aca="false">+AL211</f>
        <v>270307.884672</v>
      </c>
      <c r="AM281" s="30"/>
      <c r="AN281" s="30"/>
      <c r="AO281" s="30"/>
      <c r="AP281" s="30"/>
      <c r="AQ281" s="30"/>
      <c r="AR281" s="30"/>
      <c r="AS281" s="30"/>
      <c r="AT281" s="30"/>
      <c r="AU281" s="30"/>
      <c r="AV281" s="30"/>
      <c r="AW281" s="30"/>
      <c r="AX281" s="30"/>
      <c r="AY281" s="30"/>
    </row>
    <row r="282" customFormat="false" ht="15" hidden="false" customHeight="true" outlineLevel="0" collapsed="false">
      <c r="A282" s="47" t="s">
        <v>464</v>
      </c>
      <c r="B282" s="35" t="n">
        <f aca="false">+B280/B281*1000000</f>
        <v>387304.457731758</v>
      </c>
      <c r="C282" s="35" t="n">
        <f aca="false">+C280/C281*1000000</f>
        <v>403709.650788409</v>
      </c>
      <c r="D282" s="35" t="n">
        <f aca="false">+D280/D281*1000000</f>
        <v>422824.728707662</v>
      </c>
      <c r="E282" s="35" t="n">
        <f aca="false">+E280/E281*1000000</f>
        <v>462027.326933875</v>
      </c>
      <c r="F282" s="35" t="n">
        <f aca="false">+F280/F281*1000000</f>
        <v>496403.856800148</v>
      </c>
      <c r="G282" s="35" t="n">
        <f aca="false">+G280/G281*1000000</f>
        <v>520893.003328367</v>
      </c>
      <c r="H282" s="35" t="n">
        <f aca="false">+H280/H281*1000000</f>
        <v>581107.843660132</v>
      </c>
      <c r="I282" s="35" t="n">
        <f aca="false">+I280/I281*1000000</f>
        <v>611854.512797485</v>
      </c>
      <c r="J282" s="35" t="n">
        <f aca="false">+J280/J281*1000000</f>
        <v>619343.494996151</v>
      </c>
      <c r="K282" s="35" t="n">
        <f aca="false">+K280/K281*1000000</f>
        <v>686509.621541469</v>
      </c>
      <c r="L282" s="35" t="n">
        <f aca="false">+L280/L281*1000000</f>
        <v>693016.957523872</v>
      </c>
      <c r="M282" s="35" t="n">
        <f aca="false">+M280/M281*1000000</f>
        <v>702882.394047766</v>
      </c>
      <c r="N282" s="35" t="n">
        <f aca="false">+N280/N281*1000000</f>
        <v>763224.881256851</v>
      </c>
      <c r="O282" s="35" t="n">
        <f aca="false">+O280/O281*1000000</f>
        <v>851654.204849566</v>
      </c>
      <c r="P282" s="35" t="n">
        <f aca="false">+P280/P281*1000000</f>
        <v>935841.787919269</v>
      </c>
      <c r="Q282" s="35" t="n">
        <f aca="false">+Q280/Q281*1000000</f>
        <v>972483.525189355</v>
      </c>
      <c r="R282" s="35" t="n">
        <f aca="false">+R280/R281*1000000</f>
        <v>1014036.06400764</v>
      </c>
      <c r="S282" s="35" t="n">
        <f aca="false">+S280/S281*1000000</f>
        <v>1055217.32941213</v>
      </c>
      <c r="T282" s="35" t="n">
        <f aca="false">+T280/T281*1000000</f>
        <v>1158384.84262427</v>
      </c>
      <c r="U282" s="35" t="n">
        <f aca="false">+U280/U281*1000000</f>
        <v>1199103.61162847</v>
      </c>
      <c r="V282" s="35" t="n">
        <f aca="false">+V280/V281*1000000</f>
        <v>1153263.40136152</v>
      </c>
      <c r="W282" s="35" t="n">
        <f aca="false">+W280/W281*1000000</f>
        <v>1150000.72435424</v>
      </c>
      <c r="X282" s="35" t="n">
        <f aca="false">+X280/X281*1000000</f>
        <v>1351914.77223515</v>
      </c>
      <c r="Y282" s="35" t="n">
        <f aca="false">+Y280/Y281*1000000</f>
        <v>1421806.65962672</v>
      </c>
      <c r="Z282" s="35" t="n">
        <f aca="false">+Z280/Z281*1000000</f>
        <v>1452773.8501662</v>
      </c>
      <c r="AA282" s="35" t="n">
        <f aca="false">+AA280/AA281*1000000</f>
        <v>1490103.2631657</v>
      </c>
      <c r="AB282" s="35" t="n">
        <f aca="false">+AB280/AB281*1000000</f>
        <v>1282276.58259275</v>
      </c>
      <c r="AC282" s="35" t="n">
        <f aca="false">+AC280/AC281*1000000</f>
        <v>1143793.76142687</v>
      </c>
      <c r="AD282" s="35" t="n">
        <f aca="false">+AD280/AD281*1000000</f>
        <v>1219238.44511741</v>
      </c>
      <c r="AE282" s="35" t="n">
        <f aca="false">+AE280/AE281*1000000</f>
        <v>1402918.34858096</v>
      </c>
      <c r="AF282" s="35" t="n">
        <f aca="false">+AF280/AF281*1000000</f>
        <v>1646473.81701829</v>
      </c>
      <c r="AG282" s="35" t="n">
        <f aca="false">+AG280/AG281*1000000</f>
        <v>1680408.66434152</v>
      </c>
      <c r="AH282" s="35" t="n">
        <f aca="false">+AH280/AH281*1000000</f>
        <v>1659910.40170585</v>
      </c>
      <c r="AI282" s="35" t="n">
        <f aca="false">AH282*(1+AI284/100)</f>
        <v>1740165.44228547</v>
      </c>
      <c r="AJ282" s="35" t="n">
        <f aca="false">AI282*(1+AJ284/100)</f>
        <v>1774968.75113117</v>
      </c>
      <c r="AK282" s="35" t="n">
        <f aca="false">AJ282*(1+AK284/100)</f>
        <v>1801593.28239814</v>
      </c>
      <c r="AL282" s="35" t="n">
        <f aca="false">AK282*(1+AL284/100)</f>
        <v>1828617.18163411</v>
      </c>
      <c r="AM282" s="30"/>
      <c r="AN282" s="30"/>
      <c r="AO282" s="30"/>
      <c r="AP282" s="30"/>
      <c r="AQ282" s="30"/>
      <c r="AR282" s="30"/>
      <c r="AS282" s="30"/>
      <c r="AT282" s="30"/>
      <c r="AU282" s="30"/>
      <c r="AV282" s="30"/>
      <c r="AW282" s="30"/>
      <c r="AX282" s="30"/>
      <c r="AY282" s="30"/>
    </row>
    <row r="283" customFormat="false" ht="15" hidden="false" customHeight="true" outlineLevel="0" collapsed="false">
      <c r="A283" s="29" t="s">
        <v>465</v>
      </c>
      <c r="B283" s="36"/>
      <c r="C283" s="49" t="n">
        <f aca="false">+C281/B281*100-100</f>
        <v>17.7677312721793</v>
      </c>
      <c r="D283" s="49" t="n">
        <f aca="false">+D281/C281*100-100</f>
        <v>25.5262940642285</v>
      </c>
      <c r="E283" s="49" t="n">
        <f aca="false">+E281/D281*100-100</f>
        <v>22.9825715225255</v>
      </c>
      <c r="F283" s="49" t="n">
        <f aca="false">+F281/E281*100-100</f>
        <v>15.9175379020829</v>
      </c>
      <c r="G283" s="49" t="n">
        <f aca="false">+G281/F281*100-100</f>
        <v>-27.2305775973427</v>
      </c>
      <c r="H283" s="49" t="n">
        <f aca="false">+H281/G281*100-100</f>
        <v>-5.72479158081592</v>
      </c>
      <c r="I283" s="49" t="n">
        <f aca="false">+I281/H281*100-100</f>
        <v>27.2956524662923</v>
      </c>
      <c r="J283" s="49" t="n">
        <f aca="false">+J281/I281*100-100</f>
        <v>-14.2211891492115</v>
      </c>
      <c r="K283" s="49" t="n">
        <f aca="false">+K281/J281*100-100</f>
        <v>-8.62817551963049</v>
      </c>
      <c r="L283" s="49" t="n">
        <f aca="false">+L281/K281*100-100</f>
        <v>22.8187240926094</v>
      </c>
      <c r="M283" s="49" t="n">
        <f aca="false">+M281/L281*100-100</f>
        <v>33.5034573592361</v>
      </c>
      <c r="N283" s="49" t="n">
        <f aca="false">+N281/M281*100-100</f>
        <v>12.5087351502446</v>
      </c>
      <c r="O283" s="49" t="n">
        <f aca="false">+O281/N281*100-100</f>
        <v>12.6324442820606</v>
      </c>
      <c r="P283" s="49" t="n">
        <f aca="false">+P281/O281*100-100</f>
        <v>34.7676587462493</v>
      </c>
      <c r="Q283" s="49" t="n">
        <f aca="false">+Q281/P281*100-100</f>
        <v>0.262362951462848</v>
      </c>
      <c r="R283" s="49" t="n">
        <f aca="false">+R281/Q281*100-100</f>
        <v>-34.6637218067676</v>
      </c>
      <c r="S283" s="49" t="n">
        <f aca="false">+S281/R281*100-100</f>
        <v>17.4441035439364</v>
      </c>
      <c r="T283" s="49" t="n">
        <f aca="false">+T281/S281*100-100</f>
        <v>47.2108375308951</v>
      </c>
      <c r="U283" s="49" t="n">
        <f aca="false">+U281/T281*100-100</f>
        <v>4.97949121203749</v>
      </c>
      <c r="V283" s="49" t="n">
        <f aca="false">+V281/U281*100-100</f>
        <v>-9.43521742651225</v>
      </c>
      <c r="W283" s="49" t="n">
        <f aca="false">+W281/V281*100-100</f>
        <v>-22.8496550157839</v>
      </c>
      <c r="X283" s="49" t="n">
        <f aca="false">+X281/W281*100-100</f>
        <v>25.44584003361</v>
      </c>
      <c r="Y283" s="49" t="n">
        <f aca="false">+Y281/X281*100-100</f>
        <v>38.615510760294</v>
      </c>
      <c r="Z283" s="49" t="n">
        <f aca="false">+Z281/Y281*100-100</f>
        <v>1.82413869952534</v>
      </c>
      <c r="AA283" s="49" t="n">
        <f aca="false">+AA281/Z281*100-100</f>
        <v>18.6186653029916</v>
      </c>
      <c r="AB283" s="49" t="n">
        <f aca="false">+AB281/AA281*100-100</f>
        <v>36.1386591067034</v>
      </c>
      <c r="AC283" s="49" t="n">
        <f aca="false">+AC281/AB281*100-100</f>
        <v>-36.5377015291388</v>
      </c>
      <c r="AD283" s="49" t="n">
        <f aca="false">+AD281/AC281*100-100</f>
        <v>-19.5907483253894</v>
      </c>
      <c r="AE283" s="49" t="n">
        <f aca="false">+AE281/AD281*100-100</f>
        <v>27.4149828724619</v>
      </c>
      <c r="AF283" s="49" t="n">
        <f aca="false">+AF281/AE281*100-100</f>
        <v>49.7786886523386</v>
      </c>
      <c r="AG283" s="49" t="n">
        <f aca="false">+AG281/AF281*100-100</f>
        <v>1.28924845867692</v>
      </c>
      <c r="AH283" s="49" t="n">
        <f aca="false">+AH281/AG281*100-100</f>
        <v>0.210598768254044</v>
      </c>
      <c r="AI283" s="49" t="n">
        <f aca="false">+AI281/AH281*100-100</f>
        <v>12.9907274991927</v>
      </c>
      <c r="AJ283" s="49" t="n">
        <f aca="false">+AJ281/AI281*100-100</f>
        <v>7.69319125192232</v>
      </c>
      <c r="AK283" s="49" t="n">
        <f aca="false">+AK281/AJ281*100-100</f>
        <v>7.07521469223276</v>
      </c>
      <c r="AL283" s="49" t="n">
        <f aca="false">+AL281/AK281*100-100</f>
        <v>6.34008952682122</v>
      </c>
      <c r="AM283" s="36"/>
      <c r="AN283" s="36"/>
      <c r="AO283" s="36"/>
      <c r="AP283" s="36"/>
      <c r="AQ283" s="36"/>
      <c r="AR283" s="36"/>
      <c r="AS283" s="36"/>
      <c r="AT283" s="36"/>
      <c r="AU283" s="36"/>
      <c r="AV283" s="36"/>
      <c r="AW283" s="36"/>
      <c r="AX283" s="36"/>
      <c r="AY283" s="36"/>
    </row>
    <row r="284" customFormat="false" ht="15" hidden="false" customHeight="true" outlineLevel="0" collapsed="false">
      <c r="A284" s="29" t="s">
        <v>466</v>
      </c>
      <c r="B284" s="36"/>
      <c r="C284" s="49" t="n">
        <f aca="false">+C282/B282*100-100</f>
        <v>4.23573566716161</v>
      </c>
      <c r="D284" s="49" t="n">
        <f aca="false">+D282/C282*100-100</f>
        <v>4.73485780731839</v>
      </c>
      <c r="E284" s="49" t="n">
        <f aca="false">+E282/D282*100-100</f>
        <v>9.27159543057799</v>
      </c>
      <c r="F284" s="49" t="n">
        <f aca="false">+F282/E282*100-100</f>
        <v>7.44036723853614</v>
      </c>
      <c r="G284" s="49" t="n">
        <f aca="false">+G282/F282*100-100</f>
        <v>4.93331109191581</v>
      </c>
      <c r="H284" s="49" t="n">
        <f aca="false">+H282/G282*100-100</f>
        <v>11.5599249648217</v>
      </c>
      <c r="I284" s="49" t="n">
        <f aca="false">+I282/H282*100-100</f>
        <v>5.2910435597795</v>
      </c>
      <c r="J284" s="49" t="n">
        <f aca="false">+J282/I282*100-100</f>
        <v>1.22398087160049</v>
      </c>
      <c r="K284" s="49" t="n">
        <f aca="false">+K282/J282*100-100</f>
        <v>10.8447294737043</v>
      </c>
      <c r="L284" s="49" t="n">
        <f aca="false">+L282/K282*100-100</f>
        <v>0.947887076628604</v>
      </c>
      <c r="M284" s="49" t="n">
        <f aca="false">+M282/L282*100-100</f>
        <v>1.42354908011811</v>
      </c>
      <c r="N284" s="49" t="n">
        <f aca="false">+N282/M282*100-100</f>
        <v>8.58500479170974</v>
      </c>
      <c r="O284" s="49" t="n">
        <f aca="false">+O282/N282*100-100</f>
        <v>11.5862736873951</v>
      </c>
      <c r="P284" s="49" t="n">
        <f aca="false">+P282/O282*100-100</f>
        <v>9.88518375067187</v>
      </c>
      <c r="Q284" s="49" t="n">
        <f aca="false">+Q282/P282*100-100</f>
        <v>3.91537733654262</v>
      </c>
      <c r="R284" s="49" t="n">
        <f aca="false">+R282/Q282*100-100</f>
        <v>4.27282701886354</v>
      </c>
      <c r="S284" s="49" t="n">
        <f aca="false">+S282/R282*100-100</f>
        <v>4.06112433927987</v>
      </c>
      <c r="T284" s="49" t="n">
        <f aca="false">+T282/S282*100-100</f>
        <v>9.77689716957333</v>
      </c>
      <c r="U284" s="49" t="n">
        <f aca="false">+U282/T282*100-100</f>
        <v>3.51513309790469</v>
      </c>
      <c r="V284" s="49" t="n">
        <f aca="false">+V282/U282*100-100</f>
        <v>-3.82287317146015</v>
      </c>
      <c r="W284" s="49" t="n">
        <f aca="false">+W282/V282*100-100</f>
        <v>-0.282908224038607</v>
      </c>
      <c r="X284" s="49" t="n">
        <f aca="false">+X282/W282*100-100</f>
        <v>17.5577322348465</v>
      </c>
      <c r="Y284" s="49" t="n">
        <f aca="false">+Y282/X282*100-100</f>
        <v>5.16984419631808</v>
      </c>
      <c r="Z284" s="49" t="n">
        <f aca="false">+Z282/Y282*100-100</f>
        <v>2.17801698492623</v>
      </c>
      <c r="AA284" s="49" t="n">
        <f aca="false">+AA282/Z282*100-100</f>
        <v>2.56952677082063</v>
      </c>
      <c r="AB284" s="49" t="n">
        <f aca="false">+AB282/AA282*100-100</f>
        <v>-13.9471327732971</v>
      </c>
      <c r="AC284" s="49" t="n">
        <f aca="false">+AC282/AB282*100-100</f>
        <v>-10.7997621609734</v>
      </c>
      <c r="AD284" s="49" t="n">
        <f aca="false">+AD282/AC282*100-100</f>
        <v>6.59600412546592</v>
      </c>
      <c r="AE284" s="49" t="n">
        <f aca="false">+AE282/AD282*100-100</f>
        <v>15.0651338299835</v>
      </c>
      <c r="AF284" s="49" t="n">
        <f aca="false">+AF282/AE282*100-100</f>
        <v>17.3606303377302</v>
      </c>
      <c r="AG284" s="49" t="n">
        <f aca="false">+AG282/AF282*100-100</f>
        <v>2.0610620692825</v>
      </c>
      <c r="AH284" s="49" t="n">
        <f aca="false">+AH282/AG282*100-100</f>
        <v>-1.21983795196024</v>
      </c>
      <c r="AI284" s="78" t="n">
        <v>4.83490196200567</v>
      </c>
      <c r="AJ284" s="78" t="n">
        <v>2</v>
      </c>
      <c r="AK284" s="78" t="n">
        <v>1.5</v>
      </c>
      <c r="AL284" s="78" t="n">
        <v>1.5</v>
      </c>
      <c r="AM284" s="36"/>
      <c r="AN284" s="36"/>
      <c r="AO284" s="36"/>
      <c r="AP284" s="36"/>
      <c r="AQ284" s="36"/>
      <c r="AR284" s="36"/>
      <c r="AS284" s="36"/>
      <c r="AT284" s="36"/>
      <c r="AU284" s="36"/>
      <c r="AV284" s="36"/>
      <c r="AW284" s="36"/>
      <c r="AX284" s="36"/>
      <c r="AY284" s="36"/>
    </row>
    <row r="285" customFormat="false" ht="15" hidden="false" customHeight="true" outlineLevel="0" collapsed="false">
      <c r="A285" s="29" t="s">
        <v>467</v>
      </c>
      <c r="B285" s="36"/>
      <c r="C285" s="49" t="n">
        <f aca="false">(100*C280)/B280-100</f>
        <v>22.756061070082</v>
      </c>
      <c r="D285" s="49" t="n">
        <f aca="false">(100*D280)/C280-100</f>
        <v>31.4697855989661</v>
      </c>
      <c r="E285" s="49" t="n">
        <f aca="false">(100*E280)/D280-100</f>
        <v>34.3850180042152</v>
      </c>
      <c r="F285" s="49" t="n">
        <f aca="false">(100*F280)/E280-100</f>
        <v>24.5422284158673</v>
      </c>
      <c r="G285" s="49" t="n">
        <f aca="false">(100*G280)/F280-100</f>
        <v>-23.6406356104293</v>
      </c>
      <c r="H285" s="49" t="n">
        <f aca="false">(100*H280)/G280-100</f>
        <v>5.17335177287097</v>
      </c>
      <c r="I285" s="49" t="n">
        <f aca="false">(100*I280)/H280-100</f>
        <v>34.0309208879894</v>
      </c>
      <c r="J285" s="49" t="n">
        <f aca="false">(100*J280)/I280-100</f>
        <v>-13.1712729125116</v>
      </c>
      <c r="K285" s="49" t="n">
        <f aca="false">(100*K280)/J280-100</f>
        <v>1.28085166045349</v>
      </c>
      <c r="L285" s="49" t="n">
        <f aca="false">(100*L280)/K280-100</f>
        <v>23.9829069059634</v>
      </c>
      <c r="M285" s="49" t="n">
        <f aca="false">(100*M280)/L280-100</f>
        <v>35.4039445983994</v>
      </c>
      <c r="N285" s="49" t="n">
        <f aca="false">(100*N280)/M280-100</f>
        <v>22.1676154539851</v>
      </c>
      <c r="O285" s="49" t="n">
        <f aca="false">(100*O280)/N280-100</f>
        <v>25.6823475373831</v>
      </c>
      <c r="P285" s="49" t="n">
        <f aca="false">(100*P280)/O280-100</f>
        <v>48.0896894497945</v>
      </c>
      <c r="Q285" s="49" t="n">
        <f aca="false">(100*Q280)/P280-100</f>
        <v>4.18801278754651</v>
      </c>
      <c r="R285" s="49" t="n">
        <f aca="false">(100*R280)/Q280-100</f>
        <v>-31.8720156590073</v>
      </c>
      <c r="S285" s="49" t="n">
        <f aca="false">(100*S280)/R280-100</f>
        <v>22.2136546180082</v>
      </c>
      <c r="T285" s="49" t="n">
        <f aca="false">(100*T280)/S280-100</f>
        <v>61.6034897387584</v>
      </c>
      <c r="U285" s="49" t="n">
        <f aca="false">(100*U280)/T280-100</f>
        <v>8.66966005364378</v>
      </c>
      <c r="V285" s="49" t="n">
        <f aca="false">(100*V280)/U280-100</f>
        <v>-12.8973942023053</v>
      </c>
      <c r="W285" s="49" t="n">
        <f aca="false">(100*W280)/V280-100</f>
        <v>-23.0679196866184</v>
      </c>
      <c r="X285" s="49" t="n">
        <f aca="false">(100*X280)/W280-100</f>
        <v>47.4712847264651</v>
      </c>
      <c r="Y285" s="49" t="n">
        <f aca="false">(100*Y280)/X280-100</f>
        <v>45.7817166985318</v>
      </c>
      <c r="Z285" s="49" t="n">
        <f aca="false">(100*Z280)/Y280-100</f>
        <v>4.04188573515582</v>
      </c>
      <c r="AA285" s="49" t="n">
        <f aca="false">(100*AA280)/Z280-100</f>
        <v>21.6666036631421</v>
      </c>
      <c r="AB285" s="49" t="n">
        <f aca="false">(100*AB280)/AA280-100</f>
        <v>17.1512195653051</v>
      </c>
      <c r="AC285" s="49" t="n">
        <f aca="false">(100*AC280)/AB280-100</f>
        <v>-43.3914788258788</v>
      </c>
      <c r="AD285" s="49" t="n">
        <f aca="false">(100*AD280)/AC280-100</f>
        <v>-14.2869507676758</v>
      </c>
      <c r="AE285" s="49" t="n">
        <f aca="false">(100*AE280)/AD280-100</f>
        <v>46.6102205616488</v>
      </c>
      <c r="AF285" s="49" t="n">
        <f aca="false">(100*AF280)/AE280-100</f>
        <v>75.781213113971</v>
      </c>
      <c r="AG285" s="49" t="n">
        <f aca="false">(100*AG280)/AF280-100</f>
        <v>3.37688273892002</v>
      </c>
      <c r="AH285" s="49" t="n">
        <f aca="false">(100*AH280)/AG280-100</f>
        <v>-1.01180814740773</v>
      </c>
      <c r="AI285" s="49" t="n">
        <f aca="false">(100*AI280)/AH280-100</f>
        <v>18.4537183999356</v>
      </c>
      <c r="AJ285" s="49" t="n">
        <f aca="false">(100*AJ280)/AI280-100</f>
        <v>9.84705507696079</v>
      </c>
      <c r="AK285" s="49" t="n">
        <f aca="false">(100*AK280)/AJ280-100</f>
        <v>8.68134291261626</v>
      </c>
      <c r="AL285" s="49" t="n">
        <f aca="false">(100*AL280)/AK280-100</f>
        <v>7.93519086972353</v>
      </c>
      <c r="AM285" s="36"/>
      <c r="AN285" s="36"/>
      <c r="AO285" s="36"/>
      <c r="AP285" s="36"/>
      <c r="AQ285" s="36"/>
      <c r="AR285" s="36"/>
      <c r="AS285" s="36"/>
      <c r="AT285" s="36"/>
      <c r="AU285" s="36"/>
      <c r="AV285" s="36"/>
      <c r="AW285" s="36"/>
      <c r="AX285" s="36"/>
      <c r="AY285" s="36"/>
    </row>
    <row r="286" customFormat="false" ht="15" hidden="false" customHeight="true" outlineLevel="0" collapsed="false">
      <c r="A286" s="29" t="s">
        <v>468</v>
      </c>
      <c r="B286" s="49" t="n">
        <f aca="false">+B280/B322*100</f>
        <v>82.0228466948887</v>
      </c>
      <c r="C286" s="49" t="n">
        <f aca="false">+C280/C322*100</f>
        <v>80.7494631299709</v>
      </c>
      <c r="D286" s="49" t="n">
        <f aca="false">+D280/D322*100</f>
        <v>83.6274166756637</v>
      </c>
      <c r="E286" s="49" t="n">
        <f aca="false">+E280/E322*100</f>
        <v>84.4271979001865</v>
      </c>
      <c r="F286" s="49" t="n">
        <f aca="false">+F280/F322*100</f>
        <v>85.5057670431631</v>
      </c>
      <c r="G286" s="49" t="n">
        <f aca="false">+G280/G322*100</f>
        <v>79.6539521117485</v>
      </c>
      <c r="H286" s="49" t="n">
        <f aca="false">+H280/H322*100</f>
        <v>82.2400483463994</v>
      </c>
      <c r="I286" s="49" t="n">
        <f aca="false">+I280/I322*100</f>
        <v>86.5480321738896</v>
      </c>
      <c r="J286" s="49" t="n">
        <f aca="false">+J280/J322*100</f>
        <v>75.3407026441867</v>
      </c>
      <c r="K286" s="49" t="n">
        <f aca="false">+K280/K322*100</f>
        <v>75.5423669605423</v>
      </c>
      <c r="L286" s="49" t="n">
        <f aca="false">+L280/L322*100</f>
        <v>80.8016270181763</v>
      </c>
      <c r="M286" s="49" t="n">
        <f aca="false">+M280/M322*100</f>
        <v>85.9339863517952</v>
      </c>
      <c r="N286" s="49" t="n">
        <f aca="false">+N280/N322*100</f>
        <v>85.4848072337795</v>
      </c>
      <c r="O286" s="49" t="n">
        <f aca="false">+O280/O322*100</f>
        <v>85.0976791161946</v>
      </c>
      <c r="P286" s="49" t="n">
        <f aca="false">+P280/P322*100</f>
        <v>91.7476901737389</v>
      </c>
      <c r="Q286" s="49" t="n">
        <f aca="false">+Q280/Q322*100</f>
        <v>88.7530272537464</v>
      </c>
      <c r="R286" s="49" t="n">
        <f aca="false">+R280/R322*100</f>
        <v>81.3606313756329</v>
      </c>
      <c r="S286" s="49" t="n">
        <f aca="false">+S280/S322*100</f>
        <v>83.9512840332555</v>
      </c>
      <c r="T286" s="49" t="n">
        <f aca="false">+T280/T322*100</f>
        <v>88.3259982728576</v>
      </c>
      <c r="U286" s="49" t="n">
        <f aca="false">+U280/U322*100</f>
        <v>83.8815238864641</v>
      </c>
      <c r="V286" s="49" t="n">
        <f aca="false">+V280/V322*100</f>
        <v>73.9772696989751</v>
      </c>
      <c r="W286" s="49" t="n">
        <f aca="false">+W280/W322*100</f>
        <v>72.7045795675981</v>
      </c>
      <c r="X286" s="49" t="n">
        <f aca="false">+X280/X322*100</f>
        <v>78.8832241127006</v>
      </c>
      <c r="Y286" s="49" t="n">
        <f aca="false">+Y280/Y322*100</f>
        <v>83.5382172428397</v>
      </c>
      <c r="Z286" s="49" t="n">
        <f aca="false">+Z280/Z322*100</f>
        <v>81.4825175328372</v>
      </c>
      <c r="AA286" s="49" t="n">
        <f aca="false">+AA280/AA322*100</f>
        <v>80.2277357448386</v>
      </c>
      <c r="AB286" s="49" t="n">
        <f aca="false">+AB280/AB322*100</f>
        <v>85.9525694464964</v>
      </c>
      <c r="AC286" s="49" t="n">
        <f aca="false">+AC280/AC322*100</f>
        <v>80.1042234541912</v>
      </c>
      <c r="AD286" s="49" t="n">
        <f aca="false">+AD280/AD322*100</f>
        <v>78.7230509737198</v>
      </c>
      <c r="AE286" s="49" t="n">
        <f aca="false">+AE280/AE322*100</f>
        <v>81.84647600014</v>
      </c>
      <c r="AF286" s="49" t="n">
        <f aca="false">+AF280/AF322*100</f>
        <v>86.1323490066598</v>
      </c>
      <c r="AG286" s="49" t="n">
        <f aca="false">+AG280/AG322*100</f>
        <v>83.7066670419407</v>
      </c>
      <c r="AH286" s="49" t="n">
        <f aca="false">+AH280/AH322*100</f>
        <v>81.8631786848326</v>
      </c>
      <c r="AI286" s="49" t="n">
        <f aca="false">+AI280/AI322*100</f>
        <v>85.4238317398514</v>
      </c>
      <c r="AJ286" s="49" t="n">
        <f aca="false">+AJ280/AJ322*100</f>
        <v>86.0620414745762</v>
      </c>
      <c r="AK286" s="49" t="n">
        <f aca="false">+AK280/AK322*100</f>
        <v>86.4983015084137</v>
      </c>
      <c r="AL286" s="49" t="n">
        <f aca="false">+AL280/AL322*100</f>
        <v>86.8442072010445</v>
      </c>
      <c r="AM286" s="36"/>
      <c r="AN286" s="36"/>
      <c r="AO286" s="36"/>
      <c r="AP286" s="36"/>
      <c r="AQ286" s="36"/>
      <c r="AR286" s="36"/>
      <c r="AS286" s="36"/>
      <c r="AT286" s="36"/>
      <c r="AU286" s="36"/>
      <c r="AV286" s="36"/>
      <c r="AW286" s="36"/>
      <c r="AX286" s="36"/>
      <c r="AY286" s="36"/>
    </row>
    <row r="287" customFormat="false" ht="15" hidden="false" customHeight="true" outlineLevel="0" collapsed="false">
      <c r="A287" s="70" t="s">
        <v>469</v>
      </c>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row>
    <row r="288" customFormat="false" ht="15" hidden="false" customHeight="true" outlineLevel="0" collapsed="false">
      <c r="A288" s="47" t="s">
        <v>470</v>
      </c>
      <c r="B288" s="30"/>
      <c r="C288" s="30"/>
      <c r="D288" s="30"/>
      <c r="E288" s="30"/>
      <c r="F288" s="30"/>
      <c r="G288" s="30"/>
      <c r="H288" s="30"/>
      <c r="I288" s="30"/>
      <c r="J288" s="30"/>
      <c r="K288" s="30"/>
      <c r="L288" s="30"/>
      <c r="M288" s="30"/>
      <c r="N288" s="30"/>
      <c r="O288" s="30"/>
      <c r="P288" s="30"/>
      <c r="Q288" s="30"/>
      <c r="R288" s="30"/>
      <c r="S288" s="30"/>
      <c r="T288" s="30"/>
      <c r="U288" s="35" t="n">
        <f aca="false">+U255</f>
        <v>3198</v>
      </c>
      <c r="V288" s="35" t="n">
        <f aca="false">+V255</f>
        <v>25140.24</v>
      </c>
      <c r="W288" s="35" t="n">
        <f aca="false">+W255</f>
        <v>20310</v>
      </c>
      <c r="X288" s="35" t="n">
        <f aca="false">+X255</f>
        <v>18310.5</v>
      </c>
      <c r="Y288" s="35" t="n">
        <f aca="false">+Y255</f>
        <v>20427.75</v>
      </c>
      <c r="Z288" s="35" t="n">
        <f aca="false">+Z255</f>
        <v>22847.25</v>
      </c>
      <c r="AA288" s="35" t="n">
        <f aca="false">+AA255</f>
        <v>29898.75</v>
      </c>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row>
    <row r="289" customFormat="false" ht="15" hidden="false" customHeight="true" outlineLevel="0" collapsed="false">
      <c r="A289" s="47" t="s">
        <v>418</v>
      </c>
      <c r="B289" s="30"/>
      <c r="C289" s="30"/>
      <c r="D289" s="30"/>
      <c r="E289" s="30"/>
      <c r="F289" s="30"/>
      <c r="G289" s="30"/>
      <c r="H289" s="30"/>
      <c r="I289" s="30"/>
      <c r="J289" s="30"/>
      <c r="K289" s="30"/>
      <c r="L289" s="30"/>
      <c r="M289" s="30"/>
      <c r="N289" s="30"/>
      <c r="O289" s="30"/>
      <c r="P289" s="30"/>
      <c r="Q289" s="30"/>
      <c r="R289" s="30"/>
      <c r="S289" s="30"/>
      <c r="T289" s="30"/>
      <c r="U289" s="34" t="n">
        <v>1634.806</v>
      </c>
      <c r="V289" s="34" t="n">
        <v>9151.714</v>
      </c>
      <c r="W289" s="34" t="n">
        <v>10396.068</v>
      </c>
      <c r="X289" s="34" t="n">
        <v>9894.125</v>
      </c>
      <c r="Y289" s="34" t="n">
        <v>11421.277</v>
      </c>
      <c r="Z289" s="34" t="n">
        <v>11166.079</v>
      </c>
      <c r="AA289" s="34" t="n">
        <v>14568.173</v>
      </c>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row>
    <row r="290" customFormat="false" ht="15" hidden="false" customHeight="true" outlineLevel="0" collapsed="false">
      <c r="A290" s="29" t="s">
        <v>244</v>
      </c>
      <c r="B290" s="30"/>
      <c r="C290" s="30"/>
      <c r="D290" s="30"/>
      <c r="E290" s="30"/>
      <c r="F290" s="30"/>
      <c r="G290" s="30"/>
      <c r="H290" s="30"/>
      <c r="I290" s="30"/>
      <c r="J290" s="30"/>
      <c r="K290" s="30"/>
      <c r="L290" s="30"/>
      <c r="M290" s="30"/>
      <c r="N290" s="30"/>
      <c r="O290" s="30"/>
      <c r="P290" s="30"/>
      <c r="Q290" s="30"/>
      <c r="R290" s="30"/>
      <c r="S290" s="30"/>
      <c r="T290" s="30"/>
      <c r="U290" s="31" t="n">
        <f aca="false">+U289/U288*1000000</f>
        <v>511196.372732958</v>
      </c>
      <c r="V290" s="31" t="n">
        <f aca="false">+V289/V288*1000000</f>
        <v>364026.516851072</v>
      </c>
      <c r="W290" s="31" t="n">
        <f aca="false">+W289/W288*1000000</f>
        <v>511869.423929099</v>
      </c>
      <c r="X290" s="31" t="n">
        <f aca="false">+X289/X288*1000000</f>
        <v>540352.529969143</v>
      </c>
      <c r="Y290" s="31" t="n">
        <f aca="false">+Y289/Y288*1000000</f>
        <v>559105.97104429</v>
      </c>
      <c r="Z290" s="31" t="n">
        <f aca="false">+Z289/Z288*1000000</f>
        <v>488727.483614002</v>
      </c>
      <c r="AA290" s="31" t="n">
        <f aca="false">+AA289/AA288*1000000</f>
        <v>487250.236213889</v>
      </c>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row>
    <row r="291" customFormat="false" ht="15" hidden="false" customHeight="true" outlineLevel="0" collapsed="false">
      <c r="A291" s="29" t="s">
        <v>243</v>
      </c>
      <c r="B291" s="56"/>
      <c r="C291" s="56"/>
      <c r="D291" s="56"/>
      <c r="E291" s="56"/>
      <c r="F291" s="56"/>
      <c r="G291" s="56"/>
      <c r="H291" s="56"/>
      <c r="I291" s="56"/>
      <c r="J291" s="56"/>
      <c r="K291" s="56"/>
      <c r="L291" s="56"/>
      <c r="M291" s="56"/>
      <c r="N291" s="56"/>
      <c r="O291" s="56"/>
      <c r="P291" s="56"/>
      <c r="Q291" s="56"/>
      <c r="R291" s="56"/>
      <c r="S291" s="56"/>
      <c r="T291" s="56"/>
      <c r="U291" s="56"/>
      <c r="V291" s="56"/>
      <c r="W291" s="56"/>
      <c r="X291" s="57" t="n">
        <f aca="false">+X290/W290-1</f>
        <v>0.0556452577718138</v>
      </c>
      <c r="Y291" s="57" t="n">
        <f aca="false">+Y290/X290-1</f>
        <v>0.0347059373927938</v>
      </c>
      <c r="Z291" s="57" t="n">
        <f aca="false">+Z290/Y290-1</f>
        <v>-0.125876830288249</v>
      </c>
      <c r="AA291" s="57" t="n">
        <f aca="false">+AA290/Z290-1</f>
        <v>-0.00302264032542077</v>
      </c>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row>
    <row r="292" customFormat="false" ht="15" hidden="false" customHeight="true" outlineLevel="0" collapsed="false">
      <c r="A292" s="29" t="s">
        <v>471</v>
      </c>
      <c r="B292" s="31" t="n">
        <f aca="false">+B280/B281*1000000</f>
        <v>387304.457731758</v>
      </c>
      <c r="C292" s="31" t="n">
        <f aca="false">+C280/C281*1000000</f>
        <v>403709.650788409</v>
      </c>
      <c r="D292" s="31" t="n">
        <f aca="false">+D280/D281*1000000</f>
        <v>422824.728707662</v>
      </c>
      <c r="E292" s="31" t="n">
        <f aca="false">+E280/E281*1000000</f>
        <v>462027.326933875</v>
      </c>
      <c r="F292" s="31" t="n">
        <f aca="false">+F280/F281*1000000</f>
        <v>496403.856800148</v>
      </c>
      <c r="G292" s="31" t="n">
        <f aca="false">+G280/G281*1000000</f>
        <v>520893.003328367</v>
      </c>
      <c r="H292" s="31" t="n">
        <f aca="false">+H280/H281*1000000</f>
        <v>581107.843660132</v>
      </c>
      <c r="I292" s="31" t="n">
        <f aca="false">+I280/I281*1000000</f>
        <v>611854.512797485</v>
      </c>
      <c r="J292" s="31" t="n">
        <f aca="false">+J280/J281*1000000</f>
        <v>619343.494996151</v>
      </c>
      <c r="K292" s="31" t="n">
        <f aca="false">+K280/K281*1000000</f>
        <v>686509.621541469</v>
      </c>
      <c r="L292" s="31" t="n">
        <f aca="false">+L280/L281*1000000</f>
        <v>693016.957523872</v>
      </c>
      <c r="M292" s="31" t="n">
        <f aca="false">+M280/M281*1000000</f>
        <v>702882.394047766</v>
      </c>
      <c r="N292" s="31" t="n">
        <f aca="false">+N280/N281*1000000</f>
        <v>763224.881256851</v>
      </c>
      <c r="O292" s="31" t="n">
        <f aca="false">+O280/O281*1000000</f>
        <v>851654.204849566</v>
      </c>
      <c r="P292" s="31" t="n">
        <f aca="false">+P280/P281*1000000</f>
        <v>935841.787919269</v>
      </c>
      <c r="Q292" s="31" t="n">
        <f aca="false">+Q280/Q281*1000000</f>
        <v>972483.525189355</v>
      </c>
      <c r="R292" s="31" t="n">
        <f aca="false">+R280/R281*1000000</f>
        <v>1014036.06400764</v>
      </c>
      <c r="S292" s="31" t="n">
        <f aca="false">+S280/S281*1000000</f>
        <v>1055217.32941213</v>
      </c>
      <c r="T292" s="31" t="n">
        <f aca="false">+T280/T281*1000000</f>
        <v>1158384.84262427</v>
      </c>
      <c r="U292" s="31" t="n">
        <f aca="false">+U280/U281*1000000</f>
        <v>1199103.61162847</v>
      </c>
      <c r="V292" s="31" t="n">
        <f aca="false">+V280/V281*1000000</f>
        <v>1153263.40136152</v>
      </c>
      <c r="W292" s="31" t="n">
        <f aca="false">+W280/W281*1000000</f>
        <v>1150000.72435424</v>
      </c>
      <c r="X292" s="31" t="n">
        <f aca="false">+X280/X281*1000000</f>
        <v>1351914.77223515</v>
      </c>
      <c r="Y292" s="31" t="n">
        <f aca="false">+Y280/Y281*1000000</f>
        <v>1421806.65962672</v>
      </c>
      <c r="Z292" s="31" t="n">
        <f aca="false">+Z280/Z281*1000000</f>
        <v>1452773.8501662</v>
      </c>
      <c r="AA292" s="31" t="n">
        <f aca="false">+AA280/AA281*1000000</f>
        <v>1490103.2631657</v>
      </c>
      <c r="AB292" s="31" t="n">
        <f aca="false">+AB280/AB281*1000000</f>
        <v>1282276.58259275</v>
      </c>
      <c r="AC292" s="31" t="n">
        <f aca="false">+AC280/AC281*1000000</f>
        <v>1143793.76142687</v>
      </c>
      <c r="AD292" s="31" t="n">
        <f aca="false">+AD280/AD281*1000000</f>
        <v>1219238.44511741</v>
      </c>
      <c r="AE292" s="31" t="n">
        <f aca="false">+AE280/AE281*1000000</f>
        <v>1402918.34858096</v>
      </c>
      <c r="AF292" s="31" t="n">
        <f aca="false">+AF280/AF281*1000000</f>
        <v>1646473.81701829</v>
      </c>
      <c r="AG292" s="31" t="n">
        <f aca="false">+AG280/AG281*1000000</f>
        <v>1680408.66434152</v>
      </c>
      <c r="AH292" s="31" t="n">
        <f aca="false">+AH280/AH281*1000000</f>
        <v>1659910.40170585</v>
      </c>
      <c r="AI292" s="31" t="n">
        <f aca="false">+AI280/AI281*1000000</f>
        <v>1740165.44228547</v>
      </c>
      <c r="AJ292" s="31" t="n">
        <f aca="false">+AJ280/AJ281*1000000</f>
        <v>1774968.75113117</v>
      </c>
      <c r="AK292" s="31" t="n">
        <f aca="false">+AK280/AK281*1000000</f>
        <v>1801593.28239814</v>
      </c>
      <c r="AL292" s="31" t="n">
        <f aca="false">+AL280/AL281*1000000</f>
        <v>1828617.18163411</v>
      </c>
      <c r="AM292" s="30"/>
      <c r="AN292" s="30"/>
      <c r="AO292" s="30"/>
      <c r="AP292" s="30"/>
      <c r="AQ292" s="30"/>
      <c r="AR292" s="30"/>
      <c r="AS292" s="30"/>
      <c r="AT292" s="30"/>
      <c r="AU292" s="30"/>
      <c r="AV292" s="30"/>
      <c r="AW292" s="30"/>
      <c r="AX292" s="30"/>
      <c r="AY292" s="30"/>
    </row>
    <row r="293" customFormat="false" ht="15" hidden="false" customHeight="true" outlineLevel="0" collapsed="false">
      <c r="A293" s="29"/>
      <c r="B293" s="57" t="e">
        <f aca="false">+B292/A292-1</f>
        <v>#VALUE!</v>
      </c>
      <c r="C293" s="57" t="n">
        <f aca="false">+C292/B292-1</f>
        <v>0.042357356671616</v>
      </c>
      <c r="D293" s="57" t="n">
        <f aca="false">+D292/C292-1</f>
        <v>0.0473485780731839</v>
      </c>
      <c r="E293" s="57" t="n">
        <f aca="false">+E292/D292-1</f>
        <v>0.0927159543057798</v>
      </c>
      <c r="F293" s="57" t="n">
        <f aca="false">+F292/E292-1</f>
        <v>0.0744036723853614</v>
      </c>
      <c r="G293" s="57" t="n">
        <f aca="false">+G292/F292-1</f>
        <v>0.0493331109191582</v>
      </c>
      <c r="H293" s="57" t="n">
        <f aca="false">+H292/G292-1</f>
        <v>0.115599249648217</v>
      </c>
      <c r="I293" s="57" t="n">
        <f aca="false">+I292/H292-1</f>
        <v>0.052910435597795</v>
      </c>
      <c r="J293" s="57" t="n">
        <f aca="false">+J292/I292-1</f>
        <v>0.0122398087160049</v>
      </c>
      <c r="K293" s="57" t="n">
        <f aca="false">+K292/J292-1</f>
        <v>0.108447294737043</v>
      </c>
      <c r="L293" s="57" t="n">
        <f aca="false">+L292/K292-1</f>
        <v>0.00947887076628606</v>
      </c>
      <c r="M293" s="57" t="n">
        <f aca="false">+M292/L292-1</f>
        <v>0.014235490801181</v>
      </c>
      <c r="N293" s="57" t="n">
        <f aca="false">+N292/M292-1</f>
        <v>0.0858500479170974</v>
      </c>
      <c r="O293" s="57" t="n">
        <f aca="false">+O292/N292-1</f>
        <v>0.115862736873952</v>
      </c>
      <c r="P293" s="57" t="n">
        <f aca="false">+P292/O292-1</f>
        <v>0.0988518375067187</v>
      </c>
      <c r="Q293" s="57" t="n">
        <f aca="false">+Q292/P292-1</f>
        <v>0.0391537733654261</v>
      </c>
      <c r="R293" s="57" t="n">
        <f aca="false">+R292/Q292-1</f>
        <v>0.0427282701886353</v>
      </c>
      <c r="S293" s="57" t="n">
        <f aca="false">+S292/R292-1</f>
        <v>0.0406112433927988</v>
      </c>
      <c r="T293" s="57" t="n">
        <f aca="false">+T292/S292-1</f>
        <v>0.0977689716957333</v>
      </c>
      <c r="U293" s="57" t="n">
        <f aca="false">+U292/T292-1</f>
        <v>0.035151330979047</v>
      </c>
      <c r="V293" s="57" t="n">
        <f aca="false">+V292/U292-1</f>
        <v>-0.0382287317146014</v>
      </c>
      <c r="W293" s="57" t="n">
        <f aca="false">+W292/V292-1</f>
        <v>-0.00282908224038614</v>
      </c>
      <c r="X293" s="57" t="n">
        <f aca="false">+X292/W292-1</f>
        <v>0.175577322348465</v>
      </c>
      <c r="Y293" s="57" t="n">
        <f aca="false">+Y292/X292-1</f>
        <v>0.0516984419631807</v>
      </c>
      <c r="Z293" s="57" t="n">
        <f aca="false">+Z292/Y292-1</f>
        <v>0.0217801698492623</v>
      </c>
      <c r="AA293" s="57" t="n">
        <f aca="false">+AA292/Z292-1</f>
        <v>0.0256952677082063</v>
      </c>
      <c r="AB293" s="57" t="n">
        <f aca="false">+AB292/AA292-1</f>
        <v>-0.139471327732971</v>
      </c>
      <c r="AC293" s="57" t="n">
        <f aca="false">+AC292/AB292-1</f>
        <v>-0.107997621609734</v>
      </c>
      <c r="AD293" s="57" t="n">
        <f aca="false">+AD292/AC292-1</f>
        <v>0.0659600412546593</v>
      </c>
      <c r="AE293" s="57" t="n">
        <f aca="false">+AE292/AD292-1</f>
        <v>0.150651338299835</v>
      </c>
      <c r="AF293" s="57" t="n">
        <f aca="false">+AF292/AE292-1</f>
        <v>0.173606303377302</v>
      </c>
      <c r="AG293" s="57" t="n">
        <f aca="false">+AG292/AF292-1</f>
        <v>0.0206106206928249</v>
      </c>
      <c r="AH293" s="57" t="n">
        <f aca="false">+AH292/AG292-1</f>
        <v>-0.0121983795196025</v>
      </c>
      <c r="AI293" s="57" t="n">
        <f aca="false">+AI292/AH292-1</f>
        <v>0.0483490196200567</v>
      </c>
      <c r="AJ293" s="57" t="n">
        <f aca="false">+AJ292/AI292-1</f>
        <v>0.02</v>
      </c>
      <c r="AK293" s="57" t="n">
        <f aca="false">+AK292/AJ292-1</f>
        <v>0.0149999999999999</v>
      </c>
      <c r="AL293" s="57" t="n">
        <f aca="false">+AL292/AK292-1</f>
        <v>0.0149999999999999</v>
      </c>
      <c r="AM293" s="56"/>
      <c r="AN293" s="56"/>
      <c r="AO293" s="56"/>
      <c r="AP293" s="56"/>
      <c r="AQ293" s="56"/>
      <c r="AR293" s="56"/>
      <c r="AS293" s="56"/>
      <c r="AT293" s="56"/>
      <c r="AU293" s="56"/>
      <c r="AV293" s="56"/>
      <c r="AW293" s="56"/>
      <c r="AX293" s="56"/>
      <c r="AY293" s="56"/>
    </row>
    <row r="294" customFormat="false" ht="15" hidden="false" customHeight="true" outlineLevel="0" collapsed="false">
      <c r="A294" s="70" t="s">
        <v>401</v>
      </c>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c r="AQ294" s="86"/>
      <c r="AR294" s="86"/>
      <c r="AS294" s="86"/>
      <c r="AT294" s="86"/>
      <c r="AU294" s="86"/>
      <c r="AV294" s="86"/>
      <c r="AW294" s="86"/>
      <c r="AX294" s="86"/>
      <c r="AY294" s="86"/>
    </row>
    <row r="295" customFormat="false" ht="15" hidden="false" customHeight="true" outlineLevel="0" collapsed="false">
      <c r="A295" s="47" t="s">
        <v>462</v>
      </c>
      <c r="B295" s="34" t="n">
        <v>480.66</v>
      </c>
      <c r="C295" s="34" t="n">
        <v>766.42</v>
      </c>
      <c r="D295" s="34" t="n">
        <v>718.24</v>
      </c>
      <c r="E295" s="34" t="n">
        <v>971.96</v>
      </c>
      <c r="F295" s="34" t="n">
        <v>1329.69</v>
      </c>
      <c r="G295" s="34" t="n">
        <v>1325.9</v>
      </c>
      <c r="H295" s="34" t="n">
        <v>1271.44</v>
      </c>
      <c r="I295" s="34" t="n">
        <v>1144.04</v>
      </c>
      <c r="J295" s="34" t="n">
        <v>1166.53</v>
      </c>
      <c r="K295" s="34" t="n">
        <v>892.51</v>
      </c>
      <c r="L295" s="34" t="n">
        <v>1084.81</v>
      </c>
      <c r="M295" s="34" t="n">
        <v>861.13</v>
      </c>
      <c r="N295" s="34" t="n">
        <v>1154.28</v>
      </c>
      <c r="O295" s="34" t="n">
        <v>1357.51</v>
      </c>
      <c r="P295" s="34" t="n">
        <v>1525.77</v>
      </c>
      <c r="Q295" s="34" t="n">
        <v>2354.17</v>
      </c>
      <c r="R295" s="34" t="n">
        <v>4422.779</v>
      </c>
      <c r="S295" s="34" t="n">
        <v>3687.974</v>
      </c>
      <c r="T295" s="34" t="n">
        <v>3558.146</v>
      </c>
      <c r="U295" s="34" t="n">
        <v>3492.1</v>
      </c>
      <c r="V295" s="34" t="n">
        <v>4835.163</v>
      </c>
      <c r="W295" s="34" t="n">
        <v>4178.39</v>
      </c>
      <c r="X295" s="34" t="n">
        <v>3631.547</v>
      </c>
      <c r="Y295" s="34" t="n">
        <v>4148.931</v>
      </c>
      <c r="Z295" s="34" t="n">
        <v>4069.68</v>
      </c>
      <c r="AA295" s="34" t="n">
        <v>4296.647</v>
      </c>
      <c r="AB295" s="34" t="n">
        <v>4680.4</v>
      </c>
      <c r="AC295" s="34" t="n">
        <v>4714.1</v>
      </c>
      <c r="AD295" s="34" t="n">
        <v>5372.7</v>
      </c>
      <c r="AE295" s="34" t="n">
        <v>5146.4</v>
      </c>
      <c r="AF295" s="34" t="n">
        <v>6338.4</v>
      </c>
      <c r="AG295" s="34" t="n">
        <v>10065.5</v>
      </c>
      <c r="AH295" s="34" t="n">
        <v>11901.7</v>
      </c>
      <c r="AI295" s="34" t="n">
        <v>1400</v>
      </c>
      <c r="AJ295" s="35" t="n">
        <f aca="false">AJ296*AJ297/1000000</f>
        <v>1421</v>
      </c>
      <c r="AK295" s="35" t="n">
        <f aca="false">AK296*AK297/1000000</f>
        <v>1442.315</v>
      </c>
      <c r="AL295" s="35" t="n">
        <f aca="false">AL296*AL297/1000000</f>
        <v>1463.949725</v>
      </c>
      <c r="AM295" s="30"/>
      <c r="AN295" s="30"/>
      <c r="AO295" s="30"/>
      <c r="AP295" s="30"/>
      <c r="AQ295" s="30"/>
      <c r="AR295" s="30"/>
      <c r="AS295" s="30"/>
      <c r="AT295" s="30"/>
      <c r="AU295" s="30"/>
      <c r="AV295" s="30"/>
      <c r="AW295" s="30"/>
      <c r="AX295" s="30"/>
      <c r="AY295" s="30"/>
    </row>
    <row r="296" customFormat="false" ht="15" hidden="false" customHeight="true" outlineLevel="0" collapsed="false">
      <c r="A296" s="47" t="s">
        <v>463</v>
      </c>
      <c r="B296" s="34" t="n">
        <v>4069</v>
      </c>
      <c r="C296" s="34" t="n">
        <v>5666</v>
      </c>
      <c r="D296" s="34" t="n">
        <v>5258</v>
      </c>
      <c r="E296" s="34" t="n">
        <v>6537</v>
      </c>
      <c r="F296" s="34" t="n">
        <v>8331</v>
      </c>
      <c r="G296" s="34" t="n">
        <v>7611</v>
      </c>
      <c r="H296" s="34" t="n">
        <v>7185</v>
      </c>
      <c r="I296" s="34" t="n">
        <v>6004</v>
      </c>
      <c r="J296" s="34" t="n">
        <v>6311</v>
      </c>
      <c r="K296" s="34" t="n">
        <v>5258</v>
      </c>
      <c r="L296" s="34" t="n">
        <v>5924</v>
      </c>
      <c r="M296" s="34" t="n">
        <v>5085</v>
      </c>
      <c r="N296" s="34" t="n">
        <v>6254</v>
      </c>
      <c r="O296" s="34" t="n">
        <v>7171</v>
      </c>
      <c r="P296" s="34" t="n">
        <v>8202</v>
      </c>
      <c r="Q296" s="34" t="n">
        <v>11757</v>
      </c>
      <c r="R296" s="34" t="n">
        <v>21447</v>
      </c>
      <c r="S296" s="34" t="n">
        <v>19050</v>
      </c>
      <c r="T296" s="34" t="n">
        <v>17377</v>
      </c>
      <c r="U296" s="34" t="n">
        <v>16170</v>
      </c>
      <c r="V296" s="34" t="n">
        <v>21757</v>
      </c>
      <c r="W296" s="34" t="n">
        <v>17441</v>
      </c>
      <c r="X296" s="34" t="n">
        <v>14023</v>
      </c>
      <c r="Y296" s="34" t="n">
        <v>15551</v>
      </c>
      <c r="Z296" s="34" t="n">
        <v>16491</v>
      </c>
      <c r="AA296" s="34" t="n">
        <v>18751</v>
      </c>
      <c r="AB296" s="34" t="n">
        <v>21859</v>
      </c>
      <c r="AC296" s="34" t="n">
        <v>20359</v>
      </c>
      <c r="AD296" s="34" t="n">
        <v>23923</v>
      </c>
      <c r="AE296" s="34" t="n">
        <v>20944</v>
      </c>
      <c r="AF296" s="34" t="n">
        <v>22925</v>
      </c>
      <c r="AG296" s="34" t="n">
        <v>32374</v>
      </c>
      <c r="AH296" s="34" t="n">
        <v>32930</v>
      </c>
      <c r="AI296" s="35" t="n">
        <f aca="false">AH296*(1+AI298/100)</f>
        <v>33522.74</v>
      </c>
      <c r="AJ296" s="35" t="n">
        <f aca="false">AI296*(1+AJ298/100)</f>
        <v>34025.5811</v>
      </c>
      <c r="AK296" s="35" t="n">
        <f aca="false">AJ296*(1+AK298/100)</f>
        <v>34535.9648165</v>
      </c>
      <c r="AL296" s="35" t="n">
        <f aca="false">AK296*(1+AL298/100)</f>
        <v>35054.0042887475</v>
      </c>
      <c r="AM296" s="30"/>
      <c r="AN296" s="30"/>
      <c r="AO296" s="30"/>
      <c r="AP296" s="30"/>
      <c r="AQ296" s="30"/>
      <c r="AR296" s="30"/>
      <c r="AS296" s="30"/>
      <c r="AT296" s="30"/>
      <c r="AU296" s="30"/>
      <c r="AV296" s="30"/>
      <c r="AW296" s="30"/>
      <c r="AX296" s="30"/>
      <c r="AY296" s="30"/>
    </row>
    <row r="297" customFormat="false" ht="15" hidden="false" customHeight="true" outlineLevel="0" collapsed="false">
      <c r="A297" s="47" t="s">
        <v>472</v>
      </c>
      <c r="B297" s="35" t="n">
        <f aca="false">+B295/B296*1000000</f>
        <v>118127.304005898</v>
      </c>
      <c r="C297" s="35" t="n">
        <f aca="false">+C295/C296*1000000</f>
        <v>135266.501941405</v>
      </c>
      <c r="D297" s="35" t="n">
        <f aca="false">+D295/D296*1000000</f>
        <v>136599.467478129</v>
      </c>
      <c r="E297" s="35" t="n">
        <f aca="false">+E295/E296*1000000</f>
        <v>148685.941563408</v>
      </c>
      <c r="F297" s="35" t="n">
        <f aca="false">+F295/F296*1000000</f>
        <v>159607.490097227</v>
      </c>
      <c r="G297" s="35" t="n">
        <f aca="false">+G295/G296*1000000</f>
        <v>174208.382604126</v>
      </c>
      <c r="H297" s="35" t="n">
        <f aca="false">+H295/H296*1000000</f>
        <v>176957.550452331</v>
      </c>
      <c r="I297" s="35" t="n">
        <f aca="false">+I295/I296*1000000</f>
        <v>190546.302465023</v>
      </c>
      <c r="J297" s="35" t="n">
        <f aca="false">+J295/J296*1000000</f>
        <v>184840.754238631</v>
      </c>
      <c r="K297" s="35" t="n">
        <f aca="false">+K295/K296*1000000</f>
        <v>169743.248383416</v>
      </c>
      <c r="L297" s="35" t="n">
        <f aca="false">+L295/L296*1000000</f>
        <v>183121.201890614</v>
      </c>
      <c r="M297" s="35" t="n">
        <f aca="false">+M295/M296*1000000</f>
        <v>169347.099311701</v>
      </c>
      <c r="N297" s="35" t="n">
        <f aca="false">+N295/N296*1000000</f>
        <v>184566.677326511</v>
      </c>
      <c r="O297" s="35" t="n">
        <f aca="false">+O295/O296*1000000</f>
        <v>189305.536187422</v>
      </c>
      <c r="P297" s="35" t="n">
        <f aca="false">+P295/P296*1000000</f>
        <v>186024.140453548</v>
      </c>
      <c r="Q297" s="35" t="n">
        <f aca="false">+Q295/Q296*1000000</f>
        <v>200235.60432083</v>
      </c>
      <c r="R297" s="35" t="n">
        <f aca="false">+R295/R296*1000000</f>
        <v>206219.004989043</v>
      </c>
      <c r="S297" s="35" t="n">
        <f aca="false">+S295/S296*1000000</f>
        <v>193594.435695538</v>
      </c>
      <c r="T297" s="35" t="n">
        <f aca="false">+T295/T296*1000000</f>
        <v>204761.811590033</v>
      </c>
      <c r="U297" s="35" t="n">
        <f aca="false">+U295/U296*1000000</f>
        <v>215961.657390229</v>
      </c>
      <c r="V297" s="35" t="n">
        <f aca="false">+V295/V296*1000000</f>
        <v>222234.820977157</v>
      </c>
      <c r="W297" s="35" t="n">
        <f aca="false">+W295/W296*1000000</f>
        <v>239572.845593716</v>
      </c>
      <c r="X297" s="35" t="n">
        <f aca="false">+X295/X296*1000000</f>
        <v>258970.762319047</v>
      </c>
      <c r="Y297" s="35" t="n">
        <f aca="false">+Y295/Y296*1000000</f>
        <v>266795.125715388</v>
      </c>
      <c r="Z297" s="35" t="n">
        <f aca="false">+Z295/Z296*1000000</f>
        <v>246781.881026014</v>
      </c>
      <c r="AA297" s="35" t="n">
        <f aca="false">+AA295/AA296*1000000</f>
        <v>229142.28574476</v>
      </c>
      <c r="AB297" s="35" t="n">
        <f aca="false">+AB295/AB296*1000000</f>
        <v>214117.754700581</v>
      </c>
      <c r="AC297" s="35" t="n">
        <f aca="false">+AC295/AC296*1000000</f>
        <v>231548.700820276</v>
      </c>
      <c r="AD297" s="35" t="n">
        <f aca="false">+AD295/AD296*1000000</f>
        <v>224583.037244493</v>
      </c>
      <c r="AE297" s="35" t="n">
        <f aca="false">+AE295/AE296*1000000</f>
        <v>245721.92513369</v>
      </c>
      <c r="AF297" s="35" t="n">
        <f aca="false">+AF295/AF296*1000000</f>
        <v>276484.187568157</v>
      </c>
      <c r="AG297" s="35" t="n">
        <f aca="false">+AG295/AG296*1000000</f>
        <v>310913.078396244</v>
      </c>
      <c r="AH297" s="35" t="n">
        <f aca="false">+AH295/AH296*1000000</f>
        <v>361424.233221986</v>
      </c>
      <c r="AI297" s="35" t="n">
        <f aca="false">+AI295/AI296*1000000</f>
        <v>41762.6960087391</v>
      </c>
      <c r="AJ297" s="35" t="n">
        <f aca="false">AI297*(1+AJ299/100)</f>
        <v>41762.6960087391</v>
      </c>
      <c r="AK297" s="35" t="n">
        <f aca="false">AJ297*(1+AK299/100)</f>
        <v>41762.6960087391</v>
      </c>
      <c r="AL297" s="35" t="n">
        <f aca="false">AK297*(1+AL299/100)</f>
        <v>41762.6960087391</v>
      </c>
      <c r="AM297" s="30"/>
      <c r="AN297" s="30"/>
      <c r="AO297" s="30"/>
      <c r="AP297" s="30"/>
      <c r="AQ297" s="30"/>
      <c r="AR297" s="30"/>
      <c r="AS297" s="30"/>
      <c r="AT297" s="30"/>
      <c r="AU297" s="30"/>
      <c r="AV297" s="30"/>
      <c r="AW297" s="30"/>
      <c r="AX297" s="30"/>
      <c r="AY297" s="30"/>
    </row>
    <row r="298" customFormat="false" ht="15" hidden="false" customHeight="true" outlineLevel="0" collapsed="false">
      <c r="A298" s="29" t="s">
        <v>465</v>
      </c>
      <c r="B298" s="36"/>
      <c r="C298" s="49" t="n">
        <f aca="false">+C296/B296*100-100</f>
        <v>39.2479724748095</v>
      </c>
      <c r="D298" s="49" t="n">
        <f aca="false">+D296/C296*100-100</f>
        <v>-7.20084715848924</v>
      </c>
      <c r="E298" s="49" t="n">
        <f aca="false">+E296/D296*100-100</f>
        <v>24.3248383415747</v>
      </c>
      <c r="F298" s="49" t="n">
        <f aca="false">+F296/E296*100-100</f>
        <v>27.4437815511703</v>
      </c>
      <c r="G298" s="49" t="n">
        <f aca="false">+G296/F296*100-100</f>
        <v>-8.64241987756572</v>
      </c>
      <c r="H298" s="49" t="n">
        <f aca="false">+H296/G296*100-100</f>
        <v>-5.597162002365</v>
      </c>
      <c r="I298" s="49" t="n">
        <f aca="false">+I296/H296*100-100</f>
        <v>-16.437021572721</v>
      </c>
      <c r="J298" s="49" t="n">
        <f aca="false">+J296/I296*100-100</f>
        <v>5.11325782811458</v>
      </c>
      <c r="K298" s="49" t="n">
        <f aca="false">+K296/J296*100-100</f>
        <v>-16.6851529076216</v>
      </c>
      <c r="L298" s="49" t="n">
        <f aca="false">+L296/K296*100-100</f>
        <v>12.6664130848231</v>
      </c>
      <c r="M298" s="49" t="n">
        <f aca="false">+M296/L296*100-100</f>
        <v>-14.1627278865631</v>
      </c>
      <c r="N298" s="49" t="n">
        <f aca="false">+N296/M296*100-100</f>
        <v>22.9891838741396</v>
      </c>
      <c r="O298" s="49" t="n">
        <f aca="false">+O296/N296*100-100</f>
        <v>14.6626159258075</v>
      </c>
      <c r="P298" s="49" t="n">
        <f aca="false">+P296/O296*100-100</f>
        <v>14.3773532282806</v>
      </c>
      <c r="Q298" s="49" t="n">
        <f aca="false">+Q296/P296*100-100</f>
        <v>43.3430870519385</v>
      </c>
      <c r="R298" s="49" t="n">
        <f aca="false">+R296/Q296*100-100</f>
        <v>82.4189844348048</v>
      </c>
      <c r="S298" s="49" t="n">
        <f aca="false">+S296/R296*100-100</f>
        <v>-11.1763883060568</v>
      </c>
      <c r="T298" s="49" t="n">
        <f aca="false">+T296/S296*100-100</f>
        <v>-8.78215223097114</v>
      </c>
      <c r="U298" s="49" t="n">
        <f aca="false">+U296/T296*100-100</f>
        <v>-6.94596305461242</v>
      </c>
      <c r="V298" s="49" t="n">
        <f aca="false">+V296/U296*100-100</f>
        <v>34.5516388373531</v>
      </c>
      <c r="W298" s="49" t="n">
        <f aca="false">+W296/V296*100-100</f>
        <v>-19.837293744542</v>
      </c>
      <c r="X298" s="49" t="n">
        <f aca="false">+X296/W296*100-100</f>
        <v>-19.5975001433404</v>
      </c>
      <c r="Y298" s="49" t="n">
        <f aca="false">+Y296/X296*100-100</f>
        <v>10.8963845111602</v>
      </c>
      <c r="Z298" s="49" t="n">
        <f aca="false">+Z296/Y296*100-100</f>
        <v>6.04462735515401</v>
      </c>
      <c r="AA298" s="49" t="n">
        <f aca="false">+AA296/Z296*100-100</f>
        <v>13.7044448487054</v>
      </c>
      <c r="AB298" s="49" t="n">
        <f aca="false">+AB296/AA296*100-100</f>
        <v>16.5751159938137</v>
      </c>
      <c r="AC298" s="49" t="n">
        <f aca="false">+AC296/AB296*100-100</f>
        <v>-6.8621620385196</v>
      </c>
      <c r="AD298" s="49" t="n">
        <f aca="false">+AD296/AC296*100-100</f>
        <v>17.5057714033106</v>
      </c>
      <c r="AE298" s="49" t="n">
        <f aca="false">+AE296/AD296*100-100</f>
        <v>-12.4524516156</v>
      </c>
      <c r="AF298" s="49" t="n">
        <f aca="false">+AF296/AE296*100-100</f>
        <v>9.45855614973262</v>
      </c>
      <c r="AG298" s="49" t="n">
        <f aca="false">+AG296/AF296*100-100</f>
        <v>41.2170119956379</v>
      </c>
      <c r="AH298" s="49" t="n">
        <f aca="false">+AH296/AG296*100-100</f>
        <v>1.7174275653302</v>
      </c>
      <c r="AI298" s="78" t="n">
        <v>1.8</v>
      </c>
      <c r="AJ298" s="78" t="n">
        <v>1.5</v>
      </c>
      <c r="AK298" s="78" t="n">
        <v>1.5</v>
      </c>
      <c r="AL298" s="78" t="n">
        <v>1.5</v>
      </c>
      <c r="AM298" s="36"/>
      <c r="AN298" s="36"/>
      <c r="AO298" s="36"/>
      <c r="AP298" s="36"/>
      <c r="AQ298" s="36"/>
      <c r="AR298" s="36"/>
      <c r="AS298" s="36"/>
      <c r="AT298" s="36"/>
      <c r="AU298" s="36"/>
      <c r="AV298" s="36"/>
      <c r="AW298" s="36"/>
      <c r="AX298" s="36"/>
      <c r="AY298" s="36"/>
    </row>
    <row r="299" customFormat="false" ht="15" hidden="false" customHeight="true" outlineLevel="0" collapsed="false">
      <c r="A299" s="29" t="s">
        <v>466</v>
      </c>
      <c r="B299" s="36"/>
      <c r="C299" s="49" t="n">
        <f aca="false">+C297/B297*100-100</f>
        <v>14.5090909165681</v>
      </c>
      <c r="D299" s="49" t="n">
        <f aca="false">+D297/C297*100-100</f>
        <v>0.985436540157679</v>
      </c>
      <c r="E299" s="49" t="n">
        <f aca="false">+E297/D297*100-100</f>
        <v>8.84811215476734</v>
      </c>
      <c r="F299" s="49" t="n">
        <f aca="false">+F297/E297*100-100</f>
        <v>7.34538075286784</v>
      </c>
      <c r="G299" s="49" t="n">
        <f aca="false">+G297/F297*100-100</f>
        <v>9.14799956944631</v>
      </c>
      <c r="H299" s="49" t="n">
        <f aca="false">+H297/G297*100-100</f>
        <v>1.57809159760865</v>
      </c>
      <c r="I299" s="49" t="n">
        <f aca="false">+I297/H297*100-100</f>
        <v>7.67910268759771</v>
      </c>
      <c r="J299" s="49" t="n">
        <f aca="false">+J297/I297*100-100</f>
        <v>-2.99431064921329</v>
      </c>
      <c r="K299" s="49" t="n">
        <f aca="false">+K297/J297*100-100</f>
        <v>-8.16784475772275</v>
      </c>
      <c r="L299" s="49" t="n">
        <f aca="false">+L297/K297*100-100</f>
        <v>7.88128755317597</v>
      </c>
      <c r="M299" s="49" t="n">
        <f aca="false">+M297/L297*100-100</f>
        <v>-7.52185024819856</v>
      </c>
      <c r="N299" s="49" t="n">
        <f aca="false">+N297/M297*100-100</f>
        <v>8.98720915602856</v>
      </c>
      <c r="O299" s="49" t="n">
        <f aca="false">+O297/N297*100-100</f>
        <v>2.56755928510712</v>
      </c>
      <c r="P299" s="49" t="n">
        <f aca="false">+P297/O297*100-100</f>
        <v>-1.73338603823233</v>
      </c>
      <c r="Q299" s="49" t="n">
        <f aca="false">+Q297/P297*100-100</f>
        <v>7.63958045049048</v>
      </c>
      <c r="R299" s="49" t="n">
        <f aca="false">+R297/Q297*100-100</f>
        <v>2.98818019328154</v>
      </c>
      <c r="S299" s="49" t="n">
        <f aca="false">+S297/R297*100-100</f>
        <v>-6.1219232893571</v>
      </c>
      <c r="T299" s="49" t="n">
        <f aca="false">+T297/S297*100-100</f>
        <v>5.76843846486241</v>
      </c>
      <c r="U299" s="49" t="n">
        <f aca="false">+U297/T297*100-100</f>
        <v>5.46969462382954</v>
      </c>
      <c r="V299" s="49" t="n">
        <f aca="false">+V297/U297*100-100</f>
        <v>2.9047580310021</v>
      </c>
      <c r="W299" s="49" t="n">
        <f aca="false">+W297/V297*100-100</f>
        <v>7.80166876654374</v>
      </c>
      <c r="X299" s="49" t="n">
        <f aca="false">+X297/W297*100-100</f>
        <v>8.09687620366944</v>
      </c>
      <c r="Y299" s="49" t="n">
        <f aca="false">+Y297/X297*100-100</f>
        <v>3.02133079667939</v>
      </c>
      <c r="Z299" s="49" t="n">
        <f aca="false">+Z297/Y297*100-100</f>
        <v>-7.50135319590645</v>
      </c>
      <c r="AA299" s="37" t="n">
        <v>2.5</v>
      </c>
      <c r="AB299" s="37" t="n">
        <v>2.5</v>
      </c>
      <c r="AC299" s="37" t="n">
        <v>2.5</v>
      </c>
      <c r="AD299" s="37" t="n">
        <v>2.5</v>
      </c>
      <c r="AE299" s="37" t="n">
        <v>2.5</v>
      </c>
      <c r="AF299" s="37" t="n">
        <v>2.5</v>
      </c>
      <c r="AG299" s="37" t="n">
        <v>2.5</v>
      </c>
      <c r="AH299" s="37" t="n">
        <v>2.5</v>
      </c>
      <c r="AI299" s="37" t="n">
        <v>0</v>
      </c>
      <c r="AJ299" s="37" t="n">
        <v>0</v>
      </c>
      <c r="AK299" s="37" t="n">
        <v>0</v>
      </c>
      <c r="AL299" s="37" t="n">
        <v>0</v>
      </c>
      <c r="AM299" s="36"/>
      <c r="AN299" s="36"/>
      <c r="AO299" s="36"/>
      <c r="AP299" s="36"/>
      <c r="AQ299" s="36"/>
      <c r="AR299" s="36"/>
      <c r="AS299" s="36"/>
      <c r="AT299" s="36"/>
      <c r="AU299" s="36"/>
      <c r="AV299" s="36"/>
      <c r="AW299" s="36"/>
      <c r="AX299" s="36"/>
      <c r="AY299" s="36"/>
    </row>
    <row r="300" customFormat="false" ht="15" hidden="false" customHeight="true" outlineLevel="0" collapsed="false">
      <c r="A300" s="29" t="s">
        <v>467</v>
      </c>
      <c r="B300" s="36"/>
      <c r="C300" s="49" t="n">
        <f aca="false">(100*C295)/B295-100</f>
        <v>59.4515874006574</v>
      </c>
      <c r="D300" s="49" t="n">
        <f aca="false">(100*D295)/C295-100</f>
        <v>-6.28637039743221</v>
      </c>
      <c r="E300" s="49" t="n">
        <f aca="false">(100*E295)/D295-100</f>
        <v>35.3252394742704</v>
      </c>
      <c r="F300" s="49" t="n">
        <f aca="false">(100*F295)/E295-100</f>
        <v>36.8050125519569</v>
      </c>
      <c r="G300" s="49" t="n">
        <f aca="false">(100*G295)/F295-100</f>
        <v>-0.285028841308886</v>
      </c>
      <c r="H300" s="49" t="n">
        <f aca="false">(100*H295)/G295-100</f>
        <v>-4.10739874802022</v>
      </c>
      <c r="I300" s="49" t="n">
        <f aca="false">(100*I295)/H295-100</f>
        <v>-10.0201346504751</v>
      </c>
      <c r="J300" s="49" t="n">
        <f aca="false">(100*J295)/I295-100</f>
        <v>1.96584035523233</v>
      </c>
      <c r="K300" s="49" t="n">
        <f aca="false">(100*K295)/J295-100</f>
        <v>-23.4901802782612</v>
      </c>
      <c r="L300" s="49" t="n">
        <f aca="false">(100*L295)/K295-100</f>
        <v>21.5459770758871</v>
      </c>
      <c r="M300" s="49" t="n">
        <f aca="false">(100*M295)/L295-100</f>
        <v>-20.6192789520746</v>
      </c>
      <c r="N300" s="49" t="n">
        <f aca="false">(100*N295)/M295-100</f>
        <v>34.0424790682011</v>
      </c>
      <c r="O300" s="49" t="n">
        <f aca="false">(100*O295)/N295-100</f>
        <v>17.6066465675573</v>
      </c>
      <c r="P300" s="49" t="n">
        <f aca="false">(100*P295)/O295-100</f>
        <v>12.3947521565219</v>
      </c>
      <c r="Q300" s="49" t="n">
        <f aca="false">(100*Q295)/P295-100</f>
        <v>54.293897507488</v>
      </c>
      <c r="R300" s="49" t="n">
        <f aca="false">(100*R295)/Q295-100</f>
        <v>87.8699923964709</v>
      </c>
      <c r="S300" s="49" t="n">
        <f aca="false">(100*S295)/R295-100</f>
        <v>-16.6141016767964</v>
      </c>
      <c r="T300" s="49" t="n">
        <f aca="false">(100*T295)/S295-100</f>
        <v>-3.52030681344283</v>
      </c>
      <c r="U300" s="49" t="n">
        <f aca="false">(100*U295)/T295-100</f>
        <v>-1.8561913985542</v>
      </c>
      <c r="V300" s="49" t="n">
        <f aca="false">(100*V295)/U295-100</f>
        <v>38.4600383723261</v>
      </c>
      <c r="W300" s="49" t="n">
        <f aca="false">(100*W295)/V295-100</f>
        <v>-13.5832649281937</v>
      </c>
      <c r="X300" s="49" t="n">
        <f aca="false">(100*X295)/W295-100</f>
        <v>-13.0874092652912</v>
      </c>
      <c r="Y300" s="49" t="n">
        <f aca="false">(100*Y295)/X295-100</f>
        <v>14.2469311287999</v>
      </c>
      <c r="Z300" s="49" t="n">
        <f aca="false">(100*Z295)/Y295-100</f>
        <v>-1.91015468803892</v>
      </c>
      <c r="AA300" s="49" t="n">
        <f aca="false">(100*AA295)/Z295-100</f>
        <v>5.57702325489966</v>
      </c>
      <c r="AB300" s="49" t="n">
        <f aca="false">(100*AB295)/AA295-100</f>
        <v>8.93145282821696</v>
      </c>
      <c r="AC300" s="49" t="n">
        <f aca="false">(100*AC295)/AB295-100</f>
        <v>0.720023929578687</v>
      </c>
      <c r="AD300" s="49" t="n">
        <f aca="false">(100*AD295)/AC295-100</f>
        <v>13.970853397255</v>
      </c>
      <c r="AE300" s="49" t="n">
        <f aca="false">(100*AE295)/AD295-100</f>
        <v>-4.21203491726693</v>
      </c>
      <c r="AF300" s="49" t="n">
        <f aca="false">(100*AF295)/AE295-100</f>
        <v>23.1618218560547</v>
      </c>
      <c r="AG300" s="49" t="n">
        <f aca="false">(100*AG295)/AF295-100</f>
        <v>58.8019058437461</v>
      </c>
      <c r="AH300" s="49" t="n">
        <f aca="false">(100*AH295)/AG295-100</f>
        <v>18.2425115493517</v>
      </c>
      <c r="AI300" s="49" t="n">
        <f aca="false">(100*AI295)/AH295-100</f>
        <v>-88.2369745498542</v>
      </c>
      <c r="AJ300" s="49" t="n">
        <f aca="false">(100*AJ295)/AI295-100</f>
        <v>1.49999999999999</v>
      </c>
      <c r="AK300" s="49" t="n">
        <f aca="false">(100*AK295)/AJ295-100</f>
        <v>1.5</v>
      </c>
      <c r="AL300" s="49" t="n">
        <f aca="false">(100*AL295)/AK295-100</f>
        <v>1.49999999999997</v>
      </c>
      <c r="AM300" s="36"/>
      <c r="AN300" s="36"/>
      <c r="AO300" s="36"/>
      <c r="AP300" s="36"/>
      <c r="AQ300" s="36"/>
      <c r="AR300" s="36"/>
      <c r="AS300" s="36"/>
      <c r="AT300" s="36"/>
      <c r="AU300" s="36"/>
      <c r="AV300" s="36"/>
      <c r="AW300" s="36"/>
      <c r="AX300" s="36"/>
      <c r="AY300" s="36"/>
    </row>
    <row r="301" customFormat="false" ht="15" hidden="false" customHeight="true" outlineLevel="0" collapsed="false">
      <c r="A301" s="29" t="s">
        <v>468</v>
      </c>
      <c r="B301" s="59" t="n">
        <f aca="false">+B295/B322*100</f>
        <v>4.94840139023868</v>
      </c>
      <c r="C301" s="59" t="n">
        <f aca="false">+C295/C322*100</f>
        <v>6.32784202604552</v>
      </c>
      <c r="D301" s="59" t="n">
        <f aca="false">+D295/D322*100</f>
        <v>4.67133991438305</v>
      </c>
      <c r="E301" s="59" t="n">
        <f aca="false">+E295/E322*100</f>
        <v>4.74901033782879</v>
      </c>
      <c r="F301" s="59" t="n">
        <f aca="false">+F295/F322*100</f>
        <v>5.28325441701589</v>
      </c>
      <c r="G301" s="59" t="n">
        <f aca="false">+G295/G322*100</f>
        <v>6.42704749738115</v>
      </c>
      <c r="H301" s="59" t="n">
        <f aca="false">+H295/H322*100</f>
        <v>6.05016087626874</v>
      </c>
      <c r="I301" s="59" t="n">
        <f aca="false">+I295/I322*100</f>
        <v>4.27445846298239</v>
      </c>
      <c r="J301" s="59" t="n">
        <f aca="false">+J295/J322*100</f>
        <v>4.36963174672146</v>
      </c>
      <c r="K301" s="59" t="n">
        <f aca="false">+K295/K322*100</f>
        <v>3.30975307479105</v>
      </c>
      <c r="L301" s="59" t="n">
        <f aca="false">+L295/L322*100</f>
        <v>3.47059459618558</v>
      </c>
      <c r="M301" s="59" t="n">
        <f aca="false">+M295/M322*100</f>
        <v>2.16387645804033</v>
      </c>
      <c r="N301" s="59" t="n">
        <f aca="false">+N295/N322*100</f>
        <v>2.36179823882055</v>
      </c>
      <c r="O301" s="59" t="n">
        <f aca="false">+O295/O322*100</f>
        <v>2.20003280172073</v>
      </c>
      <c r="P301" s="59" t="n">
        <f aca="false">+P295/P322*100</f>
        <v>1.80022915675811</v>
      </c>
      <c r="Q301" s="59" t="n">
        <f aca="false">+Q295/Q322*100</f>
        <v>2.5789731585966</v>
      </c>
      <c r="R301" s="59" t="n">
        <f aca="false">+R295/R322*100</f>
        <v>6.51943312679028</v>
      </c>
      <c r="S301" s="59" t="n">
        <f aca="false">+S295/S322*100</f>
        <v>4.58982099708814</v>
      </c>
      <c r="T301" s="59" t="n">
        <f aca="false">+T295/T322*100</f>
        <v>2.88298338000731</v>
      </c>
      <c r="U301" s="59" t="n">
        <f aca="false">+U295/U322*100</f>
        <v>2.47271745629691</v>
      </c>
      <c r="V301" s="59" t="n">
        <f aca="false">+V295/V322*100</f>
        <v>3.46656846177024</v>
      </c>
      <c r="W301" s="59" t="n">
        <f aca="false">+W295/W322*100</f>
        <v>3.82695740194399</v>
      </c>
      <c r="X301" s="59" t="n">
        <f aca="false">+X295/X322*100</f>
        <v>2.4471001608347</v>
      </c>
      <c r="Y301" s="59" t="n">
        <f aca="false">+Y295/Y322*100</f>
        <v>2.03092449950058</v>
      </c>
      <c r="Z301" s="59" t="n">
        <f aca="false">+Z295/Z322*100</f>
        <v>1.86762143187651</v>
      </c>
      <c r="AA301" s="59" t="n">
        <f aca="false">+AA295/AA322*100</f>
        <v>1.59568430608916</v>
      </c>
      <c r="AB301" s="59" t="n">
        <f aca="false">+AB295/AB322*100</f>
        <v>1.58959974378386</v>
      </c>
      <c r="AC301" s="59" t="n">
        <f aca="false">+AC295/AC322*100</f>
        <v>2.63583575859746</v>
      </c>
      <c r="AD301" s="59" t="n">
        <f aca="false">+AD295/AD322*100</f>
        <v>3.44438510798843</v>
      </c>
      <c r="AE301" s="59" t="n">
        <f aca="false">+AE295/AE322*100</f>
        <v>2.33968004429862</v>
      </c>
      <c r="AF301" s="59" t="n">
        <f aca="false">+AF295/AF322*100</f>
        <v>1.72514826003186</v>
      </c>
      <c r="AG301" s="59" t="n">
        <f aca="false">+AG295/AG322*100</f>
        <v>2.5754460750386</v>
      </c>
      <c r="AH301" s="59" t="n">
        <f aca="false">+AH295/AH322*100</f>
        <v>3.0086472349299</v>
      </c>
      <c r="AI301" s="59" t="n">
        <f aca="false">+AI295/AI322*100</f>
        <v>0.311768369735472</v>
      </c>
      <c r="AJ301" s="59" t="n">
        <f aca="false">+AJ295/AJ322*100</f>
        <v>0.290229979831671</v>
      </c>
      <c r="AK301" s="59" t="n">
        <f aca="false">+AK295/AK322*100</f>
        <v>0.272426439090979</v>
      </c>
      <c r="AL301" s="59" t="n">
        <f aca="false">+AL295/AL322*100</f>
        <v>0.257208612895568</v>
      </c>
      <c r="AM301" s="43"/>
      <c r="AN301" s="43"/>
      <c r="AO301" s="43"/>
      <c r="AP301" s="43"/>
      <c r="AQ301" s="43"/>
      <c r="AR301" s="43"/>
      <c r="AS301" s="43"/>
      <c r="AT301" s="43"/>
      <c r="AU301" s="43"/>
      <c r="AV301" s="43"/>
      <c r="AW301" s="43"/>
      <c r="AX301" s="43"/>
      <c r="AY301" s="43"/>
    </row>
    <row r="302" customFormat="false" ht="15" hidden="false" customHeight="true" outlineLevel="0" collapsed="false">
      <c r="A302" s="70" t="s">
        <v>473</v>
      </c>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c r="AQ302" s="86"/>
      <c r="AR302" s="86"/>
      <c r="AS302" s="86"/>
      <c r="AT302" s="86"/>
      <c r="AU302" s="86"/>
      <c r="AV302" s="86"/>
      <c r="AW302" s="86"/>
      <c r="AX302" s="86"/>
      <c r="AY302" s="86"/>
    </row>
    <row r="303" customFormat="false" ht="15" hidden="false" customHeight="true" outlineLevel="0" collapsed="false">
      <c r="A303" s="47" t="s">
        <v>462</v>
      </c>
      <c r="B303" s="34" t="n">
        <v>150.4</v>
      </c>
      <c r="C303" s="34" t="n">
        <v>154.7</v>
      </c>
      <c r="D303" s="34" t="n">
        <v>202.77</v>
      </c>
      <c r="E303" s="34" t="n">
        <v>253.13</v>
      </c>
      <c r="F303" s="34" t="n">
        <v>288.21</v>
      </c>
      <c r="G303" s="34" t="n">
        <v>351.13</v>
      </c>
      <c r="H303" s="34" t="n">
        <v>315.55</v>
      </c>
      <c r="I303" s="34" t="n">
        <v>311.59</v>
      </c>
      <c r="J303" s="34" t="n">
        <v>277.65</v>
      </c>
      <c r="K303" s="34" t="n">
        <v>211.14</v>
      </c>
      <c r="L303" s="34" t="n">
        <v>144.96</v>
      </c>
      <c r="M303" s="34" t="n">
        <v>268.65</v>
      </c>
      <c r="N303" s="34" t="n">
        <v>479.71</v>
      </c>
      <c r="O303" s="30"/>
      <c r="P303" s="30"/>
      <c r="Q303" s="30"/>
      <c r="R303" s="30"/>
      <c r="S303" s="30"/>
      <c r="T303" s="30"/>
      <c r="U303" s="30"/>
      <c r="V303" s="30"/>
      <c r="W303" s="30"/>
      <c r="X303" s="30"/>
      <c r="Y303" s="30"/>
      <c r="Z303" s="62" t="n">
        <v>2390.438</v>
      </c>
      <c r="AA303" s="62" t="n">
        <v>5125.42</v>
      </c>
      <c r="AB303" s="62" t="n">
        <v>5163.8</v>
      </c>
      <c r="AC303" s="62" t="n">
        <v>3964.3</v>
      </c>
      <c r="AD303" s="62" t="n">
        <v>3575.8</v>
      </c>
      <c r="AE303" s="62" t="n">
        <v>4690.2</v>
      </c>
      <c r="AF303" s="62" t="n">
        <v>6093.3</v>
      </c>
      <c r="AG303" s="62" t="n">
        <v>5087.7</v>
      </c>
      <c r="AH303" s="62" t="n">
        <v>5722.4</v>
      </c>
      <c r="AI303" s="32" t="n">
        <f aca="false">+AH303*1.03</f>
        <v>5894.072</v>
      </c>
      <c r="AJ303" s="32" t="n">
        <f aca="false">+AI303*1.03</f>
        <v>6070.89416</v>
      </c>
      <c r="AK303" s="32" t="n">
        <f aca="false">+AJ303*1.03</f>
        <v>6253.0209848</v>
      </c>
      <c r="AL303" s="32" t="n">
        <f aca="false">+AK303*1.03</f>
        <v>6440.611614344</v>
      </c>
      <c r="AM303" s="30"/>
      <c r="AN303" s="30"/>
      <c r="AO303" s="30"/>
      <c r="AP303" s="30"/>
      <c r="AQ303" s="30"/>
      <c r="AR303" s="30"/>
      <c r="AS303" s="30"/>
      <c r="AT303" s="30"/>
      <c r="AU303" s="30"/>
      <c r="AV303" s="30"/>
      <c r="AW303" s="30"/>
      <c r="AX303" s="30"/>
      <c r="AY303" s="30"/>
    </row>
    <row r="304" customFormat="false" ht="15" hidden="false" customHeight="true" outlineLevel="0" collapsed="false">
      <c r="A304" s="47" t="s">
        <v>463</v>
      </c>
      <c r="B304" s="34" t="n">
        <v>5827</v>
      </c>
      <c r="C304" s="34" t="n">
        <v>5636</v>
      </c>
      <c r="D304" s="34" t="n">
        <v>6155</v>
      </c>
      <c r="E304" s="34" t="n">
        <v>6654</v>
      </c>
      <c r="F304" s="34" t="n">
        <v>7528</v>
      </c>
      <c r="G304" s="34" t="n">
        <v>9010</v>
      </c>
      <c r="H304" s="34" t="n">
        <v>8247</v>
      </c>
      <c r="I304" s="34" t="n">
        <v>8398</v>
      </c>
      <c r="J304" s="34" t="n">
        <v>7570</v>
      </c>
      <c r="K304" s="34" t="n">
        <v>5795</v>
      </c>
      <c r="L304" s="34" t="n">
        <v>3997</v>
      </c>
      <c r="M304" s="34" t="n">
        <v>6598</v>
      </c>
      <c r="N304" s="34" t="n">
        <v>10037</v>
      </c>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row>
    <row r="305" customFormat="false" ht="15" hidden="false" customHeight="true" outlineLevel="0" collapsed="false">
      <c r="A305" s="47" t="s">
        <v>474</v>
      </c>
      <c r="B305" s="35" t="n">
        <f aca="false">+B303/B304*1000000</f>
        <v>25810.8803844174</v>
      </c>
      <c r="C305" s="35" t="n">
        <f aca="false">+C303/C304*1000000</f>
        <v>27448.5450674237</v>
      </c>
      <c r="D305" s="35" t="n">
        <f aca="false">+D303/D304*1000000</f>
        <v>32943.9480097482</v>
      </c>
      <c r="E305" s="35" t="n">
        <f aca="false">+E303/E304*1000000</f>
        <v>38041.7793808236</v>
      </c>
      <c r="F305" s="35" t="n">
        <f aca="false">+F303/F304*1000000</f>
        <v>38285.0690754516</v>
      </c>
      <c r="G305" s="35" t="n">
        <f aca="false">+G303/G304*1000000</f>
        <v>38971.1431742508</v>
      </c>
      <c r="H305" s="35" t="n">
        <f aca="false">+H303/H304*1000000</f>
        <v>38262.3984479205</v>
      </c>
      <c r="I305" s="35" t="n">
        <f aca="false">+I303/I304*1000000</f>
        <v>37102.8816384854</v>
      </c>
      <c r="J305" s="35" t="n">
        <f aca="false">+J303/J304*1000000</f>
        <v>36677.6750330251</v>
      </c>
      <c r="K305" s="35" t="n">
        <f aca="false">+K303/K304*1000000</f>
        <v>36434.857635893</v>
      </c>
      <c r="L305" s="35" t="n">
        <f aca="false">+L303/L304*1000000</f>
        <v>36267.2004003002</v>
      </c>
      <c r="M305" s="35" t="n">
        <f aca="false">+M303/M304*1000000</f>
        <v>40716.8839042134</v>
      </c>
      <c r="N305" s="35" t="n">
        <f aca="false">+N303/N304*1000000</f>
        <v>47794.1616020723</v>
      </c>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row>
    <row r="306" customFormat="false" ht="15" hidden="false" customHeight="true" outlineLevel="0" collapsed="false">
      <c r="A306" s="29" t="s">
        <v>465</v>
      </c>
      <c r="B306" s="36"/>
      <c r="C306" s="49" t="n">
        <f aca="false">+C304/B304*100-100</f>
        <v>-3.27784451690407</v>
      </c>
      <c r="D306" s="49" t="n">
        <f aca="false">+D304/C304*100-100</f>
        <v>9.20865862313698</v>
      </c>
      <c r="E306" s="49" t="n">
        <f aca="false">+E304/D304*100-100</f>
        <v>8.10722989439481</v>
      </c>
      <c r="F306" s="49" t="n">
        <f aca="false">+F304/E304*100-100</f>
        <v>13.1349564171927</v>
      </c>
      <c r="G306" s="49" t="n">
        <f aca="false">+G304/F304*100-100</f>
        <v>19.6865037194474</v>
      </c>
      <c r="H306" s="49" t="n">
        <f aca="false">+H304/G304*100-100</f>
        <v>-8.46836847946726</v>
      </c>
      <c r="I306" s="49" t="n">
        <f aca="false">+I304/H304*100-100</f>
        <v>1.83096883715291</v>
      </c>
      <c r="J306" s="49" t="n">
        <f aca="false">+J304/I304*100-100</f>
        <v>-9.85949035484639</v>
      </c>
      <c r="K306" s="49" t="n">
        <f aca="false">+K304/J304*100-100</f>
        <v>-23.447820343461</v>
      </c>
      <c r="L306" s="49" t="n">
        <f aca="false">+L304/K304*100-100</f>
        <v>-31.0267471958585</v>
      </c>
      <c r="M306" s="49" t="n">
        <f aca="false">+M304/L304*100-100</f>
        <v>65.0738053540155</v>
      </c>
      <c r="N306" s="49" t="n">
        <f aca="false">+N304/M304*100-100</f>
        <v>52.1218551076084</v>
      </c>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row>
    <row r="307" customFormat="false" ht="15" hidden="false" customHeight="true" outlineLevel="0" collapsed="false">
      <c r="A307" s="29" t="s">
        <v>466</v>
      </c>
      <c r="B307" s="36"/>
      <c r="C307" s="49" t="n">
        <f aca="false">+C305/B305*100-100</f>
        <v>6.344861773855</v>
      </c>
      <c r="D307" s="49" t="n">
        <f aca="false">+D305/C305*100-100</f>
        <v>20.0207440096578</v>
      </c>
      <c r="E307" s="49" t="n">
        <f aca="false">+E305/D305*100-100</f>
        <v>15.4742575770425</v>
      </c>
      <c r="F307" s="49" t="n">
        <f aca="false">+F305/E305*100-100</f>
        <v>0.639532899322575</v>
      </c>
      <c r="G307" s="49" t="n">
        <f aca="false">+G305/F305*100-100</f>
        <v>1.79201478635727</v>
      </c>
      <c r="H307" s="49" t="n">
        <f aca="false">+H305/G305*100-100</f>
        <v>-1.81863981552036</v>
      </c>
      <c r="I307" s="49" t="n">
        <f aca="false">+I305/H305*100-100</f>
        <v>-3.03043420295084</v>
      </c>
      <c r="J307" s="49" t="n">
        <f aca="false">+J305/I305*100-100</f>
        <v>-1.14602043475568</v>
      </c>
      <c r="K307" s="49" t="n">
        <f aca="false">+K305/J305*100-100</f>
        <v>-0.662030504696517</v>
      </c>
      <c r="L307" s="49" t="n">
        <f aca="false">+L305/K305*100-100</f>
        <v>-0.460156142966824</v>
      </c>
      <c r="M307" s="49" t="n">
        <f aca="false">+M305/L305*100-100</f>
        <v>12.2691673324647</v>
      </c>
      <c r="N307" s="49" t="n">
        <f aca="false">+N305/M305*100-100</f>
        <v>17.3816781129623</v>
      </c>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row>
    <row r="308" customFormat="false" ht="15" hidden="false" customHeight="true" outlineLevel="0" collapsed="false">
      <c r="A308" s="29" t="s">
        <v>467</v>
      </c>
      <c r="B308" s="36"/>
      <c r="C308" s="49" t="n">
        <f aca="false">(100*C303)/B303-100</f>
        <v>2.85904255319147</v>
      </c>
      <c r="D308" s="49" t="n">
        <f aca="false">(100*D303)/C303-100</f>
        <v>31.0730446024564</v>
      </c>
      <c r="E308" s="49" t="n">
        <f aca="false">(100*E303)/D303-100</f>
        <v>24.8360211076589</v>
      </c>
      <c r="F308" s="49" t="n">
        <f aca="false">(100*F303)/E303-100</f>
        <v>13.8584916841149</v>
      </c>
      <c r="G308" s="49" t="n">
        <f aca="false">(100*G303)/F303-100</f>
        <v>21.8313035633739</v>
      </c>
      <c r="H308" s="49" t="n">
        <f aca="false">(100*H303)/G303-100</f>
        <v>-10.1329991740951</v>
      </c>
      <c r="I308" s="49" t="n">
        <f aca="false">(100*I303)/H303-100</f>
        <v>-1.25495167168438</v>
      </c>
      <c r="J308" s="49" t="n">
        <f aca="false">(100*J303)/I303-100</f>
        <v>-10.8925190153728</v>
      </c>
      <c r="K308" s="49" t="n">
        <f aca="false">(100*K303)/J303-100</f>
        <v>-23.9546191247974</v>
      </c>
      <c r="L308" s="49" t="n">
        <f aca="false">(100*L303)/K303-100</f>
        <v>-31.3441318556408</v>
      </c>
      <c r="M308" s="49" t="n">
        <f aca="false">(100*M303)/L303-100</f>
        <v>85.3269867549668</v>
      </c>
      <c r="N308" s="49" t="n">
        <f aca="false">(100*N303)/M303-100</f>
        <v>78.5631863018798</v>
      </c>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row>
    <row r="309" customFormat="false" ht="15" hidden="false" customHeight="true" outlineLevel="0" collapsed="false">
      <c r="A309" s="29" t="s">
        <v>468</v>
      </c>
      <c r="B309" s="59" t="n">
        <f aca="false">+B303/B322*100</f>
        <v>1.54837009339637</v>
      </c>
      <c r="C309" s="59" t="n">
        <f aca="false">+C303/C322*100</f>
        <v>1.27725941576321</v>
      </c>
      <c r="D309" s="59" t="n">
        <f aca="false">+D303/D322*100</f>
        <v>1.31878981181701</v>
      </c>
      <c r="E309" s="59" t="n">
        <f aca="false">+E303/E322*100</f>
        <v>1.23679676819478</v>
      </c>
      <c r="F309" s="59" t="n">
        <f aca="false">+F303/F322*100</f>
        <v>1.1451441730991</v>
      </c>
      <c r="G309" s="59" t="n">
        <f aca="false">+G303/G322*100</f>
        <v>1.70203574006746</v>
      </c>
      <c r="H309" s="59" t="n">
        <f aca="false">+H303/H322*100</f>
        <v>1.5015480592923</v>
      </c>
      <c r="I309" s="59" t="n">
        <f aca="false">+I303/I322*100</f>
        <v>1.16418876305084</v>
      </c>
      <c r="J309" s="59" t="n">
        <f aca="false">+J303/J322*100</f>
        <v>1.04003176470148</v>
      </c>
      <c r="K309" s="59" t="n">
        <f aca="false">+K303/K322*100</f>
        <v>0.782984240189334</v>
      </c>
      <c r="L309" s="59" t="n">
        <f aca="false">+L303/L322*100</f>
        <v>0.463765445251299</v>
      </c>
      <c r="M309" s="59" t="n">
        <f aca="false">+M303/M322*100</f>
        <v>0.675072765380992</v>
      </c>
      <c r="N309" s="59" t="n">
        <f aca="false">+N303/N322*100</f>
        <v>0.981545407652048</v>
      </c>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row>
    <row r="310" customFormat="false" ht="15" hidden="false" customHeight="true" outlineLevel="0" collapsed="false">
      <c r="A310" s="70" t="s">
        <v>475</v>
      </c>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row>
    <row r="311" customFormat="false" ht="15" hidden="false" customHeight="true" outlineLevel="0" collapsed="false">
      <c r="A311" s="47" t="s">
        <v>462</v>
      </c>
      <c r="B311" s="34" t="n">
        <v>1115.14</v>
      </c>
      <c r="C311" s="34" t="n">
        <v>1410.48</v>
      </c>
      <c r="D311" s="34" t="n">
        <v>1596.35</v>
      </c>
      <c r="E311" s="34" t="n">
        <v>1962.13</v>
      </c>
      <c r="F311" s="34" t="n">
        <v>2030.01</v>
      </c>
      <c r="G311" s="34" t="n">
        <v>2520.36</v>
      </c>
      <c r="H311" s="34" t="n">
        <v>2145.26</v>
      </c>
      <c r="I311" s="34" t="n">
        <v>2144.73</v>
      </c>
      <c r="J311" s="34" t="n">
        <v>5138.94</v>
      </c>
      <c r="K311" s="34" t="n">
        <v>5491.61</v>
      </c>
      <c r="L311" s="34" t="n">
        <v>4771.1</v>
      </c>
      <c r="M311" s="34" t="n">
        <v>4467.89</v>
      </c>
      <c r="N311" s="34" t="n">
        <v>5460.01</v>
      </c>
      <c r="O311" s="34" t="n">
        <v>7837.83</v>
      </c>
      <c r="P311" s="34" t="n">
        <v>5468.41</v>
      </c>
      <c r="Q311" s="34" t="n">
        <v>7912.43</v>
      </c>
      <c r="R311" s="34" t="n">
        <v>7996.945</v>
      </c>
      <c r="S311" s="34" t="n">
        <v>8850.584</v>
      </c>
      <c r="T311" s="34" t="n">
        <v>10619.377</v>
      </c>
      <c r="U311" s="93" t="n">
        <f aca="false">17174.8-1634.806</f>
        <v>15539.994</v>
      </c>
      <c r="V311" s="34" t="n">
        <v>18145.813</v>
      </c>
      <c r="W311" s="34" t="n">
        <v>12125.73</v>
      </c>
      <c r="X311" s="34" t="n">
        <v>13916.945</v>
      </c>
      <c r="Y311" s="34" t="n">
        <v>12733.573</v>
      </c>
      <c r="Z311" s="34" t="n">
        <v>16729.395</v>
      </c>
      <c r="AA311" s="34" t="n">
        <v>19803.159</v>
      </c>
      <c r="AB311" s="34" t="n">
        <v>18804.7</v>
      </c>
      <c r="AC311" s="34" t="n">
        <v>17660</v>
      </c>
      <c r="AD311" s="34" t="n">
        <v>17030.5</v>
      </c>
      <c r="AE311" s="34" t="n">
        <v>20334.7</v>
      </c>
      <c r="AF311" s="34" t="n">
        <v>25778.8</v>
      </c>
      <c r="AG311" s="34" t="n">
        <v>34694.1</v>
      </c>
      <c r="AH311" s="34" t="n">
        <v>39779</v>
      </c>
      <c r="AI311" s="35" t="n">
        <f aca="false">AH311*(1+AI312/100)</f>
        <v>41767.95</v>
      </c>
      <c r="AJ311" s="35" t="n">
        <f aca="false">AI311*(1+AJ312/100)</f>
        <v>43438.668</v>
      </c>
      <c r="AK311" s="35" t="n">
        <f aca="false">AJ311*(1+AK312/100)</f>
        <v>45610.6014</v>
      </c>
      <c r="AL311" s="35" t="n">
        <f aca="false">AK311*(1+AL312/100)</f>
        <v>47891.13147</v>
      </c>
      <c r="AM311" s="30"/>
      <c r="AN311" s="30"/>
      <c r="AO311" s="30"/>
      <c r="AP311" s="92" t="n">
        <f aca="false">712/642</f>
        <v>1.10903426791277</v>
      </c>
      <c r="AQ311" s="31" t="n">
        <f aca="false">+T311/S311</f>
        <v>1.19985042794916</v>
      </c>
      <c r="AR311" s="30"/>
      <c r="AS311" s="30"/>
      <c r="AT311" s="30"/>
      <c r="AU311" s="30"/>
      <c r="AV311" s="30"/>
      <c r="AW311" s="30"/>
      <c r="AX311" s="30"/>
      <c r="AY311" s="30"/>
    </row>
    <row r="312" customFormat="false" ht="15" hidden="false" customHeight="true" outlineLevel="0" collapsed="false">
      <c r="A312" s="29" t="s">
        <v>467</v>
      </c>
      <c r="B312" s="36"/>
      <c r="C312" s="49" t="n">
        <f aca="false">+C311/B311*100-100</f>
        <v>26.4845669602023</v>
      </c>
      <c r="D312" s="49" t="n">
        <f aca="false">+D311/C311*100-100</f>
        <v>13.1777834496058</v>
      </c>
      <c r="E312" s="49" t="n">
        <f aca="false">+E311/D311*100-100</f>
        <v>22.9135214708554</v>
      </c>
      <c r="F312" s="49" t="n">
        <f aca="false">+F311/E311*100-100</f>
        <v>3.45950574120981</v>
      </c>
      <c r="G312" s="49" t="n">
        <f aca="false">+G311/F311*100-100</f>
        <v>24.1550534233822</v>
      </c>
      <c r="H312" s="49" t="n">
        <f aca="false">+H311/G311*100-100</f>
        <v>-14.8827945214176</v>
      </c>
      <c r="I312" s="49" t="n">
        <f aca="false">+I311/H311*100-100</f>
        <v>-0.0247056300868138</v>
      </c>
      <c r="J312" s="49" t="n">
        <f aca="false">+J311/I311*100-100</f>
        <v>139.607782797835</v>
      </c>
      <c r="K312" s="49" t="n">
        <f aca="false">+K311/J311*100-100</f>
        <v>6.86269931153119</v>
      </c>
      <c r="L312" s="49" t="n">
        <f aca="false">+L311/K311*100-100</f>
        <v>-13.1201960809307</v>
      </c>
      <c r="M312" s="49" t="n">
        <f aca="false">+M311/L311*100-100</f>
        <v>-6.35513822808157</v>
      </c>
      <c r="N312" s="49" t="n">
        <f aca="false">+N311/M311*100-100</f>
        <v>22.2055601189823</v>
      </c>
      <c r="O312" s="49" t="n">
        <f aca="false">+O311/N311*100-100</f>
        <v>43.5497370883936</v>
      </c>
      <c r="P312" s="49" t="n">
        <f aca="false">+P311/O311*100-100</f>
        <v>-30.230561265044</v>
      </c>
      <c r="Q312" s="49" t="n">
        <f aca="false">+Q311/P311*100-100</f>
        <v>44.6934300829674</v>
      </c>
      <c r="R312" s="49" t="n">
        <f aca="false">+R311/Q311*100-100</f>
        <v>1.06812951267814</v>
      </c>
      <c r="S312" s="49" t="n">
        <f aca="false">+S311/R311*100-100</f>
        <v>10.6745638490699</v>
      </c>
      <c r="T312" s="49" t="n">
        <f aca="false">+T311/S311*100-100</f>
        <v>19.9850427949161</v>
      </c>
      <c r="U312" s="49" t="n">
        <f aca="false">+U311/T311*100-100</f>
        <v>46.3362116252206</v>
      </c>
      <c r="V312" s="49" t="n">
        <f aca="false">+V311/U311*100-100</f>
        <v>16.7684685077742</v>
      </c>
      <c r="W312" s="49" t="n">
        <f aca="false">+W311/V311*100-100</f>
        <v>-33.1761547415924</v>
      </c>
      <c r="X312" s="49" t="n">
        <f aca="false">+X311/W311*100-100</f>
        <v>14.772017849647</v>
      </c>
      <c r="Y312" s="49" t="n">
        <f aca="false">+Y311/X311*100-100</f>
        <v>-8.50310179425154</v>
      </c>
      <c r="Z312" s="49" t="n">
        <f aca="false">+Z311/Y311*100-100</f>
        <v>31.3802104091287</v>
      </c>
      <c r="AA312" s="49" t="n">
        <f aca="false">+AA311/Z311*100-100</f>
        <v>18.3734319143041</v>
      </c>
      <c r="AB312" s="49" t="n">
        <f aca="false">+AB311/AA311*100-100</f>
        <v>-5.04191780715389</v>
      </c>
      <c r="AC312" s="49" t="n">
        <f aca="false">+AC311/AB311*100-100</f>
        <v>-6.08730796024398</v>
      </c>
      <c r="AD312" s="49" t="n">
        <f aca="false">+AD311/AC311*100-100</f>
        <v>-3.56455266138165</v>
      </c>
      <c r="AE312" s="49" t="n">
        <f aca="false">+AE311/AD311*100-100</f>
        <v>19.401661724553</v>
      </c>
      <c r="AF312" s="49" t="n">
        <f aca="false">+AF311/AE311*100-100</f>
        <v>26.7724628344652</v>
      </c>
      <c r="AG312" s="49" t="n">
        <f aca="false">+AG311/AF311*100-100</f>
        <v>34.5838440889413</v>
      </c>
      <c r="AH312" s="49" t="n">
        <f aca="false">+AH311/AG311*100-100</f>
        <v>14.6563824973122</v>
      </c>
      <c r="AI312" s="37" t="n">
        <v>5</v>
      </c>
      <c r="AJ312" s="37" t="n">
        <v>4</v>
      </c>
      <c r="AK312" s="37" t="n">
        <v>5</v>
      </c>
      <c r="AL312" s="37" t="n">
        <v>5</v>
      </c>
      <c r="AM312" s="36"/>
      <c r="AN312" s="36"/>
      <c r="AO312" s="36"/>
      <c r="AP312" s="36"/>
      <c r="AQ312" s="36"/>
      <c r="AR312" s="36"/>
      <c r="AS312" s="36"/>
      <c r="AT312" s="36"/>
      <c r="AU312" s="36"/>
      <c r="AV312" s="36"/>
      <c r="AW312" s="36"/>
      <c r="AX312" s="36"/>
      <c r="AY312" s="36"/>
    </row>
    <row r="313" customFormat="false" ht="15" hidden="false" customHeight="true" outlineLevel="0" collapsed="false">
      <c r="A313" s="29" t="s">
        <v>468</v>
      </c>
      <c r="B313" s="49" t="n">
        <f aca="false">+B311/B322*100</f>
        <v>11.4803818214762</v>
      </c>
      <c r="C313" s="49" t="n">
        <f aca="false">+C311/C327*100</f>
        <v>11.9401266746466</v>
      </c>
      <c r="D313" s="49" t="n">
        <f aca="false">+D311/D327*100</f>
        <v>10.5488564004832</v>
      </c>
      <c r="E313" s="49" t="n">
        <f aca="false">+E311/E327*100</f>
        <v>9.76328828851243</v>
      </c>
      <c r="F313" s="49" t="n">
        <f aca="false">+F311/F327*100</f>
        <v>8.17744237449199</v>
      </c>
      <c r="G313" s="49" t="n">
        <f aca="false">+G311/G327*100</f>
        <v>12.5124600492664</v>
      </c>
      <c r="H313" s="49" t="n">
        <f aca="false">+H311/H327*100</f>
        <v>10.490023559922</v>
      </c>
      <c r="I313" s="49" t="n">
        <f aca="false">+I311/I327*100</f>
        <v>8.25303091755242</v>
      </c>
      <c r="J313" s="49" t="n">
        <f aca="false">+J311/J327*100</f>
        <v>19.7146313121412</v>
      </c>
      <c r="K313" s="49" t="n">
        <f aca="false">+K311/K327*100</f>
        <v>20.8770901382578</v>
      </c>
      <c r="L313" s="49" t="n">
        <f aca="false">+L311/L327*100</f>
        <v>15.5208450241461</v>
      </c>
      <c r="M313" s="49" t="n">
        <f aca="false">+M311/M327*100</f>
        <v>11.3765709692196</v>
      </c>
      <c r="N313" s="49" t="n">
        <f aca="false">+N311/N327*100</f>
        <v>11.3483474882578</v>
      </c>
      <c r="O313" s="49" t="n">
        <f aca="false">+O311/O327*100</f>
        <v>12.9484390498237</v>
      </c>
      <c r="P313" s="49" t="n">
        <f aca="false">+P311/P327*100</f>
        <v>6.58470360880449</v>
      </c>
      <c r="Q313" s="49" t="n">
        <f aca="false">+Q311/Q327*100</f>
        <v>8.85684414838661</v>
      </c>
      <c r="R313" s="49" t="n">
        <f aca="false">+R311/R327*100</f>
        <v>11.9954653019292</v>
      </c>
      <c r="S313" s="49" t="n">
        <f aca="false">+S311/S327*100</f>
        <v>11.2422667517584</v>
      </c>
      <c r="T313" s="49" t="n">
        <f aca="false">+T311/T327*100</f>
        <v>8.78098418083181</v>
      </c>
      <c r="U313" s="49" t="n">
        <f aca="false">+U311/U327*100</f>
        <v>11.387187413158</v>
      </c>
      <c r="V313" s="49" t="n">
        <f aca="false">+V311/V327*100</f>
        <v>13.6449468972161</v>
      </c>
      <c r="W313" s="49" t="n">
        <f aca="false">+W311/W327*100</f>
        <v>11.4817797776093</v>
      </c>
      <c r="X313" s="49" t="n">
        <f aca="false">+X311/X327*100</f>
        <v>9.60721309399908</v>
      </c>
      <c r="Y313" s="49" t="n">
        <f aca="false">+Y311/Y327*100</f>
        <v>6.36902387439684</v>
      </c>
      <c r="Z313" s="49" t="n">
        <f aca="false">+Z311/Z327*100</f>
        <v>7.84251570825276</v>
      </c>
      <c r="AA313" s="49" t="n">
        <f aca="false">+AA311/AA327*100</f>
        <v>7.46598432222235</v>
      </c>
      <c r="AB313" s="49" t="n">
        <f aca="false">+AB311/AB327*100</f>
        <v>6.47211576684868</v>
      </c>
      <c r="AC313" s="49" t="n">
        <f aca="false">+AC311/AC327*100</f>
        <v>10.1102220298647</v>
      </c>
      <c r="AD313" s="49" t="n">
        <f aca="false">+AD311/AD327*100</f>
        <v>11.1299909485702</v>
      </c>
      <c r="AE313" s="49" t="n">
        <f aca="false">+AE311/AE327*100</f>
        <v>9.37588901660758</v>
      </c>
      <c r="AF313" s="49" t="n">
        <f aca="false">+AF311/AF327*100</f>
        <v>7.13222115673523</v>
      </c>
      <c r="AG313" s="49" t="n">
        <f aca="false">+AG311/AG327*100</f>
        <v>9.04268586856997</v>
      </c>
      <c r="AH313" s="49" t="n">
        <f aca="false">+AH311/AH327*100</f>
        <v>10.2648225648044</v>
      </c>
      <c r="AI313" s="49" t="n">
        <f aca="false">+AI311/AI327*100</f>
        <v>9.49119947426581</v>
      </c>
      <c r="AJ313" s="49" t="n">
        <f aca="false">+AJ311/AJ327*100</f>
        <v>9.05312710045716</v>
      </c>
      <c r="AK313" s="49" t="n">
        <f aca="false">+AK311/AK327*100</f>
        <v>8.79978862732089</v>
      </c>
      <c r="AL313" s="49" t="n">
        <f aca="false">+AL311/AL327*100</f>
        <v>8.59472035761446</v>
      </c>
      <c r="AM313" s="36"/>
      <c r="AN313" s="36"/>
      <c r="AO313" s="36"/>
      <c r="AP313" s="36"/>
      <c r="AQ313" s="36"/>
      <c r="AR313" s="36"/>
      <c r="AS313" s="36"/>
      <c r="AT313" s="36"/>
      <c r="AU313" s="36"/>
      <c r="AV313" s="36"/>
      <c r="AW313" s="36"/>
      <c r="AX313" s="36"/>
      <c r="AY313" s="36"/>
    </row>
    <row r="314" customFormat="false" ht="15" hidden="false" customHeight="true" outlineLevel="0" collapsed="false">
      <c r="A314" s="70" t="s">
        <v>438</v>
      </c>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row>
    <row r="315" customFormat="false" ht="15" hidden="false" customHeight="true" outlineLevel="0" collapsed="false">
      <c r="A315" s="29" t="s">
        <v>476</v>
      </c>
      <c r="B315" s="30"/>
      <c r="C315" s="30"/>
      <c r="D315" s="30"/>
      <c r="E315" s="30"/>
      <c r="F315" s="30"/>
      <c r="G315" s="30"/>
      <c r="H315" s="30"/>
      <c r="I315" s="30"/>
      <c r="J315" s="30"/>
      <c r="K315" s="30"/>
      <c r="L315" s="30"/>
      <c r="M315" s="30"/>
      <c r="N315" s="30"/>
      <c r="O315" s="30"/>
      <c r="P315" s="30"/>
      <c r="Q315" s="30"/>
      <c r="R315" s="30"/>
      <c r="S315" s="30"/>
      <c r="T315" s="30"/>
      <c r="U315" s="62" t="n">
        <v>263.788</v>
      </c>
      <c r="V315" s="62" t="n">
        <v>1184.987</v>
      </c>
      <c r="W315" s="62" t="n">
        <v>943.002</v>
      </c>
      <c r="X315" s="62" t="n">
        <v>908.303</v>
      </c>
      <c r="Y315" s="62" t="n">
        <v>1011.227</v>
      </c>
      <c r="Z315" s="62" t="n">
        <v>1079.729</v>
      </c>
      <c r="AA315" s="62" t="n">
        <v>1489.811</v>
      </c>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row>
    <row r="316" customFormat="false" ht="15" hidden="false" customHeight="true" outlineLevel="0" collapsed="false">
      <c r="A316" s="29" t="s">
        <v>477</v>
      </c>
      <c r="B316" s="30"/>
      <c r="C316" s="30"/>
      <c r="D316" s="30"/>
      <c r="E316" s="30"/>
      <c r="F316" s="30"/>
      <c r="G316" s="30"/>
      <c r="H316" s="30"/>
      <c r="I316" s="30"/>
      <c r="J316" s="30"/>
      <c r="K316" s="30"/>
      <c r="L316" s="30"/>
      <c r="M316" s="30"/>
      <c r="N316" s="30"/>
      <c r="O316" s="30"/>
      <c r="P316" s="30"/>
      <c r="Q316" s="30"/>
      <c r="R316" s="30"/>
      <c r="S316" s="30"/>
      <c r="T316" s="30"/>
      <c r="U316" s="31" t="n">
        <f aca="false">+U315/U256*1000000</f>
        <v>34740.9456077967</v>
      </c>
      <c r="V316" s="31" t="n">
        <f aca="false">+V315/V256*1000000</f>
        <v>33937.2511956927</v>
      </c>
      <c r="W316" s="31" t="n">
        <f aca="false">+W315/W256*1000000</f>
        <v>34822.8212703102</v>
      </c>
      <c r="X316" s="31" t="n">
        <f aca="false">+X315/X256*1000000</f>
        <v>37204.1861227165</v>
      </c>
      <c r="Y316" s="31" t="n">
        <f aca="false">+Y315/Y256*1000000</f>
        <v>37126.9596504755</v>
      </c>
      <c r="Z316" s="31" t="n">
        <f aca="false">+Z315/Z256*1000000</f>
        <v>35443.9483964153</v>
      </c>
      <c r="AA316" s="31" t="n">
        <f aca="false">+AA315/AA256*1000000</f>
        <v>37371.4034867678</v>
      </c>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row>
    <row r="317" customFormat="false" ht="15" hidden="false" customHeight="true" outlineLevel="0" collapsed="false">
      <c r="A317" s="29" t="s">
        <v>478</v>
      </c>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62" t="n">
        <v>2071.621</v>
      </c>
      <c r="AB317" s="62" t="n">
        <v>2507.8</v>
      </c>
      <c r="AC317" s="62" t="n">
        <v>515.8</v>
      </c>
      <c r="AD317" s="62" t="n">
        <v>0</v>
      </c>
      <c r="AE317" s="31" t="n">
        <f aca="false">+AD317</f>
        <v>0</v>
      </c>
      <c r="AF317" s="62" t="n">
        <v>4.4</v>
      </c>
      <c r="AG317" s="62" t="n">
        <v>0</v>
      </c>
      <c r="AH317" s="31" t="n">
        <f aca="false">+AG317</f>
        <v>0</v>
      </c>
      <c r="AI317" s="31" t="n">
        <f aca="false">+AH317</f>
        <v>0</v>
      </c>
      <c r="AJ317" s="31" t="n">
        <f aca="false">+AI317</f>
        <v>0</v>
      </c>
      <c r="AK317" s="31" t="n">
        <f aca="false">+AJ317</f>
        <v>0</v>
      </c>
      <c r="AL317" s="31" t="n">
        <f aca="false">+AK317</f>
        <v>0</v>
      </c>
      <c r="AM317" s="30"/>
      <c r="AN317" s="30"/>
      <c r="AO317" s="30"/>
      <c r="AP317" s="30"/>
      <c r="AQ317" s="30"/>
      <c r="AR317" s="30"/>
      <c r="AS317" s="30"/>
      <c r="AT317" s="30"/>
      <c r="AU317" s="30"/>
      <c r="AV317" s="30"/>
      <c r="AW317" s="30"/>
      <c r="AX317" s="30"/>
      <c r="AY317" s="30"/>
    </row>
    <row r="318" customFormat="false" ht="15" hidden="false" customHeight="true" outlineLevel="0" collapsed="false">
      <c r="A318" s="29" t="s">
        <v>479</v>
      </c>
      <c r="B318" s="36"/>
      <c r="C318" s="36"/>
      <c r="D318" s="36"/>
      <c r="E318" s="36"/>
      <c r="F318" s="36"/>
      <c r="G318" s="36"/>
      <c r="H318" s="36"/>
      <c r="I318" s="36"/>
      <c r="J318" s="36"/>
      <c r="K318" s="36"/>
      <c r="L318" s="36"/>
      <c r="M318" s="36"/>
      <c r="N318" s="36"/>
      <c r="O318" s="36"/>
      <c r="P318" s="36"/>
      <c r="Q318" s="36"/>
      <c r="R318" s="36"/>
      <c r="S318" s="36"/>
      <c r="T318" s="36"/>
      <c r="U318" s="37" t="n">
        <v>894.523</v>
      </c>
      <c r="V318" s="37" t="n">
        <v>828.631</v>
      </c>
      <c r="W318" s="37" t="n">
        <v>414.048</v>
      </c>
      <c r="X318" s="37" t="n">
        <v>719.541</v>
      </c>
      <c r="Y318" s="37" t="n">
        <v>671.513</v>
      </c>
      <c r="Z318" s="37" t="n">
        <v>702.799</v>
      </c>
      <c r="AA318" s="37" t="n">
        <v>832.502</v>
      </c>
      <c r="AB318" s="37" t="n">
        <v>611.6</v>
      </c>
      <c r="AC318" s="37" t="n">
        <v>605.2</v>
      </c>
      <c r="AD318" s="37" t="n">
        <v>167</v>
      </c>
      <c r="AE318" s="37" t="n">
        <v>401.6</v>
      </c>
      <c r="AF318" s="37" t="n">
        <v>471</v>
      </c>
      <c r="AG318" s="37" t="n">
        <v>435.4</v>
      </c>
      <c r="AH318" s="37" t="n">
        <v>500.9</v>
      </c>
      <c r="AI318" s="49" t="n">
        <f aca="false">+AH318/AH271*AI271</f>
        <v>593.724929531301</v>
      </c>
      <c r="AJ318" s="49" t="n">
        <f aca="false">+AI318/AI271*AJ271</f>
        <v>577.241691248771</v>
      </c>
      <c r="AK318" s="49" t="n">
        <f aca="false">+AJ318/AJ271*AK271</f>
        <v>627.052592592593</v>
      </c>
      <c r="AL318" s="49" t="n">
        <f aca="false">+AK318/AK271*AL271</f>
        <v>677.979888561128</v>
      </c>
      <c r="AM318" s="36"/>
      <c r="AN318" s="36"/>
      <c r="AO318" s="36"/>
      <c r="AP318" s="36"/>
      <c r="AQ318" s="36"/>
      <c r="AR318" s="36"/>
      <c r="AS318" s="36"/>
      <c r="AT318" s="36"/>
      <c r="AU318" s="36"/>
      <c r="AV318" s="36"/>
      <c r="AW318" s="36"/>
      <c r="AX318" s="36"/>
      <c r="AY318" s="36"/>
    </row>
    <row r="319" customFormat="false" ht="15" hidden="false" customHeight="true" outlineLevel="0" collapsed="false">
      <c r="A319" s="29" t="s">
        <v>480</v>
      </c>
      <c r="B319" s="30"/>
      <c r="C319" s="30"/>
      <c r="D319" s="30"/>
      <c r="E319" s="30"/>
      <c r="F319" s="30"/>
      <c r="G319" s="30"/>
      <c r="H319" s="30"/>
      <c r="I319" s="30"/>
      <c r="J319" s="30"/>
      <c r="K319" s="30"/>
      <c r="L319" s="30"/>
      <c r="M319" s="30"/>
      <c r="N319" s="30"/>
      <c r="O319" s="30"/>
      <c r="P319" s="30"/>
      <c r="Q319" s="30"/>
      <c r="R319" s="30"/>
      <c r="S319" s="30"/>
      <c r="T319" s="30"/>
      <c r="U319" s="62" t="n">
        <v>725.554</v>
      </c>
      <c r="V319" s="62" t="n">
        <v>750.182</v>
      </c>
      <c r="W319" s="62" t="n">
        <v>715.913</v>
      </c>
      <c r="X319" s="62" t="n">
        <v>876.862</v>
      </c>
      <c r="Y319" s="62" t="n">
        <v>761.535</v>
      </c>
      <c r="Z319" s="62" t="n">
        <v>824.638</v>
      </c>
      <c r="AA319" s="62" t="n">
        <v>998.492</v>
      </c>
      <c r="AB319" s="62" t="n">
        <v>1226</v>
      </c>
      <c r="AC319" s="62" t="n">
        <v>662.1</v>
      </c>
      <c r="AD319" s="62" t="n">
        <v>457.9</v>
      </c>
      <c r="AE319" s="62" t="n">
        <v>724</v>
      </c>
      <c r="AF319" s="62" t="n">
        <v>1085.6</v>
      </c>
      <c r="AG319" s="62" t="n">
        <v>1140.4</v>
      </c>
      <c r="AH319" s="62" t="n">
        <v>968</v>
      </c>
      <c r="AI319" s="32" t="n">
        <f aca="false">AH319*1.05</f>
        <v>1016.4</v>
      </c>
      <c r="AJ319" s="32" t="n">
        <f aca="false">AI319*1.05</f>
        <v>1067.22</v>
      </c>
      <c r="AK319" s="32" t="n">
        <f aca="false">AJ319*1.03</f>
        <v>1099.2366</v>
      </c>
      <c r="AL319" s="32" t="n">
        <f aca="false">AK319*1.03</f>
        <v>1132.213698</v>
      </c>
      <c r="AM319" s="30"/>
      <c r="AN319" s="30"/>
      <c r="AO319" s="30"/>
      <c r="AP319" s="30"/>
      <c r="AQ319" s="30"/>
      <c r="AR319" s="30"/>
      <c r="AS319" s="30"/>
      <c r="AT319" s="30"/>
      <c r="AU319" s="30"/>
      <c r="AV319" s="30"/>
      <c r="AW319" s="30"/>
      <c r="AX319" s="30"/>
      <c r="AY319" s="30"/>
    </row>
    <row r="320" customFormat="false" ht="15" hidden="false" customHeight="true" outlineLevel="0" collapsed="false">
      <c r="A320" s="29" t="s">
        <v>481</v>
      </c>
      <c r="B320" s="30"/>
      <c r="C320" s="30"/>
      <c r="D320" s="30"/>
      <c r="E320" s="30"/>
      <c r="F320" s="30"/>
      <c r="G320" s="30"/>
      <c r="H320" s="30"/>
      <c r="I320" s="30"/>
      <c r="J320" s="30"/>
      <c r="K320" s="30"/>
      <c r="L320" s="30"/>
      <c r="M320" s="30"/>
      <c r="N320" s="30"/>
      <c r="O320" s="30"/>
      <c r="P320" s="30"/>
      <c r="Q320" s="30"/>
      <c r="R320" s="62" t="n">
        <v>225.211</v>
      </c>
      <c r="S320" s="62" t="n">
        <v>356.77</v>
      </c>
      <c r="T320" s="92" t="n">
        <f aca="false">230.4</f>
        <v>230.4</v>
      </c>
      <c r="U320" s="62" t="n">
        <v>212.584</v>
      </c>
      <c r="V320" s="62" t="n">
        <v>1382.546</v>
      </c>
      <c r="W320" s="62" t="n">
        <v>1024.862</v>
      </c>
      <c r="X320" s="62" t="n">
        <v>1384.725</v>
      </c>
      <c r="Y320" s="62" t="n">
        <v>1560.245</v>
      </c>
      <c r="Z320" s="62" t="n">
        <v>2009.765</v>
      </c>
      <c r="AA320" s="62" t="n">
        <v>2305.55</v>
      </c>
      <c r="AB320" s="62" t="n">
        <v>8303</v>
      </c>
      <c r="AC320" s="62" t="n">
        <v>7242</v>
      </c>
      <c r="AD320" s="62" t="n">
        <v>6487.4</v>
      </c>
      <c r="AE320" s="62" t="n">
        <v>8554.1</v>
      </c>
      <c r="AF320" s="62" t="n">
        <v>11068.8</v>
      </c>
      <c r="AG320" s="62" t="n">
        <v>12098.6</v>
      </c>
      <c r="AH320" s="62" t="n">
        <v>12644.2</v>
      </c>
      <c r="AI320" s="32" t="n">
        <f aca="false">AH320*1.15</f>
        <v>14540.83</v>
      </c>
      <c r="AJ320" s="32" t="n">
        <f aca="false">AI320*1.06</f>
        <v>15413.2798</v>
      </c>
      <c r="AK320" s="32" t="n">
        <f aca="false">AJ320*1.05</f>
        <v>16183.94379</v>
      </c>
      <c r="AL320" s="32" t="n">
        <f aca="false">AK320*1.05</f>
        <v>16993.1409795</v>
      </c>
      <c r="AM320" s="30"/>
      <c r="AN320" s="30"/>
      <c r="AO320" s="30"/>
      <c r="AP320" s="30"/>
      <c r="AQ320" s="30"/>
      <c r="AR320" s="30"/>
      <c r="AS320" s="30"/>
      <c r="AT320" s="30"/>
      <c r="AU320" s="30"/>
      <c r="AV320" s="30"/>
      <c r="AW320" s="30"/>
      <c r="AX320" s="30"/>
      <c r="AY320" s="30"/>
    </row>
    <row r="321" customFormat="false" ht="15" hidden="false" customHeight="true" outlineLevel="0" collapsed="false">
      <c r="A321" s="29" t="s">
        <v>482</v>
      </c>
      <c r="B321" s="30"/>
      <c r="C321" s="30"/>
      <c r="D321" s="30"/>
      <c r="E321" s="30"/>
      <c r="F321" s="30"/>
      <c r="G321" s="30"/>
      <c r="H321" s="30"/>
      <c r="I321" s="30"/>
      <c r="J321" s="30"/>
      <c r="K321" s="30"/>
      <c r="L321" s="30"/>
      <c r="M321" s="30"/>
      <c r="N321" s="30"/>
      <c r="O321" s="30"/>
      <c r="P321" s="30"/>
      <c r="Q321" s="30"/>
      <c r="R321" s="30"/>
      <c r="S321" s="30"/>
      <c r="T321" s="30"/>
      <c r="U321" s="30"/>
      <c r="V321" s="62" t="n">
        <v>17.418</v>
      </c>
      <c r="W321" s="62" t="n">
        <v>3.968</v>
      </c>
      <c r="X321" s="62" t="n">
        <v>5.682</v>
      </c>
      <c r="Y321" s="62" t="n">
        <v>1321.113</v>
      </c>
      <c r="Z321" s="62" t="n">
        <v>1378.389</v>
      </c>
      <c r="AA321" s="62" t="n">
        <v>1748.755</v>
      </c>
      <c r="AB321" s="62" t="n">
        <v>63.8</v>
      </c>
      <c r="AC321" s="62" t="n">
        <v>219.4</v>
      </c>
      <c r="AD321" s="62" t="n">
        <v>97.4</v>
      </c>
      <c r="AE321" s="62" t="n">
        <v>79.8</v>
      </c>
      <c r="AF321" s="62" t="n">
        <v>111.1</v>
      </c>
      <c r="AG321" s="62" t="n">
        <v>156.8</v>
      </c>
      <c r="AH321" s="62" t="n">
        <v>230</v>
      </c>
      <c r="AI321" s="32" t="n">
        <f aca="false">+AH321*1.05</f>
        <v>241.5</v>
      </c>
      <c r="AJ321" s="32" t="n">
        <f aca="false">+AI321*1.05</f>
        <v>253.575</v>
      </c>
      <c r="AK321" s="32" t="n">
        <f aca="false">+AJ321*1.05</f>
        <v>266.25375</v>
      </c>
      <c r="AL321" s="32" t="n">
        <f aca="false">+AK321*1.05</f>
        <v>279.5664375</v>
      </c>
      <c r="AM321" s="30"/>
      <c r="AN321" s="30"/>
      <c r="AO321" s="30"/>
      <c r="AP321" s="30"/>
      <c r="AQ321" s="30"/>
      <c r="AR321" s="30"/>
      <c r="AS321" s="30"/>
      <c r="AT321" s="30"/>
      <c r="AU321" s="30"/>
      <c r="AV321" s="30"/>
      <c r="AW321" s="30"/>
      <c r="AX321" s="30"/>
      <c r="AY321" s="30"/>
    </row>
    <row r="322" customFormat="false" ht="15" hidden="false" customHeight="true" outlineLevel="0" collapsed="false">
      <c r="A322" s="51" t="s">
        <v>483</v>
      </c>
      <c r="B322" s="52" t="n">
        <f aca="false">+B311+B303+B295+B280</f>
        <v>9713.44</v>
      </c>
      <c r="C322" s="52" t="n">
        <f aca="false">+C311+C303+C295+C280</f>
        <v>12111.87</v>
      </c>
      <c r="D322" s="52" t="n">
        <f aca="false">+D311+D303+D295+D280</f>
        <v>15375.46</v>
      </c>
      <c r="E322" s="52" t="n">
        <f aca="false">+E311+E303+E295+E280</f>
        <v>20466.58</v>
      </c>
      <c r="F322" s="52" t="n">
        <f aca="false">+F311+F303+F295+F280</f>
        <v>25168.01</v>
      </c>
      <c r="G322" s="52" t="n">
        <f aca="false">+G311+G303+G295+G280</f>
        <v>20630.001576</v>
      </c>
      <c r="H322" s="52" t="n">
        <f aca="false">+H311+H303+H295+H280</f>
        <v>21014.978378296</v>
      </c>
      <c r="I322" s="52" t="n">
        <f aca="false">+I311+I303+I295+I280</f>
        <v>26764.56</v>
      </c>
      <c r="J322" s="52" t="n">
        <f aca="false">+J311+J303+J295+J280</f>
        <v>26696.3</v>
      </c>
      <c r="K322" s="52" t="n">
        <f aca="false">+K311+K303+K295+K280</f>
        <v>26966.06</v>
      </c>
      <c r="L322" s="52" t="n">
        <f aca="false">+L311+L303+L295+L280</f>
        <v>31257.18</v>
      </c>
      <c r="M322" s="52" t="n">
        <f aca="false">+M311+M303+M295+M280</f>
        <v>39795.71</v>
      </c>
      <c r="N322" s="52" t="n">
        <f aca="false">+N311+N303+N295+N280</f>
        <v>48872.93</v>
      </c>
      <c r="O322" s="52" t="n">
        <f aca="false">+O311+O303+O295+O280</f>
        <v>61704.08</v>
      </c>
      <c r="P322" s="52" t="n">
        <f aca="false">+P311+P303+P295+P280</f>
        <v>84754.21</v>
      </c>
      <c r="Q322" s="52" t="n">
        <f aca="false">+Q311+Q303+Q295+Q280</f>
        <v>91283.23</v>
      </c>
      <c r="R322" s="52" t="n">
        <f aca="false">+R311+R303+R295+R280+R315+R318+R319+R289+R321+R320</f>
        <v>67839.932</v>
      </c>
      <c r="S322" s="52" t="n">
        <f aca="false">+S311+S303+S295+S280+S315+S318+S319+S289+S321+S320</f>
        <v>80351.151</v>
      </c>
      <c r="T322" s="52" t="n">
        <f aca="false">+T311+T303+T295+T280+T315+T318+T319+T289+T321+T320</f>
        <v>123418.887</v>
      </c>
      <c r="U322" s="52" t="n">
        <f aca="false">+U311+U303+U295+U280+U315+U318+U319+U289+U321+U320</f>
        <v>141225.193</v>
      </c>
      <c r="V322" s="52" t="n">
        <f aca="false">+V311+V303+V295+V280+V315+V318+V319+V289+V321+V320</f>
        <v>139479.807</v>
      </c>
      <c r="W322" s="52" t="n">
        <f aca="false">+W311+W303+W295+W280+W315+W318+W319+W289+W321+W320</f>
        <v>109183.081</v>
      </c>
      <c r="X322" s="52" t="n">
        <f aca="false">+X311+X303+X295+X280+X315+X318+X319+X289+X321+X320</f>
        <v>148402.058</v>
      </c>
      <c r="Y322" s="52" t="n">
        <f aca="false">+Y311+Y303+Y295+Y280+Y315+Y318+Y319+Y289+Y321+Y320</f>
        <v>204287.801</v>
      </c>
      <c r="Z322" s="52" t="n">
        <f aca="false">+Z311+Z303+Z295+Z280+Z315+Z318+Z319+Z289+Z321+Z320</f>
        <v>217907.116</v>
      </c>
      <c r="AA322" s="52" t="n">
        <f aca="false">+AA311+AA303+AA295+AA280+AA315+AA318+AA319+AA289+AA321+AA320+AA317</f>
        <v>269266.733</v>
      </c>
      <c r="AB322" s="52" t="n">
        <f aca="false">+AB311+AB303+AB295+AB280+AB315+AB318+AB319+AB289+AB321+AB320+AB317</f>
        <v>294438.9</v>
      </c>
      <c r="AC322" s="52" t="n">
        <f aca="false">+AC311+AC303+AC295+AC280+AC315+AC318+AC319+AC289+AC321+AC320+AC317</f>
        <v>178846.5</v>
      </c>
      <c r="AD322" s="52" t="n">
        <f aca="false">+AD311+AD303+AD295+AD280+AD315+AD318+AD319+AD289+AD321+AD320+AD317</f>
        <v>155984.3</v>
      </c>
      <c r="AE322" s="52" t="n">
        <f aca="false">+AE311+AE303+AE295+AE280+AE315+AE318+AE319+AE289+AE321+AE320+AE317</f>
        <v>219961.7</v>
      </c>
      <c r="AF322" s="52" t="n">
        <f aca="false">+AF311+AF303+AF295+AF280+AF315+AF318+AF319+AF289+AF321+AF320+AF317</f>
        <v>367411.9</v>
      </c>
      <c r="AG322" s="52" t="n">
        <f aca="false">+AG311+AG303+AG295+AG280+AG315+AG318+AG319+AG289+AG321+AG320+AG317</f>
        <v>390825.5</v>
      </c>
      <c r="AH322" s="52" t="n">
        <f aca="false">+AH311+AH303+AH295+AH280+AH315+AH318+AH319+AH289+AH321+AH320+AH317</f>
        <v>395583.1</v>
      </c>
      <c r="AI322" s="52" t="n">
        <f aca="false">+AI311+AI303+AI295+AI280+AI315+AI318+AI319+AI289+AI321+AI320+AI317</f>
        <v>449051.326530613</v>
      </c>
      <c r="AJ322" s="52" t="n">
        <f aca="false">+AJ311+AJ303+AJ295+AJ280+AJ315+AJ318+AJ319+AJ289+AJ321+AJ320+AJ317</f>
        <v>489611.721306035</v>
      </c>
      <c r="AK322" s="52" t="n">
        <f aca="false">+AK311+AK303+AK295+AK280+AK315+AK318+AK319+AK289+AK321+AK320+AK317</f>
        <v>529432.827743392</v>
      </c>
      <c r="AL322" s="52" t="n">
        <f aca="false">+AL311+AL303+AL295+AL280+AL315+AL318+AL319+AL289+AL321+AL320+AL317</f>
        <v>569168.236055297</v>
      </c>
      <c r="AM322" s="53"/>
      <c r="AN322" s="53"/>
      <c r="AO322" s="53"/>
      <c r="AP322" s="53"/>
      <c r="AQ322" s="53"/>
      <c r="AR322" s="53"/>
      <c r="AS322" s="53"/>
      <c r="AT322" s="53"/>
      <c r="AU322" s="53"/>
      <c r="AV322" s="53"/>
      <c r="AW322" s="53"/>
      <c r="AX322" s="53"/>
      <c r="AY322" s="53"/>
    </row>
    <row r="323" customFormat="false" ht="15" hidden="false" customHeight="true" outlineLevel="0" collapsed="false">
      <c r="A323" s="29" t="s">
        <v>467</v>
      </c>
      <c r="B323" s="36"/>
      <c r="C323" s="49" t="n">
        <f aca="false">+C322/B322*100-100</f>
        <v>24.6918702334086</v>
      </c>
      <c r="D323" s="49" t="n">
        <f aca="false">+D322/C322*100-100</f>
        <v>26.9453849818401</v>
      </c>
      <c r="E323" s="49" t="n">
        <f aca="false">+E322/D322*100-100</f>
        <v>33.1119849422392</v>
      </c>
      <c r="F323" s="49" t="n">
        <f aca="false">+F322/E322*100-100</f>
        <v>22.971253624201</v>
      </c>
      <c r="G323" s="49" t="n">
        <f aca="false">+G322/F322*100-100</f>
        <v>-18.0308591104342</v>
      </c>
      <c r="H323" s="49" t="n">
        <f aca="false">+H322/G322*100-100</f>
        <v>1.86610166207579</v>
      </c>
      <c r="I323" s="49" t="n">
        <f aca="false">+I322/H322*100-100</f>
        <v>27.3594458114794</v>
      </c>
      <c r="J323" s="49" t="n">
        <f aca="false">+J322/I322*100-100</f>
        <v>-0.255038752738699</v>
      </c>
      <c r="K323" s="49" t="n">
        <f aca="false">+K322/J322*100-100</f>
        <v>1.0104771073145</v>
      </c>
      <c r="L323" s="49" t="n">
        <f aca="false">+L322/K322*100-100</f>
        <v>15.9130403180888</v>
      </c>
      <c r="M323" s="49" t="n">
        <f aca="false">+M322/L322*100-100</f>
        <v>27.3170196415671</v>
      </c>
      <c r="N323" s="49" t="n">
        <f aca="false">+N322/M322*100-100</f>
        <v>22.8095440438178</v>
      </c>
      <c r="O323" s="49" t="n">
        <f aca="false">+O322/N322*100-100</f>
        <v>26.2541042658993</v>
      </c>
      <c r="P323" s="49" t="n">
        <f aca="false">+P322/O322*100-100</f>
        <v>37.355925248379</v>
      </c>
      <c r="Q323" s="49" t="n">
        <f aca="false">+Q322/P322*100-100</f>
        <v>7.70347573294592</v>
      </c>
      <c r="R323" s="49" t="n">
        <f aca="false">+R322/Q322*100-100</f>
        <v>-25.68193303414</v>
      </c>
      <c r="S323" s="49" t="n">
        <f aca="false">+S322/R322*100-100</f>
        <v>18.4422634739669</v>
      </c>
      <c r="T323" s="49" t="n">
        <f aca="false">+T322/S322*100-100</f>
        <v>53.5994014572361</v>
      </c>
      <c r="U323" s="49" t="n">
        <f aca="false">+U322/T322*100-100</f>
        <v>14.4275373347031</v>
      </c>
      <c r="V323" s="49" t="n">
        <f aca="false">+V322/U322*100-100</f>
        <v>-1.23588855707919</v>
      </c>
      <c r="W323" s="49" t="n">
        <f aca="false">+W322/V322*100-100</f>
        <v>-21.7212273601727</v>
      </c>
      <c r="X323" s="49" t="n">
        <f aca="false">+X322/W322*100-100</f>
        <v>35.9203794587918</v>
      </c>
      <c r="Y323" s="49" t="n">
        <f aca="false">+Y322/X322*100-100</f>
        <v>37.6583342260658</v>
      </c>
      <c r="Z323" s="49" t="n">
        <f aca="false">+Z322/Y322*100-100</f>
        <v>6.6667294539041</v>
      </c>
      <c r="AA323" s="49" t="n">
        <f aca="false">+AA322/Z322*100-100</f>
        <v>23.5694996761831</v>
      </c>
      <c r="AB323" s="49" t="n">
        <f aca="false">+AB322/AA322*100-100</f>
        <v>9.34841327019778</v>
      </c>
      <c r="AC323" s="49" t="n">
        <f aca="false">+AC322/AB322*100-100</f>
        <v>-39.2585354720453</v>
      </c>
      <c r="AD323" s="49" t="n">
        <f aca="false">+AD322/AC322*100-100</f>
        <v>-12.7831408498349</v>
      </c>
      <c r="AE323" s="49" t="n">
        <f aca="false">+AE322/AD322*100-100</f>
        <v>41.0152816661677</v>
      </c>
      <c r="AF323" s="49" t="n">
        <f aca="false">+AF322/AE322*100-100</f>
        <v>67.0344882768227</v>
      </c>
      <c r="AG323" s="49" t="n">
        <f aca="false">+AG322/AF322*100-100</f>
        <v>6.37257530308628</v>
      </c>
      <c r="AH323" s="49" t="n">
        <f aca="false">+AH322/AG322*100-100</f>
        <v>1.21732077359333</v>
      </c>
      <c r="AI323" s="49" t="n">
        <f aca="false">+AI322/AH322*100-100</f>
        <v>13.5163070744459</v>
      </c>
      <c r="AJ323" s="49" t="n">
        <f aca="false">+AJ322/AI322*100-100</f>
        <v>9.03246296782898</v>
      </c>
      <c r="AK323" s="49" t="n">
        <f aca="false">+AK322/AJ322*100-100</f>
        <v>8.13320120914074</v>
      </c>
      <c r="AL323" s="49" t="n">
        <f aca="false">+AL322/AK322*100-100</f>
        <v>7.50527852254072</v>
      </c>
      <c r="AM323" s="36"/>
      <c r="AN323" s="36"/>
      <c r="AO323" s="36"/>
      <c r="AP323" s="36"/>
      <c r="AQ323" s="36"/>
      <c r="AR323" s="36"/>
      <c r="AS323" s="36"/>
      <c r="AT323" s="36"/>
      <c r="AU323" s="36"/>
      <c r="AV323" s="36"/>
      <c r="AW323" s="36"/>
      <c r="AX323" s="36"/>
      <c r="AY323" s="36"/>
    </row>
    <row r="324" customFormat="false" ht="15" hidden="false" customHeight="true" outlineLevel="0" collapsed="false">
      <c r="A324" s="47" t="s">
        <v>484</v>
      </c>
      <c r="B324" s="62" t="n">
        <v>169.07</v>
      </c>
      <c r="C324" s="62" t="n">
        <v>298.93</v>
      </c>
      <c r="D324" s="62" t="n">
        <v>242.54</v>
      </c>
      <c r="E324" s="62" t="n">
        <v>369.56</v>
      </c>
      <c r="F324" s="62" t="n">
        <v>343.5</v>
      </c>
      <c r="G324" s="62" t="n">
        <v>487.2</v>
      </c>
      <c r="H324" s="62" t="n">
        <v>564.5</v>
      </c>
      <c r="I324" s="62" t="n">
        <v>777.38</v>
      </c>
      <c r="J324" s="62" t="n">
        <v>629.67</v>
      </c>
      <c r="K324" s="62" t="n">
        <v>661.58</v>
      </c>
      <c r="L324" s="62" t="n">
        <v>517.23</v>
      </c>
      <c r="M324" s="62" t="n">
        <v>522.98</v>
      </c>
      <c r="N324" s="62" t="n">
        <v>760.11</v>
      </c>
      <c r="O324" s="62" t="n">
        <v>1173</v>
      </c>
      <c r="P324" s="62" t="n">
        <v>1707.04</v>
      </c>
      <c r="Q324" s="62" t="n">
        <v>1946.33</v>
      </c>
      <c r="R324" s="62" t="n">
        <v>1173.531</v>
      </c>
      <c r="S324" s="62" t="n">
        <v>1625.177</v>
      </c>
      <c r="T324" s="62" t="n">
        <v>2482.819</v>
      </c>
      <c r="U324" s="62" t="n">
        <v>4756.077</v>
      </c>
      <c r="V324" s="62" t="n">
        <v>6494.218</v>
      </c>
      <c r="W324" s="62" t="n">
        <v>3574.628</v>
      </c>
      <c r="X324" s="62" t="n">
        <v>3542.723</v>
      </c>
      <c r="Y324" s="62" t="n">
        <v>4358.059</v>
      </c>
      <c r="Z324" s="62" t="n">
        <v>4590.425</v>
      </c>
      <c r="AA324" s="62" t="n">
        <v>4021.614</v>
      </c>
      <c r="AB324" s="62" t="n">
        <v>3889.4</v>
      </c>
      <c r="AC324" s="62" t="n">
        <v>4171.8</v>
      </c>
      <c r="AD324" s="62" t="n">
        <v>2969.8</v>
      </c>
      <c r="AE324" s="62" t="n">
        <v>3078.8</v>
      </c>
      <c r="AF324" s="62" t="n">
        <v>5970.5</v>
      </c>
      <c r="AG324" s="62" t="n">
        <v>7155.2</v>
      </c>
      <c r="AH324" s="62" t="n">
        <v>8055.7</v>
      </c>
      <c r="AI324" s="31" t="n">
        <f aca="false">AI322*AI325/100</f>
        <v>8981.02653061225</v>
      </c>
      <c r="AJ324" s="31" t="n">
        <f aca="false">AJ322*AJ325/100</f>
        <v>9792.2344261207</v>
      </c>
      <c r="AK324" s="31" t="n">
        <f aca="false">AK322*AK325/100</f>
        <v>11118.0893826112</v>
      </c>
      <c r="AL324" s="31" t="n">
        <f aca="false">AL322*AL325/100</f>
        <v>11952.5329571612</v>
      </c>
      <c r="AM324" s="30"/>
      <c r="AN324" s="30"/>
      <c r="AO324" s="30"/>
      <c r="AP324" s="30"/>
      <c r="AQ324" s="30"/>
      <c r="AR324" s="30"/>
      <c r="AS324" s="30"/>
      <c r="AT324" s="30"/>
      <c r="AU324" s="30"/>
      <c r="AV324" s="30"/>
      <c r="AW324" s="30"/>
      <c r="AX324" s="30"/>
      <c r="AY324" s="30"/>
    </row>
    <row r="325" customFormat="false" ht="15" hidden="false" customHeight="true" outlineLevel="0" collapsed="false">
      <c r="A325" s="47" t="s">
        <v>485</v>
      </c>
      <c r="B325" s="59" t="n">
        <f aca="false">+B324/B322*100</f>
        <v>1.74057800326146</v>
      </c>
      <c r="C325" s="59" t="n">
        <f aca="false">+C324/C322*100</f>
        <v>2.46807470687846</v>
      </c>
      <c r="D325" s="59" t="n">
        <f aca="false">+D324/D322*100</f>
        <v>1.57744873974502</v>
      </c>
      <c r="E325" s="59" t="n">
        <f aca="false">+E324/E322*100</f>
        <v>1.80567539862547</v>
      </c>
      <c r="F325" s="59" t="n">
        <f aca="false">+F324/F322*100</f>
        <v>1.36482781117776</v>
      </c>
      <c r="G325" s="59" t="n">
        <f aca="false">+G324/G322*100</f>
        <v>2.36160912642288</v>
      </c>
      <c r="H325" s="59" t="n">
        <f aca="false">+H324/H322*100</f>
        <v>2.68617930429568</v>
      </c>
      <c r="I325" s="59" t="n">
        <f aca="false">+I324/I322*100</f>
        <v>2.9045125344859</v>
      </c>
      <c r="J325" s="59" t="n">
        <f aca="false">+J324/J322*100</f>
        <v>2.35864145967793</v>
      </c>
      <c r="K325" s="59" t="n">
        <f aca="false">+K324/K322*100</f>
        <v>2.45338028618196</v>
      </c>
      <c r="L325" s="59" t="n">
        <f aca="false">+L324/L322*100</f>
        <v>1.65475580330663</v>
      </c>
      <c r="M325" s="59" t="n">
        <f aca="false">+M324/M322*100</f>
        <v>1.31416175261102</v>
      </c>
      <c r="N325" s="59" t="n">
        <f aca="false">+N324/N322*100</f>
        <v>1.5552781468187</v>
      </c>
      <c r="O325" s="59" t="n">
        <f aca="false">+O324/O322*100</f>
        <v>1.90100881497625</v>
      </c>
      <c r="P325" s="59" t="n">
        <f aca="false">+P324/P322*100</f>
        <v>2.01410643789848</v>
      </c>
      <c r="Q325" s="59" t="n">
        <f aca="false">+Q324/Q322*100</f>
        <v>2.13218791666333</v>
      </c>
      <c r="R325" s="59" t="n">
        <f aca="false">+R324/R322*100</f>
        <v>1.72985285421571</v>
      </c>
      <c r="S325" s="59" t="n">
        <f aca="false">+S324/S322*100</f>
        <v>2.02259330423282</v>
      </c>
      <c r="T325" s="59" t="n">
        <f aca="false">+T324/T322*100</f>
        <v>2.01170101299001</v>
      </c>
      <c r="U325" s="59" t="n">
        <f aca="false">+U324/U322*100</f>
        <v>3.36772561535816</v>
      </c>
      <c r="V325" s="59" t="n">
        <f aca="false">+V324/V322*100</f>
        <v>4.65602737749702</v>
      </c>
      <c r="W325" s="59" t="n">
        <f aca="false">+W324/W322*100</f>
        <v>3.27397612089734</v>
      </c>
      <c r="X325" s="59" t="n">
        <f aca="false">+X324/X322*100</f>
        <v>2.38724654344079</v>
      </c>
      <c r="Y325" s="59" t="n">
        <f aca="false">+Y324/Y322*100</f>
        <v>2.13329380348071</v>
      </c>
      <c r="Z325" s="59" t="n">
        <f aca="false">+Z324/Z322*100</f>
        <v>2.1065971062643</v>
      </c>
      <c r="AA325" s="59" t="n">
        <f aca="false">+AA324/AA322*100</f>
        <v>1.49354283583186</v>
      </c>
      <c r="AB325" s="59" t="n">
        <f aca="false">+AB324/AB322*100</f>
        <v>1.32095317568433</v>
      </c>
      <c r="AC325" s="59" t="n">
        <f aca="false">+AC324/AC322*100</f>
        <v>2.33261484010031</v>
      </c>
      <c r="AD325" s="59" t="n">
        <f aca="false">+AD324/AD322*100</f>
        <v>1.90390956012881</v>
      </c>
      <c r="AE325" s="59" t="n">
        <f aca="false">+AE324/AE322*100</f>
        <v>1.39969822019015</v>
      </c>
      <c r="AF325" s="59" t="n">
        <f aca="false">+AF324/AF322*100</f>
        <v>1.62501541185792</v>
      </c>
      <c r="AG325" s="59" t="n">
        <f aca="false">+AG324/AG322*100</f>
        <v>1.83079149134332</v>
      </c>
      <c r="AH325" s="59" t="n">
        <f aca="false">+AH324/AH322*100</f>
        <v>2.03641156561036</v>
      </c>
      <c r="AI325" s="60" t="n">
        <v>2</v>
      </c>
      <c r="AJ325" s="60" t="n">
        <v>2</v>
      </c>
      <c r="AK325" s="60" t="n">
        <v>2.1</v>
      </c>
      <c r="AL325" s="60" t="n">
        <v>2.1</v>
      </c>
      <c r="AM325" s="43"/>
      <c r="AN325" s="43"/>
      <c r="AO325" s="43"/>
      <c r="AP325" s="43"/>
      <c r="AQ325" s="43"/>
      <c r="AR325" s="43"/>
      <c r="AS325" s="43"/>
      <c r="AT325" s="43"/>
      <c r="AU325" s="43"/>
      <c r="AV325" s="43"/>
      <c r="AW325" s="43"/>
      <c r="AX325" s="43"/>
      <c r="AY325" s="43"/>
    </row>
    <row r="326" customFormat="false" ht="15" hidden="false" customHeight="true" outlineLevel="0" collapsed="false">
      <c r="A326" s="29" t="s">
        <v>467</v>
      </c>
      <c r="B326" s="36"/>
      <c r="C326" s="49" t="n">
        <f aca="false">+C324/B324*100-100</f>
        <v>76.8084225468741</v>
      </c>
      <c r="D326" s="49" t="n">
        <f aca="false">+D324/C324*100-100</f>
        <v>-18.8639480814907</v>
      </c>
      <c r="E326" s="49" t="n">
        <f aca="false">+E324/D324*100-100</f>
        <v>52.3707429702317</v>
      </c>
      <c r="F326" s="49" t="n">
        <f aca="false">+F324/E324*100-100</f>
        <v>-7.05162896417362</v>
      </c>
      <c r="G326" s="49" t="n">
        <f aca="false">+G324/F324*100-100</f>
        <v>41.8340611353712</v>
      </c>
      <c r="H326" s="49" t="n">
        <f aca="false">+H324/G324*100-100</f>
        <v>15.8661740558292</v>
      </c>
      <c r="I326" s="49" t="n">
        <f aca="false">+I324/H324*100-100</f>
        <v>37.7112488928255</v>
      </c>
      <c r="J326" s="49" t="n">
        <f aca="false">+J324/I324*100-100</f>
        <v>-19.0010033702951</v>
      </c>
      <c r="K326" s="49" t="n">
        <f aca="false">+K324/J324*100-100</f>
        <v>5.06773389235633</v>
      </c>
      <c r="L326" s="49" t="n">
        <f aca="false">+L324/K324*100-100</f>
        <v>-21.8189788083074</v>
      </c>
      <c r="M326" s="49" t="n">
        <f aca="false">+M324/L324*100-100</f>
        <v>1.1116911238714</v>
      </c>
      <c r="N326" s="49" t="n">
        <f aca="false">+N324/M324*100-100</f>
        <v>45.3420780909404</v>
      </c>
      <c r="O326" s="49" t="n">
        <f aca="false">+O324/N324*100-100</f>
        <v>54.319769507045</v>
      </c>
      <c r="P326" s="49" t="n">
        <f aca="false">+P324/O324*100-100</f>
        <v>45.5277067348679</v>
      </c>
      <c r="Q326" s="49" t="n">
        <f aca="false">+Q324/P324*100-100</f>
        <v>14.017832036742</v>
      </c>
      <c r="R326" s="49" t="n">
        <f aca="false">+R324/Q324*100-100</f>
        <v>-39.705445633577</v>
      </c>
      <c r="S326" s="49" t="n">
        <f aca="false">+S324/R324*100-100</f>
        <v>38.4860732268683</v>
      </c>
      <c r="T326" s="49" t="n">
        <f aca="false">+T324/S324*100-100</f>
        <v>52.772221118069</v>
      </c>
      <c r="U326" s="49" t="n">
        <f aca="false">+U324/T324*100-100</f>
        <v>91.5595538780717</v>
      </c>
      <c r="V326" s="49" t="n">
        <f aca="false">+V324/U324*100-100</f>
        <v>36.5456867077635</v>
      </c>
      <c r="W326" s="49" t="n">
        <f aca="false">+W324/V324*100-100</f>
        <v>-44.9567599978935</v>
      </c>
      <c r="X326" s="49" t="n">
        <f aca="false">+X324/W324*100-100</f>
        <v>-0.892540426584247</v>
      </c>
      <c r="Y326" s="49" t="n">
        <f aca="false">+Y324/X324*100-100</f>
        <v>23.0143875205598</v>
      </c>
      <c r="Z326" s="49" t="n">
        <f aca="false">+Z324/Y324*100-100</f>
        <v>5.33186907290609</v>
      </c>
      <c r="AA326" s="49" t="n">
        <f aca="false">+AA324/Z324*100-100</f>
        <v>-12.3912491762745</v>
      </c>
      <c r="AB326" s="49" t="n">
        <f aca="false">+AB324/AA324*100-100</f>
        <v>-3.28758553158011</v>
      </c>
      <c r="AC326" s="49" t="n">
        <f aca="false">+AC324/AB324*100-100</f>
        <v>7.2607600143981</v>
      </c>
      <c r="AD326" s="49" t="n">
        <f aca="false">+AD324/AC324*100-100</f>
        <v>-28.8125029963085</v>
      </c>
      <c r="AE326" s="49" t="n">
        <f aca="false">+AE324/AD324*100-100</f>
        <v>3.67028082699173</v>
      </c>
      <c r="AF326" s="49" t="n">
        <f aca="false">+AF324/AE324*100-100</f>
        <v>93.9229569962323</v>
      </c>
      <c r="AG326" s="49" t="n">
        <f aca="false">+AG324/AF324*100-100</f>
        <v>19.8425592496441</v>
      </c>
      <c r="AH326" s="49" t="n">
        <f aca="false">+AH324/AG324*100-100</f>
        <v>12.5852526833632</v>
      </c>
      <c r="AI326" s="49" t="n">
        <f aca="false">+AI324/AH324*100-100</f>
        <v>11.4866061374213</v>
      </c>
      <c r="AJ326" s="49" t="n">
        <f aca="false">+AJ324/AI324*100-100</f>
        <v>9.03246296782898</v>
      </c>
      <c r="AK326" s="49" t="n">
        <f aca="false">+AK324/AJ324*100-100</f>
        <v>13.5398612695978</v>
      </c>
      <c r="AL326" s="49" t="n">
        <f aca="false">+AL324/AK324*100-100</f>
        <v>7.50527852254075</v>
      </c>
      <c r="AM326" s="36"/>
      <c r="AN326" s="36"/>
      <c r="AO326" s="36"/>
      <c r="AP326" s="36"/>
      <c r="AQ326" s="36"/>
      <c r="AR326" s="36"/>
      <c r="AS326" s="36"/>
      <c r="AT326" s="36"/>
      <c r="AU326" s="36"/>
      <c r="AV326" s="36"/>
      <c r="AW326" s="36"/>
      <c r="AX326" s="36"/>
      <c r="AY326" s="36"/>
    </row>
    <row r="327" customFormat="false" ht="15" hidden="false" customHeight="true" outlineLevel="0" collapsed="false">
      <c r="A327" s="51" t="s">
        <v>486</v>
      </c>
      <c r="B327" s="52" t="n">
        <f aca="false">+B322-B324</f>
        <v>9544.37</v>
      </c>
      <c r="C327" s="52" t="n">
        <f aca="false">+C322-C324</f>
        <v>11812.94</v>
      </c>
      <c r="D327" s="52" t="n">
        <f aca="false">+D322-D324</f>
        <v>15132.92</v>
      </c>
      <c r="E327" s="52" t="n">
        <f aca="false">+E322-E324</f>
        <v>20097.02</v>
      </c>
      <c r="F327" s="52" t="n">
        <f aca="false">+F322-F324</f>
        <v>24824.51</v>
      </c>
      <c r="G327" s="52" t="n">
        <f aca="false">+G322-G324</f>
        <v>20142.801576</v>
      </c>
      <c r="H327" s="52" t="n">
        <f aca="false">+H322-H324</f>
        <v>20450.478378296</v>
      </c>
      <c r="I327" s="52" t="n">
        <f aca="false">+I322-I324</f>
        <v>25987.18</v>
      </c>
      <c r="J327" s="52" t="n">
        <f aca="false">+J322-J324</f>
        <v>26066.63</v>
      </c>
      <c r="K327" s="52" t="n">
        <f aca="false">+K322-K324</f>
        <v>26304.48</v>
      </c>
      <c r="L327" s="52" t="n">
        <f aca="false">+L322-L324</f>
        <v>30739.95</v>
      </c>
      <c r="M327" s="52" t="n">
        <f aca="false">+M322-M324</f>
        <v>39272.73</v>
      </c>
      <c r="N327" s="52" t="n">
        <f aca="false">+N322-N324</f>
        <v>48112.82</v>
      </c>
      <c r="O327" s="52" t="n">
        <f aca="false">+O322-O324</f>
        <v>60531.08</v>
      </c>
      <c r="P327" s="52" t="n">
        <f aca="false">+P322-P324</f>
        <v>83047.17</v>
      </c>
      <c r="Q327" s="52" t="n">
        <f aca="false">+Q322-Q324</f>
        <v>89336.9</v>
      </c>
      <c r="R327" s="52" t="n">
        <f aca="false">+R322-R324</f>
        <v>66666.401</v>
      </c>
      <c r="S327" s="52" t="n">
        <f aca="false">+S322-S324</f>
        <v>78725.974</v>
      </c>
      <c r="T327" s="52" t="n">
        <f aca="false">+T322-T324</f>
        <v>120936.068</v>
      </c>
      <c r="U327" s="52" t="n">
        <f aca="false">+U322-U324</f>
        <v>136469.116</v>
      </c>
      <c r="V327" s="52" t="n">
        <f aca="false">+V322-V324</f>
        <v>132985.589</v>
      </c>
      <c r="W327" s="52" t="n">
        <f aca="false">+W322-W324</f>
        <v>105608.453</v>
      </c>
      <c r="X327" s="52" t="n">
        <f aca="false">+X322-X324</f>
        <v>144859.335</v>
      </c>
      <c r="Y327" s="52" t="n">
        <f aca="false">+Y322-Y324</f>
        <v>199929.742</v>
      </c>
      <c r="Z327" s="52" t="n">
        <f aca="false">+Z322-Z324</f>
        <v>213316.691</v>
      </c>
      <c r="AA327" s="52" t="n">
        <f aca="false">+AA322-AA324</f>
        <v>265245.119</v>
      </c>
      <c r="AB327" s="52" t="n">
        <f aca="false">+AB322-AB324</f>
        <v>290549.5</v>
      </c>
      <c r="AC327" s="52" t="n">
        <f aca="false">+AC322-AC324</f>
        <v>174674.7</v>
      </c>
      <c r="AD327" s="52" t="n">
        <f aca="false">+AD322-AD324</f>
        <v>153014.5</v>
      </c>
      <c r="AE327" s="52" t="n">
        <f aca="false">+AE322-AE324</f>
        <v>216882.9</v>
      </c>
      <c r="AF327" s="52" t="n">
        <f aca="false">+AF322-AF324</f>
        <v>361441.4</v>
      </c>
      <c r="AG327" s="52" t="n">
        <f aca="false">+AG322-AG324</f>
        <v>383670.3</v>
      </c>
      <c r="AH327" s="52" t="n">
        <f aca="false">+AH322-AH324</f>
        <v>387527.4</v>
      </c>
      <c r="AI327" s="52" t="n">
        <f aca="false">+AI322-AI324</f>
        <v>440070.3</v>
      </c>
      <c r="AJ327" s="52" t="n">
        <f aca="false">+AJ322-AJ324</f>
        <v>479819.486879914</v>
      </c>
      <c r="AK327" s="52" t="n">
        <f aca="false">+AK322-AK324</f>
        <v>518314.738360781</v>
      </c>
      <c r="AL327" s="52" t="n">
        <f aca="false">+AL322-AL324</f>
        <v>557215.703098136</v>
      </c>
      <c r="AM327" s="53"/>
      <c r="AN327" s="53"/>
      <c r="AO327" s="53"/>
      <c r="AP327" s="53"/>
      <c r="AQ327" s="53"/>
      <c r="AR327" s="53"/>
      <c r="AS327" s="53"/>
      <c r="AT327" s="53"/>
      <c r="AU327" s="53"/>
      <c r="AV327" s="53"/>
      <c r="AW327" s="53"/>
      <c r="AX327" s="53"/>
      <c r="AY327" s="53"/>
    </row>
    <row r="328" customFormat="false" ht="15" hidden="false" customHeight="true" outlineLevel="0" collapsed="false">
      <c r="A328" s="29" t="s">
        <v>467</v>
      </c>
      <c r="B328" s="36"/>
      <c r="C328" s="49" t="n">
        <f aca="false">(100*C327)/B327-100</f>
        <v>23.7686720024475</v>
      </c>
      <c r="D328" s="49" t="n">
        <f aca="false">(100*D327)/C327-100</f>
        <v>28.1046039343296</v>
      </c>
      <c r="E328" s="49" t="n">
        <f aca="false">(100*E327)/D327-100</f>
        <v>32.803318857167</v>
      </c>
      <c r="F328" s="49" t="n">
        <f aca="false">(100*F327)/E327-100</f>
        <v>23.5233382859747</v>
      </c>
      <c r="G328" s="49" t="n">
        <f aca="false">(100*G327)/F327-100</f>
        <v>-18.859217861702</v>
      </c>
      <c r="H328" s="49" t="n">
        <f aca="false">(100*H327)/G327-100</f>
        <v>1.52747770033436</v>
      </c>
      <c r="I328" s="49" t="n">
        <f aca="false">(100*I327)/H327-100</f>
        <v>27.073702234663</v>
      </c>
      <c r="J328" s="49" t="n">
        <f aca="false">(100*J327)/I327-100</f>
        <v>0.305727670335912</v>
      </c>
      <c r="K328" s="49" t="n">
        <f aca="false">(100*K327)/J327-100</f>
        <v>0.91246931421513</v>
      </c>
      <c r="L328" s="49" t="n">
        <f aca="false">(100*L327)/K327-100</f>
        <v>16.8620326271419</v>
      </c>
      <c r="M328" s="49" t="n">
        <f aca="false">(100*M327)/L327-100</f>
        <v>27.7579501593203</v>
      </c>
      <c r="N328" s="49" t="n">
        <f aca="false">(100*N327)/M327-100</f>
        <v>22.5094868627671</v>
      </c>
      <c r="O328" s="49" t="n">
        <f aca="false">(100*O327)/N327-100</f>
        <v>25.8107090792018</v>
      </c>
      <c r="P328" s="49" t="n">
        <f aca="false">(100*P327)/O327-100</f>
        <v>37.1975685879056</v>
      </c>
      <c r="Q328" s="49" t="n">
        <f aca="false">(100*Q327)/P327-100</f>
        <v>7.57368372697107</v>
      </c>
      <c r="R328" s="49" t="n">
        <f aca="false">(100*R327)/Q327-100</f>
        <v>-25.3764110910497</v>
      </c>
      <c r="S328" s="49" t="n">
        <f aca="false">(100*S327)/R327-100</f>
        <v>18.0894315863849</v>
      </c>
      <c r="T328" s="49" t="n">
        <f aca="false">(100*T327)/S327-100</f>
        <v>53.6164773267842</v>
      </c>
      <c r="U328" s="49" t="n">
        <f aca="false">(100*U327)/T327-100</f>
        <v>12.8440160630987</v>
      </c>
      <c r="V328" s="49" t="n">
        <f aca="false">(100*V327)/U327-100</f>
        <v>-2.55261197705714</v>
      </c>
      <c r="W328" s="49" t="n">
        <f aca="false">(100*W327)/V327-100</f>
        <v>-20.5865434035864</v>
      </c>
      <c r="X328" s="49" t="n">
        <f aca="false">(100*X327)/W327-100</f>
        <v>37.1664207598989</v>
      </c>
      <c r="Y328" s="49" t="n">
        <f aca="false">(100*Y327)/X327-100</f>
        <v>38.0164709440369</v>
      </c>
      <c r="Z328" s="49" t="n">
        <f aca="false">(100*Z327)/Y327-100</f>
        <v>6.69582667695335</v>
      </c>
      <c r="AA328" s="49" t="n">
        <f aca="false">(100*AA327)/Z327-100</f>
        <v>24.3433496725298</v>
      </c>
      <c r="AB328" s="49" t="n">
        <f aca="false">(100*AB327)/AA327-100</f>
        <v>9.53999873603705</v>
      </c>
      <c r="AC328" s="49" t="n">
        <f aca="false">(100*AC327)/AB327-100</f>
        <v>-39.8812594755799</v>
      </c>
      <c r="AD328" s="49" t="n">
        <f aca="false">(100*AD327)/AC327-100</f>
        <v>-12.4003075431073</v>
      </c>
      <c r="AE328" s="49" t="n">
        <f aca="false">(100*AE327)/AD327-100</f>
        <v>41.7400965267998</v>
      </c>
      <c r="AF328" s="49" t="n">
        <f aca="false">(100*AF327)/AE327-100</f>
        <v>66.6527882096744</v>
      </c>
      <c r="AG328" s="49" t="n">
        <f aca="false">(100*AG327)/AF327-100</f>
        <v>6.15007024651854</v>
      </c>
      <c r="AH328" s="49" t="n">
        <f aca="false">(100*AH327)/AG327-100</f>
        <v>1.00531628327759</v>
      </c>
      <c r="AI328" s="49" t="n">
        <f aca="false">(100*AI327)/AH327-100</f>
        <v>13.558499347401</v>
      </c>
      <c r="AJ328" s="49" t="n">
        <f aca="false">(100*AJ327)/AI327-100</f>
        <v>9.03246296782898</v>
      </c>
      <c r="AK328" s="49" t="n">
        <f aca="false">(100*AK327)/AJ327-100</f>
        <v>8.02286120790693</v>
      </c>
      <c r="AL328" s="49" t="n">
        <f aca="false">(100*AL327)/AK327-100</f>
        <v>7.50527852254074</v>
      </c>
      <c r="AM328" s="36"/>
      <c r="AN328" s="36"/>
      <c r="AO328" s="36"/>
      <c r="AP328" s="36"/>
      <c r="AQ328" s="36"/>
      <c r="AR328" s="36"/>
      <c r="AS328" s="36"/>
      <c r="AT328" s="36"/>
      <c r="AU328" s="36"/>
      <c r="AV328" s="36"/>
      <c r="AW328" s="36"/>
      <c r="AX328" s="36"/>
      <c r="AY328" s="36"/>
    </row>
    <row r="329" customFormat="false" ht="15" hidden="false" customHeight="true" outlineLevel="0" collapsed="false">
      <c r="A329" s="29"/>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89" t="n">
        <f aca="false">+Y327-199929.742</f>
        <v>0</v>
      </c>
      <c r="Z329" s="89" t="n">
        <f aca="false">+Z327-213316.691</f>
        <v>0</v>
      </c>
      <c r="AA329" s="89" t="n">
        <f aca="false">+AA327-265245.119</f>
        <v>0</v>
      </c>
      <c r="AB329" s="43"/>
      <c r="AC329" s="89" t="n">
        <f aca="false">+AC327-174674.7</f>
        <v>0</v>
      </c>
      <c r="AD329" s="89" t="n">
        <f aca="false">+AD327-153014.5</f>
        <v>0</v>
      </c>
      <c r="AE329" s="89" t="n">
        <f aca="false">+AE327-216882.9</f>
        <v>0</v>
      </c>
      <c r="AF329" s="89" t="n">
        <f aca="false">+AF327-361441.4</f>
        <v>0</v>
      </c>
      <c r="AG329" s="89" t="n">
        <f aca="false">+AG327-383670.3</f>
        <v>0</v>
      </c>
      <c r="AH329" s="89" t="n">
        <f aca="false">+AH327-387527.4</f>
        <v>0</v>
      </c>
      <c r="AI329" s="89" t="n">
        <f aca="false">+AI327-440070.3</f>
        <v>0</v>
      </c>
      <c r="AJ329" s="43"/>
      <c r="AK329" s="43"/>
      <c r="AL329" s="43"/>
      <c r="AM329" s="43"/>
      <c r="AN329" s="43"/>
      <c r="AO329" s="43"/>
      <c r="AP329" s="43"/>
      <c r="AQ329" s="43"/>
      <c r="AR329" s="43"/>
      <c r="AS329" s="43"/>
      <c r="AT329" s="43"/>
      <c r="AU329" s="43"/>
      <c r="AV329" s="43"/>
      <c r="AW329" s="43"/>
      <c r="AX329" s="43"/>
      <c r="AY329" s="43"/>
    </row>
    <row r="330" customFormat="false" ht="15" hidden="false" customHeight="true" outlineLevel="0" collapsed="false">
      <c r="A330" s="47" t="s">
        <v>487</v>
      </c>
      <c r="B330" s="32" t="n">
        <f aca="false">B295*0.1</f>
        <v>48.066</v>
      </c>
      <c r="C330" s="32" t="n">
        <f aca="false">C295*0.1</f>
        <v>76.642</v>
      </c>
      <c r="D330" s="32" t="n">
        <f aca="false">D295*0.1</f>
        <v>71.824</v>
      </c>
      <c r="E330" s="32" t="n">
        <f aca="false">E295*0.1</f>
        <v>97.196</v>
      </c>
      <c r="F330" s="32" t="n">
        <f aca="false">F295*0.1</f>
        <v>132.969</v>
      </c>
      <c r="G330" s="32" t="n">
        <f aca="false">G295*0.1</f>
        <v>132.59</v>
      </c>
      <c r="H330" s="32" t="n">
        <f aca="false">H295*0.1</f>
        <v>127.144</v>
      </c>
      <c r="I330" s="32" t="n">
        <f aca="false">I295*0.1</f>
        <v>114.404</v>
      </c>
      <c r="J330" s="32" t="n">
        <f aca="false">J295*0.1</f>
        <v>116.653</v>
      </c>
      <c r="K330" s="32" t="n">
        <f aca="false">K295*0.1</f>
        <v>89.251</v>
      </c>
      <c r="L330" s="32" t="n">
        <f aca="false">L295*0.1</f>
        <v>108.481</v>
      </c>
      <c r="M330" s="32" t="n">
        <f aca="false">M295*0.1</f>
        <v>86.113</v>
      </c>
      <c r="N330" s="32" t="n">
        <f aca="false">N295*0.1</f>
        <v>115.428</v>
      </c>
      <c r="O330" s="32" t="n">
        <f aca="false">O295*0.1</f>
        <v>135.751</v>
      </c>
      <c r="P330" s="32" t="n">
        <f aca="false">P295*0.1</f>
        <v>152.577</v>
      </c>
      <c r="Q330" s="32" t="n">
        <f aca="false">Q295*0.1</f>
        <v>235.417</v>
      </c>
      <c r="R330" s="32" t="n">
        <f aca="false">R295*0.1</f>
        <v>442.2779</v>
      </c>
      <c r="S330" s="32" t="n">
        <f aca="false">S295*0.1</f>
        <v>368.7974</v>
      </c>
      <c r="T330" s="32" t="n">
        <f aca="false">T295*0.1</f>
        <v>355.8146</v>
      </c>
      <c r="U330" s="32" t="n">
        <f aca="false">U295*0.1</f>
        <v>349.21</v>
      </c>
      <c r="V330" s="32" t="n">
        <f aca="false">V295*0.1</f>
        <v>483.5163</v>
      </c>
      <c r="W330" s="32" t="n">
        <f aca="false">W295*0.1</f>
        <v>417.839</v>
      </c>
      <c r="X330" s="32" t="n">
        <f aca="false">X295*0.1</f>
        <v>363.1547</v>
      </c>
      <c r="Y330" s="32" t="n">
        <f aca="false">Y295*0.1</f>
        <v>414.8931</v>
      </c>
      <c r="Z330" s="32" t="n">
        <f aca="false">Z295*0.1</f>
        <v>406.968</v>
      </c>
      <c r="AA330" s="32" t="n">
        <f aca="false">AA295*0.1</f>
        <v>429.6647</v>
      </c>
      <c r="AB330" s="32" t="n">
        <f aca="false">AB295*0.1</f>
        <v>468.04</v>
      </c>
      <c r="AC330" s="32" t="n">
        <f aca="false">AC295*0.1</f>
        <v>471.41</v>
      </c>
      <c r="AD330" s="32" t="n">
        <f aca="false">AD295*0.1</f>
        <v>537.27</v>
      </c>
      <c r="AE330" s="32" t="n">
        <f aca="false">AE295*0.1</f>
        <v>514.64</v>
      </c>
      <c r="AF330" s="32" t="n">
        <f aca="false">AF295*0.1</f>
        <v>633.84</v>
      </c>
      <c r="AG330" s="32" t="n">
        <f aca="false">AG295*0.1</f>
        <v>1006.55</v>
      </c>
      <c r="AH330" s="32" t="n">
        <f aca="false">AH295*0.1</f>
        <v>1190.17</v>
      </c>
      <c r="AI330" s="32" t="n">
        <f aca="false">AI295*0.1</f>
        <v>140</v>
      </c>
      <c r="AJ330" s="32" t="n">
        <f aca="false">AJ295*0.1</f>
        <v>142.1</v>
      </c>
      <c r="AK330" s="32" t="n">
        <f aca="false">AK295*0.1</f>
        <v>144.2315</v>
      </c>
      <c r="AL330" s="32" t="n">
        <f aca="false">AL295*0.1</f>
        <v>146.3949725</v>
      </c>
      <c r="AM330" s="30"/>
      <c r="AN330" s="30"/>
      <c r="AO330" s="30"/>
      <c r="AP330" s="30"/>
      <c r="AQ330" s="30"/>
      <c r="AR330" s="30"/>
      <c r="AS330" s="30"/>
      <c r="AT330" s="30"/>
      <c r="AU330" s="30"/>
      <c r="AV330" s="30"/>
      <c r="AW330" s="30"/>
      <c r="AX330" s="30"/>
      <c r="AY330" s="30"/>
    </row>
    <row r="331" customFormat="false" ht="15" hidden="false" customHeight="true" outlineLevel="0" collapsed="false">
      <c r="A331" s="29"/>
      <c r="B331" s="31" t="n">
        <f aca="false">B311*0.25</f>
        <v>278.785</v>
      </c>
      <c r="C331" s="31" t="n">
        <f aca="false">C311*0.25</f>
        <v>352.62</v>
      </c>
      <c r="D331" s="31" t="n">
        <f aca="false">D311*0.25</f>
        <v>399.0875</v>
      </c>
      <c r="E331" s="31" t="n">
        <f aca="false">E311*0.25</f>
        <v>490.5325</v>
      </c>
      <c r="F331" s="31" t="n">
        <f aca="false">F311*0.25</f>
        <v>507.5025</v>
      </c>
      <c r="G331" s="31" t="n">
        <f aca="false">G311*0.25</f>
        <v>630.09</v>
      </c>
      <c r="H331" s="31" t="n">
        <f aca="false">H311*0.25</f>
        <v>536.315</v>
      </c>
      <c r="I331" s="31" t="n">
        <f aca="false">I311*0.25</f>
        <v>536.1825</v>
      </c>
      <c r="J331" s="31" t="n">
        <f aca="false">J311*0.25</f>
        <v>1284.735</v>
      </c>
      <c r="K331" s="31" t="n">
        <f aca="false">K311*0.25</f>
        <v>1372.9025</v>
      </c>
      <c r="L331" s="31" t="n">
        <f aca="false">L311*0.25</f>
        <v>1192.775</v>
      </c>
      <c r="M331" s="31" t="n">
        <f aca="false">M311*0.25</f>
        <v>1116.9725</v>
      </c>
      <c r="N331" s="31" t="n">
        <f aca="false">N311*0.25</f>
        <v>1365.0025</v>
      </c>
      <c r="O331" s="31" t="n">
        <f aca="false">O311*0.25</f>
        <v>1959.4575</v>
      </c>
      <c r="P331" s="31" t="n">
        <f aca="false">P311*0.25</f>
        <v>1367.1025</v>
      </c>
      <c r="Q331" s="31" t="n">
        <f aca="false">Q311*0.25</f>
        <v>1978.1075</v>
      </c>
      <c r="R331" s="31" t="n">
        <f aca="false">R311*0.25</f>
        <v>1999.23625</v>
      </c>
      <c r="S331" s="31" t="n">
        <f aca="false">S311*0.25</f>
        <v>2212.646</v>
      </c>
      <c r="T331" s="31" t="n">
        <f aca="false">T311*0.25</f>
        <v>2654.84425</v>
      </c>
      <c r="U331" s="31" t="n">
        <f aca="false">U311*0.25</f>
        <v>3884.9985</v>
      </c>
      <c r="V331" s="31" t="n">
        <f aca="false">V311*0.25</f>
        <v>4536.45325</v>
      </c>
      <c r="W331" s="31" t="n">
        <f aca="false">W311*0.25</f>
        <v>3031.4325</v>
      </c>
      <c r="X331" s="31" t="n">
        <f aca="false">X311*0.25</f>
        <v>3479.23625</v>
      </c>
      <c r="Y331" s="31" t="n">
        <f aca="false">Y311*0.25</f>
        <v>3183.39325</v>
      </c>
      <c r="Z331" s="31" t="n">
        <f aca="false">Z311*0.25</f>
        <v>4182.34875</v>
      </c>
      <c r="AA331" s="31" t="n">
        <f aca="false">AA311*0.25</f>
        <v>4950.78975</v>
      </c>
      <c r="AB331" s="31" t="n">
        <f aca="false">AB311*0.25</f>
        <v>4701.175</v>
      </c>
      <c r="AC331" s="31" t="n">
        <f aca="false">AC311*0.25</f>
        <v>4415</v>
      </c>
      <c r="AD331" s="31" t="n">
        <f aca="false">AD311*0.25</f>
        <v>4257.625</v>
      </c>
      <c r="AE331" s="31" t="n">
        <f aca="false">AE311*0.25</f>
        <v>5083.675</v>
      </c>
      <c r="AF331" s="31" t="n">
        <f aca="false">AF311*0.25</f>
        <v>6444.7</v>
      </c>
      <c r="AG331" s="31" t="n">
        <f aca="false">AG311*0.25</f>
        <v>8673.525</v>
      </c>
      <c r="AH331" s="31" t="n">
        <f aca="false">AH311*0.25</f>
        <v>9944.75</v>
      </c>
      <c r="AI331" s="31" t="n">
        <f aca="false">AI311*0.25</f>
        <v>10441.9875</v>
      </c>
      <c r="AJ331" s="31" t="n">
        <f aca="false">AJ311*0.25</f>
        <v>10859.667</v>
      </c>
      <c r="AK331" s="31" t="n">
        <f aca="false">AK311*0.25</f>
        <v>11402.65035</v>
      </c>
      <c r="AL331" s="31" t="n">
        <f aca="false">AL311*0.25</f>
        <v>11972.7828675</v>
      </c>
      <c r="AM331" s="30"/>
      <c r="AN331" s="30"/>
      <c r="AO331" s="30"/>
      <c r="AP331" s="30"/>
      <c r="AQ331" s="30"/>
      <c r="AR331" s="30"/>
      <c r="AS331" s="30"/>
      <c r="AT331" s="30"/>
      <c r="AU331" s="30"/>
      <c r="AV331" s="30"/>
      <c r="AW331" s="30"/>
      <c r="AX331" s="30"/>
      <c r="AY331" s="30"/>
    </row>
    <row r="332" customFormat="false" ht="15" hidden="false" customHeight="true" outlineLevel="0" collapsed="false">
      <c r="A332" s="29"/>
      <c r="B332" s="32" t="n">
        <f aca="false">0.2*B303</f>
        <v>30.08</v>
      </c>
      <c r="C332" s="32" t="n">
        <f aca="false">0.2*C303</f>
        <v>30.94</v>
      </c>
      <c r="D332" s="32" t="n">
        <f aca="false">0.2*D303</f>
        <v>40.554</v>
      </c>
      <c r="E332" s="32" t="n">
        <f aca="false">0.2*E303</f>
        <v>50.626</v>
      </c>
      <c r="F332" s="32" t="n">
        <f aca="false">0.2*F303</f>
        <v>57.642</v>
      </c>
      <c r="G332" s="32" t="n">
        <f aca="false">0.2*G303</f>
        <v>70.226</v>
      </c>
      <c r="H332" s="32" t="n">
        <f aca="false">0.2*H303</f>
        <v>63.11</v>
      </c>
      <c r="I332" s="32" t="n">
        <f aca="false">0.2*I303</f>
        <v>62.318</v>
      </c>
      <c r="J332" s="32" t="n">
        <f aca="false">0.2*J303</f>
        <v>55.53</v>
      </c>
      <c r="K332" s="32" t="n">
        <f aca="false">0.2*K303</f>
        <v>42.228</v>
      </c>
      <c r="L332" s="32" t="n">
        <f aca="false">0.2*L303</f>
        <v>28.992</v>
      </c>
      <c r="M332" s="32" t="n">
        <f aca="false">0.2*M303</f>
        <v>53.73</v>
      </c>
      <c r="N332" s="32" t="n">
        <f aca="false">0.2*N303</f>
        <v>95.942</v>
      </c>
      <c r="O332" s="32" t="n">
        <f aca="false">0.2*O303</f>
        <v>0</v>
      </c>
      <c r="P332" s="32" t="n">
        <f aca="false">0.2*P303</f>
        <v>0</v>
      </c>
      <c r="Q332" s="32" t="n">
        <f aca="false">0.2*Q303</f>
        <v>0</v>
      </c>
      <c r="R332" s="32" t="n">
        <f aca="false">0.2*R303</f>
        <v>0</v>
      </c>
      <c r="S332" s="32" t="n">
        <f aca="false">0.2*S303</f>
        <v>0</v>
      </c>
      <c r="T332" s="32" t="n">
        <f aca="false">0.2*T303</f>
        <v>0</v>
      </c>
      <c r="U332" s="32" t="n">
        <f aca="false">0.2*U303</f>
        <v>0</v>
      </c>
      <c r="V332" s="32" t="n">
        <f aca="false">0.2*V303</f>
        <v>0</v>
      </c>
      <c r="W332" s="32" t="n">
        <f aca="false">0.2*W303</f>
        <v>0</v>
      </c>
      <c r="X332" s="32" t="n">
        <f aca="false">0.2*X303</f>
        <v>0</v>
      </c>
      <c r="Y332" s="32" t="n">
        <f aca="false">0.2*Y303</f>
        <v>0</v>
      </c>
      <c r="Z332" s="32" t="n">
        <f aca="false">0.2*Z303</f>
        <v>478.0876</v>
      </c>
      <c r="AA332" s="32" t="n">
        <f aca="false">0.2*AA303</f>
        <v>1025.084</v>
      </c>
      <c r="AB332" s="32" t="n">
        <f aca="false">0.2*AB303</f>
        <v>1032.76</v>
      </c>
      <c r="AC332" s="32" t="n">
        <f aca="false">0.2*AC303</f>
        <v>792.86</v>
      </c>
      <c r="AD332" s="32" t="n">
        <f aca="false">0.2*AD303</f>
        <v>715.16</v>
      </c>
      <c r="AE332" s="32" t="n">
        <f aca="false">0.2*AE303</f>
        <v>938.04</v>
      </c>
      <c r="AF332" s="32" t="n">
        <f aca="false">0.2*AF303</f>
        <v>1218.66</v>
      </c>
      <c r="AG332" s="32" t="n">
        <f aca="false">0.2*AG303</f>
        <v>1017.54</v>
      </c>
      <c r="AH332" s="32" t="n">
        <f aca="false">0.2*AH303</f>
        <v>1144.48</v>
      </c>
      <c r="AI332" s="32" t="n">
        <f aca="false">0.2*AI303</f>
        <v>1178.8144</v>
      </c>
      <c r="AJ332" s="32" t="n">
        <f aca="false">0.2*AJ303</f>
        <v>1214.178832</v>
      </c>
      <c r="AK332" s="32" t="n">
        <f aca="false">0.2*AK303</f>
        <v>1250.60419696</v>
      </c>
      <c r="AL332" s="32" t="n">
        <f aca="false">0.2*AL303</f>
        <v>1288.1223228688</v>
      </c>
      <c r="AM332" s="30"/>
      <c r="AN332" s="30"/>
      <c r="AO332" s="30"/>
      <c r="AP332" s="30"/>
      <c r="AQ332" s="30"/>
      <c r="AR332" s="30"/>
      <c r="AS332" s="30"/>
      <c r="AT332" s="30"/>
      <c r="AU332" s="30"/>
      <c r="AV332" s="30"/>
      <c r="AW332" s="30"/>
      <c r="AX332" s="30"/>
      <c r="AY332" s="30"/>
    </row>
    <row r="333" customFormat="false" ht="15" hidden="false" customHeight="true" outlineLevel="0" collapsed="false">
      <c r="A333" s="29"/>
      <c r="B333" s="31" t="n">
        <f aca="false">B43-B330-B331-B332</f>
        <v>269.389000000002</v>
      </c>
      <c r="C333" s="31" t="n">
        <f aca="false">C43-C330-C331-C332</f>
        <v>417.128</v>
      </c>
      <c r="D333" s="31" t="n">
        <f aca="false">D43-D330-D331-D332</f>
        <v>569.134499999997</v>
      </c>
      <c r="E333" s="31" t="n">
        <f aca="false">E43-E330-E331-E332</f>
        <v>815.8255</v>
      </c>
      <c r="F333" s="31" t="n">
        <f aca="false">F43-F330-F331-F332</f>
        <v>1591.9365</v>
      </c>
      <c r="G333" s="31" t="n">
        <f aca="false">G43-G330-G331-G332</f>
        <v>714.715576</v>
      </c>
      <c r="H333" s="31" t="n">
        <f aca="false">H43-H330-H331-H332</f>
        <v>929.149378295995</v>
      </c>
      <c r="I333" s="31" t="n">
        <f aca="false">I43-I330-I331-I332</f>
        <v>1895.3055</v>
      </c>
      <c r="J333" s="31" t="n">
        <f aca="false">J43-J330-J331-J332</f>
        <v>1415.342</v>
      </c>
      <c r="K333" s="31" t="n">
        <f aca="false">K43-K330-K331-K332</f>
        <v>1457.3485</v>
      </c>
      <c r="L333" s="31" t="n">
        <f aca="false">L43-L330-L331-L332</f>
        <v>1940.042</v>
      </c>
      <c r="M333" s="31" t="n">
        <f aca="false">M43-M330-M331-M332</f>
        <v>2689.2245</v>
      </c>
      <c r="N333" s="31" t="n">
        <f aca="false">N43-N330-N331-N332</f>
        <v>2652.1275</v>
      </c>
      <c r="O333" s="31" t="n">
        <f aca="false">O43-O330-O331-O332</f>
        <v>3305.49149999999</v>
      </c>
      <c r="P333" s="31" t="n">
        <f aca="false">P43-P330-P331-P332</f>
        <v>5507.1705</v>
      </c>
      <c r="Q333" s="31" t="n">
        <f aca="false">Q43-Q330-Q331-Q332</f>
        <v>5826.3655</v>
      </c>
      <c r="R333" s="31" t="n">
        <f aca="false">R43-R330-R331-R332</f>
        <v>2252.83685000001</v>
      </c>
      <c r="S333" s="31" t="n">
        <f aca="false">S43-S330-S331-S332</f>
        <v>5046.94760000003</v>
      </c>
      <c r="T333" s="31" t="n">
        <f aca="false">T43-T330-T331-T332</f>
        <v>9664.91515000001</v>
      </c>
      <c r="U333" s="31" t="n">
        <f aca="false">U43-U330-U331-U332</f>
        <v>8211.1395</v>
      </c>
      <c r="V333" s="31" t="n">
        <f aca="false">V43-V330-V331-V332</f>
        <v>3744.71345000001</v>
      </c>
      <c r="W333" s="31" t="n">
        <f aca="false">W43-W330-W331-W332</f>
        <v>-1783.64850000002</v>
      </c>
      <c r="X333" s="31" t="n">
        <f aca="false">X43-X330-X331-X332</f>
        <v>6423.94605000002</v>
      </c>
      <c r="Y333" s="31" t="n">
        <f aca="false">Y43-Y330-Y331-Y332</f>
        <v>18948.02465</v>
      </c>
      <c r="Z333" s="31" t="n">
        <f aca="false">AM43-Z330-Z331-Z332</f>
        <v>-5067.40045999034</v>
      </c>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row>
    <row r="334" customFormat="false" ht="15" hidden="false" customHeight="true" outlineLevel="0" collapsed="false">
      <c r="A334" s="29"/>
      <c r="B334" s="49" t="n">
        <f aca="false">B333/B280*100</f>
        <v>3.38120854900821</v>
      </c>
      <c r="C334" s="49" t="n">
        <f aca="false">C333/C280*100</f>
        <v>4.26499472918437</v>
      </c>
      <c r="D334" s="49" t="n">
        <f aca="false">D333/D280*100</f>
        <v>4.42627215529508</v>
      </c>
      <c r="E334" s="49" t="n">
        <f aca="false">E333/E280*100</f>
        <v>4.72138725045372</v>
      </c>
      <c r="F334" s="49" t="n">
        <f aca="false">F333/F280*100</f>
        <v>7.39744006765768</v>
      </c>
      <c r="G334" s="49" t="n">
        <f aca="false">G333/G280*100</f>
        <v>4.34937302993183</v>
      </c>
      <c r="H334" s="49" t="n">
        <f aca="false">H333/H280*100</f>
        <v>5.37617300901887</v>
      </c>
      <c r="I334" s="49" t="n">
        <f aca="false">I333/I280*100</f>
        <v>8.18204600202037</v>
      </c>
      <c r="J334" s="49" t="n">
        <f aca="false">J333/J280*100</f>
        <v>7.03688824939666</v>
      </c>
      <c r="K334" s="49" t="n">
        <f aca="false">K333/K280*100</f>
        <v>7.15410538614094</v>
      </c>
      <c r="L334" s="49" t="n">
        <f aca="false">L333/L280*100</f>
        <v>7.68141506023645</v>
      </c>
      <c r="M334" s="49" t="n">
        <f aca="false">M333/M280*100</f>
        <v>7.8636801992161</v>
      </c>
      <c r="N334" s="49" t="n">
        <f aca="false">N333/N280*100</f>
        <v>6.34800245003881</v>
      </c>
      <c r="O334" s="49" t="n">
        <f aca="false">O333/O280*100</f>
        <v>6.29512629706976</v>
      </c>
      <c r="P334" s="49" t="n">
        <f aca="false">P333/P280*100</f>
        <v>7.08226385715129</v>
      </c>
      <c r="Q334" s="49" t="n">
        <f aca="false">Q333/Q280*100</f>
        <v>7.19156733623701</v>
      </c>
      <c r="R334" s="49" t="n">
        <f aca="false">R333/R280*100</f>
        <v>4.08159610915462</v>
      </c>
      <c r="S334" s="49" t="n">
        <f aca="false">S333/S280*100</f>
        <v>7.48185608824315</v>
      </c>
      <c r="T334" s="49" t="n">
        <f aca="false">T333/T280*100</f>
        <v>8.8660028270184</v>
      </c>
      <c r="U334" s="49" t="n">
        <f aca="false">U333/U280*100</f>
        <v>6.93146351832916</v>
      </c>
      <c r="V334" s="49" t="n">
        <f aca="false">V333/V280*100</f>
        <v>3.62918372113766</v>
      </c>
      <c r="W334" s="49" t="n">
        <f aca="false">W333/W280*100</f>
        <v>-2.24694354197664</v>
      </c>
      <c r="X334" s="49" t="n">
        <f aca="false">X333/X280*100</f>
        <v>5.48753506704452</v>
      </c>
      <c r="Y334" s="49" t="n">
        <f aca="false">Y333/Y280*100</f>
        <v>11.1028968356533</v>
      </c>
      <c r="Z334" s="49" t="n">
        <f aca="false">Z333/Z280*100</f>
        <v>-2.85396981115362</v>
      </c>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row>
    <row r="335" customFormat="false" ht="15" hidden="false" customHeight="true" outlineLevel="0" collapsed="false">
      <c r="A335" s="29" t="s">
        <v>488</v>
      </c>
      <c r="B335" s="30"/>
      <c r="C335" s="30"/>
      <c r="D335" s="30"/>
      <c r="E335" s="30"/>
      <c r="F335" s="30"/>
      <c r="G335" s="30"/>
      <c r="H335" s="30"/>
      <c r="I335" s="30"/>
      <c r="J335" s="30"/>
      <c r="K335" s="30"/>
      <c r="L335" s="30"/>
      <c r="M335" s="30"/>
      <c r="N335" s="30"/>
      <c r="O335" s="30"/>
      <c r="P335" s="30"/>
      <c r="Q335" s="30"/>
      <c r="R335" s="30"/>
      <c r="S335" s="30"/>
      <c r="T335" s="30"/>
      <c r="U335" s="30"/>
      <c r="V335" s="30"/>
      <c r="W335" s="62" t="n">
        <v>12422.951</v>
      </c>
      <c r="X335" s="62" t="n">
        <v>19090.403</v>
      </c>
      <c r="Y335" s="62" t="n">
        <v>20090.328</v>
      </c>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row>
    <row r="336" customFormat="false" ht="15" hidden="false" customHeight="true" outlineLevel="0" collapsed="false">
      <c r="A336" s="29" t="s">
        <v>489</v>
      </c>
      <c r="B336" s="56"/>
      <c r="C336" s="56"/>
      <c r="D336" s="56"/>
      <c r="E336" s="56"/>
      <c r="F336" s="56"/>
      <c r="G336" s="56"/>
      <c r="H336" s="56"/>
      <c r="I336" s="56"/>
      <c r="J336" s="56"/>
      <c r="K336" s="56"/>
      <c r="L336" s="56"/>
      <c r="M336" s="56"/>
      <c r="N336" s="56"/>
      <c r="O336" s="56"/>
      <c r="P336" s="56"/>
      <c r="Q336" s="56"/>
      <c r="R336" s="56"/>
      <c r="S336" s="56"/>
      <c r="T336" s="56"/>
      <c r="U336" s="56"/>
      <c r="V336" s="56"/>
      <c r="W336" s="56"/>
      <c r="X336" s="57" t="n">
        <f aca="false">+X335/W335-1</f>
        <v>0.536704362755677</v>
      </c>
      <c r="Y336" s="57" t="n">
        <f aca="false">+Y335/X335-1</f>
        <v>0.0523784123362929</v>
      </c>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row>
    <row r="337" customFormat="false" ht="15" hidden="false" customHeight="true" outlineLevel="0" collapsed="false">
      <c r="A337" s="29" t="s">
        <v>490</v>
      </c>
      <c r="B337" s="56"/>
      <c r="C337" s="56"/>
      <c r="D337" s="56"/>
      <c r="E337" s="56"/>
      <c r="F337" s="56"/>
      <c r="G337" s="56"/>
      <c r="H337" s="56"/>
      <c r="I337" s="56"/>
      <c r="J337" s="56"/>
      <c r="K337" s="56"/>
      <c r="L337" s="56"/>
      <c r="M337" s="56"/>
      <c r="N337" s="56"/>
      <c r="O337" s="56"/>
      <c r="P337" s="56"/>
      <c r="Q337" s="56"/>
      <c r="R337" s="56"/>
      <c r="S337" s="56"/>
      <c r="T337" s="56"/>
      <c r="U337" s="56"/>
      <c r="V337" s="56"/>
      <c r="W337" s="57" t="n">
        <f aca="false">+W335/W327</f>
        <v>0.117632165296465</v>
      </c>
      <c r="X337" s="57" t="n">
        <f aca="false">+X335/X327</f>
        <v>0.131785797580805</v>
      </c>
      <c r="Y337" s="57" t="n">
        <f aca="false">+Y335/Y327</f>
        <v>0.100486940057173</v>
      </c>
      <c r="Z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row>
    <row r="338" customFormat="false" ht="15" hidden="false" customHeight="true" outlineLevel="0" collapsed="false">
      <c r="A338" s="47" t="s">
        <v>491</v>
      </c>
      <c r="B338" s="31" t="n">
        <f aca="false">B324/B281*1000000</f>
        <v>8218.85178163434</v>
      </c>
      <c r="C338" s="31" t="n">
        <f aca="false">C324/C281*1000000</f>
        <v>12339.2223231239</v>
      </c>
      <c r="D338" s="31" t="n">
        <f aca="false">D324/D281*1000000</f>
        <v>7975.66589937521</v>
      </c>
      <c r="E338" s="31" t="n">
        <f aca="false">E324/E281*1000000</f>
        <v>9881.5476349635</v>
      </c>
      <c r="F338" s="31" t="n">
        <f aca="false">F324/F281*1000000</f>
        <v>7923.50987267024</v>
      </c>
      <c r="G338" s="31" t="n">
        <f aca="false">G324/G281*1000000</f>
        <v>15443.6237994104</v>
      </c>
      <c r="H338" s="31" t="n">
        <f aca="false">H324/H281*1000000</f>
        <v>18980.5319256246</v>
      </c>
      <c r="I338" s="31" t="n">
        <f aca="false">I324/I281*1000000</f>
        <v>20533.5587310811</v>
      </c>
      <c r="J338" s="31" t="n">
        <f aca="false">J324/J281*1000000</f>
        <v>19389.376443418</v>
      </c>
      <c r="K338" s="31" t="n">
        <f aca="false">K324/K281*1000000</f>
        <v>22295.6896842247</v>
      </c>
      <c r="L338" s="31" t="n">
        <f aca="false">L324/L281*1000000</f>
        <v>14192.4596641422</v>
      </c>
      <c r="M338" s="31" t="n">
        <f aca="false">M324/M281*1000000</f>
        <v>10748.962058618</v>
      </c>
      <c r="N338" s="31" t="n">
        <f aca="false">N324/N281*1000000</f>
        <v>13885.8238947753</v>
      </c>
      <c r="O338" s="31" t="n">
        <f aca="false">O324/O281*1000000</f>
        <v>19025.2209877544</v>
      </c>
      <c r="P338" s="31" t="n">
        <f aca="false">P324/P281*1000000</f>
        <v>20544.2225993188</v>
      </c>
      <c r="Q338" s="31" t="n">
        <f aca="false">Q324/Q281*1000000</f>
        <v>23362.7819323242</v>
      </c>
      <c r="R338" s="31" t="n">
        <f aca="false">R324/R281*1000000</f>
        <v>21559.9750142382</v>
      </c>
      <c r="S338" s="31" t="n">
        <f aca="false">S324/S281*1000000</f>
        <v>25422.7857209899</v>
      </c>
      <c r="T338" s="31" t="n">
        <f aca="false">T324/T281*1000000</f>
        <v>26383.2167980788</v>
      </c>
      <c r="U338" s="31" t="n">
        <f aca="false">U324/U281*1000000</f>
        <v>48142.329338408</v>
      </c>
      <c r="V338" s="31" t="n">
        <f aca="false">V324/V281*1000000</f>
        <v>72584.8087129247</v>
      </c>
      <c r="W338" s="31" t="n">
        <f aca="false">W324/W281*1000000</f>
        <v>51785.9388355281</v>
      </c>
      <c r="X338" s="31" t="n">
        <f aca="false">X324/X281*1000000</f>
        <v>40913.0572862232</v>
      </c>
      <c r="Y338" s="31" t="n">
        <f aca="false">Y324/Y281*1000000</f>
        <v>36308.3081832137</v>
      </c>
      <c r="Z338" s="31" t="n">
        <f aca="false">Z324/Z281*1000000</f>
        <v>37559.0897468678</v>
      </c>
      <c r="AA338" s="31" t="n">
        <f aca="false">AA324/AA281*1000000</f>
        <v>27740.1952415688</v>
      </c>
      <c r="AB338" s="31" t="n">
        <f aca="false">AB324/AB281*1000000</f>
        <v>19706.5350668302</v>
      </c>
      <c r="AC338" s="31" t="n">
        <f aca="false">AC324/AC281*1000000</f>
        <v>33306.9866590022</v>
      </c>
      <c r="AD338" s="31" t="n">
        <f aca="false">AD324/AD281*1000000</f>
        <v>29487.1667576826</v>
      </c>
      <c r="AE338" s="31" t="n">
        <f aca="false">AE324/AE281*1000000</f>
        <v>23992.0203232393</v>
      </c>
      <c r="AF338" s="31" t="n">
        <f aca="false">AF324/AF281*1000000</f>
        <v>31063.1877422544</v>
      </c>
      <c r="AG338" s="31" t="n">
        <f aca="false">AG324/AG281*1000000</f>
        <v>36753.0806490551</v>
      </c>
      <c r="AH338" s="31" t="n">
        <f aca="false">AH324/AH281*1000000</f>
        <v>41291.5891395386</v>
      </c>
      <c r="AI338" s="31" t="n">
        <f aca="false">AI324/AI281*1000000</f>
        <v>40741.9195988525</v>
      </c>
      <c r="AJ338" s="31" t="n">
        <f aca="false">AJ324/AJ281*1000000</f>
        <v>41248.5858043589</v>
      </c>
      <c r="AK338" s="31" t="n">
        <f aca="false">AK324/AK281*1000000</f>
        <v>43738.9616565835</v>
      </c>
      <c r="AL338" s="31" t="n">
        <f aca="false">AL324/AL281*1000000</f>
        <v>44218.2179467862</v>
      </c>
      <c r="AM338" s="30"/>
      <c r="AN338" s="30"/>
      <c r="AO338" s="30"/>
      <c r="AP338" s="30"/>
      <c r="AQ338" s="30"/>
      <c r="AR338" s="30"/>
      <c r="AS338" s="30"/>
      <c r="AT338" s="30"/>
      <c r="AU338" s="30"/>
      <c r="AV338" s="30"/>
      <c r="AW338" s="30"/>
      <c r="AX338" s="30"/>
      <c r="AY338" s="30"/>
    </row>
    <row r="339" customFormat="false" ht="15" hidden="false" customHeight="true" outlineLevel="0" collapsed="false">
      <c r="A339" s="47" t="s">
        <v>492</v>
      </c>
      <c r="B339" s="36"/>
      <c r="C339" s="36"/>
      <c r="D339" s="36"/>
      <c r="E339" s="36"/>
      <c r="F339" s="36"/>
      <c r="G339" s="36"/>
      <c r="H339" s="36"/>
      <c r="I339" s="36"/>
      <c r="J339" s="36"/>
      <c r="K339" s="36"/>
      <c r="L339" s="49" t="n">
        <f aca="false">L355-L348</f>
        <v>152.88</v>
      </c>
      <c r="M339" s="49" t="n">
        <f aca="false">M355-M348</f>
        <v>186.2</v>
      </c>
      <c r="N339" s="49" t="n">
        <f aca="false">N355-N348</f>
        <v>268.9616</v>
      </c>
      <c r="O339" s="49" t="n">
        <f aca="false">O355-O348</f>
        <v>296.23</v>
      </c>
      <c r="P339" s="49" t="n">
        <f aca="false">P355-P348</f>
        <v>671.8</v>
      </c>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row>
    <row r="340" customFormat="false" ht="15" hidden="false" customHeight="true" outlineLevel="0" collapsed="false">
      <c r="A340" s="29" t="s">
        <v>216</v>
      </c>
      <c r="B340" s="33" t="s">
        <v>175</v>
      </c>
      <c r="C340" s="33" t="s">
        <v>176</v>
      </c>
      <c r="D340" s="33" t="s">
        <v>177</v>
      </c>
      <c r="E340" s="33" t="s">
        <v>217</v>
      </c>
      <c r="F340" s="33" t="s">
        <v>179</v>
      </c>
      <c r="G340" s="33" t="s">
        <v>180</v>
      </c>
      <c r="H340" s="33" t="s">
        <v>181</v>
      </c>
      <c r="I340" s="33" t="s">
        <v>182</v>
      </c>
      <c r="J340" s="33" t="s">
        <v>183</v>
      </c>
      <c r="K340" s="33" t="s">
        <v>184</v>
      </c>
      <c r="L340" s="33" t="s">
        <v>221</v>
      </c>
      <c r="M340" s="33" t="s">
        <v>186</v>
      </c>
      <c r="N340" s="33" t="s">
        <v>187</v>
      </c>
      <c r="O340" s="33" t="s">
        <v>188</v>
      </c>
      <c r="P340" s="33" t="s">
        <v>189</v>
      </c>
      <c r="Q340" s="33" t="s">
        <v>190</v>
      </c>
      <c r="R340" s="33" t="s">
        <v>191</v>
      </c>
      <c r="S340" s="33" t="s">
        <v>192</v>
      </c>
      <c r="T340" s="48" t="str">
        <f aca="false">+T3</f>
        <v>FY2011</v>
      </c>
      <c r="U340" s="33" t="s">
        <v>493</v>
      </c>
      <c r="V340" s="48" t="str">
        <f aca="false">+V3</f>
        <v>FY2013</v>
      </c>
      <c r="W340" s="48" t="str">
        <f aca="false">+W3</f>
        <v>FY2014</v>
      </c>
      <c r="X340" s="48" t="str">
        <f aca="false">+X3</f>
        <v>FY2015</v>
      </c>
      <c r="Y340" s="48" t="str">
        <f aca="false">+Y3</f>
        <v>FY2016</v>
      </c>
      <c r="Z340" s="48" t="str">
        <f aca="false">+Z3</f>
        <v>FY2017</v>
      </c>
      <c r="AA340" s="48" t="str">
        <f aca="false">+AA3</f>
        <v>FY2018</v>
      </c>
      <c r="AB340" s="48" t="str">
        <f aca="false">+AB3</f>
        <v>FY2019</v>
      </c>
      <c r="AC340" s="48" t="str">
        <f aca="false">+AC3</f>
        <v>FY2020</v>
      </c>
      <c r="AD340" s="48" t="str">
        <f aca="false">+AD3</f>
        <v>FY2021</v>
      </c>
      <c r="AE340" s="48" t="str">
        <f aca="false">+AE3</f>
        <v>FY2022</v>
      </c>
      <c r="AF340" s="48" t="str">
        <f aca="false">+AF3</f>
        <v>FY2023</v>
      </c>
      <c r="AG340" s="48" t="str">
        <f aca="false">+AG3</f>
        <v>FY2024</v>
      </c>
      <c r="AH340" s="48" t="str">
        <f aca="false">+AH3</f>
        <v>FY2025</v>
      </c>
      <c r="AI340" s="48" t="str">
        <f aca="false">+AI3</f>
        <v>FY2026</v>
      </c>
      <c r="AJ340" s="48" t="str">
        <f aca="false">+AJ3</f>
        <v>FY2027E</v>
      </c>
      <c r="AK340" s="48" t="str">
        <f aca="false">+AK3</f>
        <v>FY2028E</v>
      </c>
      <c r="AL340" s="48" t="str">
        <f aca="false">+AL3</f>
        <v>FY2029E</v>
      </c>
      <c r="AM340" s="43"/>
      <c r="AN340" s="43"/>
      <c r="AO340" s="43"/>
      <c r="AP340" s="43"/>
      <c r="AQ340" s="43"/>
      <c r="AR340" s="43"/>
      <c r="AS340" s="43"/>
      <c r="AT340" s="43"/>
      <c r="AU340" s="43"/>
      <c r="AV340" s="43"/>
      <c r="AW340" s="43"/>
      <c r="AX340" s="43"/>
      <c r="AY340" s="43"/>
    </row>
    <row r="341" customFormat="false" ht="15" hidden="false" customHeight="true" outlineLevel="0" collapsed="false">
      <c r="A341" s="70" t="s">
        <v>494</v>
      </c>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c r="AQ341" s="86"/>
      <c r="AR341" s="86"/>
      <c r="AS341" s="86"/>
      <c r="AT341" s="86"/>
      <c r="AU341" s="86"/>
      <c r="AV341" s="86"/>
      <c r="AW341" s="86"/>
      <c r="AX341" s="86"/>
      <c r="AY341" s="86"/>
    </row>
    <row r="342" customFormat="false" ht="15" hidden="false" customHeight="true" outlineLevel="0" collapsed="false">
      <c r="A342" s="29" t="s">
        <v>495</v>
      </c>
      <c r="B342" s="37" t="n">
        <v>19.46</v>
      </c>
      <c r="C342" s="37" t="n">
        <v>20.79</v>
      </c>
      <c r="D342" s="37" t="n">
        <v>32.7</v>
      </c>
      <c r="E342" s="37" t="n">
        <v>51.69</v>
      </c>
      <c r="F342" s="37" t="n">
        <v>51.09</v>
      </c>
      <c r="G342" s="37" t="n">
        <v>51.7</v>
      </c>
      <c r="H342" s="37" t="n">
        <v>46.16</v>
      </c>
      <c r="I342" s="37" t="n">
        <v>36.93</v>
      </c>
      <c r="J342" s="37" t="n">
        <v>42.3</v>
      </c>
      <c r="K342" s="81" t="n">
        <f aca="false">124.12+1.45</f>
        <v>125.57</v>
      </c>
      <c r="L342" s="37" t="n">
        <v>88.52</v>
      </c>
      <c r="M342" s="81" t="n">
        <f aca="false">5.49+96.59</f>
        <v>102.08</v>
      </c>
      <c r="N342" s="37" t="n">
        <v>17.6</v>
      </c>
      <c r="O342" s="81" t="n">
        <f aca="false">39.77</f>
        <v>39.77</v>
      </c>
      <c r="P342" s="37" t="n">
        <v>65.53</v>
      </c>
      <c r="Q342" s="37" t="n">
        <v>19.84</v>
      </c>
      <c r="R342" s="37" t="n">
        <v>41.331</v>
      </c>
      <c r="S342" s="37" t="n">
        <v>25.748</v>
      </c>
      <c r="T342" s="37" t="n">
        <v>43.955</v>
      </c>
      <c r="U342" s="37" t="n">
        <v>39.23</v>
      </c>
      <c r="V342" s="37" t="n">
        <v>5.712</v>
      </c>
      <c r="W342" s="37" t="n">
        <v>2.927</v>
      </c>
      <c r="X342" s="37" t="n">
        <v>7.462</v>
      </c>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row>
    <row r="343" customFormat="false" ht="15" hidden="false" customHeight="true" outlineLevel="0" collapsed="false">
      <c r="A343" s="29" t="s">
        <v>496</v>
      </c>
      <c r="B343" s="37" t="n">
        <v>126.83</v>
      </c>
      <c r="C343" s="37" t="n">
        <v>18.65</v>
      </c>
      <c r="D343" s="37" t="n">
        <v>28.28</v>
      </c>
      <c r="E343" s="37" t="n">
        <v>30.72</v>
      </c>
      <c r="F343" s="37" t="n">
        <v>46.49</v>
      </c>
      <c r="G343" s="37" t="n">
        <v>20.77</v>
      </c>
      <c r="H343" s="37" t="n">
        <v>10.95</v>
      </c>
      <c r="I343" s="37" t="n">
        <v>5.93</v>
      </c>
      <c r="J343" s="37" t="n">
        <v>6.21</v>
      </c>
      <c r="K343" s="37" t="n">
        <v>10</v>
      </c>
      <c r="L343" s="37" t="n">
        <v>3.54</v>
      </c>
      <c r="M343" s="37" t="n">
        <v>6.89</v>
      </c>
      <c r="N343" s="37" t="n">
        <v>106.78</v>
      </c>
      <c r="O343" s="37" t="n">
        <v>87.47</v>
      </c>
      <c r="P343" s="37" t="n">
        <v>98.85</v>
      </c>
      <c r="Q343" s="37" t="n">
        <v>22.85</v>
      </c>
      <c r="R343" s="81" t="n">
        <f aca="false">18.756+26.245</f>
        <v>45.001</v>
      </c>
      <c r="S343" s="81" t="n">
        <f aca="false">3.053+23.376</f>
        <v>26.429</v>
      </c>
      <c r="T343" s="81" t="n">
        <f aca="false">6.24+32.792</f>
        <v>39.032</v>
      </c>
      <c r="U343" s="37" t="n">
        <v>51.376</v>
      </c>
      <c r="V343" s="37" t="n">
        <v>69.915</v>
      </c>
      <c r="W343" s="37" t="n">
        <v>44.125</v>
      </c>
      <c r="X343" s="37" t="n">
        <v>20.27</v>
      </c>
      <c r="Y343" s="37" t="n">
        <v>39.809</v>
      </c>
      <c r="Z343" s="37" t="n">
        <v>11.587</v>
      </c>
      <c r="AA343" s="37" t="n">
        <v>12.877</v>
      </c>
      <c r="AB343" s="37" t="n">
        <v>15.4</v>
      </c>
      <c r="AC343" s="37" t="n">
        <v>189</v>
      </c>
      <c r="AD343" s="37" t="n">
        <v>100</v>
      </c>
      <c r="AE343" s="37" t="n">
        <v>0.7</v>
      </c>
      <c r="AF343" s="37" t="n">
        <v>8.2</v>
      </c>
      <c r="AG343" s="37" t="n">
        <v>10</v>
      </c>
      <c r="AH343" s="37" t="n">
        <v>12</v>
      </c>
      <c r="AI343" s="37" t="n">
        <v>12</v>
      </c>
      <c r="AJ343" s="37" t="n">
        <v>12</v>
      </c>
      <c r="AK343" s="37" t="n">
        <v>12</v>
      </c>
      <c r="AL343" s="37" t="n">
        <v>12</v>
      </c>
      <c r="AM343" s="36"/>
      <c r="AN343" s="36"/>
      <c r="AO343" s="36"/>
      <c r="AP343" s="36"/>
      <c r="AQ343" s="36"/>
      <c r="AR343" s="36"/>
      <c r="AS343" s="36"/>
      <c r="AT343" s="36"/>
      <c r="AU343" s="36"/>
      <c r="AV343" s="36"/>
      <c r="AW343" s="36"/>
      <c r="AX343" s="36"/>
      <c r="AY343" s="36"/>
    </row>
    <row r="344" customFormat="false" ht="15" hidden="false" customHeight="true" outlineLevel="0" collapsed="false">
      <c r="A344" s="51" t="s">
        <v>427</v>
      </c>
      <c r="B344" s="97" t="n">
        <f aca="false">+B342+B343</f>
        <v>146.29</v>
      </c>
      <c r="C344" s="97" t="n">
        <f aca="false">+C342+C343</f>
        <v>39.44</v>
      </c>
      <c r="D344" s="97" t="n">
        <f aca="false">+D342+D343</f>
        <v>60.98</v>
      </c>
      <c r="E344" s="97" t="n">
        <f aca="false">+E342+E343</f>
        <v>82.41</v>
      </c>
      <c r="F344" s="97" t="n">
        <f aca="false">+F342+F343</f>
        <v>97.58</v>
      </c>
      <c r="G344" s="97" t="n">
        <f aca="false">+G342+G343</f>
        <v>72.47</v>
      </c>
      <c r="H344" s="97" t="n">
        <f aca="false">+H342+H343</f>
        <v>57.11</v>
      </c>
      <c r="I344" s="97" t="n">
        <f aca="false">+I342+I343</f>
        <v>42.86</v>
      </c>
      <c r="J344" s="97" t="n">
        <f aca="false">+J342+J343</f>
        <v>48.51</v>
      </c>
      <c r="K344" s="97" t="n">
        <f aca="false">+K342+K343</f>
        <v>135.57</v>
      </c>
      <c r="L344" s="97" t="n">
        <f aca="false">+L342+L343</f>
        <v>92.06</v>
      </c>
      <c r="M344" s="97" t="n">
        <f aca="false">+M342+M343</f>
        <v>108.97</v>
      </c>
      <c r="N344" s="97" t="n">
        <f aca="false">+N342+N343</f>
        <v>124.38</v>
      </c>
      <c r="O344" s="97" t="n">
        <f aca="false">+O342+O343</f>
        <v>127.24</v>
      </c>
      <c r="P344" s="97" t="n">
        <f aca="false">+P342+P343</f>
        <v>164.38</v>
      </c>
      <c r="Q344" s="97" t="n">
        <f aca="false">+Q342+Q343</f>
        <v>42.69</v>
      </c>
      <c r="R344" s="97" t="n">
        <f aca="false">+R342+R343</f>
        <v>86.332</v>
      </c>
      <c r="S344" s="97" t="n">
        <f aca="false">+S342+S343</f>
        <v>52.177</v>
      </c>
      <c r="T344" s="97" t="n">
        <f aca="false">+T342+T343</f>
        <v>82.987</v>
      </c>
      <c r="U344" s="97" t="n">
        <f aca="false">+U342+U343</f>
        <v>90.606</v>
      </c>
      <c r="V344" s="97" t="n">
        <f aca="false">+V342+V343</f>
        <v>75.627</v>
      </c>
      <c r="W344" s="97" t="n">
        <f aca="false">+W342+W343</f>
        <v>47.052</v>
      </c>
      <c r="X344" s="97" t="n">
        <f aca="false">+X342+X343</f>
        <v>27.732</v>
      </c>
      <c r="Y344" s="97" t="n">
        <f aca="false">+Y342+Y343</f>
        <v>39.809</v>
      </c>
      <c r="Z344" s="97" t="n">
        <f aca="false">+Z342+Z343</f>
        <v>11.587</v>
      </c>
      <c r="AA344" s="97" t="n">
        <f aca="false">+AA342+AA343</f>
        <v>12.877</v>
      </c>
      <c r="AB344" s="97" t="n">
        <f aca="false">+AB342+AB343</f>
        <v>15.4</v>
      </c>
      <c r="AC344" s="97" t="n">
        <f aca="false">+AC342+AC343</f>
        <v>189</v>
      </c>
      <c r="AD344" s="97" t="n">
        <f aca="false">+AD342+AD343</f>
        <v>100</v>
      </c>
      <c r="AE344" s="97" t="n">
        <f aca="false">+AE342+AE343</f>
        <v>0.7</v>
      </c>
      <c r="AF344" s="97" t="n">
        <f aca="false">+AF342+AF343</f>
        <v>8.2</v>
      </c>
      <c r="AG344" s="97" t="n">
        <f aca="false">+AG342+AG343</f>
        <v>10</v>
      </c>
      <c r="AH344" s="97" t="n">
        <f aca="false">+AH342+AH343</f>
        <v>12</v>
      </c>
      <c r="AI344" s="97" t="n">
        <f aca="false">+AI342+AI343</f>
        <v>12</v>
      </c>
      <c r="AJ344" s="97" t="n">
        <f aca="false">+AJ342+AJ343</f>
        <v>12</v>
      </c>
      <c r="AK344" s="97" t="n">
        <f aca="false">+AK342+AK343</f>
        <v>12</v>
      </c>
      <c r="AL344" s="97" t="n">
        <f aca="false">+AL342+AL343</f>
        <v>12</v>
      </c>
      <c r="AM344" s="98"/>
      <c r="AN344" s="98"/>
      <c r="AO344" s="98"/>
      <c r="AP344" s="98"/>
      <c r="AQ344" s="98"/>
      <c r="AR344" s="98"/>
      <c r="AS344" s="98"/>
      <c r="AT344" s="98"/>
      <c r="AU344" s="98"/>
      <c r="AV344" s="98"/>
      <c r="AW344" s="98"/>
      <c r="AX344" s="98"/>
      <c r="AY344" s="98"/>
    </row>
    <row r="345" customFormat="false" ht="15" hidden="false" customHeight="true" outlineLevel="0" collapsed="false">
      <c r="A345" s="70" t="s">
        <v>262</v>
      </c>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c r="AQ345" s="86"/>
      <c r="AR345" s="86"/>
      <c r="AS345" s="86"/>
      <c r="AT345" s="86"/>
      <c r="AU345" s="86"/>
      <c r="AV345" s="86"/>
      <c r="AW345" s="86"/>
      <c r="AX345" s="86"/>
      <c r="AY345" s="86"/>
    </row>
    <row r="346" customFormat="false" ht="15" hidden="false" customHeight="true" outlineLevel="0" collapsed="false">
      <c r="A346" s="29" t="s">
        <v>495</v>
      </c>
      <c r="B346" s="36"/>
      <c r="C346" s="36"/>
      <c r="D346" s="36"/>
      <c r="E346" s="37" t="n">
        <v>2.81</v>
      </c>
      <c r="F346" s="37" t="n">
        <v>2.81</v>
      </c>
      <c r="G346" s="37" t="n">
        <v>2.81</v>
      </c>
      <c r="H346" s="37" t="n">
        <v>2.31</v>
      </c>
      <c r="I346" s="37" t="n">
        <v>1.74</v>
      </c>
      <c r="J346" s="37" t="n">
        <v>1.18</v>
      </c>
      <c r="K346" s="37" t="n">
        <v>0.62</v>
      </c>
      <c r="L346" s="37" t="n">
        <v>0.05</v>
      </c>
      <c r="M346" s="37" t="n">
        <v>0</v>
      </c>
      <c r="N346" s="37" t="n">
        <v>0</v>
      </c>
      <c r="O346" s="37" t="n">
        <v>219.21</v>
      </c>
      <c r="P346" s="37" t="n">
        <v>160.94</v>
      </c>
      <c r="Q346" s="37" t="n">
        <v>214.67</v>
      </c>
      <c r="R346" s="37" t="n">
        <v>385.867</v>
      </c>
      <c r="S346" s="37" t="n">
        <v>179.471</v>
      </c>
      <c r="T346" s="37" t="n">
        <v>208.614</v>
      </c>
      <c r="U346" s="37" t="n">
        <v>136.739</v>
      </c>
      <c r="V346" s="37" t="n">
        <v>330.944</v>
      </c>
      <c r="W346" s="37" t="n">
        <v>171.864</v>
      </c>
      <c r="X346" s="37" t="n">
        <v>260.879</v>
      </c>
      <c r="Y346" s="81" t="n">
        <f aca="false">80.42+364.158</f>
        <v>444.578</v>
      </c>
      <c r="Z346" s="81" t="n">
        <f aca="false">178.935+499.196</f>
        <v>678.131</v>
      </c>
      <c r="AA346" s="81" t="n">
        <f aca="false">142.161+397.252</f>
        <v>539.413</v>
      </c>
      <c r="AB346" s="81" t="n">
        <f aca="false">35.3+362.3</f>
        <v>397.6</v>
      </c>
      <c r="AC346" s="81" t="n">
        <f aca="false">107.4+459.8</f>
        <v>567.2</v>
      </c>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row>
    <row r="347" customFormat="false" ht="15" hidden="false" customHeight="true" outlineLevel="0" collapsed="false">
      <c r="A347" s="29" t="s">
        <v>497</v>
      </c>
      <c r="B347" s="62" t="n">
        <v>287.42</v>
      </c>
      <c r="C347" s="62" t="n">
        <v>342.77</v>
      </c>
      <c r="D347" s="62" t="n">
        <v>499.57</v>
      </c>
      <c r="E347" s="62" t="n">
        <v>1214.18</v>
      </c>
      <c r="F347" s="62" t="n">
        <v>1046.19</v>
      </c>
      <c r="G347" s="62" t="n">
        <v>753.75</v>
      </c>
      <c r="H347" s="62" t="n">
        <v>523.61</v>
      </c>
      <c r="I347" s="62" t="n">
        <v>422.75</v>
      </c>
      <c r="J347" s="62" t="n">
        <v>329.06</v>
      </c>
      <c r="K347" s="62" t="n">
        <v>327.41</v>
      </c>
      <c r="L347" s="62" t="n">
        <v>371.05</v>
      </c>
      <c r="M347" s="62" t="n">
        <v>386.18</v>
      </c>
      <c r="N347" s="62" t="n">
        <v>276.03</v>
      </c>
      <c r="O347" s="62" t="n">
        <v>33.51</v>
      </c>
      <c r="P347" s="62" t="n">
        <v>110.34</v>
      </c>
      <c r="Q347" s="62" t="n">
        <v>104.93</v>
      </c>
      <c r="R347" s="62" t="n">
        <v>104.93</v>
      </c>
      <c r="S347" s="62" t="n">
        <v>73.761</v>
      </c>
      <c r="T347" s="62" t="n">
        <v>1.49</v>
      </c>
      <c r="U347" s="62" t="n">
        <v>1.494</v>
      </c>
      <c r="V347" s="62" t="n">
        <v>1.49</v>
      </c>
      <c r="W347" s="62" t="n">
        <v>1.49</v>
      </c>
      <c r="X347" s="62" t="n">
        <v>1.49</v>
      </c>
      <c r="Y347" s="62" t="n">
        <v>0.363</v>
      </c>
      <c r="Z347" s="30"/>
      <c r="AA347" s="30"/>
      <c r="AB347" s="30"/>
      <c r="AC347" s="30"/>
      <c r="AD347" s="32" t="n">
        <f aca="false">AD349/200*(AD638+AC638+AD658+AC658)</f>
        <v>321.813</v>
      </c>
      <c r="AE347" s="62" t="n">
        <v>219.1</v>
      </c>
      <c r="AF347" s="62" t="n">
        <v>396</v>
      </c>
      <c r="AG347" s="32" t="n">
        <f aca="false">AG349/200*(AG638+AF638+AG658+AF658)</f>
        <v>626.3955</v>
      </c>
      <c r="AH347" s="32" t="n">
        <f aca="false">AH349/200*(AH638+AG638+AH658+AG658)</f>
        <v>800.01065</v>
      </c>
      <c r="AI347" s="32" t="n">
        <f aca="false">AI349/200*(AI638+AH638+AI658+AH658)</f>
        <v>1089.81985</v>
      </c>
      <c r="AJ347" s="32" t="n">
        <f aca="false">AJ349/200*(AJ638+AI638+AJ658+AI658)</f>
        <v>1280.45860283098</v>
      </c>
      <c r="AK347" s="32" t="n">
        <f aca="false">AK349/200*(AK638+AJ638+AK658+AJ658)</f>
        <v>1540.62853865332</v>
      </c>
      <c r="AL347" s="32" t="n">
        <f aca="false">AL349/200*(AL638+AK638+AL658+AK658)</f>
        <v>1937.41212036945</v>
      </c>
      <c r="AM347" s="30"/>
      <c r="AN347" s="30"/>
      <c r="AO347" s="30"/>
      <c r="AP347" s="30"/>
      <c r="AQ347" s="30"/>
      <c r="AR347" s="30"/>
      <c r="AS347" s="30"/>
      <c r="AT347" s="30"/>
      <c r="AU347" s="30"/>
      <c r="AV347" s="30"/>
      <c r="AW347" s="30"/>
      <c r="AX347" s="30"/>
      <c r="AY347" s="30"/>
    </row>
    <row r="348" customFormat="false" ht="15" hidden="false" customHeight="true" outlineLevel="0" collapsed="false">
      <c r="A348" s="51" t="s">
        <v>427</v>
      </c>
      <c r="B348" s="52" t="n">
        <f aca="false">+B347+B346</f>
        <v>287.42</v>
      </c>
      <c r="C348" s="52" t="n">
        <f aca="false">+C347+C346</f>
        <v>342.77</v>
      </c>
      <c r="D348" s="52" t="n">
        <f aca="false">+D347+D346</f>
        <v>499.57</v>
      </c>
      <c r="E348" s="52" t="n">
        <f aca="false">+E347+E346</f>
        <v>1216.99</v>
      </c>
      <c r="F348" s="52" t="n">
        <f aca="false">+F347+F346</f>
        <v>1049</v>
      </c>
      <c r="G348" s="52" t="n">
        <f aca="false">+G347+G346</f>
        <v>756.56</v>
      </c>
      <c r="H348" s="52" t="n">
        <f aca="false">+H347+H346</f>
        <v>525.92</v>
      </c>
      <c r="I348" s="52" t="n">
        <f aca="false">+I347+I346</f>
        <v>424.49</v>
      </c>
      <c r="J348" s="52" t="n">
        <f aca="false">+J347+J346</f>
        <v>330.24</v>
      </c>
      <c r="K348" s="52" t="n">
        <f aca="false">+K347+K346</f>
        <v>328.03</v>
      </c>
      <c r="L348" s="52" t="n">
        <f aca="false">+L347+L346</f>
        <v>371.1</v>
      </c>
      <c r="M348" s="52" t="n">
        <f aca="false">+M347+M346</f>
        <v>386.18</v>
      </c>
      <c r="N348" s="52" t="n">
        <f aca="false">+N347+N346</f>
        <v>276.03</v>
      </c>
      <c r="O348" s="52" t="n">
        <f aca="false">+O347+O346</f>
        <v>252.72</v>
      </c>
      <c r="P348" s="52" t="n">
        <f aca="false">+P347+P346</f>
        <v>271.28</v>
      </c>
      <c r="Q348" s="52" t="n">
        <f aca="false">+Q347+Q346</f>
        <v>319.6</v>
      </c>
      <c r="R348" s="52" t="n">
        <f aca="false">+R347+R346</f>
        <v>490.797</v>
      </c>
      <c r="S348" s="52" t="n">
        <f aca="false">+S347+S346</f>
        <v>253.232</v>
      </c>
      <c r="T348" s="52" t="n">
        <f aca="false">+T347+T346</f>
        <v>210.104</v>
      </c>
      <c r="U348" s="52" t="n">
        <f aca="false">+U347+U346</f>
        <v>138.233</v>
      </c>
      <c r="V348" s="52" t="n">
        <f aca="false">+V347+V346</f>
        <v>332.434</v>
      </c>
      <c r="W348" s="52" t="n">
        <f aca="false">+W347+W346</f>
        <v>173.354</v>
      </c>
      <c r="X348" s="52" t="n">
        <f aca="false">+X347+X346</f>
        <v>262.369</v>
      </c>
      <c r="Y348" s="52" t="n">
        <f aca="false">+Y347+Y346</f>
        <v>444.941</v>
      </c>
      <c r="Z348" s="52" t="n">
        <f aca="false">+Z347+Z346</f>
        <v>678.131</v>
      </c>
      <c r="AA348" s="52" t="n">
        <f aca="false">+AA347+AA346</f>
        <v>539.413</v>
      </c>
      <c r="AB348" s="52" t="n">
        <f aca="false">+AB347+AB346</f>
        <v>397.6</v>
      </c>
      <c r="AC348" s="52" t="n">
        <f aca="false">+AC347+AC346</f>
        <v>567.2</v>
      </c>
      <c r="AD348" s="52" t="n">
        <f aca="false">+AD347+AD346</f>
        <v>321.813</v>
      </c>
      <c r="AE348" s="52" t="n">
        <f aca="false">+AE347+AE346</f>
        <v>219.1</v>
      </c>
      <c r="AF348" s="52" t="n">
        <f aca="false">+AF347+AF346</f>
        <v>396</v>
      </c>
      <c r="AG348" s="52" t="n">
        <f aca="false">+AG347+AG346</f>
        <v>626.3955</v>
      </c>
      <c r="AH348" s="52" t="n">
        <f aca="false">+AH347+AH346</f>
        <v>800.01065</v>
      </c>
      <c r="AI348" s="52" t="n">
        <f aca="false">+AI347+AI346</f>
        <v>1089.81985</v>
      </c>
      <c r="AJ348" s="52" t="n">
        <f aca="false">+AJ347+AJ346</f>
        <v>1280.45860283098</v>
      </c>
      <c r="AK348" s="52" t="n">
        <f aca="false">+AK347+AK346</f>
        <v>1540.62853865332</v>
      </c>
      <c r="AL348" s="52" t="n">
        <f aca="false">+AL347+AL346</f>
        <v>1937.41212036945</v>
      </c>
      <c r="AM348" s="53"/>
      <c r="AN348" s="53"/>
      <c r="AO348" s="53"/>
      <c r="AP348" s="53"/>
      <c r="AQ348" s="53"/>
      <c r="AR348" s="53"/>
      <c r="AS348" s="53"/>
      <c r="AT348" s="53"/>
      <c r="AU348" s="53"/>
      <c r="AV348" s="53"/>
      <c r="AW348" s="53"/>
      <c r="AX348" s="53"/>
      <c r="AY348" s="53"/>
    </row>
    <row r="349" customFormat="false" ht="15" hidden="false" customHeight="true" outlineLevel="0" collapsed="false">
      <c r="A349" s="29" t="s">
        <v>498</v>
      </c>
      <c r="B349" s="36"/>
      <c r="C349" s="94" t="n">
        <f aca="false">C347*200/(B638+C638+B658+C658)</f>
        <v>52.8692728296328</v>
      </c>
      <c r="D349" s="94" t="n">
        <f aca="false">D347*200/(C638+D638+C658+D658)</f>
        <v>62.3733511458483</v>
      </c>
      <c r="E349" s="94" t="n">
        <f aca="false">E347*200/(D638+E638+D658+E658)</f>
        <v>139.838184906856</v>
      </c>
      <c r="F349" s="94" t="n">
        <f aca="false">F347*200/(E638+F638+E658+F658)</f>
        <v>246.075502763731</v>
      </c>
      <c r="G349" s="94" t="n">
        <f aca="false">G347*200/(F638+G638+F658+G658)</f>
        <v>272.392172451801</v>
      </c>
      <c r="H349" s="94" t="n">
        <f aca="false">H347*200/(G638+H638+G658+H658)</f>
        <v>104.206179411911</v>
      </c>
      <c r="I349" s="94" t="n">
        <f aca="false">I347*200/(H638+I638+H658+I658)</f>
        <v>43.8828682943033</v>
      </c>
      <c r="J349" s="94" t="n">
        <f aca="false">J347*200/(I638+J638+I658+J658)</f>
        <v>18.5783125047637</v>
      </c>
      <c r="K349" s="94" t="n">
        <f aca="false">K347*200/(J638+K638+J658+K658)</f>
        <v>12.0364022035428</v>
      </c>
      <c r="L349" s="94" t="n">
        <f aca="false">L348*200/(K638+L638+K658+L658)</f>
        <v>13.2242890741929</v>
      </c>
      <c r="M349" s="94" t="n">
        <f aca="false">M348*200/(L638+M638+L658+M658)</f>
        <v>11.9419323616224</v>
      </c>
      <c r="N349" s="94" t="n">
        <f aca="false">N348*200/(M638+N638+M658+N658)</f>
        <v>3.94848078686386</v>
      </c>
      <c r="O349" s="94" t="n">
        <f aca="false">O348*200/(N638+O638+N658+O658)</f>
        <v>2.59078830823738</v>
      </c>
      <c r="P349" s="94" t="n">
        <f aca="false">P348*200/(O638+P638+O658+P658)</f>
        <v>3.50410370741612</v>
      </c>
      <c r="Q349" s="94" t="n">
        <f aca="false">Q348*200/(P638+Q638+P658+Q658)</f>
        <v>3.96645146557651</v>
      </c>
      <c r="R349" s="94" t="n">
        <f aca="false">R348*200/(Q638+R638+Q658+R658)</f>
        <v>7.77217629392562</v>
      </c>
      <c r="S349" s="94" t="n">
        <f aca="false">S348*200/(R638+S638+R658+S658)</f>
        <v>5.65473349350821</v>
      </c>
      <c r="T349" s="94" t="n">
        <f aca="false">T348*200/(S638+T638+S658+T658)</f>
        <v>3.40933883046976</v>
      </c>
      <c r="U349" s="94" t="n">
        <f aca="false">U348*200/(T638+U638+T658+U658)</f>
        <v>1.89639134423077</v>
      </c>
      <c r="V349" s="94" t="n">
        <f aca="false">V348*200/(U638+V638+U658+V658)</f>
        <v>3.10144662929669</v>
      </c>
      <c r="W349" s="94" t="n">
        <f aca="false">W348*200/(V638+W638+V658+W658)</f>
        <v>1.81937349296432</v>
      </c>
      <c r="X349" s="94" t="n">
        <f aca="false">X348*200/(W638+X638+W658+X658)</f>
        <v>2.94144965913999</v>
      </c>
      <c r="Y349" s="94" t="n">
        <f aca="false">Y348*200/(X638+Y638+X658+Y658)</f>
        <v>3.23255940079727</v>
      </c>
      <c r="Z349" s="94" t="n">
        <f aca="false">Z348*200/(Y638+Z638+Y658+Z658)</f>
        <v>4.00990633976475</v>
      </c>
      <c r="AA349" s="94" t="n">
        <f aca="false">AA348*200/(Z638+AA638+Z658+AA658)</f>
        <v>1.8445537562984</v>
      </c>
      <c r="AB349" s="94" t="n">
        <f aca="false">AB348*200/(AA638+AB638+AA658+AB658)</f>
        <v>1.46360688652808</v>
      </c>
      <c r="AC349" s="94" t="n">
        <f aca="false">AC348*200/(AB638+AC638+AB658+AC658)</f>
        <v>4.20762149210329</v>
      </c>
      <c r="AD349" s="37" t="n">
        <v>3</v>
      </c>
      <c r="AE349" s="94" t="n">
        <f aca="false">AE348*200/(AD638+AE638+AD658+AE658)</f>
        <v>1.38322453566333</v>
      </c>
      <c r="AF349" s="94" t="n">
        <f aca="false">AF348*200/(AE638+AF638+AE658+AF658)</f>
        <v>1.40982462636087</v>
      </c>
      <c r="AG349" s="37" t="n">
        <v>1.8</v>
      </c>
      <c r="AH349" s="37" t="n">
        <v>1.7</v>
      </c>
      <c r="AI349" s="37" t="n">
        <v>1.7</v>
      </c>
      <c r="AJ349" s="37" t="n">
        <v>1.7</v>
      </c>
      <c r="AK349" s="37" t="n">
        <v>1.7</v>
      </c>
      <c r="AL349" s="37" t="n">
        <v>1.7</v>
      </c>
      <c r="AM349" s="36"/>
      <c r="AN349" s="36"/>
      <c r="AO349" s="36"/>
      <c r="AP349" s="36"/>
      <c r="AQ349" s="36"/>
      <c r="AR349" s="36"/>
      <c r="AS349" s="36"/>
      <c r="AT349" s="36"/>
      <c r="AU349" s="36"/>
      <c r="AV349" s="36"/>
      <c r="AW349" s="36"/>
      <c r="AX349" s="36"/>
      <c r="AY349" s="36"/>
    </row>
    <row r="350" customFormat="false" ht="15" hidden="false" customHeight="true" outlineLevel="0" collapsed="false">
      <c r="A350" s="47" t="s">
        <v>499</v>
      </c>
      <c r="B350" s="37" t="n">
        <v>62.91</v>
      </c>
      <c r="C350" s="37" t="n">
        <v>61.83</v>
      </c>
      <c r="D350" s="37" t="n">
        <v>61.26</v>
      </c>
      <c r="E350" s="37" t="n">
        <v>61.03</v>
      </c>
      <c r="F350" s="37" t="n">
        <v>76.94</v>
      </c>
      <c r="G350" s="37" t="n">
        <v>63.5</v>
      </c>
      <c r="H350" s="37" t="n">
        <v>64.25</v>
      </c>
      <c r="I350" s="37" t="n">
        <v>39.64</v>
      </c>
      <c r="J350" s="37" t="n">
        <v>3.36</v>
      </c>
      <c r="K350" s="37" t="n">
        <v>0</v>
      </c>
      <c r="L350" s="37" t="n">
        <v>0</v>
      </c>
      <c r="M350" s="37" t="n">
        <v>0</v>
      </c>
      <c r="N350" s="36"/>
      <c r="O350" s="36"/>
      <c r="P350" s="37" t="n">
        <v>36.6</v>
      </c>
      <c r="Q350" s="37" t="n">
        <v>77.5</v>
      </c>
      <c r="R350" s="37" t="n">
        <v>0</v>
      </c>
      <c r="S350" s="37" t="n">
        <v>0</v>
      </c>
      <c r="T350" s="49" t="n">
        <f aca="false">S350</f>
        <v>0</v>
      </c>
      <c r="U350" s="49" t="n">
        <f aca="false">T350</f>
        <v>0</v>
      </c>
      <c r="V350" s="49" t="n">
        <f aca="false">U350</f>
        <v>0</v>
      </c>
      <c r="W350" s="37" t="n">
        <v>0</v>
      </c>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row>
    <row r="351" customFormat="false" ht="15" hidden="false" customHeight="true" outlineLevel="0" collapsed="false">
      <c r="A351" s="29" t="s">
        <v>500</v>
      </c>
      <c r="B351" s="60" t="n">
        <v>1.14</v>
      </c>
      <c r="C351" s="60" t="n">
        <v>1.17</v>
      </c>
      <c r="D351" s="60" t="n">
        <v>0.46</v>
      </c>
      <c r="E351" s="60" t="n">
        <v>0.22</v>
      </c>
      <c r="F351" s="60" t="n">
        <v>0.25</v>
      </c>
      <c r="G351" s="60" t="n">
        <v>0.25</v>
      </c>
      <c r="H351" s="60" t="n">
        <v>0.3</v>
      </c>
      <c r="I351" s="60" t="n">
        <v>0.5</v>
      </c>
      <c r="J351" s="60" t="n">
        <v>1.25</v>
      </c>
      <c r="K351" s="60" t="n">
        <v>1.87</v>
      </c>
      <c r="L351" s="60" t="n">
        <v>2.13</v>
      </c>
      <c r="M351" s="60" t="n">
        <v>2.23</v>
      </c>
      <c r="N351" s="60" t="n">
        <v>2.22</v>
      </c>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row>
    <row r="352" customFormat="false" ht="15" hidden="false" customHeight="true" outlineLevel="0" collapsed="false">
      <c r="A352" s="29" t="s">
        <v>501</v>
      </c>
      <c r="B352" s="37" t="n">
        <v>37.83</v>
      </c>
      <c r="C352" s="37" t="n">
        <v>27.42</v>
      </c>
      <c r="D352" s="37" t="n">
        <v>93.04</v>
      </c>
      <c r="E352" s="37" t="n">
        <v>42.05</v>
      </c>
      <c r="F352" s="37" t="n">
        <v>79.08</v>
      </c>
      <c r="G352" s="37" t="n">
        <v>60.56</v>
      </c>
      <c r="H352" s="37" t="n">
        <v>73.41</v>
      </c>
      <c r="I352" s="37" t="n">
        <v>29.77</v>
      </c>
      <c r="J352" s="37" t="n">
        <v>41.06</v>
      </c>
      <c r="K352" s="37" t="n">
        <v>25</v>
      </c>
      <c r="L352" s="37" t="n">
        <v>22.45</v>
      </c>
      <c r="M352" s="37" t="n">
        <v>24.68</v>
      </c>
      <c r="N352" s="37" t="n">
        <v>34.6</v>
      </c>
      <c r="O352" s="37" t="n">
        <v>47.68</v>
      </c>
      <c r="P352" s="81" t="n">
        <f aca="false">55.74+74.11</f>
        <v>129.85</v>
      </c>
      <c r="Q352" s="81" t="n">
        <f aca="false">139.01+51.05</f>
        <v>190.06</v>
      </c>
      <c r="R352" s="81" t="n">
        <f aca="false">50.87+30.229+455</f>
        <v>536.099</v>
      </c>
      <c r="S352" s="81" t="n">
        <f aca="false">30.771+27.74</f>
        <v>58.511</v>
      </c>
      <c r="T352" s="81" t="n">
        <f aca="false">44.006+49.856</f>
        <v>93.862</v>
      </c>
      <c r="U352" s="81" t="n">
        <f aca="false">115.601+44.492+95.369</f>
        <v>255.462</v>
      </c>
      <c r="V352" s="81" t="n">
        <f aca="false">40.446+133.282</f>
        <v>173.728</v>
      </c>
      <c r="W352" s="81" t="n">
        <f aca="false">31.094+319.815</f>
        <v>350.909</v>
      </c>
      <c r="X352" s="81" t="n">
        <f aca="false">201.415+396.839+297.72</f>
        <v>895.974</v>
      </c>
      <c r="Y352" s="37" t="n">
        <v>322.222</v>
      </c>
      <c r="Z352" s="81" t="n">
        <f aca="false">348.657+91.84</f>
        <v>440.497</v>
      </c>
      <c r="AA352" s="81" t="n">
        <f aca="false">323.216+556.823</f>
        <v>880.039</v>
      </c>
      <c r="AB352" s="37" t="n">
        <v>287.5</v>
      </c>
      <c r="AC352" s="37" t="n">
        <v>224.8</v>
      </c>
      <c r="AD352" s="94" t="n">
        <f aca="false">1195-AD353-AD348-AD344</f>
        <v>553.187</v>
      </c>
      <c r="AE352" s="37" t="n">
        <v>354.6</v>
      </c>
      <c r="AF352" s="37" t="n">
        <v>266.8</v>
      </c>
      <c r="AG352" s="37" t="n">
        <v>400</v>
      </c>
      <c r="AH352" s="37" t="n">
        <v>450</v>
      </c>
      <c r="AI352" s="37" t="n">
        <v>500</v>
      </c>
      <c r="AJ352" s="37" t="n">
        <v>550</v>
      </c>
      <c r="AK352" s="37" t="n">
        <v>550</v>
      </c>
      <c r="AL352" s="37" t="n">
        <v>550</v>
      </c>
      <c r="AM352" s="36"/>
      <c r="AN352" s="36"/>
      <c r="AO352" s="36"/>
      <c r="AP352" s="36"/>
      <c r="AQ352" s="36"/>
      <c r="AR352" s="36"/>
      <c r="AS352" s="36"/>
      <c r="AT352" s="36"/>
      <c r="AU352" s="36"/>
      <c r="AV352" s="36"/>
      <c r="AW352" s="36"/>
      <c r="AX352" s="36"/>
      <c r="AY352" s="36"/>
    </row>
    <row r="353" customFormat="false" ht="15" hidden="false" customHeight="true" outlineLevel="0" collapsed="false">
      <c r="A353" s="29" t="s">
        <v>502</v>
      </c>
      <c r="B353" s="92" t="n">
        <f aca="false">6.1+27.62</f>
        <v>33.72</v>
      </c>
      <c r="C353" s="62" t="n">
        <v>3.01</v>
      </c>
      <c r="D353" s="92" t="n">
        <f aca="false">2.5+50.95</f>
        <v>53.45</v>
      </c>
      <c r="E353" s="92" t="n">
        <f aca="false">11.27+4.19</f>
        <v>15.46</v>
      </c>
      <c r="F353" s="92" t="n">
        <f aca="false">1.51+1.32+0.05</f>
        <v>2.88</v>
      </c>
      <c r="G353" s="92" t="n">
        <f aca="false">0.09+146.13-10.63</f>
        <v>135.59</v>
      </c>
      <c r="H353" s="92" t="n">
        <f aca="false">144+12.45</f>
        <v>156.45</v>
      </c>
      <c r="I353" s="92" t="n">
        <f aca="false">11.5+1</f>
        <v>12.5</v>
      </c>
      <c r="J353" s="92" t="n">
        <f aca="false">7.66+2.62</f>
        <v>10.28</v>
      </c>
      <c r="K353" s="92" t="n">
        <f aca="false">17.38-1.01</f>
        <v>16.37</v>
      </c>
      <c r="L353" s="92" t="n">
        <f aca="false">4.64+31.6</f>
        <v>36.24</v>
      </c>
      <c r="M353" s="92" t="n">
        <f aca="false">20.8+29.52</f>
        <v>50.32</v>
      </c>
      <c r="N353" s="92" t="n">
        <f aca="false">38.98+337.37-268.5884</f>
        <v>107.7616</v>
      </c>
      <c r="O353" s="92" t="n">
        <f aca="false">78.1+43.21</f>
        <v>121.31</v>
      </c>
      <c r="P353" s="92" t="n">
        <f aca="false">250.64+90.33</f>
        <v>340.97</v>
      </c>
      <c r="Q353" s="92" t="n">
        <f aca="false">333.96+41.9</f>
        <v>375.86</v>
      </c>
      <c r="R353" s="92" t="n">
        <f aca="false">37.448+216.648</f>
        <v>254.096</v>
      </c>
      <c r="S353" s="92" t="n">
        <f aca="false">13.256+39.507+494.982</f>
        <v>547.745</v>
      </c>
      <c r="T353" s="92" t="n">
        <f aca="false">18.85+0.16</f>
        <v>19.01</v>
      </c>
      <c r="U353" s="62" t="n">
        <v>34.803</v>
      </c>
      <c r="V353" s="62" t="n">
        <v>41.726</v>
      </c>
      <c r="W353" s="62" t="n">
        <v>93.892</v>
      </c>
      <c r="X353" s="92" t="n">
        <f aca="false">29.121+29.517</f>
        <v>58.638</v>
      </c>
      <c r="Y353" s="92" t="n">
        <f aca="false">-55.856+8.567</f>
        <v>-47.289</v>
      </c>
      <c r="Z353" s="92" t="n">
        <f aca="false">230.699+80.336</f>
        <v>311.035</v>
      </c>
      <c r="AA353" s="92" t="n">
        <f aca="false">30.214+382.156</f>
        <v>412.37</v>
      </c>
      <c r="AB353" s="92" t="n">
        <f aca="false">34.5+468.9</f>
        <v>503.4</v>
      </c>
      <c r="AC353" s="92" t="n">
        <f aca="false">168.1+41.8</f>
        <v>209.9</v>
      </c>
      <c r="AD353" s="62" t="n">
        <v>220</v>
      </c>
      <c r="AE353" s="92" t="n">
        <f aca="false">133.1+30.2</f>
        <v>163.3</v>
      </c>
      <c r="AF353" s="92" t="n">
        <f aca="false">300.5+89.7</f>
        <v>390.2</v>
      </c>
      <c r="AG353" s="32" t="n">
        <f aca="false">2465.7-AG352-AG348-AG343</f>
        <v>1429.3045</v>
      </c>
      <c r="AH353" s="32" t="n">
        <f aca="false">2502.5-AH352-AH348-AH344</f>
        <v>1240.48935</v>
      </c>
      <c r="AI353" s="32" t="n">
        <f aca="false">3151.7-AI352-AI348-AI344</f>
        <v>1549.88015</v>
      </c>
      <c r="AJ353" s="62" t="n">
        <v>1600</v>
      </c>
      <c r="AK353" s="62" t="n">
        <v>1700</v>
      </c>
      <c r="AL353" s="62" t="n">
        <v>1800</v>
      </c>
      <c r="AM353" s="30"/>
      <c r="AN353" s="30"/>
      <c r="AO353" s="30"/>
      <c r="AP353" s="30"/>
      <c r="AQ353" s="30"/>
      <c r="AR353" s="30"/>
      <c r="AS353" s="30"/>
      <c r="AT353" s="30"/>
      <c r="AU353" s="30"/>
      <c r="AV353" s="30"/>
      <c r="AW353" s="30"/>
      <c r="AX353" s="30"/>
      <c r="AY353" s="30"/>
    </row>
    <row r="354" customFormat="false" ht="15" hidden="false" customHeight="true" outlineLevel="0" collapsed="false">
      <c r="A354" s="29" t="s">
        <v>503</v>
      </c>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7" t="n">
        <v>416.519</v>
      </c>
      <c r="Z354" s="37" t="n">
        <v>-78.549</v>
      </c>
      <c r="AA354" s="37" t="n">
        <v>52.948</v>
      </c>
      <c r="AB354" s="37" t="n">
        <v>-104.5</v>
      </c>
      <c r="AC354" s="37" t="n">
        <v>42.5</v>
      </c>
      <c r="AD354" s="36"/>
      <c r="AE354" s="37" t="n">
        <v>23.6</v>
      </c>
      <c r="AF354" s="37" t="n">
        <v>100.2</v>
      </c>
      <c r="AG354" s="36"/>
      <c r="AH354" s="36"/>
      <c r="AI354" s="36"/>
      <c r="AJ354" s="36"/>
      <c r="AK354" s="36"/>
      <c r="AL354" s="36"/>
      <c r="AM354" s="36"/>
      <c r="AN354" s="36"/>
      <c r="AO354" s="36"/>
      <c r="AP354" s="36"/>
      <c r="AQ354" s="36"/>
      <c r="AR354" s="36"/>
      <c r="AS354" s="36"/>
      <c r="AT354" s="36"/>
      <c r="AU354" s="36"/>
      <c r="AV354" s="36"/>
      <c r="AW354" s="36"/>
      <c r="AX354" s="36"/>
      <c r="AY354" s="36"/>
    </row>
    <row r="355" customFormat="false" ht="15" hidden="false" customHeight="true" outlineLevel="0" collapsed="false">
      <c r="A355" s="51" t="s">
        <v>427</v>
      </c>
      <c r="B355" s="52" t="n">
        <f aca="false">+B344+B348+B350+B351+B352+B353</f>
        <v>569.31</v>
      </c>
      <c r="C355" s="52" t="n">
        <f aca="false">+C344+C348+C350+C351+C352+C353</f>
        <v>475.64</v>
      </c>
      <c r="D355" s="52" t="n">
        <f aca="false">+D344+D348+D350+D351+D352+D353</f>
        <v>768.76</v>
      </c>
      <c r="E355" s="52" t="n">
        <f aca="false">+E344+E348+E350+E351+E352+E353</f>
        <v>1418.16</v>
      </c>
      <c r="F355" s="52" t="n">
        <f aca="false">+F344+F348+F350+F351+F352+F353</f>
        <v>1305.73</v>
      </c>
      <c r="G355" s="52" t="n">
        <f aca="false">+G344+G348+G350+G351+G352+G353</f>
        <v>1088.93</v>
      </c>
      <c r="H355" s="52" t="n">
        <f aca="false">+H344+H348+H350+H351+H352+H353</f>
        <v>877.44</v>
      </c>
      <c r="I355" s="52" t="n">
        <f aca="false">+I344+I348+I350+I351+I352+I353</f>
        <v>549.76</v>
      </c>
      <c r="J355" s="52" t="n">
        <f aca="false">+J344+J348+J350+J351+J352+J353</f>
        <v>434.7</v>
      </c>
      <c r="K355" s="52" t="n">
        <f aca="false">+K344+K348+K350+K351+K352+K353</f>
        <v>506.84</v>
      </c>
      <c r="L355" s="52" t="n">
        <f aca="false">+L344+L348+L350+L351+L352+L353</f>
        <v>523.98</v>
      </c>
      <c r="M355" s="52" t="n">
        <f aca="false">+M344+M348+M350+M351+M352+M353</f>
        <v>572.38</v>
      </c>
      <c r="N355" s="52" t="n">
        <f aca="false">+N344+N348+N350+N351+N352+N353</f>
        <v>544.9916</v>
      </c>
      <c r="O355" s="52" t="n">
        <f aca="false">+O344+O348+O350+O351+O352+O353</f>
        <v>548.95</v>
      </c>
      <c r="P355" s="52" t="n">
        <f aca="false">+P344+P348+P350+P351+P352+P353</f>
        <v>943.08</v>
      </c>
      <c r="Q355" s="52" t="n">
        <f aca="false">+Q344+Q348+Q350+Q351+Q352+Q353</f>
        <v>1005.71</v>
      </c>
      <c r="R355" s="52" t="n">
        <f aca="false">+R344+R348+R350+R351+R352+R353</f>
        <v>1367.324</v>
      </c>
      <c r="S355" s="52" t="n">
        <f aca="false">+S344+S348+S350+S351+S352+S353</f>
        <v>911.665</v>
      </c>
      <c r="T355" s="52" t="n">
        <f aca="false">+T344+T348+T350+T351+T352+T353</f>
        <v>405.963</v>
      </c>
      <c r="U355" s="52" t="n">
        <f aca="false">+U344+U348+U350+U351+U352+U353</f>
        <v>519.104</v>
      </c>
      <c r="V355" s="52" t="n">
        <f aca="false">+V344+V348+V350+V351+V352+V353</f>
        <v>623.515</v>
      </c>
      <c r="W355" s="52" t="n">
        <f aca="false">+W344+W348+W350+W351+W352+W353</f>
        <v>665.207</v>
      </c>
      <c r="X355" s="52" t="n">
        <f aca="false">+X344+X348+X350+X351+X352+X353</f>
        <v>1244.713</v>
      </c>
      <c r="Y355" s="52" t="n">
        <f aca="false">+Y344+Y348+Y350+Y351+Y352+Y353+Y354</f>
        <v>1176.202</v>
      </c>
      <c r="Z355" s="52" t="n">
        <f aca="false">+Z344+Z348+Z350+Z351+Z352+Z353+Z354</f>
        <v>1362.701</v>
      </c>
      <c r="AA355" s="52" t="n">
        <f aca="false">+AA344+AA348+AA350+AA351+AA352+AA353+AA354</f>
        <v>1897.647</v>
      </c>
      <c r="AB355" s="52" t="n">
        <f aca="false">+AB344+AB348+AB350+AB351+AB352+AB353+AB354</f>
        <v>1099.4</v>
      </c>
      <c r="AC355" s="52" t="n">
        <f aca="false">+AC344+AC348+AC350+AC351+AC352+AC353+AC354</f>
        <v>1233.4</v>
      </c>
      <c r="AD355" s="52" t="n">
        <f aca="false">+AD344+AD348+AD350+AD351+AD352+AD353</f>
        <v>1195</v>
      </c>
      <c r="AE355" s="52" t="n">
        <f aca="false">+AE344+AE348+AE350+AE351+AE352+AE353+AE354</f>
        <v>761.3</v>
      </c>
      <c r="AF355" s="52" t="n">
        <f aca="false">+AF344+AF348+AF350+AF351+AF352+AF353+AF354</f>
        <v>1161.4</v>
      </c>
      <c r="AG355" s="52" t="n">
        <f aca="false">+AG344+AG348+AG350+AG351+AG352+AG353</f>
        <v>2465.7</v>
      </c>
      <c r="AH355" s="52" t="n">
        <f aca="false">+AH344+AH348+AH350+AH351+AH352+AH353</f>
        <v>2502.5</v>
      </c>
      <c r="AI355" s="52" t="n">
        <f aca="false">+AI344+AI348+AI350+AI351+AI352+AI353</f>
        <v>3151.7</v>
      </c>
      <c r="AJ355" s="52" t="n">
        <f aca="false">+AJ344+AJ348+AJ350+AJ351+AJ352+AJ353</f>
        <v>3442.45860283098</v>
      </c>
      <c r="AK355" s="52" t="n">
        <f aca="false">+AK344+AK348+AK350+AK351+AK352+AK353</f>
        <v>3802.62853865332</v>
      </c>
      <c r="AL355" s="52" t="n">
        <f aca="false">+AL344+AL348+AL350+AL351+AL352+AL353</f>
        <v>4299.41212036945</v>
      </c>
      <c r="AM355" s="53"/>
      <c r="AN355" s="53"/>
      <c r="AO355" s="53"/>
      <c r="AP355" s="53"/>
      <c r="AQ355" s="53"/>
      <c r="AR355" s="53"/>
      <c r="AS355" s="53"/>
      <c r="AT355" s="53"/>
      <c r="AU355" s="53"/>
      <c r="AV355" s="53"/>
      <c r="AW355" s="53"/>
      <c r="AX355" s="53"/>
      <c r="AY355" s="53"/>
    </row>
    <row r="356" customFormat="false" ht="15" hidden="false" customHeight="true" outlineLevel="0" collapsed="false">
      <c r="A356" s="29" t="s">
        <v>504</v>
      </c>
      <c r="B356" s="36"/>
      <c r="C356" s="49" t="n">
        <f aca="false">(100*C355)/B355-100</f>
        <v>-16.4532504259542</v>
      </c>
      <c r="D356" s="49" t="n">
        <f aca="false">(100*D355)/C355-100</f>
        <v>61.6264401648305</v>
      </c>
      <c r="E356" s="49" t="n">
        <f aca="false">(100*E355)/D355-100</f>
        <v>84.4736979031167</v>
      </c>
      <c r="F356" s="49" t="n">
        <f aca="false">(100*F355)/E355-100</f>
        <v>-7.92787837761607</v>
      </c>
      <c r="G356" s="49" t="n">
        <f aca="false">(100*G355)/F355-100</f>
        <v>-16.603738904674</v>
      </c>
      <c r="H356" s="49" t="n">
        <f aca="false">(100*H355)/G355-100</f>
        <v>-19.4218177476973</v>
      </c>
      <c r="I356" s="49" t="n">
        <f aca="false">(100*I355)/H355-100</f>
        <v>-37.345003646973</v>
      </c>
      <c r="J356" s="49" t="n">
        <f aca="false">(100*J355)/I355-100</f>
        <v>-20.9291327124563</v>
      </c>
      <c r="K356" s="49" t="n">
        <f aca="false">(100*K355)/J355-100</f>
        <v>16.5953531170922</v>
      </c>
      <c r="L356" s="49" t="n">
        <f aca="false">(100*L355)/K355-100</f>
        <v>3.38173782653303</v>
      </c>
      <c r="M356" s="49" t="n">
        <f aca="false">(100*M355)/L355-100</f>
        <v>9.23699377838848</v>
      </c>
      <c r="N356" s="49" t="n">
        <f aca="false">(100*N355)/M355-100</f>
        <v>-4.78500297005485</v>
      </c>
      <c r="O356" s="49" t="n">
        <f aca="false">(100*O355)/N355-100</f>
        <v>0.7263231213105</v>
      </c>
      <c r="P356" s="49" t="n">
        <f aca="false">(100*P355)/O355-100</f>
        <v>71.7970671281537</v>
      </c>
      <c r="Q356" s="49" t="n">
        <f aca="false">(100*Q355)/P355-100</f>
        <v>6.64100606523307</v>
      </c>
      <c r="R356" s="49" t="n">
        <f aca="false">(100*R355)/Q355-100</f>
        <v>35.9560907219775</v>
      </c>
      <c r="S356" s="49" t="n">
        <f aca="false">(100*S355)/R355-100</f>
        <v>-33.3248739874382</v>
      </c>
      <c r="T356" s="49" t="n">
        <f aca="false">(100*T355)/S355-100</f>
        <v>-55.4701562525708</v>
      </c>
      <c r="U356" s="49" t="n">
        <f aca="false">(100*U355)/T355-100</f>
        <v>27.869781236221</v>
      </c>
      <c r="V356" s="49" t="n">
        <f aca="false">(100*V355)/U355-100</f>
        <v>20.1136959067932</v>
      </c>
      <c r="W356" s="49" t="n">
        <f aca="false">(100*W355)/V355-100</f>
        <v>6.68660737913284</v>
      </c>
      <c r="X356" s="49" t="n">
        <f aca="false">(100*X355)/W355-100</f>
        <v>87.1166418874125</v>
      </c>
      <c r="Y356" s="49" t="n">
        <f aca="false">(100*Y355)/X355-100</f>
        <v>-5.50416039681437</v>
      </c>
      <c r="Z356" s="49" t="n">
        <f aca="false">(100*Z355)/Y355-100</f>
        <v>15.8560349327752</v>
      </c>
      <c r="AA356" s="49" t="n">
        <f aca="false">(100*AA355)/Z355-100</f>
        <v>39.256300538416</v>
      </c>
      <c r="AB356" s="49" t="n">
        <f aca="false">(100*AB355)/AA355-100</f>
        <v>-42.06509429836</v>
      </c>
      <c r="AC356" s="49" t="n">
        <f aca="false">(100*AC355)/AB355-100</f>
        <v>12.1884664362379</v>
      </c>
      <c r="AD356" s="49" t="n">
        <f aca="false">(100*AD355)/AC355-100</f>
        <v>-3.11334522458246</v>
      </c>
      <c r="AE356" s="49" t="n">
        <f aca="false">(100*AE355)/AD355-100</f>
        <v>-36.2928870292887</v>
      </c>
      <c r="AF356" s="49" t="n">
        <f aca="false">(100*AF355)/AE355-100</f>
        <v>52.5548404045712</v>
      </c>
      <c r="AG356" s="49" t="n">
        <f aca="false">(100*AG355)/AF355-100</f>
        <v>112.304115722404</v>
      </c>
      <c r="AH356" s="49" t="n">
        <f aca="false">(100*AH355)/AG355-100</f>
        <v>1.49247678144138</v>
      </c>
      <c r="AI356" s="49" t="n">
        <f aca="false">(100*AI355)/AH355-100</f>
        <v>25.9420579420579</v>
      </c>
      <c r="AJ356" s="49" t="n">
        <f aca="false">(100*AJ355)/AI355-100</f>
        <v>9.22545301998868</v>
      </c>
      <c r="AK356" s="49" t="n">
        <f aca="false">(100*AK355)/AJ355-100</f>
        <v>10.4625785630696</v>
      </c>
      <c r="AL356" s="49" t="n">
        <f aca="false">(100*AL355)/AK355-100</f>
        <v>13.0642153622522</v>
      </c>
      <c r="AM356" s="36"/>
      <c r="AN356" s="36"/>
      <c r="AO356" s="36"/>
      <c r="AP356" s="36"/>
      <c r="AQ356" s="36"/>
      <c r="AR356" s="36"/>
      <c r="AS356" s="36"/>
      <c r="AT356" s="36"/>
      <c r="AU356" s="36"/>
      <c r="AV356" s="36"/>
      <c r="AW356" s="36"/>
      <c r="AX356" s="36"/>
      <c r="AY356" s="36"/>
    </row>
    <row r="357" customFormat="false" ht="15" hidden="false" customHeight="true" outlineLevel="0" collapsed="false">
      <c r="A357" s="29"/>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89" t="n">
        <f aca="false">+AC355-1233.4</f>
        <v>0</v>
      </c>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row>
    <row r="358" customFormat="false" ht="15" hidden="false" customHeight="true" outlineLevel="0" collapsed="false">
      <c r="A358" s="51" t="s">
        <v>505</v>
      </c>
      <c r="B358" s="52" t="n">
        <f aca="false">+B355+B327</f>
        <v>10113.68</v>
      </c>
      <c r="C358" s="52" t="n">
        <f aca="false">+C355+C327</f>
        <v>12288.58</v>
      </c>
      <c r="D358" s="52" t="n">
        <f aca="false">+D355+D327</f>
        <v>15901.68</v>
      </c>
      <c r="E358" s="52" t="n">
        <f aca="false">+E355+E327</f>
        <v>21515.18</v>
      </c>
      <c r="F358" s="52" t="n">
        <f aca="false">+F355+F327</f>
        <v>26130.24</v>
      </c>
      <c r="G358" s="52" t="n">
        <f aca="false">+G355+G327</f>
        <v>21231.731576</v>
      </c>
      <c r="H358" s="52" t="n">
        <f aca="false">+H355+H327</f>
        <v>21327.918378296</v>
      </c>
      <c r="I358" s="52" t="n">
        <f aca="false">+I355+I327</f>
        <v>26536.94</v>
      </c>
      <c r="J358" s="52" t="n">
        <f aca="false">+J355+J327</f>
        <v>26501.33</v>
      </c>
      <c r="K358" s="52" t="n">
        <f aca="false">+K355+K327</f>
        <v>26811.32</v>
      </c>
      <c r="L358" s="52" t="n">
        <f aca="false">+L355+L327</f>
        <v>31263.93</v>
      </c>
      <c r="M358" s="52" t="n">
        <f aca="false">+M355+M327</f>
        <v>39845.11</v>
      </c>
      <c r="N358" s="52" t="n">
        <f aca="false">+N355+N327</f>
        <v>48657.8116</v>
      </c>
      <c r="O358" s="52" t="n">
        <f aca="false">+O355+O327</f>
        <v>61080.03</v>
      </c>
      <c r="P358" s="52" t="n">
        <f aca="false">+P355+P327</f>
        <v>83990.25</v>
      </c>
      <c r="Q358" s="52" t="n">
        <f aca="false">+Q355+Q327</f>
        <v>90342.61</v>
      </c>
      <c r="R358" s="52" t="n">
        <f aca="false">+R355+R327</f>
        <v>68033.725</v>
      </c>
      <c r="S358" s="52" t="n">
        <f aca="false">+S355+S327</f>
        <v>79637.639</v>
      </c>
      <c r="T358" s="52" t="n">
        <f aca="false">+T355+T327</f>
        <v>121342.031</v>
      </c>
      <c r="U358" s="52" t="n">
        <f aca="false">+U355+U327</f>
        <v>136988.22</v>
      </c>
      <c r="V358" s="52" t="n">
        <f aca="false">+V355+V327</f>
        <v>133609.104</v>
      </c>
      <c r="W358" s="52" t="n">
        <f aca="false">+W355+W327</f>
        <v>106273.66</v>
      </c>
      <c r="X358" s="52" t="n">
        <f aca="false">+X355+X327</f>
        <v>146104.048</v>
      </c>
      <c r="Y358" s="52" t="n">
        <f aca="false">+Y355+Y327</f>
        <v>201105.944</v>
      </c>
      <c r="Z358" s="52" t="n">
        <f aca="false">+Z355+Z327</f>
        <v>214679.392</v>
      </c>
      <c r="AA358" s="52" t="n">
        <f aca="false">+AA355+AA327</f>
        <v>267142.766</v>
      </c>
      <c r="AB358" s="52" t="n">
        <f aca="false">+AB355+AB327</f>
        <v>291648.9</v>
      </c>
      <c r="AC358" s="52" t="n">
        <f aca="false">+AC355+AC327</f>
        <v>175908.1</v>
      </c>
      <c r="AD358" s="52" t="n">
        <f aca="false">+AD355+AD327</f>
        <v>154209.5</v>
      </c>
      <c r="AE358" s="52" t="n">
        <f aca="false">+AE355+AE327</f>
        <v>217644.2</v>
      </c>
      <c r="AF358" s="52" t="n">
        <f aca="false">+AF355+AF327</f>
        <v>362602.8</v>
      </c>
      <c r="AG358" s="52" t="n">
        <f aca="false">+AG355+AG327</f>
        <v>386136</v>
      </c>
      <c r="AH358" s="52" t="n">
        <f aca="false">+AH355+AH327</f>
        <v>390029.9</v>
      </c>
      <c r="AI358" s="52" t="n">
        <f aca="false">+AI355+AI327</f>
        <v>443222</v>
      </c>
      <c r="AJ358" s="52" t="n">
        <f aca="false">+AJ355+AJ327</f>
        <v>483261.945482745</v>
      </c>
      <c r="AK358" s="52" t="n">
        <f aca="false">+AK355+AK327</f>
        <v>522117.366899434</v>
      </c>
      <c r="AL358" s="52" t="n">
        <f aca="false">+AL355+AL327</f>
        <v>561515.115218505</v>
      </c>
      <c r="AM358" s="53"/>
      <c r="AN358" s="53"/>
      <c r="AO358" s="53"/>
      <c r="AP358" s="53"/>
      <c r="AQ358" s="53"/>
      <c r="AR358" s="53"/>
      <c r="AS358" s="53"/>
      <c r="AT358" s="53"/>
      <c r="AU358" s="53"/>
      <c r="AV358" s="53"/>
      <c r="AW358" s="53"/>
      <c r="AX358" s="53"/>
      <c r="AY358" s="53"/>
    </row>
    <row r="359" customFormat="false" ht="15" hidden="false" customHeight="true" outlineLevel="0" collapsed="false">
      <c r="A359" s="29" t="s">
        <v>504</v>
      </c>
      <c r="B359" s="36"/>
      <c r="C359" s="49" t="n">
        <f aca="false">+C358/B358*100-100</f>
        <v>21.5045364298653</v>
      </c>
      <c r="D359" s="49" t="n">
        <f aca="false">+D358/C358*100-100</f>
        <v>29.4020952787059</v>
      </c>
      <c r="E359" s="49" t="n">
        <f aca="false">+E358/D358*100-100</f>
        <v>35.3013014977034</v>
      </c>
      <c r="F359" s="49" t="n">
        <f aca="false">+F358/E358*100-100</f>
        <v>21.4502504743163</v>
      </c>
      <c r="G359" s="49" t="n">
        <f aca="false">+G358/F358*100-100</f>
        <v>-18.7465114135959</v>
      </c>
      <c r="H359" s="49" t="n">
        <f aca="false">+H358/G358*100-100</f>
        <v>0.453033243905196</v>
      </c>
      <c r="I359" s="49" t="n">
        <f aca="false">+I358/H358*100-100</f>
        <v>24.4234881684697</v>
      </c>
      <c r="J359" s="49" t="n">
        <f aca="false">+J358/I358*100-100</f>
        <v>-0.13419030227297</v>
      </c>
      <c r="K359" s="49" t="n">
        <f aca="false">+K358/J358*100-100</f>
        <v>1.16971487846081</v>
      </c>
      <c r="L359" s="49" t="n">
        <f aca="false">+L358/K358*100-100</f>
        <v>16.6072017341929</v>
      </c>
      <c r="M359" s="49" t="n">
        <f aca="false">+M358/L358*100-100</f>
        <v>27.4475409841309</v>
      </c>
      <c r="N359" s="49" t="n">
        <f aca="false">+N358/M358*100-100</f>
        <v>22.1173980947725</v>
      </c>
      <c r="O359" s="49" t="n">
        <f aca="false">+O358/N358*100-100</f>
        <v>25.5297515270909</v>
      </c>
      <c r="P359" s="49" t="n">
        <f aca="false">+P358/O358*100-100</f>
        <v>37.5085277463027</v>
      </c>
      <c r="Q359" s="49" t="n">
        <f aca="false">+Q358/P358*100-100</f>
        <v>7.56321120606262</v>
      </c>
      <c r="R359" s="49" t="n">
        <f aca="false">+R358/Q358*100-100</f>
        <v>-24.6936467742077</v>
      </c>
      <c r="S359" s="49" t="n">
        <f aca="false">+S358/R358*100-100</f>
        <v>17.0561203285577</v>
      </c>
      <c r="T359" s="49" t="n">
        <f aca="false">+T358/S358*100-100</f>
        <v>52.3676901069355</v>
      </c>
      <c r="U359" s="49" t="n">
        <f aca="false">+U358/T358*100-100</f>
        <v>12.8942863994093</v>
      </c>
      <c r="V359" s="49" t="n">
        <f aca="false">+V358/U358*100-100</f>
        <v>-2.46672013111782</v>
      </c>
      <c r="W359" s="49" t="n">
        <f aca="false">+W358/V358*100-100</f>
        <v>-20.4592675062023</v>
      </c>
      <c r="X359" s="49" t="n">
        <f aca="false">+X358/W358*100-100</f>
        <v>37.4790780707092</v>
      </c>
      <c r="Y359" s="49" t="n">
        <f aca="false">+Y358/X358*100-100</f>
        <v>37.6457030129651</v>
      </c>
      <c r="Z359" s="49" t="n">
        <f aca="false">+Z358/Y358*100-100</f>
        <v>6.7494016984401</v>
      </c>
      <c r="AA359" s="49" t="n">
        <f aca="false">+AA358/Z358*100-100</f>
        <v>24.4380112647235</v>
      </c>
      <c r="AB359" s="49" t="n">
        <f aca="false">+AB358/AA358*100-100</f>
        <v>9.17342227414086</v>
      </c>
      <c r="AC359" s="49" t="n">
        <f aca="false">+AC358/AB358*100-100</f>
        <v>-39.6849773820508</v>
      </c>
      <c r="AD359" s="49" t="n">
        <f aca="false">+AD358/AC358*100-100</f>
        <v>-12.3351909320833</v>
      </c>
      <c r="AE359" s="49" t="n">
        <f aca="false">+AE358/AD358*100-100</f>
        <v>41.1354034608763</v>
      </c>
      <c r="AF359" s="49" t="n">
        <f aca="false">+AF358/AE358*100-100</f>
        <v>66.6034748456426</v>
      </c>
      <c r="AG359" s="49" t="n">
        <f aca="false">+AG358/AF358*100-100</f>
        <v>6.49007674513268</v>
      </c>
      <c r="AH359" s="49" t="n">
        <f aca="false">+AH358/AG358*100-100</f>
        <v>1.0084270826859</v>
      </c>
      <c r="AI359" s="49" t="n">
        <f aca="false">+AI358/AH358*100-100</f>
        <v>13.6379544234943</v>
      </c>
      <c r="AJ359" s="49" t="n">
        <f aca="false">+AJ358/AI358*100-100</f>
        <v>9.03383529760366</v>
      </c>
      <c r="AK359" s="49" t="n">
        <f aca="false">+AK358/AJ358*100-100</f>
        <v>8.04024024235453</v>
      </c>
      <c r="AL359" s="49" t="n">
        <f aca="false">+AL358/AK358*100-100</f>
        <v>7.54576476799316</v>
      </c>
      <c r="AM359" s="36"/>
      <c r="AN359" s="36"/>
      <c r="AO359" s="36"/>
      <c r="AP359" s="36"/>
      <c r="AQ359" s="36"/>
      <c r="AR359" s="36"/>
      <c r="AS359" s="36"/>
      <c r="AT359" s="36"/>
      <c r="AU359" s="36"/>
      <c r="AV359" s="36"/>
      <c r="AW359" s="36"/>
      <c r="AX359" s="36"/>
      <c r="AY359" s="36"/>
    </row>
    <row r="360" customFormat="false" ht="15" hidden="false" customHeight="true" outlineLevel="0" collapsed="false">
      <c r="A360" s="38" t="s">
        <v>506</v>
      </c>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c r="AY360" s="45"/>
    </row>
    <row r="361" customFormat="false" ht="15" hidden="false" customHeight="true" outlineLevel="0" collapsed="false">
      <c r="A361" s="70" t="s">
        <v>507</v>
      </c>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c r="AQ361" s="86"/>
      <c r="AR361" s="86"/>
      <c r="AS361" s="86"/>
      <c r="AT361" s="86"/>
      <c r="AU361" s="86"/>
      <c r="AV361" s="86"/>
      <c r="AW361" s="86"/>
      <c r="AX361" s="86"/>
      <c r="AY361" s="86"/>
    </row>
    <row r="362" customFormat="false" ht="15" hidden="false" customHeight="true" outlineLevel="0" collapsed="false">
      <c r="A362" s="70" t="s">
        <v>508</v>
      </c>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c r="AQ362" s="86"/>
      <c r="AR362" s="86"/>
      <c r="AS362" s="86"/>
      <c r="AT362" s="86"/>
      <c r="AU362" s="86"/>
      <c r="AV362" s="86"/>
      <c r="AW362" s="86"/>
      <c r="AX362" s="86"/>
      <c r="AY362" s="86"/>
    </row>
    <row r="363" customFormat="false" ht="15" hidden="false" customHeight="true" outlineLevel="0" collapsed="false">
      <c r="A363" s="47" t="s">
        <v>462</v>
      </c>
      <c r="B363" s="34" t="n">
        <v>496.65</v>
      </c>
      <c r="C363" s="34" t="n">
        <v>574.78</v>
      </c>
      <c r="D363" s="34" t="n">
        <v>746.55</v>
      </c>
      <c r="E363" s="34" t="n">
        <v>1088.33</v>
      </c>
      <c r="F363" s="34" t="n">
        <v>1153.47</v>
      </c>
      <c r="G363" s="34" t="n">
        <v>801.3</v>
      </c>
      <c r="H363" s="34" t="n">
        <v>619.91</v>
      </c>
      <c r="I363" s="34" t="n">
        <v>898</v>
      </c>
      <c r="J363" s="34" t="n">
        <v>875.11</v>
      </c>
      <c r="K363" s="34" t="n">
        <v>824.22</v>
      </c>
      <c r="L363" s="34" t="n">
        <v>571.15</v>
      </c>
      <c r="M363" s="34" t="n">
        <v>774.68</v>
      </c>
      <c r="N363" s="34" t="n">
        <v>478.46</v>
      </c>
      <c r="O363" s="34" t="n">
        <v>1099.67</v>
      </c>
      <c r="P363" s="34" t="n">
        <v>1930.93</v>
      </c>
      <c r="Q363" s="34" t="n">
        <v>1704.27</v>
      </c>
      <c r="R363" s="34" t="n">
        <v>1309.277</v>
      </c>
      <c r="S363" s="34" t="n">
        <v>1842.274</v>
      </c>
      <c r="T363" s="34" t="n">
        <v>1852.127</v>
      </c>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row>
    <row r="364" customFormat="false" ht="15" hidden="false" customHeight="true" outlineLevel="0" collapsed="false">
      <c r="A364" s="29" t="s">
        <v>509</v>
      </c>
      <c r="B364" s="62" t="n">
        <v>26941</v>
      </c>
      <c r="C364" s="62" t="n">
        <v>30196</v>
      </c>
      <c r="D364" s="62" t="n">
        <v>42354</v>
      </c>
      <c r="E364" s="62" t="n">
        <v>53608</v>
      </c>
      <c r="F364" s="62" t="n">
        <v>56650</v>
      </c>
      <c r="G364" s="62" t="n">
        <v>42194</v>
      </c>
      <c r="H364" s="62" t="n">
        <v>29566</v>
      </c>
      <c r="I364" s="62" t="n">
        <v>44036</v>
      </c>
      <c r="J364" s="62" t="n">
        <v>45254</v>
      </c>
      <c r="K364" s="62" t="n">
        <v>39927</v>
      </c>
      <c r="L364" s="62" t="n">
        <v>26477</v>
      </c>
      <c r="M364" s="62" t="n">
        <v>32948</v>
      </c>
      <c r="N364" s="62" t="n">
        <v>18232</v>
      </c>
      <c r="O364" s="62" t="n">
        <v>35642</v>
      </c>
      <c r="P364" s="62" t="n">
        <v>66981</v>
      </c>
      <c r="Q364" s="62" t="n">
        <v>54063</v>
      </c>
      <c r="R364" s="62" t="n">
        <v>34896</v>
      </c>
      <c r="S364" s="62" t="n">
        <v>49858</v>
      </c>
      <c r="T364" s="62" t="n">
        <v>46486</v>
      </c>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row>
    <row r="365" customFormat="false" ht="15" hidden="false" customHeight="true" outlineLevel="0" collapsed="false">
      <c r="A365" s="29" t="s">
        <v>510</v>
      </c>
      <c r="B365" s="31" t="n">
        <f aca="false">+B363/B364*1000000</f>
        <v>18434.7277383913</v>
      </c>
      <c r="C365" s="31" t="n">
        <f aca="false">+C363/C364*1000000</f>
        <v>19034.9715194065</v>
      </c>
      <c r="D365" s="31" t="n">
        <f aca="false">+D363/D364*1000000</f>
        <v>17626.4343391415</v>
      </c>
      <c r="E365" s="31" t="n">
        <f aca="false">+E363/E364*1000000</f>
        <v>20301.634084465</v>
      </c>
      <c r="F365" s="31" t="n">
        <f aca="false">+F363/F364*1000000</f>
        <v>20361.3415710503</v>
      </c>
      <c r="G365" s="31" t="n">
        <f aca="false">+G363/G364*1000000</f>
        <v>18990.8517798739</v>
      </c>
      <c r="H365" s="31" t="n">
        <f aca="false">+H363/H364*1000000</f>
        <v>20966.9891091118</v>
      </c>
      <c r="I365" s="31" t="n">
        <f aca="false">+I363/I364*1000000</f>
        <v>20392.4062130984</v>
      </c>
      <c r="J365" s="31" t="n">
        <f aca="false">+J363/J364*1000000</f>
        <v>19337.7381004994</v>
      </c>
      <c r="K365" s="31" t="n">
        <f aca="false">+K363/K364*1000000</f>
        <v>20643.1737921707</v>
      </c>
      <c r="L365" s="31" t="n">
        <f aca="false">+L363/L364*1000000</f>
        <v>21571.5526683537</v>
      </c>
      <c r="M365" s="31" t="n">
        <f aca="false">+M363/M364*1000000</f>
        <v>23512.2010440694</v>
      </c>
      <c r="N365" s="31" t="n">
        <f aca="false">+N363/N364*1000000</f>
        <v>26242.8696796841</v>
      </c>
      <c r="O365" s="31" t="n">
        <f aca="false">+O363/O364*1000000</f>
        <v>30853.2068907469</v>
      </c>
      <c r="P365" s="31" t="n">
        <f aca="false">+P363/P364*1000000</f>
        <v>28828.0258580792</v>
      </c>
      <c r="Q365" s="31" t="n">
        <f aca="false">+Q363/Q364*1000000</f>
        <v>31523.7778147717</v>
      </c>
      <c r="R365" s="31" t="n">
        <f aca="false">+R363/R364*1000000</f>
        <v>37519.4005043558</v>
      </c>
      <c r="S365" s="31" t="n">
        <f aca="false">+S363/S364*1000000</f>
        <v>36950.419190501</v>
      </c>
      <c r="T365" s="31" t="n">
        <f aca="false">+T363/T364*1000000</f>
        <v>39842.6838187842</v>
      </c>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row>
    <row r="366" customFormat="false" ht="15" hidden="false" customHeight="true" outlineLevel="0" collapsed="false">
      <c r="A366" s="29" t="s">
        <v>511</v>
      </c>
      <c r="B366" s="36"/>
      <c r="C366" s="49" t="n">
        <f aca="false">+C365/B365*100-100</f>
        <v>3.25604906963288</v>
      </c>
      <c r="D366" s="49" t="n">
        <f aca="false">+D365/C365*100-100</f>
        <v>-7.39973358420311</v>
      </c>
      <c r="E366" s="49" t="n">
        <f aca="false">+E365/D365*100-100</f>
        <v>15.1772031362174</v>
      </c>
      <c r="F366" s="49" t="n">
        <f aca="false">+F365/E365*100-100</f>
        <v>0.294101875429803</v>
      </c>
      <c r="G366" s="49" t="n">
        <f aca="false">+G365/F365*100-100</f>
        <v>-6.73084229933529</v>
      </c>
      <c r="H366" s="49" t="n">
        <f aca="false">+H365/G365*100-100</f>
        <v>10.40573299262</v>
      </c>
      <c r="I366" s="49" t="n">
        <f aca="false">+I365/H365*100-100</f>
        <v>-2.74041681914044</v>
      </c>
      <c r="J366" s="49" t="n">
        <f aca="false">+J365/I365*100-100</f>
        <v>-5.17186692721694</v>
      </c>
      <c r="K366" s="49" t="n">
        <f aca="false">+K365/J365*100-100</f>
        <v>6.75071554329092</v>
      </c>
      <c r="L366" s="49" t="n">
        <f aca="false">+L365/K365*100-100</f>
        <v>4.49726813100348</v>
      </c>
      <c r="M366" s="49" t="n">
        <f aca="false">+M365/L365*100-100</f>
        <v>8.99633144424874</v>
      </c>
      <c r="N366" s="49" t="n">
        <f aca="false">+N365/M365*100-100</f>
        <v>11.6138367075735</v>
      </c>
      <c r="O366" s="49" t="n">
        <f aca="false">+O365/N365*100-100</f>
        <v>17.56796138279</v>
      </c>
      <c r="P366" s="49" t="n">
        <f aca="false">+P365/O365*100-100</f>
        <v>-6.56392393775795</v>
      </c>
      <c r="Q366" s="49" t="n">
        <f aca="false">+Q365/P365*100-100</f>
        <v>9.3511500578074</v>
      </c>
      <c r="R366" s="49" t="n">
        <f aca="false">+R365/Q365*100-100</f>
        <v>19.019366031614</v>
      </c>
      <c r="S366" s="49" t="n">
        <f aca="false">+S365/R365*100-100</f>
        <v>-1.51649894776097</v>
      </c>
      <c r="T366" s="49" t="n">
        <f aca="false">+T365/S365*100-100</f>
        <v>7.82742034230198</v>
      </c>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row>
    <row r="367" customFormat="false" ht="15" hidden="false" customHeight="true" outlineLevel="0" collapsed="false">
      <c r="A367" s="29" t="s">
        <v>512</v>
      </c>
      <c r="B367" s="59" t="n">
        <f aca="false">+B364/B504</f>
        <v>1.30965922901172</v>
      </c>
      <c r="C367" s="59" t="n">
        <f aca="false">+C364/C504</f>
        <v>1.24642945595641</v>
      </c>
      <c r="D367" s="59" t="n">
        <f aca="false">+D364/D504</f>
        <v>1.39276553765209</v>
      </c>
      <c r="E367" s="59" t="n">
        <f aca="false">+E364/E504</f>
        <v>1.43340731035589</v>
      </c>
      <c r="F367" s="59" t="n">
        <f aca="false">+F364/F504</f>
        <v>1.30674478686104</v>
      </c>
      <c r="G367" s="59" t="n">
        <f aca="false">+G364/G504</f>
        <v>1.33749643389229</v>
      </c>
      <c r="H367" s="59" t="n">
        <f aca="false">+H364/H504</f>
        <v>0.99411586698497</v>
      </c>
      <c r="I367" s="59" t="n">
        <f aca="false">+I364/I504</f>
        <v>1.16315803375683</v>
      </c>
      <c r="J367" s="59" t="n">
        <f aca="false">+J364/J504</f>
        <v>1.39350269438029</v>
      </c>
      <c r="K367" s="59" t="n">
        <f aca="false">+K364/K504</f>
        <v>1.34556667677687</v>
      </c>
      <c r="L367" s="59" t="n">
        <f aca="false">+L364/L504</f>
        <v>0.726511908681813</v>
      </c>
      <c r="M367" s="59" t="n">
        <f aca="false">+M364/M504</f>
        <v>0.677189953549554</v>
      </c>
      <c r="N367" s="59" t="n">
        <f aca="false">+N364/N504</f>
        <v>0.333065400073073</v>
      </c>
      <c r="O367" s="59" t="n">
        <f aca="false">+O364/O504</f>
        <v>0.578087746330387</v>
      </c>
      <c r="P367" s="59" t="n">
        <f aca="false">+P364/P504</f>
        <v>0.806116185868506</v>
      </c>
      <c r="Q367" s="59" t="n">
        <f aca="false">+Q364/Q504</f>
        <v>0.648945492083689</v>
      </c>
      <c r="R367" s="59" t="n">
        <f aca="false">+R364/R504</f>
        <v>0.641105252521541</v>
      </c>
      <c r="S367" s="59" t="n">
        <f aca="false">+S364/S504</f>
        <v>0.779933047586272</v>
      </c>
      <c r="T367" s="59" t="n">
        <f aca="false">+T364/T504</f>
        <v>0.493974879391325</v>
      </c>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row>
    <row r="368" customFormat="false" ht="15" hidden="false" customHeight="true" outlineLevel="0" collapsed="false">
      <c r="A368" s="29" t="s">
        <v>513</v>
      </c>
      <c r="B368" s="59" t="n">
        <f aca="false">+B363/B434*100</f>
        <v>8.33257834284621</v>
      </c>
      <c r="C368" s="59" t="n">
        <f aca="false">+C363/C434*100</f>
        <v>7.54387622782564</v>
      </c>
      <c r="D368" s="59" t="n">
        <f aca="false">+D363/D434*100</f>
        <v>7.62933228141102</v>
      </c>
      <c r="E368" s="59" t="n">
        <f aca="false">+E363/E434*100</f>
        <v>8.3498796999865</v>
      </c>
      <c r="F368" s="59" t="n">
        <f aca="false">+F363/F434*100</f>
        <v>7.34266335225012</v>
      </c>
      <c r="G368" s="59" t="n">
        <f aca="false">+G363/G434*100</f>
        <v>6.44496563971894</v>
      </c>
      <c r="H368" s="59" t="n">
        <f aca="false">+H363/H434*100</f>
        <v>4.84324363177254</v>
      </c>
      <c r="I368" s="59" t="n">
        <f aca="false">+I363/I434*100</f>
        <v>5.751127329831</v>
      </c>
      <c r="J368" s="59" t="n">
        <f aca="false">+J363/J434*100</f>
        <v>5.80125861544346</v>
      </c>
      <c r="K368" s="59" t="n">
        <f aca="false">+K363/K434*100</f>
        <v>5.52979994713205</v>
      </c>
      <c r="L368" s="59" t="n">
        <f aca="false">+L363/L434*100</f>
        <v>3.10735231711696</v>
      </c>
      <c r="M368" s="59" t="n">
        <f aca="false">+M363/M434*100</f>
        <v>3.24214877105285</v>
      </c>
      <c r="N368" s="59" t="n">
        <f aca="false">+N363/N434*100</f>
        <v>1.57684542590909</v>
      </c>
      <c r="O368" s="59" t="n">
        <f aca="false">+O363/O434*100</f>
        <v>2.84286811518932</v>
      </c>
      <c r="P368" s="59" t="n">
        <f aca="false">+P363/P434*100</f>
        <v>3.53435726636933</v>
      </c>
      <c r="Q368" s="59" t="n">
        <f aca="false">+Q363/Q434*100</f>
        <v>2.95605849154587</v>
      </c>
      <c r="R368" s="59" t="n">
        <f aca="false">+R363/R434*100</f>
        <v>2.94058089542475</v>
      </c>
      <c r="S368" s="59" t="n">
        <f aca="false">+S363/S434*100</f>
        <v>3.52972257843637</v>
      </c>
      <c r="T368" s="59" t="n">
        <f aca="false">+T363/T434*100</f>
        <v>2.2799754513214</v>
      </c>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row>
    <row r="369" customFormat="false" ht="15" hidden="false" customHeight="true" outlineLevel="0" collapsed="false">
      <c r="A369" s="29" t="s">
        <v>229</v>
      </c>
      <c r="B369" s="59" t="n">
        <f aca="false">+B363/B502*100</f>
        <v>5.20359122707942</v>
      </c>
      <c r="C369" s="59" t="n">
        <f aca="false">+C363/C502*100</f>
        <v>4.86568119367406</v>
      </c>
      <c r="D369" s="59" t="n">
        <f aca="false">+D363/D502*100</f>
        <v>4.93328452142746</v>
      </c>
      <c r="E369" s="59" t="n">
        <f aca="false">+E363/E502*100</f>
        <v>5.41537999166046</v>
      </c>
      <c r="F369" s="59" t="n">
        <f aca="false">+F363/F502*100</f>
        <v>4.64649654716246</v>
      </c>
      <c r="G369" s="59" t="n">
        <f aca="false">+G363/G502*100</f>
        <v>3.97809608051118</v>
      </c>
      <c r="H369" s="59" t="n">
        <f aca="false">+H363/H502*100</f>
        <v>3.03127383395543</v>
      </c>
      <c r="I369" s="59" t="n">
        <f aca="false">+I363/I502*100</f>
        <v>3.45555000581056</v>
      </c>
      <c r="J369" s="59" t="n">
        <f aca="false">+J363/J502*100</f>
        <v>3.35720421090106</v>
      </c>
      <c r="K369" s="59" t="n">
        <f aca="false">+K363/K502*100</f>
        <v>3.13338260250725</v>
      </c>
      <c r="L369" s="59" t="n">
        <f aca="false">+L363/L502*100</f>
        <v>1.85800562460251</v>
      </c>
      <c r="M369" s="59" t="n">
        <f aca="false">+M363/M502*100</f>
        <v>1.97256467783116</v>
      </c>
      <c r="N369" s="59" t="n">
        <f aca="false">+N363/N502*100</f>
        <v>0.994454284741572</v>
      </c>
      <c r="O369" s="59" t="n">
        <f aca="false">+O363/O502*100</f>
        <v>1.81670308872731</v>
      </c>
      <c r="P369" s="59" t="n">
        <f aca="false">+P363/P502*100</f>
        <v>2.3251003014311</v>
      </c>
      <c r="Q369" s="59" t="n">
        <f aca="false">+Q363/Q502*100</f>
        <v>1.90768876018756</v>
      </c>
      <c r="R369" s="59" t="n">
        <f aca="false">+R363/R502*100</f>
        <v>1.96392332623446</v>
      </c>
      <c r="S369" s="59" t="n">
        <f aca="false">+S363/S502*100</f>
        <v>2.34010950439305</v>
      </c>
      <c r="T369" s="59" t="n">
        <f aca="false">+T363/T502*100</f>
        <v>1.53149265610322</v>
      </c>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row>
    <row r="370" customFormat="false" ht="15" hidden="false" customHeight="true" outlineLevel="0" collapsed="false">
      <c r="A370" s="70" t="s">
        <v>514</v>
      </c>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c r="AQ370" s="86"/>
      <c r="AR370" s="86"/>
      <c r="AS370" s="86"/>
      <c r="AT370" s="86"/>
      <c r="AU370" s="86"/>
      <c r="AV370" s="86"/>
      <c r="AW370" s="86"/>
      <c r="AX370" s="86"/>
      <c r="AY370" s="86"/>
    </row>
    <row r="371" customFormat="false" ht="15" hidden="false" customHeight="true" outlineLevel="0" collapsed="false">
      <c r="A371" s="47" t="s">
        <v>462</v>
      </c>
      <c r="B371" s="78" t="n">
        <v>109.37</v>
      </c>
      <c r="C371" s="78" t="n">
        <v>162.87</v>
      </c>
      <c r="D371" s="78" t="n">
        <v>202.8</v>
      </c>
      <c r="E371" s="78" t="n">
        <v>214.86</v>
      </c>
      <c r="F371" s="78" t="n">
        <v>267.36</v>
      </c>
      <c r="G371" s="78" t="n">
        <v>233.64</v>
      </c>
      <c r="H371" s="78" t="n">
        <v>194.55</v>
      </c>
      <c r="I371" s="78" t="n">
        <v>214.27</v>
      </c>
      <c r="J371" s="78" t="n">
        <v>211.51</v>
      </c>
      <c r="K371" s="78" t="n">
        <v>131.81</v>
      </c>
      <c r="L371" s="78" t="n">
        <v>96.09</v>
      </c>
      <c r="M371" s="78" t="n">
        <v>128.64</v>
      </c>
      <c r="N371" s="78" t="n">
        <v>129.17</v>
      </c>
      <c r="O371" s="78" t="n">
        <v>20.16</v>
      </c>
      <c r="P371" s="78" t="n">
        <v>18.51</v>
      </c>
      <c r="Q371" s="78" t="n">
        <v>48.35</v>
      </c>
      <c r="R371" s="78" t="n">
        <v>183.512</v>
      </c>
      <c r="S371" s="78" t="n">
        <v>169.992</v>
      </c>
      <c r="T371" s="78" t="n">
        <v>288.432</v>
      </c>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row>
    <row r="372" customFormat="false" ht="15" hidden="false" customHeight="true" outlineLevel="0" collapsed="false">
      <c r="A372" s="29" t="s">
        <v>509</v>
      </c>
      <c r="B372" s="62" t="n">
        <v>4605</v>
      </c>
      <c r="C372" s="62" t="n">
        <v>6781</v>
      </c>
      <c r="D372" s="62" t="n">
        <v>6126</v>
      </c>
      <c r="E372" s="62" t="n">
        <v>8023</v>
      </c>
      <c r="F372" s="62" t="n">
        <v>9336</v>
      </c>
      <c r="G372" s="62" t="n">
        <v>7108</v>
      </c>
      <c r="H372" s="62" t="n">
        <v>6635</v>
      </c>
      <c r="I372" s="62" t="n">
        <v>7424</v>
      </c>
      <c r="J372" s="62" t="n">
        <v>7993</v>
      </c>
      <c r="K372" s="62" t="n">
        <v>4746</v>
      </c>
      <c r="L372" s="62" t="n">
        <v>3756</v>
      </c>
      <c r="M372" s="62" t="n">
        <v>4384</v>
      </c>
      <c r="N372" s="62" t="n">
        <v>2935</v>
      </c>
      <c r="O372" s="62" t="n">
        <v>394</v>
      </c>
      <c r="P372" s="62" t="n">
        <v>386</v>
      </c>
      <c r="Q372" s="62" t="n">
        <v>531</v>
      </c>
      <c r="R372" s="62" t="n">
        <v>3069</v>
      </c>
      <c r="S372" s="62" t="n">
        <v>2874</v>
      </c>
      <c r="T372" s="62" t="n">
        <v>5664</v>
      </c>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row>
    <row r="373" customFormat="false" ht="15" hidden="false" customHeight="true" outlineLevel="0" collapsed="false">
      <c r="A373" s="29" t="s">
        <v>510</v>
      </c>
      <c r="B373" s="31" t="n">
        <f aca="false">+B371/B372*1000000</f>
        <v>23750.2714440825</v>
      </c>
      <c r="C373" s="31" t="n">
        <f aca="false">+C371/C372*1000000</f>
        <v>24018.5813301873</v>
      </c>
      <c r="D373" s="31" t="n">
        <f aca="false">+D371/D372*1000000</f>
        <v>33104.7992164545</v>
      </c>
      <c r="E373" s="31" t="n">
        <f aca="false">+E371/E372*1000000</f>
        <v>26780.5060451203</v>
      </c>
      <c r="F373" s="31" t="n">
        <f aca="false">+F371/F372*1000000</f>
        <v>28637.5321336761</v>
      </c>
      <c r="G373" s="31" t="n">
        <f aca="false">+G371/G372*1000000</f>
        <v>32870.005627462</v>
      </c>
      <c r="H373" s="31" t="n">
        <f aca="false">+H371/H372*1000000</f>
        <v>29321.7784476262</v>
      </c>
      <c r="I373" s="31" t="n">
        <f aca="false">+I371/I372*1000000</f>
        <v>28861.7995689655</v>
      </c>
      <c r="J373" s="31" t="n">
        <f aca="false">+J371/J372*1000000</f>
        <v>26461.9041661454</v>
      </c>
      <c r="K373" s="31" t="n">
        <f aca="false">+K371/K372*1000000</f>
        <v>27772.8613569322</v>
      </c>
      <c r="L373" s="31" t="n">
        <f aca="false">+L371/L372*1000000</f>
        <v>25583.0670926518</v>
      </c>
      <c r="M373" s="31" t="n">
        <f aca="false">+M371/M372*1000000</f>
        <v>29343.0656934307</v>
      </c>
      <c r="N373" s="31" t="n">
        <f aca="false">+N371/N372*1000000</f>
        <v>44010.2214650767</v>
      </c>
      <c r="O373" s="31" t="n">
        <f aca="false">+O371/O372*1000000</f>
        <v>51167.5126903553</v>
      </c>
      <c r="P373" s="31" t="n">
        <f aca="false">+P371/P372*1000000</f>
        <v>47953.3678756477</v>
      </c>
      <c r="Q373" s="31" t="n">
        <f aca="false">+Q371/Q372*1000000</f>
        <v>91054.6139359699</v>
      </c>
      <c r="R373" s="31" t="n">
        <f aca="false">+R371/R372*1000000</f>
        <v>59795.3730856957</v>
      </c>
      <c r="S373" s="31" t="n">
        <f aca="false">+S371/S372*1000000</f>
        <v>59148.2254697286</v>
      </c>
      <c r="T373" s="31" t="n">
        <f aca="false">+T371/T372*1000000</f>
        <v>50923.7288135593</v>
      </c>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row>
    <row r="374" customFormat="false" ht="15" hidden="false" customHeight="true" outlineLevel="0" collapsed="false">
      <c r="A374" s="29" t="s">
        <v>511</v>
      </c>
      <c r="B374" s="36"/>
      <c r="C374" s="49" t="n">
        <f aca="false">+C373/B373*100-100</f>
        <v>1.12971292448793</v>
      </c>
      <c r="D374" s="49" t="n">
        <f aca="false">+D373/C373*100-100</f>
        <v>37.829952407919</v>
      </c>
      <c r="E374" s="49" t="n">
        <f aca="false">+E373/D373*100-100</f>
        <v>-19.1038559997994</v>
      </c>
      <c r="F374" s="49" t="n">
        <f aca="false">+F373/E373*100-100</f>
        <v>6.93424569881938</v>
      </c>
      <c r="G374" s="49" t="n">
        <f aca="false">+G373/F373*100-100</f>
        <v>14.7794630976905</v>
      </c>
      <c r="H374" s="49" t="n">
        <f aca="false">+H373/G373*100-100</f>
        <v>-10.7947264142582</v>
      </c>
      <c r="I374" s="49" t="n">
        <f aca="false">+I373/H373*100-100</f>
        <v>-1.5687277614566</v>
      </c>
      <c r="J374" s="49" t="n">
        <f aca="false">+J373/I373*100-100</f>
        <v>-8.31512739559281</v>
      </c>
      <c r="K374" s="49" t="n">
        <f aca="false">+K373/J373*100-100</f>
        <v>4.95413021888265</v>
      </c>
      <c r="L374" s="49" t="n">
        <f aca="false">+L373/K373*100-100</f>
        <v>-7.88465486554492</v>
      </c>
      <c r="M374" s="49" t="n">
        <f aca="false">+M373/L373*100-100</f>
        <v>14.6972158856546</v>
      </c>
      <c r="N374" s="49" t="n">
        <f aca="false">+N373/M373*100-100</f>
        <v>49.9850831023757</v>
      </c>
      <c r="O374" s="49" t="n">
        <f aca="false">+O373/N373*100-100</f>
        <v>16.2627930217488</v>
      </c>
      <c r="P374" s="49" t="n">
        <f aca="false">+P373/O373*100-100</f>
        <v>-6.281612385887</v>
      </c>
      <c r="Q374" s="49" t="n">
        <f aca="false">+Q373/P373*100-100</f>
        <v>89.8815828162311</v>
      </c>
      <c r="R374" s="49" t="n">
        <f aca="false">+R373/Q373*100-100</f>
        <v>-34.3302107373229</v>
      </c>
      <c r="S374" s="49" t="n">
        <f aca="false">+S373/R373*100-100</f>
        <v>-1.08227038744221</v>
      </c>
      <c r="T374" s="49" t="n">
        <f aca="false">+T373/S373*100-100</f>
        <v>-13.9048916359773</v>
      </c>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row>
    <row r="375" customFormat="false" ht="15" hidden="false" customHeight="true" outlineLevel="0" collapsed="false">
      <c r="A375" s="29" t="s">
        <v>512</v>
      </c>
      <c r="B375" s="59" t="n">
        <f aca="false">+B372/B504</f>
        <v>0.2238588303923</v>
      </c>
      <c r="C375" s="59" t="n">
        <f aca="false">+C372/C504</f>
        <v>0.279905886237926</v>
      </c>
      <c r="D375" s="59" t="n">
        <f aca="false">+D372/D504</f>
        <v>0.201446892469582</v>
      </c>
      <c r="E375" s="59" t="n">
        <f aca="false">+E372/E504</f>
        <v>0.214524452525469</v>
      </c>
      <c r="F375" s="59" t="n">
        <f aca="false">+F372/F504</f>
        <v>0.215353386233622</v>
      </c>
      <c r="G375" s="59" t="n">
        <f aca="false">+G372/G504</f>
        <v>0.225314609947063</v>
      </c>
      <c r="H375" s="59" t="n">
        <f aca="false">+H372/H504</f>
        <v>0.2230927003127</v>
      </c>
      <c r="I375" s="59" t="n">
        <f aca="false">+I372/I504</f>
        <v>0.196096040571595</v>
      </c>
      <c r="J375" s="59" t="n">
        <f aca="false">+J372/J504</f>
        <v>0.24612779060816</v>
      </c>
      <c r="K375" s="59" t="n">
        <f aca="false">+K372/K504</f>
        <v>0.159943382873319</v>
      </c>
      <c r="L375" s="59" t="n">
        <f aca="false">+L372/L504</f>
        <v>0.10306223246625</v>
      </c>
      <c r="M375" s="59" t="n">
        <f aca="false">+M372/M504</f>
        <v>0.0901056439347227</v>
      </c>
      <c r="N375" s="59" t="n">
        <f aca="false">+N372/N504</f>
        <v>0.0536170990135185</v>
      </c>
      <c r="O375" s="59" t="n">
        <f aca="false">+O372/O504</f>
        <v>0.00639039818344011</v>
      </c>
      <c r="P375" s="59" t="n">
        <f aca="false">+P372/P504</f>
        <v>0.00464550914058081</v>
      </c>
      <c r="Q375" s="59" t="n">
        <f aca="false">+Q372/Q504</f>
        <v>0.0063738611674609</v>
      </c>
      <c r="R375" s="59" t="n">
        <f aca="false">+R372/R504</f>
        <v>0.0563833109808749</v>
      </c>
      <c r="S375" s="59" t="n">
        <f aca="false">+S372/S504</f>
        <v>0.0449582329568564</v>
      </c>
      <c r="T375" s="59" t="n">
        <f aca="false">+T372/T504</f>
        <v>0.0601874481967143</v>
      </c>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row>
    <row r="376" customFormat="false" ht="15" hidden="false" customHeight="true" outlineLevel="0" collapsed="false">
      <c r="A376" s="29" t="s">
        <v>513</v>
      </c>
      <c r="B376" s="59" t="n">
        <f aca="false">+B371/B434*100</f>
        <v>1.83496243502887</v>
      </c>
      <c r="C376" s="59" t="n">
        <f aca="false">+C371/C434*100</f>
        <v>2.13763721985101</v>
      </c>
      <c r="D376" s="59" t="n">
        <f aca="false">+D371/D434*100</f>
        <v>2.07250497176365</v>
      </c>
      <c r="E376" s="59" t="n">
        <f aca="false">+E371/E434*100</f>
        <v>1.64844776156046</v>
      </c>
      <c r="F376" s="59" t="n">
        <f aca="false">+F371/F434*100</f>
        <v>1.70193804247843</v>
      </c>
      <c r="G376" s="59" t="n">
        <f aca="false">+G371/G434*100</f>
        <v>1.879198517489</v>
      </c>
      <c r="H376" s="59" t="n">
        <f aca="false">+H371/H434*100</f>
        <v>1.51998362433474</v>
      </c>
      <c r="I376" s="59" t="n">
        <f aca="false">+I371/I434*100</f>
        <v>1.37226509238629</v>
      </c>
      <c r="J376" s="59" t="n">
        <f aca="false">+J371/J434*100</f>
        <v>1.40213711390848</v>
      </c>
      <c r="K376" s="59" t="n">
        <f aca="false">+K371/K434*100</f>
        <v>0.884330556200378</v>
      </c>
      <c r="L376" s="59" t="n">
        <f aca="false">+L371/L434*100</f>
        <v>0.522779452248567</v>
      </c>
      <c r="M376" s="59" t="n">
        <f aca="false">+M371/M434*100</f>
        <v>0.538377159482934</v>
      </c>
      <c r="N376" s="59" t="n">
        <f aca="false">+N371/N434*100</f>
        <v>0.425701466506453</v>
      </c>
      <c r="O376" s="59" t="n">
        <f aca="false">+O371/O434*100</f>
        <v>0.0521176545711138</v>
      </c>
      <c r="P376" s="59" t="n">
        <f aca="false">+P371/P434*100</f>
        <v>0.0338805409830995</v>
      </c>
      <c r="Q376" s="59" t="n">
        <f aca="false">+Q371/Q434*100</f>
        <v>0.0838631367484276</v>
      </c>
      <c r="R376" s="59" t="n">
        <f aca="false">+R371/R434*100</f>
        <v>0.412160208482381</v>
      </c>
      <c r="S376" s="59" t="n">
        <f aca="false">+S371/S434*100</f>
        <v>0.325697806381437</v>
      </c>
      <c r="T376" s="59" t="n">
        <f aca="false">+T371/T434*100</f>
        <v>0.355060899914279</v>
      </c>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row>
    <row r="377" customFormat="false" ht="15" hidden="false" customHeight="true" outlineLevel="0" collapsed="false">
      <c r="A377" s="29" t="s">
        <v>229</v>
      </c>
      <c r="B377" s="59" t="n">
        <f aca="false">+B371/B502*100</f>
        <v>1.14591114971444</v>
      </c>
      <c r="C377" s="59" t="n">
        <f aca="false">+C371/C502*100</f>
        <v>1.37874229446692</v>
      </c>
      <c r="D377" s="59" t="n">
        <f aca="false">+D371/D502*100</f>
        <v>1.34012470825194</v>
      </c>
      <c r="E377" s="59" t="n">
        <f aca="false">+E371/E502*100</f>
        <v>1.06911372929917</v>
      </c>
      <c r="F377" s="59" t="n">
        <f aca="false">+F371/F502*100</f>
        <v>1.07700010997196</v>
      </c>
      <c r="G377" s="59" t="n">
        <f aca="false">+G371/G502*100</f>
        <v>1.1599180934115</v>
      </c>
      <c r="H377" s="59" t="n">
        <f aca="false">+H371/H502*100</f>
        <v>0.951322489387217</v>
      </c>
      <c r="I377" s="59" t="n">
        <f aca="false">+I371/I502*100</f>
        <v>0.824521937355265</v>
      </c>
      <c r="J377" s="59" t="n">
        <f aca="false">+J371/J502*100</f>
        <v>0.811420578724599</v>
      </c>
      <c r="K377" s="59" t="n">
        <f aca="false">+K371/K502*100</f>
        <v>0.501093349878044</v>
      </c>
      <c r="L377" s="59" t="n">
        <f aca="false">+L371/L502*100</f>
        <v>0.312589968428706</v>
      </c>
      <c r="M377" s="59" t="n">
        <f aca="false">+M371/M502*100</f>
        <v>0.327555532808644</v>
      </c>
      <c r="N377" s="59" t="n">
        <f aca="false">+N371/N502*100</f>
        <v>0.268473142917002</v>
      </c>
      <c r="O377" s="59" t="n">
        <f aca="false">+O371/O502*100</f>
        <v>0.0333052045329441</v>
      </c>
      <c r="P377" s="59" t="n">
        <f aca="false">+P371/P502*100</f>
        <v>0.0222885379477711</v>
      </c>
      <c r="Q377" s="59" t="n">
        <f aca="false">+Q371/Q502*100</f>
        <v>0.0541209735282957</v>
      </c>
      <c r="R377" s="59" t="n">
        <f aca="false">+R371/R502*100</f>
        <v>0.275269096947351</v>
      </c>
      <c r="S377" s="59" t="n">
        <f aca="false">+S371/S502*100</f>
        <v>0.215928735286273</v>
      </c>
      <c r="T377" s="59" t="n">
        <f aca="false">+T371/T502*100</f>
        <v>0.238499568218143</v>
      </c>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row>
    <row r="378" customFormat="false" ht="15" hidden="false" customHeight="true" outlineLevel="0" collapsed="false">
      <c r="A378" s="70" t="s">
        <v>515</v>
      </c>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c r="AQ378" s="86"/>
      <c r="AR378" s="86"/>
      <c r="AS378" s="86"/>
      <c r="AT378" s="86"/>
      <c r="AU378" s="86"/>
      <c r="AV378" s="86"/>
      <c r="AW378" s="86"/>
      <c r="AX378" s="86"/>
      <c r="AY378" s="86"/>
    </row>
    <row r="379" customFormat="false" ht="15" hidden="false" customHeight="true" outlineLevel="0" collapsed="false">
      <c r="A379" s="47" t="s">
        <v>462</v>
      </c>
      <c r="B379" s="78" t="n">
        <v>20.37</v>
      </c>
      <c r="C379" s="78" t="n">
        <v>35.62</v>
      </c>
      <c r="D379" s="78" t="n">
        <v>45.11</v>
      </c>
      <c r="E379" s="78" t="n">
        <v>56.93</v>
      </c>
      <c r="F379" s="78" t="n">
        <v>69.65</v>
      </c>
      <c r="G379" s="78" t="n">
        <v>41.5</v>
      </c>
      <c r="H379" s="78" t="n">
        <v>35.09</v>
      </c>
      <c r="I379" s="78" t="n">
        <v>47.57</v>
      </c>
      <c r="J379" s="78" t="n">
        <v>46.17</v>
      </c>
      <c r="K379" s="78" t="n">
        <v>34.81</v>
      </c>
      <c r="L379" s="78" t="n">
        <v>36.77</v>
      </c>
      <c r="M379" s="78" t="n">
        <v>47.14</v>
      </c>
      <c r="N379" s="78" t="n">
        <v>19.81</v>
      </c>
      <c r="O379" s="78" t="n">
        <v>1.19</v>
      </c>
      <c r="P379" s="78" t="n">
        <v>0.65</v>
      </c>
      <c r="Q379" s="78" t="n">
        <v>1.62</v>
      </c>
      <c r="R379" s="78" t="n">
        <v>1.215</v>
      </c>
      <c r="S379" s="78" t="n">
        <v>69.333</v>
      </c>
      <c r="T379" s="78" t="n">
        <v>37.633</v>
      </c>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row>
    <row r="380" customFormat="false" ht="15" hidden="false" customHeight="true" outlineLevel="0" collapsed="false">
      <c r="A380" s="29" t="s">
        <v>516</v>
      </c>
      <c r="B380" s="62" t="n">
        <v>934173</v>
      </c>
      <c r="C380" s="62" t="n">
        <v>2016967</v>
      </c>
      <c r="D380" s="62" t="n">
        <v>2423656</v>
      </c>
      <c r="E380" s="62" t="n">
        <v>2806750</v>
      </c>
      <c r="F380" s="62" t="n">
        <v>3476461</v>
      </c>
      <c r="G380" s="62" t="n">
        <v>1957250</v>
      </c>
      <c r="H380" s="62" t="n">
        <v>1558627</v>
      </c>
      <c r="I380" s="62" t="n">
        <v>1926170</v>
      </c>
      <c r="J380" s="62" t="n">
        <v>1817290</v>
      </c>
      <c r="K380" s="62" t="n">
        <v>1297380</v>
      </c>
      <c r="L380" s="62" t="n">
        <v>1177340</v>
      </c>
      <c r="M380" s="62" t="n">
        <v>1527823</v>
      </c>
      <c r="N380" s="62" t="n">
        <v>351780</v>
      </c>
      <c r="O380" s="62" t="n">
        <v>2749</v>
      </c>
      <c r="P380" s="62" t="n">
        <v>2807</v>
      </c>
      <c r="Q380" s="62" t="n">
        <v>30468</v>
      </c>
      <c r="R380" s="62" t="n">
        <v>25496</v>
      </c>
      <c r="S380" s="62" t="n">
        <v>590573</v>
      </c>
      <c r="T380" s="62" t="n">
        <v>296078</v>
      </c>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row>
    <row r="381" customFormat="false" ht="15" hidden="false" customHeight="true" outlineLevel="0" collapsed="false">
      <c r="A381" s="29" t="s">
        <v>517</v>
      </c>
      <c r="B381" s="49" t="n">
        <f aca="false">+B379/B380*1000000</f>
        <v>21.8053829429881</v>
      </c>
      <c r="C381" s="49" t="n">
        <f aca="false">+C379/C380*1000000</f>
        <v>17.6601798641227</v>
      </c>
      <c r="D381" s="49" t="n">
        <f aca="false">+D379/D380*1000000</f>
        <v>18.6123773340771</v>
      </c>
      <c r="E381" s="49" t="n">
        <f aca="false">+E379/E380*1000000</f>
        <v>20.2832457468603</v>
      </c>
      <c r="F381" s="49" t="n">
        <f aca="false">+F379/F380*1000000</f>
        <v>20.0347422278001</v>
      </c>
      <c r="G381" s="49" t="n">
        <f aca="false">+G379/G380*1000000</f>
        <v>21.2032188018904</v>
      </c>
      <c r="H381" s="49" t="n">
        <f aca="false">+H379/H380*1000000</f>
        <v>22.5134044258184</v>
      </c>
      <c r="I381" s="49" t="n">
        <f aca="false">+I379/I380*1000000</f>
        <v>24.6966778633246</v>
      </c>
      <c r="J381" s="49" t="n">
        <f aca="false">+J379/J380*1000000</f>
        <v>25.4059616241767</v>
      </c>
      <c r="K381" s="49" t="n">
        <f aca="false">+K379/K380*1000000</f>
        <v>26.8309978572199</v>
      </c>
      <c r="L381" s="49" t="n">
        <f aca="false">+L379/L380*1000000</f>
        <v>31.2314199806343</v>
      </c>
      <c r="M381" s="49" t="n">
        <f aca="false">+M379/M380*1000000</f>
        <v>30.8543594382334</v>
      </c>
      <c r="N381" s="49" t="n">
        <f aca="false">+N379/N380*1000000</f>
        <v>56.3136050940929</v>
      </c>
      <c r="O381" s="49" t="n">
        <f aca="false">+O379/O380*1000000</f>
        <v>432.884685340124</v>
      </c>
      <c r="P381" s="49" t="n">
        <f aca="false">+P379/P380*1000000</f>
        <v>231.56394727467</v>
      </c>
      <c r="Q381" s="49" t="n">
        <f aca="false">+Q379/Q380*1000000</f>
        <v>53.1705395825128</v>
      </c>
      <c r="R381" s="49" t="n">
        <f aca="false">+R379/R380*1000000</f>
        <v>47.654534044556</v>
      </c>
      <c r="S381" s="49" t="n">
        <f aca="false">+S379/S380*1000000</f>
        <v>117.399542478237</v>
      </c>
      <c r="T381" s="49" t="n">
        <f aca="false">+T379/T380*1000000</f>
        <v>127.105019623207</v>
      </c>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row>
    <row r="382" customFormat="false" ht="15" hidden="false" customHeight="true" outlineLevel="0" collapsed="false">
      <c r="A382" s="29" t="s">
        <v>511</v>
      </c>
      <c r="B382" s="36"/>
      <c r="C382" s="49" t="n">
        <f aca="false">+C381/B381*100-100</f>
        <v>-19.0099989975105</v>
      </c>
      <c r="D382" s="49" t="n">
        <f aca="false">+D381/C381*100-100</f>
        <v>5.39177673885882</v>
      </c>
      <c r="E382" s="49" t="n">
        <f aca="false">+E381/D381*100-100</f>
        <v>8.97718965606811</v>
      </c>
      <c r="F382" s="49" t="n">
        <f aca="false">+F381/E381*100-100</f>
        <v>-1.22516643618866</v>
      </c>
      <c r="G382" s="49" t="n">
        <f aca="false">+G381/F381*100-100</f>
        <v>5.83225159976844</v>
      </c>
      <c r="H382" s="49" t="n">
        <f aca="false">+H381/G381*100-100</f>
        <v>6.17918268056145</v>
      </c>
      <c r="I382" s="49" t="n">
        <f aca="false">+I381/H381*100-100</f>
        <v>9.69766009712187</v>
      </c>
      <c r="J382" s="49" t="n">
        <f aca="false">+J381/I381*100-100</f>
        <v>2.87198045331165</v>
      </c>
      <c r="K382" s="49" t="n">
        <f aca="false">+K381/J381*100-100</f>
        <v>5.60906236938969</v>
      </c>
      <c r="L382" s="49" t="n">
        <f aca="false">+L381/K381*100-100</f>
        <v>16.4005161001877</v>
      </c>
      <c r="M382" s="49" t="n">
        <f aca="false">+M381/L381*100-100</f>
        <v>-1.20731155558973</v>
      </c>
      <c r="N382" s="49" t="n">
        <f aca="false">+N381/M381*100-100</f>
        <v>82.5142576912861</v>
      </c>
      <c r="O382" s="49" t="n">
        <f aca="false">+O381/N381*100-100</f>
        <v>668.703556834673</v>
      </c>
      <c r="P382" s="49" t="n">
        <f aca="false">+P381/O381*100-100</f>
        <v>-46.5067822640278</v>
      </c>
      <c r="Q382" s="49" t="n">
        <f aca="false">+Q381/P381*100-100</f>
        <v>-77.0385069833672</v>
      </c>
      <c r="R382" s="49" t="n">
        <f aca="false">+R381/Q381*100-100</f>
        <v>-10.3741763413869</v>
      </c>
      <c r="S382" s="49" t="n">
        <f aca="false">+S381/R381*100-100</f>
        <v>146.355451442398</v>
      </c>
      <c r="T382" s="49" t="n">
        <f aca="false">+T381/S381*100-100</f>
        <v>8.26704852514166</v>
      </c>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row>
    <row r="383" customFormat="false" ht="15" hidden="false" customHeight="true" outlineLevel="0" collapsed="false">
      <c r="A383" s="29" t="s">
        <v>512</v>
      </c>
      <c r="B383" s="49" t="n">
        <f aca="false">+B380/B504</f>
        <v>45.4121335861164</v>
      </c>
      <c r="C383" s="49" t="n">
        <f aca="false">+C380/C504</f>
        <v>83.2562948897878</v>
      </c>
      <c r="D383" s="49" t="n">
        <f aca="false">+D380/D504</f>
        <v>79.699309437685</v>
      </c>
      <c r="E383" s="49" t="n">
        <f aca="false">+E380/E504</f>
        <v>75.0487980962058</v>
      </c>
      <c r="F383" s="49" t="n">
        <f aca="false">+F380/F504</f>
        <v>80.1914790551762</v>
      </c>
      <c r="G383" s="49" t="n">
        <f aca="false">+G380/G504</f>
        <v>62.0423495102545</v>
      </c>
      <c r="H383" s="49" t="n">
        <f aca="false">+H380/H504</f>
        <v>52.4066776503816</v>
      </c>
      <c r="I383" s="49" t="n">
        <f aca="false">+I380/I504</f>
        <v>50.8774663884413</v>
      </c>
      <c r="J383" s="49" t="n">
        <f aca="false">+J380/J504</f>
        <v>55.9596612779061</v>
      </c>
      <c r="K383" s="49" t="n">
        <f aca="false">+K380/K504</f>
        <v>43.722576079264</v>
      </c>
      <c r="L383" s="49" t="n">
        <f aca="false">+L380/L504</f>
        <v>32.3054549445725</v>
      </c>
      <c r="M383" s="49" t="n">
        <f aca="false">+M380/M504</f>
        <v>31.4017963579562</v>
      </c>
      <c r="N383" s="49" t="n">
        <f aca="false">+N380/N504</f>
        <v>6.42637924735111</v>
      </c>
      <c r="O383" s="49" t="n">
        <f aca="false">+O380/O504</f>
        <v>0.0445868137215149</v>
      </c>
      <c r="P383" s="49" t="n">
        <f aca="false">+P380/P504</f>
        <v>0.0337822387502858</v>
      </c>
      <c r="Q383" s="49" t="n">
        <f aca="false">+Q380/Q504</f>
        <v>0.365722791054988</v>
      </c>
      <c r="R383" s="49" t="n">
        <f aca="false">+R380/R504</f>
        <v>0.468409546030755</v>
      </c>
      <c r="S383" s="49" t="n">
        <f aca="false">+S380/S504</f>
        <v>9.23838500766511</v>
      </c>
      <c r="T383" s="49" t="n">
        <f aca="false">+T380/T504</f>
        <v>3.14621809448919</v>
      </c>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row>
    <row r="384" customFormat="false" ht="15" hidden="false" customHeight="true" outlineLevel="0" collapsed="false">
      <c r="A384" s="29" t="s">
        <v>513</v>
      </c>
      <c r="B384" s="59" t="n">
        <f aca="false">+B379/B434*100</f>
        <v>0.341759027169591</v>
      </c>
      <c r="C384" s="59" t="n">
        <f aca="false">+C379/C434*100</f>
        <v>0.467505604292337</v>
      </c>
      <c r="D384" s="59" t="n">
        <f aca="false">+D379/D434*100</f>
        <v>0.460999503334607</v>
      </c>
      <c r="E384" s="59" t="n">
        <f aca="false">+E379/E434*100</f>
        <v>0.436778046475087</v>
      </c>
      <c r="F384" s="59" t="n">
        <f aca="false">+F379/F434*100</f>
        <v>0.443372174815315</v>
      </c>
      <c r="G384" s="59" t="n">
        <f aca="false">+G379/G434*100</f>
        <v>0.333790183512213</v>
      </c>
      <c r="H384" s="59" t="n">
        <f aca="false">+H379/H434*100</f>
        <v>0.274151762415348</v>
      </c>
      <c r="I384" s="59" t="n">
        <f aca="false">+I379/I434*100</f>
        <v>0.304656043518998</v>
      </c>
      <c r="J384" s="59" t="n">
        <f aca="false">+J379/J434*100</f>
        <v>0.306069077344591</v>
      </c>
      <c r="K384" s="59" t="n">
        <f aca="false">+K379/K434*100</f>
        <v>0.233544849869776</v>
      </c>
      <c r="L384" s="59" t="n">
        <f aca="false">+L379/L434*100</f>
        <v>0.200047876565509</v>
      </c>
      <c r="M384" s="59" t="n">
        <f aca="false">+M379/M434*100</f>
        <v>0.197287774393855</v>
      </c>
      <c r="N384" s="59" t="n">
        <f aca="false">+N379/N434*100</f>
        <v>0.0652871878260652</v>
      </c>
      <c r="O384" s="59" t="n">
        <f aca="false">+O379/O434*100</f>
        <v>0.00307638933232269</v>
      </c>
      <c r="P384" s="59" t="n">
        <f aca="false">+P379/P434*100</f>
        <v>0.00118975427547351</v>
      </c>
      <c r="Q384" s="59" t="n">
        <f aca="false">+Q379/Q434*100</f>
        <v>0.00280989206892353</v>
      </c>
      <c r="R384" s="59" t="n">
        <f aca="false">+R379/R434*100</f>
        <v>0.00272883873156029</v>
      </c>
      <c r="S384" s="59" t="n">
        <f aca="false">+S379/S434*100</f>
        <v>0.132839227786273</v>
      </c>
      <c r="T384" s="59" t="n">
        <f aca="false">+T379/T434*100</f>
        <v>0.046326367554481</v>
      </c>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row>
    <row r="385" customFormat="false" ht="15" hidden="false" customHeight="true" outlineLevel="0" collapsed="false">
      <c r="A385" s="29" t="s">
        <v>229</v>
      </c>
      <c r="B385" s="59" t="n">
        <f aca="false">+B379/B502*100</f>
        <v>0.213424249059917</v>
      </c>
      <c r="C385" s="59" t="n">
        <f aca="false">+C379/C502*100</f>
        <v>0.301533741811945</v>
      </c>
      <c r="D385" s="59" t="n">
        <f aca="false">+D379/D502*100</f>
        <v>0.298091842156041</v>
      </c>
      <c r="E385" s="59" t="n">
        <f aca="false">+E379/E502*100</f>
        <v>0.283275828953745</v>
      </c>
      <c r="F385" s="59" t="n">
        <f aca="false">+F379/F502*100</f>
        <v>0.280569485560843</v>
      </c>
      <c r="G385" s="59" t="n">
        <f aca="false">+G379/G502*100</f>
        <v>0.206028937153643</v>
      </c>
      <c r="H385" s="59" t="n">
        <f aca="false">+H379/H502*100</f>
        <v>0.171585228232318</v>
      </c>
      <c r="I385" s="59" t="n">
        <f aca="false">+I379/I502*100</f>
        <v>0.183051797078406</v>
      </c>
      <c r="J385" s="59" t="n">
        <f aca="false">+J379/J502*100</f>
        <v>0.177123011298353</v>
      </c>
      <c r="K385" s="59" t="n">
        <f aca="false">+K379/K502*100</f>
        <v>0.132334872234692</v>
      </c>
      <c r="L385" s="59" t="n">
        <f aca="false">+L379/L502*100</f>
        <v>0.119616329889932</v>
      </c>
      <c r="M385" s="59" t="n">
        <f aca="false">+M379/M502*100</f>
        <v>0.120032399071824</v>
      </c>
      <c r="N385" s="59" t="n">
        <f aca="false">+N379/N502*100</f>
        <v>0.0411740571431897</v>
      </c>
      <c r="O385" s="59" t="n">
        <f aca="false">+O379/O502*100</f>
        <v>0.00196593221201406</v>
      </c>
      <c r="P385" s="59" t="n">
        <f aca="false">+P379/P502*100</f>
        <v>0.000782687718317193</v>
      </c>
      <c r="Q385" s="59" t="n">
        <f aca="false">+Q379/Q502*100</f>
        <v>0.00181336043672883</v>
      </c>
      <c r="R385" s="59" t="n">
        <f aca="false">+R379/R502*100</f>
        <v>0.00182250726269144</v>
      </c>
      <c r="S385" s="59" t="n">
        <f aca="false">+S379/S502*100</f>
        <v>0.0880687738458466</v>
      </c>
      <c r="T385" s="59" t="n">
        <f aca="false">+T379/T502*100</f>
        <v>0.0311180945621616</v>
      </c>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row>
    <row r="386" customFormat="false" ht="15" hidden="false" customHeight="true" outlineLevel="0" collapsed="false">
      <c r="A386" s="47" t="s">
        <v>518</v>
      </c>
      <c r="B386" s="35" t="n">
        <f aca="false">++B363+B371+B379</f>
        <v>626.39</v>
      </c>
      <c r="C386" s="35" t="n">
        <f aca="false">++C363+C371+C379</f>
        <v>773.27</v>
      </c>
      <c r="D386" s="35" t="n">
        <f aca="false">++D363+D371+D379</f>
        <v>994.46</v>
      </c>
      <c r="E386" s="35" t="n">
        <f aca="false">++E363+E371+E379</f>
        <v>1360.12</v>
      </c>
      <c r="F386" s="35" t="n">
        <f aca="false">++F363+F371+F379</f>
        <v>1490.48</v>
      </c>
      <c r="G386" s="35" t="n">
        <f aca="false">++G363+G371+G379</f>
        <v>1076.44</v>
      </c>
      <c r="H386" s="35" t="n">
        <f aca="false">++H363+H371+H379</f>
        <v>849.55</v>
      </c>
      <c r="I386" s="35" t="n">
        <f aca="false">++I363+I371+I379</f>
        <v>1159.84</v>
      </c>
      <c r="J386" s="35" t="n">
        <f aca="false">++J363+J371+J379</f>
        <v>1132.79</v>
      </c>
      <c r="K386" s="35" t="n">
        <f aca="false">++K363+K371+K379</f>
        <v>990.84</v>
      </c>
      <c r="L386" s="35" t="n">
        <f aca="false">++L363+L371+L379</f>
        <v>704.01</v>
      </c>
      <c r="M386" s="35" t="n">
        <f aca="false">++M363+M371+M379</f>
        <v>950.46</v>
      </c>
      <c r="N386" s="35" t="n">
        <f aca="false">++N363+N371+N379</f>
        <v>627.44</v>
      </c>
      <c r="O386" s="35" t="n">
        <f aca="false">++O363+O371+O379</f>
        <v>1121.02</v>
      </c>
      <c r="P386" s="35" t="n">
        <f aca="false">++P363+P371+P379</f>
        <v>1950.09</v>
      </c>
      <c r="Q386" s="35" t="n">
        <f aca="false">++Q363+Q371+Q379</f>
        <v>1754.24</v>
      </c>
      <c r="R386" s="35" t="n">
        <f aca="false">++R363+R371+R379</f>
        <v>1494.004</v>
      </c>
      <c r="S386" s="35" t="n">
        <f aca="false">++S363+S371+S379</f>
        <v>2081.599</v>
      </c>
      <c r="T386" s="35" t="n">
        <f aca="false">++T363+T371+T379</f>
        <v>2178.192</v>
      </c>
      <c r="U386" s="34" t="n">
        <v>2748.944</v>
      </c>
      <c r="V386" s="34" t="n">
        <v>4991.913</v>
      </c>
      <c r="W386" s="34" t="n">
        <v>3727.039</v>
      </c>
      <c r="X386" s="34" t="n">
        <v>7581.026</v>
      </c>
      <c r="Y386" s="34" t="n">
        <v>7446.35</v>
      </c>
      <c r="Z386" s="34" t="n">
        <v>9563.73</v>
      </c>
      <c r="AA386" s="34" t="n">
        <v>11723.672</v>
      </c>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row>
    <row r="387" customFormat="false" ht="15" hidden="false" customHeight="true" outlineLevel="0" collapsed="false">
      <c r="A387" s="29" t="s">
        <v>513</v>
      </c>
      <c r="B387" s="49" t="n">
        <f aca="false">+B386/B434*100</f>
        <v>10.5092998050447</v>
      </c>
      <c r="C387" s="49" t="n">
        <f aca="false">+C386/C434*100</f>
        <v>10.149019051969</v>
      </c>
      <c r="D387" s="49" t="n">
        <f aca="false">+D386/D434*100</f>
        <v>10.1628367565093</v>
      </c>
      <c r="E387" s="49" t="n">
        <f aca="false">+E386/E434*100</f>
        <v>10.435105508022</v>
      </c>
      <c r="F387" s="49" t="n">
        <f aca="false">+F386/F434*100</f>
        <v>9.48797356954387</v>
      </c>
      <c r="G387" s="49" t="n">
        <f aca="false">+G386/G434*100</f>
        <v>8.65795434072015</v>
      </c>
      <c r="H387" s="49" t="n">
        <f aca="false">+H386/H434*100</f>
        <v>6.63737901852263</v>
      </c>
      <c r="I387" s="49" t="n">
        <f aca="false">+I386/I434*100</f>
        <v>7.42804846573628</v>
      </c>
      <c r="J387" s="49" t="n">
        <f aca="false">+J386/J434*100</f>
        <v>7.50946480669653</v>
      </c>
      <c r="K387" s="49" t="n">
        <f aca="false">+K386/K434*100</f>
        <v>6.6476753532022</v>
      </c>
      <c r="L387" s="49" t="n">
        <f aca="false">+L386/L434*100</f>
        <v>3.83017964593104</v>
      </c>
      <c r="M387" s="49" t="n">
        <f aca="false">+M386/M434*100</f>
        <v>3.97781370492964</v>
      </c>
      <c r="N387" s="49" t="n">
        <f aca="false">+N386/N434*100</f>
        <v>2.06783408024161</v>
      </c>
      <c r="O387" s="49" t="n">
        <f aca="false">+O386/O434*100</f>
        <v>2.89806215909276</v>
      </c>
      <c r="P387" s="49" t="n">
        <f aca="false">+P386/P434*100</f>
        <v>3.5694275616279</v>
      </c>
      <c r="Q387" s="49" t="n">
        <f aca="false">+Q386/Q434*100</f>
        <v>3.04273152036322</v>
      </c>
      <c r="R387" s="49" t="n">
        <f aca="false">+R386/R434*100</f>
        <v>3.35546994263869</v>
      </c>
      <c r="S387" s="49" t="n">
        <f aca="false">+S386/S434*100</f>
        <v>3.98825961260408</v>
      </c>
      <c r="T387" s="49" t="n">
        <f aca="false">+T386/T434*100</f>
        <v>2.68136271879016</v>
      </c>
      <c r="U387" s="49" t="n">
        <f aca="false">+U386/U434*100</f>
        <v>2.90460150765731</v>
      </c>
      <c r="V387" s="49" t="n">
        <f aca="false">+V386/V434*100</f>
        <v>5.47152739384591</v>
      </c>
      <c r="W387" s="49" t="n">
        <f aca="false">+W386/W434*100</f>
        <v>4.9020810674982</v>
      </c>
      <c r="X387" s="49" t="n">
        <f aca="false">+X386/X434*100</f>
        <v>7.60749261897125</v>
      </c>
      <c r="Y387" s="49" t="n">
        <f aca="false">+Y386/Y434*100</f>
        <v>5.64337156609857</v>
      </c>
      <c r="Z387" s="49" t="n">
        <f aca="false">+Z386/Z434*100</f>
        <v>6.85215210436005</v>
      </c>
      <c r="AA387" s="49" t="n">
        <f aca="false">+AA386/AA434*100</f>
        <v>6.2958482643511</v>
      </c>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row>
    <row r="388" customFormat="false" ht="15" hidden="false" customHeight="true" outlineLevel="0" collapsed="false">
      <c r="A388" s="29" t="s">
        <v>229</v>
      </c>
      <c r="B388" s="59" t="n">
        <f aca="false">+B386/B502*100</f>
        <v>6.56292662585378</v>
      </c>
      <c r="C388" s="59" t="n">
        <f aca="false">+C386/C502*100</f>
        <v>6.54595722995292</v>
      </c>
      <c r="D388" s="59" t="n">
        <f aca="false">+D386/D502*100</f>
        <v>6.57150107183544</v>
      </c>
      <c r="E388" s="59" t="n">
        <f aca="false">+E386/E502*100</f>
        <v>6.76776954991337</v>
      </c>
      <c r="F388" s="59" t="n">
        <f aca="false">+F386/F502*100</f>
        <v>6.00406614269526</v>
      </c>
      <c r="G388" s="59" t="n">
        <f aca="false">+G386/G502*100</f>
        <v>5.34404311107632</v>
      </c>
      <c r="H388" s="59" t="n">
        <f aca="false">+H386/H502*100</f>
        <v>4.15418155157497</v>
      </c>
      <c r="I388" s="59" t="n">
        <f aca="false">+I386/I502*100</f>
        <v>4.46312374024423</v>
      </c>
      <c r="J388" s="59" t="n">
        <f aca="false">+J386/J502*100</f>
        <v>4.34574780092402</v>
      </c>
      <c r="K388" s="59" t="n">
        <f aca="false">+K386/K502*100</f>
        <v>3.76681082461999</v>
      </c>
      <c r="L388" s="59" t="n">
        <f aca="false">+L386/L502*100</f>
        <v>2.29021192292115</v>
      </c>
      <c r="M388" s="59" t="n">
        <f aca="false">+M386/M502*100</f>
        <v>2.42015260971162</v>
      </c>
      <c r="N388" s="59" t="n">
        <f aca="false">+N386/N502*100</f>
        <v>1.30410148480176</v>
      </c>
      <c r="O388" s="59" t="n">
        <f aca="false">+O386/O502*100</f>
        <v>1.85197422547227</v>
      </c>
      <c r="P388" s="59" t="n">
        <f aca="false">+P386/P502*100</f>
        <v>2.34817152709719</v>
      </c>
      <c r="Q388" s="59" t="n">
        <f aca="false">+Q386/Q502*100</f>
        <v>1.96362309415258</v>
      </c>
      <c r="R388" s="59" t="n">
        <f aca="false">+R386/R502*100</f>
        <v>2.2410149304445</v>
      </c>
      <c r="S388" s="59" t="n">
        <f aca="false">+S386/S502*100</f>
        <v>2.64410701352517</v>
      </c>
      <c r="T388" s="59" t="n">
        <f aca="false">+T386/T502*100</f>
        <v>1.80111031888353</v>
      </c>
      <c r="U388" s="59" t="n">
        <f aca="false">+U386/U502*100</f>
        <v>2.01433414429093</v>
      </c>
      <c r="V388" s="59" t="n">
        <f aca="false">+V386/V502*100</f>
        <v>3.75372477389261</v>
      </c>
      <c r="W388" s="59" t="n">
        <f aca="false">+W386/W502*100</f>
        <v>3.52911049648649</v>
      </c>
      <c r="X388" s="59" t="n">
        <f aca="false">+X386/X502*100</f>
        <v>5.23337070406957</v>
      </c>
      <c r="Y388" s="59" t="n">
        <f aca="false">+Y386/Y502*100</f>
        <v>3.72448337376437</v>
      </c>
      <c r="Z388" s="59" t="n">
        <f aca="false">+Z386/Z502*100</f>
        <v>4.48334818769526</v>
      </c>
      <c r="AA388" s="59" t="n">
        <f aca="false">+AA386/AA502*100</f>
        <v>4.41993882647092</v>
      </c>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row>
    <row r="389" customFormat="false" ht="15" hidden="false" customHeight="true" outlineLevel="0" collapsed="false">
      <c r="A389" s="70" t="s">
        <v>519</v>
      </c>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c r="AQ389" s="86"/>
      <c r="AR389" s="86"/>
      <c r="AS389" s="86"/>
      <c r="AT389" s="86"/>
      <c r="AU389" s="86"/>
      <c r="AV389" s="86"/>
      <c r="AW389" s="86"/>
      <c r="AX389" s="86"/>
      <c r="AY389" s="86"/>
    </row>
    <row r="390" customFormat="false" ht="15" hidden="false" customHeight="true" outlineLevel="0" collapsed="false">
      <c r="A390" s="47" t="s">
        <v>462</v>
      </c>
      <c r="B390" s="78" t="n">
        <v>73.12</v>
      </c>
      <c r="C390" s="78" t="n">
        <v>87.57</v>
      </c>
      <c r="D390" s="78" t="n">
        <v>179.28</v>
      </c>
      <c r="E390" s="78" t="n">
        <v>212.59</v>
      </c>
      <c r="F390" s="78" t="n">
        <v>214.74</v>
      </c>
      <c r="G390" s="78" t="n">
        <v>152.89</v>
      </c>
      <c r="H390" s="78" t="n">
        <v>120.13</v>
      </c>
      <c r="I390" s="78" t="n">
        <v>117.92</v>
      </c>
      <c r="J390" s="78" t="n">
        <v>102.69</v>
      </c>
      <c r="K390" s="78" t="n">
        <v>92.9</v>
      </c>
      <c r="L390" s="78" t="n">
        <v>153.6</v>
      </c>
      <c r="M390" s="78" t="n">
        <v>239.12</v>
      </c>
      <c r="N390" s="78" t="n">
        <v>532.02</v>
      </c>
      <c r="O390" s="78" t="n">
        <v>0</v>
      </c>
      <c r="P390" s="74" t="n">
        <f aca="false">P391*P392/1000000</f>
        <v>0</v>
      </c>
      <c r="Q390" s="74" t="n">
        <f aca="false">Q391*Q392/1000000</f>
        <v>0</v>
      </c>
      <c r="R390" s="74" t="n">
        <f aca="false">R391*R392/1000000</f>
        <v>0</v>
      </c>
      <c r="S390" s="74" t="n">
        <f aca="false">S391*S392/1000000</f>
        <v>0</v>
      </c>
      <c r="T390" s="74" t="n">
        <f aca="false">T391*T392/1000000</f>
        <v>0</v>
      </c>
      <c r="U390" s="74" t="n">
        <f aca="false">U391*U392/1000000</f>
        <v>0</v>
      </c>
      <c r="V390" s="74" t="n">
        <f aca="false">V391*V392/1000000</f>
        <v>0</v>
      </c>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row>
    <row r="391" customFormat="false" ht="15" hidden="false" customHeight="true" outlineLevel="0" collapsed="false">
      <c r="A391" s="29" t="s">
        <v>509</v>
      </c>
      <c r="B391" s="62" t="n">
        <v>8850</v>
      </c>
      <c r="C391" s="62" t="n">
        <v>10315</v>
      </c>
      <c r="D391" s="62" t="n">
        <v>15861</v>
      </c>
      <c r="E391" s="62" t="n">
        <v>24223</v>
      </c>
      <c r="F391" s="62" t="n">
        <v>23267</v>
      </c>
      <c r="G391" s="62" t="n">
        <v>17120</v>
      </c>
      <c r="H391" s="62" t="n">
        <v>12864</v>
      </c>
      <c r="I391" s="62" t="n">
        <v>14948</v>
      </c>
      <c r="J391" s="62" t="n">
        <v>13645</v>
      </c>
      <c r="K391" s="62" t="n">
        <v>12521</v>
      </c>
      <c r="L391" s="62" t="n">
        <v>10411</v>
      </c>
      <c r="M391" s="62" t="n">
        <v>18057</v>
      </c>
      <c r="N391" s="62" t="n">
        <v>22738</v>
      </c>
      <c r="O391" s="62" t="n">
        <v>0</v>
      </c>
      <c r="P391" s="62" t="n">
        <v>0</v>
      </c>
      <c r="Q391" s="62" t="n">
        <v>0</v>
      </c>
      <c r="R391" s="62" t="n">
        <v>0</v>
      </c>
      <c r="S391" s="62" t="n">
        <v>0</v>
      </c>
      <c r="T391" s="62" t="n">
        <v>0</v>
      </c>
      <c r="U391" s="62" t="n">
        <v>0</v>
      </c>
      <c r="V391" s="62" t="n">
        <v>0</v>
      </c>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row>
    <row r="392" customFormat="false" ht="15" hidden="false" customHeight="true" outlineLevel="0" collapsed="false">
      <c r="A392" s="29" t="s">
        <v>510</v>
      </c>
      <c r="B392" s="31" t="n">
        <f aca="false">+B390/B391*1000000</f>
        <v>8262.14689265537</v>
      </c>
      <c r="C392" s="31" t="n">
        <f aca="false">+C390/C391*1000000</f>
        <v>8489.57828405235</v>
      </c>
      <c r="D392" s="31" t="n">
        <f aca="false">+D390/D391*1000000</f>
        <v>11303.1965197655</v>
      </c>
      <c r="E392" s="31" t="n">
        <f aca="false">+E390/E391*1000000</f>
        <v>8776.36956611485</v>
      </c>
      <c r="F392" s="31" t="n">
        <f aca="false">+F390/F391*1000000</f>
        <v>9229.38066789874</v>
      </c>
      <c r="G392" s="31" t="n">
        <f aca="false">+G390/G391*1000000</f>
        <v>8930.49065420561</v>
      </c>
      <c r="H392" s="31" t="n">
        <f aca="false">+H390/H391*1000000</f>
        <v>9338.46393034826</v>
      </c>
      <c r="I392" s="31" t="n">
        <f aca="false">+I390/I391*1000000</f>
        <v>7888.68075996789</v>
      </c>
      <c r="J392" s="31" t="n">
        <f aca="false">+J390/J391*1000000</f>
        <v>7525.83363869549</v>
      </c>
      <c r="K392" s="31" t="n">
        <f aca="false">+K390/K391*1000000</f>
        <v>7419.5351808961</v>
      </c>
      <c r="L392" s="31" t="n">
        <f aca="false">+L390/L391*1000000</f>
        <v>14753.6259725291</v>
      </c>
      <c r="M392" s="31" t="n">
        <f aca="false">+M390/M391*1000000</f>
        <v>13242.5098299828</v>
      </c>
      <c r="N392" s="31" t="n">
        <f aca="false">+N390/N391*1000000</f>
        <v>23397.8362213035</v>
      </c>
      <c r="O392" s="31" t="e">
        <f aca="false">+O390/O391*1000000</f>
        <v>#DIV/0!</v>
      </c>
      <c r="P392" s="62" t="n">
        <v>0</v>
      </c>
      <c r="Q392" s="31" t="n">
        <f aca="false">P392*(1+Q393/100)</f>
        <v>0</v>
      </c>
      <c r="R392" s="31" t="n">
        <f aca="false">Q392*(1+R393/100)</f>
        <v>0</v>
      </c>
      <c r="S392" s="31" t="n">
        <f aca="false">R392*(1+S393/100)</f>
        <v>0</v>
      </c>
      <c r="T392" s="31" t="n">
        <f aca="false">S392*(1+T393/100)</f>
        <v>0</v>
      </c>
      <c r="U392" s="31" t="n">
        <f aca="false">T392*(1+U393/100)</f>
        <v>0</v>
      </c>
      <c r="V392" s="31" t="n">
        <f aca="false">U392*(1+V393/100)</f>
        <v>0</v>
      </c>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row>
    <row r="393" customFormat="false" ht="15" hidden="false" customHeight="true" outlineLevel="0" collapsed="false">
      <c r="A393" s="29" t="s">
        <v>511</v>
      </c>
      <c r="B393" s="36"/>
      <c r="C393" s="49" t="n">
        <f aca="false">+C392/B392*100-100</f>
        <v>2.75269121151982</v>
      </c>
      <c r="D393" s="49" t="n">
        <f aca="false">+D392/C392*100-100</f>
        <v>33.1420259236962</v>
      </c>
      <c r="E393" s="49" t="n">
        <f aca="false">+E392/D392*100-100</f>
        <v>-22.3549767469056</v>
      </c>
      <c r="F393" s="49" t="n">
        <f aca="false">+F392/E392*100-100</f>
        <v>5.16171405922722</v>
      </c>
      <c r="G393" s="49" t="n">
        <f aca="false">+G392/F392*100-100</f>
        <v>-3.23846230259763</v>
      </c>
      <c r="H393" s="49" t="n">
        <f aca="false">+H392/G392*100-100</f>
        <v>4.56831871774621</v>
      </c>
      <c r="I393" s="49" t="n">
        <f aca="false">+I392/H392*100-100</f>
        <v>-15.5248569914035</v>
      </c>
      <c r="J393" s="49" t="n">
        <f aca="false">+J392/I392*100-100</f>
        <v>-4.59959190025423</v>
      </c>
      <c r="K393" s="49" t="n">
        <f aca="false">+K392/J392*100-100</f>
        <v>-1.41244761580755</v>
      </c>
      <c r="L393" s="49" t="n">
        <f aca="false">+L392/K392*100-100</f>
        <v>98.8483862239357</v>
      </c>
      <c r="M393" s="49" t="n">
        <f aca="false">+M392/L392*100-100</f>
        <v>-10.2423373437817</v>
      </c>
      <c r="N393" s="49" t="n">
        <f aca="false">+N392/M392*100-100</f>
        <v>76.6873237905981</v>
      </c>
      <c r="O393" s="49" t="e">
        <f aca="false">+O392/N392*100-100</f>
        <v>#DIV/0!</v>
      </c>
      <c r="P393" s="37" t="n">
        <v>10</v>
      </c>
      <c r="Q393" s="37" t="n">
        <v>0</v>
      </c>
      <c r="R393" s="37" t="n">
        <v>0</v>
      </c>
      <c r="S393" s="37" t="n">
        <v>0</v>
      </c>
      <c r="T393" s="37" t="n">
        <v>0</v>
      </c>
      <c r="U393" s="37" t="n">
        <v>0</v>
      </c>
      <c r="V393" s="37" t="n">
        <v>0</v>
      </c>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row>
    <row r="394" customFormat="false" ht="15" hidden="false" customHeight="true" outlineLevel="0" collapsed="false">
      <c r="A394" s="29" t="s">
        <v>512</v>
      </c>
      <c r="B394" s="59" t="n">
        <f aca="false">+B391/B504</f>
        <v>0.430217296193671</v>
      </c>
      <c r="C394" s="59" t="n">
        <f aca="false">+C391/C504</f>
        <v>0.425782217452324</v>
      </c>
      <c r="D394" s="59" t="n">
        <f aca="false">+D391/D504</f>
        <v>0.521571851364683</v>
      </c>
      <c r="E394" s="59" t="n">
        <f aca="false">+E391/E504</f>
        <v>0.647691114735688</v>
      </c>
      <c r="F394" s="59" t="n">
        <f aca="false">+F391/F504</f>
        <v>0.536699575567448</v>
      </c>
      <c r="G394" s="59" t="n">
        <f aca="false">+G391/G504</f>
        <v>0.542682346974356</v>
      </c>
      <c r="H394" s="59" t="n">
        <f aca="false">+H391/H504</f>
        <v>0.43253421203053</v>
      </c>
      <c r="I394" s="59" t="n">
        <f aca="false">+I391/I504</f>
        <v>0.394833461000026</v>
      </c>
      <c r="J394" s="59" t="n">
        <f aca="false">+J391/J504</f>
        <v>0.420169361046959</v>
      </c>
      <c r="K394" s="59" t="n">
        <f aca="false">+K391/K504</f>
        <v>0.421966097125333</v>
      </c>
      <c r="L394" s="59" t="n">
        <f aca="false">+L391/L504</f>
        <v>0.285671166721545</v>
      </c>
      <c r="M394" s="59" t="n">
        <f aca="false">+M391/M504</f>
        <v>0.371130842274017</v>
      </c>
      <c r="N394" s="59" t="n">
        <f aca="false">+N391/N504</f>
        <v>0.415381804895871</v>
      </c>
      <c r="O394" s="59" t="n">
        <f aca="false">+O391/O504</f>
        <v>0</v>
      </c>
      <c r="P394" s="60" t="n">
        <v>0.415381804895871</v>
      </c>
      <c r="Q394" s="60" t="n">
        <v>0.415381804895871</v>
      </c>
      <c r="R394" s="60" t="n">
        <v>0.415381804895871</v>
      </c>
      <c r="S394" s="60" t="n">
        <v>0</v>
      </c>
      <c r="T394" s="60" t="n">
        <v>0</v>
      </c>
      <c r="U394" s="60" t="n">
        <v>0</v>
      </c>
      <c r="V394" s="60" t="n">
        <v>0</v>
      </c>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row>
    <row r="395" customFormat="false" ht="15" hidden="false" customHeight="true" outlineLevel="0" collapsed="false">
      <c r="A395" s="29" t="s">
        <v>513</v>
      </c>
      <c r="B395" s="59" t="n">
        <f aca="false">+B390/B434*100</f>
        <v>1.22677565373787</v>
      </c>
      <c r="C395" s="59" t="n">
        <f aca="false">+C390/C434*100</f>
        <v>1.14933929724537</v>
      </c>
      <c r="D395" s="59" t="n">
        <f aca="false">+D390/D434*100</f>
        <v>1.83214344841118</v>
      </c>
      <c r="E395" s="59" t="n">
        <f aca="false">+E390/E434*100</f>
        <v>1.63103187950358</v>
      </c>
      <c r="F395" s="59" t="n">
        <f aca="false">+F390/F434*100</f>
        <v>1.36697402469262</v>
      </c>
      <c r="G395" s="59" t="n">
        <f aca="false">+G390/G434*100</f>
        <v>1.2297152086068</v>
      </c>
      <c r="H395" s="59" t="n">
        <f aca="false">+H390/H434*100</f>
        <v>0.938553753746246</v>
      </c>
      <c r="I395" s="59" t="n">
        <f aca="false">+I390/I434*100</f>
        <v>0.755203713511883</v>
      </c>
      <c r="J395" s="59" t="n">
        <f aca="false">+J390/J434*100</f>
        <v>0.680750131091965</v>
      </c>
      <c r="K395" s="59" t="n">
        <f aca="false">+K390/K434*100</f>
        <v>0.623278269258896</v>
      </c>
      <c r="L395" s="59" t="n">
        <f aca="false">+L390/L434*100</f>
        <v>0.835663688889373</v>
      </c>
      <c r="M395" s="59" t="n">
        <f aca="false">+M390/M434*100</f>
        <v>1.00075207070553</v>
      </c>
      <c r="N395" s="59" t="n">
        <f aca="false">+N390/N434*100</f>
        <v>1.75336141682096</v>
      </c>
      <c r="O395" s="59" t="n">
        <f aca="false">+O390/O434*100</f>
        <v>0</v>
      </c>
      <c r="P395" s="59" t="n">
        <f aca="false">+P390/P434*100</f>
        <v>0</v>
      </c>
      <c r="Q395" s="59" t="n">
        <f aca="false">+Q390/Q434*100</f>
        <v>0</v>
      </c>
      <c r="R395" s="59" t="n">
        <f aca="false">+R390/R434*100</f>
        <v>0</v>
      </c>
      <c r="S395" s="59" t="n">
        <f aca="false">+S390/S434*100</f>
        <v>0</v>
      </c>
      <c r="T395" s="59" t="n">
        <f aca="false">+T390/T434*100</f>
        <v>0</v>
      </c>
      <c r="U395" s="59" t="n">
        <f aca="false">+U390/U434*100</f>
        <v>0</v>
      </c>
      <c r="V395" s="59" t="n">
        <f aca="false">+V390/V434*100</f>
        <v>0</v>
      </c>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row>
    <row r="396" customFormat="false" ht="15" hidden="false" customHeight="true" outlineLevel="0" collapsed="false">
      <c r="A396" s="29" t="s">
        <v>229</v>
      </c>
      <c r="B396" s="59" t="n">
        <f aca="false">+B390/B502*100</f>
        <v>0.76610609186358</v>
      </c>
      <c r="C396" s="59" t="n">
        <f aca="false">+C390/C502*100</f>
        <v>0.741305720675801</v>
      </c>
      <c r="D396" s="59" t="n">
        <f aca="false">+D390/D502*100</f>
        <v>1.18470196102272</v>
      </c>
      <c r="E396" s="59" t="n">
        <f aca="false">+E390/E502*100</f>
        <v>1.05781852234809</v>
      </c>
      <c r="F396" s="59" t="n">
        <f aca="false">+F390/F502*100</f>
        <v>0.865032179889956</v>
      </c>
      <c r="G396" s="59" t="n">
        <f aca="false">+G390/G502*100</f>
        <v>0.75903046268483</v>
      </c>
      <c r="H396" s="59" t="n">
        <f aca="false">+H390/H502*100</f>
        <v>0.587419021588725</v>
      </c>
      <c r="I396" s="59" t="n">
        <f aca="false">+I390/I502*100</f>
        <v>0.453762201208442</v>
      </c>
      <c r="J396" s="59" t="n">
        <f aca="false">+J390/J502*100</f>
        <v>0.393951960801991</v>
      </c>
      <c r="K396" s="59" t="n">
        <f aca="false">+K390/K502*100</f>
        <v>0.353171779103788</v>
      </c>
      <c r="L396" s="59" t="n">
        <f aca="false">+L390/L502*100</f>
        <v>0.49967550370121</v>
      </c>
      <c r="M396" s="59" t="n">
        <f aca="false">+M390/M502*100</f>
        <v>0.608870328087709</v>
      </c>
      <c r="N396" s="59" t="n">
        <f aca="false">+N390/N502*100</f>
        <v>1.10577596574052</v>
      </c>
      <c r="O396" s="59" t="n">
        <f aca="false">+O390/O502*100</f>
        <v>0</v>
      </c>
      <c r="P396" s="59" t="n">
        <f aca="false">+P390/P502*100</f>
        <v>0</v>
      </c>
      <c r="Q396" s="59" t="n">
        <f aca="false">+Q390/Q502*100</f>
        <v>0</v>
      </c>
      <c r="R396" s="59" t="n">
        <f aca="false">+R390/R502*100</f>
        <v>0</v>
      </c>
      <c r="S396" s="59" t="n">
        <f aca="false">+S390/S502*100</f>
        <v>0</v>
      </c>
      <c r="T396" s="59" t="n">
        <f aca="false">+T390/T502*100</f>
        <v>0</v>
      </c>
      <c r="U396" s="59" t="n">
        <f aca="false">+U390/U502*100</f>
        <v>0</v>
      </c>
      <c r="V396" s="59" t="n">
        <f aca="false">+V390/V502*100</f>
        <v>0</v>
      </c>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row>
    <row r="397" customFormat="false" ht="15" hidden="false" customHeight="true" outlineLevel="0" collapsed="false">
      <c r="A397" s="70" t="s">
        <v>520</v>
      </c>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c r="AQ397" s="86"/>
      <c r="AR397" s="86"/>
      <c r="AS397" s="86"/>
      <c r="AT397" s="86"/>
      <c r="AU397" s="86"/>
      <c r="AV397" s="86"/>
      <c r="AW397" s="86"/>
      <c r="AX397" s="86"/>
      <c r="AY397" s="86"/>
    </row>
    <row r="398" customFormat="false" ht="15" hidden="false" customHeight="true" outlineLevel="0" collapsed="false">
      <c r="A398" s="47" t="s">
        <v>462</v>
      </c>
      <c r="B398" s="34" t="n">
        <v>543.27</v>
      </c>
      <c r="C398" s="34" t="n">
        <v>730.9</v>
      </c>
      <c r="D398" s="34" t="n">
        <v>929.54</v>
      </c>
      <c r="E398" s="34" t="n">
        <v>1428.75</v>
      </c>
      <c r="F398" s="34" t="n">
        <v>1765.25</v>
      </c>
      <c r="G398" s="34" t="n">
        <v>1190.22</v>
      </c>
      <c r="H398" s="34" t="n">
        <v>948.19</v>
      </c>
      <c r="I398" s="34" t="n">
        <v>1296.62</v>
      </c>
      <c r="J398" s="34" t="n">
        <v>1283.92</v>
      </c>
      <c r="K398" s="34" t="n">
        <v>1266.64</v>
      </c>
      <c r="L398" s="34" t="n">
        <v>1410</v>
      </c>
      <c r="M398" s="34" t="n">
        <v>2074.82</v>
      </c>
      <c r="N398" s="34" t="n">
        <v>2400.02</v>
      </c>
      <c r="O398" s="34" t="n">
        <v>3261.11</v>
      </c>
      <c r="P398" s="34" t="n">
        <v>5247.29</v>
      </c>
      <c r="Q398" s="34" t="n">
        <v>5004.22</v>
      </c>
      <c r="R398" s="34" t="n">
        <v>3444.785</v>
      </c>
      <c r="S398" s="34" t="n">
        <v>4227.979</v>
      </c>
      <c r="T398" s="34" t="n">
        <v>8585.397</v>
      </c>
      <c r="U398" s="34" t="n">
        <v>9167.253</v>
      </c>
      <c r="V398" s="34" t="n">
        <v>6136.134</v>
      </c>
      <c r="W398" s="34" t="n">
        <v>6446.526</v>
      </c>
      <c r="X398" s="34" t="n">
        <v>9751.856</v>
      </c>
      <c r="Y398" s="34" t="n">
        <v>14465.292</v>
      </c>
      <c r="Z398" s="34" t="n">
        <v>14604.539</v>
      </c>
      <c r="AA398" s="34" t="n">
        <v>15627.489</v>
      </c>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row>
    <row r="399" customFormat="false" ht="15" hidden="false" customHeight="true" outlineLevel="0" collapsed="false">
      <c r="A399" s="29" t="s">
        <v>521</v>
      </c>
      <c r="B399" s="62" t="n">
        <v>120029</v>
      </c>
      <c r="C399" s="62" t="n">
        <v>152362</v>
      </c>
      <c r="D399" s="62" t="n">
        <v>188195</v>
      </c>
      <c r="E399" s="62" t="n">
        <v>239800</v>
      </c>
      <c r="F399" s="62" t="n">
        <v>295254</v>
      </c>
      <c r="G399" s="62" t="n">
        <v>211468</v>
      </c>
      <c r="H399" s="62" t="n">
        <v>163200</v>
      </c>
      <c r="I399" s="62" t="n">
        <v>242720</v>
      </c>
      <c r="J399" s="62" t="n">
        <v>249801</v>
      </c>
      <c r="K399" s="62" t="n">
        <v>250093</v>
      </c>
      <c r="L399" s="62" t="n">
        <v>286600</v>
      </c>
      <c r="M399" s="62" t="n">
        <v>416177</v>
      </c>
      <c r="N399" s="62" t="n">
        <v>457532</v>
      </c>
      <c r="O399" s="62" t="n">
        <v>564228</v>
      </c>
      <c r="P399" s="62" t="n">
        <v>755713</v>
      </c>
      <c r="Q399" s="62" t="n">
        <v>726909</v>
      </c>
      <c r="R399" s="62" t="n">
        <v>461480</v>
      </c>
      <c r="S399" s="62" t="n">
        <v>550612</v>
      </c>
      <c r="T399" s="62" t="n">
        <v>858590</v>
      </c>
      <c r="U399" s="31" t="n">
        <f aca="false">U402*U504</f>
        <v>901343.413597433</v>
      </c>
      <c r="V399" s="31" t="n">
        <f aca="false">V402*V504</f>
        <v>644189.472</v>
      </c>
      <c r="W399" s="31" t="n">
        <f aca="false">W402*W504</f>
        <v>496994.4</v>
      </c>
      <c r="X399" s="31" t="n">
        <f aca="false">X402*X504</f>
        <v>640777.1</v>
      </c>
      <c r="Y399" s="31" t="n">
        <f aca="false">Y402*Y504</f>
        <v>888216.45</v>
      </c>
      <c r="Z399" s="31" t="n">
        <f aca="false">Z402*Z504</f>
        <v>904418.75</v>
      </c>
      <c r="AA399" s="31" t="n">
        <f aca="false">AA402*AA504</f>
        <v>1072809.45</v>
      </c>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row>
    <row r="400" customFormat="false" ht="15" hidden="false" customHeight="true" outlineLevel="0" collapsed="false">
      <c r="A400" s="29" t="s">
        <v>522</v>
      </c>
      <c r="B400" s="31" t="n">
        <f aca="false">+B398/B399*1000000</f>
        <v>4526.15617892343</v>
      </c>
      <c r="C400" s="31" t="n">
        <f aca="false">+C398/C399*1000000</f>
        <v>4797.12789278167</v>
      </c>
      <c r="D400" s="31" t="n">
        <f aca="false">+D398/D399*1000000</f>
        <v>4939.23855575334</v>
      </c>
      <c r="E400" s="31" t="n">
        <f aca="false">+E398/E399*1000000</f>
        <v>5958.09007506255</v>
      </c>
      <c r="F400" s="31" t="n">
        <f aca="false">+F398/F399*1000000</f>
        <v>5978.75049956986</v>
      </c>
      <c r="G400" s="31" t="n">
        <f aca="false">+G398/G399*1000000</f>
        <v>5628.36930410275</v>
      </c>
      <c r="H400" s="31" t="n">
        <f aca="false">+H398/H399*1000000</f>
        <v>5809.98774509804</v>
      </c>
      <c r="I400" s="31" t="n">
        <f aca="false">+I398/I399*1000000</f>
        <v>5342.04021094265</v>
      </c>
      <c r="J400" s="31" t="n">
        <f aca="false">+J398/J399*1000000</f>
        <v>5139.77125792131</v>
      </c>
      <c r="K400" s="31" t="n">
        <f aca="false">+K398/K399*1000000</f>
        <v>5064.67594055012</v>
      </c>
      <c r="L400" s="31" t="n">
        <f aca="false">+L398/L399*1000000</f>
        <v>4919.74877878576</v>
      </c>
      <c r="M400" s="31" t="n">
        <f aca="false">+M398/M399*1000000</f>
        <v>4985.42687366193</v>
      </c>
      <c r="N400" s="31" t="n">
        <f aca="false">+N398/N399*1000000</f>
        <v>5245.5784513433</v>
      </c>
      <c r="O400" s="31" t="n">
        <f aca="false">+O398/O399*1000000</f>
        <v>5779.77342492751</v>
      </c>
      <c r="P400" s="31" t="n">
        <f aca="false">+P398/P399*1000000</f>
        <v>6943.49574507783</v>
      </c>
      <c r="Q400" s="31" t="n">
        <f aca="false">+Q398/Q399*1000000</f>
        <v>6884.24548327232</v>
      </c>
      <c r="R400" s="31" t="n">
        <f aca="false">+R398/R399*1000000</f>
        <v>7464.64635520499</v>
      </c>
      <c r="S400" s="31" t="n">
        <f aca="false">+S398/S399*1000000</f>
        <v>7678.69025738633</v>
      </c>
      <c r="T400" s="31" t="n">
        <f aca="false">+T398/T399*1000000</f>
        <v>9999.41415576701</v>
      </c>
      <c r="U400" s="31" t="n">
        <f aca="false">+U398/U399*1000000</f>
        <v>10170.6551151373</v>
      </c>
      <c r="V400" s="31" t="n">
        <f aca="false">+V398/V399*1000000</f>
        <v>9525.35591888717</v>
      </c>
      <c r="W400" s="31" t="n">
        <f aca="false">+W398/W399*1000000</f>
        <v>12971.023415958</v>
      </c>
      <c r="X400" s="31" t="n">
        <f aca="false">+X398/X399*1000000</f>
        <v>15218.7960524807</v>
      </c>
      <c r="Y400" s="31" t="n">
        <f aca="false">+Y398/Y399*1000000</f>
        <v>16285.7735859317</v>
      </c>
      <c r="Z400" s="31" t="n">
        <f aca="false">+Z398/Z399*1000000</f>
        <v>16147.9834424043</v>
      </c>
      <c r="AA400" s="31" t="n">
        <f aca="false">+AA398/AA399*1000000</f>
        <v>14566.8823107403</v>
      </c>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row>
    <row r="401" customFormat="false" ht="15" hidden="false" customHeight="true" outlineLevel="0" collapsed="false">
      <c r="A401" s="29" t="s">
        <v>489</v>
      </c>
      <c r="B401" s="36"/>
      <c r="C401" s="49" t="n">
        <f aca="false">+C400/B400*100-100</f>
        <v>5.9867954870857</v>
      </c>
      <c r="D401" s="49" t="n">
        <f aca="false">+D400/C400*100-100</f>
        <v>2.96241138756197</v>
      </c>
      <c r="E401" s="49" t="n">
        <f aca="false">+E400/D400*100-100</f>
        <v>20.627704205994</v>
      </c>
      <c r="F401" s="49" t="n">
        <f aca="false">+F400/E400*100-100</f>
        <v>0.346762540462152</v>
      </c>
      <c r="G401" s="49" t="n">
        <f aca="false">+G400/F400*100-100</f>
        <v>-5.86044183466632</v>
      </c>
      <c r="H401" s="49" t="n">
        <f aca="false">+H400/G400*100-100</f>
        <v>3.22683944820218</v>
      </c>
      <c r="I401" s="49" t="n">
        <f aca="false">+I400/H400*100-100</f>
        <v>-8.05419141460673</v>
      </c>
      <c r="J401" s="49" t="n">
        <f aca="false">+J400/I400*100-100</f>
        <v>-3.78636148426992</v>
      </c>
      <c r="K401" s="49" t="n">
        <f aca="false">+K400/J400*100-100</f>
        <v>-1.46106341319091</v>
      </c>
      <c r="L401" s="49" t="n">
        <f aca="false">+L400/K400*100-100</f>
        <v>-2.86152882169613</v>
      </c>
      <c r="M401" s="49" t="n">
        <f aca="false">+M400/L400*100-100</f>
        <v>1.33498879372399</v>
      </c>
      <c r="N401" s="49" t="n">
        <f aca="false">+N400/M400*100-100</f>
        <v>5.21824077002815</v>
      </c>
      <c r="O401" s="49" t="n">
        <f aca="false">+O400/N400*100-100</f>
        <v>10.1837190795883</v>
      </c>
      <c r="P401" s="49" t="n">
        <f aca="false">+P400/O400*100-100</f>
        <v>20.1343934198408</v>
      </c>
      <c r="Q401" s="49" t="n">
        <f aca="false">+Q400/P400*100-100</f>
        <v>-0.853320344402974</v>
      </c>
      <c r="R401" s="49" t="n">
        <f aca="false">+R400/Q400*100-100</f>
        <v>8.43085670525487</v>
      </c>
      <c r="S401" s="49" t="n">
        <f aca="false">+S400/R400*100-100</f>
        <v>2.86743526747367</v>
      </c>
      <c r="T401" s="49" t="n">
        <f aca="false">+T400/S400*100-100</f>
        <v>30.2229132910827</v>
      </c>
      <c r="U401" s="49" t="n">
        <f aca="false">+U400/T400*100-100</f>
        <v>1.71250992010845</v>
      </c>
      <c r="V401" s="49" t="n">
        <f aca="false">+V400/U400*100-100</f>
        <v>-6.34471613622677</v>
      </c>
      <c r="W401" s="49" t="n">
        <f aca="false">+W400/V400*100-100</f>
        <v>36.1736351524531</v>
      </c>
      <c r="X401" s="49" t="n">
        <f aca="false">+X400/W400*100-100</f>
        <v>17.329184941238</v>
      </c>
      <c r="Y401" s="49" t="n">
        <f aca="false">+Y400/X400*100-100</f>
        <v>7.01091945625424</v>
      </c>
      <c r="Z401" s="49" t="n">
        <f aca="false">+Z400/Y400*100-100</f>
        <v>-0.846076747907091</v>
      </c>
      <c r="AA401" s="49" t="n">
        <f aca="false">+AA400/Z400*100-100</f>
        <v>-9.79132247257633</v>
      </c>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row>
    <row r="402" customFormat="false" ht="15" hidden="false" customHeight="true" outlineLevel="0" collapsed="false">
      <c r="A402" s="29" t="s">
        <v>512</v>
      </c>
      <c r="B402" s="59" t="n">
        <f aca="false">+B399/B504</f>
        <v>5.83486461523504</v>
      </c>
      <c r="C402" s="59" t="n">
        <f aca="false">+C399/C504</f>
        <v>6.28919342854784</v>
      </c>
      <c r="D402" s="59" t="n">
        <f aca="false">+D399/D504</f>
        <v>6.18858927984216</v>
      </c>
      <c r="E402" s="59" t="n">
        <f aca="false">+E399/E504</f>
        <v>6.41193614802535</v>
      </c>
      <c r="F402" s="59" t="n">
        <f aca="false">+F399/F504</f>
        <v>6.8106200405979</v>
      </c>
      <c r="G402" s="59" t="n">
        <f aca="false">+G399/G504</f>
        <v>6.70326813960123</v>
      </c>
      <c r="H402" s="59" t="n">
        <f aca="false">+H399/H504</f>
        <v>5.48737433173061</v>
      </c>
      <c r="I402" s="59" t="n">
        <f aca="false">+I399/I504</f>
        <v>6.41115718851528</v>
      </c>
      <c r="J402" s="59" t="n">
        <f aca="false">+J399/J504</f>
        <v>7.69210161662818</v>
      </c>
      <c r="K402" s="59" t="n">
        <f aca="false">+K399/K504</f>
        <v>8.42830182320628</v>
      </c>
      <c r="L402" s="59" t="n">
        <f aca="false">+L399/L504</f>
        <v>7.86412029414993</v>
      </c>
      <c r="M402" s="59" t="n">
        <f aca="false">+M399/M504</f>
        <v>8.55380852550664</v>
      </c>
      <c r="N402" s="59" t="n">
        <f aca="false">+N399/N504</f>
        <v>8.35827548410669</v>
      </c>
      <c r="O402" s="59" t="n">
        <f aca="false">+O399/O504</f>
        <v>9.15137458438083</v>
      </c>
      <c r="P402" s="59" t="n">
        <f aca="false">+P399/P504</f>
        <v>9.09500427242421</v>
      </c>
      <c r="Q402" s="59" t="n">
        <f aca="false">+Q399/Q504</f>
        <v>8.72545583310327</v>
      </c>
      <c r="R402" s="59" t="n">
        <f aca="false">+R399/R504</f>
        <v>8.47825687567746</v>
      </c>
      <c r="S402" s="59" t="n">
        <f aca="false">+S399/S504</f>
        <v>8.61327159528205</v>
      </c>
      <c r="T402" s="59" t="n">
        <f aca="false">+T399/T504</f>
        <v>9.12364780141543</v>
      </c>
      <c r="U402" s="59" t="n">
        <f aca="false">T402</f>
        <v>9.12364780141543</v>
      </c>
      <c r="V402" s="60" t="n">
        <v>7.2</v>
      </c>
      <c r="W402" s="60" t="n">
        <v>7.2</v>
      </c>
      <c r="X402" s="60" t="n">
        <v>7.4</v>
      </c>
      <c r="Y402" s="60" t="n">
        <v>7.4</v>
      </c>
      <c r="Z402" s="60" t="n">
        <v>7.4</v>
      </c>
      <c r="AA402" s="60" t="n">
        <v>7.4</v>
      </c>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row>
    <row r="403" customFormat="false" ht="15" hidden="false" customHeight="true" outlineLevel="0" collapsed="false">
      <c r="A403" s="29" t="s">
        <v>513</v>
      </c>
      <c r="B403" s="49" t="n">
        <f aca="false">+B398/B434*100</f>
        <v>9.11474848750239</v>
      </c>
      <c r="C403" s="49" t="n">
        <f aca="false">+C398/C434*100</f>
        <v>9.59292100441519</v>
      </c>
      <c r="D403" s="49" t="n">
        <f aca="false">+D398/D434*100</f>
        <v>9.49938989868435</v>
      </c>
      <c r="E403" s="49" t="n">
        <f aca="false">+E398/E434*100</f>
        <v>10.9616482329401</v>
      </c>
      <c r="F403" s="49" t="n">
        <f aca="false">+F398/F434*100</f>
        <v>11.2370815734779</v>
      </c>
      <c r="G403" s="49" t="n">
        <f aca="false">+G398/G434*100</f>
        <v>9.57310246313026</v>
      </c>
      <c r="H403" s="49" t="n">
        <f aca="false">+H398/H434*100</f>
        <v>7.40803532643514</v>
      </c>
      <c r="I403" s="49" t="n">
        <f aca="false">+I398/I434*100</f>
        <v>8.30403866192145</v>
      </c>
      <c r="J403" s="49" t="n">
        <f aca="false">+J398/J434*100</f>
        <v>8.51133224570645</v>
      </c>
      <c r="K403" s="49" t="n">
        <f aca="false">+K398/K434*100</f>
        <v>8.4980536810989</v>
      </c>
      <c r="L403" s="49" t="n">
        <f aca="false">+L398/L434*100</f>
        <v>7.67113151910166</v>
      </c>
      <c r="M403" s="49" t="n">
        <f aca="false">+M398/M434*100</f>
        <v>8.68342426957696</v>
      </c>
      <c r="N403" s="49" t="n">
        <f aca="false">+N398/N434*100</f>
        <v>7.90966968835502</v>
      </c>
      <c r="O403" s="49" t="n">
        <f aca="false">+O398/O434*100</f>
        <v>8.43062522313517</v>
      </c>
      <c r="P403" s="49" t="n">
        <f aca="false">+P398/P434*100</f>
        <v>9.60459340330675</v>
      </c>
      <c r="Q403" s="49" t="n">
        <f aca="false">+Q398/Q434*100</f>
        <v>8.67982598095587</v>
      </c>
      <c r="R403" s="49" t="n">
        <f aca="false">+R398/R434*100</f>
        <v>7.73684175300241</v>
      </c>
      <c r="S403" s="49" t="n">
        <f aca="false">+S398/S434*100</f>
        <v>8.10063700484012</v>
      </c>
      <c r="T403" s="49" t="n">
        <f aca="false">+T398/T434*100</f>
        <v>10.5686566849079</v>
      </c>
      <c r="U403" s="49" t="n">
        <f aca="false">+U398/U434*100</f>
        <v>9.68634387782217</v>
      </c>
      <c r="V403" s="49" t="n">
        <f aca="false">+V398/V434*100</f>
        <v>6.72568317462851</v>
      </c>
      <c r="W403" s="49" t="n">
        <f aca="false">+W398/W434*100</f>
        <v>8.47895421961909</v>
      </c>
      <c r="X403" s="49" t="n">
        <f aca="false">+X398/X434*100</f>
        <v>9.78590134650251</v>
      </c>
      <c r="Y403" s="49" t="n">
        <f aca="false">+Y398/Y434*100</f>
        <v>10.9628230701099</v>
      </c>
      <c r="Z403" s="49" t="n">
        <f aca="false">+Z398/Z434*100</f>
        <v>10.4637544809461</v>
      </c>
      <c r="AA403" s="49" t="n">
        <f aca="false">+AA398/AA434*100</f>
        <v>8.39227671132525</v>
      </c>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row>
    <row r="404" customFormat="false" ht="15" hidden="false" customHeight="true" outlineLevel="0" collapsed="false">
      <c r="A404" s="29" t="s">
        <v>229</v>
      </c>
      <c r="B404" s="59" t="n">
        <f aca="false">+B398/B502*100</f>
        <v>5.69204672492789</v>
      </c>
      <c r="C404" s="59" t="n">
        <f aca="false">+C398/C502*100</f>
        <v>6.18728275941468</v>
      </c>
      <c r="D404" s="59" t="n">
        <f aca="false">+D398/D502*100</f>
        <v>6.14250257055479</v>
      </c>
      <c r="E404" s="59" t="n">
        <f aca="false">+E398/E502*100</f>
        <v>7.10926296535506</v>
      </c>
      <c r="F404" s="59" t="n">
        <f aca="false">+F398/F502*100</f>
        <v>7.11091578444046</v>
      </c>
      <c r="G404" s="59" t="n">
        <f aca="false">+G398/G502*100</f>
        <v>5.90890991756648</v>
      </c>
      <c r="H404" s="59" t="n">
        <f aca="false">+H398/H502*100</f>
        <v>4.63651745675695</v>
      </c>
      <c r="I404" s="59" t="n">
        <f aca="false">+I398/I502*100</f>
        <v>4.98946018767715</v>
      </c>
      <c r="J404" s="59" t="n">
        <f aca="false">+J398/J502*100</f>
        <v>4.9255312251718</v>
      </c>
      <c r="K404" s="59" t="n">
        <f aca="false">+K398/K502*100</f>
        <v>4.81530142393995</v>
      </c>
      <c r="L404" s="59" t="n">
        <f aca="false">+L398/L502*100</f>
        <v>4.5868649753822</v>
      </c>
      <c r="M404" s="59" t="n">
        <f aca="false">+M398/M502*100</f>
        <v>5.28310611459911</v>
      </c>
      <c r="N404" s="59" t="n">
        <f aca="false">+N398/N502*100</f>
        <v>4.98831704314983</v>
      </c>
      <c r="O404" s="59" t="n">
        <f aca="false">+O398/O502*100</f>
        <v>5.3874968032951</v>
      </c>
      <c r="P404" s="59" t="n">
        <f aca="false">+P398/P502*100</f>
        <v>6.31844528838249</v>
      </c>
      <c r="Q404" s="59" t="n">
        <f aca="false">+Q398/Q502*100</f>
        <v>5.60151516338713</v>
      </c>
      <c r="R404" s="59" t="n">
        <f aca="false">+R398/R502*100</f>
        <v>5.16719809128439</v>
      </c>
      <c r="S404" s="59" t="n">
        <f aca="false">+S398/S502*100</f>
        <v>5.37050071936868</v>
      </c>
      <c r="T404" s="59" t="n">
        <f aca="false">+T398/T502*100</f>
        <v>7.09912033852465</v>
      </c>
      <c r="U404" s="59" t="n">
        <f aca="false">+U398/U502*100</f>
        <v>6.71745613124657</v>
      </c>
      <c r="V404" s="59" t="n">
        <f aca="false">+V398/V502*100</f>
        <v>4.61413454355569</v>
      </c>
      <c r="W404" s="59" t="n">
        <f aca="false">+W398/W502*100</f>
        <v>6.10417614961181</v>
      </c>
      <c r="X404" s="59" t="n">
        <f aca="false">+X398/X502*100</f>
        <v>6.73194861760203</v>
      </c>
      <c r="Y404" s="59" t="n">
        <f aca="false">+Y398/Y502*100</f>
        <v>7.23518764906924</v>
      </c>
      <c r="Z404" s="59" t="n">
        <f aca="false">+Z398/Z502*100</f>
        <v>6.84641175124923</v>
      </c>
      <c r="AA404" s="59" t="n">
        <f aca="false">+AA398/AA502*100</f>
        <v>5.89171595651493</v>
      </c>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row>
    <row r="405" customFormat="false" ht="15" hidden="false" customHeight="true" outlineLevel="0" collapsed="false">
      <c r="A405" s="70" t="s">
        <v>523</v>
      </c>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c r="AQ405" s="86"/>
      <c r="AR405" s="86"/>
      <c r="AS405" s="86"/>
      <c r="AT405" s="86"/>
      <c r="AU405" s="86"/>
      <c r="AV405" s="86"/>
      <c r="AW405" s="86"/>
      <c r="AX405" s="86"/>
      <c r="AY405" s="86"/>
    </row>
    <row r="406" customFormat="false" ht="15" hidden="false" customHeight="true" outlineLevel="0" collapsed="false">
      <c r="A406" s="47" t="s">
        <v>462</v>
      </c>
      <c r="B406" s="34" t="n">
        <v>3011.8</v>
      </c>
      <c r="C406" s="34" t="n">
        <v>4056.1</v>
      </c>
      <c r="D406" s="34" t="n">
        <v>5685.65</v>
      </c>
      <c r="E406" s="34" t="n">
        <v>7832.26</v>
      </c>
      <c r="F406" s="34" t="n">
        <v>10688.2</v>
      </c>
      <c r="G406" s="34" t="n">
        <v>7994.96</v>
      </c>
      <c r="H406" s="34" t="n">
        <v>7136.47</v>
      </c>
      <c r="I406" s="34" t="n">
        <v>10281.81</v>
      </c>
      <c r="J406" s="34" t="n">
        <v>10263.3</v>
      </c>
      <c r="K406" s="34" t="n">
        <v>10982.28</v>
      </c>
      <c r="L406" s="34" t="n">
        <v>11870.58</v>
      </c>
      <c r="M406" s="34" t="n">
        <v>17757.2</v>
      </c>
      <c r="N406" s="34" t="n">
        <v>22937.45</v>
      </c>
      <c r="O406" s="34" t="n">
        <v>31514.7</v>
      </c>
      <c r="P406" s="34" t="n">
        <v>41486.36</v>
      </c>
      <c r="Q406" s="34" t="n">
        <v>45311.07</v>
      </c>
      <c r="R406" s="34" t="n">
        <v>34647.782</v>
      </c>
      <c r="S406" s="34" t="n">
        <v>42489.126</v>
      </c>
      <c r="T406" s="34" t="n">
        <v>62970.471</v>
      </c>
      <c r="U406" s="34" t="n">
        <v>72789.933</v>
      </c>
      <c r="V406" s="34" t="n">
        <v>59390.366</v>
      </c>
      <c r="W406" s="34" t="n">
        <v>45567.871</v>
      </c>
      <c r="X406" s="34" t="n">
        <v>60540.824</v>
      </c>
      <c r="Y406" s="34" t="n">
        <v>88253.35</v>
      </c>
      <c r="Z406" s="34" t="n">
        <v>95010.965</v>
      </c>
      <c r="AA406" s="34" t="n">
        <v>112427.589</v>
      </c>
      <c r="AB406" s="93" t="n">
        <f aca="false">208722.7+7661</f>
        <v>216383.7</v>
      </c>
      <c r="AC406" s="93" t="n">
        <f aca="false">103844.6+7932.2</f>
        <v>111776.8</v>
      </c>
      <c r="AD406" s="93" t="n">
        <f aca="false">111189.6+7466.6</f>
        <v>118656.2</v>
      </c>
      <c r="AE406" s="93" t="n">
        <f aca="false">159131.6+8969</f>
        <v>168100.6</v>
      </c>
      <c r="AF406" s="93" t="n">
        <f aca="false">272469.5+11606.9</f>
        <v>284076.4</v>
      </c>
      <c r="AG406" s="93" t="n">
        <f aca="false">269165.4+15064.1</f>
        <v>284229.5</v>
      </c>
      <c r="AH406" s="93" t="n">
        <f aca="false">257117.4+16804.6</f>
        <v>273922</v>
      </c>
      <c r="AI406" s="93" t="n">
        <f aca="false">297226.8+18053.9</f>
        <v>315280.7</v>
      </c>
      <c r="AJ406" s="35" t="n">
        <f aca="false">+AJ410*AJ502/100</f>
        <v>347869.127987938</v>
      </c>
      <c r="AK406" s="35" t="n">
        <f aca="false">+AK410*AK502/100</f>
        <v>373186.611619762</v>
      </c>
      <c r="AL406" s="35" t="n">
        <f aca="false">+AL410*AL502/100</f>
        <v>401195.306230658</v>
      </c>
      <c r="AM406" s="30"/>
      <c r="AN406" s="30"/>
      <c r="AO406" s="30"/>
      <c r="AP406" s="30"/>
      <c r="AQ406" s="30"/>
      <c r="AR406" s="30"/>
      <c r="AS406" s="30"/>
      <c r="AT406" s="30"/>
      <c r="AU406" s="30"/>
      <c r="AV406" s="30"/>
      <c r="AW406" s="30"/>
      <c r="AX406" s="30"/>
      <c r="AY406" s="30"/>
    </row>
    <row r="407" customFormat="false" ht="15" hidden="false" customHeight="true" outlineLevel="0" collapsed="false">
      <c r="A407" s="47" t="s">
        <v>524</v>
      </c>
      <c r="B407" s="35" t="n">
        <f aca="false">(+B406/B504)*1000000</f>
        <v>146409.994652666</v>
      </c>
      <c r="C407" s="35" t="n">
        <f aca="false">(+C406/C504)*1000000</f>
        <v>167427.557169983</v>
      </c>
      <c r="D407" s="35" t="n">
        <f aca="false">(+D406/D504)*1000000</f>
        <v>186966.458401842</v>
      </c>
      <c r="E407" s="35" t="n">
        <f aca="false">(+E406/E504)*1000000</f>
        <v>209424.316158186</v>
      </c>
      <c r="F407" s="35" t="n">
        <f aca="false">(+F406/F504)*1000000</f>
        <v>246544.565417974</v>
      </c>
      <c r="G407" s="35" t="n">
        <f aca="false">(+G406/G504)*1000000</f>
        <v>253430.120138207</v>
      </c>
      <c r="H407" s="35" t="n">
        <f aca="false">(+H406/H504)*1000000</f>
        <v>239953.935644397</v>
      </c>
      <c r="I407" s="35" t="n">
        <f aca="false">(+I406/I504)*1000000</f>
        <v>271581.658258274</v>
      </c>
      <c r="J407" s="35" t="n">
        <f aca="false">(+J406/J504)*1000000</f>
        <v>316036.951501155</v>
      </c>
      <c r="K407" s="35" t="n">
        <f aca="false">(+K406/K504)*1000000</f>
        <v>370110.201193004</v>
      </c>
      <c r="L407" s="35" t="n">
        <f aca="false">(+L406/L504)*1000000</f>
        <v>325721.106354956</v>
      </c>
      <c r="M407" s="35" t="n">
        <f aca="false">(+M406/M504)*1000000</f>
        <v>364968.964525013</v>
      </c>
      <c r="N407" s="35" t="n">
        <f aca="false">(+N406/N504)*1000000</f>
        <v>419025.392765802</v>
      </c>
      <c r="O407" s="35" t="n">
        <f aca="false">(+O406/O504)*1000000</f>
        <v>511145.892466142</v>
      </c>
      <c r="P407" s="35" t="n">
        <f aca="false">(+P406/P504)*1000000</f>
        <v>499288.250231674</v>
      </c>
      <c r="Q407" s="35" t="n">
        <f aca="false">(+Q406/Q504)*1000000</f>
        <v>543891.656363658</v>
      </c>
      <c r="R407" s="35" t="n">
        <f aca="false">(+R406/R504)*1000000</f>
        <v>636545.020300931</v>
      </c>
      <c r="S407" s="35" t="n">
        <f aca="false">(+S406/S504)*1000000</f>
        <v>664661.108156306</v>
      </c>
      <c r="T407" s="35" t="n">
        <f aca="false">(+T406/T504)*1000000</f>
        <v>669144.060952543</v>
      </c>
      <c r="U407" s="35" t="n">
        <f aca="false">(+U406/U504)*1000000</f>
        <v>736799.872459309</v>
      </c>
      <c r="V407" s="35" t="n">
        <f aca="false">(+V406/V504)*1000000</f>
        <v>663796.373250881</v>
      </c>
      <c r="W407" s="35" t="n">
        <f aca="false">(+W406/W504)*1000000</f>
        <v>660145.609688962</v>
      </c>
      <c r="X407" s="35" t="n">
        <f aca="false">(+X406/X504)*1000000</f>
        <v>699154.351177656</v>
      </c>
      <c r="Y407" s="35" t="n">
        <f aca="false">(+Y406/Y504)*1000000</f>
        <v>735265.362401248</v>
      </c>
      <c r="Z407" s="35" t="n">
        <f aca="false">(+Z406/Z504)*1000000</f>
        <v>777384.525696753</v>
      </c>
      <c r="AA407" s="35" t="n">
        <f aca="false">(+AA406/AA504)*1000000</f>
        <v>775500.400933269</v>
      </c>
      <c r="AB407" s="35" t="n">
        <f aca="false">(+AB406/AB504)*1000000</f>
        <v>1096357.52865235</v>
      </c>
      <c r="AC407" s="35" t="n">
        <f aca="false">(+AC406/AC504)*1000000</f>
        <v>892408.165872275</v>
      </c>
      <c r="AD407" s="35" t="n">
        <f aca="false">(+AD406/AD504)*1000000</f>
        <v>1178138.31107581</v>
      </c>
      <c r="AE407" s="35" t="n">
        <f aca="false">(+AE406/AE504)*1000000</f>
        <v>1309949.65946106</v>
      </c>
      <c r="AF407" s="35" t="n">
        <f aca="false">(+AF406/AF504)*1000000</f>
        <v>1477986.52480425</v>
      </c>
      <c r="AG407" s="35" t="n">
        <f aca="false">(+AG406/AG504)*1000000</f>
        <v>1459960.55125512</v>
      </c>
      <c r="AH407" s="35" t="n">
        <f aca="false">(+AH406/AH504)*1000000</f>
        <v>1404058.57719139</v>
      </c>
      <c r="AI407" s="35" t="n">
        <f aca="false">(+AI406/AI504)*1000000</f>
        <v>1430253.08818393</v>
      </c>
      <c r="AJ407" s="35" t="n">
        <f aca="false">(+AJ406/AJ504)*1000000</f>
        <v>1465356.01069985</v>
      </c>
      <c r="AK407" s="35" t="n">
        <f aca="false">(+AK406/AK504)*1000000</f>
        <v>1468129.49011869</v>
      </c>
      <c r="AL407" s="35" t="n">
        <f aca="false">(+AL406/AL504)*1000000</f>
        <v>1484216.06982527</v>
      </c>
      <c r="AM407" s="30"/>
      <c r="AN407" s="30"/>
      <c r="AO407" s="30"/>
      <c r="AP407" s="30"/>
      <c r="AQ407" s="30"/>
      <c r="AR407" s="30"/>
      <c r="AS407" s="30"/>
      <c r="AT407" s="30"/>
      <c r="AU407" s="30"/>
      <c r="AV407" s="30"/>
      <c r="AW407" s="30"/>
      <c r="AX407" s="30"/>
      <c r="AY407" s="30"/>
    </row>
    <row r="408" customFormat="false" ht="15" hidden="false" customHeight="true" outlineLevel="0" collapsed="false">
      <c r="A408" s="47" t="s">
        <v>489</v>
      </c>
      <c r="B408" s="36"/>
      <c r="C408" s="74" t="n">
        <f aca="false">(100*C407)/B407-100</f>
        <v>14.3552785226015</v>
      </c>
      <c r="D408" s="74" t="n">
        <f aca="false">(100*D407)/C407-100</f>
        <v>11.670062898918</v>
      </c>
      <c r="E408" s="74" t="n">
        <f aca="false">(100*E407)/D407-100</f>
        <v>12.0117041036722</v>
      </c>
      <c r="F408" s="74" t="n">
        <f aca="false">(100*F407)/E407-100</f>
        <v>17.7248993530195</v>
      </c>
      <c r="G408" s="74" t="n">
        <f aca="false">(100*G407)/F407-100</f>
        <v>2.79282356459953</v>
      </c>
      <c r="H408" s="74" t="n">
        <f aca="false">(100*H407)/G407-100</f>
        <v>-5.3175149372382</v>
      </c>
      <c r="I408" s="74" t="n">
        <f aca="false">(100*I407)/H407-100</f>
        <v>13.1807476001347</v>
      </c>
      <c r="J408" s="74" t="n">
        <f aca="false">(100*J407)/I407-100</f>
        <v>16.3690337292969</v>
      </c>
      <c r="K408" s="74" t="n">
        <f aca="false">(100*K407)/J407-100</f>
        <v>17.1097871419796</v>
      </c>
      <c r="L408" s="74" t="n">
        <f aca="false">(100*L407)/K407-100</f>
        <v>-11.9934805079583</v>
      </c>
      <c r="M408" s="74" t="n">
        <f aca="false">(100*M407)/L407-100</f>
        <v>12.0495286932027</v>
      </c>
      <c r="N408" s="74" t="n">
        <f aca="false">(100*N407)/M407-100</f>
        <v>14.8112397203801</v>
      </c>
      <c r="O408" s="74" t="n">
        <f aca="false">(100*O407)/N407-100</f>
        <v>21.9844671207856</v>
      </c>
      <c r="P408" s="74" t="n">
        <f aca="false">(100*P407)/O407-100</f>
        <v>-2.31981561609713</v>
      </c>
      <c r="Q408" s="74" t="n">
        <f aca="false">(100*Q407)/P407-100</f>
        <v>8.93339791418849</v>
      </c>
      <c r="R408" s="74" t="n">
        <f aca="false">(100*R407)/Q407-100</f>
        <v>17.0352611321037</v>
      </c>
      <c r="S408" s="74" t="n">
        <f aca="false">(100*S407)/R407-100</f>
        <v>4.41698339609697</v>
      </c>
      <c r="T408" s="74" t="n">
        <f aca="false">(100*T407)/S407-100</f>
        <v>0.674471958901336</v>
      </c>
      <c r="U408" s="74" t="n">
        <f aca="false">(100*U407)/T407-100</f>
        <v>10.110799072244</v>
      </c>
      <c r="V408" s="74" t="n">
        <f aca="false">(100*V407)/U407-100</f>
        <v>-9.90818564676927</v>
      </c>
      <c r="W408" s="74" t="n">
        <f aca="false">(100*W407)/V407-100</f>
        <v>-0.54998245079878</v>
      </c>
      <c r="X408" s="74" t="n">
        <f aca="false">(100*X407)/W407-100</f>
        <v>5.90911170447276</v>
      </c>
      <c r="Y408" s="74" t="n">
        <f aca="false">(100*Y407)/X407-100</f>
        <v>5.16495551558346</v>
      </c>
      <c r="Z408" s="74" t="n">
        <f aca="false">(100*Z407)/Y407-100</f>
        <v>5.728430230679</v>
      </c>
      <c r="AA408" s="74" t="n">
        <f aca="false">(100*AA407)/Z407-100</f>
        <v>-0.242367155661469</v>
      </c>
      <c r="AB408" s="74" t="n">
        <f aca="false">(100*AB407)/AA407-100</f>
        <v>41.3742052657806</v>
      </c>
      <c r="AC408" s="74" t="n">
        <f aca="false">(100*AC407)/AB407-100</f>
        <v>-18.6024501542642</v>
      </c>
      <c r="AD408" s="74" t="n">
        <f aca="false">(100*AD407)/AC407-100</f>
        <v>32.0178765872508</v>
      </c>
      <c r="AE408" s="74" t="n">
        <f aca="false">(100*AE407)/AD407-100</f>
        <v>11.1881047535828</v>
      </c>
      <c r="AF408" s="74" t="n">
        <f aca="false">(100*AF407)/AE407-100</f>
        <v>12.8277345720537</v>
      </c>
      <c r="AG408" s="74" t="n">
        <f aca="false">(100*AG407)/AF407-100</f>
        <v>-1.21963043956143</v>
      </c>
      <c r="AH408" s="74" t="n">
        <f aca="false">(100*AH407)/AG407-100</f>
        <v>-3.82900579167485</v>
      </c>
      <c r="AI408" s="74" t="n">
        <f aca="false">(100*AI407)/AH407-100</f>
        <v>1.86562807407459</v>
      </c>
      <c r="AJ408" s="74" t="n">
        <f aca="false">(100*AJ407)/AI407-100</f>
        <v>2.45431544989681</v>
      </c>
      <c r="AK408" s="74" t="n">
        <f aca="false">(100*AK407)/AJ407-100</f>
        <v>0.18927000664624</v>
      </c>
      <c r="AL408" s="74" t="n">
        <f aca="false">(100*AL407)/AK407-100</f>
        <v>1.09571940451077</v>
      </c>
      <c r="AM408" s="36"/>
      <c r="AN408" s="36"/>
      <c r="AO408" s="36"/>
      <c r="AP408" s="36"/>
      <c r="AQ408" s="36"/>
      <c r="AR408" s="36"/>
      <c r="AS408" s="36"/>
      <c r="AT408" s="36"/>
      <c r="AU408" s="36"/>
      <c r="AV408" s="36"/>
      <c r="AW408" s="36"/>
      <c r="AX408" s="36"/>
      <c r="AY408" s="36"/>
    </row>
    <row r="409" customFormat="false" ht="15" hidden="false" customHeight="true" outlineLevel="0" collapsed="false">
      <c r="A409" s="29" t="s">
        <v>513</v>
      </c>
      <c r="B409" s="49" t="n">
        <f aca="false">+B406/B434*100</f>
        <v>50.5306744246134</v>
      </c>
      <c r="C409" s="49" t="n">
        <f aca="false">+C406/C434*100</f>
        <v>53.2355272759727</v>
      </c>
      <c r="D409" s="49" t="n">
        <f aca="false">+D406/D434*100</f>
        <v>58.1042302401776</v>
      </c>
      <c r="E409" s="49" t="n">
        <f aca="false">+E406/E434*100</f>
        <v>60.0906239642537</v>
      </c>
      <c r="F409" s="49" t="n">
        <f aca="false">+F406/F434*100</f>
        <v>68.0380542550043</v>
      </c>
      <c r="G409" s="49" t="n">
        <f aca="false">+G406/G434*100</f>
        <v>64.3045582065735</v>
      </c>
      <c r="H409" s="49" t="n">
        <f aca="false">+H406/H434*100</f>
        <v>55.755936959939</v>
      </c>
      <c r="I409" s="49" t="n">
        <f aca="false">+I406/I434*100</f>
        <v>65.8485506582735</v>
      </c>
      <c r="J409" s="49" t="n">
        <f aca="false">+J406/J434*100</f>
        <v>68.0372268033514</v>
      </c>
      <c r="K409" s="49" t="n">
        <f aca="false">+K406/K434*100</f>
        <v>73.6815551228912</v>
      </c>
      <c r="L409" s="49" t="n">
        <f aca="false">+L406/L434*100</f>
        <v>64.5821137503672</v>
      </c>
      <c r="M409" s="49" t="n">
        <f aca="false">+M406/M434*100</f>
        <v>74.3164715202919</v>
      </c>
      <c r="N409" s="49" t="n">
        <f aca="false">+N406/N434*100</f>
        <v>75.5942254619373</v>
      </c>
      <c r="O409" s="49" t="n">
        <f aca="false">+O406/O434*100</f>
        <v>81.4718377238235</v>
      </c>
      <c r="P409" s="49" t="n">
        <f aca="false">+P406/P434*100</f>
        <v>75.9362679751279</v>
      </c>
      <c r="Q409" s="49" t="n">
        <f aca="false">+Q406/Q434*100</f>
        <v>78.5921087823697</v>
      </c>
      <c r="R409" s="49" t="n">
        <f aca="false">+R406/R434*100</f>
        <v>77.8174563656441</v>
      </c>
      <c r="S409" s="49" t="n">
        <f aca="false">+S406/S434*100</f>
        <v>81.4074493697614</v>
      </c>
      <c r="T409" s="49" t="n">
        <f aca="false">+T406/T434*100</f>
        <v>77.516891680833</v>
      </c>
      <c r="U409" s="49" t="n">
        <f aca="false">+U406/U434*100</f>
        <v>76.9116246580776</v>
      </c>
      <c r="V409" s="49" t="n">
        <f aca="false">+V406/V434*100</f>
        <v>65.0964899627728</v>
      </c>
      <c r="W409" s="49" t="n">
        <f aca="false">+W406/W434*100</f>
        <v>59.9342796561292</v>
      </c>
      <c r="X409" s="49" t="n">
        <f aca="false">+X406/X434*100</f>
        <v>60.7521820564179</v>
      </c>
      <c r="Y409" s="49" t="n">
        <f aca="false">+Y406/Y434*100</f>
        <v>66.8846409318586</v>
      </c>
      <c r="Z409" s="49" t="n">
        <f aca="false">+Z406/Z434*100</f>
        <v>68.0727690725302</v>
      </c>
      <c r="AA409" s="49" t="n">
        <f aca="false">+AA406/AA434*100</f>
        <v>60.3758823234588</v>
      </c>
      <c r="AB409" s="49" t="n">
        <f aca="false">+AB406/AB434*100</f>
        <v>104.636460042448</v>
      </c>
      <c r="AC409" s="49" t="n">
        <f aca="false">+AC406/AC434*100</f>
        <v>90.3674060060716</v>
      </c>
      <c r="AD409" s="49" t="n">
        <f aca="false">+AD406/AD434*100</f>
        <v>104.05417374429</v>
      </c>
      <c r="AE409" s="49" t="n">
        <f aca="false">+AE406/AE434*100</f>
        <v>100.292284442461</v>
      </c>
      <c r="AF409" s="49" t="n">
        <f aca="false">+AF406/AF434*100</f>
        <v>102.005411296216</v>
      </c>
      <c r="AG409" s="49" t="n">
        <f aca="false">+AG406/AG434*100</f>
        <v>101.830538180518</v>
      </c>
      <c r="AH409" s="49" t="n">
        <f aca="false">+AH406/AH434*100</f>
        <v>99.1652541851327</v>
      </c>
      <c r="AI409" s="49" t="n">
        <f aca="false">+AI406/AI434*100</f>
        <v>100.353087518469</v>
      </c>
      <c r="AJ409" s="49" t="n">
        <f aca="false">+AJ406/AJ434*100</f>
        <v>100</v>
      </c>
      <c r="AK409" s="49" t="n">
        <f aca="false">+AK406/AK434*100</f>
        <v>100</v>
      </c>
      <c r="AL409" s="49" t="n">
        <f aca="false">+AL406/AL434*100</f>
        <v>100</v>
      </c>
      <c r="AM409" s="36"/>
      <c r="AN409" s="36"/>
      <c r="AO409" s="36"/>
      <c r="AP409" s="36"/>
      <c r="AQ409" s="36"/>
      <c r="AR409" s="36"/>
      <c r="AS409" s="36"/>
      <c r="AT409" s="36"/>
      <c r="AU409" s="36"/>
      <c r="AV409" s="36"/>
      <c r="AW409" s="36"/>
      <c r="AX409" s="36"/>
      <c r="AY409" s="36"/>
    </row>
    <row r="410" customFormat="false" ht="15" hidden="false" customHeight="true" outlineLevel="0" collapsed="false">
      <c r="A410" s="29" t="s">
        <v>229</v>
      </c>
      <c r="B410" s="49" t="n">
        <f aca="false">+B406/B502*100</f>
        <v>31.5557758133853</v>
      </c>
      <c r="C410" s="49" t="n">
        <f aca="false">+C406/C502*100</f>
        <v>34.3360755239593</v>
      </c>
      <c r="D410" s="49" t="n">
        <f aca="false">+D406/D502*100</f>
        <v>37.5714006285634</v>
      </c>
      <c r="E410" s="49" t="n">
        <f aca="false">+E406/E502*100</f>
        <v>38.9722456364177</v>
      </c>
      <c r="F410" s="49" t="n">
        <f aca="false">+F406/F502*100</f>
        <v>43.055029082145</v>
      </c>
      <c r="G410" s="49" t="n">
        <f aca="false">+G406/G502*100</f>
        <v>39.6914002743587</v>
      </c>
      <c r="H410" s="49" t="n">
        <f aca="false">+H406/H502*100</f>
        <v>34.8963474985207</v>
      </c>
      <c r="I410" s="49" t="n">
        <f aca="false">+I406/I502*100</f>
        <v>39.5649316316738</v>
      </c>
      <c r="J410" s="49" t="n">
        <f aca="false">+J406/J502*100</f>
        <v>39.3733290417672</v>
      </c>
      <c r="K410" s="49" t="n">
        <f aca="false">+K406/K502*100</f>
        <v>41.7506067407529</v>
      </c>
      <c r="L410" s="49" t="n">
        <f aca="false">+L406/L502*100</f>
        <v>38.61613307764</v>
      </c>
      <c r="M410" s="49" t="n">
        <f aca="false">+M406/M502*100</f>
        <v>45.2150894526558</v>
      </c>
      <c r="N410" s="49" t="n">
        <f aca="false">+N406/N502*100</f>
        <v>47.6742996980846</v>
      </c>
      <c r="O410" s="49" t="n">
        <f aca="false">+O406/O502*100</f>
        <v>52.063667127697</v>
      </c>
      <c r="P410" s="49" t="n">
        <f aca="false">+P406/P502*100</f>
        <v>49.9551760764395</v>
      </c>
      <c r="Q410" s="49" t="n">
        <f aca="false">+Q406/Q502*100</f>
        <v>50.7193220270683</v>
      </c>
      <c r="R410" s="49" t="n">
        <f aca="false">+R406/R502*100</f>
        <v>51.9718801079422</v>
      </c>
      <c r="S410" s="49" t="n">
        <f aca="false">+S406/S502*100</f>
        <v>53.9709118111387</v>
      </c>
      <c r="T410" s="49" t="n">
        <f aca="false">+T406/T502*100</f>
        <v>52.0692230542835</v>
      </c>
      <c r="U410" s="49" t="n">
        <f aca="false">+U406/U502*100</f>
        <v>53.3380263121218</v>
      </c>
      <c r="V410" s="49" t="n">
        <f aca="false">+V406/V502*100</f>
        <v>44.6592495071026</v>
      </c>
      <c r="W410" s="49" t="n">
        <f aca="false">+W406/W502*100</f>
        <v>43.1479391143056</v>
      </c>
      <c r="X410" s="49" t="n">
        <f aca="false">+X406/X502*100</f>
        <v>41.7928357879042</v>
      </c>
      <c r="Y410" s="49" t="n">
        <f aca="false">+Y406/Y502*100</f>
        <v>44.1421817070119</v>
      </c>
      <c r="Z410" s="49" t="n">
        <f aca="false">+Z406/Z502*100</f>
        <v>44.5398644403311</v>
      </c>
      <c r="AA410" s="49" t="n">
        <f aca="false">+AA406/AA502*100</f>
        <v>42.3862989162112</v>
      </c>
      <c r="AB410" s="49" t="n">
        <f aca="false">+AB406/AB502*100</f>
        <v>74.4739536636615</v>
      </c>
      <c r="AC410" s="49" t="n">
        <f aca="false">+AC406/AC502*100</f>
        <v>63.9914080287529</v>
      </c>
      <c r="AD410" s="49" t="n">
        <f aca="false">+AD406/AD502*100</f>
        <v>77.5457227909773</v>
      </c>
      <c r="AE410" s="49" t="n">
        <f aca="false">+AE406/AE502*100</f>
        <v>77.5075397829889</v>
      </c>
      <c r="AF410" s="49" t="n">
        <f aca="false">+AF406/AF502*100</f>
        <v>78.5954237671722</v>
      </c>
      <c r="AG410" s="49" t="n">
        <f aca="false">+AG406/AG502*100</f>
        <v>74.0817050472763</v>
      </c>
      <c r="AH410" s="49" t="n">
        <f aca="false">+AH406/AH502*100</f>
        <v>70.6845503053462</v>
      </c>
      <c r="AI410" s="49" t="n">
        <f aca="false">+AI406/AI502*100</f>
        <v>71.6432579067481</v>
      </c>
      <c r="AJ410" s="37" t="n">
        <v>72.5</v>
      </c>
      <c r="AK410" s="37" t="n">
        <v>72</v>
      </c>
      <c r="AL410" s="37" t="n">
        <v>72</v>
      </c>
      <c r="AM410" s="36"/>
      <c r="AN410" s="36"/>
      <c r="AO410" s="36"/>
      <c r="AP410" s="36"/>
      <c r="AQ410" s="36"/>
      <c r="AR410" s="36"/>
      <c r="AS410" s="36"/>
      <c r="AT410" s="36"/>
      <c r="AU410" s="36"/>
      <c r="AV410" s="36"/>
      <c r="AW410" s="36"/>
      <c r="AX410" s="36"/>
      <c r="AY410" s="36"/>
    </row>
    <row r="411" customFormat="false" ht="15" hidden="false" customHeight="true" outlineLevel="0" collapsed="false">
      <c r="A411" s="29" t="s">
        <v>489</v>
      </c>
      <c r="B411" s="36"/>
      <c r="C411" s="49" t="n">
        <f aca="false">(100*C406)/B406-100</f>
        <v>34.6736171060495</v>
      </c>
      <c r="D411" s="49" t="n">
        <f aca="false">(100*D406)/C406-100</f>
        <v>40.1752915362047</v>
      </c>
      <c r="E411" s="49" t="n">
        <f aca="false">(100*E406)/D406-100</f>
        <v>37.7548741128983</v>
      </c>
      <c r="F411" s="49" t="n">
        <f aca="false">(100*F406)/E406-100</f>
        <v>36.4638048277253</v>
      </c>
      <c r="G411" s="49" t="n">
        <f aca="false">(100*G406)/F406-100</f>
        <v>-25.1982560206583</v>
      </c>
      <c r="H411" s="49" t="n">
        <f aca="false">(100*H406)/G406-100</f>
        <v>-10.7378898706185</v>
      </c>
      <c r="I411" s="49" t="n">
        <f aca="false">(100*I406)/H406-100</f>
        <v>44.0741711238189</v>
      </c>
      <c r="J411" s="49" t="n">
        <f aca="false">(100*J406)/I406-100</f>
        <v>-0.180026668456236</v>
      </c>
      <c r="K411" s="49" t="n">
        <f aca="false">(100*K406)/J406-100</f>
        <v>7.00534915670399</v>
      </c>
      <c r="L411" s="49" t="n">
        <f aca="false">(100*L406)/K406-100</f>
        <v>8.08848435843923</v>
      </c>
      <c r="M411" s="49" t="n">
        <f aca="false">(100*M406)/L406-100</f>
        <v>49.589994760155</v>
      </c>
      <c r="N411" s="49" t="n">
        <f aca="false">(100*N406)/M406-100</f>
        <v>29.1726736197148</v>
      </c>
      <c r="O411" s="49" t="n">
        <f aca="false">(100*O406)/N406-100</f>
        <v>37.3940869625874</v>
      </c>
      <c r="P411" s="49" t="n">
        <f aca="false">(100*P406)/O406-100</f>
        <v>31.6412975532053</v>
      </c>
      <c r="Q411" s="49" t="n">
        <f aca="false">(100*Q406)/P406-100</f>
        <v>9.21919879208491</v>
      </c>
      <c r="R411" s="49" t="n">
        <f aca="false">(100*R406)/Q406-100</f>
        <v>-23.5335162025527</v>
      </c>
      <c r="S411" s="49" t="n">
        <f aca="false">(100*S406)/R406-100</f>
        <v>22.631590097167</v>
      </c>
      <c r="T411" s="49" t="n">
        <f aca="false">(100*T406)/S406-100</f>
        <v>48.2037333505048</v>
      </c>
      <c r="U411" s="49" t="n">
        <f aca="false">(100*U406)/T406-100</f>
        <v>15.5937566355507</v>
      </c>
      <c r="V411" s="49" t="n">
        <f aca="false">(100*V406)/U406-100</f>
        <v>-18.4085442144864</v>
      </c>
      <c r="W411" s="49" t="n">
        <f aca="false">(100*W406)/V406-100</f>
        <v>-23.2739683739279</v>
      </c>
      <c r="X411" s="49" t="n">
        <f aca="false">(100*X406)/W406-100</f>
        <v>32.8585748498103</v>
      </c>
      <c r="Y411" s="49" t="n">
        <f aca="false">(100*Y406)/X406-100</f>
        <v>45.774940228762</v>
      </c>
      <c r="Z411" s="49" t="n">
        <f aca="false">(100*Z406)/Y406-100</f>
        <v>7.65706344291746</v>
      </c>
      <c r="AA411" s="49" t="n">
        <f aca="false">(100*AA406)/Z406-100</f>
        <v>18.3311726178131</v>
      </c>
      <c r="AB411" s="49" t="n">
        <f aca="false">(100*AB406)/AA406-100</f>
        <v>92.4649473715922</v>
      </c>
      <c r="AC411" s="49" t="n">
        <f aca="false">(100*AC406)/AB406-100</f>
        <v>-48.3432439689311</v>
      </c>
      <c r="AD411" s="49" t="n">
        <f aca="false">(100*AD406)/AC406-100</f>
        <v>6.15458664051934</v>
      </c>
      <c r="AE411" s="49" t="n">
        <f aca="false">(100*AE406)/AD406-100</f>
        <v>41.6703046279925</v>
      </c>
      <c r="AF411" s="49" t="n">
        <f aca="false">(100*AF406)/AE406-100</f>
        <v>68.9919012781632</v>
      </c>
      <c r="AG411" s="49" t="n">
        <f aca="false">(100*AG406)/AF406-100</f>
        <v>0.0538939524719382</v>
      </c>
      <c r="AH411" s="49" t="n">
        <f aca="false">(100*AH406)/AG406-100</f>
        <v>-3.62647086245445</v>
      </c>
      <c r="AI411" s="49" t="n">
        <f aca="false">(100*AI406)/AH406-100</f>
        <v>15.0987142325187</v>
      </c>
      <c r="AJ411" s="49" t="n">
        <f aca="false">(100*AJ406)/AI406-100</f>
        <v>10.3363218833052</v>
      </c>
      <c r="AK411" s="49" t="n">
        <f aca="false">(100*AK406)/AJ406-100</f>
        <v>7.27787595819723</v>
      </c>
      <c r="AL411" s="49" t="n">
        <f aca="false">(100*AL406)/AK406-100</f>
        <v>7.50527852254074</v>
      </c>
      <c r="AM411" s="36"/>
      <c r="AN411" s="36"/>
      <c r="AO411" s="36"/>
      <c r="AP411" s="36"/>
      <c r="AQ411" s="36"/>
      <c r="AR411" s="36"/>
      <c r="AS411" s="36"/>
      <c r="AT411" s="36"/>
      <c r="AU411" s="36"/>
      <c r="AV411" s="36"/>
      <c r="AW411" s="36"/>
      <c r="AX411" s="36"/>
      <c r="AY411" s="36"/>
    </row>
    <row r="412" customFormat="false" ht="15" hidden="false" customHeight="true" outlineLevel="0" collapsed="false">
      <c r="A412" s="70" t="s">
        <v>525</v>
      </c>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c r="AQ412" s="86"/>
      <c r="AR412" s="86"/>
      <c r="AS412" s="86"/>
      <c r="AT412" s="86"/>
      <c r="AU412" s="86"/>
      <c r="AV412" s="86"/>
      <c r="AW412" s="86"/>
      <c r="AX412" s="86"/>
      <c r="AY412" s="86"/>
    </row>
    <row r="413" customFormat="false" ht="15" hidden="false" customHeight="true" outlineLevel="0" collapsed="false">
      <c r="A413" s="47" t="s">
        <v>462</v>
      </c>
      <c r="B413" s="34" t="n">
        <v>750.43</v>
      </c>
      <c r="C413" s="34" t="n">
        <v>1276.87</v>
      </c>
      <c r="D413" s="34" t="n">
        <v>1444.4</v>
      </c>
      <c r="E413" s="34" t="n">
        <v>1818.36</v>
      </c>
      <c r="F413" s="34" t="n">
        <v>2156.7</v>
      </c>
      <c r="G413" s="34" t="n">
        <v>1999.78</v>
      </c>
      <c r="H413" s="34" t="n">
        <v>1689.01</v>
      </c>
      <c r="I413" s="34" t="n">
        <v>2487.32</v>
      </c>
      <c r="J413" s="34" t="n">
        <v>2545.27</v>
      </c>
      <c r="K413" s="34" t="n">
        <v>2183.23</v>
      </c>
      <c r="L413" s="34" t="n">
        <v>2194.21</v>
      </c>
      <c r="M413" s="34" t="n">
        <v>2913.13</v>
      </c>
      <c r="N413" s="34" t="n">
        <v>3523.47</v>
      </c>
      <c r="O413" s="34" t="n">
        <v>4749</v>
      </c>
      <c r="P413" s="34" t="n">
        <v>5397.4</v>
      </c>
      <c r="Q413" s="34" t="n">
        <v>5411.06</v>
      </c>
      <c r="R413" s="34" t="n">
        <v>3632.002</v>
      </c>
      <c r="S413" s="34" t="n">
        <v>3753.625</v>
      </c>
      <c r="T413" s="34" t="n">
        <v>6933.737</v>
      </c>
      <c r="U413" s="34" t="n">
        <v>6531.266</v>
      </c>
      <c r="V413" s="34" t="n">
        <v>4878.784</v>
      </c>
      <c r="W413" s="34" t="n">
        <v>3359.308</v>
      </c>
      <c r="X413" s="34" t="n">
        <v>8392.646</v>
      </c>
      <c r="Y413" s="34" t="n">
        <v>11004.148</v>
      </c>
      <c r="Z413" s="34" t="n">
        <v>11755.832</v>
      </c>
      <c r="AA413" s="34" t="n">
        <v>14101.837</v>
      </c>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row>
    <row r="414" customFormat="false" ht="15" hidden="false" customHeight="true" outlineLevel="0" collapsed="false">
      <c r="A414" s="47" t="s">
        <v>524</v>
      </c>
      <c r="B414" s="35" t="n">
        <f aca="false">(+B413/B504)*1000000</f>
        <v>36479.9961110301</v>
      </c>
      <c r="C414" s="35" t="n">
        <f aca="false">(+C413/C504)*1000000</f>
        <v>52706.5962189383</v>
      </c>
      <c r="D414" s="35" t="n">
        <f aca="false">(+D413/D504)*1000000</f>
        <v>47497.5337060178</v>
      </c>
      <c r="E414" s="35" t="n">
        <f aca="false">(+E413/E504)*1000000</f>
        <v>48620.5513516404</v>
      </c>
      <c r="F414" s="35" t="n">
        <f aca="false">(+F413/F504)*1000000</f>
        <v>49748.5698468352</v>
      </c>
      <c r="G414" s="35" t="n">
        <f aca="false">(+G413/G504)*1000000</f>
        <v>63390.4967191809</v>
      </c>
      <c r="H414" s="35" t="n">
        <f aca="false">(+H413/H504)*1000000</f>
        <v>56790.6257355166</v>
      </c>
      <c r="I414" s="35" t="n">
        <f aca="false">(+I413/I504)*1000000</f>
        <v>65699.5694550833</v>
      </c>
      <c r="J414" s="35" t="n">
        <f aca="false">(+J413/J504)*1000000</f>
        <v>78376.2894534257</v>
      </c>
      <c r="K414" s="35" t="n">
        <f aca="false">(+K413/K504)*1000000</f>
        <v>73576.3151686719</v>
      </c>
      <c r="L414" s="35" t="n">
        <f aca="false">(+L413/L504)*1000000</f>
        <v>60207.7159477555</v>
      </c>
      <c r="M414" s="35" t="n">
        <f aca="false">(+M413/M504)*1000000</f>
        <v>59874.4193694249</v>
      </c>
      <c r="N414" s="35" t="n">
        <f aca="false">(+N413/N504)*1000000</f>
        <v>64367.373036171</v>
      </c>
      <c r="O414" s="35" t="n">
        <f aca="false">(+O413/O504)*1000000</f>
        <v>77025.3831806017</v>
      </c>
      <c r="P414" s="35" t="n">
        <f aca="false">(+P413/P504)*1000000</f>
        <v>64957.6969828261</v>
      </c>
      <c r="Q414" s="35" t="n">
        <f aca="false">(+Q413/Q504)*1000000</f>
        <v>64951.6858922806</v>
      </c>
      <c r="R414" s="35" t="n">
        <f aca="false">(+R413/R504)*1000000</f>
        <v>66726.7182304202</v>
      </c>
      <c r="S414" s="35" t="n">
        <f aca="false">(+S413/S504)*1000000</f>
        <v>58718.2836404593</v>
      </c>
      <c r="T414" s="35" t="n">
        <f aca="false">(+T413/T504)*1000000</f>
        <v>73680.0735340999</v>
      </c>
      <c r="U414" s="35" t="n">
        <f aca="false">(+U413/U504)*1000000</f>
        <v>66111.2843145194</v>
      </c>
      <c r="V414" s="35" t="n">
        <f aca="false">(+V413/V504)*1000000</f>
        <v>54529.3680304046</v>
      </c>
      <c r="W414" s="35" t="n">
        <f aca="false">(+W413/W504)*1000000</f>
        <v>48666.5797441581</v>
      </c>
      <c r="X414" s="35" t="n">
        <f aca="false">(+X413/X504)*1000000</f>
        <v>96922.2845198432</v>
      </c>
      <c r="Y414" s="35" t="n">
        <f aca="false">(+Y413/Y504)*1000000</f>
        <v>91678.8866047234</v>
      </c>
      <c r="Z414" s="35" t="n">
        <f aca="false">(+Z413/Z504)*1000000</f>
        <v>96186.8125799029</v>
      </c>
      <c r="AA414" s="35" t="n">
        <f aca="false">(+AA413/AA504)*1000000</f>
        <v>97271.3223210329</v>
      </c>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row>
    <row r="415" customFormat="false" ht="15" hidden="false" customHeight="true" outlineLevel="0" collapsed="false">
      <c r="A415" s="47" t="s">
        <v>489</v>
      </c>
      <c r="B415" s="36"/>
      <c r="C415" s="74" t="n">
        <f aca="false">(100*C414)/B414-100</f>
        <v>44.4808164412111</v>
      </c>
      <c r="D415" s="74" t="n">
        <f aca="false">(100*D414)/C414-100</f>
        <v>-9.88313206810511</v>
      </c>
      <c r="E415" s="74" t="n">
        <f aca="false">(100*E414)/D414-100</f>
        <v>2.36437043778628</v>
      </c>
      <c r="F415" s="74" t="n">
        <f aca="false">(100*F414)/E414-100</f>
        <v>2.3200446392238</v>
      </c>
      <c r="G415" s="74" t="n">
        <f aca="false">(100*G414)/F414-100</f>
        <v>27.4217468247754</v>
      </c>
      <c r="H415" s="74" t="n">
        <f aca="false">(100*H414)/G414-100</f>
        <v>-10.411451755776</v>
      </c>
      <c r="I415" s="74" t="n">
        <f aca="false">(100*I414)/H414-100</f>
        <v>15.6873491076805</v>
      </c>
      <c r="J415" s="74" t="n">
        <f aca="false">(100*J414)/I414-100</f>
        <v>19.2949818446056</v>
      </c>
      <c r="K415" s="74" t="n">
        <f aca="false">(100*K414)/J414-100</f>
        <v>-6.12426834470926</v>
      </c>
      <c r="L415" s="74" t="n">
        <f aca="false">(100*L414)/K414-100</f>
        <v>-18.1697047348311</v>
      </c>
      <c r="M415" s="74" t="n">
        <f aca="false">(100*M414)/L414-100</f>
        <v>-0.553577848094676</v>
      </c>
      <c r="N415" s="74" t="n">
        <f aca="false">(100*N414)/M414-100</f>
        <v>7.50396198253642</v>
      </c>
      <c r="O415" s="74" t="n">
        <f aca="false">(100*O414)/N414-100</f>
        <v>19.6652582626257</v>
      </c>
      <c r="P415" s="74" t="n">
        <f aca="false">(100*P414)/O414-100</f>
        <v>-15.6671550331408</v>
      </c>
      <c r="Q415" s="74" t="n">
        <f aca="false">(100*Q414)/P414-100</f>
        <v>-0.00925385416157099</v>
      </c>
      <c r="R415" s="74" t="n">
        <f aca="false">(100*R414)/Q414-100</f>
        <v>2.73285029288296</v>
      </c>
      <c r="S415" s="74" t="n">
        <f aca="false">(100*S414)/R414-100</f>
        <v>-12.0018409451911</v>
      </c>
      <c r="T415" s="74" t="n">
        <f aca="false">(100*T414)/S414-100</f>
        <v>25.4806322086215</v>
      </c>
      <c r="U415" s="74" t="n">
        <f aca="false">(100*U414)/T414-100</f>
        <v>-10.2725049752801</v>
      </c>
      <c r="V415" s="74" t="n">
        <f aca="false">(100*V414)/U414-100</f>
        <v>-17.5188190703039</v>
      </c>
      <c r="W415" s="74" t="n">
        <f aca="false">(100*W414)/V414-100</f>
        <v>-10.7516160520648</v>
      </c>
      <c r="X415" s="74" t="n">
        <f aca="false">(100*X414)/W414-100</f>
        <v>99.1557348582272</v>
      </c>
      <c r="Y415" s="74" t="n">
        <f aca="false">(100*Y414)/X414-100</f>
        <v>-5.40989922090235</v>
      </c>
      <c r="Z415" s="74" t="n">
        <f aca="false">(100*Z414)/Y414-100</f>
        <v>4.91708193906794</v>
      </c>
      <c r="AA415" s="74" t="n">
        <f aca="false">(100*AA414)/Z414-100</f>
        <v>1.12750356524094</v>
      </c>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row>
    <row r="416" customFormat="false" ht="15" hidden="false" customHeight="true" outlineLevel="0" collapsed="false">
      <c r="A416" s="29" t="s">
        <v>513</v>
      </c>
      <c r="B416" s="49" t="n">
        <f aca="false">+B413/B434*100</f>
        <v>12.5903891388746</v>
      </c>
      <c r="C416" s="49" t="n">
        <f aca="false">+C413/C434*100</f>
        <v>16.7586715595945</v>
      </c>
      <c r="D416" s="49" t="n">
        <f aca="false">+D413/D434*100</f>
        <v>14.7609772249281</v>
      </c>
      <c r="E416" s="49" t="n">
        <f aca="false">+E413/E434*100</f>
        <v>13.9508120250911</v>
      </c>
      <c r="F416" s="49" t="n">
        <f aca="false">+F413/F434*100</f>
        <v>13.7289414131255</v>
      </c>
      <c r="G416" s="49" t="n">
        <f aca="false">+G413/G434*100</f>
        <v>16.0845044140736</v>
      </c>
      <c r="H416" s="49" t="n">
        <f aca="false">+H413/H434*100</f>
        <v>13.1959267095226</v>
      </c>
      <c r="I416" s="49" t="n">
        <f aca="false">+I413/I434*100</f>
        <v>15.9297260913533</v>
      </c>
      <c r="J416" s="49" t="n">
        <f aca="false">+J413/J434*100</f>
        <v>16.8730439786196</v>
      </c>
      <c r="K416" s="49" t="n">
        <f aca="false">+K413/K434*100</f>
        <v>14.6475760580635</v>
      </c>
      <c r="L416" s="49" t="n">
        <f aca="false">+L413/L434*100</f>
        <v>11.9376407734242</v>
      </c>
      <c r="M416" s="49" t="n">
        <f aca="false">+M413/M434*100</f>
        <v>12.1918738697491</v>
      </c>
      <c r="N416" s="49" t="n">
        <f aca="false">+N413/N434*100</f>
        <v>11.6121881721103</v>
      </c>
      <c r="O416" s="49" t="n">
        <f aca="false">+O413/O434*100</f>
        <v>12.2771201169752</v>
      </c>
      <c r="P416" s="49" t="n">
        <f aca="false">+P413/P434*100</f>
        <v>9.87935342529341</v>
      </c>
      <c r="Q416" s="49" t="n">
        <f aca="false">+Q413/Q434*100</f>
        <v>9.38549048053664</v>
      </c>
      <c r="R416" s="49" t="n">
        <f aca="false">+R413/R434*100</f>
        <v>8.1573232351477</v>
      </c>
      <c r="S416" s="49" t="n">
        <f aca="false">+S413/S434*100</f>
        <v>7.19179389899831</v>
      </c>
      <c r="T416" s="49" t="n">
        <f aca="false">+T413/T434*100</f>
        <v>8.53545688061288</v>
      </c>
      <c r="U416" s="49" t="n">
        <f aca="false">+U413/U434*100</f>
        <v>6.90109550085812</v>
      </c>
      <c r="V416" s="49" t="n">
        <f aca="false">+V413/V434*100</f>
        <v>5.34752915458606</v>
      </c>
      <c r="W416" s="49" t="n">
        <f aca="false">+W413/W434*100</f>
        <v>4.41841369159143</v>
      </c>
      <c r="X416" s="49" t="n">
        <f aca="false">+X413/X434*100</f>
        <v>8.42194611898688</v>
      </c>
      <c r="Y416" s="49" t="n">
        <f aca="false">+Y413/Y434*100</f>
        <v>8.33972294242689</v>
      </c>
      <c r="Z416" s="49" t="n">
        <f aca="false">+Z413/Z434*100</f>
        <v>8.42273349177603</v>
      </c>
      <c r="AA416" s="49" t="n">
        <f aca="false">+AA413/AA434*100</f>
        <v>7.57297082352799</v>
      </c>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row>
    <row r="417" customFormat="false" ht="15" hidden="false" customHeight="true" outlineLevel="0" collapsed="false">
      <c r="A417" s="29" t="s">
        <v>229</v>
      </c>
      <c r="B417" s="49" t="n">
        <f aca="false">+B413/B502*100</f>
        <v>7.86254095346262</v>
      </c>
      <c r="C417" s="49" t="n">
        <f aca="false">+C413/C502*100</f>
        <v>10.8090788575918</v>
      </c>
      <c r="D417" s="49" t="n">
        <f aca="false">+D413/D502*100</f>
        <v>9.54475408579442</v>
      </c>
      <c r="E417" s="49" t="n">
        <f aca="false">+E413/E502*100</f>
        <v>9.0479085954037</v>
      </c>
      <c r="F417" s="49" t="n">
        <f aca="false">+F413/F502*100</f>
        <v>8.68778477399957</v>
      </c>
      <c r="G417" s="49" t="n">
        <f aca="false">+G413/G502*100</f>
        <v>9.92801320340028</v>
      </c>
      <c r="H417" s="49" t="n">
        <f aca="false">+H413/H502*100</f>
        <v>8.25902440400875</v>
      </c>
      <c r="I417" s="49" t="n">
        <f aca="false">+I413/I502*100</f>
        <v>9.57133478892285</v>
      </c>
      <c r="J417" s="49" t="n">
        <f aca="false">+J413/J502*100</f>
        <v>9.76447665079836</v>
      </c>
      <c r="K417" s="49" t="n">
        <f aca="false">+K413/K502*100</f>
        <v>8.29984093964222</v>
      </c>
      <c r="L417" s="49" t="n">
        <f aca="false">+L413/L502*100</f>
        <v>7.13797517562651</v>
      </c>
      <c r="M417" s="49" t="n">
        <f aca="false">+M413/M502*100</f>
        <v>7.41769161451216</v>
      </c>
      <c r="N417" s="49" t="n">
        <f aca="false">+N413/N502*100</f>
        <v>7.32334957709816</v>
      </c>
      <c r="O417" s="49" t="n">
        <f aca="false">+O413/O502*100</f>
        <v>7.84555636542418</v>
      </c>
      <c r="P417" s="49" t="n">
        <f aca="false">+P413/P502*100</f>
        <v>6.49919798591572</v>
      </c>
      <c r="Q417" s="49" t="n">
        <f aca="false">+Q413/Q502*100</f>
        <v>6.05691489183081</v>
      </c>
      <c r="R417" s="49" t="n">
        <f aca="false">+R413/R502*100</f>
        <v>5.44802471037847</v>
      </c>
      <c r="S417" s="49" t="n">
        <f aca="false">+S413/S502*100</f>
        <v>4.76796260405746</v>
      </c>
      <c r="T417" s="49" t="n">
        <f aca="false">+T413/T502*100</f>
        <v>5.73339047206331</v>
      </c>
      <c r="U417" s="49" t="n">
        <f aca="false">+U413/U502*100</f>
        <v>4.78589309540189</v>
      </c>
      <c r="V417" s="49" t="n">
        <f aca="false">+V413/V502*100</f>
        <v>3.668656157924</v>
      </c>
      <c r="W417" s="49" t="n">
        <f aca="false">+W413/W502*100</f>
        <v>3.18090825551625</v>
      </c>
      <c r="X417" s="49" t="n">
        <f aca="false">+X413/X502*100</f>
        <v>5.79365216608236</v>
      </c>
      <c r="Y417" s="49" t="n">
        <f aca="false">+Y413/Y502*100</f>
        <v>5.50400750279566</v>
      </c>
      <c r="Z417" s="49" t="n">
        <f aca="false">+Z413/Z502*100</f>
        <v>5.51097616641728</v>
      </c>
      <c r="AA417" s="49" t="n">
        <f aca="false">+AA413/AA502*100</f>
        <v>5.31653025441724</v>
      </c>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row>
    <row r="418" customFormat="false" ht="15" hidden="false" customHeight="true" outlineLevel="0" collapsed="false">
      <c r="A418" s="29" t="s">
        <v>489</v>
      </c>
      <c r="B418" s="36"/>
      <c r="C418" s="49" t="n">
        <f aca="false">(100*C413)/B413-100</f>
        <v>70.1517796463361</v>
      </c>
      <c r="D418" s="49" t="n">
        <f aca="false">(100*D413)/C413-100</f>
        <v>13.1203646416628</v>
      </c>
      <c r="E418" s="49" t="n">
        <f aca="false">(100*E413)/D413-100</f>
        <v>25.8903350872334</v>
      </c>
      <c r="F418" s="49" t="n">
        <f aca="false">(100*F413)/E413-100</f>
        <v>18.6068765261004</v>
      </c>
      <c r="G418" s="49" t="n">
        <f aca="false">(100*G413)/F413-100</f>
        <v>-7.27593082023461</v>
      </c>
      <c r="H418" s="49" t="n">
        <f aca="false">(100*H413)/G413-100</f>
        <v>-15.5402094230365</v>
      </c>
      <c r="I418" s="49" t="n">
        <f aca="false">(100*I413)/H413-100</f>
        <v>47.2649658675793</v>
      </c>
      <c r="J418" s="49" t="n">
        <f aca="false">(100*J413)/I413-100</f>
        <v>2.32981683096665</v>
      </c>
      <c r="K418" s="49" t="n">
        <f aca="false">(100*K413)/J413-100</f>
        <v>-14.2240312422651</v>
      </c>
      <c r="L418" s="49" t="n">
        <f aca="false">(100*L413)/K413-100</f>
        <v>0.502924565895484</v>
      </c>
      <c r="M418" s="49" t="n">
        <f aca="false">(100*M413)/L413-100</f>
        <v>32.7644117928548</v>
      </c>
      <c r="N418" s="49" t="n">
        <f aca="false">(100*N413)/M413-100</f>
        <v>20.9513478629515</v>
      </c>
      <c r="O418" s="49" t="n">
        <f aca="false">(100*O413)/N413-100</f>
        <v>34.7819053376359</v>
      </c>
      <c r="P418" s="49" t="n">
        <f aca="false">(100*P413)/O413-100</f>
        <v>13.6534007159402</v>
      </c>
      <c r="Q418" s="49" t="n">
        <f aca="false">(100*Q413)/P413-100</f>
        <v>0.253084818616372</v>
      </c>
      <c r="R418" s="49" t="n">
        <f aca="false">(100*R413)/Q413-100</f>
        <v>-32.878179136805</v>
      </c>
      <c r="S418" s="49" t="n">
        <f aca="false">(100*S413)/R413-100</f>
        <v>3.34864903708754</v>
      </c>
      <c r="T418" s="49" t="n">
        <f aca="false">(100*T413)/S413-100</f>
        <v>84.7210896133737</v>
      </c>
      <c r="U418" s="49" t="n">
        <f aca="false">(100*U413)/T413-100</f>
        <v>-5.80453224574281</v>
      </c>
      <c r="V418" s="49" t="n">
        <f aca="false">(100*V413)/U413-100</f>
        <v>-25.3010978269757</v>
      </c>
      <c r="W418" s="49" t="n">
        <f aca="false">(100*W413)/V413-100</f>
        <v>-31.1445638913303</v>
      </c>
      <c r="X418" s="49" t="n">
        <f aca="false">(100*X413)/W413-100</f>
        <v>149.832584568012</v>
      </c>
      <c r="Y418" s="49" t="n">
        <f aca="false">(100*Y413)/X413-100</f>
        <v>31.116551323623</v>
      </c>
      <c r="Z418" s="49" t="n">
        <f aca="false">(100*Z413)/Y413-100</f>
        <v>6.83091503313115</v>
      </c>
      <c r="AA418" s="49" t="n">
        <f aca="false">(100*AA413)/Z413-100</f>
        <v>19.956094983324</v>
      </c>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row>
    <row r="419" customFormat="false" ht="15" hidden="false" customHeight="true" outlineLevel="0" collapsed="false">
      <c r="A419" s="70" t="s">
        <v>526</v>
      </c>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c r="AQ419" s="86"/>
      <c r="AR419" s="86"/>
      <c r="AS419" s="86"/>
      <c r="AT419" s="86"/>
      <c r="AU419" s="86"/>
      <c r="AV419" s="86"/>
      <c r="AW419" s="86"/>
      <c r="AX419" s="86"/>
      <c r="AY419" s="86"/>
    </row>
    <row r="420" customFormat="false" ht="15" hidden="false" customHeight="true" outlineLevel="0" collapsed="false">
      <c r="A420" s="29" t="s">
        <v>527</v>
      </c>
      <c r="B420" s="36"/>
      <c r="C420" s="36"/>
      <c r="D420" s="36"/>
      <c r="E420" s="36"/>
      <c r="F420" s="36"/>
      <c r="G420" s="36"/>
      <c r="H420" s="36"/>
      <c r="I420" s="36"/>
      <c r="J420" s="36"/>
      <c r="K420" s="36"/>
      <c r="L420" s="36"/>
      <c r="M420" s="36"/>
      <c r="N420" s="36"/>
      <c r="O420" s="36"/>
      <c r="P420" s="36"/>
      <c r="Q420" s="36"/>
      <c r="R420" s="36"/>
      <c r="S420" s="36"/>
      <c r="T420" s="37" t="n">
        <v>159.258</v>
      </c>
      <c r="U420" s="37" t="n">
        <v>157.01</v>
      </c>
      <c r="V420" s="37" t="n">
        <v>246.062</v>
      </c>
      <c r="W420" s="37" t="n">
        <v>37.118</v>
      </c>
      <c r="X420" s="37" t="n">
        <v>44.873</v>
      </c>
      <c r="Y420" s="37" t="n">
        <v>5.101</v>
      </c>
      <c r="Z420" s="37" t="n">
        <v>0</v>
      </c>
      <c r="AA420" s="37" t="n">
        <v>0</v>
      </c>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row>
    <row r="421" customFormat="false" ht="15" hidden="false" customHeight="true" outlineLevel="0" collapsed="false">
      <c r="A421" s="29" t="s">
        <v>409</v>
      </c>
      <c r="B421" s="30"/>
      <c r="C421" s="30"/>
      <c r="D421" s="30"/>
      <c r="E421" s="30"/>
      <c r="F421" s="30"/>
      <c r="G421" s="30"/>
      <c r="H421" s="30"/>
      <c r="I421" s="30"/>
      <c r="J421" s="30"/>
      <c r="K421" s="30"/>
      <c r="L421" s="30"/>
      <c r="M421" s="30"/>
      <c r="N421" s="30"/>
      <c r="O421" s="30"/>
      <c r="P421" s="30"/>
      <c r="Q421" s="30"/>
      <c r="R421" s="30"/>
      <c r="S421" s="30"/>
      <c r="T421" s="62" t="n">
        <v>0</v>
      </c>
      <c r="U421" s="62" t="n">
        <v>1565.863</v>
      </c>
      <c r="V421" s="62" t="n">
        <v>8906.365</v>
      </c>
      <c r="W421" s="62" t="n">
        <v>10007.618</v>
      </c>
      <c r="X421" s="62" t="n">
        <v>9384.097</v>
      </c>
      <c r="Y421" s="62" t="n">
        <v>10484.686</v>
      </c>
      <c r="Z421" s="62" t="n">
        <v>10234.616</v>
      </c>
      <c r="AA421" s="62" t="n">
        <v>13284.342</v>
      </c>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row>
    <row r="422" customFormat="false" ht="15" hidden="false" customHeight="true" outlineLevel="0" collapsed="false">
      <c r="A422" s="29" t="s">
        <v>528</v>
      </c>
      <c r="B422" s="30"/>
      <c r="C422" s="30"/>
      <c r="D422" s="30"/>
      <c r="E422" s="30"/>
      <c r="F422" s="30"/>
      <c r="G422" s="30"/>
      <c r="H422" s="30"/>
      <c r="I422" s="30"/>
      <c r="J422" s="30"/>
      <c r="K422" s="30"/>
      <c r="L422" s="30"/>
      <c r="M422" s="30"/>
      <c r="N422" s="30"/>
      <c r="O422" s="30"/>
      <c r="P422" s="30"/>
      <c r="Q422" s="30"/>
      <c r="R422" s="30"/>
      <c r="S422" s="30"/>
      <c r="T422" s="30"/>
      <c r="U422" s="31" t="n">
        <f aca="false">+U421/U255*1000000</f>
        <v>489638.211382114</v>
      </c>
      <c r="V422" s="31" t="n">
        <f aca="false">+V421/V255*1000000</f>
        <v>354267.302141905</v>
      </c>
      <c r="W422" s="31" t="n">
        <f aca="false">+W421/W255*1000000</f>
        <v>492743.37764648</v>
      </c>
      <c r="X422" s="31" t="n">
        <f aca="false">+X421/X255*1000000</f>
        <v>512498.129488545</v>
      </c>
      <c r="Y422" s="31" t="n">
        <f aca="false">+Y421/Y255*1000000</f>
        <v>513257.015579298</v>
      </c>
      <c r="Z422" s="31" t="n">
        <f aca="false">+Z421/Z255*1000000</f>
        <v>447958.331965554</v>
      </c>
      <c r="AA422" s="31" t="n">
        <f aca="false">+AA421/AA255*1000000</f>
        <v>444310.949454409</v>
      </c>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row>
    <row r="423" customFormat="false" ht="15" hidden="false" customHeight="true" outlineLevel="0" collapsed="false">
      <c r="A423" s="29" t="s">
        <v>529</v>
      </c>
      <c r="B423" s="30"/>
      <c r="C423" s="30"/>
      <c r="D423" s="30"/>
      <c r="E423" s="30"/>
      <c r="F423" s="30"/>
      <c r="G423" s="30"/>
      <c r="H423" s="30"/>
      <c r="I423" s="30"/>
      <c r="J423" s="30"/>
      <c r="K423" s="30"/>
      <c r="L423" s="30"/>
      <c r="M423" s="30"/>
      <c r="N423" s="30"/>
      <c r="O423" s="30"/>
      <c r="P423" s="30"/>
      <c r="Q423" s="30"/>
      <c r="R423" s="30"/>
      <c r="S423" s="30"/>
      <c r="T423" s="62" t="n">
        <v>2574.439</v>
      </c>
      <c r="U423" s="62" t="n">
        <v>3350.864</v>
      </c>
      <c r="V423" s="62" t="n">
        <v>3964.967</v>
      </c>
      <c r="W423" s="62" t="n">
        <v>2645.54</v>
      </c>
      <c r="X423" s="62" t="n">
        <v>4482.902</v>
      </c>
      <c r="Y423" s="62" t="n">
        <v>4822.468</v>
      </c>
      <c r="Z423" s="62" t="n">
        <v>5841.823</v>
      </c>
      <c r="AA423" s="62" t="n">
        <v>6664.814</v>
      </c>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row>
    <row r="424" customFormat="false" ht="15" hidden="false" customHeight="true" outlineLevel="0" collapsed="false">
      <c r="A424" s="47" t="s">
        <v>462</v>
      </c>
      <c r="B424" s="34" t="n">
        <v>479.2</v>
      </c>
      <c r="C424" s="34" t="n">
        <v>598.84</v>
      </c>
      <c r="D424" s="34" t="n">
        <v>665.5</v>
      </c>
      <c r="E424" s="34" t="n">
        <v>827.91</v>
      </c>
      <c r="F424" s="34" t="n">
        <v>691.5</v>
      </c>
      <c r="G424" s="34" t="n">
        <v>940.32</v>
      </c>
      <c r="H424" s="34" t="n">
        <v>535.99</v>
      </c>
      <c r="I424" s="34" t="n">
        <v>711</v>
      </c>
      <c r="J424" s="34" t="n">
        <v>699.39</v>
      </c>
      <c r="K424" s="34" t="n">
        <v>587.04</v>
      </c>
      <c r="L424" s="34" t="n">
        <v>583.33</v>
      </c>
      <c r="M424" s="34" t="n">
        <v>645.12</v>
      </c>
      <c r="N424" s="34" t="n">
        <v>716.66</v>
      </c>
      <c r="O424" s="34" t="n">
        <v>991.72</v>
      </c>
      <c r="P424" s="34" t="n">
        <v>1241.79</v>
      </c>
      <c r="Q424" s="34" t="n">
        <v>1635.27</v>
      </c>
      <c r="R424" s="34" t="n">
        <v>2021.917</v>
      </c>
      <c r="S424" s="34" t="n">
        <v>2448.836</v>
      </c>
      <c r="T424" s="34" t="n">
        <v>2733.697</v>
      </c>
      <c r="U424" s="35" t="n">
        <f aca="false">+U423+U421+U420</f>
        <v>5073.737</v>
      </c>
      <c r="V424" s="35" t="n">
        <f aca="false">+V423+V421+V420</f>
        <v>13117.394</v>
      </c>
      <c r="W424" s="35" t="n">
        <f aca="false">+W423+W421+W420</f>
        <v>12690.276</v>
      </c>
      <c r="X424" s="35" t="n">
        <f aca="false">+X423+X421+X420</f>
        <v>13911.872</v>
      </c>
      <c r="Y424" s="35" t="n">
        <f aca="false">+Y423+Y421+Y420</f>
        <v>15312.255</v>
      </c>
      <c r="Z424" s="35" t="n">
        <f aca="false">+Z423+Z421+Z420</f>
        <v>16076.439</v>
      </c>
      <c r="AA424" s="35" t="n">
        <f aca="false">+AA423+AA421+AA420</f>
        <v>19949.156</v>
      </c>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row>
    <row r="425" customFormat="false" ht="15" hidden="false" customHeight="true" outlineLevel="0" collapsed="false">
      <c r="A425" s="47" t="s">
        <v>489</v>
      </c>
      <c r="B425" s="36"/>
      <c r="C425" s="74" t="n">
        <f aca="false">(100*C424)/B424-100</f>
        <v>24.966611018364</v>
      </c>
      <c r="D425" s="74" t="n">
        <f aca="false">(100*D424)/C424-100</f>
        <v>11.1315209404849</v>
      </c>
      <c r="E425" s="74" t="n">
        <f aca="false">(100*E424)/D424-100</f>
        <v>24.404207362885</v>
      </c>
      <c r="F425" s="74" t="n">
        <f aca="false">(100*F424)/E424-100</f>
        <v>-16.4764285973113</v>
      </c>
      <c r="G425" s="74" t="n">
        <f aca="false">(100*G424)/F424-100</f>
        <v>35.9826464208243</v>
      </c>
      <c r="H425" s="74" t="n">
        <f aca="false">(100*H424)/G424-100</f>
        <v>-42.9991917645057</v>
      </c>
      <c r="I425" s="74" t="n">
        <f aca="false">(100*I424)/H424-100</f>
        <v>32.6517285770257</v>
      </c>
      <c r="J425" s="74" t="n">
        <f aca="false">(100*J424)/I424-100</f>
        <v>-1.63291139240506</v>
      </c>
      <c r="K425" s="74" t="n">
        <f aca="false">(100*K424)/J424-100</f>
        <v>-16.0639986273753</v>
      </c>
      <c r="L425" s="74" t="n">
        <f aca="false">(100*L424)/K424-100</f>
        <v>-0.631984191877876</v>
      </c>
      <c r="M425" s="74" t="n">
        <f aca="false">(100*M424)/L424-100</f>
        <v>10.5926319578969</v>
      </c>
      <c r="N425" s="74" t="n">
        <f aca="false">(100*N424)/M424-100</f>
        <v>11.0894097222222</v>
      </c>
      <c r="O425" s="74" t="n">
        <f aca="false">(100*O424)/N424-100</f>
        <v>38.3808221471828</v>
      </c>
      <c r="P425" s="74" t="n">
        <f aca="false">(100*P424)/O424-100</f>
        <v>25.2157867139918</v>
      </c>
      <c r="Q425" s="74" t="n">
        <f aca="false">(100*Q424)/P424-100</f>
        <v>31.6865170439446</v>
      </c>
      <c r="R425" s="74" t="n">
        <f aca="false">(100*R424)/Q424-100</f>
        <v>23.644230004831</v>
      </c>
      <c r="S425" s="74" t="n">
        <f aca="false">(100*S424)/R424-100</f>
        <v>21.1145660281802</v>
      </c>
      <c r="T425" s="74" t="n">
        <f aca="false">(100*T424)/S424-100</f>
        <v>11.6325062192813</v>
      </c>
      <c r="U425" s="74" t="n">
        <f aca="false">(100*U424)/T424-100</f>
        <v>85.5998305591293</v>
      </c>
      <c r="V425" s="74" t="n">
        <f aca="false">(100*V424)/U424-100</f>
        <v>158.535158602032</v>
      </c>
      <c r="W425" s="74" t="n">
        <f aca="false">(100*W424)/V424-100</f>
        <v>-3.25611931760226</v>
      </c>
      <c r="X425" s="74" t="n">
        <f aca="false">(100*X424)/W424-100</f>
        <v>9.62623665553058</v>
      </c>
      <c r="Y425" s="74" t="n">
        <f aca="false">(100*Y424)/X424-100</f>
        <v>10.0661003781518</v>
      </c>
      <c r="Z425" s="74" t="n">
        <f aca="false">(100*Z424)/Y424-100</f>
        <v>4.99066923846293</v>
      </c>
      <c r="AA425" s="74" t="n">
        <f aca="false">(100*AA424)/Z424-100</f>
        <v>24.0893956677844</v>
      </c>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row>
    <row r="426" customFormat="false" ht="15" hidden="false" customHeight="true" outlineLevel="0" collapsed="false">
      <c r="A426" s="29" t="s">
        <v>513</v>
      </c>
      <c r="B426" s="49" t="n">
        <f aca="false">+B424/B434*100</f>
        <v>8.03980980950751</v>
      </c>
      <c r="C426" s="49" t="n">
        <f aca="false">+C424/C434*100</f>
        <v>7.85965907002872</v>
      </c>
      <c r="D426" s="49" t="n">
        <f aca="false">+D424/D434*100</f>
        <v>6.8010456543822</v>
      </c>
      <c r="E426" s="49" t="n">
        <f aca="false">+E424/E434*100</f>
        <v>6.35188674613015</v>
      </c>
      <c r="F426" s="49" t="n">
        <f aca="false">+F424/F434*100</f>
        <v>4.40189316417502</v>
      </c>
      <c r="G426" s="49" t="n">
        <f aca="false">+G424/G434*100</f>
        <v>7.5631225388001</v>
      </c>
      <c r="H426" s="49" t="n">
        <f aca="false">+H424/H434*100</f>
        <v>4.18759199592483</v>
      </c>
      <c r="I426" s="49" t="n">
        <f aca="false">+I424/I434*100</f>
        <v>4.55350950056775</v>
      </c>
      <c r="J426" s="49" t="n">
        <f aca="false">+J424/J434*100</f>
        <v>4.63637972718287</v>
      </c>
      <c r="K426" s="49" t="n">
        <f aca="false">+K424/K434*100</f>
        <v>3.93852825818883</v>
      </c>
      <c r="L426" s="49" t="n">
        <f aca="false">+L424/L434*100</f>
        <v>3.17361783619686</v>
      </c>
      <c r="M426" s="49" t="n">
        <f aca="false">+M424/M434*100</f>
        <v>2.69992127740695</v>
      </c>
      <c r="N426" s="49" t="n">
        <f aca="false">+N424/N434*100</f>
        <v>2.36187360057687</v>
      </c>
      <c r="O426" s="49" t="n">
        <f aca="false">+O424/O434*100</f>
        <v>2.56379565432862</v>
      </c>
      <c r="P426" s="49" t="n">
        <f aca="false">+P424/P434*100</f>
        <v>2.27296147960038</v>
      </c>
      <c r="Q426" s="49" t="n">
        <f aca="false">+Q424/Q434*100</f>
        <v>2.83637790342505</v>
      </c>
      <c r="R426" s="49" t="n">
        <f aca="false">+R424/R434*100</f>
        <v>4.54114026469152</v>
      </c>
      <c r="S426" s="49" t="n">
        <f aca="false">+S424/S434*100</f>
        <v>4.69187087267573</v>
      </c>
      <c r="T426" s="49" t="n">
        <f aca="false">+T424/T434*100</f>
        <v>3.36519150757532</v>
      </c>
      <c r="U426" s="49" t="n">
        <f aca="false">+U424/U434*100</f>
        <v>5.36103468810448</v>
      </c>
      <c r="V426" s="49" t="n">
        <f aca="false">+V424/V434*100</f>
        <v>14.3776905981475</v>
      </c>
      <c r="W426" s="49" t="n">
        <f aca="false">+W424/W434*100</f>
        <v>16.6912022441747</v>
      </c>
      <c r="X426" s="49" t="n">
        <f aca="false">+X424/X434*100</f>
        <v>13.960440652238</v>
      </c>
      <c r="Y426" s="49" t="n">
        <f aca="false">+Y424/Y434*100</f>
        <v>11.6047116345392</v>
      </c>
      <c r="Z426" s="49" t="n">
        <f aca="false">+Z424/Z434*100</f>
        <v>11.5183307479891</v>
      </c>
      <c r="AA426" s="49" t="n">
        <f aca="false">+AA424/AA434*100</f>
        <v>10.7130990339775</v>
      </c>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row>
    <row r="427" customFormat="false" ht="15" hidden="false" customHeight="true" outlineLevel="0" collapsed="false">
      <c r="A427" s="29" t="s">
        <v>229</v>
      </c>
      <c r="B427" s="49" t="n">
        <f aca="false">+B424/B502*100</f>
        <v>5.0207609302657</v>
      </c>
      <c r="C427" s="49" t="n">
        <f aca="false">+C424/C502*100</f>
        <v>5.06935614673401</v>
      </c>
      <c r="D427" s="49" t="n">
        <f aca="false">+D424/D502*100</f>
        <v>4.39769720582677</v>
      </c>
      <c r="E427" s="49" t="n">
        <f aca="false">+E424/E502*100</f>
        <v>4.1195659854048</v>
      </c>
      <c r="F427" s="49" t="n">
        <f aca="false">+F424/F502*100</f>
        <v>2.78555347114606</v>
      </c>
      <c r="G427" s="49" t="n">
        <f aca="false">+G424/G502*100</f>
        <v>4.66826819721237</v>
      </c>
      <c r="H427" s="49" t="n">
        <f aca="false">+H424/H502*100</f>
        <v>2.62091668510231</v>
      </c>
      <c r="I427" s="49" t="n">
        <f aca="false">+I424/I502*100</f>
        <v>2.73596442553598</v>
      </c>
      <c r="J427" s="49" t="n">
        <f aca="false">+J424/J502*100</f>
        <v>2.68308561559358</v>
      </c>
      <c r="K427" s="49" t="n">
        <f aca="false">+K424/K502*100</f>
        <v>2.23171110016241</v>
      </c>
      <c r="L427" s="49" t="n">
        <f aca="false">+L424/L502*100</f>
        <v>1.89762833056007</v>
      </c>
      <c r="M427" s="49" t="n">
        <f aca="false">+M424/M502*100</f>
        <v>1.6426665525926</v>
      </c>
      <c r="N427" s="49" t="n">
        <f aca="false">+N424/N502*100</f>
        <v>1.48954062555469</v>
      </c>
      <c r="O427" s="49" t="n">
        <f aca="false">+O424/O502*100</f>
        <v>1.63836495235175</v>
      </c>
      <c r="P427" s="49" t="n">
        <f aca="false">+P424/P502*100</f>
        <v>1.4952827411217</v>
      </c>
      <c r="Q427" s="49" t="n">
        <f aca="false">+Q424/Q502*100</f>
        <v>1.83045303788244</v>
      </c>
      <c r="R427" s="49" t="n">
        <f aca="false">+R424/R502*100</f>
        <v>3.03288758605703</v>
      </c>
      <c r="S427" s="49" t="n">
        <f aca="false">+S424/S502*100</f>
        <v>3.11058202976314</v>
      </c>
      <c r="T427" s="49" t="n">
        <f aca="false">+T424/T502*100</f>
        <v>2.26044805756377</v>
      </c>
      <c r="U427" s="49" t="n">
        <f aca="false">+U424/U502*100</f>
        <v>3.71786463392934</v>
      </c>
      <c r="V427" s="49" t="n">
        <f aca="false">+V424/V502*100</f>
        <v>9.86377102860371</v>
      </c>
      <c r="W427" s="49" t="n">
        <f aca="false">+W424/W502*100</f>
        <v>12.0163449416308</v>
      </c>
      <c r="X427" s="49" t="n">
        <f aca="false">+X424/X502*100</f>
        <v>9.60371107598968</v>
      </c>
      <c r="Y427" s="49" t="n">
        <f aca="false">+Y424/Y502*100</f>
        <v>7.65881796616333</v>
      </c>
      <c r="Z427" s="49" t="n">
        <f aca="false">+Z424/Z502*100</f>
        <v>7.53641870433852</v>
      </c>
      <c r="AA427" s="49" t="n">
        <f aca="false">+AA424/AA502*100</f>
        <v>7.52102661689319</v>
      </c>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row>
    <row r="428" customFormat="false" ht="15" hidden="false" customHeight="true" outlineLevel="0" collapsed="false">
      <c r="A428" s="29"/>
      <c r="B428" s="43"/>
      <c r="C428" s="43"/>
      <c r="D428" s="43"/>
      <c r="E428" s="43"/>
      <c r="F428" s="43"/>
      <c r="G428" s="43"/>
      <c r="H428" s="43"/>
      <c r="I428" s="43"/>
      <c r="J428" s="43"/>
      <c r="K428" s="43"/>
      <c r="L428" s="43"/>
      <c r="M428" s="43"/>
      <c r="N428" s="43"/>
      <c r="O428" s="43"/>
      <c r="P428" s="43"/>
      <c r="Q428" s="43"/>
      <c r="R428" s="43"/>
      <c r="S428" s="43"/>
      <c r="T428" s="43"/>
      <c r="U428" s="43"/>
      <c r="V428" s="43"/>
      <c r="W428" s="89" t="n">
        <f aca="false">+W424-12690.278</f>
        <v>-0.00200000000040745</v>
      </c>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row>
    <row r="429" customFormat="false" ht="15" hidden="false" customHeight="true" outlineLevel="0" collapsed="false">
      <c r="A429" s="70" t="s">
        <v>530</v>
      </c>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c r="AQ429" s="86"/>
      <c r="AR429" s="86"/>
      <c r="AS429" s="86"/>
      <c r="AT429" s="86"/>
      <c r="AU429" s="86"/>
      <c r="AV429" s="86"/>
      <c r="AW429" s="86"/>
      <c r="AX429" s="86"/>
      <c r="AY429" s="86"/>
    </row>
    <row r="430" customFormat="false" ht="15" hidden="false" customHeight="true" outlineLevel="0" collapsed="false">
      <c r="A430" s="47" t="s">
        <v>462</v>
      </c>
      <c r="B430" s="93" t="n">
        <f aca="false">527.78-51.65</f>
        <v>476.13</v>
      </c>
      <c r="C430" s="93" t="n">
        <f aca="false">-63.49+159.1</f>
        <v>95.61</v>
      </c>
      <c r="D430" s="93" t="n">
        <f aca="false">-34.76-78.81</f>
        <v>-113.57</v>
      </c>
      <c r="E430" s="93" t="n">
        <f aca="false">-37.06-408.85</f>
        <v>-445.91</v>
      </c>
      <c r="F430" s="93" t="n">
        <f aca="false">-61.75-1235.97</f>
        <v>-1297.72</v>
      </c>
      <c r="G430" s="93" t="n">
        <f aca="false">-160.23-761.42</f>
        <v>-921.65</v>
      </c>
      <c r="H430" s="93" t="n">
        <f aca="false">-119.78+1639.92</f>
        <v>1520.14</v>
      </c>
      <c r="I430" s="93" t="n">
        <f aca="false">-151.71-288.47</f>
        <v>-440.18</v>
      </c>
      <c r="J430" s="93" t="n">
        <f aca="false">-147.38-795.15</f>
        <v>-942.53</v>
      </c>
      <c r="K430" s="93" t="n">
        <f aca="false">-151.96-1045.91</f>
        <v>-1197.87</v>
      </c>
      <c r="L430" s="93" t="n">
        <f aca="false">1605.82-140.95</f>
        <v>1464.87</v>
      </c>
      <c r="M430" s="93" t="n">
        <f aca="false">-530.3-155.52</f>
        <v>-685.82</v>
      </c>
      <c r="N430" s="93" t="n">
        <f aca="false">-79.42-212.23-102.55</f>
        <v>-394.2</v>
      </c>
      <c r="O430" s="93" t="n">
        <f aca="false">351.53-301.33-3006.04</f>
        <v>-2955.84</v>
      </c>
      <c r="P430" s="93" t="n">
        <f aca="false">185.1-385.1-489.8</f>
        <v>-689.8</v>
      </c>
      <c r="Q430" s="93" t="n">
        <f aca="false">17.3-974.75-504.95</f>
        <v>-1462.4</v>
      </c>
      <c r="R430" s="93" t="n">
        <f aca="false">-429.652-10.466-275.938</f>
        <v>-716.056</v>
      </c>
      <c r="S430" s="93" t="n">
        <f aca="false">-366.255-2518.45+76.707</f>
        <v>-2807.998</v>
      </c>
      <c r="T430" s="93" t="n">
        <f aca="false">-514.739-1755.36+103.12</f>
        <v>-2166.979</v>
      </c>
      <c r="U430" s="34" t="n">
        <v>-1670.13</v>
      </c>
      <c r="V430" s="34" t="n">
        <v>2719.769</v>
      </c>
      <c r="W430" s="34" t="n">
        <v>4238.71</v>
      </c>
      <c r="X430" s="34" t="n">
        <v>-526.126</v>
      </c>
      <c r="Y430" s="34" t="n">
        <v>-4290.214</v>
      </c>
      <c r="Z430" s="34" t="n">
        <v>-7090.813</v>
      </c>
      <c r="AA430" s="34" t="n">
        <v>12785.188</v>
      </c>
      <c r="AB430" s="34" t="n">
        <v>-9588</v>
      </c>
      <c r="AC430" s="34" t="n">
        <v>11914.7</v>
      </c>
      <c r="AD430" s="34" t="n">
        <v>-4623.1</v>
      </c>
      <c r="AE430" s="34" t="n">
        <v>-489.9</v>
      </c>
      <c r="AF430" s="34" t="n">
        <v>-5584.9</v>
      </c>
      <c r="AG430" s="34" t="n">
        <v>-5109.4</v>
      </c>
      <c r="AH430" s="34" t="n">
        <v>2305.8</v>
      </c>
      <c r="AI430" s="34" t="n">
        <v>-1109.3</v>
      </c>
      <c r="AJ430" s="30"/>
      <c r="AK430" s="30"/>
      <c r="AL430" s="30"/>
      <c r="AM430" s="30"/>
      <c r="AN430" s="30"/>
      <c r="AO430" s="30"/>
      <c r="AP430" s="30"/>
      <c r="AQ430" s="30"/>
      <c r="AR430" s="30"/>
      <c r="AS430" s="30"/>
      <c r="AT430" s="30"/>
      <c r="AU430" s="30"/>
      <c r="AV430" s="30"/>
      <c r="AW430" s="30"/>
      <c r="AX430" s="30"/>
      <c r="AY430" s="30"/>
    </row>
    <row r="431" customFormat="false" ht="15" hidden="false" customHeight="true" outlineLevel="0" collapsed="false">
      <c r="A431" s="29" t="s">
        <v>513</v>
      </c>
      <c r="B431" s="49" t="n">
        <f aca="false">+B430/B434*100</f>
        <v>7.98830268071956</v>
      </c>
      <c r="C431" s="49" t="n">
        <f aca="false">+C430/C434*100</f>
        <v>1.25486274077457</v>
      </c>
      <c r="D431" s="49" t="n">
        <f aca="false">+D430/D434*100</f>
        <v>-1.16062322309269</v>
      </c>
      <c r="E431" s="49" t="n">
        <f aca="false">+E430/E434*100</f>
        <v>-3.42110835594073</v>
      </c>
      <c r="F431" s="49" t="n">
        <f aca="false">+F430/F434*100</f>
        <v>-8.2609180000191</v>
      </c>
      <c r="G431" s="49" t="n">
        <f aca="false">+G430/G434*100</f>
        <v>-7.41295717190436</v>
      </c>
      <c r="H431" s="49" t="n">
        <f aca="false">+H430/H434*100</f>
        <v>11.8765762359096</v>
      </c>
      <c r="I431" s="49" t="n">
        <f aca="false">+I430/I434*100</f>
        <v>-2.81907709136415</v>
      </c>
      <c r="J431" s="49" t="n">
        <f aca="false">+J430/J434*100</f>
        <v>-6.24819769264884</v>
      </c>
      <c r="K431" s="49" t="n">
        <f aca="false">+K430/K434*100</f>
        <v>-8.03666674270349</v>
      </c>
      <c r="L431" s="49" t="n">
        <f aca="false">+L430/L434*100</f>
        <v>7.96965278608968</v>
      </c>
      <c r="M431" s="49" t="n">
        <f aca="false">+M430/M434*100</f>
        <v>-2.87025671266002</v>
      </c>
      <c r="N431" s="49" t="n">
        <f aca="false">+N430/N434*100</f>
        <v>-1.29915242004215</v>
      </c>
      <c r="O431" s="49" t="n">
        <f aca="false">+O430/O434*100</f>
        <v>-7.64144087735521</v>
      </c>
      <c r="P431" s="49" t="n">
        <f aca="false">+P430/P434*100</f>
        <v>-1.26260384495635</v>
      </c>
      <c r="Q431" s="49" t="n">
        <f aca="false">+Q430/Q434*100</f>
        <v>-2.53653466765048</v>
      </c>
      <c r="R431" s="49" t="n">
        <f aca="false">+R430/R434*100</f>
        <v>-1.60823156112439</v>
      </c>
      <c r="S431" s="49" t="n">
        <f aca="false">+S430/S434*100</f>
        <v>-5.38001075887961</v>
      </c>
      <c r="T431" s="49" t="n">
        <f aca="false">+T430/T434*100</f>
        <v>-2.6675594727192</v>
      </c>
      <c r="U431" s="49" t="n">
        <f aca="false">+U430/U434*100</f>
        <v>-1.76470023251973</v>
      </c>
      <c r="V431" s="49" t="n">
        <f aca="false">+V430/V434*100</f>
        <v>2.98107971601927</v>
      </c>
      <c r="W431" s="49" t="n">
        <f aca="false">+W430/W434*100</f>
        <v>5.57506912098728</v>
      </c>
      <c r="X431" s="49" t="n">
        <f aca="false">+X430/X434*100</f>
        <v>-0.527962793116508</v>
      </c>
      <c r="Y431" s="49" t="n">
        <f aca="false">+Y430/Y434*100</f>
        <v>-3.25142810908405</v>
      </c>
      <c r="Z431" s="49" t="n">
        <f aca="false">+Z430/Z434*100</f>
        <v>-5.08037441663175</v>
      </c>
      <c r="AA431" s="49" t="n">
        <f aca="false">+AA430/AA434*100</f>
        <v>6.86590376114263</v>
      </c>
      <c r="AB431" s="49" t="n">
        <f aca="false">+AB430/AB434*100</f>
        <v>-4.63646004244769</v>
      </c>
      <c r="AC431" s="49" t="n">
        <f aca="false">+AC430/AC434*100</f>
        <v>9.63259399392844</v>
      </c>
      <c r="AD431" s="49" t="n">
        <f aca="false">+AD430/AD434*100</f>
        <v>-4.05417374429003</v>
      </c>
      <c r="AE431" s="49" t="n">
        <f aca="false">+AE430/AE434*100</f>
        <v>-0.292284442461012</v>
      </c>
      <c r="AF431" s="49" t="n">
        <f aca="false">+AF430/AF434*100</f>
        <v>-2.0054112962155</v>
      </c>
      <c r="AG431" s="49" t="n">
        <f aca="false">+AG430/AG434*100</f>
        <v>-1.83053818051799</v>
      </c>
      <c r="AH431" s="49" t="n">
        <f aca="false">+AH430/AH434*100</f>
        <v>0.834745814867294</v>
      </c>
      <c r="AI431" s="49" t="n">
        <f aca="false">+AI430/AI434*100</f>
        <v>-0.353087518469218</v>
      </c>
      <c r="AJ431" s="49" t="n">
        <f aca="false">+AJ430/AJ434*100</f>
        <v>0</v>
      </c>
      <c r="AK431" s="49" t="n">
        <f aca="false">+AK430/AK434*100</f>
        <v>0</v>
      </c>
      <c r="AL431" s="49" t="n">
        <f aca="false">+AL430/AL434*100</f>
        <v>0</v>
      </c>
      <c r="AM431" s="36"/>
      <c r="AN431" s="36"/>
      <c r="AO431" s="36"/>
      <c r="AP431" s="36"/>
      <c r="AQ431" s="36"/>
      <c r="AR431" s="36"/>
      <c r="AS431" s="36"/>
      <c r="AT431" s="36"/>
      <c r="AU431" s="36"/>
      <c r="AV431" s="36"/>
      <c r="AW431" s="36"/>
      <c r="AX431" s="36"/>
      <c r="AY431" s="36"/>
    </row>
    <row r="432" customFormat="false" ht="15" hidden="false" customHeight="true" outlineLevel="0" collapsed="false">
      <c r="A432" s="29" t="s">
        <v>229</v>
      </c>
      <c r="B432" s="59" t="n">
        <f aca="false">+B430/B502*100</f>
        <v>4.98859537088357</v>
      </c>
      <c r="C432" s="59" t="n">
        <f aca="false">+C430/C502*100</f>
        <v>0.809366677558677</v>
      </c>
      <c r="D432" s="59" t="n">
        <f aca="false">+D430/D502*100</f>
        <v>-0.750483052841091</v>
      </c>
      <c r="E432" s="59" t="n">
        <f aca="false">+E430/E502*100</f>
        <v>-2.2187866658838</v>
      </c>
      <c r="F432" s="59" t="n">
        <f aca="false">+F430/F502*100</f>
        <v>-5.2275754889019</v>
      </c>
      <c r="G432" s="59" t="n">
        <f aca="false">+G430/G502*100</f>
        <v>-4.57557999825674</v>
      </c>
      <c r="H432" s="59" t="n">
        <f aca="false">+H430/H502*100</f>
        <v>7.43327354930395</v>
      </c>
      <c r="I432" s="59" t="n">
        <f aca="false">+I430/I502*100</f>
        <v>-1.6938351910442</v>
      </c>
      <c r="J432" s="59" t="n">
        <f aca="false">+J430/J502*100</f>
        <v>-3.61584907600254</v>
      </c>
      <c r="K432" s="59" t="n">
        <f aca="false">+K430/K502*100</f>
        <v>-4.55386306819219</v>
      </c>
      <c r="L432" s="59" t="n">
        <f aca="false">+L430/L502*100</f>
        <v>4.76536233793484</v>
      </c>
      <c r="M432" s="59" t="n">
        <f aca="false">+M430/M502*100</f>
        <v>-1.74630080465504</v>
      </c>
      <c r="N432" s="59" t="n">
        <f aca="false">+N430/N502*100</f>
        <v>-0.819324246635304</v>
      </c>
      <c r="O432" s="59" t="n">
        <f aca="false">+O430/O502*100</f>
        <v>-4.88317736937785</v>
      </c>
      <c r="P432" s="59" t="n">
        <f aca="false">+P430/P502*100</f>
        <v>-0.83061228937723</v>
      </c>
      <c r="Q432" s="59" t="n">
        <f aca="false">+Q430/Q502*100</f>
        <v>-1.63694956955077</v>
      </c>
      <c r="R432" s="59" t="n">
        <f aca="false">+R430/R502*100</f>
        <v>-1.0740882802418</v>
      </c>
      <c r="S432" s="59" t="n">
        <f aca="false">+S430/S502*100</f>
        <v>-3.56679994838806</v>
      </c>
      <c r="T432" s="59" t="n">
        <f aca="false">+T430/T502*100</f>
        <v>-1.79183847783111</v>
      </c>
      <c r="U432" s="59" t="n">
        <f aca="false">+U430/U502*100</f>
        <v>-1.22381535760809</v>
      </c>
      <c r="V432" s="59" t="n">
        <f aca="false">+V430/V502*100</f>
        <v>2.04516069782569</v>
      </c>
      <c r="W432" s="59" t="n">
        <f aca="false">+W430/W502*100</f>
        <v>4.0136086455125</v>
      </c>
      <c r="X432" s="59" t="n">
        <f aca="false">+X430/X502*100</f>
        <v>-0.363197856734604</v>
      </c>
      <c r="Y432" s="59" t="n">
        <f aca="false">+Y430/Y502*100</f>
        <v>-2.14586081944726</v>
      </c>
      <c r="Z432" s="59" t="n">
        <f aca="false">+Z430/Z502*100</f>
        <v>-3.32407790818394</v>
      </c>
      <c r="AA432" s="59" t="n">
        <f aca="false">+AA430/AA502*100</f>
        <v>4.82014072424835</v>
      </c>
      <c r="AB432" s="59" t="n">
        <f aca="false">+AB430/AB502*100</f>
        <v>-3.29995405257968</v>
      </c>
      <c r="AC432" s="59" t="n">
        <f aca="false">+AC430/AC502*100</f>
        <v>6.82107941218734</v>
      </c>
      <c r="AD432" s="59" t="n">
        <f aca="false">+AD430/AD502*100</f>
        <v>-3.02134765005931</v>
      </c>
      <c r="AE432" s="59" t="n">
        <f aca="false">+AE430/AE502*100</f>
        <v>-0.225882261810406</v>
      </c>
      <c r="AF432" s="59" t="n">
        <f aca="false">+AF430/AF502*100</f>
        <v>-1.54517440448161</v>
      </c>
      <c r="AG432" s="59" t="n">
        <f aca="false">+AG430/AG502*100</f>
        <v>-1.33171631997577</v>
      </c>
      <c r="AH432" s="59" t="n">
        <f aca="false">+AH430/AH502*100</f>
        <v>0.595003088813849</v>
      </c>
      <c r="AI432" s="59" t="n">
        <f aca="false">+AI430/AI502*100</f>
        <v>-0.25207336191513</v>
      </c>
      <c r="AJ432" s="59" t="n">
        <f aca="false">+AJ430/AJ502*100</f>
        <v>0</v>
      </c>
      <c r="AK432" s="59" t="n">
        <f aca="false">+AK430/AK502*100</f>
        <v>0</v>
      </c>
      <c r="AL432" s="59" t="n">
        <f aca="false">+AL430/AL502*100</f>
        <v>0</v>
      </c>
      <c r="AM432" s="43"/>
      <c r="AN432" s="43"/>
      <c r="AO432" s="43"/>
      <c r="AP432" s="43"/>
      <c r="AQ432" s="43"/>
      <c r="AR432" s="43"/>
      <c r="AS432" s="43"/>
      <c r="AT432" s="43"/>
      <c r="AU432" s="43"/>
      <c r="AV432" s="43"/>
      <c r="AW432" s="43"/>
      <c r="AX432" s="43"/>
      <c r="AY432" s="43"/>
    </row>
    <row r="433" customFormat="false" ht="15" hidden="false" customHeight="true" outlineLevel="0" collapsed="false">
      <c r="A433" s="29" t="s">
        <v>531</v>
      </c>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7" t="n">
        <v>242.577</v>
      </c>
      <c r="Z433" s="37" t="n">
        <v>348.046</v>
      </c>
      <c r="AA433" s="37" t="n">
        <v>402.184</v>
      </c>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row>
    <row r="434" customFormat="false" ht="15" hidden="false" customHeight="true" outlineLevel="0" collapsed="false">
      <c r="A434" s="51" t="s">
        <v>532</v>
      </c>
      <c r="B434" s="52" t="n">
        <f aca="false">+B430+B424+B413+B406+B398+B390+B379+B371+B363</f>
        <v>5960.34</v>
      </c>
      <c r="C434" s="52" t="n">
        <f aca="false">+C430+C424+C413+C406+C398+C390+C379+C371+C363</f>
        <v>7619.16</v>
      </c>
      <c r="D434" s="52" t="n">
        <f aca="false">+D430+D424+D413+D406+D398+D390+D379+D371+D363</f>
        <v>9785.26</v>
      </c>
      <c r="E434" s="52" t="n">
        <f aca="false">+E430+E424+E413+E406+E398+E390+E379+E371+E363</f>
        <v>13034.08</v>
      </c>
      <c r="F434" s="52" t="n">
        <f aca="false">+F430+F424+F413+F406+F398+F390+F379+F371+F363</f>
        <v>15709.15</v>
      </c>
      <c r="G434" s="52" t="n">
        <f aca="false">+G430+G424+G413+G406+G398+G390+G379+G371+G363</f>
        <v>12432.96</v>
      </c>
      <c r="H434" s="52" t="n">
        <f aca="false">+H430+H424+H413+H406+H398+H390+H379+H371+H363</f>
        <v>12799.48</v>
      </c>
      <c r="I434" s="52" t="n">
        <f aca="false">+I430+I424+I413+I406+I398+I390+I379+I371+I363</f>
        <v>15614.33</v>
      </c>
      <c r="J434" s="52" t="n">
        <f aca="false">+J430+J424+J413+J406+J398+J390+J379+J371+J363</f>
        <v>15084.83</v>
      </c>
      <c r="K434" s="52" t="n">
        <f aca="false">+K430+K424+K413+K406+K398+K390+K379+K371+K363</f>
        <v>14905.06</v>
      </c>
      <c r="L434" s="52" t="n">
        <f aca="false">+L430+L424+L413+L406+L398+L390+L379+L371+L363</f>
        <v>18380.6</v>
      </c>
      <c r="M434" s="52" t="n">
        <f aca="false">+M430+M424+M413+M406+M398+M390+M379+M371+M363</f>
        <v>23894.03</v>
      </c>
      <c r="N434" s="52" t="n">
        <f aca="false">+N430+N424+N413+N406+N398+N390+N379+N371+N363</f>
        <v>30342.86</v>
      </c>
      <c r="O434" s="52" t="n">
        <f aca="false">+O430+O424+O413+O406+O398+O390+O379+O371+O363</f>
        <v>38681.71</v>
      </c>
      <c r="P434" s="52" t="n">
        <f aca="false">+P430+P424+P413+P406+P398+P390+P379+P371+P363</f>
        <v>54633.13</v>
      </c>
      <c r="Q434" s="52" t="n">
        <f aca="false">+Q430+Q424+Q413+Q406+Q398+Q390+Q379+Q371+Q363</f>
        <v>57653.46</v>
      </c>
      <c r="R434" s="52" t="n">
        <f aca="false">+R430+R424+R413+R406+R398+R390+R379+R371+R363</f>
        <v>44524.434</v>
      </c>
      <c r="S434" s="52" t="n">
        <f aca="false">+S430+S424+S413+S406+S398+S390+S379+S371+S363</f>
        <v>52193.167</v>
      </c>
      <c r="T434" s="52" t="n">
        <f aca="false">+T430+T424+T413+T406+T398+T390+T379+T371+T363</f>
        <v>81234.515</v>
      </c>
      <c r="U434" s="52" t="n">
        <f aca="false">+U430+U424+U413+U406+U398+U390+U386</f>
        <v>94641.003</v>
      </c>
      <c r="V434" s="52" t="n">
        <f aca="false">+V430+V424+V413+V406+V398+V390+V386</f>
        <v>91234.36</v>
      </c>
      <c r="W434" s="52" t="n">
        <f aca="false">+W430+W424+W413+W406+W398+W390+W386</f>
        <v>76029.73</v>
      </c>
      <c r="X434" s="52" t="n">
        <f aca="false">+X430+X424+X413+X406+X398+X390+X386</f>
        <v>99652.098</v>
      </c>
      <c r="Y434" s="52" t="n">
        <f aca="false">+Y430+Y424+Y413+Y406+Y398+Y390+Y386-Y433</f>
        <v>131948.604</v>
      </c>
      <c r="Z434" s="52" t="n">
        <f aca="false">+Z430+Z424+Z413+Z406+Z398+Z390+Z386-Z433</f>
        <v>139572.646</v>
      </c>
      <c r="AA434" s="52" t="n">
        <f aca="false">+AA430+AA424+AA413+AA406+AA398+AA390+AA386-AA433</f>
        <v>186212.747</v>
      </c>
      <c r="AB434" s="52" t="n">
        <f aca="false">+AB430+AB424+AB413+AB406+AB398+AB390+AB386</f>
        <v>206795.7</v>
      </c>
      <c r="AC434" s="52" t="n">
        <f aca="false">+AC430+AC424+AC413+AC406+AC398+AC390+AC386</f>
        <v>123691.5</v>
      </c>
      <c r="AD434" s="52" t="n">
        <f aca="false">+AD430+AD424+AD413+AD406+AD398+AD390+AD386</f>
        <v>114033.1</v>
      </c>
      <c r="AE434" s="52" t="n">
        <f aca="false">+AE430+AE424+AE413+AE406+AE398+AE390+AE386</f>
        <v>167610.7</v>
      </c>
      <c r="AF434" s="52" t="n">
        <f aca="false">+AF430+AF424+AF413+AF406+AF398+AF390+AF386</f>
        <v>278491.5</v>
      </c>
      <c r="AG434" s="52" t="n">
        <f aca="false">+AG430+AG424+AG413+AG406+AG398+AG390+AG386</f>
        <v>279120.1</v>
      </c>
      <c r="AH434" s="52" t="n">
        <f aca="false">+AH430+AH424+AH413+AH406+AH398+AH390+AH386</f>
        <v>276227.8</v>
      </c>
      <c r="AI434" s="52" t="n">
        <f aca="false">+AI430+AI424+AI413+AI406+AI398+AI390+AI386</f>
        <v>314171.4</v>
      </c>
      <c r="AJ434" s="52" t="n">
        <f aca="false">+AJ430+AJ424+AJ413+AJ406+AJ398+AJ390+AJ386</f>
        <v>347869.127987938</v>
      </c>
      <c r="AK434" s="52" t="n">
        <f aca="false">+AK430+AK424+AK413+AK406+AK398+AK390+AK386</f>
        <v>373186.611619762</v>
      </c>
      <c r="AL434" s="52" t="n">
        <f aca="false">+AL430+AL424+AL413+AL406+AL398+AL390+AL386</f>
        <v>401195.306230658</v>
      </c>
      <c r="AM434" s="53"/>
      <c r="AN434" s="53"/>
      <c r="AO434" s="53"/>
      <c r="AP434" s="53"/>
      <c r="AQ434" s="53"/>
      <c r="AR434" s="53"/>
      <c r="AS434" s="53"/>
      <c r="AT434" s="53"/>
      <c r="AU434" s="53"/>
      <c r="AV434" s="53"/>
      <c r="AW434" s="53"/>
      <c r="AX434" s="53"/>
      <c r="AY434" s="53"/>
    </row>
    <row r="435" customFormat="false" ht="15" hidden="false" customHeight="true" outlineLevel="0" collapsed="false">
      <c r="A435" s="47" t="s">
        <v>533</v>
      </c>
      <c r="B435" s="74" t="n">
        <f aca="false">+B434/(B506)*100</f>
        <v>72.5652167031704</v>
      </c>
      <c r="C435" s="74" t="n">
        <f aca="false">+C434/(C506)*100</f>
        <v>71.9502072337761</v>
      </c>
      <c r="D435" s="74" t="n">
        <f aca="false">+D434/(D506)*100</f>
        <v>73.3440317083646</v>
      </c>
      <c r="E435" s="74" t="n">
        <f aca="false">+E434/(E506)*100</f>
        <v>72.8250806384475</v>
      </c>
      <c r="F435" s="74" t="n">
        <f aca="false">+F434/(F506)*100</f>
        <v>72.0175070233476</v>
      </c>
      <c r="G435" s="74" t="n">
        <f aca="false">+G434/(G506)*100</f>
        <v>70.2907574795067</v>
      </c>
      <c r="H435" s="74" t="n">
        <f aca="false">+H434/(H506)*100</f>
        <v>70.3781336244889</v>
      </c>
      <c r="I435" s="74" t="n">
        <f aca="false">+I434/(I506)*100</f>
        <v>69.2968036448621</v>
      </c>
      <c r="J435" s="74" t="n">
        <f aca="false">+J434/(J506)*100</f>
        <v>66.9837904948997</v>
      </c>
      <c r="K435" s="74" t="n">
        <f aca="false">+K434/(K506)*100</f>
        <v>65.9151937337258</v>
      </c>
      <c r="L435" s="74" t="n">
        <f aca="false">+L434/(L506)*100</f>
        <v>68.5747330131045</v>
      </c>
      <c r="M435" s="74" t="n">
        <f aca="false">+M434/(M506)*100</f>
        <v>70.4032017594002</v>
      </c>
      <c r="N435" s="74" t="n">
        <f aca="false">+N434/(N506)*100</f>
        <v>72.5493009001099</v>
      </c>
      <c r="O435" s="74" t="n">
        <f aca="false">+O434/(O506)*100</f>
        <v>73.7123443853133</v>
      </c>
      <c r="P435" s="74" t="n">
        <f aca="false">+P434/(P506)*100</f>
        <v>76.2162229275621</v>
      </c>
      <c r="Q435" s="74" t="n">
        <f aca="false">+Q434/(Q506)*100</f>
        <v>74.5924990454932</v>
      </c>
      <c r="R435" s="74" t="n">
        <f aca="false">+R434/(R506)*100</f>
        <v>74.4422092641995</v>
      </c>
      <c r="S435" s="74" t="n">
        <f aca="false">+S434/(S506)*100</f>
        <v>72.0431368513621</v>
      </c>
      <c r="T435" s="74" t="n">
        <f aca="false">+T434/(T506)*100</f>
        <v>73.0676751837991</v>
      </c>
      <c r="U435" s="74" t="n">
        <f aca="false">+U434/(U506)*100</f>
        <v>73.762905945864</v>
      </c>
      <c r="V435" s="74" t="n">
        <f aca="false">+V434/(V506)*100</f>
        <v>73.0974265295004</v>
      </c>
      <c r="W435" s="74" t="n">
        <f aca="false">+W434/(W506)*100</f>
        <v>76.4623024776761</v>
      </c>
      <c r="X435" s="74" t="n">
        <f aca="false">+X434/(X506)*100</f>
        <v>73.4779154589826</v>
      </c>
      <c r="Y435" s="74" t="n">
        <f aca="false">+Y434/(Y506)*100</f>
        <v>69.6765516358611</v>
      </c>
      <c r="Z435" s="74" t="n">
        <f aca="false">+Z434/(Z506)*100</f>
        <v>69.7212841972494</v>
      </c>
      <c r="AA435" s="74" t="n">
        <f aca="false">+AA434/(AA506)*100</f>
        <v>70.9438434900939</v>
      </c>
      <c r="AB435" s="74" t="n">
        <f aca="false">+AB434/(AB506)*100</f>
        <v>71.1739996110818</v>
      </c>
      <c r="AC435" s="74" t="n">
        <f aca="false">+AC434/(AC506)*100</f>
        <v>70.8124874409402</v>
      </c>
      <c r="AD435" s="74" t="n">
        <f aca="false">+AD434/(AD506)*100</f>
        <v>74.524375140918</v>
      </c>
      <c r="AE435" s="74" t="n">
        <f aca="false">+AE434/(AE506)*100</f>
        <v>77.2816575211785</v>
      </c>
      <c r="AF435" s="74" t="n">
        <f aca="false">+AF434/(AF506)*100</f>
        <v>77.0502493626906</v>
      </c>
      <c r="AG435" s="74" t="n">
        <f aca="false">+AG434/(AG506)*100</f>
        <v>72.7499887273005</v>
      </c>
      <c r="AH435" s="74" t="n">
        <f aca="false">+AH434/(AH506)*100</f>
        <v>71.27955339416</v>
      </c>
      <c r="AI435" s="74" t="n">
        <f aca="false">+AI434/(AI506)*100</f>
        <v>71.3911845448329</v>
      </c>
      <c r="AJ435" s="74" t="n">
        <f aca="false">+AJ434/(AJ506)*100</f>
        <v>72.5</v>
      </c>
      <c r="AK435" s="74" t="n">
        <f aca="false">+AK434/(AK506)*100</f>
        <v>72</v>
      </c>
      <c r="AL435" s="74" t="n">
        <f aca="false">+AL434/(AL506)*100</f>
        <v>72</v>
      </c>
      <c r="AM435" s="36"/>
      <c r="AN435" s="36"/>
      <c r="AO435" s="36"/>
      <c r="AP435" s="36"/>
      <c r="AQ435" s="36"/>
      <c r="AR435" s="36"/>
      <c r="AS435" s="36"/>
      <c r="AT435" s="36"/>
      <c r="AU435" s="36"/>
      <c r="AV435" s="36"/>
      <c r="AW435" s="36"/>
      <c r="AX435" s="36"/>
      <c r="AY435" s="36"/>
    </row>
    <row r="436" customFormat="false" ht="15" hidden="false" customHeight="true" outlineLevel="0" collapsed="false">
      <c r="A436" s="47" t="s">
        <v>534</v>
      </c>
      <c r="B436" s="36"/>
      <c r="C436" s="74" t="n">
        <f aca="false">+C434/B434*100-100</f>
        <v>27.8309626632038</v>
      </c>
      <c r="D436" s="74" t="n">
        <f aca="false">+D434/C434*100-100</f>
        <v>28.4296431627634</v>
      </c>
      <c r="E436" s="74" t="n">
        <f aca="false">+E434/D434*100-100</f>
        <v>33.2011617473629</v>
      </c>
      <c r="F436" s="74" t="n">
        <f aca="false">+F434/E434*100-100</f>
        <v>20.5236579796963</v>
      </c>
      <c r="G436" s="74" t="n">
        <f aca="false">+G434/F434*100-100</f>
        <v>-20.8552977086603</v>
      </c>
      <c r="H436" s="74" t="n">
        <f aca="false">+H434/G434*100-100</f>
        <v>2.94797055568425</v>
      </c>
      <c r="I436" s="74" t="n">
        <f aca="false">+I434/H434*100-100</f>
        <v>21.991909046305</v>
      </c>
      <c r="J436" s="74" t="n">
        <f aca="false">+J434/I434*100-100</f>
        <v>-3.39111572510635</v>
      </c>
      <c r="K436" s="74" t="n">
        <f aca="false">+K434/J434*100-100</f>
        <v>-1.19172705293997</v>
      </c>
      <c r="L436" s="74" t="n">
        <f aca="false">+L434/K434*100-100</f>
        <v>23.3178531317553</v>
      </c>
      <c r="M436" s="74" t="n">
        <f aca="false">+M434/L434*100-100</f>
        <v>29.9959196108941</v>
      </c>
      <c r="N436" s="74" t="n">
        <f aca="false">+N434/M434*100-100</f>
        <v>26.989293978454</v>
      </c>
      <c r="O436" s="74" t="n">
        <f aca="false">+O434/N434*100-100</f>
        <v>27.4820830996156</v>
      </c>
      <c r="P436" s="74" t="n">
        <f aca="false">+P434/O434*100-100</f>
        <v>41.2376288431923</v>
      </c>
      <c r="Q436" s="74" t="n">
        <f aca="false">+Q434/P434*100-100</f>
        <v>5.52838543206291</v>
      </c>
      <c r="R436" s="74" t="n">
        <f aca="false">+R434/Q434*100-100</f>
        <v>-22.7723123642536</v>
      </c>
      <c r="S436" s="74" t="n">
        <f aca="false">+S434/R434*100-100</f>
        <v>17.2236507262507</v>
      </c>
      <c r="T436" s="74" t="n">
        <f aca="false">+T434/S434*100-100</f>
        <v>55.642049849169</v>
      </c>
      <c r="U436" s="74" t="n">
        <f aca="false">+U434/T434*100-100</f>
        <v>16.5034382245035</v>
      </c>
      <c r="V436" s="74" t="n">
        <f aca="false">+V434/U434*100-100</f>
        <v>-3.59954236748739</v>
      </c>
      <c r="W436" s="74" t="n">
        <f aca="false">+W434/V434*100-100</f>
        <v>-16.6654646341576</v>
      </c>
      <c r="X436" s="74" t="n">
        <f aca="false">+X434/W434*100-100</f>
        <v>31.0699091000323</v>
      </c>
      <c r="Y436" s="74" t="n">
        <f aca="false">+Y434/X434*100-100</f>
        <v>32.4092584583618</v>
      </c>
      <c r="Z436" s="74" t="n">
        <f aca="false">+Z434/Y434*100-100</f>
        <v>5.77803915227477</v>
      </c>
      <c r="AA436" s="74" t="n">
        <f aca="false">+AA434/Z434*100-100</f>
        <v>33.4163622576876</v>
      </c>
      <c r="AB436" s="74" t="n">
        <f aca="false">+AB434/AA434*100-100</f>
        <v>11.0534608030888</v>
      </c>
      <c r="AC436" s="74" t="n">
        <f aca="false">+AC434/AB434*100-100</f>
        <v>-40.1866189674157</v>
      </c>
      <c r="AD436" s="74" t="n">
        <f aca="false">+AD434/AC434*100-100</f>
        <v>-7.8084589482705</v>
      </c>
      <c r="AE436" s="74" t="n">
        <f aca="false">+AE434/AD434*100-100</f>
        <v>46.9842528178222</v>
      </c>
      <c r="AF436" s="74" t="n">
        <f aca="false">+AF434/AE434*100-100</f>
        <v>66.1537718057379</v>
      </c>
      <c r="AG436" s="74" t="n">
        <f aca="false">+AG434/AF434*100-100</f>
        <v>0.225716045193479</v>
      </c>
      <c r="AH436" s="74" t="n">
        <f aca="false">+AH434/AG434*100-100</f>
        <v>-1.036220608978</v>
      </c>
      <c r="AI436" s="74" t="n">
        <f aca="false">+AI434/AH434*100-100</f>
        <v>13.7363436989326</v>
      </c>
      <c r="AJ436" s="74" t="n">
        <f aca="false">+AJ434/AI434*100-100</f>
        <v>10.7259056642131</v>
      </c>
      <c r="AK436" s="74" t="n">
        <f aca="false">+AK434/AJ434*100-100</f>
        <v>7.27787595819724</v>
      </c>
      <c r="AL436" s="74" t="n">
        <f aca="false">+AL434/AK434*100-100</f>
        <v>7.50527852254072</v>
      </c>
      <c r="AM436" s="36"/>
      <c r="AN436" s="36"/>
      <c r="AO436" s="36"/>
      <c r="AP436" s="36"/>
      <c r="AQ436" s="36"/>
      <c r="AR436" s="36"/>
      <c r="AS436" s="36"/>
      <c r="AT436" s="36"/>
      <c r="AU436" s="36"/>
      <c r="AV436" s="36"/>
      <c r="AW436" s="36"/>
      <c r="AX436" s="36"/>
      <c r="AY436" s="36"/>
    </row>
    <row r="437" customFormat="false" ht="15" hidden="false" customHeight="true" outlineLevel="0" collapsed="false">
      <c r="A437" s="47"/>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99" t="n">
        <f aca="false">+AC434-103844.6-7932.2-11914.7</f>
        <v>0</v>
      </c>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row>
    <row r="438" customFormat="false" ht="15" hidden="false" customHeight="true" outlineLevel="0" collapsed="false">
      <c r="A438" s="47" t="s">
        <v>535</v>
      </c>
      <c r="B438" s="35" t="n">
        <f aca="false">B434/B281*1000000</f>
        <v>289744.786349716</v>
      </c>
      <c r="C438" s="35" t="n">
        <f aca="false">C434/C281*1000000</f>
        <v>314503.426071163</v>
      </c>
      <c r="D438" s="35" t="n">
        <f aca="false">D434/D281*1000000</f>
        <v>321777.704702401</v>
      </c>
      <c r="E438" s="35" t="n">
        <f aca="false">E434/E281*1000000</f>
        <v>348514.131393888</v>
      </c>
      <c r="F438" s="35" t="n">
        <f aca="false">F434/F281*1000000</f>
        <v>362362.751430153</v>
      </c>
      <c r="G438" s="35" t="n">
        <f aca="false">G434/G281*1000000</f>
        <v>394109.107046629</v>
      </c>
      <c r="H438" s="35" t="n">
        <f aca="false">H434/H281*1000000</f>
        <v>430364.816246932</v>
      </c>
      <c r="I438" s="35" t="n">
        <f aca="false">I434/I281*1000000</f>
        <v>412433.76740009</v>
      </c>
      <c r="J438" s="35" t="n">
        <f aca="false">J434/J281*1000000</f>
        <v>464505.927636644</v>
      </c>
      <c r="K438" s="35" t="n">
        <f aca="false">K434/K281*1000000</f>
        <v>502310.517979308</v>
      </c>
      <c r="L438" s="35" t="n">
        <f aca="false">L434/L281*1000000</f>
        <v>504351.882340029</v>
      </c>
      <c r="M438" s="35" t="n">
        <f aca="false">M434/M281*1000000</f>
        <v>491101.039996712</v>
      </c>
      <c r="N438" s="35" t="n">
        <f aca="false">N434/N281*1000000</f>
        <v>554308.732188528</v>
      </c>
      <c r="O438" s="35" t="n">
        <f aca="false">O434/O281*1000000</f>
        <v>627389.668315627</v>
      </c>
      <c r="P438" s="35" t="n">
        <f aca="false">P434/P281*1000000</f>
        <v>657509.597910725</v>
      </c>
      <c r="Q438" s="35" t="n">
        <f aca="false">Q434/Q281*1000000</f>
        <v>692043.596730245</v>
      </c>
      <c r="R438" s="35" t="n">
        <f aca="false">R434/R281*1000000</f>
        <v>817997.721886425</v>
      </c>
      <c r="S438" s="35" t="n">
        <f aca="false">S434/S281*1000000</f>
        <v>816462.268873385</v>
      </c>
      <c r="T438" s="35" t="n">
        <f aca="false">T434/T192*1000000</f>
        <v>852077.524990297</v>
      </c>
      <c r="U438" s="35" t="n">
        <f aca="false">U434/U192*1000000</f>
        <v>927943.945484852</v>
      </c>
      <c r="V438" s="35" t="n">
        <f aca="false">V434/V192*1000000</f>
        <v>796034.935564649</v>
      </c>
      <c r="W438" s="35" t="n">
        <f aca="false">W434/W192*1000000</f>
        <v>851044.136248139</v>
      </c>
      <c r="X438" s="35" t="n">
        <f aca="false">X434/X192*1000000</f>
        <v>949954.223942346</v>
      </c>
      <c r="Y438" s="35" t="n">
        <f aca="false">Y434/Y205*1000000</f>
        <v>1099303.74471223</v>
      </c>
      <c r="Z438" s="35" t="n">
        <f aca="false">Z434/Z205*1000000</f>
        <v>1141990.45563794</v>
      </c>
      <c r="AA438" s="35" t="n">
        <f aca="false">AA434/AA205*1000000</f>
        <v>1284453.94268292</v>
      </c>
      <c r="AB438" s="35" t="n">
        <f aca="false">AB434/AB205*1000000</f>
        <v>1047777.73274019</v>
      </c>
      <c r="AC438" s="35" t="n">
        <f aca="false">AC434/AC205*1000000</f>
        <v>987533.23273694</v>
      </c>
      <c r="AD438" s="35" t="n">
        <f aca="false">AD434/AD205*1000000</f>
        <v>1132235.51606017</v>
      </c>
      <c r="AE438" s="35" t="n">
        <f aca="false">AE434/AE205*1000000</f>
        <v>1306132.0387139</v>
      </c>
      <c r="AF438" s="35" t="n">
        <f aca="false">AF434/AF205*1000000</f>
        <v>1448929.52836815</v>
      </c>
      <c r="AG438" s="35" t="n">
        <f aca="false">AG434/AG205*1000000</f>
        <v>1433715.83548641</v>
      </c>
      <c r="AH438" s="35" t="n">
        <f aca="false">AH434/AH205*1000000</f>
        <v>1415877.55583235</v>
      </c>
      <c r="AI438" s="35" t="n">
        <f aca="false">AI434/AI205*1000000</f>
        <v>1425220.81138829</v>
      </c>
      <c r="AJ438" s="35" t="n">
        <f aca="false">AJ434/AJ205*1000000</f>
        <v>1465356.01069985</v>
      </c>
      <c r="AK438" s="35" t="n">
        <f aca="false">AK434/AK205*1000000</f>
        <v>1468129.49011869</v>
      </c>
      <c r="AL438" s="35" t="n">
        <f aca="false">AL434/AL205*1000000</f>
        <v>1484216.06982527</v>
      </c>
      <c r="AM438" s="30"/>
      <c r="AN438" s="30"/>
      <c r="AO438" s="30"/>
      <c r="AP438" s="30"/>
      <c r="AQ438" s="30"/>
      <c r="AR438" s="30"/>
      <c r="AS438" s="30"/>
      <c r="AT438" s="30"/>
      <c r="AU438" s="30"/>
      <c r="AV438" s="30"/>
      <c r="AW438" s="30"/>
      <c r="AX438" s="30"/>
      <c r="AY438" s="30"/>
    </row>
    <row r="439" customFormat="false" ht="15" hidden="false" customHeight="true" outlineLevel="0" collapsed="false">
      <c r="A439" s="47"/>
      <c r="B439" s="30"/>
      <c r="C439" s="30"/>
      <c r="D439" s="30"/>
      <c r="E439" s="30"/>
      <c r="F439" s="30"/>
      <c r="G439" s="30"/>
      <c r="H439" s="30"/>
      <c r="I439" s="30"/>
      <c r="J439" s="30"/>
      <c r="K439" s="30"/>
      <c r="L439" s="30"/>
      <c r="M439" s="30"/>
      <c r="N439" s="35" t="n">
        <f aca="false">N438-M438</f>
        <v>63207.6921918161</v>
      </c>
      <c r="O439" s="35" t="n">
        <f aca="false">O438-N438</f>
        <v>73080.9361270998</v>
      </c>
      <c r="P439" s="35" t="n">
        <f aca="false">P438-O438</f>
        <v>30119.9295950971</v>
      </c>
      <c r="Q439" s="35" t="n">
        <f aca="false">Q438-P438</f>
        <v>34533.9988195207</v>
      </c>
      <c r="R439" s="35" t="n">
        <f aca="false">R438-Q438</f>
        <v>125954.12515618</v>
      </c>
      <c r="S439" s="35" t="n">
        <f aca="false">S438-R438</f>
        <v>-1535.45301304024</v>
      </c>
      <c r="T439" s="35" t="n">
        <f aca="false">T438-S438</f>
        <v>35615.2561169127</v>
      </c>
      <c r="U439" s="35" t="n">
        <f aca="false">U438-T438</f>
        <v>75866.4204945542</v>
      </c>
      <c r="V439" s="35" t="n">
        <f aca="false">V438-U438</f>
        <v>-131909.009920203</v>
      </c>
      <c r="W439" s="35" t="n">
        <f aca="false">W438-V438</f>
        <v>55009.2006834901</v>
      </c>
      <c r="X439" s="35" t="n">
        <f aca="false">X438-W438</f>
        <v>98910.087694207</v>
      </c>
      <c r="Y439" s="35" t="n">
        <f aca="false">Y438-X438</f>
        <v>149349.52076988</v>
      </c>
      <c r="Z439" s="35" t="n">
        <f aca="false">Z438-Y438</f>
        <v>42686.7109257178</v>
      </c>
      <c r="AA439" s="35" t="n">
        <f aca="false">AA438-Z438</f>
        <v>142463.48704498</v>
      </c>
      <c r="AB439" s="35" t="n">
        <f aca="false">AB438-AA438</f>
        <v>-236676.209942736</v>
      </c>
      <c r="AC439" s="35" t="n">
        <f aca="false">AC438-AB438</f>
        <v>-60244.5000032479</v>
      </c>
      <c r="AD439" s="35" t="n">
        <f aca="false">AD438-AC438</f>
        <v>144702.283323229</v>
      </c>
      <c r="AE439" s="35" t="n">
        <f aca="false">AE438-AD438</f>
        <v>173896.522653731</v>
      </c>
      <c r="AF439" s="35" t="n">
        <f aca="false">AF438-AE438</f>
        <v>142797.489654248</v>
      </c>
      <c r="AG439" s="35" t="n">
        <f aca="false">AG438-AF438</f>
        <v>-15213.6928817427</v>
      </c>
      <c r="AH439" s="35" t="n">
        <f aca="false">AH438-AG438</f>
        <v>-17838.2796540593</v>
      </c>
      <c r="AI439" s="35" t="n">
        <f aca="false">AI438-AH438</f>
        <v>9343.25555594126</v>
      </c>
      <c r="AJ439" s="35" t="n">
        <f aca="false">AJ438-AI438</f>
        <v>40135.1993115621</v>
      </c>
      <c r="AK439" s="35" t="n">
        <f aca="false">AK438-AJ438</f>
        <v>2773.47941884282</v>
      </c>
      <c r="AL439" s="35" t="n">
        <f aca="false">AL438-AK438</f>
        <v>16086.5797065755</v>
      </c>
      <c r="AM439" s="30"/>
      <c r="AN439" s="30"/>
      <c r="AO439" s="30"/>
      <c r="AP439" s="30"/>
      <c r="AQ439" s="30"/>
      <c r="AR439" s="30"/>
      <c r="AS439" s="30"/>
      <c r="AT439" s="30"/>
      <c r="AU439" s="30"/>
      <c r="AV439" s="30"/>
      <c r="AW439" s="30"/>
      <c r="AX439" s="30"/>
      <c r="AY439" s="30"/>
    </row>
    <row r="440" customFormat="false" ht="15" hidden="false" customHeight="true" outlineLevel="0" collapsed="false">
      <c r="A440" s="47" t="s">
        <v>536</v>
      </c>
      <c r="B440" s="34" t="n">
        <v>1330.6</v>
      </c>
      <c r="C440" s="34" t="n">
        <v>1223.45</v>
      </c>
      <c r="D440" s="34" t="n">
        <v>1791.33</v>
      </c>
      <c r="E440" s="34" t="n">
        <v>2199.23</v>
      </c>
      <c r="F440" s="34" t="n">
        <v>3011.55</v>
      </c>
      <c r="G440" s="34" t="n">
        <v>2454.9</v>
      </c>
      <c r="H440" s="34" t="n">
        <v>2263.75</v>
      </c>
      <c r="I440" s="34" t="n">
        <v>3454.64</v>
      </c>
      <c r="J440" s="34" t="n">
        <v>3546.51</v>
      </c>
      <c r="K440" s="34" t="n">
        <v>3692</v>
      </c>
      <c r="L440" s="34" t="n">
        <v>3936.2</v>
      </c>
      <c r="M440" s="34" t="n">
        <v>5333.89</v>
      </c>
      <c r="N440" s="34" t="n">
        <v>6289.04</v>
      </c>
      <c r="O440" s="34" t="n">
        <v>8054.51</v>
      </c>
      <c r="P440" s="34" t="n">
        <v>11365.41</v>
      </c>
      <c r="Q440" s="34" t="n">
        <v>12045.67</v>
      </c>
      <c r="R440" s="34" t="n">
        <v>6855.664</v>
      </c>
      <c r="S440" s="34" t="n">
        <v>6278.869</v>
      </c>
      <c r="T440" s="34" t="n">
        <v>9758.978</v>
      </c>
      <c r="U440" s="34" t="n">
        <v>8164.785</v>
      </c>
      <c r="V440" s="34" t="n">
        <v>8173.589</v>
      </c>
      <c r="W440" s="34" t="n">
        <v>6174.186</v>
      </c>
      <c r="X440" s="34" t="n">
        <v>9237.499</v>
      </c>
      <c r="Y440" s="34" t="n">
        <v>10556.702</v>
      </c>
      <c r="Z440" s="34" t="n">
        <v>13130.123</v>
      </c>
      <c r="AA440" s="34" t="n">
        <v>2766.04</v>
      </c>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row>
    <row r="441" customFormat="false" ht="15" hidden="false" customHeight="true" outlineLevel="0" collapsed="false">
      <c r="A441" s="29" t="s">
        <v>534</v>
      </c>
      <c r="B441" s="36"/>
      <c r="C441" s="74" t="n">
        <f aca="false">(100*C440)/B440-100</f>
        <v>-8.05275815421614</v>
      </c>
      <c r="D441" s="74" t="n">
        <f aca="false">(100*D440)/C440-100</f>
        <v>46.4162818259839</v>
      </c>
      <c r="E441" s="74" t="n">
        <f aca="false">(100*E440)/D440-100</f>
        <v>22.7707904182926</v>
      </c>
      <c r="F441" s="74" t="n">
        <f aca="false">(100*F440)/E440-100</f>
        <v>36.9365641610928</v>
      </c>
      <c r="G441" s="74" t="n">
        <f aca="false">(100*G440)/F440-100</f>
        <v>-18.4838372266773</v>
      </c>
      <c r="H441" s="74" t="n">
        <f aca="false">(100*H440)/G440-100</f>
        <v>-7.7864678805654</v>
      </c>
      <c r="I441" s="74" t="n">
        <f aca="false">(100*I440)/H440-100</f>
        <v>52.6069574820541</v>
      </c>
      <c r="J441" s="74" t="n">
        <f aca="false">(100*J440)/I440-100</f>
        <v>2.65932195539912</v>
      </c>
      <c r="K441" s="74" t="n">
        <f aca="false">(100*K440)/J440-100</f>
        <v>4.10234286664918</v>
      </c>
      <c r="L441" s="74" t="n">
        <f aca="false">(100*L440)/K440-100</f>
        <v>6.61430119176598</v>
      </c>
      <c r="M441" s="74" t="n">
        <f aca="false">(100*M440)/L440-100</f>
        <v>35.5086123672578</v>
      </c>
      <c r="N441" s="74" t="n">
        <f aca="false">(100*N440)/M440-100</f>
        <v>17.907193436685</v>
      </c>
      <c r="O441" s="74" t="n">
        <f aca="false">(100*O440)/N440-100</f>
        <v>28.0721699973287</v>
      </c>
      <c r="P441" s="74" t="n">
        <f aca="false">(100*P440)/O440-100</f>
        <v>41.1061628826583</v>
      </c>
      <c r="Q441" s="74" t="n">
        <f aca="false">(100*Q440)/P440-100</f>
        <v>5.98535380597797</v>
      </c>
      <c r="R441" s="74" t="n">
        <f aca="false">(100*R440)/Q440-100</f>
        <v>-43.0860715925308</v>
      </c>
      <c r="S441" s="74" t="n">
        <f aca="false">(100*S440)/R440-100</f>
        <v>-8.41340824171078</v>
      </c>
      <c r="T441" s="74" t="n">
        <f aca="false">(100*T440)/S440-100</f>
        <v>55.4257303345555</v>
      </c>
      <c r="U441" s="74" t="n">
        <f aca="false">(100*U440)/T440-100</f>
        <v>-16.3356552294718</v>
      </c>
      <c r="V441" s="74" t="n">
        <f aca="false">(100*V440)/U440-100</f>
        <v>0.107828926297515</v>
      </c>
      <c r="W441" s="74" t="n">
        <f aca="false">(100*W440)/V440-100</f>
        <v>-24.4617511352724</v>
      </c>
      <c r="X441" s="74" t="n">
        <f aca="false">(100*X440)/W440-100</f>
        <v>49.614848013973</v>
      </c>
      <c r="Y441" s="74" t="n">
        <f aca="false">(100*Y440)/X440-100</f>
        <v>14.280954184677</v>
      </c>
      <c r="Z441" s="74" t="n">
        <f aca="false">(100*Z440)/Y440-100</f>
        <v>24.3771302817869</v>
      </c>
      <c r="AA441" s="74" t="n">
        <f aca="false">(100*AA440)/Z440-100</f>
        <v>-78.9336322287308</v>
      </c>
      <c r="AB441" s="74" t="n">
        <f aca="false">(100*AB440)/AA440-100</f>
        <v>-100</v>
      </c>
      <c r="AC441" s="74" t="e">
        <f aca="false">(100*AC440)/AB440-100</f>
        <v>#DIV/0!</v>
      </c>
      <c r="AD441" s="74" t="e">
        <f aca="false">(100*AD440)/AC440-100</f>
        <v>#DIV/0!</v>
      </c>
      <c r="AE441" s="74" t="e">
        <f aca="false">(100*AE440)/AD440-100</f>
        <v>#DIV/0!</v>
      </c>
      <c r="AF441" s="74" t="e">
        <f aca="false">(100*AF440)/AE440-100</f>
        <v>#DIV/0!</v>
      </c>
      <c r="AG441" s="74" t="e">
        <f aca="false">(100*AG440)/AF440-100</f>
        <v>#DIV/0!</v>
      </c>
      <c r="AH441" s="74" t="e">
        <f aca="false">(100*AH440)/AG440-100</f>
        <v>#DIV/0!</v>
      </c>
      <c r="AI441" s="74" t="e">
        <f aca="false">(100*AI440)/AH440-100</f>
        <v>#DIV/0!</v>
      </c>
      <c r="AJ441" s="74" t="e">
        <f aca="false">(100*AJ440)/AI440-100</f>
        <v>#DIV/0!</v>
      </c>
      <c r="AK441" s="74" t="e">
        <f aca="false">(100*AK440)/AJ440-100</f>
        <v>#DIV/0!</v>
      </c>
      <c r="AL441" s="74" t="e">
        <f aca="false">(100*AL440)/AK440-100</f>
        <v>#DIV/0!</v>
      </c>
      <c r="AM441" s="36"/>
      <c r="AN441" s="36"/>
      <c r="AO441" s="36"/>
      <c r="AP441" s="36"/>
      <c r="AQ441" s="36"/>
      <c r="AR441" s="36"/>
      <c r="AS441" s="36"/>
      <c r="AT441" s="36"/>
      <c r="AU441" s="36"/>
      <c r="AV441" s="36"/>
      <c r="AW441" s="36"/>
      <c r="AX441" s="36"/>
      <c r="AY441" s="36"/>
    </row>
    <row r="442" customFormat="false" ht="15" hidden="false" customHeight="true" outlineLevel="0" collapsed="false">
      <c r="A442" s="47" t="s">
        <v>537</v>
      </c>
      <c r="B442" s="74" t="n">
        <f aca="false">+B440/B327*100</f>
        <v>13.9412030338304</v>
      </c>
      <c r="C442" s="74" t="n">
        <f aca="false">+C440/C327*100</f>
        <v>10.3568628978053</v>
      </c>
      <c r="D442" s="74" t="n">
        <f aca="false">+D440/D327*100</f>
        <v>11.8373056885254</v>
      </c>
      <c r="E442" s="74" t="n">
        <f aca="false">+E440/E327*100</f>
        <v>10.9430651907596</v>
      </c>
      <c r="F442" s="74" t="n">
        <f aca="false">+F440/F327*100</f>
        <v>12.1313572755313</v>
      </c>
      <c r="G442" s="74" t="n">
        <f aca="false">+G440/G327*100</f>
        <v>12.1874804293609</v>
      </c>
      <c r="H442" s="74" t="n">
        <f aca="false">+H440/H327*100</f>
        <v>11.0694232092023</v>
      </c>
      <c r="I442" s="74" t="n">
        <f aca="false">+I440/I327*100</f>
        <v>13.2936317060951</v>
      </c>
      <c r="J442" s="74" t="n">
        <f aca="false">+J440/J327*100</f>
        <v>13.6055562226494</v>
      </c>
      <c r="K442" s="74" t="n">
        <f aca="false">+K440/K327*100</f>
        <v>14.0356319531882</v>
      </c>
      <c r="L442" s="74" t="n">
        <f aca="false">+L440/L327*100</f>
        <v>12.8048354014889</v>
      </c>
      <c r="M442" s="74" t="n">
        <f aca="false">+M440/M327*100</f>
        <v>13.5816634086808</v>
      </c>
      <c r="N442" s="74" t="n">
        <f aca="false">+N440/N327*100</f>
        <v>13.0714433284102</v>
      </c>
      <c r="O442" s="74" t="n">
        <f aca="false">+O440/O327*100</f>
        <v>13.3064039167978</v>
      </c>
      <c r="P442" s="74" t="n">
        <f aca="false">+P440/P327*100</f>
        <v>13.6854874163683</v>
      </c>
      <c r="Q442" s="74" t="n">
        <f aca="false">+Q440/Q327*100</f>
        <v>13.4834206246243</v>
      </c>
      <c r="R442" s="74" t="n">
        <f aca="false">+R440/R327*100</f>
        <v>10.2835369798949</v>
      </c>
      <c r="S442" s="74" t="n">
        <f aca="false">+S440/S327*100</f>
        <v>7.97560027647292</v>
      </c>
      <c r="T442" s="74" t="n">
        <f aca="false">+T440/T327*100</f>
        <v>8.06953472309022</v>
      </c>
      <c r="U442" s="74" t="n">
        <f aca="false">+U440/U327*100</f>
        <v>5.98288113773669</v>
      </c>
      <c r="V442" s="74" t="n">
        <f aca="false">+V440/V327*100</f>
        <v>6.14622160300392</v>
      </c>
      <c r="W442" s="74" t="n">
        <f aca="false">+W440/W327*100</f>
        <v>5.84629906471597</v>
      </c>
      <c r="X442" s="74" t="n">
        <f aca="false">+X440/X327*100</f>
        <v>6.37687519413229</v>
      </c>
      <c r="Y442" s="74" t="n">
        <f aca="false">+Y440/Y327*100</f>
        <v>5.28020588352482</v>
      </c>
      <c r="Z442" s="74" t="n">
        <f aca="false">+Z440/Z327*100</f>
        <v>6.15522533114861</v>
      </c>
      <c r="AA442" s="74" t="n">
        <f aca="false">+AA440/AA327*100</f>
        <v>1.04282409057262</v>
      </c>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row>
    <row r="443" customFormat="false" ht="15" hidden="false" customHeight="true" outlineLevel="0" collapsed="false">
      <c r="A443" s="70" t="s">
        <v>538</v>
      </c>
      <c r="B443" s="83"/>
      <c r="C443" s="83"/>
      <c r="D443" s="83"/>
      <c r="E443" s="83"/>
      <c r="F443" s="83"/>
      <c r="G443" s="83"/>
      <c r="H443" s="83"/>
      <c r="I443" s="83"/>
      <c r="J443" s="83"/>
      <c r="K443" s="83"/>
      <c r="L443" s="83"/>
      <c r="M443" s="83"/>
      <c r="N443" s="83"/>
      <c r="O443" s="83"/>
      <c r="P443" s="83"/>
      <c r="Q443" s="83"/>
      <c r="R443" s="83"/>
      <c r="S443" s="83"/>
      <c r="T443" s="85" t="n">
        <f aca="false">0.1*(T273-18000)/T273</f>
        <v>0.0808726329883323</v>
      </c>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83"/>
    </row>
    <row r="444" customFormat="false" ht="15" hidden="false" customHeight="true" outlineLevel="0" collapsed="false">
      <c r="A444" s="70" t="s">
        <v>539</v>
      </c>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c r="AQ444" s="86"/>
      <c r="AR444" s="86"/>
      <c r="AS444" s="86"/>
      <c r="AT444" s="86"/>
      <c r="AU444" s="86"/>
      <c r="AV444" s="86"/>
      <c r="AW444" s="86"/>
      <c r="AX444" s="86"/>
      <c r="AY444" s="86"/>
    </row>
    <row r="445" customFormat="false" ht="15" hidden="false" customHeight="true" outlineLevel="0" collapsed="false">
      <c r="A445" s="47" t="s">
        <v>540</v>
      </c>
      <c r="B445" s="34" t="n">
        <v>82.84</v>
      </c>
      <c r="C445" s="34" t="n">
        <v>132.1</v>
      </c>
      <c r="D445" s="34" t="n">
        <v>123.6</v>
      </c>
      <c r="E445" s="34" t="n">
        <v>237.2</v>
      </c>
      <c r="F445" s="34" t="n">
        <v>295.4</v>
      </c>
      <c r="G445" s="34" t="n">
        <v>217.18</v>
      </c>
      <c r="H445" s="34" t="n">
        <v>163.68</v>
      </c>
      <c r="I445" s="34" t="n">
        <v>230.14</v>
      </c>
      <c r="J445" s="34" t="n">
        <v>228.13</v>
      </c>
      <c r="K445" s="34" t="n">
        <v>240.11</v>
      </c>
      <c r="L445" s="34" t="n">
        <v>209.12</v>
      </c>
      <c r="M445" s="34" t="n">
        <v>283.52</v>
      </c>
      <c r="N445" s="34" t="n">
        <v>289.77</v>
      </c>
      <c r="O445" s="34" t="n">
        <v>342.28</v>
      </c>
      <c r="P445" s="34" t="n">
        <v>378.88</v>
      </c>
      <c r="Q445" s="34" t="n">
        <v>412.75</v>
      </c>
      <c r="R445" s="34" t="n">
        <v>303.099</v>
      </c>
      <c r="S445" s="34" t="n">
        <v>341.219</v>
      </c>
      <c r="T445" s="34" t="n">
        <v>660.255</v>
      </c>
      <c r="U445" s="34" t="n">
        <v>710.862</v>
      </c>
      <c r="V445" s="34" t="n">
        <v>739.831</v>
      </c>
      <c r="W445" s="34" t="n">
        <v>502.502</v>
      </c>
      <c r="X445" s="34" t="n">
        <v>611.43</v>
      </c>
      <c r="Y445" s="34" t="n">
        <v>762.528</v>
      </c>
      <c r="Z445" s="34" t="n">
        <v>916.756</v>
      </c>
      <c r="AA445" s="34" t="n">
        <v>1082.912</v>
      </c>
      <c r="AB445" s="34" t="n">
        <v>1321</v>
      </c>
      <c r="AC445" s="34" t="n">
        <v>565.6</v>
      </c>
      <c r="AD445" s="34" t="n">
        <v>550.4</v>
      </c>
      <c r="AE445" s="34" t="n">
        <v>680.4</v>
      </c>
      <c r="AF445" s="34" t="n">
        <v>1063.6</v>
      </c>
      <c r="AG445" s="34" t="n">
        <v>1085.5</v>
      </c>
      <c r="AH445" s="34" t="n">
        <v>922.2</v>
      </c>
      <c r="AI445" s="35" t="n">
        <f aca="false">AI447*AI502/100</f>
        <v>1232.19684</v>
      </c>
      <c r="AJ445" s="35" t="n">
        <f aca="false">AJ447*AJ502/100</f>
        <v>1919.27794751966</v>
      </c>
      <c r="AK445" s="35" t="n">
        <f aca="false">AK447*AK502/100</f>
        <v>3109.88843016469</v>
      </c>
      <c r="AL445" s="35" t="n">
        <f aca="false">AL447*AL502/100</f>
        <v>3900.50992168695</v>
      </c>
      <c r="AM445" s="30"/>
      <c r="AN445" s="30"/>
      <c r="AO445" s="30"/>
      <c r="AP445" s="30"/>
      <c r="AQ445" s="30"/>
      <c r="AR445" s="30"/>
      <c r="AS445" s="30"/>
      <c r="AT445" s="30"/>
      <c r="AU445" s="30"/>
      <c r="AV445" s="30"/>
      <c r="AW445" s="30"/>
      <c r="AX445" s="30"/>
      <c r="AY445" s="30"/>
    </row>
    <row r="446" customFormat="false" ht="15" hidden="false" customHeight="true" outlineLevel="0" collapsed="false">
      <c r="A446" s="29" t="s">
        <v>534</v>
      </c>
      <c r="B446" s="36"/>
      <c r="C446" s="49" t="n">
        <f aca="false">+C445/B445*100-100</f>
        <v>59.4640270400772</v>
      </c>
      <c r="D446" s="49" t="n">
        <f aca="false">+D445/C445*100-100</f>
        <v>-6.43451930355791</v>
      </c>
      <c r="E446" s="49" t="n">
        <f aca="false">+E445/D445*100-100</f>
        <v>91.9093851132686</v>
      </c>
      <c r="F446" s="49" t="n">
        <f aca="false">+F445/E445*100-100</f>
        <v>24.5362563237774</v>
      </c>
      <c r="G446" s="49" t="n">
        <f aca="false">+G445/F445*100-100</f>
        <v>-26.4793500338524</v>
      </c>
      <c r="H446" s="49" t="n">
        <f aca="false">+H445/G445*100-100</f>
        <v>-24.6339441937563</v>
      </c>
      <c r="I446" s="49" t="n">
        <f aca="false">+I445/H445*100-100</f>
        <v>40.6036168132942</v>
      </c>
      <c r="J446" s="49" t="n">
        <f aca="false">+J445/I445*100-100</f>
        <v>-0.873381420005217</v>
      </c>
      <c r="K446" s="49" t="n">
        <f aca="false">+K445/J445*100-100</f>
        <v>5.25139175031781</v>
      </c>
      <c r="L446" s="49" t="n">
        <f aca="false">+L445/K445*100-100</f>
        <v>-12.9065844821124</v>
      </c>
      <c r="M446" s="49" t="n">
        <f aca="false">+M445/L445*100-100</f>
        <v>35.5776587605203</v>
      </c>
      <c r="N446" s="49" t="n">
        <f aca="false">+N445/M445*100-100</f>
        <v>2.20443002257336</v>
      </c>
      <c r="O446" s="49" t="n">
        <f aca="false">+O445/N445*100-100</f>
        <v>18.1212685923319</v>
      </c>
      <c r="P446" s="49" t="n">
        <f aca="false">+P445/O445*100-100</f>
        <v>10.6929998831366</v>
      </c>
      <c r="Q446" s="49" t="n">
        <f aca="false">+Q445/P445*100-100</f>
        <v>8.93950591216218</v>
      </c>
      <c r="R446" s="49" t="n">
        <f aca="false">+R445/Q445*100-100</f>
        <v>-26.5659600242277</v>
      </c>
      <c r="S446" s="49" t="n">
        <f aca="false">+S445/R445*100-100</f>
        <v>12.5767488510355</v>
      </c>
      <c r="T446" s="49" t="n">
        <f aca="false">+T445/S445*100-100</f>
        <v>93.4988966030614</v>
      </c>
      <c r="U446" s="49" t="n">
        <f aca="false">+U445/T445*100-100</f>
        <v>7.66476588590773</v>
      </c>
      <c r="V446" s="49" t="n">
        <f aca="false">+V445/U445*100-100</f>
        <v>4.07519321612352</v>
      </c>
      <c r="W446" s="49" t="n">
        <f aca="false">+W445/V445*100-100</f>
        <v>-32.0788125936869</v>
      </c>
      <c r="X446" s="49" t="n">
        <f aca="false">+X445/W445*100-100</f>
        <v>21.6771276532233</v>
      </c>
      <c r="Y446" s="49" t="n">
        <f aca="false">+Y445/X445*100-100</f>
        <v>24.7122319807664</v>
      </c>
      <c r="Z446" s="49" t="n">
        <f aca="false">+Z445/Y445*100-100</f>
        <v>20.2258802299719</v>
      </c>
      <c r="AA446" s="49" t="n">
        <f aca="false">+AA445/Z445*100-100</f>
        <v>18.1243427913207</v>
      </c>
      <c r="AB446" s="49" t="n">
        <f aca="false">+AB445/AA445*100-100</f>
        <v>21.9859046718478</v>
      </c>
      <c r="AC446" s="49" t="n">
        <f aca="false">+AC445/AB445*100-100</f>
        <v>-57.1839515518547</v>
      </c>
      <c r="AD446" s="49" t="n">
        <f aca="false">+AD445/AC445*100-100</f>
        <v>-2.68741159830269</v>
      </c>
      <c r="AE446" s="49" t="n">
        <f aca="false">+AE445/AD445*100-100</f>
        <v>23.6191860465116</v>
      </c>
      <c r="AF446" s="49" t="n">
        <f aca="false">+AF445/AE445*100-100</f>
        <v>56.3198118753674</v>
      </c>
      <c r="AG446" s="49" t="n">
        <f aca="false">+AG445/AF445*100-100</f>
        <v>2.05904475366681</v>
      </c>
      <c r="AH446" s="49" t="n">
        <f aca="false">+AH445/AG445*100-100</f>
        <v>-15.043758636573</v>
      </c>
      <c r="AI446" s="49" t="n">
        <f aca="false">+AI445/AH445*100-100</f>
        <v>33.61492517892</v>
      </c>
      <c r="AJ446" s="49" t="n">
        <f aca="false">+AJ445/AI445*100-100</f>
        <v>55.7606613826128</v>
      </c>
      <c r="AK446" s="49" t="n">
        <f aca="false">+AK445/AJ445*100-100</f>
        <v>62.0342918118604</v>
      </c>
      <c r="AL446" s="49" t="n">
        <f aca="false">+AL445/AK445*100-100</f>
        <v>25.4228249429642</v>
      </c>
      <c r="AM446" s="36"/>
      <c r="AN446" s="36"/>
      <c r="AO446" s="36"/>
      <c r="AP446" s="36"/>
      <c r="AQ446" s="36"/>
      <c r="AR446" s="36"/>
      <c r="AS446" s="36"/>
      <c r="AT446" s="36"/>
      <c r="AU446" s="36"/>
      <c r="AV446" s="36"/>
      <c r="AW446" s="36"/>
      <c r="AX446" s="36"/>
      <c r="AY446" s="36"/>
    </row>
    <row r="447" customFormat="false" ht="15" hidden="false" customHeight="true" outlineLevel="0" collapsed="false">
      <c r="A447" s="29" t="s">
        <v>229</v>
      </c>
      <c r="B447" s="59" t="n">
        <f aca="false">+B445/B502*100</f>
        <v>0.867946234272142</v>
      </c>
      <c r="C447" s="59" t="n">
        <f aca="false">+C445/C502*100</f>
        <v>1.11826522440646</v>
      </c>
      <c r="D447" s="59" t="n">
        <f aca="false">+D445/D502*100</f>
        <v>0.816762396153551</v>
      </c>
      <c r="E447" s="59" t="n">
        <f aca="false">+E445/E502*100</f>
        <v>1.1802744884565</v>
      </c>
      <c r="F447" s="59" t="n">
        <f aca="false">+F445/F502*100</f>
        <v>1.18995299403694</v>
      </c>
      <c r="G447" s="59" t="n">
        <f aca="false">+G445/G502*100</f>
        <v>1.07820155592839</v>
      </c>
      <c r="H447" s="59" t="n">
        <f aca="false">+H445/H502*100</f>
        <v>0.800372475265483</v>
      </c>
      <c r="I447" s="59" t="n">
        <f aca="false">+I445/I502*100</f>
        <v>0.885590510397819</v>
      </c>
      <c r="J447" s="59" t="n">
        <f aca="false">+J445/J502*100</f>
        <v>0.875180259204968</v>
      </c>
      <c r="K447" s="59" t="n">
        <f aca="false">+K445/K502*100</f>
        <v>0.912810289349951</v>
      </c>
      <c r="L447" s="59" t="n">
        <f aca="false">+L445/L502*100</f>
        <v>0.680287378476543</v>
      </c>
      <c r="M447" s="59" t="n">
        <f aca="false">+M445/M502*100</f>
        <v>0.721925875792185</v>
      </c>
      <c r="N447" s="59" t="n">
        <f aca="false">+N445/N502*100</f>
        <v>0.602271910064719</v>
      </c>
      <c r="O447" s="59" t="n">
        <f aca="false">+O445/O502*100</f>
        <v>0.565461577754767</v>
      </c>
      <c r="P447" s="59" t="n">
        <f aca="false">+P445/P502*100</f>
        <v>0.456222650332335</v>
      </c>
      <c r="Q447" s="59" t="n">
        <f aca="false">+Q445/Q502*100</f>
        <v>0.462015135962855</v>
      </c>
      <c r="R447" s="59" t="n">
        <f aca="false">+R445/R502*100</f>
        <v>0.454650311781493</v>
      </c>
      <c r="S447" s="59" t="n">
        <f aca="false">+S445/S502*100</f>
        <v>0.433426203148658</v>
      </c>
      <c r="T447" s="59" t="n">
        <f aca="false">+T445/T502*100</f>
        <v>0.545953751365556</v>
      </c>
      <c r="U447" s="59" t="n">
        <f aca="false">+U445/U502*100</f>
        <v>0.520895878009498</v>
      </c>
      <c r="V447" s="59" t="n">
        <f aca="false">+V445/V502*100</f>
        <v>0.556324189382656</v>
      </c>
      <c r="W447" s="59" t="n">
        <f aca="false">+W445/W502*100</f>
        <v>0.475816078851188</v>
      </c>
      <c r="X447" s="59" t="n">
        <f aca="false">+X445/X502*100</f>
        <v>0.422085328501612</v>
      </c>
      <c r="Y447" s="59" t="n">
        <f aca="false">+Y445/Y502*100</f>
        <v>0.38139798129685</v>
      </c>
      <c r="Z447" s="59" t="n">
        <f aca="false">+Z445/Z502*100</f>
        <v>0.429762901206826</v>
      </c>
      <c r="AA447" s="59" t="n">
        <f aca="false">+AA445/AA502*100</f>
        <v>0.408268398710854</v>
      </c>
      <c r="AB447" s="59" t="n">
        <f aca="false">+AB445/AB502*100</f>
        <v>0.454655747127426</v>
      </c>
      <c r="AC447" s="59" t="n">
        <f aca="false">+AC445/AC502*100</f>
        <v>0.323801901477432</v>
      </c>
      <c r="AD447" s="59" t="n">
        <f aca="false">+AD445/AD502*100</f>
        <v>0.359704472451957</v>
      </c>
      <c r="AE447" s="59" t="n">
        <f aca="false">+AE445/AE502*100</f>
        <v>0.31371767898714</v>
      </c>
      <c r="AF447" s="59" t="n">
        <f aca="false">+AF445/AF502*100</f>
        <v>0.294266235135211</v>
      </c>
      <c r="AG447" s="59" t="n">
        <f aca="false">+AG445/AG502*100</f>
        <v>0.282925209483246</v>
      </c>
      <c r="AH447" s="59" t="n">
        <f aca="false">+AH445/AH502*100</f>
        <v>0.237970269973168</v>
      </c>
      <c r="AI447" s="100" t="n">
        <v>0.28</v>
      </c>
      <c r="AJ447" s="100" t="n">
        <v>0.4</v>
      </c>
      <c r="AK447" s="100" t="n">
        <v>0.6</v>
      </c>
      <c r="AL447" s="100" t="n">
        <v>0.7</v>
      </c>
      <c r="AM447" s="43"/>
      <c r="AN447" s="43"/>
      <c r="AO447" s="43"/>
      <c r="AP447" s="43"/>
      <c r="AQ447" s="43"/>
      <c r="AR447" s="43"/>
      <c r="AS447" s="43"/>
      <c r="AT447" s="43"/>
      <c r="AU447" s="43"/>
      <c r="AV447" s="43"/>
      <c r="AW447" s="43"/>
      <c r="AX447" s="43"/>
      <c r="AY447" s="43"/>
    </row>
    <row r="448" customFormat="false" ht="15" hidden="false" customHeight="true" outlineLevel="0" collapsed="false">
      <c r="A448" s="47" t="s">
        <v>541</v>
      </c>
      <c r="B448" s="35" t="n">
        <f aca="false">+B445</f>
        <v>82.84</v>
      </c>
      <c r="C448" s="35" t="n">
        <f aca="false">+C445</f>
        <v>132.1</v>
      </c>
      <c r="D448" s="35" t="n">
        <f aca="false">+D445</f>
        <v>123.6</v>
      </c>
      <c r="E448" s="35" t="n">
        <f aca="false">+E445</f>
        <v>237.2</v>
      </c>
      <c r="F448" s="35" t="n">
        <f aca="false">+F445</f>
        <v>295.4</v>
      </c>
      <c r="G448" s="35" t="n">
        <f aca="false">+G445</f>
        <v>217.18</v>
      </c>
      <c r="H448" s="35" t="n">
        <f aca="false">+H445</f>
        <v>163.68</v>
      </c>
      <c r="I448" s="35" t="n">
        <f aca="false">+I445</f>
        <v>230.14</v>
      </c>
      <c r="J448" s="35" t="n">
        <f aca="false">+J445</f>
        <v>228.13</v>
      </c>
      <c r="K448" s="35" t="n">
        <f aca="false">+K445</f>
        <v>240.11</v>
      </c>
      <c r="L448" s="101" t="n">
        <f aca="false">+L445+-251.72</f>
        <v>-42.6</v>
      </c>
      <c r="M448" s="101" t="n">
        <f aca="false">+M445+37.75</f>
        <v>321.27</v>
      </c>
      <c r="N448" s="101" t="n">
        <f aca="false">+N445+102.55</f>
        <v>392.32</v>
      </c>
      <c r="O448" s="35" t="n">
        <f aca="false">+O445</f>
        <v>342.28</v>
      </c>
      <c r="P448" s="35" t="n">
        <f aca="false">+P445</f>
        <v>378.88</v>
      </c>
      <c r="Q448" s="35" t="n">
        <f aca="false">+Q445</f>
        <v>412.75</v>
      </c>
      <c r="R448" s="35" t="n">
        <f aca="false">+R445</f>
        <v>303.099</v>
      </c>
      <c r="S448" s="35" t="n">
        <f aca="false">+S445</f>
        <v>341.219</v>
      </c>
      <c r="T448" s="35" t="n">
        <f aca="false">+T445</f>
        <v>660.255</v>
      </c>
      <c r="U448" s="35" t="n">
        <f aca="false">+U445</f>
        <v>710.862</v>
      </c>
      <c r="V448" s="35" t="n">
        <f aca="false">+V445</f>
        <v>739.831</v>
      </c>
      <c r="W448" s="35" t="n">
        <f aca="false">+W445</f>
        <v>502.502</v>
      </c>
      <c r="X448" s="35" t="n">
        <f aca="false">+X445</f>
        <v>611.43</v>
      </c>
      <c r="Y448" s="35" t="n">
        <f aca="false">+Y445</f>
        <v>762.528</v>
      </c>
      <c r="Z448" s="35" t="n">
        <f aca="false">+Z445</f>
        <v>916.756</v>
      </c>
      <c r="AA448" s="35" t="n">
        <f aca="false">+AA445</f>
        <v>1082.912</v>
      </c>
      <c r="AB448" s="35" t="n">
        <f aca="false">+AB445</f>
        <v>1321</v>
      </c>
      <c r="AC448" s="35" t="n">
        <f aca="false">+AC445</f>
        <v>565.6</v>
      </c>
      <c r="AD448" s="35" t="n">
        <f aca="false">+AD445</f>
        <v>550.4</v>
      </c>
      <c r="AE448" s="35" t="n">
        <f aca="false">+AE445</f>
        <v>680.4</v>
      </c>
      <c r="AF448" s="35" t="n">
        <f aca="false">+AF445</f>
        <v>1063.6</v>
      </c>
      <c r="AG448" s="35" t="n">
        <f aca="false">+AG445</f>
        <v>1085.5</v>
      </c>
      <c r="AH448" s="35" t="n">
        <f aca="false">+AH445</f>
        <v>922.2</v>
      </c>
      <c r="AI448" s="35" t="n">
        <f aca="false">+AI445</f>
        <v>1232.19684</v>
      </c>
      <c r="AJ448" s="35" t="n">
        <f aca="false">+AJ445</f>
        <v>1919.27794751966</v>
      </c>
      <c r="AK448" s="35" t="n">
        <f aca="false">+AK445</f>
        <v>3109.88843016469</v>
      </c>
      <c r="AL448" s="35" t="n">
        <f aca="false">+AL445</f>
        <v>3900.50992168695</v>
      </c>
      <c r="AM448" s="30"/>
      <c r="AN448" s="30"/>
      <c r="AO448" s="30"/>
      <c r="AP448" s="30"/>
      <c r="AQ448" s="30"/>
      <c r="AR448" s="30"/>
      <c r="AS448" s="30"/>
      <c r="AT448" s="30"/>
      <c r="AU448" s="30"/>
      <c r="AV448" s="30"/>
      <c r="AW448" s="30"/>
      <c r="AX448" s="30"/>
      <c r="AY448" s="30"/>
    </row>
    <row r="449" customFormat="false" ht="15" hidden="false" customHeight="true" outlineLevel="0" collapsed="false">
      <c r="A449" s="29" t="s">
        <v>229</v>
      </c>
      <c r="B449" s="59" t="n">
        <f aca="false">+B448/B502*100</f>
        <v>0.867946234272142</v>
      </c>
      <c r="C449" s="59" t="n">
        <f aca="false">+C448/C502*100</f>
        <v>1.11826522440646</v>
      </c>
      <c r="D449" s="59" t="n">
        <f aca="false">+D448/D502*100</f>
        <v>0.816762396153551</v>
      </c>
      <c r="E449" s="59" t="n">
        <f aca="false">+E448/E502*100</f>
        <v>1.1802744884565</v>
      </c>
      <c r="F449" s="59" t="n">
        <f aca="false">+F448/F502*100</f>
        <v>1.18995299403694</v>
      </c>
      <c r="G449" s="59" t="n">
        <f aca="false">+G448/G502*100</f>
        <v>1.07820155592839</v>
      </c>
      <c r="H449" s="59" t="n">
        <f aca="false">+H448/H502*100</f>
        <v>0.800372475265483</v>
      </c>
      <c r="I449" s="59" t="n">
        <f aca="false">+I448/I502*100</f>
        <v>0.885590510397819</v>
      </c>
      <c r="J449" s="59" t="n">
        <f aca="false">+J448/J502*100</f>
        <v>0.875180259204968</v>
      </c>
      <c r="K449" s="59" t="n">
        <f aca="false">+K448/K502*100</f>
        <v>0.912810289349951</v>
      </c>
      <c r="L449" s="59" t="n">
        <f aca="false">+L448/L502*100</f>
        <v>-0.138581877979632</v>
      </c>
      <c r="M449" s="59" t="n">
        <f aca="false">+M448/M502*100</f>
        <v>0.818048554302184</v>
      </c>
      <c r="N449" s="59" t="n">
        <f aca="false">+N448/N502*100</f>
        <v>0.815416764180524</v>
      </c>
      <c r="O449" s="59" t="n">
        <f aca="false">+O448/O502*100</f>
        <v>0.565461577754767</v>
      </c>
      <c r="P449" s="59" t="n">
        <f aca="false">+P448/P502*100</f>
        <v>0.456222650332335</v>
      </c>
      <c r="Q449" s="59" t="n">
        <f aca="false">+Q448/Q502*100</f>
        <v>0.462015135962855</v>
      </c>
      <c r="R449" s="59" t="n">
        <f aca="false">+R448/R502*100</f>
        <v>0.454650311781493</v>
      </c>
      <c r="S449" s="59" t="n">
        <f aca="false">+S448/S502*100</f>
        <v>0.433426203148658</v>
      </c>
      <c r="T449" s="59" t="n">
        <f aca="false">+T448/T502*100</f>
        <v>0.545953751365556</v>
      </c>
      <c r="U449" s="59" t="n">
        <f aca="false">+U448/U502*100</f>
        <v>0.520895878009498</v>
      </c>
      <c r="V449" s="59" t="n">
        <f aca="false">+V448/V502*100</f>
        <v>0.556324189382656</v>
      </c>
      <c r="W449" s="59" t="n">
        <f aca="false">+W448/W502*100</f>
        <v>0.475816078851188</v>
      </c>
      <c r="X449" s="59" t="n">
        <f aca="false">+X448/X502*100</f>
        <v>0.422085328501612</v>
      </c>
      <c r="Y449" s="59" t="n">
        <f aca="false">+Y448/Y502*100</f>
        <v>0.38139798129685</v>
      </c>
      <c r="Z449" s="59" t="n">
        <f aca="false">+Z448/Z502*100</f>
        <v>0.429762901206826</v>
      </c>
      <c r="AA449" s="59" t="n">
        <f aca="false">+AA448/AA502*100</f>
        <v>0.408268398710854</v>
      </c>
      <c r="AB449" s="59" t="n">
        <f aca="false">+AB448/AB502*100</f>
        <v>0.454655747127426</v>
      </c>
      <c r="AC449" s="59" t="n">
        <f aca="false">+AC448/AC502*100</f>
        <v>0.323801901477432</v>
      </c>
      <c r="AD449" s="59" t="n">
        <f aca="false">+AD448/AD502*100</f>
        <v>0.359704472451957</v>
      </c>
      <c r="AE449" s="59" t="n">
        <f aca="false">+AE448/AE502*100</f>
        <v>0.31371767898714</v>
      </c>
      <c r="AF449" s="59" t="n">
        <f aca="false">+AF448/AF502*100</f>
        <v>0.294266235135211</v>
      </c>
      <c r="AG449" s="59" t="n">
        <f aca="false">+AG448/AG502*100</f>
        <v>0.282925209483246</v>
      </c>
      <c r="AH449" s="59" t="n">
        <f aca="false">+AH448/AH502*100</f>
        <v>0.237970269973168</v>
      </c>
      <c r="AI449" s="59" t="n">
        <f aca="false">+AI448/AI502*100</f>
        <v>0.28</v>
      </c>
      <c r="AJ449" s="59" t="n">
        <f aca="false">+AJ448/AJ502*100</f>
        <v>0.4</v>
      </c>
      <c r="AK449" s="59" t="n">
        <f aca="false">+AK448/AK502*100</f>
        <v>0.6</v>
      </c>
      <c r="AL449" s="59" t="n">
        <f aca="false">+AL448/AL502*100</f>
        <v>0.7</v>
      </c>
      <c r="AM449" s="43"/>
      <c r="AN449" s="43"/>
      <c r="AO449" s="43"/>
      <c r="AP449" s="43"/>
      <c r="AQ449" s="43"/>
      <c r="AR449" s="43"/>
      <c r="AS449" s="43"/>
      <c r="AT449" s="43"/>
      <c r="AU449" s="43"/>
      <c r="AV449" s="43"/>
      <c r="AW449" s="43"/>
      <c r="AX449" s="43"/>
      <c r="AY449" s="43"/>
    </row>
    <row r="450" customFormat="false" ht="15" hidden="false" customHeight="true" outlineLevel="0" collapsed="false">
      <c r="A450" s="29" t="s">
        <v>489</v>
      </c>
      <c r="B450" s="36"/>
      <c r="C450" s="49" t="n">
        <f aca="false">(100*C448)/B448-100</f>
        <v>59.4640270400772</v>
      </c>
      <c r="D450" s="49" t="n">
        <f aca="false">(100*D448)/C448-100</f>
        <v>-6.43451930355791</v>
      </c>
      <c r="E450" s="49" t="n">
        <f aca="false">(100*E448)/D448-100</f>
        <v>91.9093851132686</v>
      </c>
      <c r="F450" s="49" t="n">
        <f aca="false">(100*F448)/E448-100</f>
        <v>24.5362563237774</v>
      </c>
      <c r="G450" s="49" t="n">
        <f aca="false">(100*G448)/F448-100</f>
        <v>-26.4793500338524</v>
      </c>
      <c r="H450" s="49" t="n">
        <f aca="false">(100*H448)/G448-100</f>
        <v>-24.6339441937563</v>
      </c>
      <c r="I450" s="49" t="n">
        <f aca="false">(100*I448)/H448-100</f>
        <v>40.6036168132942</v>
      </c>
      <c r="J450" s="49" t="n">
        <f aca="false">(100*J448)/I448-100</f>
        <v>-0.873381420005202</v>
      </c>
      <c r="K450" s="49" t="n">
        <f aca="false">(100*K448)/J448-100</f>
        <v>5.25139175031781</v>
      </c>
      <c r="L450" s="49" t="n">
        <f aca="false">(100*L448)/K448-100</f>
        <v>-117.741868310358</v>
      </c>
      <c r="M450" s="49" t="n">
        <f aca="false">(100*M448)/L448-100</f>
        <v>-854.154929577465</v>
      </c>
      <c r="N450" s="49" t="n">
        <f aca="false">(100*N448)/M448-100</f>
        <v>22.1153546860896</v>
      </c>
      <c r="O450" s="49" t="n">
        <f aca="false">(100*O448)/N448-100</f>
        <v>-12.7548939641109</v>
      </c>
      <c r="P450" s="49" t="n">
        <f aca="false">(100*P448)/O448-100</f>
        <v>10.6929998831366</v>
      </c>
      <c r="Q450" s="49" t="n">
        <f aca="false">(100*Q448)/P448-100</f>
        <v>8.93950591216216</v>
      </c>
      <c r="R450" s="49" t="n">
        <f aca="false">(100*R448)/Q448-100</f>
        <v>-26.5659600242278</v>
      </c>
      <c r="S450" s="49" t="n">
        <f aca="false">(100*S448)/R448-100</f>
        <v>12.5767488510355</v>
      </c>
      <c r="T450" s="49" t="n">
        <f aca="false">(100*T448)/S448-100</f>
        <v>93.4988966030614</v>
      </c>
      <c r="U450" s="49" t="n">
        <f aca="false">(100*U448)/T448-100</f>
        <v>7.66476588590771</v>
      </c>
      <c r="V450" s="49" t="n">
        <f aca="false">(100*V448)/U448-100</f>
        <v>4.07519321612354</v>
      </c>
      <c r="W450" s="49" t="n">
        <f aca="false">(100*W448)/V448-100</f>
        <v>-32.0788125936869</v>
      </c>
      <c r="X450" s="49" t="n">
        <f aca="false">(100*X448)/W448-100</f>
        <v>21.6771276532233</v>
      </c>
      <c r="Y450" s="49" t="n">
        <f aca="false">(100*Y448)/X448-100</f>
        <v>24.7122319807664</v>
      </c>
      <c r="Z450" s="49" t="n">
        <f aca="false">(100*Z448)/Y448-100</f>
        <v>20.2258802299719</v>
      </c>
      <c r="AA450" s="49" t="n">
        <f aca="false">(100*AA448)/Z448-100</f>
        <v>18.1243427913207</v>
      </c>
      <c r="AB450" s="49" t="n">
        <f aca="false">(100*AB448)/AA448-100</f>
        <v>21.9859046718478</v>
      </c>
      <c r="AC450" s="49" t="n">
        <f aca="false">(100*AC448)/AB448-100</f>
        <v>-57.1839515518547</v>
      </c>
      <c r="AD450" s="49" t="n">
        <f aca="false">(100*AD448)/AC448-100</f>
        <v>-2.68741159830269</v>
      </c>
      <c r="AE450" s="49" t="n">
        <f aca="false">(100*AE448)/AD448-100</f>
        <v>23.6191860465116</v>
      </c>
      <c r="AF450" s="49" t="n">
        <f aca="false">(100*AF448)/AE448-100</f>
        <v>56.3198118753674</v>
      </c>
      <c r="AG450" s="49" t="n">
        <f aca="false">(100*AG448)/AF448-100</f>
        <v>2.0590447536668</v>
      </c>
      <c r="AH450" s="49" t="n">
        <f aca="false">(100*AH448)/AG448-100</f>
        <v>-15.043758636573</v>
      </c>
      <c r="AI450" s="49" t="n">
        <f aca="false">(100*AI448)/AH448-100</f>
        <v>33.6149251789201</v>
      </c>
      <c r="AJ450" s="49" t="n">
        <f aca="false">(100*AJ448)/AI448-100</f>
        <v>55.7606613826128</v>
      </c>
      <c r="AK450" s="49" t="n">
        <f aca="false">(100*AK448)/AJ448-100</f>
        <v>62.0342918118604</v>
      </c>
      <c r="AL450" s="49" t="n">
        <f aca="false">(100*AL448)/AK448-100</f>
        <v>25.4228249429642</v>
      </c>
      <c r="AM450" s="36"/>
      <c r="AN450" s="36"/>
      <c r="AO450" s="36"/>
      <c r="AP450" s="36"/>
      <c r="AQ450" s="36"/>
      <c r="AR450" s="36"/>
      <c r="AS450" s="36"/>
      <c r="AT450" s="36"/>
      <c r="AU450" s="36"/>
      <c r="AV450" s="36"/>
      <c r="AW450" s="36"/>
      <c r="AX450" s="36"/>
      <c r="AY450" s="36"/>
    </row>
    <row r="451" customFormat="false" ht="15" hidden="false" customHeight="true" outlineLevel="0" collapsed="false">
      <c r="A451" s="51" t="s">
        <v>542</v>
      </c>
      <c r="B451" s="52" t="n">
        <f aca="false">+B448+B440+B434</f>
        <v>7373.78</v>
      </c>
      <c r="C451" s="52" t="n">
        <f aca="false">+C448+C440+C434</f>
        <v>8974.71</v>
      </c>
      <c r="D451" s="52" t="n">
        <f aca="false">+D448+D440+D434</f>
        <v>11700.19</v>
      </c>
      <c r="E451" s="52" t="n">
        <f aca="false">+E448+E440+E434</f>
        <v>15470.51</v>
      </c>
      <c r="F451" s="52" t="n">
        <f aca="false">+F448+F440+F434</f>
        <v>19016.1</v>
      </c>
      <c r="G451" s="52" t="n">
        <f aca="false">+G448+G440+G434</f>
        <v>15105.04</v>
      </c>
      <c r="H451" s="52" t="n">
        <f aca="false">+H448+H440+H434</f>
        <v>15226.91</v>
      </c>
      <c r="I451" s="52" t="n">
        <f aca="false">+I448+I440+I434</f>
        <v>19299.11</v>
      </c>
      <c r="J451" s="52" t="n">
        <f aca="false">+J448+J440+J434</f>
        <v>18859.47</v>
      </c>
      <c r="K451" s="52" t="n">
        <f aca="false">+K448+K440+K434</f>
        <v>18837.17</v>
      </c>
      <c r="L451" s="52" t="n">
        <f aca="false">+L448+L440+L434</f>
        <v>22274.2</v>
      </c>
      <c r="M451" s="52" t="n">
        <f aca="false">+M448+M440+M434</f>
        <v>29549.19</v>
      </c>
      <c r="N451" s="52" t="n">
        <f aca="false">+N448+N440+N434</f>
        <v>37024.22</v>
      </c>
      <c r="O451" s="52" t="n">
        <f aca="false">+O448+O440+O434</f>
        <v>47078.5</v>
      </c>
      <c r="P451" s="52" t="n">
        <f aca="false">+P448+P440+P434</f>
        <v>66377.42</v>
      </c>
      <c r="Q451" s="52" t="n">
        <f aca="false">+Q448+Q440+Q434</f>
        <v>70111.88</v>
      </c>
      <c r="R451" s="52" t="n">
        <f aca="false">+R448+R440+R434</f>
        <v>51683.197</v>
      </c>
      <c r="S451" s="52" t="n">
        <f aca="false">+S448+S440+S434</f>
        <v>58813.255</v>
      </c>
      <c r="T451" s="52" t="n">
        <f aca="false">+T448+T440+T434</f>
        <v>91653.748</v>
      </c>
      <c r="U451" s="52" t="n">
        <f aca="false">+U448+U440+U434</f>
        <v>103516.65</v>
      </c>
      <c r="V451" s="52" t="n">
        <f aca="false">+V448+V440+V434</f>
        <v>100147.78</v>
      </c>
      <c r="W451" s="52" t="n">
        <f aca="false">+W448+W440+W434</f>
        <v>82706.418</v>
      </c>
      <c r="X451" s="52" t="n">
        <f aca="false">+X448+X440+X434</f>
        <v>109501.027</v>
      </c>
      <c r="Y451" s="52" t="n">
        <f aca="false">+Y448+Y440+Y434</f>
        <v>143267.834</v>
      </c>
      <c r="Z451" s="52" t="n">
        <f aca="false">+Z448+Z440+Z434</f>
        <v>153619.525</v>
      </c>
      <c r="AA451" s="52" t="n">
        <f aca="false">+AA448+AA440+AA434</f>
        <v>190061.699</v>
      </c>
      <c r="AB451" s="52" t="n">
        <f aca="false">+AB448+AB440+AB434</f>
        <v>208116.7</v>
      </c>
      <c r="AC451" s="52" t="n">
        <f aca="false">+AC448+AC440+AC434</f>
        <v>124257.1</v>
      </c>
      <c r="AD451" s="52" t="n">
        <f aca="false">+AD448+AD440+AD434</f>
        <v>114583.5</v>
      </c>
      <c r="AE451" s="52" t="n">
        <f aca="false">+AE448+AE440+AE434</f>
        <v>168291.1</v>
      </c>
      <c r="AF451" s="52" t="n">
        <f aca="false">+AF448+AF440+AF434</f>
        <v>279555.1</v>
      </c>
      <c r="AG451" s="52" t="n">
        <f aca="false">+AG448+AG440+AG434</f>
        <v>280205.6</v>
      </c>
      <c r="AH451" s="52" t="n">
        <f aca="false">+AH448+AH440+AH434</f>
        <v>277150</v>
      </c>
      <c r="AI451" s="52" t="n">
        <f aca="false">+AI448+AI440+AI434</f>
        <v>315403.59684</v>
      </c>
      <c r="AJ451" s="52" t="n">
        <f aca="false">+AJ448+AJ440+AJ434</f>
        <v>349788.405935457</v>
      </c>
      <c r="AK451" s="52" t="n">
        <f aca="false">+AK448+AK440+AK434</f>
        <v>376296.500049927</v>
      </c>
      <c r="AL451" s="52" t="n">
        <f aca="false">+AL448+AL440+AL434</f>
        <v>405095.816152345</v>
      </c>
      <c r="AM451" s="53"/>
      <c r="AN451" s="53"/>
      <c r="AO451" s="53"/>
      <c r="AP451" s="53"/>
      <c r="AQ451" s="53"/>
      <c r="AR451" s="53"/>
      <c r="AS451" s="53"/>
      <c r="AT451" s="53"/>
      <c r="AU451" s="53"/>
      <c r="AV451" s="53"/>
      <c r="AW451" s="53"/>
      <c r="AX451" s="53"/>
      <c r="AY451" s="53"/>
    </row>
    <row r="452" customFormat="false" ht="15" hidden="false" customHeight="true" outlineLevel="0" collapsed="false">
      <c r="A452" s="29" t="s">
        <v>229</v>
      </c>
      <c r="B452" s="49" t="n">
        <f aca="false">+B451/B502*100</f>
        <v>77.2579017787449</v>
      </c>
      <c r="C452" s="49" t="n">
        <f aca="false">+C451/C502*100</f>
        <v>75.9735510380989</v>
      </c>
      <c r="D452" s="49" t="n">
        <f aca="false">+D451/D502*100</f>
        <v>77.3161425554355</v>
      </c>
      <c r="E452" s="49" t="n">
        <f aca="false">+E451/E502*100</f>
        <v>76.9791242681751</v>
      </c>
      <c r="F452" s="49" t="n">
        <f aca="false">+F451/F502*100</f>
        <v>76.6021162149827</v>
      </c>
      <c r="G452" s="49" t="n">
        <f aca="false">+G451/G502*100</f>
        <v>74.9897671533316</v>
      </c>
      <c r="H452" s="49" t="n">
        <f aca="false">+H451/H502*100</f>
        <v>74.4574758513241</v>
      </c>
      <c r="I452" s="49" t="n">
        <f aca="false">+I451/I502*100</f>
        <v>74.2639640007111</v>
      </c>
      <c r="J452" s="49" t="n">
        <f aca="false">+J451/J502*100</f>
        <v>72.3510097009088</v>
      </c>
      <c r="K452" s="49" t="n">
        <f aca="false">+K451/K502*100</f>
        <v>71.6120219825672</v>
      </c>
      <c r="L452" s="49" t="n">
        <f aca="false">+L451/L502*100</f>
        <v>72.4601048472753</v>
      </c>
      <c r="M452" s="49" t="n">
        <f aca="false">+M451/M502*100</f>
        <v>75.240987830487</v>
      </c>
      <c r="N452" s="49" t="n">
        <f aca="false">+N451/N502*100</f>
        <v>76.952920240385</v>
      </c>
      <c r="O452" s="49" t="n">
        <f aca="false">+O451/O502*100</f>
        <v>77.7757475994151</v>
      </c>
      <c r="P452" s="49" t="n">
        <f aca="false">+P451/P502*100</f>
        <v>79.92737139628</v>
      </c>
      <c r="Q452" s="49" t="n">
        <f aca="false">+Q451/Q502*100</f>
        <v>78.4803144053577</v>
      </c>
      <c r="R452" s="49" t="n">
        <f aca="false">+R451/R502*100</f>
        <v>77.5251044375412</v>
      </c>
      <c r="S452" s="49" t="n">
        <f aca="false">+S451/S502*100</f>
        <v>74.7062907090867</v>
      </c>
      <c r="T452" s="49" t="n">
        <f aca="false">+T451/T502*100</f>
        <v>75.7869422379434</v>
      </c>
      <c r="U452" s="49" t="n">
        <f aca="false">+U451/U502*100</f>
        <v>75.8535359751286</v>
      </c>
      <c r="V452" s="49" t="n">
        <f aca="false">+V451/V502*100</f>
        <v>75.3072425012909</v>
      </c>
      <c r="W452" s="49" t="n">
        <f aca="false">+W451/W502*100</f>
        <v>78.3142027466305</v>
      </c>
      <c r="X452" s="49" t="n">
        <f aca="false">+X451/X502*100</f>
        <v>75.5912810175471</v>
      </c>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row>
    <row r="453" customFormat="false" ht="15" hidden="false" customHeight="true" outlineLevel="0" collapsed="false">
      <c r="A453" s="29" t="s">
        <v>489</v>
      </c>
      <c r="B453" s="36"/>
      <c r="C453" s="49" t="n">
        <f aca="false">(100*C451)/B451-100</f>
        <v>21.7111169576527</v>
      </c>
      <c r="D453" s="49" t="n">
        <f aca="false">(100*D451)/C451-100</f>
        <v>30.3684464456233</v>
      </c>
      <c r="E453" s="49" t="n">
        <f aca="false">(100*E451)/D451-100</f>
        <v>32.2244339621835</v>
      </c>
      <c r="F453" s="49" t="n">
        <f aca="false">(100*F451)/E451-100</f>
        <v>22.9183782564376</v>
      </c>
      <c r="G453" s="49" t="n">
        <f aca="false">(100*G451)/F451-100</f>
        <v>-20.5670984060875</v>
      </c>
      <c r="H453" s="49" t="n">
        <f aca="false">(100*H451)/G451-100</f>
        <v>0.806816797572225</v>
      </c>
      <c r="I453" s="49" t="n">
        <f aca="false">(100*I451)/H451-100</f>
        <v>26.7434430229114</v>
      </c>
      <c r="J453" s="49" t="n">
        <f aca="false">(100*J451)/I451-100</f>
        <v>-2.27803251030747</v>
      </c>
      <c r="K453" s="49" t="n">
        <f aca="false">(100*K451)/J451-100</f>
        <v>-0.11824298349849</v>
      </c>
      <c r="L453" s="49" t="n">
        <f aca="false">(100*L451)/K451-100</f>
        <v>18.2459997972094</v>
      </c>
      <c r="M453" s="49" t="n">
        <f aca="false">(100*M451)/L451-100</f>
        <v>32.6610607788383</v>
      </c>
      <c r="N453" s="49" t="n">
        <f aca="false">(100*N451)/M451-100</f>
        <v>25.2969032315268</v>
      </c>
      <c r="O453" s="49" t="n">
        <f aca="false">(100*O451)/N451-100</f>
        <v>27.1559535892991</v>
      </c>
      <c r="P453" s="49" t="n">
        <f aca="false">(100*P451)/O451-100</f>
        <v>40.993064774791</v>
      </c>
      <c r="Q453" s="49" t="n">
        <f aca="false">(100*Q451)/P451-100</f>
        <v>5.62609995989601</v>
      </c>
      <c r="R453" s="49" t="n">
        <f aca="false">(100*R451)/Q451-100</f>
        <v>-26.2846795721353</v>
      </c>
      <c r="S453" s="49" t="n">
        <f aca="false">(100*S451)/R451-100</f>
        <v>13.7956984356057</v>
      </c>
      <c r="T453" s="49" t="n">
        <f aca="false">(100*T451)/S451-100</f>
        <v>55.8385911475228</v>
      </c>
      <c r="U453" s="49" t="n">
        <f aca="false">(100*U451)/T451-100</f>
        <v>12.943171729322</v>
      </c>
      <c r="V453" s="49" t="n">
        <f aca="false">(100*V451)/U451-100</f>
        <v>-3.25442332223851</v>
      </c>
      <c r="W453" s="49" t="n">
        <f aca="false">(100*W451)/V451-100</f>
        <v>-17.4156251890956</v>
      </c>
      <c r="X453" s="49" t="n">
        <f aca="false">(100*X451)/W451-100</f>
        <v>32.397254829728</v>
      </c>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row>
    <row r="454" customFormat="false" ht="15" hidden="false" customHeight="true" outlineLevel="0" collapsed="false">
      <c r="A454" s="70" t="s">
        <v>543</v>
      </c>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c r="AQ454" s="86"/>
      <c r="AR454" s="86"/>
      <c r="AS454" s="86"/>
      <c r="AT454" s="86"/>
      <c r="AU454" s="86"/>
      <c r="AV454" s="86"/>
      <c r="AW454" s="86"/>
      <c r="AX454" s="86"/>
      <c r="AY454" s="86"/>
    </row>
    <row r="455" customFormat="false" ht="15" hidden="false" customHeight="true" outlineLevel="0" collapsed="false">
      <c r="A455" s="47" t="s">
        <v>544</v>
      </c>
      <c r="B455" s="34" t="n">
        <v>105.71</v>
      </c>
      <c r="C455" s="34" t="n">
        <v>143.06</v>
      </c>
      <c r="D455" s="34" t="n">
        <v>210.48</v>
      </c>
      <c r="E455" s="34" t="n">
        <v>266.01</v>
      </c>
      <c r="F455" s="34" t="n">
        <v>330.92</v>
      </c>
      <c r="G455" s="34" t="n">
        <v>322.87</v>
      </c>
      <c r="H455" s="34" t="n">
        <v>311.33</v>
      </c>
      <c r="I455" s="34" t="n">
        <v>385.18</v>
      </c>
      <c r="J455" s="34" t="n">
        <v>405.55</v>
      </c>
      <c r="K455" s="34" t="n">
        <v>397.64</v>
      </c>
      <c r="L455" s="34" t="n">
        <v>408.11</v>
      </c>
      <c r="M455" s="34" t="n">
        <v>486.73</v>
      </c>
      <c r="N455" s="34" t="n">
        <v>496.61</v>
      </c>
      <c r="O455" s="34" t="n">
        <v>414.06</v>
      </c>
      <c r="P455" s="34" t="n">
        <v>454.35</v>
      </c>
      <c r="Q455" s="34" t="n">
        <v>452.78</v>
      </c>
      <c r="R455" s="34" t="n">
        <v>384.199</v>
      </c>
      <c r="S455" s="34" t="n">
        <v>444.715</v>
      </c>
      <c r="T455" s="34" t="n">
        <v>651.851</v>
      </c>
      <c r="U455" s="34" t="n">
        <v>767.455</v>
      </c>
      <c r="V455" s="34" t="n">
        <v>859.982</v>
      </c>
      <c r="W455" s="34" t="n">
        <v>610.371</v>
      </c>
      <c r="X455" s="34" t="n">
        <v>824.943</v>
      </c>
      <c r="Y455" s="34" t="n">
        <v>1159.635</v>
      </c>
      <c r="Z455" s="34" t="n">
        <v>1687.253</v>
      </c>
      <c r="AA455" s="34" t="n">
        <v>2287.42</v>
      </c>
      <c r="AB455" s="34" t="n">
        <v>2498</v>
      </c>
      <c r="AC455" s="34" t="n">
        <v>1731.9</v>
      </c>
      <c r="AD455" s="34" t="n">
        <v>1618.7</v>
      </c>
      <c r="AE455" s="34" t="n">
        <v>1795.3</v>
      </c>
      <c r="AF455" s="34" t="n">
        <v>2539.1</v>
      </c>
      <c r="AG455" s="34" t="n">
        <v>2585.2</v>
      </c>
      <c r="AH455" s="34" t="n">
        <v>2588</v>
      </c>
      <c r="AI455" s="35" t="n">
        <f aca="false">AH455*(1+AI456/100)</f>
        <v>2639.76</v>
      </c>
      <c r="AJ455" s="35" t="n">
        <f aca="false">AI455*(1+AJ456/100)</f>
        <v>2850.9408</v>
      </c>
      <c r="AK455" s="35" t="n">
        <f aca="false">AJ455*(1+AK456/100)</f>
        <v>3079.016064</v>
      </c>
      <c r="AL455" s="35" t="n">
        <f aca="false">AK455*(1+AL456/100)</f>
        <v>3263.75702784</v>
      </c>
      <c r="AM455" s="30"/>
      <c r="AN455" s="30"/>
      <c r="AO455" s="30"/>
      <c r="AP455" s="30"/>
      <c r="AQ455" s="30"/>
      <c r="AR455" s="30"/>
      <c r="AS455" s="30"/>
      <c r="AT455" s="30"/>
      <c r="AU455" s="30"/>
      <c r="AV455" s="30"/>
      <c r="AW455" s="30"/>
      <c r="AX455" s="30"/>
      <c r="AY455" s="30"/>
    </row>
    <row r="456" customFormat="false" ht="15" hidden="false" customHeight="true" outlineLevel="0" collapsed="false">
      <c r="A456" s="29" t="s">
        <v>534</v>
      </c>
      <c r="B456" s="36"/>
      <c r="C456" s="49" t="n">
        <f aca="false">+C455/B455*100-100</f>
        <v>35.3325134802763</v>
      </c>
      <c r="D456" s="49" t="n">
        <f aca="false">+D455/C455*100-100</f>
        <v>47.1270795470432</v>
      </c>
      <c r="E456" s="49" t="n">
        <f aca="false">+E455/D455*100-100</f>
        <v>26.3825541619156</v>
      </c>
      <c r="F456" s="49" t="n">
        <f aca="false">+F455/E455*100-100</f>
        <v>24.4013382955528</v>
      </c>
      <c r="G456" s="49" t="n">
        <f aca="false">+G455/F455*100-100</f>
        <v>-2.43261211168863</v>
      </c>
      <c r="H456" s="49" t="n">
        <f aca="false">+H455/G455*100-100</f>
        <v>-3.57419394802862</v>
      </c>
      <c r="I456" s="49" t="n">
        <f aca="false">+I455/H455*100-100</f>
        <v>23.7208107153182</v>
      </c>
      <c r="J456" s="49" t="n">
        <f aca="false">+J455/I455*100-100</f>
        <v>5.28843657510774</v>
      </c>
      <c r="K456" s="49" t="n">
        <f aca="false">+K455/J455*100-100</f>
        <v>-1.95043767722845</v>
      </c>
      <c r="L456" s="49" t="n">
        <f aca="false">+L455/K455*100-100</f>
        <v>2.63303490594508</v>
      </c>
      <c r="M456" s="49" t="n">
        <f aca="false">+M455/L455*100-100</f>
        <v>19.2644140060278</v>
      </c>
      <c r="N456" s="49" t="n">
        <f aca="false">+N455/M455*100-100</f>
        <v>2.02987282476938</v>
      </c>
      <c r="O456" s="49" t="n">
        <f aca="false">+O455/N455*100-100</f>
        <v>-16.6227019190109</v>
      </c>
      <c r="P456" s="49" t="n">
        <f aca="false">+P455/O455*100-100</f>
        <v>9.73047384437038</v>
      </c>
      <c r="Q456" s="49" t="n">
        <f aca="false">+Q455/P455*100-100</f>
        <v>-0.345548585891947</v>
      </c>
      <c r="R456" s="49" t="n">
        <f aca="false">+R455/Q455*100-100</f>
        <v>-15.1466495869959</v>
      </c>
      <c r="S456" s="49" t="n">
        <f aca="false">+S455/R455*100-100</f>
        <v>15.7512122623953</v>
      </c>
      <c r="T456" s="49" t="n">
        <f aca="false">+T455/S455*100-100</f>
        <v>46.5772461014358</v>
      </c>
      <c r="U456" s="49" t="n">
        <f aca="false">+U455/T455*100-100</f>
        <v>17.7347277215192</v>
      </c>
      <c r="V456" s="49" t="n">
        <f aca="false">+V455/U455*100-100</f>
        <v>12.0563420656586</v>
      </c>
      <c r="W456" s="49" t="n">
        <f aca="false">+W455/V455*100-100</f>
        <v>-29.0251423867011</v>
      </c>
      <c r="X456" s="49" t="n">
        <f aca="false">+X455/W455*100-100</f>
        <v>35.1543569402872</v>
      </c>
      <c r="Y456" s="49" t="n">
        <f aca="false">+Y455/X455*100-100</f>
        <v>40.5715303966456</v>
      </c>
      <c r="Z456" s="49" t="n">
        <f aca="false">+Z455/Y455*100-100</f>
        <v>45.4986267230637</v>
      </c>
      <c r="AA456" s="49" t="n">
        <f aca="false">+AA455/Z455*100-100</f>
        <v>35.5706583422877</v>
      </c>
      <c r="AB456" s="49" t="n">
        <f aca="false">+AB455/AA455*100-100</f>
        <v>9.20600501875475</v>
      </c>
      <c r="AC456" s="49" t="n">
        <f aca="false">+AC455/AB455*100-100</f>
        <v>-30.6685348278623</v>
      </c>
      <c r="AD456" s="49" t="n">
        <f aca="false">+AD455/AC455*100-100</f>
        <v>-6.5361741440037</v>
      </c>
      <c r="AE456" s="49" t="n">
        <f aca="false">+AE455/AD455*100-100</f>
        <v>10.9099894977451</v>
      </c>
      <c r="AF456" s="49" t="n">
        <f aca="false">+AF455/AE455*100-100</f>
        <v>41.4304016041887</v>
      </c>
      <c r="AG456" s="49" t="n">
        <f aca="false">+AG455/AF455*100-100</f>
        <v>1.81560395415698</v>
      </c>
      <c r="AH456" s="49" t="n">
        <f aca="false">+AH455/AG455*100-100</f>
        <v>0.108308834906396</v>
      </c>
      <c r="AI456" s="78" t="n">
        <v>2</v>
      </c>
      <c r="AJ456" s="78" t="n">
        <v>8</v>
      </c>
      <c r="AK456" s="78" t="n">
        <v>8</v>
      </c>
      <c r="AL456" s="78" t="n">
        <v>6</v>
      </c>
      <c r="AM456" s="36"/>
      <c r="AN456" s="36"/>
      <c r="AO456" s="36"/>
      <c r="AP456" s="36"/>
      <c r="AQ456" s="36"/>
      <c r="AR456" s="36"/>
      <c r="AS456" s="36"/>
      <c r="AT456" s="36"/>
      <c r="AU456" s="36"/>
      <c r="AV456" s="36"/>
      <c r="AW456" s="36"/>
      <c r="AX456" s="36"/>
      <c r="AY456" s="36"/>
    </row>
    <row r="457" customFormat="false" ht="15" hidden="false" customHeight="true" outlineLevel="0" collapsed="false">
      <c r="A457" s="29" t="s">
        <v>229</v>
      </c>
      <c r="B457" s="59" t="n">
        <f aca="false">+B455/B502*100</f>
        <v>1.10756393559764</v>
      </c>
      <c r="C457" s="59" t="n">
        <f aca="false">+C455/C502*100</f>
        <v>1.21104483727167</v>
      </c>
      <c r="D457" s="59" t="n">
        <f aca="false">+D455/D502*100</f>
        <v>1.39087499306148</v>
      </c>
      <c r="E457" s="59" t="n">
        <f aca="false">+E455/E502*100</f>
        <v>1.32362907535545</v>
      </c>
      <c r="F457" s="59" t="n">
        <f aca="false">+F455/F502*100</f>
        <v>1.33303738925763</v>
      </c>
      <c r="G457" s="59" t="n">
        <f aca="false">+G455/G502*100</f>
        <v>1.60290513105534</v>
      </c>
      <c r="H457" s="59" t="n">
        <f aca="false">+H455/H502*100</f>
        <v>1.52236047607773</v>
      </c>
      <c r="I457" s="59" t="n">
        <f aca="false">+I455/I502*100</f>
        <v>1.48219237331638</v>
      </c>
      <c r="J457" s="59" t="n">
        <f aca="false">+J455/J502*100</f>
        <v>1.5558206028167</v>
      </c>
      <c r="K457" s="59" t="n">
        <f aca="false">+K455/K502*100</f>
        <v>1.51168166031034</v>
      </c>
      <c r="L457" s="59" t="n">
        <f aca="false">+L455/L502*100</f>
        <v>1.32762089723633</v>
      </c>
      <c r="M457" s="59" t="n">
        <f aca="false">+M455/M502*100</f>
        <v>1.23935871022972</v>
      </c>
      <c r="N457" s="59" t="n">
        <f aca="false">+N455/N502*100</f>
        <v>1.03217811801512</v>
      </c>
      <c r="O457" s="59" t="n">
        <f aca="false">+O455/O502*100</f>
        <v>0.684045287148354</v>
      </c>
      <c r="P457" s="59" t="n">
        <f aca="false">+P455/P502*100</f>
        <v>0.547098715103718</v>
      </c>
      <c r="Q457" s="59" t="n">
        <f aca="false">+Q455/Q502*100</f>
        <v>0.506823048482766</v>
      </c>
      <c r="R457" s="59" t="n">
        <f aca="false">+R455/R502*100</f>
        <v>0.576300796558674</v>
      </c>
      <c r="S457" s="59" t="n">
        <f aca="false">+S455/S502*100</f>
        <v>0.564889803713321</v>
      </c>
      <c r="T457" s="59" t="n">
        <f aca="false">+T455/T502*100</f>
        <v>0.539004625154507</v>
      </c>
      <c r="U457" s="59" t="n">
        <f aca="false">+U455/U502*100</f>
        <v>0.562365333999819</v>
      </c>
      <c r="V457" s="59" t="n">
        <f aca="false">+V455/V502*100</f>
        <v>0.646673076734653</v>
      </c>
      <c r="W457" s="59" t="n">
        <f aca="false">+W455/W502*100</f>
        <v>0.577956577017561</v>
      </c>
      <c r="X457" s="59" t="n">
        <f aca="false">+X455/X502*100</f>
        <v>0.569478660108442</v>
      </c>
      <c r="Y457" s="59" t="n">
        <f aca="false">+Y455/Y502*100</f>
        <v>0.580021255666903</v>
      </c>
      <c r="Z457" s="59" t="n">
        <f aca="false">+Z455/Z502*100</f>
        <v>0.790961547401839</v>
      </c>
      <c r="AA457" s="59" t="n">
        <f aca="false">+AA455/AA502*100</f>
        <v>0.86237967681509</v>
      </c>
      <c r="AB457" s="59" t="n">
        <f aca="false">+AB455/AB502*100</f>
        <v>0.859750231888198</v>
      </c>
      <c r="AC457" s="59" t="n">
        <f aca="false">+AC455/AC502*100</f>
        <v>0.991500200086217</v>
      </c>
      <c r="AD457" s="59" t="n">
        <f aca="false">+AD455/AD502*100</f>
        <v>1.05787360021436</v>
      </c>
      <c r="AE457" s="59" t="n">
        <f aca="false">+AE455/AE502*100</f>
        <v>0.827773881666097</v>
      </c>
      <c r="AF457" s="59" t="n">
        <f aca="false">+AF455/AF502*100</f>
        <v>0.702492852229988</v>
      </c>
      <c r="AG457" s="59" t="n">
        <f aca="false">+AG455/AG502*100</f>
        <v>0.673807693741215</v>
      </c>
      <c r="AH457" s="59" t="n">
        <f aca="false">+AH455/AH502*100</f>
        <v>0.667823746140273</v>
      </c>
      <c r="AI457" s="59" t="n">
        <f aca="false">+AI455/AI502*100</f>
        <v>0.599849614936522</v>
      </c>
      <c r="AJ457" s="59" t="n">
        <f aca="false">+AJ455/AJ502*100</f>
        <v>0.594169448710514</v>
      </c>
      <c r="AK457" s="59" t="n">
        <f aca="false">+AK455/AK502*100</f>
        <v>0.594043702816107</v>
      </c>
      <c r="AL457" s="59" t="n">
        <f aca="false">+AL455/AL502*100</f>
        <v>0.585725960286728</v>
      </c>
      <c r="AM457" s="43"/>
      <c r="AN457" s="43"/>
      <c r="AO457" s="43"/>
      <c r="AP457" s="43"/>
      <c r="AQ457" s="43"/>
      <c r="AR457" s="43"/>
      <c r="AS457" s="43"/>
      <c r="AT457" s="43"/>
      <c r="AU457" s="43"/>
      <c r="AV457" s="43"/>
      <c r="AW457" s="43"/>
      <c r="AX457" s="43"/>
      <c r="AY457" s="43"/>
    </row>
    <row r="458" customFormat="false" ht="15" hidden="false" customHeight="true" outlineLevel="0" collapsed="false">
      <c r="A458" s="29"/>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81" t="n">
        <f aca="false">13.8*0.9</f>
        <v>12.42</v>
      </c>
      <c r="AO458" s="36"/>
      <c r="AP458" s="36"/>
      <c r="AQ458" s="36"/>
      <c r="AR458" s="36"/>
      <c r="AS458" s="36"/>
      <c r="AT458" s="36"/>
      <c r="AU458" s="36"/>
      <c r="AV458" s="36"/>
      <c r="AW458" s="36"/>
      <c r="AX458" s="36"/>
      <c r="AY458" s="36"/>
    </row>
    <row r="459" customFormat="false" ht="15" hidden="false" customHeight="true" outlineLevel="0" collapsed="false">
      <c r="A459" s="47" t="s">
        <v>545</v>
      </c>
      <c r="B459" s="93" t="n">
        <f aca="false">21.94+114.69</f>
        <v>136.63</v>
      </c>
      <c r="C459" s="93" t="n">
        <f aca="false">23.55+116.02</f>
        <v>139.57</v>
      </c>
      <c r="D459" s="93" t="n">
        <f aca="false">36.24+162.76</f>
        <v>199</v>
      </c>
      <c r="E459" s="93" t="n">
        <f aca="false">44+230.35</f>
        <v>274.35</v>
      </c>
      <c r="F459" s="93" t="n">
        <f aca="false">55.16+123.73</f>
        <v>178.89</v>
      </c>
      <c r="G459" s="93" t="n">
        <f aca="false">55.63+152.65</f>
        <v>208.28</v>
      </c>
      <c r="H459" s="93" t="n">
        <f aca="false">56.55+123.4</f>
        <v>179.95</v>
      </c>
      <c r="I459" s="93" t="n">
        <f aca="false">65.38+165.64</f>
        <v>231.02</v>
      </c>
      <c r="J459" s="93" t="n">
        <f aca="false">52.74+174.31</f>
        <v>227.05</v>
      </c>
      <c r="K459" s="93" t="n">
        <f aca="false">61.87+180.68</f>
        <v>242.55</v>
      </c>
      <c r="L459" s="93" t="n">
        <f aca="false">70.08+189.27</f>
        <v>259.35</v>
      </c>
      <c r="M459" s="93" t="n">
        <f aca="false">68.62+221.7</f>
        <v>290.32</v>
      </c>
      <c r="N459" s="93" t="n">
        <f aca="false">99.51+285.7</f>
        <v>385.21</v>
      </c>
      <c r="O459" s="93" t="n">
        <f aca="false">120.89+332.86</f>
        <v>453.75</v>
      </c>
      <c r="P459" s="93" t="n">
        <f aca="false">131.5+416.97</f>
        <v>548.47</v>
      </c>
      <c r="Q459" s="93" t="n">
        <f aca="false">169.28+574.84</f>
        <v>744.12</v>
      </c>
      <c r="R459" s="93" t="n">
        <f aca="false">128.881+502.966</f>
        <v>631.847</v>
      </c>
      <c r="S459" s="93" t="n">
        <f aca="false">107.165+455.072</f>
        <v>562.237</v>
      </c>
      <c r="T459" s="93" t="n">
        <f aca="false">176.594+860.359</f>
        <v>1036.953</v>
      </c>
      <c r="U459" s="93" t="n">
        <f aca="false">278.376+996.727</f>
        <v>1275.103</v>
      </c>
      <c r="V459" s="93" t="n">
        <f aca="false">287.52+1103.371</f>
        <v>1390.891</v>
      </c>
      <c r="W459" s="93" t="n">
        <f aca="false">225.547+1016.978</f>
        <v>1242.525</v>
      </c>
      <c r="X459" s="93" t="n">
        <f aca="false">300.037+1013.694</f>
        <v>1313.731</v>
      </c>
      <c r="Y459" s="93" t="n">
        <f aca="false">405.307+1256.801</f>
        <v>1662.108</v>
      </c>
      <c r="Z459" s="93" t="n">
        <f aca="false">512.433+1492.324</f>
        <v>2004.757</v>
      </c>
      <c r="AA459" s="93" t="n">
        <f aca="false">574.043+1800.184</f>
        <v>2374.227</v>
      </c>
      <c r="AB459" s="93" t="n">
        <f aca="false">538.5+1978.6</f>
        <v>2517.1</v>
      </c>
      <c r="AC459" s="93" t="n">
        <f aca="false">434.5+1588.1</f>
        <v>2022.6</v>
      </c>
      <c r="AD459" s="93" t="n">
        <f aca="false">330.9+1240.7</f>
        <v>1571.6</v>
      </c>
      <c r="AE459" s="93" t="n">
        <f aca="false">448+1577.1</f>
        <v>2025.1</v>
      </c>
      <c r="AF459" s="93" t="n">
        <f aca="false">564.4+1773.7</f>
        <v>2338.1</v>
      </c>
      <c r="AG459" s="93" t="n">
        <f aca="false">656.2+1170+863.8</f>
        <v>2690</v>
      </c>
      <c r="AH459" s="93" t="n">
        <f aca="false">696.9+1277.8+924.4</f>
        <v>2899.1</v>
      </c>
      <c r="AI459" s="35" t="n">
        <f aca="false">AH459*(1+AI460/100)</f>
        <v>3044.055</v>
      </c>
      <c r="AJ459" s="35" t="n">
        <f aca="false">AI459*(1+AJ460/100)</f>
        <v>3287.5794</v>
      </c>
      <c r="AK459" s="35" t="n">
        <f aca="false">AJ459*(1+AK460/100)</f>
        <v>3550.585752</v>
      </c>
      <c r="AL459" s="35" t="n">
        <f aca="false">AK459*(1+AL460/100)</f>
        <v>3834.63261216</v>
      </c>
      <c r="AM459" s="30"/>
      <c r="AN459" s="30"/>
      <c r="AO459" s="30"/>
      <c r="AP459" s="30"/>
      <c r="AQ459" s="30"/>
      <c r="AR459" s="30"/>
      <c r="AS459" s="30"/>
      <c r="AT459" s="30"/>
      <c r="AU459" s="30"/>
      <c r="AV459" s="30"/>
      <c r="AW459" s="30"/>
      <c r="AX459" s="30"/>
      <c r="AY459" s="30"/>
    </row>
    <row r="460" customFormat="false" ht="15" hidden="false" customHeight="true" outlineLevel="0" collapsed="false">
      <c r="A460" s="29" t="s">
        <v>534</v>
      </c>
      <c r="B460" s="36"/>
      <c r="C460" s="49" t="n">
        <f aca="false">+C459/B459*100-100</f>
        <v>2.15179682353801</v>
      </c>
      <c r="D460" s="49" t="n">
        <f aca="false">+D459/C459*100-100</f>
        <v>42.580783836068</v>
      </c>
      <c r="E460" s="49" t="n">
        <f aca="false">+E459/D459*100-100</f>
        <v>37.8643216080402</v>
      </c>
      <c r="F460" s="49" t="n">
        <f aca="false">+F459/E459*100-100</f>
        <v>-34.7949699289229</v>
      </c>
      <c r="G460" s="49" t="n">
        <f aca="false">+G459/F459*100-100</f>
        <v>16.4290905025435</v>
      </c>
      <c r="H460" s="49" t="n">
        <f aca="false">+H459/G459*100-100</f>
        <v>-13.601882081813</v>
      </c>
      <c r="I460" s="49" t="n">
        <f aca="false">+I459/H459*100-100</f>
        <v>28.3801055848847</v>
      </c>
      <c r="J460" s="49" t="n">
        <f aca="false">+J459/I459*100-100</f>
        <v>-1.71846593368539</v>
      </c>
      <c r="K460" s="49" t="n">
        <f aca="false">+K459/J459*100-100</f>
        <v>6.82669015635322</v>
      </c>
      <c r="L460" s="49" t="n">
        <f aca="false">+L459/K459*100-100</f>
        <v>6.92640692640694</v>
      </c>
      <c r="M460" s="49" t="n">
        <f aca="false">+M459/L459*100-100</f>
        <v>11.9413919413919</v>
      </c>
      <c r="N460" s="49" t="n">
        <f aca="false">+N459/M459*100-100</f>
        <v>32.6846238633232</v>
      </c>
      <c r="O460" s="49" t="n">
        <f aca="false">+O459/N459*100-100</f>
        <v>17.7928921886763</v>
      </c>
      <c r="P460" s="49" t="n">
        <f aca="false">+P459/O459*100-100</f>
        <v>20.8749311294766</v>
      </c>
      <c r="Q460" s="49" t="n">
        <f aca="false">+Q459/P459*100-100</f>
        <v>35.6719601801375</v>
      </c>
      <c r="R460" s="49" t="n">
        <f aca="false">+R459/Q459*100-100</f>
        <v>-15.08802343708</v>
      </c>
      <c r="S460" s="49" t="n">
        <f aca="false">+S459/R459*100-100</f>
        <v>-11.0169075741437</v>
      </c>
      <c r="T460" s="49" t="n">
        <f aca="false">+T459/S459*100-100</f>
        <v>84.4334328761715</v>
      </c>
      <c r="U460" s="49" t="n">
        <f aca="false">+U459/T459*100-100</f>
        <v>22.9663253782958</v>
      </c>
      <c r="V460" s="49" t="n">
        <f aca="false">+V459/U459*100-100</f>
        <v>9.08067818835028</v>
      </c>
      <c r="W460" s="49" t="n">
        <f aca="false">+W459/V459*100-100</f>
        <v>-10.6669753417054</v>
      </c>
      <c r="X460" s="49" t="n">
        <f aca="false">+X459/W459*100-100</f>
        <v>5.73074988430817</v>
      </c>
      <c r="Y460" s="49" t="n">
        <f aca="false">+Y459/X459*100-100</f>
        <v>26.5181380358688</v>
      </c>
      <c r="Z460" s="49" t="n">
        <f aca="false">+Z459/Y459*100-100</f>
        <v>20.6153270425267</v>
      </c>
      <c r="AA460" s="49" t="n">
        <f aca="false">+AA459/Z459*100-100</f>
        <v>18.4296650416983</v>
      </c>
      <c r="AB460" s="49" t="n">
        <f aca="false">+AB459/AA459*100-100</f>
        <v>6.01766385438292</v>
      </c>
      <c r="AC460" s="49" t="n">
        <f aca="false">+AC459/AB459*100-100</f>
        <v>-19.6456239323031</v>
      </c>
      <c r="AD460" s="49" t="n">
        <f aca="false">+AD459/AC459*100-100</f>
        <v>-22.2980322357362</v>
      </c>
      <c r="AE460" s="49" t="n">
        <f aca="false">+AE459/AD459*100-100</f>
        <v>28.8559429880377</v>
      </c>
      <c r="AF460" s="49" t="n">
        <f aca="false">+AF459/AE459*100-100</f>
        <v>15.456026862871</v>
      </c>
      <c r="AG460" s="49" t="n">
        <f aca="false">+AG459/AF459*100-100</f>
        <v>15.0506821778367</v>
      </c>
      <c r="AH460" s="49" t="n">
        <f aca="false">+AH459/AG459*100-100</f>
        <v>7.7732342007435</v>
      </c>
      <c r="AI460" s="78" t="n">
        <v>5</v>
      </c>
      <c r="AJ460" s="78" t="n">
        <v>8</v>
      </c>
      <c r="AK460" s="78" t="n">
        <v>8</v>
      </c>
      <c r="AL460" s="78" t="n">
        <v>8</v>
      </c>
      <c r="AM460" s="36"/>
      <c r="AN460" s="36"/>
      <c r="AO460" s="36"/>
      <c r="AP460" s="36"/>
      <c r="AQ460" s="36"/>
      <c r="AR460" s="36"/>
      <c r="AS460" s="36"/>
      <c r="AT460" s="36"/>
      <c r="AU460" s="36"/>
      <c r="AV460" s="36"/>
      <c r="AW460" s="36"/>
      <c r="AX460" s="36"/>
      <c r="AY460" s="36"/>
    </row>
    <row r="461" customFormat="false" ht="15" hidden="false" customHeight="true" outlineLevel="0" collapsed="false">
      <c r="A461" s="29" t="s">
        <v>229</v>
      </c>
      <c r="B461" s="59" t="n">
        <f aca="false">+B459/B502*100</f>
        <v>1.43152455321828</v>
      </c>
      <c r="C461" s="59" t="n">
        <f aca="false">+C459/C502*100</f>
        <v>1.18150096419689</v>
      </c>
      <c r="D461" s="59" t="n">
        <f aca="false">+D459/D502*100</f>
        <v>1.31501389024722</v>
      </c>
      <c r="E461" s="59" t="n">
        <f aca="false">+E459/E502*100</f>
        <v>1.36512776521096</v>
      </c>
      <c r="F461" s="59" t="n">
        <f aca="false">+F459/F502*100</f>
        <v>0.720618453294748</v>
      </c>
      <c r="G461" s="59" t="n">
        <f aca="false">+G459/G502*100</f>
        <v>1.03401703687616</v>
      </c>
      <c r="H461" s="59" t="n">
        <f aca="false">+H459/H502*100</f>
        <v>0.879930516397994</v>
      </c>
      <c r="I461" s="59" t="n">
        <f aca="false">+I459/I502*100</f>
        <v>0.888976795481464</v>
      </c>
      <c r="J461" s="59" t="n">
        <f aca="false">+J459/J502*100</f>
        <v>0.871037030870504</v>
      </c>
      <c r="K461" s="59" t="n">
        <f aca="false">+K459/K502*100</f>
        <v>0.922086275797887</v>
      </c>
      <c r="L461" s="59" t="n">
        <f aca="false">+L459/L502*100</f>
        <v>0.843690376854875</v>
      </c>
      <c r="M461" s="59" t="n">
        <f aca="false">+M459/M502*100</f>
        <v>0.739240689404582</v>
      </c>
      <c r="N461" s="59" t="n">
        <f aca="false">+N459/N502*100</f>
        <v>0.800638998088243</v>
      </c>
      <c r="O461" s="59" t="n">
        <f aca="false">+O459/O502*100</f>
        <v>0.749614908572588</v>
      </c>
      <c r="P461" s="59" t="n">
        <f aca="false">+P459/P502*100</f>
        <v>0.660431896716047</v>
      </c>
      <c r="Q461" s="59" t="n">
        <f aca="false">+Q459/Q502*100</f>
        <v>0.832936893937443</v>
      </c>
      <c r="R461" s="59" t="n">
        <f aca="false">+R459/R502*100</f>
        <v>0.947774276880493</v>
      </c>
      <c r="S461" s="59" t="n">
        <f aca="false">+S459/S502*100</f>
        <v>0.71416963351892</v>
      </c>
      <c r="T461" s="59" t="n">
        <f aca="false">+T459/T502*100</f>
        <v>0.857438989995937</v>
      </c>
      <c r="U461" s="59" t="n">
        <f aca="false">+U459/U502*100</f>
        <v>0.934352795250758</v>
      </c>
      <c r="V461" s="59" t="n">
        <f aca="false">+V459/V502*100</f>
        <v>1.04589603314085</v>
      </c>
      <c r="W461" s="59" t="n">
        <f aca="false">+W459/W502*100</f>
        <v>1.17653934387241</v>
      </c>
      <c r="X461" s="59" t="n">
        <f aca="false">+X459/X502*100</f>
        <v>0.906901167259949</v>
      </c>
      <c r="Y461" s="59" t="n">
        <f aca="false">+Y459/Y502*100</f>
        <v>0.831346043551639</v>
      </c>
      <c r="Z461" s="59" t="n">
        <f aca="false">+Z459/Z502*100</f>
        <v>0.939803158675474</v>
      </c>
      <c r="AA461" s="59" t="n">
        <f aca="false">+AA459/AA502*100</f>
        <v>0.895106763491471</v>
      </c>
      <c r="AB461" s="59" t="n">
        <f aca="false">+AB459/AB502*100</f>
        <v>0.866323982660442</v>
      </c>
      <c r="AC461" s="59" t="n">
        <f aca="false">+AC459/AC502*100</f>
        <v>1.15792384357895</v>
      </c>
      <c r="AD461" s="59" t="n">
        <f aca="false">+AD459/AD502*100</f>
        <v>1.02709220368004</v>
      </c>
      <c r="AE461" s="59" t="n">
        <f aca="false">+AE459/AE502*100</f>
        <v>0.933729676244646</v>
      </c>
      <c r="AF461" s="59" t="n">
        <f aca="false">+AF459/AF502*100</f>
        <v>0.646882177857877</v>
      </c>
      <c r="AG461" s="59" t="n">
        <f aca="false">+AG459/AG502*100</f>
        <v>0.701122812998556</v>
      </c>
      <c r="AH461" s="59" t="n">
        <f aca="false">+AH459/AH502*100</f>
        <v>0.748101940662776</v>
      </c>
      <c r="AI461" s="59" t="n">
        <f aca="false">+AI459/AI502*100</f>
        <v>0.691720163801102</v>
      </c>
      <c r="AJ461" s="59" t="n">
        <f aca="false">+AJ459/AJ502*100</f>
        <v>0.685170046214232</v>
      </c>
      <c r="AK461" s="59" t="n">
        <f aca="false">+AK459/AK502*100</f>
        <v>0.685025041585555</v>
      </c>
      <c r="AL461" s="59" t="n">
        <f aca="false">+AL459/AL502*100</f>
        <v>0.68817741331397</v>
      </c>
      <c r="AM461" s="43"/>
      <c r="AN461" s="43"/>
      <c r="AO461" s="43"/>
      <c r="AP461" s="43"/>
      <c r="AQ461" s="43"/>
      <c r="AR461" s="43"/>
      <c r="AS461" s="43"/>
      <c r="AT461" s="43"/>
      <c r="AU461" s="43"/>
      <c r="AV461" s="43"/>
      <c r="AW461" s="43"/>
      <c r="AX461" s="43"/>
      <c r="AY461" s="43"/>
    </row>
    <row r="462" customFormat="false" ht="15" hidden="false" customHeight="true" outlineLevel="0" collapsed="false">
      <c r="A462" s="70" t="s">
        <v>546</v>
      </c>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c r="AQ462" s="86"/>
      <c r="AR462" s="86"/>
      <c r="AS462" s="86"/>
      <c r="AT462" s="86"/>
      <c r="AU462" s="86"/>
      <c r="AV462" s="86"/>
      <c r="AW462" s="86"/>
      <c r="AX462" s="86"/>
      <c r="AY462" s="86"/>
    </row>
    <row r="463" customFormat="false" ht="15" hidden="false" customHeight="true" outlineLevel="0" collapsed="false">
      <c r="A463" s="29" t="s">
        <v>547</v>
      </c>
      <c r="B463" s="62" t="n">
        <v>588.6</v>
      </c>
      <c r="C463" s="62" t="n">
        <v>743.4</v>
      </c>
      <c r="D463" s="62" t="n">
        <v>910.09</v>
      </c>
      <c r="E463" s="62" t="n">
        <v>1257.15</v>
      </c>
      <c r="F463" s="62" t="n">
        <v>1472.56</v>
      </c>
      <c r="G463" s="62" t="n">
        <v>1432.13</v>
      </c>
      <c r="H463" s="62" t="n">
        <v>1582.2</v>
      </c>
      <c r="I463" s="62" t="n">
        <v>1744.94</v>
      </c>
      <c r="J463" s="92" t="n">
        <f aca="false">1925.42-29.08</f>
        <v>1896.34</v>
      </c>
      <c r="K463" s="92" t="n">
        <f aca="false">1996.82-29.68</f>
        <v>1967.14</v>
      </c>
      <c r="L463" s="62" t="n">
        <v>2149.42</v>
      </c>
      <c r="M463" s="62" t="n">
        <v>2343.48</v>
      </c>
      <c r="N463" s="62" t="n">
        <v>2604.82</v>
      </c>
      <c r="O463" s="62" t="n">
        <v>3088.9</v>
      </c>
      <c r="P463" s="62" t="n">
        <v>4442.28</v>
      </c>
      <c r="Q463" s="62" t="n">
        <v>4984.56</v>
      </c>
      <c r="R463" s="62" t="n">
        <v>4482.746</v>
      </c>
      <c r="S463" s="62" t="n">
        <v>5407.245</v>
      </c>
      <c r="T463" s="32" t="n">
        <f aca="false">7713.586+T524</f>
        <v>7213.586</v>
      </c>
      <c r="U463" s="62" t="n">
        <v>8046.495</v>
      </c>
      <c r="V463" s="62" t="n">
        <v>8425.195</v>
      </c>
      <c r="W463" s="62" t="n">
        <v>7745.543</v>
      </c>
      <c r="X463" s="62" t="n">
        <v>9391.556</v>
      </c>
      <c r="Y463" s="62" t="n">
        <v>11050.618</v>
      </c>
      <c r="Z463" s="92" t="n">
        <f aca="false">11988.982+181.152</f>
        <v>12170.134</v>
      </c>
      <c r="AA463" s="62" t="n">
        <v>15083.731</v>
      </c>
      <c r="AB463" s="62" t="n">
        <v>18355.7</v>
      </c>
      <c r="AC463" s="62" t="n">
        <v>13834.2</v>
      </c>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row>
    <row r="464" customFormat="false" ht="15" hidden="false" customHeight="true" outlineLevel="0" collapsed="false">
      <c r="A464" s="29" t="s">
        <v>548</v>
      </c>
      <c r="B464" s="62" t="n">
        <v>49.58</v>
      </c>
      <c r="C464" s="62" t="n">
        <v>82.16</v>
      </c>
      <c r="D464" s="62" t="n">
        <v>83.59</v>
      </c>
      <c r="E464" s="62" t="n">
        <v>140</v>
      </c>
      <c r="F464" s="62" t="n">
        <v>168</v>
      </c>
      <c r="G464" s="62" t="n">
        <v>184.04</v>
      </c>
      <c r="H464" s="62" t="n">
        <v>233.65</v>
      </c>
      <c r="I464" s="62" t="n">
        <v>254.53</v>
      </c>
      <c r="J464" s="62" t="n">
        <v>318.66</v>
      </c>
      <c r="K464" s="62" t="n">
        <v>300.33</v>
      </c>
      <c r="L464" s="62" t="n">
        <v>377.27</v>
      </c>
      <c r="M464" s="62" t="n">
        <v>378.02</v>
      </c>
      <c r="N464" s="62" t="n">
        <v>500.71</v>
      </c>
      <c r="O464" s="62" t="n">
        <v>474.23</v>
      </c>
      <c r="P464" s="62" t="n">
        <v>534.74</v>
      </c>
      <c r="Q464" s="62" t="n">
        <v>506.4</v>
      </c>
      <c r="R464" s="62" t="n">
        <v>489.407</v>
      </c>
      <c r="S464" s="62" t="n">
        <v>543.93</v>
      </c>
      <c r="T464" s="62" t="n">
        <v>850.607</v>
      </c>
      <c r="U464" s="62" t="n">
        <v>874.445</v>
      </c>
      <c r="V464" s="62" t="n">
        <v>916.161</v>
      </c>
      <c r="W464" s="62" t="n">
        <v>860.807</v>
      </c>
      <c r="X464" s="62" t="n">
        <v>833.549</v>
      </c>
      <c r="Y464" s="62" t="n">
        <v>814.085</v>
      </c>
      <c r="Z464" s="62" t="n">
        <v>900.054</v>
      </c>
      <c r="AA464" s="62" t="n">
        <v>984.578</v>
      </c>
      <c r="AB464" s="62" t="n">
        <v>1073.2</v>
      </c>
      <c r="AC464" s="62" t="n">
        <v>1269.9</v>
      </c>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row>
    <row r="465" customFormat="false" ht="15" hidden="false" customHeight="true" outlineLevel="0" collapsed="false">
      <c r="A465" s="29" t="s">
        <v>549</v>
      </c>
      <c r="B465" s="62" t="n">
        <v>80.1</v>
      </c>
      <c r="C465" s="62" t="n">
        <v>108.85</v>
      </c>
      <c r="D465" s="62" t="n">
        <v>145.27</v>
      </c>
      <c r="E465" s="62" t="n">
        <v>174.47</v>
      </c>
      <c r="F465" s="62" t="n">
        <v>223.78</v>
      </c>
      <c r="G465" s="62" t="n">
        <v>230.57</v>
      </c>
      <c r="H465" s="62" t="n">
        <v>268.03</v>
      </c>
      <c r="I465" s="62" t="n">
        <v>286.57</v>
      </c>
      <c r="J465" s="62" t="n">
        <v>287.22</v>
      </c>
      <c r="K465" s="62" t="n">
        <v>303.21</v>
      </c>
      <c r="L465" s="62" t="n">
        <v>379.77</v>
      </c>
      <c r="M465" s="62" t="n">
        <v>375.92</v>
      </c>
      <c r="N465" s="62" t="n">
        <v>434.92</v>
      </c>
      <c r="O465" s="62" t="n">
        <v>475.74</v>
      </c>
      <c r="P465" s="92" t="n">
        <f aca="false">611.47-781.54</f>
        <v>-170.07</v>
      </c>
      <c r="Q465" s="62" t="n">
        <v>670.76</v>
      </c>
      <c r="R465" s="62" t="n">
        <v>690.458</v>
      </c>
      <c r="S465" s="62" t="n">
        <v>764.973</v>
      </c>
      <c r="T465" s="62" t="n">
        <v>1181.808</v>
      </c>
      <c r="U465" s="62" t="n">
        <v>1440.987</v>
      </c>
      <c r="V465" s="62" t="n">
        <v>1526.022</v>
      </c>
      <c r="W465" s="62" t="n">
        <v>1436.755</v>
      </c>
      <c r="X465" s="62" t="n">
        <v>1635.214</v>
      </c>
      <c r="Y465" s="62" t="n">
        <v>1996.237</v>
      </c>
      <c r="Z465" s="62" t="n">
        <v>2471.563</v>
      </c>
      <c r="AA465" s="92" t="n">
        <f aca="false">528.037+1812.566</f>
        <v>2340.603</v>
      </c>
      <c r="AB465" s="92" t="n">
        <f aca="false">2107.5+24.3</f>
        <v>2131.8</v>
      </c>
      <c r="AC465" s="92" t="n">
        <f aca="false">1600+160.6</f>
        <v>1760.6</v>
      </c>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row>
    <row r="466" customFormat="false" ht="15" hidden="false" customHeight="true" outlineLevel="0" collapsed="false">
      <c r="A466" s="29" t="s">
        <v>550</v>
      </c>
      <c r="B466" s="36"/>
      <c r="C466" s="36"/>
      <c r="D466" s="36"/>
      <c r="E466" s="36"/>
      <c r="F466" s="36"/>
      <c r="G466" s="36"/>
      <c r="H466" s="36"/>
      <c r="I466" s="36"/>
      <c r="J466" s="36"/>
      <c r="K466" s="36"/>
      <c r="L466" s="36"/>
      <c r="M466" s="36"/>
      <c r="N466" s="36"/>
      <c r="O466" s="36"/>
      <c r="P466" s="36"/>
      <c r="Q466" s="36"/>
      <c r="R466" s="36"/>
      <c r="S466" s="36"/>
      <c r="T466" s="36"/>
      <c r="U466" s="36"/>
      <c r="V466" s="36"/>
      <c r="W466" s="37" t="n">
        <v>46.382</v>
      </c>
      <c r="X466" s="37" t="n">
        <v>20.281</v>
      </c>
      <c r="Y466" s="37" t="n">
        <v>10.312</v>
      </c>
      <c r="Z466" s="37" t="n">
        <v>232.401</v>
      </c>
      <c r="AA466" s="37" t="n">
        <v>289.688</v>
      </c>
      <c r="AB466" s="37" t="n">
        <v>573</v>
      </c>
      <c r="AC466" s="37" t="n">
        <v>714.1</v>
      </c>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row>
    <row r="467" customFormat="false" ht="15" hidden="false" customHeight="true" outlineLevel="0" collapsed="false">
      <c r="A467" s="51" t="s">
        <v>551</v>
      </c>
      <c r="B467" s="52" t="n">
        <f aca="false">SUM(B463:B465)</f>
        <v>718.28</v>
      </c>
      <c r="C467" s="52" t="n">
        <f aca="false">SUM(C463:C465)</f>
        <v>934.41</v>
      </c>
      <c r="D467" s="52" t="n">
        <f aca="false">SUM(D463:D465)</f>
        <v>1138.95</v>
      </c>
      <c r="E467" s="52" t="n">
        <f aca="false">SUM(E463:E465)</f>
        <v>1571.62</v>
      </c>
      <c r="F467" s="52" t="n">
        <f aca="false">SUM(F463:F465)</f>
        <v>1864.34</v>
      </c>
      <c r="G467" s="52" t="n">
        <f aca="false">SUM(G463:G465)</f>
        <v>1846.74</v>
      </c>
      <c r="H467" s="52" t="n">
        <f aca="false">SUM(H463:H465)</f>
        <v>2083.88</v>
      </c>
      <c r="I467" s="52" t="n">
        <f aca="false">SUM(I463:I465)</f>
        <v>2286.04</v>
      </c>
      <c r="J467" s="52" t="n">
        <f aca="false">SUM(J463:J465)</f>
        <v>2502.22</v>
      </c>
      <c r="K467" s="52" t="n">
        <f aca="false">SUM(K463:K465)</f>
        <v>2570.68</v>
      </c>
      <c r="L467" s="52" t="n">
        <f aca="false">SUM(L463:L465)</f>
        <v>2906.46</v>
      </c>
      <c r="M467" s="52" t="n">
        <f aca="false">SUM(M463:M465)</f>
        <v>3097.42</v>
      </c>
      <c r="N467" s="52" t="n">
        <f aca="false">SUM(N463:N465)</f>
        <v>3540.45</v>
      </c>
      <c r="O467" s="52" t="n">
        <f aca="false">SUM(O463:O465)</f>
        <v>4038.87</v>
      </c>
      <c r="P467" s="52" t="n">
        <f aca="false">SUM(P463:P465)</f>
        <v>4806.95</v>
      </c>
      <c r="Q467" s="52" t="n">
        <f aca="false">SUM(Q463:Q465)</f>
        <v>6161.72</v>
      </c>
      <c r="R467" s="52" t="n">
        <f aca="false">SUM(R463:R465)</f>
        <v>5662.611</v>
      </c>
      <c r="S467" s="52" t="n">
        <f aca="false">SUM(S463:S465)</f>
        <v>6716.148</v>
      </c>
      <c r="T467" s="52" t="n">
        <f aca="false">SUM(T463:T465)</f>
        <v>9246.001</v>
      </c>
      <c r="U467" s="52" t="n">
        <f aca="false">SUM(U463:U465)</f>
        <v>10361.927</v>
      </c>
      <c r="V467" s="52" t="n">
        <f aca="false">SUM(V463:V465)</f>
        <v>10867.378</v>
      </c>
      <c r="W467" s="52" t="n">
        <f aca="false">SUM(W463:W465)-W466</f>
        <v>9996.723</v>
      </c>
      <c r="X467" s="52" t="n">
        <f aca="false">+X463+X464+X465-X466</f>
        <v>11840.038</v>
      </c>
      <c r="Y467" s="52" t="n">
        <f aca="false">+Y463+Y464+Y465-Y466</f>
        <v>13850.628</v>
      </c>
      <c r="Z467" s="52" t="n">
        <f aca="false">+Z463+Z464+Z465-Z466</f>
        <v>15309.35</v>
      </c>
      <c r="AA467" s="52" t="n">
        <f aca="false">+AA463+AA464+AA465-AA466</f>
        <v>18119.224</v>
      </c>
      <c r="AB467" s="52" t="n">
        <f aca="false">+AB463+AB464+AB465-AB466</f>
        <v>20987.7</v>
      </c>
      <c r="AC467" s="52" t="n">
        <f aca="false">+AC463+AC464+AC465-AC466</f>
        <v>16150.6</v>
      </c>
      <c r="AD467" s="95" t="n">
        <v>15838.9</v>
      </c>
      <c r="AE467" s="95" t="n">
        <v>16946</v>
      </c>
      <c r="AF467" s="95" t="n">
        <v>21138.6</v>
      </c>
      <c r="AG467" s="95" t="n">
        <v>22333.8</v>
      </c>
      <c r="AH467" s="95" t="n">
        <v>24062.7</v>
      </c>
      <c r="AI467" s="95" t="n">
        <v>26066.9</v>
      </c>
      <c r="AJ467" s="52" t="n">
        <f aca="false">AI467*(1+AJ468/100)</f>
        <v>28673.59</v>
      </c>
      <c r="AK467" s="52" t="n">
        <f aca="false">AJ467*(1+AK468/100)</f>
        <v>30967.4772</v>
      </c>
      <c r="AL467" s="52" t="n">
        <f aca="false">AK467*(1+AL468/100)</f>
        <v>33444.875376</v>
      </c>
      <c r="AM467" s="53"/>
      <c r="AN467" s="53"/>
      <c r="AO467" s="53"/>
      <c r="AP467" s="53"/>
      <c r="AQ467" s="53"/>
      <c r="AR467" s="53"/>
      <c r="AS467" s="53"/>
      <c r="AT467" s="53"/>
      <c r="AU467" s="53"/>
      <c r="AV467" s="53"/>
      <c r="AW467" s="53"/>
      <c r="AX467" s="53"/>
      <c r="AY467" s="53"/>
    </row>
    <row r="468" customFormat="false" ht="15" hidden="false" customHeight="true" outlineLevel="0" collapsed="false">
      <c r="A468" s="29" t="s">
        <v>534</v>
      </c>
      <c r="B468" s="36"/>
      <c r="C468" s="49" t="n">
        <f aca="false">+C467/B467*100-100</f>
        <v>30.089937071894</v>
      </c>
      <c r="D468" s="49" t="n">
        <f aca="false">+D467/C467*100-100</f>
        <v>21.8897486114233</v>
      </c>
      <c r="E468" s="49" t="n">
        <f aca="false">+E467/D467*100-100</f>
        <v>37.9884981781465</v>
      </c>
      <c r="F468" s="49" t="n">
        <f aca="false">+F467/E467*100-100</f>
        <v>18.6253674552373</v>
      </c>
      <c r="G468" s="49" t="n">
        <f aca="false">+G467/F467*100-100</f>
        <v>-0.944033813574777</v>
      </c>
      <c r="H468" s="49" t="n">
        <f aca="false">+H467/G467*100-100</f>
        <v>12.8410063138287</v>
      </c>
      <c r="I468" s="49" t="n">
        <f aca="false">+I467/H467*100-100</f>
        <v>9.70113442232758</v>
      </c>
      <c r="J468" s="49" t="n">
        <f aca="false">+J467/I467*100-100</f>
        <v>9.45652744483911</v>
      </c>
      <c r="K468" s="49" t="n">
        <f aca="false">+K467/J467*100-100</f>
        <v>2.73597045823306</v>
      </c>
      <c r="L468" s="49" t="n">
        <f aca="false">+L467/K467*100-100</f>
        <v>13.0619135792864</v>
      </c>
      <c r="M468" s="49" t="n">
        <f aca="false">+M467/L467*100-100</f>
        <v>6.57019191731523</v>
      </c>
      <c r="N468" s="49" t="n">
        <f aca="false">+N467/M467*100-100</f>
        <v>14.3031942713613</v>
      </c>
      <c r="O468" s="49" t="n">
        <f aca="false">+O467/N467*100-100</f>
        <v>14.0778714570181</v>
      </c>
      <c r="P468" s="49" t="n">
        <f aca="false">+P467/O467*100-100</f>
        <v>19.017200355545</v>
      </c>
      <c r="Q468" s="49" t="n">
        <f aca="false">+Q467/P467*100-100</f>
        <v>28.1835675428286</v>
      </c>
      <c r="R468" s="49" t="n">
        <f aca="false">+R467/Q467*100-100</f>
        <v>-8.10015709899184</v>
      </c>
      <c r="S468" s="49" t="n">
        <f aca="false">+S467/R467*100-100</f>
        <v>18.6051452236433</v>
      </c>
      <c r="T468" s="49" t="n">
        <f aca="false">+T467/S467*100-100</f>
        <v>37.6682139821814</v>
      </c>
      <c r="U468" s="49" t="n">
        <f aca="false">+U467/T467*100-100</f>
        <v>12.0692827093573</v>
      </c>
      <c r="V468" s="49" t="n">
        <f aca="false">+V467/U467*100-100</f>
        <v>4.87796333635626</v>
      </c>
      <c r="W468" s="49" t="n">
        <f aca="false">+W467/V467*100-100</f>
        <v>-8.01163813387184</v>
      </c>
      <c r="X468" s="49" t="n">
        <f aca="false">+X467/W467*100-100</f>
        <v>18.4391925233899</v>
      </c>
      <c r="Y468" s="49" t="n">
        <f aca="false">+Y467/X467*100-100</f>
        <v>16.9812799587299</v>
      </c>
      <c r="Z468" s="49" t="n">
        <f aca="false">+Z467/Y467*100-100</f>
        <v>10.5318112651643</v>
      </c>
      <c r="AA468" s="49" t="n">
        <f aca="false">+AA467/Z467*100-100</f>
        <v>18.3539732255125</v>
      </c>
      <c r="AB468" s="49" t="n">
        <f aca="false">+AB467/AA467*100-100</f>
        <v>15.8311194784059</v>
      </c>
      <c r="AC468" s="49" t="n">
        <f aca="false">+AC467/AB467*100-100</f>
        <v>-23.04730866174</v>
      </c>
      <c r="AD468" s="49" t="n">
        <f aca="false">+AD467/AC467*100-100</f>
        <v>-1.92995925847956</v>
      </c>
      <c r="AE468" s="49" t="n">
        <f aca="false">+AE467/AD467*100-100</f>
        <v>6.98975307628686</v>
      </c>
      <c r="AF468" s="49" t="n">
        <f aca="false">+AF467/AE467*100-100</f>
        <v>24.7409418151776</v>
      </c>
      <c r="AG468" s="49" t="n">
        <f aca="false">+AG467/AF467*100-100</f>
        <v>5.65411143595129</v>
      </c>
      <c r="AH468" s="49" t="n">
        <f aca="false">+AH467/AG467*100-100</f>
        <v>7.74118152755017</v>
      </c>
      <c r="AI468" s="49" t="n">
        <f aca="false">+AI467/AH467*100-100</f>
        <v>8.32907362847894</v>
      </c>
      <c r="AJ468" s="78" t="n">
        <v>10</v>
      </c>
      <c r="AK468" s="78" t="n">
        <v>8</v>
      </c>
      <c r="AL468" s="78" t="n">
        <v>8</v>
      </c>
      <c r="AM468" s="36"/>
      <c r="AN468" s="36"/>
      <c r="AO468" s="36"/>
      <c r="AP468" s="36"/>
      <c r="AQ468" s="36"/>
      <c r="AR468" s="36"/>
      <c r="AS468" s="36"/>
      <c r="AT468" s="36"/>
      <c r="AU468" s="36"/>
      <c r="AV468" s="36"/>
      <c r="AW468" s="36"/>
      <c r="AX468" s="36"/>
      <c r="AY468" s="36"/>
    </row>
    <row r="469" customFormat="false" ht="15" hidden="false" customHeight="true" outlineLevel="0" collapsed="false">
      <c r="A469" s="47" t="s">
        <v>229</v>
      </c>
      <c r="B469" s="74" t="n">
        <f aca="false">+B467/B502*100</f>
        <v>7.5256931573273</v>
      </c>
      <c r="C469" s="74" t="n">
        <f aca="false">+C467/C502*100</f>
        <v>7.91005456727961</v>
      </c>
      <c r="D469" s="74" t="n">
        <f aca="false">+D467/D502*100</f>
        <v>7.52630688591495</v>
      </c>
      <c r="E469" s="74" t="n">
        <f aca="false">+E467/E502*100</f>
        <v>7.8201643825801</v>
      </c>
      <c r="F469" s="74" t="n">
        <f aca="false">+F467/F502*100</f>
        <v>7.51007774171575</v>
      </c>
      <c r="G469" s="74" t="n">
        <f aca="false">+G467/G502*100</f>
        <v>9.16823805781008</v>
      </c>
      <c r="H469" s="74" t="n">
        <f aca="false">+H467/H502*100</f>
        <v>10.1898838816974</v>
      </c>
      <c r="I469" s="74" t="n">
        <f aca="false">+I467/I502*100</f>
        <v>8.79679903706366</v>
      </c>
      <c r="J469" s="74" t="n">
        <f aca="false">+J467/J502*100</f>
        <v>9.59932296579957</v>
      </c>
      <c r="K469" s="74" t="n">
        <f aca="false">+K467/K502*100</f>
        <v>9.77278395163105</v>
      </c>
      <c r="L469" s="74" t="n">
        <f aca="false">+L467/L502*100</f>
        <v>9.45499260733996</v>
      </c>
      <c r="M469" s="74" t="n">
        <f aca="false">+M467/M502*100</f>
        <v>7.88694852636932</v>
      </c>
      <c r="N469" s="74" t="n">
        <f aca="false">+N467/N502*100</f>
        <v>7.35864162607804</v>
      </c>
      <c r="O469" s="74" t="n">
        <f aca="false">+O467/O502*100</f>
        <v>6.67239044801447</v>
      </c>
      <c r="P469" s="74" t="n">
        <f aca="false">+P467/P502*100</f>
        <v>5.78821650394589</v>
      </c>
      <c r="Q469" s="74" t="n">
        <f aca="false">+Q467/Q502*100</f>
        <v>6.89717238901283</v>
      </c>
      <c r="R469" s="74" t="n">
        <f aca="false">+R467/R502*100</f>
        <v>8.49395034839214</v>
      </c>
      <c r="S469" s="74" t="n">
        <f aca="false">+S467/S502*100</f>
        <v>8.53104465878059</v>
      </c>
      <c r="T469" s="74" t="n">
        <f aca="false">+T467/T502*100</f>
        <v>7.64536267211863</v>
      </c>
      <c r="U469" s="74" t="n">
        <f aca="false">+U467/U502*100</f>
        <v>7.59287324759985</v>
      </c>
      <c r="V469" s="74" t="n">
        <f aca="false">+V467/V502*100</f>
        <v>8.17184634945671</v>
      </c>
      <c r="W469" s="74" t="n">
        <f aca="false">+W467/W502*100</f>
        <v>9.46583603492421</v>
      </c>
      <c r="X469" s="74" t="n">
        <f aca="false">+X467/X502*100</f>
        <v>8.17347256219283</v>
      </c>
      <c r="Y469" s="74" t="n">
        <f aca="false">+Y467/Y502*100</f>
        <v>6.92774764847143</v>
      </c>
      <c r="Z469" s="74" t="n">
        <f aca="false">+Z467/Z502*100</f>
        <v>7.1768176827757</v>
      </c>
      <c r="AA469" s="74" t="n">
        <f aca="false">+AA467/AA502*100</f>
        <v>6.83112438348018</v>
      </c>
      <c r="AB469" s="74" t="n">
        <f aca="false">+AB467/AB502*100</f>
        <v>7.22345073730982</v>
      </c>
      <c r="AC469" s="74" t="n">
        <f aca="false">+AC467/AC502*100</f>
        <v>9.24610146747068</v>
      </c>
      <c r="AD469" s="74" t="n">
        <f aca="false">+AD467/AD502*100</f>
        <v>10.3512412222371</v>
      </c>
      <c r="AE469" s="74" t="n">
        <f aca="false">+AE467/AE502*100</f>
        <v>7.81343296313356</v>
      </c>
      <c r="AF469" s="74" t="n">
        <f aca="false">+AF467/AF502*100</f>
        <v>5.84841692180254</v>
      </c>
      <c r="AG469" s="74" t="n">
        <f aca="false">+AG467/AG502*100</f>
        <v>5.82109170295433</v>
      </c>
      <c r="AH469" s="74" t="n">
        <f aca="false">+AH467/AH502*100</f>
        <v>6.2092899753669</v>
      </c>
      <c r="AI469" s="74" t="n">
        <f aca="false">+AI467/AI502*100</f>
        <v>5.92334906491076</v>
      </c>
      <c r="AJ469" s="74" t="n">
        <f aca="false">+AJ467/AJ502*100</f>
        <v>5.97591193856123</v>
      </c>
      <c r="AK469" s="74" t="n">
        <f aca="false">+AK467/AK502*100</f>
        <v>5.97464723807345</v>
      </c>
      <c r="AL469" s="74" t="n">
        <f aca="false">+AL467/AL502*100</f>
        <v>6.0021415746264</v>
      </c>
      <c r="AM469" s="36"/>
      <c r="AN469" s="36"/>
      <c r="AO469" s="36"/>
      <c r="AP469" s="36"/>
      <c r="AQ469" s="36"/>
      <c r="AR469" s="36"/>
      <c r="AS469" s="36"/>
      <c r="AT469" s="36"/>
      <c r="AU469" s="36"/>
      <c r="AV469" s="36"/>
      <c r="AW469" s="36"/>
      <c r="AX469" s="36"/>
      <c r="AY469" s="36"/>
    </row>
    <row r="470" customFormat="false" ht="15" hidden="false" customHeight="true" outlineLevel="0" collapsed="false">
      <c r="A470" s="29"/>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92" t="n">
        <f aca="false">3179.3+4503.5</f>
        <v>7682.8</v>
      </c>
      <c r="AG470" s="30"/>
      <c r="AH470" s="30"/>
      <c r="AI470" s="30"/>
      <c r="AJ470" s="30"/>
      <c r="AK470" s="30"/>
      <c r="AL470" s="30"/>
      <c r="AM470" s="30"/>
      <c r="AN470" s="30"/>
      <c r="AO470" s="30"/>
      <c r="AP470" s="30"/>
      <c r="AQ470" s="30"/>
      <c r="AR470" s="30"/>
      <c r="AS470" s="30"/>
      <c r="AT470" s="30"/>
      <c r="AU470" s="30"/>
      <c r="AV470" s="30"/>
      <c r="AW470" s="30"/>
      <c r="AX470" s="30"/>
      <c r="AY470" s="30"/>
    </row>
    <row r="471" customFormat="false" ht="15" hidden="false" customHeight="true" outlineLevel="0" collapsed="false">
      <c r="A471" s="47" t="s">
        <v>552</v>
      </c>
      <c r="B471" s="34" t="n">
        <v>390.39</v>
      </c>
      <c r="C471" s="34" t="n">
        <v>480.83</v>
      </c>
      <c r="D471" s="34" t="n">
        <v>517.15</v>
      </c>
      <c r="E471" s="34" t="n">
        <v>748.38</v>
      </c>
      <c r="F471" s="34" t="n">
        <v>851.79</v>
      </c>
      <c r="G471" s="34" t="n">
        <v>723.65</v>
      </c>
      <c r="H471" s="34" t="n">
        <v>647.32</v>
      </c>
      <c r="I471" s="34" t="n">
        <v>769.7</v>
      </c>
      <c r="J471" s="34" t="n">
        <v>795.39</v>
      </c>
      <c r="K471" s="34" t="n">
        <v>899.85</v>
      </c>
      <c r="L471" s="34" t="n">
        <v>1214.16</v>
      </c>
      <c r="M471" s="34" t="n">
        <v>1379.78</v>
      </c>
      <c r="N471" s="34" t="n">
        <v>1793.08</v>
      </c>
      <c r="O471" s="34" t="n">
        <v>2452.09</v>
      </c>
      <c r="P471" s="34" t="n">
        <v>3250.43</v>
      </c>
      <c r="Q471" s="34" t="n">
        <v>3315.36</v>
      </c>
      <c r="R471" s="34" t="n">
        <v>3142.64</v>
      </c>
      <c r="S471" s="34" t="n">
        <v>4101.099</v>
      </c>
      <c r="T471" s="34" t="n">
        <v>5142.932</v>
      </c>
      <c r="U471" s="93" t="n">
        <f aca="false">3383.694+1648.215+2322.123</f>
        <v>7354.032</v>
      </c>
      <c r="V471" s="93" t="n">
        <f aca="false">3537.017+2136.883+3036.132</f>
        <v>8710.032</v>
      </c>
      <c r="W471" s="93" t="n">
        <f aca="false">2655.4+1333.694+3082.398</f>
        <v>7071.492</v>
      </c>
      <c r="X471" s="93" t="n">
        <f aca="false">3064.718+1716.446+4037.269</f>
        <v>8818.433</v>
      </c>
      <c r="Y471" s="93" t="n">
        <f aca="false">4176.403+7179.787+2792.703</f>
        <v>14148.893</v>
      </c>
      <c r="Z471" s="93" t="n">
        <f aca="false">5932.003+6996.963+2739.89</f>
        <v>15668.856</v>
      </c>
      <c r="AA471" s="93" t="n">
        <f aca="false">9388.582+7710.879+4768.822</f>
        <v>21868.283</v>
      </c>
      <c r="AB471" s="93" t="n">
        <f aca="false">5391.9+7387.3+9774.7</f>
        <v>22553.9</v>
      </c>
      <c r="AC471" s="93" t="n">
        <f aca="false">4359.4+5789.7+5776.3</f>
        <v>15925.4</v>
      </c>
      <c r="AD471" s="93" t="n">
        <f aca="false">2747.3+4236.1+4314.2</f>
        <v>11297.6</v>
      </c>
      <c r="AE471" s="93" t="n">
        <f aca="false">3887.3+5454.4+5301.4</f>
        <v>14643.1</v>
      </c>
      <c r="AF471" s="93" t="n">
        <f aca="false">7668+7951.9+7682.8</f>
        <v>23302.7</v>
      </c>
      <c r="AG471" s="93" t="n">
        <f aca="false">10109.7+7860.1+4627.6+3738.8</f>
        <v>26336.2</v>
      </c>
      <c r="AH471" s="93" t="n">
        <f aca="false">9134.4+8874.4+3883.9+5826.3</f>
        <v>27719</v>
      </c>
      <c r="AI471" s="35" t="n">
        <f aca="false">AH471*(1+AI472/100)</f>
        <v>30490.9</v>
      </c>
      <c r="AJ471" s="35" t="n">
        <f aca="false">AI471*(1+AJ472/100)</f>
        <v>32320.354</v>
      </c>
      <c r="AK471" s="35" t="n">
        <f aca="false">AJ471*(1+AK472/100)</f>
        <v>34259.57524</v>
      </c>
      <c r="AL471" s="35" t="n">
        <f aca="false">AK471*(1+AL472/100)</f>
        <v>36315.1497544</v>
      </c>
      <c r="AM471" s="30"/>
      <c r="AN471" s="30"/>
      <c r="AO471" s="30"/>
      <c r="AP471" s="30"/>
      <c r="AQ471" s="30"/>
      <c r="AR471" s="30"/>
      <c r="AS471" s="30"/>
      <c r="AT471" s="30"/>
      <c r="AU471" s="30"/>
      <c r="AV471" s="30"/>
      <c r="AW471" s="30"/>
      <c r="AX471" s="30"/>
      <c r="AY471" s="30"/>
    </row>
    <row r="472" customFormat="false" ht="15" hidden="false" customHeight="true" outlineLevel="0" collapsed="false">
      <c r="A472" s="29" t="s">
        <v>534</v>
      </c>
      <c r="B472" s="36"/>
      <c r="C472" s="49" t="n">
        <f aca="false">+C471/B471*100-100</f>
        <v>23.1665770127309</v>
      </c>
      <c r="D472" s="49" t="n">
        <f aca="false">+D471/C471*100-100</f>
        <v>7.55360522429965</v>
      </c>
      <c r="E472" s="49" t="n">
        <f aca="false">+E471/D471*100-100</f>
        <v>44.7123658513004</v>
      </c>
      <c r="F472" s="49" t="n">
        <f aca="false">+F471/E471*100-100</f>
        <v>13.8178465485449</v>
      </c>
      <c r="G472" s="49" t="n">
        <f aca="false">+G471/F471*100-100</f>
        <v>-15.0436140363235</v>
      </c>
      <c r="H472" s="49" t="n">
        <f aca="false">+H471/G471*100-100</f>
        <v>-10.5479168106129</v>
      </c>
      <c r="I472" s="49" t="n">
        <f aca="false">+I471/H471*100-100</f>
        <v>18.9056417227955</v>
      </c>
      <c r="J472" s="49" t="n">
        <f aca="false">+J471/I471*100-100</f>
        <v>3.33766402494477</v>
      </c>
      <c r="K472" s="49" t="n">
        <f aca="false">+K471/J471*100-100</f>
        <v>13.1331799494588</v>
      </c>
      <c r="L472" s="49" t="n">
        <f aca="false">+L471/K471*100-100</f>
        <v>34.9291548591432</v>
      </c>
      <c r="M472" s="49" t="n">
        <f aca="false">+M471/L471*100-100</f>
        <v>13.6407063319496</v>
      </c>
      <c r="N472" s="49" t="n">
        <f aca="false">+N471/M471*100-100</f>
        <v>29.9540506457551</v>
      </c>
      <c r="O472" s="49" t="n">
        <f aca="false">+O471/N471*100-100</f>
        <v>36.7529613848797</v>
      </c>
      <c r="P472" s="49" t="n">
        <f aca="false">+P471/O471*100-100</f>
        <v>32.5575325538622</v>
      </c>
      <c r="Q472" s="49" t="n">
        <f aca="false">+Q471/P471*100-100</f>
        <v>1.99758185840028</v>
      </c>
      <c r="R472" s="49" t="n">
        <f aca="false">+R471/Q471*100-100</f>
        <v>-5.20969065199557</v>
      </c>
      <c r="S472" s="49" t="n">
        <f aca="false">+S471/R471*100-100</f>
        <v>30.4985298984294</v>
      </c>
      <c r="T472" s="49" t="n">
        <f aca="false">+T471/S471*100-100</f>
        <v>25.4037515309921</v>
      </c>
      <c r="U472" s="49" t="n">
        <f aca="false">+U471/T471*100-100</f>
        <v>42.9929853243247</v>
      </c>
      <c r="V472" s="49" t="n">
        <f aca="false">+V471/U471*100-100</f>
        <v>18.4388645575652</v>
      </c>
      <c r="W472" s="49" t="n">
        <f aca="false">+W471/V471*100-100</f>
        <v>-18.8121008051405</v>
      </c>
      <c r="X472" s="49" t="n">
        <f aca="false">+X471/W471*100-100</f>
        <v>24.7039945742709</v>
      </c>
      <c r="Y472" s="49" t="n">
        <f aca="false">+Y471/X471*100-100</f>
        <v>60.4467936650423</v>
      </c>
      <c r="Z472" s="49" t="n">
        <f aca="false">+Z471/Y471*100-100</f>
        <v>10.7426284162301</v>
      </c>
      <c r="AA472" s="49" t="n">
        <f aca="false">+AA471/Z471*100-100</f>
        <v>39.5652816006478</v>
      </c>
      <c r="AB472" s="49" t="n">
        <f aca="false">+AB471/AA471*100-100</f>
        <v>3.13521184996554</v>
      </c>
      <c r="AC472" s="49" t="n">
        <f aca="false">+AC471/AB471*100-100</f>
        <v>-29.3895955910064</v>
      </c>
      <c r="AD472" s="49" t="n">
        <f aca="false">+AD471/AC471*100-100</f>
        <v>-29.0592387004408</v>
      </c>
      <c r="AE472" s="49" t="n">
        <f aca="false">+AE471/AD471*100-100</f>
        <v>29.6124840674125</v>
      </c>
      <c r="AF472" s="49" t="n">
        <f aca="false">+AF471/AE471*100-100</f>
        <v>59.1377508860829</v>
      </c>
      <c r="AG472" s="49" t="n">
        <f aca="false">+AG471/AF471*100-100</f>
        <v>13.0178048037352</v>
      </c>
      <c r="AH472" s="49" t="n">
        <f aca="false">+AH471/AG471*100-100</f>
        <v>5.25056765972312</v>
      </c>
      <c r="AI472" s="78" t="n">
        <v>10</v>
      </c>
      <c r="AJ472" s="78" t="n">
        <v>6</v>
      </c>
      <c r="AK472" s="78" t="n">
        <v>6</v>
      </c>
      <c r="AL472" s="78" t="n">
        <v>6</v>
      </c>
      <c r="AM472" s="36"/>
      <c r="AN472" s="36"/>
      <c r="AO472" s="36"/>
      <c r="AP472" s="36"/>
      <c r="AQ472" s="36"/>
      <c r="AR472" s="36"/>
      <c r="AS472" s="36"/>
      <c r="AT472" s="36"/>
      <c r="AU472" s="36"/>
      <c r="AV472" s="36"/>
      <c r="AW472" s="36"/>
      <c r="AX472" s="36"/>
      <c r="AY472" s="36"/>
    </row>
    <row r="473" customFormat="false" ht="15" hidden="false" customHeight="true" outlineLevel="0" collapsed="false">
      <c r="A473" s="29" t="s">
        <v>229</v>
      </c>
      <c r="B473" s="59" t="n">
        <f aca="false">+B471/B502*100</f>
        <v>4.09026473198336</v>
      </c>
      <c r="C473" s="59" t="n">
        <f aca="false">+C471/C502*100</f>
        <v>4.07036690273548</v>
      </c>
      <c r="D473" s="59" t="n">
        <f aca="false">+D471/D502*100</f>
        <v>3.41738408714247</v>
      </c>
      <c r="E473" s="59" t="n">
        <f aca="false">+E471/E502*100</f>
        <v>3.72383567314955</v>
      </c>
      <c r="F473" s="59" t="n">
        <f aca="false">+F471/F502*100</f>
        <v>3.43124597424078</v>
      </c>
      <c r="G473" s="59" t="n">
        <f aca="false">+G471/G502*100</f>
        <v>3.59259856316226</v>
      </c>
      <c r="H473" s="59" t="n">
        <f aca="false">+H471/H502*100</f>
        <v>3.16530492845095</v>
      </c>
      <c r="I473" s="59" t="n">
        <f aca="false">+I471/I502*100</f>
        <v>2.96184503282003</v>
      </c>
      <c r="J473" s="59" t="n">
        <f aca="false">+J471/J502*100</f>
        <v>3.05137257865708</v>
      </c>
      <c r="K473" s="59" t="n">
        <f aca="false">+K471/K502*100</f>
        <v>3.42090016605536</v>
      </c>
      <c r="L473" s="59" t="n">
        <f aca="false">+L471/L502*100</f>
        <v>3.94977870816316</v>
      </c>
      <c r="M473" s="59" t="n">
        <f aca="false">+M471/M502*100</f>
        <v>3.51332845972256</v>
      </c>
      <c r="N473" s="59" t="n">
        <f aca="false">+N471/N502*100</f>
        <v>3.72682374469008</v>
      </c>
      <c r="O473" s="59" t="n">
        <f aca="false">+O471/O502*100</f>
        <v>4.05096026702316</v>
      </c>
      <c r="P473" s="59" t="n">
        <f aca="false">+P471/P502*100</f>
        <v>3.913956369615</v>
      </c>
      <c r="Q473" s="59" t="n">
        <f aca="false">+Q471/Q502*100</f>
        <v>3.71107571451438</v>
      </c>
      <c r="R473" s="59" t="n">
        <f aca="false">+R471/R502*100</f>
        <v>4.71397878520546</v>
      </c>
      <c r="S473" s="59" t="n">
        <f aca="false">+S471/S502*100</f>
        <v>5.20933408839121</v>
      </c>
      <c r="T473" s="59" t="n">
        <f aca="false">+T471/T502*100</f>
        <v>4.25260394607835</v>
      </c>
      <c r="U473" s="59" t="n">
        <f aca="false">+U471/U502*100</f>
        <v>5.38878847870605</v>
      </c>
      <c r="V473" s="59" t="n">
        <f aca="false">+V471/V502*100</f>
        <v>6.54960591256245</v>
      </c>
      <c r="W473" s="59" t="n">
        <f aca="false">+W471/W502*100</f>
        <v>6.69595264310898</v>
      </c>
      <c r="X473" s="59" t="n">
        <f aca="false">+X471/X502*100</f>
        <v>6.08758351679579</v>
      </c>
      <c r="Y473" s="59" t="n">
        <f aca="false">+Y471/Y502*100</f>
        <v>7.07693255563747</v>
      </c>
      <c r="Z473" s="59" t="n">
        <f aca="false">+Z471/Z502*100</f>
        <v>7.34534926758263</v>
      </c>
      <c r="AA473" s="59" t="n">
        <f aca="false">+AA471/AA502*100</f>
        <v>8.24455623630156</v>
      </c>
      <c r="AB473" s="59" t="n">
        <f aca="false">+AB471/AB502*100</f>
        <v>7.7624983006338</v>
      </c>
      <c r="AC473" s="59" t="n">
        <f aca="false">+AC471/AC502*100</f>
        <v>9.11717609934352</v>
      </c>
      <c r="AD473" s="59" t="n">
        <f aca="false">+AD471/AD502*100</f>
        <v>7.3833525580909</v>
      </c>
      <c r="AE473" s="59" t="n">
        <f aca="false">+AE471/AE502*100</f>
        <v>6.75161573365166</v>
      </c>
      <c r="AF473" s="59" t="n">
        <f aca="false">+AF471/AF502*100</f>
        <v>6.4471585158756</v>
      </c>
      <c r="AG473" s="59" t="n">
        <f aca="false">+AG471/AG502*100</f>
        <v>6.86427904375189</v>
      </c>
      <c r="AH473" s="59" t="n">
        <f aca="false">+AH471/AH502*100</f>
        <v>7.15278455149236</v>
      </c>
      <c r="AI473" s="59" t="n">
        <f aca="false">+AI471/AI502*100</f>
        <v>6.9286429918129</v>
      </c>
      <c r="AJ473" s="59" t="n">
        <f aca="false">+AJ471/AJ502*100</f>
        <v>6.7359402616528</v>
      </c>
      <c r="AK473" s="59" t="n">
        <f aca="false">+AK471/AK502*100</f>
        <v>6.60980147860528</v>
      </c>
      <c r="AL473" s="59" t="n">
        <f aca="false">+AL471/AL502*100</f>
        <v>6.51725167695144</v>
      </c>
      <c r="AM473" s="43"/>
      <c r="AN473" s="43"/>
      <c r="AO473" s="43"/>
      <c r="AP473" s="43"/>
      <c r="AQ473" s="43"/>
      <c r="AR473" s="43"/>
      <c r="AS473" s="43"/>
      <c r="AT473" s="43"/>
      <c r="AU473" s="43"/>
      <c r="AV473" s="43"/>
      <c r="AW473" s="43"/>
      <c r="AX473" s="43"/>
      <c r="AY473" s="43"/>
    </row>
    <row r="474" customFormat="false" ht="15" hidden="false" customHeight="true" outlineLevel="0" collapsed="false">
      <c r="A474" s="47" t="s">
        <v>553</v>
      </c>
      <c r="B474" s="90" t="n">
        <f aca="false">34.59+80.45</f>
        <v>115.04</v>
      </c>
      <c r="C474" s="90" t="n">
        <f aca="false">39.1+103.28</f>
        <v>142.38</v>
      </c>
      <c r="D474" s="90" t="n">
        <f aca="false">40.32+156.75</f>
        <v>197.07</v>
      </c>
      <c r="E474" s="90" t="n">
        <f aca="false">51.6+173.22</f>
        <v>224.82</v>
      </c>
      <c r="F474" s="90" t="n">
        <f aca="false">52.12+191.24</f>
        <v>243.36</v>
      </c>
      <c r="G474" s="90" t="n">
        <f aca="false">52.81+160.41</f>
        <v>213.22</v>
      </c>
      <c r="H474" s="90" t="n">
        <f aca="false">73.31+132.12</f>
        <v>205.43</v>
      </c>
      <c r="I474" s="90" t="n">
        <f aca="false">74.51+156.35</f>
        <v>230.86</v>
      </c>
      <c r="J474" s="90" t="n">
        <f aca="false">78.95+136.85</f>
        <v>215.8</v>
      </c>
      <c r="K474" s="90" t="n">
        <f aca="false">85.02+118.11</f>
        <v>203.13</v>
      </c>
      <c r="L474" s="90" t="n">
        <f aca="false">163.11+98.56</f>
        <v>261.67</v>
      </c>
      <c r="M474" s="90" t="n">
        <f aca="false">222.92+101.8</f>
        <v>324.72</v>
      </c>
      <c r="N474" s="90" t="n">
        <f aca="false">275.98+118.12</f>
        <v>394.1</v>
      </c>
      <c r="O474" s="90" t="n">
        <f aca="false">119.4+306.92</f>
        <v>426.32</v>
      </c>
      <c r="P474" s="90" t="n">
        <f aca="false">112.56+275.95</f>
        <v>388.51</v>
      </c>
      <c r="Q474" s="90" t="n">
        <f aca="false">130.47+11.63</f>
        <v>142.1</v>
      </c>
      <c r="R474" s="90" t="n">
        <f aca="false">177.136+42.952</f>
        <v>220.088</v>
      </c>
      <c r="S474" s="90" t="n">
        <f aca="false">155.754+55.705</f>
        <v>211.459</v>
      </c>
      <c r="T474" s="90" t="n">
        <f aca="false">170.15+52.702</f>
        <v>222.852</v>
      </c>
      <c r="U474" s="90" t="n">
        <f aca="false">137.798+68.006</f>
        <v>205.804</v>
      </c>
      <c r="V474" s="90" t="n">
        <f aca="false">299.448+97.449</f>
        <v>396.897</v>
      </c>
      <c r="W474" s="90" t="n">
        <f aca="false">282.009+75.171</f>
        <v>357.18</v>
      </c>
      <c r="X474" s="90" t="n">
        <f aca="false">197.85+267.45</f>
        <v>465.3</v>
      </c>
      <c r="Y474" s="90" t="n">
        <f aca="false">214.428+544.674</f>
        <v>759.102</v>
      </c>
      <c r="Z474" s="90" t="n">
        <f aca="false">213.784+524.906</f>
        <v>738.69</v>
      </c>
      <c r="AA474" s="90" t="n">
        <f aca="false">243.736+413.314</f>
        <v>657.05</v>
      </c>
      <c r="AB474" s="90" t="n">
        <f aca="false">229.3+254.7</f>
        <v>484</v>
      </c>
      <c r="AC474" s="90" t="n">
        <f aca="false">335.2+92</f>
        <v>427.2</v>
      </c>
      <c r="AD474" s="90" t="n">
        <f aca="false">118.7+47.9</f>
        <v>166.6</v>
      </c>
      <c r="AE474" s="90" t="n">
        <f aca="false">129.2+72.5</f>
        <v>201.7</v>
      </c>
      <c r="AF474" s="90" t="n">
        <f aca="false">86+49.2</f>
        <v>135.2</v>
      </c>
      <c r="AG474" s="90" t="n">
        <f aca="false">177.7+55</f>
        <v>232.7</v>
      </c>
      <c r="AH474" s="90" t="n">
        <f aca="false">205.7+71.8</f>
        <v>277.5</v>
      </c>
      <c r="AI474" s="74" t="n">
        <f aca="false">AH474*(1+AI475/100)</f>
        <v>305.25</v>
      </c>
      <c r="AJ474" s="74" t="n">
        <f aca="false">AI474*(1+AJ475/100)</f>
        <v>335.775</v>
      </c>
      <c r="AK474" s="74" t="n">
        <f aca="false">AJ474*(1+AK475/100)</f>
        <v>369.3525</v>
      </c>
      <c r="AL474" s="74" t="n">
        <f aca="false">AK474*(1+AL475/100)</f>
        <v>406.28775</v>
      </c>
      <c r="AM474" s="36"/>
      <c r="AN474" s="36"/>
      <c r="AO474" s="36"/>
      <c r="AP474" s="36"/>
      <c r="AQ474" s="36"/>
      <c r="AR474" s="36"/>
      <c r="AS474" s="36"/>
      <c r="AT474" s="36"/>
      <c r="AU474" s="36"/>
      <c r="AV474" s="36"/>
      <c r="AW474" s="36"/>
      <c r="AX474" s="36"/>
      <c r="AY474" s="36"/>
    </row>
    <row r="475" customFormat="false" ht="15" hidden="false" customHeight="true" outlineLevel="0" collapsed="false">
      <c r="A475" s="29" t="s">
        <v>534</v>
      </c>
      <c r="B475" s="36"/>
      <c r="C475" s="49" t="n">
        <f aca="false">+C474/B474*100-100</f>
        <v>23.7656467315716</v>
      </c>
      <c r="D475" s="49" t="n">
        <f aca="false">+D474/C474*100-100</f>
        <v>38.4112937210282</v>
      </c>
      <c r="E475" s="49" t="n">
        <f aca="false">+E474/D474*100-100</f>
        <v>14.0812909118587</v>
      </c>
      <c r="F475" s="49" t="n">
        <f aca="false">+F474/E474*100-100</f>
        <v>8.24659727782226</v>
      </c>
      <c r="G475" s="49" t="n">
        <f aca="false">+G474/F474*100-100</f>
        <v>-12.3849441157134</v>
      </c>
      <c r="H475" s="49" t="n">
        <f aca="false">+H474/G474*100-100</f>
        <v>-3.65350342369383</v>
      </c>
      <c r="I475" s="49" t="n">
        <f aca="false">+I474/H474*100-100</f>
        <v>12.3789125249477</v>
      </c>
      <c r="J475" s="49" t="n">
        <f aca="false">+J474/I474*100-100</f>
        <v>-6.52343411591441</v>
      </c>
      <c r="K475" s="49" t="n">
        <f aca="false">+K474/J474*100-100</f>
        <v>-5.87117701575534</v>
      </c>
      <c r="L475" s="49" t="n">
        <f aca="false">+L474/K474*100-100</f>
        <v>28.8189829173436</v>
      </c>
      <c r="M475" s="49" t="n">
        <f aca="false">+M474/L474*100-100</f>
        <v>24.095234455612</v>
      </c>
      <c r="N475" s="49" t="n">
        <f aca="false">+N474/M474*100-100</f>
        <v>21.3661000246366</v>
      </c>
      <c r="O475" s="49" t="n">
        <f aca="false">+O474/N474*100-100</f>
        <v>8.17558995178888</v>
      </c>
      <c r="P475" s="49" t="n">
        <f aca="false">+P474/O474*100-100</f>
        <v>-8.8689247513605</v>
      </c>
      <c r="Q475" s="49" t="n">
        <f aca="false">+Q474/P474*100-100</f>
        <v>-63.4243648812128</v>
      </c>
      <c r="R475" s="49" t="n">
        <f aca="false">+R474/Q474*100-100</f>
        <v>54.8824771287826</v>
      </c>
      <c r="S475" s="49" t="n">
        <f aca="false">+S474/R474*100-100</f>
        <v>-3.92070444549452</v>
      </c>
      <c r="T475" s="49" t="n">
        <f aca="false">+T474/S474*100-100</f>
        <v>5.38780567391315</v>
      </c>
      <c r="U475" s="49" t="n">
        <f aca="false">+U474/T474*100-100</f>
        <v>-7.64992012636189</v>
      </c>
      <c r="V475" s="49" t="n">
        <f aca="false">+V474/U474*100-100</f>
        <v>92.8519367942314</v>
      </c>
      <c r="W475" s="49" t="n">
        <f aca="false">+W474/V474*100-100</f>
        <v>-10.0068783588689</v>
      </c>
      <c r="X475" s="49" t="n">
        <f aca="false">+X474/W474*100-100</f>
        <v>30.2704518730052</v>
      </c>
      <c r="Y475" s="49" t="n">
        <f aca="false">+Y474/X474*100-100</f>
        <v>63.1424887169568</v>
      </c>
      <c r="Z475" s="49" t="n">
        <f aca="false">+Z474/Y474*100-100</f>
        <v>-2.68896670012725</v>
      </c>
      <c r="AA475" s="49" t="n">
        <f aca="false">+AA474/Z474*100-100</f>
        <v>-11.051997454954</v>
      </c>
      <c r="AB475" s="49" t="n">
        <f aca="false">+AB474/AA474*100-100</f>
        <v>-26.337417243741</v>
      </c>
      <c r="AC475" s="49" t="n">
        <f aca="false">+AC474/AB474*100-100</f>
        <v>-11.7355371900827</v>
      </c>
      <c r="AD475" s="49" t="n">
        <f aca="false">+AD474/AC474*100-100</f>
        <v>-61.001872659176</v>
      </c>
      <c r="AE475" s="49" t="n">
        <f aca="false">+AE474/AD474*100-100</f>
        <v>21.0684273709484</v>
      </c>
      <c r="AF475" s="49" t="n">
        <f aca="false">+AF474/AE474*100-100</f>
        <v>-32.9697570649479</v>
      </c>
      <c r="AG475" s="49" t="n">
        <f aca="false">+AG474/AF474*100-100</f>
        <v>72.1153846153846</v>
      </c>
      <c r="AH475" s="49" t="n">
        <f aca="false">+AH474/AG474*100-100</f>
        <v>19.2522561237645</v>
      </c>
      <c r="AI475" s="78" t="n">
        <v>10</v>
      </c>
      <c r="AJ475" s="78" t="n">
        <v>10</v>
      </c>
      <c r="AK475" s="78" t="n">
        <v>10</v>
      </c>
      <c r="AL475" s="78" t="n">
        <v>10</v>
      </c>
      <c r="AM475" s="36"/>
      <c r="AN475" s="36"/>
      <c r="AO475" s="36"/>
      <c r="AP475" s="36"/>
      <c r="AQ475" s="36"/>
      <c r="AR475" s="36"/>
      <c r="AS475" s="36"/>
      <c r="AT475" s="36"/>
      <c r="AU475" s="36"/>
      <c r="AV475" s="36"/>
      <c r="AW475" s="36"/>
      <c r="AX475" s="36"/>
      <c r="AY475" s="36"/>
    </row>
    <row r="476" customFormat="false" ht="15" hidden="false" customHeight="true" outlineLevel="0" collapsed="false">
      <c r="A476" s="29" t="s">
        <v>229</v>
      </c>
      <c r="B476" s="59" t="n">
        <f aca="false">+B474/B502*100</f>
        <v>1.20531789945277</v>
      </c>
      <c r="C476" s="59" t="n">
        <f aca="false">+C474/C502*100</f>
        <v>1.20528843793332</v>
      </c>
      <c r="D476" s="59" t="n">
        <f aca="false">+D474/D502*100</f>
        <v>1.30226023794483</v>
      </c>
      <c r="E476" s="59" t="n">
        <f aca="false">+E474/E502*100</f>
        <v>1.11867331574532</v>
      </c>
      <c r="F476" s="59" t="n">
        <f aca="false">+F474/F502*100</f>
        <v>0.980321464552573</v>
      </c>
      <c r="G476" s="59" t="n">
        <f aca="false">+G474/G502*100</f>
        <v>1.0585419272265</v>
      </c>
      <c r="H476" s="59" t="n">
        <f aca="false">+H474/H502*100</f>
        <v>1.00452417884768</v>
      </c>
      <c r="I476" s="59" t="n">
        <f aca="false">+I474/I502*100</f>
        <v>0.888361107284438</v>
      </c>
      <c r="J476" s="59" t="n">
        <f aca="false">+J474/J502*100</f>
        <v>0.8278784023865</v>
      </c>
      <c r="K476" s="59" t="n">
        <f aca="false">+K474/K502*100</f>
        <v>0.772225871790661</v>
      </c>
      <c r="L476" s="59" t="n">
        <f aca="false">+L474/L502*100</f>
        <v>0.851237558942028</v>
      </c>
      <c r="M476" s="59" t="n">
        <f aca="false">+M474/M502*100</f>
        <v>0.826833275914356</v>
      </c>
      <c r="N476" s="59" t="n">
        <f aca="false">+N474/N502*100</f>
        <v>0.81911640182388</v>
      </c>
      <c r="O476" s="59" t="n">
        <f aca="false">+O474/O502*100</f>
        <v>0.704299345063726</v>
      </c>
      <c r="P476" s="59" t="n">
        <f aca="false">+P474/P502*100</f>
        <v>0.467818469912942</v>
      </c>
      <c r="Q476" s="59" t="n">
        <f aca="false">+Q474/Q502*100</f>
        <v>0.15906081361677</v>
      </c>
      <c r="R476" s="59" t="n">
        <f aca="false">+R474/R502*100</f>
        <v>0.330133315581263</v>
      </c>
      <c r="S476" s="59" t="n">
        <f aca="false">+S474/S502*100</f>
        <v>0.268601313208268</v>
      </c>
      <c r="T476" s="59" t="n">
        <f aca="false">+T474/T502*100</f>
        <v>0.184272569536493</v>
      </c>
      <c r="U476" s="59" t="n">
        <f aca="false">+U474/U502*100</f>
        <v>0.150806282060184</v>
      </c>
      <c r="V476" s="59" t="n">
        <f aca="false">+V474/V502*100</f>
        <v>0.298451135182775</v>
      </c>
      <c r="W476" s="59" t="n">
        <f aca="false">+W474/W502*100</f>
        <v>0.338211563424757</v>
      </c>
      <c r="X476" s="59" t="n">
        <f aca="false">+X474/X502*100</f>
        <v>0.321208156864727</v>
      </c>
      <c r="Y476" s="59" t="n">
        <f aca="false">+Y474/Y502*100</f>
        <v>0.379684379325613</v>
      </c>
      <c r="Z476" s="59" t="n">
        <f aca="false">+Z474/Z502*100</f>
        <v>0.346287951747761</v>
      </c>
      <c r="AA476" s="59" t="n">
        <f aca="false">+AA474/AA502*100</f>
        <v>0.247714266138862</v>
      </c>
      <c r="AB476" s="59" t="n">
        <f aca="false">+AB474/AB502*100</f>
        <v>0.166580909621252</v>
      </c>
      <c r="AC476" s="59" t="n">
        <f aca="false">+AC474/AC502*100</f>
        <v>0.244568904369093</v>
      </c>
      <c r="AD476" s="59" t="n">
        <f aca="false">+AD474/AD502*100</f>
        <v>0.10887857033157</v>
      </c>
      <c r="AE476" s="59" t="n">
        <f aca="false">+AE474/AE502*100</f>
        <v>0.092999494197099</v>
      </c>
      <c r="AF476" s="59" t="n">
        <f aca="false">+AF474/AF502*100</f>
        <v>0.037405786940843</v>
      </c>
      <c r="AG476" s="59" t="n">
        <f aca="false">+AG474/AG502*100</f>
        <v>0.0606510329311391</v>
      </c>
      <c r="AH476" s="59" t="n">
        <f aca="false">+AH474/AH502*100</f>
        <v>0.0716078398585494</v>
      </c>
      <c r="AI476" s="59" t="n">
        <f aca="false">+AI474/AI502*100</f>
        <v>0.0693639175377206</v>
      </c>
      <c r="AJ476" s="59" t="n">
        <f aca="false">+AJ474/AJ502*100</f>
        <v>0.0699794420988232</v>
      </c>
      <c r="AK476" s="59" t="n">
        <f aca="false">+AK474/AK502*100</f>
        <v>0.0712602734716964</v>
      </c>
      <c r="AL476" s="59" t="n">
        <f aca="false">+AL474/AL502*100</f>
        <v>0.0729139088760472</v>
      </c>
      <c r="AM476" s="43"/>
      <c r="AN476" s="43"/>
      <c r="AO476" s="43"/>
      <c r="AP476" s="43"/>
      <c r="AQ476" s="43"/>
      <c r="AR476" s="43"/>
      <c r="AS476" s="43"/>
      <c r="AT476" s="43"/>
      <c r="AU476" s="43"/>
      <c r="AV476" s="43"/>
      <c r="AW476" s="43"/>
      <c r="AX476" s="43"/>
      <c r="AY476" s="43"/>
    </row>
    <row r="477" customFormat="false" ht="15" hidden="false" customHeight="true" outlineLevel="0" collapsed="false">
      <c r="A477" s="47" t="s">
        <v>554</v>
      </c>
      <c r="B477" s="78" t="n">
        <v>53.99</v>
      </c>
      <c r="C477" s="78" t="n">
        <v>69.38</v>
      </c>
      <c r="D477" s="78" t="n">
        <v>58.07</v>
      </c>
      <c r="E477" s="78" t="n">
        <v>74.87</v>
      </c>
      <c r="F477" s="78" t="n">
        <v>97.43</v>
      </c>
      <c r="G477" s="78" t="n">
        <v>104.22</v>
      </c>
      <c r="H477" s="78" t="n">
        <v>86.22</v>
      </c>
      <c r="I477" s="78" t="n">
        <v>92.66</v>
      </c>
      <c r="J477" s="78" t="n">
        <v>76.9</v>
      </c>
      <c r="K477" s="78" t="n">
        <v>74.94</v>
      </c>
      <c r="L477" s="78" t="n">
        <v>60.83</v>
      </c>
      <c r="M477" s="78" t="n">
        <v>55.36</v>
      </c>
      <c r="N477" s="78" t="n">
        <v>59.01</v>
      </c>
      <c r="O477" s="78" t="n">
        <v>65.46</v>
      </c>
      <c r="P477" s="78" t="n">
        <v>60.56</v>
      </c>
      <c r="Q477" s="78" t="n">
        <v>39.81</v>
      </c>
      <c r="R477" s="78" t="n">
        <v>49.512</v>
      </c>
      <c r="S477" s="78" t="n">
        <v>47.547</v>
      </c>
      <c r="T477" s="78" t="n">
        <v>65.025</v>
      </c>
      <c r="U477" s="78" t="n">
        <v>74.89</v>
      </c>
      <c r="V477" s="78" t="n">
        <v>66.562</v>
      </c>
      <c r="W477" s="78" t="n">
        <v>64.772</v>
      </c>
      <c r="X477" s="78" t="n">
        <v>52.135</v>
      </c>
      <c r="Y477" s="78" t="n">
        <v>75.981</v>
      </c>
      <c r="Z477" s="78" t="n">
        <v>125.829</v>
      </c>
      <c r="AA477" s="78" t="n">
        <v>277.686</v>
      </c>
      <c r="AB477" s="78" t="n">
        <v>165.7</v>
      </c>
      <c r="AC477" s="78" t="n">
        <v>222.8</v>
      </c>
      <c r="AD477" s="78" t="n">
        <v>194.9</v>
      </c>
      <c r="AE477" s="78" t="n">
        <v>306.3</v>
      </c>
      <c r="AF477" s="78" t="n">
        <v>280.7</v>
      </c>
      <c r="AG477" s="78" t="n">
        <v>262.3</v>
      </c>
      <c r="AH477" s="78" t="n">
        <v>314.9</v>
      </c>
      <c r="AI477" s="74" t="n">
        <f aca="false">AH477*(1+AI478/100)</f>
        <v>340.092</v>
      </c>
      <c r="AJ477" s="74" t="n">
        <f aca="false">AI477*(1+AJ478/100)</f>
        <v>367.29936</v>
      </c>
      <c r="AK477" s="74" t="n">
        <f aca="false">AJ477*(1+AK478/100)</f>
        <v>396.6833088</v>
      </c>
      <c r="AL477" s="74" t="n">
        <f aca="false">AK477*(1+AL478/100)</f>
        <v>428.417973504</v>
      </c>
      <c r="AM477" s="36"/>
      <c r="AN477" s="36"/>
      <c r="AO477" s="36"/>
      <c r="AP477" s="36"/>
      <c r="AQ477" s="36"/>
      <c r="AR477" s="36"/>
      <c r="AS477" s="36"/>
      <c r="AT477" s="36"/>
      <c r="AU477" s="36"/>
      <c r="AV477" s="36"/>
      <c r="AW477" s="36"/>
      <c r="AX477" s="36"/>
      <c r="AY477" s="36"/>
    </row>
    <row r="478" customFormat="false" ht="15" hidden="false" customHeight="true" outlineLevel="0" collapsed="false">
      <c r="A478" s="29" t="s">
        <v>534</v>
      </c>
      <c r="B478" s="36"/>
      <c r="C478" s="49" t="n">
        <f aca="false">+C477/B477*100-100</f>
        <v>28.505278755325</v>
      </c>
      <c r="D478" s="49" t="n">
        <f aca="false">+D477/C477*100-100</f>
        <v>-16.3015278178149</v>
      </c>
      <c r="E478" s="49" t="n">
        <f aca="false">+E477/D477*100-100</f>
        <v>28.9306009987946</v>
      </c>
      <c r="F478" s="49" t="n">
        <f aca="false">+F477/E477*100-100</f>
        <v>30.1322291972753</v>
      </c>
      <c r="G478" s="49" t="n">
        <f aca="false">+G477/F477*100-100</f>
        <v>6.96910602483834</v>
      </c>
      <c r="H478" s="49" t="n">
        <f aca="false">+H477/G477*100-100</f>
        <v>-17.2711571675302</v>
      </c>
      <c r="I478" s="49" t="n">
        <f aca="false">+I477/H477*100-100</f>
        <v>7.46926467176989</v>
      </c>
      <c r="J478" s="49" t="n">
        <f aca="false">+J477/I477*100-100</f>
        <v>-17.0084178717893</v>
      </c>
      <c r="K478" s="49" t="n">
        <f aca="false">+K477/J477*100-100</f>
        <v>-2.54876462938883</v>
      </c>
      <c r="L478" s="49" t="n">
        <f aca="false">+L477/K477*100-100</f>
        <v>-18.8283960501735</v>
      </c>
      <c r="M478" s="49" t="n">
        <f aca="false">+M477/L477*100-100</f>
        <v>-8.99227354923558</v>
      </c>
      <c r="N478" s="49" t="n">
        <f aca="false">+N477/M477*100-100</f>
        <v>6.59320809248554</v>
      </c>
      <c r="O478" s="49" t="n">
        <f aca="false">+O477/N477*100-100</f>
        <v>10.930350788002</v>
      </c>
      <c r="P478" s="49" t="n">
        <f aca="false">+P477/O477*100-100</f>
        <v>-7.48548732050107</v>
      </c>
      <c r="Q478" s="49" t="n">
        <f aca="false">+Q477/P477*100-100</f>
        <v>-34.2635402906209</v>
      </c>
      <c r="R478" s="49" t="n">
        <f aca="false">+R477/Q477*100-100</f>
        <v>24.3707611152977</v>
      </c>
      <c r="S478" s="49" t="n">
        <f aca="false">+S477/R477*100-100</f>
        <v>-3.96873485215707</v>
      </c>
      <c r="T478" s="49" t="n">
        <f aca="false">+T477/S477*100-100</f>
        <v>36.7594169979179</v>
      </c>
      <c r="U478" s="49" t="n">
        <f aca="false">+U477/T477*100-100</f>
        <v>15.1710880430604</v>
      </c>
      <c r="V478" s="49" t="n">
        <f aca="false">+V477/U477*100-100</f>
        <v>-11.1203097876886</v>
      </c>
      <c r="W478" s="49" t="n">
        <f aca="false">+W477/V477*100-100</f>
        <v>-2.68922207866349</v>
      </c>
      <c r="X478" s="49" t="n">
        <f aca="false">+X477/W477*100-100</f>
        <v>-19.5099734453159</v>
      </c>
      <c r="Y478" s="49" t="n">
        <f aca="false">+Y477/X477*100-100</f>
        <v>45.7389469646111</v>
      </c>
      <c r="Z478" s="49" t="n">
        <f aca="false">+Z477/Y477*100-100</f>
        <v>65.6058751529988</v>
      </c>
      <c r="AA478" s="49" t="n">
        <f aca="false">+AA477/Z477*100-100</f>
        <v>120.68521564981</v>
      </c>
      <c r="AB478" s="49" t="n">
        <f aca="false">+AB477/AA477*100-100</f>
        <v>-40.3282844651873</v>
      </c>
      <c r="AC478" s="49" t="n">
        <f aca="false">+AC477/AB477*100-100</f>
        <v>34.4598672299337</v>
      </c>
      <c r="AD478" s="49" t="n">
        <f aca="false">+AD477/AC477*100-100</f>
        <v>-12.5224416517056</v>
      </c>
      <c r="AE478" s="49" t="n">
        <f aca="false">+AE477/AD477*100-100</f>
        <v>57.1575166752181</v>
      </c>
      <c r="AF478" s="49" t="n">
        <f aca="false">+AF477/AE477*100-100</f>
        <v>-8.35781913157037</v>
      </c>
      <c r="AG478" s="49" t="n">
        <f aca="false">+AG477/AF477*100-100</f>
        <v>-6.55504096900604</v>
      </c>
      <c r="AH478" s="49" t="n">
        <f aca="false">+AH477/AG477*100-100</f>
        <v>20.0533739992375</v>
      </c>
      <c r="AI478" s="78" t="n">
        <v>8</v>
      </c>
      <c r="AJ478" s="78" t="n">
        <v>8</v>
      </c>
      <c r="AK478" s="78" t="n">
        <v>8</v>
      </c>
      <c r="AL478" s="78" t="n">
        <v>8</v>
      </c>
      <c r="AM478" s="36"/>
      <c r="AN478" s="36"/>
      <c r="AO478" s="36"/>
      <c r="AP478" s="36"/>
      <c r="AQ478" s="36"/>
      <c r="AR478" s="36"/>
      <c r="AS478" s="36"/>
      <c r="AT478" s="36"/>
      <c r="AU478" s="36"/>
      <c r="AV478" s="36"/>
      <c r="AW478" s="36"/>
      <c r="AX478" s="36"/>
      <c r="AY478" s="36"/>
    </row>
    <row r="479" customFormat="false" ht="15" hidden="false" customHeight="true" outlineLevel="0" collapsed="false">
      <c r="A479" s="29" t="s">
        <v>229</v>
      </c>
      <c r="B479" s="59" t="n">
        <f aca="false">+B477/B502*100</f>
        <v>0.565673795127389</v>
      </c>
      <c r="C479" s="59" t="n">
        <f aca="false">+C477/C502*100</f>
        <v>0.587322038374867</v>
      </c>
      <c r="D479" s="59" t="n">
        <f aca="false">+D477/D502*100</f>
        <v>0.383732947772142</v>
      </c>
      <c r="E479" s="59" t="n">
        <f aca="false">+E477/E502*100</f>
        <v>0.372542794901931</v>
      </c>
      <c r="F479" s="59" t="n">
        <f aca="false">+F477/F502*100</f>
        <v>0.392475017633782</v>
      </c>
      <c r="G479" s="59" t="n">
        <f aca="false">+G477/G502*100</f>
        <v>0.517405682654281</v>
      </c>
      <c r="H479" s="59" t="n">
        <f aca="false">+H477/H502*100</f>
        <v>0.421603829529508</v>
      </c>
      <c r="I479" s="59" t="n">
        <f aca="false">+I477/I502*100</f>
        <v>0.356560427102902</v>
      </c>
      <c r="J479" s="59" t="n">
        <f aca="false">+J477/J502*100</f>
        <v>0.295013202703994</v>
      </c>
      <c r="K479" s="59" t="n">
        <f aca="false">+K477/K502*100</f>
        <v>0.284894436232916</v>
      </c>
      <c r="L479" s="59" t="n">
        <f aca="false">+L477/L502*100</f>
        <v>0.197885813086879</v>
      </c>
      <c r="M479" s="59" t="n">
        <f aca="false">+M477/M502*100</f>
        <v>0.140962953173869</v>
      </c>
      <c r="N479" s="59" t="n">
        <f aca="false">+N477/N502*100</f>
        <v>0.122649223221586</v>
      </c>
      <c r="O479" s="59" t="n">
        <f aca="false">+O477/O502*100</f>
        <v>0.10814279209953</v>
      </c>
      <c r="P479" s="59" t="n">
        <f aca="false">+P477/P502*100</f>
        <v>0.0729224126481372</v>
      </c>
      <c r="Q479" s="59" t="n">
        <f aca="false">+Q477/Q502*100</f>
        <v>0.0445616536951696</v>
      </c>
      <c r="R479" s="59" t="n">
        <f aca="false">+R477/R502*100</f>
        <v>0.0742682959591594</v>
      </c>
      <c r="S479" s="59" t="n">
        <f aca="false">+S477/S502*100</f>
        <v>0.060395569065935</v>
      </c>
      <c r="T479" s="59" t="n">
        <f aca="false">+T477/T502*100</f>
        <v>0.0537680785189742</v>
      </c>
      <c r="U479" s="59" t="n">
        <f aca="false">+U477/U502*100</f>
        <v>0.0548768851115002</v>
      </c>
      <c r="V479" s="59" t="n">
        <f aca="false">+V477/V502*100</f>
        <v>0.0500520398492201</v>
      </c>
      <c r="W479" s="59" t="n">
        <f aca="false">+W477/W502*100</f>
        <v>0.0613322117311954</v>
      </c>
      <c r="X479" s="59" t="n">
        <f aca="false">+X477/X502*100</f>
        <v>0.0359900865208307</v>
      </c>
      <c r="Y479" s="59" t="n">
        <f aca="false">+Y477/Y502*100</f>
        <v>0.0380038503725974</v>
      </c>
      <c r="Z479" s="59" t="n">
        <f aca="false">+Z477/Z502*100</f>
        <v>0.0589869453769091</v>
      </c>
      <c r="AA479" s="59" t="n">
        <f aca="false">+AA477/AA502*100</f>
        <v>0.104690333623067</v>
      </c>
      <c r="AB479" s="59" t="n">
        <f aca="false">+AB477/AB502*100</f>
        <v>0.0570298692649617</v>
      </c>
      <c r="AC479" s="59" t="n">
        <f aca="false">+AC477/AC502*100</f>
        <v>0.127551385518338</v>
      </c>
      <c r="AD479" s="59" t="n">
        <f aca="false">+AD477/AD502*100</f>
        <v>0.127373549565564</v>
      </c>
      <c r="AE479" s="59" t="n">
        <f aca="false">+AE477/AE502*100</f>
        <v>0.14122828494086</v>
      </c>
      <c r="AF479" s="59" t="n">
        <f aca="false">+AF477/AF502*100</f>
        <v>0.0776612751057295</v>
      </c>
      <c r="AG479" s="59" t="n">
        <f aca="false">+AG477/AG502*100</f>
        <v>0.0683659902786325</v>
      </c>
      <c r="AH479" s="59" t="n">
        <f aca="false">+AH477/AH502*100</f>
        <v>0.0812587703475935</v>
      </c>
      <c r="AI479" s="59" t="n">
        <f aca="false">+AI477/AI502*100</f>
        <v>0.0772812889213382</v>
      </c>
      <c r="AJ479" s="59" t="n">
        <f aca="false">+AJ477/AJ502*100</f>
        <v>0.0765494878893748</v>
      </c>
      <c r="AK479" s="59" t="n">
        <f aca="false">+AK477/AK502*100</f>
        <v>0.0765332874875502</v>
      </c>
      <c r="AL479" s="59" t="n">
        <f aca="false">+AL477/AL502*100</f>
        <v>0.0768854809945204</v>
      </c>
      <c r="AM479" s="43"/>
      <c r="AN479" s="43"/>
      <c r="AO479" s="43"/>
      <c r="AP479" s="43"/>
      <c r="AQ479" s="43"/>
      <c r="AR479" s="43"/>
      <c r="AS479" s="43"/>
      <c r="AT479" s="43"/>
      <c r="AU479" s="43"/>
      <c r="AV479" s="43"/>
      <c r="AW479" s="43"/>
      <c r="AX479" s="43"/>
      <c r="AY479" s="43"/>
    </row>
    <row r="480" customFormat="false" ht="15" hidden="false" customHeight="true" outlineLevel="0" collapsed="false">
      <c r="A480" s="47" t="s">
        <v>555</v>
      </c>
      <c r="B480" s="93" t="n">
        <f aca="false">24.93+0.6</f>
        <v>25.53</v>
      </c>
      <c r="C480" s="93" t="n">
        <f aca="false">33.1+19</f>
        <v>52.1</v>
      </c>
      <c r="D480" s="93" t="n">
        <f aca="false">28.35+2.66</f>
        <v>31.01</v>
      </c>
      <c r="E480" s="93" t="n">
        <f aca="false">53.07+1.5</f>
        <v>54.57</v>
      </c>
      <c r="F480" s="93" t="n">
        <f aca="false">34.54-5.7</f>
        <v>28.84</v>
      </c>
      <c r="G480" s="93" t="n">
        <f aca="false">22.23+53.21</f>
        <v>75.44</v>
      </c>
      <c r="H480" s="93" t="n">
        <f aca="false">30.3+23.42</f>
        <v>53.72</v>
      </c>
      <c r="I480" s="93" t="n">
        <f aca="false">68.61+18.26</f>
        <v>86.87</v>
      </c>
      <c r="J480" s="93" t="n">
        <f aca="false">48.78+66.77</f>
        <v>115.55</v>
      </c>
      <c r="K480" s="93" t="n">
        <f aca="false">74.23+45.46</f>
        <v>119.69</v>
      </c>
      <c r="L480" s="93" t="n">
        <f aca="false">87.22-0.35</f>
        <v>86.87</v>
      </c>
      <c r="M480" s="93" t="n">
        <f aca="false">3.13+143.69</f>
        <v>146.82</v>
      </c>
      <c r="N480" s="93" t="n">
        <f aca="false">188+11.74</f>
        <v>199.74</v>
      </c>
      <c r="O480" s="93" t="n">
        <f aca="false">197.35+8.08</f>
        <v>205.43</v>
      </c>
      <c r="P480" s="93" t="n">
        <f aca="false">294.85-168.13+8.16</f>
        <v>134.88</v>
      </c>
      <c r="Q480" s="93" t="n">
        <f aca="false">305.66+30.25</f>
        <v>335.91</v>
      </c>
      <c r="R480" s="93" t="n">
        <f aca="false">10.09+233.377+36.48</f>
        <v>279.947</v>
      </c>
      <c r="S480" s="93" t="n">
        <f aca="false">396.879-14.424-28.805</f>
        <v>353.65</v>
      </c>
      <c r="T480" s="93" t="n">
        <f aca="false">475.735+6.001</f>
        <v>481.736</v>
      </c>
      <c r="U480" s="93" t="n">
        <f aca="false">694.365+21.8+2.654</f>
        <v>718.819</v>
      </c>
      <c r="V480" s="34" t="n">
        <v>568.269</v>
      </c>
      <c r="W480" s="93" t="n">
        <f aca="false">732.203+52.485</f>
        <v>784.688</v>
      </c>
      <c r="X480" s="93" t="n">
        <f aca="false">412.77+4.886</f>
        <v>417.656</v>
      </c>
      <c r="Y480" s="93" t="n">
        <f aca="false">678.387+433.308</f>
        <v>1111.695</v>
      </c>
      <c r="Z480" s="93" t="n">
        <f aca="false">841.699+269.47</f>
        <v>1111.169</v>
      </c>
      <c r="AA480" s="93" t="n">
        <f aca="false">1231.895+287.327</f>
        <v>1519.222</v>
      </c>
      <c r="AB480" s="93" t="n">
        <f aca="false">2169.7+222.7-330.4</f>
        <v>2062</v>
      </c>
      <c r="AC480" s="93" t="n">
        <f aca="false">3302.8+308.6+88.5</f>
        <v>3699.9</v>
      </c>
      <c r="AD480" s="93" t="n">
        <f aca="false">1376.4+653.6-16.1</f>
        <v>2013.9</v>
      </c>
      <c r="AE480" s="93" t="n">
        <f aca="false">1345.1+66.5-120.3</f>
        <v>1291.3</v>
      </c>
      <c r="AF480" s="93" t="n">
        <f aca="false">1356+81.6+16.6</f>
        <v>1454.2</v>
      </c>
      <c r="AG480" s="93" t="n">
        <f aca="false">1109.1+34.2+8.5</f>
        <v>1151.8</v>
      </c>
      <c r="AH480" s="93" t="n">
        <f aca="false">1521.1+210.6</f>
        <v>1731.7</v>
      </c>
      <c r="AI480" s="35" t="n">
        <f aca="false">AH480*(1+AI481/100)</f>
        <v>1904.87</v>
      </c>
      <c r="AJ480" s="35" t="n">
        <f aca="false">AI480*(1+AJ481/100)</f>
        <v>2095.357</v>
      </c>
      <c r="AK480" s="35" t="n">
        <f aca="false">AJ480*(1+AK481/100)</f>
        <v>2304.8927</v>
      </c>
      <c r="AL480" s="35" t="n">
        <f aca="false">AK480*(1+AL481/100)</f>
        <v>2489.284116</v>
      </c>
      <c r="AM480" s="30"/>
      <c r="AN480" s="30"/>
      <c r="AO480" s="30"/>
      <c r="AP480" s="30"/>
      <c r="AQ480" s="30"/>
      <c r="AR480" s="30"/>
      <c r="AS480" s="30"/>
      <c r="AT480" s="30"/>
      <c r="AU480" s="30"/>
      <c r="AV480" s="30"/>
      <c r="AW480" s="30"/>
      <c r="AX480" s="30"/>
      <c r="AY480" s="30"/>
    </row>
    <row r="481" customFormat="false" ht="15" hidden="false" customHeight="true" outlineLevel="0" collapsed="false">
      <c r="A481" s="29" t="s">
        <v>534</v>
      </c>
      <c r="B481" s="36"/>
      <c r="C481" s="49" t="n">
        <f aca="false">+C480/B480*100-100</f>
        <v>104.073638856248</v>
      </c>
      <c r="D481" s="49" t="n">
        <f aca="false">+D480/C480*100-100</f>
        <v>-40.4798464491363</v>
      </c>
      <c r="E481" s="49" t="n">
        <f aca="false">+E480/D480*100-100</f>
        <v>75.9754917768462</v>
      </c>
      <c r="F481" s="49" t="n">
        <f aca="false">+F480/E480*100-100</f>
        <v>-47.1504489646326</v>
      </c>
      <c r="G481" s="49" t="n">
        <f aca="false">+G480/F480*100-100</f>
        <v>161.581137309293</v>
      </c>
      <c r="H481" s="49" t="n">
        <f aca="false">+H480/G480*100-100</f>
        <v>-28.7910922587487</v>
      </c>
      <c r="I481" s="49" t="n">
        <f aca="false">+I480/H480*100-100</f>
        <v>61.7088607594937</v>
      </c>
      <c r="J481" s="49" t="n">
        <f aca="false">+J480/I480*100-100</f>
        <v>33.0148497755266</v>
      </c>
      <c r="K481" s="49" t="n">
        <f aca="false">+K480/J480*100-100</f>
        <v>3.5828645607962</v>
      </c>
      <c r="L481" s="49" t="n">
        <f aca="false">+L480/K480*100-100</f>
        <v>-27.4208371626702</v>
      </c>
      <c r="M481" s="49" t="n">
        <f aca="false">+M480/L480*100-100</f>
        <v>69.0111661102797</v>
      </c>
      <c r="N481" s="49" t="n">
        <f aca="false">+N480/M480*100-100</f>
        <v>36.0441356763384</v>
      </c>
      <c r="O481" s="49" t="n">
        <f aca="false">+O480/N480*100-100</f>
        <v>2.84870331430859</v>
      </c>
      <c r="P481" s="49" t="n">
        <f aca="false">+P480/O480*100-100</f>
        <v>-34.3425984520274</v>
      </c>
      <c r="Q481" s="49" t="n">
        <f aca="false">+Q480/P480*100-100</f>
        <v>149.04359430605</v>
      </c>
      <c r="R481" s="49" t="n">
        <f aca="false">+R480/Q480*100-100</f>
        <v>-16.6601172933226</v>
      </c>
      <c r="S481" s="49" t="n">
        <f aca="false">+S480/R480*100-100</f>
        <v>26.3274834165038</v>
      </c>
      <c r="T481" s="49" t="n">
        <f aca="false">+T480/S480*100-100</f>
        <v>36.2182949243602</v>
      </c>
      <c r="U481" s="49" t="n">
        <f aca="false">+U480/T480*100-100</f>
        <v>49.2142999485195</v>
      </c>
      <c r="V481" s="49" t="n">
        <f aca="false">+V480/U480*100-100</f>
        <v>-20.9440763251945</v>
      </c>
      <c r="W481" s="49" t="n">
        <f aca="false">+W480/V480*100-100</f>
        <v>38.0839004063216</v>
      </c>
      <c r="X481" s="49" t="n">
        <f aca="false">+X480/W480*100-100</f>
        <v>-46.7742593234509</v>
      </c>
      <c r="Y481" s="49" t="n">
        <f aca="false">+Y480/X480*100-100</f>
        <v>166.174794567778</v>
      </c>
      <c r="Z481" s="49" t="n">
        <f aca="false">+Z480/Y480*100-100</f>
        <v>-0.047315135896099</v>
      </c>
      <c r="AA481" s="49" t="n">
        <f aca="false">+AA480/Z480*100-100</f>
        <v>36.7228567391639</v>
      </c>
      <c r="AB481" s="49" t="n">
        <f aca="false">+AB480/AA480*100-100</f>
        <v>35.7273657174527</v>
      </c>
      <c r="AC481" s="49" t="n">
        <f aca="false">+AC480/AB480*100-100</f>
        <v>79.4325897187197</v>
      </c>
      <c r="AD481" s="49" t="n">
        <f aca="false">+AD480/AC480*100-100</f>
        <v>-45.568799156734</v>
      </c>
      <c r="AE481" s="49" t="n">
        <f aca="false">+AE480/AD480*100-100</f>
        <v>-35.8806296241124</v>
      </c>
      <c r="AF481" s="49" t="n">
        <f aca="false">+AF480/AE480*100-100</f>
        <v>12.6151939905522</v>
      </c>
      <c r="AG481" s="49" t="n">
        <f aca="false">+AG480/AF480*100-100</f>
        <v>-20.7949387979645</v>
      </c>
      <c r="AH481" s="49" t="n">
        <f aca="false">+AH480/AG480*100-100</f>
        <v>50.3472825143254</v>
      </c>
      <c r="AI481" s="78" t="n">
        <v>10</v>
      </c>
      <c r="AJ481" s="78" t="n">
        <v>10</v>
      </c>
      <c r="AK481" s="78" t="n">
        <v>10</v>
      </c>
      <c r="AL481" s="78" t="n">
        <v>8</v>
      </c>
      <c r="AM481" s="36"/>
      <c r="AN481" s="36"/>
      <c r="AO481" s="36"/>
      <c r="AP481" s="36"/>
      <c r="AQ481" s="36"/>
      <c r="AR481" s="36"/>
      <c r="AS481" s="36"/>
      <c r="AT481" s="36"/>
      <c r="AU481" s="36"/>
      <c r="AV481" s="36"/>
      <c r="AW481" s="36"/>
      <c r="AX481" s="36"/>
      <c r="AY481" s="36"/>
    </row>
    <row r="482" customFormat="false" ht="15" hidden="false" customHeight="true" outlineLevel="0" collapsed="false">
      <c r="A482" s="29" t="s">
        <v>229</v>
      </c>
      <c r="B482" s="59" t="n">
        <f aca="false">+B480/B502*100</f>
        <v>0.267487534536067</v>
      </c>
      <c r="C482" s="59" t="n">
        <f aca="false">+C480/C502*100</f>
        <v>0.441041772835552</v>
      </c>
      <c r="D482" s="59" t="n">
        <f aca="false">+D480/D502*100</f>
        <v>0.204917491138525</v>
      </c>
      <c r="E482" s="59" t="n">
        <f aca="false">+E480/E502*100</f>
        <v>0.271532794414296</v>
      </c>
      <c r="F482" s="59" t="n">
        <f aca="false">+F480/F502*100</f>
        <v>0.116175505578962</v>
      </c>
      <c r="G482" s="59" t="n">
        <f aca="false">+G480/G502*100</f>
        <v>0.374525855876405</v>
      </c>
      <c r="H482" s="59" t="n">
        <f aca="false">+H480/H502*100</f>
        <v>0.262683341711032</v>
      </c>
      <c r="I482" s="59" t="n">
        <f aca="false">+I480/I502*100</f>
        <v>0.33428021047301</v>
      </c>
      <c r="J482" s="59" t="n">
        <f aca="false">+J480/J502*100</f>
        <v>0.443287068562373</v>
      </c>
      <c r="K482" s="59" t="n">
        <f aca="false">+K480/K502*100</f>
        <v>0.455017548341575</v>
      </c>
      <c r="L482" s="59" t="n">
        <f aca="false">+L480/L502*100</f>
        <v>0.282596425823725</v>
      </c>
      <c r="M482" s="59" t="n">
        <f aca="false">+M480/M502*100</f>
        <v>0.373847196260611</v>
      </c>
      <c r="N482" s="59" t="n">
        <f aca="false">+N480/N502*100</f>
        <v>0.415149226339258</v>
      </c>
      <c r="O482" s="59" t="n">
        <f aca="false">+O480/O502*100</f>
        <v>0.33937937337315</v>
      </c>
      <c r="P482" s="59" t="n">
        <f aca="false">+P480/P502*100</f>
        <v>0.162413722225574</v>
      </c>
      <c r="Q482" s="59" t="n">
        <f aca="false">+Q480/Q502*100</f>
        <v>0.376003644630606</v>
      </c>
      <c r="R482" s="59" t="n">
        <f aca="false">+R480/R502*100</f>
        <v>0.419922173389861</v>
      </c>
      <c r="S482" s="59" t="n">
        <f aca="false">+S480/S502*100</f>
        <v>0.449216417443117</v>
      </c>
      <c r="T482" s="59" t="n">
        <f aca="false">+T480/T502*100</f>
        <v>0.398339393670381</v>
      </c>
      <c r="U482" s="59" t="n">
        <f aca="false">+U480/U502*100</f>
        <v>0.526726501254687</v>
      </c>
      <c r="V482" s="59" t="n">
        <f aca="false">+V480/V502*100</f>
        <v>0.427316225970921</v>
      </c>
      <c r="W482" s="59" t="n">
        <f aca="false">+W480/W502*100</f>
        <v>0.743016281092575</v>
      </c>
      <c r="X482" s="59" t="n">
        <f aca="false">+X480/X502*100</f>
        <v>0.288318319285395</v>
      </c>
      <c r="Y482" s="59" t="n">
        <f aca="false">+Y480/Y502*100</f>
        <v>0.556042832286554</v>
      </c>
      <c r="Z482" s="59" t="n">
        <f aca="false">+Z480/Z502*100</f>
        <v>0.520901104733525</v>
      </c>
      <c r="AA482" s="59" t="n">
        <f aca="false">+AA480/AA502*100</f>
        <v>0.572761529308293</v>
      </c>
      <c r="AB482" s="59" t="n">
        <f aca="false">+AB480/AB502*100</f>
        <v>0.70968974305583</v>
      </c>
      <c r="AC482" s="59" t="n">
        <f aca="false">+AC480/AC502*100</f>
        <v>2.11816593931462</v>
      </c>
      <c r="AD482" s="59" t="n">
        <f aca="false">+AD480/AD502*100</f>
        <v>1.31614977665515</v>
      </c>
      <c r="AE482" s="59" t="n">
        <f aca="false">+AE480/AE502*100</f>
        <v>0.595390415749697</v>
      </c>
      <c r="AF482" s="59" t="n">
        <f aca="false">+AF480/AF502*100</f>
        <v>0.402333545631463</v>
      </c>
      <c r="AG482" s="59" t="n">
        <f aca="false">+AG480/AG502*100</f>
        <v>0.300205671379828</v>
      </c>
      <c r="AH482" s="59" t="n">
        <f aca="false">+AH480/AH502*100</f>
        <v>0.446858725344324</v>
      </c>
      <c r="AI482" s="59" t="n">
        <f aca="false">+AI480/AI502*100</f>
        <v>0.432855841441697</v>
      </c>
      <c r="AJ482" s="59" t="n">
        <f aca="false">+AJ480/AJ502*100</f>
        <v>0.436696936513629</v>
      </c>
      <c r="AK482" s="59" t="n">
        <f aca="false">+AK480/AK502*100</f>
        <v>0.444689785841213</v>
      </c>
      <c r="AL482" s="59" t="n">
        <f aca="false">+AL480/AL502*100</f>
        <v>0.446736174547757</v>
      </c>
      <c r="AM482" s="43"/>
      <c r="AN482" s="43"/>
      <c r="AO482" s="43"/>
      <c r="AP482" s="43"/>
      <c r="AQ482" s="43"/>
      <c r="AR482" s="43"/>
      <c r="AS482" s="43"/>
      <c r="AT482" s="43"/>
      <c r="AU482" s="43"/>
      <c r="AV482" s="43"/>
      <c r="AW482" s="43"/>
      <c r="AX482" s="43"/>
      <c r="AY482" s="43"/>
    </row>
    <row r="483" customFormat="false" ht="15" hidden="false" customHeight="true" outlineLevel="0" collapsed="false">
      <c r="A483" s="29" t="s">
        <v>380</v>
      </c>
      <c r="B483" s="30"/>
      <c r="C483" s="30"/>
      <c r="D483" s="30"/>
      <c r="E483" s="30"/>
      <c r="F483" s="30"/>
      <c r="G483" s="30"/>
      <c r="H483" s="30"/>
      <c r="I483" s="30"/>
      <c r="J483" s="30"/>
      <c r="K483" s="30"/>
      <c r="L483" s="30"/>
      <c r="M483" s="30"/>
      <c r="N483" s="30"/>
      <c r="O483" s="30"/>
      <c r="P483" s="30"/>
      <c r="Q483" s="30"/>
      <c r="R483" s="30"/>
      <c r="S483" s="30"/>
      <c r="T483" s="30"/>
      <c r="U483" s="30"/>
      <c r="V483" s="34" t="n">
        <v>1418.176</v>
      </c>
      <c r="W483" s="34" t="n">
        <v>1260.026</v>
      </c>
      <c r="X483" s="34" t="n">
        <v>1375.765</v>
      </c>
      <c r="Y483" s="34" t="n">
        <v>1381.765</v>
      </c>
      <c r="Z483" s="34" t="n">
        <v>1484.384</v>
      </c>
      <c r="AA483" s="34" t="n">
        <v>1640.913</v>
      </c>
      <c r="AB483" s="34" t="n">
        <v>1886</v>
      </c>
      <c r="AC483" s="34" t="n">
        <v>2082.7</v>
      </c>
      <c r="AD483" s="34" t="n">
        <v>1688.3</v>
      </c>
      <c r="AE483" s="34" t="n">
        <v>2160.4</v>
      </c>
      <c r="AF483" s="34" t="n">
        <v>2463.9</v>
      </c>
      <c r="AG483" s="34" t="n">
        <v>2468.3</v>
      </c>
      <c r="AH483" s="34" t="n">
        <v>2475.6</v>
      </c>
      <c r="AI483" s="101" t="n">
        <f aca="false">42509.5-AI480-AI477-AI474-AI471-AI459-AI455-AI448+AI494</f>
        <v>3452.37616</v>
      </c>
      <c r="AJ483" s="35" t="n">
        <f aca="false">+AJ484*AJ502</f>
        <v>3454.70030553538</v>
      </c>
      <c r="AK483" s="35" t="n">
        <f aca="false">+AK484*AK502</f>
        <v>4146.51790688625</v>
      </c>
      <c r="AL483" s="35" t="n">
        <f aca="false">+AL484*AL502</f>
        <v>4569.16876540471</v>
      </c>
      <c r="AM483" s="30"/>
      <c r="AN483" s="30"/>
      <c r="AO483" s="30"/>
      <c r="AP483" s="30"/>
      <c r="AQ483" s="30"/>
      <c r="AR483" s="30"/>
      <c r="AS483" s="30"/>
      <c r="AT483" s="30"/>
      <c r="AU483" s="30"/>
      <c r="AV483" s="30"/>
      <c r="AW483" s="30"/>
      <c r="AX483" s="30"/>
      <c r="AY483" s="30"/>
    </row>
    <row r="484" customFormat="false" ht="15" hidden="false" customHeight="true" outlineLevel="0" collapsed="false">
      <c r="A484" s="29" t="s">
        <v>229</v>
      </c>
      <c r="B484" s="57" t="n">
        <f aca="false">+B483/B502</f>
        <v>0</v>
      </c>
      <c r="C484" s="57" t="n">
        <f aca="false">+C483/C502</f>
        <v>0</v>
      </c>
      <c r="D484" s="57" t="n">
        <f aca="false">+D483/D502</f>
        <v>0</v>
      </c>
      <c r="E484" s="57" t="n">
        <f aca="false">+E483/E502</f>
        <v>0</v>
      </c>
      <c r="F484" s="57" t="n">
        <f aca="false">+F483/F502</f>
        <v>0</v>
      </c>
      <c r="G484" s="57" t="n">
        <f aca="false">+G483/G502</f>
        <v>0</v>
      </c>
      <c r="H484" s="57" t="n">
        <f aca="false">+H483/H502</f>
        <v>0</v>
      </c>
      <c r="I484" s="57" t="n">
        <f aca="false">+I483/I502</f>
        <v>0</v>
      </c>
      <c r="J484" s="57" t="n">
        <f aca="false">+J483/J502</f>
        <v>0</v>
      </c>
      <c r="K484" s="57" t="n">
        <f aca="false">+K483/K502</f>
        <v>0</v>
      </c>
      <c r="L484" s="57" t="n">
        <f aca="false">+L483/L502</f>
        <v>0</v>
      </c>
      <c r="M484" s="57" t="n">
        <f aca="false">+M483/M502</f>
        <v>0</v>
      </c>
      <c r="N484" s="57" t="n">
        <f aca="false">+N483/N502</f>
        <v>0</v>
      </c>
      <c r="O484" s="57" t="n">
        <f aca="false">+O483/O502</f>
        <v>0</v>
      </c>
      <c r="P484" s="57" t="n">
        <f aca="false">+P483/P502</f>
        <v>0</v>
      </c>
      <c r="Q484" s="57" t="n">
        <f aca="false">+Q483/Q502</f>
        <v>0</v>
      </c>
      <c r="R484" s="57" t="n">
        <f aca="false">+R483/R502</f>
        <v>0</v>
      </c>
      <c r="S484" s="57" t="n">
        <f aca="false">+S483/S502</f>
        <v>0</v>
      </c>
      <c r="T484" s="57" t="n">
        <f aca="false">+T483/T502</f>
        <v>0</v>
      </c>
      <c r="U484" s="57" t="n">
        <f aca="false">+U483/U502</f>
        <v>0</v>
      </c>
      <c r="V484" s="57" t="n">
        <f aca="false">+V483/V502</f>
        <v>0.0106641329384946</v>
      </c>
      <c r="W484" s="57" t="n">
        <f aca="false">+W483/W502</f>
        <v>0.0119311093402722</v>
      </c>
      <c r="X484" s="57" t="n">
        <f aca="false">+X483/X502</f>
        <v>0.00949724779559426</v>
      </c>
      <c r="Y484" s="57" t="n">
        <f aca="false">+Y483/Y502</f>
        <v>0.00691125285401509</v>
      </c>
      <c r="Z484" s="57" t="n">
        <f aca="false">+Z483/Z502</f>
        <v>0.00695859284635162</v>
      </c>
      <c r="AA484" s="57" t="n">
        <f aca="false">+AA483/AA502</f>
        <v>0.00618640224629355</v>
      </c>
      <c r="AB484" s="57" t="n">
        <f aca="false">+AB483/AB502</f>
        <v>0.00649114866829921</v>
      </c>
      <c r="AC484" s="57" t="n">
        <f aca="false">+AC483/AC502</f>
        <v>0.011923306580747</v>
      </c>
      <c r="AD484" s="57" t="n">
        <f aca="false">+AD483/AD502</f>
        <v>0.0110335948553895</v>
      </c>
      <c r="AE484" s="57" t="n">
        <f aca="false">+AE483/AE502</f>
        <v>0.0099611357096387</v>
      </c>
      <c r="AF484" s="57" t="n">
        <f aca="false">+AF483/AF502</f>
        <v>0.00681687266594253</v>
      </c>
      <c r="AG484" s="57" t="n">
        <f aca="false">+AG483/AG502</f>
        <v>0.00643338825027635</v>
      </c>
      <c r="AH484" s="57" t="n">
        <f aca="false">+AH483/AH502</f>
        <v>0.00638819345419188</v>
      </c>
      <c r="AI484" s="57" t="n">
        <f aca="false">+AI483/AI502</f>
        <v>0.00784505602854816</v>
      </c>
      <c r="AJ484" s="102" t="n">
        <v>0.0072</v>
      </c>
      <c r="AK484" s="102" t="n">
        <v>0.008</v>
      </c>
      <c r="AL484" s="102" t="n">
        <v>0.0082</v>
      </c>
      <c r="AM484" s="56"/>
      <c r="AN484" s="56"/>
      <c r="AO484" s="56"/>
      <c r="AP484" s="56"/>
      <c r="AQ484" s="56"/>
      <c r="AR484" s="56"/>
      <c r="AS484" s="56"/>
      <c r="AT484" s="56"/>
      <c r="AU484" s="56"/>
      <c r="AV484" s="56"/>
      <c r="AW484" s="56"/>
      <c r="AX484" s="56"/>
      <c r="AY484" s="56"/>
    </row>
    <row r="485" customFormat="false" ht="15" hidden="false" customHeight="true" outlineLevel="0" collapsed="false">
      <c r="A485" s="29" t="s">
        <v>556</v>
      </c>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row>
    <row r="486" customFormat="false" ht="15" hidden="false" customHeight="true" outlineLevel="0" collapsed="false">
      <c r="A486" s="51" t="s">
        <v>557</v>
      </c>
      <c r="B486" s="52" t="n">
        <f aca="false">+B480+B477+B474+B471+B467+B459+B455</f>
        <v>1545.57</v>
      </c>
      <c r="C486" s="52" t="n">
        <f aca="false">+C480+C477+C474+C471+C467+C459+C455</f>
        <v>1961.73</v>
      </c>
      <c r="D486" s="52" t="n">
        <f aca="false">+D480+D477+D474+D471+D467+D459+D455</f>
        <v>2351.73</v>
      </c>
      <c r="E486" s="52" t="n">
        <f aca="false">+E480+E477+E474+E471+E467+E459+E455</f>
        <v>3214.62</v>
      </c>
      <c r="F486" s="52" t="n">
        <f aca="false">+F480+F477+F474+F471+F467+F459+F455</f>
        <v>3595.57</v>
      </c>
      <c r="G486" s="52" t="n">
        <f aca="false">+G480+G477+G474+G471+G467+G459+G455</f>
        <v>3494.42</v>
      </c>
      <c r="H486" s="52" t="n">
        <f aca="false">+H480+H477+H474+H471+H467+H459+H455</f>
        <v>3567.85</v>
      </c>
      <c r="I486" s="52" t="n">
        <f aca="false">+I480+I477+I474+I471+I467+I459+I455</f>
        <v>4082.33</v>
      </c>
      <c r="J486" s="52" t="n">
        <f aca="false">+J480+J477+J474+J471+J467+J459+J455</f>
        <v>4338.46</v>
      </c>
      <c r="K486" s="52" t="n">
        <f aca="false">+K480+K477+K474+K471+K467+K459+K455</f>
        <v>4508.48</v>
      </c>
      <c r="L486" s="52" t="n">
        <f aca="false">+L480+L477+L474+L471+L467+L459+L455</f>
        <v>5197.45</v>
      </c>
      <c r="M486" s="52" t="n">
        <f aca="false">+M480+M477+M474+M471+M467+M459+M455</f>
        <v>5781.15</v>
      </c>
      <c r="N486" s="52" t="n">
        <f aca="false">+N480+N477+N474+N471+N467+N459+N455</f>
        <v>6868.2</v>
      </c>
      <c r="O486" s="52" t="n">
        <f aca="false">+O480+O477+O474+O471+O467+O459+O455</f>
        <v>8055.98</v>
      </c>
      <c r="P486" s="52" t="n">
        <f aca="false">+P480+P477+P474+P471+P467+P459+P455</f>
        <v>9644.15</v>
      </c>
      <c r="Q486" s="52" t="n">
        <f aca="false">+Q480+Q477+Q474+Q471+Q467+Q459+Q455</f>
        <v>11191.8</v>
      </c>
      <c r="R486" s="52" t="n">
        <f aca="false">+R480+R477+R474+R471+R467+R459+R455+R485</f>
        <v>10370.844</v>
      </c>
      <c r="S486" s="52" t="n">
        <f aca="false">+S480+S477+S474+S471+S467+S459+S455+S485</f>
        <v>12436.855</v>
      </c>
      <c r="T486" s="52" t="n">
        <f aca="false">+T480+T477+T474+T471+T467+T459+T455</f>
        <v>16847.35</v>
      </c>
      <c r="U486" s="52" t="n">
        <f aca="false">+U480+U477+U474+U471+U467+U459+U455</f>
        <v>20758.03</v>
      </c>
      <c r="V486" s="52" t="n">
        <f aca="false">+V480+V477+V474+V471+V467+V459+V455+V483</f>
        <v>24278.187</v>
      </c>
      <c r="W486" s="52" t="n">
        <f aca="false">+W480+W477+W474+W471+W467+W459+W455+W483</f>
        <v>21387.777</v>
      </c>
      <c r="X486" s="52" t="n">
        <f aca="false">+X480+X477+X474+X471+X467+X459+X455+X483</f>
        <v>25108.001</v>
      </c>
      <c r="Y486" s="52" t="n">
        <f aca="false">+Y480+Y477+Y474+Y471+Y467+Y459+Y455+Y483</f>
        <v>34149.807</v>
      </c>
      <c r="Z486" s="52" t="n">
        <f aca="false">+Z480+Z477+Z474+Z471+Z467+Z459+Z455+Z483</f>
        <v>38130.288</v>
      </c>
      <c r="AA486" s="52" t="n">
        <f aca="false">+AA480+AA477+AA474+AA471+AA467+AA459+AA455+AA483</f>
        <v>48744.025</v>
      </c>
      <c r="AB486" s="52" t="n">
        <f aca="false">+AB480+AB477+AB474+AB471+AB467+AB459+AB455+AB483</f>
        <v>53154.4</v>
      </c>
      <c r="AC486" s="52" t="n">
        <f aca="false">+AC480+AC477+AC474+AC471+AC467+AC459+AC455+AC483</f>
        <v>42263.1</v>
      </c>
      <c r="AD486" s="52" t="n">
        <f aca="false">+AD480+AD477+AD474+AD471+AD467+AD459+AD455+AD483</f>
        <v>34390.5</v>
      </c>
      <c r="AE486" s="52" t="n">
        <f aca="false">+AE480+AE477+AE474+AE471+AE467+AE459+AE455+AE483</f>
        <v>39369.2</v>
      </c>
      <c r="AF486" s="52" t="n">
        <f aca="false">+AF480+AF477+AF474+AF471+AF467+AF459+AF455+AF483</f>
        <v>53652.5</v>
      </c>
      <c r="AG486" s="52" t="n">
        <f aca="false">+AG480+AG477+AG474+AG471+AG467+AG459+AG455+AG483</f>
        <v>58060.3</v>
      </c>
      <c r="AH486" s="52" t="n">
        <f aca="false">+AH480+AH477+AH474+AH471+AH467+AH459+AH455+AH483</f>
        <v>62068.5</v>
      </c>
      <c r="AI486" s="52" t="n">
        <f aca="false">+AI480+AI477+AI474+AI471+AI467+AI459+AI455+AI483</f>
        <v>68244.20316</v>
      </c>
      <c r="AJ486" s="52" t="n">
        <f aca="false">+AJ480+AJ477+AJ474+AJ471+AJ467+AJ459+AJ455+AJ483</f>
        <v>73385.5958655354</v>
      </c>
      <c r="AK486" s="52" t="n">
        <f aca="false">+AK480+AK477+AK474+AK471+AK467+AK459+AK455+AK483</f>
        <v>79074.1006716863</v>
      </c>
      <c r="AL486" s="52" t="n">
        <f aca="false">+AL480+AL477+AL474+AL471+AL467+AL459+AL455+AL483</f>
        <v>84751.5733753087</v>
      </c>
      <c r="AM486" s="53"/>
      <c r="AN486" s="53"/>
      <c r="AO486" s="53"/>
      <c r="AP486" s="53"/>
      <c r="AQ486" s="53"/>
      <c r="AR486" s="53"/>
      <c r="AS486" s="53"/>
      <c r="AT486" s="53"/>
      <c r="AU486" s="53"/>
      <c r="AV486" s="53"/>
      <c r="AW486" s="53"/>
      <c r="AX486" s="53"/>
      <c r="AY486" s="53"/>
    </row>
    <row r="487" customFormat="false" ht="15" hidden="false" customHeight="true" outlineLevel="0" collapsed="false">
      <c r="A487" s="29" t="s">
        <v>534</v>
      </c>
      <c r="B487" s="36"/>
      <c r="C487" s="49" t="n">
        <f aca="false">(100*C486)/B486-100</f>
        <v>26.9259884702731</v>
      </c>
      <c r="D487" s="49" t="n">
        <f aca="false">(100*D486)/C486-100</f>
        <v>19.880411677448</v>
      </c>
      <c r="E487" s="49" t="n">
        <f aca="false">(100*E486)/D486-100</f>
        <v>36.6917120587823</v>
      </c>
      <c r="F487" s="49" t="n">
        <f aca="false">(100*F486)/E486-100</f>
        <v>11.8505453210644</v>
      </c>
      <c r="G487" s="49" t="n">
        <f aca="false">(100*G486)/F486-100</f>
        <v>-2.81318400142398</v>
      </c>
      <c r="H487" s="49" t="n">
        <f aca="false">(100*H486)/G486-100</f>
        <v>2.10135015252888</v>
      </c>
      <c r="I487" s="49" t="n">
        <f aca="false">(100*I486)/H486-100</f>
        <v>14.419888728506</v>
      </c>
      <c r="J487" s="49" t="n">
        <f aca="false">(100*J486)/I486-100</f>
        <v>6.27411306778237</v>
      </c>
      <c r="K487" s="49" t="n">
        <f aca="false">(100*K486)/J486-100</f>
        <v>3.91890209890147</v>
      </c>
      <c r="L487" s="49" t="n">
        <f aca="false">(100*L486)/K486-100</f>
        <v>15.2816470295976</v>
      </c>
      <c r="M487" s="49" t="n">
        <f aca="false">(100*M486)/L486-100</f>
        <v>11.2305072679872</v>
      </c>
      <c r="N487" s="49" t="n">
        <f aca="false">(100*N486)/M486-100</f>
        <v>18.8033522742015</v>
      </c>
      <c r="O487" s="49" t="n">
        <f aca="false">(100*O486)/N486-100</f>
        <v>17.29390524446</v>
      </c>
      <c r="P487" s="49" t="n">
        <f aca="false">(100*P486)/O486-100</f>
        <v>19.7141750600175</v>
      </c>
      <c r="Q487" s="49" t="n">
        <f aca="false">(100*Q486)/P486-100</f>
        <v>16.047552143009</v>
      </c>
      <c r="R487" s="49" t="n">
        <f aca="false">(100*R486)/Q486-100</f>
        <v>-7.33533479869193</v>
      </c>
      <c r="S487" s="49" t="n">
        <f aca="false">(100*S486)/R486-100</f>
        <v>19.921339092556</v>
      </c>
      <c r="T487" s="49" t="n">
        <f aca="false">(100*T486)/S486-100</f>
        <v>35.4631054233566</v>
      </c>
      <c r="U487" s="49" t="n">
        <f aca="false">(100*U486)/T486-100</f>
        <v>23.2124340029738</v>
      </c>
      <c r="V487" s="49" t="n">
        <f aca="false">(100*V486)/U486-100</f>
        <v>16.958049487355</v>
      </c>
      <c r="W487" s="49" t="n">
        <f aca="false">(100*W486)/V486-100</f>
        <v>-11.9053782722738</v>
      </c>
      <c r="X487" s="49" t="n">
        <f aca="false">(100*X486)/W486-100</f>
        <v>17.3941592901403</v>
      </c>
      <c r="Y487" s="49" t="n">
        <f aca="false">(100*Y486)/X486-100</f>
        <v>36.0116522219352</v>
      </c>
      <c r="Z487" s="49" t="n">
        <f aca="false">(100*Z486)/Y486-100</f>
        <v>11.6559399588993</v>
      </c>
      <c r="AA487" s="49" t="n">
        <f aca="false">(100*AA486)/Z486-100</f>
        <v>27.8354493414789</v>
      </c>
      <c r="AB487" s="49" t="n">
        <f aca="false">(100*AB486)/AA486-100</f>
        <v>9.04803204085015</v>
      </c>
      <c r="AC487" s="49" t="n">
        <f aca="false">(100*AC486)/AB486-100</f>
        <v>-20.4899312192406</v>
      </c>
      <c r="AD487" s="49" t="n">
        <f aca="false">(100*AD486)/AC486-100</f>
        <v>-18.627597123732</v>
      </c>
      <c r="AE487" s="49" t="n">
        <f aca="false">(100*AE486)/AD486-100</f>
        <v>14.4769631148137</v>
      </c>
      <c r="AF487" s="49" t="n">
        <f aca="false">(100*AF486)/AE486-100</f>
        <v>36.2803917783445</v>
      </c>
      <c r="AG487" s="49" t="n">
        <f aca="false">(100*AG486)/AF486-100</f>
        <v>8.21546060295421</v>
      </c>
      <c r="AH487" s="49" t="n">
        <f aca="false">(100*AH486)/AG486-100</f>
        <v>6.90351238281579</v>
      </c>
      <c r="AI487" s="49" t="n">
        <f aca="false">(100*AI486)/AH486-100</f>
        <v>9.94981860363954</v>
      </c>
      <c r="AJ487" s="49" t="n">
        <f aca="false">(100*AJ486)/AI486-100</f>
        <v>7.53381601288724</v>
      </c>
      <c r="AK487" s="49" t="n">
        <f aca="false">(100*AK486)/AJ486-100</f>
        <v>7.75152772019993</v>
      </c>
      <c r="AL487" s="49" t="n">
        <f aca="false">(100*AL486)/AK486-100</f>
        <v>7.17993964571939</v>
      </c>
      <c r="AM487" s="36"/>
      <c r="AN487" s="36"/>
      <c r="AO487" s="36"/>
      <c r="AP487" s="36"/>
      <c r="AQ487" s="36"/>
      <c r="AR487" s="36"/>
      <c r="AS487" s="36"/>
      <c r="AT487" s="36"/>
      <c r="AU487" s="36"/>
      <c r="AV487" s="36"/>
      <c r="AW487" s="36"/>
      <c r="AX487" s="36"/>
      <c r="AY487" s="36"/>
    </row>
    <row r="488" customFormat="false" ht="15" hidden="false" customHeight="true" outlineLevel="0" collapsed="false">
      <c r="A488" s="29" t="s">
        <v>229</v>
      </c>
      <c r="B488" s="49" t="n">
        <f aca="false">+B486/B502*100</f>
        <v>16.1935256072428</v>
      </c>
      <c r="C488" s="49" t="n">
        <f aca="false">+C486/C502*100</f>
        <v>16.6066195206274</v>
      </c>
      <c r="D488" s="49" t="n">
        <f aca="false">+D486/D502*100</f>
        <v>15.5404905332216</v>
      </c>
      <c r="E488" s="49" t="n">
        <f aca="false">+E486/E502*100</f>
        <v>15.9955058013576</v>
      </c>
      <c r="F488" s="49" t="n">
        <f aca="false">+F486/F502*100</f>
        <v>14.4839515462742</v>
      </c>
      <c r="G488" s="49" t="n">
        <f aca="false">+G486/G502*100</f>
        <v>17.348232254661</v>
      </c>
      <c r="H488" s="49" t="n">
        <f aca="false">+H486/H502*100</f>
        <v>17.4462911527123</v>
      </c>
      <c r="I488" s="49" t="n">
        <f aca="false">+I486/I502*100</f>
        <v>15.7090149835419</v>
      </c>
      <c r="J488" s="49" t="n">
        <f aca="false">+J486/J502*100</f>
        <v>16.6437318517967</v>
      </c>
      <c r="K488" s="49" t="n">
        <f aca="false">+K486/K502*100</f>
        <v>17.1395899101598</v>
      </c>
      <c r="L488" s="49" t="n">
        <f aca="false">+L486/L502*100</f>
        <v>16.907802387447</v>
      </c>
      <c r="M488" s="49" t="n">
        <f aca="false">+M486/M502*100</f>
        <v>14.720519811075</v>
      </c>
      <c r="N488" s="49" t="n">
        <f aca="false">+N486/N502*100</f>
        <v>14.2751973382562</v>
      </c>
      <c r="O488" s="49" t="n">
        <f aca="false">+O486/O502*100</f>
        <v>13.308832421295</v>
      </c>
      <c r="P488" s="49" t="n">
        <f aca="false">+P486/P502*100</f>
        <v>11.6128580901673</v>
      </c>
      <c r="Q488" s="49" t="n">
        <f aca="false">+Q486/Q502*100</f>
        <v>12.52763415789</v>
      </c>
      <c r="R488" s="49" t="n">
        <f aca="false">+R486/R502*100</f>
        <v>15.556327991967</v>
      </c>
      <c r="S488" s="49" t="n">
        <f aca="false">+S486/S502*100</f>
        <v>15.7976514841214</v>
      </c>
      <c r="T488" s="49" t="n">
        <f aca="false">+T486/T502*100</f>
        <v>13.9307902750733</v>
      </c>
      <c r="U488" s="49" t="n">
        <f aca="false">+U486/U502*100</f>
        <v>15.2107895239828</v>
      </c>
      <c r="V488" s="49" t="n">
        <f aca="false">+V486/V502*100</f>
        <v>18.256254066747</v>
      </c>
      <c r="W488" s="49" t="n">
        <f aca="false">+W486/W502*100</f>
        <v>20.2519555891989</v>
      </c>
      <c r="X488" s="49" t="n">
        <f aca="false">+X486/X502*100</f>
        <v>17.3326772485874</v>
      </c>
      <c r="Y488" s="49" t="n">
        <f aca="false">+Y486/Y502*100</f>
        <v>17.0809038507137</v>
      </c>
      <c r="Z488" s="49" t="n">
        <f aca="false">+Z486/Z502*100</f>
        <v>17.874966942929</v>
      </c>
      <c r="AA488" s="49" t="n">
        <f aca="false">+AA486/AA502*100</f>
        <v>18.3769734137879</v>
      </c>
      <c r="AB488" s="49" t="n">
        <f aca="false">+AB486/AB502*100</f>
        <v>18.2944386412642</v>
      </c>
      <c r="AC488" s="49" t="n">
        <f aca="false">+AC486/AC502*100</f>
        <v>24.1953184977561</v>
      </c>
      <c r="AD488" s="49" t="n">
        <f aca="false">+AD486/AD502*100</f>
        <v>22.4753209663137</v>
      </c>
      <c r="AE488" s="49" t="n">
        <f aca="false">+AE486/AE502*100</f>
        <v>18.1522840205475</v>
      </c>
      <c r="AF488" s="49" t="n">
        <f aca="false">+AF486/AF502*100</f>
        <v>14.8440383420383</v>
      </c>
      <c r="AG488" s="49" t="n">
        <f aca="false">+AG486/AG502*100</f>
        <v>15.1328627730632</v>
      </c>
      <c r="AH488" s="49" t="n">
        <f aca="false">+AH486/AH502*100</f>
        <v>16.016544894632</v>
      </c>
      <c r="AI488" s="49" t="n">
        <f aca="false">+AI486/AI502*100</f>
        <v>15.5075684862169</v>
      </c>
      <c r="AJ488" s="49" t="n">
        <f aca="false">+AJ486/AJ502*100</f>
        <v>15.2944175616406</v>
      </c>
      <c r="AK488" s="49" t="n">
        <f aca="false">+AK486/AK502*100</f>
        <v>15.2560008078809</v>
      </c>
      <c r="AL488" s="49" t="n">
        <f aca="false">+AL486/AL502*100</f>
        <v>15.2098321895969</v>
      </c>
      <c r="AM488" s="36"/>
      <c r="AN488" s="36"/>
      <c r="AO488" s="36"/>
      <c r="AP488" s="36"/>
      <c r="AQ488" s="36"/>
      <c r="AR488" s="36"/>
      <c r="AS488" s="36"/>
      <c r="AT488" s="36"/>
      <c r="AU488" s="36"/>
      <c r="AV488" s="36"/>
      <c r="AW488" s="36"/>
      <c r="AX488" s="36"/>
      <c r="AY488" s="36"/>
    </row>
    <row r="489" customFormat="false" ht="15" hidden="false" customHeight="true" outlineLevel="0" collapsed="false">
      <c r="A489" s="47" t="s">
        <v>538</v>
      </c>
      <c r="B489" s="35" t="n">
        <f aca="false">+B486+B448</f>
        <v>1628.41</v>
      </c>
      <c r="C489" s="35" t="n">
        <f aca="false">+C486+C448</f>
        <v>2093.83</v>
      </c>
      <c r="D489" s="35" t="n">
        <f aca="false">+D486+D448</f>
        <v>2475.33</v>
      </c>
      <c r="E489" s="35" t="n">
        <f aca="false">+E486+E448</f>
        <v>3451.82</v>
      </c>
      <c r="F489" s="35" t="n">
        <f aca="false">+F486+F448</f>
        <v>3890.97</v>
      </c>
      <c r="G489" s="35" t="n">
        <f aca="false">+G486+G448</f>
        <v>3711.6</v>
      </c>
      <c r="H489" s="35" t="n">
        <f aca="false">+H486+H448</f>
        <v>3731.53</v>
      </c>
      <c r="I489" s="35" t="n">
        <f aca="false">+I486+I448</f>
        <v>4312.47</v>
      </c>
      <c r="J489" s="35" t="n">
        <f aca="false">+J486+J448</f>
        <v>4566.59</v>
      </c>
      <c r="K489" s="35" t="n">
        <f aca="false">+K486+K448</f>
        <v>4748.59</v>
      </c>
      <c r="L489" s="35" t="n">
        <f aca="false">+L486+L448</f>
        <v>5154.85</v>
      </c>
      <c r="M489" s="35" t="n">
        <f aca="false">+M486+M448</f>
        <v>6102.42</v>
      </c>
      <c r="N489" s="35" t="n">
        <f aca="false">+N486+N448</f>
        <v>7260.52</v>
      </c>
      <c r="O489" s="35" t="n">
        <f aca="false">+O486+O448</f>
        <v>8398.26</v>
      </c>
      <c r="P489" s="35" t="n">
        <f aca="false">+P486+P448</f>
        <v>10023.03</v>
      </c>
      <c r="Q489" s="35" t="n">
        <f aca="false">+Q486+Q448</f>
        <v>11604.55</v>
      </c>
      <c r="R489" s="35" t="n">
        <f aca="false">+R486+R448</f>
        <v>10673.943</v>
      </c>
      <c r="S489" s="35" t="n">
        <f aca="false">+S486+S448</f>
        <v>12778.074</v>
      </c>
      <c r="T489" s="35" t="n">
        <f aca="false">+T486+T448</f>
        <v>17507.605</v>
      </c>
      <c r="U489" s="35" t="n">
        <f aca="false">+U486+U448</f>
        <v>21468.892</v>
      </c>
      <c r="V489" s="35" t="n">
        <f aca="false">+V486+V448</f>
        <v>25018.018</v>
      </c>
      <c r="W489" s="35" t="n">
        <f aca="false">+W486+W448</f>
        <v>21890.279</v>
      </c>
      <c r="X489" s="35" t="n">
        <f aca="false">+X486+X448</f>
        <v>25719.431</v>
      </c>
      <c r="Y489" s="35" t="n">
        <f aca="false">+Y486+Y448</f>
        <v>34912.335</v>
      </c>
      <c r="Z489" s="35" t="n">
        <f aca="false">+Z486+Z448</f>
        <v>39047.044</v>
      </c>
      <c r="AA489" s="35" t="n">
        <f aca="false">+AA486+AA448</f>
        <v>49826.937</v>
      </c>
      <c r="AB489" s="35" t="n">
        <f aca="false">+AB486+AB448</f>
        <v>54475.4</v>
      </c>
      <c r="AC489" s="35" t="n">
        <f aca="false">+AC486+AC448</f>
        <v>42828.7</v>
      </c>
      <c r="AD489" s="35" t="n">
        <f aca="false">+AD486+AD448</f>
        <v>34940.9</v>
      </c>
      <c r="AE489" s="35" t="n">
        <f aca="false">+AE486+AE448</f>
        <v>40049.6</v>
      </c>
      <c r="AF489" s="35" t="n">
        <f aca="false">+AF486+AF448</f>
        <v>54716.1</v>
      </c>
      <c r="AG489" s="35" t="n">
        <f aca="false">+AG486+AG448</f>
        <v>59145.8</v>
      </c>
      <c r="AH489" s="35" t="n">
        <f aca="false">+AH486+AH448</f>
        <v>62990.7</v>
      </c>
      <c r="AI489" s="35" t="n">
        <f aca="false">+AI486+AI448</f>
        <v>69476.4</v>
      </c>
      <c r="AJ489" s="35" t="n">
        <f aca="false">+AJ486+AJ448</f>
        <v>75304.8738130551</v>
      </c>
      <c r="AK489" s="35" t="n">
        <f aca="false">+AK486+AK448</f>
        <v>82183.989101851</v>
      </c>
      <c r="AL489" s="35" t="n">
        <f aca="false">+AL486+AL448</f>
        <v>88652.0832969957</v>
      </c>
      <c r="AM489" s="30"/>
      <c r="AN489" s="30"/>
      <c r="AO489" s="30"/>
      <c r="AP489" s="30"/>
      <c r="AQ489" s="30"/>
      <c r="AR489" s="30"/>
      <c r="AS489" s="30"/>
      <c r="AT489" s="30"/>
      <c r="AU489" s="30"/>
      <c r="AV489" s="30"/>
      <c r="AW489" s="30"/>
      <c r="AX489" s="30"/>
      <c r="AY489" s="30"/>
    </row>
    <row r="490" customFormat="false" ht="15" hidden="false" customHeight="true" outlineLevel="0" collapsed="false">
      <c r="A490" s="47" t="s">
        <v>534</v>
      </c>
      <c r="B490" s="36"/>
      <c r="C490" s="49" t="n">
        <f aca="false">(100*C489)/B489-100</f>
        <v>28.5812541067667</v>
      </c>
      <c r="D490" s="49" t="n">
        <f aca="false">(100*D489)/C489-100</f>
        <v>18.220199347607</v>
      </c>
      <c r="E490" s="49" t="n">
        <f aca="false">(100*E489)/D489-100</f>
        <v>39.4488815632663</v>
      </c>
      <c r="F490" s="49" t="n">
        <f aca="false">(100*F489)/E489-100</f>
        <v>12.7222740467348</v>
      </c>
      <c r="G490" s="49" t="n">
        <f aca="false">(100*G489)/F489-100</f>
        <v>-4.60990447112161</v>
      </c>
      <c r="H490" s="49" t="n">
        <f aca="false">(100*H489)/G489-100</f>
        <v>0.53696519021446</v>
      </c>
      <c r="I490" s="49" t="n">
        <f aca="false">(100*I489)/H489-100</f>
        <v>15.5684129566157</v>
      </c>
      <c r="J490" s="49" t="n">
        <f aca="false">(100*J489)/I489-100</f>
        <v>5.89267867370671</v>
      </c>
      <c r="K490" s="49" t="n">
        <f aca="false">(100*K489)/J489-100</f>
        <v>3.985468369177</v>
      </c>
      <c r="L490" s="49" t="n">
        <f aca="false">(100*L489)/K489-100</f>
        <v>8.55538170277913</v>
      </c>
      <c r="M490" s="49" t="n">
        <f aca="false">(100*M489)/L489-100</f>
        <v>18.3821061718576</v>
      </c>
      <c r="N490" s="49" t="n">
        <f aca="false">(100*N489)/M489-100</f>
        <v>18.9777170368477</v>
      </c>
      <c r="O490" s="49" t="n">
        <f aca="false">(100*O489)/N489-100</f>
        <v>15.6702274768198</v>
      </c>
      <c r="P490" s="49" t="n">
        <f aca="false">(100*P489)/O489-100</f>
        <v>19.3465074908374</v>
      </c>
      <c r="Q490" s="49" t="n">
        <f aca="false">(100*Q489)/P489-100</f>
        <v>15.7788612824665</v>
      </c>
      <c r="R490" s="49" t="n">
        <f aca="false">(100*R489)/Q489-100</f>
        <v>-8.0193286254099</v>
      </c>
      <c r="S490" s="49" t="n">
        <f aca="false">(100*S489)/R489-100</f>
        <v>19.7127809282849</v>
      </c>
      <c r="T490" s="49" t="n">
        <f aca="false">(100*T489)/S489-100</f>
        <v>37.0128628148499</v>
      </c>
      <c r="U490" s="49" t="n">
        <f aca="false">(100*U489)/T489-100</f>
        <v>22.6260930607014</v>
      </c>
      <c r="V490" s="49" t="n">
        <f aca="false">(100*V489)/U489-100</f>
        <v>16.5314819227746</v>
      </c>
      <c r="W490" s="49" t="n">
        <f aca="false">(100*W489)/V489-100</f>
        <v>-12.5019455977688</v>
      </c>
      <c r="X490" s="49" t="n">
        <f aca="false">(100*X489)/W489-100</f>
        <v>17.4924769117835</v>
      </c>
      <c r="Y490" s="49" t="n">
        <f aca="false">(100*Y489)/X489-100</f>
        <v>35.7430302404435</v>
      </c>
      <c r="Z490" s="49" t="n">
        <f aca="false">(100*Z489)/Y489-100</f>
        <v>11.8431179123367</v>
      </c>
      <c r="AA490" s="49" t="n">
        <f aca="false">(100*AA489)/Z489-100</f>
        <v>27.6074496189776</v>
      </c>
      <c r="AB490" s="49" t="n">
        <f aca="false">(100*AB489)/AA489-100</f>
        <v>9.32921684509728</v>
      </c>
      <c r="AC490" s="49" t="n">
        <f aca="false">(100*AC489)/AB489-100</f>
        <v>-21.3797420487046</v>
      </c>
      <c r="AD490" s="49" t="n">
        <f aca="false">(100*AD489)/AC489-100</f>
        <v>-18.4170894750483</v>
      </c>
      <c r="AE490" s="49" t="n">
        <f aca="false">(100*AE489)/AD489-100</f>
        <v>14.6209742737022</v>
      </c>
      <c r="AF490" s="49" t="n">
        <f aca="false">(100*AF489)/AE489-100</f>
        <v>36.6208401582038</v>
      </c>
      <c r="AG490" s="49" t="n">
        <f aca="false">(100*AG489)/AF489-100</f>
        <v>8.09578899080894</v>
      </c>
      <c r="AH490" s="49" t="n">
        <f aca="false">(100*AH489)/AG489-100</f>
        <v>6.50071518180496</v>
      </c>
      <c r="AI490" s="49" t="n">
        <f aca="false">(100*AI489)/AH489-100</f>
        <v>10.29628183208</v>
      </c>
      <c r="AJ490" s="49" t="n">
        <f aca="false">(100*AJ489)/AI489-100</f>
        <v>8.38914194324265</v>
      </c>
      <c r="AK490" s="49" t="n">
        <f aca="false">(100*AK489)/AJ489-100</f>
        <v>9.13502000663776</v>
      </c>
      <c r="AL490" s="49" t="n">
        <f aca="false">(100*AL489)/AK489-100</f>
        <v>7.87026069898943</v>
      </c>
      <c r="AM490" s="36"/>
      <c r="AN490" s="36"/>
      <c r="AO490" s="36"/>
      <c r="AP490" s="36"/>
      <c r="AQ490" s="36"/>
      <c r="AR490" s="36"/>
      <c r="AS490" s="36"/>
      <c r="AT490" s="36"/>
      <c r="AU490" s="36"/>
      <c r="AV490" s="36"/>
      <c r="AW490" s="36"/>
      <c r="AX490" s="36"/>
      <c r="AY490" s="36"/>
    </row>
    <row r="491" customFormat="false" ht="15" hidden="false" customHeight="true" outlineLevel="0" collapsed="false">
      <c r="A491" s="47" t="s">
        <v>229</v>
      </c>
      <c r="B491" s="49" t="n">
        <f aca="false">+B489/B502*100</f>
        <v>17.0614718415149</v>
      </c>
      <c r="C491" s="49" t="n">
        <f aca="false">+C489/C502*100</f>
        <v>17.7248847450338</v>
      </c>
      <c r="D491" s="49" t="n">
        <f aca="false">+D489/D502*100</f>
        <v>16.3572529293752</v>
      </c>
      <c r="E491" s="49" t="n">
        <f aca="false">+E489/E502*100</f>
        <v>17.1757802898141</v>
      </c>
      <c r="F491" s="49" t="n">
        <f aca="false">+F489/F502*100</f>
        <v>15.6739045403112</v>
      </c>
      <c r="G491" s="49" t="n">
        <f aca="false">+G489/G502*100</f>
        <v>18.4264338105894</v>
      </c>
      <c r="H491" s="49" t="n">
        <f aca="false">+H489/H502*100</f>
        <v>18.2466636279778</v>
      </c>
      <c r="I491" s="49" t="n">
        <f aca="false">+I489/I502*100</f>
        <v>16.5946054939397</v>
      </c>
      <c r="J491" s="49" t="n">
        <f aca="false">+J489/J502*100</f>
        <v>17.5189121110017</v>
      </c>
      <c r="K491" s="49" t="n">
        <f aca="false">+K489/K502*100</f>
        <v>18.0524001995097</v>
      </c>
      <c r="L491" s="49" t="n">
        <f aca="false">+L489/L502*100</f>
        <v>16.7692205094673</v>
      </c>
      <c r="M491" s="49" t="n">
        <f aca="false">+M489/M502*100</f>
        <v>15.5385683653772</v>
      </c>
      <c r="N491" s="49" t="n">
        <f aca="false">+N489/N502*100</f>
        <v>15.0906141024367</v>
      </c>
      <c r="O491" s="49" t="n">
        <f aca="false">+O489/O502*100</f>
        <v>13.8742939990497</v>
      </c>
      <c r="P491" s="49" t="n">
        <f aca="false">+P489/P502*100</f>
        <v>12.0690807404996</v>
      </c>
      <c r="Q491" s="49" t="n">
        <f aca="false">+Q489/Q502*100</f>
        <v>12.9896492938528</v>
      </c>
      <c r="R491" s="49" t="n">
        <f aca="false">+R489/R502*100</f>
        <v>16.0109783037485</v>
      </c>
      <c r="S491" s="49" t="n">
        <f aca="false">+S489/S502*100</f>
        <v>16.23107768727</v>
      </c>
      <c r="T491" s="49" t="n">
        <f aca="false">+T489/T502*100</f>
        <v>14.4767440264388</v>
      </c>
      <c r="U491" s="49" t="n">
        <f aca="false">+U489/U502*100</f>
        <v>15.7316854019923</v>
      </c>
      <c r="V491" s="49" t="n">
        <f aca="false">+V489/V502*100</f>
        <v>18.8125782561297</v>
      </c>
      <c r="W491" s="49" t="n">
        <f aca="false">+W489/W502*100</f>
        <v>20.7277716680501</v>
      </c>
      <c r="X491" s="49" t="n">
        <f aca="false">+X489/X502*100</f>
        <v>17.754762577089</v>
      </c>
      <c r="Y491" s="49" t="n">
        <f aca="false">+Y489/Y502*100</f>
        <v>17.4623018320106</v>
      </c>
      <c r="Z491" s="49" t="n">
        <f aca="false">+Z489/Z502*100</f>
        <v>18.3047298441358</v>
      </c>
      <c r="AA491" s="49" t="n">
        <f aca="false">+AA489/AA502*100</f>
        <v>18.7852418124987</v>
      </c>
      <c r="AB491" s="49" t="n">
        <f aca="false">+AB489/AB502*100</f>
        <v>18.7490943883917</v>
      </c>
      <c r="AC491" s="49" t="n">
        <f aca="false">+AC489/AC502*100</f>
        <v>24.5191203992335</v>
      </c>
      <c r="AD491" s="49" t="n">
        <f aca="false">+AD489/AD502*100</f>
        <v>22.8350254387656</v>
      </c>
      <c r="AE491" s="49" t="n">
        <f aca="false">+AE489/AE502*100</f>
        <v>18.4660016995346</v>
      </c>
      <c r="AF491" s="49" t="n">
        <f aca="false">+AF489/AF502*100</f>
        <v>15.1383045771735</v>
      </c>
      <c r="AG491" s="49" t="n">
        <f aca="false">+AG489/AG502*100</f>
        <v>15.4157879825465</v>
      </c>
      <c r="AH491" s="49" t="n">
        <f aca="false">+AH489/AH502*100</f>
        <v>16.2545151646051</v>
      </c>
      <c r="AI491" s="49" t="n">
        <f aca="false">+AI489/AI502*100</f>
        <v>15.7875684862169</v>
      </c>
      <c r="AJ491" s="49" t="n">
        <f aca="false">+AJ489/AJ502*100</f>
        <v>15.6944175616406</v>
      </c>
      <c r="AK491" s="49" t="n">
        <f aca="false">+AK489/AK502*100</f>
        <v>15.8560008078809</v>
      </c>
      <c r="AL491" s="49" t="n">
        <f aca="false">+AL489/AL502*100</f>
        <v>15.9098321895969</v>
      </c>
      <c r="AM491" s="36"/>
      <c r="AN491" s="36"/>
      <c r="AO491" s="36"/>
      <c r="AP491" s="36"/>
      <c r="AQ491" s="36"/>
      <c r="AR491" s="36"/>
      <c r="AS491" s="36"/>
      <c r="AT491" s="36"/>
      <c r="AU491" s="36"/>
      <c r="AV491" s="36"/>
      <c r="AW491" s="36"/>
      <c r="AX491" s="36"/>
      <c r="AY491" s="36"/>
    </row>
    <row r="492" customFormat="false" ht="15" hidden="false" customHeight="true" outlineLevel="0" collapsed="false">
      <c r="A492" s="51" t="s">
        <v>558</v>
      </c>
      <c r="B492" s="52" t="n">
        <f aca="false">+B434+B440+B489</f>
        <v>8919.35</v>
      </c>
      <c r="C492" s="52" t="n">
        <f aca="false">+C434+C440+C489</f>
        <v>10936.44</v>
      </c>
      <c r="D492" s="52" t="n">
        <f aca="false">+D434+D440+D489</f>
        <v>14051.92</v>
      </c>
      <c r="E492" s="52" t="n">
        <f aca="false">+E434+E440+E489</f>
        <v>18685.13</v>
      </c>
      <c r="F492" s="52" t="n">
        <f aca="false">+F434+F440+F489</f>
        <v>22611.67</v>
      </c>
      <c r="G492" s="52" t="n">
        <f aca="false">+G434+G440+G489</f>
        <v>18599.46</v>
      </c>
      <c r="H492" s="52" t="n">
        <f aca="false">+H434+H440+H489</f>
        <v>18794.76</v>
      </c>
      <c r="I492" s="52" t="n">
        <f aca="false">+I434+I440+I489</f>
        <v>23381.44</v>
      </c>
      <c r="J492" s="52" t="n">
        <f aca="false">+J434+J440+J489</f>
        <v>23197.93</v>
      </c>
      <c r="K492" s="52" t="n">
        <f aca="false">+K434+K440+K489</f>
        <v>23345.65</v>
      </c>
      <c r="L492" s="52" t="n">
        <f aca="false">+L434+L440+L489</f>
        <v>27471.65</v>
      </c>
      <c r="M492" s="52" t="n">
        <f aca="false">+M434+M440+M489</f>
        <v>35330.34</v>
      </c>
      <c r="N492" s="52" t="n">
        <f aca="false">+N434+N440+N489</f>
        <v>43892.42</v>
      </c>
      <c r="O492" s="52" t="n">
        <f aca="false">+O434+O440+O489</f>
        <v>55134.48</v>
      </c>
      <c r="P492" s="52" t="n">
        <f aca="false">+P434+P440+P489</f>
        <v>76021.57</v>
      </c>
      <c r="Q492" s="52" t="n">
        <f aca="false">+Q434+Q440+Q489</f>
        <v>81303.68</v>
      </c>
      <c r="R492" s="52" t="n">
        <f aca="false">+R434+R440+R489</f>
        <v>62054.041</v>
      </c>
      <c r="S492" s="52" t="n">
        <f aca="false">+S434+S440+S489</f>
        <v>71250.11</v>
      </c>
      <c r="T492" s="52" t="n">
        <f aca="false">+T434+T440+T489</f>
        <v>108501.098</v>
      </c>
      <c r="U492" s="52" t="n">
        <f aca="false">+U434+U440+U489</f>
        <v>124274.68</v>
      </c>
      <c r="V492" s="52" t="n">
        <f aca="false">+V434+V440+V489</f>
        <v>124425.967</v>
      </c>
      <c r="W492" s="52" t="n">
        <f aca="false">+W434+W440+W489</f>
        <v>104094.195</v>
      </c>
      <c r="X492" s="52" t="n">
        <f aca="false">+X434+X440+X489</f>
        <v>134609.028</v>
      </c>
      <c r="Y492" s="52" t="n">
        <f aca="false">+Y434+Y440+Y489</f>
        <v>177417.641</v>
      </c>
      <c r="Z492" s="52" t="n">
        <f aca="false">+Z434+Z440+Z489</f>
        <v>191749.813</v>
      </c>
      <c r="AA492" s="52" t="n">
        <f aca="false">+AA434+AA440+AA489</f>
        <v>238805.724</v>
      </c>
      <c r="AB492" s="52" t="n">
        <f aca="false">+AB434+AB440+AB489</f>
        <v>261271.1</v>
      </c>
      <c r="AC492" s="52" t="n">
        <f aca="false">+AC434+AC440+AC489</f>
        <v>166520.2</v>
      </c>
      <c r="AD492" s="52" t="n">
        <f aca="false">+AD434+AD440+AD489</f>
        <v>148974</v>
      </c>
      <c r="AE492" s="52" t="n">
        <f aca="false">+AE434+AE440+AE489</f>
        <v>207660.3</v>
      </c>
      <c r="AF492" s="52" t="n">
        <f aca="false">+AF434+AF440+AF489</f>
        <v>333207.6</v>
      </c>
      <c r="AG492" s="52" t="n">
        <f aca="false">+AG434+AG440+AG489</f>
        <v>338265.9</v>
      </c>
      <c r="AH492" s="52" t="n">
        <f aca="false">+AH434+AH440+AH489</f>
        <v>339218.5</v>
      </c>
      <c r="AI492" s="52" t="n">
        <f aca="false">+AI434+AI440+AI489</f>
        <v>383647.8</v>
      </c>
      <c r="AJ492" s="52" t="n">
        <f aca="false">+AJ434+AJ440+AJ489</f>
        <v>423174.001800993</v>
      </c>
      <c r="AK492" s="52" t="n">
        <f aca="false">+AK434+AK440+AK489</f>
        <v>455370.600721613</v>
      </c>
      <c r="AL492" s="52" t="n">
        <f aca="false">+AL434+AL440+AL489</f>
        <v>489847.389527653</v>
      </c>
      <c r="AM492" s="53"/>
      <c r="AN492" s="53"/>
      <c r="AO492" s="53"/>
      <c r="AP492" s="53"/>
      <c r="AQ492" s="53"/>
      <c r="AR492" s="53"/>
      <c r="AS492" s="53"/>
      <c r="AT492" s="53"/>
      <c r="AU492" s="53"/>
      <c r="AV492" s="53"/>
      <c r="AW492" s="53"/>
      <c r="AX492" s="53"/>
      <c r="AY492" s="53"/>
    </row>
    <row r="493" customFormat="false" ht="15" hidden="false" customHeight="true" outlineLevel="0" collapsed="false">
      <c r="A493" s="47" t="s">
        <v>229</v>
      </c>
      <c r="B493" s="74" t="n">
        <f aca="false">+B492/B502*100</f>
        <v>93.4514273859877</v>
      </c>
      <c r="C493" s="74" t="n">
        <f aca="false">+C492/C502*100</f>
        <v>92.5801705587263</v>
      </c>
      <c r="D493" s="74" t="n">
        <f aca="false">+D492/D502*100</f>
        <v>92.8566330886571</v>
      </c>
      <c r="E493" s="74" t="n">
        <f aca="false">+E492/E502*100</f>
        <v>92.9746300695327</v>
      </c>
      <c r="F493" s="74" t="n">
        <f aca="false">+F492/F502*100</f>
        <v>91.0860677612569</v>
      </c>
      <c r="G493" s="74" t="n">
        <f aca="false">+G492/G502*100</f>
        <v>92.3379994079926</v>
      </c>
      <c r="H493" s="74" t="n">
        <f aca="false">+H492/H502*100</f>
        <v>91.9037670040364</v>
      </c>
      <c r="I493" s="74" t="n">
        <f aca="false">+I492/I502*100</f>
        <v>89.972978984253</v>
      </c>
      <c r="J493" s="74" t="n">
        <f aca="false">+J492/J502*100</f>
        <v>88.9947415527055</v>
      </c>
      <c r="K493" s="74" t="n">
        <f aca="false">+K492/K502*100</f>
        <v>88.751611892727</v>
      </c>
      <c r="L493" s="74" t="n">
        <f aca="false">+L492/L502*100</f>
        <v>89.3679072347222</v>
      </c>
      <c r="M493" s="74" t="n">
        <f aca="false">+M492/M502*100</f>
        <v>89.961507641562</v>
      </c>
      <c r="N493" s="74" t="n">
        <f aca="false">+N492/N502*100</f>
        <v>91.2281175786412</v>
      </c>
      <c r="O493" s="74" t="n">
        <f aca="false">+O492/O502*100</f>
        <v>91.08458002071</v>
      </c>
      <c r="P493" s="74" t="n">
        <f aca="false">+P492/P502*100</f>
        <v>91.5402294864473</v>
      </c>
      <c r="Q493" s="74" t="n">
        <f aca="false">+Q492/Q502*100</f>
        <v>91.0079485632477</v>
      </c>
      <c r="R493" s="74" t="n">
        <f aca="false">+R492/R502*100</f>
        <v>93.0814324295082</v>
      </c>
      <c r="S493" s="74" t="n">
        <f aca="false">+S492/S502*100</f>
        <v>90.503942193208</v>
      </c>
      <c r="T493" s="74" t="n">
        <f aca="false">+T492/T502*100</f>
        <v>89.7177325130167</v>
      </c>
      <c r="U493" s="74" t="n">
        <f aca="false">+U492/U502*100</f>
        <v>91.0643254991115</v>
      </c>
      <c r="V493" s="74" t="n">
        <f aca="false">+V492/V502*100</f>
        <v>93.5634965680379</v>
      </c>
      <c r="W493" s="74" t="n">
        <f aca="false">+W492/W502*100</f>
        <v>98.5661583358294</v>
      </c>
      <c r="X493" s="74" t="n">
        <f aca="false">+X492/X502*100</f>
        <v>92.9239582661345</v>
      </c>
      <c r="Y493" s="74" t="n">
        <f aca="false">+Y492/Y502*100</f>
        <v>88.7399939724826</v>
      </c>
      <c r="Z493" s="74" t="n">
        <f aca="false">+Z492/Z502*100</f>
        <v>89.8897372264227</v>
      </c>
      <c r="AA493" s="74" t="n">
        <f aca="false">+AA492/AA502*100</f>
        <v>90.0320899024725</v>
      </c>
      <c r="AB493" s="74" t="n">
        <f aca="false">+AB492/AB502*100</f>
        <v>89.9230939994734</v>
      </c>
      <c r="AC493" s="74" t="n">
        <f aca="false">+AC492/AC502*100</f>
        <v>95.3316078401738</v>
      </c>
      <c r="AD493" s="74" t="n">
        <f aca="false">+AD492/AD502*100</f>
        <v>97.3594005796836</v>
      </c>
      <c r="AE493" s="74" t="n">
        <f aca="false">+AE492/AE502*100</f>
        <v>95.7476592207131</v>
      </c>
      <c r="AF493" s="74" t="n">
        <f aca="false">+AF492/AF502*100</f>
        <v>92.1885539398641</v>
      </c>
      <c r="AG493" s="74" t="n">
        <f aca="false">+AG492/AG502*100</f>
        <v>88.165776709847</v>
      </c>
      <c r="AH493" s="74" t="n">
        <f aca="false">+AH492/AH502*100</f>
        <v>87.5340685587651</v>
      </c>
      <c r="AI493" s="74" t="n">
        <f aca="false">+AI492/AI502*100</f>
        <v>87.1787530310498</v>
      </c>
      <c r="AJ493" s="74" t="n">
        <f aca="false">+AJ492/AJ502*100</f>
        <v>88.1944175616406</v>
      </c>
      <c r="AK493" s="74" t="n">
        <f aca="false">+AK492/AK502*100</f>
        <v>87.8560008078809</v>
      </c>
      <c r="AL493" s="74" t="n">
        <f aca="false">+AL492/AL502*100</f>
        <v>87.9098321895969</v>
      </c>
      <c r="AM493" s="36"/>
      <c r="AN493" s="36"/>
      <c r="AO493" s="36"/>
      <c r="AP493" s="36"/>
      <c r="AQ493" s="36"/>
      <c r="AR493" s="36"/>
      <c r="AS493" s="36"/>
      <c r="AT493" s="36"/>
      <c r="AU493" s="36"/>
      <c r="AV493" s="36"/>
      <c r="AW493" s="36"/>
      <c r="AX493" s="36"/>
      <c r="AY493" s="36"/>
    </row>
    <row r="494" customFormat="false" ht="15" hidden="false" customHeight="true" outlineLevel="0" collapsed="false">
      <c r="A494" s="47" t="s">
        <v>559</v>
      </c>
      <c r="B494" s="34" t="n">
        <v>1.3</v>
      </c>
      <c r="C494" s="34" t="n">
        <v>0.83</v>
      </c>
      <c r="D494" s="34" t="n">
        <v>-0.4</v>
      </c>
      <c r="E494" s="34" t="n">
        <v>42.29</v>
      </c>
      <c r="F494" s="34" t="n">
        <v>77.21</v>
      </c>
      <c r="G494" s="34" t="n">
        <v>4.28</v>
      </c>
      <c r="H494" s="34" t="n">
        <v>0</v>
      </c>
      <c r="I494" s="34" t="n">
        <v>2.47</v>
      </c>
      <c r="J494" s="93" t="n">
        <f aca="false">3.56</f>
        <v>3.56</v>
      </c>
      <c r="K494" s="34" t="n">
        <v>2.9</v>
      </c>
      <c r="L494" s="34" t="n">
        <v>1.99</v>
      </c>
      <c r="M494" s="34" t="n">
        <v>3.65</v>
      </c>
      <c r="N494" s="34" t="n">
        <v>8.1</v>
      </c>
      <c r="O494" s="34" t="n">
        <v>4.1</v>
      </c>
      <c r="P494" s="34" t="n">
        <v>1.25</v>
      </c>
      <c r="Q494" s="34" t="n">
        <v>6.67</v>
      </c>
      <c r="R494" s="34" t="n">
        <v>81.991</v>
      </c>
      <c r="S494" s="34" t="n">
        <v>152.527</v>
      </c>
      <c r="T494" s="34" t="n">
        <v>240.604</v>
      </c>
      <c r="U494" s="93" t="n">
        <f aca="false">22.563+70.364+157.985</f>
        <v>250.912</v>
      </c>
      <c r="V494" s="93" t="n">
        <f aca="false">3.033+112.244+89.784</f>
        <v>205.061</v>
      </c>
      <c r="W494" s="93" t="n">
        <f aca="false">3.797+147.568</f>
        <v>151.365</v>
      </c>
      <c r="X494" s="34" t="n">
        <v>16.03</v>
      </c>
      <c r="Y494" s="34" t="n">
        <v>34.21</v>
      </c>
      <c r="Z494" s="34" t="n">
        <v>458.494</v>
      </c>
      <c r="AA494" s="34" t="n">
        <v>950.412</v>
      </c>
      <c r="AB494" s="34" t="n">
        <v>2079</v>
      </c>
      <c r="AC494" s="34" t="n">
        <v>3582</v>
      </c>
      <c r="AD494" s="34" t="n">
        <v>1310.9</v>
      </c>
      <c r="AE494" s="34" t="n">
        <v>722.6</v>
      </c>
      <c r="AF494" s="34" t="n">
        <v>1073.2</v>
      </c>
      <c r="AG494" s="34" t="n">
        <v>661.4</v>
      </c>
      <c r="AH494" s="34" t="n">
        <v>996.7</v>
      </c>
      <c r="AI494" s="34" t="n">
        <v>900</v>
      </c>
      <c r="AJ494" s="34" t="n">
        <v>900</v>
      </c>
      <c r="AK494" s="34" t="n">
        <v>900</v>
      </c>
      <c r="AL494" s="34" t="n">
        <v>900</v>
      </c>
      <c r="AM494" s="30"/>
      <c r="AN494" s="30"/>
      <c r="AO494" s="30"/>
      <c r="AP494" s="30"/>
      <c r="AQ494" s="30"/>
      <c r="AR494" s="30"/>
      <c r="AS494" s="30"/>
      <c r="AT494" s="30"/>
      <c r="AU494" s="30"/>
      <c r="AV494" s="30"/>
      <c r="AW494" s="30"/>
      <c r="AX494" s="30"/>
      <c r="AY494" s="30"/>
    </row>
    <row r="495" customFormat="false" ht="15" hidden="false" customHeight="true" outlineLevel="0" collapsed="false">
      <c r="A495" s="47" t="s">
        <v>560</v>
      </c>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row>
    <row r="496" customFormat="false" ht="15" hidden="false" customHeight="true" outlineLevel="0" collapsed="false">
      <c r="A496" s="70" t="s">
        <v>561</v>
      </c>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c r="AQ496" s="86"/>
      <c r="AR496" s="86"/>
      <c r="AS496" s="86"/>
      <c r="AT496" s="86"/>
      <c r="AU496" s="86"/>
      <c r="AV496" s="86"/>
      <c r="AW496" s="86"/>
      <c r="AX496" s="86"/>
      <c r="AY496" s="86"/>
    </row>
    <row r="497" customFormat="false" ht="15" hidden="false" customHeight="true" outlineLevel="0" collapsed="false">
      <c r="A497" s="51" t="s">
        <v>562</v>
      </c>
      <c r="B497" s="52" t="n">
        <f aca="false">+B492-B494</f>
        <v>8918.05</v>
      </c>
      <c r="C497" s="52" t="n">
        <f aca="false">+C492-C494</f>
        <v>10935.61</v>
      </c>
      <c r="D497" s="52" t="n">
        <f aca="false">+D492-D494</f>
        <v>14052.32</v>
      </c>
      <c r="E497" s="52" t="n">
        <f aca="false">+E492-E494</f>
        <v>18642.84</v>
      </c>
      <c r="F497" s="52" t="n">
        <f aca="false">+F492-F494</f>
        <v>22534.46</v>
      </c>
      <c r="G497" s="52" t="n">
        <f aca="false">+G492-G494</f>
        <v>18595.18</v>
      </c>
      <c r="H497" s="52" t="n">
        <f aca="false">+H492-H494</f>
        <v>18794.76</v>
      </c>
      <c r="I497" s="52" t="n">
        <f aca="false">+I492-I494</f>
        <v>23378.97</v>
      </c>
      <c r="J497" s="52" t="n">
        <f aca="false">+J492-J494</f>
        <v>23194.37</v>
      </c>
      <c r="K497" s="52" t="n">
        <f aca="false">+K492-K494</f>
        <v>23342.75</v>
      </c>
      <c r="L497" s="52" t="n">
        <f aca="false">+L492-L494</f>
        <v>27469.66</v>
      </c>
      <c r="M497" s="52" t="n">
        <f aca="false">+M492-M494</f>
        <v>35326.69</v>
      </c>
      <c r="N497" s="52" t="n">
        <f aca="false">+N492-N494</f>
        <v>43884.32</v>
      </c>
      <c r="O497" s="52" t="n">
        <f aca="false">+O492-O494</f>
        <v>55130.38</v>
      </c>
      <c r="P497" s="52" t="n">
        <f aca="false">+P492-P494-P496</f>
        <v>76020.32</v>
      </c>
      <c r="Q497" s="52" t="n">
        <f aca="false">+Q492-Q494</f>
        <v>81297.01</v>
      </c>
      <c r="R497" s="52" t="n">
        <f aca="false">+R492-R494</f>
        <v>61972.05</v>
      </c>
      <c r="S497" s="52" t="n">
        <f aca="false">+S492-S494</f>
        <v>71097.583</v>
      </c>
      <c r="T497" s="52" t="n">
        <f aca="false">+T492-T494</f>
        <v>108260.494</v>
      </c>
      <c r="U497" s="52" t="n">
        <f aca="false">+U492-U494</f>
        <v>124023.768</v>
      </c>
      <c r="V497" s="52" t="n">
        <f aca="false">+V492-V494</f>
        <v>124220.906</v>
      </c>
      <c r="W497" s="52" t="n">
        <f aca="false">+W492-W494</f>
        <v>103942.83</v>
      </c>
      <c r="X497" s="52" t="n">
        <f aca="false">+X492-X494</f>
        <v>134592.998</v>
      </c>
      <c r="Y497" s="52" t="n">
        <f aca="false">+Y492-Y494</f>
        <v>177383.431</v>
      </c>
      <c r="Z497" s="52" t="n">
        <f aca="false">+Z492-Z494</f>
        <v>191291.319</v>
      </c>
      <c r="AA497" s="52" t="n">
        <f aca="false">+AA492-AA494</f>
        <v>237855.312</v>
      </c>
      <c r="AB497" s="52" t="n">
        <f aca="false">+AB492-AB494</f>
        <v>259192.1</v>
      </c>
      <c r="AC497" s="52" t="n">
        <f aca="false">+AC492-AC494</f>
        <v>162938.2</v>
      </c>
      <c r="AD497" s="52" t="n">
        <f aca="false">+AD492-AD494</f>
        <v>147663.1</v>
      </c>
      <c r="AE497" s="52" t="n">
        <f aca="false">+AE492-AE494</f>
        <v>206937.7</v>
      </c>
      <c r="AF497" s="52" t="n">
        <f aca="false">+AF492-AF494</f>
        <v>332134.4</v>
      </c>
      <c r="AG497" s="52" t="n">
        <f aca="false">+AG492-AG494</f>
        <v>337604.5</v>
      </c>
      <c r="AH497" s="52" t="n">
        <f aca="false">+AH492-AH494</f>
        <v>338221.8</v>
      </c>
      <c r="AI497" s="52" t="n">
        <f aca="false">+AI492-AI494</f>
        <v>382747.8</v>
      </c>
      <c r="AJ497" s="52" t="n">
        <f aca="false">+AJ492-AJ494</f>
        <v>422274.001800993</v>
      </c>
      <c r="AK497" s="52" t="n">
        <f aca="false">+AK492-AK494</f>
        <v>454470.600721613</v>
      </c>
      <c r="AL497" s="52" t="n">
        <f aca="false">+AL492-AL494</f>
        <v>488947.389527653</v>
      </c>
      <c r="AM497" s="53"/>
      <c r="AN497" s="53"/>
      <c r="AO497" s="53"/>
      <c r="AP497" s="53"/>
      <c r="AQ497" s="53"/>
      <c r="AR497" s="53"/>
      <c r="AS497" s="53"/>
      <c r="AT497" s="53"/>
      <c r="AU497" s="53"/>
      <c r="AV497" s="53"/>
      <c r="AW497" s="53"/>
      <c r="AX497" s="53"/>
      <c r="AY497" s="53"/>
    </row>
    <row r="498" customFormat="false" ht="15" hidden="false" customHeight="true" outlineLevel="0" collapsed="false">
      <c r="A498" s="47" t="s">
        <v>229</v>
      </c>
      <c r="B498" s="49" t="n">
        <f aca="false">+B497/B502*100</f>
        <v>93.4378067908097</v>
      </c>
      <c r="C498" s="49" t="n">
        <f aca="false">+C497/C502*100</f>
        <v>92.5731443654162</v>
      </c>
      <c r="D498" s="49" t="n">
        <f aca="false">+D497/D502*100</f>
        <v>92.8592763326575</v>
      </c>
      <c r="E498" s="49" t="n">
        <f aca="false">+E497/E502*100</f>
        <v>92.7642008616203</v>
      </c>
      <c r="F498" s="49" t="n">
        <f aca="false">+F497/F502*100</f>
        <v>90.775044502389</v>
      </c>
      <c r="G498" s="49" t="n">
        <f aca="false">+G497/G502*100</f>
        <v>92.3167511224259</v>
      </c>
      <c r="H498" s="49" t="n">
        <f aca="false">+H497/H502*100</f>
        <v>91.9037670040364</v>
      </c>
      <c r="I498" s="49" t="n">
        <f aca="false">+I497/I502*100</f>
        <v>89.9634742977114</v>
      </c>
      <c r="J498" s="49" t="n">
        <f aca="false">+J497/J502*100</f>
        <v>88.9810842444919</v>
      </c>
      <c r="K498" s="49" t="n">
        <f aca="false">+K497/K502*100</f>
        <v>88.7405871547356</v>
      </c>
      <c r="L498" s="49" t="n">
        <f aca="false">+L497/L502*100</f>
        <v>89.3614335742251</v>
      </c>
      <c r="M498" s="49" t="n">
        <f aca="false">+M497/M502*100</f>
        <v>89.9522136607259</v>
      </c>
      <c r="N498" s="49" t="n">
        <f aca="false">+N497/N502*100</f>
        <v>91.2112821489158</v>
      </c>
      <c r="O498" s="49" t="n">
        <f aca="false">+O497/O502*100</f>
        <v>91.0778066408199</v>
      </c>
      <c r="P498" s="49" t="n">
        <f aca="false">+P497/P502*100</f>
        <v>91.5387243177582</v>
      </c>
      <c r="Q498" s="49" t="n">
        <f aca="false">+Q497/Q502*100</f>
        <v>91.0004824434248</v>
      </c>
      <c r="R498" s="49" t="n">
        <f aca="false">+R497/R502*100</f>
        <v>92.9584454394051</v>
      </c>
      <c r="S498" s="49" t="n">
        <f aca="false">+S497/S502*100</f>
        <v>90.3101980040285</v>
      </c>
      <c r="T498" s="49" t="n">
        <f aca="false">+T497/T502*100</f>
        <v>89.51878111334</v>
      </c>
      <c r="U498" s="49" t="n">
        <f aca="false">+U497/U502*100</f>
        <v>90.8804655846089</v>
      </c>
      <c r="V498" s="49" t="n">
        <f aca="false">+V497/V502*100</f>
        <v>93.409298657165</v>
      </c>
      <c r="W498" s="49" t="n">
        <f aca="false">+W497/W502*100</f>
        <v>98.4228317405616</v>
      </c>
      <c r="X498" s="49" t="n">
        <f aca="false">+X497/X502*100</f>
        <v>92.9128923586457</v>
      </c>
      <c r="Y498" s="49" t="n">
        <f aca="false">+Y497/Y502*100</f>
        <v>88.7228829615556</v>
      </c>
      <c r="Z498" s="49" t="n">
        <f aca="false">+Z497/Z502*100</f>
        <v>89.6748013965771</v>
      </c>
      <c r="AA498" s="49" t="n">
        <f aca="false">+AA497/AA502*100</f>
        <v>89.6737752976333</v>
      </c>
      <c r="AB498" s="49" t="n">
        <f aca="false">+AB497/AB502*100</f>
        <v>89.2075532740549</v>
      </c>
      <c r="AC498" s="49" t="n">
        <f aca="false">+AC497/AC502*100</f>
        <v>93.2809387965172</v>
      </c>
      <c r="AD498" s="49" t="n">
        <f aca="false">+AD497/AD502*100</f>
        <v>96.5026843861203</v>
      </c>
      <c r="AE498" s="49" t="n">
        <f aca="false">+AE497/AE502*100</f>
        <v>95.4144840372385</v>
      </c>
      <c r="AF498" s="49" t="n">
        <f aca="false">+AF497/AF502*100</f>
        <v>91.8916316725201</v>
      </c>
      <c r="AG498" s="49" t="n">
        <f aca="false">+AG497/AG502*100</f>
        <v>87.9933891156026</v>
      </c>
      <c r="AH498" s="49" t="n">
        <f aca="false">+AH497/AH502*100</f>
        <v>87.2768738416948</v>
      </c>
      <c r="AI498" s="49" t="n">
        <f aca="false">+AI497/AI502*100</f>
        <v>86.9742402520688</v>
      </c>
      <c r="AJ498" s="49" t="n">
        <f aca="false">+AJ497/AJ502*100</f>
        <v>88.0068470221754</v>
      </c>
      <c r="AK498" s="49" t="n">
        <f aca="false">+AK497/AK502*100</f>
        <v>87.6823611381222</v>
      </c>
      <c r="AL498" s="49" t="n">
        <f aca="false">+AL497/AL502*100</f>
        <v>87.7483148463138</v>
      </c>
      <c r="AM498" s="36"/>
      <c r="AN498" s="36"/>
      <c r="AO498" s="36"/>
      <c r="AP498" s="36"/>
      <c r="AQ498" s="36"/>
      <c r="AR498" s="36"/>
      <c r="AS498" s="36"/>
      <c r="AT498" s="36"/>
      <c r="AU498" s="36"/>
      <c r="AV498" s="36"/>
      <c r="AW498" s="36"/>
      <c r="AX498" s="36"/>
      <c r="AY498" s="36"/>
    </row>
    <row r="499" customFormat="false" ht="15" hidden="false" customHeight="true" outlineLevel="0" collapsed="false">
      <c r="A499" s="51" t="s">
        <v>563</v>
      </c>
      <c r="B499" s="52" t="n">
        <f aca="false">+B502-B497</f>
        <v>626.320000000002</v>
      </c>
      <c r="C499" s="52" t="n">
        <f aca="false">+C502-C497</f>
        <v>877.330000000002</v>
      </c>
      <c r="D499" s="52" t="n">
        <f aca="false">+D502-D497</f>
        <v>1080.6</v>
      </c>
      <c r="E499" s="52" t="n">
        <f aca="false">+E502-E497</f>
        <v>1454.18</v>
      </c>
      <c r="F499" s="52" t="n">
        <f aca="false">+F502-F497</f>
        <v>2290.05</v>
      </c>
      <c r="G499" s="52" t="n">
        <f aca="false">+G502-G497</f>
        <v>1547.621576</v>
      </c>
      <c r="H499" s="52" t="n">
        <f aca="false">+H502-H497</f>
        <v>1655.718378296</v>
      </c>
      <c r="I499" s="52" t="n">
        <f aca="false">+I502-I497</f>
        <v>2608.21</v>
      </c>
      <c r="J499" s="52" t="n">
        <f aca="false">+J502-J497</f>
        <v>2872.26</v>
      </c>
      <c r="K499" s="52" t="n">
        <f aca="false">+K502-K497</f>
        <v>2961.73</v>
      </c>
      <c r="L499" s="52" t="n">
        <f aca="false">+L502-L497</f>
        <v>3270.29</v>
      </c>
      <c r="M499" s="52" t="n">
        <f aca="false">+M502-M497</f>
        <v>3946.04</v>
      </c>
      <c r="N499" s="52" t="n">
        <f aca="false">+N502-N497</f>
        <v>4228.5</v>
      </c>
      <c r="O499" s="52" t="n">
        <f aca="false">+O502-O497</f>
        <v>5400.69999999999</v>
      </c>
      <c r="P499" s="52" t="n">
        <f aca="false">+P502-P497</f>
        <v>7026.84999999999</v>
      </c>
      <c r="Q499" s="52" t="n">
        <f aca="false">+Q502-Q497</f>
        <v>8039.89</v>
      </c>
      <c r="R499" s="52" t="n">
        <f aca="false">+R502-R497</f>
        <v>4694.35100000001</v>
      </c>
      <c r="S499" s="52" t="n">
        <f aca="false">+S502-S497</f>
        <v>7628.39100000003</v>
      </c>
      <c r="T499" s="52" t="n">
        <f aca="false">+T502-T497</f>
        <v>12675.574</v>
      </c>
      <c r="U499" s="52" t="n">
        <f aca="false">+U502-U497</f>
        <v>12445.348</v>
      </c>
      <c r="V499" s="52" t="n">
        <f aca="false">+V502-V497</f>
        <v>8764.68300000002</v>
      </c>
      <c r="W499" s="52" t="n">
        <f aca="false">+W502-W497</f>
        <v>1665.62299999998</v>
      </c>
      <c r="X499" s="52" t="n">
        <f aca="false">+X502-X497</f>
        <v>10266.337</v>
      </c>
      <c r="Y499" s="52" t="n">
        <f aca="false">+Y502-Y497</f>
        <v>22546.311</v>
      </c>
      <c r="Z499" s="52" t="n">
        <f aca="false">+Z502-Z497</f>
        <v>22025.372</v>
      </c>
      <c r="AA499" s="52" t="n">
        <f aca="false">+AA502-AA497</f>
        <v>27389.807</v>
      </c>
      <c r="AB499" s="52" t="n">
        <f aca="false">+AB502-AB497</f>
        <v>31357.3999999999</v>
      </c>
      <c r="AC499" s="52" t="n">
        <f aca="false">+AC502-AC497</f>
        <v>11736.5</v>
      </c>
      <c r="AD499" s="52" t="n">
        <f aca="false">+AD502-AD497</f>
        <v>5351.39999999999</v>
      </c>
      <c r="AE499" s="52" t="n">
        <f aca="false">+AE502-AE497</f>
        <v>9945.20000000001</v>
      </c>
      <c r="AF499" s="52" t="n">
        <f aca="false">+AF502-AF497</f>
        <v>29307</v>
      </c>
      <c r="AG499" s="52" t="n">
        <f aca="false">+AG502-AG497</f>
        <v>46065.8000000001</v>
      </c>
      <c r="AH499" s="52" t="n">
        <f aca="false">+AH502-AH497</f>
        <v>49305.6</v>
      </c>
      <c r="AI499" s="52" t="n">
        <f aca="false">+AI502-AI497</f>
        <v>57322.5000000002</v>
      </c>
      <c r="AJ499" s="52" t="n">
        <f aca="false">+AJ502-AJ497</f>
        <v>57545.4850789213</v>
      </c>
      <c r="AK499" s="52" t="n">
        <f aca="false">+AK502-AK497</f>
        <v>63844.1376391677</v>
      </c>
      <c r="AL499" s="52" t="n">
        <f aca="false">+AL502-AL497</f>
        <v>68268.3135704823</v>
      </c>
      <c r="AM499" s="53"/>
      <c r="AN499" s="53"/>
      <c r="AO499" s="53"/>
      <c r="AP499" s="53"/>
      <c r="AQ499" s="53"/>
      <c r="AR499" s="53"/>
      <c r="AS499" s="53"/>
      <c r="AT499" s="53"/>
      <c r="AU499" s="53"/>
      <c r="AV499" s="53"/>
      <c r="AW499" s="53"/>
      <c r="AX499" s="53"/>
      <c r="AY499" s="53"/>
    </row>
    <row r="500" customFormat="false" ht="15" hidden="false" customHeight="true" outlineLevel="0" collapsed="false">
      <c r="A500" s="29" t="s">
        <v>408</v>
      </c>
      <c r="B500" s="36"/>
      <c r="C500" s="49" t="n">
        <f aca="false">+C499/B499*100-100</f>
        <v>40.0769574658321</v>
      </c>
      <c r="D500" s="49" t="n">
        <f aca="false">+D499/C499*100-100</f>
        <v>23.169160977055</v>
      </c>
      <c r="E500" s="49" t="n">
        <f aca="false">+E499/D499*100-100</f>
        <v>34.5715343327786</v>
      </c>
      <c r="F500" s="49" t="n">
        <f aca="false">+F499/E499*100-100</f>
        <v>57.4805044767491</v>
      </c>
      <c r="G500" s="49" t="n">
        <f aca="false">+G499/F499*100-100</f>
        <v>-32.4197473417609</v>
      </c>
      <c r="H500" s="49" t="n">
        <f aca="false">+H499/G499*100-100</f>
        <v>6.98470504497522</v>
      </c>
      <c r="I500" s="49" t="n">
        <f aca="false">+I499/H499*100-100</f>
        <v>57.5273931961949</v>
      </c>
      <c r="J500" s="49" t="n">
        <f aca="false">+J499/I499*100-100</f>
        <v>10.1238013810237</v>
      </c>
      <c r="K500" s="49" t="n">
        <f aca="false">+K499/J499*100-100</f>
        <v>3.11496870060515</v>
      </c>
      <c r="L500" s="49" t="n">
        <f aca="false">+L499/K499*100-100</f>
        <v>10.4182352881595</v>
      </c>
      <c r="M500" s="49" t="n">
        <f aca="false">+M499/L499*100-100</f>
        <v>20.663305089151</v>
      </c>
      <c r="N500" s="49" t="n">
        <f aca="false">+N499/M499*100-100</f>
        <v>7.15806225988584</v>
      </c>
      <c r="O500" s="49" t="n">
        <f aca="false">+O499/N499*100-100</f>
        <v>27.7214142130777</v>
      </c>
      <c r="P500" s="49" t="n">
        <f aca="false">+P499/O499*100-100</f>
        <v>30.109985742589</v>
      </c>
      <c r="Q500" s="49" t="n">
        <f aca="false">+Q499/P499*100-100</f>
        <v>14.4167016515225</v>
      </c>
      <c r="R500" s="49" t="n">
        <f aca="false">+R499/Q499*100-100</f>
        <v>-41.6117509070397</v>
      </c>
      <c r="S500" s="49" t="n">
        <f aca="false">+S499/R499*100-100</f>
        <v>62.5015044678171</v>
      </c>
      <c r="T500" s="49" t="n">
        <f aca="false">+T499/S499*100-100</f>
        <v>66.1631397761333</v>
      </c>
      <c r="U500" s="49" t="n">
        <f aca="false">+U499/T499*100-100</f>
        <v>-1.81629644543149</v>
      </c>
      <c r="V500" s="49" t="n">
        <f aca="false">+V499/U499*100-100</f>
        <v>-29.5746249924066</v>
      </c>
      <c r="W500" s="49" t="n">
        <f aca="false">+W499/V499*100-100</f>
        <v>-80.9961980370542</v>
      </c>
      <c r="X500" s="49" t="n">
        <f aca="false">+X499/W499*100-100</f>
        <v>516.366188507253</v>
      </c>
      <c r="Y500" s="49" t="n">
        <f aca="false">+Y499/X499*100-100</f>
        <v>119.613977215047</v>
      </c>
      <c r="Z500" s="49" t="n">
        <f aca="false">+Z499/Y499*100-100</f>
        <v>-2.31052876011505</v>
      </c>
      <c r="AA500" s="49" t="n">
        <f aca="false">+AA499/Z499*100-100</f>
        <v>24.355706682275</v>
      </c>
      <c r="AB500" s="49" t="n">
        <f aca="false">+AB499/AA499*100-100</f>
        <v>14.485655192824</v>
      </c>
      <c r="AC500" s="49" t="n">
        <f aca="false">+AC499/AB499*100-100</f>
        <v>-62.5718331239196</v>
      </c>
      <c r="AD500" s="49" t="n">
        <f aca="false">+AD499/AC499*100-100</f>
        <v>-54.4037830699102</v>
      </c>
      <c r="AE500" s="49" t="n">
        <f aca="false">+AE499/AD499*100-100</f>
        <v>85.8429569832198</v>
      </c>
      <c r="AF500" s="49" t="n">
        <f aca="false">+AF499/AE499*100-100</f>
        <v>194.684873104613</v>
      </c>
      <c r="AG500" s="49" t="n">
        <f aca="false">+AG499/AF499*100-100</f>
        <v>57.183608011738</v>
      </c>
      <c r="AH500" s="49" t="n">
        <f aca="false">+AH499/AG499*100-100</f>
        <v>7.03298325438826</v>
      </c>
      <c r="AI500" s="49" t="n">
        <f aca="false">+AI499/AH499*100-100</f>
        <v>16.2596135124613</v>
      </c>
      <c r="AJ500" s="49" t="n">
        <f aca="false">+AJ499/AI499*100-100</f>
        <v>0.389000966324105</v>
      </c>
      <c r="AK500" s="49" t="n">
        <f aca="false">+AK499/AJ499*100-100</f>
        <v>10.9455199684354</v>
      </c>
      <c r="AL500" s="49" t="n">
        <f aca="false">+AL499/AK499*100-100</f>
        <v>6.92965101403527</v>
      </c>
      <c r="AM500" s="36"/>
      <c r="AN500" s="36"/>
      <c r="AO500" s="36"/>
      <c r="AP500" s="36"/>
      <c r="AQ500" s="36"/>
      <c r="AR500" s="36"/>
      <c r="AS500" s="36"/>
      <c r="AT500" s="36"/>
      <c r="AU500" s="36"/>
      <c r="AV500" s="36"/>
      <c r="AW500" s="36"/>
      <c r="AX500" s="36"/>
      <c r="AY500" s="36"/>
    </row>
    <row r="501" customFormat="false" ht="15" hidden="false" customHeight="true" outlineLevel="0" collapsed="false">
      <c r="A501" s="29" t="s">
        <v>564</v>
      </c>
      <c r="B501" s="49" t="n">
        <f aca="false">+B499/B506*100</f>
        <v>7.62524395009845</v>
      </c>
      <c r="C501" s="49" t="n">
        <f aca="false">+C499/C506*100</f>
        <v>8.28491268229161</v>
      </c>
      <c r="D501" s="49" t="n">
        <f aca="false">+D499/D506*100</f>
        <v>8.09948439428883</v>
      </c>
      <c r="E501" s="49" t="n">
        <f aca="false">+E499/E506*100</f>
        <v>8.12491374633407</v>
      </c>
      <c r="F501" s="49" t="n">
        <f aca="false">+F499/F506*100</f>
        <v>10.498575158988</v>
      </c>
      <c r="G501" s="49" t="n">
        <f aca="false">+G499/G506*100</f>
        <v>8.74960531270655</v>
      </c>
      <c r="H501" s="49" t="n">
        <f aca="false">+H499/H506*100</f>
        <v>9.10399244908682</v>
      </c>
      <c r="I501" s="49" t="n">
        <f aca="false">+I499/I506*100</f>
        <v>11.5753039825958</v>
      </c>
      <c r="J501" s="49" t="n">
        <f aca="false">+J499/J506*100</f>
        <v>12.75419491548</v>
      </c>
      <c r="K501" s="49" t="n">
        <f aca="false">+K499/K506*100</f>
        <v>13.097767250651</v>
      </c>
      <c r="L501" s="49" t="n">
        <f aca="false">+L499/L506*100</f>
        <v>12.20086741594</v>
      </c>
      <c r="M501" s="49" t="n">
        <f aca="false">+M499/M506*100</f>
        <v>11.6269147678589</v>
      </c>
      <c r="N501" s="49" t="n">
        <f aca="false">+N499/N506*100</f>
        <v>10.1102769763996</v>
      </c>
      <c r="O501" s="49" t="n">
        <f aca="false">+O499/O506*100</f>
        <v>10.2916406312379</v>
      </c>
      <c r="P501" s="49" t="n">
        <f aca="false">+P499/P506*100</f>
        <v>9.80284245252906</v>
      </c>
      <c r="Q501" s="49" t="n">
        <f aca="false">+Q499/Q506*100</f>
        <v>10.402072783678</v>
      </c>
      <c r="R501" s="49" t="n">
        <f aca="false">+R499/R506*100</f>
        <v>7.84867606630564</v>
      </c>
      <c r="S501" s="49" t="n">
        <f aca="false">+S499/S506*100</f>
        <v>10.5296008722502</v>
      </c>
      <c r="T501" s="49" t="n">
        <f aca="false">+T499/T506*100</f>
        <v>11.4012464258599</v>
      </c>
      <c r="U501" s="49" t="n">
        <f aca="false">+U499/U506*100</f>
        <v>9.69986586033482</v>
      </c>
      <c r="V501" s="49" t="n">
        <f aca="false">+V499/V506*100</f>
        <v>7.02230795115856</v>
      </c>
      <c r="W501" s="49" t="n">
        <f aca="false">+W499/W506*100</f>
        <v>1.67509959117009</v>
      </c>
      <c r="X501" s="49" t="n">
        <f aca="false">+X499/X506*100</f>
        <v>7.56982599763657</v>
      </c>
      <c r="Y501" s="49" t="n">
        <f aca="false">+Y499/Y506*100</f>
        <v>11.9057659949906</v>
      </c>
      <c r="Z501" s="49" t="n">
        <f aca="false">+Z499/Z506*100</f>
        <v>11.0024225001949</v>
      </c>
      <c r="AA501" s="49" t="n">
        <f aca="false">+AA499/AA506*100</f>
        <v>10.4350438535332</v>
      </c>
      <c r="AB501" s="49" t="n">
        <f aca="false">+AB499/AB506*100</f>
        <v>10.7924467259451</v>
      </c>
      <c r="AC501" s="49" t="n">
        <f aca="false">+AC499/AC506*100</f>
        <v>6.71906120348282</v>
      </c>
      <c r="AD501" s="49" t="n">
        <f aca="false">+AD499/AD506*100</f>
        <v>3.49731561387973</v>
      </c>
      <c r="AE501" s="49" t="n">
        <f aca="false">+AE499/AE506*100</f>
        <v>4.58551596276148</v>
      </c>
      <c r="AF501" s="49" t="n">
        <f aca="false">+AF499/AF506*100</f>
        <v>8.10836832747992</v>
      </c>
      <c r="AG501" s="49" t="n">
        <f aca="false">+AG499/AG506*100</f>
        <v>12.0066108843974</v>
      </c>
      <c r="AH501" s="49" t="n">
        <f aca="false">+AH499/AH506*100</f>
        <v>12.7231261583052</v>
      </c>
      <c r="AI501" s="49" t="n">
        <f aca="false">+AI499/AI506*100</f>
        <v>13.0257597479312</v>
      </c>
      <c r="AJ501" s="49" t="n">
        <f aca="false">+AJ499/AJ506*100</f>
        <v>11.9931529778246</v>
      </c>
      <c r="AK501" s="49" t="n">
        <f aca="false">+AK499/AK506*100</f>
        <v>12.3176388618778</v>
      </c>
      <c r="AL501" s="49" t="n">
        <f aca="false">+AL499/AL506*100</f>
        <v>12.2516851536862</v>
      </c>
      <c r="AM501" s="36"/>
      <c r="AN501" s="36"/>
      <c r="AO501" s="36"/>
      <c r="AP501" s="36"/>
      <c r="AQ501" s="36"/>
      <c r="AR501" s="36"/>
      <c r="AS501" s="36"/>
      <c r="AT501" s="36"/>
      <c r="AU501" s="36"/>
      <c r="AV501" s="36"/>
      <c r="AW501" s="36"/>
      <c r="AX501" s="36"/>
      <c r="AY501" s="36"/>
    </row>
    <row r="502" customFormat="false" ht="15" hidden="false" customHeight="true" outlineLevel="0" collapsed="false">
      <c r="A502" s="47" t="s">
        <v>565</v>
      </c>
      <c r="B502" s="35" t="n">
        <f aca="false">+B327</f>
        <v>9544.37</v>
      </c>
      <c r="C502" s="35" t="n">
        <f aca="false">+C327</f>
        <v>11812.94</v>
      </c>
      <c r="D502" s="35" t="n">
        <f aca="false">+D327</f>
        <v>15132.92</v>
      </c>
      <c r="E502" s="35" t="n">
        <f aca="false">+E327</f>
        <v>20097.02</v>
      </c>
      <c r="F502" s="35" t="n">
        <f aca="false">+F327</f>
        <v>24824.51</v>
      </c>
      <c r="G502" s="35" t="n">
        <f aca="false">+G327</f>
        <v>20142.801576</v>
      </c>
      <c r="H502" s="35" t="n">
        <f aca="false">+H327</f>
        <v>20450.478378296</v>
      </c>
      <c r="I502" s="35" t="n">
        <f aca="false">+I327</f>
        <v>25987.18</v>
      </c>
      <c r="J502" s="35" t="n">
        <f aca="false">+J327</f>
        <v>26066.63</v>
      </c>
      <c r="K502" s="35" t="n">
        <f aca="false">+K327</f>
        <v>26304.48</v>
      </c>
      <c r="L502" s="35" t="n">
        <f aca="false">+L327</f>
        <v>30739.95</v>
      </c>
      <c r="M502" s="35" t="n">
        <f aca="false">+M327</f>
        <v>39272.73</v>
      </c>
      <c r="N502" s="35" t="n">
        <f aca="false">+N327</f>
        <v>48112.82</v>
      </c>
      <c r="O502" s="35" t="n">
        <f aca="false">+O327</f>
        <v>60531.08</v>
      </c>
      <c r="P502" s="35" t="n">
        <f aca="false">+P327</f>
        <v>83047.17</v>
      </c>
      <c r="Q502" s="35" t="n">
        <f aca="false">+Q327</f>
        <v>89336.9</v>
      </c>
      <c r="R502" s="35" t="n">
        <f aca="false">+R327</f>
        <v>66666.401</v>
      </c>
      <c r="S502" s="35" t="n">
        <f aca="false">+S327</f>
        <v>78725.974</v>
      </c>
      <c r="T502" s="35" t="n">
        <f aca="false">+T327</f>
        <v>120936.068</v>
      </c>
      <c r="U502" s="35" t="n">
        <f aca="false">+U327</f>
        <v>136469.116</v>
      </c>
      <c r="V502" s="35" t="n">
        <f aca="false">+V327</f>
        <v>132985.589</v>
      </c>
      <c r="W502" s="35" t="n">
        <f aca="false">+W327</f>
        <v>105608.453</v>
      </c>
      <c r="X502" s="35" t="n">
        <f aca="false">+X327</f>
        <v>144859.335</v>
      </c>
      <c r="Y502" s="35" t="n">
        <f aca="false">+Y327</f>
        <v>199929.742</v>
      </c>
      <c r="Z502" s="35" t="n">
        <f aca="false">+Z327</f>
        <v>213316.691</v>
      </c>
      <c r="AA502" s="35" t="n">
        <f aca="false">+AA327</f>
        <v>265245.119</v>
      </c>
      <c r="AB502" s="35" t="n">
        <f aca="false">+AB327</f>
        <v>290549.5</v>
      </c>
      <c r="AC502" s="35" t="n">
        <f aca="false">+AC327</f>
        <v>174674.7</v>
      </c>
      <c r="AD502" s="35" t="n">
        <f aca="false">+AD327</f>
        <v>153014.5</v>
      </c>
      <c r="AE502" s="35" t="n">
        <f aca="false">+AE327</f>
        <v>216882.9</v>
      </c>
      <c r="AF502" s="35" t="n">
        <f aca="false">+AF327</f>
        <v>361441.4</v>
      </c>
      <c r="AG502" s="35" t="n">
        <f aca="false">+AG327</f>
        <v>383670.3</v>
      </c>
      <c r="AH502" s="35" t="n">
        <f aca="false">+AH327</f>
        <v>387527.4</v>
      </c>
      <c r="AI502" s="35" t="n">
        <f aca="false">+AI327</f>
        <v>440070.3</v>
      </c>
      <c r="AJ502" s="35" t="n">
        <f aca="false">+AJ327</f>
        <v>479819.486879914</v>
      </c>
      <c r="AK502" s="35" t="n">
        <f aca="false">+AK327</f>
        <v>518314.738360781</v>
      </c>
      <c r="AL502" s="35" t="n">
        <f aca="false">+AL327</f>
        <v>557215.703098136</v>
      </c>
      <c r="AM502" s="30"/>
      <c r="AN502" s="30"/>
      <c r="AO502" s="30"/>
      <c r="AP502" s="30"/>
      <c r="AQ502" s="30"/>
      <c r="AR502" s="30"/>
      <c r="AS502" s="30"/>
      <c r="AT502" s="30"/>
      <c r="AU502" s="30"/>
      <c r="AV502" s="30"/>
      <c r="AW502" s="30"/>
      <c r="AX502" s="30"/>
      <c r="AY502" s="30"/>
    </row>
    <row r="503" customFormat="false" ht="15" hidden="false" customHeight="true" outlineLevel="0" collapsed="false">
      <c r="A503" s="47" t="s">
        <v>534</v>
      </c>
      <c r="B503" s="36"/>
      <c r="C503" s="74" t="n">
        <f aca="false">+C502/B502*100-100</f>
        <v>23.7686720024475</v>
      </c>
      <c r="D503" s="74" t="n">
        <f aca="false">+D502/C502*100-100</f>
        <v>28.1046039343296</v>
      </c>
      <c r="E503" s="74" t="n">
        <f aca="false">+E502/D502*100-100</f>
        <v>32.8033188571671</v>
      </c>
      <c r="F503" s="74" t="n">
        <f aca="false">+F502/E502*100-100</f>
        <v>23.5233382859747</v>
      </c>
      <c r="G503" s="74" t="n">
        <f aca="false">+G502/F502*100-100</f>
        <v>-18.859217861702</v>
      </c>
      <c r="H503" s="74" t="n">
        <f aca="false">+H502/G502*100-100</f>
        <v>1.52747770033437</v>
      </c>
      <c r="I503" s="74" t="n">
        <f aca="false">+I502/H502*100-100</f>
        <v>27.073702234663</v>
      </c>
      <c r="J503" s="74" t="n">
        <f aca="false">+J502/I502*100-100</f>
        <v>0.305727670335926</v>
      </c>
      <c r="K503" s="74" t="n">
        <f aca="false">+K502/J502*100-100</f>
        <v>0.91246931421513</v>
      </c>
      <c r="L503" s="74" t="n">
        <f aca="false">+L502/K502*100-100</f>
        <v>16.8620326271419</v>
      </c>
      <c r="M503" s="74" t="n">
        <f aca="false">+M502/L502*100-100</f>
        <v>27.7579501593203</v>
      </c>
      <c r="N503" s="74" t="n">
        <f aca="false">+N502/M502*100-100</f>
        <v>22.5094868627671</v>
      </c>
      <c r="O503" s="74" t="n">
        <f aca="false">+O502/N502*100-100</f>
        <v>25.8107090792018</v>
      </c>
      <c r="P503" s="74" t="n">
        <f aca="false">+P502/O502*100-100</f>
        <v>37.1975685879056</v>
      </c>
      <c r="Q503" s="74" t="n">
        <f aca="false">+Q502/P502*100-100</f>
        <v>7.5736837269711</v>
      </c>
      <c r="R503" s="74" t="n">
        <f aca="false">+R502/Q502*100-100</f>
        <v>-25.3764110910497</v>
      </c>
      <c r="S503" s="74" t="n">
        <f aca="false">+S502/R502*100-100</f>
        <v>18.0894315863849</v>
      </c>
      <c r="T503" s="74" t="n">
        <f aca="false">+T502/S502*100-100</f>
        <v>53.6164773267842</v>
      </c>
      <c r="U503" s="74" t="n">
        <f aca="false">+U502/T502*100-100</f>
        <v>12.8440160630987</v>
      </c>
      <c r="V503" s="74" t="n">
        <f aca="false">+V502/U502*100-100</f>
        <v>-2.55261197705714</v>
      </c>
      <c r="W503" s="74" t="n">
        <f aca="false">+W502/V502*100-100</f>
        <v>-20.5865434035864</v>
      </c>
      <c r="X503" s="74" t="n">
        <f aca="false">+X502/W502*100-100</f>
        <v>37.1664207598989</v>
      </c>
      <c r="Y503" s="74" t="n">
        <f aca="false">+Y502/X502*100-100</f>
        <v>38.0164709440368</v>
      </c>
      <c r="Z503" s="74" t="n">
        <f aca="false">+Z502/Y502*100-100</f>
        <v>6.69582667695335</v>
      </c>
      <c r="AA503" s="74" t="n">
        <f aca="false">+AA502/Z502*100-100</f>
        <v>24.3433496725298</v>
      </c>
      <c r="AB503" s="74" t="n">
        <f aca="false">+AB502/AA502*100-100</f>
        <v>9.53999873603706</v>
      </c>
      <c r="AC503" s="74" t="n">
        <f aca="false">+AC502/AB502*100-100</f>
        <v>-39.8812594755799</v>
      </c>
      <c r="AD503" s="74" t="n">
        <f aca="false">+AD502/AC502*100-100</f>
        <v>-12.4003075431073</v>
      </c>
      <c r="AE503" s="74" t="n">
        <f aca="false">+AE502/AD502*100-100</f>
        <v>41.7400965267998</v>
      </c>
      <c r="AF503" s="74" t="n">
        <f aca="false">+AF502/AE502*100-100</f>
        <v>66.6527882096744</v>
      </c>
      <c r="AG503" s="74" t="n">
        <f aca="false">+AG502/AF502*100-100</f>
        <v>6.15007024651852</v>
      </c>
      <c r="AH503" s="74" t="n">
        <f aca="false">+AH502/AG502*100-100</f>
        <v>1.00531628327761</v>
      </c>
      <c r="AI503" s="74" t="n">
        <f aca="false">+AI502/AH502*100-100</f>
        <v>13.558499347401</v>
      </c>
      <c r="AJ503" s="74" t="n">
        <f aca="false">+AJ502/AI502*100-100</f>
        <v>9.03246296782898</v>
      </c>
      <c r="AK503" s="74" t="n">
        <f aca="false">+AK502/AJ502*100-100</f>
        <v>8.02286120790694</v>
      </c>
      <c r="AL503" s="74" t="n">
        <f aca="false">+AL502/AK502*100-100</f>
        <v>7.50527852254072</v>
      </c>
      <c r="AM503" s="36"/>
      <c r="AN503" s="36"/>
      <c r="AO503" s="36"/>
      <c r="AP503" s="36"/>
      <c r="AQ503" s="36"/>
      <c r="AR503" s="36"/>
      <c r="AS503" s="36"/>
      <c r="AT503" s="36"/>
      <c r="AU503" s="36"/>
      <c r="AV503" s="36"/>
      <c r="AW503" s="36"/>
      <c r="AX503" s="36"/>
      <c r="AY503" s="36"/>
    </row>
    <row r="504" customFormat="false" ht="15" hidden="false" customHeight="true" outlineLevel="0" collapsed="false">
      <c r="A504" s="47" t="s">
        <v>521</v>
      </c>
      <c r="B504" s="35" t="n">
        <f aca="false">+B281</f>
        <v>20571</v>
      </c>
      <c r="C504" s="35" t="n">
        <f aca="false">+C281</f>
        <v>24226</v>
      </c>
      <c r="D504" s="35" t="n">
        <f aca="false">+D281</f>
        <v>30410</v>
      </c>
      <c r="E504" s="35" t="n">
        <f aca="false">+E281</f>
        <v>37399</v>
      </c>
      <c r="F504" s="35" t="n">
        <f aca="false">+F281</f>
        <v>43352</v>
      </c>
      <c r="G504" s="35" t="n">
        <f aca="false">+G281</f>
        <v>31547</v>
      </c>
      <c r="H504" s="35" t="n">
        <f aca="false">+H281</f>
        <v>29741</v>
      </c>
      <c r="I504" s="35" t="n">
        <f aca="false">+I281</f>
        <v>37859</v>
      </c>
      <c r="J504" s="35" t="n">
        <f aca="false">+J281</f>
        <v>32475</v>
      </c>
      <c r="K504" s="35" t="n">
        <f aca="false">+K281</f>
        <v>29673</v>
      </c>
      <c r="L504" s="35" t="n">
        <f aca="false">+L281</f>
        <v>36444</v>
      </c>
      <c r="M504" s="35" t="n">
        <f aca="false">+M281</f>
        <v>48654</v>
      </c>
      <c r="N504" s="35" t="n">
        <f aca="false">+N281</f>
        <v>54740</v>
      </c>
      <c r="O504" s="35" t="n">
        <f aca="false">+O281</f>
        <v>61655</v>
      </c>
      <c r="P504" s="35" t="n">
        <f aca="false">+P281</f>
        <v>83091</v>
      </c>
      <c r="Q504" s="35" t="n">
        <f aca="false">+Q281</f>
        <v>83309</v>
      </c>
      <c r="R504" s="35" t="n">
        <f aca="false">+R281</f>
        <v>54431</v>
      </c>
      <c r="S504" s="35" t="n">
        <f aca="false">+S281</f>
        <v>63926</v>
      </c>
      <c r="T504" s="35" t="n">
        <f aca="false">+T281</f>
        <v>94106</v>
      </c>
      <c r="U504" s="35" t="n">
        <f aca="false">+U281</f>
        <v>98792</v>
      </c>
      <c r="V504" s="35" t="n">
        <f aca="false">+V281</f>
        <v>89470.76</v>
      </c>
      <c r="W504" s="35" t="n">
        <f aca="false">+W281</f>
        <v>69027</v>
      </c>
      <c r="X504" s="35" t="n">
        <f aca="false">+X281</f>
        <v>86591.5</v>
      </c>
      <c r="Y504" s="35" t="n">
        <f aca="false">+Y281</f>
        <v>120029.25</v>
      </c>
      <c r="Z504" s="35" t="n">
        <f aca="false">+Z281</f>
        <v>122218.75</v>
      </c>
      <c r="AA504" s="35" t="n">
        <f aca="false">+AA281</f>
        <v>144974.25</v>
      </c>
      <c r="AB504" s="35" t="n">
        <f aca="false">+AB281</f>
        <v>197366</v>
      </c>
      <c r="AC504" s="35" t="n">
        <f aca="false">+AC281</f>
        <v>125253</v>
      </c>
      <c r="AD504" s="35" t="n">
        <f aca="false">+AD281</f>
        <v>100715</v>
      </c>
      <c r="AE504" s="35" t="n">
        <f aca="false">+AE281</f>
        <v>128326</v>
      </c>
      <c r="AF504" s="35" t="n">
        <f aca="false">+AF281</f>
        <v>192205</v>
      </c>
      <c r="AG504" s="35" t="n">
        <f aca="false">+AG281</f>
        <v>194683</v>
      </c>
      <c r="AH504" s="35" t="n">
        <f aca="false">+AH281</f>
        <v>195093</v>
      </c>
      <c r="AI504" s="35" t="n">
        <f aca="false">+AI281</f>
        <v>220437</v>
      </c>
      <c r="AJ504" s="35" t="n">
        <f aca="false">+AJ281</f>
        <v>237395.64</v>
      </c>
      <c r="AK504" s="35" t="n">
        <f aca="false">+AK281</f>
        <v>254191.8912</v>
      </c>
      <c r="AL504" s="35" t="n">
        <f aca="false">+AL281</f>
        <v>270307.884672</v>
      </c>
      <c r="AM504" s="30"/>
      <c r="AN504" s="30"/>
      <c r="AO504" s="30"/>
      <c r="AP504" s="30"/>
      <c r="AQ504" s="30"/>
      <c r="AR504" s="30"/>
      <c r="AS504" s="30"/>
      <c r="AT504" s="30"/>
      <c r="AU504" s="30"/>
      <c r="AV504" s="30"/>
      <c r="AW504" s="30"/>
      <c r="AX504" s="30"/>
      <c r="AY504" s="30"/>
    </row>
    <row r="505" customFormat="false" ht="15" hidden="false" customHeight="true" outlineLevel="0" collapsed="false">
      <c r="A505" s="47" t="s">
        <v>534</v>
      </c>
      <c r="B505" s="36"/>
      <c r="C505" s="74" t="n">
        <f aca="false">+C504/B504*100-100</f>
        <v>17.7677312721793</v>
      </c>
      <c r="D505" s="74" t="n">
        <f aca="false">+D504/C504*100-100</f>
        <v>25.5262940642285</v>
      </c>
      <c r="E505" s="74" t="n">
        <f aca="false">+E504/D504*100-100</f>
        <v>22.9825715225255</v>
      </c>
      <c r="F505" s="74" t="n">
        <f aca="false">+F504/E504*100-100</f>
        <v>15.9175379020829</v>
      </c>
      <c r="G505" s="74" t="n">
        <f aca="false">+G504/F504*100-100</f>
        <v>-27.2305775973427</v>
      </c>
      <c r="H505" s="74" t="n">
        <f aca="false">+H504/G504*100-100</f>
        <v>-5.72479158081592</v>
      </c>
      <c r="I505" s="74" t="n">
        <f aca="false">+I504/H504*100-100</f>
        <v>27.2956524662923</v>
      </c>
      <c r="J505" s="74" t="n">
        <f aca="false">+J504/I504*100-100</f>
        <v>-14.2211891492115</v>
      </c>
      <c r="K505" s="74" t="n">
        <f aca="false">+K504/J504*100-100</f>
        <v>-8.62817551963049</v>
      </c>
      <c r="L505" s="74" t="n">
        <f aca="false">+L504/K504*100-100</f>
        <v>22.8187240926094</v>
      </c>
      <c r="M505" s="74" t="n">
        <f aca="false">+M504/L504*100-100</f>
        <v>33.5034573592361</v>
      </c>
      <c r="N505" s="74" t="n">
        <f aca="false">+N504/M504*100-100</f>
        <v>12.5087351502446</v>
      </c>
      <c r="O505" s="74" t="n">
        <f aca="false">+O504/N504*100-100</f>
        <v>12.6324442820606</v>
      </c>
      <c r="P505" s="74" t="n">
        <f aca="false">+P504/O504*100-100</f>
        <v>34.7676587462493</v>
      </c>
      <c r="Q505" s="74" t="n">
        <f aca="false">+Q504/P504*100-100</f>
        <v>0.262362951462848</v>
      </c>
      <c r="R505" s="74" t="n">
        <f aca="false">+R504/Q504*100-100</f>
        <v>-34.6637218067676</v>
      </c>
      <c r="S505" s="74" t="n">
        <f aca="false">+S504/R504*100-100</f>
        <v>17.4441035439364</v>
      </c>
      <c r="T505" s="74" t="n">
        <f aca="false">+T504/S504*100-100</f>
        <v>47.2108375308951</v>
      </c>
      <c r="U505" s="74" t="n">
        <f aca="false">+U504/T504*100-100</f>
        <v>4.97949121203749</v>
      </c>
      <c r="V505" s="74" t="n">
        <f aca="false">+V504/U504*100-100</f>
        <v>-9.43521742651225</v>
      </c>
      <c r="W505" s="74" t="n">
        <f aca="false">+W504/V504*100-100</f>
        <v>-22.8496550157839</v>
      </c>
      <c r="X505" s="74" t="n">
        <f aca="false">+X504/W504*100-100</f>
        <v>25.44584003361</v>
      </c>
      <c r="Y505" s="74" t="n">
        <f aca="false">+Y504/X504*100-100</f>
        <v>38.615510760294</v>
      </c>
      <c r="Z505" s="74" t="n">
        <f aca="false">+Z504/Y504*100-100</f>
        <v>1.82413869952534</v>
      </c>
      <c r="AA505" s="74" t="n">
        <f aca="false">+AA504/Z504*100-100</f>
        <v>18.6186653029916</v>
      </c>
      <c r="AB505" s="74" t="n">
        <f aca="false">+AB504/AA504*100-100</f>
        <v>36.1386591067034</v>
      </c>
      <c r="AC505" s="74" t="n">
        <f aca="false">+AC504/AB504*100-100</f>
        <v>-36.5377015291388</v>
      </c>
      <c r="AD505" s="74" t="n">
        <f aca="false">+AD504/AC504*100-100</f>
        <v>-19.5907483253894</v>
      </c>
      <c r="AE505" s="74" t="n">
        <f aca="false">+AE504/AD504*100-100</f>
        <v>27.4149828724619</v>
      </c>
      <c r="AF505" s="74" t="n">
        <f aca="false">+AF504/AE504*100-100</f>
        <v>49.7786886523386</v>
      </c>
      <c r="AG505" s="74" t="n">
        <f aca="false">+AG504/AF504*100-100</f>
        <v>1.28924845867692</v>
      </c>
      <c r="AH505" s="74" t="n">
        <f aca="false">+AH504/AG504*100-100</f>
        <v>0.210598768254044</v>
      </c>
      <c r="AI505" s="74" t="n">
        <f aca="false">+AI504/AH504*100-100</f>
        <v>12.9907274991927</v>
      </c>
      <c r="AJ505" s="74" t="n">
        <f aca="false">+AJ504/AI504*100-100</f>
        <v>7.69319125192232</v>
      </c>
      <c r="AK505" s="74" t="n">
        <f aca="false">+AK504/AJ504*100-100</f>
        <v>7.07521469223276</v>
      </c>
      <c r="AL505" s="74" t="n">
        <f aca="false">+AL504/AK504*100-100</f>
        <v>6.34008952682122</v>
      </c>
      <c r="AM505" s="36"/>
      <c r="AN505" s="36"/>
      <c r="AO505" s="36"/>
      <c r="AP505" s="36"/>
      <c r="AQ505" s="36"/>
      <c r="AR505" s="36"/>
      <c r="AS505" s="36"/>
      <c r="AT505" s="36"/>
      <c r="AU505" s="36"/>
      <c r="AV505" s="36"/>
      <c r="AW505" s="36"/>
      <c r="AX505" s="36"/>
      <c r="AY505" s="36"/>
    </row>
    <row r="506" customFormat="false" ht="15" hidden="false" customHeight="true" outlineLevel="0" collapsed="false">
      <c r="A506" s="51" t="s">
        <v>566</v>
      </c>
      <c r="B506" s="55" t="n">
        <f aca="false">B502-B440</f>
        <v>8213.77</v>
      </c>
      <c r="C506" s="55" t="n">
        <f aca="false">C502-C440</f>
        <v>10589.49</v>
      </c>
      <c r="D506" s="55" t="n">
        <f aca="false">D502-D440</f>
        <v>13341.59</v>
      </c>
      <c r="E506" s="55" t="n">
        <f aca="false">E502-E440</f>
        <v>17897.79</v>
      </c>
      <c r="F506" s="55" t="n">
        <f aca="false">F502-F440</f>
        <v>21812.96</v>
      </c>
      <c r="G506" s="55" t="n">
        <f aca="false">G502-G440</f>
        <v>17687.901576</v>
      </c>
      <c r="H506" s="55" t="n">
        <f aca="false">H502-H440</f>
        <v>18186.728378296</v>
      </c>
      <c r="I506" s="55" t="n">
        <f aca="false">I502-I440</f>
        <v>22532.54</v>
      </c>
      <c r="J506" s="55" t="n">
        <f aca="false">J502-J440</f>
        <v>22520.12</v>
      </c>
      <c r="K506" s="55" t="n">
        <f aca="false">K502-K440</f>
        <v>22612.48</v>
      </c>
      <c r="L506" s="55" t="n">
        <f aca="false">L502-L440</f>
        <v>26803.75</v>
      </c>
      <c r="M506" s="55" t="n">
        <f aca="false">M502-M440</f>
        <v>33938.84</v>
      </c>
      <c r="N506" s="55" t="n">
        <f aca="false">N502-N440</f>
        <v>41823.78</v>
      </c>
      <c r="O506" s="55" t="n">
        <f aca="false">O502-O440</f>
        <v>52476.57</v>
      </c>
      <c r="P506" s="55" t="n">
        <f aca="false">P502-P440</f>
        <v>71681.76</v>
      </c>
      <c r="Q506" s="55" t="n">
        <f aca="false">Q502-Q440</f>
        <v>77291.23</v>
      </c>
      <c r="R506" s="55" t="n">
        <f aca="false">R502-R440</f>
        <v>59810.737</v>
      </c>
      <c r="S506" s="55" t="n">
        <f aca="false">S502-S440</f>
        <v>72447.105</v>
      </c>
      <c r="T506" s="55" t="n">
        <f aca="false">T502-T440</f>
        <v>111177.09</v>
      </c>
      <c r="U506" s="55" t="n">
        <f aca="false">U502-U440</f>
        <v>128304.331</v>
      </c>
      <c r="V506" s="55" t="n">
        <f aca="false">V502-V440</f>
        <v>124812</v>
      </c>
      <c r="W506" s="55" t="n">
        <f aca="false">W502-W440</f>
        <v>99434.267</v>
      </c>
      <c r="X506" s="55" t="n">
        <f aca="false">X502-X440</f>
        <v>135621.836</v>
      </c>
      <c r="Y506" s="55" t="n">
        <f aca="false">Y502-Y440</f>
        <v>189373.04</v>
      </c>
      <c r="Z506" s="55" t="n">
        <f aca="false">Z502-Z440</f>
        <v>200186.568</v>
      </c>
      <c r="AA506" s="55" t="n">
        <f aca="false">AA502-AA440</f>
        <v>262479.079</v>
      </c>
      <c r="AB506" s="55" t="n">
        <f aca="false">AB502-AB440</f>
        <v>290549.5</v>
      </c>
      <c r="AC506" s="55" t="n">
        <f aca="false">AC502-AC440</f>
        <v>174674.7</v>
      </c>
      <c r="AD506" s="55" t="n">
        <f aca="false">AD502-AD440</f>
        <v>153014.5</v>
      </c>
      <c r="AE506" s="55" t="n">
        <f aca="false">AE502-AE440</f>
        <v>216882.9</v>
      </c>
      <c r="AF506" s="55" t="n">
        <f aca="false">AF502-AF440</f>
        <v>361441.4</v>
      </c>
      <c r="AG506" s="55" t="n">
        <f aca="false">AG502-AG440</f>
        <v>383670.3</v>
      </c>
      <c r="AH506" s="55" t="n">
        <f aca="false">AH502-AH440</f>
        <v>387527.4</v>
      </c>
      <c r="AI506" s="55" t="n">
        <f aca="false">AI502-AI440</f>
        <v>440070.3</v>
      </c>
      <c r="AJ506" s="55" t="n">
        <f aca="false">AJ502-AJ440</f>
        <v>479819.486879914</v>
      </c>
      <c r="AK506" s="55" t="n">
        <f aca="false">AK502-AK440</f>
        <v>518314.738360781</v>
      </c>
      <c r="AL506" s="55" t="n">
        <f aca="false">AL502-AL440</f>
        <v>557215.703098136</v>
      </c>
      <c r="AM506" s="53"/>
      <c r="AN506" s="53"/>
      <c r="AO506" s="53"/>
      <c r="AP506" s="53"/>
      <c r="AQ506" s="53"/>
      <c r="AR506" s="53"/>
      <c r="AS506" s="53"/>
      <c r="AT506" s="53"/>
      <c r="AU506" s="53"/>
      <c r="AV506" s="53"/>
      <c r="AW506" s="53"/>
      <c r="AX506" s="53"/>
      <c r="AY506" s="53"/>
    </row>
    <row r="507" customFormat="false" ht="15" hidden="false" customHeight="true" outlineLevel="0" collapsed="false">
      <c r="A507" s="47" t="s">
        <v>567</v>
      </c>
      <c r="B507" s="36"/>
      <c r="C507" s="36"/>
      <c r="D507" s="36"/>
      <c r="E507" s="36"/>
      <c r="F507" s="36"/>
      <c r="G507" s="49" t="n">
        <f aca="false">G434/G506*100</f>
        <v>70.2907574795067</v>
      </c>
      <c r="H507" s="49" t="n">
        <f aca="false">H434/H506*100</f>
        <v>70.3781336244889</v>
      </c>
      <c r="I507" s="49" t="n">
        <f aca="false">I434/I506*100</f>
        <v>69.2968036448621</v>
      </c>
      <c r="J507" s="49" t="n">
        <f aca="false">J434/J506*100</f>
        <v>66.9837904948997</v>
      </c>
      <c r="K507" s="49" t="n">
        <f aca="false">K434/K506*100</f>
        <v>65.9151937337258</v>
      </c>
      <c r="L507" s="49" t="n">
        <f aca="false">L434/L506*100</f>
        <v>68.5747330131045</v>
      </c>
      <c r="M507" s="49" t="n">
        <f aca="false">M434/M506*100</f>
        <v>70.4032017594002</v>
      </c>
      <c r="N507" s="49" t="n">
        <f aca="false">N434/N506*100</f>
        <v>72.5493009001099</v>
      </c>
      <c r="O507" s="49" t="n">
        <f aca="false">O434/O506*100</f>
        <v>73.7123443853133</v>
      </c>
      <c r="P507" s="49" t="n">
        <f aca="false">P434/P506*100</f>
        <v>76.2162229275621</v>
      </c>
      <c r="Q507" s="49" t="n">
        <f aca="false">Q434/Q506*100</f>
        <v>74.5924990454932</v>
      </c>
      <c r="R507" s="49" t="n">
        <f aca="false">R434/R506*100</f>
        <v>74.4422092641995</v>
      </c>
      <c r="S507" s="49" t="n">
        <f aca="false">S434/S506*100</f>
        <v>72.0431368513621</v>
      </c>
      <c r="T507" s="49" t="n">
        <f aca="false">T434/T506*100</f>
        <v>73.0676751837991</v>
      </c>
      <c r="U507" s="49" t="n">
        <f aca="false">U434/U506*100</f>
        <v>73.762905945864</v>
      </c>
      <c r="V507" s="49" t="n">
        <f aca="false">V434/V506*100</f>
        <v>73.0974265295004</v>
      </c>
      <c r="W507" s="49" t="n">
        <f aca="false">W434/W506*100</f>
        <v>76.4623024776761</v>
      </c>
      <c r="X507" s="49" t="n">
        <f aca="false">X434/X506*100</f>
        <v>73.4779154589826</v>
      </c>
      <c r="Y507" s="49" t="n">
        <f aca="false">Y434/Y506*100</f>
        <v>69.6765516358611</v>
      </c>
      <c r="Z507" s="49" t="n">
        <f aca="false">Z434/Z506*100</f>
        <v>69.7212841972494</v>
      </c>
      <c r="AA507" s="49" t="n">
        <f aca="false">AA434/AA506*100</f>
        <v>70.9438434900939</v>
      </c>
      <c r="AB507" s="49" t="n">
        <f aca="false">AB434/AB506*100</f>
        <v>71.1739996110818</v>
      </c>
      <c r="AC507" s="49" t="n">
        <f aca="false">AC434/AC506*100</f>
        <v>70.8124874409402</v>
      </c>
      <c r="AD507" s="49" t="n">
        <f aca="false">AD434/AD506*100</f>
        <v>74.524375140918</v>
      </c>
      <c r="AE507" s="49" t="n">
        <f aca="false">AE434/AE506*100</f>
        <v>77.2816575211785</v>
      </c>
      <c r="AF507" s="49" t="n">
        <f aca="false">AF434/AF506*100</f>
        <v>77.0502493626906</v>
      </c>
      <c r="AG507" s="49" t="n">
        <f aca="false">AG434/AG506*100</f>
        <v>72.7499887273005</v>
      </c>
      <c r="AH507" s="49" t="n">
        <f aca="false">AH434/AH506*100</f>
        <v>71.27955339416</v>
      </c>
      <c r="AI507" s="49" t="n">
        <f aca="false">AI434/AI506*100</f>
        <v>71.3911845448329</v>
      </c>
      <c r="AJ507" s="49" t="n">
        <f aca="false">AJ434/AJ506*100</f>
        <v>72.5</v>
      </c>
      <c r="AK507" s="49" t="n">
        <f aca="false">AK434/AK506*100</f>
        <v>72</v>
      </c>
      <c r="AL507" s="49" t="n">
        <f aca="false">AL434/AL506*100</f>
        <v>72</v>
      </c>
      <c r="AM507" s="36"/>
      <c r="AN507" s="36"/>
      <c r="AO507" s="36"/>
      <c r="AP507" s="36"/>
      <c r="AQ507" s="36"/>
      <c r="AR507" s="36"/>
      <c r="AS507" s="36"/>
      <c r="AT507" s="36"/>
      <c r="AU507" s="36"/>
      <c r="AV507" s="36"/>
      <c r="AW507" s="36"/>
      <c r="AX507" s="36"/>
      <c r="AY507" s="36"/>
    </row>
    <row r="508" customFormat="false" ht="15" hidden="false" customHeight="true" outlineLevel="0" collapsed="false">
      <c r="A508" s="47" t="s">
        <v>568</v>
      </c>
      <c r="B508" s="36"/>
      <c r="C508" s="36"/>
      <c r="D508" s="36"/>
      <c r="E508" s="36"/>
      <c r="F508" s="36"/>
      <c r="G508" s="49" t="n">
        <f aca="false">G406/G506*100</f>
        <v>45.2001610572508</v>
      </c>
      <c r="H508" s="49" t="n">
        <f aca="false">H406/H506*100</f>
        <v>39.2399878172517</v>
      </c>
      <c r="I508" s="49" t="n">
        <f aca="false">I406/I506*100</f>
        <v>45.6309408526513</v>
      </c>
      <c r="J508" s="49" t="n">
        <f aca="false">J406/J506*100</f>
        <v>45.5739134604967</v>
      </c>
      <c r="K508" s="49" t="n">
        <f aca="false">K406/K506*100</f>
        <v>48.5673398052757</v>
      </c>
      <c r="L508" s="49" t="n">
        <f aca="false">L406/L506*100</f>
        <v>44.2870120785338</v>
      </c>
      <c r="M508" s="49" t="n">
        <f aca="false">M406/M506*100</f>
        <v>52.3211753848983</v>
      </c>
      <c r="N508" s="49" t="n">
        <f aca="false">N406/N506*100</f>
        <v>54.8430820934885</v>
      </c>
      <c r="O508" s="49" t="n">
        <f aca="false">O406/O506*100</f>
        <v>60.0548016000284</v>
      </c>
      <c r="P508" s="49" t="n">
        <f aca="false">P406/P506*100</f>
        <v>57.8757552827944</v>
      </c>
      <c r="Q508" s="49" t="n">
        <f aca="false">Q406/Q506*100</f>
        <v>58.6238179933221</v>
      </c>
      <c r="R508" s="49" t="n">
        <f aca="false">R406/R506*100</f>
        <v>57.9290337117899</v>
      </c>
      <c r="S508" s="49" t="n">
        <f aca="false">S406/S506*100</f>
        <v>58.6484801566605</v>
      </c>
      <c r="T508" s="49" t="n">
        <f aca="false">T406/T506*100</f>
        <v>56.6397906259284</v>
      </c>
      <c r="U508" s="49" t="n">
        <f aca="false">U406/U506*100</f>
        <v>56.7322493579737</v>
      </c>
      <c r="V508" s="49" t="n">
        <f aca="false">V406/V506*100</f>
        <v>47.5838589238214</v>
      </c>
      <c r="W508" s="49" t="n">
        <f aca="false">W406/W506*100</f>
        <v>45.8271301984858</v>
      </c>
      <c r="X508" s="49" t="n">
        <f aca="false">X406/X506*100</f>
        <v>44.6394369709019</v>
      </c>
      <c r="Y508" s="49" t="n">
        <f aca="false">Y406/Y506*100</f>
        <v>46.6029113753468</v>
      </c>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row>
    <row r="509" customFormat="false" ht="15" hidden="false" customHeight="true" outlineLevel="0" collapsed="false">
      <c r="A509" s="47" t="s">
        <v>569</v>
      </c>
      <c r="B509" s="36"/>
      <c r="C509" s="36"/>
      <c r="D509" s="36"/>
      <c r="E509" s="36"/>
      <c r="F509" s="36"/>
      <c r="G509" s="49" t="n">
        <f aca="false">G467/G506*100</f>
        <v>10.4406958172233</v>
      </c>
      <c r="H509" s="49" t="n">
        <f aca="false">H467/H506*100</f>
        <v>11.4582455769609</v>
      </c>
      <c r="I509" s="49" t="n">
        <f aca="false">I467/I506*100</f>
        <v>10.1455051228135</v>
      </c>
      <c r="J509" s="49" t="n">
        <f aca="false">J467/J506*100</f>
        <v>11.1110420370762</v>
      </c>
      <c r="K509" s="49" t="n">
        <f aca="false">K467/K506*100</f>
        <v>11.3684124872637</v>
      </c>
      <c r="L509" s="49" t="n">
        <f aca="false">L467/L506*100</f>
        <v>10.8434827216341</v>
      </c>
      <c r="M509" s="49" t="n">
        <f aca="false">M467/M506*100</f>
        <v>9.12647574283623</v>
      </c>
      <c r="N509" s="49" t="n">
        <f aca="false">N467/N506*100</f>
        <v>8.46516025093858</v>
      </c>
      <c r="O509" s="49" t="n">
        <f aca="false">O467/O506*100</f>
        <v>7.696520561462</v>
      </c>
      <c r="P509" s="49" t="n">
        <f aca="false">P467/P506*100</f>
        <v>6.70595978670167</v>
      </c>
      <c r="Q509" s="49" t="n">
        <f aca="false">Q467/Q506*100</f>
        <v>7.97208169672031</v>
      </c>
      <c r="R509" s="49" t="n">
        <f aca="false">R467/R506*100</f>
        <v>9.46754927965526</v>
      </c>
      <c r="S509" s="49" t="n">
        <f aca="false">S467/S506*100</f>
        <v>9.27041598142534</v>
      </c>
      <c r="T509" s="49" t="n">
        <f aca="false">T467/T506*100</f>
        <v>8.31646250140204</v>
      </c>
      <c r="U509" s="49" t="n">
        <f aca="false">U467/U506*100</f>
        <v>8.0760539564327</v>
      </c>
      <c r="V509" s="49" t="n">
        <f aca="false">V467/V506*100</f>
        <v>8.70699772457776</v>
      </c>
      <c r="W509" s="49" t="n">
        <f aca="false">W467/W506*100</f>
        <v>10.0535995302304</v>
      </c>
      <c r="X509" s="49" t="n">
        <f aca="false">X467/X506*100</f>
        <v>8.7301856022654</v>
      </c>
      <c r="Y509" s="49" t="n">
        <f aca="false">Y467/Y506*100</f>
        <v>7.31393866835533</v>
      </c>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row>
    <row r="510" customFormat="false" ht="15" hidden="false" customHeight="true" outlineLevel="0" collapsed="false">
      <c r="A510" s="29" t="s">
        <v>570</v>
      </c>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row>
    <row r="511" customFormat="false" ht="15" hidden="false" customHeight="true" outlineLevel="0" collapsed="false">
      <c r="A511" s="70" t="s">
        <v>571</v>
      </c>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c r="AQ511" s="86"/>
      <c r="AR511" s="86"/>
      <c r="AS511" s="86"/>
      <c r="AT511" s="86"/>
      <c r="AU511" s="86"/>
      <c r="AV511" s="86"/>
      <c r="AW511" s="86"/>
      <c r="AX511" s="86"/>
      <c r="AY511" s="86"/>
    </row>
    <row r="512" customFormat="false" ht="15" hidden="false" customHeight="true" outlineLevel="0" collapsed="false">
      <c r="A512" s="47" t="s">
        <v>216</v>
      </c>
      <c r="B512" s="33" t="s">
        <v>175</v>
      </c>
      <c r="C512" s="33" t="s">
        <v>176</v>
      </c>
      <c r="D512" s="33" t="s">
        <v>177</v>
      </c>
      <c r="E512" s="33" t="s">
        <v>217</v>
      </c>
      <c r="F512" s="33" t="s">
        <v>179</v>
      </c>
      <c r="G512" s="33" t="s">
        <v>180</v>
      </c>
      <c r="H512" s="33" t="s">
        <v>181</v>
      </c>
      <c r="I512" s="33" t="s">
        <v>572</v>
      </c>
      <c r="J512" s="33" t="s">
        <v>183</v>
      </c>
      <c r="K512" s="33" t="s">
        <v>184</v>
      </c>
      <c r="L512" s="33" t="s">
        <v>221</v>
      </c>
      <c r="M512" s="33" t="s">
        <v>186</v>
      </c>
      <c r="N512" s="33" t="s">
        <v>222</v>
      </c>
      <c r="O512" s="33" t="s">
        <v>223</v>
      </c>
      <c r="P512" s="33" t="s">
        <v>224</v>
      </c>
      <c r="Q512" s="33" t="s">
        <v>573</v>
      </c>
      <c r="R512" s="33" t="s">
        <v>574</v>
      </c>
      <c r="S512" s="48" t="str">
        <f aca="false">+S3</f>
        <v>FY2010</v>
      </c>
      <c r="T512" s="48" t="str">
        <f aca="false">+T3</f>
        <v>FY2011</v>
      </c>
      <c r="U512" s="48" t="str">
        <f aca="false">+U3</f>
        <v>FY2012</v>
      </c>
      <c r="V512" s="48" t="str">
        <f aca="false">+V3</f>
        <v>FY2013</v>
      </c>
      <c r="W512" s="48" t="str">
        <f aca="false">+W3</f>
        <v>FY2014</v>
      </c>
      <c r="X512" s="48" t="str">
        <f aca="false">+X3</f>
        <v>FY2015</v>
      </c>
      <c r="Y512" s="48" t="str">
        <f aca="false">+Y3</f>
        <v>FY2016</v>
      </c>
      <c r="Z512" s="48" t="str">
        <f aca="false">+Z3</f>
        <v>FY2017</v>
      </c>
      <c r="AA512" s="48" t="str">
        <f aca="false">+AA3</f>
        <v>FY2018</v>
      </c>
      <c r="AB512" s="48" t="str">
        <f aca="false">+AB3</f>
        <v>FY2019</v>
      </c>
      <c r="AC512" s="48" t="str">
        <f aca="false">+AC3</f>
        <v>FY2020</v>
      </c>
      <c r="AD512" s="48" t="str">
        <f aca="false">+AD3</f>
        <v>FY2021</v>
      </c>
      <c r="AE512" s="48" t="str">
        <f aca="false">+AE3</f>
        <v>FY2022</v>
      </c>
      <c r="AF512" s="48" t="str">
        <f aca="false">+AF3</f>
        <v>FY2023</v>
      </c>
      <c r="AG512" s="48" t="str">
        <f aca="false">+AG3</f>
        <v>FY2024</v>
      </c>
      <c r="AH512" s="48" t="str">
        <f aca="false">+AH3</f>
        <v>FY2025</v>
      </c>
      <c r="AI512" s="48" t="str">
        <f aca="false">+AI3</f>
        <v>FY2026</v>
      </c>
      <c r="AJ512" s="48" t="str">
        <f aca="false">+AJ3</f>
        <v>FY2027E</v>
      </c>
      <c r="AK512" s="48" t="str">
        <f aca="false">+AK3</f>
        <v>FY2028E</v>
      </c>
      <c r="AL512" s="48" t="str">
        <f aca="false">+AL3</f>
        <v>FY2029E</v>
      </c>
      <c r="AM512" s="43"/>
      <c r="AN512" s="43"/>
      <c r="AO512" s="43"/>
      <c r="AP512" s="43"/>
      <c r="AQ512" s="43"/>
      <c r="AR512" s="43"/>
      <c r="AS512" s="43"/>
      <c r="AT512" s="43"/>
      <c r="AU512" s="43"/>
      <c r="AV512" s="43"/>
      <c r="AW512" s="43"/>
      <c r="AX512" s="43"/>
      <c r="AY512" s="43"/>
    </row>
    <row r="513" customFormat="false" ht="15" hidden="false" customHeight="true" outlineLevel="0" collapsed="false">
      <c r="A513" s="47" t="s">
        <v>271</v>
      </c>
      <c r="B513" s="31" t="n">
        <f aca="false">+B499+B355</f>
        <v>1195.63</v>
      </c>
      <c r="C513" s="31" t="n">
        <f aca="false">+C499+C355</f>
        <v>1352.97</v>
      </c>
      <c r="D513" s="31" t="n">
        <f aca="false">+D499+D355</f>
        <v>1849.36</v>
      </c>
      <c r="E513" s="31" t="n">
        <f aca="false">+E499+E355</f>
        <v>2872.34</v>
      </c>
      <c r="F513" s="31" t="n">
        <f aca="false">+F499+F355</f>
        <v>3595.78</v>
      </c>
      <c r="G513" s="31" t="n">
        <f aca="false">+G499+G355</f>
        <v>2636.551576</v>
      </c>
      <c r="H513" s="31" t="n">
        <f aca="false">+H499+H355</f>
        <v>2533.158378296</v>
      </c>
      <c r="I513" s="31" t="n">
        <f aca="false">+I499+I355</f>
        <v>3157.97</v>
      </c>
      <c r="J513" s="31" t="n">
        <f aca="false">+J499+J355</f>
        <v>3306.96</v>
      </c>
      <c r="K513" s="31" t="n">
        <f aca="false">+K499+K355</f>
        <v>3468.57</v>
      </c>
      <c r="L513" s="31" t="n">
        <f aca="false">+L499+L355</f>
        <v>3794.27</v>
      </c>
      <c r="M513" s="31" t="n">
        <f aca="false">+M499+M355</f>
        <v>4518.42</v>
      </c>
      <c r="N513" s="31" t="n">
        <f aca="false">+N499+N355</f>
        <v>4773.4916</v>
      </c>
      <c r="O513" s="31" t="n">
        <f aca="false">+O499+O355</f>
        <v>5949.64999999999</v>
      </c>
      <c r="P513" s="31" t="n">
        <f aca="false">+P499+P355</f>
        <v>7969.92999999999</v>
      </c>
      <c r="Q513" s="31" t="n">
        <f aca="false">+Q499+Q355</f>
        <v>9045.6</v>
      </c>
      <c r="R513" s="31" t="n">
        <f aca="false">+R499+R355</f>
        <v>6061.67500000001</v>
      </c>
      <c r="S513" s="31" t="n">
        <f aca="false">+S499+S355</f>
        <v>8540.05600000003</v>
      </c>
      <c r="T513" s="31" t="n">
        <f aca="false">+T499+T355</f>
        <v>13081.537</v>
      </c>
      <c r="U513" s="31" t="n">
        <f aca="false">+U499+U355</f>
        <v>12964.452</v>
      </c>
      <c r="V513" s="31" t="n">
        <f aca="false">+V499+V355</f>
        <v>9388.19800000002</v>
      </c>
      <c r="W513" s="31" t="n">
        <f aca="false">+W499+W355</f>
        <v>2330.82999999998</v>
      </c>
      <c r="X513" s="31" t="n">
        <f aca="false">+X499+X355</f>
        <v>11511.05</v>
      </c>
      <c r="Y513" s="31" t="n">
        <f aca="false">+Y499+Y355</f>
        <v>23722.513</v>
      </c>
      <c r="Z513" s="31" t="n">
        <f aca="false">+Z499+Z355</f>
        <v>23388.073</v>
      </c>
      <c r="AA513" s="31" t="n">
        <f aca="false">+AA499+AA355</f>
        <v>29287.454</v>
      </c>
      <c r="AB513" s="31" t="n">
        <f aca="false">+AB499+AB355</f>
        <v>32456.7999999999</v>
      </c>
      <c r="AC513" s="31" t="n">
        <f aca="false">+AC499+AC355</f>
        <v>12969.9</v>
      </c>
      <c r="AD513" s="31" t="n">
        <f aca="false">+AD499+AD355</f>
        <v>6546.39999999999</v>
      </c>
      <c r="AE513" s="31" t="n">
        <f aca="false">+AE499+AE355</f>
        <v>10706.5</v>
      </c>
      <c r="AF513" s="31" t="n">
        <f aca="false">+AF499+AF355</f>
        <v>30468.4</v>
      </c>
      <c r="AG513" s="31" t="n">
        <f aca="false">+AG499+AG355</f>
        <v>48531.5</v>
      </c>
      <c r="AH513" s="31" t="n">
        <f aca="false">+AH499+AH355</f>
        <v>51808.1</v>
      </c>
      <c r="AI513" s="31" t="n">
        <f aca="false">+AI499+AI355</f>
        <v>60474.2000000002</v>
      </c>
      <c r="AJ513" s="31" t="n">
        <f aca="false">+AJ499+AJ355</f>
        <v>60987.9436817523</v>
      </c>
      <c r="AK513" s="31" t="n">
        <f aca="false">+AK499+AK355</f>
        <v>67646.766177821</v>
      </c>
      <c r="AL513" s="31" t="n">
        <f aca="false">+AL499+AL355</f>
        <v>72567.7256908518</v>
      </c>
      <c r="AM513" s="30"/>
      <c r="AN513" s="30"/>
      <c r="AO513" s="30"/>
      <c r="AP513" s="30"/>
      <c r="AQ513" s="30"/>
      <c r="AR513" s="30"/>
      <c r="AS513" s="30"/>
      <c r="AT513" s="30"/>
      <c r="AU513" s="30"/>
      <c r="AV513" s="30"/>
      <c r="AW513" s="30"/>
      <c r="AX513" s="30"/>
      <c r="AY513" s="30"/>
    </row>
    <row r="514" customFormat="false" ht="15" hidden="false" customHeight="true" outlineLevel="0" collapsed="false">
      <c r="A514" s="29"/>
      <c r="B514" s="43"/>
      <c r="C514" s="43"/>
      <c r="D514" s="43"/>
      <c r="E514" s="43"/>
      <c r="F514" s="43"/>
      <c r="G514" s="43"/>
      <c r="H514" s="43"/>
      <c r="I514" s="43"/>
      <c r="J514" s="43"/>
      <c r="K514" s="43"/>
      <c r="L514" s="43"/>
      <c r="M514" s="43"/>
      <c r="N514" s="43"/>
      <c r="O514" s="43"/>
      <c r="P514" s="43"/>
      <c r="Q514" s="43"/>
      <c r="R514" s="43"/>
      <c r="S514" s="43"/>
      <c r="T514" s="43"/>
      <c r="U514" s="43"/>
      <c r="V514" s="43"/>
      <c r="W514" s="89" t="n">
        <f aca="false">+W515-4529.25</f>
        <v>-0.00200000000040745</v>
      </c>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row>
    <row r="515" customFormat="false" ht="15" hidden="false" customHeight="true" outlineLevel="0" collapsed="false">
      <c r="A515" s="47" t="s">
        <v>575</v>
      </c>
      <c r="B515" s="34" t="n">
        <v>835.55</v>
      </c>
      <c r="C515" s="34" t="n">
        <v>671.57</v>
      </c>
      <c r="D515" s="34" t="n">
        <v>751.67</v>
      </c>
      <c r="E515" s="34" t="n">
        <v>990.46</v>
      </c>
      <c r="F515" s="34" t="n">
        <v>1369.45</v>
      </c>
      <c r="G515" s="34" t="n">
        <v>1724.3</v>
      </c>
      <c r="H515" s="34" t="n">
        <v>1538.27</v>
      </c>
      <c r="I515" s="34" t="n">
        <v>1400.67</v>
      </c>
      <c r="J515" s="93" t="n">
        <f aca="false">1351.87-2.5</f>
        <v>1349.37</v>
      </c>
      <c r="K515" s="93" t="n">
        <f aca="false">1170.49-17.96</f>
        <v>1152.53</v>
      </c>
      <c r="L515" s="34" t="n">
        <v>956.15</v>
      </c>
      <c r="M515" s="34" t="n">
        <v>594.09</v>
      </c>
      <c r="N515" s="34" t="n">
        <v>304.01</v>
      </c>
      <c r="O515" s="34" t="n">
        <v>383.74</v>
      </c>
      <c r="P515" s="93" t="n">
        <f aca="false">318.2-29.83</f>
        <v>288.37</v>
      </c>
      <c r="Q515" s="93" t="n">
        <f aca="false">836.3-73.18</f>
        <v>763.12</v>
      </c>
      <c r="R515" s="93" t="n">
        <f aca="false">1766.037-162.854</f>
        <v>1603.183</v>
      </c>
      <c r="S515" s="93" t="n">
        <f aca="false">1379.842-361.327</f>
        <v>1018.515</v>
      </c>
      <c r="T515" s="93" t="n">
        <f aca="false">1906.768-17.534</f>
        <v>1889.234</v>
      </c>
      <c r="U515" s="93" t="n">
        <f aca="false">2568.211-15.679</f>
        <v>2552.532</v>
      </c>
      <c r="V515" s="93" t="n">
        <f aca="false">4039.132-270.275</f>
        <v>3768.857</v>
      </c>
      <c r="W515" s="34" t="n">
        <v>4529.248</v>
      </c>
      <c r="X515" s="34" t="n">
        <v>3935.075</v>
      </c>
      <c r="Y515" s="34" t="n">
        <v>2476.387</v>
      </c>
      <c r="Z515" s="34" t="n">
        <v>1553.787</v>
      </c>
      <c r="AA515" s="34" t="n">
        <v>1312.459</v>
      </c>
      <c r="AB515" s="34" t="n">
        <v>703.8</v>
      </c>
      <c r="AC515" s="34" t="n">
        <v>1094.5</v>
      </c>
      <c r="AD515" s="34" t="n">
        <v>3067.9</v>
      </c>
      <c r="AE515" s="34" t="n">
        <v>3011.1</v>
      </c>
      <c r="AF515" s="34" t="n">
        <v>2890.9</v>
      </c>
      <c r="AG515" s="34" t="n">
        <v>2494.4</v>
      </c>
      <c r="AH515" s="34" t="n">
        <v>2169.1</v>
      </c>
      <c r="AI515" s="34" t="n">
        <v>1697.3</v>
      </c>
      <c r="AJ515" s="35" t="n">
        <f aca="false">(AJ610+AI610)/2*AJ517/100</f>
        <v>1314.048</v>
      </c>
      <c r="AK515" s="35" t="n">
        <f aca="false">(AK610+AJ610)/2*AK517/100</f>
        <v>1074.048</v>
      </c>
      <c r="AL515" s="35" t="n">
        <f aca="false">(AL610+AK610)/2*AL517/100</f>
        <v>764.544</v>
      </c>
      <c r="AM515" s="30"/>
      <c r="AN515" s="30"/>
      <c r="AO515" s="30"/>
      <c r="AP515" s="30"/>
      <c r="AQ515" s="30"/>
      <c r="AR515" s="30"/>
      <c r="AS515" s="30"/>
      <c r="AT515" s="30"/>
      <c r="AU515" s="30"/>
      <c r="AV515" s="30"/>
      <c r="AW515" s="30"/>
      <c r="AX515" s="30"/>
      <c r="AY515" s="30"/>
    </row>
    <row r="516" customFormat="false" ht="15" hidden="false" customHeight="true" outlineLevel="0" collapsed="false">
      <c r="A516" s="47" t="s">
        <v>576</v>
      </c>
      <c r="B516" s="36"/>
      <c r="C516" s="74" t="n">
        <f aca="false">(100*C515*2)/(B610+C610)</f>
        <v>12.8372043234791</v>
      </c>
      <c r="D516" s="74" t="n">
        <f aca="false">(100*D515*2)/(C610+D610)</f>
        <v>13.3789818610289</v>
      </c>
      <c r="E516" s="74" t="n">
        <f aca="false">(100*E515*2)/(D610+E610)</f>
        <v>13.4056722969155</v>
      </c>
      <c r="F516" s="74" t="n">
        <f aca="false">(100*F515*2)/(E610+F610)</f>
        <v>13.2788005106149</v>
      </c>
      <c r="G516" s="74" t="n">
        <f aca="false">(100*G515*2)/(F610+G610)</f>
        <v>14.230484664245</v>
      </c>
      <c r="H516" s="74" t="n">
        <f aca="false">(100*H515*2)/(G610+H610)</f>
        <v>13.9240827151721</v>
      </c>
      <c r="I516" s="74" t="n">
        <f aca="false">(100*I515*2)/(H610+I610)</f>
        <v>14.5308495391515</v>
      </c>
      <c r="J516" s="74" t="n">
        <f aca="false">(100*J515*2)/(I610+J610)</f>
        <v>14.2136273311357</v>
      </c>
      <c r="K516" s="74" t="n">
        <f aca="false">(100*K515*2)/(J610+K610)</f>
        <v>12.6550338547657</v>
      </c>
      <c r="L516" s="74" t="n">
        <f aca="false">(100*L515*2)/(K610+L610)</f>
        <v>11.9074379300747</v>
      </c>
      <c r="M516" s="74" t="n">
        <f aca="false">(100*M515*2)/(L610+M610)</f>
        <v>9.76643829705037</v>
      </c>
      <c r="N516" s="74" t="n">
        <f aca="false">(100*N515*2)/(M610+N610)</f>
        <v>4.40760605996902</v>
      </c>
      <c r="O516" s="74" t="n">
        <f aca="false">(100*O515*2)/(N610+O610)</f>
        <v>4.88115120578707</v>
      </c>
      <c r="P516" s="74" t="n">
        <f aca="false">(100*P515*2)/(O610+P610)</f>
        <v>4.3288204238302</v>
      </c>
      <c r="Q516" s="74" t="n">
        <f aca="false">(100*Q515*2)/(P610+Q610)</f>
        <v>9.98914195244581</v>
      </c>
      <c r="R516" s="74" t="n">
        <f aca="false">(100*R515*2)/(Q610+R610)</f>
        <v>11.2676251348157</v>
      </c>
      <c r="S516" s="74" t="n">
        <f aca="false">(100*S515*2)/(R610+S610)</f>
        <v>4.89431169463539</v>
      </c>
      <c r="T516" s="74" t="n">
        <f aca="false">(100*T515*2)/(S610+T610)</f>
        <v>7.91773681525875</v>
      </c>
      <c r="U516" s="74" t="n">
        <f aca="false">(100*U515*2)/(T610+U610)</f>
        <v>9.0097450687089</v>
      </c>
      <c r="V516" s="74" t="n">
        <f aca="false">(100*V515*2)/(U610+V610)</f>
        <v>10.1132222074607</v>
      </c>
      <c r="W516" s="74" t="n">
        <f aca="false">(100*W515*2)/(V610+W610)</f>
        <v>10.0140869417697</v>
      </c>
      <c r="X516" s="74" t="n">
        <f aca="false">(100*X515*2)/(W610+X610)</f>
        <v>9.7886848541857</v>
      </c>
      <c r="Y516" s="74" t="n">
        <f aca="false">(100*Y515*2)/(X610+Y610)</f>
        <v>8.59153836232741</v>
      </c>
      <c r="Z516" s="74" t="n">
        <f aca="false">(100*Z515*2)/(Y610+Z610)</f>
        <v>6.81509976980753</v>
      </c>
      <c r="AA516" s="74" t="n">
        <f aca="false">(100*AA515*2)/(Z610+AA610)</f>
        <v>8.34056681657278</v>
      </c>
      <c r="AB516" s="74" t="n">
        <f aca="false">(100*AB515*2)/(AA610+AB610)</f>
        <v>8.61087384035981</v>
      </c>
      <c r="AC516" s="74" t="n">
        <f aca="false">(100*AC515*2)/(AB610+AC610)</f>
        <v>5.59314411863905</v>
      </c>
      <c r="AD516" s="74" t="n">
        <f aca="false">(100*AD515*2)/(AC610+AD610)</f>
        <v>8.61453877160198</v>
      </c>
      <c r="AE516" s="74" t="n">
        <f aca="false">(100*AE515*2)/(AD610+AE610)</f>
        <v>8.1434673900256</v>
      </c>
      <c r="AF516" s="74" t="n">
        <f aca="false">(100*AF515*2)/(AE610+AF610)</f>
        <v>8.52935145477532</v>
      </c>
      <c r="AG516" s="74" t="n">
        <f aca="false">(100*AG515*2)/(AF610+AG610)</f>
        <v>9.0307608481182</v>
      </c>
      <c r="AH516" s="74" t="n">
        <f aca="false">(100*AH515*2)/(AG610+AH610)</f>
        <v>11.4733200744753</v>
      </c>
      <c r="AI516" s="74" t="n">
        <f aca="false">(100*AI515*2)/(AH610+AI610)</f>
        <v>12.6817495778478</v>
      </c>
      <c r="AJ516" s="74" t="n">
        <f aca="false">(100*AJ515*2)/(AI610+AJ610)</f>
        <v>12</v>
      </c>
      <c r="AK516" s="74" t="n">
        <f aca="false">(100*AK515*2)/(AJ610+AK610)</f>
        <v>12</v>
      </c>
      <c r="AL516" s="74" t="n">
        <f aca="false">(100*AL515*2)/(AK610+AL610)</f>
        <v>11</v>
      </c>
      <c r="AM516" s="36"/>
      <c r="AN516" s="36"/>
      <c r="AO516" s="36"/>
      <c r="AP516" s="36"/>
      <c r="AQ516" s="36"/>
      <c r="AR516" s="36"/>
      <c r="AS516" s="36"/>
      <c r="AT516" s="36"/>
      <c r="AU516" s="36"/>
      <c r="AV516" s="36"/>
      <c r="AW516" s="36"/>
      <c r="AX516" s="36"/>
      <c r="AY516" s="36"/>
    </row>
    <row r="517" customFormat="false" ht="15" hidden="false" customHeight="true" outlineLevel="0" collapsed="false">
      <c r="A517" s="47"/>
      <c r="B517" s="36"/>
      <c r="C517" s="36"/>
      <c r="D517" s="36"/>
      <c r="E517" s="36"/>
      <c r="F517" s="36"/>
      <c r="G517" s="36"/>
      <c r="H517" s="36"/>
      <c r="I517" s="36"/>
      <c r="J517" s="36"/>
      <c r="K517" s="36"/>
      <c r="L517" s="36"/>
      <c r="M517" s="36"/>
      <c r="N517" s="36"/>
      <c r="O517" s="36"/>
      <c r="P517" s="36"/>
      <c r="Q517" s="36"/>
      <c r="R517" s="36"/>
      <c r="S517" s="36"/>
      <c r="T517" s="37" t="n">
        <v>7</v>
      </c>
      <c r="U517" s="37" t="n">
        <v>8</v>
      </c>
      <c r="V517" s="37" t="n">
        <v>10</v>
      </c>
      <c r="W517" s="37" t="n">
        <v>10.0949005345556</v>
      </c>
      <c r="X517" s="37" t="n">
        <v>9.5</v>
      </c>
      <c r="Y517" s="37" t="n">
        <v>9.1</v>
      </c>
      <c r="Z517" s="37" t="n">
        <v>9.1</v>
      </c>
      <c r="AA517" s="37" t="n">
        <v>7</v>
      </c>
      <c r="AB517" s="36"/>
      <c r="AC517" s="36"/>
      <c r="AD517" s="36"/>
      <c r="AE517" s="36"/>
      <c r="AF517" s="36"/>
      <c r="AG517" s="36"/>
      <c r="AH517" s="36"/>
      <c r="AI517" s="36"/>
      <c r="AJ517" s="37" t="n">
        <v>12</v>
      </c>
      <c r="AK517" s="37" t="n">
        <v>12</v>
      </c>
      <c r="AL517" s="37" t="n">
        <v>11</v>
      </c>
      <c r="AM517" s="36"/>
      <c r="AN517" s="36"/>
      <c r="AO517" s="36"/>
      <c r="AP517" s="36"/>
      <c r="AQ517" s="36"/>
      <c r="AR517" s="36"/>
      <c r="AS517" s="36"/>
      <c r="AT517" s="36"/>
      <c r="AU517" s="36"/>
      <c r="AV517" s="36"/>
      <c r="AW517" s="36"/>
      <c r="AX517" s="36"/>
      <c r="AY517" s="36"/>
    </row>
    <row r="518" customFormat="false" ht="15" hidden="false" customHeight="true" outlineLevel="0" collapsed="false">
      <c r="A518" s="47"/>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row>
    <row r="519" customFormat="false" ht="15" hidden="false" customHeight="true" outlineLevel="0" collapsed="false">
      <c r="A519" s="47" t="s">
        <v>577</v>
      </c>
      <c r="B519" s="35" t="n">
        <f aca="false">+B515-B518</f>
        <v>835.55</v>
      </c>
      <c r="C519" s="35" t="n">
        <f aca="false">+C515-C518</f>
        <v>671.57</v>
      </c>
      <c r="D519" s="35" t="n">
        <f aca="false">+D515-D518</f>
        <v>751.67</v>
      </c>
      <c r="E519" s="35" t="n">
        <f aca="false">+E515-E518</f>
        <v>990.46</v>
      </c>
      <c r="F519" s="35" t="n">
        <f aca="false">+F515-F518</f>
        <v>1369.45</v>
      </c>
      <c r="G519" s="35" t="n">
        <f aca="false">+G515-G518</f>
        <v>1724.3</v>
      </c>
      <c r="H519" s="101" t="n">
        <f aca="false">+H515-H518-3.7</f>
        <v>1534.57</v>
      </c>
      <c r="I519" s="35" t="n">
        <f aca="false">+I515-I518</f>
        <v>1400.67</v>
      </c>
      <c r="J519" s="35" t="n">
        <f aca="false">+J515-J518</f>
        <v>1349.37</v>
      </c>
      <c r="K519" s="35" t="n">
        <f aca="false">+K515-K518</f>
        <v>1152.53</v>
      </c>
      <c r="L519" s="35" t="n">
        <f aca="false">+L515-L518</f>
        <v>956.15</v>
      </c>
      <c r="M519" s="35" t="n">
        <f aca="false">+M515-M518</f>
        <v>594.09</v>
      </c>
      <c r="N519" s="35" t="n">
        <f aca="false">+N515-N518</f>
        <v>304.01</v>
      </c>
      <c r="O519" s="35" t="n">
        <f aca="false">+O515-O518</f>
        <v>383.74</v>
      </c>
      <c r="P519" s="35" t="n">
        <f aca="false">+P515-P518</f>
        <v>288.37</v>
      </c>
      <c r="Q519" s="35" t="n">
        <f aca="false">+Q515-Q518</f>
        <v>763.12</v>
      </c>
      <c r="R519" s="35" t="n">
        <f aca="false">+R515-R518</f>
        <v>1603.183</v>
      </c>
      <c r="S519" s="35" t="n">
        <f aca="false">+S515-S518</f>
        <v>1018.515</v>
      </c>
      <c r="T519" s="35" t="n">
        <f aca="false">+T515-T518</f>
        <v>1889.234</v>
      </c>
      <c r="U519" s="35" t="n">
        <f aca="false">+U515-U518</f>
        <v>2552.532</v>
      </c>
      <c r="V519" s="35" t="n">
        <f aca="false">+V515-V518</f>
        <v>3768.857</v>
      </c>
      <c r="W519" s="35" t="n">
        <f aca="false">+W515-W518</f>
        <v>4529.248</v>
      </c>
      <c r="X519" s="35" t="n">
        <f aca="false">+X515-X518</f>
        <v>3935.075</v>
      </c>
      <c r="Y519" s="35" t="n">
        <f aca="false">+Y515-Y518</f>
        <v>2476.387</v>
      </c>
      <c r="Z519" s="35" t="n">
        <f aca="false">+Z515-Z518</f>
        <v>1553.787</v>
      </c>
      <c r="AA519" s="35" t="n">
        <f aca="false">+AA515-AA518</f>
        <v>1312.459</v>
      </c>
      <c r="AB519" s="35" t="n">
        <f aca="false">+AB515-AB518</f>
        <v>703.8</v>
      </c>
      <c r="AC519" s="35" t="n">
        <f aca="false">+AC515-AC518</f>
        <v>1094.5</v>
      </c>
      <c r="AD519" s="35" t="n">
        <f aca="false">+AD515-AD518</f>
        <v>3067.9</v>
      </c>
      <c r="AE519" s="35" t="n">
        <f aca="false">+AE515-AE518</f>
        <v>3011.1</v>
      </c>
      <c r="AF519" s="35" t="n">
        <f aca="false">+AF515-AF518</f>
        <v>2890.9</v>
      </c>
      <c r="AG519" s="35" t="n">
        <f aca="false">+AG515-AG518</f>
        <v>2494.4</v>
      </c>
      <c r="AH519" s="35" t="n">
        <f aca="false">+AH515-AH518</f>
        <v>2169.1</v>
      </c>
      <c r="AI519" s="35" t="n">
        <f aca="false">+AI515-AI518</f>
        <v>1697.3</v>
      </c>
      <c r="AJ519" s="35" t="n">
        <f aca="false">+AJ515-AJ518</f>
        <v>1314.048</v>
      </c>
      <c r="AK519" s="35" t="n">
        <f aca="false">+AK515-AK518</f>
        <v>1074.048</v>
      </c>
      <c r="AL519" s="35" t="n">
        <f aca="false">+AL515-AL518</f>
        <v>764.544</v>
      </c>
      <c r="AM519" s="30"/>
      <c r="AN519" s="30"/>
      <c r="AO519" s="30"/>
      <c r="AP519" s="30"/>
      <c r="AQ519" s="30"/>
      <c r="AR519" s="30"/>
      <c r="AS519" s="30"/>
      <c r="AT519" s="30"/>
      <c r="AU519" s="30"/>
      <c r="AV519" s="30"/>
      <c r="AW519" s="30"/>
      <c r="AX519" s="30"/>
      <c r="AY519" s="30"/>
    </row>
    <row r="520" customFormat="false" ht="15" hidden="false" customHeight="true" outlineLevel="0" collapsed="false">
      <c r="A520" s="51" t="s">
        <v>264</v>
      </c>
      <c r="B520" s="52" t="n">
        <f aca="false">+B513-B519</f>
        <v>360.080000000002</v>
      </c>
      <c r="C520" s="52" t="n">
        <f aca="false">+C513-C519</f>
        <v>681.400000000002</v>
      </c>
      <c r="D520" s="52" t="n">
        <f aca="false">+D513-D519</f>
        <v>1097.69</v>
      </c>
      <c r="E520" s="52" t="n">
        <f aca="false">+E513-E519</f>
        <v>1881.88</v>
      </c>
      <c r="F520" s="52" t="n">
        <f aca="false">+F513-F519</f>
        <v>2226.33</v>
      </c>
      <c r="G520" s="52" t="n">
        <f aca="false">+G513-G519</f>
        <v>912.251576000001</v>
      </c>
      <c r="H520" s="52" t="n">
        <f aca="false">+H513-H519</f>
        <v>998.588378295998</v>
      </c>
      <c r="I520" s="52" t="n">
        <f aca="false">+I513-I519</f>
        <v>1757.3</v>
      </c>
      <c r="J520" s="52" t="n">
        <f aca="false">+J513-J519</f>
        <v>1957.59</v>
      </c>
      <c r="K520" s="52" t="n">
        <f aca="false">+K513-K519</f>
        <v>2316.04</v>
      </c>
      <c r="L520" s="52" t="n">
        <f aca="false">+L513-L519</f>
        <v>2838.12</v>
      </c>
      <c r="M520" s="52" t="n">
        <f aca="false">+M513-M519</f>
        <v>3924.33</v>
      </c>
      <c r="N520" s="52" t="n">
        <f aca="false">+N513-N519</f>
        <v>4469.4816</v>
      </c>
      <c r="O520" s="52" t="n">
        <f aca="false">+O513-O519</f>
        <v>5565.90999999999</v>
      </c>
      <c r="P520" s="52" t="n">
        <f aca="false">+P513-P519</f>
        <v>7681.55999999999</v>
      </c>
      <c r="Q520" s="52" t="n">
        <f aca="false">+Q513-Q519</f>
        <v>8282.48</v>
      </c>
      <c r="R520" s="52" t="n">
        <f aca="false">+R513-R519</f>
        <v>4458.49200000001</v>
      </c>
      <c r="S520" s="52" t="n">
        <f aca="false">+S513-S519</f>
        <v>7521.54100000003</v>
      </c>
      <c r="T520" s="52" t="n">
        <f aca="false">+T513-T519</f>
        <v>11192.303</v>
      </c>
      <c r="U520" s="52" t="n">
        <f aca="false">+U513-U519</f>
        <v>10411.92</v>
      </c>
      <c r="V520" s="52" t="n">
        <f aca="false">+V513-V519</f>
        <v>5619.34100000002</v>
      </c>
      <c r="W520" s="52" t="n">
        <f aca="false">+W513-W519</f>
        <v>-2198.41800000002</v>
      </c>
      <c r="X520" s="52" t="n">
        <f aca="false">+X513-X519</f>
        <v>7575.97500000003</v>
      </c>
      <c r="Y520" s="52" t="n">
        <f aca="false">+Y513-Y519</f>
        <v>21246.126</v>
      </c>
      <c r="Z520" s="52" t="n">
        <f aca="false">+Z513-Z519</f>
        <v>21834.286</v>
      </c>
      <c r="AA520" s="52" t="n">
        <f aca="false">+AA513-AA519</f>
        <v>27974.995</v>
      </c>
      <c r="AB520" s="52" t="n">
        <f aca="false">+AB513-AB519</f>
        <v>31752.9999999999</v>
      </c>
      <c r="AC520" s="52" t="n">
        <f aca="false">+AC513-AC519</f>
        <v>11875.4</v>
      </c>
      <c r="AD520" s="52" t="n">
        <f aca="false">+AD513-AD519</f>
        <v>3478.49999999999</v>
      </c>
      <c r="AE520" s="52" t="n">
        <f aca="false">+AE513-AE519</f>
        <v>7695.40000000001</v>
      </c>
      <c r="AF520" s="52" t="n">
        <f aca="false">+AF513-AF519</f>
        <v>27577.5</v>
      </c>
      <c r="AG520" s="52" t="n">
        <f aca="false">+AG513-AG519</f>
        <v>46037.1</v>
      </c>
      <c r="AH520" s="52" t="n">
        <f aca="false">+AH513-AH519</f>
        <v>49639</v>
      </c>
      <c r="AI520" s="52" t="n">
        <f aca="false">+AI513-AI519</f>
        <v>58776.9000000002</v>
      </c>
      <c r="AJ520" s="52" t="n">
        <f aca="false">+AJ513-AJ519</f>
        <v>59673.8956817523</v>
      </c>
      <c r="AK520" s="52" t="n">
        <f aca="false">+AK513-AK519</f>
        <v>66572.718177821</v>
      </c>
      <c r="AL520" s="52" t="n">
        <f aca="false">+AL513-AL519</f>
        <v>71803.1816908518</v>
      </c>
      <c r="AM520" s="53"/>
      <c r="AN520" s="53"/>
      <c r="AO520" s="53"/>
      <c r="AP520" s="53"/>
      <c r="AQ520" s="53"/>
      <c r="AR520" s="53"/>
      <c r="AS520" s="53"/>
      <c r="AT520" s="53"/>
      <c r="AU520" s="53"/>
      <c r="AV520" s="53"/>
      <c r="AW520" s="53"/>
      <c r="AX520" s="53"/>
      <c r="AY520" s="53"/>
    </row>
    <row r="521" customFormat="false" ht="15" hidden="false" customHeight="true" outlineLevel="0" collapsed="false">
      <c r="A521" s="29" t="s">
        <v>266</v>
      </c>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7" t="n">
        <v>50.48</v>
      </c>
      <c r="Z521" s="37" t="n">
        <v>153.974</v>
      </c>
      <c r="AA521" s="37" t="n">
        <v>3.913</v>
      </c>
      <c r="AB521" s="37" t="n">
        <v>-26.3</v>
      </c>
      <c r="AC521" s="37" t="n">
        <v>0.1</v>
      </c>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row>
    <row r="522" customFormat="false" ht="15" hidden="false" customHeight="true" outlineLevel="0" collapsed="false">
      <c r="A522" s="47" t="s">
        <v>267</v>
      </c>
      <c r="B522" s="34" t="n">
        <v>315.83</v>
      </c>
      <c r="C522" s="34" t="n">
        <v>328.1</v>
      </c>
      <c r="D522" s="34" t="n">
        <v>391.79</v>
      </c>
      <c r="E522" s="34" t="n">
        <v>546.05</v>
      </c>
      <c r="F522" s="34" t="n">
        <v>655.98</v>
      </c>
      <c r="G522" s="34" t="n">
        <v>705.57</v>
      </c>
      <c r="H522" s="34" t="n">
        <v>761.9</v>
      </c>
      <c r="I522" s="34" t="n">
        <v>824.43</v>
      </c>
      <c r="J522" s="34" t="n">
        <v>883.5</v>
      </c>
      <c r="K522" s="34" t="n">
        <v>953.55</v>
      </c>
      <c r="L522" s="34" t="n">
        <v>1029.69</v>
      </c>
      <c r="M522" s="34" t="n">
        <v>964.54</v>
      </c>
      <c r="N522" s="34" t="n">
        <v>1092.14</v>
      </c>
      <c r="O522" s="34" t="n">
        <v>1260.06</v>
      </c>
      <c r="P522" s="34" t="n">
        <v>1505.74</v>
      </c>
      <c r="Q522" s="34" t="n">
        <v>1773.61</v>
      </c>
      <c r="R522" s="34" t="n">
        <v>1784.142</v>
      </c>
      <c r="S522" s="34" t="n">
        <v>2041.079</v>
      </c>
      <c r="T522" s="34" t="n">
        <v>2674.31</v>
      </c>
      <c r="U522" s="93" t="n">
        <f aca="false">2998.903+653.547-124.318</f>
        <v>3528.132</v>
      </c>
      <c r="V522" s="93" t="n">
        <f aca="false">3123.47+808.065-123.7</f>
        <v>3807.835</v>
      </c>
      <c r="W522" s="93" t="n">
        <f aca="false">3203.558+684.964-118.162</f>
        <v>3770.36</v>
      </c>
      <c r="X522" s="93" t="n">
        <f aca="false">3529.983+752.002-118.618</f>
        <v>4163.367</v>
      </c>
      <c r="Y522" s="34" t="n">
        <v>4879.004</v>
      </c>
      <c r="Z522" s="34" t="n">
        <v>5178.939</v>
      </c>
      <c r="AA522" s="34" t="n">
        <v>5546.094</v>
      </c>
      <c r="AB522" s="34" t="n">
        <v>6210.1</v>
      </c>
      <c r="AC522" s="34" t="n">
        <v>6698</v>
      </c>
      <c r="AD522" s="34" t="n">
        <v>7477.1</v>
      </c>
      <c r="AE522" s="34" t="n">
        <v>7527.6</v>
      </c>
      <c r="AF522" s="34" t="n">
        <v>7319.6</v>
      </c>
      <c r="AG522" s="34" t="n">
        <v>7178.1</v>
      </c>
      <c r="AH522" s="34" t="n">
        <v>7193.4</v>
      </c>
      <c r="AI522" s="34" t="n">
        <v>7151.9</v>
      </c>
      <c r="AJ522" s="35" t="n">
        <f aca="false">AJ556</f>
        <v>7551.4454</v>
      </c>
      <c r="AK522" s="35" t="n">
        <f aca="false">AK556</f>
        <v>8111.9454</v>
      </c>
      <c r="AL522" s="35" t="n">
        <f aca="false">AL556</f>
        <v>8467.4548</v>
      </c>
      <c r="AM522" s="30"/>
      <c r="AN522" s="30"/>
      <c r="AO522" s="30"/>
      <c r="AP522" s="30"/>
      <c r="AQ522" s="30"/>
      <c r="AR522" s="30"/>
      <c r="AS522" s="30"/>
      <c r="AT522" s="30"/>
      <c r="AU522" s="30"/>
      <c r="AV522" s="30"/>
      <c r="AW522" s="30"/>
      <c r="AX522" s="30"/>
      <c r="AY522" s="30"/>
    </row>
    <row r="523" customFormat="false" ht="15" hidden="false" customHeight="true" outlineLevel="0" collapsed="false">
      <c r="A523" s="29" t="s">
        <v>578</v>
      </c>
      <c r="B523" s="36"/>
      <c r="C523" s="49" t="n">
        <f aca="false">(100*C522*2)/(C629+B629)</f>
        <v>10.4788458897438</v>
      </c>
      <c r="D523" s="49" t="n">
        <f aca="false">(100*D522*2)/(D629+C629)</f>
        <v>8.47049412476894</v>
      </c>
      <c r="E523" s="49" t="n">
        <f aca="false">(100*E522*2)/(E629+D629)</f>
        <v>8.59609905073753</v>
      </c>
      <c r="F523" s="49" t="n">
        <f aca="false">(100*F522*2)/(F629+E629)</f>
        <v>8.75138829132606</v>
      </c>
      <c r="G523" s="49" t="n">
        <f aca="false">(100*G522*2)/(G629+F629)</f>
        <v>8.75345435597778</v>
      </c>
      <c r="H523" s="49" t="n">
        <f aca="false">(100*H522*2)/(H629+G629)</f>
        <v>8.97216908281681</v>
      </c>
      <c r="I523" s="49" t="n">
        <f aca="false">(100*I522*2)/(I629+H629)</f>
        <v>9.11700728869583</v>
      </c>
      <c r="J523" s="49" t="n">
        <f aca="false">(100*J522*2)/(J629+I629)</f>
        <v>9.78093906978675</v>
      </c>
      <c r="K523" s="49" t="n">
        <f aca="false">(100*K522*2)/(K629+J629)</f>
        <v>10.3218159381698</v>
      </c>
      <c r="L523" s="49" t="n">
        <f aca="false">(100*L522*2)/(L629+K629)</f>
        <v>11.0801681679614</v>
      </c>
      <c r="M523" s="49" t="n">
        <f aca="false">(100*M522*2)/(M629+L629)</f>
        <v>10.8536988817047</v>
      </c>
      <c r="N523" s="49" t="n">
        <f aca="false">(100*N522*2)/(N629+M629)</f>
        <v>12.3498098859316</v>
      </c>
      <c r="O523" s="49" t="n">
        <f aca="false">(100*O522*2)/(O629+N629)</f>
        <v>13.7177980498792</v>
      </c>
      <c r="P523" s="49" t="n">
        <f aca="false">(100*P522*2)/(P629+O629)</f>
        <v>13.3825474247035</v>
      </c>
      <c r="Q523" s="49" t="n">
        <f aca="false">(100*Q522*2)/(Q629+P629)</f>
        <v>12.5229163629098</v>
      </c>
      <c r="R523" s="49" t="n">
        <f aca="false">(100*R522*2)/(R629+Q629)</f>
        <v>7.24573764520857</v>
      </c>
      <c r="S523" s="49" t="n">
        <f aca="false">(100*S522*2)/(S629+R629)</f>
        <v>5.33707829545128</v>
      </c>
      <c r="T523" s="49" t="n">
        <f aca="false">(100*T522*2)/(T629+S629)</f>
        <v>6.02094862625602</v>
      </c>
      <c r="U523" s="49" t="n">
        <f aca="false">(100*U522*2)/(U629+T629)</f>
        <v>7.67026545115045</v>
      </c>
      <c r="V523" s="49" t="n">
        <f aca="false">(100*V522*2)/(V629+U629)</f>
        <v>8.02989477166143</v>
      </c>
      <c r="W523" s="49" t="n">
        <f aca="false">(100*W522*2)/(W629+V629)</f>
        <v>7.43634260286507</v>
      </c>
      <c r="X523" s="49" t="n">
        <f aca="false">(100*X522*2)/(X629+W629)</f>
        <v>8.24069292516832</v>
      </c>
      <c r="Y523" s="49" t="n">
        <f aca="false">(100*Y522*2)/(Y629+X629)</f>
        <v>10.4518138252213</v>
      </c>
      <c r="Z523" s="49" t="n">
        <f aca="false">(100*Z522*2)/(Z629+Y629)</f>
        <v>11.3700394833059</v>
      </c>
      <c r="AA523" s="49" t="n">
        <f aca="false">(100*AA522*2)/(AA629+Z629)</f>
        <v>11.8712597189074</v>
      </c>
      <c r="AB523" s="49" t="n">
        <f aca="false">(100*AB522*2)/(AB629+AA629)</f>
        <v>13.0826854752066</v>
      </c>
      <c r="AC523" s="49" t="n">
        <f aca="false">(100*AC522*2)/(AC629+AB629)</f>
        <v>13.6101696292865</v>
      </c>
      <c r="AD523" s="49" t="n">
        <f aca="false">(100*AD522*2)/(AD629+AC629)</f>
        <v>14.453641487988</v>
      </c>
      <c r="AE523" s="49" t="n">
        <f aca="false">(100*AE522*2)/(AE629+AD629)</f>
        <v>14.6354836012824</v>
      </c>
      <c r="AF523" s="49" t="n">
        <f aca="false">(100*AF522*2)/(AF629+AE629)</f>
        <v>15.0532083903601</v>
      </c>
      <c r="AG523" s="49" t="n">
        <f aca="false">(100*AG522*2)/(AG629+AF629)</f>
        <v>15.5200987668201</v>
      </c>
      <c r="AH523" s="49" t="n">
        <f aca="false">(100*AH522*2)/(AH629+AG629)</f>
        <v>16.1488675318728</v>
      </c>
      <c r="AI523" s="49" t="n">
        <f aca="false">(100*AI522*2)/(AI629+AH629)</f>
        <v>15.0904023108557</v>
      </c>
      <c r="AJ523" s="49" t="n">
        <f aca="false">(100*AJ522*2)/(AJ629+AI629)</f>
        <v>14.5373088613775</v>
      </c>
      <c r="AK523" s="49" t="n">
        <f aca="false">(100*AK522*2)/(AK629+AJ629)</f>
        <v>15.2728268548576</v>
      </c>
      <c r="AL523" s="49" t="n">
        <f aca="false">(100*AL522*2)/(AL629+AK629)</f>
        <v>16.0295959165954</v>
      </c>
      <c r="AM523" s="36"/>
      <c r="AN523" s="36"/>
      <c r="AO523" s="36"/>
      <c r="AP523" s="36"/>
      <c r="AQ523" s="36"/>
      <c r="AR523" s="36"/>
      <c r="AS523" s="36"/>
      <c r="AT523" s="36"/>
      <c r="AU523" s="36"/>
      <c r="AV523" s="36"/>
      <c r="AW523" s="36"/>
      <c r="AX523" s="36"/>
      <c r="AY523" s="36"/>
    </row>
    <row r="524" customFormat="false" ht="15" hidden="false" customHeight="true" outlineLevel="0" collapsed="false">
      <c r="A524" s="47" t="s">
        <v>579</v>
      </c>
      <c r="B524" s="30"/>
      <c r="C524" s="30"/>
      <c r="D524" s="30"/>
      <c r="E524" s="30"/>
      <c r="F524" s="30"/>
      <c r="G524" s="30"/>
      <c r="H524" s="30"/>
      <c r="I524" s="30"/>
      <c r="J524" s="93" t="n">
        <f aca="false">-(25.6+29.08)</f>
        <v>-54.68</v>
      </c>
      <c r="K524" s="93" t="n">
        <f aca="false">-29.68-10.75</f>
        <v>-40.43</v>
      </c>
      <c r="L524" s="93" t="n">
        <f aca="false">-20.72-86.69</f>
        <v>-107.41</v>
      </c>
      <c r="M524" s="34" t="n">
        <v>-95.19</v>
      </c>
      <c r="N524" s="93" t="n">
        <f aca="false">-95.83+268.5884+186</f>
        <v>358.7584</v>
      </c>
      <c r="O524" s="93" t="n">
        <f aca="false">301.66-84.51</f>
        <v>217.15</v>
      </c>
      <c r="P524" s="34" t="n">
        <v>-130.76</v>
      </c>
      <c r="Q524" s="34" t="n">
        <v>-127.37</v>
      </c>
      <c r="R524" s="93" t="n">
        <f aca="false">-134.887-455</f>
        <v>-589.887</v>
      </c>
      <c r="S524" s="34" t="n">
        <v>-32.715</v>
      </c>
      <c r="T524" s="34" t="n">
        <v>-500</v>
      </c>
      <c r="U524" s="34" t="n">
        <v>15.978</v>
      </c>
      <c r="V524" s="34" t="n">
        <v>2895.561</v>
      </c>
      <c r="W524" s="34" t="n">
        <v>5056.589</v>
      </c>
      <c r="X524" s="34" t="n">
        <v>1009.359</v>
      </c>
      <c r="Y524" s="34" t="n">
        <v>-8152.235</v>
      </c>
      <c r="Z524" s="93" t="n">
        <f aca="false">-3508.459+3240</f>
        <v>-268.459</v>
      </c>
      <c r="AA524" s="62" t="n">
        <v>-125.66</v>
      </c>
      <c r="AB524" s="62" t="n">
        <v>-548.6</v>
      </c>
      <c r="AC524" s="34" t="n">
        <v>-1558.3</v>
      </c>
      <c r="AD524" s="34" t="n">
        <v>-120.5</v>
      </c>
      <c r="AE524" s="34" t="n">
        <v>5108.3</v>
      </c>
      <c r="AF524" s="34" t="n">
        <v>846.1</v>
      </c>
      <c r="AG524" s="34" t="n">
        <v>-937.2</v>
      </c>
      <c r="AH524" s="62" t="n">
        <v>1037.3</v>
      </c>
      <c r="AI524" s="62" t="n">
        <v>-3484.8</v>
      </c>
      <c r="AJ524" s="30"/>
      <c r="AK524" s="30"/>
      <c r="AL524" s="30"/>
      <c r="AM524" s="30"/>
      <c r="AN524" s="30"/>
      <c r="AO524" s="30"/>
      <c r="AP524" s="30"/>
      <c r="AQ524" s="30"/>
      <c r="AR524" s="30"/>
      <c r="AS524" s="30"/>
      <c r="AT524" s="30"/>
      <c r="AU524" s="30"/>
      <c r="AV524" s="30"/>
      <c r="AW524" s="30"/>
      <c r="AX524" s="30"/>
      <c r="AY524" s="30"/>
    </row>
    <row r="525" customFormat="false" ht="15" hidden="false" customHeight="true" outlineLevel="0" collapsed="false">
      <c r="A525" s="51" t="s">
        <v>251</v>
      </c>
      <c r="B525" s="52" t="n">
        <f aca="false">+B520-B522+B524</f>
        <v>44.2500000000015</v>
      </c>
      <c r="C525" s="52" t="n">
        <f aca="false">+C520-C522+C524</f>
        <v>353.300000000002</v>
      </c>
      <c r="D525" s="52" t="n">
        <f aca="false">+D520-D522+D524</f>
        <v>705.899999999999</v>
      </c>
      <c r="E525" s="52" t="n">
        <f aca="false">+E520-E522+E524</f>
        <v>1335.83</v>
      </c>
      <c r="F525" s="52" t="n">
        <f aca="false">+F520-F522+F524</f>
        <v>1570.35</v>
      </c>
      <c r="G525" s="52" t="n">
        <f aca="false">+G520-G522+G524</f>
        <v>206.681576000001</v>
      </c>
      <c r="H525" s="52" t="n">
        <f aca="false">+H520-H522+H524</f>
        <v>236.688378295998</v>
      </c>
      <c r="I525" s="52" t="n">
        <f aca="false">+I520-I522+I524</f>
        <v>932.869999999999</v>
      </c>
      <c r="J525" s="52" t="n">
        <f aca="false">+J520-J522+J524</f>
        <v>1019.41</v>
      </c>
      <c r="K525" s="52" t="n">
        <f aca="false">+K520-K522+K524</f>
        <v>1322.06</v>
      </c>
      <c r="L525" s="52" t="n">
        <f aca="false">+L520-L522+L524</f>
        <v>1701.02</v>
      </c>
      <c r="M525" s="52" t="n">
        <f aca="false">+M520-M522+M524</f>
        <v>2864.6</v>
      </c>
      <c r="N525" s="52" t="n">
        <f aca="false">+N520-N522+N524</f>
        <v>3736.1</v>
      </c>
      <c r="O525" s="52" t="n">
        <f aca="false">+O520-O522+O524</f>
        <v>4522.99999999999</v>
      </c>
      <c r="P525" s="52" t="n">
        <f aca="false">+P520-P522+P524</f>
        <v>6045.05999999999</v>
      </c>
      <c r="Q525" s="52" t="n">
        <f aca="false">+Q520-Q522+Q524</f>
        <v>6381.5</v>
      </c>
      <c r="R525" s="52" t="n">
        <f aca="false">+R520-R522+R524</f>
        <v>2084.46300000001</v>
      </c>
      <c r="S525" s="52" t="n">
        <f aca="false">+S520-S522+S524</f>
        <v>5447.74700000003</v>
      </c>
      <c r="T525" s="52" t="n">
        <f aca="false">+T520-T522+T524</f>
        <v>8017.99300000002</v>
      </c>
      <c r="U525" s="52" t="n">
        <f aca="false">+U520-U522+U524</f>
        <v>6899.76599999998</v>
      </c>
      <c r="V525" s="52" t="n">
        <f aca="false">+V520-V522+V524</f>
        <v>4707.06700000002</v>
      </c>
      <c r="W525" s="52" t="n">
        <f aca="false">+W520-W522+W524</f>
        <v>-912.189000000022</v>
      </c>
      <c r="X525" s="52" t="n">
        <f aca="false">+X520-X522+X524</f>
        <v>4421.96700000003</v>
      </c>
      <c r="Y525" s="52" t="n">
        <f aca="false">+Y520-Y522+Y524+Y521</f>
        <v>8265.36700000002</v>
      </c>
      <c r="Z525" s="52" t="n">
        <f aca="false">+Z520-Z522+Z524+Z521</f>
        <v>16540.862</v>
      </c>
      <c r="AA525" s="52" t="n">
        <f aca="false">+AA520-AA522+AA524+AA521</f>
        <v>22307.154</v>
      </c>
      <c r="AB525" s="52" t="n">
        <f aca="false">+AB520-AB522+AB524+AB521</f>
        <v>24967.9999999999</v>
      </c>
      <c r="AC525" s="52" t="n">
        <f aca="false">+AC520-AC522+AC524+AC521</f>
        <v>3619.2</v>
      </c>
      <c r="AD525" s="52" t="n">
        <f aca="false">+AD520-AD522+AD524</f>
        <v>-4119.10000000001</v>
      </c>
      <c r="AE525" s="52" t="n">
        <f aca="false">+AE520-AE522+AE524</f>
        <v>5276.10000000001</v>
      </c>
      <c r="AF525" s="52" t="n">
        <f aca="false">+AF520-AF522+AF524</f>
        <v>21104</v>
      </c>
      <c r="AG525" s="52" t="n">
        <f aca="false">+AG520-AG522+AG524</f>
        <v>37921.8000000001</v>
      </c>
      <c r="AH525" s="52" t="n">
        <f aca="false">+AH520-AH522+AH524</f>
        <v>43482.9</v>
      </c>
      <c r="AI525" s="52" t="n">
        <f aca="false">+AI520-AI522+AI524</f>
        <v>48140.2000000002</v>
      </c>
      <c r="AJ525" s="52" t="n">
        <f aca="false">+AJ520-AJ522+AJ524</f>
        <v>52122.4502817523</v>
      </c>
      <c r="AK525" s="52" t="n">
        <f aca="false">+AK520-AK522+AK524</f>
        <v>58460.772777821</v>
      </c>
      <c r="AL525" s="52" t="n">
        <f aca="false">+AL520-AL522+AL524</f>
        <v>63335.7268908518</v>
      </c>
      <c r="AM525" s="53"/>
      <c r="AN525" s="53"/>
      <c r="AO525" s="53"/>
      <c r="AP525" s="53"/>
      <c r="AQ525" s="53"/>
      <c r="AR525" s="53"/>
      <c r="AS525" s="53"/>
      <c r="AT525" s="53"/>
      <c r="AU525" s="53"/>
      <c r="AV525" s="53"/>
      <c r="AW525" s="53"/>
      <c r="AX525" s="53"/>
      <c r="AY525" s="53"/>
    </row>
    <row r="526" customFormat="false" ht="15" hidden="false" customHeight="true" outlineLevel="0" collapsed="false">
      <c r="A526" s="47"/>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2" t="n">
        <f aca="false">+Y525-8265.367</f>
        <v>0</v>
      </c>
      <c r="Z526" s="32" t="n">
        <f aca="false">+Z525-13300.862</f>
        <v>3240.00000000003</v>
      </c>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row>
    <row r="527" customFormat="false" ht="15" hidden="false" customHeight="true" outlineLevel="0" collapsed="false">
      <c r="A527" s="47" t="s">
        <v>580</v>
      </c>
      <c r="B527" s="100" t="n">
        <v>0</v>
      </c>
      <c r="C527" s="100" t="n">
        <v>0</v>
      </c>
      <c r="D527" s="100" t="n">
        <v>0</v>
      </c>
      <c r="E527" s="100" t="n">
        <v>0</v>
      </c>
      <c r="F527" s="100" t="n">
        <v>0</v>
      </c>
      <c r="G527" s="100" t="n">
        <v>0</v>
      </c>
      <c r="H527" s="100" t="n">
        <v>0</v>
      </c>
      <c r="I527" s="100" t="n">
        <v>0</v>
      </c>
      <c r="J527" s="100" t="n">
        <v>0</v>
      </c>
      <c r="K527" s="100" t="n">
        <v>0</v>
      </c>
      <c r="L527" s="100" t="n">
        <v>0</v>
      </c>
      <c r="M527" s="100" t="n">
        <v>0</v>
      </c>
      <c r="N527" s="100" t="n">
        <v>0</v>
      </c>
      <c r="O527" s="100" t="n">
        <v>0</v>
      </c>
      <c r="P527" s="100" t="n">
        <v>0</v>
      </c>
      <c r="Q527" s="100" t="n">
        <v>0</v>
      </c>
      <c r="R527" s="100" t="n">
        <v>0</v>
      </c>
      <c r="S527" s="100" t="n">
        <v>0</v>
      </c>
      <c r="T527" s="100" t="n">
        <v>0</v>
      </c>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row>
    <row r="528" customFormat="false" ht="15" hidden="false" customHeight="true" outlineLevel="0" collapsed="false">
      <c r="A528" s="47"/>
      <c r="B528" s="30"/>
      <c r="C528" s="30"/>
      <c r="D528" s="30"/>
      <c r="E528" s="30"/>
      <c r="F528" s="30"/>
      <c r="G528" s="30"/>
      <c r="H528" s="30"/>
      <c r="I528" s="30"/>
      <c r="J528" s="30"/>
      <c r="K528" s="30"/>
      <c r="L528" s="30"/>
      <c r="M528" s="30"/>
      <c r="N528" s="30"/>
      <c r="O528" s="30"/>
      <c r="P528" s="62" t="n">
        <v>6045.05999999999</v>
      </c>
      <c r="Q528" s="62" t="n">
        <v>6381.5</v>
      </c>
      <c r="R528" s="62" t="n">
        <v>2084.46300000001</v>
      </c>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row>
    <row r="529" customFormat="false" ht="15" hidden="false" customHeight="true" outlineLevel="0" collapsed="false">
      <c r="A529" s="47"/>
      <c r="B529" s="43"/>
      <c r="C529" s="43"/>
      <c r="D529" s="43"/>
      <c r="E529" s="43"/>
      <c r="F529" s="43"/>
      <c r="G529" s="43"/>
      <c r="H529" s="43"/>
      <c r="I529" s="43"/>
      <c r="J529" s="43"/>
      <c r="K529" s="43"/>
      <c r="L529" s="43"/>
      <c r="M529" s="43"/>
      <c r="N529" s="43"/>
      <c r="O529" s="43"/>
      <c r="P529" s="43"/>
      <c r="Q529" s="43"/>
      <c r="R529" s="43"/>
      <c r="S529" s="43"/>
      <c r="T529" s="43"/>
      <c r="U529" s="43"/>
      <c r="V529" s="43"/>
      <c r="W529" s="89" t="n">
        <f aca="false">+W530+1206</f>
        <v>0</v>
      </c>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row>
    <row r="530" customFormat="false" ht="15" hidden="false" customHeight="true" outlineLevel="0" collapsed="false">
      <c r="A530" s="47" t="s">
        <v>252</v>
      </c>
      <c r="B530" s="35" t="n">
        <f aca="false">+B528</f>
        <v>0</v>
      </c>
      <c r="C530" s="34" t="n">
        <v>0</v>
      </c>
      <c r="D530" s="34" t="n">
        <v>0</v>
      </c>
      <c r="E530" s="34" t="n">
        <v>205</v>
      </c>
      <c r="F530" s="34" t="n">
        <v>321</v>
      </c>
      <c r="G530" s="34" t="n">
        <v>22.5</v>
      </c>
      <c r="H530" s="34" t="n">
        <v>29.5</v>
      </c>
      <c r="I530" s="34" t="n">
        <v>148</v>
      </c>
      <c r="J530" s="34" t="n">
        <v>102.6</v>
      </c>
      <c r="K530" s="93" t="n">
        <f aca="false">307+92.5</f>
        <v>399.5</v>
      </c>
      <c r="L530" s="93" t="n">
        <f aca="false">442.5+56.4</f>
        <v>498.9</v>
      </c>
      <c r="M530" s="93" t="n">
        <f aca="false">738.35+190.45</f>
        <v>928.8</v>
      </c>
      <c r="N530" s="93" t="n">
        <f aca="false">895+127</f>
        <v>1022</v>
      </c>
      <c r="O530" s="93" t="n">
        <f aca="false">1130.5+72.3+47</f>
        <v>1249.8</v>
      </c>
      <c r="P530" s="93" t="n">
        <f aca="false">1350.5+230.2+51.5</f>
        <v>1632.2</v>
      </c>
      <c r="Q530" s="93" t="n">
        <f aca="false">1014+604.4+70</f>
        <v>1688.4</v>
      </c>
      <c r="R530" s="93" t="n">
        <f aca="false">124.5+60</f>
        <v>184.5</v>
      </c>
      <c r="S530" s="93" t="n">
        <f aca="false">1211+0</f>
        <v>1211</v>
      </c>
      <c r="T530" s="93" t="n">
        <f aca="false">1111.5+593.5</f>
        <v>1705</v>
      </c>
      <c r="U530" s="93" t="n">
        <f aca="false">775.2+464.8</f>
        <v>1240</v>
      </c>
      <c r="V530" s="34" t="n">
        <v>370</v>
      </c>
      <c r="W530" s="34" t="n">
        <v>-1206</v>
      </c>
      <c r="X530" s="34" t="n">
        <v>1073.907</v>
      </c>
      <c r="Y530" s="34" t="n">
        <v>4369.382</v>
      </c>
      <c r="Z530" s="93" t="n">
        <f aca="false">3137.19-2067.1+3240</f>
        <v>4310.09</v>
      </c>
      <c r="AA530" s="93" t="n">
        <f aca="false">6772.721-91.463</f>
        <v>6681.258</v>
      </c>
      <c r="AB530" s="93" t="n">
        <f aca="false">3782+1354</f>
        <v>5136</v>
      </c>
      <c r="AC530" s="93" t="n">
        <f aca="false">717.4+506.6</f>
        <v>1224</v>
      </c>
      <c r="AD530" s="93" t="n">
        <f aca="false">-982.5+0.2</f>
        <v>-982.3</v>
      </c>
      <c r="AE530" s="93" t="n">
        <f aca="false">101.1-243.3</f>
        <v>-142.2</v>
      </c>
      <c r="AF530" s="93" t="n">
        <f aca="false">7800-497.1</f>
        <v>7302.9</v>
      </c>
      <c r="AG530" s="93" t="n">
        <f aca="false">12854.4-1111.3</f>
        <v>11743.1</v>
      </c>
      <c r="AH530" s="93" t="n">
        <f aca="false">14974-4524</f>
        <v>10450</v>
      </c>
      <c r="AI530" s="93" t="n">
        <f aca="false">12270.6+214.3</f>
        <v>12484.9</v>
      </c>
      <c r="AJ530" s="35" t="n">
        <f aca="false">AJ531/100*(AJ525-AJ524)</f>
        <v>13030.6125704381</v>
      </c>
      <c r="AK530" s="35" t="n">
        <f aca="false">AK531/100*(AK525-AK524)</f>
        <v>14615.1931944552</v>
      </c>
      <c r="AL530" s="35" t="n">
        <f aca="false">AL531/100*(AL525-AL524)</f>
        <v>15833.9317227129</v>
      </c>
      <c r="AM530" s="30"/>
      <c r="AN530" s="30"/>
      <c r="AO530" s="30"/>
      <c r="AP530" s="30"/>
      <c r="AQ530" s="30"/>
      <c r="AR530" s="30"/>
      <c r="AS530" s="30"/>
      <c r="AT530" s="30"/>
      <c r="AU530" s="30"/>
      <c r="AV530" s="30"/>
      <c r="AW530" s="30"/>
      <c r="AX530" s="30"/>
      <c r="AY530" s="30"/>
    </row>
    <row r="531" customFormat="false" ht="15" hidden="false" customHeight="true" outlineLevel="0" collapsed="false">
      <c r="A531" s="47" t="s">
        <v>581</v>
      </c>
      <c r="B531" s="74" t="n">
        <f aca="false">B530/B525*100</f>
        <v>0</v>
      </c>
      <c r="C531" s="74" t="n">
        <f aca="false">C530/C525*100</f>
        <v>0</v>
      </c>
      <c r="D531" s="74" t="n">
        <f aca="false">D530/D525*100</f>
        <v>0</v>
      </c>
      <c r="E531" s="74" t="n">
        <f aca="false">E530/E525*100</f>
        <v>15.3462641204344</v>
      </c>
      <c r="F531" s="74" t="n">
        <f aca="false">F530/F525*100</f>
        <v>20.4413028942593</v>
      </c>
      <c r="G531" s="74" t="n">
        <f aca="false">G530/G525*100</f>
        <v>10.8863114146178</v>
      </c>
      <c r="H531" s="74" t="n">
        <f aca="false">H530/H525*100</f>
        <v>12.4636453265601</v>
      </c>
      <c r="I531" s="74" t="n">
        <f aca="false">I530/I525*100</f>
        <v>15.8650187057146</v>
      </c>
      <c r="J531" s="74" t="n">
        <f aca="false">J530/J525*100</f>
        <v>10.0646452359698</v>
      </c>
      <c r="K531" s="74" t="n">
        <f aca="false">K530/K525*100</f>
        <v>30.2179931319305</v>
      </c>
      <c r="L531" s="74" t="n">
        <f aca="false">L530/L525*100</f>
        <v>29.3294611468412</v>
      </c>
      <c r="M531" s="74" t="n">
        <f aca="false">M530/M525*100</f>
        <v>32.4233749912728</v>
      </c>
      <c r="N531" s="74" t="n">
        <f aca="false">N530/N525*100</f>
        <v>27.3547281925002</v>
      </c>
      <c r="O531" s="74" t="n">
        <f aca="false">O530/O525*100</f>
        <v>27.6321025867788</v>
      </c>
      <c r="P531" s="74" t="n">
        <f aca="false">P530/P525*100</f>
        <v>27.0005591342353</v>
      </c>
      <c r="Q531" s="74" t="n">
        <f aca="false">Q530/Q525*100</f>
        <v>26.4577293739716</v>
      </c>
      <c r="R531" s="74" t="n">
        <f aca="false">R530/R525*100</f>
        <v>8.85120052502727</v>
      </c>
      <c r="S531" s="74" t="n">
        <f aca="false">S530/S525*100</f>
        <v>22.2293729866676</v>
      </c>
      <c r="T531" s="74" t="n">
        <f aca="false">T530/T525*100</f>
        <v>21.2646730921316</v>
      </c>
      <c r="U531" s="74" t="n">
        <f aca="false">U530/U525*100</f>
        <v>17.9716239652186</v>
      </c>
      <c r="V531" s="74" t="n">
        <f aca="false">V530/(V525-V524)*100</f>
        <v>20.4249944521297</v>
      </c>
      <c r="W531" s="74" t="n">
        <f aca="false">W530/(W525-W524)*100</f>
        <v>20.2051408177687</v>
      </c>
      <c r="X531" s="74" t="n">
        <f aca="false">X530/(X525-X524)*100</f>
        <v>31.4688062619554</v>
      </c>
      <c r="Y531" s="74" t="n">
        <f aca="false">Y530/(Y525-Y524)*100</f>
        <v>26.6140085500915</v>
      </c>
      <c r="Z531" s="74" t="n">
        <f aca="false">Z530/(Z525-Z524)*100</f>
        <v>25.6410714031816</v>
      </c>
      <c r="AA531" s="74" t="n">
        <f aca="false">AA530/(AA525-AA524)*100</f>
        <v>29.7834145997021</v>
      </c>
      <c r="AB531" s="74" t="n">
        <f aca="false">AB530/(AB525-AB524)*100</f>
        <v>20.1280734894148</v>
      </c>
      <c r="AC531" s="74" t="n">
        <f aca="false">AC530/(AC525-AC524)*100</f>
        <v>23.640753259295</v>
      </c>
      <c r="AD531" s="74" t="n">
        <f aca="false">AD530/(AD525-AD524)*100</f>
        <v>24.566098134347</v>
      </c>
      <c r="AE531" s="74" t="n">
        <f aca="false">AE530/(AE525-AE524)*100</f>
        <v>-84.7437425506504</v>
      </c>
      <c r="AF531" s="74" t="n">
        <f aca="false">AF530/(AF525-AF524)*100</f>
        <v>36.0496398935724</v>
      </c>
      <c r="AG531" s="74" t="n">
        <f aca="false">AG530/(AG525-AG524)*100</f>
        <v>30.2197689081036</v>
      </c>
      <c r="AH531" s="74" t="n">
        <f aca="false">AH530/(AH525-AH524)*100</f>
        <v>24.6197485722902</v>
      </c>
      <c r="AI531" s="74" t="n">
        <f aca="false">AI530/(AI525-AI524)*100</f>
        <v>24.1838256658595</v>
      </c>
      <c r="AJ531" s="78" t="n">
        <v>25</v>
      </c>
      <c r="AK531" s="78" t="n">
        <v>25</v>
      </c>
      <c r="AL531" s="78" t="n">
        <v>25</v>
      </c>
      <c r="AM531" s="36"/>
      <c r="AN531" s="36"/>
      <c r="AO531" s="36"/>
      <c r="AP531" s="36"/>
      <c r="AQ531" s="36"/>
      <c r="AR531" s="36"/>
      <c r="AS531" s="36"/>
      <c r="AT531" s="36"/>
      <c r="AU531" s="36"/>
      <c r="AV531" s="36"/>
      <c r="AW531" s="36"/>
      <c r="AX531" s="36"/>
      <c r="AY531" s="36"/>
    </row>
    <row r="532" customFormat="false" ht="15" hidden="false" customHeight="true" outlineLevel="0" collapsed="false">
      <c r="A532" s="64" t="s">
        <v>254</v>
      </c>
      <c r="B532" s="65" t="n">
        <f aca="false">+B525-B530-B527</f>
        <v>44.2500000000015</v>
      </c>
      <c r="C532" s="65" t="n">
        <f aca="false">+C525-C530-C527</f>
        <v>353.300000000002</v>
      </c>
      <c r="D532" s="65" t="n">
        <f aca="false">+D525-D530-D527</f>
        <v>705.899999999999</v>
      </c>
      <c r="E532" s="65" t="n">
        <f aca="false">+E525-E530-E527</f>
        <v>1130.83</v>
      </c>
      <c r="F532" s="65" t="n">
        <f aca="false">+F525-F530-F527</f>
        <v>1249.35</v>
      </c>
      <c r="G532" s="65" t="n">
        <f aca="false">+G525-G530-G527</f>
        <v>184.181576000001</v>
      </c>
      <c r="H532" s="65" t="n">
        <f aca="false">+H525-H530-H527</f>
        <v>207.188378295998</v>
      </c>
      <c r="I532" s="65" t="n">
        <f aca="false">+I525-I530-I527</f>
        <v>784.869999999999</v>
      </c>
      <c r="J532" s="65" t="n">
        <f aca="false">+J525-J530-J527</f>
        <v>916.809999999998</v>
      </c>
      <c r="K532" s="65" t="n">
        <f aca="false">+K525-K530-K527</f>
        <v>922.56</v>
      </c>
      <c r="L532" s="65" t="n">
        <f aca="false">+L525-L530-L527</f>
        <v>1202.12</v>
      </c>
      <c r="M532" s="65" t="n">
        <f aca="false">+M525-M530-M527</f>
        <v>1935.8</v>
      </c>
      <c r="N532" s="65" t="n">
        <f aca="false">+N525-N530-N527</f>
        <v>2714.1</v>
      </c>
      <c r="O532" s="65" t="n">
        <f aca="false">+O525-O530-O527</f>
        <v>3273.19999999999</v>
      </c>
      <c r="P532" s="65" t="n">
        <f aca="false">+P525-P530-P527</f>
        <v>4412.85999999999</v>
      </c>
      <c r="Q532" s="65" t="n">
        <f aca="false">+Q525-Q530-Q527</f>
        <v>4693.1</v>
      </c>
      <c r="R532" s="65" t="n">
        <f aca="false">+R525-R530-R527</f>
        <v>1899.96300000001</v>
      </c>
      <c r="S532" s="65" t="n">
        <f aca="false">+S525-S530-S527</f>
        <v>4236.74700000003</v>
      </c>
      <c r="T532" s="65" t="n">
        <f aca="false">+T525-T530-T527</f>
        <v>6312.99300000002</v>
      </c>
      <c r="U532" s="65" t="n">
        <f aca="false">+U525-U530-U527</f>
        <v>5659.76599999998</v>
      </c>
      <c r="V532" s="65" t="n">
        <f aca="false">+V525-V530-V527</f>
        <v>4337.06700000002</v>
      </c>
      <c r="W532" s="65" t="n">
        <f aca="false">+W525-W530-W527</f>
        <v>293.810999999978</v>
      </c>
      <c r="X532" s="65" t="n">
        <f aca="false">+X525-X530-X527</f>
        <v>3348.06000000003</v>
      </c>
      <c r="Y532" s="65" t="n">
        <f aca="false">+Y525-Y530-Y527</f>
        <v>3895.98500000002</v>
      </c>
      <c r="Z532" s="65" t="n">
        <f aca="false">+Z525-Z530-Z527</f>
        <v>12230.772</v>
      </c>
      <c r="AA532" s="65" t="n">
        <f aca="false">+AA525-AA530-AA527</f>
        <v>15625.896</v>
      </c>
      <c r="AB532" s="65" t="n">
        <f aca="false">+AB525-AB530-AB527</f>
        <v>19831.9999999999</v>
      </c>
      <c r="AC532" s="65" t="n">
        <f aca="false">+AC525-AC530-AC527</f>
        <v>2395.2</v>
      </c>
      <c r="AD532" s="65" t="n">
        <f aca="false">+AD525-AD530-AD527</f>
        <v>-3136.80000000001</v>
      </c>
      <c r="AE532" s="65" t="n">
        <f aca="false">+AE525-AE530-AE527</f>
        <v>5418.30000000001</v>
      </c>
      <c r="AF532" s="65" t="n">
        <f aca="false">+AF525-AF530-AF527</f>
        <v>13801.1</v>
      </c>
      <c r="AG532" s="65" t="n">
        <f aca="false">+AG525-AG530-AG527</f>
        <v>26178.7</v>
      </c>
      <c r="AH532" s="65" t="n">
        <f aca="false">+AH525-AH530-AH527</f>
        <v>33032.9</v>
      </c>
      <c r="AI532" s="65" t="n">
        <f aca="false">+AI525-AI530-AI527</f>
        <v>35655.3000000002</v>
      </c>
      <c r="AJ532" s="65" t="n">
        <f aca="false">+AJ525-AJ530-AJ527</f>
        <v>39091.8377113142</v>
      </c>
      <c r="AK532" s="65" t="n">
        <f aca="false">+AK525-AK530-AK527</f>
        <v>43845.5795833658</v>
      </c>
      <c r="AL532" s="65" t="n">
        <f aca="false">+AL525-AL530-AL527</f>
        <v>47501.7951681388</v>
      </c>
      <c r="AM532" s="66"/>
      <c r="AN532" s="66"/>
      <c r="AO532" s="66"/>
      <c r="AP532" s="66"/>
      <c r="AQ532" s="66"/>
      <c r="AR532" s="66"/>
      <c r="AS532" s="66"/>
      <c r="AT532" s="66"/>
      <c r="AU532" s="66"/>
      <c r="AV532" s="66"/>
      <c r="AW532" s="66"/>
      <c r="AX532" s="66"/>
      <c r="AY532" s="66"/>
    </row>
    <row r="533" customFormat="false" ht="15" hidden="false" customHeight="true" outlineLevel="0" collapsed="false">
      <c r="A533" s="47" t="s">
        <v>226</v>
      </c>
      <c r="B533" s="30"/>
      <c r="C533" s="35" t="n">
        <f aca="false">C532/B532*100-100</f>
        <v>698.418079096021</v>
      </c>
      <c r="D533" s="35" t="n">
        <f aca="false">D532/C532*100-100</f>
        <v>99.801868100763</v>
      </c>
      <c r="E533" s="35" t="n">
        <f aca="false">E532/D532*100-100</f>
        <v>60.1969117438739</v>
      </c>
      <c r="F533" s="35" t="n">
        <f aca="false">F532/E532*100-100</f>
        <v>10.480797290485</v>
      </c>
      <c r="G533" s="35" t="n">
        <f aca="false">G532/F532*100-100</f>
        <v>-85.2578079801495</v>
      </c>
      <c r="H533" s="35" t="n">
        <f aca="false">H532/G532*100-100</f>
        <v>12.4913700901314</v>
      </c>
      <c r="I533" s="35" t="n">
        <f aca="false">I532/H532*100-100</f>
        <v>278.819510271325</v>
      </c>
      <c r="J533" s="35" t="n">
        <f aca="false">J532/I532*100-100</f>
        <v>16.8104272045051</v>
      </c>
      <c r="K533" s="35" t="n">
        <f aca="false">K532/J532*100-100</f>
        <v>0.627174659962421</v>
      </c>
      <c r="L533" s="35" t="n">
        <f aca="false">L532/K532*100-100</f>
        <v>30.3026361429072</v>
      </c>
      <c r="M533" s="35" t="n">
        <f aca="false">M532/L532*100-100</f>
        <v>61.0321764882036</v>
      </c>
      <c r="N533" s="35" t="n">
        <f aca="false">N532/M532*100-100</f>
        <v>40.2055997520404</v>
      </c>
      <c r="O533" s="35" t="n">
        <f aca="false">O532/N532*100-100</f>
        <v>20.599830514719</v>
      </c>
      <c r="P533" s="35" t="n">
        <f aca="false">P532/O532*100-100</f>
        <v>34.8179151900283</v>
      </c>
      <c r="Q533" s="35" t="n">
        <f aca="false">Q532/P532*100-100</f>
        <v>6.35053004174185</v>
      </c>
      <c r="R533" s="35" t="n">
        <f aca="false">R532/Q532*100-100</f>
        <v>-59.5158210990601</v>
      </c>
      <c r="S533" s="35" t="n">
        <f aca="false">S532/R532*100-100</f>
        <v>122.991026667362</v>
      </c>
      <c r="T533" s="35" t="n">
        <f aca="false">T532/S532*100-100</f>
        <v>49.0056640153395</v>
      </c>
      <c r="U533" s="35" t="n">
        <f aca="false">U532/T532*100-100</f>
        <v>-10.3473423778553</v>
      </c>
      <c r="V533" s="35" t="n">
        <f aca="false">V532/U532*100-100</f>
        <v>-23.3702064714331</v>
      </c>
      <c r="W533" s="35" t="n">
        <f aca="false">W532/V532*100-100</f>
        <v>-93.2255830956733</v>
      </c>
      <c r="X533" s="35" t="n">
        <f aca="false">X532/W532*100-100</f>
        <v>1039.5284723854</v>
      </c>
      <c r="Y533" s="35" t="n">
        <f aca="false">Y532/X532*100-100</f>
        <v>16.3654474531515</v>
      </c>
      <c r="Z533" s="35" t="n">
        <f aca="false">Z532/Y532*100-100</f>
        <v>213.932728180421</v>
      </c>
      <c r="AA533" s="35" t="n">
        <f aca="false">AA532/Z532*100-100</f>
        <v>27.7588691866706</v>
      </c>
      <c r="AB533" s="35" t="n">
        <f aca="false">AB532/AA532*100-100</f>
        <v>26.9175220416159</v>
      </c>
      <c r="AC533" s="35" t="n">
        <f aca="false">AC532/AB532*100-100</f>
        <v>-87.9225494150867</v>
      </c>
      <c r="AD533" s="35" t="n">
        <f aca="false">AD532/AC532*100-100</f>
        <v>-230.961923847696</v>
      </c>
      <c r="AE533" s="35" t="n">
        <f aca="false">AE532/AD532*100-100</f>
        <v>-272.733358837031</v>
      </c>
      <c r="AF533" s="35" t="n">
        <f aca="false">AF532/AE532*100-100</f>
        <v>154.712732775962</v>
      </c>
      <c r="AG533" s="35" t="n">
        <f aca="false">AG532/AF532*100-100</f>
        <v>89.6856047706346</v>
      </c>
      <c r="AH533" s="35" t="n">
        <f aca="false">AH532/AG532*100-100</f>
        <v>26.1823543567862</v>
      </c>
      <c r="AI533" s="35" t="n">
        <f aca="false">AI532/AH532*100-100</f>
        <v>7.93875197151968</v>
      </c>
      <c r="AJ533" s="35" t="n">
        <f aca="false">AJ532/AI532*100-100</f>
        <v>9.63822408257408</v>
      </c>
      <c r="AK533" s="35" t="n">
        <f aca="false">AK532/AJ532*100-100</f>
        <v>12.1604461451953</v>
      </c>
      <c r="AL533" s="35" t="n">
        <f aca="false">AL532/AK532*100-100</f>
        <v>8.33884651432497</v>
      </c>
      <c r="AM533" s="30"/>
      <c r="AN533" s="30"/>
      <c r="AO533" s="30"/>
      <c r="AP533" s="30"/>
      <c r="AQ533" s="30"/>
      <c r="AR533" s="30"/>
      <c r="AS533" s="30"/>
      <c r="AT533" s="30"/>
      <c r="AU533" s="30"/>
      <c r="AV533" s="30"/>
      <c r="AW533" s="30"/>
      <c r="AX533" s="30"/>
      <c r="AY533" s="30"/>
    </row>
    <row r="534" customFormat="false" ht="15" hidden="false" customHeight="true" outlineLevel="0" collapsed="false">
      <c r="A534" s="47"/>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89" t="n">
        <f aca="false">+AB532-19832</f>
        <v>0</v>
      </c>
      <c r="AC534" s="89" t="n">
        <f aca="false">+AC532-2395.2</f>
        <v>0</v>
      </c>
      <c r="AD534" s="89" t="n">
        <f aca="false">+AD532+3136.8</f>
        <v>0</v>
      </c>
      <c r="AE534" s="89" t="n">
        <f aca="false">+AE532-5418.3</f>
        <v>0</v>
      </c>
      <c r="AF534" s="89" t="n">
        <f aca="false">+AF532-13801.1</f>
        <v>0</v>
      </c>
      <c r="AG534" s="89" t="n">
        <f aca="false">+AG532-26178.7</f>
        <v>0</v>
      </c>
      <c r="AH534" s="89" t="n">
        <f aca="false">+AH532-33032.9</f>
        <v>0</v>
      </c>
      <c r="AI534" s="89" t="n">
        <f aca="false">+AI532-35655.3</f>
        <v>1.60071067512035E-010</v>
      </c>
      <c r="AJ534" s="43"/>
      <c r="AK534" s="43"/>
      <c r="AL534" s="43"/>
      <c r="AM534" s="43"/>
      <c r="AN534" s="43"/>
      <c r="AO534" s="43"/>
      <c r="AP534" s="43"/>
      <c r="AQ534" s="43"/>
      <c r="AR534" s="43"/>
      <c r="AS534" s="43"/>
      <c r="AT534" s="43"/>
      <c r="AU534" s="43"/>
      <c r="AV534" s="43"/>
      <c r="AW534" s="43"/>
      <c r="AX534" s="43"/>
      <c r="AY534" s="43"/>
    </row>
    <row r="535" customFormat="false" ht="15" hidden="false" customHeight="true" outlineLevel="0" collapsed="false">
      <c r="A535" s="51" t="s">
        <v>582</v>
      </c>
      <c r="B535" s="52" t="n">
        <f aca="false">B532-(B524*(1-B531/100))</f>
        <v>44.2500000000015</v>
      </c>
      <c r="C535" s="52" t="n">
        <f aca="false">C532-(C524*(1-C531/100))</f>
        <v>353.300000000002</v>
      </c>
      <c r="D535" s="52" t="n">
        <f aca="false">D532-(D524*(1-D531/100))</f>
        <v>705.899999999999</v>
      </c>
      <c r="E535" s="52" t="n">
        <f aca="false">E532-(E524*(1-E531/100))</f>
        <v>1130.83</v>
      </c>
      <c r="F535" s="52" t="n">
        <f aca="false">F532-(F524*(1-F531/100))</f>
        <v>1249.35</v>
      </c>
      <c r="G535" s="52" t="n">
        <f aca="false">G532-(G524*(1-G531/100))</f>
        <v>184.181576000001</v>
      </c>
      <c r="H535" s="52" t="n">
        <f aca="false">H532-(H524*(1-H531/100))</f>
        <v>207.188378295998</v>
      </c>
      <c r="I535" s="52" t="n">
        <f aca="false">I532-(I524*(1-I531/100))</f>
        <v>784.869999999999</v>
      </c>
      <c r="J535" s="52" t="n">
        <f aca="false">J532-J524</f>
        <v>971.489999999998</v>
      </c>
      <c r="K535" s="52" t="n">
        <f aca="false">K532-K524</f>
        <v>962.99</v>
      </c>
      <c r="L535" s="52" t="n">
        <f aca="false">L532-L524</f>
        <v>1309.53</v>
      </c>
      <c r="M535" s="52" t="n">
        <f aca="false">M532-M524</f>
        <v>2030.99</v>
      </c>
      <c r="N535" s="52" t="n">
        <f aca="false">N532-N524</f>
        <v>2355.3416</v>
      </c>
      <c r="O535" s="69" t="n">
        <f aca="false">O532+(84.51*(1-O531/100))-240</f>
        <v>3094.3581101039</v>
      </c>
      <c r="P535" s="52" t="n">
        <f aca="false">P532-P524</f>
        <v>4543.61999999999</v>
      </c>
      <c r="Q535" s="52" t="n">
        <f aca="false">Q532-Q524</f>
        <v>4820.47</v>
      </c>
      <c r="R535" s="52" t="n">
        <f aca="false">R532-R524</f>
        <v>2489.85000000001</v>
      </c>
      <c r="S535" s="52" t="n">
        <f aca="false">S532-S524</f>
        <v>4269.46200000003</v>
      </c>
      <c r="T535" s="52" t="n">
        <f aca="false">T532-T524</f>
        <v>6812.99300000002</v>
      </c>
      <c r="U535" s="52" t="n">
        <f aca="false">U532-U524</f>
        <v>5643.78799999998</v>
      </c>
      <c r="V535" s="52" t="n">
        <f aca="false">V532-V524</f>
        <v>1441.50600000002</v>
      </c>
      <c r="W535" s="52" t="n">
        <f aca="false">W532-W524</f>
        <v>-4762.77800000002</v>
      </c>
      <c r="X535" s="52" t="n">
        <f aca="false">X532-(X524)</f>
        <v>2338.70100000003</v>
      </c>
      <c r="Y535" s="52" t="n">
        <f aca="false">Y532-(Y524*(1-Y531/100))</f>
        <v>9878.58348007646</v>
      </c>
      <c r="Z535" s="52" t="n">
        <f aca="false">Z532-(Z524*(1-Z531/100))</f>
        <v>12430.3952361218</v>
      </c>
      <c r="AA535" s="52" t="n">
        <f aca="false">AA532-(AA524+AA521)</f>
        <v>15747.643</v>
      </c>
      <c r="AB535" s="69" t="n">
        <f aca="false">AB532-(AB524+AB521)*0.8</f>
        <v>20291.9199999999</v>
      </c>
      <c r="AC535" s="52" t="n">
        <f aca="false">AC532-(AC524+AC521)*0.75</f>
        <v>3563.85</v>
      </c>
      <c r="AD535" s="52" t="n">
        <f aca="false">AD532-(AD524+AD521)*0.75</f>
        <v>-3046.42500000001</v>
      </c>
      <c r="AE535" s="52" t="n">
        <f aca="false">AE532-(AE524+AE521)*0.75</f>
        <v>1587.07500000001</v>
      </c>
      <c r="AF535" s="52" t="n">
        <f aca="false">AF532-(AF524+AF521)*0.75</f>
        <v>13166.525</v>
      </c>
      <c r="AG535" s="52" t="n">
        <f aca="false">AG532-(AG524+AG521)*0.75</f>
        <v>26881.6000000001</v>
      </c>
      <c r="AH535" s="52" t="n">
        <f aca="false">AH532-(AH524+AH521)*0.75</f>
        <v>32254.925</v>
      </c>
      <c r="AI535" s="52" t="n">
        <f aca="false">AI532-(AI524+AI521)*1</f>
        <v>39140.1000000002</v>
      </c>
      <c r="AJ535" s="52" t="n">
        <f aca="false">AJ532-(AJ524+AJ521)*0.75</f>
        <v>39091.8377113142</v>
      </c>
      <c r="AK535" s="52" t="n">
        <f aca="false">AK532-(AK524+AK521)*0.75</f>
        <v>43845.5795833658</v>
      </c>
      <c r="AL535" s="52" t="n">
        <f aca="false">AL532-(AL524+AL521)*0.75</f>
        <v>47501.7951681388</v>
      </c>
      <c r="AM535" s="53"/>
      <c r="AN535" s="53"/>
      <c r="AO535" s="53"/>
      <c r="AP535" s="53"/>
      <c r="AQ535" s="53"/>
      <c r="AR535" s="53"/>
      <c r="AS535" s="53"/>
      <c r="AT535" s="53"/>
      <c r="AU535" s="53"/>
      <c r="AV535" s="53"/>
      <c r="AW535" s="53"/>
      <c r="AX535" s="53"/>
      <c r="AY535" s="53"/>
    </row>
    <row r="536" customFormat="false" ht="15" hidden="false" customHeight="true" outlineLevel="0" collapsed="false">
      <c r="A536" s="47" t="s">
        <v>226</v>
      </c>
      <c r="B536" s="36"/>
      <c r="C536" s="74" t="n">
        <f aca="false">C535/B535*100-100</f>
        <v>698.418079096021</v>
      </c>
      <c r="D536" s="74" t="n">
        <f aca="false">D535/C535*100-100</f>
        <v>99.801868100763</v>
      </c>
      <c r="E536" s="74" t="n">
        <f aca="false">E535/D535*100-100</f>
        <v>60.1969117438739</v>
      </c>
      <c r="F536" s="74" t="n">
        <f aca="false">F535/E535*100-100</f>
        <v>10.480797290485</v>
      </c>
      <c r="G536" s="74" t="n">
        <f aca="false">G535/F535*100-100</f>
        <v>-85.2578079801495</v>
      </c>
      <c r="H536" s="74" t="n">
        <f aca="false">H535/G535*100-100</f>
        <v>12.4913700901314</v>
      </c>
      <c r="I536" s="74" t="n">
        <f aca="false">I535/H535*100-100</f>
        <v>278.819510271325</v>
      </c>
      <c r="J536" s="74" t="n">
        <f aca="false">J535/I535*100-100</f>
        <v>23.7771860308075</v>
      </c>
      <c r="K536" s="74" t="n">
        <f aca="false">K535/J535*100-100</f>
        <v>-0.874944672616124</v>
      </c>
      <c r="L536" s="74" t="n">
        <f aca="false">L535/K535*100-100</f>
        <v>35.9858357823035</v>
      </c>
      <c r="M536" s="74" t="n">
        <f aca="false">M535/L535*100-100</f>
        <v>55.0930486510423</v>
      </c>
      <c r="N536" s="74" t="n">
        <f aca="false">N535/M535*100-100</f>
        <v>15.9701229449677</v>
      </c>
      <c r="O536" s="74" t="n">
        <f aca="false">O535/N535*100-100</f>
        <v>31.3761923155394</v>
      </c>
      <c r="P536" s="74" t="n">
        <f aca="false">P535/O535*100-100</f>
        <v>46.8356227148973</v>
      </c>
      <c r="Q536" s="74" t="n">
        <f aca="false">Q535/P535*100-100</f>
        <v>6.09315919905293</v>
      </c>
      <c r="R536" s="74" t="n">
        <f aca="false">R535/Q535*100-100</f>
        <v>-48.348397562893</v>
      </c>
      <c r="S536" s="74" t="n">
        <f aca="false">S535/R535*100-100</f>
        <v>71.474667148624</v>
      </c>
      <c r="T536" s="74" t="n">
        <f aca="false">T535/S535*100-100</f>
        <v>59.5749768940435</v>
      </c>
      <c r="U536" s="74" t="n">
        <f aca="false">U535/T535*100-100</f>
        <v>-17.1614002832534</v>
      </c>
      <c r="V536" s="74" t="n">
        <f aca="false">V535/U535*100-100</f>
        <v>-74.4585374220289</v>
      </c>
      <c r="W536" s="74" t="n">
        <f aca="false">W535/V535*100-100</f>
        <v>-430.402925828957</v>
      </c>
      <c r="X536" s="74" t="n">
        <f aca="false">X535/W535*100-100</f>
        <v>-149.103716360494</v>
      </c>
      <c r="Y536" s="74" t="n">
        <f aca="false">Y535/X535*100-100</f>
        <v>322.396171211127</v>
      </c>
      <c r="Z536" s="74" t="n">
        <f aca="false">Z535/Y535*100-100</f>
        <v>25.8317577736919</v>
      </c>
      <c r="AA536" s="74" t="n">
        <f aca="false">AA535/Z535*100-100</f>
        <v>26.6865831766841</v>
      </c>
      <c r="AB536" s="74" t="n">
        <f aca="false">AB535/AA535*100-100</f>
        <v>28.8568708345749</v>
      </c>
      <c r="AC536" s="74" t="n">
        <f aca="false">AC535/AB535*100-100</f>
        <v>-82.4370981159003</v>
      </c>
      <c r="AD536" s="74" t="n">
        <f aca="false">AD535/AC535*100-100</f>
        <v>-185.481291300139</v>
      </c>
      <c r="AE536" s="74" t="n">
        <f aca="false">AE535/AD535*100-100</f>
        <v>-152.096309608804</v>
      </c>
      <c r="AF536" s="74" t="n">
        <f aca="false">AF535/AE535*100-100</f>
        <v>729.609501756371</v>
      </c>
      <c r="AG536" s="74" t="n">
        <f aca="false">AG535/AF535*100-100</f>
        <v>104.166247358358</v>
      </c>
      <c r="AH536" s="74" t="n">
        <f aca="false">AH535/AG535*100-100</f>
        <v>19.9888585500862</v>
      </c>
      <c r="AI536" s="74" t="n">
        <f aca="false">AI535/AH535*100-100</f>
        <v>21.3461200111305</v>
      </c>
      <c r="AJ536" s="74" t="n">
        <f aca="false">AJ535/AI535*100-100</f>
        <v>-0.123306503268878</v>
      </c>
      <c r="AK536" s="74" t="n">
        <f aca="false">AK535/AJ535*100-100</f>
        <v>12.1604461451953</v>
      </c>
      <c r="AL536" s="74" t="n">
        <f aca="false">AL535/AK535*100-100</f>
        <v>8.33884651432497</v>
      </c>
      <c r="AM536" s="36"/>
      <c r="AN536" s="36"/>
      <c r="AO536" s="36"/>
      <c r="AP536" s="36"/>
      <c r="AQ536" s="36"/>
      <c r="AR536" s="36"/>
      <c r="AS536" s="36"/>
      <c r="AT536" s="36"/>
      <c r="AU536" s="36"/>
      <c r="AV536" s="36"/>
      <c r="AW536" s="36"/>
      <c r="AX536" s="36"/>
      <c r="AY536" s="36"/>
    </row>
    <row r="537" customFormat="false" ht="15" hidden="false" customHeight="true" outlineLevel="0" collapsed="false">
      <c r="A537" s="47" t="s">
        <v>583</v>
      </c>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7" t="n">
        <v>-210.6</v>
      </c>
      <c r="AH537" s="37" t="n">
        <v>-119.6</v>
      </c>
      <c r="AI537" s="37" t="n">
        <v>-150</v>
      </c>
      <c r="AJ537" s="37" t="n">
        <v>-150</v>
      </c>
      <c r="AK537" s="37" t="n">
        <v>-150</v>
      </c>
      <c r="AL537" s="37" t="n">
        <v>-150</v>
      </c>
      <c r="AM537" s="36"/>
      <c r="AN537" s="36"/>
      <c r="AO537" s="36"/>
      <c r="AP537" s="36"/>
      <c r="AQ537" s="36"/>
      <c r="AR537" s="36"/>
      <c r="AS537" s="36"/>
      <c r="AT537" s="36"/>
      <c r="AU537" s="36"/>
      <c r="AV537" s="36"/>
      <c r="AW537" s="36"/>
      <c r="AX537" s="36"/>
      <c r="AY537" s="36"/>
    </row>
    <row r="538" customFormat="false" ht="15" hidden="false" customHeight="true" outlineLevel="0" collapsed="false">
      <c r="A538" s="51" t="s">
        <v>584</v>
      </c>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c r="AB538" s="53"/>
      <c r="AC538" s="53"/>
      <c r="AD538" s="53"/>
      <c r="AE538" s="53"/>
      <c r="AF538" s="53"/>
      <c r="AG538" s="52" t="n">
        <f aca="false">+AG532+AG537</f>
        <v>25968.1000000001</v>
      </c>
      <c r="AH538" s="52" t="n">
        <f aca="false">+AH532+AH537</f>
        <v>32913.3</v>
      </c>
      <c r="AI538" s="52" t="n">
        <f aca="false">+AI532+AI537</f>
        <v>35505.3000000002</v>
      </c>
      <c r="AJ538" s="52" t="n">
        <f aca="false">+AJ532+AJ537</f>
        <v>38941.8377113142</v>
      </c>
      <c r="AK538" s="52" t="n">
        <f aca="false">+AK532+AK537</f>
        <v>43695.5795833658</v>
      </c>
      <c r="AL538" s="52" t="n">
        <f aca="false">+AL532+AL537</f>
        <v>47351.7951681388</v>
      </c>
      <c r="AM538" s="53"/>
      <c r="AN538" s="53"/>
      <c r="AO538" s="53"/>
      <c r="AP538" s="53"/>
      <c r="AQ538" s="53"/>
      <c r="AR538" s="53"/>
      <c r="AS538" s="53"/>
      <c r="AT538" s="53"/>
      <c r="AU538" s="53"/>
      <c r="AV538" s="53"/>
      <c r="AW538" s="53"/>
      <c r="AX538" s="53"/>
      <c r="AY538" s="53"/>
    </row>
    <row r="539" customFormat="false" ht="15" hidden="false" customHeight="true" outlineLevel="0" collapsed="false">
      <c r="A539" s="47"/>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99" t="n">
        <f aca="false">+AG538-25968.1</f>
        <v>0</v>
      </c>
      <c r="AH539" s="99" t="n">
        <f aca="false">+AH538-32913.3</f>
        <v>0</v>
      </c>
      <c r="AI539" s="43"/>
      <c r="AJ539" s="43"/>
      <c r="AK539" s="43"/>
      <c r="AL539" s="43"/>
      <c r="AM539" s="43"/>
      <c r="AN539" s="43"/>
      <c r="AO539" s="43"/>
      <c r="AP539" s="43"/>
      <c r="AQ539" s="43"/>
      <c r="AR539" s="43"/>
      <c r="AS539" s="43"/>
      <c r="AT539" s="43"/>
      <c r="AU539" s="43"/>
      <c r="AV539" s="43"/>
      <c r="AW539" s="43"/>
      <c r="AX539" s="43"/>
      <c r="AY539" s="43"/>
    </row>
    <row r="540" customFormat="false" ht="15" hidden="false" customHeight="true" outlineLevel="0" collapsed="false">
      <c r="A540" s="47" t="s">
        <v>585</v>
      </c>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7" t="n">
        <f aca="false">+AE541/AE532</f>
        <v>0.541775095509661</v>
      </c>
      <c r="AF540" s="57" t="n">
        <f aca="false">+AF541/AF532</f>
        <v>0.553134170464673</v>
      </c>
      <c r="AG540" s="57" t="n">
        <f aca="false">+AG541/AG532</f>
        <v>0.555210342759571</v>
      </c>
      <c r="AH540" s="57" t="n">
        <f aca="false">+AH541/AH532</f>
        <v>0.555601385285578</v>
      </c>
      <c r="AI540" s="57" t="n">
        <f aca="false">+AI541/AI532</f>
        <v>0.576594503481948</v>
      </c>
      <c r="AJ540" s="102" t="n">
        <v>0.5</v>
      </c>
      <c r="AK540" s="102" t="n">
        <v>0.5</v>
      </c>
      <c r="AL540" s="102" t="n">
        <v>0.5</v>
      </c>
      <c r="AM540" s="56"/>
      <c r="AN540" s="56"/>
      <c r="AO540" s="56"/>
      <c r="AP540" s="56"/>
      <c r="AQ540" s="56"/>
      <c r="AR540" s="56"/>
      <c r="AS540" s="56"/>
      <c r="AT540" s="56"/>
      <c r="AU540" s="56"/>
      <c r="AV540" s="56"/>
      <c r="AW540" s="56"/>
      <c r="AX540" s="56"/>
      <c r="AY540" s="56"/>
    </row>
    <row r="541" customFormat="false" ht="15" hidden="false" customHeight="true" outlineLevel="0" collapsed="false">
      <c r="A541" s="47" t="s">
        <v>494</v>
      </c>
      <c r="B541" s="34" t="n">
        <v>69.48</v>
      </c>
      <c r="C541" s="34" t="n">
        <v>194.34</v>
      </c>
      <c r="D541" s="34" t="n">
        <v>295.11</v>
      </c>
      <c r="E541" s="34" t="n">
        <v>475.72</v>
      </c>
      <c r="F541" s="34" t="n">
        <v>594.6</v>
      </c>
      <c r="G541" s="34" t="n">
        <v>118.929</v>
      </c>
      <c r="H541" s="34" t="n">
        <v>118.929</v>
      </c>
      <c r="I541" s="34" t="n">
        <v>416.25</v>
      </c>
      <c r="J541" s="34" t="n">
        <v>475.72</v>
      </c>
      <c r="K541" s="34" t="n">
        <v>535.18</v>
      </c>
      <c r="L541" s="34" t="n">
        <v>594.64</v>
      </c>
      <c r="M541" s="34" t="n">
        <v>891.97</v>
      </c>
      <c r="N541" s="34" t="n">
        <v>1189.29</v>
      </c>
      <c r="O541" s="93" t="n">
        <f aca="false">1597.86</f>
        <v>1597.86</v>
      </c>
      <c r="P541" s="93" t="n">
        <f aca="false">1985.81</f>
        <v>1985.81</v>
      </c>
      <c r="Q541" s="93" t="n">
        <f aca="false">1997.71</f>
        <v>1997.71</v>
      </c>
      <c r="R541" s="34" t="n">
        <v>1330.388</v>
      </c>
      <c r="S541" s="34" t="n">
        <v>1995.507</v>
      </c>
      <c r="T541" s="34" t="n">
        <v>2660.677</v>
      </c>
      <c r="U541" s="34" t="n">
        <v>2660.677</v>
      </c>
      <c r="V541" s="34" t="n">
        <v>1596.406</v>
      </c>
      <c r="W541" s="34" t="n">
        <v>0</v>
      </c>
      <c r="X541" s="34" t="n">
        <v>1280.644</v>
      </c>
      <c r="Y541" s="34" t="n">
        <v>2703.583</v>
      </c>
      <c r="Z541" s="101" t="n">
        <f aca="false">1.56*Z584</f>
        <v>4439.5728</v>
      </c>
      <c r="AA541" s="101" t="n">
        <f aca="false">2.43*AA584</f>
        <v>7112.87244</v>
      </c>
      <c r="AB541" s="101" t="n">
        <f aca="false">3.1*AB584</f>
        <v>9100.05</v>
      </c>
      <c r="AC541" s="35" t="n">
        <f aca="false">0.5*AC584</f>
        <v>1467.75</v>
      </c>
      <c r="AD541" s="101" t="n">
        <f aca="false">0.6*AD584</f>
        <v>1761.3</v>
      </c>
      <c r="AE541" s="35" t="n">
        <f aca="false">1*AE584</f>
        <v>2935.5</v>
      </c>
      <c r="AF541" s="101" t="n">
        <f aca="false">2.6*AF584</f>
        <v>7633.86</v>
      </c>
      <c r="AG541" s="35" t="n">
        <f aca="false">+AG543+AG544</f>
        <v>14534.685</v>
      </c>
      <c r="AH541" s="35" t="n">
        <f aca="false">+AH543+AH544</f>
        <v>18353.125</v>
      </c>
      <c r="AI541" s="35" t="n">
        <f aca="false">+AI543+AI544</f>
        <v>20558.65</v>
      </c>
      <c r="AJ541" s="35" t="n">
        <f aca="false">+AJ540*AJ532</f>
        <v>19545.9188556571</v>
      </c>
      <c r="AK541" s="35" t="n">
        <f aca="false">+AK540*AK532</f>
        <v>21922.7897916829</v>
      </c>
      <c r="AL541" s="35" t="n">
        <f aca="false">+AL540*AL532</f>
        <v>23750.8975840694</v>
      </c>
      <c r="AM541" s="30"/>
      <c r="AN541" s="30"/>
      <c r="AO541" s="30"/>
      <c r="AP541" s="30"/>
      <c r="AQ541" s="30"/>
      <c r="AR541" s="30"/>
      <c r="AS541" s="30"/>
      <c r="AT541" s="30"/>
      <c r="AU541" s="30"/>
      <c r="AV541" s="30"/>
      <c r="AW541" s="30"/>
      <c r="AX541" s="30"/>
      <c r="AY541" s="30"/>
    </row>
    <row r="542" customFormat="false" ht="15" hidden="false" customHeight="true" outlineLevel="0" collapsed="false">
      <c r="A542" s="47" t="s">
        <v>586</v>
      </c>
      <c r="B542" s="30"/>
      <c r="C542" s="30"/>
      <c r="D542" s="30"/>
      <c r="E542" s="30"/>
      <c r="F542" s="34" t="n">
        <v>59.46</v>
      </c>
      <c r="G542" s="101" t="n">
        <f aca="false">+G541*0.1</f>
        <v>11.8929</v>
      </c>
      <c r="H542" s="101" t="n">
        <f aca="false">+H541*0.1</f>
        <v>11.8929</v>
      </c>
      <c r="I542" s="101" t="n">
        <f aca="false">+I541*0.1</f>
        <v>41.625</v>
      </c>
      <c r="J542" s="34" t="n">
        <v>48.52</v>
      </c>
      <c r="K542" s="34" t="n">
        <v>0</v>
      </c>
      <c r="L542" s="34" t="n">
        <v>76.19</v>
      </c>
      <c r="M542" s="34" t="n">
        <v>114.28</v>
      </c>
      <c r="N542" s="34" t="n">
        <v>169.09</v>
      </c>
      <c r="O542" s="34" t="n">
        <v>224.1</v>
      </c>
      <c r="P542" s="34" t="n">
        <v>278.51</v>
      </c>
      <c r="Q542" s="34" t="n">
        <v>339.51</v>
      </c>
      <c r="R542" s="34" t="n">
        <v>226.091</v>
      </c>
      <c r="S542" s="34" t="n">
        <v>331.429</v>
      </c>
      <c r="T542" s="34" t="n">
        <v>431.628</v>
      </c>
      <c r="U542" s="34" t="n">
        <v>431.628</v>
      </c>
      <c r="V542" s="34" t="n">
        <v>271.309</v>
      </c>
      <c r="W542" s="101" t="n">
        <f aca="false">0.165*W541</f>
        <v>0</v>
      </c>
      <c r="X542" s="34" t="n">
        <v>260.709</v>
      </c>
      <c r="Y542" s="34" t="n">
        <v>550.386</v>
      </c>
      <c r="Z542" s="101" t="n">
        <f aca="false">5494.799-Z541</f>
        <v>1055.2262</v>
      </c>
      <c r="AA542" s="101" t="n">
        <f aca="false">0.17*AA541</f>
        <v>1209.1883148</v>
      </c>
      <c r="AB542" s="101" t="n">
        <f aca="false">10970.7-AB541</f>
        <v>1870.65</v>
      </c>
      <c r="AC542" s="101" t="n">
        <f aca="false">0.17*AC541</f>
        <v>249.5175</v>
      </c>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row>
    <row r="543" customFormat="false" ht="15" hidden="false" customHeight="true" outlineLevel="0" collapsed="false">
      <c r="A543" s="29" t="s">
        <v>587</v>
      </c>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1" t="n">
        <f aca="false">2*AH584</f>
        <v>5873</v>
      </c>
      <c r="AI543" s="31" t="n">
        <f aca="false">1*AI584</f>
        <v>5873.9</v>
      </c>
      <c r="AJ543" s="30"/>
      <c r="AK543" s="30"/>
      <c r="AL543" s="30"/>
      <c r="AM543" s="30"/>
      <c r="AN543" s="30"/>
      <c r="AO543" s="30"/>
      <c r="AP543" s="30"/>
      <c r="AQ543" s="30"/>
      <c r="AR543" s="30"/>
      <c r="AS543" s="30"/>
      <c r="AT543" s="30"/>
      <c r="AU543" s="30"/>
      <c r="AV543" s="30"/>
      <c r="AW543" s="30"/>
      <c r="AX543" s="30"/>
      <c r="AY543" s="30"/>
    </row>
    <row r="544" customFormat="false" ht="15" hidden="false" customHeight="true" outlineLevel="0" collapsed="false">
      <c r="A544" s="29" t="s">
        <v>588</v>
      </c>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101" t="n">
        <f aca="false">4.95*AG584</f>
        <v>14534.685</v>
      </c>
      <c r="AH544" s="32" t="n">
        <f aca="false">4.25*AH584</f>
        <v>12480.125</v>
      </c>
      <c r="AI544" s="31" t="n">
        <f aca="false">2.5*AI584</f>
        <v>14684.75</v>
      </c>
      <c r="AJ544" s="31" t="n">
        <f aca="false">+AJ540*AJ532</f>
        <v>19545.9188556571</v>
      </c>
      <c r="AK544" s="31" t="n">
        <f aca="false">+AK540*AK532</f>
        <v>21922.7897916829</v>
      </c>
      <c r="AL544" s="31" t="n">
        <f aca="false">+AL540*AL532</f>
        <v>23750.8975840694</v>
      </c>
      <c r="AM544" s="30"/>
      <c r="AN544" s="30"/>
      <c r="AO544" s="30"/>
      <c r="AP544" s="30"/>
      <c r="AQ544" s="30"/>
      <c r="AR544" s="30"/>
      <c r="AS544" s="30"/>
      <c r="AT544" s="30"/>
      <c r="AU544" s="30"/>
      <c r="AV544" s="30"/>
      <c r="AW544" s="30"/>
      <c r="AX544" s="30"/>
      <c r="AY544" s="30"/>
    </row>
    <row r="545" customFormat="false" ht="15" hidden="false" customHeight="true" outlineLevel="0" collapsed="false">
      <c r="A545" s="47"/>
      <c r="B545" s="56"/>
      <c r="C545" s="56"/>
      <c r="D545" s="56"/>
      <c r="E545" s="56"/>
      <c r="F545" s="56"/>
      <c r="G545" s="56"/>
      <c r="H545" s="56"/>
      <c r="I545" s="56"/>
      <c r="J545" s="56"/>
      <c r="K545" s="56"/>
      <c r="L545" s="56"/>
      <c r="M545" s="56"/>
      <c r="N545" s="56"/>
      <c r="O545" s="56"/>
      <c r="P545" s="56"/>
      <c r="Q545" s="57" t="n">
        <f aca="false">+Q542/Q541</f>
        <v>0.169949592283164</v>
      </c>
      <c r="R545" s="57" t="n">
        <f aca="false">+R542/R541</f>
        <v>0.169943655535077</v>
      </c>
      <c r="S545" s="57" t="n">
        <f aca="false">+S542/S541</f>
        <v>0.16608761582896</v>
      </c>
      <c r="T545" s="57" t="n">
        <f aca="false">+T542/T541</f>
        <v>0.162224877352644</v>
      </c>
      <c r="U545" s="57" t="n">
        <f aca="false">+U542/U541</f>
        <v>0.162224877352644</v>
      </c>
      <c r="V545" s="57" t="n">
        <f aca="false">+V542/V541</f>
        <v>0.169949874906509</v>
      </c>
      <c r="W545" s="57" t="e">
        <f aca="false">+W542/W541</f>
        <v>#DIV/0!</v>
      </c>
      <c r="X545" s="57" t="n">
        <f aca="false">+X542/X541</f>
        <v>0.203576481832578</v>
      </c>
      <c r="Y545" s="57" t="n">
        <f aca="false">+Y542/Y541</f>
        <v>0.20357651309392</v>
      </c>
      <c r="Z545" s="57" t="n">
        <f aca="false">+Z542/Z541</f>
        <v>0.237686427847292</v>
      </c>
      <c r="AA545" s="57" t="n">
        <f aca="false">+AA542/AA541</f>
        <v>0.17</v>
      </c>
      <c r="AB545" s="57" t="n">
        <f aca="false">+AB542/AB541</f>
        <v>0.205564804588986</v>
      </c>
      <c r="AC545" s="57" t="n">
        <f aca="false">+AC542/AC541</f>
        <v>0.17</v>
      </c>
      <c r="AD545" s="57" t="n">
        <f aca="false">+AD542/AD541</f>
        <v>0</v>
      </c>
      <c r="AE545" s="57" t="n">
        <f aca="false">+AE542/AE541</f>
        <v>0</v>
      </c>
      <c r="AF545" s="57" t="n">
        <f aca="false">+AF542/AF541</f>
        <v>0</v>
      </c>
      <c r="AG545" s="57" t="n">
        <f aca="false">+AG542/AG541</f>
        <v>0</v>
      </c>
      <c r="AH545" s="57" t="n">
        <f aca="false">+AH542/AH541</f>
        <v>0</v>
      </c>
      <c r="AI545" s="57" t="n">
        <f aca="false">+AI542/AI541</f>
        <v>0</v>
      </c>
      <c r="AJ545" s="57" t="n">
        <f aca="false">+AJ542/AJ541</f>
        <v>0</v>
      </c>
      <c r="AK545" s="57" t="n">
        <f aca="false">+AK542/AK541</f>
        <v>0</v>
      </c>
      <c r="AL545" s="57" t="n">
        <f aca="false">+AL542/AL541</f>
        <v>0</v>
      </c>
      <c r="AM545" s="56"/>
      <c r="AN545" s="56"/>
      <c r="AO545" s="56"/>
      <c r="AP545" s="56"/>
      <c r="AQ545" s="56"/>
      <c r="AR545" s="56"/>
      <c r="AS545" s="56"/>
      <c r="AT545" s="56"/>
      <c r="AU545" s="56"/>
      <c r="AV545" s="56"/>
      <c r="AW545" s="56"/>
      <c r="AX545" s="56"/>
      <c r="AY545" s="56"/>
    </row>
    <row r="546" customFormat="false" ht="15" hidden="false" customHeight="true" outlineLevel="0" collapsed="false">
      <c r="A546" s="47" t="s">
        <v>589</v>
      </c>
      <c r="B546" s="36"/>
      <c r="C546" s="36"/>
      <c r="D546" s="36"/>
      <c r="E546" s="36"/>
      <c r="F546" s="36"/>
      <c r="G546" s="78" t="n">
        <v>11.2</v>
      </c>
      <c r="H546" s="78" t="n">
        <v>15</v>
      </c>
      <c r="I546" s="78" t="n">
        <v>0</v>
      </c>
      <c r="J546" s="78" t="n">
        <v>0</v>
      </c>
      <c r="K546" s="78" t="n">
        <v>0</v>
      </c>
      <c r="L546" s="78" t="n">
        <v>0</v>
      </c>
      <c r="M546" s="78" t="n">
        <v>0</v>
      </c>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row>
    <row r="547" customFormat="false" ht="15" hidden="false" customHeight="true" outlineLevel="0" collapsed="false">
      <c r="A547" s="47" t="s">
        <v>590</v>
      </c>
      <c r="B547" s="30"/>
      <c r="C547" s="30"/>
      <c r="D547" s="30"/>
      <c r="E547" s="30"/>
      <c r="F547" s="30"/>
      <c r="G547" s="30"/>
      <c r="H547" s="30"/>
      <c r="I547" s="30"/>
      <c r="J547" s="30"/>
      <c r="K547" s="30"/>
      <c r="L547" s="30"/>
      <c r="M547" s="30"/>
      <c r="N547" s="30"/>
      <c r="O547" s="30"/>
      <c r="P547" s="30"/>
      <c r="Q547" s="30"/>
      <c r="R547" s="30"/>
      <c r="S547" s="30"/>
      <c r="T547" s="30"/>
      <c r="U547" s="30"/>
      <c r="V547" s="30"/>
      <c r="W547" s="30"/>
      <c r="X547" s="62" t="n">
        <v>2338.70100000003</v>
      </c>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row>
    <row r="548" customFormat="false" ht="15" hidden="false" customHeight="true" outlineLevel="0" collapsed="false">
      <c r="A548" s="47" t="s">
        <v>591</v>
      </c>
      <c r="B548" s="78" t="n">
        <v>123.35</v>
      </c>
      <c r="C548" s="78" t="n">
        <v>123.35</v>
      </c>
      <c r="D548" s="78" t="n">
        <v>99.61</v>
      </c>
      <c r="E548" s="78" t="n">
        <v>99.61</v>
      </c>
      <c r="F548" s="78" t="n">
        <v>615.02</v>
      </c>
      <c r="G548" s="78" t="n">
        <v>416.74</v>
      </c>
      <c r="H548" s="78" t="n">
        <v>500</v>
      </c>
      <c r="I548" s="78" t="n">
        <v>0</v>
      </c>
      <c r="J548" s="78" t="n">
        <v>0</v>
      </c>
      <c r="K548" s="78" t="n">
        <v>0</v>
      </c>
      <c r="L548" s="78" t="n">
        <v>437.5</v>
      </c>
      <c r="M548" s="78" t="n">
        <v>187.5</v>
      </c>
      <c r="N548" s="78" t="n">
        <v>0</v>
      </c>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row>
    <row r="549" customFormat="false" ht="15" hidden="false" customHeight="true" outlineLevel="0" collapsed="false">
      <c r="A549" s="47" t="s">
        <v>592</v>
      </c>
      <c r="B549" s="30"/>
      <c r="C549" s="30"/>
      <c r="D549" s="30"/>
      <c r="E549" s="30"/>
      <c r="F549" s="30"/>
      <c r="G549" s="35" t="n">
        <f aca="false">+G532+G546-G541-G542-G548</f>
        <v>-352.180323999999</v>
      </c>
      <c r="H549" s="35" t="n">
        <f aca="false">+H532+H546-H541-H542-H548</f>
        <v>-408.633521704002</v>
      </c>
      <c r="I549" s="35" t="n">
        <f aca="false">+I532+I546-I541-I542-I548</f>
        <v>326.994999999999</v>
      </c>
      <c r="J549" s="35" t="n">
        <f aca="false">+J532+J546-J541-J542-J548</f>
        <v>392.569999999998</v>
      </c>
      <c r="K549" s="35" t="n">
        <f aca="false">+K532+K546-K541-K542-K548</f>
        <v>387.38</v>
      </c>
      <c r="L549" s="35" t="n">
        <f aca="false">+L532+L546-L541-L542-L548</f>
        <v>93.7900000000045</v>
      </c>
      <c r="M549" s="35" t="n">
        <f aca="false">+M532+M546-M541-M542-M548</f>
        <v>742.050000000001</v>
      </c>
      <c r="N549" s="35" t="n">
        <f aca="false">+N532+N546-N541-N542-N548</f>
        <v>1355.72</v>
      </c>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row>
    <row r="550" customFormat="false" ht="15" hidden="false" customHeight="true" outlineLevel="0" collapsed="false">
      <c r="A550" s="47" t="s">
        <v>593</v>
      </c>
      <c r="B550" s="31" t="n">
        <f aca="false">B532-B541-B542</f>
        <v>-25.2299999999985</v>
      </c>
      <c r="C550" s="31" t="n">
        <f aca="false">C532-C541-C542</f>
        <v>158.960000000002</v>
      </c>
      <c r="D550" s="31" t="n">
        <f aca="false">D532-D541-D542</f>
        <v>410.789999999999</v>
      </c>
      <c r="E550" s="31" t="n">
        <f aca="false">E532-E541-E542</f>
        <v>655.110000000004</v>
      </c>
      <c r="F550" s="31" t="n">
        <f aca="false">F532-F541-F542</f>
        <v>595.289999999995</v>
      </c>
      <c r="G550" s="31" t="n">
        <f aca="false">G532-G541-G542</f>
        <v>53.3596760000012</v>
      </c>
      <c r="H550" s="31" t="n">
        <f aca="false">H532-H541-H542</f>
        <v>76.366478295998</v>
      </c>
      <c r="I550" s="31" t="n">
        <f aca="false">I532-I541-I542</f>
        <v>326.994999999999</v>
      </c>
      <c r="J550" s="31" t="n">
        <f aca="false">J532-J541-J542</f>
        <v>392.569999999998</v>
      </c>
      <c r="K550" s="31" t="n">
        <f aca="false">K532-K541-K542</f>
        <v>387.38</v>
      </c>
      <c r="L550" s="31" t="n">
        <f aca="false">L532-L541-L542</f>
        <v>531.290000000005</v>
      </c>
      <c r="M550" s="31" t="n">
        <f aca="false">M532-M541-M542</f>
        <v>929.550000000001</v>
      </c>
      <c r="N550" s="31" t="n">
        <f aca="false">N532-N541-N542</f>
        <v>1355.72</v>
      </c>
      <c r="O550" s="31" t="n">
        <f aca="false">O532-O541-O542</f>
        <v>1451.23999999999</v>
      </c>
      <c r="P550" s="31" t="n">
        <f aca="false">P532-P541-P542</f>
        <v>2148.53999999999</v>
      </c>
      <c r="Q550" s="31" t="n">
        <f aca="false">Q532-Q541-Q542</f>
        <v>2355.88</v>
      </c>
      <c r="R550" s="31" t="n">
        <f aca="false">R532-R541-R542</f>
        <v>343.484000000011</v>
      </c>
      <c r="S550" s="31" t="n">
        <f aca="false">S532-S541-S542</f>
        <v>1909.81100000003</v>
      </c>
      <c r="T550" s="31" t="n">
        <f aca="false">T532-T541-T542</f>
        <v>3220.68800000002</v>
      </c>
      <c r="U550" s="31" t="n">
        <f aca="false">U532-U541-U542</f>
        <v>2567.46099999998</v>
      </c>
      <c r="V550" s="31" t="n">
        <f aca="false">V532-V541-V542</f>
        <v>2469.35200000002</v>
      </c>
      <c r="W550" s="31" t="n">
        <f aca="false">W532-W541-W542</f>
        <v>293.810999999978</v>
      </c>
      <c r="X550" s="31" t="n">
        <f aca="false">X532-X541-X542</f>
        <v>1806.70700000003</v>
      </c>
      <c r="Y550" s="31" t="n">
        <f aca="false">Y532-Y541-Y542</f>
        <v>642.016000000017</v>
      </c>
      <c r="Z550" s="31" t="n">
        <f aca="false">Z532</f>
        <v>12230.772</v>
      </c>
      <c r="AA550" s="31" t="n">
        <f aca="false">AA532</f>
        <v>15625.896</v>
      </c>
      <c r="AB550" s="31" t="n">
        <f aca="false">AB532</f>
        <v>19831.9999999999</v>
      </c>
      <c r="AC550" s="31" t="n">
        <f aca="false">AC532</f>
        <v>2395.2</v>
      </c>
      <c r="AD550" s="31" t="n">
        <f aca="false">AD532</f>
        <v>-3136.80000000001</v>
      </c>
      <c r="AE550" s="31" t="n">
        <f aca="false">AE532</f>
        <v>5418.30000000001</v>
      </c>
      <c r="AF550" s="31" t="n">
        <f aca="false">AF532</f>
        <v>13801.1</v>
      </c>
      <c r="AG550" s="31" t="n">
        <f aca="false">AG532</f>
        <v>26178.7</v>
      </c>
      <c r="AH550" s="31" t="n">
        <f aca="false">AH532</f>
        <v>33032.9</v>
      </c>
      <c r="AI550" s="31" t="n">
        <f aca="false">AI532</f>
        <v>35655.3000000002</v>
      </c>
      <c r="AJ550" s="31" t="n">
        <f aca="false">AJ532</f>
        <v>39091.8377113142</v>
      </c>
      <c r="AK550" s="31" t="n">
        <f aca="false">AK532</f>
        <v>43845.5795833658</v>
      </c>
      <c r="AL550" s="31" t="n">
        <f aca="false">AL532</f>
        <v>47501.7951681388</v>
      </c>
      <c r="AM550" s="30"/>
      <c r="AN550" s="30"/>
      <c r="AO550" s="30"/>
      <c r="AP550" s="30"/>
      <c r="AQ550" s="30"/>
      <c r="AR550" s="30"/>
      <c r="AS550" s="30"/>
      <c r="AT550" s="30"/>
      <c r="AU550" s="30"/>
      <c r="AV550" s="30"/>
      <c r="AW550" s="30"/>
      <c r="AX550" s="30"/>
      <c r="AY550" s="30"/>
    </row>
    <row r="551" customFormat="false" ht="15" hidden="false" customHeight="true" outlineLevel="0" collapsed="false">
      <c r="A551" s="70" t="s">
        <v>594</v>
      </c>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c r="AA551" s="86"/>
      <c r="AB551" s="86"/>
      <c r="AC551" s="86"/>
      <c r="AD551" s="86"/>
      <c r="AE551" s="86"/>
      <c r="AF551" s="86"/>
      <c r="AG551" s="86"/>
      <c r="AH551" s="86"/>
      <c r="AI551" s="86"/>
      <c r="AJ551" s="86"/>
      <c r="AK551" s="86"/>
      <c r="AL551" s="86"/>
      <c r="AM551" s="86"/>
      <c r="AN551" s="86"/>
      <c r="AO551" s="86"/>
      <c r="AP551" s="86"/>
      <c r="AQ551" s="86"/>
      <c r="AR551" s="86"/>
      <c r="AS551" s="86"/>
      <c r="AT551" s="86"/>
      <c r="AU551" s="86"/>
      <c r="AV551" s="86"/>
      <c r="AW551" s="86"/>
      <c r="AX551" s="86"/>
      <c r="AY551" s="86"/>
    </row>
    <row r="552" customFormat="false" ht="15" hidden="false" customHeight="true" outlineLevel="0" collapsed="false">
      <c r="A552" s="47" t="s">
        <v>595</v>
      </c>
      <c r="B552" s="30"/>
      <c r="C552" s="35" t="n">
        <f aca="false">+B627+B631+B632</f>
        <v>4752.81</v>
      </c>
      <c r="D552" s="35" t="n">
        <f aca="false">+C627+C631+C632</f>
        <v>5709.6</v>
      </c>
      <c r="E552" s="35" t="n">
        <f aca="false">+D627+D631+D632</f>
        <v>8417.8</v>
      </c>
      <c r="F552" s="35" t="n">
        <f aca="false">+E627+E631+E632</f>
        <v>10081.37</v>
      </c>
      <c r="G552" s="35" t="n">
        <f aca="false">+F627+F631+F632</f>
        <v>11882.02</v>
      </c>
      <c r="H552" s="35" t="n">
        <f aca="false">+G627+G631+G632</f>
        <v>12510.5</v>
      </c>
      <c r="I552" s="35" t="n">
        <f aca="false">+H627+H631+H632</f>
        <v>14087.7</v>
      </c>
      <c r="J552" s="35" t="n">
        <f aca="false">+I627+I631+I632</f>
        <v>14944.23</v>
      </c>
      <c r="K552" s="35" t="n">
        <f aca="false">+J627+J631+J632</f>
        <v>15493.71</v>
      </c>
      <c r="L552" s="35" t="n">
        <f aca="false">+K627+K631+K632</f>
        <v>16904.31</v>
      </c>
      <c r="M552" s="35" t="n">
        <f aca="false">+L627+L631+L632</f>
        <v>18120.69</v>
      </c>
      <c r="N552" s="35" t="n">
        <f aca="false">+M627+M631+M632</f>
        <v>18756.42</v>
      </c>
      <c r="O552" s="35" t="n">
        <f aca="false">+N627+N631+N632</f>
        <v>20022.5</v>
      </c>
      <c r="P552" s="35" t="n">
        <f aca="false">+O627+O631+O632</f>
        <v>21384.99</v>
      </c>
      <c r="Q552" s="35" t="n">
        <f aca="false">+P627+P631+P632</f>
        <v>26201.97</v>
      </c>
      <c r="R552" s="35" t="n">
        <f aca="false">+Q627+Q631+Q632</f>
        <v>29424.38</v>
      </c>
      <c r="S552" s="35" t="n">
        <f aca="false">+R627+R631+R632</f>
        <v>49532.722</v>
      </c>
      <c r="T552" s="35" t="n">
        <f aca="false">+S627+S631+S632</f>
        <v>60186.337</v>
      </c>
      <c r="U552" s="35" t="n">
        <f aca="false">+T627+T631+T632</f>
        <v>66918.887</v>
      </c>
      <c r="V552" s="35" t="n">
        <f aca="false">+U627+U631+U632</f>
        <v>71742.962</v>
      </c>
      <c r="W552" s="35" t="n">
        <f aca="false">+V627+V631+V632</f>
        <v>78416.771</v>
      </c>
      <c r="X552" s="35" t="n">
        <f aca="false">+W627+W631+W632</f>
        <v>83542.627</v>
      </c>
      <c r="Y552" s="35" t="n">
        <f aca="false">+X627+X631+X632</f>
        <v>81859.99</v>
      </c>
      <c r="Z552" s="35" t="n">
        <f aca="false">+Y627+Y631+Y632</f>
        <v>52284.402</v>
      </c>
      <c r="AA552" s="35" t="n">
        <f aca="false">+Z627+Z631+Z632</f>
        <v>57640.437</v>
      </c>
      <c r="AB552" s="35" t="n">
        <f aca="false">+AA627+AA631+AA632</f>
        <v>62908.711</v>
      </c>
      <c r="AC552" s="35" t="n">
        <f aca="false">+AB627+AB631+AB632</f>
        <v>76875</v>
      </c>
      <c r="AD552" s="35" t="n">
        <f aca="false">+AC627+AC631+AC632</f>
        <v>89699.6</v>
      </c>
      <c r="AE552" s="35" t="n">
        <f aca="false">+AD627+AD631+AD632</f>
        <v>98267.6</v>
      </c>
      <c r="AF552" s="35" t="n">
        <f aca="false">+AE627+AE631+AE632</f>
        <v>98399</v>
      </c>
      <c r="AG552" s="35" t="n">
        <f aca="false">+AF627+AF631+AF632</f>
        <v>101346.4</v>
      </c>
      <c r="AH552" s="35" t="n">
        <f aca="false">+AG627+AG631+AG632</f>
        <v>102918.9</v>
      </c>
      <c r="AI552" s="35" t="n">
        <f aca="false">+AH627+AH631+AH632</f>
        <v>109067.8</v>
      </c>
      <c r="AJ552" s="35" t="n">
        <f aca="false">+AI627+AI631+AI632</f>
        <v>122990.6</v>
      </c>
      <c r="AK552" s="35" t="n">
        <f aca="false">+AJ627+AJ631+AJ632</f>
        <v>133490.6</v>
      </c>
      <c r="AL552" s="35" t="n">
        <f aca="false">+AK627+AK631+AK632</f>
        <v>141990.6</v>
      </c>
      <c r="AM552" s="30"/>
      <c r="AN552" s="30"/>
      <c r="AO552" s="30"/>
      <c r="AP552" s="30"/>
      <c r="AQ552" s="30"/>
      <c r="AR552" s="30"/>
      <c r="AS552" s="30"/>
      <c r="AT552" s="30"/>
      <c r="AU552" s="30"/>
      <c r="AV552" s="30"/>
      <c r="AW552" s="30"/>
      <c r="AX552" s="30"/>
      <c r="AY552" s="30"/>
    </row>
    <row r="553" customFormat="false" ht="15" hidden="false" customHeight="true" outlineLevel="0" collapsed="false">
      <c r="A553" s="47" t="s">
        <v>596</v>
      </c>
      <c r="B553" s="30"/>
      <c r="C553" s="35" t="n">
        <f aca="false">+C626</f>
        <v>956.79</v>
      </c>
      <c r="D553" s="35" t="n">
        <f aca="false">+D626</f>
        <v>2708.2</v>
      </c>
      <c r="E553" s="35" t="n">
        <f aca="false">+E626</f>
        <v>1663.57</v>
      </c>
      <c r="F553" s="35" t="n">
        <f aca="false">+F626</f>
        <v>1800.65</v>
      </c>
      <c r="G553" s="35" t="n">
        <f aca="false">+G626</f>
        <v>628.48</v>
      </c>
      <c r="H553" s="35" t="n">
        <f aca="false">+H626</f>
        <v>1577.2</v>
      </c>
      <c r="I553" s="35" t="n">
        <f aca="false">+I626</f>
        <v>856.529999999999</v>
      </c>
      <c r="J553" s="35" t="n">
        <f aca="false">+J626</f>
        <v>549.48</v>
      </c>
      <c r="K553" s="35" t="n">
        <f aca="false">+K626</f>
        <v>1410.6</v>
      </c>
      <c r="L553" s="35" t="n">
        <f aca="false">+L626</f>
        <v>1216.38</v>
      </c>
      <c r="M553" s="35" t="n">
        <f aca="false">+M626</f>
        <v>635.73</v>
      </c>
      <c r="N553" s="35" t="n">
        <f aca="false">+N626</f>
        <v>1266.08</v>
      </c>
      <c r="O553" s="35" t="n">
        <f aca="false">+O626</f>
        <v>1362.49</v>
      </c>
      <c r="P553" s="35" t="n">
        <f aca="false">+P626</f>
        <v>4816.98</v>
      </c>
      <c r="Q553" s="35" t="n">
        <f aca="false">+Q626</f>
        <v>3222.41</v>
      </c>
      <c r="R553" s="35" t="n">
        <f aca="false">+R626</f>
        <v>20108.342</v>
      </c>
      <c r="S553" s="35" t="n">
        <f aca="false">+S626</f>
        <v>10653.615</v>
      </c>
      <c r="T553" s="35" t="n">
        <f aca="false">+T626</f>
        <v>6732.55</v>
      </c>
      <c r="U553" s="35" t="n">
        <f aca="false">+U626</f>
        <v>215.955999999991</v>
      </c>
      <c r="V553" s="35" t="n">
        <f aca="false">+V626</f>
        <v>6384.35100000001</v>
      </c>
      <c r="W553" s="35" t="n">
        <f aca="false">+W626</f>
        <v>5380.06199999999</v>
      </c>
      <c r="X553" s="35" t="n">
        <f aca="false">+X626</f>
        <v>-1273.431</v>
      </c>
      <c r="Y553" s="35" t="n">
        <f aca="false">+Y626</f>
        <v>-28935.314</v>
      </c>
      <c r="Z553" s="35" t="n">
        <f aca="false">+Z626</f>
        <v>5320.15</v>
      </c>
      <c r="AA553" s="35" t="n">
        <f aca="false">+AA626</f>
        <v>4149.087</v>
      </c>
      <c r="AB553" s="35" t="n">
        <f aca="false">+AB626</f>
        <v>6800.152</v>
      </c>
      <c r="AC553" s="35" t="n">
        <f aca="false">+AC626</f>
        <v>9403.49999999999</v>
      </c>
      <c r="AD553" s="35" t="n">
        <f aca="false">+AD626</f>
        <v>7961.60000000001</v>
      </c>
      <c r="AE553" s="35" t="n">
        <f aca="false">+AE626</f>
        <v>1970.39999999999</v>
      </c>
      <c r="AF553" s="35" t="n">
        <f aca="false">+AF626</f>
        <v>3022.10000000001</v>
      </c>
      <c r="AG553" s="35" t="n">
        <f aca="false">+AG626</f>
        <v>2398.60000000001</v>
      </c>
      <c r="AH553" s="35" t="n">
        <f aca="false">+AH626</f>
        <v>6237.59999999998</v>
      </c>
      <c r="AI553" s="35" t="n">
        <f aca="false">+AI626</f>
        <v>13806.5</v>
      </c>
      <c r="AJ553" s="35" t="n">
        <f aca="false">+AJ626</f>
        <v>10000</v>
      </c>
      <c r="AK553" s="35" t="n">
        <f aca="false">+AK626</f>
        <v>8000</v>
      </c>
      <c r="AL553" s="35" t="n">
        <f aca="false">+AL626</f>
        <v>8000</v>
      </c>
      <c r="AM553" s="30"/>
      <c r="AN553" s="30"/>
      <c r="AO553" s="30"/>
      <c r="AP553" s="30"/>
      <c r="AQ553" s="30"/>
      <c r="AR553" s="30"/>
      <c r="AS553" s="30"/>
      <c r="AT553" s="30"/>
      <c r="AU553" s="30"/>
      <c r="AV553" s="30"/>
      <c r="AW553" s="30"/>
      <c r="AX553" s="30"/>
      <c r="AY553" s="30"/>
    </row>
    <row r="554" customFormat="false" ht="15" hidden="false" customHeight="true" outlineLevel="0" collapsed="false">
      <c r="A554" s="47" t="s">
        <v>597</v>
      </c>
      <c r="B554" s="30"/>
      <c r="C554" s="35" t="n">
        <f aca="false">+C552+C553</f>
        <v>5709.6</v>
      </c>
      <c r="D554" s="35" t="n">
        <f aca="false">+D552+D553</f>
        <v>8417.8</v>
      </c>
      <c r="E554" s="35" t="n">
        <f aca="false">+E552+E553</f>
        <v>10081.37</v>
      </c>
      <c r="F554" s="35" t="n">
        <f aca="false">+F552+F553</f>
        <v>11882.02</v>
      </c>
      <c r="G554" s="35" t="n">
        <f aca="false">+G552+G553</f>
        <v>12510.5</v>
      </c>
      <c r="H554" s="35" t="n">
        <f aca="false">+H552+H553</f>
        <v>14087.7</v>
      </c>
      <c r="I554" s="35" t="n">
        <f aca="false">+I552+I553</f>
        <v>14944.23</v>
      </c>
      <c r="J554" s="35" t="n">
        <f aca="false">+J552+J553</f>
        <v>15493.71</v>
      </c>
      <c r="K554" s="35" t="n">
        <f aca="false">+K552+K553</f>
        <v>16904.31</v>
      </c>
      <c r="L554" s="35" t="n">
        <f aca="false">+L552+L553</f>
        <v>18120.69</v>
      </c>
      <c r="M554" s="35" t="n">
        <f aca="false">+M552+M553</f>
        <v>18756.42</v>
      </c>
      <c r="N554" s="35" t="n">
        <f aca="false">+N552+N553</f>
        <v>20022.5</v>
      </c>
      <c r="O554" s="35" t="n">
        <f aca="false">+O552+O553</f>
        <v>21384.99</v>
      </c>
      <c r="P554" s="35" t="n">
        <f aca="false">+P552+P553</f>
        <v>26201.97</v>
      </c>
      <c r="Q554" s="35" t="n">
        <f aca="false">+Q552+Q553</f>
        <v>29424.38</v>
      </c>
      <c r="R554" s="35" t="n">
        <f aca="false">+R552+R553</f>
        <v>49532.722</v>
      </c>
      <c r="S554" s="35" t="n">
        <f aca="false">+S552+S553</f>
        <v>60186.337</v>
      </c>
      <c r="T554" s="35" t="n">
        <f aca="false">+T552+T553</f>
        <v>66918.887</v>
      </c>
      <c r="U554" s="35" t="n">
        <f aca="false">+U552+U553</f>
        <v>67134.843</v>
      </c>
      <c r="V554" s="35" t="n">
        <f aca="false">+V552+V553</f>
        <v>78127.313</v>
      </c>
      <c r="W554" s="35" t="n">
        <f aca="false">+W552+W553</f>
        <v>83796.833</v>
      </c>
      <c r="X554" s="35" t="n">
        <f aca="false">+X552+X553</f>
        <v>82269.196</v>
      </c>
      <c r="Y554" s="35" t="n">
        <f aca="false">+Y552+Y553</f>
        <v>52924.676</v>
      </c>
      <c r="Z554" s="35" t="n">
        <f aca="false">+Z552+Z553</f>
        <v>57604.552</v>
      </c>
      <c r="AA554" s="35" t="n">
        <f aca="false">+AA552+AA553</f>
        <v>61789.524</v>
      </c>
      <c r="AB554" s="35" t="n">
        <f aca="false">+AB552+AB553</f>
        <v>69708.863</v>
      </c>
      <c r="AC554" s="35" t="n">
        <f aca="false">+AC552+AC553</f>
        <v>86278.5</v>
      </c>
      <c r="AD554" s="35" t="n">
        <f aca="false">+AD552+AD553</f>
        <v>97661.2</v>
      </c>
      <c r="AE554" s="35" t="n">
        <f aca="false">+AE552+AE553</f>
        <v>100238</v>
      </c>
      <c r="AF554" s="35" t="n">
        <f aca="false">+AF552+AF553</f>
        <v>101421.1</v>
      </c>
      <c r="AG554" s="35" t="n">
        <f aca="false">+AG552+AG553</f>
        <v>103745</v>
      </c>
      <c r="AH554" s="35" t="n">
        <f aca="false">+AH552+AH553</f>
        <v>109156.5</v>
      </c>
      <c r="AI554" s="35" t="n">
        <f aca="false">+AI552+AI553</f>
        <v>122874.3</v>
      </c>
      <c r="AJ554" s="35" t="n">
        <f aca="false">+AJ552+AJ553</f>
        <v>132990.6</v>
      </c>
      <c r="AK554" s="35" t="n">
        <f aca="false">+AK552+AK553</f>
        <v>141490.6</v>
      </c>
      <c r="AL554" s="35" t="n">
        <f aca="false">+AL552+AL553</f>
        <v>149990.6</v>
      </c>
      <c r="AM554" s="30"/>
      <c r="AN554" s="30"/>
      <c r="AO554" s="30"/>
      <c r="AP554" s="30"/>
      <c r="AQ554" s="30"/>
      <c r="AR554" s="30"/>
      <c r="AS554" s="30"/>
      <c r="AT554" s="30"/>
      <c r="AU554" s="30"/>
      <c r="AV554" s="30"/>
      <c r="AW554" s="30"/>
      <c r="AX554" s="30"/>
      <c r="AY554" s="30"/>
    </row>
    <row r="555" customFormat="false" ht="15" hidden="false" customHeight="true" outlineLevel="0" collapsed="false">
      <c r="A555" s="47" t="s">
        <v>598</v>
      </c>
      <c r="B555" s="43"/>
      <c r="C555" s="48" t="n">
        <f aca="false">+C557/((C552+C554)/2)*100</f>
        <v>6.27197748893419</v>
      </c>
      <c r="D555" s="48" t="n">
        <f aca="false">+D557/((D552+D554)/2)*100</f>
        <v>5.5465266078684</v>
      </c>
      <c r="E555" s="48" t="n">
        <f aca="false">+E557/((E552+E554)/2)*100</f>
        <v>5.90350810333653</v>
      </c>
      <c r="F555" s="48" t="n">
        <f aca="false">+F557/((F552+F554)/2)*100</f>
        <v>5.9733948174667</v>
      </c>
      <c r="G555" s="48" t="n">
        <f aca="false">+G557/((G552+G554)/2)*100</f>
        <v>5.78513413128287</v>
      </c>
      <c r="H555" s="48" t="n">
        <f aca="false">+H557/((H552+H554)/2)*100</f>
        <v>5.72895910249566</v>
      </c>
      <c r="I555" s="48" t="n">
        <f aca="false">+I557/((I552+I554)/2)*100</f>
        <v>5.67947084468721</v>
      </c>
      <c r="J555" s="48" t="n">
        <f aca="false">+J557/((J552+J554)/2)*100</f>
        <v>5.8052548891285</v>
      </c>
      <c r="K555" s="48" t="n">
        <f aca="false">+K557/((K552+K554)/2)*100</f>
        <v>5.88647083988466</v>
      </c>
      <c r="L555" s="48" t="n">
        <f aca="false">+L557/((L552+L554)/2)*100</f>
        <v>5.87974304068523</v>
      </c>
      <c r="M555" s="48" t="n">
        <f aca="false">+M557/((M552+M554)/2)*100</f>
        <v>5.23110406428269</v>
      </c>
      <c r="N555" s="48" t="n">
        <f aca="false">+N557/((N552+N554)/2)*100</f>
        <v>5.63264784063094</v>
      </c>
      <c r="O555" s="48" t="n">
        <f aca="false">+O557/((O552+O554)/2)*100</f>
        <v>6.08614528434348</v>
      </c>
      <c r="P555" s="48" t="n">
        <f aca="false">+P557/((P552+P554)/2)*100</f>
        <v>6.32837231039764</v>
      </c>
      <c r="Q555" s="48" t="n">
        <f aca="false">+Q557/((Q552+Q554)/2)*100</f>
        <v>6.37686995461683</v>
      </c>
      <c r="R555" s="48" t="n">
        <f aca="false">+R557/((R552+R554)/2)*100</f>
        <v>4.51926921026053</v>
      </c>
      <c r="S555" s="48" t="n">
        <f aca="false">+S557/((S552+S554)/2)*100</f>
        <v>3.72055505871592</v>
      </c>
      <c r="T555" s="48" t="n">
        <f aca="false">+T557/((T552+T554)/2)*100</f>
        <v>4.20802531294859</v>
      </c>
      <c r="U555" s="48" t="n">
        <f aca="false">+U557/((U552+U554)/2)*100</f>
        <v>5.26375804686673</v>
      </c>
      <c r="V555" s="48" t="n">
        <f aca="false">+V557/((V552+V554)/2)*100</f>
        <v>5.0815079908274</v>
      </c>
      <c r="W555" s="48" t="n">
        <f aca="false">+W557/((W552+W554)/2)*100</f>
        <v>4.64863600465963</v>
      </c>
      <c r="X555" s="48" t="n">
        <f aca="false">+X557/((X552+X554)/2)*100</f>
        <v>5.02179751078426</v>
      </c>
      <c r="Y555" s="48" t="n">
        <f aca="false">+Y557/((Y552+Y554)/2)*100</f>
        <v>7.23970188122142</v>
      </c>
      <c r="Z555" s="48" t="n">
        <f aca="false">+Z557/((Z552+Z554)/2)*100</f>
        <v>9.42576812588461</v>
      </c>
      <c r="AA555" s="100" t="n">
        <v>8.5</v>
      </c>
      <c r="AB555" s="100" t="n">
        <v>9.35</v>
      </c>
      <c r="AC555" s="100" t="n">
        <v>8.2</v>
      </c>
      <c r="AD555" s="100" t="n">
        <v>8</v>
      </c>
      <c r="AE555" s="100" t="n">
        <v>7.6</v>
      </c>
      <c r="AF555" s="100" t="n">
        <v>7.35</v>
      </c>
      <c r="AG555" s="100" t="n">
        <v>6.9</v>
      </c>
      <c r="AH555" s="100" t="n">
        <v>6.78</v>
      </c>
      <c r="AI555" s="100" t="n">
        <v>6.2</v>
      </c>
      <c r="AJ555" s="100" t="n">
        <v>5.9</v>
      </c>
      <c r="AK555" s="100" t="n">
        <v>5.9</v>
      </c>
      <c r="AL555" s="100" t="n">
        <v>5.8</v>
      </c>
      <c r="AM555" s="43"/>
      <c r="AN555" s="43"/>
      <c r="AO555" s="43"/>
      <c r="AP555" s="43"/>
      <c r="AQ555" s="43"/>
      <c r="AR555" s="43"/>
      <c r="AS555" s="43"/>
      <c r="AT555" s="43"/>
      <c r="AU555" s="43"/>
      <c r="AV555" s="43"/>
      <c r="AW555" s="43"/>
      <c r="AX555" s="43"/>
      <c r="AY555" s="43"/>
    </row>
    <row r="556" customFormat="false" ht="15" hidden="false" customHeight="true" outlineLevel="0" collapsed="false">
      <c r="A556" s="47" t="s">
        <v>267</v>
      </c>
      <c r="B556" s="30"/>
      <c r="C556" s="35" t="n">
        <f aca="false">(+C552+C554)/2*(C555/100)</f>
        <v>328.1</v>
      </c>
      <c r="D556" s="35" t="n">
        <f aca="false">(+D552+D554)/2*(D555/100)</f>
        <v>391.79</v>
      </c>
      <c r="E556" s="35" t="n">
        <f aca="false">(+E552+E554)/2*(E555/100)</f>
        <v>546.05</v>
      </c>
      <c r="F556" s="35" t="n">
        <f aca="false">(+F552+F554)/2*(F555/100)</f>
        <v>655.98</v>
      </c>
      <c r="G556" s="35" t="n">
        <f aca="false">(+G552+G554)/2*(G555/100)</f>
        <v>705.57</v>
      </c>
      <c r="H556" s="35" t="n">
        <f aca="false">(+H552+H554)/2*(H555/100)</f>
        <v>761.9</v>
      </c>
      <c r="I556" s="35" t="n">
        <f aca="false">(+I552+I554)/2*(I555/100)</f>
        <v>824.43</v>
      </c>
      <c r="J556" s="35" t="n">
        <f aca="false">(+J552+J554)/2*(J555/100)</f>
        <v>883.5</v>
      </c>
      <c r="K556" s="35" t="n">
        <f aca="false">(+K552+K554)/2*(K555/100)</f>
        <v>953.55</v>
      </c>
      <c r="L556" s="35" t="n">
        <f aca="false">(+L552+L554)/2*(L555/100)</f>
        <v>1029.69</v>
      </c>
      <c r="M556" s="35" t="n">
        <f aca="false">(+M552+M554)/2*(M555/100)</f>
        <v>964.54</v>
      </c>
      <c r="N556" s="35" t="n">
        <f aca="false">(+N552+N554)/2*(N555/100)</f>
        <v>1092.14</v>
      </c>
      <c r="O556" s="35" t="n">
        <f aca="false">(+O552+O554)/2*(O555/100)</f>
        <v>1260.06</v>
      </c>
      <c r="P556" s="35" t="n">
        <f aca="false">(+P552+P554)/2*(P555/100)</f>
        <v>1505.74</v>
      </c>
      <c r="Q556" s="35" t="n">
        <f aca="false">(+Q552+Q554)/2*(Q555/100)</f>
        <v>1773.61</v>
      </c>
      <c r="R556" s="35" t="n">
        <f aca="false">(+R552+R554)/2*(R555/100)</f>
        <v>1784.142</v>
      </c>
      <c r="S556" s="35" t="n">
        <f aca="false">(+S552+S554)/2*(S555/100)</f>
        <v>2041.079</v>
      </c>
      <c r="T556" s="35" t="n">
        <f aca="false">(+T552+T554)/2*(T555/100)</f>
        <v>2674.31</v>
      </c>
      <c r="U556" s="35" t="n">
        <f aca="false">(+U552+U554)/2*(U555/100)</f>
        <v>3528.132</v>
      </c>
      <c r="V556" s="35" t="n">
        <f aca="false">(+V552+V554)/2*(V555/100)+(U631-V631)</f>
        <v>3651.165</v>
      </c>
      <c r="W556" s="35" t="n">
        <f aca="false">(+W552+W554)/2*(W555/100)+(V631-W631)</f>
        <v>3025.444</v>
      </c>
      <c r="X556" s="35" t="n">
        <f aca="false">(+X552+X554)/2*(X555/100)+(W631-X631)</f>
        <v>4812.07</v>
      </c>
      <c r="Y556" s="35" t="n">
        <f aca="false">(+Y552+Y554)/2*(Y555/100)+(X631-Y631)</f>
        <v>5226.872</v>
      </c>
      <c r="Z556" s="35" t="n">
        <f aca="false">(+Z552+Z554)/2*(Z555/100)+(Y631-Z631)</f>
        <v>5414.652</v>
      </c>
      <c r="AA556" s="35" t="n">
        <f aca="false">(+AA552+AA554)/2*(AA555/100)+(Z631-AA631)</f>
        <v>5357.0313425</v>
      </c>
      <c r="AB556" s="35" t="n">
        <f aca="false">(+AB552+AB554)/2*(AB555/100)</f>
        <v>6199.8715845</v>
      </c>
      <c r="AC556" s="35" t="n">
        <f aca="false">(+AC552+AC554)/2*(AC555/100)</f>
        <v>6689.2935</v>
      </c>
      <c r="AD556" s="35" t="n">
        <f aca="false">(+AD552+AD554)/2*(AD555/100)</f>
        <v>7494.432</v>
      </c>
      <c r="AE556" s="35" t="n">
        <f aca="false">(+AE552+AE554)/2*(AE555/100)</f>
        <v>7543.2128</v>
      </c>
      <c r="AF556" s="35" t="n">
        <f aca="false">(+AF552+AF554)/2*(AF555/100)</f>
        <v>7343.388675</v>
      </c>
      <c r="AG556" s="35" t="n">
        <f aca="false">(+AG552+AG554)/2*(AG555/100)</f>
        <v>7075.6533</v>
      </c>
      <c r="AH556" s="35" t="n">
        <f aca="false">(+AH552+AH554)/2*(AH555/100)</f>
        <v>7189.35606</v>
      </c>
      <c r="AI556" s="35" t="n">
        <f aca="false">(+AI552+AI554)/2*(AI555/100)</f>
        <v>7190.2051</v>
      </c>
      <c r="AJ556" s="35" t="n">
        <f aca="false">(+AJ552+AJ554)/2*(AJ555/100)</f>
        <v>7551.4454</v>
      </c>
      <c r="AK556" s="35" t="n">
        <f aca="false">(+AK552+AK554)/2*(AK555/100)</f>
        <v>8111.9454</v>
      </c>
      <c r="AL556" s="35" t="n">
        <f aca="false">(+AL552+AL554)/2*(AL555/100)</f>
        <v>8467.4548</v>
      </c>
      <c r="AM556" s="30"/>
      <c r="AN556" s="30"/>
      <c r="AO556" s="30"/>
      <c r="AP556" s="30"/>
      <c r="AQ556" s="30"/>
      <c r="AR556" s="30"/>
      <c r="AS556" s="30"/>
      <c r="AT556" s="30"/>
      <c r="AU556" s="30"/>
      <c r="AV556" s="30"/>
      <c r="AW556" s="30"/>
      <c r="AX556" s="30"/>
      <c r="AY556" s="30"/>
    </row>
    <row r="557" customFormat="false" ht="15" hidden="false" customHeight="true" outlineLevel="0" collapsed="false">
      <c r="A557" s="47"/>
      <c r="B557" s="30"/>
      <c r="C557" s="31" t="n">
        <f aca="false">C522</f>
        <v>328.1</v>
      </c>
      <c r="D557" s="31" t="n">
        <f aca="false">D522</f>
        <v>391.79</v>
      </c>
      <c r="E557" s="31" t="n">
        <f aca="false">E522</f>
        <v>546.05</v>
      </c>
      <c r="F557" s="31" t="n">
        <f aca="false">F522</f>
        <v>655.98</v>
      </c>
      <c r="G557" s="31" t="n">
        <f aca="false">G522</f>
        <v>705.57</v>
      </c>
      <c r="H557" s="31" t="n">
        <f aca="false">H522</f>
        <v>761.9</v>
      </c>
      <c r="I557" s="31" t="n">
        <f aca="false">I522</f>
        <v>824.43</v>
      </c>
      <c r="J557" s="31" t="n">
        <f aca="false">J522</f>
        <v>883.5</v>
      </c>
      <c r="K557" s="31" t="n">
        <f aca="false">K522</f>
        <v>953.55</v>
      </c>
      <c r="L557" s="31" t="n">
        <f aca="false">L522</f>
        <v>1029.69</v>
      </c>
      <c r="M557" s="31" t="n">
        <f aca="false">M522</f>
        <v>964.54</v>
      </c>
      <c r="N557" s="31" t="n">
        <f aca="false">N522</f>
        <v>1092.14</v>
      </c>
      <c r="O557" s="31" t="n">
        <f aca="false">O522</f>
        <v>1260.06</v>
      </c>
      <c r="P557" s="31" t="n">
        <f aca="false">P522</f>
        <v>1505.74</v>
      </c>
      <c r="Q557" s="31" t="n">
        <f aca="false">Q522</f>
        <v>1773.61</v>
      </c>
      <c r="R557" s="31" t="n">
        <f aca="false">R522</f>
        <v>1784.142</v>
      </c>
      <c r="S557" s="31" t="n">
        <f aca="false">S522</f>
        <v>2041.079</v>
      </c>
      <c r="T557" s="31" t="n">
        <f aca="false">T522</f>
        <v>2674.31</v>
      </c>
      <c r="U557" s="31" t="n">
        <f aca="false">U522</f>
        <v>3528.132</v>
      </c>
      <c r="V557" s="31" t="n">
        <f aca="false">V522</f>
        <v>3807.835</v>
      </c>
      <c r="W557" s="31" t="n">
        <f aca="false">W522</f>
        <v>3770.36</v>
      </c>
      <c r="X557" s="31" t="n">
        <f aca="false">X522</f>
        <v>4163.367</v>
      </c>
      <c r="Y557" s="31" t="n">
        <f aca="false">Y522</f>
        <v>4879.004</v>
      </c>
      <c r="Z557" s="31" t="n">
        <f aca="false">Z522</f>
        <v>5178.939</v>
      </c>
      <c r="AA557" s="31" t="n">
        <f aca="false">AA522</f>
        <v>5546.094</v>
      </c>
      <c r="AB557" s="31" t="n">
        <f aca="false">AB522</f>
        <v>6210.1</v>
      </c>
      <c r="AC557" s="31" t="n">
        <f aca="false">AC522</f>
        <v>6698</v>
      </c>
      <c r="AD557" s="31" t="n">
        <f aca="false">AD522</f>
        <v>7477.1</v>
      </c>
      <c r="AE557" s="31" t="n">
        <f aca="false">AE522</f>
        <v>7527.6</v>
      </c>
      <c r="AF557" s="31" t="n">
        <f aca="false">AF522</f>
        <v>7319.6</v>
      </c>
      <c r="AG557" s="31" t="n">
        <f aca="false">AG522</f>
        <v>7178.1</v>
      </c>
      <c r="AH557" s="31" t="n">
        <f aca="false">AH522</f>
        <v>7193.4</v>
      </c>
      <c r="AI557" s="31" t="n">
        <f aca="false">AI522</f>
        <v>7151.9</v>
      </c>
      <c r="AJ557" s="31" t="n">
        <f aca="false">AJ522</f>
        <v>7551.4454</v>
      </c>
      <c r="AK557" s="31" t="n">
        <f aca="false">AK522</f>
        <v>8111.9454</v>
      </c>
      <c r="AL557" s="31" t="n">
        <f aca="false">AL522</f>
        <v>8467.4548</v>
      </c>
      <c r="AM557" s="30"/>
      <c r="AN557" s="30"/>
      <c r="AO557" s="30"/>
      <c r="AP557" s="30"/>
      <c r="AQ557" s="30"/>
      <c r="AR557" s="30"/>
      <c r="AS557" s="30"/>
      <c r="AT557" s="30"/>
      <c r="AU557" s="30"/>
      <c r="AV557" s="30"/>
      <c r="AW557" s="30"/>
      <c r="AX557" s="30"/>
      <c r="AY557" s="30"/>
    </row>
    <row r="558" customFormat="false" ht="15" hidden="false" customHeight="true" outlineLevel="0" collapsed="false">
      <c r="A558" s="70" t="s">
        <v>599</v>
      </c>
      <c r="B558" s="83"/>
      <c r="C558" s="83"/>
      <c r="D558" s="83"/>
      <c r="E558" s="83"/>
      <c r="F558" s="83"/>
      <c r="G558" s="83"/>
      <c r="H558" s="83"/>
      <c r="I558" s="83"/>
      <c r="J558" s="83"/>
      <c r="K558" s="83"/>
      <c r="L558" s="83"/>
      <c r="M558" s="83"/>
      <c r="N558" s="83"/>
      <c r="O558" s="83"/>
      <c r="P558" s="83"/>
      <c r="Q558" s="83"/>
      <c r="R558" s="83"/>
      <c r="S558" s="85" t="n">
        <f aca="false">S556-S557</f>
        <v>0</v>
      </c>
      <c r="T558" s="85" t="n">
        <f aca="false">T557-T556</f>
        <v>0</v>
      </c>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83"/>
    </row>
    <row r="559" customFormat="false" ht="15" hidden="false" customHeight="true" outlineLevel="0" collapsed="false">
      <c r="A559" s="51" t="s">
        <v>251</v>
      </c>
      <c r="B559" s="53"/>
      <c r="C559" s="53"/>
      <c r="D559" s="53"/>
      <c r="E559" s="53"/>
      <c r="F559" s="69" t="n">
        <f aca="false">+F525+500</f>
        <v>2070.35</v>
      </c>
      <c r="G559" s="52" t="n">
        <f aca="false">+G525</f>
        <v>206.681576000001</v>
      </c>
      <c r="H559" s="52" t="n">
        <f aca="false">+H525</f>
        <v>236.688378295998</v>
      </c>
      <c r="I559" s="52" t="n">
        <f aca="false">+I525</f>
        <v>932.869999999999</v>
      </c>
      <c r="J559" s="52" t="n">
        <f aca="false">+J525</f>
        <v>1019.41</v>
      </c>
      <c r="K559" s="52" t="n">
        <f aca="false">+K525</f>
        <v>1322.06</v>
      </c>
      <c r="L559" s="52" t="n">
        <f aca="false">+L525</f>
        <v>1701.02</v>
      </c>
      <c r="M559" s="52" t="n">
        <f aca="false">+M525</f>
        <v>2864.6</v>
      </c>
      <c r="N559" s="52" t="n">
        <f aca="false">+N525</f>
        <v>3736.1</v>
      </c>
      <c r="O559" s="52" t="n">
        <f aca="false">+O525</f>
        <v>4522.99999999999</v>
      </c>
      <c r="P559" s="52" t="n">
        <f aca="false">+P525</f>
        <v>6045.05999999999</v>
      </c>
      <c r="Q559" s="52" t="n">
        <f aca="false">+Q525</f>
        <v>6381.5</v>
      </c>
      <c r="R559" s="52" t="n">
        <f aca="false">+R525</f>
        <v>2084.46300000001</v>
      </c>
      <c r="S559" s="52" t="n">
        <f aca="false">+S525</f>
        <v>5447.74700000003</v>
      </c>
      <c r="T559" s="52" t="n">
        <f aca="false">+T525</f>
        <v>8017.99300000002</v>
      </c>
      <c r="U559" s="52" t="n">
        <f aca="false">+U525</f>
        <v>6899.76599999998</v>
      </c>
      <c r="V559" s="52" t="n">
        <f aca="false">+V525</f>
        <v>4707.06700000002</v>
      </c>
      <c r="W559" s="52" t="n">
        <f aca="false">+W525</f>
        <v>-912.189000000022</v>
      </c>
      <c r="X559" s="52" t="n">
        <f aca="false">+X525</f>
        <v>4421.96700000003</v>
      </c>
      <c r="Y559" s="52" t="n">
        <f aca="false">+Y525</f>
        <v>8265.36700000002</v>
      </c>
      <c r="Z559" s="52" t="n">
        <f aca="false">+Z525</f>
        <v>16540.862</v>
      </c>
      <c r="AA559" s="52" t="n">
        <f aca="false">+AA525</f>
        <v>22307.154</v>
      </c>
      <c r="AB559" s="52" t="n">
        <f aca="false">+AB525</f>
        <v>24967.9999999999</v>
      </c>
      <c r="AC559" s="52" t="n">
        <f aca="false">+AC525</f>
        <v>3619.2</v>
      </c>
      <c r="AD559" s="52" t="n">
        <f aca="false">+AD525</f>
        <v>-4119.10000000001</v>
      </c>
      <c r="AE559" s="52" t="n">
        <f aca="false">+AE525</f>
        <v>5276.10000000001</v>
      </c>
      <c r="AF559" s="52" t="n">
        <f aca="false">+AF525</f>
        <v>21104</v>
      </c>
      <c r="AG559" s="52" t="n">
        <f aca="false">+AG525</f>
        <v>37921.8000000001</v>
      </c>
      <c r="AH559" s="52" t="n">
        <f aca="false">+AH525</f>
        <v>43482.9</v>
      </c>
      <c r="AI559" s="52" t="n">
        <f aca="false">+AI525</f>
        <v>48140.2000000002</v>
      </c>
      <c r="AJ559" s="52" t="n">
        <f aca="false">+AJ525</f>
        <v>52122.4502817523</v>
      </c>
      <c r="AK559" s="52" t="n">
        <f aca="false">+AK525</f>
        <v>58460.772777821</v>
      </c>
      <c r="AL559" s="52" t="n">
        <f aca="false">+AL525</f>
        <v>63335.7268908518</v>
      </c>
      <c r="AM559" s="53"/>
      <c r="AN559" s="53"/>
      <c r="AO559" s="53"/>
      <c r="AP559" s="53"/>
      <c r="AQ559" s="53"/>
      <c r="AR559" s="53"/>
      <c r="AS559" s="53"/>
      <c r="AT559" s="53"/>
      <c r="AU559" s="53"/>
      <c r="AV559" s="53"/>
      <c r="AW559" s="53"/>
      <c r="AX559" s="53"/>
      <c r="AY559" s="53"/>
    </row>
    <row r="560" customFormat="false" ht="15" hidden="false" customHeight="true" outlineLevel="0" collapsed="false">
      <c r="A560" s="47" t="s">
        <v>600</v>
      </c>
      <c r="B560" s="30"/>
      <c r="C560" s="30"/>
      <c r="D560" s="30"/>
      <c r="E560" s="30"/>
      <c r="F560" s="35" t="n">
        <f aca="false">+F522</f>
        <v>655.98</v>
      </c>
      <c r="G560" s="35" t="n">
        <f aca="false">+G522</f>
        <v>705.57</v>
      </c>
      <c r="H560" s="35" t="n">
        <f aca="false">+H522</f>
        <v>761.9</v>
      </c>
      <c r="I560" s="35" t="n">
        <f aca="false">+I522</f>
        <v>824.43</v>
      </c>
      <c r="J560" s="35" t="n">
        <f aca="false">+J522</f>
        <v>883.5</v>
      </c>
      <c r="K560" s="35" t="n">
        <f aca="false">+K522</f>
        <v>953.55</v>
      </c>
      <c r="L560" s="35" t="n">
        <f aca="false">+L522</f>
        <v>1029.69</v>
      </c>
      <c r="M560" s="35" t="n">
        <f aca="false">+M522</f>
        <v>964.54</v>
      </c>
      <c r="N560" s="35" t="n">
        <f aca="false">+N522</f>
        <v>1092.14</v>
      </c>
      <c r="O560" s="35" t="n">
        <f aca="false">+O522</f>
        <v>1260.06</v>
      </c>
      <c r="P560" s="35" t="n">
        <f aca="false">+P522</f>
        <v>1505.74</v>
      </c>
      <c r="Q560" s="35" t="n">
        <f aca="false">+Q522</f>
        <v>1773.61</v>
      </c>
      <c r="R560" s="35" t="n">
        <f aca="false">+R522</f>
        <v>1784.142</v>
      </c>
      <c r="S560" s="35" t="n">
        <f aca="false">+S522</f>
        <v>2041.079</v>
      </c>
      <c r="T560" s="35" t="n">
        <f aca="false">+T522</f>
        <v>2674.31</v>
      </c>
      <c r="U560" s="35" t="n">
        <f aca="false">+U522</f>
        <v>3528.132</v>
      </c>
      <c r="V560" s="35" t="n">
        <f aca="false">+V522</f>
        <v>3807.835</v>
      </c>
      <c r="W560" s="35" t="n">
        <f aca="false">+W522</f>
        <v>3770.36</v>
      </c>
      <c r="X560" s="35" t="n">
        <f aca="false">+X522</f>
        <v>4163.367</v>
      </c>
      <c r="Y560" s="35" t="n">
        <f aca="false">+Y522</f>
        <v>4879.004</v>
      </c>
      <c r="Z560" s="35" t="n">
        <f aca="false">+Z522</f>
        <v>5178.939</v>
      </c>
      <c r="AA560" s="35" t="n">
        <f aca="false">+AA522</f>
        <v>5546.094</v>
      </c>
      <c r="AB560" s="35" t="n">
        <f aca="false">+AB522</f>
        <v>6210.1</v>
      </c>
      <c r="AC560" s="35" t="n">
        <f aca="false">+AC522</f>
        <v>6698</v>
      </c>
      <c r="AD560" s="35" t="n">
        <f aca="false">+AD522</f>
        <v>7477.1</v>
      </c>
      <c r="AE560" s="35" t="n">
        <f aca="false">+AE522</f>
        <v>7527.6</v>
      </c>
      <c r="AF560" s="35" t="n">
        <f aca="false">+AF522</f>
        <v>7319.6</v>
      </c>
      <c r="AG560" s="35" t="n">
        <f aca="false">+AG522</f>
        <v>7178.1</v>
      </c>
      <c r="AH560" s="35" t="n">
        <f aca="false">+AH522</f>
        <v>7193.4</v>
      </c>
      <c r="AI560" s="35" t="n">
        <f aca="false">+AI522</f>
        <v>7151.9</v>
      </c>
      <c r="AJ560" s="35" t="n">
        <f aca="false">+AJ522</f>
        <v>7551.4454</v>
      </c>
      <c r="AK560" s="35" t="n">
        <f aca="false">+AK522</f>
        <v>8111.9454</v>
      </c>
      <c r="AL560" s="35" t="n">
        <f aca="false">+AL522</f>
        <v>8467.4548</v>
      </c>
      <c r="AM560" s="30"/>
      <c r="AN560" s="30"/>
      <c r="AO560" s="30"/>
      <c r="AP560" s="30"/>
      <c r="AQ560" s="30"/>
      <c r="AR560" s="30"/>
      <c r="AS560" s="30"/>
      <c r="AT560" s="30"/>
      <c r="AU560" s="30"/>
      <c r="AV560" s="30"/>
      <c r="AW560" s="30"/>
      <c r="AX560" s="30"/>
      <c r="AY560" s="30"/>
    </row>
    <row r="561" customFormat="false" ht="15" hidden="false" customHeight="true" outlineLevel="0" collapsed="false">
      <c r="A561" s="47" t="s">
        <v>601</v>
      </c>
      <c r="B561" s="36"/>
      <c r="C561" s="36"/>
      <c r="D561" s="36"/>
      <c r="E561" s="36"/>
      <c r="F561" s="78" t="n">
        <v>23.3</v>
      </c>
      <c r="G561" s="78" t="n">
        <v>0</v>
      </c>
      <c r="H561" s="78" t="n">
        <v>0</v>
      </c>
      <c r="I561" s="90" t="n">
        <f aca="false">0.38+70.4</f>
        <v>70.78</v>
      </c>
      <c r="J561" s="90" t="n">
        <f aca="false">63.18+0.37</f>
        <v>63.55</v>
      </c>
      <c r="K561" s="90" t="n">
        <f aca="false">60.19+0.13</f>
        <v>60.32</v>
      </c>
      <c r="L561" s="90" t="n">
        <f aca="false">77.04+9.68</f>
        <v>86.72</v>
      </c>
      <c r="M561" s="90" t="n">
        <f aca="false">61.79</f>
        <v>61.79</v>
      </c>
      <c r="N561" s="78" t="n">
        <v>29.51</v>
      </c>
      <c r="O561" s="78" t="n">
        <v>27.91</v>
      </c>
      <c r="P561" s="37" t="n">
        <v>0</v>
      </c>
      <c r="Q561" s="37" t="n">
        <v>0</v>
      </c>
      <c r="R561" s="37" t="n">
        <v>0</v>
      </c>
      <c r="S561" s="37" t="n">
        <v>0</v>
      </c>
      <c r="T561" s="37" t="n">
        <v>1</v>
      </c>
      <c r="U561" s="37" t="n">
        <v>1</v>
      </c>
      <c r="V561" s="37" t="n">
        <v>1</v>
      </c>
      <c r="W561" s="37" t="n">
        <v>1</v>
      </c>
      <c r="X561" s="37" t="n">
        <v>1</v>
      </c>
      <c r="Y561" s="37" t="n">
        <v>1</v>
      </c>
      <c r="Z561" s="37" t="n">
        <v>1</v>
      </c>
      <c r="AA561" s="37" t="n">
        <v>1</v>
      </c>
      <c r="AB561" s="37" t="n">
        <v>1</v>
      </c>
      <c r="AC561" s="37" t="n">
        <v>1</v>
      </c>
      <c r="AD561" s="37" t="n">
        <v>1</v>
      </c>
      <c r="AE561" s="37" t="n">
        <v>1</v>
      </c>
      <c r="AF561" s="37" t="n">
        <v>1</v>
      </c>
      <c r="AG561" s="37" t="n">
        <v>1</v>
      </c>
      <c r="AH561" s="37" t="n">
        <v>1</v>
      </c>
      <c r="AI561" s="37" t="n">
        <v>1</v>
      </c>
      <c r="AJ561" s="37" t="n">
        <v>1</v>
      </c>
      <c r="AK561" s="37" t="n">
        <v>1</v>
      </c>
      <c r="AL561" s="37" t="n">
        <v>1</v>
      </c>
      <c r="AM561" s="36"/>
      <c r="AN561" s="36"/>
      <c r="AO561" s="36"/>
      <c r="AP561" s="36"/>
      <c r="AQ561" s="36"/>
      <c r="AR561" s="36"/>
      <c r="AS561" s="36"/>
      <c r="AT561" s="36"/>
      <c r="AU561" s="36"/>
      <c r="AV561" s="36"/>
      <c r="AW561" s="36"/>
      <c r="AX561" s="36"/>
      <c r="AY561" s="36"/>
    </row>
    <row r="562" customFormat="false" ht="15" hidden="false" customHeight="true" outlineLevel="0" collapsed="false">
      <c r="A562" s="51" t="s">
        <v>264</v>
      </c>
      <c r="B562" s="53"/>
      <c r="C562" s="53"/>
      <c r="D562" s="53"/>
      <c r="E562" s="53"/>
      <c r="F562" s="52" t="n">
        <f aca="false">+F559+F560+F561</f>
        <v>2749.63</v>
      </c>
      <c r="G562" s="52" t="n">
        <f aca="false">+G559+G560+G561</f>
        <v>912.251576000001</v>
      </c>
      <c r="H562" s="52" t="n">
        <f aca="false">+H559+H560+H561</f>
        <v>998.588378295998</v>
      </c>
      <c r="I562" s="52" t="n">
        <f aca="false">+I559+I560+I561</f>
        <v>1828.08</v>
      </c>
      <c r="J562" s="52" t="n">
        <f aca="false">+J559+J560+J561</f>
        <v>1966.46</v>
      </c>
      <c r="K562" s="52" t="n">
        <f aca="false">+K559+K560+K561</f>
        <v>2335.93</v>
      </c>
      <c r="L562" s="52" t="n">
        <f aca="false">+L559+L560+L561</f>
        <v>2817.43</v>
      </c>
      <c r="M562" s="52" t="n">
        <f aca="false">+M559+M560+M561</f>
        <v>3890.93</v>
      </c>
      <c r="N562" s="52" t="n">
        <f aca="false">+N559+N560+N561</f>
        <v>4857.75</v>
      </c>
      <c r="O562" s="52" t="n">
        <f aca="false">+O559+O560+O561</f>
        <v>5810.96999999999</v>
      </c>
      <c r="P562" s="52" t="n">
        <f aca="false">+P559+P560+P561</f>
        <v>7550.79999999999</v>
      </c>
      <c r="Q562" s="52" t="n">
        <f aca="false">+Q559+Q560+Q561</f>
        <v>8155.11</v>
      </c>
      <c r="R562" s="52" t="n">
        <f aca="false">+R559+R560+R561</f>
        <v>3868.60500000001</v>
      </c>
      <c r="S562" s="52" t="n">
        <f aca="false">+S559+S560+S561</f>
        <v>7488.82600000003</v>
      </c>
      <c r="T562" s="52" t="n">
        <f aca="false">+T559+T560+T561</f>
        <v>10693.303</v>
      </c>
      <c r="U562" s="52" t="n">
        <f aca="false">+U559+U560+U561</f>
        <v>10428.898</v>
      </c>
      <c r="V562" s="52" t="n">
        <f aca="false">+V559+V560+V561</f>
        <v>8515.90200000002</v>
      </c>
      <c r="W562" s="52" t="n">
        <f aca="false">+W559+W560+W561</f>
        <v>2859.17099999998</v>
      </c>
      <c r="X562" s="52" t="n">
        <f aca="false">+X559+X560+X561</f>
        <v>8586.33400000003</v>
      </c>
      <c r="Y562" s="52" t="n">
        <f aca="false">+Y559+Y560+Y561</f>
        <v>13145.371</v>
      </c>
      <c r="Z562" s="52" t="n">
        <f aca="false">+Z559+Z560+Z561</f>
        <v>21720.801</v>
      </c>
      <c r="AA562" s="52" t="n">
        <f aca="false">+AA559+AA560+AA561</f>
        <v>27854.248</v>
      </c>
      <c r="AB562" s="52" t="n">
        <f aca="false">+AB559+AB560+AB561</f>
        <v>31179.0999999999</v>
      </c>
      <c r="AC562" s="52" t="n">
        <f aca="false">+AC559+AC560+AC561</f>
        <v>10318.2</v>
      </c>
      <c r="AD562" s="52" t="n">
        <f aca="false">+AD559+AD560+AD561</f>
        <v>3358.99999999999</v>
      </c>
      <c r="AE562" s="52" t="n">
        <f aca="false">+AE559+AE560+AE561</f>
        <v>12804.7</v>
      </c>
      <c r="AF562" s="52" t="n">
        <f aca="false">+AF559+AF560+AF561</f>
        <v>28424.6</v>
      </c>
      <c r="AG562" s="52" t="n">
        <f aca="false">+AG559+AG560+AG561</f>
        <v>45100.9</v>
      </c>
      <c r="AH562" s="52" t="n">
        <f aca="false">+AH559+AH560+AH561</f>
        <v>50677.3</v>
      </c>
      <c r="AI562" s="52" t="n">
        <f aca="false">+AI559+AI560+AI561</f>
        <v>55293.1000000002</v>
      </c>
      <c r="AJ562" s="52" t="n">
        <f aca="false">+AJ559+AJ560+AJ561</f>
        <v>59674.8956817523</v>
      </c>
      <c r="AK562" s="52" t="n">
        <f aca="false">+AK559+AK560+AK561</f>
        <v>66573.718177821</v>
      </c>
      <c r="AL562" s="52" t="n">
        <f aca="false">+AL559+AL560+AL561</f>
        <v>71804.1816908518</v>
      </c>
      <c r="AM562" s="53"/>
      <c r="AN562" s="53"/>
      <c r="AO562" s="53"/>
      <c r="AP562" s="53"/>
      <c r="AQ562" s="53"/>
      <c r="AR562" s="53"/>
      <c r="AS562" s="53"/>
      <c r="AT562" s="53"/>
      <c r="AU562" s="53"/>
      <c r="AV562" s="53"/>
      <c r="AW562" s="53"/>
      <c r="AX562" s="53"/>
      <c r="AY562" s="53"/>
    </row>
    <row r="563" customFormat="false" ht="15" hidden="false" customHeight="true" outlineLevel="0" collapsed="false">
      <c r="A563" s="47" t="s">
        <v>602</v>
      </c>
      <c r="B563" s="30"/>
      <c r="C563" s="30"/>
      <c r="D563" s="30"/>
      <c r="E563" s="30"/>
      <c r="F563" s="34" t="n">
        <v>3565</v>
      </c>
      <c r="G563" s="35" t="n">
        <f aca="false">+F563+F564-F565</f>
        <v>4136.778125</v>
      </c>
      <c r="H563" s="35" t="n">
        <f aca="false">+G563+G564-G565</f>
        <v>3613.22359375</v>
      </c>
      <c r="I563" s="35" t="n">
        <f aca="false">+H563+H564-H565</f>
        <v>3991.3926953125</v>
      </c>
      <c r="J563" s="35" t="n">
        <f aca="false">+I563+I564-I565</f>
        <v>3689.47514648437</v>
      </c>
      <c r="K563" s="35" t="n">
        <f aca="false">+J563+J564-J565</f>
        <v>3213.55885986328</v>
      </c>
      <c r="L563" s="35" t="n">
        <f aca="false">+K563+K564-K565</f>
        <v>3556.28164489746</v>
      </c>
      <c r="M563" s="35" t="n">
        <f aca="false">+L563+L564-L565</f>
        <v>3655.51998367309</v>
      </c>
      <c r="N563" s="35" t="n">
        <f aca="false">+M563+M564-M565</f>
        <v>3258.17061275482</v>
      </c>
      <c r="O563" s="35" t="n">
        <f aca="false">+N563+N564-N565</f>
        <v>3472.31795956612</v>
      </c>
      <c r="P563" s="35" t="n">
        <f aca="false">+O563+O564-O565</f>
        <v>3711.26159467459</v>
      </c>
      <c r="Q563" s="35" t="n">
        <f aca="false">+P563+P564-P565</f>
        <v>6697.24244600594</v>
      </c>
      <c r="R563" s="35" t="n">
        <f aca="false">+Q563+Q564-Q565</f>
        <v>7641.13995950446</v>
      </c>
      <c r="S563" s="35" t="n">
        <f aca="false">+R563+R564-R565</f>
        <v>22068.8828446283</v>
      </c>
      <c r="T563" s="35" t="n">
        <f aca="false">+S563+S564-S565</f>
        <v>25207.7243209713</v>
      </c>
      <c r="U563" s="35" t="n">
        <f aca="false">+T563+T564-T565</f>
        <v>24375.9901157284</v>
      </c>
      <c r="V563" s="35" t="n">
        <f aca="false">+U563+U564-U565</f>
        <v>18457.4568367963</v>
      </c>
      <c r="W563" s="35" t="n">
        <f aca="false">+V563+V564-V565</f>
        <v>19030.3778150973</v>
      </c>
      <c r="X563" s="35" t="n">
        <f aca="false">+W563+W564-W565</f>
        <v>18644.0837363229</v>
      </c>
      <c r="Y563" s="35" t="n">
        <f aca="false">+X563+X564-X565</f>
        <v>12948.4001147422</v>
      </c>
      <c r="Z563" s="35" t="n">
        <f aca="false">+Y563+Y564-Y565</f>
        <v>-13798.6425389434</v>
      </c>
      <c r="AA563" s="35" t="n">
        <f aca="false">+Z563+Z564-Z565</f>
        <v>-6026.36002920751</v>
      </c>
      <c r="AB563" s="35" t="n">
        <f aca="false">+AA563+AA564-AA565</f>
        <v>-1148.63683440563</v>
      </c>
      <c r="AC563" s="35" t="n">
        <f aca="false">+AB563+AB564-AB565</f>
        <v>4663.64587419578</v>
      </c>
      <c r="AD563" s="35" t="n">
        <f aca="false">+AC563+AC564-AC565</f>
        <v>11138.0781556468</v>
      </c>
      <c r="AE563" s="35" t="n">
        <f aca="false">+AD563+AD564-AD565</f>
        <v>14822.3586167351</v>
      </c>
      <c r="AF563" s="35" t="n">
        <f aca="false">+AE563+AE564-AE565</f>
        <v>12717.7189625513</v>
      </c>
      <c r="AG563" s="35" t="n">
        <f aca="false">+AF563+AF564-AF565</f>
        <v>11993.7454719135</v>
      </c>
      <c r="AH563" s="35" t="n">
        <f aca="false">+AG563+AG564-AG565</f>
        <v>10944.1716039351</v>
      </c>
      <c r="AI563" s="35" t="n">
        <f aca="false">+AH563+AH564-AH565</f>
        <v>13276.1787029513</v>
      </c>
      <c r="AJ563" s="35" t="n">
        <f aca="false">+AI563+AI564-AI565</f>
        <v>21174.9152772135</v>
      </c>
      <c r="AK563" s="35" t="n">
        <f aca="false">+AJ563+AJ564-AJ565</f>
        <v>24006.1864579101</v>
      </c>
      <c r="AL563" s="35" t="n">
        <f aca="false">+AK563+AK564-AK565</f>
        <v>24504.6398434326</v>
      </c>
      <c r="AM563" s="30"/>
      <c r="AN563" s="30"/>
      <c r="AO563" s="30"/>
      <c r="AP563" s="30"/>
      <c r="AQ563" s="30"/>
      <c r="AR563" s="30"/>
      <c r="AS563" s="30"/>
      <c r="AT563" s="30"/>
      <c r="AU563" s="30"/>
      <c r="AV563" s="30"/>
      <c r="AW563" s="30"/>
      <c r="AX563" s="30"/>
      <c r="AY563" s="30"/>
    </row>
    <row r="564" customFormat="false" ht="15" hidden="false" customHeight="true" outlineLevel="0" collapsed="false">
      <c r="A564" s="47" t="s">
        <v>603</v>
      </c>
      <c r="B564" s="30"/>
      <c r="C564" s="30"/>
      <c r="D564" s="30"/>
      <c r="E564" s="30"/>
      <c r="F564" s="35" t="n">
        <f aca="false">+F626</f>
        <v>1800.65</v>
      </c>
      <c r="G564" s="35" t="n">
        <f aca="false">+G626</f>
        <v>628.48</v>
      </c>
      <c r="H564" s="35" t="n">
        <f aca="false">+H626</f>
        <v>1577.2</v>
      </c>
      <c r="I564" s="35" t="n">
        <f aca="false">+I626</f>
        <v>856.529999999999</v>
      </c>
      <c r="J564" s="35" t="n">
        <f aca="false">+J626</f>
        <v>549.48</v>
      </c>
      <c r="K564" s="35" t="n">
        <f aca="false">+K626</f>
        <v>1410.6</v>
      </c>
      <c r="L564" s="35" t="n">
        <f aca="false">+L626</f>
        <v>1216.38</v>
      </c>
      <c r="M564" s="35" t="n">
        <f aca="false">+M626</f>
        <v>635.73</v>
      </c>
      <c r="N564" s="35" t="n">
        <f aca="false">+N626</f>
        <v>1266.08</v>
      </c>
      <c r="O564" s="35" t="n">
        <f aca="false">+O626</f>
        <v>1362.49</v>
      </c>
      <c r="P564" s="35" t="n">
        <f aca="false">+P626</f>
        <v>4816.98</v>
      </c>
      <c r="Q564" s="35" t="n">
        <f aca="false">+Q626</f>
        <v>3222.41</v>
      </c>
      <c r="R564" s="35" t="n">
        <f aca="false">+R626</f>
        <v>20108.342</v>
      </c>
      <c r="S564" s="35" t="n">
        <f aca="false">+S626</f>
        <v>10653.615</v>
      </c>
      <c r="T564" s="35" t="n">
        <f aca="false">+T626</f>
        <v>6732.55</v>
      </c>
      <c r="U564" s="35" t="n">
        <f aca="false">+U626</f>
        <v>215.955999999991</v>
      </c>
      <c r="V564" s="35" t="n">
        <f aca="false">+V626</f>
        <v>6384.35100000001</v>
      </c>
      <c r="W564" s="35" t="n">
        <f aca="false">+W626</f>
        <v>5380.06199999999</v>
      </c>
      <c r="X564" s="35" t="n">
        <f aca="false">+X626</f>
        <v>-1273.431</v>
      </c>
      <c r="Y564" s="35" t="n">
        <f aca="false">+Y626</f>
        <v>-28935.314</v>
      </c>
      <c r="Z564" s="35" t="n">
        <f aca="false">+Z626</f>
        <v>5320.15</v>
      </c>
      <c r="AA564" s="35" t="n">
        <f aca="false">+AA626</f>
        <v>4149.087</v>
      </c>
      <c r="AB564" s="35" t="n">
        <f aca="false">+AB626</f>
        <v>6800.152</v>
      </c>
      <c r="AC564" s="35" t="n">
        <f aca="false">+AC626</f>
        <v>9403.49999999999</v>
      </c>
      <c r="AD564" s="35" t="n">
        <f aca="false">+AD626</f>
        <v>7961.60000000001</v>
      </c>
      <c r="AE564" s="35" t="n">
        <f aca="false">+AE626</f>
        <v>1970.39999999999</v>
      </c>
      <c r="AF564" s="35" t="n">
        <f aca="false">+AF626</f>
        <v>3022.10000000001</v>
      </c>
      <c r="AG564" s="35" t="n">
        <f aca="false">+AG626</f>
        <v>2398.60000000001</v>
      </c>
      <c r="AH564" s="35" t="n">
        <f aca="false">+AH626</f>
        <v>6237.59999999998</v>
      </c>
      <c r="AI564" s="35" t="n">
        <f aca="false">+AI626</f>
        <v>13806.5</v>
      </c>
      <c r="AJ564" s="35" t="n">
        <f aca="false">+AJ626</f>
        <v>10000</v>
      </c>
      <c r="AK564" s="35" t="n">
        <f aca="false">+AK626</f>
        <v>8000</v>
      </c>
      <c r="AL564" s="35" t="n">
        <f aca="false">+AL626</f>
        <v>8000</v>
      </c>
      <c r="AM564" s="30"/>
      <c r="AN564" s="30"/>
      <c r="AO564" s="30"/>
      <c r="AP564" s="30"/>
      <c r="AQ564" s="30"/>
      <c r="AR564" s="30"/>
      <c r="AS564" s="30"/>
      <c r="AT564" s="30"/>
      <c r="AU564" s="30"/>
      <c r="AV564" s="30"/>
      <c r="AW564" s="30"/>
      <c r="AX564" s="30"/>
      <c r="AY564" s="30"/>
    </row>
    <row r="565" customFormat="false" ht="15" hidden="false" customHeight="true" outlineLevel="0" collapsed="false">
      <c r="A565" s="47" t="s">
        <v>604</v>
      </c>
      <c r="B565" s="30"/>
      <c r="C565" s="30"/>
      <c r="D565" s="30"/>
      <c r="E565" s="30"/>
      <c r="F565" s="35" t="n">
        <f aca="false">(+F563+(F564*0.75))*0.25</f>
        <v>1228.871875</v>
      </c>
      <c r="G565" s="35" t="n">
        <f aca="false">(+G563+(G564*0.75))*0.25</f>
        <v>1152.03453125</v>
      </c>
      <c r="H565" s="35" t="n">
        <f aca="false">(+H563+(H564*0.75))*0.25</f>
        <v>1199.0308984375</v>
      </c>
      <c r="I565" s="35" t="n">
        <f aca="false">(+I563+(I564*0.75))*0.25</f>
        <v>1158.44754882812</v>
      </c>
      <c r="J565" s="35" t="n">
        <f aca="false">(+J563+(J564*0.75))*0.25</f>
        <v>1025.39628662109</v>
      </c>
      <c r="K565" s="35" t="n">
        <f aca="false">(+K563+(K564*0.75))*0.25</f>
        <v>1067.87721496582</v>
      </c>
      <c r="L565" s="35" t="n">
        <f aca="false">(+L563+(L564*0.75))*0.25</f>
        <v>1117.14166122437</v>
      </c>
      <c r="M565" s="35" t="n">
        <f aca="false">(+M563+(M564*0.75))*0.25</f>
        <v>1033.07937091827</v>
      </c>
      <c r="N565" s="35" t="n">
        <f aca="false">(+N563+(N564*0.75))*0.25</f>
        <v>1051.93265318871</v>
      </c>
      <c r="O565" s="35" t="n">
        <f aca="false">(+O563+(O564*0.75))*0.25</f>
        <v>1123.54636489153</v>
      </c>
      <c r="P565" s="35" t="n">
        <f aca="false">(+P563+(P564*0.75))*0.25</f>
        <v>1830.99914866865</v>
      </c>
      <c r="Q565" s="35" t="n">
        <f aca="false">(+Q563+(Q564*0.75))*0.25</f>
        <v>2278.51248650149</v>
      </c>
      <c r="R565" s="35" t="n">
        <f aca="false">(+R563+(R564*0.75))*0.25</f>
        <v>5680.59911487611</v>
      </c>
      <c r="S565" s="35" t="n">
        <f aca="false">(+S563+(S564*0.75))*0.25</f>
        <v>7514.77352365709</v>
      </c>
      <c r="T565" s="35" t="n">
        <f aca="false">(+T563+(T564*0.75))*0.25</f>
        <v>7564.28420524281</v>
      </c>
      <c r="U565" s="35" t="n">
        <f aca="false">(+U563+(U564*0.75))*0.25</f>
        <v>6134.48927893211</v>
      </c>
      <c r="V565" s="35" t="n">
        <f aca="false">(+V563+(V564*0.75))*0.25</f>
        <v>5811.43002169908</v>
      </c>
      <c r="W565" s="35" t="n">
        <f aca="false">(+W563+(W564*0.75))*0.25</f>
        <v>5766.35607877431</v>
      </c>
      <c r="X565" s="35" t="n">
        <f aca="false">(+X563+(X564*0.75))*0.25</f>
        <v>4422.25262158073</v>
      </c>
      <c r="Y565" s="35" t="n">
        <f aca="false">(+Y563+(Y564*0.75))*0.25</f>
        <v>-2188.27134631445</v>
      </c>
      <c r="Z565" s="35" t="n">
        <f aca="false">(+Z563+(Z564*0.75))*0.25</f>
        <v>-2452.13250973584</v>
      </c>
      <c r="AA565" s="35" t="n">
        <f aca="false">(+AA563+(AA564*0.75))*0.25</f>
        <v>-728.636194801878</v>
      </c>
      <c r="AB565" s="35" t="n">
        <f aca="false">(+AB563+(AB564*0.75))*0.25</f>
        <v>987.869291398592</v>
      </c>
      <c r="AC565" s="35" t="n">
        <f aca="false">(+AC563+(AC564*0.75))*0.25</f>
        <v>2929.06771854894</v>
      </c>
      <c r="AD565" s="35" t="n">
        <f aca="false">(+AD563+(AD564*0.75))*0.25</f>
        <v>4277.31953891171</v>
      </c>
      <c r="AE565" s="35" t="n">
        <f aca="false">(+AE563+(AE564*0.75))*0.25</f>
        <v>4075.03965418378</v>
      </c>
      <c r="AF565" s="35" t="n">
        <f aca="false">(+AF563+(AF564*0.75))*0.25</f>
        <v>3746.07349063784</v>
      </c>
      <c r="AG565" s="35" t="n">
        <f aca="false">(+AG563+(AG564*0.75))*0.25</f>
        <v>3448.17386797838</v>
      </c>
      <c r="AH565" s="35" t="n">
        <f aca="false">(+AH563+(AH564*0.75))*0.25</f>
        <v>3905.59290098378</v>
      </c>
      <c r="AI565" s="35" t="n">
        <f aca="false">(+AI563+(AI564*0.75))*0.25</f>
        <v>5907.76342573783</v>
      </c>
      <c r="AJ565" s="35" t="n">
        <f aca="false">(+AJ563+(AJ564*0.75))*0.25</f>
        <v>7168.72881930338</v>
      </c>
      <c r="AK565" s="35" t="n">
        <f aca="false">(+AK563+(AK564*0.75))*0.25</f>
        <v>7501.54661447753</v>
      </c>
      <c r="AL565" s="35" t="n">
        <f aca="false">(+AL563+(AL564*0.75))*0.25</f>
        <v>7626.15996085815</v>
      </c>
      <c r="AM565" s="30"/>
      <c r="AN565" s="30"/>
      <c r="AO565" s="30"/>
      <c r="AP565" s="30"/>
      <c r="AQ565" s="30"/>
      <c r="AR565" s="30"/>
      <c r="AS565" s="30"/>
      <c r="AT565" s="30"/>
      <c r="AU565" s="30"/>
      <c r="AV565" s="30"/>
      <c r="AW565" s="30"/>
      <c r="AX565" s="30"/>
      <c r="AY565" s="30"/>
    </row>
    <row r="566" customFormat="false" ht="15" hidden="false" customHeight="true" outlineLevel="0" collapsed="false">
      <c r="A566" s="47" t="s">
        <v>605</v>
      </c>
      <c r="B566" s="30"/>
      <c r="C566" s="30"/>
      <c r="D566" s="30"/>
      <c r="E566" s="30"/>
      <c r="F566" s="35" t="n">
        <f aca="false">+F562-F565</f>
        <v>1520.758125</v>
      </c>
      <c r="G566" s="35" t="n">
        <f aca="false">+G562-G565</f>
        <v>-239.782955249999</v>
      </c>
      <c r="H566" s="35" t="n">
        <f aca="false">+H562-H565</f>
        <v>-200.442520141502</v>
      </c>
      <c r="I566" s="35" t="n">
        <f aca="false">+I562-I565</f>
        <v>669.632451171875</v>
      </c>
      <c r="J566" s="35" t="n">
        <f aca="false">+J562-J565</f>
        <v>941.063713378905</v>
      </c>
      <c r="K566" s="35" t="n">
        <f aca="false">+K562-K565</f>
        <v>1268.05278503418</v>
      </c>
      <c r="L566" s="35" t="n">
        <f aca="false">+L562-L565</f>
        <v>1700.28833877564</v>
      </c>
      <c r="M566" s="35" t="n">
        <f aca="false">+M562-M565</f>
        <v>2857.85062908173</v>
      </c>
      <c r="N566" s="35" t="n">
        <f aca="false">+N562-N565</f>
        <v>3805.81734681129</v>
      </c>
      <c r="O566" s="35" t="n">
        <f aca="false">+O562-O565</f>
        <v>4687.42363510846</v>
      </c>
      <c r="P566" s="35" t="n">
        <f aca="false">+P562-P565</f>
        <v>5719.80085133134</v>
      </c>
      <c r="Q566" s="35" t="n">
        <f aca="false">+Q562-Q565</f>
        <v>5876.59751349851</v>
      </c>
      <c r="R566" s="35" t="n">
        <f aca="false">+R562-R565</f>
        <v>-1811.9941148761</v>
      </c>
      <c r="S566" s="35" t="n">
        <f aca="false">+S562-S565</f>
        <v>-25.9475236570534</v>
      </c>
      <c r="T566" s="35" t="n">
        <f aca="false">+T562-T565</f>
        <v>3129.01879475721</v>
      </c>
      <c r="U566" s="35" t="n">
        <f aca="false">+U562-U565</f>
        <v>4294.40872106787</v>
      </c>
      <c r="V566" s="35" t="n">
        <f aca="false">+V562-V565</f>
        <v>2704.47197830094</v>
      </c>
      <c r="W566" s="35" t="n">
        <f aca="false">+W562-W565</f>
        <v>-2907.18507877433</v>
      </c>
      <c r="X566" s="35" t="n">
        <f aca="false">+X562-X565</f>
        <v>4164.0813784193</v>
      </c>
      <c r="Y566" s="35" t="n">
        <f aca="false">+Y562-Y565</f>
        <v>15333.6423463145</v>
      </c>
      <c r="Z566" s="35" t="n">
        <f aca="false">+Z562-Z565</f>
        <v>24172.9335097359</v>
      </c>
      <c r="AA566" s="35" t="n">
        <f aca="false">+AA562-AA565</f>
        <v>28582.8841948019</v>
      </c>
      <c r="AB566" s="35" t="n">
        <f aca="false">+AB562-AB565</f>
        <v>30191.2307086014</v>
      </c>
      <c r="AC566" s="35" t="n">
        <f aca="false">+AC562-AC565</f>
        <v>7389.13228145106</v>
      </c>
      <c r="AD566" s="35" t="n">
        <f aca="false">+AD562-AD565</f>
        <v>-918.319538911713</v>
      </c>
      <c r="AE566" s="35" t="n">
        <f aca="false">+AE562-AE565</f>
        <v>8729.66034581623</v>
      </c>
      <c r="AF566" s="35" t="n">
        <f aca="false">+AF562-AF565</f>
        <v>24678.5265093622</v>
      </c>
      <c r="AG566" s="35" t="n">
        <f aca="false">+AG562-AG565</f>
        <v>41652.7261320217</v>
      </c>
      <c r="AH566" s="35" t="n">
        <f aca="false">+AH562-AH565</f>
        <v>46771.7070990163</v>
      </c>
      <c r="AI566" s="35" t="n">
        <f aca="false">+AI562-AI565</f>
        <v>49385.3365742623</v>
      </c>
      <c r="AJ566" s="35" t="n">
        <f aca="false">+AJ562-AJ565</f>
        <v>52506.1668624489</v>
      </c>
      <c r="AK566" s="35" t="n">
        <f aca="false">+AK562-AK565</f>
        <v>59072.1715633435</v>
      </c>
      <c r="AL566" s="35" t="n">
        <f aca="false">+AL562-AL565</f>
        <v>64178.0217299936</v>
      </c>
      <c r="AM566" s="30"/>
      <c r="AN566" s="30"/>
      <c r="AO566" s="30"/>
      <c r="AP566" s="30"/>
      <c r="AQ566" s="30"/>
      <c r="AR566" s="30"/>
      <c r="AS566" s="30"/>
      <c r="AT566" s="30"/>
      <c r="AU566" s="30"/>
      <c r="AV566" s="30"/>
      <c r="AW566" s="30"/>
      <c r="AX566" s="30"/>
      <c r="AY566" s="30"/>
    </row>
    <row r="567" customFormat="false" ht="15" hidden="false" customHeight="true" outlineLevel="0" collapsed="false">
      <c r="A567" s="47" t="s">
        <v>606</v>
      </c>
      <c r="B567" s="36"/>
      <c r="C567" s="36"/>
      <c r="D567" s="36"/>
      <c r="E567" s="36"/>
      <c r="F567" s="78" t="n">
        <v>5</v>
      </c>
      <c r="G567" s="78" t="n">
        <v>7.7</v>
      </c>
      <c r="H567" s="78" t="n">
        <v>7</v>
      </c>
      <c r="I567" s="75" t="n">
        <f aca="false">1511.79/I322*100</f>
        <v>5.64847694114904</v>
      </c>
      <c r="J567" s="75" t="n">
        <f aca="false">1631.16/J322*100</f>
        <v>6.11006019560763</v>
      </c>
      <c r="K567" s="75" t="n">
        <f aca="false">1591.32/K322*100</f>
        <v>5.90119579946051</v>
      </c>
      <c r="L567" s="75" t="n">
        <f aca="false">2034.16/L322*100</f>
        <v>6.5078167640203</v>
      </c>
      <c r="M567" s="75" t="n">
        <f aca="false">2941.55/M322*100</f>
        <v>7.39162588128218</v>
      </c>
      <c r="N567" s="75" t="n">
        <f aca="false">5228.75/N322*100</f>
        <v>10.6986628385079</v>
      </c>
      <c r="O567" s="75" t="n">
        <f aca="false">4513.05/O322*100</f>
        <v>7.31402202253076</v>
      </c>
      <c r="P567" s="74" t="n">
        <f aca="false">P276-3</f>
        <v>4.247475659217</v>
      </c>
      <c r="Q567" s="74" t="n">
        <f aca="false">Q276-3</f>
        <v>5.74575376009795</v>
      </c>
      <c r="R567" s="74" t="n">
        <f aca="false">R276-3</f>
        <v>9.51492715548125</v>
      </c>
      <c r="S567" s="74" t="n">
        <f aca="false">S276-3</f>
        <v>6.35300190845665</v>
      </c>
      <c r="T567" s="74" t="n">
        <f aca="false">T276-3</f>
        <v>7.9514802456804</v>
      </c>
      <c r="U567" s="74" t="n">
        <f aca="false">U276-3</f>
        <v>9.6571232473772</v>
      </c>
      <c r="V567" s="74" t="n">
        <f aca="false">V276-3</f>
        <v>4.65895071153729</v>
      </c>
      <c r="W567" s="74" t="n">
        <f aca="false">W276-3</f>
        <v>7.5286723306133</v>
      </c>
      <c r="X567" s="74" t="n">
        <f aca="false">X276-3</f>
        <v>8.96736001220187</v>
      </c>
      <c r="Y567" s="74" t="n">
        <f aca="false">Y276-3</f>
        <v>6.35019258563119</v>
      </c>
      <c r="Z567" s="74" t="n">
        <f aca="false">Z276-3</f>
        <v>5.13698592364855</v>
      </c>
      <c r="AA567" s="74" t="n">
        <f aca="false">AA276-3</f>
        <v>6.28616767597056</v>
      </c>
      <c r="AB567" s="74" t="n">
        <f aca="false">AB276-3</f>
        <v>3.23258311968627</v>
      </c>
      <c r="AC567" s="74" t="n">
        <f aca="false">AC276-3</f>
        <v>4.12158591011792</v>
      </c>
      <c r="AD567" s="74" t="n">
        <f aca="false">AD276-3</f>
        <v>4.94419897731222</v>
      </c>
      <c r="AE567" s="74" t="n">
        <f aca="false">AE276-3</f>
        <v>5.58282810965821</v>
      </c>
      <c r="AF567" s="74" t="n">
        <f aca="false">AF276-3</f>
        <v>2.87341640435993</v>
      </c>
      <c r="AG567" s="74" t="n">
        <f aca="false">AG276-3</f>
        <v>3.08835902467088</v>
      </c>
      <c r="AH567" s="74" t="n">
        <f aca="false">AH276-3</f>
        <v>4.81934769571435</v>
      </c>
      <c r="AI567" s="74" t="n">
        <f aca="false">AI276-3</f>
        <v>5.20279717107382</v>
      </c>
      <c r="AJ567" s="74" t="n">
        <f aca="false">AJ276-3</f>
        <v>4.40535925596612</v>
      </c>
      <c r="AK567" s="74" t="n">
        <f aca="false">AK276-3</f>
        <v>4.51282816688056</v>
      </c>
      <c r="AL567" s="74" t="n">
        <f aca="false">AL276-3</f>
        <v>4.63869689744897</v>
      </c>
      <c r="AM567" s="36"/>
      <c r="AN567" s="36"/>
      <c r="AO567" s="36"/>
      <c r="AP567" s="36"/>
      <c r="AQ567" s="36"/>
      <c r="AR567" s="36"/>
      <c r="AS567" s="36"/>
      <c r="AT567" s="36"/>
      <c r="AU567" s="36"/>
      <c r="AV567" s="36"/>
      <c r="AW567" s="36"/>
      <c r="AX567" s="36"/>
      <c r="AY567" s="36"/>
    </row>
    <row r="568" customFormat="false" ht="15" hidden="false" customHeight="true" outlineLevel="0" collapsed="false">
      <c r="A568" s="47" t="s">
        <v>607</v>
      </c>
      <c r="B568" s="30"/>
      <c r="C568" s="30"/>
      <c r="D568" s="30"/>
      <c r="E568" s="30"/>
      <c r="F568" s="35" t="n">
        <f aca="false">(+F566*F567)/100</f>
        <v>76.0379062499998</v>
      </c>
      <c r="G568" s="35" t="n">
        <f aca="false">(+G566*G567)/100</f>
        <v>-18.4632875542499</v>
      </c>
      <c r="H568" s="35" t="n">
        <f aca="false">(+H566*H567)/100</f>
        <v>-14.0309764099052</v>
      </c>
      <c r="I568" s="35" t="n">
        <f aca="false">(+I566*I567)/100</f>
        <v>37.8240345948945</v>
      </c>
      <c r="J568" s="35" t="n">
        <f aca="false">(+J566*J567)/100</f>
        <v>57.4995593664716</v>
      </c>
      <c r="K568" s="35" t="n">
        <f aca="false">(+K566*K567)/100</f>
        <v>74.830277685379</v>
      </c>
      <c r="L568" s="35" t="n">
        <f aca="false">(+L566*L567)/100</f>
        <v>110.651649547523</v>
      </c>
      <c r="M568" s="35" t="n">
        <f aca="false">(+M566*M567)/100</f>
        <v>211.241626747591</v>
      </c>
      <c r="N568" s="35" t="n">
        <f aca="false">(+N566*N567)/100</f>
        <v>407.171566184789</v>
      </c>
      <c r="O568" s="35" t="n">
        <f aca="false">(+O566*O567)/100</f>
        <v>342.839196961145</v>
      </c>
      <c r="P568" s="35" t="n">
        <f aca="false">(+P566*P567)/100</f>
        <v>242.947148915986</v>
      </c>
      <c r="Q568" s="35" t="n">
        <f aca="false">(+Q566*Q567)/100</f>
        <v>337.654822597663</v>
      </c>
      <c r="R568" s="35" t="n">
        <f aca="false">(+R566*R567)/100</f>
        <v>-172.409920092069</v>
      </c>
      <c r="S568" s="35" t="n">
        <f aca="false">(+S566*S567)/100</f>
        <v>-1.64844667312984</v>
      </c>
      <c r="T568" s="35" t="n">
        <f aca="false">(+T566*T567)/100</f>
        <v>248.803311348746</v>
      </c>
      <c r="U568" s="35" t="n">
        <f aca="false">(+U566*U567)/100</f>
        <v>414.716342939639</v>
      </c>
      <c r="V568" s="35" t="n">
        <f aca="false">(+V566*V567)/100</f>
        <v>126.000016476378</v>
      </c>
      <c r="W568" s="35" t="n">
        <f aca="false">(+W566*W567)/100</f>
        <v>-218.872438625402</v>
      </c>
      <c r="X568" s="35" t="n">
        <f aca="false">(+X566*X567)/100</f>
        <v>373.408168403916</v>
      </c>
      <c r="Y568" s="35" t="n">
        <f aca="false">(+Y566*Y567)/100</f>
        <v>973.715819382866</v>
      </c>
      <c r="Z568" s="35" t="n">
        <f aca="false">(+Z566*Z567)/100</f>
        <v>1241.76019172805</v>
      </c>
      <c r="AA568" s="35" t="n">
        <f aca="false">(+AA566*AA567)/100</f>
        <v>1796.76802711373</v>
      </c>
      <c r="AB568" s="35" t="n">
        <f aca="false">(+AB566*AB567)/100</f>
        <v>975.956627511784</v>
      </c>
      <c r="AC568" s="35" t="n">
        <f aca="false">(+AC566*AC567)/100</f>
        <v>304.549434992262</v>
      </c>
      <c r="AD568" s="35" t="n">
        <f aca="false">(+AD566*AD567)/100</f>
        <v>-45.4035452513312</v>
      </c>
      <c r="AE568" s="35" t="n">
        <f aca="false">(+AE566*AE567)/100</f>
        <v>487.361931663915</v>
      </c>
      <c r="AF568" s="35" t="n">
        <f aca="false">(+AF566*AF567)/100</f>
        <v>709.116829074326</v>
      </c>
      <c r="AG568" s="35" t="n">
        <f aca="false">(+AG566*AG567)/100</f>
        <v>1286.38572651974</v>
      </c>
      <c r="AH568" s="35" t="n">
        <f aca="false">(+AH566*AH567)/100</f>
        <v>2254.09118832271</v>
      </c>
      <c r="AI568" s="35" t="n">
        <f aca="false">(+AI566*AI567)/100</f>
        <v>2569.41889421101</v>
      </c>
      <c r="AJ568" s="35" t="n">
        <f aca="false">(+AJ566*AJ567)/100</f>
        <v>2313.08528182791</v>
      </c>
      <c r="AK568" s="35" t="n">
        <f aca="false">(+AK566*AK567)/100</f>
        <v>2665.82559709857</v>
      </c>
      <c r="AL568" s="35" t="n">
        <f aca="false">(+AL566*AL567)/100</f>
        <v>2977.02390283334</v>
      </c>
      <c r="AM568" s="30"/>
      <c r="AN568" s="30"/>
      <c r="AO568" s="30"/>
      <c r="AP568" s="30"/>
      <c r="AQ568" s="30"/>
      <c r="AR568" s="30"/>
      <c r="AS568" s="30"/>
      <c r="AT568" s="30"/>
      <c r="AU568" s="30"/>
      <c r="AV568" s="30"/>
      <c r="AW568" s="30"/>
      <c r="AX568" s="30"/>
      <c r="AY568" s="30"/>
    </row>
    <row r="569" customFormat="false" ht="15" hidden="false" customHeight="true" outlineLevel="0" collapsed="false">
      <c r="A569" s="47" t="s">
        <v>608</v>
      </c>
      <c r="B569" s="36"/>
      <c r="C569" s="36"/>
      <c r="D569" s="36"/>
      <c r="E569" s="36"/>
      <c r="F569" s="74" t="n">
        <f aca="false">+F344</f>
        <v>97.58</v>
      </c>
      <c r="G569" s="74" t="n">
        <f aca="false">+G344</f>
        <v>72.47</v>
      </c>
      <c r="H569" s="74" t="n">
        <f aca="false">+H344</f>
        <v>57.11</v>
      </c>
      <c r="I569" s="74" t="n">
        <f aca="false">+I344</f>
        <v>42.86</v>
      </c>
      <c r="J569" s="74" t="n">
        <f aca="false">+J344</f>
        <v>48.51</v>
      </c>
      <c r="K569" s="74" t="n">
        <f aca="false">+K344</f>
        <v>135.57</v>
      </c>
      <c r="L569" s="74" t="n">
        <f aca="false">+L344</f>
        <v>92.06</v>
      </c>
      <c r="M569" s="74" t="n">
        <f aca="false">+M344</f>
        <v>108.97</v>
      </c>
      <c r="N569" s="75" t="n">
        <f aca="false">N344+277.5578</f>
        <v>401.9378</v>
      </c>
      <c r="O569" s="74" t="n">
        <f aca="false">+O344</f>
        <v>127.24</v>
      </c>
      <c r="P569" s="74" t="n">
        <f aca="false">+P344</f>
        <v>164.38</v>
      </c>
      <c r="Q569" s="74" t="n">
        <f aca="false">+Q344</f>
        <v>42.69</v>
      </c>
      <c r="R569" s="74" t="n">
        <f aca="false">+R344</f>
        <v>86.332</v>
      </c>
      <c r="S569" s="74" t="n">
        <f aca="false">+S344</f>
        <v>52.177</v>
      </c>
      <c r="T569" s="74" t="n">
        <f aca="false">+T344</f>
        <v>82.987</v>
      </c>
      <c r="U569" s="74" t="n">
        <f aca="false">+U344</f>
        <v>90.606</v>
      </c>
      <c r="V569" s="74" t="n">
        <f aca="false">+V344</f>
        <v>75.627</v>
      </c>
      <c r="W569" s="74" t="n">
        <f aca="false">+W344</f>
        <v>47.052</v>
      </c>
      <c r="X569" s="74" t="n">
        <f aca="false">+X344</f>
        <v>27.732</v>
      </c>
      <c r="Y569" s="74" t="n">
        <f aca="false">+Y344</f>
        <v>39.809</v>
      </c>
      <c r="Z569" s="74" t="n">
        <f aca="false">+Z344</f>
        <v>11.587</v>
      </c>
      <c r="AA569" s="74" t="n">
        <f aca="false">+AA344</f>
        <v>12.877</v>
      </c>
      <c r="AB569" s="74" t="n">
        <f aca="false">+AB344</f>
        <v>15.4</v>
      </c>
      <c r="AC569" s="74" t="n">
        <f aca="false">+AC344</f>
        <v>189</v>
      </c>
      <c r="AD569" s="74" t="n">
        <f aca="false">+AD344</f>
        <v>100</v>
      </c>
      <c r="AE569" s="74" t="n">
        <f aca="false">+AE344</f>
        <v>0.7</v>
      </c>
      <c r="AF569" s="74" t="n">
        <f aca="false">+AF344</f>
        <v>8.2</v>
      </c>
      <c r="AG569" s="74" t="n">
        <f aca="false">+AG344</f>
        <v>10</v>
      </c>
      <c r="AH569" s="74" t="n">
        <f aca="false">+AH344</f>
        <v>12</v>
      </c>
      <c r="AI569" s="74" t="n">
        <f aca="false">+AI344</f>
        <v>12</v>
      </c>
      <c r="AJ569" s="74" t="n">
        <f aca="false">+AJ344</f>
        <v>12</v>
      </c>
      <c r="AK569" s="74" t="n">
        <f aca="false">+AK344</f>
        <v>12</v>
      </c>
      <c r="AL569" s="74" t="n">
        <f aca="false">+AL344</f>
        <v>12</v>
      </c>
      <c r="AM569" s="36"/>
      <c r="AN569" s="36"/>
      <c r="AO569" s="36"/>
      <c r="AP569" s="36"/>
      <c r="AQ569" s="36"/>
      <c r="AR569" s="36"/>
      <c r="AS569" s="36"/>
      <c r="AT569" s="36"/>
      <c r="AU569" s="36"/>
      <c r="AV569" s="36"/>
      <c r="AW569" s="36"/>
      <c r="AX569" s="36"/>
      <c r="AY569" s="36"/>
    </row>
    <row r="570" customFormat="false" ht="15" hidden="false" customHeight="true" outlineLevel="0" collapsed="false">
      <c r="A570" s="51" t="s">
        <v>251</v>
      </c>
      <c r="B570" s="53"/>
      <c r="C570" s="53"/>
      <c r="D570" s="53"/>
      <c r="E570" s="53"/>
      <c r="F570" s="69" t="n">
        <f aca="false">+F566-F568-F569-600</f>
        <v>747.140218749996</v>
      </c>
      <c r="G570" s="52" t="n">
        <f aca="false">+G566-G568-G569</f>
        <v>-293.789667695749</v>
      </c>
      <c r="H570" s="52" t="n">
        <f aca="false">+H566-H568-H569</f>
        <v>-243.521543731597</v>
      </c>
      <c r="I570" s="52" t="n">
        <f aca="false">+I566-I568-I569</f>
        <v>588.94841657698</v>
      </c>
      <c r="J570" s="52" t="n">
        <f aca="false">+J566-J568-J569</f>
        <v>835.054154012434</v>
      </c>
      <c r="K570" s="52" t="n">
        <f aca="false">+K566-K568-K569</f>
        <v>1057.6525073488</v>
      </c>
      <c r="L570" s="52" t="n">
        <f aca="false">+L566-L568-L569</f>
        <v>1497.57668922812</v>
      </c>
      <c r="M570" s="52" t="n">
        <f aca="false">+M566-M568-M569</f>
        <v>2537.63900233414</v>
      </c>
      <c r="N570" s="52" t="n">
        <f aca="false">+N566-N568-N569</f>
        <v>2996.70798062651</v>
      </c>
      <c r="O570" s="52" t="n">
        <f aca="false">+O566-O568-O569</f>
        <v>4217.34443814732</v>
      </c>
      <c r="P570" s="52" t="n">
        <f aca="false">+P566-P568-P569</f>
        <v>5312.47370241536</v>
      </c>
      <c r="Q570" s="52" t="n">
        <f aca="false">+Q566-Q568-Q569</f>
        <v>5496.25269090085</v>
      </c>
      <c r="R570" s="52" t="n">
        <f aca="false">+R566-R568-R569</f>
        <v>-1725.91619478404</v>
      </c>
      <c r="S570" s="52" t="n">
        <f aca="false">+S566-S568-S569</f>
        <v>-76.4760769839235</v>
      </c>
      <c r="T570" s="52" t="n">
        <f aca="false">+T566-T568-T569</f>
        <v>2797.22848340846</v>
      </c>
      <c r="U570" s="52" t="n">
        <f aca="false">+U566-U568-U569</f>
        <v>3789.08637812823</v>
      </c>
      <c r="V570" s="52" t="n">
        <f aca="false">+V566-V568-V569</f>
        <v>2502.84496182456</v>
      </c>
      <c r="W570" s="52" t="n">
        <f aca="false">+W566-W568-W569</f>
        <v>-2735.36464014893</v>
      </c>
      <c r="X570" s="52" t="n">
        <f aca="false">+X566-X568-X569</f>
        <v>3762.94121001538</v>
      </c>
      <c r="Y570" s="52" t="n">
        <f aca="false">+Y566-Y568-Y569</f>
        <v>14320.1175269316</v>
      </c>
      <c r="Z570" s="52" t="n">
        <f aca="false">+Z566-Z568-Z569</f>
        <v>22919.5863180078</v>
      </c>
      <c r="AA570" s="52" t="n">
        <f aca="false">+AA566-AA568-AA569</f>
        <v>26773.2391676881</v>
      </c>
      <c r="AB570" s="52" t="n">
        <f aca="false">+AB566-AB568-AB569</f>
        <v>29199.8740810896</v>
      </c>
      <c r="AC570" s="52" t="n">
        <f aca="false">+AC566-AC568-AC569</f>
        <v>6895.58284645879</v>
      </c>
      <c r="AD570" s="52" t="n">
        <f aca="false">+AD566-AD568-AD569</f>
        <v>-972.915993660382</v>
      </c>
      <c r="AE570" s="52" t="n">
        <f aca="false">+AE566-AE568-AE569</f>
        <v>8241.59841415232</v>
      </c>
      <c r="AF570" s="52" t="n">
        <f aca="false">+AF566-AF568-AF569</f>
        <v>23961.2096802878</v>
      </c>
      <c r="AG570" s="52" t="n">
        <f aca="false">+AG566-AG568-AG569</f>
        <v>40356.3404055019</v>
      </c>
      <c r="AH570" s="52" t="n">
        <f aca="false">+AH566-AH568-AH569</f>
        <v>44505.6159106936</v>
      </c>
      <c r="AI570" s="52" t="n">
        <f aca="false">+AI566-AI568-AI569</f>
        <v>46803.9176800513</v>
      </c>
      <c r="AJ570" s="52" t="n">
        <f aca="false">+AJ566-AJ568-AJ569</f>
        <v>50181.081580621</v>
      </c>
      <c r="AK570" s="52" t="n">
        <f aca="false">+AK566-AK568-AK569</f>
        <v>56394.3459662449</v>
      </c>
      <c r="AL570" s="52" t="n">
        <f aca="false">+AL566-AL568-AL569</f>
        <v>61188.9978271603</v>
      </c>
      <c r="AM570" s="53"/>
      <c r="AN570" s="53"/>
      <c r="AO570" s="53"/>
      <c r="AP570" s="53"/>
      <c r="AQ570" s="53"/>
      <c r="AR570" s="53"/>
      <c r="AS570" s="53"/>
      <c r="AT570" s="53"/>
      <c r="AU570" s="53"/>
      <c r="AV570" s="53"/>
      <c r="AW570" s="53"/>
      <c r="AX570" s="53"/>
      <c r="AY570" s="53"/>
    </row>
    <row r="571" customFormat="false" ht="15" hidden="false" customHeight="true" outlineLevel="0" collapsed="false">
      <c r="A571" s="47" t="s">
        <v>609</v>
      </c>
      <c r="B571" s="30"/>
      <c r="C571" s="30"/>
      <c r="D571" s="30"/>
      <c r="E571" s="30"/>
      <c r="F571" s="101" t="n">
        <f aca="false">+F570*0.43</f>
        <v>321.270294062498</v>
      </c>
      <c r="G571" s="101" t="n">
        <f aca="false">+G570*0.35</f>
        <v>-102.826383693512</v>
      </c>
      <c r="H571" s="101" t="n">
        <f aca="false">+H570*0.33</f>
        <v>-80.362109431427</v>
      </c>
      <c r="I571" s="101" t="n">
        <f aca="false">+I570*0.385</f>
        <v>226.745140382137</v>
      </c>
      <c r="J571" s="101" t="n">
        <f aca="false">+J570*0.385</f>
        <v>321.495849294787</v>
      </c>
      <c r="K571" s="101" t="n">
        <f aca="false">+K570*0.36</f>
        <v>380.754902645568</v>
      </c>
      <c r="L571" s="101" t="n">
        <f aca="false">+L570*0.36</f>
        <v>539.127608122122</v>
      </c>
      <c r="M571" s="101" t="n">
        <f aca="false">+M570*0.35</f>
        <v>888.173650816948</v>
      </c>
      <c r="N571" s="101" t="n">
        <f aca="false">+N570*0.341</f>
        <v>1021.87742139364</v>
      </c>
      <c r="O571" s="101" t="n">
        <f aca="false">+O570*0.29635</f>
        <v>1249.81002424496</v>
      </c>
      <c r="P571" s="101" t="n">
        <f aca="false">+P570*0.34</f>
        <v>1806.24105882122</v>
      </c>
      <c r="Q571" s="101" t="n">
        <f aca="false">+Q570*0.34</f>
        <v>1868.72591490629</v>
      </c>
      <c r="R571" s="101" t="n">
        <f aca="false">+R570*0.34</f>
        <v>-586.811506226572</v>
      </c>
      <c r="S571" s="101" t="n">
        <f aca="false">+S570*0.34</f>
        <v>-26.001866174534</v>
      </c>
      <c r="T571" s="101" t="n">
        <f aca="false">+T570*0.34</f>
        <v>951.057684358877</v>
      </c>
      <c r="U571" s="101" t="n">
        <f aca="false">+U570*0.34</f>
        <v>1288.2893685636</v>
      </c>
      <c r="V571" s="101" t="n">
        <f aca="false">+V570*0.34</f>
        <v>850.96728702035</v>
      </c>
      <c r="W571" s="101" t="n">
        <f aca="false">+W570*0.34</f>
        <v>-930.023977650637</v>
      </c>
      <c r="X571" s="101" t="n">
        <f aca="false">+X570*0.34</f>
        <v>1279.40001140523</v>
      </c>
      <c r="Y571" s="101" t="n">
        <f aca="false">+Y570*0.34</f>
        <v>4868.83995915675</v>
      </c>
      <c r="Z571" s="101" t="n">
        <f aca="false">+Z570*0.34</f>
        <v>7792.65934812266</v>
      </c>
      <c r="AA571" s="101" t="n">
        <f aca="false">+AA570*0.34</f>
        <v>9102.90131701396</v>
      </c>
      <c r="AB571" s="101" t="n">
        <f aca="false">+AB570*0.34</f>
        <v>9927.95718757045</v>
      </c>
      <c r="AC571" s="101" t="n">
        <f aca="false">+AC570*0.34</f>
        <v>2344.49816779599</v>
      </c>
      <c r="AD571" s="101" t="n">
        <f aca="false">+AD570*0.34</f>
        <v>-330.79143784453</v>
      </c>
      <c r="AE571" s="101" t="n">
        <f aca="false">+AE570*0.34</f>
        <v>2802.14346081179</v>
      </c>
      <c r="AF571" s="101" t="n">
        <f aca="false">+AF570*0.34</f>
        <v>8146.81129129787</v>
      </c>
      <c r="AG571" s="101" t="n">
        <f aca="false">+AG570*0.34</f>
        <v>13721.1557378707</v>
      </c>
      <c r="AH571" s="101" t="n">
        <f aca="false">+AH570*0.34</f>
        <v>15131.9094096358</v>
      </c>
      <c r="AI571" s="101" t="n">
        <f aca="false">+AI570*0.34</f>
        <v>15913.3320112175</v>
      </c>
      <c r="AJ571" s="101" t="n">
        <f aca="false">+AJ570*0.34</f>
        <v>17061.5677374111</v>
      </c>
      <c r="AK571" s="101" t="n">
        <f aca="false">+AK570*0.34</f>
        <v>19174.0776285233</v>
      </c>
      <c r="AL571" s="101" t="n">
        <f aca="false">+AL570*0.34</f>
        <v>20804.2592612345</v>
      </c>
      <c r="AM571" s="30"/>
      <c r="AN571" s="30"/>
      <c r="AO571" s="30"/>
      <c r="AP571" s="30"/>
      <c r="AQ571" s="30"/>
      <c r="AR571" s="30"/>
      <c r="AS571" s="30"/>
      <c r="AT571" s="30"/>
      <c r="AU571" s="30"/>
      <c r="AV571" s="30"/>
      <c r="AW571" s="30"/>
      <c r="AX571" s="30"/>
      <c r="AY571" s="30"/>
    </row>
    <row r="572" customFormat="false" ht="15" hidden="false" customHeight="true" outlineLevel="0" collapsed="false">
      <c r="A572" s="47"/>
      <c r="B572" s="30"/>
      <c r="C572" s="30"/>
      <c r="D572" s="30"/>
      <c r="E572" s="30"/>
      <c r="F572" s="31" t="n">
        <f aca="false">F530</f>
        <v>321</v>
      </c>
      <c r="G572" s="31" t="n">
        <f aca="false">G530</f>
        <v>22.5</v>
      </c>
      <c r="H572" s="31" t="n">
        <f aca="false">H530</f>
        <v>29.5</v>
      </c>
      <c r="I572" s="31" t="n">
        <f aca="false">I530</f>
        <v>148</v>
      </c>
      <c r="J572" s="31" t="n">
        <f aca="false">J530</f>
        <v>102.6</v>
      </c>
      <c r="K572" s="31" t="n">
        <f aca="false">K530</f>
        <v>399.5</v>
      </c>
      <c r="L572" s="31" t="n">
        <f aca="false">L530</f>
        <v>498.9</v>
      </c>
      <c r="M572" s="31" t="n">
        <f aca="false">M530</f>
        <v>928.8</v>
      </c>
      <c r="N572" s="31" t="n">
        <f aca="false">N530</f>
        <v>1022</v>
      </c>
      <c r="O572" s="31" t="n">
        <f aca="false">O530</f>
        <v>1249.8</v>
      </c>
      <c r="P572" s="31" t="n">
        <f aca="false">P530</f>
        <v>1632.2</v>
      </c>
      <c r="Q572" s="31" t="n">
        <f aca="false">Q530</f>
        <v>1688.4</v>
      </c>
      <c r="R572" s="31" t="n">
        <f aca="false">R530</f>
        <v>184.5</v>
      </c>
      <c r="S572" s="31" t="n">
        <f aca="false">S530</f>
        <v>1211</v>
      </c>
      <c r="T572" s="31" t="n">
        <f aca="false">T530</f>
        <v>1705</v>
      </c>
      <c r="U572" s="31" t="n">
        <f aca="false">U530</f>
        <v>1240</v>
      </c>
      <c r="V572" s="31" t="n">
        <f aca="false">V530</f>
        <v>370</v>
      </c>
      <c r="W572" s="31" t="n">
        <f aca="false">W530</f>
        <v>-1206</v>
      </c>
      <c r="X572" s="31" t="n">
        <f aca="false">X530</f>
        <v>1073.907</v>
      </c>
      <c r="Y572" s="31" t="n">
        <f aca="false">Y530</f>
        <v>4369.382</v>
      </c>
      <c r="Z572" s="31" t="n">
        <f aca="false">Z530</f>
        <v>4310.09</v>
      </c>
      <c r="AA572" s="31" t="n">
        <f aca="false">AA530</f>
        <v>6681.258</v>
      </c>
      <c r="AB572" s="31" t="n">
        <f aca="false">AB530</f>
        <v>5136</v>
      </c>
      <c r="AC572" s="31" t="n">
        <f aca="false">AC530</f>
        <v>1224</v>
      </c>
      <c r="AD572" s="31" t="n">
        <f aca="false">AD530</f>
        <v>-982.3</v>
      </c>
      <c r="AE572" s="31" t="n">
        <f aca="false">AE530</f>
        <v>-142.2</v>
      </c>
      <c r="AF572" s="31" t="n">
        <f aca="false">AF530</f>
        <v>7302.9</v>
      </c>
      <c r="AG572" s="31" t="n">
        <f aca="false">AG530</f>
        <v>11743.1</v>
      </c>
      <c r="AH572" s="31" t="n">
        <f aca="false">AH530</f>
        <v>10450</v>
      </c>
      <c r="AI572" s="31" t="n">
        <f aca="false">AI530</f>
        <v>12484.9</v>
      </c>
      <c r="AJ572" s="31" t="n">
        <f aca="false">AJ530</f>
        <v>13030.6125704381</v>
      </c>
      <c r="AK572" s="31" t="n">
        <f aca="false">AK530</f>
        <v>14615.1931944552</v>
      </c>
      <c r="AL572" s="31" t="n">
        <f aca="false">AL530</f>
        <v>15833.9317227129</v>
      </c>
      <c r="AM572" s="30"/>
      <c r="AN572" s="30"/>
      <c r="AO572" s="30"/>
      <c r="AP572" s="30"/>
      <c r="AQ572" s="30"/>
      <c r="AR572" s="30"/>
      <c r="AS572" s="30"/>
      <c r="AT572" s="30"/>
      <c r="AU572" s="30"/>
      <c r="AV572" s="30"/>
      <c r="AW572" s="30"/>
      <c r="AX572" s="30"/>
      <c r="AY572" s="30"/>
    </row>
    <row r="573" customFormat="false" ht="15" hidden="false" customHeight="true" outlineLevel="0" collapsed="false">
      <c r="A573" s="47" t="s">
        <v>610</v>
      </c>
      <c r="B573" s="35" t="n">
        <f aca="false">B520</f>
        <v>360.080000000002</v>
      </c>
      <c r="C573" s="35" t="n">
        <f aca="false">C520</f>
        <v>681.400000000002</v>
      </c>
      <c r="D573" s="35" t="n">
        <f aca="false">D520</f>
        <v>1097.69</v>
      </c>
      <c r="E573" s="35" t="n">
        <f aca="false">E520</f>
        <v>1881.88</v>
      </c>
      <c r="F573" s="35" t="n">
        <f aca="false">F520</f>
        <v>2226.33</v>
      </c>
      <c r="G573" s="35" t="n">
        <f aca="false">G520</f>
        <v>912.251576000001</v>
      </c>
      <c r="H573" s="35" t="n">
        <f aca="false">H520</f>
        <v>998.588378295998</v>
      </c>
      <c r="I573" s="35" t="n">
        <f aca="false">I520</f>
        <v>1757.3</v>
      </c>
      <c r="J573" s="35" t="n">
        <f aca="false">J520</f>
        <v>1957.59</v>
      </c>
      <c r="K573" s="35" t="n">
        <f aca="false">K520</f>
        <v>2316.04</v>
      </c>
      <c r="L573" s="35" t="n">
        <f aca="false">L520</f>
        <v>2838.12</v>
      </c>
      <c r="M573" s="35" t="n">
        <f aca="false">M520</f>
        <v>3924.33</v>
      </c>
      <c r="N573" s="35" t="n">
        <f aca="false">N520</f>
        <v>4469.4816</v>
      </c>
      <c r="O573" s="35" t="n">
        <f aca="false">O520</f>
        <v>5565.90999999999</v>
      </c>
      <c r="P573" s="35" t="n">
        <f aca="false">P520</f>
        <v>7681.55999999999</v>
      </c>
      <c r="Q573" s="35" t="n">
        <f aca="false">Q520</f>
        <v>8282.48</v>
      </c>
      <c r="R573" s="35" t="n">
        <f aca="false">R520</f>
        <v>4458.49200000001</v>
      </c>
      <c r="S573" s="35" t="n">
        <f aca="false">S520</f>
        <v>7521.54100000003</v>
      </c>
      <c r="T573" s="35" t="n">
        <f aca="false">T520</f>
        <v>11192.303</v>
      </c>
      <c r="U573" s="35" t="n">
        <f aca="false">U520</f>
        <v>10411.92</v>
      </c>
      <c r="V573" s="35" t="n">
        <f aca="false">V520</f>
        <v>5619.34100000002</v>
      </c>
      <c r="W573" s="35" t="n">
        <f aca="false">W520</f>
        <v>-2198.41800000002</v>
      </c>
      <c r="X573" s="35" t="n">
        <f aca="false">X520</f>
        <v>7575.97500000003</v>
      </c>
      <c r="Y573" s="35" t="n">
        <f aca="false">Y520</f>
        <v>21246.126</v>
      </c>
      <c r="Z573" s="35" t="n">
        <f aca="false">Z520</f>
        <v>21834.286</v>
      </c>
      <c r="AA573" s="35" t="n">
        <f aca="false">AA520</f>
        <v>27974.995</v>
      </c>
      <c r="AB573" s="35" t="n">
        <f aca="false">AB520</f>
        <v>31752.9999999999</v>
      </c>
      <c r="AC573" s="35" t="n">
        <f aca="false">AC520</f>
        <v>11875.4</v>
      </c>
      <c r="AD573" s="35" t="n">
        <f aca="false">AD520</f>
        <v>3478.49999999999</v>
      </c>
      <c r="AE573" s="35" t="n">
        <f aca="false">AE520</f>
        <v>7695.40000000001</v>
      </c>
      <c r="AF573" s="35" t="n">
        <f aca="false">AF520</f>
        <v>27577.5</v>
      </c>
      <c r="AG573" s="35" t="n">
        <f aca="false">AG520</f>
        <v>46037.1</v>
      </c>
      <c r="AH573" s="35" t="n">
        <f aca="false">AH520</f>
        <v>49639</v>
      </c>
      <c r="AI573" s="35" t="n">
        <f aca="false">AI520</f>
        <v>58776.9000000002</v>
      </c>
      <c r="AJ573" s="35" t="n">
        <f aca="false">AJ520</f>
        <v>59673.8956817523</v>
      </c>
      <c r="AK573" s="35" t="n">
        <f aca="false">AK520</f>
        <v>66572.718177821</v>
      </c>
      <c r="AL573" s="35" t="n">
        <f aca="false">AL520</f>
        <v>71803.1816908518</v>
      </c>
      <c r="AM573" s="30"/>
      <c r="AN573" s="30"/>
      <c r="AO573" s="30"/>
      <c r="AP573" s="30"/>
      <c r="AQ573" s="30"/>
      <c r="AR573" s="30"/>
      <c r="AS573" s="30"/>
      <c r="AT573" s="30"/>
      <c r="AU573" s="30"/>
      <c r="AV573" s="30"/>
      <c r="AW573" s="30"/>
      <c r="AX573" s="30"/>
      <c r="AY573" s="30"/>
    </row>
    <row r="574" customFormat="false" ht="15" hidden="false" customHeight="true" outlineLevel="0" collapsed="false">
      <c r="A574" s="47" t="s">
        <v>611</v>
      </c>
      <c r="B574" s="35" t="n">
        <f aca="false">(+B575+B576)</f>
        <v>315.83</v>
      </c>
      <c r="C574" s="35" t="n">
        <f aca="false">(+C575+C576)</f>
        <v>328.1</v>
      </c>
      <c r="D574" s="35" t="n">
        <f aca="false">(+D575+D576)</f>
        <v>391.79</v>
      </c>
      <c r="E574" s="35" t="n">
        <f aca="false">(+E575+E576)</f>
        <v>546.05</v>
      </c>
      <c r="F574" s="35" t="n">
        <f aca="false">+F575+F576</f>
        <v>655.98</v>
      </c>
      <c r="G574" s="35" t="n">
        <f aca="false">+G575+G576</f>
        <v>705.57</v>
      </c>
      <c r="H574" s="35" t="n">
        <f aca="false">+H575+H576</f>
        <v>761.9</v>
      </c>
      <c r="I574" s="35" t="n">
        <f aca="false">+I575+I576</f>
        <v>824.43</v>
      </c>
      <c r="J574" s="35" t="n">
        <f aca="false">+J575+J576</f>
        <v>883.5</v>
      </c>
      <c r="K574" s="35" t="n">
        <f aca="false">+K575+K576</f>
        <v>953.55</v>
      </c>
      <c r="L574" s="35" t="n">
        <f aca="false">+L575+L576</f>
        <v>1029.69</v>
      </c>
      <c r="M574" s="35" t="n">
        <f aca="false">+M575+M576</f>
        <v>964.54</v>
      </c>
      <c r="N574" s="35" t="n">
        <f aca="false">+N575+N576</f>
        <v>1092.14</v>
      </c>
      <c r="O574" s="35" t="n">
        <f aca="false">+O575+O576</f>
        <v>1260.06</v>
      </c>
      <c r="P574" s="35" t="n">
        <f aca="false">+P575+P576</f>
        <v>1505.74</v>
      </c>
      <c r="Q574" s="35" t="n">
        <f aca="false">+Q575+Q576</f>
        <v>1773.61</v>
      </c>
      <c r="R574" s="35" t="n">
        <f aca="false">+R575+R576</f>
        <v>1784.142</v>
      </c>
      <c r="S574" s="35" t="n">
        <f aca="false">+S575+S576</f>
        <v>2041.079</v>
      </c>
      <c r="T574" s="35" t="n">
        <f aca="false">+T575+T576</f>
        <v>2674.31</v>
      </c>
      <c r="U574" s="35" t="n">
        <f aca="false">+U575+U576</f>
        <v>3528.132</v>
      </c>
      <c r="V574" s="35" t="n">
        <f aca="false">+V575+V576</f>
        <v>3807.835</v>
      </c>
      <c r="W574" s="35" t="n">
        <f aca="false">+W575+W576</f>
        <v>3770.36</v>
      </c>
      <c r="X574" s="35" t="n">
        <f aca="false">+X575+X576</f>
        <v>4163.367</v>
      </c>
      <c r="Y574" s="35" t="n">
        <f aca="false">+Y575+Y576</f>
        <v>4879.004</v>
      </c>
      <c r="Z574" s="35" t="n">
        <f aca="false">+Z575+Z576</f>
        <v>5178.939</v>
      </c>
      <c r="AA574" s="35" t="n">
        <f aca="false">+AA575+AA576</f>
        <v>5546.094</v>
      </c>
      <c r="AB574" s="35" t="n">
        <f aca="false">+AB575+AB576</f>
        <v>6210.1</v>
      </c>
      <c r="AC574" s="35" t="n">
        <f aca="false">+AC575+AC576</f>
        <v>6698</v>
      </c>
      <c r="AD574" s="35" t="n">
        <f aca="false">+AD575+AD576</f>
        <v>7477.1</v>
      </c>
      <c r="AE574" s="35" t="n">
        <f aca="false">+AE575+AE576</f>
        <v>7527.6</v>
      </c>
      <c r="AF574" s="35" t="n">
        <f aca="false">+AF575+AF576</f>
        <v>7319.6</v>
      </c>
      <c r="AG574" s="35" t="n">
        <f aca="false">+AG575+AG576</f>
        <v>7178.1</v>
      </c>
      <c r="AH574" s="35" t="n">
        <f aca="false">+AH575+AH576</f>
        <v>7193.4</v>
      </c>
      <c r="AI574" s="35" t="n">
        <f aca="false">+AI575+AI576</f>
        <v>7151.9</v>
      </c>
      <c r="AJ574" s="35" t="n">
        <f aca="false">+AJ575+AJ576</f>
        <v>7551.4454</v>
      </c>
      <c r="AK574" s="35" t="n">
        <f aca="false">+AK575+AK576</f>
        <v>8111.9454</v>
      </c>
      <c r="AL574" s="35" t="n">
        <f aca="false">+AL575+AL576</f>
        <v>8467.4548</v>
      </c>
      <c r="AM574" s="30"/>
      <c r="AN574" s="30"/>
      <c r="AO574" s="30"/>
      <c r="AP574" s="30"/>
      <c r="AQ574" s="30"/>
      <c r="AR574" s="30"/>
      <c r="AS574" s="30"/>
      <c r="AT574" s="30"/>
      <c r="AU574" s="30"/>
      <c r="AV574" s="30"/>
      <c r="AW574" s="30"/>
      <c r="AX574" s="30"/>
      <c r="AY574" s="30"/>
    </row>
    <row r="575" customFormat="false" ht="15" hidden="false" customHeight="true" outlineLevel="0" collapsed="false">
      <c r="A575" s="29" t="s">
        <v>267</v>
      </c>
      <c r="B575" s="31" t="n">
        <f aca="false">+B522</f>
        <v>315.83</v>
      </c>
      <c r="C575" s="31" t="n">
        <f aca="false">+C522</f>
        <v>328.1</v>
      </c>
      <c r="D575" s="31" t="n">
        <f aca="false">+D522</f>
        <v>391.79</v>
      </c>
      <c r="E575" s="31" t="n">
        <f aca="false">+E522</f>
        <v>546.05</v>
      </c>
      <c r="F575" s="31" t="n">
        <f aca="false">+F522</f>
        <v>655.98</v>
      </c>
      <c r="G575" s="31" t="n">
        <f aca="false">+G522</f>
        <v>705.57</v>
      </c>
      <c r="H575" s="31" t="n">
        <f aca="false">+H522</f>
        <v>761.9</v>
      </c>
      <c r="I575" s="31" t="n">
        <f aca="false">+I522</f>
        <v>824.43</v>
      </c>
      <c r="J575" s="31" t="n">
        <f aca="false">+J522</f>
        <v>883.5</v>
      </c>
      <c r="K575" s="31" t="n">
        <f aca="false">+K522</f>
        <v>953.55</v>
      </c>
      <c r="L575" s="31" t="n">
        <f aca="false">+L522</f>
        <v>1029.69</v>
      </c>
      <c r="M575" s="31" t="n">
        <f aca="false">+M522</f>
        <v>964.54</v>
      </c>
      <c r="N575" s="31" t="n">
        <f aca="false">+N522</f>
        <v>1092.14</v>
      </c>
      <c r="O575" s="31" t="n">
        <f aca="false">+O522</f>
        <v>1260.06</v>
      </c>
      <c r="P575" s="31" t="n">
        <f aca="false">+P522</f>
        <v>1505.74</v>
      </c>
      <c r="Q575" s="31" t="n">
        <f aca="false">+Q522</f>
        <v>1773.61</v>
      </c>
      <c r="R575" s="31" t="n">
        <f aca="false">+R522</f>
        <v>1784.142</v>
      </c>
      <c r="S575" s="31" t="n">
        <f aca="false">+S522</f>
        <v>2041.079</v>
      </c>
      <c r="T575" s="31" t="n">
        <f aca="false">+T522</f>
        <v>2674.31</v>
      </c>
      <c r="U575" s="31" t="n">
        <f aca="false">+U522</f>
        <v>3528.132</v>
      </c>
      <c r="V575" s="31" t="n">
        <f aca="false">+V522</f>
        <v>3807.835</v>
      </c>
      <c r="W575" s="31" t="n">
        <f aca="false">+W522</f>
        <v>3770.36</v>
      </c>
      <c r="X575" s="31" t="n">
        <f aca="false">+X522</f>
        <v>4163.367</v>
      </c>
      <c r="Y575" s="31" t="n">
        <f aca="false">+Y522</f>
        <v>4879.004</v>
      </c>
      <c r="Z575" s="31" t="n">
        <f aca="false">+Z522</f>
        <v>5178.939</v>
      </c>
      <c r="AA575" s="31" t="n">
        <f aca="false">+AA522</f>
        <v>5546.094</v>
      </c>
      <c r="AB575" s="31" t="n">
        <f aca="false">+AB522</f>
        <v>6210.1</v>
      </c>
      <c r="AC575" s="31" t="n">
        <f aca="false">+AC522</f>
        <v>6698</v>
      </c>
      <c r="AD575" s="31" t="n">
        <f aca="false">+AD522</f>
        <v>7477.1</v>
      </c>
      <c r="AE575" s="31" t="n">
        <f aca="false">+AE522</f>
        <v>7527.6</v>
      </c>
      <c r="AF575" s="31" t="n">
        <f aca="false">+AF522</f>
        <v>7319.6</v>
      </c>
      <c r="AG575" s="31" t="n">
        <f aca="false">+AG522</f>
        <v>7178.1</v>
      </c>
      <c r="AH575" s="31" t="n">
        <f aca="false">+AH522</f>
        <v>7193.4</v>
      </c>
      <c r="AI575" s="31" t="n">
        <f aca="false">+AI522</f>
        <v>7151.9</v>
      </c>
      <c r="AJ575" s="31" t="n">
        <f aca="false">+AJ522</f>
        <v>7551.4454</v>
      </c>
      <c r="AK575" s="31" t="n">
        <f aca="false">+AK522</f>
        <v>8111.9454</v>
      </c>
      <c r="AL575" s="31" t="n">
        <f aca="false">+AL522</f>
        <v>8467.4548</v>
      </c>
      <c r="AM575" s="30"/>
      <c r="AN575" s="30"/>
      <c r="AO575" s="30"/>
      <c r="AP575" s="30"/>
      <c r="AQ575" s="30"/>
      <c r="AR575" s="30"/>
      <c r="AS575" s="30"/>
      <c r="AT575" s="30"/>
      <c r="AU575" s="30"/>
      <c r="AV575" s="30"/>
      <c r="AW575" s="30"/>
      <c r="AX575" s="30"/>
      <c r="AY575" s="30"/>
    </row>
    <row r="576" customFormat="false" ht="15" hidden="false" customHeight="true" outlineLevel="0" collapsed="false">
      <c r="A576" s="29" t="s">
        <v>380</v>
      </c>
      <c r="B576" s="60" t="n">
        <v>0</v>
      </c>
      <c r="C576" s="60" t="n">
        <v>0</v>
      </c>
      <c r="D576" s="60" t="n">
        <v>0</v>
      </c>
      <c r="E576" s="60" t="n">
        <v>0</v>
      </c>
      <c r="F576" s="60" t="n">
        <v>0</v>
      </c>
      <c r="G576" s="60" t="n">
        <v>0</v>
      </c>
      <c r="H576" s="60" t="n">
        <v>0</v>
      </c>
      <c r="I576" s="60" t="n">
        <v>0</v>
      </c>
      <c r="J576" s="60" t="n">
        <v>0</v>
      </c>
      <c r="K576" s="60" t="n">
        <v>0</v>
      </c>
      <c r="L576" s="60" t="n">
        <v>0</v>
      </c>
      <c r="M576" s="60" t="n">
        <v>0</v>
      </c>
      <c r="N576" s="60" t="n">
        <v>0</v>
      </c>
      <c r="O576" s="60" t="n">
        <v>0</v>
      </c>
      <c r="P576" s="60" t="n">
        <v>0</v>
      </c>
      <c r="Q576" s="60" t="n">
        <v>0</v>
      </c>
      <c r="R576" s="60" t="n">
        <v>0</v>
      </c>
      <c r="S576" s="60" t="n">
        <v>0</v>
      </c>
      <c r="T576" s="60" t="n">
        <v>0</v>
      </c>
      <c r="U576" s="60" t="n">
        <v>0</v>
      </c>
      <c r="V576" s="60" t="n">
        <v>0</v>
      </c>
      <c r="W576" s="60" t="n">
        <v>0</v>
      </c>
      <c r="X576" s="60" t="n">
        <v>0</v>
      </c>
      <c r="Y576" s="60" t="n">
        <v>0</v>
      </c>
      <c r="Z576" s="60" t="n">
        <v>0</v>
      </c>
      <c r="AA576" s="60" t="n">
        <v>0</v>
      </c>
      <c r="AB576" s="60" t="n">
        <v>0</v>
      </c>
      <c r="AC576" s="60" t="n">
        <v>0</v>
      </c>
      <c r="AD576" s="60" t="n">
        <v>0</v>
      </c>
      <c r="AE576" s="60" t="n">
        <v>0</v>
      </c>
      <c r="AF576" s="60" t="n">
        <v>0</v>
      </c>
      <c r="AG576" s="60" t="n">
        <v>0</v>
      </c>
      <c r="AH576" s="60" t="n">
        <v>0</v>
      </c>
      <c r="AI576" s="60" t="n">
        <v>0</v>
      </c>
      <c r="AJ576" s="60" t="n">
        <v>0</v>
      </c>
      <c r="AK576" s="60" t="n">
        <v>0</v>
      </c>
      <c r="AL576" s="60" t="n">
        <v>0</v>
      </c>
      <c r="AM576" s="43"/>
      <c r="AN576" s="43"/>
      <c r="AO576" s="43"/>
      <c r="AP576" s="43"/>
      <c r="AQ576" s="43"/>
      <c r="AR576" s="43"/>
      <c r="AS576" s="43"/>
      <c r="AT576" s="43"/>
      <c r="AU576" s="43"/>
      <c r="AV576" s="43"/>
      <c r="AW576" s="43"/>
      <c r="AX576" s="43"/>
      <c r="AY576" s="43"/>
    </row>
    <row r="577" customFormat="false" ht="15" hidden="false" customHeight="true" outlineLevel="0" collapsed="false">
      <c r="A577" s="29" t="s">
        <v>612</v>
      </c>
      <c r="B577" s="30"/>
      <c r="C577" s="31" t="n">
        <f aca="false">+C680</f>
        <v>-367.009999999999</v>
      </c>
      <c r="D577" s="31" t="n">
        <f aca="false">+D680</f>
        <v>4086</v>
      </c>
      <c r="E577" s="31" t="n">
        <f aca="false">+E680</f>
        <v>3728.77</v>
      </c>
      <c r="F577" s="31" t="n">
        <f aca="false">+F680</f>
        <v>2428.32999999999</v>
      </c>
      <c r="G577" s="31" t="n">
        <f aca="false">+G680</f>
        <v>-629.129999999999</v>
      </c>
      <c r="H577" s="31" t="n">
        <f aca="false">+H680</f>
        <v>-4181.87</v>
      </c>
      <c r="I577" s="31" t="n">
        <f aca="false">+I680</f>
        <v>505.660000000002</v>
      </c>
      <c r="J577" s="31" t="n">
        <f aca="false">+J680</f>
        <v>-1121.67</v>
      </c>
      <c r="K577" s="31" t="n">
        <f aca="false">+K680</f>
        <v>-1609</v>
      </c>
      <c r="L577" s="31" t="n">
        <f aca="false">+L680</f>
        <v>-1474.22</v>
      </c>
      <c r="M577" s="31" t="n">
        <f aca="false">+M680</f>
        <v>-1671.81</v>
      </c>
      <c r="N577" s="31" t="n">
        <f aca="false">+N680</f>
        <v>-392.940000000001</v>
      </c>
      <c r="O577" s="31" t="n">
        <f aca="false">+O680</f>
        <v>848.919999999999</v>
      </c>
      <c r="P577" s="31" t="n">
        <f aca="false">+P680</f>
        <v>2455.03</v>
      </c>
      <c r="Q577" s="31" t="n">
        <f aca="false">+Q680</f>
        <v>-1403.09</v>
      </c>
      <c r="R577" s="31" t="n">
        <f aca="false">+R680</f>
        <v>6174.628</v>
      </c>
      <c r="S577" s="31" t="n">
        <f aca="false">+S680</f>
        <v>-171.548999999995</v>
      </c>
      <c r="T577" s="31" t="n">
        <f aca="false">+T680</f>
        <v>1912.269</v>
      </c>
      <c r="U577" s="31" t="n">
        <f aca="false">+U680</f>
        <v>-648.101000000002</v>
      </c>
      <c r="V577" s="31" t="n">
        <f aca="false">+V680</f>
        <v>3055.413</v>
      </c>
      <c r="W577" s="31" t="n">
        <f aca="false">+W680</f>
        <v>-6467.731</v>
      </c>
      <c r="X577" s="31" t="n">
        <f aca="false">+X680</f>
        <v>-6775.482</v>
      </c>
      <c r="Y577" s="31" t="n">
        <f aca="false">+Y680</f>
        <v>-128.473000000002</v>
      </c>
      <c r="Z577" s="31" t="n">
        <f aca="false">+Z680</f>
        <v>-715.747999999992</v>
      </c>
      <c r="AA577" s="31" t="n">
        <f aca="false">+AA680</f>
        <v>-22564.345</v>
      </c>
      <c r="AB577" s="31" t="n">
        <f aca="false">+AB680</f>
        <v>21378.639</v>
      </c>
      <c r="AC577" s="31" t="n">
        <f aca="false">+AC680</f>
        <v>-3768.19999999999</v>
      </c>
      <c r="AD577" s="31" t="n">
        <f aca="false">+AD680</f>
        <v>-23.8000000000066</v>
      </c>
      <c r="AE577" s="31" t="n">
        <f aca="false">+AE680</f>
        <v>-15035.1</v>
      </c>
      <c r="AF577" s="31" t="n">
        <f aca="false">+AF680</f>
        <v>13510.5</v>
      </c>
      <c r="AG577" s="31" t="n">
        <f aca="false">+AG680</f>
        <v>8883.29999999998</v>
      </c>
      <c r="AH577" s="31" t="n">
        <f aca="false">+AH680</f>
        <v>-20104.5</v>
      </c>
      <c r="AI577" s="31" t="n">
        <f aca="false">+AI680</f>
        <v>-4327.80000000001</v>
      </c>
      <c r="AJ577" s="31" t="n">
        <f aca="false">+AJ680</f>
        <v>3810.03954296324</v>
      </c>
      <c r="AK577" s="31" t="n">
        <f aca="false">+AK680</f>
        <v>-427.219797744896</v>
      </c>
      <c r="AL577" s="31" t="n">
        <f aca="false">+AL680</f>
        <v>-1228.57626395888</v>
      </c>
      <c r="AM577" s="30"/>
      <c r="AN577" s="30"/>
      <c r="AO577" s="30"/>
      <c r="AP577" s="30"/>
      <c r="AQ577" s="30"/>
      <c r="AR577" s="30"/>
      <c r="AS577" s="30"/>
      <c r="AT577" s="30"/>
      <c r="AU577" s="30"/>
      <c r="AV577" s="30"/>
      <c r="AW577" s="30"/>
      <c r="AX577" s="30"/>
      <c r="AY577" s="30"/>
    </row>
    <row r="578" customFormat="false" ht="15" hidden="false" customHeight="true" outlineLevel="0" collapsed="false">
      <c r="A578" s="47" t="s">
        <v>613</v>
      </c>
      <c r="B578" s="30"/>
      <c r="C578" s="35" t="n">
        <f aca="false">+C573-C574-C577</f>
        <v>720.310000000001</v>
      </c>
      <c r="D578" s="35" t="n">
        <f aca="false">+D573-D574-D577</f>
        <v>-3380.1</v>
      </c>
      <c r="E578" s="35" t="n">
        <f aca="false">+E573-E574-E577</f>
        <v>-2392.94</v>
      </c>
      <c r="F578" s="35" t="n">
        <f aca="false">+F573-F574-F577</f>
        <v>-857.979999999999</v>
      </c>
      <c r="G578" s="35" t="n">
        <f aca="false">+G573-G574-G577</f>
        <v>835.811576</v>
      </c>
      <c r="H578" s="35" t="n">
        <f aca="false">+H573-H574-H577</f>
        <v>4418.558378296</v>
      </c>
      <c r="I578" s="35" t="n">
        <f aca="false">+I573-I574-I577</f>
        <v>427.209999999998</v>
      </c>
      <c r="J578" s="35" t="n">
        <f aca="false">+J573-J574-J577</f>
        <v>2195.76</v>
      </c>
      <c r="K578" s="35" t="n">
        <f aca="false">+K573-K574-K577</f>
        <v>2971.49</v>
      </c>
      <c r="L578" s="35" t="n">
        <f aca="false">+L573-L574-L577</f>
        <v>3282.65</v>
      </c>
      <c r="M578" s="35" t="n">
        <f aca="false">+M573-M574-M577</f>
        <v>4631.6</v>
      </c>
      <c r="N578" s="35" t="n">
        <f aca="false">+N573-N574-N577</f>
        <v>3770.2816</v>
      </c>
      <c r="O578" s="35" t="n">
        <f aca="false">+O573-O574-O577</f>
        <v>3456.92999999999</v>
      </c>
      <c r="P578" s="35" t="n">
        <f aca="false">+P573-P574-P577</f>
        <v>3720.78999999999</v>
      </c>
      <c r="Q578" s="35" t="n">
        <f aca="false">+Q573-Q574-Q577</f>
        <v>7911.96</v>
      </c>
      <c r="R578" s="35" t="n">
        <f aca="false">+R573-R574-R577</f>
        <v>-3500.27799999999</v>
      </c>
      <c r="S578" s="35" t="n">
        <f aca="false">+S573-S574-S577</f>
        <v>5652.01100000003</v>
      </c>
      <c r="T578" s="35" t="n">
        <f aca="false">+T573-T574-T577</f>
        <v>6605.72400000002</v>
      </c>
      <c r="U578" s="35" t="n">
        <f aca="false">+U573-U574-U577</f>
        <v>7531.88899999999</v>
      </c>
      <c r="V578" s="35" t="n">
        <f aca="false">+V573-V574-V577</f>
        <v>-1243.90699999998</v>
      </c>
      <c r="W578" s="35" t="n">
        <f aca="false">+W573-W574-W577</f>
        <v>498.952999999978</v>
      </c>
      <c r="X578" s="35" t="n">
        <f aca="false">+X573-X574-X577</f>
        <v>10188.09</v>
      </c>
      <c r="Y578" s="35" t="n">
        <f aca="false">+Y573-Y574-Y577</f>
        <v>16495.595</v>
      </c>
      <c r="Z578" s="35" t="n">
        <f aca="false">+Z573-Z574-Z577</f>
        <v>17371.095</v>
      </c>
      <c r="AA578" s="35" t="n">
        <f aca="false">+AA573-AA574-AA577</f>
        <v>44993.246</v>
      </c>
      <c r="AB578" s="35" t="n">
        <f aca="false">+AB573-AB574-AB577</f>
        <v>4164.26099999994</v>
      </c>
      <c r="AC578" s="35" t="n">
        <f aca="false">+AC573-AC574-AC577</f>
        <v>8945.59999999999</v>
      </c>
      <c r="AD578" s="35" t="n">
        <f aca="false">+AD573-AD574-AD577</f>
        <v>-3974.8</v>
      </c>
      <c r="AE578" s="35" t="n">
        <f aca="false">+AE573-AE574-AE577</f>
        <v>15202.9</v>
      </c>
      <c r="AF578" s="35" t="n">
        <f aca="false">+AF573-AF574-AF577</f>
        <v>6747.4</v>
      </c>
      <c r="AG578" s="35" t="n">
        <f aca="false">+AG573-AG574-AG577</f>
        <v>29975.7000000001</v>
      </c>
      <c r="AH578" s="35" t="n">
        <f aca="false">+AH573-AH574-AH577</f>
        <v>62550.1</v>
      </c>
      <c r="AI578" s="35" t="n">
        <f aca="false">+AI573-AI574-AI577</f>
        <v>55952.8000000002</v>
      </c>
      <c r="AJ578" s="35" t="n">
        <f aca="false">+AJ573-AJ574-AJ577</f>
        <v>48312.4107387891</v>
      </c>
      <c r="AK578" s="35" t="n">
        <f aca="false">+AK573-AK574-AK577</f>
        <v>58887.9925755659</v>
      </c>
      <c r="AL578" s="35" t="n">
        <f aca="false">+AL573-AL574-AL577</f>
        <v>64564.3031548106</v>
      </c>
      <c r="AM578" s="30"/>
      <c r="AN578" s="30"/>
      <c r="AO578" s="30"/>
      <c r="AP578" s="30"/>
      <c r="AQ578" s="30"/>
      <c r="AR578" s="30"/>
      <c r="AS578" s="30"/>
      <c r="AT578" s="30"/>
      <c r="AU578" s="30"/>
      <c r="AV578" s="30"/>
      <c r="AW578" s="30"/>
      <c r="AX578" s="30"/>
      <c r="AY578" s="30"/>
    </row>
    <row r="579" customFormat="false" ht="15" hidden="false" customHeight="true" outlineLevel="0" collapsed="false">
      <c r="A579" s="38" t="s">
        <v>614</v>
      </c>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c r="AY579" s="45"/>
    </row>
    <row r="580" customFormat="false" ht="15" hidden="false" customHeight="true" outlineLevel="0" collapsed="false">
      <c r="A580" s="47" t="s">
        <v>341</v>
      </c>
      <c r="B580" s="33" t="s">
        <v>175</v>
      </c>
      <c r="C580" s="33" t="s">
        <v>176</v>
      </c>
      <c r="D580" s="33" t="s">
        <v>177</v>
      </c>
      <c r="E580" s="33" t="s">
        <v>217</v>
      </c>
      <c r="F580" s="33" t="s">
        <v>179</v>
      </c>
      <c r="G580" s="33" t="s">
        <v>180</v>
      </c>
      <c r="H580" s="33" t="s">
        <v>181</v>
      </c>
      <c r="I580" s="33" t="s">
        <v>182</v>
      </c>
      <c r="J580" s="33" t="s">
        <v>183</v>
      </c>
      <c r="K580" s="33" t="s">
        <v>184</v>
      </c>
      <c r="L580" s="33" t="s">
        <v>221</v>
      </c>
      <c r="M580" s="33" t="s">
        <v>186</v>
      </c>
      <c r="N580" s="33" t="s">
        <v>222</v>
      </c>
      <c r="O580" s="33" t="s">
        <v>223</v>
      </c>
      <c r="P580" s="33" t="s">
        <v>224</v>
      </c>
      <c r="Q580" s="33" t="s">
        <v>573</v>
      </c>
      <c r="R580" s="33" t="s">
        <v>574</v>
      </c>
      <c r="S580" s="33" t="s">
        <v>615</v>
      </c>
      <c r="T580" s="33" t="s">
        <v>616</v>
      </c>
      <c r="U580" s="33" t="s">
        <v>617</v>
      </c>
      <c r="V580" s="48" t="str">
        <f aca="false">+V3</f>
        <v>FY2013</v>
      </c>
      <c r="W580" s="48" t="str">
        <f aca="false">+W3</f>
        <v>FY2014</v>
      </c>
      <c r="X580" s="48" t="str">
        <f aca="false">+X3</f>
        <v>FY2015</v>
      </c>
      <c r="Y580" s="48" t="str">
        <f aca="false">+Y3</f>
        <v>FY2016</v>
      </c>
      <c r="Z580" s="48" t="str">
        <f aca="false">+Z3</f>
        <v>FY2017</v>
      </c>
      <c r="AA580" s="48" t="str">
        <f aca="false">+AA3</f>
        <v>FY2018</v>
      </c>
      <c r="AB580" s="48" t="str">
        <f aca="false">+AB3</f>
        <v>FY2019</v>
      </c>
      <c r="AC580" s="48" t="str">
        <f aca="false">+AC3</f>
        <v>FY2020</v>
      </c>
      <c r="AD580" s="48" t="str">
        <f aca="false">+AD3</f>
        <v>FY2021</v>
      </c>
      <c r="AE580" s="48" t="str">
        <f aca="false">+AE3</f>
        <v>FY2022</v>
      </c>
      <c r="AF580" s="48" t="str">
        <f aca="false">+AF3</f>
        <v>FY2023</v>
      </c>
      <c r="AG580" s="48" t="str">
        <f aca="false">+AG3</f>
        <v>FY2024</v>
      </c>
      <c r="AH580" s="48" t="str">
        <f aca="false">+AH3</f>
        <v>FY2025</v>
      </c>
      <c r="AI580" s="48" t="str">
        <f aca="false">+AI3</f>
        <v>FY2026</v>
      </c>
      <c r="AJ580" s="48" t="str">
        <f aca="false">+AJ3</f>
        <v>FY2027E</v>
      </c>
      <c r="AK580" s="48" t="str">
        <f aca="false">+AK3</f>
        <v>FY2028E</v>
      </c>
      <c r="AL580" s="48" t="str">
        <f aca="false">+AL3</f>
        <v>FY2029E</v>
      </c>
      <c r="AM580" s="43"/>
      <c r="AN580" s="43"/>
      <c r="AO580" s="43"/>
      <c r="AP580" s="43"/>
      <c r="AQ580" s="43"/>
      <c r="AR580" s="43"/>
      <c r="AS580" s="43"/>
      <c r="AT580" s="43"/>
      <c r="AU580" s="43"/>
      <c r="AV580" s="43"/>
      <c r="AW580" s="43"/>
      <c r="AX580" s="43"/>
      <c r="AY580" s="43"/>
    </row>
    <row r="581" customFormat="false" ht="15" hidden="false" customHeight="true" outlineLevel="0" collapsed="false">
      <c r="A581" s="29" t="s">
        <v>216</v>
      </c>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row>
    <row r="582" customFormat="false" ht="15" hidden="false" customHeight="true" outlineLevel="0" collapsed="false">
      <c r="A582" s="70" t="s">
        <v>618</v>
      </c>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c r="AA582" s="86"/>
      <c r="AB582" s="86"/>
      <c r="AC582" s="86"/>
      <c r="AD582" s="86"/>
      <c r="AE582" s="86"/>
      <c r="AF582" s="86"/>
      <c r="AG582" s="86"/>
      <c r="AH582" s="86"/>
      <c r="AI582" s="86"/>
      <c r="AJ582" s="86"/>
      <c r="AK582" s="86"/>
      <c r="AL582" s="86"/>
      <c r="AM582" s="86"/>
      <c r="AN582" s="86"/>
      <c r="AO582" s="86"/>
      <c r="AP582" s="86"/>
      <c r="AQ582" s="86"/>
      <c r="AR582" s="86"/>
      <c r="AS582" s="86"/>
      <c r="AT582" s="86"/>
      <c r="AU582" s="86"/>
      <c r="AV582" s="86"/>
      <c r="AW582" s="86"/>
      <c r="AX582" s="86"/>
      <c r="AY582" s="86"/>
    </row>
    <row r="583" customFormat="false" ht="15" hidden="false" customHeight="true" outlineLevel="0" collapsed="false">
      <c r="A583" s="29"/>
      <c r="B583" s="43"/>
      <c r="C583" s="43"/>
      <c r="D583" s="43"/>
      <c r="E583" s="43"/>
      <c r="F583" s="43"/>
      <c r="G583" s="43"/>
      <c r="H583" s="43"/>
      <c r="I583" s="43"/>
      <c r="J583" s="43"/>
      <c r="K583" s="43"/>
      <c r="L583" s="43"/>
      <c r="M583" s="43"/>
      <c r="N583" s="43"/>
      <c r="O583" s="50" t="s">
        <v>619</v>
      </c>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row>
    <row r="584" customFormat="false" ht="15" hidden="false" customHeight="true" outlineLevel="0" collapsed="false">
      <c r="A584" s="47" t="s">
        <v>349</v>
      </c>
      <c r="B584" s="34" t="n">
        <v>693.62</v>
      </c>
      <c r="C584" s="34" t="n">
        <v>779.98</v>
      </c>
      <c r="D584" s="34" t="n">
        <v>1189.25</v>
      </c>
      <c r="E584" s="34" t="n">
        <v>1189.29</v>
      </c>
      <c r="F584" s="34" t="n">
        <v>1189.29</v>
      </c>
      <c r="G584" s="34" t="n">
        <v>1189.29</v>
      </c>
      <c r="H584" s="34" t="n">
        <v>1189.29</v>
      </c>
      <c r="I584" s="34" t="n">
        <v>1189.29</v>
      </c>
      <c r="J584" s="34" t="n">
        <v>1189.29</v>
      </c>
      <c r="K584" s="34" t="n">
        <v>1189.29</v>
      </c>
      <c r="L584" s="34" t="n">
        <v>1189.29</v>
      </c>
      <c r="M584" s="34" t="n">
        <v>1189.29</v>
      </c>
      <c r="N584" s="34" t="n">
        <v>1189.29</v>
      </c>
      <c r="O584" s="34" t="n">
        <v>1221.59</v>
      </c>
      <c r="P584" s="34" t="n">
        <v>1323.87</v>
      </c>
      <c r="Q584" s="34" t="n">
        <v>1330.34</v>
      </c>
      <c r="R584" s="93" t="n">
        <f aca="false">1330.342</f>
        <v>1330.342</v>
      </c>
      <c r="S584" s="34" t="n">
        <v>1330.342</v>
      </c>
      <c r="T584" s="34" t="n">
        <v>1330.342</v>
      </c>
      <c r="U584" s="34" t="n">
        <v>2660.68</v>
      </c>
      <c r="V584" s="34" t="n">
        <v>2660.68</v>
      </c>
      <c r="W584" s="34" t="n">
        <v>2660.68</v>
      </c>
      <c r="X584" s="34" t="n">
        <v>2845.88</v>
      </c>
      <c r="Y584" s="34" t="n">
        <v>2845.88</v>
      </c>
      <c r="Z584" s="34" t="n">
        <v>2845.88</v>
      </c>
      <c r="AA584" s="34" t="n">
        <v>2927.108</v>
      </c>
      <c r="AB584" s="34" t="n">
        <v>2935.5</v>
      </c>
      <c r="AC584" s="34" t="n">
        <v>2935.5</v>
      </c>
      <c r="AD584" s="34" t="n">
        <v>2935.5</v>
      </c>
      <c r="AE584" s="34" t="n">
        <v>2935.5</v>
      </c>
      <c r="AF584" s="34" t="n">
        <v>2936.1</v>
      </c>
      <c r="AG584" s="34" t="n">
        <v>2936.3</v>
      </c>
      <c r="AH584" s="34" t="n">
        <v>2936.5</v>
      </c>
      <c r="AI584" s="34" t="n">
        <v>5873.9</v>
      </c>
      <c r="AJ584" s="35" t="n">
        <f aca="false">+AI584</f>
        <v>5873.9</v>
      </c>
      <c r="AK584" s="35" t="n">
        <f aca="false">+AJ584</f>
        <v>5873.9</v>
      </c>
      <c r="AL584" s="35" t="n">
        <f aca="false">+AK584</f>
        <v>5873.9</v>
      </c>
      <c r="AM584" s="30"/>
      <c r="AN584" s="30"/>
      <c r="AO584" s="30"/>
      <c r="AP584" s="30"/>
      <c r="AQ584" s="30"/>
      <c r="AR584" s="30"/>
      <c r="AS584" s="30"/>
      <c r="AT584" s="30"/>
      <c r="AU584" s="30"/>
      <c r="AV584" s="30"/>
      <c r="AW584" s="30"/>
      <c r="AX584" s="30"/>
      <c r="AY584" s="30"/>
    </row>
    <row r="585" customFormat="false" ht="15" hidden="false" customHeight="true" outlineLevel="0" collapsed="false">
      <c r="A585" s="29" t="s">
        <v>620</v>
      </c>
      <c r="B585" s="62" t="n">
        <v>0</v>
      </c>
      <c r="C585" s="62" t="n">
        <v>0</v>
      </c>
      <c r="D585" s="62" t="n">
        <v>6.01</v>
      </c>
      <c r="E585" s="62" t="n">
        <v>8.95</v>
      </c>
      <c r="F585" s="62" t="n">
        <v>8.95</v>
      </c>
      <c r="G585" s="31" t="n">
        <f aca="false">+F585</f>
        <v>8.95</v>
      </c>
      <c r="H585" s="62" t="n">
        <v>8.95</v>
      </c>
      <c r="I585" s="31" t="n">
        <f aca="false">+H585</f>
        <v>8.95</v>
      </c>
      <c r="J585" s="62" t="n">
        <v>8.95</v>
      </c>
      <c r="K585" s="62" t="n">
        <v>8.95</v>
      </c>
      <c r="L585" s="62" t="n">
        <v>8.95</v>
      </c>
      <c r="M585" s="62" t="n">
        <v>8.95</v>
      </c>
      <c r="N585" s="62" t="n">
        <v>8.95</v>
      </c>
      <c r="O585" s="62" t="n">
        <v>8.95</v>
      </c>
      <c r="P585" s="62" t="n">
        <v>8.95</v>
      </c>
      <c r="Q585" s="62" t="n">
        <v>8.95</v>
      </c>
      <c r="R585" s="62" t="n">
        <v>8.95</v>
      </c>
      <c r="S585" s="62" t="n">
        <v>8.95</v>
      </c>
      <c r="T585" s="62" t="n">
        <v>8.95</v>
      </c>
      <c r="U585" s="62" t="n">
        <v>8.95</v>
      </c>
      <c r="V585" s="62" t="n">
        <v>8.95</v>
      </c>
      <c r="W585" s="62" t="n">
        <v>888.26</v>
      </c>
      <c r="X585" s="62" t="n">
        <v>888.26</v>
      </c>
      <c r="Y585" s="62" t="n">
        <v>879.31</v>
      </c>
      <c r="Z585" s="92" t="n">
        <f aca="false">2638.642+33.333</f>
        <v>2671.975</v>
      </c>
      <c r="AA585" s="92" t="n">
        <f aca="false">2638.642+33.333</f>
        <v>2671.975</v>
      </c>
      <c r="AB585" s="92" t="n">
        <f aca="false">2638.7+33.3</f>
        <v>2672</v>
      </c>
      <c r="AC585" s="92" t="n">
        <f aca="false">2638.7+33.3</f>
        <v>2672</v>
      </c>
      <c r="AD585" s="92" t="n">
        <f aca="false">2638.7+33.3</f>
        <v>2672</v>
      </c>
      <c r="AE585" s="92" t="n">
        <f aca="false">2638.7+33.3</f>
        <v>2672</v>
      </c>
      <c r="AF585" s="92" t="n">
        <f aca="false">2638.7+33.3</f>
        <v>2672</v>
      </c>
      <c r="AG585" s="31" t="n">
        <f aca="false">+AF585</f>
        <v>2672</v>
      </c>
      <c r="AH585" s="31" t="n">
        <f aca="false">+AG585</f>
        <v>2672</v>
      </c>
      <c r="AI585" s="31" t="n">
        <f aca="false">+AH585</f>
        <v>2672</v>
      </c>
      <c r="AJ585" s="31" t="n">
        <f aca="false">+AI585</f>
        <v>2672</v>
      </c>
      <c r="AK585" s="31" t="n">
        <f aca="false">+AJ585</f>
        <v>2672</v>
      </c>
      <c r="AL585" s="31" t="n">
        <f aca="false">+AK585</f>
        <v>2672</v>
      </c>
      <c r="AM585" s="30"/>
      <c r="AN585" s="30"/>
      <c r="AO585" s="30"/>
      <c r="AP585" s="30"/>
      <c r="AQ585" s="30"/>
      <c r="AR585" s="30"/>
      <c r="AS585" s="30"/>
      <c r="AT585" s="30"/>
      <c r="AU585" s="30"/>
      <c r="AV585" s="30"/>
      <c r="AW585" s="30"/>
      <c r="AX585" s="30"/>
      <c r="AY585" s="30"/>
    </row>
    <row r="586" customFormat="false" ht="15" hidden="false" customHeight="true" outlineLevel="0" collapsed="false">
      <c r="A586" s="29" t="s">
        <v>621</v>
      </c>
      <c r="B586" s="62" t="n">
        <v>1817.45</v>
      </c>
      <c r="C586" s="62" t="n">
        <v>2162.88</v>
      </c>
      <c r="D586" s="62" t="n">
        <v>6384.88</v>
      </c>
      <c r="E586" s="62" t="n">
        <v>6385.05</v>
      </c>
      <c r="F586" s="62" t="n">
        <v>6385.05</v>
      </c>
      <c r="G586" s="31" t="n">
        <f aca="false">+F586</f>
        <v>6385.05</v>
      </c>
      <c r="H586" s="62" t="n">
        <v>6388.36</v>
      </c>
      <c r="I586" s="62" t="n">
        <v>6388.36</v>
      </c>
      <c r="J586" s="62" t="n">
        <v>6388.36</v>
      </c>
      <c r="K586" s="62" t="n">
        <v>6388.36</v>
      </c>
      <c r="L586" s="62" t="n">
        <v>4789.22</v>
      </c>
      <c r="M586" s="62" t="n">
        <v>4789.22</v>
      </c>
      <c r="N586" s="62" t="n">
        <v>4678.51</v>
      </c>
      <c r="O586" s="62" t="n">
        <v>5647.29</v>
      </c>
      <c r="P586" s="62" t="n">
        <v>8715.8</v>
      </c>
      <c r="Q586" s="62" t="n">
        <v>8903.37</v>
      </c>
      <c r="R586" s="62" t="n">
        <v>8903.366</v>
      </c>
      <c r="S586" s="62" t="n">
        <v>8903.366</v>
      </c>
      <c r="T586" s="62" t="n">
        <v>8903.366</v>
      </c>
      <c r="U586" s="32" t="n">
        <f aca="false">+T586-1330.338-12.574</f>
        <v>7560.454</v>
      </c>
      <c r="V586" s="62" t="n">
        <v>7547.683</v>
      </c>
      <c r="W586" s="92" t="n">
        <f aca="false">7547.683-11.733</f>
        <v>7535.95</v>
      </c>
      <c r="X586" s="92" t="n">
        <f aca="false">7535.95+6482-148.285</f>
        <v>13869.665</v>
      </c>
      <c r="Y586" s="62" t="n">
        <v>13869.665</v>
      </c>
      <c r="Z586" s="62" t="n">
        <v>18964.556</v>
      </c>
      <c r="AA586" s="62" t="n">
        <v>19009.521</v>
      </c>
      <c r="AB586" s="62" t="n">
        <v>19087.5</v>
      </c>
      <c r="AC586" s="62" t="n">
        <v>19087.5</v>
      </c>
      <c r="AD586" s="62" t="n">
        <v>19087.5</v>
      </c>
      <c r="AE586" s="62" t="n">
        <v>19087.5</v>
      </c>
      <c r="AF586" s="62" t="n">
        <v>19137</v>
      </c>
      <c r="AG586" s="31" t="n">
        <f aca="false">AF586</f>
        <v>19137</v>
      </c>
      <c r="AH586" s="31" t="n">
        <f aca="false">AG586</f>
        <v>19137</v>
      </c>
      <c r="AI586" s="32" t="n">
        <f aca="false">+AH586-2936.5</f>
        <v>16200.5</v>
      </c>
      <c r="AJ586" s="31" t="n">
        <f aca="false">AI586</f>
        <v>16200.5</v>
      </c>
      <c r="AK586" s="31" t="n">
        <f aca="false">AJ586</f>
        <v>16200.5</v>
      </c>
      <c r="AL586" s="31" t="n">
        <f aca="false">AK586</f>
        <v>16200.5</v>
      </c>
      <c r="AM586" s="30"/>
      <c r="AN586" s="30"/>
      <c r="AO586" s="30"/>
      <c r="AP586" s="30"/>
      <c r="AQ586" s="30"/>
      <c r="AR586" s="30"/>
      <c r="AS586" s="30"/>
      <c r="AT586" s="30"/>
      <c r="AU586" s="30"/>
      <c r="AV586" s="30"/>
      <c r="AW586" s="30"/>
      <c r="AX586" s="30"/>
      <c r="AY586" s="30"/>
    </row>
    <row r="587" customFormat="false" ht="15" hidden="false" customHeight="true" outlineLevel="0" collapsed="false">
      <c r="A587" s="29" t="s">
        <v>622</v>
      </c>
      <c r="B587" s="62" t="n">
        <v>332.59</v>
      </c>
      <c r="C587" s="62" t="n">
        <v>326.73</v>
      </c>
      <c r="D587" s="62" t="n">
        <v>320.86</v>
      </c>
      <c r="E587" s="62" t="n">
        <v>314.36</v>
      </c>
      <c r="F587" s="62" t="n">
        <v>308.52</v>
      </c>
      <c r="G587" s="62" t="n">
        <v>302.68</v>
      </c>
      <c r="H587" s="62" t="n">
        <v>294.52</v>
      </c>
      <c r="I587" s="62" t="n">
        <v>278.1</v>
      </c>
      <c r="J587" s="62" t="n">
        <v>271.66</v>
      </c>
      <c r="K587" s="62" t="n">
        <v>265.21</v>
      </c>
      <c r="L587" s="62" t="n">
        <v>258.77</v>
      </c>
      <c r="M587" s="62" t="n">
        <v>252.33</v>
      </c>
      <c r="N587" s="62" t="n">
        <v>245.89</v>
      </c>
      <c r="O587" s="32" t="n">
        <f aca="false">N587-6.44</f>
        <v>239.45</v>
      </c>
      <c r="P587" s="62" t="n">
        <v>229.55</v>
      </c>
      <c r="Q587" s="62" t="n">
        <v>223.77</v>
      </c>
      <c r="R587" s="62" t="n">
        <v>13648.644</v>
      </c>
      <c r="S587" s="62" t="n">
        <v>13331.74</v>
      </c>
      <c r="T587" s="62" t="n">
        <v>13062.76</v>
      </c>
      <c r="U587" s="62" t="n">
        <v>13133.57</v>
      </c>
      <c r="V587" s="62" t="n">
        <v>12966.512</v>
      </c>
      <c r="W587" s="62" t="n">
        <v>11739.267</v>
      </c>
      <c r="X587" s="62" t="n">
        <v>10218.09</v>
      </c>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row>
    <row r="588" customFormat="false" ht="15" hidden="false" customHeight="true" outlineLevel="0" collapsed="false">
      <c r="A588" s="29" t="s">
        <v>623</v>
      </c>
      <c r="B588" s="37" t="n">
        <v>178.22</v>
      </c>
      <c r="C588" s="37" t="n">
        <v>147.42</v>
      </c>
      <c r="D588" s="37" t="n">
        <v>139.42</v>
      </c>
      <c r="E588" s="37" t="n">
        <v>120.42</v>
      </c>
      <c r="F588" s="37" t="n">
        <v>105.42</v>
      </c>
      <c r="G588" s="37" t="n">
        <v>94.22</v>
      </c>
      <c r="H588" s="37" t="n">
        <v>72.1</v>
      </c>
      <c r="I588" s="37" t="n">
        <v>53.4</v>
      </c>
      <c r="J588" s="37" t="n">
        <v>0</v>
      </c>
      <c r="K588" s="37" t="n">
        <v>0</v>
      </c>
      <c r="L588" s="37" t="n">
        <v>0</v>
      </c>
      <c r="M588" s="37" t="n">
        <v>0</v>
      </c>
      <c r="N588" s="37" t="n">
        <v>0</v>
      </c>
      <c r="O588" s="37" t="n">
        <v>0</v>
      </c>
      <c r="P588" s="37" t="n">
        <v>0</v>
      </c>
      <c r="Q588" s="37" t="n">
        <v>0</v>
      </c>
      <c r="R588" s="37" t="n">
        <v>0</v>
      </c>
      <c r="S588" s="37" t="n">
        <v>0</v>
      </c>
      <c r="T588" s="37" t="n">
        <v>0</v>
      </c>
      <c r="U588" s="37" t="n">
        <v>0</v>
      </c>
      <c r="V588" s="37" t="n">
        <v>0</v>
      </c>
      <c r="W588" s="37" t="n">
        <v>0</v>
      </c>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row>
    <row r="589" customFormat="false" ht="15" hidden="false" customHeight="true" outlineLevel="0" collapsed="false">
      <c r="A589" s="29" t="s">
        <v>624</v>
      </c>
      <c r="B589" s="60" t="n">
        <v>0</v>
      </c>
      <c r="C589" s="60" t="n">
        <v>0</v>
      </c>
      <c r="D589" s="60" t="n">
        <v>0</v>
      </c>
      <c r="E589" s="60" t="n">
        <v>0</v>
      </c>
      <c r="F589" s="60" t="n">
        <v>0</v>
      </c>
      <c r="G589" s="60" t="n">
        <v>0</v>
      </c>
      <c r="H589" s="60" t="n">
        <v>0</v>
      </c>
      <c r="I589" s="60" t="n">
        <v>0</v>
      </c>
      <c r="J589" s="60" t="n">
        <v>0</v>
      </c>
      <c r="K589" s="60" t="n">
        <v>0</v>
      </c>
      <c r="L589" s="60" t="n">
        <v>0</v>
      </c>
      <c r="M589" s="60" t="n">
        <v>0</v>
      </c>
      <c r="N589" s="60" t="n">
        <v>0</v>
      </c>
      <c r="O589" s="60" t="n">
        <v>0</v>
      </c>
      <c r="P589" s="60" t="n">
        <v>0</v>
      </c>
      <c r="Q589" s="60" t="n">
        <v>0</v>
      </c>
      <c r="R589" s="60" t="n">
        <v>0</v>
      </c>
      <c r="S589" s="60" t="n">
        <v>0</v>
      </c>
      <c r="T589" s="60" t="n">
        <v>0</v>
      </c>
      <c r="U589" s="60" t="n">
        <v>0</v>
      </c>
      <c r="V589" s="60" t="n">
        <v>0</v>
      </c>
      <c r="W589" s="60" t="n">
        <v>0</v>
      </c>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row>
    <row r="590" customFormat="false" ht="15" hidden="false" customHeight="true" outlineLevel="0" collapsed="false">
      <c r="A590" s="29" t="s">
        <v>625</v>
      </c>
      <c r="B590" s="62" t="n">
        <v>280.03</v>
      </c>
      <c r="C590" s="62" t="n">
        <v>403.38</v>
      </c>
      <c r="D590" s="62" t="n">
        <v>502.99</v>
      </c>
      <c r="E590" s="62" t="n">
        <v>602.6</v>
      </c>
      <c r="F590" s="62" t="n">
        <v>1144.88</v>
      </c>
      <c r="G590" s="62" t="n">
        <v>1424.88</v>
      </c>
      <c r="H590" s="62" t="n">
        <v>1797.7</v>
      </c>
      <c r="I590" s="62" t="n">
        <v>1007.28</v>
      </c>
      <c r="J590" s="62" t="n">
        <v>1059.58</v>
      </c>
      <c r="K590" s="62" t="n">
        <v>1084.17</v>
      </c>
      <c r="L590" s="62" t="n">
        <v>942.5</v>
      </c>
      <c r="M590" s="62" t="n">
        <v>505</v>
      </c>
      <c r="N590" s="62" t="n">
        <v>415.83</v>
      </c>
      <c r="O590" s="62" t="n">
        <v>347.5</v>
      </c>
      <c r="P590" s="62" t="n">
        <v>212.5</v>
      </c>
      <c r="Q590" s="62" t="n">
        <v>162.5</v>
      </c>
      <c r="R590" s="62" t="n">
        <v>458.333</v>
      </c>
      <c r="S590" s="62" t="n">
        <v>416.666</v>
      </c>
      <c r="T590" s="62" t="n">
        <v>900</v>
      </c>
      <c r="U590" s="62" t="n">
        <v>900</v>
      </c>
      <c r="V590" s="62" t="n">
        <v>900</v>
      </c>
      <c r="W590" s="62" t="n">
        <v>725</v>
      </c>
      <c r="X590" s="62" t="n">
        <v>2687.5</v>
      </c>
      <c r="Y590" s="62" t="n">
        <v>1525</v>
      </c>
      <c r="Z590" s="62" t="n">
        <v>1000</v>
      </c>
      <c r="AA590" s="62" t="n">
        <v>375</v>
      </c>
      <c r="AB590" s="62" t="n">
        <v>0</v>
      </c>
      <c r="AC590" s="31" t="n">
        <f aca="false">AB590</f>
        <v>0</v>
      </c>
      <c r="AD590" s="31" t="n">
        <f aca="false">AC590</f>
        <v>0</v>
      </c>
      <c r="AE590" s="31" t="n">
        <f aca="false">AD590</f>
        <v>0</v>
      </c>
      <c r="AF590" s="31" t="n">
        <f aca="false">AE590</f>
        <v>0</v>
      </c>
      <c r="AG590" s="31" t="n">
        <f aca="false">AF590</f>
        <v>0</v>
      </c>
      <c r="AH590" s="31" t="n">
        <f aca="false">AG590</f>
        <v>0</v>
      </c>
      <c r="AI590" s="31" t="n">
        <f aca="false">AH590</f>
        <v>0</v>
      </c>
      <c r="AJ590" s="31" t="n">
        <f aca="false">AI590</f>
        <v>0</v>
      </c>
      <c r="AK590" s="31" t="n">
        <f aca="false">AJ590</f>
        <v>0</v>
      </c>
      <c r="AL590" s="31" t="n">
        <f aca="false">AK590</f>
        <v>0</v>
      </c>
      <c r="AM590" s="30"/>
      <c r="AN590" s="30"/>
      <c r="AO590" s="30"/>
      <c r="AP590" s="30"/>
      <c r="AQ590" s="30"/>
      <c r="AR590" s="30"/>
      <c r="AS590" s="30"/>
      <c r="AT590" s="30"/>
      <c r="AU590" s="30"/>
      <c r="AV590" s="30"/>
      <c r="AW590" s="30"/>
      <c r="AX590" s="30"/>
      <c r="AY590" s="30"/>
    </row>
    <row r="591" customFormat="false" ht="15" hidden="false" customHeight="true" outlineLevel="0" collapsed="false">
      <c r="A591" s="29" t="s">
        <v>626</v>
      </c>
      <c r="B591" s="62" t="n">
        <v>762.82</v>
      </c>
      <c r="C591" s="62" t="n">
        <v>813.32</v>
      </c>
      <c r="D591" s="62" t="n">
        <v>1063.32</v>
      </c>
      <c r="E591" s="62" t="n">
        <v>1513.3</v>
      </c>
      <c r="F591" s="62" t="n">
        <v>1663.32</v>
      </c>
      <c r="G591" s="92" t="n">
        <f aca="false">1383.32+239.86</f>
        <v>1623.18</v>
      </c>
      <c r="H591" s="92" t="n">
        <f aca="false">1133.32+210.83</f>
        <v>1344.15</v>
      </c>
      <c r="I591" s="92" t="n">
        <f aca="false">1833.32</f>
        <v>1833.32</v>
      </c>
      <c r="J591" s="62" t="n">
        <v>2133.32</v>
      </c>
      <c r="K591" s="62" t="n">
        <v>634.32</v>
      </c>
      <c r="L591" s="62" t="n">
        <v>1433.94</v>
      </c>
      <c r="M591" s="62" t="n">
        <v>2433.94</v>
      </c>
      <c r="N591" s="62" t="n">
        <v>3356.05</v>
      </c>
      <c r="O591" s="62" t="n">
        <v>4356.05</v>
      </c>
      <c r="P591" s="62" t="n">
        <v>4838.15</v>
      </c>
      <c r="Q591" s="62" t="n">
        <v>5838.15</v>
      </c>
      <c r="R591" s="62" t="n">
        <v>5911.869</v>
      </c>
      <c r="S591" s="62" t="n">
        <v>6925.333</v>
      </c>
      <c r="T591" s="62" t="n">
        <v>7925.333</v>
      </c>
      <c r="U591" s="92" t="n">
        <f aca="false">8934.148</f>
        <v>8934.148</v>
      </c>
      <c r="V591" s="62" t="n">
        <v>9434.148</v>
      </c>
      <c r="W591" s="62" t="n">
        <v>9434.148</v>
      </c>
      <c r="X591" s="62" t="n">
        <v>9434.148</v>
      </c>
      <c r="Y591" s="62" t="n">
        <v>9432.186</v>
      </c>
      <c r="Z591" s="62" t="n">
        <v>9521.111</v>
      </c>
      <c r="AA591" s="62" t="n">
        <v>9542.415</v>
      </c>
      <c r="AB591" s="62" t="n">
        <v>10183.3</v>
      </c>
      <c r="AC591" s="62" t="n">
        <v>10183.3</v>
      </c>
      <c r="AD591" s="62" t="n">
        <v>10183.3</v>
      </c>
      <c r="AE591" s="62" t="n">
        <v>10205.5</v>
      </c>
      <c r="AF591" s="62" t="n">
        <v>10205.5</v>
      </c>
      <c r="AG591" s="31" t="n">
        <f aca="false">+AF591</f>
        <v>10205.5</v>
      </c>
      <c r="AH591" s="31" t="n">
        <f aca="false">+AG591</f>
        <v>10205.5</v>
      </c>
      <c r="AI591" s="31" t="n">
        <f aca="false">+AH591</f>
        <v>10205.5</v>
      </c>
      <c r="AJ591" s="31" t="n">
        <f aca="false">+AI591</f>
        <v>10205.5</v>
      </c>
      <c r="AK591" s="31" t="n">
        <f aca="false">+AJ591</f>
        <v>10205.5</v>
      </c>
      <c r="AL591" s="31" t="n">
        <f aca="false">+AK591</f>
        <v>10205.5</v>
      </c>
      <c r="AM591" s="30"/>
      <c r="AN591" s="30"/>
      <c r="AO591" s="30"/>
      <c r="AP591" s="30"/>
      <c r="AQ591" s="30"/>
      <c r="AR591" s="30"/>
      <c r="AS591" s="30"/>
      <c r="AT591" s="30"/>
      <c r="AU591" s="30"/>
      <c r="AV591" s="30"/>
      <c r="AW591" s="30"/>
      <c r="AX591" s="30"/>
      <c r="AY591" s="30"/>
    </row>
    <row r="592" customFormat="false" ht="15" hidden="false" customHeight="true" outlineLevel="0" collapsed="false">
      <c r="A592" s="29" t="s">
        <v>627</v>
      </c>
      <c r="B592" s="62" t="n">
        <v>47.26</v>
      </c>
      <c r="C592" s="62" t="n">
        <v>63.8</v>
      </c>
      <c r="D592" s="62" t="n">
        <v>132.95</v>
      </c>
      <c r="E592" s="62" t="n">
        <v>257.45</v>
      </c>
      <c r="F592" s="62" t="n">
        <v>175.39</v>
      </c>
      <c r="G592" s="30"/>
      <c r="H592" s="30"/>
      <c r="I592" s="62" t="n">
        <v>642.77</v>
      </c>
      <c r="J592" s="62" t="n">
        <v>736.44</v>
      </c>
      <c r="K592" s="62" t="n">
        <v>799.23</v>
      </c>
      <c r="L592" s="62" t="n">
        <v>972.19</v>
      </c>
      <c r="M592" s="62" t="n">
        <v>1339.24</v>
      </c>
      <c r="N592" s="62" t="n">
        <v>1784.13</v>
      </c>
      <c r="O592" s="62" t="n">
        <v>2303.7</v>
      </c>
      <c r="P592" s="62" t="n">
        <v>3616.86</v>
      </c>
      <c r="Q592" s="62" t="n">
        <v>5022.74</v>
      </c>
      <c r="R592" s="62" t="n">
        <v>4823.019</v>
      </c>
      <c r="S592" s="62" t="n">
        <v>5774.498</v>
      </c>
      <c r="T592" s="62" t="n">
        <v>7511.852</v>
      </c>
      <c r="U592" s="62" t="n">
        <v>9079.313</v>
      </c>
      <c r="V592" s="62" t="n">
        <v>11048.665</v>
      </c>
      <c r="W592" s="62" t="n">
        <v>11516.999</v>
      </c>
      <c r="X592" s="62" t="n">
        <v>11361.206</v>
      </c>
      <c r="Y592" s="62" t="n">
        <v>25685.343</v>
      </c>
      <c r="Z592" s="62" t="n">
        <v>25942.747</v>
      </c>
      <c r="AA592" s="62" t="n">
        <v>36473.618</v>
      </c>
      <c r="AB592" s="62" t="n">
        <v>48459.1</v>
      </c>
      <c r="AC592" s="62" t="n">
        <v>37682</v>
      </c>
      <c r="AD592" s="62" t="n">
        <v>34599.1</v>
      </c>
      <c r="AE592" s="62" t="n">
        <v>37989.4</v>
      </c>
      <c r="AF592" s="62" t="n">
        <v>48751.4</v>
      </c>
      <c r="AG592" s="32" t="n">
        <f aca="false">85167.4-AG593-AG596-AG591-AG585-AG586</f>
        <v>52596.9</v>
      </c>
      <c r="AH592" s="32" t="n">
        <f aca="false">112251.4-AH585-AH586-AH591-AH593-AH596</f>
        <v>79680.9</v>
      </c>
      <c r="AI592" s="32" t="n">
        <f aca="false">125260.3-AI585-AI586-AI591-AI593-AI596</f>
        <v>95626.3</v>
      </c>
      <c r="AJ592" s="31" t="n">
        <f aca="false">+AI592+AJ538-AI544-AJ543</f>
        <v>119883.387711314</v>
      </c>
      <c r="AK592" s="31" t="n">
        <f aca="false">+AJ592+AK538-AJ544-AK543</f>
        <v>144033.048439023</v>
      </c>
      <c r="AL592" s="31" t="n">
        <f aca="false">+AK592+AL538-AK544-AL543</f>
        <v>169462.053815479</v>
      </c>
      <c r="AM592" s="30"/>
      <c r="AN592" s="30"/>
      <c r="AO592" s="30"/>
      <c r="AP592" s="30"/>
      <c r="AQ592" s="30"/>
      <c r="AR592" s="30"/>
      <c r="AS592" s="30"/>
      <c r="AT592" s="30"/>
      <c r="AU592" s="30"/>
      <c r="AV592" s="30"/>
      <c r="AW592" s="30"/>
      <c r="AX592" s="30"/>
      <c r="AY592" s="30"/>
    </row>
    <row r="593" customFormat="false" ht="15" hidden="false" customHeight="true" outlineLevel="0" collapsed="false">
      <c r="A593" s="29" t="s">
        <v>628</v>
      </c>
      <c r="B593" s="36"/>
      <c r="C593" s="36"/>
      <c r="D593" s="36"/>
      <c r="E593" s="36"/>
      <c r="F593" s="36"/>
      <c r="G593" s="36"/>
      <c r="H593" s="36"/>
      <c r="I593" s="36"/>
      <c r="J593" s="36"/>
      <c r="K593" s="36"/>
      <c r="L593" s="36"/>
      <c r="M593" s="36"/>
      <c r="N593" s="36"/>
      <c r="O593" s="36"/>
      <c r="P593" s="36"/>
      <c r="Q593" s="36"/>
      <c r="R593" s="37" t="n">
        <v>-345.533</v>
      </c>
      <c r="S593" s="37" t="n">
        <v>-3.314</v>
      </c>
      <c r="T593" s="37" t="n">
        <v>-12.982</v>
      </c>
      <c r="U593" s="37" t="n">
        <v>-195.38</v>
      </c>
      <c r="V593" s="37" t="n">
        <v>-5.957</v>
      </c>
      <c r="W593" s="37" t="n">
        <v>37.828</v>
      </c>
      <c r="X593" s="37" t="n">
        <v>24.674</v>
      </c>
      <c r="Y593" s="37" t="n">
        <v>76.939</v>
      </c>
      <c r="Z593" s="37" t="n">
        <v>167.546</v>
      </c>
      <c r="AA593" s="37" t="n">
        <v>38.132</v>
      </c>
      <c r="AB593" s="37" t="n">
        <v>-2.8</v>
      </c>
      <c r="AC593" s="37" t="n">
        <v>-152.3</v>
      </c>
      <c r="AD593" s="37" t="n">
        <v>-127.5</v>
      </c>
      <c r="AE593" s="37" t="n">
        <v>100.1</v>
      </c>
      <c r="AF593" s="37" t="n">
        <v>177.3</v>
      </c>
      <c r="AG593" s="49" t="n">
        <f aca="false">+AF593</f>
        <v>177.3</v>
      </c>
      <c r="AH593" s="49" t="n">
        <f aca="false">+AG593</f>
        <v>177.3</v>
      </c>
      <c r="AI593" s="49" t="n">
        <f aca="false">+AH593</f>
        <v>177.3</v>
      </c>
      <c r="AJ593" s="49" t="n">
        <f aca="false">+AI593</f>
        <v>177.3</v>
      </c>
      <c r="AK593" s="49" t="n">
        <f aca="false">+AJ593</f>
        <v>177.3</v>
      </c>
      <c r="AL593" s="49" t="n">
        <f aca="false">+AK593</f>
        <v>177.3</v>
      </c>
      <c r="AM593" s="36"/>
      <c r="AN593" s="36"/>
      <c r="AO593" s="36"/>
      <c r="AP593" s="36"/>
      <c r="AQ593" s="36"/>
      <c r="AR593" s="36"/>
      <c r="AS593" s="36"/>
      <c r="AT593" s="36"/>
      <c r="AU593" s="36"/>
      <c r="AV593" s="36"/>
      <c r="AW593" s="36"/>
      <c r="AX593" s="36"/>
      <c r="AY593" s="36"/>
    </row>
    <row r="594" customFormat="false" ht="15" hidden="false" customHeight="true" outlineLevel="0" collapsed="false">
      <c r="A594" s="29" t="s">
        <v>629</v>
      </c>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7" t="n">
        <v>0</v>
      </c>
      <c r="Z594" s="37" t="n">
        <v>80.658</v>
      </c>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row>
    <row r="595" customFormat="false" ht="15" hidden="false" customHeight="true" outlineLevel="0" collapsed="false">
      <c r="A595" s="29" t="s">
        <v>630</v>
      </c>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7" t="n">
        <v>-242.853</v>
      </c>
      <c r="Z595" s="37" t="n">
        <v>-114.949</v>
      </c>
      <c r="AA595" s="37" t="n">
        <v>-77.679</v>
      </c>
      <c r="AB595" s="37" t="n">
        <v>-81.6</v>
      </c>
      <c r="AC595" s="37" t="n">
        <v>0</v>
      </c>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row>
    <row r="596" customFormat="false" ht="15" hidden="false" customHeight="true" outlineLevel="0" collapsed="false">
      <c r="A596" s="29" t="s">
        <v>631</v>
      </c>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7" t="n">
        <v>181.152</v>
      </c>
      <c r="AA596" s="37" t="n">
        <v>687.885</v>
      </c>
      <c r="AB596" s="37" t="n">
        <v>71.3</v>
      </c>
      <c r="AC596" s="37" t="n">
        <v>231.9</v>
      </c>
      <c r="AD596" s="37" t="n">
        <v>422.1</v>
      </c>
      <c r="AE596" s="37" t="n">
        <v>379</v>
      </c>
      <c r="AF596" s="37" t="n">
        <v>378.7</v>
      </c>
      <c r="AG596" s="49" t="n">
        <f aca="false">+AF596</f>
        <v>378.7</v>
      </c>
      <c r="AH596" s="49" t="n">
        <f aca="false">+AG596</f>
        <v>378.7</v>
      </c>
      <c r="AI596" s="49" t="n">
        <f aca="false">+AH596</f>
        <v>378.7</v>
      </c>
      <c r="AJ596" s="49" t="n">
        <f aca="false">+AI596</f>
        <v>378.7</v>
      </c>
      <c r="AK596" s="49" t="n">
        <f aca="false">+AJ596</f>
        <v>378.7</v>
      </c>
      <c r="AL596" s="49" t="n">
        <f aca="false">+AK596</f>
        <v>378.7</v>
      </c>
      <c r="AM596" s="36"/>
      <c r="AN596" s="36"/>
      <c r="AO596" s="36"/>
      <c r="AP596" s="36"/>
      <c r="AQ596" s="36"/>
      <c r="AR596" s="36"/>
      <c r="AS596" s="36"/>
      <c r="AT596" s="36"/>
      <c r="AU596" s="36"/>
      <c r="AV596" s="36"/>
      <c r="AW596" s="36"/>
      <c r="AX596" s="36"/>
      <c r="AY596" s="36"/>
    </row>
    <row r="597" customFormat="false" ht="15" hidden="false" customHeight="true" outlineLevel="0" collapsed="false">
      <c r="A597" s="47" t="s">
        <v>350</v>
      </c>
      <c r="B597" s="35" t="n">
        <f aca="false">SUM(B585:B593)</f>
        <v>3418.37</v>
      </c>
      <c r="C597" s="35" t="n">
        <f aca="false">SUM(C585:C593)</f>
        <v>3917.53</v>
      </c>
      <c r="D597" s="35" t="n">
        <f aca="false">SUM(D585:D593)</f>
        <v>8550.43</v>
      </c>
      <c r="E597" s="35" t="n">
        <f aca="false">SUM(E585:E593)</f>
        <v>9202.13</v>
      </c>
      <c r="F597" s="35" t="n">
        <f aca="false">SUM(F585:F593)</f>
        <v>9791.53</v>
      </c>
      <c r="G597" s="35" t="n">
        <f aca="false">SUM(G585:G593)</f>
        <v>9838.96</v>
      </c>
      <c r="H597" s="35" t="n">
        <f aca="false">SUM(H585:H593)</f>
        <v>9905.78</v>
      </c>
      <c r="I597" s="35" t="n">
        <f aca="false">SUM(I585:I593)</f>
        <v>10212.18</v>
      </c>
      <c r="J597" s="35" t="n">
        <f aca="false">SUM(J585:J593)</f>
        <v>10598.31</v>
      </c>
      <c r="K597" s="35" t="n">
        <f aca="false">SUM(K585:K593)</f>
        <v>9180.24</v>
      </c>
      <c r="L597" s="35" t="n">
        <f aca="false">SUM(L585:L593)</f>
        <v>8405.57</v>
      </c>
      <c r="M597" s="35" t="n">
        <f aca="false">SUM(M585:M593)</f>
        <v>9328.68</v>
      </c>
      <c r="N597" s="35" t="n">
        <f aca="false">SUM(N585:N593)</f>
        <v>10489.36</v>
      </c>
      <c r="O597" s="35" t="n">
        <f aca="false">SUM(O585:O593)</f>
        <v>12902.94</v>
      </c>
      <c r="P597" s="35" t="n">
        <f aca="false">SUM(P585:P593)</f>
        <v>17621.81</v>
      </c>
      <c r="Q597" s="35" t="n">
        <f aca="false">SUM(Q585:Q593)</f>
        <v>20159.48</v>
      </c>
      <c r="R597" s="35" t="n">
        <f aca="false">SUM(R585:R593)</f>
        <v>33408.648</v>
      </c>
      <c r="S597" s="35" t="n">
        <f aca="false">SUM(S585:S593)</f>
        <v>35357.239</v>
      </c>
      <c r="T597" s="35" t="n">
        <f aca="false">SUM(T585:T593)</f>
        <v>38299.279</v>
      </c>
      <c r="U597" s="35" t="n">
        <f aca="false">SUM(U585:U593)</f>
        <v>39421.055</v>
      </c>
      <c r="V597" s="35" t="n">
        <f aca="false">SUM(V585:V593)</f>
        <v>41900.001</v>
      </c>
      <c r="W597" s="35" t="n">
        <f aca="false">SUM(W585:W593)</f>
        <v>41877.452</v>
      </c>
      <c r="X597" s="35" t="n">
        <f aca="false">SUM(X585:X593)</f>
        <v>48483.543</v>
      </c>
      <c r="Y597" s="35" t="n">
        <f aca="false">SUM(Y585:Y595)</f>
        <v>51225.59</v>
      </c>
      <c r="Z597" s="35" t="n">
        <f aca="false">SUM(Z585:Z596)</f>
        <v>58414.796</v>
      </c>
      <c r="AA597" s="35" t="n">
        <f aca="false">SUM(AA585:AA596)</f>
        <v>68720.867</v>
      </c>
      <c r="AB597" s="35" t="n">
        <f aca="false">SUM(AB585:AB596)</f>
        <v>80388.8</v>
      </c>
      <c r="AC597" s="35" t="n">
        <f aca="false">SUM(AC585:AC596)</f>
        <v>69704.4</v>
      </c>
      <c r="AD597" s="35" t="n">
        <f aca="false">SUM(AD585:AD596)</f>
        <v>66836.5</v>
      </c>
      <c r="AE597" s="35" t="n">
        <f aca="false">SUM(AE585:AE596)</f>
        <v>70433.5</v>
      </c>
      <c r="AF597" s="35" t="n">
        <f aca="false">SUM(AF585:AF596)</f>
        <v>81321.9</v>
      </c>
      <c r="AG597" s="35" t="n">
        <f aca="false">SUM(AG585:AG596)</f>
        <v>85167.4</v>
      </c>
      <c r="AH597" s="35" t="n">
        <f aca="false">SUM(AH585:AH596)</f>
        <v>112251.4</v>
      </c>
      <c r="AI597" s="35" t="n">
        <f aca="false">SUM(AI585:AI596)</f>
        <v>125260.3</v>
      </c>
      <c r="AJ597" s="35" t="n">
        <f aca="false">SUM(AJ585:AJ596)</f>
        <v>149517.387711314</v>
      </c>
      <c r="AK597" s="35" t="n">
        <f aca="false">SUM(AK585:AK596)</f>
        <v>173667.048439023</v>
      </c>
      <c r="AL597" s="35" t="n">
        <f aca="false">SUM(AL585:AL596)</f>
        <v>199096.053815479</v>
      </c>
      <c r="AM597" s="30"/>
      <c r="AN597" s="30"/>
      <c r="AO597" s="30"/>
      <c r="AP597" s="30"/>
      <c r="AQ597" s="30"/>
      <c r="AR597" s="30"/>
      <c r="AS597" s="30"/>
      <c r="AT597" s="30"/>
      <c r="AU597" s="30"/>
      <c r="AV597" s="30"/>
      <c r="AW597" s="30"/>
      <c r="AX597" s="30"/>
      <c r="AY597" s="30"/>
    </row>
    <row r="598" customFormat="false" ht="15" hidden="false" customHeight="true" outlineLevel="0" collapsed="false">
      <c r="A598" s="29"/>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89" t="n">
        <f aca="false">+Y597-51225.59</f>
        <v>0</v>
      </c>
      <c r="Z598" s="89" t="n">
        <f aca="false">+Z597-58414.796</f>
        <v>0</v>
      </c>
      <c r="AA598" s="89" t="n">
        <f aca="false">+AA597-68720.867</f>
        <v>0</v>
      </c>
      <c r="AB598" s="43"/>
      <c r="AC598" s="43"/>
      <c r="AD598" s="43"/>
      <c r="AE598" s="89" t="n">
        <f aca="false">+AE597-70433.5</f>
        <v>0</v>
      </c>
      <c r="AF598" s="89" t="n">
        <f aca="false">+AF597-81321.9</f>
        <v>0</v>
      </c>
      <c r="AG598" s="43"/>
      <c r="AH598" s="43"/>
      <c r="AI598" s="43"/>
      <c r="AJ598" s="43"/>
      <c r="AK598" s="43"/>
      <c r="AL598" s="43"/>
      <c r="AM598" s="43"/>
      <c r="AN598" s="43"/>
      <c r="AO598" s="43"/>
      <c r="AP598" s="43"/>
      <c r="AQ598" s="43"/>
      <c r="AR598" s="43"/>
      <c r="AS598" s="43"/>
      <c r="AT598" s="43"/>
      <c r="AU598" s="43"/>
      <c r="AV598" s="43"/>
      <c r="AW598" s="43"/>
      <c r="AX598" s="43"/>
      <c r="AY598" s="43"/>
    </row>
    <row r="599" customFormat="false" ht="15" hidden="false" customHeight="true" outlineLevel="0" collapsed="false">
      <c r="A599" s="51" t="s">
        <v>351</v>
      </c>
      <c r="B599" s="52" t="n">
        <f aca="false">+B597+B584</f>
        <v>4111.99</v>
      </c>
      <c r="C599" s="52" t="n">
        <f aca="false">+C597+C584</f>
        <v>4697.51</v>
      </c>
      <c r="D599" s="52" t="n">
        <f aca="false">+D597+D584</f>
        <v>9739.68</v>
      </c>
      <c r="E599" s="52" t="n">
        <f aca="false">+E597+E584</f>
        <v>10391.42</v>
      </c>
      <c r="F599" s="52" t="n">
        <f aca="false">+F597+F584</f>
        <v>10980.82</v>
      </c>
      <c r="G599" s="52" t="n">
        <f aca="false">+G597+G584</f>
        <v>11028.25</v>
      </c>
      <c r="H599" s="52" t="n">
        <f aca="false">+H597+H584</f>
        <v>11095.07</v>
      </c>
      <c r="I599" s="52" t="n">
        <f aca="false">+I597+I584</f>
        <v>11401.47</v>
      </c>
      <c r="J599" s="52" t="n">
        <f aca="false">+J597+J584</f>
        <v>11787.6</v>
      </c>
      <c r="K599" s="52" t="n">
        <f aca="false">+K597+K584</f>
        <v>10369.53</v>
      </c>
      <c r="L599" s="52" t="n">
        <f aca="false">+L597+L584</f>
        <v>9594.86</v>
      </c>
      <c r="M599" s="52" t="n">
        <f aca="false">+M597+M584</f>
        <v>10517.97</v>
      </c>
      <c r="N599" s="52" t="n">
        <f aca="false">+N597+N584</f>
        <v>11678.65</v>
      </c>
      <c r="O599" s="52" t="n">
        <f aca="false">+O597+O584</f>
        <v>14124.53</v>
      </c>
      <c r="P599" s="52" t="n">
        <f aca="false">+P597+P584</f>
        <v>18945.68</v>
      </c>
      <c r="Q599" s="52" t="n">
        <f aca="false">+Q597+Q584</f>
        <v>21489.82</v>
      </c>
      <c r="R599" s="52" t="n">
        <f aca="false">+R597+R584</f>
        <v>34738.99</v>
      </c>
      <c r="S599" s="52" t="n">
        <f aca="false">+S597+S584</f>
        <v>36687.581</v>
      </c>
      <c r="T599" s="52" t="n">
        <f aca="false">+T597+T584</f>
        <v>39629.621</v>
      </c>
      <c r="U599" s="52" t="n">
        <f aca="false">+U597+U584</f>
        <v>42081.735</v>
      </c>
      <c r="V599" s="52" t="n">
        <f aca="false">+V597+V584</f>
        <v>44560.681</v>
      </c>
      <c r="W599" s="52" t="n">
        <f aca="false">+W597+W584</f>
        <v>44538.132</v>
      </c>
      <c r="X599" s="52" t="n">
        <f aca="false">+X597+X584</f>
        <v>51329.423</v>
      </c>
      <c r="Y599" s="52" t="n">
        <f aca="false">+Y597+Y584</f>
        <v>54071.47</v>
      </c>
      <c r="Z599" s="52" t="n">
        <f aca="false">+Z597+Z584</f>
        <v>61260.676</v>
      </c>
      <c r="AA599" s="52" t="n">
        <f aca="false">+AA597+AA584</f>
        <v>71647.975</v>
      </c>
      <c r="AB599" s="52" t="n">
        <f aca="false">+AB597+AB584</f>
        <v>83324.3</v>
      </c>
      <c r="AC599" s="52" t="n">
        <f aca="false">+AC597+AC584</f>
        <v>72639.9</v>
      </c>
      <c r="AD599" s="52" t="n">
        <f aca="false">+AD597+AD584</f>
        <v>69772</v>
      </c>
      <c r="AE599" s="52" t="n">
        <f aca="false">+AE597+AE584</f>
        <v>73369</v>
      </c>
      <c r="AF599" s="52" t="n">
        <f aca="false">+AF597+AF584</f>
        <v>84258</v>
      </c>
      <c r="AG599" s="52" t="n">
        <f aca="false">+AG597+AG584</f>
        <v>88103.7</v>
      </c>
      <c r="AH599" s="52" t="n">
        <f aca="false">+AH597+AH584</f>
        <v>115187.9</v>
      </c>
      <c r="AI599" s="52" t="n">
        <f aca="false">+AI597+AI584</f>
        <v>131134.2</v>
      </c>
      <c r="AJ599" s="52" t="n">
        <f aca="false">+AJ597+AJ584</f>
        <v>155391.287711314</v>
      </c>
      <c r="AK599" s="52" t="n">
        <f aca="false">+AK597+AK584</f>
        <v>179540.948439023</v>
      </c>
      <c r="AL599" s="52" t="n">
        <f aca="false">+AL597+AL584</f>
        <v>204969.953815479</v>
      </c>
      <c r="AM599" s="53"/>
      <c r="AN599" s="53"/>
      <c r="AO599" s="53"/>
      <c r="AP599" s="53"/>
      <c r="AQ599" s="53"/>
      <c r="AR599" s="53"/>
      <c r="AS599" s="53"/>
      <c r="AT599" s="53"/>
      <c r="AU599" s="53"/>
      <c r="AV599" s="53"/>
      <c r="AW599" s="53"/>
      <c r="AX599" s="53"/>
      <c r="AY599" s="53"/>
    </row>
    <row r="600" customFormat="false" ht="15" hidden="false" customHeight="true" outlineLevel="0" collapsed="false">
      <c r="A600" s="29"/>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89" t="n">
        <f aca="false">+AC599-72639.9</f>
        <v>0</v>
      </c>
      <c r="AD600" s="43"/>
      <c r="AE600" s="43"/>
      <c r="AF600" s="43"/>
      <c r="AG600" s="89" t="n">
        <f aca="false">+AG599-88103.7</f>
        <v>0</v>
      </c>
      <c r="AH600" s="89" t="n">
        <f aca="false">+AH599-115187.9</f>
        <v>0</v>
      </c>
      <c r="AI600" s="43"/>
      <c r="AJ600" s="43"/>
      <c r="AK600" s="43"/>
      <c r="AL600" s="43"/>
      <c r="AM600" s="43"/>
      <c r="AN600" s="43"/>
      <c r="AO600" s="43"/>
      <c r="AP600" s="43"/>
      <c r="AQ600" s="43"/>
      <c r="AR600" s="43"/>
      <c r="AS600" s="43"/>
      <c r="AT600" s="43"/>
      <c r="AU600" s="43"/>
      <c r="AV600" s="43"/>
      <c r="AW600" s="43"/>
      <c r="AX600" s="43"/>
      <c r="AY600" s="43"/>
    </row>
    <row r="601" customFormat="false" ht="15" hidden="false" customHeight="true" outlineLevel="0" collapsed="false">
      <c r="A601" s="47" t="s">
        <v>632</v>
      </c>
      <c r="B601" s="35" t="n">
        <f aca="false">+B602+B603+B604</f>
        <v>4445.76</v>
      </c>
      <c r="C601" s="35" t="n">
        <f aca="false">+C602+C603+C604</f>
        <v>4378.78</v>
      </c>
      <c r="D601" s="35" t="n">
        <f aca="false">+D602+D603+D604</f>
        <v>3660.06</v>
      </c>
      <c r="E601" s="35" t="n">
        <f aca="false">+E602+E603+E604</f>
        <v>6552.82</v>
      </c>
      <c r="F601" s="35" t="n">
        <f aca="false">+F602+F603+F604</f>
        <v>8851.35</v>
      </c>
      <c r="G601" s="35" t="n">
        <f aca="false">+G602+G603+G604</f>
        <v>9407.82</v>
      </c>
      <c r="H601" s="35" t="n">
        <f aca="false">+H602+H603+H604</f>
        <v>5525.08</v>
      </c>
      <c r="I601" s="35" t="n">
        <f aca="false">+I602+I603+I604</f>
        <v>5500.96</v>
      </c>
      <c r="J601" s="35" t="n">
        <f aca="false">+J602+J603+J604</f>
        <v>6388.69</v>
      </c>
      <c r="K601" s="35" t="n">
        <f aca="false">+K602+K603+K604</f>
        <v>5919.93</v>
      </c>
      <c r="L601" s="35" t="n">
        <f aca="false">+L602+L603+L604</f>
        <v>5045.62</v>
      </c>
      <c r="M601" s="35" t="n">
        <f aca="false">+M602+M603+M604</f>
        <v>3103.56</v>
      </c>
      <c r="N601" s="35" t="n">
        <f aca="false">+N602+N603+N604</f>
        <v>2711.75</v>
      </c>
      <c r="O601" s="35" t="n">
        <f aca="false">+O602+O603+O604</f>
        <v>1846.91</v>
      </c>
      <c r="P601" s="35" t="n">
        <f aca="false">+P602+P603+P604</f>
        <v>3602.16</v>
      </c>
      <c r="Q601" s="35" t="n">
        <f aca="false">+Q602+Q603+Q604</f>
        <v>1902.4</v>
      </c>
      <c r="R601" s="35" t="n">
        <f aca="false">+R602+R603+R604</f>
        <v>3044.133</v>
      </c>
      <c r="S601" s="35" t="n">
        <f aca="false">+S602+S603+S604</f>
        <v>7115.668</v>
      </c>
      <c r="T601" s="35" t="n">
        <f aca="false">+T602+T603+T604</f>
        <v>11822.975</v>
      </c>
      <c r="U601" s="35" t="n">
        <f aca="false">+U602+U603+U604+U611+U612</f>
        <v>11433.334</v>
      </c>
      <c r="V601" s="35" t="n">
        <f aca="false">+V602+V603+V604+V611+V612</f>
        <v>22401.265</v>
      </c>
      <c r="W601" s="35" t="n">
        <f aca="false">+W602+W603+W604+W611+W612</f>
        <v>23023.032</v>
      </c>
      <c r="X601" s="35" t="n">
        <f aca="false">+X602+X603+X604+X611+X612</f>
        <v>14583.333</v>
      </c>
      <c r="Y601" s="35" t="n">
        <f aca="false">+Y602+Y603+Y604+Y611+Y612</f>
        <v>6741.303</v>
      </c>
      <c r="Z601" s="35" t="n">
        <f aca="false">+Z602+Z603+Z604+Z611+Z612</f>
        <v>4187.72</v>
      </c>
      <c r="AA601" s="35" t="n">
        <f aca="false">+AA602+AA603+AA604+AA611+AA612</f>
        <v>1000</v>
      </c>
      <c r="AB601" s="35" t="n">
        <f aca="false">+AB602+AB603+AB604+AB611+AB612</f>
        <v>311.8</v>
      </c>
      <c r="AC601" s="35" t="n">
        <f aca="false">+AC602+AC603+AC604+AC611+AC612</f>
        <v>13731.8</v>
      </c>
      <c r="AD601" s="35" t="n">
        <f aca="false">+AD602+AD603+AD604+AD611+AD612</f>
        <v>25580.1</v>
      </c>
      <c r="AE601" s="35" t="n">
        <f aca="false">+AE602+AE603+AE604+AE611+AE612</f>
        <v>28506.1</v>
      </c>
      <c r="AF601" s="30"/>
      <c r="AG601" s="35" t="n">
        <f aca="false">+AG602+AG603+AG604+AG611+AG612</f>
        <v>0</v>
      </c>
      <c r="AH601" s="35" t="n">
        <f aca="false">+AH602+AH603+AH604+AH611+AH612</f>
        <v>0</v>
      </c>
      <c r="AI601" s="35" t="n">
        <f aca="false">+AI602+AI603+AI604+AI611+AI612</f>
        <v>0</v>
      </c>
      <c r="AJ601" s="35" t="n">
        <f aca="false">+AJ602+AJ603+AJ604+AJ611+AJ612</f>
        <v>0</v>
      </c>
      <c r="AK601" s="35" t="n">
        <f aca="false">+AK602+AK603+AK604+AK611+AK612</f>
        <v>0</v>
      </c>
      <c r="AL601" s="35" t="n">
        <f aca="false">+AL602+AL603+AL604+AL611+AL612</f>
        <v>0</v>
      </c>
      <c r="AM601" s="30"/>
      <c r="AN601" s="30"/>
      <c r="AO601" s="30"/>
      <c r="AP601" s="30"/>
      <c r="AQ601" s="30"/>
      <c r="AR601" s="30"/>
      <c r="AS601" s="30"/>
      <c r="AT601" s="30"/>
      <c r="AU601" s="30"/>
      <c r="AV601" s="30"/>
      <c r="AW601" s="30"/>
      <c r="AX601" s="30"/>
      <c r="AY601" s="30"/>
    </row>
    <row r="602" customFormat="false" ht="15" hidden="false" customHeight="true" outlineLevel="0" collapsed="false">
      <c r="A602" s="29" t="s">
        <v>633</v>
      </c>
      <c r="B602" s="92" t="n">
        <f aca="false">1157.98+200+41.73+83.46+242.45</f>
        <v>1725.62</v>
      </c>
      <c r="C602" s="92" t="n">
        <f aca="false">1157.98+200+31.3+62.59+242.45+2</f>
        <v>1696.32</v>
      </c>
      <c r="D602" s="92" t="n">
        <f aca="false">20.86+41.73+193.96+1159.64+200</f>
        <v>1616.19</v>
      </c>
      <c r="E602" s="92" t="n">
        <f aca="false">10.43+20.87+145.47+1159.64+200</f>
        <v>1536.41</v>
      </c>
      <c r="F602" s="92" t="n">
        <f aca="false">96.98+1159.64+200+458.33+330+100+50+100+520+800</f>
        <v>3814.95</v>
      </c>
      <c r="G602" s="62" t="n">
        <v>5749.8</v>
      </c>
      <c r="H602" s="62" t="n">
        <v>4622.1</v>
      </c>
      <c r="I602" s="62" t="n">
        <v>3814.56</v>
      </c>
      <c r="J602" s="62" t="n">
        <v>5116.68</v>
      </c>
      <c r="K602" s="62" t="n">
        <v>4336.7</v>
      </c>
      <c r="L602" s="62" t="n">
        <v>3770</v>
      </c>
      <c r="M602" s="62" t="n">
        <v>2020</v>
      </c>
      <c r="N602" s="62" t="n">
        <v>1663.33</v>
      </c>
      <c r="O602" s="62" t="n">
        <v>1390</v>
      </c>
      <c r="P602" s="62" t="n">
        <v>850</v>
      </c>
      <c r="Q602" s="32" t="n">
        <f aca="false">P602-133.33-16.67-50</f>
        <v>650</v>
      </c>
      <c r="R602" s="62" t="n">
        <v>1833.333</v>
      </c>
      <c r="S602" s="62" t="n">
        <v>1666.667</v>
      </c>
      <c r="T602" s="62" t="n">
        <v>3600</v>
      </c>
      <c r="U602" s="62" t="n">
        <v>3600</v>
      </c>
      <c r="V602" s="62" t="n">
        <v>8900</v>
      </c>
      <c r="W602" s="62" t="n">
        <v>10750</v>
      </c>
      <c r="X602" s="62" t="n">
        <v>6100</v>
      </c>
      <c r="Y602" s="62" t="n">
        <v>3991.303</v>
      </c>
      <c r="Z602" s="62" t="n">
        <v>1497.163</v>
      </c>
      <c r="AA602" s="62" t="n">
        <v>0</v>
      </c>
      <c r="AB602" s="62" t="n">
        <v>0</v>
      </c>
      <c r="AC602" s="62" t="n">
        <v>0</v>
      </c>
      <c r="AD602" s="62" t="n">
        <v>0</v>
      </c>
      <c r="AE602" s="62" t="n">
        <v>0</v>
      </c>
      <c r="AF602" s="30"/>
      <c r="AG602" s="62" t="n">
        <v>0</v>
      </c>
      <c r="AH602" s="62" t="n">
        <v>0</v>
      </c>
      <c r="AI602" s="62" t="n">
        <v>0</v>
      </c>
      <c r="AJ602" s="62" t="n">
        <v>0</v>
      </c>
      <c r="AK602" s="62" t="n">
        <v>0</v>
      </c>
      <c r="AL602" s="62" t="n">
        <v>0</v>
      </c>
      <c r="AM602" s="30"/>
      <c r="AN602" s="30"/>
      <c r="AO602" s="30"/>
      <c r="AP602" s="30"/>
      <c r="AQ602" s="30"/>
      <c r="AR602" s="30"/>
      <c r="AS602" s="30"/>
      <c r="AT602" s="30"/>
      <c r="AU602" s="30"/>
      <c r="AV602" s="30"/>
      <c r="AW602" s="30"/>
      <c r="AX602" s="30"/>
      <c r="AY602" s="30"/>
    </row>
    <row r="603" customFormat="false" ht="15" hidden="false" customHeight="true" outlineLevel="0" collapsed="false">
      <c r="A603" s="29" t="s">
        <v>634</v>
      </c>
      <c r="B603" s="92" t="n">
        <f aca="false">181.77+1783.4</f>
        <v>1965.17</v>
      </c>
      <c r="C603" s="92" t="n">
        <f aca="false">77.47+2186.16</f>
        <v>2263.63</v>
      </c>
      <c r="D603" s="92" t="n">
        <f aca="false">224.78+1272.84</f>
        <v>1497.62</v>
      </c>
      <c r="E603" s="92" t="n">
        <f aca="false">961.33+1818.05</f>
        <v>2779.38</v>
      </c>
      <c r="F603" s="92" t="n">
        <f aca="false">569.41+1327.5</f>
        <v>1896.91</v>
      </c>
      <c r="G603" s="92" t="n">
        <f aca="false">507.24+1746.46</f>
        <v>2253.7</v>
      </c>
      <c r="H603" s="92" t="n">
        <f aca="false">348.95+243.91</f>
        <v>592.86</v>
      </c>
      <c r="I603" s="92" t="n">
        <f aca="false">500.17+56.18</f>
        <v>556.35</v>
      </c>
      <c r="J603" s="92" t="n">
        <f aca="false">400+691.46</f>
        <v>1091.46</v>
      </c>
      <c r="K603" s="92" t="n">
        <f aca="false">1430+34.55</f>
        <v>1464.55</v>
      </c>
      <c r="L603" s="92" t="n">
        <f aca="false">1230+27.64</f>
        <v>1257.64</v>
      </c>
      <c r="M603" s="92" t="n">
        <f aca="false">1062.83+20.73</f>
        <v>1083.56</v>
      </c>
      <c r="N603" s="92" t="n">
        <f aca="false">957.81+13.82</f>
        <v>971.63</v>
      </c>
      <c r="O603" s="62" t="n">
        <v>456.91</v>
      </c>
      <c r="P603" s="62" t="n">
        <v>1319.4</v>
      </c>
      <c r="Q603" s="62" t="n">
        <v>1252.4</v>
      </c>
      <c r="R603" s="92" t="n">
        <f aca="false">450+760.8</f>
        <v>1210.8</v>
      </c>
      <c r="S603" s="92" t="n">
        <f aca="false">5000+449.001</f>
        <v>5449.001</v>
      </c>
      <c r="T603" s="92" t="n">
        <f aca="false">8000+222.975</f>
        <v>8222.975</v>
      </c>
      <c r="U603" s="62" t="n">
        <v>6000</v>
      </c>
      <c r="V603" s="62" t="n">
        <v>3333.333</v>
      </c>
      <c r="W603" s="62" t="n">
        <v>5833.333</v>
      </c>
      <c r="X603" s="62" t="n">
        <v>3000</v>
      </c>
      <c r="Y603" s="62" t="n">
        <v>2500</v>
      </c>
      <c r="Z603" s="62" t="n">
        <v>2554.179</v>
      </c>
      <c r="AA603" s="30"/>
      <c r="AB603" s="62" t="n">
        <v>311.8</v>
      </c>
      <c r="AC603" s="62" t="n">
        <v>311.8</v>
      </c>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row>
    <row r="604" customFormat="false" ht="15" hidden="false" customHeight="true" outlineLevel="0" collapsed="false">
      <c r="A604" s="29" t="s">
        <v>635</v>
      </c>
      <c r="B604" s="92" t="n">
        <f aca="false">742.4+12.57</f>
        <v>754.97</v>
      </c>
      <c r="C604" s="92" t="n">
        <f aca="false">60.36+358.47</f>
        <v>418.83</v>
      </c>
      <c r="D604" s="92" t="n">
        <f aca="false">139.05+407.2</f>
        <v>546.25</v>
      </c>
      <c r="E604" s="92" t="n">
        <f aca="false">1788.37+448.66</f>
        <v>2237.03</v>
      </c>
      <c r="F604" s="92" t="n">
        <f aca="false">2710.53+428.96</f>
        <v>3139.49</v>
      </c>
      <c r="G604" s="92" t="n">
        <f aca="false">1026.77+377.55</f>
        <v>1404.32</v>
      </c>
      <c r="H604" s="92" t="n">
        <f aca="false">310.12</f>
        <v>310.12</v>
      </c>
      <c r="I604" s="92" t="n">
        <f aca="false">961.98+168.07</f>
        <v>1130.05</v>
      </c>
      <c r="J604" s="62" t="n">
        <v>180.55</v>
      </c>
      <c r="K604" s="62" t="n">
        <v>118.68</v>
      </c>
      <c r="L604" s="62" t="n">
        <v>17.98</v>
      </c>
      <c r="M604" s="62" t="n">
        <v>0</v>
      </c>
      <c r="N604" s="62" t="n">
        <v>76.79</v>
      </c>
      <c r="O604" s="62" t="n">
        <v>0</v>
      </c>
      <c r="P604" s="62" t="n">
        <v>1432.76</v>
      </c>
      <c r="Q604" s="30"/>
      <c r="R604" s="30"/>
      <c r="S604" s="30"/>
      <c r="T604" s="30"/>
      <c r="U604" s="30"/>
      <c r="V604" s="62" t="n">
        <v>6801.265</v>
      </c>
      <c r="W604" s="62" t="n">
        <v>2789.699</v>
      </c>
      <c r="X604" s="30"/>
      <c r="Y604" s="62" t="n">
        <v>250</v>
      </c>
      <c r="Z604" s="62" t="n">
        <v>136.378</v>
      </c>
      <c r="AA604" s="62" t="n">
        <v>1000</v>
      </c>
      <c r="AB604" s="30"/>
      <c r="AC604" s="92" t="n">
        <f aca="false">5000+8420</f>
        <v>13420</v>
      </c>
      <c r="AD604" s="62" t="n">
        <v>25580.1</v>
      </c>
      <c r="AE604" s="62" t="n">
        <v>28506.1</v>
      </c>
      <c r="AF604" s="30"/>
      <c r="AG604" s="30"/>
      <c r="AH604" s="30"/>
      <c r="AI604" s="30"/>
      <c r="AJ604" s="30"/>
      <c r="AK604" s="30"/>
      <c r="AL604" s="30"/>
      <c r="AM604" s="30"/>
      <c r="AN604" s="30"/>
      <c r="AO604" s="30"/>
      <c r="AP604" s="30"/>
      <c r="AQ604" s="30"/>
      <c r="AR604" s="30"/>
      <c r="AS604" s="30"/>
      <c r="AT604" s="30"/>
      <c r="AU604" s="30"/>
      <c r="AV604" s="30"/>
      <c r="AW604" s="30"/>
      <c r="AX604" s="30"/>
      <c r="AY604" s="30"/>
    </row>
    <row r="605" customFormat="false" ht="15" hidden="false" customHeight="true" outlineLevel="0" collapsed="false">
      <c r="A605" s="47" t="s">
        <v>636</v>
      </c>
      <c r="B605" s="35" t="n">
        <f aca="false">+B606+B607+B608</f>
        <v>691.6</v>
      </c>
      <c r="C605" s="35" t="n">
        <f aca="false">+C606+C607+C608</f>
        <v>946.73</v>
      </c>
      <c r="D605" s="35" t="n">
        <f aca="false">+D606+D607+D608</f>
        <v>2251.01</v>
      </c>
      <c r="E605" s="35" t="n">
        <f aca="false">+E606+E607+E608</f>
        <v>2312.84</v>
      </c>
      <c r="F605" s="35" t="n">
        <f aca="false">+F606+F607+F608</f>
        <v>2909.1</v>
      </c>
      <c r="G605" s="35" t="n">
        <f aca="false">+G606+G607+G608</f>
        <v>3065.62</v>
      </c>
      <c r="H605" s="35" t="n">
        <f aca="false">+H606+H607+H608</f>
        <v>4096.58</v>
      </c>
      <c r="I605" s="35" t="n">
        <f aca="false">+I606+I607+I608</f>
        <v>4155.95</v>
      </c>
      <c r="J605" s="35" t="n">
        <f aca="false">+J606+J607+J608</f>
        <v>2941.39</v>
      </c>
      <c r="K605" s="35" t="n">
        <f aca="false">+K606+K607+K608</f>
        <v>2964.56</v>
      </c>
      <c r="L605" s="35" t="n">
        <f aca="false">+L606+L607+L608</f>
        <v>2129.6</v>
      </c>
      <c r="M605" s="35" t="n">
        <f aca="false">+M606+M607+M608</f>
        <v>1887.17</v>
      </c>
      <c r="N605" s="35" t="n">
        <f aca="false">+N606+N607+N608</f>
        <v>6092.31</v>
      </c>
      <c r="O605" s="35" t="n">
        <f aca="false">+O606+O607+O608</f>
        <v>5072.37</v>
      </c>
      <c r="P605" s="34" t="n">
        <v>2801.82</v>
      </c>
      <c r="Q605" s="34" t="n">
        <v>6972.61</v>
      </c>
      <c r="R605" s="35" t="n">
        <f aca="false">+R606+R607+R608</f>
        <v>16537.306</v>
      </c>
      <c r="S605" s="35" t="n">
        <f aca="false">+S606+S607+S608</f>
        <v>14923.25</v>
      </c>
      <c r="T605" s="35" t="n">
        <f aca="false">+T606+T607+T608</f>
        <v>13859.673</v>
      </c>
      <c r="U605" s="35" t="n">
        <f aca="false">+U606+U607+U608+U609+U613+U614+U615</f>
        <v>19545.599</v>
      </c>
      <c r="V605" s="35" t="n">
        <f aca="false">+V606+V607+V608+V609+V613+V614+V615</f>
        <v>21153.06</v>
      </c>
      <c r="W605" s="35" t="n">
        <f aca="false">+W606+W607+W608+W609+W613+W614+W615</f>
        <v>23880.176</v>
      </c>
      <c r="X605" s="35" t="n">
        <f aca="false">+X606+X607+X608+X609+X613+X614+X615</f>
        <v>18913.943</v>
      </c>
      <c r="Y605" s="35" t="n">
        <f aca="false">+Y606+Y607+Y608+Y609+Y613+Y614+Y615</f>
        <v>11719.141</v>
      </c>
      <c r="Z605" s="35" t="n">
        <f aca="false">+Z606+Z607+Z608+Z609+Z613+Z614+Z615</f>
        <v>9261.877</v>
      </c>
      <c r="AA605" s="35" t="n">
        <f aca="false">+AA606+AA607+AA608+AA609+AA613+AA614+AA615</f>
        <v>4156.872</v>
      </c>
      <c r="AB605" s="35" t="n">
        <f aca="false">+AB606+AB607+AB608+AB609+AB613+AB614+AB615</f>
        <v>3672.2</v>
      </c>
      <c r="AC605" s="35" t="n">
        <f aca="false">+AC606+AC607+AC608+AC609+AC613+AC614+AC615</f>
        <v>16916.5</v>
      </c>
      <c r="AD605" s="34" t="n">
        <v>11582.4</v>
      </c>
      <c r="AE605" s="34" t="n">
        <v>6564.9</v>
      </c>
      <c r="AF605" s="30"/>
      <c r="AG605" s="35" t="n">
        <f aca="false">+AG606+AG607+AG608+AG609+AG613+AG614+AG615</f>
        <v>0</v>
      </c>
      <c r="AH605" s="35" t="n">
        <f aca="false">+AH606+AH607+AH608+AH609+AH613+AH614+AH615</f>
        <v>0</v>
      </c>
      <c r="AI605" s="35" t="n">
        <f aca="false">+AI606+AI607+AI608+AI609+AI613+AI614+AI615</f>
        <v>0</v>
      </c>
      <c r="AJ605" s="35" t="n">
        <f aca="false">+AJ606+AJ607+AJ608+AJ609+AJ613+AJ614+AJ615</f>
        <v>0</v>
      </c>
      <c r="AK605" s="35" t="n">
        <f aca="false">+AK606+AK607+AK608+AK609+AK613+AK614+AK615</f>
        <v>0</v>
      </c>
      <c r="AL605" s="35" t="n">
        <f aca="false">+AL606+AL607+AL608+AL609+AL613+AL614+AL615</f>
        <v>0</v>
      </c>
      <c r="AM605" s="30"/>
      <c r="AN605" s="30"/>
      <c r="AO605" s="30"/>
      <c r="AP605" s="30"/>
      <c r="AQ605" s="30"/>
      <c r="AR605" s="30"/>
      <c r="AS605" s="30"/>
      <c r="AT605" s="30"/>
      <c r="AU605" s="30"/>
      <c r="AV605" s="30"/>
      <c r="AW605" s="30"/>
      <c r="AX605" s="30"/>
      <c r="AY605" s="30"/>
    </row>
    <row r="606" customFormat="false" ht="15" hidden="false" customHeight="true" outlineLevel="0" collapsed="false">
      <c r="A606" s="29" t="s">
        <v>637</v>
      </c>
      <c r="B606" s="37" t="n">
        <v>276.08</v>
      </c>
      <c r="C606" s="37" t="n">
        <v>282.65</v>
      </c>
      <c r="D606" s="37" t="n">
        <v>286.9</v>
      </c>
      <c r="E606" s="37" t="n">
        <v>273.36</v>
      </c>
      <c r="F606" s="37" t="n">
        <v>266.9</v>
      </c>
      <c r="G606" s="37" t="n">
        <v>314.96</v>
      </c>
      <c r="H606" s="37" t="n">
        <v>292.35</v>
      </c>
      <c r="I606" s="37" t="n">
        <v>159.66</v>
      </c>
      <c r="J606" s="37" t="n">
        <v>52.27</v>
      </c>
      <c r="K606" s="37" t="n">
        <v>0</v>
      </c>
      <c r="L606" s="37" t="n">
        <v>0.52</v>
      </c>
      <c r="M606" s="37" t="n">
        <v>0.52</v>
      </c>
      <c r="N606" s="37" t="n">
        <v>0.48</v>
      </c>
      <c r="O606" s="37" t="n">
        <v>0</v>
      </c>
      <c r="P606" s="37" t="n">
        <v>0</v>
      </c>
      <c r="Q606" s="37" t="n">
        <v>0</v>
      </c>
      <c r="R606" s="37" t="n">
        <v>0</v>
      </c>
      <c r="S606" s="37" t="n">
        <v>0</v>
      </c>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row>
    <row r="607" customFormat="false" ht="15" hidden="false" customHeight="true" outlineLevel="0" collapsed="false">
      <c r="A607" s="29" t="s">
        <v>638</v>
      </c>
      <c r="B607" s="62" t="n">
        <v>415.28</v>
      </c>
      <c r="C607" s="92" t="n">
        <f aca="false">81.68+541.1</f>
        <v>622.78</v>
      </c>
      <c r="D607" s="92" t="n">
        <f aca="false">1181.3+725.88</f>
        <v>1907.18</v>
      </c>
      <c r="E607" s="92" t="n">
        <f aca="false">951.94+1070.44</f>
        <v>2022.38</v>
      </c>
      <c r="F607" s="92" t="n">
        <f aca="false">1134.2+1508</f>
        <v>2642.2</v>
      </c>
      <c r="G607" s="92" t="n">
        <f aca="false">889+1861.66</f>
        <v>2750.66</v>
      </c>
      <c r="H607" s="92" t="n">
        <f aca="false">1845.5+1958.73</f>
        <v>3804.23</v>
      </c>
      <c r="I607" s="92" t="n">
        <f aca="false">1727.45+2268.84</f>
        <v>3996.29</v>
      </c>
      <c r="J607" s="92" t="n">
        <f aca="false">839.25+2049.87</f>
        <v>2889.12</v>
      </c>
      <c r="K607" s="92" t="n">
        <f aca="false">823.78+2140.78</f>
        <v>2964.56</v>
      </c>
      <c r="L607" s="92" t="n">
        <f aca="false">53.07+2076.01</f>
        <v>2129.08</v>
      </c>
      <c r="M607" s="62" t="n">
        <v>1886.65</v>
      </c>
      <c r="N607" s="92" t="n">
        <f aca="false">1717.33+4374.5</f>
        <v>6091.83</v>
      </c>
      <c r="O607" s="92" t="n">
        <f aca="false">1623.63+3448.74</f>
        <v>5072.37</v>
      </c>
      <c r="P607" s="31" t="n">
        <f aca="false">P605</f>
        <v>2801.82</v>
      </c>
      <c r="Q607" s="31" t="n">
        <f aca="false">Q605</f>
        <v>6972.61</v>
      </c>
      <c r="R607" s="62" t="n">
        <v>16537.306</v>
      </c>
      <c r="S607" s="62" t="n">
        <v>14923.25</v>
      </c>
      <c r="T607" s="62" t="n">
        <v>13859.673</v>
      </c>
      <c r="U607" s="92" t="n">
        <f aca="false">12549.167+669.217+115.127</f>
        <v>13333.511</v>
      </c>
      <c r="V607" s="92" t="n">
        <f aca="false">14476+571.476+97.609</f>
        <v>15145.085</v>
      </c>
      <c r="W607" s="92" t="n">
        <f aca="false">15577.9+793.122+10.696</f>
        <v>16381.718</v>
      </c>
      <c r="X607" s="92" t="n">
        <f aca="false">15416.667+1146.694</f>
        <v>16563.361</v>
      </c>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row>
    <row r="608" customFormat="false" ht="15" hidden="false" customHeight="true" outlineLevel="0" collapsed="false">
      <c r="A608" s="29" t="s">
        <v>639</v>
      </c>
      <c r="B608" s="62" t="n">
        <v>0.24</v>
      </c>
      <c r="C608" s="62" t="n">
        <v>41.3</v>
      </c>
      <c r="D608" s="92" t="n">
        <f aca="false">0.05+56.88</f>
        <v>56.93</v>
      </c>
      <c r="E608" s="62" t="n">
        <v>17.1</v>
      </c>
      <c r="F608" s="62" t="n">
        <v>0</v>
      </c>
      <c r="G608" s="62" t="n">
        <v>0</v>
      </c>
      <c r="H608" s="62" t="n">
        <v>0</v>
      </c>
      <c r="I608" s="62" t="n">
        <v>0</v>
      </c>
      <c r="J608" s="30"/>
      <c r="K608" s="30"/>
      <c r="L608" s="30"/>
      <c r="M608" s="30"/>
      <c r="N608" s="30"/>
      <c r="O608" s="30"/>
      <c r="P608" s="30"/>
      <c r="Q608" s="30"/>
      <c r="R608" s="30"/>
      <c r="S608" s="30"/>
      <c r="T608" s="30"/>
      <c r="U608" s="30"/>
      <c r="V608" s="30"/>
      <c r="W608" s="30"/>
      <c r="X608" s="30"/>
      <c r="Y608" s="30"/>
      <c r="Z608" s="62" t="n">
        <v>1850</v>
      </c>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row>
    <row r="609" customFormat="false" ht="15" hidden="false" customHeight="true" outlineLevel="0" collapsed="false">
      <c r="A609" s="29" t="s">
        <v>640</v>
      </c>
      <c r="B609" s="30"/>
      <c r="C609" s="30"/>
      <c r="D609" s="30"/>
      <c r="E609" s="30"/>
      <c r="F609" s="30"/>
      <c r="G609" s="30"/>
      <c r="H609" s="30"/>
      <c r="I609" s="30"/>
      <c r="J609" s="30"/>
      <c r="K609" s="30"/>
      <c r="L609" s="30"/>
      <c r="M609" s="30"/>
      <c r="N609" s="30"/>
      <c r="O609" s="30"/>
      <c r="P609" s="30"/>
      <c r="Q609" s="30"/>
      <c r="R609" s="30"/>
      <c r="S609" s="30"/>
      <c r="T609" s="30"/>
      <c r="U609" s="62" t="n">
        <v>1017.5</v>
      </c>
      <c r="V609" s="62" t="n">
        <v>868.56</v>
      </c>
      <c r="W609" s="62" t="n">
        <v>3084.382</v>
      </c>
      <c r="X609" s="62" t="n">
        <v>250</v>
      </c>
      <c r="Y609" s="30"/>
      <c r="Z609" s="30"/>
      <c r="AA609" s="30"/>
      <c r="AB609" s="62" t="n">
        <v>1000</v>
      </c>
      <c r="AC609" s="62" t="n">
        <v>8250</v>
      </c>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row>
    <row r="610" customFormat="false" ht="15" hidden="false" customHeight="true" outlineLevel="0" collapsed="false">
      <c r="A610" s="51" t="s">
        <v>352</v>
      </c>
      <c r="B610" s="52" t="n">
        <f aca="false">+B605+B601</f>
        <v>5137.36</v>
      </c>
      <c r="C610" s="52" t="n">
        <f aca="false">+C605+C601</f>
        <v>5325.51</v>
      </c>
      <c r="D610" s="52" t="n">
        <f aca="false">+D605+D601</f>
        <v>5911.07</v>
      </c>
      <c r="E610" s="52" t="n">
        <f aca="false">+E605+E601</f>
        <v>8865.66</v>
      </c>
      <c r="F610" s="52" t="n">
        <f aca="false">+F605+F601</f>
        <v>11760.45</v>
      </c>
      <c r="G610" s="52" t="n">
        <f aca="false">+G605+G601</f>
        <v>12473.44</v>
      </c>
      <c r="H610" s="52" t="n">
        <f aca="false">+H605+H601</f>
        <v>9621.66</v>
      </c>
      <c r="I610" s="52" t="n">
        <f aca="false">+I605+I601</f>
        <v>9656.91</v>
      </c>
      <c r="J610" s="52" t="n">
        <f aca="false">+J605+J601</f>
        <v>9330.08</v>
      </c>
      <c r="K610" s="52" t="n">
        <f aca="false">+K605+K601</f>
        <v>8884.49</v>
      </c>
      <c r="L610" s="52" t="n">
        <f aca="false">+L605+L601</f>
        <v>7175.22</v>
      </c>
      <c r="M610" s="52" t="n">
        <f aca="false">+M605+M601</f>
        <v>4990.73</v>
      </c>
      <c r="N610" s="52" t="n">
        <f aca="false">+N605+N601</f>
        <v>8804.06</v>
      </c>
      <c r="O610" s="52" t="n">
        <f aca="false">+O605+O601</f>
        <v>6919.28</v>
      </c>
      <c r="P610" s="52" t="n">
        <f aca="false">+P605+P601</f>
        <v>6403.98</v>
      </c>
      <c r="Q610" s="52" t="n">
        <f aca="false">+Q605+Q601</f>
        <v>8875.01</v>
      </c>
      <c r="R610" s="52" t="n">
        <f aca="false">+R605+R601</f>
        <v>19581.439</v>
      </c>
      <c r="S610" s="52" t="n">
        <f aca="false">+S605+S601</f>
        <v>22038.918</v>
      </c>
      <c r="T610" s="52" t="n">
        <f aca="false">+T605+T601</f>
        <v>25682.648</v>
      </c>
      <c r="U610" s="52" t="n">
        <f aca="false">+U605+U601</f>
        <v>30978.933</v>
      </c>
      <c r="V610" s="52" t="n">
        <f aca="false">+V605+V601</f>
        <v>43554.325</v>
      </c>
      <c r="W610" s="52" t="n">
        <f aca="false">+W605+W601</f>
        <v>46903.208</v>
      </c>
      <c r="X610" s="52" t="n">
        <f aca="false">+X605+X601</f>
        <v>33497.276</v>
      </c>
      <c r="Y610" s="52" t="n">
        <f aca="false">+Y605+Y601+Y616</f>
        <v>24149.839</v>
      </c>
      <c r="Z610" s="52" t="n">
        <f aca="false">+Z605+Z601+Z616</f>
        <v>21448.525</v>
      </c>
      <c r="AA610" s="52" t="n">
        <f aca="false">+AA605+AA601+AA616</f>
        <v>10023.173</v>
      </c>
      <c r="AB610" s="52" t="n">
        <f aca="false">+AB605+AB601+AB616</f>
        <v>6323.6</v>
      </c>
      <c r="AC610" s="52" t="n">
        <f aca="false">+AC605+AC601+AC616</f>
        <v>32813.6</v>
      </c>
      <c r="AD610" s="52" t="n">
        <f aca="false">+AD605+AD601+AD616</f>
        <v>38412.5</v>
      </c>
      <c r="AE610" s="96" t="n">
        <f aca="false">28506.1+6564.9+123.6+344.2</f>
        <v>35538.8</v>
      </c>
      <c r="AF610" s="96" t="n">
        <f aca="false">17662.3+14138.7+310.2+137.1</f>
        <v>32248.3</v>
      </c>
      <c r="AG610" s="96" t="n">
        <f aca="false">11316.4+294+11228.9+154.7</f>
        <v>22994</v>
      </c>
      <c r="AH610" s="96" t="n">
        <f aca="false">9022.3+317.4+5332.1+145.4</f>
        <v>14817.2</v>
      </c>
      <c r="AI610" s="96" t="n">
        <f aca="false">5178.8+296+6338.2+137.4</f>
        <v>11950.4</v>
      </c>
      <c r="AJ610" s="69" t="n">
        <f aca="false">+AI610-2000</f>
        <v>9950.4</v>
      </c>
      <c r="AK610" s="69" t="n">
        <f aca="false">+AJ610-2000</f>
        <v>7950.4</v>
      </c>
      <c r="AL610" s="69" t="n">
        <f aca="false">+AK610-2000</f>
        <v>5950.4</v>
      </c>
      <c r="AM610" s="53"/>
      <c r="AN610" s="53"/>
      <c r="AO610" s="53"/>
      <c r="AP610" s="53"/>
      <c r="AQ610" s="53"/>
      <c r="AR610" s="53"/>
      <c r="AS610" s="53"/>
      <c r="AT610" s="53"/>
      <c r="AU610" s="53"/>
      <c r="AV610" s="53"/>
      <c r="AW610" s="53"/>
      <c r="AX610" s="53"/>
      <c r="AY610" s="53"/>
    </row>
    <row r="611" customFormat="false" ht="15" hidden="false" customHeight="true" outlineLevel="0" collapsed="false">
      <c r="A611" s="29" t="s">
        <v>641</v>
      </c>
      <c r="B611" s="30"/>
      <c r="C611" s="30"/>
      <c r="D611" s="30"/>
      <c r="E611" s="30"/>
      <c r="F611" s="30"/>
      <c r="G611" s="30"/>
      <c r="H611" s="30"/>
      <c r="I611" s="30"/>
      <c r="J611" s="30"/>
      <c r="K611" s="30"/>
      <c r="L611" s="30"/>
      <c r="M611" s="30"/>
      <c r="N611" s="30"/>
      <c r="O611" s="30"/>
      <c r="P611" s="30"/>
      <c r="Q611" s="30"/>
      <c r="R611" s="30"/>
      <c r="S611" s="30"/>
      <c r="T611" s="30"/>
      <c r="U611" s="30"/>
      <c r="V611" s="62" t="n">
        <v>700</v>
      </c>
      <c r="W611" s="92" t="n">
        <f aca="false">700+450</f>
        <v>1150</v>
      </c>
      <c r="X611" s="92" t="n">
        <f aca="false">700+450+1500+2000</f>
        <v>4650</v>
      </c>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row>
    <row r="612" customFormat="false" ht="15" hidden="false" customHeight="true" outlineLevel="0" collapsed="false">
      <c r="A612" s="29" t="s">
        <v>642</v>
      </c>
      <c r="B612" s="30"/>
      <c r="C612" s="30"/>
      <c r="D612" s="30"/>
      <c r="E612" s="30"/>
      <c r="F612" s="30"/>
      <c r="G612" s="30"/>
      <c r="H612" s="30"/>
      <c r="I612" s="30"/>
      <c r="J612" s="30"/>
      <c r="K612" s="30"/>
      <c r="L612" s="30"/>
      <c r="M612" s="30"/>
      <c r="N612" s="30"/>
      <c r="O612" s="30"/>
      <c r="P612" s="30"/>
      <c r="Q612" s="30"/>
      <c r="R612" s="30"/>
      <c r="S612" s="30"/>
      <c r="T612" s="30"/>
      <c r="U612" s="62" t="n">
        <v>1833.334</v>
      </c>
      <c r="V612" s="92" t="n">
        <f aca="false">333.33+500+666.67+500+500+166.667</f>
        <v>2666.667</v>
      </c>
      <c r="W612" s="92" t="n">
        <f aca="false">333.33+500+666.67+500+500</f>
        <v>2500</v>
      </c>
      <c r="X612" s="92" t="n">
        <f aca="false">333.333+500</f>
        <v>833.333</v>
      </c>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row>
    <row r="613" customFormat="false" ht="15" hidden="false" customHeight="true" outlineLevel="0" collapsed="false">
      <c r="A613" s="29" t="s">
        <v>643</v>
      </c>
      <c r="B613" s="30"/>
      <c r="C613" s="30"/>
      <c r="D613" s="30"/>
      <c r="E613" s="30"/>
      <c r="F613" s="30"/>
      <c r="G613" s="30"/>
      <c r="H613" s="30"/>
      <c r="I613" s="30"/>
      <c r="J613" s="30"/>
      <c r="K613" s="30"/>
      <c r="L613" s="30"/>
      <c r="M613" s="30"/>
      <c r="N613" s="30"/>
      <c r="O613" s="30"/>
      <c r="P613" s="30"/>
      <c r="Q613" s="30"/>
      <c r="R613" s="30"/>
      <c r="S613" s="30"/>
      <c r="T613" s="30"/>
      <c r="U613" s="62" t="n">
        <v>5002.707</v>
      </c>
      <c r="V613" s="62" t="n">
        <v>4885.65</v>
      </c>
      <c r="W613" s="92" t="n">
        <f aca="false">299.575+3994.333</f>
        <v>4293.908</v>
      </c>
      <c r="X613" s="92" t="n">
        <f aca="false">520.833+312.5+1250</f>
        <v>2083.333</v>
      </c>
      <c r="Y613" s="62" t="n">
        <v>10588.391</v>
      </c>
      <c r="Z613" s="62" t="n">
        <v>6322.473</v>
      </c>
      <c r="AA613" s="62" t="n">
        <v>3142.805</v>
      </c>
      <c r="AB613" s="62" t="n">
        <v>1842.8</v>
      </c>
      <c r="AC613" s="62" t="n">
        <v>7562.7</v>
      </c>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row>
    <row r="614" customFormat="false" ht="15" hidden="false" customHeight="true" outlineLevel="0" collapsed="false">
      <c r="A614" s="29" t="s">
        <v>644</v>
      </c>
      <c r="B614" s="30"/>
      <c r="C614" s="30"/>
      <c r="D614" s="30"/>
      <c r="E614" s="30"/>
      <c r="F614" s="30"/>
      <c r="G614" s="30"/>
      <c r="H614" s="30"/>
      <c r="I614" s="30"/>
      <c r="J614" s="30"/>
      <c r="K614" s="30"/>
      <c r="L614" s="30"/>
      <c r="M614" s="30"/>
      <c r="N614" s="30"/>
      <c r="O614" s="30"/>
      <c r="P614" s="30"/>
      <c r="Q614" s="30"/>
      <c r="R614" s="30"/>
      <c r="S614" s="30"/>
      <c r="T614" s="30"/>
      <c r="U614" s="62" t="n">
        <v>136.837</v>
      </c>
      <c r="V614" s="62" t="n">
        <v>146.841</v>
      </c>
      <c r="W614" s="92" t="n">
        <f aca="false">21.43+11.824</f>
        <v>33.254</v>
      </c>
      <c r="X614" s="62" t="n">
        <v>6.553</v>
      </c>
      <c r="Y614" s="62" t="n">
        <v>1130.75</v>
      </c>
      <c r="Z614" s="62" t="n">
        <v>1089.404</v>
      </c>
      <c r="AA614" s="62" t="n">
        <v>1014.067</v>
      </c>
      <c r="AB614" s="62" t="n">
        <v>829.4</v>
      </c>
      <c r="AC614" s="62" t="n">
        <v>664.1</v>
      </c>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row>
    <row r="615" customFormat="false" ht="15" hidden="false" customHeight="true" outlineLevel="0" collapsed="false">
      <c r="A615" s="29" t="s">
        <v>645</v>
      </c>
      <c r="B615" s="36"/>
      <c r="C615" s="36"/>
      <c r="D615" s="36"/>
      <c r="E615" s="36"/>
      <c r="F615" s="36"/>
      <c r="G615" s="36"/>
      <c r="H615" s="36"/>
      <c r="I615" s="36"/>
      <c r="J615" s="36"/>
      <c r="K615" s="36"/>
      <c r="L615" s="36"/>
      <c r="M615" s="36"/>
      <c r="N615" s="36"/>
      <c r="O615" s="36"/>
      <c r="P615" s="36"/>
      <c r="Q615" s="36"/>
      <c r="R615" s="36"/>
      <c r="S615" s="36"/>
      <c r="T615" s="36"/>
      <c r="U615" s="37" t="n">
        <v>55.044</v>
      </c>
      <c r="V615" s="37" t="n">
        <v>106.924</v>
      </c>
      <c r="W615" s="37" t="n">
        <v>86.914</v>
      </c>
      <c r="X615" s="37" t="n">
        <v>10.696</v>
      </c>
      <c r="Y615" s="36"/>
      <c r="Z615" s="36"/>
      <c r="AA615" s="36"/>
      <c r="AB615" s="36"/>
      <c r="AC615" s="81" t="n">
        <f aca="false">289.4+150.3</f>
        <v>439.7</v>
      </c>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row>
    <row r="616" customFormat="false" ht="15" hidden="false" customHeight="true" outlineLevel="0" collapsed="false">
      <c r="A616" s="47" t="s">
        <v>646</v>
      </c>
      <c r="B616" s="30"/>
      <c r="C616" s="30"/>
      <c r="D616" s="30"/>
      <c r="E616" s="30"/>
      <c r="F616" s="30"/>
      <c r="G616" s="30"/>
      <c r="H616" s="30"/>
      <c r="I616" s="30"/>
      <c r="J616" s="30"/>
      <c r="K616" s="30"/>
      <c r="L616" s="30"/>
      <c r="M616" s="30"/>
      <c r="N616" s="30"/>
      <c r="O616" s="30"/>
      <c r="P616" s="30"/>
      <c r="Q616" s="30"/>
      <c r="R616" s="30"/>
      <c r="S616" s="30"/>
      <c r="T616" s="30"/>
      <c r="U616" s="35" t="n">
        <f aca="false">+U612+U613+U614+U615</f>
        <v>7027.922</v>
      </c>
      <c r="V616" s="35" t="n">
        <f aca="false">+V612+V613+V614+V615+V611</f>
        <v>8506.082</v>
      </c>
      <c r="W616" s="35" t="n">
        <f aca="false">+W612+W613+W614+W615+W611</f>
        <v>8064.076</v>
      </c>
      <c r="X616" s="35" t="n">
        <f aca="false">+X612+X613+X614+X615+X611</f>
        <v>7583.915</v>
      </c>
      <c r="Y616" s="34" t="n">
        <v>5689.395</v>
      </c>
      <c r="Z616" s="34" t="n">
        <v>7998.928</v>
      </c>
      <c r="AA616" s="34" t="n">
        <v>4866.301</v>
      </c>
      <c r="AB616" s="34" t="n">
        <v>2339.6</v>
      </c>
      <c r="AC616" s="34" t="n">
        <v>2165.3</v>
      </c>
      <c r="AD616" s="34" t="n">
        <v>1250</v>
      </c>
      <c r="AE616" s="30"/>
      <c r="AF616" s="35" t="n">
        <f aca="false">+AF612+AF613+AF614+AF615+AF611</f>
        <v>0</v>
      </c>
      <c r="AG616" s="35" t="n">
        <f aca="false">+AG612+AG613+AG614+AG615+AG611</f>
        <v>0</v>
      </c>
      <c r="AH616" s="35" t="n">
        <f aca="false">+AH612+AH613+AH614+AH615+AH611</f>
        <v>0</v>
      </c>
      <c r="AI616" s="35" t="n">
        <f aca="false">+AI612+AI613+AI614+AI615+AI611</f>
        <v>0</v>
      </c>
      <c r="AJ616" s="35" t="n">
        <f aca="false">+AJ612+AJ613+AJ614+AJ615+AJ611</f>
        <v>0</v>
      </c>
      <c r="AK616" s="35" t="n">
        <f aca="false">+AK612+AK613+AK614+AK615+AK611</f>
        <v>0</v>
      </c>
      <c r="AL616" s="35" t="n">
        <f aca="false">+AL612+AL613+AL614+AL615+AL611</f>
        <v>0</v>
      </c>
      <c r="AM616" s="30"/>
      <c r="AN616" s="30"/>
      <c r="AO616" s="30"/>
      <c r="AP616" s="30"/>
      <c r="AQ616" s="30"/>
      <c r="AR616" s="30"/>
      <c r="AS616" s="30"/>
      <c r="AT616" s="30"/>
      <c r="AU616" s="30"/>
      <c r="AV616" s="30"/>
      <c r="AW616" s="30"/>
      <c r="AX616" s="30"/>
      <c r="AY616" s="30"/>
    </row>
    <row r="617" customFormat="false" ht="15" hidden="false" customHeight="true" outlineLevel="0" collapsed="false">
      <c r="A617" s="47"/>
      <c r="B617" s="43"/>
      <c r="C617" s="43"/>
      <c r="D617" s="43"/>
      <c r="E617" s="43"/>
      <c r="F617" s="43"/>
      <c r="G617" s="43"/>
      <c r="H617" s="43"/>
      <c r="I617" s="43"/>
      <c r="J617" s="43"/>
      <c r="K617" s="43"/>
      <c r="L617" s="43"/>
      <c r="M617" s="43"/>
      <c r="N617" s="43"/>
      <c r="O617" s="43"/>
      <c r="P617" s="43"/>
      <c r="Q617" s="43"/>
      <c r="R617" s="43"/>
      <c r="S617" s="43"/>
      <c r="T617" s="43"/>
      <c r="U617" s="43"/>
      <c r="V617" s="43"/>
      <c r="W617" s="43"/>
      <c r="X617" s="89" t="n">
        <f aca="false">+X616-7583.915</f>
        <v>0</v>
      </c>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row>
    <row r="618" customFormat="false" ht="15" hidden="false" customHeight="true" outlineLevel="0" collapsed="false">
      <c r="A618" s="47" t="s">
        <v>647</v>
      </c>
      <c r="B618" s="30"/>
      <c r="C618" s="30"/>
      <c r="D618" s="30"/>
      <c r="E618" s="30"/>
      <c r="F618" s="30"/>
      <c r="G618" s="30"/>
      <c r="H618" s="30"/>
      <c r="I618" s="30"/>
      <c r="J618" s="30"/>
      <c r="K618" s="34" t="n">
        <v>1891.5</v>
      </c>
      <c r="L618" s="34" t="n">
        <v>1684.99</v>
      </c>
      <c r="M618" s="34" t="n">
        <v>1802.86</v>
      </c>
      <c r="N618" s="34" t="n">
        <v>1708.48</v>
      </c>
      <c r="O618" s="34" t="n">
        <v>1796.89</v>
      </c>
      <c r="P618" s="34" t="n">
        <v>1969.29</v>
      </c>
      <c r="Q618" s="34" t="n">
        <v>2538.2</v>
      </c>
      <c r="R618" s="34" t="n">
        <v>2634.369</v>
      </c>
      <c r="S618" s="34" t="n">
        <v>3845.369</v>
      </c>
      <c r="T618" s="34" t="n">
        <v>4438.869</v>
      </c>
      <c r="U618" s="34" t="n">
        <v>4903.669</v>
      </c>
      <c r="V618" s="34" t="n">
        <v>5273.669</v>
      </c>
      <c r="W618" s="34" t="n">
        <v>4067.669</v>
      </c>
      <c r="X618" s="34" t="n">
        <v>5102.669</v>
      </c>
      <c r="Y618" s="34" t="n">
        <v>3291.042</v>
      </c>
      <c r="Z618" s="34" t="n">
        <v>1269.021</v>
      </c>
      <c r="AA618" s="34" t="n">
        <v>2983.886</v>
      </c>
      <c r="AB618" s="34" t="n">
        <v>2497.3</v>
      </c>
      <c r="AC618" s="34" t="n">
        <v>2648.2</v>
      </c>
      <c r="AD618" s="34" t="n">
        <v>1707.9</v>
      </c>
      <c r="AE618" s="34" t="n">
        <v>1443.6</v>
      </c>
      <c r="AF618" s="34" t="n">
        <v>5035.1</v>
      </c>
      <c r="AG618" s="34" t="n">
        <v>5563.1</v>
      </c>
      <c r="AH618" s="34" t="n">
        <v>5478.9</v>
      </c>
      <c r="AI618" s="34" t="n">
        <v>5357.1</v>
      </c>
      <c r="AJ618" s="101" t="n">
        <f aca="false">+AI618*1.05</f>
        <v>5624.955</v>
      </c>
      <c r="AK618" s="101" t="n">
        <f aca="false">+AJ618*1.05</f>
        <v>5906.20275</v>
      </c>
      <c r="AL618" s="101" t="n">
        <f aca="false">+AK618*1.05</f>
        <v>6201.5128875</v>
      </c>
      <c r="AM618" s="30"/>
      <c r="AN618" s="30"/>
      <c r="AO618" s="30"/>
      <c r="AP618" s="30"/>
      <c r="AQ618" s="30"/>
      <c r="AR618" s="30"/>
      <c r="AS618" s="30"/>
      <c r="AT618" s="30"/>
      <c r="AU618" s="30"/>
      <c r="AV618" s="30"/>
      <c r="AW618" s="30"/>
      <c r="AX618" s="30"/>
      <c r="AY618" s="30"/>
    </row>
    <row r="619" customFormat="false" ht="15" hidden="false" customHeight="true" outlineLevel="0" collapsed="false">
      <c r="A619" s="47" t="s">
        <v>648</v>
      </c>
      <c r="B619" s="36"/>
      <c r="C619" s="36"/>
      <c r="D619" s="36"/>
      <c r="E619" s="36"/>
      <c r="F619" s="36"/>
      <c r="G619" s="36"/>
      <c r="H619" s="36"/>
      <c r="I619" s="36"/>
      <c r="J619" s="36"/>
      <c r="K619" s="36"/>
      <c r="L619" s="36"/>
      <c r="M619" s="36"/>
      <c r="N619" s="36"/>
      <c r="O619" s="36"/>
      <c r="P619" s="36"/>
      <c r="Q619" s="36"/>
      <c r="R619" s="37" t="n">
        <v>38.411</v>
      </c>
      <c r="S619" s="37" t="n">
        <v>-124.501</v>
      </c>
      <c r="T619" s="36"/>
      <c r="U619" s="37" t="n">
        <v>35.903</v>
      </c>
      <c r="V619" s="81" t="n">
        <f aca="false">17.785</f>
        <v>17.785</v>
      </c>
      <c r="W619" s="37" t="n">
        <v>23.712</v>
      </c>
      <c r="X619" s="37" t="n">
        <v>20.604</v>
      </c>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row>
    <row r="620" customFormat="false" ht="15" hidden="false" customHeight="true" outlineLevel="0" collapsed="false">
      <c r="A620" s="47" t="s">
        <v>355</v>
      </c>
      <c r="B620" s="36"/>
      <c r="C620" s="36"/>
      <c r="D620" s="36"/>
      <c r="E620" s="36"/>
      <c r="F620" s="36"/>
      <c r="G620" s="36"/>
      <c r="H620" s="36"/>
      <c r="I620" s="36"/>
      <c r="J620" s="36"/>
      <c r="K620" s="36"/>
      <c r="L620" s="36"/>
      <c r="M620" s="36"/>
      <c r="N620" s="36"/>
      <c r="O620" s="36"/>
      <c r="P620" s="36"/>
      <c r="Q620" s="36"/>
      <c r="R620" s="36"/>
      <c r="S620" s="37" t="n">
        <v>765.485</v>
      </c>
      <c r="T620" s="37" t="n">
        <v>899.267</v>
      </c>
      <c r="U620" s="37" t="n">
        <v>4.307</v>
      </c>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row>
    <row r="621" customFormat="false" ht="15" hidden="false" customHeight="true" outlineLevel="0" collapsed="false">
      <c r="A621" s="47" t="s">
        <v>649</v>
      </c>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92" t="n">
        <f aca="false">1740.509+294.213</f>
        <v>2034.722</v>
      </c>
      <c r="Z621" s="92" t="n">
        <f aca="false">472.168+392.636</f>
        <v>864.804</v>
      </c>
      <c r="AA621" s="92" t="n">
        <f aca="false">14.383+2037.422</f>
        <v>2051.805</v>
      </c>
      <c r="AB621" s="92" t="n">
        <f aca="false">345.9+16.4+2690.2</f>
        <v>3052.5</v>
      </c>
      <c r="AC621" s="92" t="n">
        <f aca="false">275.5+499.2+2498.5</f>
        <v>3273.2</v>
      </c>
      <c r="AD621" s="92" t="n">
        <f aca="false">221.2+448.8+2135</f>
        <v>2805</v>
      </c>
      <c r="AE621" s="92" t="n">
        <f aca="false">294.1+1905.8</f>
        <v>2199.9</v>
      </c>
      <c r="AF621" s="92" t="n">
        <f aca="false">230.1+2500.4</f>
        <v>2730.5</v>
      </c>
      <c r="AG621" s="92" t="n">
        <f aca="false">213.1+2834.5</f>
        <v>3047.6</v>
      </c>
      <c r="AH621" s="92" t="n">
        <f aca="false">125.7+3728.6</f>
        <v>3854.3</v>
      </c>
      <c r="AI621" s="92" t="n">
        <f aca="false">109.9+4239.7</f>
        <v>4349.6</v>
      </c>
      <c r="AJ621" s="32" t="n">
        <f aca="false">+AI621*1.1</f>
        <v>4784.56</v>
      </c>
      <c r="AK621" s="32" t="n">
        <f aca="false">+AJ621*1.1</f>
        <v>5263.016</v>
      </c>
      <c r="AL621" s="32" t="n">
        <f aca="false">+AK621*1.1</f>
        <v>5789.3176</v>
      </c>
      <c r="AM621" s="30"/>
      <c r="AN621" s="30"/>
      <c r="AO621" s="30"/>
      <c r="AP621" s="30"/>
      <c r="AQ621" s="30"/>
      <c r="AR621" s="30"/>
      <c r="AS621" s="30"/>
      <c r="AT621" s="30"/>
      <c r="AU621" s="30"/>
      <c r="AV621" s="30"/>
      <c r="AW621" s="30"/>
      <c r="AX621" s="30"/>
      <c r="AY621" s="30"/>
    </row>
    <row r="622" customFormat="false" ht="15" hidden="false" customHeight="true" outlineLevel="0" collapsed="false">
      <c r="A622" s="47" t="s">
        <v>356</v>
      </c>
      <c r="B622" s="30"/>
      <c r="C622" s="30"/>
      <c r="D622" s="30"/>
      <c r="E622" s="30"/>
      <c r="F622" s="30"/>
      <c r="G622" s="30"/>
      <c r="H622" s="30"/>
      <c r="I622" s="30"/>
      <c r="J622" s="30"/>
      <c r="K622" s="30"/>
      <c r="L622" s="30"/>
      <c r="M622" s="30"/>
      <c r="N622" s="30"/>
      <c r="O622" s="30"/>
      <c r="P622" s="30"/>
      <c r="Q622" s="30"/>
      <c r="R622" s="30"/>
      <c r="S622" s="30"/>
      <c r="T622" s="30"/>
      <c r="U622" s="62" t="n">
        <v>765.63</v>
      </c>
      <c r="V622" s="62" t="n">
        <v>785.126</v>
      </c>
      <c r="W622" s="34" t="n">
        <v>678.662</v>
      </c>
      <c r="X622" s="34" t="n">
        <v>786.136</v>
      </c>
      <c r="Y622" s="34" t="n">
        <v>1228.065</v>
      </c>
      <c r="Z622" s="34" t="n">
        <v>1325.538</v>
      </c>
      <c r="AA622" s="34" t="n">
        <v>2550.463</v>
      </c>
      <c r="AB622" s="34" t="n">
        <v>2496.3</v>
      </c>
      <c r="AC622" s="34" t="n">
        <v>1806.9</v>
      </c>
      <c r="AD622" s="34" t="n">
        <v>1895.7</v>
      </c>
      <c r="AE622" s="34" t="n">
        <v>2002.1</v>
      </c>
      <c r="AF622" s="34" t="n">
        <v>5192.2</v>
      </c>
      <c r="AG622" s="34" t="n">
        <v>7240.7</v>
      </c>
      <c r="AH622" s="34" t="n">
        <v>7089.7</v>
      </c>
      <c r="AI622" s="34" t="n">
        <v>6354.5</v>
      </c>
      <c r="AJ622" s="101" t="n">
        <f aca="false">AI622*1.1</f>
        <v>6989.95</v>
      </c>
      <c r="AK622" s="101" t="n">
        <f aca="false">AJ622*1.1</f>
        <v>7688.945</v>
      </c>
      <c r="AL622" s="101" t="n">
        <f aca="false">AK622*1.1</f>
        <v>8457.8395</v>
      </c>
      <c r="AM622" s="30"/>
      <c r="AN622" s="30"/>
      <c r="AO622" s="30"/>
      <c r="AP622" s="30"/>
      <c r="AQ622" s="30"/>
      <c r="AR622" s="30"/>
      <c r="AS622" s="30"/>
      <c r="AT622" s="30"/>
      <c r="AU622" s="30"/>
      <c r="AV622" s="30"/>
      <c r="AW622" s="30"/>
      <c r="AX622" s="30"/>
      <c r="AY622" s="30"/>
    </row>
    <row r="623" customFormat="false" ht="15" hidden="false" customHeight="true" outlineLevel="0" collapsed="false">
      <c r="A623" s="51" t="s">
        <v>427</v>
      </c>
      <c r="B623" s="52" t="n">
        <f aca="false">+B610+B599+B618</f>
        <v>9249.35</v>
      </c>
      <c r="C623" s="52" t="n">
        <f aca="false">+C610+C599+C618</f>
        <v>10023.02</v>
      </c>
      <c r="D623" s="52" t="n">
        <f aca="false">+D610+D599+D618</f>
        <v>15650.75</v>
      </c>
      <c r="E623" s="52" t="n">
        <f aca="false">+E610+E599+E618</f>
        <v>19257.08</v>
      </c>
      <c r="F623" s="52" t="n">
        <f aca="false">+F610+F599+F618</f>
        <v>22741.27</v>
      </c>
      <c r="G623" s="52" t="n">
        <f aca="false">+G610+G599+G618</f>
        <v>23501.69</v>
      </c>
      <c r="H623" s="52" t="n">
        <f aca="false">+H610+H599+H618</f>
        <v>20716.73</v>
      </c>
      <c r="I623" s="52" t="n">
        <f aca="false">+I610+I599+I618</f>
        <v>21058.38</v>
      </c>
      <c r="J623" s="52" t="n">
        <f aca="false">+J610+J599+J618</f>
        <v>21117.68</v>
      </c>
      <c r="K623" s="52" t="n">
        <f aca="false">+K610+K599+K618</f>
        <v>21145.52</v>
      </c>
      <c r="L623" s="52" t="n">
        <f aca="false">+L610+L599+L618</f>
        <v>18455.07</v>
      </c>
      <c r="M623" s="52" t="n">
        <f aca="false">+M610+M599+M618</f>
        <v>17311.56</v>
      </c>
      <c r="N623" s="52" t="n">
        <f aca="false">+N610+N599+N618</f>
        <v>22191.19</v>
      </c>
      <c r="O623" s="52" t="n">
        <f aca="false">+O610+O599+O618</f>
        <v>22840.7</v>
      </c>
      <c r="P623" s="52" t="n">
        <f aca="false">+P610+P599+P618</f>
        <v>27318.95</v>
      </c>
      <c r="Q623" s="52" t="n">
        <f aca="false">+Q610+Q599+Q618</f>
        <v>32903.03</v>
      </c>
      <c r="R623" s="52" t="n">
        <f aca="false">+R610+R599+R618+R619</f>
        <v>56993.209</v>
      </c>
      <c r="S623" s="52" t="n">
        <f aca="false">+S610+S599+S618+S619+S620</f>
        <v>63212.852</v>
      </c>
      <c r="T623" s="52" t="n">
        <f aca="false">+T610+T599+T618+T620</f>
        <v>70650.405</v>
      </c>
      <c r="U623" s="52" t="n">
        <f aca="false">+U610+U599+U618+U620+U622+U619</f>
        <v>78770.177</v>
      </c>
      <c r="V623" s="52" t="n">
        <f aca="false">+V610+V599+V618+V620+V622+V619</f>
        <v>94191.586</v>
      </c>
      <c r="W623" s="52" t="n">
        <f aca="false">+W610+W599+W618+W620+W622+W619</f>
        <v>96211.383</v>
      </c>
      <c r="X623" s="52" t="n">
        <f aca="false">+X610+X599+X618+X620+X622+X619</f>
        <v>90736.108</v>
      </c>
      <c r="Y623" s="52" t="n">
        <f aca="false">+Y610+Y599+Y618+Y620+Y622+Y619+Y621</f>
        <v>84775.138</v>
      </c>
      <c r="Z623" s="52" t="n">
        <f aca="false">+Z610+Z599+Z618+Z620+Z622+Z619+Z621</f>
        <v>86168.564</v>
      </c>
      <c r="AA623" s="52" t="n">
        <f aca="false">+AA610+AA599+AA618+AA620+AA622+AA619+AA621</f>
        <v>89257.302</v>
      </c>
      <c r="AB623" s="52" t="n">
        <f aca="false">+AB610+AB599+AB618+AB620+AB622+AB619+AB621</f>
        <v>97694</v>
      </c>
      <c r="AC623" s="52" t="n">
        <f aca="false">+AC610+AC599+AC618+AC620+AC622+AC619+AC621</f>
        <v>113181.8</v>
      </c>
      <c r="AD623" s="52" t="n">
        <f aca="false">+AD610+AD599+AD618+AD620+AD622+AD619+AD621</f>
        <v>114593.1</v>
      </c>
      <c r="AE623" s="52" t="n">
        <f aca="false">+AE610+AE599+AE618+AE620+AE622+AE619+AE621</f>
        <v>114553.4</v>
      </c>
      <c r="AF623" s="52" t="n">
        <f aca="false">+AF610+AF599+AF618+AF620+AF622+AF619+AF621</f>
        <v>129464.1</v>
      </c>
      <c r="AG623" s="52" t="n">
        <f aca="false">+AG610+AG599+AG618+AG620+AG622+AG619+AG621</f>
        <v>126949.1</v>
      </c>
      <c r="AH623" s="52" t="n">
        <f aca="false">+AH610+AH599+AH618+AH620+AH622+AH619+AH621</f>
        <v>146428</v>
      </c>
      <c r="AI623" s="52" t="n">
        <f aca="false">+AI610+AI599+AI618+AI620+AI622+AI619+AI621</f>
        <v>159145.8</v>
      </c>
      <c r="AJ623" s="52" t="n">
        <f aca="false">+AJ610+AJ599+AJ618+AJ620+AJ622+AJ619+AJ621</f>
        <v>182741.152711314</v>
      </c>
      <c r="AK623" s="52" t="n">
        <f aca="false">+AK610+AK599+AK618+AK620+AK622+AK619+AK621</f>
        <v>206349.512189023</v>
      </c>
      <c r="AL623" s="52" t="n">
        <f aca="false">+AL610+AL599+AL618+AL620+AL622+AL619+AL621</f>
        <v>231369.023802979</v>
      </c>
      <c r="AM623" s="53"/>
      <c r="AN623" s="53"/>
      <c r="AO623" s="53"/>
      <c r="AP623" s="53"/>
      <c r="AQ623" s="53"/>
      <c r="AR623" s="53"/>
      <c r="AS623" s="53"/>
      <c r="AT623" s="53"/>
      <c r="AU623" s="53"/>
      <c r="AV623" s="53"/>
      <c r="AW623" s="53"/>
      <c r="AX623" s="53"/>
      <c r="AY623" s="53"/>
    </row>
    <row r="624" customFormat="false" ht="15" hidden="false" customHeight="true" outlineLevel="0" collapsed="false">
      <c r="A624" s="29"/>
      <c r="B624" s="59" t="n">
        <f aca="false">+B623-B677</f>
        <v>-0.06999999999789</v>
      </c>
      <c r="C624" s="59" t="n">
        <f aca="false">+C623-C677</f>
        <v>0.139999999999418</v>
      </c>
      <c r="D624" s="59" t="n">
        <f aca="false">+D623-D677</f>
        <v>-0.0100000000020373</v>
      </c>
      <c r="E624" s="59" t="n">
        <f aca="false">+E623-E677</f>
        <v>0.0100000000020373</v>
      </c>
      <c r="F624" s="59" t="n">
        <f aca="false">+F623-F677</f>
        <v>0.0100000000020373</v>
      </c>
      <c r="G624" s="59" t="n">
        <f aca="false">+G623-G677</f>
        <v>0</v>
      </c>
      <c r="H624" s="59" t="n">
        <f aca="false">+H623-H677</f>
        <v>0.00999999999839929</v>
      </c>
      <c r="I624" s="59" t="n">
        <f aca="false">+I623-I677</f>
        <v>0</v>
      </c>
      <c r="J624" s="59" t="n">
        <f aca="false">+J623-J677</f>
        <v>0</v>
      </c>
      <c r="K624" s="59" t="n">
        <f aca="false">+K623-K677</f>
        <v>0</v>
      </c>
      <c r="L624" s="59" t="n">
        <f aca="false">+L623-L677</f>
        <v>0</v>
      </c>
      <c r="M624" s="59" t="n">
        <f aca="false">+M623-M677</f>
        <v>0</v>
      </c>
      <c r="N624" s="59" t="n">
        <f aca="false">+N623-N677</f>
        <v>0</v>
      </c>
      <c r="O624" s="59" t="n">
        <f aca="false">+O623-O677</f>
        <v>0</v>
      </c>
      <c r="P624" s="59" t="n">
        <f aca="false">+P623-P677</f>
        <v>0</v>
      </c>
      <c r="Q624" s="59" t="n">
        <f aca="false">+Q623-Q677</f>
        <v>0</v>
      </c>
      <c r="R624" s="59" t="n">
        <f aca="false">+R623-R677</f>
        <v>0</v>
      </c>
      <c r="S624" s="59" t="n">
        <f aca="false">+S623-S677</f>
        <v>0</v>
      </c>
      <c r="T624" s="59" t="n">
        <f aca="false">+T623-T677</f>
        <v>0</v>
      </c>
      <c r="U624" s="59" t="n">
        <f aca="false">+U623-U677</f>
        <v>0</v>
      </c>
      <c r="V624" s="59" t="n">
        <f aca="false">+V623-V677</f>
        <v>0</v>
      </c>
      <c r="W624" s="59" t="n">
        <f aca="false">+W623-W677</f>
        <v>0</v>
      </c>
      <c r="X624" s="59" t="n">
        <f aca="false">+X623-X677</f>
        <v>0</v>
      </c>
      <c r="Y624" s="59" t="n">
        <f aca="false">+Y623-Y677</f>
        <v>0</v>
      </c>
      <c r="Z624" s="59" t="n">
        <f aca="false">+Z623-Z677</f>
        <v>0</v>
      </c>
      <c r="AA624" s="59" t="n">
        <f aca="false">+AA623-AA677</f>
        <v>0</v>
      </c>
      <c r="AB624" s="59" t="n">
        <f aca="false">+AB623-AB677</f>
        <v>0</v>
      </c>
      <c r="AC624" s="59" t="n">
        <f aca="false">+AC623-AC677</f>
        <v>0</v>
      </c>
      <c r="AD624" s="59" t="n">
        <f aca="false">+AD623-AD677</f>
        <v>0</v>
      </c>
      <c r="AE624" s="59" t="n">
        <f aca="false">+AE623-AE677</f>
        <v>0</v>
      </c>
      <c r="AF624" s="59" t="n">
        <f aca="false">+AF623-AF677</f>
        <v>0</v>
      </c>
      <c r="AG624" s="59" t="n">
        <f aca="false">+AG623-AG677</f>
        <v>0</v>
      </c>
      <c r="AH624" s="59" t="n">
        <f aca="false">+AH623-AH677</f>
        <v>0</v>
      </c>
      <c r="AI624" s="59" t="n">
        <f aca="false">+AI623-AI677</f>
        <v>0</v>
      </c>
      <c r="AJ624" s="59" t="n">
        <f aca="false">+AJ623-AJ677</f>
        <v>0</v>
      </c>
      <c r="AK624" s="59" t="n">
        <f aca="false">+AK623-AK677</f>
        <v>0</v>
      </c>
      <c r="AL624" s="59" t="n">
        <f aca="false">+AL623-AL677</f>
        <v>0</v>
      </c>
      <c r="AM624" s="43"/>
      <c r="AN624" s="43"/>
      <c r="AO624" s="43"/>
      <c r="AP624" s="43"/>
      <c r="AQ624" s="43"/>
      <c r="AR624" s="43"/>
      <c r="AS624" s="43"/>
      <c r="AT624" s="43"/>
      <c r="AU624" s="43"/>
      <c r="AV624" s="43"/>
      <c r="AW624" s="43"/>
      <c r="AX624" s="43"/>
      <c r="AY624" s="43"/>
    </row>
    <row r="625" customFormat="false" ht="15" hidden="false" customHeight="true" outlineLevel="0" collapsed="false">
      <c r="A625" s="70" t="s">
        <v>650</v>
      </c>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c r="AA625" s="86"/>
      <c r="AB625" s="86"/>
      <c r="AC625" s="86"/>
      <c r="AD625" s="86"/>
      <c r="AE625" s="86"/>
      <c r="AF625" s="86"/>
      <c r="AG625" s="86"/>
      <c r="AH625" s="86"/>
      <c r="AI625" s="86"/>
      <c r="AJ625" s="86"/>
      <c r="AK625" s="86"/>
      <c r="AL625" s="86"/>
      <c r="AM625" s="86"/>
      <c r="AN625" s="86"/>
      <c r="AO625" s="86"/>
      <c r="AP625" s="86"/>
      <c r="AQ625" s="86"/>
      <c r="AR625" s="86"/>
      <c r="AS625" s="86"/>
      <c r="AT625" s="86"/>
      <c r="AU625" s="86"/>
      <c r="AV625" s="86"/>
      <c r="AW625" s="86"/>
      <c r="AX625" s="86"/>
      <c r="AY625" s="86"/>
    </row>
    <row r="626" customFormat="false" ht="15" hidden="false" customHeight="true" outlineLevel="0" collapsed="false">
      <c r="A626" s="29"/>
      <c r="B626" s="30"/>
      <c r="C626" s="31" t="n">
        <f aca="false">+C627-B627</f>
        <v>956.79</v>
      </c>
      <c r="D626" s="31" t="n">
        <f aca="false">+D627-C627</f>
        <v>2708.2</v>
      </c>
      <c r="E626" s="31" t="n">
        <f aca="false">+E627-D627</f>
        <v>1663.57</v>
      </c>
      <c r="F626" s="31" t="n">
        <f aca="false">+F627-E627</f>
        <v>1800.65</v>
      </c>
      <c r="G626" s="31" t="n">
        <f aca="false">+G627-F627</f>
        <v>628.48</v>
      </c>
      <c r="H626" s="31" t="n">
        <f aca="false">+H627-G627</f>
        <v>1577.2</v>
      </c>
      <c r="I626" s="31" t="n">
        <f aca="false">+I627-H627</f>
        <v>856.529999999999</v>
      </c>
      <c r="J626" s="31" t="n">
        <f aca="false">+J627-I627</f>
        <v>549.48</v>
      </c>
      <c r="K626" s="31" t="n">
        <f aca="false">+K627-J627</f>
        <v>1410.6</v>
      </c>
      <c r="L626" s="31" t="n">
        <f aca="false">+L627-K627</f>
        <v>1216.38</v>
      </c>
      <c r="M626" s="31" t="n">
        <f aca="false">+M627-L627</f>
        <v>635.73</v>
      </c>
      <c r="N626" s="31" t="n">
        <f aca="false">+N627-M627</f>
        <v>1266.08</v>
      </c>
      <c r="O626" s="31" t="n">
        <f aca="false">+O627-N627</f>
        <v>1362.49</v>
      </c>
      <c r="P626" s="31" t="n">
        <f aca="false">+P627-O627</f>
        <v>4816.98</v>
      </c>
      <c r="Q626" s="31" t="n">
        <f aca="false">+Q627-P627</f>
        <v>3222.41</v>
      </c>
      <c r="R626" s="31" t="n">
        <f aca="false">+R627-Q627</f>
        <v>20108.342</v>
      </c>
      <c r="S626" s="31" t="n">
        <f aca="false">+S627-R627</f>
        <v>10653.615</v>
      </c>
      <c r="T626" s="31" t="n">
        <f aca="false">+T627-S627</f>
        <v>6732.55</v>
      </c>
      <c r="U626" s="31" t="n">
        <f aca="false">+U627-T627</f>
        <v>215.955999999991</v>
      </c>
      <c r="V626" s="31" t="n">
        <f aca="false">+V627-U627</f>
        <v>6384.35100000001</v>
      </c>
      <c r="W626" s="31" t="n">
        <f aca="false">+W627-V627</f>
        <v>5380.06199999999</v>
      </c>
      <c r="X626" s="31" t="n">
        <f aca="false">+X627-W627</f>
        <v>-1273.431</v>
      </c>
      <c r="Y626" s="31" t="n">
        <f aca="false">+Y627-X627</f>
        <v>-28935.314</v>
      </c>
      <c r="Z626" s="31" t="n">
        <f aca="false">+Z627-Y627</f>
        <v>5320.15</v>
      </c>
      <c r="AA626" s="31" t="n">
        <f aca="false">+AA627-Z627</f>
        <v>4149.087</v>
      </c>
      <c r="AB626" s="31" t="n">
        <f aca="false">+AB627-AA627</f>
        <v>6800.152</v>
      </c>
      <c r="AC626" s="31" t="n">
        <f aca="false">+AC627-AB627</f>
        <v>9403.49999999999</v>
      </c>
      <c r="AD626" s="31" t="n">
        <f aca="false">+AD627-AC627</f>
        <v>7961.60000000001</v>
      </c>
      <c r="AE626" s="31" t="n">
        <f aca="false">+AE627-AD627</f>
        <v>1970.39999999999</v>
      </c>
      <c r="AF626" s="31" t="n">
        <f aca="false">+AF627-AE627</f>
        <v>3022.10000000001</v>
      </c>
      <c r="AG626" s="31" t="n">
        <f aca="false">+AG627-AF627</f>
        <v>2398.60000000001</v>
      </c>
      <c r="AH626" s="62" t="n">
        <v>6237.59999999998</v>
      </c>
      <c r="AI626" s="62" t="n">
        <v>13806.5</v>
      </c>
      <c r="AJ626" s="62" t="n">
        <v>10000</v>
      </c>
      <c r="AK626" s="62" t="n">
        <v>8000</v>
      </c>
      <c r="AL626" s="62" t="n">
        <v>8000</v>
      </c>
      <c r="AM626" s="30"/>
      <c r="AN626" s="30"/>
      <c r="AO626" s="30"/>
      <c r="AP626" s="30"/>
      <c r="AQ626" s="30"/>
      <c r="AR626" s="30"/>
      <c r="AS626" s="30"/>
      <c r="AT626" s="30"/>
      <c r="AU626" s="30"/>
      <c r="AV626" s="30"/>
      <c r="AW626" s="30"/>
      <c r="AX626" s="30"/>
      <c r="AY626" s="30"/>
    </row>
    <row r="627" customFormat="false" ht="15" hidden="false" customHeight="true" outlineLevel="0" collapsed="false">
      <c r="A627" s="51" t="s">
        <v>359</v>
      </c>
      <c r="B627" s="63" t="n">
        <v>4752.81</v>
      </c>
      <c r="C627" s="63" t="n">
        <v>5709.6</v>
      </c>
      <c r="D627" s="63" t="n">
        <v>8417.8</v>
      </c>
      <c r="E627" s="63" t="n">
        <v>10081.37</v>
      </c>
      <c r="F627" s="63" t="n">
        <v>11882.02</v>
      </c>
      <c r="G627" s="63" t="n">
        <v>12510.5</v>
      </c>
      <c r="H627" s="63" t="n">
        <v>14087.7</v>
      </c>
      <c r="I627" s="63" t="n">
        <v>14944.23</v>
      </c>
      <c r="J627" s="63" t="n">
        <v>15493.71</v>
      </c>
      <c r="K627" s="63" t="n">
        <v>16904.31</v>
      </c>
      <c r="L627" s="63" t="n">
        <v>18120.69</v>
      </c>
      <c r="M627" s="63" t="n">
        <v>18756.42</v>
      </c>
      <c r="N627" s="63" t="n">
        <v>20022.5</v>
      </c>
      <c r="O627" s="91" t="n">
        <f aca="false">21384.99</f>
        <v>21384.99</v>
      </c>
      <c r="P627" s="63" t="n">
        <v>26201.97</v>
      </c>
      <c r="Q627" s="63" t="n">
        <v>29424.38</v>
      </c>
      <c r="R627" s="63" t="n">
        <v>49532.722</v>
      </c>
      <c r="S627" s="63" t="n">
        <v>60186.337</v>
      </c>
      <c r="T627" s="63" t="n">
        <v>66918.887</v>
      </c>
      <c r="U627" s="63" t="n">
        <v>67134.843</v>
      </c>
      <c r="V627" s="63" t="n">
        <v>73519.194</v>
      </c>
      <c r="W627" s="63" t="n">
        <v>78899.256</v>
      </c>
      <c r="X627" s="63" t="n">
        <v>77625.825</v>
      </c>
      <c r="Y627" s="63" t="n">
        <v>48690.511</v>
      </c>
      <c r="Z627" s="63" t="n">
        <v>54010.661</v>
      </c>
      <c r="AA627" s="63" t="n">
        <v>58159.748</v>
      </c>
      <c r="AB627" s="63" t="n">
        <v>64959.9</v>
      </c>
      <c r="AC627" s="63" t="n">
        <v>74363.4</v>
      </c>
      <c r="AD627" s="63" t="n">
        <v>82325</v>
      </c>
      <c r="AE627" s="63" t="n">
        <v>84295.4</v>
      </c>
      <c r="AF627" s="63" t="n">
        <v>87317.5</v>
      </c>
      <c r="AG627" s="63" t="n">
        <v>89716.1</v>
      </c>
      <c r="AH627" s="55" t="n">
        <f aca="false">AG627+AH626</f>
        <v>95953.7</v>
      </c>
      <c r="AI627" s="55" t="n">
        <f aca="false">AH627+AI626</f>
        <v>109760.2</v>
      </c>
      <c r="AJ627" s="55" t="n">
        <f aca="false">AI627+AJ626</f>
        <v>119760.2</v>
      </c>
      <c r="AK627" s="55" t="n">
        <f aca="false">AJ627+AK626</f>
        <v>127760.2</v>
      </c>
      <c r="AL627" s="55" t="n">
        <f aca="false">AK627+AL626</f>
        <v>135760.2</v>
      </c>
      <c r="AM627" s="53"/>
      <c r="AN627" s="53"/>
      <c r="AO627" s="53"/>
      <c r="AP627" s="53"/>
      <c r="AQ627" s="53"/>
      <c r="AR627" s="53"/>
      <c r="AS627" s="53"/>
      <c r="AT627" s="53"/>
      <c r="AU627" s="53"/>
      <c r="AV627" s="53"/>
      <c r="AW627" s="53"/>
      <c r="AX627" s="53"/>
      <c r="AY627" s="53"/>
    </row>
    <row r="628" customFormat="false" ht="15" hidden="false" customHeight="true" outlineLevel="0" collapsed="false">
      <c r="A628" s="29" t="s">
        <v>360</v>
      </c>
      <c r="B628" s="62" t="n">
        <v>1955.7</v>
      </c>
      <c r="C628" s="62" t="n">
        <v>2244.57</v>
      </c>
      <c r="D628" s="62" t="n">
        <v>2632.13</v>
      </c>
      <c r="E628" s="62" t="n">
        <v>3162.44</v>
      </c>
      <c r="F628" s="62" t="n">
        <v>3809.5</v>
      </c>
      <c r="G628" s="62" t="n">
        <v>4462.07</v>
      </c>
      <c r="H628" s="62" t="n">
        <v>5152.5</v>
      </c>
      <c r="I628" s="62" t="n">
        <v>5793.89</v>
      </c>
      <c r="J628" s="62" t="n">
        <v>6578.3</v>
      </c>
      <c r="K628" s="62" t="n">
        <v>7343.32</v>
      </c>
      <c r="L628" s="62" t="n">
        <v>9095.5</v>
      </c>
      <c r="M628" s="62" t="n">
        <v>10008.13</v>
      </c>
      <c r="N628" s="62" t="n">
        <v>11084.04</v>
      </c>
      <c r="O628" s="62" t="n">
        <v>11952.28</v>
      </c>
      <c r="P628" s="62" t="n">
        <v>13131.64</v>
      </c>
      <c r="Q628" s="62" t="n">
        <v>14168.88</v>
      </c>
      <c r="R628" s="62" t="n">
        <v>15541.559</v>
      </c>
      <c r="S628" s="62" t="n">
        <v>17690.745</v>
      </c>
      <c r="T628" s="62" t="n">
        <v>20580.969</v>
      </c>
      <c r="U628" s="62" t="n">
        <v>21477.718</v>
      </c>
      <c r="V628" s="62" t="n">
        <v>24334.852</v>
      </c>
      <c r="W628" s="62" t="n">
        <v>26679.986</v>
      </c>
      <c r="X628" s="62" t="n">
        <v>28800.995</v>
      </c>
      <c r="Y628" s="62" t="n">
        <v>4153.479</v>
      </c>
      <c r="Z628" s="62" t="n">
        <v>7449.698</v>
      </c>
      <c r="AA628" s="62" t="n">
        <v>11283.382</v>
      </c>
      <c r="AB628" s="62" t="n">
        <v>16900.1</v>
      </c>
      <c r="AC628" s="62" t="n">
        <v>23996.8</v>
      </c>
      <c r="AD628" s="62" t="n">
        <v>29228.4</v>
      </c>
      <c r="AE628" s="62" t="n">
        <v>34524.2</v>
      </c>
      <c r="AF628" s="62" t="n">
        <v>39839</v>
      </c>
      <c r="AG628" s="62" t="n">
        <v>44693.9</v>
      </c>
      <c r="AH628" s="31" t="n">
        <f aca="false">AG628+AH522</f>
        <v>51887.3</v>
      </c>
      <c r="AI628" s="31" t="n">
        <f aca="false">AH628+AI522</f>
        <v>59039.2</v>
      </c>
      <c r="AJ628" s="31" t="n">
        <f aca="false">AI628+AJ522</f>
        <v>66590.6454</v>
      </c>
      <c r="AK628" s="31" t="n">
        <f aca="false">AJ628+AK522</f>
        <v>74702.5908</v>
      </c>
      <c r="AL628" s="31" t="n">
        <f aca="false">AK628+AL522</f>
        <v>83170.0456</v>
      </c>
      <c r="AM628" s="30"/>
      <c r="AN628" s="30"/>
      <c r="AO628" s="30"/>
      <c r="AP628" s="30"/>
      <c r="AQ628" s="30"/>
      <c r="AR628" s="30"/>
      <c r="AS628" s="30"/>
      <c r="AT628" s="30"/>
      <c r="AU628" s="30"/>
      <c r="AV628" s="30"/>
      <c r="AW628" s="30"/>
      <c r="AX628" s="30"/>
      <c r="AY628" s="30"/>
    </row>
    <row r="629" customFormat="false" ht="15" hidden="false" customHeight="true" outlineLevel="0" collapsed="false">
      <c r="A629" s="51" t="s">
        <v>361</v>
      </c>
      <c r="B629" s="55" t="n">
        <f aca="false">+B627-B628</f>
        <v>2797.11</v>
      </c>
      <c r="C629" s="55" t="n">
        <f aca="false">+C627-C628</f>
        <v>3465.03</v>
      </c>
      <c r="D629" s="55" t="n">
        <f aca="false">+D627-D628</f>
        <v>5785.67</v>
      </c>
      <c r="E629" s="55" t="n">
        <f aca="false">+E627-E628</f>
        <v>6918.93</v>
      </c>
      <c r="F629" s="55" t="n">
        <f aca="false">+F627-F628</f>
        <v>8072.52</v>
      </c>
      <c r="G629" s="55" t="n">
        <f aca="false">+G627-G628</f>
        <v>8048.43</v>
      </c>
      <c r="H629" s="55" t="n">
        <f aca="false">+H627-H628</f>
        <v>8935.2</v>
      </c>
      <c r="I629" s="55" t="n">
        <f aca="false">+I627-I628</f>
        <v>9150.34</v>
      </c>
      <c r="J629" s="55" t="n">
        <f aca="false">+J627-J628</f>
        <v>8915.41</v>
      </c>
      <c r="K629" s="55" t="n">
        <f aca="false">+K627-K628</f>
        <v>9560.99</v>
      </c>
      <c r="L629" s="55" t="n">
        <f aca="false">+L627-L628</f>
        <v>9025.19</v>
      </c>
      <c r="M629" s="55" t="n">
        <f aca="false">+M627-M628</f>
        <v>8748.29</v>
      </c>
      <c r="N629" s="55" t="n">
        <f aca="false">+N627-N628</f>
        <v>8938.46</v>
      </c>
      <c r="O629" s="55" t="n">
        <f aca="false">+O627-O628</f>
        <v>9432.71</v>
      </c>
      <c r="P629" s="55" t="n">
        <f aca="false">+P627-P628</f>
        <v>13070.33</v>
      </c>
      <c r="Q629" s="55" t="n">
        <f aca="false">+Q627-Q628</f>
        <v>15255.5</v>
      </c>
      <c r="R629" s="55" t="n">
        <f aca="false">+R627-R628</f>
        <v>33991.163</v>
      </c>
      <c r="S629" s="55" t="n">
        <f aca="false">+S627-S628</f>
        <v>42495.592</v>
      </c>
      <c r="T629" s="55" t="n">
        <f aca="false">+T627-T628</f>
        <v>46337.918</v>
      </c>
      <c r="U629" s="55" t="n">
        <f aca="false">+U627-U628</f>
        <v>45657.125</v>
      </c>
      <c r="V629" s="55" t="n">
        <f aca="false">+V627-V628</f>
        <v>49184.342</v>
      </c>
      <c r="W629" s="55" t="n">
        <f aca="false">+W627-W628</f>
        <v>52219.27</v>
      </c>
      <c r="X629" s="55" t="n">
        <f aca="false">+X627-X628</f>
        <v>48824.83</v>
      </c>
      <c r="Y629" s="55" t="n">
        <f aca="false">+Y627-Y628</f>
        <v>44537.032</v>
      </c>
      <c r="Z629" s="55" t="n">
        <f aca="false">+Z627-Z628</f>
        <v>46560.963</v>
      </c>
      <c r="AA629" s="55" t="n">
        <f aca="false">+AA627-AA628</f>
        <v>46876.366</v>
      </c>
      <c r="AB629" s="55" t="n">
        <f aca="false">+AB627-AB628</f>
        <v>48059.8</v>
      </c>
      <c r="AC629" s="55" t="n">
        <f aca="false">+AC627-AC628</f>
        <v>50366.6</v>
      </c>
      <c r="AD629" s="55" t="n">
        <f aca="false">+AD627-AD628</f>
        <v>53096.6</v>
      </c>
      <c r="AE629" s="55" t="n">
        <f aca="false">+AE627-AE628</f>
        <v>49771.2</v>
      </c>
      <c r="AF629" s="55" t="n">
        <f aca="false">+AF627-AF628</f>
        <v>47478.5</v>
      </c>
      <c r="AG629" s="55" t="n">
        <f aca="false">+AG627-AG628</f>
        <v>45022.2</v>
      </c>
      <c r="AH629" s="55" t="n">
        <f aca="false">+AH627-AH628</f>
        <v>44066.4</v>
      </c>
      <c r="AI629" s="55" t="n">
        <f aca="false">+AI627-AI628</f>
        <v>50721</v>
      </c>
      <c r="AJ629" s="55" t="n">
        <f aca="false">+AJ627-AJ628</f>
        <v>53169.5546</v>
      </c>
      <c r="AK629" s="55" t="n">
        <f aca="false">+AK627-AK628</f>
        <v>53057.6092</v>
      </c>
      <c r="AL629" s="55" t="n">
        <f aca="false">+AL627-AL628</f>
        <v>52590.1544</v>
      </c>
      <c r="AM629" s="53"/>
      <c r="AN629" s="53"/>
      <c r="AO629" s="53"/>
      <c r="AP629" s="53"/>
      <c r="AQ629" s="53"/>
      <c r="AR629" s="53"/>
      <c r="AS629" s="53"/>
      <c r="AT629" s="53"/>
      <c r="AU629" s="53"/>
      <c r="AV629" s="53"/>
      <c r="AW629" s="53"/>
      <c r="AX629" s="53"/>
      <c r="AY629" s="53"/>
    </row>
    <row r="630" customFormat="false" ht="15" hidden="false" customHeight="true" outlineLevel="0" collapsed="false">
      <c r="A630" s="29" t="s">
        <v>362</v>
      </c>
      <c r="B630" s="62" t="n">
        <v>470.52</v>
      </c>
      <c r="C630" s="62" t="n">
        <v>1556.11</v>
      </c>
      <c r="D630" s="62" t="n">
        <v>118.17</v>
      </c>
      <c r="E630" s="62" t="n">
        <v>223.04</v>
      </c>
      <c r="F630" s="62" t="n">
        <v>326.35</v>
      </c>
      <c r="G630" s="62" t="n">
        <v>977.66</v>
      </c>
      <c r="H630" s="62" t="n">
        <v>612.3</v>
      </c>
      <c r="I630" s="62" t="n">
        <v>308</v>
      </c>
      <c r="J630" s="62" t="n">
        <v>697.54</v>
      </c>
      <c r="K630" s="62" t="n">
        <v>537.35</v>
      </c>
      <c r="L630" s="92" t="n">
        <f aca="false">225.24+147.95</f>
        <v>373.19</v>
      </c>
      <c r="M630" s="92" t="n">
        <f aca="false">204.53+258.18</f>
        <v>462.71</v>
      </c>
      <c r="N630" s="62" t="n">
        <v>851.55</v>
      </c>
      <c r="O630" s="62" t="n">
        <v>1414.17</v>
      </c>
      <c r="P630" s="62" t="n">
        <v>2374.91</v>
      </c>
      <c r="Q630" s="62" t="n">
        <v>5292.45</v>
      </c>
      <c r="R630" s="62" t="n">
        <v>9982.894</v>
      </c>
      <c r="S630" s="62" t="n">
        <v>5614.697</v>
      </c>
      <c r="T630" s="62" t="n">
        <v>3579.661</v>
      </c>
      <c r="U630" s="62" t="n">
        <v>4351.906</v>
      </c>
      <c r="V630" s="62" t="n">
        <v>5626.183</v>
      </c>
      <c r="W630" s="62" t="n">
        <v>1551.303</v>
      </c>
      <c r="X630" s="62" t="n">
        <v>697.97</v>
      </c>
      <c r="Y630" s="62" t="n">
        <v>547.499</v>
      </c>
      <c r="Z630" s="62" t="n">
        <v>1575.95</v>
      </c>
      <c r="AA630" s="62" t="n">
        <v>2129.295</v>
      </c>
      <c r="AB630" s="62" t="n">
        <v>2746.4</v>
      </c>
      <c r="AC630" s="62" t="n">
        <v>4209.7</v>
      </c>
      <c r="AD630" s="62" t="n">
        <v>2287.8</v>
      </c>
      <c r="AE630" s="62" t="n">
        <v>1111.1</v>
      </c>
      <c r="AF630" s="62" t="n">
        <v>489.5</v>
      </c>
      <c r="AG630" s="62" t="n">
        <v>955.3</v>
      </c>
      <c r="AH630" s="62" t="n">
        <v>2768.7</v>
      </c>
      <c r="AI630" s="62" t="n">
        <v>2099.8</v>
      </c>
      <c r="AJ630" s="62" t="n">
        <v>1200</v>
      </c>
      <c r="AK630" s="62" t="n">
        <v>1200</v>
      </c>
      <c r="AL630" s="62" t="n">
        <v>1200</v>
      </c>
      <c r="AM630" s="30"/>
      <c r="AN630" s="30"/>
      <c r="AO630" s="30"/>
      <c r="AP630" s="30"/>
      <c r="AQ630" s="30"/>
      <c r="AR630" s="30"/>
      <c r="AS630" s="30"/>
      <c r="AT630" s="30"/>
      <c r="AU630" s="30"/>
      <c r="AV630" s="30"/>
      <c r="AW630" s="30"/>
      <c r="AX630" s="30"/>
      <c r="AY630" s="30"/>
    </row>
    <row r="631" customFormat="false" ht="15" hidden="false" customHeight="true" outlineLevel="0" collapsed="false">
      <c r="A631" s="29" t="s">
        <v>651</v>
      </c>
      <c r="B631" s="30"/>
      <c r="C631" s="30"/>
      <c r="D631" s="30"/>
      <c r="E631" s="30"/>
      <c r="F631" s="30"/>
      <c r="G631" s="30"/>
      <c r="H631" s="30"/>
      <c r="I631" s="30"/>
      <c r="J631" s="30"/>
      <c r="K631" s="30"/>
      <c r="L631" s="30"/>
      <c r="M631" s="30"/>
      <c r="N631" s="30"/>
      <c r="O631" s="30"/>
      <c r="P631" s="30"/>
      <c r="Q631" s="30"/>
      <c r="R631" s="30"/>
      <c r="S631" s="30"/>
      <c r="T631" s="30"/>
      <c r="U631" s="62" t="n">
        <v>3477.816</v>
      </c>
      <c r="V631" s="62" t="n">
        <v>3634.486</v>
      </c>
      <c r="W631" s="62" t="n">
        <v>4379.402</v>
      </c>
      <c r="X631" s="62" t="n">
        <v>3730.699</v>
      </c>
      <c r="Y631" s="62" t="n">
        <v>3382.831</v>
      </c>
      <c r="Z631" s="62" t="n">
        <v>3147.118</v>
      </c>
      <c r="AA631" s="62" t="n">
        <v>2865.86</v>
      </c>
      <c r="AB631" s="92" t="n">
        <f aca="false">3586.3+4499</f>
        <v>8085.3</v>
      </c>
      <c r="AC631" s="92" t="n">
        <f aca="false">9105.5+4499</f>
        <v>13604.5</v>
      </c>
      <c r="AD631" s="92" t="n">
        <f aca="false">10012.9+4499</f>
        <v>14511.9</v>
      </c>
      <c r="AE631" s="92" t="n">
        <f aca="false">8773+4499</f>
        <v>13272</v>
      </c>
      <c r="AF631" s="92" t="n">
        <f aca="false">4499+8694.2</f>
        <v>13193.2</v>
      </c>
      <c r="AG631" s="92" t="n">
        <f aca="false">4499+7643.8</f>
        <v>12142.8</v>
      </c>
      <c r="AH631" s="92" t="n">
        <f aca="false">4499+7136.2</f>
        <v>11635.2</v>
      </c>
      <c r="AI631" s="92" t="n">
        <f aca="false">4499+6038.3</f>
        <v>10537.3</v>
      </c>
      <c r="AJ631" s="32" t="n">
        <f aca="false">+AI631+500</f>
        <v>11037.3</v>
      </c>
      <c r="AK631" s="32" t="n">
        <f aca="false">+AJ631+500</f>
        <v>11537.3</v>
      </c>
      <c r="AL631" s="32" t="n">
        <f aca="false">+AK631+500</f>
        <v>12037.3</v>
      </c>
      <c r="AM631" s="30"/>
      <c r="AN631" s="30"/>
      <c r="AO631" s="30"/>
      <c r="AP631" s="30"/>
      <c r="AQ631" s="30"/>
      <c r="AR631" s="30"/>
      <c r="AS631" s="30"/>
      <c r="AT631" s="30"/>
      <c r="AU631" s="30"/>
      <c r="AV631" s="30"/>
      <c r="AW631" s="30"/>
      <c r="AX631" s="30"/>
      <c r="AY631" s="30"/>
    </row>
    <row r="632" customFormat="false" ht="15" hidden="false" customHeight="true" outlineLevel="0" collapsed="false">
      <c r="A632" s="29" t="s">
        <v>364</v>
      </c>
      <c r="B632" s="30"/>
      <c r="C632" s="30"/>
      <c r="D632" s="30"/>
      <c r="E632" s="30"/>
      <c r="F632" s="30"/>
      <c r="G632" s="30"/>
      <c r="H632" s="30"/>
      <c r="I632" s="30"/>
      <c r="J632" s="30"/>
      <c r="K632" s="30"/>
      <c r="L632" s="30"/>
      <c r="M632" s="30"/>
      <c r="N632" s="30"/>
      <c r="O632" s="30"/>
      <c r="P632" s="30"/>
      <c r="Q632" s="30"/>
      <c r="R632" s="30"/>
      <c r="S632" s="30"/>
      <c r="T632" s="30"/>
      <c r="U632" s="62" t="n">
        <v>1130.303</v>
      </c>
      <c r="V632" s="62" t="n">
        <v>1263.091</v>
      </c>
      <c r="W632" s="62" t="n">
        <v>263.969</v>
      </c>
      <c r="X632" s="62" t="n">
        <v>503.466</v>
      </c>
      <c r="Y632" s="62" t="n">
        <v>211.06</v>
      </c>
      <c r="Z632" s="62" t="n">
        <v>482.658</v>
      </c>
      <c r="AA632" s="62" t="n">
        <v>1883.103</v>
      </c>
      <c r="AB632" s="62" t="n">
        <v>3829.8</v>
      </c>
      <c r="AC632" s="62" t="n">
        <v>1731.7</v>
      </c>
      <c r="AD632" s="62" t="n">
        <v>1430.7</v>
      </c>
      <c r="AE632" s="62" t="n">
        <v>831.6</v>
      </c>
      <c r="AF632" s="62" t="n">
        <v>835.7</v>
      </c>
      <c r="AG632" s="62" t="n">
        <v>1060</v>
      </c>
      <c r="AH632" s="62" t="n">
        <v>1478.9</v>
      </c>
      <c r="AI632" s="62" t="n">
        <v>2693.1</v>
      </c>
      <c r="AJ632" s="31" t="n">
        <f aca="false">+AI632</f>
        <v>2693.1</v>
      </c>
      <c r="AK632" s="31" t="n">
        <f aca="false">+AJ632</f>
        <v>2693.1</v>
      </c>
      <c r="AL632" s="31" t="n">
        <f aca="false">+AK632</f>
        <v>2693.1</v>
      </c>
      <c r="AM632" s="30"/>
      <c r="AN632" s="30"/>
      <c r="AO632" s="30"/>
      <c r="AP632" s="30"/>
      <c r="AQ632" s="30"/>
      <c r="AR632" s="30"/>
      <c r="AS632" s="30"/>
      <c r="AT632" s="30"/>
      <c r="AU632" s="30"/>
      <c r="AV632" s="30"/>
      <c r="AW632" s="30"/>
      <c r="AX632" s="30"/>
      <c r="AY632" s="30"/>
    </row>
    <row r="633" customFormat="false" ht="15" hidden="false" customHeight="true" outlineLevel="0" collapsed="false">
      <c r="A633" s="29" t="s">
        <v>365</v>
      </c>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62" t="n">
        <v>4064.6</v>
      </c>
      <c r="AD633" s="62" t="n">
        <v>2895.4</v>
      </c>
      <c r="AE633" s="62" t="n">
        <v>2965.8</v>
      </c>
      <c r="AF633" s="62" t="n">
        <v>2369.8</v>
      </c>
      <c r="AG633" s="62" t="n">
        <v>2353</v>
      </c>
      <c r="AH633" s="62" t="n">
        <v>2753.3</v>
      </c>
      <c r="AI633" s="62" t="n">
        <v>2630.4</v>
      </c>
      <c r="AJ633" s="32" t="n">
        <f aca="false">+AI633+200</f>
        <v>2830.4</v>
      </c>
      <c r="AK633" s="32" t="n">
        <f aca="false">+AJ633+200</f>
        <v>3030.4</v>
      </c>
      <c r="AL633" s="32" t="n">
        <f aca="false">+AK633+200</f>
        <v>3230.4</v>
      </c>
      <c r="AM633" s="30"/>
      <c r="AN633" s="30"/>
      <c r="AO633" s="30"/>
      <c r="AP633" s="30"/>
      <c r="AQ633" s="30"/>
      <c r="AR633" s="30"/>
      <c r="AS633" s="30"/>
      <c r="AT633" s="30"/>
      <c r="AU633" s="30"/>
      <c r="AV633" s="30"/>
      <c r="AW633" s="30"/>
      <c r="AX633" s="30"/>
      <c r="AY633" s="30"/>
    </row>
    <row r="634" customFormat="false" ht="15" hidden="false" customHeight="true" outlineLevel="0" collapsed="false">
      <c r="A634" s="47" t="s">
        <v>652</v>
      </c>
      <c r="B634" s="35" t="n">
        <f aca="false">+B629+B630</f>
        <v>3267.63</v>
      </c>
      <c r="C634" s="35" t="n">
        <f aca="false">+C629+C630</f>
        <v>5021.14</v>
      </c>
      <c r="D634" s="35" t="n">
        <f aca="false">+D629+D630</f>
        <v>5903.84</v>
      </c>
      <c r="E634" s="35" t="n">
        <f aca="false">+E629+E630</f>
        <v>7141.97</v>
      </c>
      <c r="F634" s="35" t="n">
        <f aca="false">+F629+F630</f>
        <v>8398.87</v>
      </c>
      <c r="G634" s="35" t="n">
        <f aca="false">+G629+G630</f>
        <v>9026.09</v>
      </c>
      <c r="H634" s="35" t="n">
        <f aca="false">+H629+H630</f>
        <v>9547.5</v>
      </c>
      <c r="I634" s="35" t="n">
        <f aca="false">+I629+I630</f>
        <v>9458.34</v>
      </c>
      <c r="J634" s="35" t="n">
        <f aca="false">+J629+J630</f>
        <v>9612.95</v>
      </c>
      <c r="K634" s="35" t="n">
        <f aca="false">+K629+K630</f>
        <v>10098.34</v>
      </c>
      <c r="L634" s="35" t="n">
        <f aca="false">+L629+L630</f>
        <v>9398.38</v>
      </c>
      <c r="M634" s="35" t="n">
        <f aca="false">+M629+M630</f>
        <v>9211</v>
      </c>
      <c r="N634" s="35" t="n">
        <f aca="false">+N629+N630</f>
        <v>9790.01</v>
      </c>
      <c r="O634" s="35" t="n">
        <f aca="false">+O629+O630</f>
        <v>10846.88</v>
      </c>
      <c r="P634" s="35" t="n">
        <f aca="false">+P629+P630</f>
        <v>15445.24</v>
      </c>
      <c r="Q634" s="35" t="n">
        <f aca="false">+Q629+Q630</f>
        <v>20547.95</v>
      </c>
      <c r="R634" s="35" t="n">
        <f aca="false">+R629+R630</f>
        <v>43974.057</v>
      </c>
      <c r="S634" s="35" t="n">
        <f aca="false">+S629+S630</f>
        <v>48110.289</v>
      </c>
      <c r="T634" s="35" t="n">
        <f aca="false">+T629+T630</f>
        <v>49917.579</v>
      </c>
      <c r="U634" s="35" t="n">
        <f aca="false">+U629+U630+U631+U632</f>
        <v>54617.15</v>
      </c>
      <c r="V634" s="35" t="n">
        <f aca="false">+V629+V630+V631+V632</f>
        <v>59708.102</v>
      </c>
      <c r="W634" s="35" t="n">
        <f aca="false">+W629+W630+W631+W632</f>
        <v>58413.944</v>
      </c>
      <c r="X634" s="35" t="n">
        <f aca="false">+X629+X630+X631+X632</f>
        <v>53756.965</v>
      </c>
      <c r="Y634" s="35" t="n">
        <f aca="false">+Y629+Y630+Y631+Y632</f>
        <v>48678.422</v>
      </c>
      <c r="Z634" s="35" t="n">
        <f aca="false">+Z629+Z630+Z631+Z632</f>
        <v>51766.689</v>
      </c>
      <c r="AA634" s="35" t="n">
        <f aca="false">+AA629+AA630+AA631+AA632</f>
        <v>53754.624</v>
      </c>
      <c r="AB634" s="35" t="n">
        <f aca="false">+AB629+AB630+AB631+AB632</f>
        <v>62721.3</v>
      </c>
      <c r="AC634" s="35" t="n">
        <f aca="false">+AC629+AC630+AC631+AC632+AC633</f>
        <v>73977.1</v>
      </c>
      <c r="AD634" s="35" t="n">
        <f aca="false">+AD629+AD630+AD631+AD632+AD633</f>
        <v>74222.4</v>
      </c>
      <c r="AE634" s="35" t="n">
        <f aca="false">+AE629+AE630+AE631+AE632+AE633</f>
        <v>67951.7</v>
      </c>
      <c r="AF634" s="35" t="n">
        <f aca="false">+AF629+AF630+AF631+AF632+AF633</f>
        <v>64366.7</v>
      </c>
      <c r="AG634" s="35" t="n">
        <f aca="false">+AG629+AG630+AG631+AG632+AG633</f>
        <v>61533.3</v>
      </c>
      <c r="AH634" s="35" t="n">
        <f aca="false">+AH629+AH630+AH631+AH632+AH633</f>
        <v>62702.5</v>
      </c>
      <c r="AI634" s="35" t="n">
        <f aca="false">+AI629+AI630+AI631+AI632+AI633</f>
        <v>68681.6</v>
      </c>
      <c r="AJ634" s="35" t="n">
        <f aca="false">+AJ629+AJ630+AJ631+AJ632+AJ633</f>
        <v>70930.3546</v>
      </c>
      <c r="AK634" s="35" t="n">
        <f aca="false">+AK629+AK630+AK631+AK632+AK633</f>
        <v>71518.4092</v>
      </c>
      <c r="AL634" s="35" t="n">
        <f aca="false">+AL629+AL630+AL631+AL632+AL633</f>
        <v>71750.9544</v>
      </c>
      <c r="AM634" s="30"/>
      <c r="AN634" s="30"/>
      <c r="AO634" s="30"/>
      <c r="AP634" s="30"/>
      <c r="AQ634" s="30"/>
      <c r="AR634" s="30"/>
      <c r="AS634" s="30"/>
      <c r="AT634" s="30"/>
      <c r="AU634" s="30"/>
      <c r="AV634" s="30"/>
      <c r="AW634" s="30"/>
      <c r="AX634" s="30"/>
      <c r="AY634" s="30"/>
    </row>
    <row r="635" customFormat="false" ht="15" hidden="false" customHeight="true" outlineLevel="0" collapsed="false">
      <c r="A635" s="29"/>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89" t="n">
        <f aca="false">+AC634-50366.6-4209.7-4064.6-4499-9105.5-1731.7</f>
        <v>-8.41282599139959E-012</v>
      </c>
      <c r="AD635" s="89" t="n">
        <f aca="false">+AD634-53096.6-2287.8-2895.4-4499-10012.9-1430.7</f>
        <v>0</v>
      </c>
      <c r="AE635" s="89" t="n">
        <f aca="false">+AE634-10*(4977.12+111.11+296.58+449.9+877.3+83.16)</f>
        <v>0</v>
      </c>
      <c r="AF635" s="89" t="n">
        <f aca="false">+AF634-10*(4747.85+48.95+236.98+449.9+869.42+83.57)</f>
        <v>0</v>
      </c>
      <c r="AG635" s="89" t="n">
        <f aca="false">+AG634-45022.2-955.3-2353-4499-7643.8-1060</f>
        <v>6.3664629124105E-012</v>
      </c>
      <c r="AH635" s="89" t="n">
        <f aca="false">+AH634-44066.4-2768.7-2753.3-4499-7136.2-1478.9</f>
        <v>-2.31921148952097E-011</v>
      </c>
      <c r="AI635" s="89" t="n">
        <f aca="false">+AI634-50721-2099.8-2630.4-4499-6038.3-2693.1</f>
        <v>-2.22826201934367E-011</v>
      </c>
      <c r="AJ635" s="43"/>
      <c r="AK635" s="43"/>
      <c r="AL635" s="43"/>
      <c r="AM635" s="43"/>
      <c r="AN635" s="43"/>
      <c r="AO635" s="43"/>
      <c r="AP635" s="43"/>
      <c r="AQ635" s="43"/>
      <c r="AR635" s="43"/>
      <c r="AS635" s="43"/>
      <c r="AT635" s="43"/>
      <c r="AU635" s="43"/>
      <c r="AV635" s="43"/>
      <c r="AW635" s="43"/>
      <c r="AX635" s="43"/>
      <c r="AY635" s="43"/>
    </row>
    <row r="636" customFormat="false" ht="15" hidden="false" customHeight="true" outlineLevel="0" collapsed="false">
      <c r="A636" s="47" t="s">
        <v>367</v>
      </c>
      <c r="B636" s="35" t="n">
        <f aca="false">+B637+B638+B639-B640</f>
        <v>277.49</v>
      </c>
      <c r="C636" s="35" t="n">
        <f aca="false">+C637+C638+C639-C640</f>
        <v>523.18</v>
      </c>
      <c r="D636" s="35" t="n">
        <f aca="false">+D637+D638+D639-D640</f>
        <v>681.18</v>
      </c>
      <c r="E636" s="35" t="n">
        <f aca="false">+E637+E638+E639-E640</f>
        <v>781.41</v>
      </c>
      <c r="F636" s="35" t="n">
        <f aca="false">+F637+F638+F639-F640</f>
        <v>583.06</v>
      </c>
      <c r="G636" s="35" t="n">
        <f aca="false">+G637+G638+G639-G640</f>
        <v>484.8</v>
      </c>
      <c r="H636" s="35" t="n">
        <f aca="false">+H637+H638+H639-H640</f>
        <v>624.72</v>
      </c>
      <c r="I636" s="35" t="n">
        <f aca="false">+I637+I638+I639-I640</f>
        <v>1203.84</v>
      </c>
      <c r="J636" s="35" t="n">
        <f aca="false">+J637+J638+J639-J640</f>
        <v>1179.64</v>
      </c>
      <c r="K636" s="35" t="n">
        <f aca="false">+K637+K638+K639-K640</f>
        <v>1173.38</v>
      </c>
      <c r="L636" s="35" t="n">
        <f aca="false">+L637+L638+L639-L640</f>
        <v>1575.76</v>
      </c>
      <c r="M636" s="35" t="n">
        <f aca="false">+M637+M638+M639-M640</f>
        <v>1466.02</v>
      </c>
      <c r="N636" s="35" t="n">
        <f aca="false">+N637+N638+N639-N640</f>
        <v>2291.9</v>
      </c>
      <c r="O636" s="35" t="n">
        <f aca="false">+O637+O638+O639-O640</f>
        <v>3681.78</v>
      </c>
      <c r="P636" s="35" t="n">
        <f aca="false">+P637+P638+P639-P640</f>
        <v>2210.94</v>
      </c>
      <c r="Q636" s="35" t="n">
        <f aca="false">+Q637+Q638+Q639-Q640</f>
        <v>6099</v>
      </c>
      <c r="R636" s="35" t="n">
        <f aca="false">+R637+R638+R639-R640</f>
        <v>2635.571</v>
      </c>
      <c r="S636" s="35" t="n">
        <f aca="false">+S637+S638+S639-S640</f>
        <v>3261.549</v>
      </c>
      <c r="T636" s="35" t="n">
        <f aca="false">+T637+T638+T639-T640</f>
        <v>12299.968</v>
      </c>
      <c r="U636" s="35" t="n">
        <f aca="false">+U637+U638+U639-U640</f>
        <v>15344.789</v>
      </c>
      <c r="V636" s="35" t="n">
        <f aca="false">+V637+V638+V639-V640</f>
        <v>23376.319</v>
      </c>
      <c r="W636" s="35" t="n">
        <f aca="false">+W637+W638+W639-W640</f>
        <v>27896.859</v>
      </c>
      <c r="X636" s="35" t="n">
        <f aca="false">+X637+X638+X639-X640</f>
        <v>26488.333</v>
      </c>
      <c r="Y636" s="35" t="n">
        <f aca="false">+Y637+Y638+Y639-Y640</f>
        <v>19804.373</v>
      </c>
      <c r="Z636" s="35" t="n">
        <f aca="false">+Z637+Z638+Z639-Z640</f>
        <v>28788.554</v>
      </c>
      <c r="AA636" s="35" t="n">
        <f aca="false">+AA637+AA638+AA639-AA640</f>
        <v>58026.268</v>
      </c>
      <c r="AB636" s="35" t="n">
        <f aca="false">+AB637+AB638+AB639-AB640</f>
        <v>26365</v>
      </c>
      <c r="AC636" s="35" t="n">
        <f aca="false">+AC637+AC638+AC639-AC640</f>
        <v>27196.3</v>
      </c>
      <c r="AD636" s="35" t="n">
        <f aca="false">+AD637+AD638+AD639-AD640</f>
        <v>30687.2</v>
      </c>
      <c r="AE636" s="35" t="n">
        <f aca="false">+AE637+AE638+AE639-AE640</f>
        <v>48196.3</v>
      </c>
      <c r="AF636" s="35" t="n">
        <f aca="false">+AF637+AF638+AF639-AF640</f>
        <v>66636</v>
      </c>
      <c r="AG636" s="35" t="n">
        <f aca="false">+AG637+AG638+AG639-AG640</f>
        <v>55597.7</v>
      </c>
      <c r="AH636" s="35" t="n">
        <f aca="false">+AH637+AH638+AH639-AH640</f>
        <v>86729.6</v>
      </c>
      <c r="AI636" s="35" t="n">
        <f aca="false">+AI637+AI638+AI639-AI640</f>
        <v>106790</v>
      </c>
      <c r="AJ636" s="35" t="n">
        <f aca="false">+AJ637+AJ638+AJ639-AJ640</f>
        <v>118849.855</v>
      </c>
      <c r="AK636" s="35" t="n">
        <f aca="false">+AK637+AK638+AK639-AK640</f>
        <v>124012.70275</v>
      </c>
      <c r="AL636" s="35" t="n">
        <f aca="false">+AL637+AL638+AL639-AL640</f>
        <v>129283.6928875</v>
      </c>
      <c r="AM636" s="30"/>
      <c r="AN636" s="30"/>
      <c r="AO636" s="30"/>
      <c r="AP636" s="30"/>
      <c r="AQ636" s="30"/>
      <c r="AR636" s="30"/>
      <c r="AS636" s="30"/>
      <c r="AT636" s="30"/>
      <c r="AU636" s="30"/>
      <c r="AV636" s="30"/>
      <c r="AW636" s="30"/>
      <c r="AX636" s="30"/>
      <c r="AY636" s="30"/>
    </row>
    <row r="637" customFormat="false" ht="15" hidden="false" customHeight="true" outlineLevel="0" collapsed="false">
      <c r="A637" s="29" t="s">
        <v>653</v>
      </c>
      <c r="B637" s="92" t="n">
        <f aca="false">4.46+0.03+10.4+12.5+105.3+5.75+4.4+0.96+3.25+2.5</f>
        <v>149.55</v>
      </c>
      <c r="C637" s="92" t="n">
        <f aca="false">23.2+18.75+0.03+128.24+5.75+4.4+0.96+3.25+2.5</f>
        <v>187.08</v>
      </c>
      <c r="D637" s="92" t="n">
        <f aca="false">23.2+18.75+0.03+239.02+5.75+7.92+0.96+3.25+2.5</f>
        <v>301.38</v>
      </c>
      <c r="E637" s="92" t="n">
        <f aca="false">23.2+18.75+0.03+239.02+5.75+7.92+0.96+3.25+2.5</f>
        <v>301.38</v>
      </c>
      <c r="F637" s="92" t="n">
        <f aca="false">239.02+10.27+23.2+0.96+3.25+5.75+2.5+0.03+18.75</f>
        <v>303.73</v>
      </c>
      <c r="G637" s="92" t="n">
        <f aca="false">239.02+11.23+23.2+3.25+5.75+0.03+18.75</f>
        <v>301.23</v>
      </c>
      <c r="H637" s="92" t="n">
        <f aca="false">239.02+11.23+23.2+3.25+5.75+0.05+150+15+2.5</f>
        <v>450</v>
      </c>
      <c r="I637" s="92" t="n">
        <f aca="false">239.02+11.23+23.2+3.25+5.75+0.03+150+11.25+2.5</f>
        <v>446.23</v>
      </c>
      <c r="J637" s="92" t="n">
        <f aca="false">239.02+11.23+23.2+3.25+5.75+0.03+150+7.5+2.5</f>
        <v>442.48</v>
      </c>
      <c r="K637" s="92" t="n">
        <f aca="false">239.02+11.23+23.2+0.19+5.75+0.03+495+150+3.75+2.13</f>
        <v>930.3</v>
      </c>
      <c r="L637" s="92" t="n">
        <f aca="false">239.02+11.23+23.2+5.75+0.03+495+500+150+2.13</f>
        <v>1426.36</v>
      </c>
      <c r="M637" s="92" t="n">
        <f aca="false">734.02+11.23+23.2+14+5.75+0.03+250+2.13</f>
        <v>1040.36</v>
      </c>
      <c r="N637" s="92" t="n">
        <f aca="false">11.23+23.2+14+40+22.6+5.75+0.03+250+0.83</f>
        <v>367.64</v>
      </c>
      <c r="O637" s="92" t="n">
        <f aca="false">11.23+143.06+14+6+40+35.4+5.75+0.03+250</f>
        <v>505.47</v>
      </c>
      <c r="P637" s="92" t="n">
        <f aca="false">11.23+143.06+14+6+30+35.4+5.75+250+0.15+30.26</f>
        <v>525.85</v>
      </c>
      <c r="Q637" s="92" t="n">
        <f aca="false">6+0.05+11.23+0.25+143.06+14+42+35.4+5.75+250+0.15+30.26+69.11+0.64</f>
        <v>607.9</v>
      </c>
      <c r="R637" s="92" t="n">
        <f aca="false">6+250+24.745+0.2+11.227+25+143.059+9+30.5+28.435+57.84+60+35.4+5.746+216.667+0.152+30.259+69.115+0.636</f>
        <v>1003.981</v>
      </c>
      <c r="S637" s="92" t="n">
        <f aca="false">250+292.408+360.045+0.2+48.827+50+143.058+72+30.5+132.64+255.04+0.04+83.8+60+57.919+5.746+216.667+0.152+12.35+69.115+0.636</f>
        <v>2141.143</v>
      </c>
      <c r="T637" s="92" t="n">
        <f aca="false">40+350+0.176+423.682+1688.415+75.2+48.827+157.518+313.616+242.126+1092+36.75+544.307+255.04+60+57.919+5.746+216.667+1306.848+116.852+69.115+596.318+502.524</f>
        <v>8199.646</v>
      </c>
      <c r="U637" s="92" t="n">
        <f aca="false">242.126+40+0.176+48.827+234.1+36.75+57.919+5.746+116.852+69.115+584.279+596.318+0.008+400+608.682+2070.615+157.518+735.407+255.04+570+0.001+216.667+63.918</f>
        <v>7110.064</v>
      </c>
      <c r="V637" s="92" t="n">
        <f aca="false">242.126+40+0.176+234.1+36.75+19.6+57.919+5.746+193.793+341.115+584.279+596.318+3.079+1.425+425+1103.682+2536.115+157.518+735.407+255.04+305+150+66.667+3000+74.758</f>
        <v>11165.613</v>
      </c>
      <c r="W637" s="62" t="n">
        <v>21771.729</v>
      </c>
      <c r="X637" s="92" t="n">
        <f aca="false">20122.437+2281.376</f>
        <v>22403.813</v>
      </c>
      <c r="Y637" s="62" t="n">
        <v>19804.373</v>
      </c>
      <c r="Z637" s="62" t="n">
        <v>20016.831</v>
      </c>
      <c r="AA637" s="62" t="n">
        <v>27474.683</v>
      </c>
      <c r="AB637" s="62" t="n">
        <v>26365</v>
      </c>
      <c r="AC637" s="62" t="n">
        <v>27196.3</v>
      </c>
      <c r="AD637" s="62" t="n">
        <v>30687.2</v>
      </c>
      <c r="AE637" s="92" t="n">
        <f aca="false">35215.8</f>
        <v>35215.8</v>
      </c>
      <c r="AF637" s="62" t="n">
        <v>38921.8</v>
      </c>
      <c r="AG637" s="62" t="n">
        <v>53107.1</v>
      </c>
      <c r="AH637" s="62" t="n">
        <v>56542.6</v>
      </c>
      <c r="AI637" s="62" t="n">
        <v>65592.9</v>
      </c>
      <c r="AJ637" s="31" t="n">
        <f aca="false">+AI637+10000</f>
        <v>75592.9</v>
      </c>
      <c r="AK637" s="32" t="n">
        <f aca="false">+AJ637+3000</f>
        <v>78592.9</v>
      </c>
      <c r="AL637" s="32" t="n">
        <f aca="false">+AK637+3000</f>
        <v>81592.9</v>
      </c>
      <c r="AM637" s="30"/>
      <c r="AN637" s="30"/>
      <c r="AO637" s="30"/>
      <c r="AP637" s="30"/>
      <c r="AQ637" s="30"/>
      <c r="AR637" s="30"/>
      <c r="AS637" s="30"/>
      <c r="AT637" s="30"/>
      <c r="AU637" s="30"/>
      <c r="AV637" s="30"/>
      <c r="AW637" s="30"/>
      <c r="AX637" s="30"/>
      <c r="AY637" s="30"/>
    </row>
    <row r="638" customFormat="false" ht="15" hidden="false" customHeight="true" outlineLevel="0" collapsed="false">
      <c r="A638" s="29" t="s">
        <v>654</v>
      </c>
      <c r="B638" s="92" t="n">
        <f aca="false">1.16+0.12+0.8+9.25+5.83+2.42+107.1+1+0.26</f>
        <v>127.94</v>
      </c>
      <c r="C638" s="92" t="n">
        <f aca="false">12+10+7.2+1.16+0.12+0.8+15.08+2.42+266.32+1+20</f>
        <v>336.1</v>
      </c>
      <c r="D638" s="92" t="n">
        <f aca="false">12+10+7.2+1.96+0.12+15.08+0.01+14.42+49.65+1+20+248.36</f>
        <v>379.8</v>
      </c>
      <c r="E638" s="92" t="n">
        <f aca="false">12+10+20+20+7.2+1.96+0.12+15.08+0.01+14.42+49.65+20+44.59+20+30+15+30+50+50+50+20</f>
        <v>480.03</v>
      </c>
      <c r="F638" s="92" t="n">
        <f aca="false">14.4+20+7.2+12+0.01+44.59+1.96+15.08+20+20+30+5+50+0.12+2.6+26.37+10</f>
        <v>279.33</v>
      </c>
      <c r="G638" s="92" t="n">
        <f aca="false">7.5+7.5+30+7.2+14.42+12+0.01+44.59+7.57+1.96+1.73+20+0.12+2.6+26.37</f>
        <v>183.57</v>
      </c>
      <c r="H638" s="92" t="n">
        <f aca="false">7.5+7.5+14.42+30+7.2+0.01+44.59+10.72+1.96+1.73+20+0.12+2.6+26.37</f>
        <v>174.72</v>
      </c>
      <c r="I638" s="92" t="n">
        <f aca="false">153.65+379.24+50+7.5+7.5+14.42+30+7.2+0.01+1.73+2.08+44.59+10.72+20+2.6+26.37</f>
        <v>757.61</v>
      </c>
      <c r="J638" s="92" t="n">
        <f aca="false">7.5+7.5+14.42+7.2+0.01+1.32+157.17+1.99+30.96+10.72+495+2.6+26.37</f>
        <v>762.76</v>
      </c>
      <c r="K638" s="92" t="n">
        <f aca="false">100+15+14.42+7.2+0.71+113.81+1.92+26.37</f>
        <v>279.43</v>
      </c>
      <c r="L638" s="92" t="n">
        <f aca="false">20.1+30.01+15+14.42+7.2+0.34+104.81+1.92+84.3+86.7</f>
        <v>364.8</v>
      </c>
      <c r="M638" s="92" t="n">
        <f aca="false">220+17.77+15+14.42+0.11+104.81+1.92+88.83+86.7+84.3</f>
        <v>633.86</v>
      </c>
      <c r="N638" s="92" t="n">
        <f aca="false">100+200+99.97+100+100+150+37.51+30+400+165.02+7.5+7.5+14.42+34.81+1.05+512.38+84.3+86.7</f>
        <v>2131.16</v>
      </c>
      <c r="O638" s="92" t="n">
        <f aca="false">200+200+150+50+200+250+50+1400+20.34+147.38+7.5+7.5+14.42+0.81+1.05+512.38+84.3+86.7</f>
        <v>3382.38</v>
      </c>
      <c r="P638" s="92" t="n">
        <f aca="false">1140+20.05+7.5+7.5+34.42+0.81+1.05+511.67+0.03</f>
        <v>1723.03</v>
      </c>
      <c r="Q638" s="32" t="n">
        <f aca="false">6099-Q637+Q640</f>
        <v>5529.04</v>
      </c>
      <c r="R638" s="32" t="n">
        <f aca="false">2635.571-R637+74.424</f>
        <v>1706.014</v>
      </c>
      <c r="S638" s="32" t="n">
        <f aca="false">3261.549-S637+S640</f>
        <v>1180.406</v>
      </c>
      <c r="T638" s="32" t="n">
        <f aca="false">12299.968-T637+T640</f>
        <v>4160.322</v>
      </c>
      <c r="U638" s="32" t="n">
        <f aca="false">15344.789-U637+U640</f>
        <v>8297.379</v>
      </c>
      <c r="V638" s="32" t="n">
        <f aca="false">23376.319-V637+V640</f>
        <v>12674.99</v>
      </c>
      <c r="W638" s="32" t="n">
        <f aca="false">24053.111-W637+W640+3843.748</f>
        <v>6125.13</v>
      </c>
      <c r="X638" s="92" t="n">
        <f aca="false">211.48+3873.04</f>
        <v>4084.52</v>
      </c>
      <c r="Y638" s="62" t="n">
        <v>0</v>
      </c>
      <c r="Z638" s="62" t="n">
        <v>8771.723</v>
      </c>
      <c r="AA638" s="62" t="n">
        <v>30551.585</v>
      </c>
      <c r="AB638" s="30"/>
      <c r="AC638" s="32" t="n">
        <f aca="false">+AB638*1.05</f>
        <v>0</v>
      </c>
      <c r="AD638" s="32" t="n">
        <f aca="false">+AC638*1.05</f>
        <v>0</v>
      </c>
      <c r="AE638" s="62" t="n">
        <v>12980.5</v>
      </c>
      <c r="AF638" s="62" t="n">
        <v>27714.2</v>
      </c>
      <c r="AG638" s="62" t="n">
        <v>2490.6</v>
      </c>
      <c r="AH638" s="62" t="n">
        <v>30187</v>
      </c>
      <c r="AI638" s="62" t="n">
        <v>41197.1</v>
      </c>
      <c r="AJ638" s="32" t="n">
        <f aca="false">+AI638*1.05</f>
        <v>43256.955</v>
      </c>
      <c r="AK638" s="32" t="n">
        <f aca="false">+AJ638*1.05</f>
        <v>45419.80275</v>
      </c>
      <c r="AL638" s="32" t="n">
        <f aca="false">+AK638*1.05</f>
        <v>47690.7928875</v>
      </c>
      <c r="AM638" s="30"/>
      <c r="AN638" s="30"/>
      <c r="AO638" s="30"/>
      <c r="AP638" s="30"/>
      <c r="AQ638" s="30"/>
      <c r="AR638" s="30"/>
      <c r="AS638" s="30"/>
      <c r="AT638" s="30"/>
      <c r="AU638" s="30"/>
      <c r="AV638" s="30"/>
      <c r="AW638" s="30"/>
      <c r="AX638" s="30"/>
      <c r="AY638" s="30"/>
    </row>
    <row r="639" customFormat="false" ht="15" hidden="false" customHeight="true" outlineLevel="0" collapsed="false">
      <c r="A639" s="29" t="s">
        <v>655</v>
      </c>
      <c r="B639" s="60" t="n">
        <v>0</v>
      </c>
      <c r="C639" s="60" t="n">
        <v>0</v>
      </c>
      <c r="D639" s="60" t="n">
        <v>0</v>
      </c>
      <c r="E639" s="60" t="n">
        <v>0</v>
      </c>
      <c r="F639" s="60" t="n">
        <v>0</v>
      </c>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row>
    <row r="640" customFormat="false" ht="15" hidden="false" customHeight="true" outlineLevel="0" collapsed="false">
      <c r="A640" s="29" t="s">
        <v>656</v>
      </c>
      <c r="B640" s="36"/>
      <c r="C640" s="36"/>
      <c r="D640" s="36"/>
      <c r="E640" s="36"/>
      <c r="F640" s="36"/>
      <c r="G640" s="36"/>
      <c r="H640" s="36"/>
      <c r="I640" s="36"/>
      <c r="J640" s="37" t="n">
        <v>25.6</v>
      </c>
      <c r="K640" s="37" t="n">
        <v>36.35</v>
      </c>
      <c r="L640" s="37" t="n">
        <v>215.4</v>
      </c>
      <c r="M640" s="37" t="n">
        <v>208.2</v>
      </c>
      <c r="N640" s="37" t="n">
        <v>206.9</v>
      </c>
      <c r="O640" s="37" t="n">
        <v>206.07</v>
      </c>
      <c r="P640" s="37" t="n">
        <v>37.94</v>
      </c>
      <c r="Q640" s="37" t="n">
        <v>37.94</v>
      </c>
      <c r="R640" s="37" t="n">
        <v>74.424</v>
      </c>
      <c r="S640" s="37" t="n">
        <v>60</v>
      </c>
      <c r="T640" s="49" t="n">
        <f aca="false">S640</f>
        <v>60</v>
      </c>
      <c r="U640" s="37" t="n">
        <v>62.654</v>
      </c>
      <c r="V640" s="37" t="n">
        <v>464.284</v>
      </c>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row>
    <row r="641" customFormat="false" ht="15" hidden="false" customHeight="true" outlineLevel="0" collapsed="false">
      <c r="A641" s="47" t="s">
        <v>657</v>
      </c>
      <c r="B641" s="62" t="n">
        <v>147.3</v>
      </c>
      <c r="C641" s="62" t="n">
        <v>190.61</v>
      </c>
      <c r="D641" s="62" t="n">
        <v>301.39</v>
      </c>
      <c r="E641" s="62" t="n">
        <v>345.98</v>
      </c>
      <c r="F641" s="62" t="n">
        <v>372.36</v>
      </c>
      <c r="G641" s="62" t="n">
        <v>371.01</v>
      </c>
      <c r="H641" s="62" t="n">
        <v>355.26</v>
      </c>
      <c r="I641" s="62" t="n">
        <v>934.39</v>
      </c>
      <c r="J641" s="62" t="n">
        <v>490.79</v>
      </c>
      <c r="K641" s="62" t="n">
        <v>903.98</v>
      </c>
      <c r="L641" s="62" t="n">
        <v>914.41</v>
      </c>
      <c r="M641" s="62" t="n">
        <v>1190.66</v>
      </c>
      <c r="N641" s="62" t="n">
        <v>1953.95</v>
      </c>
      <c r="O641" s="62" t="n">
        <v>3325.03</v>
      </c>
      <c r="P641" s="62" t="n">
        <v>1816.65</v>
      </c>
      <c r="Q641" s="62" t="n">
        <v>1882.23</v>
      </c>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row>
    <row r="642" customFormat="false" ht="15" hidden="false" customHeight="true" outlineLevel="0" collapsed="false">
      <c r="A642" s="47" t="s">
        <v>658</v>
      </c>
      <c r="B642" s="34" t="n">
        <v>534.75</v>
      </c>
      <c r="C642" s="34" t="n">
        <v>1165.89</v>
      </c>
      <c r="D642" s="34" t="n">
        <v>1305.94</v>
      </c>
      <c r="E642" s="34" t="n">
        <v>1113.94</v>
      </c>
      <c r="F642" s="34" t="n">
        <v>738.86</v>
      </c>
      <c r="G642" s="34" t="n">
        <v>492.64</v>
      </c>
      <c r="H642" s="34" t="n">
        <v>284.45</v>
      </c>
      <c r="I642" s="34" t="n">
        <v>1005.42</v>
      </c>
      <c r="J642" s="34" t="n">
        <v>414.88</v>
      </c>
      <c r="K642" s="34" t="n">
        <v>1015.96</v>
      </c>
      <c r="L642" s="34" t="n">
        <v>1080.36</v>
      </c>
      <c r="M642" s="34" t="n">
        <v>2120.13</v>
      </c>
      <c r="N642" s="34" t="n">
        <v>3543.57</v>
      </c>
      <c r="O642" s="34" t="n">
        <v>4698.02</v>
      </c>
      <c r="P642" s="34" t="n">
        <v>2813.85</v>
      </c>
      <c r="Q642" s="34" t="n">
        <v>3918.38</v>
      </c>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row>
    <row r="643" customFormat="false" ht="15" hidden="false" customHeight="true" outlineLevel="0" collapsed="false">
      <c r="A643" s="29" t="s">
        <v>368</v>
      </c>
      <c r="B643" s="30"/>
      <c r="C643" s="30"/>
      <c r="D643" s="30"/>
      <c r="E643" s="30"/>
      <c r="F643" s="30"/>
      <c r="G643" s="30"/>
      <c r="H643" s="30"/>
      <c r="I643" s="30"/>
      <c r="J643" s="30"/>
      <c r="K643" s="30"/>
      <c r="L643" s="30"/>
      <c r="M643" s="30"/>
      <c r="N643" s="30"/>
      <c r="O643" s="30"/>
      <c r="P643" s="30"/>
      <c r="Q643" s="30"/>
      <c r="R643" s="30"/>
      <c r="S643" s="30"/>
      <c r="T643" s="30"/>
      <c r="U643" s="62" t="n">
        <v>6082.395</v>
      </c>
      <c r="V643" s="62" t="n">
        <v>4796.955</v>
      </c>
      <c r="W643" s="62" t="n">
        <v>6727.653</v>
      </c>
      <c r="X643" s="62" t="n">
        <v>9829.176</v>
      </c>
      <c r="Y643" s="62" t="n">
        <v>976.206</v>
      </c>
      <c r="Z643" s="30"/>
      <c r="AA643" s="62" t="n">
        <v>335.411</v>
      </c>
      <c r="AB643" s="92" t="n">
        <f aca="false">317.1+1.4</f>
        <v>318.5</v>
      </c>
      <c r="AC643" s="92" t="n">
        <f aca="false">324.2+5.8</f>
        <v>330</v>
      </c>
      <c r="AD643" s="92" t="n">
        <f aca="false">205</f>
        <v>205</v>
      </c>
      <c r="AE643" s="30"/>
      <c r="AF643" s="30"/>
      <c r="AG643" s="30"/>
      <c r="AH643" s="30"/>
      <c r="AI643" s="30"/>
      <c r="AJ643" s="30"/>
      <c r="AK643" s="30"/>
      <c r="AL643" s="30"/>
      <c r="AM643" s="30"/>
      <c r="AN643" s="30"/>
      <c r="AO643" s="30"/>
      <c r="AP643" s="30"/>
      <c r="AQ643" s="30"/>
      <c r="AR643" s="30"/>
      <c r="AS643" s="30"/>
      <c r="AT643" s="30"/>
      <c r="AU643" s="30"/>
      <c r="AV643" s="30"/>
      <c r="AW643" s="30"/>
      <c r="AX643" s="30"/>
      <c r="AY643" s="30"/>
    </row>
    <row r="644" customFormat="false" ht="15" hidden="false" customHeight="true" outlineLevel="0" collapsed="false">
      <c r="A644" s="29" t="s">
        <v>659</v>
      </c>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92" t="n">
        <f aca="false">5352.429+743.642+371.034+1.936</f>
        <v>6469.041</v>
      </c>
      <c r="Z644" s="92" t="n">
        <f aca="false">5876.921+1110.568+626.674+1.795+1230-1.5</f>
        <v>8844.458</v>
      </c>
      <c r="AA644" s="92" t="n">
        <f aca="false">244.058+599.932+4753.759</f>
        <v>5597.749</v>
      </c>
      <c r="AB644" s="92" t="n">
        <f aca="false">414.4+1023.4+9538</f>
        <v>10975.8</v>
      </c>
      <c r="AC644" s="92" t="n">
        <f aca="false">693.7+1247.1+6217</f>
        <v>8157.8</v>
      </c>
      <c r="AD644" s="92" t="n">
        <f aca="false">370.4+1002.6+3493.1</f>
        <v>4866.1</v>
      </c>
      <c r="AE644" s="92" t="n">
        <f aca="false">686.3+887.5+3378.1</f>
        <v>4951.9</v>
      </c>
      <c r="AF644" s="92" t="n">
        <f aca="false">973+1339.1+3273.2</f>
        <v>5585.3</v>
      </c>
      <c r="AG644" s="92" t="n">
        <f aca="false">649.4+503.4+3690.9</f>
        <v>4843.7</v>
      </c>
      <c r="AH644" s="92" t="n">
        <f aca="false">5750.1+343.2+6596.9</f>
        <v>12690.2</v>
      </c>
      <c r="AI644" s="92" t="n">
        <f aca="false">1284+145.3+3612.9</f>
        <v>5042.2</v>
      </c>
      <c r="AJ644" s="32" t="n">
        <f aca="false">+AI644*1.1</f>
        <v>5546.42</v>
      </c>
      <c r="AK644" s="32" t="n">
        <f aca="false">+AJ644*1.1</f>
        <v>6101.062</v>
      </c>
      <c r="AL644" s="32" t="n">
        <f aca="false">+AK644*1.1</f>
        <v>6711.1682</v>
      </c>
      <c r="AM644" s="30"/>
      <c r="AN644" s="30"/>
      <c r="AO644" s="30"/>
      <c r="AP644" s="30"/>
      <c r="AQ644" s="30"/>
      <c r="AR644" s="30"/>
      <c r="AS644" s="30"/>
      <c r="AT644" s="30"/>
      <c r="AU644" s="30"/>
      <c r="AV644" s="30"/>
      <c r="AW644" s="30"/>
      <c r="AX644" s="30"/>
      <c r="AY644" s="30"/>
    </row>
    <row r="645" customFormat="false" ht="15" hidden="false" customHeight="true" outlineLevel="0" collapsed="false">
      <c r="A645" s="70" t="s">
        <v>370</v>
      </c>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c r="AA645" s="86"/>
      <c r="AB645" s="86"/>
      <c r="AC645" s="86"/>
      <c r="AD645" s="86"/>
      <c r="AE645" s="86"/>
      <c r="AF645" s="86"/>
      <c r="AG645" s="86"/>
      <c r="AH645" s="86"/>
      <c r="AI645" s="86"/>
      <c r="AJ645" s="86"/>
      <c r="AK645" s="86"/>
      <c r="AL645" s="86"/>
      <c r="AM645" s="86"/>
      <c r="AN645" s="86"/>
      <c r="AO645" s="86"/>
      <c r="AP645" s="86"/>
      <c r="AQ645" s="86"/>
      <c r="AR645" s="86"/>
      <c r="AS645" s="86"/>
      <c r="AT645" s="86"/>
      <c r="AU645" s="86"/>
      <c r="AV645" s="86"/>
      <c r="AW645" s="86"/>
      <c r="AX645" s="86"/>
      <c r="AY645" s="86"/>
    </row>
    <row r="646" customFormat="false" ht="15" hidden="false" customHeight="true" outlineLevel="0" collapsed="false">
      <c r="A646" s="29"/>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89" t="n">
        <f aca="false">+AF647-27744.8</f>
        <v>0</v>
      </c>
      <c r="AG646" s="89" t="n">
        <f aca="false">+AG647-31906.9</f>
        <v>0</v>
      </c>
      <c r="AH646" s="89" t="n">
        <f aca="false">+AH647-29573.2</f>
        <v>0</v>
      </c>
      <c r="AI646" s="43"/>
      <c r="AJ646" s="43"/>
      <c r="AK646" s="43"/>
      <c r="AL646" s="43"/>
      <c r="AM646" s="43"/>
      <c r="AN646" s="43"/>
      <c r="AO646" s="43"/>
      <c r="AP646" s="43"/>
      <c r="AQ646" s="43"/>
      <c r="AR646" s="43"/>
      <c r="AS646" s="43"/>
      <c r="AT646" s="43"/>
      <c r="AU646" s="43"/>
      <c r="AV646" s="43"/>
      <c r="AW646" s="43"/>
      <c r="AX646" s="43"/>
      <c r="AY646" s="43"/>
    </row>
    <row r="647" customFormat="false" ht="15" hidden="false" customHeight="true" outlineLevel="0" collapsed="false">
      <c r="A647" s="47" t="s">
        <v>371</v>
      </c>
      <c r="B647" s="35" t="n">
        <f aca="false">SUM(B648:B654)</f>
        <v>2617.41</v>
      </c>
      <c r="C647" s="35" t="n">
        <f aca="false">SUM(C648:C654)</f>
        <v>2540.98</v>
      </c>
      <c r="D647" s="35" t="n">
        <f aca="false">SUM(D648:D654)</f>
        <v>3041.86</v>
      </c>
      <c r="E647" s="35" t="n">
        <f aca="false">SUM(E648:E654)</f>
        <v>4324.04</v>
      </c>
      <c r="F647" s="35" t="n">
        <f aca="false">SUM(F648:F654)</f>
        <v>6529.24</v>
      </c>
      <c r="G647" s="35" t="n">
        <f aca="false">SUM(G648:G654)</f>
        <v>6576.04</v>
      </c>
      <c r="H647" s="35" t="n">
        <f aca="false">SUM(H648:H654)</f>
        <v>4277.47</v>
      </c>
      <c r="I647" s="35" t="n">
        <f aca="false">SUM(I648:I654)</f>
        <v>4577.94</v>
      </c>
      <c r="J647" s="35" t="n">
        <f aca="false">SUM(J648:J654)</f>
        <v>5176.74</v>
      </c>
      <c r="K647" s="35" t="n">
        <f aca="false">SUM(K648:K654)</f>
        <v>5953.4</v>
      </c>
      <c r="L647" s="35" t="n">
        <f aca="false">SUM(L648:L654)</f>
        <v>4104.56</v>
      </c>
      <c r="M647" s="35" t="n">
        <f aca="false">SUM(M648:M654)</f>
        <v>5069.41</v>
      </c>
      <c r="N647" s="35" t="n">
        <f aca="false">SUM(N648:N654)</f>
        <v>5680.81</v>
      </c>
      <c r="O647" s="35" t="n">
        <f aca="false">SUM(O648:O654)</f>
        <v>9025.61</v>
      </c>
      <c r="P647" s="35" t="n">
        <f aca="false">SUM(P648:P654)</f>
        <v>10703.21</v>
      </c>
      <c r="Q647" s="35" t="n">
        <f aca="false">SUM(Q648:Q654)</f>
        <v>12239.14</v>
      </c>
      <c r="R647" s="35" t="n">
        <f aca="false">SUM(R648:R654)</f>
        <v>13300.144</v>
      </c>
      <c r="S647" s="35" t="n">
        <f aca="false">SUM(S648:S654)</f>
        <v>16382.4</v>
      </c>
      <c r="T647" s="35" t="n">
        <f aca="false">SUM(T648:T654)</f>
        <v>22089.034</v>
      </c>
      <c r="U647" s="35" t="n">
        <f aca="false">SUM(U648:U654)</f>
        <v>22306.252</v>
      </c>
      <c r="V647" s="35" t="n">
        <f aca="false">SUM(V648:V655)</f>
        <v>18960.208</v>
      </c>
      <c r="W647" s="35" t="n">
        <f aca="false">SUM(W648:W655)</f>
        <v>11887.031</v>
      </c>
      <c r="X647" s="35" t="n">
        <f aca="false">SUM(X648:X654)</f>
        <v>13985.272</v>
      </c>
      <c r="Y647" s="35" t="n">
        <f aca="false">SUM(Y648:Y654)</f>
        <v>16250.135</v>
      </c>
      <c r="Z647" s="35" t="n">
        <f aca="false">SUM(Z648:Z654)</f>
        <v>25011.167</v>
      </c>
      <c r="AA647" s="35" t="n">
        <f aca="false">SUM(AA648:AA654)</f>
        <v>17098.751</v>
      </c>
      <c r="AB647" s="35" t="n">
        <f aca="false">SUM(AB648:AB654)</f>
        <v>26846.7</v>
      </c>
      <c r="AC647" s="35" t="n">
        <f aca="false">SUM(AC648:AC654)</f>
        <v>12380</v>
      </c>
      <c r="AD647" s="35" t="n">
        <f aca="false">SUM(AD648:AD654)</f>
        <v>21422.9</v>
      </c>
      <c r="AE647" s="35" t="n">
        <f aca="false">SUM(AE648:AE654)</f>
        <v>20752</v>
      </c>
      <c r="AF647" s="35" t="n">
        <f aca="false">SUM(AF648:AF654)</f>
        <v>27744.8</v>
      </c>
      <c r="AG647" s="35" t="n">
        <f aca="false">SUM(AG648:AG654)</f>
        <v>31906.9</v>
      </c>
      <c r="AH647" s="35" t="n">
        <f aca="false">SUM(AH648:AH654)</f>
        <v>29573.2</v>
      </c>
      <c r="AI647" s="35" t="n">
        <f aca="false">SUM(AI648:AI654)</f>
        <v>34860.2</v>
      </c>
      <c r="AJ647" s="35" t="n">
        <f aca="false">SUM(AJ648:AJ654)</f>
        <v>38115.3206454936</v>
      </c>
      <c r="AK647" s="35" t="n">
        <f aca="false">SUM(AK648:AK654)</f>
        <v>41576.3673083312</v>
      </c>
      <c r="AL647" s="35" t="n">
        <f aca="false">SUM(AL648:AL654)</f>
        <v>44710.4594078117</v>
      </c>
      <c r="AM647" s="30"/>
      <c r="AN647" s="30"/>
      <c r="AO647" s="30"/>
      <c r="AP647" s="30"/>
      <c r="AQ647" s="30"/>
      <c r="AR647" s="30"/>
      <c r="AS647" s="30"/>
      <c r="AT647" s="30"/>
      <c r="AU647" s="30"/>
      <c r="AV647" s="30"/>
      <c r="AW647" s="30"/>
      <c r="AX647" s="30"/>
      <c r="AY647" s="30"/>
    </row>
    <row r="648" customFormat="false" ht="15" hidden="false" customHeight="true" outlineLevel="0" collapsed="false">
      <c r="A648" s="29" t="s">
        <v>660</v>
      </c>
      <c r="B648" s="62" t="n">
        <v>1514.31</v>
      </c>
      <c r="C648" s="62" t="n">
        <v>1593.22</v>
      </c>
      <c r="D648" s="62" t="n">
        <v>1932.01</v>
      </c>
      <c r="E648" s="62" t="n">
        <v>2734.37</v>
      </c>
      <c r="F648" s="62" t="n">
        <v>3541.54</v>
      </c>
      <c r="G648" s="62" t="n">
        <v>2811.97</v>
      </c>
      <c r="H648" s="62" t="n">
        <v>2172.39</v>
      </c>
      <c r="I648" s="62" t="n">
        <v>2177.58</v>
      </c>
      <c r="J648" s="62" t="n">
        <v>1989.95</v>
      </c>
      <c r="K648" s="62" t="n">
        <v>1745.21</v>
      </c>
      <c r="L648" s="62" t="n">
        <v>1512.6</v>
      </c>
      <c r="M648" s="62" t="n">
        <v>1913.68</v>
      </c>
      <c r="N648" s="62" t="n">
        <v>2306.29</v>
      </c>
      <c r="O648" s="62" t="n">
        <v>2728.32</v>
      </c>
      <c r="P648" s="62" t="n">
        <v>3853.39</v>
      </c>
      <c r="Q648" s="62" t="n">
        <v>4229.29</v>
      </c>
      <c r="R648" s="62" t="n">
        <v>5325.743</v>
      </c>
      <c r="S648" s="62" t="n">
        <v>5860.654</v>
      </c>
      <c r="T648" s="62" t="n">
        <v>9484.145</v>
      </c>
      <c r="U648" s="62" t="n">
        <v>7898.815</v>
      </c>
      <c r="V648" s="62" t="n">
        <v>7408.92</v>
      </c>
      <c r="W648" s="62" t="n">
        <v>5055.6</v>
      </c>
      <c r="X648" s="62" t="n">
        <v>6368.796</v>
      </c>
      <c r="Y648" s="62" t="n">
        <v>3876.887</v>
      </c>
      <c r="Z648" s="62" t="n">
        <v>5246.334</v>
      </c>
      <c r="AA648" s="62" t="n">
        <v>8252.985</v>
      </c>
      <c r="AB648" s="62" t="n">
        <v>8165.6</v>
      </c>
      <c r="AC648" s="62" t="n">
        <v>5635.8</v>
      </c>
      <c r="AD648" s="62" t="n">
        <v>10115.1</v>
      </c>
      <c r="AE648" s="62" t="n">
        <v>8948.6</v>
      </c>
      <c r="AF648" s="62" t="n">
        <v>10365.3</v>
      </c>
      <c r="AG648" s="62" t="n">
        <v>9034.3</v>
      </c>
      <c r="AH648" s="32" t="n">
        <f aca="false">AH715/365*AH434</f>
        <v>9838.2504109589</v>
      </c>
      <c r="AI648" s="32" t="n">
        <f aca="false">AI715/365*AI434</f>
        <v>11189.6663013699</v>
      </c>
      <c r="AJ648" s="32" t="n">
        <f aca="false">AJ715/365*AJ434</f>
        <v>12389.859352995</v>
      </c>
      <c r="AK648" s="32" t="n">
        <f aca="false">AK715/365*AK434</f>
        <v>13291.5779481011</v>
      </c>
      <c r="AL648" s="32" t="n">
        <f aca="false">AL715/365*AL434</f>
        <v>14289.1478931467</v>
      </c>
      <c r="AM648" s="30"/>
      <c r="AN648" s="30"/>
      <c r="AO648" s="30"/>
      <c r="AP648" s="30"/>
      <c r="AQ648" s="30"/>
      <c r="AR648" s="30"/>
      <c r="AS648" s="30"/>
      <c r="AT648" s="30"/>
      <c r="AU648" s="30"/>
      <c r="AV648" s="30"/>
      <c r="AW648" s="30"/>
      <c r="AX648" s="30"/>
      <c r="AY648" s="30"/>
    </row>
    <row r="649" customFormat="false" ht="15" hidden="false" customHeight="true" outlineLevel="0" collapsed="false">
      <c r="A649" s="29" t="s">
        <v>661</v>
      </c>
      <c r="B649" s="62" t="n">
        <v>20.02</v>
      </c>
      <c r="C649" s="62" t="n">
        <v>23.78</v>
      </c>
      <c r="D649" s="92" t="n">
        <f aca="false">35.98+71.08</f>
        <v>107.06</v>
      </c>
      <c r="E649" s="92" t="n">
        <f aca="false">49.48+128.55</f>
        <v>178.03</v>
      </c>
      <c r="F649" s="92" t="n">
        <f aca="false">40.15+181.75+118.19</f>
        <v>340.09</v>
      </c>
      <c r="G649" s="92" t="n">
        <f aca="false">26.95+196.87+131.22</f>
        <v>355.04</v>
      </c>
      <c r="H649" s="92" t="n">
        <f aca="false">35.59+180.72+119.66</f>
        <v>335.97</v>
      </c>
      <c r="I649" s="92" t="n">
        <f aca="false">164.73+178.05</f>
        <v>342.78</v>
      </c>
      <c r="J649" s="62" t="n">
        <v>173.63</v>
      </c>
      <c r="K649" s="62" t="n">
        <v>190.98</v>
      </c>
      <c r="L649" s="62" t="n">
        <v>181.91</v>
      </c>
      <c r="M649" s="62" t="n">
        <v>201.9</v>
      </c>
      <c r="N649" s="62" t="n">
        <v>227.37</v>
      </c>
      <c r="O649" s="62" t="n">
        <v>233.26</v>
      </c>
      <c r="P649" s="62" t="n">
        <v>279.17</v>
      </c>
      <c r="Q649" s="62" t="n">
        <v>418.33</v>
      </c>
      <c r="R649" s="62" t="n">
        <v>364.749</v>
      </c>
      <c r="S649" s="62" t="n">
        <v>364.068</v>
      </c>
      <c r="T649" s="62" t="n">
        <v>532.738</v>
      </c>
      <c r="U649" s="62" t="n">
        <v>977.36</v>
      </c>
      <c r="V649" s="62" t="n">
        <v>914.339</v>
      </c>
      <c r="W649" s="62" t="n">
        <v>806.465</v>
      </c>
      <c r="X649" s="62" t="n">
        <v>805.023</v>
      </c>
      <c r="Y649" s="62" t="n">
        <v>774.45</v>
      </c>
      <c r="Z649" s="62" t="n">
        <v>809.326</v>
      </c>
      <c r="AA649" s="62" t="n">
        <v>833.246</v>
      </c>
      <c r="AB649" s="62" t="n">
        <v>979.4</v>
      </c>
      <c r="AC649" s="62" t="n">
        <v>957.2</v>
      </c>
      <c r="AD649" s="62" t="n">
        <v>897.7</v>
      </c>
      <c r="AE649" s="62" t="n">
        <v>903.4</v>
      </c>
      <c r="AF649" s="62" t="n">
        <v>894.6</v>
      </c>
      <c r="AG649" s="62" t="n">
        <v>1278.3</v>
      </c>
      <c r="AH649" s="31" t="n">
        <f aca="false">AH720/100*AH445</f>
        <v>968.31</v>
      </c>
      <c r="AI649" s="31" t="n">
        <f aca="false">AI720/100*AI445</f>
        <v>1293.806682</v>
      </c>
      <c r="AJ649" s="31" t="n">
        <f aca="false">AJ720/100*AJ445</f>
        <v>2015.24184489564</v>
      </c>
      <c r="AK649" s="31" t="n">
        <f aca="false">AK720/100*AK445</f>
        <v>3265.38285167292</v>
      </c>
      <c r="AL649" s="31" t="n">
        <f aca="false">AL720/100*AL445</f>
        <v>4095.5354177713</v>
      </c>
      <c r="AM649" s="30"/>
      <c r="AN649" s="30"/>
      <c r="AO649" s="30"/>
      <c r="AP649" s="30"/>
      <c r="AQ649" s="30"/>
      <c r="AR649" s="30"/>
      <c r="AS649" s="30"/>
      <c r="AT649" s="30"/>
      <c r="AU649" s="30"/>
      <c r="AV649" s="30"/>
      <c r="AW649" s="30"/>
      <c r="AX649" s="30"/>
      <c r="AY649" s="30"/>
    </row>
    <row r="650" customFormat="false" ht="15" hidden="false" customHeight="true" outlineLevel="0" collapsed="false">
      <c r="A650" s="29" t="s">
        <v>662</v>
      </c>
      <c r="B650" s="37" t="n">
        <v>0</v>
      </c>
      <c r="C650" s="37" t="n">
        <v>0</v>
      </c>
      <c r="D650" s="37" t="n">
        <v>0</v>
      </c>
      <c r="E650" s="37" t="n">
        <v>0</v>
      </c>
      <c r="F650" s="37" t="n">
        <v>0</v>
      </c>
      <c r="G650" s="37" t="n">
        <v>0</v>
      </c>
      <c r="H650" s="36"/>
      <c r="I650" s="37" t="n">
        <v>0</v>
      </c>
      <c r="J650" s="37" t="n">
        <v>160.43</v>
      </c>
      <c r="K650" s="37" t="n">
        <v>118.57</v>
      </c>
      <c r="L650" s="37" t="n">
        <v>117.23</v>
      </c>
      <c r="M650" s="37" t="n">
        <v>130.71</v>
      </c>
      <c r="N650" s="37" t="n">
        <v>142.06</v>
      </c>
      <c r="O650" s="37" t="n">
        <v>133.06</v>
      </c>
      <c r="P650" s="37" t="n">
        <v>149.88</v>
      </c>
      <c r="Q650" s="37" t="n">
        <v>196</v>
      </c>
      <c r="R650" s="37" t="n">
        <v>203.664</v>
      </c>
      <c r="S650" s="37" t="n">
        <v>233.24</v>
      </c>
      <c r="T650" s="37" t="n">
        <v>392.353</v>
      </c>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row>
    <row r="651" customFormat="false" ht="15" hidden="false" customHeight="true" outlineLevel="0" collapsed="false">
      <c r="A651" s="29" t="s">
        <v>663</v>
      </c>
      <c r="B651" s="62" t="n">
        <v>354.48</v>
      </c>
      <c r="C651" s="62" t="n">
        <v>368.58</v>
      </c>
      <c r="D651" s="62" t="n">
        <v>467.77</v>
      </c>
      <c r="E651" s="62" t="n">
        <v>632.65</v>
      </c>
      <c r="F651" s="62" t="n">
        <v>882.88</v>
      </c>
      <c r="G651" s="62" t="n">
        <v>822.68</v>
      </c>
      <c r="H651" s="62" t="n">
        <v>581.14</v>
      </c>
      <c r="I651" s="62" t="n">
        <v>714.48</v>
      </c>
      <c r="J651" s="62" t="n">
        <v>816.72</v>
      </c>
      <c r="K651" s="62" t="n">
        <v>571.28</v>
      </c>
      <c r="L651" s="62" t="n">
        <v>559.77</v>
      </c>
      <c r="M651" s="62" t="n">
        <v>706.29</v>
      </c>
      <c r="N651" s="62" t="n">
        <v>912.41</v>
      </c>
      <c r="O651" s="62" t="n">
        <v>1437.3</v>
      </c>
      <c r="P651" s="62" t="n">
        <v>1095.07</v>
      </c>
      <c r="Q651" s="62" t="n">
        <v>1140.47</v>
      </c>
      <c r="R651" s="62" t="n">
        <v>940.824</v>
      </c>
      <c r="S651" s="62" t="n">
        <v>3465.626</v>
      </c>
      <c r="T651" s="62" t="n">
        <v>2628.203</v>
      </c>
      <c r="U651" s="62" t="n">
        <v>1722.995</v>
      </c>
      <c r="V651" s="62" t="n">
        <v>1209.513</v>
      </c>
      <c r="W651" s="62" t="n">
        <v>295.869</v>
      </c>
      <c r="X651" s="62" t="n">
        <v>416.319</v>
      </c>
      <c r="Y651" s="62" t="n">
        <v>152.999</v>
      </c>
      <c r="Z651" s="62" t="n">
        <v>9842.193</v>
      </c>
      <c r="AA651" s="62" t="n">
        <v>3757.014</v>
      </c>
      <c r="AB651" s="62" t="n">
        <v>3912.8</v>
      </c>
      <c r="AC651" s="62" t="n">
        <v>2461.8</v>
      </c>
      <c r="AD651" s="62" t="n">
        <v>2929.5</v>
      </c>
      <c r="AE651" s="62" t="n">
        <v>2667.5</v>
      </c>
      <c r="AF651" s="62" t="n">
        <v>2844.3</v>
      </c>
      <c r="AG651" s="62" t="n">
        <v>3441.8</v>
      </c>
      <c r="AH651" s="31" t="n">
        <f aca="false">+AG651</f>
        <v>3441.8</v>
      </c>
      <c r="AI651" s="31" t="n">
        <f aca="false">+AH651</f>
        <v>3441.8</v>
      </c>
      <c r="AJ651" s="31" t="n">
        <f aca="false">+AI651</f>
        <v>3441.8</v>
      </c>
      <c r="AK651" s="31" t="n">
        <f aca="false">+AJ651</f>
        <v>3441.8</v>
      </c>
      <c r="AL651" s="31" t="n">
        <f aca="false">+AK651</f>
        <v>3441.8</v>
      </c>
      <c r="AM651" s="30"/>
      <c r="AN651" s="30"/>
      <c r="AO651" s="30"/>
      <c r="AP651" s="30"/>
      <c r="AQ651" s="30"/>
      <c r="AR651" s="30"/>
      <c r="AS651" s="30"/>
      <c r="AT651" s="30"/>
      <c r="AU651" s="30"/>
      <c r="AV651" s="30"/>
      <c r="AW651" s="30"/>
      <c r="AX651" s="30"/>
      <c r="AY651" s="30"/>
    </row>
    <row r="652" customFormat="false" ht="15" hidden="false" customHeight="true" outlineLevel="0" collapsed="false">
      <c r="A652" s="29" t="s">
        <v>664</v>
      </c>
      <c r="B652" s="62" t="n">
        <v>728.6</v>
      </c>
      <c r="C652" s="62" t="n">
        <v>555.4</v>
      </c>
      <c r="D652" s="62" t="n">
        <v>535.02</v>
      </c>
      <c r="E652" s="62" t="n">
        <v>778.99</v>
      </c>
      <c r="F652" s="62" t="n">
        <v>1764.73</v>
      </c>
      <c r="G652" s="62" t="n">
        <v>2586.35</v>
      </c>
      <c r="H652" s="62" t="n">
        <v>1187.97</v>
      </c>
      <c r="I652" s="62" t="n">
        <v>1343.1</v>
      </c>
      <c r="J652" s="62" t="n">
        <v>2036.01</v>
      </c>
      <c r="K652" s="62" t="n">
        <v>3327.36</v>
      </c>
      <c r="L652" s="62" t="n">
        <v>1733.05</v>
      </c>
      <c r="M652" s="62" t="n">
        <v>2116.83</v>
      </c>
      <c r="N652" s="62" t="n">
        <v>2092.68</v>
      </c>
      <c r="O652" s="62" t="n">
        <v>4493.67</v>
      </c>
      <c r="P652" s="62" t="n">
        <v>5325.7</v>
      </c>
      <c r="Q652" s="62" t="n">
        <v>6255.05</v>
      </c>
      <c r="R652" s="62" t="n">
        <v>6465.164</v>
      </c>
      <c r="S652" s="62" t="n">
        <v>6458.812</v>
      </c>
      <c r="T652" s="62" t="n">
        <v>9051.595</v>
      </c>
      <c r="U652" s="62" t="n">
        <v>10055.762</v>
      </c>
      <c r="V652" s="62" t="n">
        <v>7117.161</v>
      </c>
      <c r="W652" s="62" t="n">
        <v>4065.112</v>
      </c>
      <c r="X652" s="62" t="n">
        <v>4389.851</v>
      </c>
      <c r="Y652" s="62" t="n">
        <v>9236.139</v>
      </c>
      <c r="Z652" s="62" t="n">
        <v>6437.678</v>
      </c>
      <c r="AA652" s="62" t="n">
        <v>2515.121</v>
      </c>
      <c r="AB652" s="62" t="n">
        <v>12293.3</v>
      </c>
      <c r="AC652" s="62" t="n">
        <v>1842.2</v>
      </c>
      <c r="AD652" s="62" t="n">
        <v>5738.8</v>
      </c>
      <c r="AE652" s="62" t="n">
        <v>6027.9</v>
      </c>
      <c r="AF652" s="62" t="n">
        <v>10993.4</v>
      </c>
      <c r="AG652" s="62" t="n">
        <v>15264.9</v>
      </c>
      <c r="AH652" s="32" t="n">
        <f aca="false">AH713/365*AH322</f>
        <v>13005.4717808219</v>
      </c>
      <c r="AI652" s="32" t="n">
        <f aca="false">AI713/365*AI322</f>
        <v>14763.3312831982</v>
      </c>
      <c r="AJ652" s="32" t="n">
        <f aca="false">AJ713/365*AJ322</f>
        <v>16096.823714171</v>
      </c>
      <c r="AK652" s="32" t="n">
        <f aca="false">AK713/365*AK322</f>
        <v>17406.0107751252</v>
      </c>
      <c r="AL652" s="32" t="n">
        <f aca="false">AL713/365*AL322</f>
        <v>18712.3803634618</v>
      </c>
      <c r="AM652" s="30"/>
      <c r="AN652" s="30"/>
      <c r="AO652" s="30"/>
      <c r="AP652" s="30"/>
      <c r="AQ652" s="30"/>
      <c r="AR652" s="30"/>
      <c r="AS652" s="30"/>
      <c r="AT652" s="30"/>
      <c r="AU652" s="30"/>
      <c r="AV652" s="30"/>
      <c r="AW652" s="30"/>
      <c r="AX652" s="30"/>
      <c r="AY652" s="30"/>
    </row>
    <row r="653" customFormat="false" ht="15" hidden="false" customHeight="true" outlineLevel="0" collapsed="false">
      <c r="A653" s="29" t="s">
        <v>665</v>
      </c>
      <c r="B653" s="62" t="n">
        <v>0</v>
      </c>
      <c r="C653" s="62" t="n">
        <v>0</v>
      </c>
      <c r="D653" s="62" t="n">
        <v>0</v>
      </c>
      <c r="E653" s="62" t="n">
        <v>0</v>
      </c>
      <c r="F653" s="62" t="n">
        <v>0</v>
      </c>
      <c r="G653" s="62" t="n">
        <v>0</v>
      </c>
      <c r="H653" s="30"/>
      <c r="I653" s="62" t="n">
        <v>0</v>
      </c>
      <c r="J653" s="30"/>
      <c r="K653" s="30"/>
      <c r="L653" s="30"/>
      <c r="M653" s="30"/>
      <c r="N653" s="30"/>
      <c r="O653" s="30"/>
      <c r="P653" s="30"/>
      <c r="Q653" s="30"/>
      <c r="R653" s="30"/>
      <c r="S653" s="30"/>
      <c r="T653" s="30"/>
      <c r="U653" s="92" t="n">
        <f aca="false">21.016+4.062+1626.242</f>
        <v>1651.32</v>
      </c>
      <c r="V653" s="92" t="n">
        <f aca="false">65.665+85.392+2158.779</f>
        <v>2309.836</v>
      </c>
      <c r="W653" s="92" t="n">
        <f aca="false">2.858+103.745+1556.567</f>
        <v>1663.17</v>
      </c>
      <c r="X653" s="92" t="n">
        <f aca="false">156.337+1848.946</f>
        <v>2005.283</v>
      </c>
      <c r="Y653" s="92" t="n">
        <f aca="false">94.496+2115.164</f>
        <v>2209.66</v>
      </c>
      <c r="Z653" s="92" t="n">
        <f aca="false">97.722+2577.914</f>
        <v>2675.636</v>
      </c>
      <c r="AA653" s="92" t="n">
        <f aca="false">94.562+1645.823</f>
        <v>1740.385</v>
      </c>
      <c r="AB653" s="62" t="n">
        <v>1495.6</v>
      </c>
      <c r="AC653" s="62" t="n">
        <v>1483</v>
      </c>
      <c r="AD653" s="62" t="n">
        <v>1741.8</v>
      </c>
      <c r="AE653" s="62" t="n">
        <v>2204.6</v>
      </c>
      <c r="AF653" s="62" t="n">
        <v>2647.2</v>
      </c>
      <c r="AG653" s="62" t="n">
        <v>2887.6</v>
      </c>
      <c r="AH653" s="32" t="n">
        <f aca="false">29573.2-AH652-AH651-AH649-AH648</f>
        <v>2319.36780821918</v>
      </c>
      <c r="AI653" s="32" t="n">
        <f aca="false">34860.2-AI652-AI651-AI649-AI648</f>
        <v>4171.59573343192</v>
      </c>
      <c r="AJ653" s="31" t="n">
        <f aca="false">+AI653</f>
        <v>4171.59573343192</v>
      </c>
      <c r="AK653" s="31" t="n">
        <f aca="false">+AJ653</f>
        <v>4171.59573343192</v>
      </c>
      <c r="AL653" s="31" t="n">
        <f aca="false">+AK653</f>
        <v>4171.59573343192</v>
      </c>
      <c r="AM653" s="30"/>
      <c r="AN653" s="30"/>
      <c r="AO653" s="30"/>
      <c r="AP653" s="30"/>
      <c r="AQ653" s="30"/>
      <c r="AR653" s="30"/>
      <c r="AS653" s="30"/>
      <c r="AT653" s="30"/>
      <c r="AU653" s="30"/>
      <c r="AV653" s="30"/>
      <c r="AW653" s="30"/>
      <c r="AX653" s="30"/>
      <c r="AY653" s="30"/>
    </row>
    <row r="654" customFormat="false" ht="15" hidden="false" customHeight="true" outlineLevel="0" collapsed="false">
      <c r="A654" s="29" t="s">
        <v>666</v>
      </c>
      <c r="B654" s="60" t="n">
        <v>0</v>
      </c>
      <c r="C654" s="60" t="n">
        <v>0</v>
      </c>
      <c r="D654" s="60" t="n">
        <v>0</v>
      </c>
      <c r="E654" s="60" t="n">
        <v>0</v>
      </c>
      <c r="F654" s="60" t="n">
        <v>0</v>
      </c>
      <c r="G654" s="60" t="n">
        <v>0</v>
      </c>
      <c r="H654" s="43"/>
      <c r="I654" s="60" t="n">
        <v>0</v>
      </c>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row>
    <row r="655" customFormat="false" ht="15" hidden="false" customHeight="true" outlineLevel="0" collapsed="false">
      <c r="A655" s="29" t="s">
        <v>667</v>
      </c>
      <c r="B655" s="43"/>
      <c r="C655" s="43"/>
      <c r="D655" s="43"/>
      <c r="E655" s="43"/>
      <c r="F655" s="43"/>
      <c r="G655" s="43"/>
      <c r="H655" s="43"/>
      <c r="I655" s="43"/>
      <c r="J655" s="43"/>
      <c r="K655" s="43"/>
      <c r="L655" s="43"/>
      <c r="M655" s="43"/>
      <c r="N655" s="43"/>
      <c r="O655" s="43"/>
      <c r="P655" s="43"/>
      <c r="Q655" s="43"/>
      <c r="R655" s="43"/>
      <c r="S655" s="43"/>
      <c r="T655" s="43"/>
      <c r="U655" s="43"/>
      <c r="V655" s="60" t="n">
        <v>0.439</v>
      </c>
      <c r="W655" s="60" t="n">
        <v>0.815</v>
      </c>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row>
    <row r="656" customFormat="false" ht="15" hidden="false" customHeight="true" outlineLevel="0" collapsed="false">
      <c r="A656" s="29"/>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89" t="n">
        <f aca="false">+Y657-12509.495</f>
        <v>0</v>
      </c>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row>
    <row r="657" customFormat="false" ht="15" hidden="false" customHeight="true" outlineLevel="0" collapsed="false">
      <c r="A657" s="47" t="s">
        <v>372</v>
      </c>
      <c r="B657" s="34" t="n">
        <v>3177.93</v>
      </c>
      <c r="C657" s="34" t="n">
        <v>3172.05</v>
      </c>
      <c r="D657" s="34" t="n">
        <v>4770.84</v>
      </c>
      <c r="E657" s="34" t="n">
        <v>7092.52</v>
      </c>
      <c r="F657" s="34" t="n">
        <v>10513.03</v>
      </c>
      <c r="G657" s="34" t="n">
        <v>9011.99</v>
      </c>
      <c r="H657" s="34" t="n">
        <v>7605.75</v>
      </c>
      <c r="I657" s="34" t="n">
        <v>7561.83</v>
      </c>
      <c r="J657" s="34" t="n">
        <v>6679.52</v>
      </c>
      <c r="K657" s="34" t="n">
        <v>4928.46</v>
      </c>
      <c r="L657" s="34" t="n">
        <v>5181.5</v>
      </c>
      <c r="M657" s="34" t="n">
        <v>4056.19</v>
      </c>
      <c r="N657" s="34" t="n">
        <v>4587.66</v>
      </c>
      <c r="O657" s="34" t="n">
        <v>4243.37</v>
      </c>
      <c r="P657" s="34" t="n">
        <v>5228.75</v>
      </c>
      <c r="Q657" s="34" t="n">
        <v>3758.35</v>
      </c>
      <c r="R657" s="34" t="n">
        <v>9579.742</v>
      </c>
      <c r="S657" s="34" t="n">
        <v>10220.615</v>
      </c>
      <c r="T657" s="34" t="n">
        <v>11852.133</v>
      </c>
      <c r="U657" s="34" t="n">
        <v>12302.479</v>
      </c>
      <c r="V657" s="34" t="n">
        <v>14194.113</v>
      </c>
      <c r="W657" s="34" t="n">
        <v>12990.105</v>
      </c>
      <c r="X657" s="34" t="n">
        <v>12576.925</v>
      </c>
      <c r="Y657" s="34" t="n">
        <v>12509.495</v>
      </c>
      <c r="Z657" s="34" t="n">
        <v>8599.016</v>
      </c>
      <c r="AA657" s="93" t="n">
        <f aca="false">0.255+9804.801</f>
        <v>9805.056</v>
      </c>
      <c r="AB657" s="34" t="n">
        <v>25055.3</v>
      </c>
      <c r="AC657" s="34" t="n">
        <v>11798.2</v>
      </c>
      <c r="AD657" s="93" t="n">
        <f aca="false">28160+3.1</f>
        <v>28163.1</v>
      </c>
      <c r="AE657" s="93" t="n">
        <f aca="false">31110.2+0.3</f>
        <v>31110.5</v>
      </c>
      <c r="AF657" s="93" t="n">
        <f aca="false">40620.8+6.3</f>
        <v>40627.1</v>
      </c>
      <c r="AG657" s="93" t="n">
        <f aca="false">35696.5+2.5</f>
        <v>35699</v>
      </c>
      <c r="AH657" s="34" t="n">
        <v>28873.2</v>
      </c>
      <c r="AI657" s="34" t="n">
        <v>29504.1</v>
      </c>
      <c r="AJ657" s="101" t="n">
        <f aca="false">AJ717/365*AJ322</f>
        <v>33535.0494045229</v>
      </c>
      <c r="AK657" s="101" t="n">
        <f aca="false">AK717/365*AK322</f>
        <v>36262.5224481775</v>
      </c>
      <c r="AL657" s="101" t="n">
        <f aca="false">AL717/365*AL322</f>
        <v>38984.1257572121</v>
      </c>
      <c r="AM657" s="30"/>
      <c r="AN657" s="30"/>
      <c r="AO657" s="30"/>
      <c r="AP657" s="30"/>
      <c r="AQ657" s="30"/>
      <c r="AR657" s="30"/>
      <c r="AS657" s="30"/>
      <c r="AT657" s="30"/>
      <c r="AU657" s="30"/>
      <c r="AV657" s="30"/>
      <c r="AW657" s="30"/>
      <c r="AX657" s="30"/>
      <c r="AY657" s="30"/>
    </row>
    <row r="658" customFormat="false" ht="15" hidden="false" customHeight="true" outlineLevel="0" collapsed="false">
      <c r="A658" s="47" t="s">
        <v>373</v>
      </c>
      <c r="B658" s="34" t="n">
        <v>797.86</v>
      </c>
      <c r="C658" s="34" t="n">
        <v>34.77</v>
      </c>
      <c r="D658" s="34" t="n">
        <v>851.2</v>
      </c>
      <c r="E658" s="34" t="n">
        <v>25.52</v>
      </c>
      <c r="F658" s="34" t="n">
        <v>65.42</v>
      </c>
      <c r="G658" s="34" t="n">
        <v>25.11</v>
      </c>
      <c r="H658" s="34" t="n">
        <v>621.55</v>
      </c>
      <c r="I658" s="34" t="n">
        <v>372.84</v>
      </c>
      <c r="J658" s="34" t="n">
        <v>1649.2</v>
      </c>
      <c r="K658" s="34" t="n">
        <v>2748.94</v>
      </c>
      <c r="L658" s="34" t="n">
        <v>2219.23</v>
      </c>
      <c r="M658" s="34" t="n">
        <v>3249.74</v>
      </c>
      <c r="N658" s="34" t="n">
        <v>7966.82</v>
      </c>
      <c r="O658" s="34" t="n">
        <v>6028.76</v>
      </c>
      <c r="P658" s="34" t="n">
        <v>4349.39</v>
      </c>
      <c r="Q658" s="34" t="n">
        <v>4513.7</v>
      </c>
      <c r="R658" s="34" t="n">
        <v>880.836</v>
      </c>
      <c r="S658" s="34" t="n">
        <v>5189.205</v>
      </c>
      <c r="T658" s="34" t="n">
        <v>1795.272</v>
      </c>
      <c r="U658" s="34" t="n">
        <v>325.558</v>
      </c>
      <c r="V658" s="34" t="n">
        <v>139.424</v>
      </c>
      <c r="W658" s="34" t="n">
        <v>116.906</v>
      </c>
      <c r="X658" s="34" t="n">
        <v>7512.879</v>
      </c>
      <c r="Y658" s="93" t="n">
        <f aca="false">15627.32+303.994</f>
        <v>15931.314</v>
      </c>
      <c r="Z658" s="93" t="n">
        <f aca="false">8686.111+433.637</f>
        <v>9119.748</v>
      </c>
      <c r="AA658" s="93" t="n">
        <f aca="false">9937.191+106.853</f>
        <v>10044.044</v>
      </c>
      <c r="AB658" s="93" t="n">
        <f aca="false">13649.8+86.1</f>
        <v>13735.9</v>
      </c>
      <c r="AC658" s="93" t="n">
        <f aca="false">12790.4+434.3</f>
        <v>13224.7</v>
      </c>
      <c r="AD658" s="93" t="n">
        <f aca="false">5301.3+2928.2</f>
        <v>8229.5</v>
      </c>
      <c r="AE658" s="93" t="n">
        <f aca="false">9942.5+527.1</f>
        <v>10469.6</v>
      </c>
      <c r="AF658" s="93" t="n">
        <f aca="false">4541.1+471.8</f>
        <v>5012.9</v>
      </c>
      <c r="AG658" s="93" t="n">
        <f aca="false">19418.7+14963.1</f>
        <v>34381.8</v>
      </c>
      <c r="AH658" s="93" t="n">
        <f aca="false">26598.2+461.3</f>
        <v>27059.5</v>
      </c>
      <c r="AI658" s="93" t="n">
        <f aca="false">20310.9+9459.6</f>
        <v>29770.5</v>
      </c>
      <c r="AJ658" s="34" t="n">
        <v>36417.633568351</v>
      </c>
      <c r="AK658" s="34" t="n">
        <v>56156.0249938045</v>
      </c>
      <c r="AL658" s="34" t="n">
        <v>78664.2170592194</v>
      </c>
      <c r="AM658" s="30"/>
      <c r="AN658" s="30"/>
      <c r="AO658" s="30"/>
      <c r="AP658" s="30"/>
      <c r="AQ658" s="30"/>
      <c r="AR658" s="30"/>
      <c r="AS658" s="30"/>
      <c r="AT658" s="30"/>
      <c r="AU658" s="30"/>
      <c r="AV658" s="30"/>
      <c r="AW658" s="30"/>
      <c r="AX658" s="30"/>
      <c r="AY658" s="30"/>
    </row>
    <row r="659" customFormat="false" ht="15" hidden="false" customHeight="true" outlineLevel="0" collapsed="false">
      <c r="A659" s="47" t="s">
        <v>374</v>
      </c>
      <c r="B659" s="34" t="n">
        <v>1415.74</v>
      </c>
      <c r="C659" s="34" t="n">
        <v>1530.4</v>
      </c>
      <c r="D659" s="34" t="n">
        <v>4127.53</v>
      </c>
      <c r="E659" s="34" t="n">
        <v>5130.49</v>
      </c>
      <c r="F659" s="34" t="n">
        <v>2761.44</v>
      </c>
      <c r="G659" s="35" t="n">
        <f aca="false">SUM(G660:G663)</f>
        <v>2875.71</v>
      </c>
      <c r="H659" s="35" t="n">
        <f aca="false">SUM(H660:H663)</f>
        <v>1956.27</v>
      </c>
      <c r="I659" s="35" t="n">
        <f aca="false">SUM(I660:I663)</f>
        <v>2129.77</v>
      </c>
      <c r="J659" s="35" t="n">
        <f aca="false">SUM(J660:J663)</f>
        <v>2128.54</v>
      </c>
      <c r="K659" s="35" t="n">
        <f aca="false">SUM(K660:K663)</f>
        <v>1920.96</v>
      </c>
      <c r="L659" s="35" t="n">
        <f aca="false">SUM(L660:L663)</f>
        <v>1899.41</v>
      </c>
      <c r="M659" s="35" t="n">
        <f aca="false">SUM(M660:M663)</f>
        <v>2261.33</v>
      </c>
      <c r="N659" s="35" t="n">
        <f aca="false">SUM(N660:N663)</f>
        <v>3337.34</v>
      </c>
      <c r="O659" s="35" t="n">
        <f aca="false">SUM(O660:O663)</f>
        <v>3026.39</v>
      </c>
      <c r="P659" s="35" t="n">
        <f aca="false">SUM(P660:P663)</f>
        <v>6695.79</v>
      </c>
      <c r="Q659" s="35" t="n">
        <f aca="false">SUM(Q660:Q663)</f>
        <v>8241.37</v>
      </c>
      <c r="R659" s="35" t="n">
        <f aca="false">SUM(R660:R663)</f>
        <v>7895.435</v>
      </c>
      <c r="S659" s="35" t="n">
        <f aca="false">SUM(S660:S663)</f>
        <v>9604.623</v>
      </c>
      <c r="T659" s="35" t="n">
        <f aca="false">SUM(T660:T663)</f>
        <v>7936.014</v>
      </c>
      <c r="U659" s="93" t="n">
        <f aca="false">7270.906</f>
        <v>7270.906</v>
      </c>
      <c r="V659" s="34" t="n">
        <v>8909.804</v>
      </c>
      <c r="W659" s="34" t="n">
        <v>8007.11</v>
      </c>
      <c r="X659" s="34" t="n">
        <v>5688.217</v>
      </c>
      <c r="Y659" s="34" t="n">
        <v>706.005</v>
      </c>
      <c r="Z659" s="34" t="n">
        <v>34.646</v>
      </c>
      <c r="AA659" s="34" t="n">
        <v>241.016</v>
      </c>
      <c r="AB659" s="34" t="n">
        <v>224.6</v>
      </c>
      <c r="AC659" s="34" t="n">
        <v>230</v>
      </c>
      <c r="AD659" s="34" t="n">
        <v>206.2</v>
      </c>
      <c r="AE659" s="30"/>
      <c r="AF659" s="30"/>
      <c r="AG659" s="34" t="n">
        <v>950</v>
      </c>
      <c r="AH659" s="30"/>
      <c r="AI659" s="30"/>
      <c r="AJ659" s="30"/>
      <c r="AK659" s="30"/>
      <c r="AL659" s="30"/>
      <c r="AM659" s="30"/>
      <c r="AN659" s="30"/>
      <c r="AO659" s="30"/>
      <c r="AP659" s="30"/>
      <c r="AQ659" s="30"/>
      <c r="AR659" s="30"/>
      <c r="AS659" s="30"/>
      <c r="AT659" s="30"/>
      <c r="AU659" s="30"/>
      <c r="AV659" s="30"/>
      <c r="AW659" s="30"/>
      <c r="AX659" s="30"/>
      <c r="AY659" s="30"/>
    </row>
    <row r="660" customFormat="false" ht="15" hidden="false" customHeight="true" outlineLevel="0" collapsed="false">
      <c r="A660" s="29" t="s">
        <v>668</v>
      </c>
      <c r="B660" s="30"/>
      <c r="C660" s="30"/>
      <c r="D660" s="30"/>
      <c r="E660" s="30"/>
      <c r="F660" s="30"/>
      <c r="G660" s="34" t="n">
        <v>2450.8</v>
      </c>
      <c r="H660" s="34" t="n">
        <v>1740.44</v>
      </c>
      <c r="I660" s="34" t="n">
        <v>2047.24</v>
      </c>
      <c r="J660" s="93" t="n">
        <f aca="false">2101.05-160.43</f>
        <v>1940.62</v>
      </c>
      <c r="K660" s="93" t="n">
        <f aca="false">1943.77-185.77</f>
        <v>1758</v>
      </c>
      <c r="L660" s="93" t="n">
        <f aca="false">1918.21-144.15</f>
        <v>1774.06</v>
      </c>
      <c r="M660" s="93" t="n">
        <f aca="false">2250.36-147.26</f>
        <v>2103.1</v>
      </c>
      <c r="N660" s="93" t="n">
        <f aca="false">2399.78+520.95-147.26</f>
        <v>2773.47</v>
      </c>
      <c r="O660" s="93" t="n">
        <f aca="false">2327.3+602.26-147.26</f>
        <v>2782.3</v>
      </c>
      <c r="P660" s="93" t="n">
        <f aca="false">5718.07-147.26+507.61</f>
        <v>6078.42</v>
      </c>
      <c r="Q660" s="93" t="n">
        <f aca="false">7443.54+454.15-142.81</f>
        <v>7754.88</v>
      </c>
      <c r="R660" s="101" t="n">
        <f aca="false">7895.435-R662</f>
        <v>7312.537</v>
      </c>
      <c r="S660" s="101" t="n">
        <f aca="false">9604.623-S662</f>
        <v>9085.451</v>
      </c>
      <c r="T660" s="101" t="n">
        <f aca="false">7936.014-T662</f>
        <v>6974.423</v>
      </c>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row>
    <row r="661" customFormat="false" ht="15" hidden="false" customHeight="true" outlineLevel="0" collapsed="false">
      <c r="A661" s="29" t="s">
        <v>669</v>
      </c>
      <c r="B661" s="43"/>
      <c r="C661" s="43"/>
      <c r="D661" s="43"/>
      <c r="E661" s="43"/>
      <c r="F661" s="43"/>
      <c r="G661" s="100" t="n">
        <v>0</v>
      </c>
      <c r="H661" s="100" t="n">
        <v>0</v>
      </c>
      <c r="I661" s="100" t="n">
        <v>0</v>
      </c>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row>
    <row r="662" customFormat="false" ht="15" hidden="false" customHeight="true" outlineLevel="0" collapsed="false">
      <c r="A662" s="29" t="s">
        <v>670</v>
      </c>
      <c r="B662" s="36"/>
      <c r="C662" s="36"/>
      <c r="D662" s="36"/>
      <c r="E662" s="36"/>
      <c r="F662" s="36"/>
      <c r="G662" s="78" t="n">
        <v>424.91</v>
      </c>
      <c r="H662" s="78" t="n">
        <v>215.83</v>
      </c>
      <c r="I662" s="78" t="n">
        <v>82.53</v>
      </c>
      <c r="J662" s="78" t="n">
        <v>187.92</v>
      </c>
      <c r="K662" s="78" t="n">
        <v>162.96</v>
      </c>
      <c r="L662" s="78" t="n">
        <v>125.35</v>
      </c>
      <c r="M662" s="78" t="n">
        <v>158.23</v>
      </c>
      <c r="N662" s="78" t="n">
        <v>563.87</v>
      </c>
      <c r="O662" s="78" t="n">
        <v>244.09</v>
      </c>
      <c r="P662" s="78" t="n">
        <v>617.37</v>
      </c>
      <c r="Q662" s="78" t="n">
        <v>486.49</v>
      </c>
      <c r="R662" s="78" t="n">
        <v>582.898</v>
      </c>
      <c r="S662" s="78" t="n">
        <v>519.172</v>
      </c>
      <c r="T662" s="78" t="n">
        <v>961.591</v>
      </c>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row>
    <row r="663" customFormat="false" ht="15" hidden="false" customHeight="true" outlineLevel="0" collapsed="false">
      <c r="A663" s="29" t="s">
        <v>671</v>
      </c>
      <c r="B663" s="43"/>
      <c r="C663" s="43"/>
      <c r="D663" s="43"/>
      <c r="E663" s="43"/>
      <c r="F663" s="43"/>
      <c r="G663" s="100" t="n">
        <v>0</v>
      </c>
      <c r="H663" s="100" t="n">
        <v>0</v>
      </c>
      <c r="I663" s="100" t="n">
        <v>0</v>
      </c>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row>
    <row r="664" customFormat="false" ht="15" hidden="false" customHeight="true" outlineLevel="0" collapsed="false">
      <c r="A664" s="29" t="s">
        <v>375</v>
      </c>
      <c r="B664" s="30"/>
      <c r="C664" s="30"/>
      <c r="D664" s="30"/>
      <c r="E664" s="30"/>
      <c r="F664" s="30"/>
      <c r="G664" s="30"/>
      <c r="H664" s="30"/>
      <c r="I664" s="30"/>
      <c r="J664" s="30"/>
      <c r="K664" s="30"/>
      <c r="L664" s="30"/>
      <c r="M664" s="30"/>
      <c r="N664" s="30"/>
      <c r="O664" s="30"/>
      <c r="P664" s="30"/>
      <c r="Q664" s="30"/>
      <c r="R664" s="30"/>
      <c r="S664" s="30"/>
      <c r="T664" s="30"/>
      <c r="U664" s="62" t="n">
        <v>833.668</v>
      </c>
      <c r="V664" s="62" t="n">
        <v>761.775</v>
      </c>
      <c r="W664" s="34" t="n">
        <v>1709.45</v>
      </c>
      <c r="X664" s="34" t="n">
        <v>3082.139</v>
      </c>
      <c r="Y664" s="93" t="n">
        <f aca="false">1256.955+5155.592</f>
        <v>6412.547</v>
      </c>
      <c r="Z664" s="93" t="n">
        <f aca="false">4317.059+1512.724</f>
        <v>5829.783</v>
      </c>
      <c r="AA664" s="93" t="n">
        <f aca="false">3775.713+7182.19</f>
        <v>10957.903</v>
      </c>
      <c r="AB664" s="93" t="n">
        <f aca="false">4650.6+110.4+11239.9</f>
        <v>16000.9</v>
      </c>
      <c r="AC664" s="93" t="n">
        <f aca="false">9031.7+85.3+7485</f>
        <v>16602</v>
      </c>
      <c r="AD664" s="93" t="n">
        <f aca="false">8088.1+8408.6</f>
        <v>16496.7</v>
      </c>
      <c r="AE664" s="93" t="n">
        <f aca="false">9955.8+9313.7+636.3</f>
        <v>19905.8</v>
      </c>
      <c r="AF664" s="93" t="n">
        <f aca="false">5814.4+9409.9+719.2</f>
        <v>15943.5</v>
      </c>
      <c r="AG664" s="93" t="n">
        <f aca="false">2418+8126.9+660.2</f>
        <v>11205.1</v>
      </c>
      <c r="AH664" s="93" t="n">
        <f aca="false">1182.1+6211.2+236.8</f>
        <v>7630.1</v>
      </c>
      <c r="AI664" s="93" t="n">
        <f aca="false">2429.4+8858.6</f>
        <v>11288</v>
      </c>
      <c r="AJ664" s="101" t="n">
        <f aca="false">+AI664+2000</f>
        <v>13288</v>
      </c>
      <c r="AK664" s="101" t="n">
        <f aca="false">+AJ664+2000</f>
        <v>15288</v>
      </c>
      <c r="AL664" s="101" t="n">
        <f aca="false">+AK664+2000</f>
        <v>17288</v>
      </c>
      <c r="AM664" s="30"/>
      <c r="AN664" s="30"/>
      <c r="AO664" s="30"/>
      <c r="AP664" s="30"/>
      <c r="AQ664" s="30"/>
      <c r="AR664" s="30"/>
      <c r="AS664" s="30"/>
      <c r="AT664" s="30"/>
      <c r="AU664" s="30"/>
      <c r="AV664" s="30"/>
      <c r="AW664" s="30"/>
      <c r="AX664" s="30"/>
      <c r="AY664" s="30"/>
    </row>
    <row r="665" customFormat="false" ht="15" hidden="false" customHeight="true" outlineLevel="0" collapsed="false">
      <c r="A665" s="51" t="s">
        <v>376</v>
      </c>
      <c r="B665" s="52" t="n">
        <f aca="false">+B647+B657+B658+B659</f>
        <v>8008.94</v>
      </c>
      <c r="C665" s="52" t="n">
        <f aca="false">+C647+C657+C658+C659</f>
        <v>7278.2</v>
      </c>
      <c r="D665" s="52" t="n">
        <f aca="false">+D647+D657+D658+D659</f>
        <v>12791.43</v>
      </c>
      <c r="E665" s="52" t="n">
        <f aca="false">+E647+E657+E658+E659</f>
        <v>16572.57</v>
      </c>
      <c r="F665" s="52" t="n">
        <f aca="false">+F647+F657+F658+F659</f>
        <v>19869.13</v>
      </c>
      <c r="G665" s="52" t="n">
        <f aca="false">+G647+G657+G658+G659</f>
        <v>18488.85</v>
      </c>
      <c r="H665" s="52" t="n">
        <f aca="false">+H647+H657+H658+H659</f>
        <v>14461.04</v>
      </c>
      <c r="I665" s="52" t="n">
        <f aca="false">+I647+I657+I658+I659</f>
        <v>14642.38</v>
      </c>
      <c r="J665" s="52" t="n">
        <f aca="false">+J647+J657+J658+J659</f>
        <v>15634</v>
      </c>
      <c r="K665" s="52" t="n">
        <f aca="false">+K647+K657+K658+K659</f>
        <v>15551.76</v>
      </c>
      <c r="L665" s="52" t="n">
        <f aca="false">+L647+L657+L658+L659</f>
        <v>13404.7</v>
      </c>
      <c r="M665" s="52" t="n">
        <f aca="false">+M647+M657+M658+M659</f>
        <v>14636.67</v>
      </c>
      <c r="N665" s="52" t="n">
        <f aca="false">+N647+N657+N658+N659</f>
        <v>21572.63</v>
      </c>
      <c r="O665" s="52" t="n">
        <f aca="false">+O647+O657+O658+O659</f>
        <v>22324.13</v>
      </c>
      <c r="P665" s="52" t="n">
        <f aca="false">+P647+P657+P658+P659</f>
        <v>26977.14</v>
      </c>
      <c r="Q665" s="52" t="n">
        <f aca="false">+Q647+Q657+Q658+Q659</f>
        <v>28752.56</v>
      </c>
      <c r="R665" s="52" t="n">
        <f aca="false">+R647+R657+R658+R659</f>
        <v>31656.157</v>
      </c>
      <c r="S665" s="52" t="n">
        <f aca="false">+S647+S657+S658+S659</f>
        <v>41396.843</v>
      </c>
      <c r="T665" s="52" t="n">
        <f aca="false">+T647+T657+T658+T659</f>
        <v>43672.453</v>
      </c>
      <c r="U665" s="52" t="n">
        <f aca="false">+U647+U657+U658+U659+U664</f>
        <v>43038.863</v>
      </c>
      <c r="V665" s="52" t="n">
        <f aca="false">+V647+V657+V658+V659+V664</f>
        <v>42965.324</v>
      </c>
      <c r="W665" s="52" t="n">
        <f aca="false">+W647+W657+W658+W659+W664</f>
        <v>34710.602</v>
      </c>
      <c r="X665" s="52" t="n">
        <f aca="false">+X647+X657+X658+X659+X664</f>
        <v>42845.432</v>
      </c>
      <c r="Y665" s="52" t="n">
        <f aca="false">+Y647+Y657+Y658+Y659+Y664</f>
        <v>51809.496</v>
      </c>
      <c r="Z665" s="52" t="n">
        <f aca="false">+Z647+Z657+Z658+Z659+Z664</f>
        <v>48594.36</v>
      </c>
      <c r="AA665" s="52" t="n">
        <f aca="false">+AA647+AA657+AA658+AA659+AA664</f>
        <v>48146.77</v>
      </c>
      <c r="AB665" s="52" t="n">
        <f aca="false">+AB647+AB657+AB658+AB659+AB664</f>
        <v>81863.4</v>
      </c>
      <c r="AC665" s="52" t="n">
        <f aca="false">+AC647+AC657+AC658+AC659+AC664</f>
        <v>54234.9</v>
      </c>
      <c r="AD665" s="52" t="n">
        <f aca="false">+AD647+AD657+AD658+AD659+AD664</f>
        <v>74518.4</v>
      </c>
      <c r="AE665" s="52" t="n">
        <f aca="false">+AE647+AE657+AE658+AE659+AE664</f>
        <v>82237.9</v>
      </c>
      <c r="AF665" s="52" t="n">
        <f aca="false">+AF647+AF657+AF658+AF659+AF664</f>
        <v>89328.3</v>
      </c>
      <c r="AG665" s="52" t="n">
        <f aca="false">+AG647+AG657+AG658+AG659+AG664</f>
        <v>114142.8</v>
      </c>
      <c r="AH665" s="52" t="n">
        <f aca="false">+AH647+AH657+AH658+AH659+AH664</f>
        <v>93136</v>
      </c>
      <c r="AI665" s="52" t="n">
        <f aca="false">+AI647+AI657+AI658+AI659+AI664</f>
        <v>105422.8</v>
      </c>
      <c r="AJ665" s="52" t="n">
        <f aca="false">+AJ647+AJ657+AJ658+AJ659+AJ664</f>
        <v>121356.003618368</v>
      </c>
      <c r="AK665" s="52" t="n">
        <f aca="false">+AK647+AK657+AK658+AK659+AK664</f>
        <v>149282.914750313</v>
      </c>
      <c r="AL665" s="52" t="n">
        <f aca="false">+AL647+AL657+AL658+AL659+AL664</f>
        <v>179646.802224243</v>
      </c>
      <c r="AM665" s="53"/>
      <c r="AN665" s="53"/>
      <c r="AO665" s="53"/>
      <c r="AP665" s="53"/>
      <c r="AQ665" s="53"/>
      <c r="AR665" s="53"/>
      <c r="AS665" s="53"/>
      <c r="AT665" s="53"/>
      <c r="AU665" s="53"/>
      <c r="AV665" s="53"/>
      <c r="AW665" s="53"/>
      <c r="AX665" s="53"/>
      <c r="AY665" s="53"/>
    </row>
    <row r="666" customFormat="false" ht="15" hidden="false" customHeight="true" outlineLevel="0" collapsed="false">
      <c r="A666" s="70" t="s">
        <v>377</v>
      </c>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c r="AA666" s="86"/>
      <c r="AB666" s="86"/>
      <c r="AC666" s="86"/>
      <c r="AD666" s="86"/>
      <c r="AE666" s="86"/>
      <c r="AF666" s="86"/>
      <c r="AG666" s="86"/>
      <c r="AH666" s="86"/>
      <c r="AI666" s="86"/>
      <c r="AJ666" s="86"/>
      <c r="AK666" s="86"/>
      <c r="AL666" s="86"/>
      <c r="AM666" s="86"/>
      <c r="AN666" s="86"/>
      <c r="AO666" s="86"/>
      <c r="AP666" s="86"/>
      <c r="AQ666" s="86"/>
      <c r="AR666" s="86"/>
      <c r="AS666" s="86"/>
      <c r="AT666" s="86"/>
      <c r="AU666" s="86"/>
      <c r="AV666" s="86"/>
      <c r="AW666" s="86"/>
      <c r="AX666" s="86"/>
      <c r="AY666" s="86"/>
    </row>
    <row r="667" customFormat="false" ht="15" hidden="false" customHeight="true" outlineLevel="0" collapsed="false">
      <c r="A667" s="47" t="s">
        <v>378</v>
      </c>
      <c r="B667" s="30"/>
      <c r="C667" s="30"/>
      <c r="D667" s="30"/>
      <c r="E667" s="30"/>
      <c r="F667" s="30"/>
      <c r="G667" s="30"/>
      <c r="H667" s="30"/>
      <c r="I667" s="62" t="n">
        <v>0</v>
      </c>
      <c r="J667" s="62" t="n">
        <v>907.34</v>
      </c>
      <c r="K667" s="62" t="n">
        <v>939.73</v>
      </c>
      <c r="L667" s="62" t="n">
        <v>959.79</v>
      </c>
      <c r="M667" s="62" t="n">
        <v>1407.15</v>
      </c>
      <c r="N667" s="62" t="n">
        <v>2264.79</v>
      </c>
      <c r="O667" s="62" t="n">
        <v>3539.72</v>
      </c>
      <c r="P667" s="62" t="n">
        <v>4199.76</v>
      </c>
      <c r="Q667" s="62" t="n">
        <v>4425.5</v>
      </c>
      <c r="R667" s="62" t="n">
        <v>6612.493</v>
      </c>
      <c r="S667" s="62" t="n">
        <v>7691.259</v>
      </c>
      <c r="T667" s="62" t="n">
        <v>5790.155</v>
      </c>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row>
    <row r="668" customFormat="false" ht="15" hidden="false" customHeight="true" outlineLevel="0" collapsed="false">
      <c r="A668" s="47" t="s">
        <v>379</v>
      </c>
      <c r="B668" s="62" t="n">
        <v>1525.27</v>
      </c>
      <c r="C668" s="62" t="n">
        <v>1924.63</v>
      </c>
      <c r="D668" s="62" t="n">
        <v>2535.43</v>
      </c>
      <c r="E668" s="62" t="n">
        <v>3413.48</v>
      </c>
      <c r="F668" s="62" t="n">
        <v>4241.81</v>
      </c>
      <c r="G668" s="62" t="n">
        <v>3530.97</v>
      </c>
      <c r="H668" s="62" t="n">
        <v>3088.59</v>
      </c>
      <c r="I668" s="62" t="n">
        <v>3012.98</v>
      </c>
      <c r="J668" s="92" t="n">
        <f aca="false">158.26+2784.31</f>
        <v>2942.57</v>
      </c>
      <c r="K668" s="92" t="n">
        <f aca="false">176.43+3160.77</f>
        <v>3337.2</v>
      </c>
      <c r="L668" s="92" t="n">
        <f aca="false">221.31+2952.7</f>
        <v>3174.01</v>
      </c>
      <c r="M668" s="92" t="n">
        <f aca="false">301.36+4298.56</f>
        <v>4599.92</v>
      </c>
      <c r="N668" s="92" t="n">
        <f aca="false">127.83+6226.27</f>
        <v>6354.1</v>
      </c>
      <c r="O668" s="92" t="n">
        <f aca="false">557.8+6362.01</f>
        <v>6919.81</v>
      </c>
      <c r="P668" s="92" t="n">
        <f aca="false">347.79+9789.33</f>
        <v>10137.12</v>
      </c>
      <c r="Q668" s="92" t="n">
        <f aca="false">663.55+12262.03</f>
        <v>12925.58</v>
      </c>
      <c r="R668" s="92" t="n">
        <f aca="false">10802.633+297.787</f>
        <v>11100.42</v>
      </c>
      <c r="S668" s="92" t="n">
        <f aca="false">14737.104+888.416</f>
        <v>15625.52</v>
      </c>
      <c r="T668" s="92" t="n">
        <f aca="false">1778.239+19505.659</f>
        <v>21283.898</v>
      </c>
      <c r="U668" s="62" t="n">
        <v>27724.61</v>
      </c>
      <c r="V668" s="62" t="n">
        <v>24853.685</v>
      </c>
      <c r="W668" s="62" t="n">
        <v>22141.537</v>
      </c>
      <c r="X668" s="62" t="n">
        <v>28283.187</v>
      </c>
      <c r="Y668" s="62" t="n">
        <v>25626.881</v>
      </c>
      <c r="Z668" s="62" t="n">
        <v>30521.823</v>
      </c>
      <c r="AA668" s="62" t="n">
        <v>46586.162</v>
      </c>
      <c r="AB668" s="92" t="n">
        <f aca="false">129.4+50059.9</f>
        <v>50189.3</v>
      </c>
      <c r="AC668" s="92" t="n">
        <f aca="false">126.8+26112.3</f>
        <v>26239.1</v>
      </c>
      <c r="AD668" s="92" t="n">
        <f aca="false">371.8+51275.1</f>
        <v>51646.9</v>
      </c>
      <c r="AE668" s="92" t="n">
        <f aca="false">598.4+68153.9</f>
        <v>68752.3</v>
      </c>
      <c r="AF668" s="92" t="n">
        <f aca="false">737.5+71013.7</f>
        <v>71751.2</v>
      </c>
      <c r="AG668" s="92" t="n">
        <f aca="false">795.4+62256.5</f>
        <v>63051.9</v>
      </c>
      <c r="AH668" s="92" t="n">
        <f aca="false">565.8+72481.1</f>
        <v>73046.9</v>
      </c>
      <c r="AI668" s="92" t="n">
        <f aca="false">2310.8+80981.8</f>
        <v>83292.6</v>
      </c>
      <c r="AJ668" s="32" t="n">
        <f aca="false">AJ719/365*AJ497</f>
        <v>86768.6305070533</v>
      </c>
      <c r="AK668" s="32" t="n">
        <f aca="false">AK719/365*AK497</f>
        <v>93384.3700112904</v>
      </c>
      <c r="AL668" s="32" t="n">
        <f aca="false">AL719/365*AL497</f>
        <v>100468.641683764</v>
      </c>
      <c r="AM668" s="30"/>
      <c r="AN668" s="30"/>
      <c r="AO668" s="30"/>
      <c r="AP668" s="30"/>
      <c r="AQ668" s="30"/>
      <c r="AR668" s="30"/>
      <c r="AS668" s="30"/>
      <c r="AT668" s="30"/>
      <c r="AU668" s="30"/>
      <c r="AV668" s="30"/>
      <c r="AW668" s="30"/>
      <c r="AX668" s="30"/>
      <c r="AY668" s="30"/>
    </row>
    <row r="669" customFormat="false" ht="15" hidden="false" customHeight="true" outlineLevel="0" collapsed="false">
      <c r="A669" s="47" t="s">
        <v>380</v>
      </c>
      <c r="B669" s="92" t="n">
        <f aca="false">9.72+554.43+137.3</f>
        <v>701.45</v>
      </c>
      <c r="C669" s="92" t="n">
        <f aca="false">1.79+521.35+112.53</f>
        <v>635.67</v>
      </c>
      <c r="D669" s="92" t="n">
        <f aca="false">2.9+775.49+108.19</f>
        <v>886.58</v>
      </c>
      <c r="E669" s="92" t="n">
        <f aca="false">2.75+1152.99+123.17</f>
        <v>1278.91</v>
      </c>
      <c r="F669" s="92" t="n">
        <f aca="false">3.67+1042.79+95.03</f>
        <v>1141.49</v>
      </c>
      <c r="G669" s="92" t="n">
        <f aca="false">4.47+605.02+143.28</f>
        <v>752.77</v>
      </c>
      <c r="H669" s="62" t="n">
        <v>561.25</v>
      </c>
      <c r="I669" s="62" t="n">
        <v>624.05</v>
      </c>
      <c r="J669" s="92" t="n">
        <f aca="false">5.34+189.24+626.31</f>
        <v>820.89</v>
      </c>
      <c r="K669" s="92" t="n">
        <f aca="false">6.64+165.86+489.38</f>
        <v>661.88</v>
      </c>
      <c r="L669" s="92" t="n">
        <f aca="false">206.46+588.39</f>
        <v>794.85</v>
      </c>
      <c r="M669" s="92" t="n">
        <f aca="false">723.96+89.98</f>
        <v>813.94</v>
      </c>
      <c r="N669" s="92" t="n">
        <f aca="false">911.46+81.52</f>
        <v>992.98</v>
      </c>
      <c r="O669" s="92" t="n">
        <f aca="false">951.13+58.29</f>
        <v>1009.42</v>
      </c>
      <c r="P669" s="92" t="n">
        <f aca="false">2127.3+52.07</f>
        <v>2179.37</v>
      </c>
      <c r="Q669" s="92" t="n">
        <f aca="false">1834.77+81.24</f>
        <v>1916.01</v>
      </c>
      <c r="R669" s="92" t="n">
        <f aca="false">645.887+329.841</f>
        <v>975.728</v>
      </c>
      <c r="S669" s="92" t="n">
        <f aca="false">2312.203+291.675</f>
        <v>2603.878</v>
      </c>
      <c r="T669" s="92" t="n">
        <f aca="false">2893.399+412.025</f>
        <v>3305.424</v>
      </c>
      <c r="U669" s="92" t="n">
        <f aca="false">442.217+3.401+50.927+5.624+7956.771</f>
        <v>8458.94</v>
      </c>
      <c r="V669" s="92" t="n">
        <f aca="false">706.6+17.35+61.315+8059.287</f>
        <v>8844.552</v>
      </c>
      <c r="W669" s="92" t="n">
        <f aca="false">895.745+19.132+65.959+1416.295+1598.409+4909.519</f>
        <v>8905.059</v>
      </c>
      <c r="X669" s="92" t="n">
        <f aca="false">731.86+10.878+59.028+2869.087+2443.409+5563.37</f>
        <v>11677.632</v>
      </c>
      <c r="Y669" s="32" t="n">
        <f aca="false">6210.339+14924.061-Y616</f>
        <v>15445.005</v>
      </c>
      <c r="Z669" s="32" t="n">
        <f aca="false">6018.01+18440.784-Z616</f>
        <v>16459.866</v>
      </c>
      <c r="AA669" s="32" t="n">
        <f aca="false">16479.441+12125.974+115.901-AA616</f>
        <v>23855.015</v>
      </c>
      <c r="AB669" s="92" t="n">
        <f aca="false">32.2+86.1+4528.2+1356.1+55+7606.2+7902.3+4766.9</f>
        <v>26333</v>
      </c>
      <c r="AC669" s="92" t="n">
        <f aca="false">129.2+38.2+115.7+2082.1+2141.1+110.1+6755.4+6112.3+742.6</f>
        <v>18226.7</v>
      </c>
      <c r="AD669" s="32" t="n">
        <f aca="false">79.4+7844.3+4794.3+1607+534.5-AD616</f>
        <v>13609.5</v>
      </c>
      <c r="AE669" s="92" t="n">
        <f aca="false">6997.3+4162+2817.8+1234.7+117.8</f>
        <v>15329.6</v>
      </c>
      <c r="AF669" s="92" t="n">
        <f aca="false">9394.8+3628.3+5141.3+1234.7+108.7</f>
        <v>19507.8</v>
      </c>
      <c r="AG669" s="92" t="n">
        <f aca="false">24637.7+4760.2+4781.1+5262.4+168.3</f>
        <v>39609.7</v>
      </c>
      <c r="AH669" s="92" t="n">
        <f aca="false">12112.2+4228.5+4927.8+6216.9+46.5</f>
        <v>27531.9</v>
      </c>
      <c r="AI669" s="92" t="n">
        <f aca="false">13657.9+6741.1+2190.2+7405.6</f>
        <v>29994.8</v>
      </c>
      <c r="AJ669" s="32" t="n">
        <f aca="false">+AI669*1.1</f>
        <v>32994.28</v>
      </c>
      <c r="AK669" s="32" t="n">
        <f aca="false">+AJ669*1.1</f>
        <v>36293.708</v>
      </c>
      <c r="AL669" s="32" t="n">
        <f aca="false">+AK669*1.1</f>
        <v>39923.0788</v>
      </c>
      <c r="AM669" s="30"/>
      <c r="AN669" s="30"/>
      <c r="AO669" s="30"/>
      <c r="AP669" s="30"/>
      <c r="AQ669" s="30"/>
      <c r="AR669" s="30"/>
      <c r="AS669" s="30"/>
      <c r="AT669" s="30"/>
      <c r="AU669" s="30"/>
      <c r="AV669" s="30"/>
      <c r="AW669" s="30"/>
      <c r="AX669" s="30"/>
      <c r="AY669" s="30"/>
    </row>
    <row r="670" customFormat="false" ht="15" hidden="false" customHeight="true" outlineLevel="0" collapsed="false">
      <c r="A670" s="70" t="s">
        <v>381</v>
      </c>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c r="AA670" s="86"/>
      <c r="AB670" s="86"/>
      <c r="AC670" s="86"/>
      <c r="AD670" s="86"/>
      <c r="AE670" s="86"/>
      <c r="AF670" s="86"/>
      <c r="AG670" s="86"/>
      <c r="AH670" s="86"/>
      <c r="AI670" s="86"/>
      <c r="AJ670" s="86"/>
      <c r="AK670" s="86"/>
      <c r="AL670" s="86"/>
      <c r="AM670" s="86"/>
      <c r="AN670" s="86"/>
      <c r="AO670" s="86"/>
      <c r="AP670" s="86"/>
      <c r="AQ670" s="86"/>
      <c r="AR670" s="86"/>
      <c r="AS670" s="86"/>
      <c r="AT670" s="86"/>
      <c r="AU670" s="86"/>
      <c r="AV670" s="86"/>
      <c r="AW670" s="86"/>
      <c r="AX670" s="86"/>
      <c r="AY670" s="86"/>
    </row>
    <row r="671" customFormat="false" ht="15" hidden="false" customHeight="true" outlineLevel="0" collapsed="false">
      <c r="A671" s="29" t="s">
        <v>672</v>
      </c>
      <c r="B671" s="37" t="n">
        <v>0</v>
      </c>
      <c r="C671" s="37" t="n">
        <v>0</v>
      </c>
      <c r="D671" s="37" t="n">
        <v>0</v>
      </c>
      <c r="E671" s="37" t="n">
        <v>0</v>
      </c>
      <c r="F671" s="37" t="n">
        <v>0</v>
      </c>
      <c r="G671" s="37" t="n">
        <v>0</v>
      </c>
      <c r="H671" s="37" t="n">
        <v>0</v>
      </c>
      <c r="I671" s="37" t="n">
        <v>0</v>
      </c>
      <c r="J671" s="36"/>
      <c r="K671" s="36"/>
      <c r="L671" s="36"/>
      <c r="M671" s="37" t="n">
        <v>66.46</v>
      </c>
      <c r="N671" s="37" t="n">
        <v>259.98</v>
      </c>
      <c r="O671" s="37" t="n">
        <v>285.69</v>
      </c>
      <c r="P671" s="81" t="n">
        <f aca="false">124.56+1.3</f>
        <v>125.86</v>
      </c>
      <c r="Q671" s="37" t="n">
        <v>1.3</v>
      </c>
      <c r="R671" s="37" t="n">
        <v>13.707</v>
      </c>
      <c r="S671" s="37" t="n">
        <v>0</v>
      </c>
      <c r="T671" s="37" t="n">
        <v>0</v>
      </c>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row>
    <row r="672" customFormat="false" ht="15" hidden="false" customHeight="true" outlineLevel="0" collapsed="false">
      <c r="A672" s="29" t="s">
        <v>673</v>
      </c>
      <c r="B672" s="62" t="n">
        <v>69.48</v>
      </c>
      <c r="C672" s="62" t="n">
        <v>194.34</v>
      </c>
      <c r="D672" s="62" t="n">
        <v>295.11</v>
      </c>
      <c r="E672" s="62" t="n">
        <v>475.72</v>
      </c>
      <c r="F672" s="92" t="n">
        <f aca="false">594.65+59.46</f>
        <v>654.11</v>
      </c>
      <c r="G672" s="92" t="n">
        <f aca="false">118.93+11.89</f>
        <v>130.82</v>
      </c>
      <c r="H672" s="92" t="n">
        <f aca="false">118.93+13.08</f>
        <v>132.01</v>
      </c>
      <c r="I672" s="92" t="n">
        <f aca="false">416.25+45.79</f>
        <v>462.04</v>
      </c>
      <c r="J672" s="92" t="n">
        <f aca="false">475.72+48.52</f>
        <v>524.24</v>
      </c>
      <c r="K672" s="62" t="n">
        <v>535.18</v>
      </c>
      <c r="L672" s="92" t="n">
        <f aca="false">594.64+76.19</f>
        <v>670.83</v>
      </c>
      <c r="M672" s="92" t="n">
        <f aca="false">891.97+114.28</f>
        <v>1006.25</v>
      </c>
      <c r="N672" s="62" t="n">
        <v>1356.1</v>
      </c>
      <c r="O672" s="92" t="n">
        <f aca="false">1597.86+224.1</f>
        <v>1821.96</v>
      </c>
      <c r="P672" s="62" t="n">
        <v>0</v>
      </c>
      <c r="Q672" s="92" t="n">
        <f aca="false">1997.71+339.51</f>
        <v>2337.22</v>
      </c>
      <c r="R672" s="92" t="n">
        <f aca="false">1330.338+226.091</f>
        <v>1556.429</v>
      </c>
      <c r="S672" s="92" t="n">
        <f aca="false">1995.507+331.429</f>
        <v>2326.936</v>
      </c>
      <c r="T672" s="92" t="n">
        <f aca="false">2660.677+431.628</f>
        <v>3092.305</v>
      </c>
      <c r="U672" s="92" t="n">
        <f aca="false">2660.677+431.628</f>
        <v>3092.305</v>
      </c>
      <c r="V672" s="92" t="n">
        <f aca="false">1596.406+271.309</f>
        <v>1867.715</v>
      </c>
      <c r="W672" s="31" t="n">
        <f aca="false">+W542+W541</f>
        <v>0</v>
      </c>
      <c r="X672" s="31" t="n">
        <f aca="false">+X542+X541</f>
        <v>1541.353</v>
      </c>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row>
    <row r="673" customFormat="false" ht="15" hidden="false" customHeight="true" outlineLevel="0" collapsed="false">
      <c r="A673" s="29" t="s">
        <v>655</v>
      </c>
      <c r="B673" s="62" t="n">
        <v>26.8</v>
      </c>
      <c r="C673" s="62" t="n">
        <v>60.15</v>
      </c>
      <c r="D673" s="62" t="n">
        <v>73.93</v>
      </c>
      <c r="E673" s="62" t="n">
        <v>120.57</v>
      </c>
      <c r="F673" s="62" t="n">
        <v>159.57</v>
      </c>
      <c r="G673" s="62" t="n">
        <v>159.8</v>
      </c>
      <c r="H673" s="62" t="n">
        <v>188.55</v>
      </c>
      <c r="I673" s="62" t="n">
        <v>213.89</v>
      </c>
      <c r="J673" s="62" t="n">
        <v>216.11</v>
      </c>
      <c r="K673" s="62" t="n">
        <v>253.02</v>
      </c>
      <c r="L673" s="62" t="n">
        <v>324.29</v>
      </c>
      <c r="M673" s="62" t="n">
        <v>431.65</v>
      </c>
      <c r="N673" s="92" t="n">
        <f aca="false">248.38+180.34</f>
        <v>428.72</v>
      </c>
      <c r="O673" s="92" t="n">
        <f aca="false">273.91+234.65</f>
        <v>508.56</v>
      </c>
      <c r="P673" s="92" t="n">
        <f aca="false">357.29+559.15</f>
        <v>916.44</v>
      </c>
      <c r="Q673" s="92" t="n">
        <f aca="false">502.65+611.14</f>
        <v>1113.79</v>
      </c>
      <c r="R673" s="92" t="n">
        <f aca="false">557.311+553.37</f>
        <v>1110.681</v>
      </c>
      <c r="S673" s="92" t="n">
        <f aca="false">809.456+550.523</f>
        <v>1359.979</v>
      </c>
      <c r="T673" s="92" t="n">
        <f aca="false">1145.951+665.007</f>
        <v>1810.958</v>
      </c>
      <c r="U673" s="92" t="n">
        <f aca="false">119.779+8.652+5.135+977.873</f>
        <v>1111.439</v>
      </c>
      <c r="V673" s="92" t="n">
        <f aca="false">131.847+8.637+4.122+1074.512</f>
        <v>1219.118</v>
      </c>
      <c r="W673" s="62" t="n">
        <v>881.267</v>
      </c>
      <c r="X673" s="92" t="n">
        <f aca="false">110.202+12.714+3.114+893.077</f>
        <v>1019.107</v>
      </c>
      <c r="Y673" s="62" t="n">
        <v>1890.514</v>
      </c>
      <c r="Z673" s="62" t="n">
        <v>4843.808</v>
      </c>
      <c r="AA673" s="62" t="n">
        <v>6162.343</v>
      </c>
      <c r="AB673" s="62" t="n">
        <v>8027.7</v>
      </c>
      <c r="AC673" s="62" t="n">
        <v>6248.5</v>
      </c>
      <c r="AD673" s="62" t="n">
        <v>4649.6</v>
      </c>
      <c r="AE673" s="62" t="n">
        <v>4702.5</v>
      </c>
      <c r="AF673" s="62" t="n">
        <v>5193.2</v>
      </c>
      <c r="AG673" s="62" t="n">
        <v>6506.8</v>
      </c>
      <c r="AH673" s="62" t="n">
        <v>8251.5</v>
      </c>
      <c r="AI673" s="62" t="n">
        <v>13503.4</v>
      </c>
      <c r="AJ673" s="32" t="n">
        <f aca="false">+AI673*1.05</f>
        <v>14178.57</v>
      </c>
      <c r="AK673" s="32" t="n">
        <f aca="false">+AJ673*1.05</f>
        <v>14887.4985</v>
      </c>
      <c r="AL673" s="32" t="n">
        <f aca="false">+AK673*1.05</f>
        <v>15631.873425</v>
      </c>
      <c r="AM673" s="30"/>
      <c r="AN673" s="30"/>
      <c r="AO673" s="30"/>
      <c r="AP673" s="30"/>
      <c r="AQ673" s="30"/>
      <c r="AR673" s="30"/>
      <c r="AS673" s="30"/>
      <c r="AT673" s="30"/>
      <c r="AU673" s="30"/>
      <c r="AV673" s="30"/>
      <c r="AW673" s="30"/>
      <c r="AX673" s="30"/>
      <c r="AY673" s="30"/>
    </row>
    <row r="674" customFormat="false" ht="15" hidden="false" customHeight="true" outlineLevel="0" collapsed="false">
      <c r="A674" s="51" t="s">
        <v>674</v>
      </c>
      <c r="B674" s="52" t="n">
        <f aca="false">+B668+B669+B671+B672+B673+B667</f>
        <v>2323</v>
      </c>
      <c r="C674" s="52" t="n">
        <f aca="false">+C668+C669+C671+C672+C673+C667</f>
        <v>2814.79</v>
      </c>
      <c r="D674" s="52" t="n">
        <f aca="false">+D668+D669+D671+D672+D673+D667</f>
        <v>3791.05</v>
      </c>
      <c r="E674" s="52" t="n">
        <f aca="false">+E668+E669+E671+E672+E673+E667</f>
        <v>5288.68</v>
      </c>
      <c r="F674" s="52" t="n">
        <f aca="false">+F668+F669+F671+F672+F673+F667</f>
        <v>6196.98</v>
      </c>
      <c r="G674" s="52" t="n">
        <f aca="false">+G668+G669+G671+G672+G673+G667</f>
        <v>4574.36</v>
      </c>
      <c r="H674" s="52" t="n">
        <f aca="false">+H668+H669+H671+H672+H673+H667</f>
        <v>3970.4</v>
      </c>
      <c r="I674" s="52" t="n">
        <f aca="false">+I668+I669+I671+I672+I673+I667</f>
        <v>4312.96</v>
      </c>
      <c r="J674" s="52" t="n">
        <f aca="false">+J668+J669+J671+J672+J673+J667</f>
        <v>5411.15</v>
      </c>
      <c r="K674" s="52" t="n">
        <f aca="false">+K668+K669+K671+K672+K673+K667</f>
        <v>5727.01</v>
      </c>
      <c r="L674" s="52" t="n">
        <f aca="false">+L668+L669+L671+L672+L673+L667</f>
        <v>5923.77</v>
      </c>
      <c r="M674" s="52" t="n">
        <f aca="false">+M668+M669+M671+M672+M673+M667</f>
        <v>8325.37</v>
      </c>
      <c r="N674" s="52" t="n">
        <f aca="false">+N668+N669+N671+N672+N673+N667</f>
        <v>11656.67</v>
      </c>
      <c r="O674" s="52" t="n">
        <f aca="false">+O668+O669+O671+O672+O673+O667</f>
        <v>14085.16</v>
      </c>
      <c r="P674" s="52" t="n">
        <f aca="false">+P668+P669+P671+P672+P673+P667</f>
        <v>17558.55</v>
      </c>
      <c r="Q674" s="52" t="n">
        <f aca="false">+Q668+Q669+Q671+Q672+Q673+Q667</f>
        <v>22719.4</v>
      </c>
      <c r="R674" s="52" t="n">
        <f aca="false">+R668+R669+R671+R672+R673+R667</f>
        <v>21369.458</v>
      </c>
      <c r="S674" s="52" t="n">
        <f aca="false">+S668+S669+S671+S672+S673+S667</f>
        <v>29607.572</v>
      </c>
      <c r="T674" s="52" t="n">
        <f aca="false">+T668+T669+T671+T672+T673+T667</f>
        <v>35282.74</v>
      </c>
      <c r="U674" s="52" t="n">
        <f aca="false">+U668+U669+U671+U672+U673+U667</f>
        <v>40387.294</v>
      </c>
      <c r="V674" s="52" t="n">
        <f aca="false">+V668+V669+V671+V672+V673+V667</f>
        <v>36785.07</v>
      </c>
      <c r="W674" s="52" t="n">
        <f aca="false">+W668+W669+W671+W672+W673+W667</f>
        <v>31927.863</v>
      </c>
      <c r="X674" s="52" t="n">
        <f aca="false">+X668+X669+X671+X672+X673+X667</f>
        <v>42521.279</v>
      </c>
      <c r="Y674" s="52" t="n">
        <f aca="false">+Y668+Y669+Y671+Y672+Y673+Y667</f>
        <v>42962.4</v>
      </c>
      <c r="Z674" s="52" t="n">
        <f aca="false">+Z668+Z669+Z671+Z672+Z673+Z667</f>
        <v>51825.497</v>
      </c>
      <c r="AA674" s="52" t="n">
        <f aca="false">+AA668+AA669+AA671+AA672+AA673+AA667</f>
        <v>76603.52</v>
      </c>
      <c r="AB674" s="52" t="n">
        <f aca="false">+AB668+AB669+AB671+AB672+AB673+AB667</f>
        <v>84550</v>
      </c>
      <c r="AC674" s="52" t="n">
        <f aca="false">+AC668+AC669+AC671+AC672+AC673+AC667</f>
        <v>50714.3</v>
      </c>
      <c r="AD674" s="52" t="n">
        <f aca="false">+AD668+AD669+AD671+AD672+AD673+AD667</f>
        <v>69906</v>
      </c>
      <c r="AE674" s="52" t="n">
        <f aca="false">+AE668+AE669+AE671+AE672+AE673+AE667</f>
        <v>88784.4</v>
      </c>
      <c r="AF674" s="52" t="n">
        <f aca="false">+AF668+AF669+AF671+AF672+AF673+AF667</f>
        <v>96452.2</v>
      </c>
      <c r="AG674" s="52" t="n">
        <f aca="false">+AG668+AG669+AG671+AG672+AG673+AG667</f>
        <v>109168.4</v>
      </c>
      <c r="AH674" s="52" t="n">
        <f aca="false">+AH668+AH669+AH671+AH672+AH673+AH667</f>
        <v>108830.3</v>
      </c>
      <c r="AI674" s="52" t="n">
        <f aca="false">+AI668+AI669+AI671+AI672+AI673+AI667</f>
        <v>126790.8</v>
      </c>
      <c r="AJ674" s="52" t="n">
        <f aca="false">+AJ668+AJ669+AJ671+AJ672+AJ673+AJ667</f>
        <v>133941.480507053</v>
      </c>
      <c r="AK674" s="52" t="n">
        <f aca="false">+AK668+AK669+AK671+AK672+AK673+AK667</f>
        <v>144565.57651129</v>
      </c>
      <c r="AL674" s="52" t="n">
        <f aca="false">+AL668+AL669+AL671+AL672+AL673+AL667</f>
        <v>156023.593908764</v>
      </c>
      <c r="AM674" s="53"/>
      <c r="AN674" s="53"/>
      <c r="AO674" s="53"/>
      <c r="AP674" s="53"/>
      <c r="AQ674" s="53"/>
      <c r="AR674" s="53"/>
      <c r="AS674" s="53"/>
      <c r="AT674" s="53"/>
      <c r="AU674" s="53"/>
      <c r="AV674" s="53"/>
      <c r="AW674" s="53"/>
      <c r="AX674" s="53"/>
      <c r="AY674" s="53"/>
    </row>
    <row r="675" customFormat="false" ht="15" hidden="false" customHeight="true" outlineLevel="0" collapsed="false">
      <c r="A675" s="51" t="s">
        <v>383</v>
      </c>
      <c r="B675" s="52" t="n">
        <f aca="false">+B665-B674</f>
        <v>5685.94</v>
      </c>
      <c r="C675" s="52" t="n">
        <f aca="false">+C665-C674</f>
        <v>4463.41</v>
      </c>
      <c r="D675" s="52" t="n">
        <f aca="false">+D665-D674</f>
        <v>9000.38</v>
      </c>
      <c r="E675" s="52" t="n">
        <f aca="false">+E665-E674</f>
        <v>11283.89</v>
      </c>
      <c r="F675" s="52" t="n">
        <f aca="false">+F665-F674</f>
        <v>13672.15</v>
      </c>
      <c r="G675" s="52" t="n">
        <f aca="false">+G665-G674</f>
        <v>13914.49</v>
      </c>
      <c r="H675" s="52" t="n">
        <f aca="false">+H665-H674</f>
        <v>10490.64</v>
      </c>
      <c r="I675" s="52" t="n">
        <f aca="false">+I665-I674</f>
        <v>10329.42</v>
      </c>
      <c r="J675" s="52" t="n">
        <f aca="false">+J665-J674</f>
        <v>10222.85</v>
      </c>
      <c r="K675" s="52" t="n">
        <f aca="false">+K665-K674</f>
        <v>9824.75</v>
      </c>
      <c r="L675" s="52" t="n">
        <f aca="false">+L665-L674</f>
        <v>7480.93</v>
      </c>
      <c r="M675" s="52" t="n">
        <f aca="false">+M665-M674</f>
        <v>6311.3</v>
      </c>
      <c r="N675" s="52" t="n">
        <f aca="false">+N665-N674</f>
        <v>9915.96</v>
      </c>
      <c r="O675" s="52" t="n">
        <f aca="false">+O665-O674</f>
        <v>8238.97</v>
      </c>
      <c r="P675" s="52" t="n">
        <f aca="false">+P665-P674</f>
        <v>9418.59</v>
      </c>
      <c r="Q675" s="52" t="n">
        <f aca="false">+Q665-Q674</f>
        <v>6033.16</v>
      </c>
      <c r="R675" s="52" t="n">
        <f aca="false">+R665-R674</f>
        <v>10286.699</v>
      </c>
      <c r="S675" s="52" t="n">
        <f aca="false">+S665-S674</f>
        <v>11789.271</v>
      </c>
      <c r="T675" s="52" t="n">
        <f aca="false">+T665-T674</f>
        <v>8389.713</v>
      </c>
      <c r="U675" s="52" t="n">
        <f aca="false">+U665-U674</f>
        <v>2651.569</v>
      </c>
      <c r="V675" s="52" t="n">
        <f aca="false">+V665-V674</f>
        <v>6180.254</v>
      </c>
      <c r="W675" s="52" t="n">
        <f aca="false">+W665-W674</f>
        <v>2782.73899999999</v>
      </c>
      <c r="X675" s="52" t="n">
        <f aca="false">+X665-X674</f>
        <v>324.152999999991</v>
      </c>
      <c r="Y675" s="52" t="n">
        <f aca="false">+Y665-Y674</f>
        <v>8847.09599999999</v>
      </c>
      <c r="Z675" s="52" t="n">
        <f aca="false">+Z665-Z674</f>
        <v>-3231.13699999999</v>
      </c>
      <c r="AA675" s="52" t="n">
        <f aca="false">+AA665-AA674</f>
        <v>-28456.75</v>
      </c>
      <c r="AB675" s="52" t="n">
        <f aca="false">+AB665-AB674</f>
        <v>-2686.60000000001</v>
      </c>
      <c r="AC675" s="52" t="n">
        <f aca="false">+AC665-AC674</f>
        <v>3520.60000000001</v>
      </c>
      <c r="AD675" s="52" t="n">
        <f aca="false">+AD665-AD674</f>
        <v>4612.39999999999</v>
      </c>
      <c r="AE675" s="52" t="n">
        <f aca="false">+AE665-AE674</f>
        <v>-6546.5</v>
      </c>
      <c r="AF675" s="52" t="n">
        <f aca="false">+AF665-AF674</f>
        <v>-7123.89999999999</v>
      </c>
      <c r="AG675" s="52" t="n">
        <f aca="false">+AG665-AG674</f>
        <v>4974.39999999999</v>
      </c>
      <c r="AH675" s="52" t="n">
        <f aca="false">+AH665-AH674</f>
        <v>-15694.3</v>
      </c>
      <c r="AI675" s="52" t="n">
        <f aca="false">+AI665-AI674</f>
        <v>-21368</v>
      </c>
      <c r="AJ675" s="52" t="n">
        <f aca="false">+AJ665-AJ674</f>
        <v>-12585.4768886858</v>
      </c>
      <c r="AK675" s="52" t="n">
        <f aca="false">+AK665-AK674</f>
        <v>4717.33823902282</v>
      </c>
      <c r="AL675" s="52" t="n">
        <f aca="false">+AL665-AL674</f>
        <v>23623.2083154788</v>
      </c>
      <c r="AM675" s="53"/>
      <c r="AN675" s="53"/>
      <c r="AO675" s="53"/>
      <c r="AP675" s="53"/>
      <c r="AQ675" s="53"/>
      <c r="AR675" s="53"/>
      <c r="AS675" s="53"/>
      <c r="AT675" s="53"/>
      <c r="AU675" s="53"/>
      <c r="AV675" s="53"/>
      <c r="AW675" s="53"/>
      <c r="AX675" s="53"/>
      <c r="AY675" s="53"/>
    </row>
    <row r="676" customFormat="false" ht="15" hidden="false" customHeight="true" outlineLevel="0" collapsed="false">
      <c r="A676" s="47" t="s">
        <v>384</v>
      </c>
      <c r="B676" s="78" t="n">
        <v>18.36</v>
      </c>
      <c r="C676" s="78" t="n">
        <v>15.15</v>
      </c>
      <c r="D676" s="78" t="n">
        <v>65.36</v>
      </c>
      <c r="E676" s="78" t="n">
        <v>49.8</v>
      </c>
      <c r="F676" s="78" t="n">
        <v>87.18</v>
      </c>
      <c r="G676" s="78" t="n">
        <v>76.31</v>
      </c>
      <c r="H676" s="78" t="n">
        <v>53.86</v>
      </c>
      <c r="I676" s="78" t="n">
        <v>66.78</v>
      </c>
      <c r="J676" s="78" t="n">
        <v>102.24</v>
      </c>
      <c r="K676" s="78" t="n">
        <v>49.05</v>
      </c>
      <c r="L676" s="78" t="n">
        <v>0</v>
      </c>
      <c r="M676" s="78" t="n">
        <v>323.24</v>
      </c>
      <c r="N676" s="78" t="n">
        <v>193.32</v>
      </c>
      <c r="O676" s="78" t="n">
        <v>73.07</v>
      </c>
      <c r="P676" s="78" t="n">
        <v>244.18</v>
      </c>
      <c r="Q676" s="78" t="n">
        <v>222.92</v>
      </c>
      <c r="R676" s="78" t="n">
        <v>96.882</v>
      </c>
      <c r="S676" s="78" t="n">
        <v>51.743</v>
      </c>
      <c r="T676" s="78" t="n">
        <v>43.145</v>
      </c>
      <c r="U676" s="78" t="n">
        <v>74.274</v>
      </c>
      <c r="V676" s="90" t="n">
        <f aca="false">120.321+9.635</f>
        <v>129.956</v>
      </c>
      <c r="W676" s="90" t="n">
        <f aca="false">330.899+59.289</f>
        <v>390.188</v>
      </c>
      <c r="X676" s="90" t="n">
        <f aca="false">194.996+142.485</f>
        <v>337.481</v>
      </c>
      <c r="Y676" s="36"/>
      <c r="Z676" s="74" t="n">
        <f aca="false">Y676</f>
        <v>0</v>
      </c>
      <c r="AA676" s="74" t="n">
        <f aca="false">Z676</f>
        <v>0</v>
      </c>
      <c r="AB676" s="74" t="n">
        <f aca="false">AA676</f>
        <v>0</v>
      </c>
      <c r="AC676" s="74" t="n">
        <f aca="false">AB676</f>
        <v>0</v>
      </c>
      <c r="AD676" s="74" t="n">
        <f aca="false">AC676</f>
        <v>0</v>
      </c>
      <c r="AE676" s="74" t="n">
        <f aca="false">AD676</f>
        <v>0</v>
      </c>
      <c r="AF676" s="74" t="n">
        <f aca="false">AE676</f>
        <v>0</v>
      </c>
      <c r="AG676" s="74" t="n">
        <f aca="false">AF676</f>
        <v>0</v>
      </c>
      <c r="AH676" s="74" t="n">
        <f aca="false">AG676</f>
        <v>0</v>
      </c>
      <c r="AI676" s="74" t="n">
        <f aca="false">AH676</f>
        <v>0</v>
      </c>
      <c r="AJ676" s="74" t="n">
        <f aca="false">AI676</f>
        <v>0</v>
      </c>
      <c r="AK676" s="74" t="n">
        <f aca="false">AJ676</f>
        <v>0</v>
      </c>
      <c r="AL676" s="74" t="n">
        <f aca="false">AK676</f>
        <v>0</v>
      </c>
      <c r="AM676" s="36"/>
      <c r="AN676" s="36"/>
      <c r="AO676" s="36"/>
      <c r="AP676" s="36"/>
      <c r="AQ676" s="36"/>
      <c r="AR676" s="36"/>
      <c r="AS676" s="36"/>
      <c r="AT676" s="36"/>
      <c r="AU676" s="36"/>
      <c r="AV676" s="36"/>
      <c r="AW676" s="36"/>
      <c r="AX676" s="36"/>
      <c r="AY676" s="36"/>
    </row>
    <row r="677" customFormat="false" ht="15" hidden="false" customHeight="true" outlineLevel="0" collapsed="false">
      <c r="A677" s="51" t="s">
        <v>427</v>
      </c>
      <c r="B677" s="52" t="n">
        <f aca="false">+B676+B675+B636+B634</f>
        <v>9249.42</v>
      </c>
      <c r="C677" s="52" t="n">
        <f aca="false">+C676+C675+C636+C634</f>
        <v>10022.88</v>
      </c>
      <c r="D677" s="52" t="n">
        <f aca="false">+D676+D675+D636+D634</f>
        <v>15650.76</v>
      </c>
      <c r="E677" s="52" t="n">
        <f aca="false">+E676+E675+E636+E634</f>
        <v>19257.07</v>
      </c>
      <c r="F677" s="52" t="n">
        <f aca="false">+F676+F675+F636+F634</f>
        <v>22741.26</v>
      </c>
      <c r="G677" s="52" t="n">
        <f aca="false">+G676+G675+G636+G634</f>
        <v>23501.69</v>
      </c>
      <c r="H677" s="52" t="n">
        <f aca="false">+H676+H675+H636+H634</f>
        <v>20716.72</v>
      </c>
      <c r="I677" s="52" t="n">
        <f aca="false">+I676+I675+I636+I634</f>
        <v>21058.38</v>
      </c>
      <c r="J677" s="52" t="n">
        <f aca="false">+J676+J675+J636+J634</f>
        <v>21117.68</v>
      </c>
      <c r="K677" s="52" t="n">
        <f aca="false">+K676+K675+K636+K634</f>
        <v>21145.52</v>
      </c>
      <c r="L677" s="52" t="n">
        <f aca="false">+L676+L675+L636+L634</f>
        <v>18455.07</v>
      </c>
      <c r="M677" s="52" t="n">
        <f aca="false">+M676+M675+M636+M634</f>
        <v>17311.56</v>
      </c>
      <c r="N677" s="52" t="n">
        <f aca="false">+N676+N675+N636+N634</f>
        <v>22191.19</v>
      </c>
      <c r="O677" s="52" t="n">
        <f aca="false">+O676+O675+O636+O634</f>
        <v>22840.7</v>
      </c>
      <c r="P677" s="52" t="n">
        <f aca="false">+P676+P675+P636+P634</f>
        <v>27318.95</v>
      </c>
      <c r="Q677" s="52" t="n">
        <f aca="false">+Q676+Q675+Q636+Q634</f>
        <v>32903.03</v>
      </c>
      <c r="R677" s="52" t="n">
        <f aca="false">+R676+R675+R636+R634+R643</f>
        <v>56993.209</v>
      </c>
      <c r="S677" s="52" t="n">
        <f aca="false">+S676+S675+S636+S634+S643</f>
        <v>63212.852</v>
      </c>
      <c r="T677" s="52" t="n">
        <f aca="false">+T676+T675+T636+T634+T643</f>
        <v>70650.405</v>
      </c>
      <c r="U677" s="52" t="n">
        <f aca="false">+U676+U675+U636+U634+U643</f>
        <v>78770.177</v>
      </c>
      <c r="V677" s="52" t="n">
        <f aca="false">+V676+V675+V636+V634+V643</f>
        <v>94191.586</v>
      </c>
      <c r="W677" s="52" t="n">
        <f aca="false">+W676+W675+W636+W634+W643</f>
        <v>96211.383</v>
      </c>
      <c r="X677" s="52" t="n">
        <f aca="false">+X676+X675+X636+X634+X643</f>
        <v>90736.108</v>
      </c>
      <c r="Y677" s="52" t="n">
        <f aca="false">+Y676+Y675+Y636+Y634+Y643+Y644</f>
        <v>84775.138</v>
      </c>
      <c r="Z677" s="52" t="n">
        <f aca="false">+Z676+Z675+Z636+Z634+Z643+Z644</f>
        <v>86168.564</v>
      </c>
      <c r="AA677" s="52" t="n">
        <f aca="false">+AA676+AA675+AA636+AA634+AA643+AA644</f>
        <v>89257.302</v>
      </c>
      <c r="AB677" s="52" t="n">
        <f aca="false">+AB676+AB675+AB636+AB634+AB643+AB644</f>
        <v>97694</v>
      </c>
      <c r="AC677" s="52" t="n">
        <f aca="false">+AC676+AC675+AC636+AC634+AC643+AC644</f>
        <v>113181.8</v>
      </c>
      <c r="AD677" s="52" t="n">
        <f aca="false">+AD676+AD675+AD636+AD634+AD643+AD644</f>
        <v>114593.1</v>
      </c>
      <c r="AE677" s="52" t="n">
        <f aca="false">+AE676+AE675+AE636+AE634+AE643+AE644</f>
        <v>114553.4</v>
      </c>
      <c r="AF677" s="52" t="n">
        <f aca="false">+AF676+AF675+AF636+AF634+AF643+AF644</f>
        <v>129464.1</v>
      </c>
      <c r="AG677" s="52" t="n">
        <f aca="false">+AG676+AG675+AG636+AG634+AG643+AG644</f>
        <v>126949.1</v>
      </c>
      <c r="AH677" s="52" t="n">
        <f aca="false">+AH676+AH675+AH636+AH634+AH643+AH644</f>
        <v>146428</v>
      </c>
      <c r="AI677" s="52" t="n">
        <f aca="false">+AI676+AI675+AI636+AI634+AI643+AI644</f>
        <v>159145.8</v>
      </c>
      <c r="AJ677" s="52" t="n">
        <f aca="false">+AJ676+AJ675+AJ636+AJ634+AJ643+AJ644</f>
        <v>182741.152711314</v>
      </c>
      <c r="AK677" s="52" t="n">
        <f aca="false">+AK676+AK675+AK636+AK634+AK643+AK644</f>
        <v>206349.512189023</v>
      </c>
      <c r="AL677" s="52" t="n">
        <f aca="false">+AL676+AL675+AL636+AL634+AL643+AL644</f>
        <v>231369.023802979</v>
      </c>
      <c r="AM677" s="53"/>
      <c r="AN677" s="53"/>
      <c r="AO677" s="53"/>
      <c r="AP677" s="53"/>
      <c r="AQ677" s="53"/>
      <c r="AR677" s="53"/>
      <c r="AS677" s="53"/>
      <c r="AT677" s="53"/>
      <c r="AU677" s="53"/>
      <c r="AV677" s="53"/>
      <c r="AW677" s="53"/>
      <c r="AX677" s="53"/>
      <c r="AY677" s="53"/>
    </row>
    <row r="678" customFormat="false" ht="15" hidden="false" customHeight="true" outlineLevel="0" collapsed="false">
      <c r="A678" s="47"/>
      <c r="B678" s="59" t="n">
        <f aca="false">+B677-B623</f>
        <v>0.06999999999789</v>
      </c>
      <c r="C678" s="59" t="n">
        <f aca="false">+C677-C623</f>
        <v>-0.139999999999418</v>
      </c>
      <c r="D678" s="59" t="n">
        <f aca="false">+D677-D623</f>
        <v>0.0100000000020373</v>
      </c>
      <c r="E678" s="59" t="n">
        <f aca="false">+E677-E623</f>
        <v>-0.0100000000020373</v>
      </c>
      <c r="F678" s="59" t="n">
        <f aca="false">+F677-F623</f>
        <v>-0.0100000000020373</v>
      </c>
      <c r="G678" s="59" t="n">
        <f aca="false">+G677-G623</f>
        <v>0</v>
      </c>
      <c r="H678" s="59" t="n">
        <f aca="false">+H677-H623</f>
        <v>-0.00999999999839929</v>
      </c>
      <c r="I678" s="59" t="n">
        <f aca="false">+I677-I623</f>
        <v>0</v>
      </c>
      <c r="J678" s="59" t="n">
        <f aca="false">+J677-J623</f>
        <v>0</v>
      </c>
      <c r="K678" s="59" t="n">
        <f aca="false">+K677-K623</f>
        <v>0</v>
      </c>
      <c r="L678" s="59" t="n">
        <f aca="false">+L677-L623</f>
        <v>0</v>
      </c>
      <c r="M678" s="59" t="n">
        <f aca="false">+M677-M623</f>
        <v>0</v>
      </c>
      <c r="N678" s="59" t="n">
        <f aca="false">+N677-N623</f>
        <v>0</v>
      </c>
      <c r="O678" s="59" t="n">
        <f aca="false">+O677-O623</f>
        <v>0</v>
      </c>
      <c r="P678" s="59" t="n">
        <f aca="false">+P677-P623</f>
        <v>0</v>
      </c>
      <c r="Q678" s="59" t="n">
        <f aca="false">+Q677-Q623</f>
        <v>0</v>
      </c>
      <c r="R678" s="59" t="n">
        <f aca="false">+R677-R623</f>
        <v>0</v>
      </c>
      <c r="S678" s="59" t="n">
        <f aca="false">+S677-S623</f>
        <v>0</v>
      </c>
      <c r="T678" s="59" t="n">
        <f aca="false">+T677-T623</f>
        <v>0</v>
      </c>
      <c r="U678" s="59" t="n">
        <f aca="false">+U677-U623</f>
        <v>0</v>
      </c>
      <c r="V678" s="59" t="n">
        <f aca="false">+V677-V623</f>
        <v>0</v>
      </c>
      <c r="W678" s="59" t="n">
        <f aca="false">+W677-W623</f>
        <v>0</v>
      </c>
      <c r="X678" s="59" t="n">
        <f aca="false">+X677-X623</f>
        <v>0</v>
      </c>
      <c r="Y678" s="59" t="n">
        <f aca="false">+Y677-Y623</f>
        <v>0</v>
      </c>
      <c r="Z678" s="59" t="n">
        <f aca="false">+Z677-Z623</f>
        <v>0</v>
      </c>
      <c r="AA678" s="59" t="n">
        <f aca="false">+AA677-AA623</f>
        <v>0</v>
      </c>
      <c r="AB678" s="59" t="n">
        <f aca="false">+AB677-AB623</f>
        <v>0</v>
      </c>
      <c r="AC678" s="59" t="n">
        <f aca="false">+AC677-AC623</f>
        <v>0</v>
      </c>
      <c r="AD678" s="59" t="n">
        <f aca="false">+AD677-AD623</f>
        <v>0</v>
      </c>
      <c r="AE678" s="59" t="n">
        <f aca="false">+AE677-AE623</f>
        <v>0</v>
      </c>
      <c r="AF678" s="59" t="n">
        <f aca="false">+AF677-AF623</f>
        <v>0</v>
      </c>
      <c r="AG678" s="59" t="n">
        <f aca="false">+AG677-AG623</f>
        <v>0</v>
      </c>
      <c r="AH678" s="59" t="n">
        <f aca="false">+AH677-AH623</f>
        <v>0</v>
      </c>
      <c r="AI678" s="59" t="n">
        <f aca="false">+AI677-AI623</f>
        <v>0</v>
      </c>
      <c r="AJ678" s="59" t="n">
        <f aca="false">+AJ677-AJ623</f>
        <v>0</v>
      </c>
      <c r="AK678" s="59" t="n">
        <f aca="false">+AK677-AK623</f>
        <v>0</v>
      </c>
      <c r="AL678" s="59" t="n">
        <f aca="false">+AL677-AL623</f>
        <v>0</v>
      </c>
      <c r="AM678" s="43"/>
      <c r="AN678" s="43"/>
      <c r="AO678" s="43"/>
      <c r="AP678" s="43"/>
      <c r="AQ678" s="43"/>
      <c r="AR678" s="43"/>
      <c r="AS678" s="43"/>
      <c r="AT678" s="43"/>
      <c r="AU678" s="43"/>
      <c r="AV678" s="43"/>
      <c r="AW678" s="43"/>
      <c r="AX678" s="43"/>
      <c r="AY678" s="43"/>
    </row>
    <row r="679" customFormat="false" ht="15" hidden="false" customHeight="true" outlineLevel="0" collapsed="false">
      <c r="A679" s="47" t="s">
        <v>675</v>
      </c>
      <c r="B679" s="35" t="n">
        <f aca="false">+B647+B657+B659-B668-B667</f>
        <v>5685.81</v>
      </c>
      <c r="C679" s="35" t="n">
        <f aca="false">+C647+C657+C659-C668-C667</f>
        <v>5318.8</v>
      </c>
      <c r="D679" s="35" t="n">
        <f aca="false">+D647+D657+D659-D668-D667</f>
        <v>9404.8</v>
      </c>
      <c r="E679" s="35" t="n">
        <f aca="false">+E647+E657+E659-E668-E667</f>
        <v>13133.57</v>
      </c>
      <c r="F679" s="35" t="n">
        <f aca="false">+F647+F657+F659-F668-F667</f>
        <v>15561.9</v>
      </c>
      <c r="G679" s="35" t="n">
        <f aca="false">+G647+G657+G659-G668-G667</f>
        <v>14932.77</v>
      </c>
      <c r="H679" s="35" t="n">
        <f aca="false">+H647+H657+H659-H668-H667</f>
        <v>10750.9</v>
      </c>
      <c r="I679" s="35" t="n">
        <f aca="false">+I647+I657+I659-I668-I667</f>
        <v>11256.56</v>
      </c>
      <c r="J679" s="35" t="n">
        <f aca="false">+J647+J657+J659-J668-J667</f>
        <v>10134.89</v>
      </c>
      <c r="K679" s="35" t="n">
        <f aca="false">+K647+K657+K659-K668-K667</f>
        <v>8525.89</v>
      </c>
      <c r="L679" s="35" t="n">
        <f aca="false">+L647+L657+L659-L668-L667</f>
        <v>7051.67</v>
      </c>
      <c r="M679" s="35" t="n">
        <f aca="false">+M647+M657+M659-M668-M667</f>
        <v>5379.86</v>
      </c>
      <c r="N679" s="35" t="n">
        <f aca="false">+N647+N657+N659-N668-N667</f>
        <v>4986.92</v>
      </c>
      <c r="O679" s="35" t="n">
        <f aca="false">+O647+O657+O659-O668-O667</f>
        <v>5835.84</v>
      </c>
      <c r="P679" s="35" t="n">
        <f aca="false">+P647+P657+P659-P668-P667</f>
        <v>8290.87</v>
      </c>
      <c r="Q679" s="35" t="n">
        <f aca="false">+Q647+Q657+Q659-Q668-Q667</f>
        <v>6887.78</v>
      </c>
      <c r="R679" s="35" t="n">
        <f aca="false">+R647+R657+R659-R668-R667</f>
        <v>13062.408</v>
      </c>
      <c r="S679" s="35" t="n">
        <f aca="false">+S647+S657+S659-S668-S667</f>
        <v>12890.859</v>
      </c>
      <c r="T679" s="35" t="n">
        <f aca="false">+T647+T657+T659-T668-T667</f>
        <v>14803.128</v>
      </c>
      <c r="U679" s="35" t="n">
        <f aca="false">+U647+U657+U659-U668-U667</f>
        <v>14155.027</v>
      </c>
      <c r="V679" s="35" t="n">
        <f aca="false">+V647+V657+V659-V668-V667</f>
        <v>17210.44</v>
      </c>
      <c r="W679" s="35" t="n">
        <f aca="false">+W647+W657+W659-W668-W667</f>
        <v>10742.709</v>
      </c>
      <c r="X679" s="35" t="n">
        <f aca="false">+X647+X657+X659-X668-X667</f>
        <v>3967.227</v>
      </c>
      <c r="Y679" s="35" t="n">
        <f aca="false">+Y647+Y657+Y659-Y668-Y667</f>
        <v>3838.754</v>
      </c>
      <c r="Z679" s="35" t="n">
        <f aca="false">+Z647+Z657+Z659-Z668-Z667</f>
        <v>3123.00600000001</v>
      </c>
      <c r="AA679" s="35" t="n">
        <f aca="false">+AA647+AA657+AA659-AA668-AA667</f>
        <v>-19441.339</v>
      </c>
      <c r="AB679" s="35" t="n">
        <f aca="false">+AB647+AB657+AB659-AB668-AB667</f>
        <v>1937.3</v>
      </c>
      <c r="AC679" s="35" t="n">
        <f aca="false">+AC647+AC657+AC659-AC668-AC667</f>
        <v>-1830.9</v>
      </c>
      <c r="AD679" s="35" t="n">
        <f aca="false">+AD647+AD657+AD659-AD668-AD667</f>
        <v>-1854.7</v>
      </c>
      <c r="AE679" s="35" t="n">
        <f aca="false">+AE647+AE657+AE659-AE668-AE667</f>
        <v>-16889.8</v>
      </c>
      <c r="AF679" s="35" t="n">
        <f aca="false">+AF647+AF657+AF659-AF668-AF667</f>
        <v>-3379.29999999999</v>
      </c>
      <c r="AG679" s="35" t="n">
        <f aca="false">+AG647+AG657+AG659-AG668-AG667</f>
        <v>5503.99999999999</v>
      </c>
      <c r="AH679" s="35" t="n">
        <f aca="false">+AH647+AH657+AH659-AH668-AH667</f>
        <v>-14600.5</v>
      </c>
      <c r="AI679" s="35" t="n">
        <f aca="false">+AI647+AI657+AI659-AI668-AI667</f>
        <v>-18928.3</v>
      </c>
      <c r="AJ679" s="35" t="n">
        <f aca="false">+AJ647+AJ657+AJ659-AJ668-AJ667</f>
        <v>-15118.2604570368</v>
      </c>
      <c r="AK679" s="35" t="n">
        <f aca="false">+AK647+AK657+AK659-AK668-AK667</f>
        <v>-15545.4802547817</v>
      </c>
      <c r="AL679" s="35" t="n">
        <f aca="false">+AL647+AL657+AL659-AL668-AL667</f>
        <v>-16774.0565187405</v>
      </c>
      <c r="AM679" s="30"/>
      <c r="AN679" s="30"/>
      <c r="AO679" s="30"/>
      <c r="AP679" s="30"/>
      <c r="AQ679" s="30"/>
      <c r="AR679" s="30"/>
      <c r="AS679" s="30"/>
      <c r="AT679" s="30"/>
      <c r="AU679" s="30"/>
      <c r="AV679" s="30"/>
      <c r="AW679" s="30"/>
      <c r="AX679" s="30"/>
      <c r="AY679" s="30"/>
    </row>
    <row r="680" customFormat="false" ht="15" hidden="false" customHeight="true" outlineLevel="0" collapsed="false">
      <c r="A680" s="47" t="s">
        <v>676</v>
      </c>
      <c r="B680" s="30"/>
      <c r="C680" s="35" t="n">
        <f aca="false">+C679-B679</f>
        <v>-367.009999999999</v>
      </c>
      <c r="D680" s="35" t="n">
        <f aca="false">+D679-C679</f>
        <v>4086</v>
      </c>
      <c r="E680" s="35" t="n">
        <f aca="false">+E679-D679</f>
        <v>3728.77</v>
      </c>
      <c r="F680" s="35" t="n">
        <f aca="false">+F679-E679</f>
        <v>2428.32999999999</v>
      </c>
      <c r="G680" s="35" t="n">
        <f aca="false">+G679-F679</f>
        <v>-629.129999999999</v>
      </c>
      <c r="H680" s="35" t="n">
        <f aca="false">+H679-G679</f>
        <v>-4181.87</v>
      </c>
      <c r="I680" s="35" t="n">
        <f aca="false">+I679-H679</f>
        <v>505.660000000002</v>
      </c>
      <c r="J680" s="35" t="n">
        <f aca="false">+J679-I679</f>
        <v>-1121.67</v>
      </c>
      <c r="K680" s="35" t="n">
        <f aca="false">+K679-J679</f>
        <v>-1609</v>
      </c>
      <c r="L680" s="35" t="n">
        <f aca="false">+L679-K679</f>
        <v>-1474.22</v>
      </c>
      <c r="M680" s="35" t="n">
        <f aca="false">+M679-L679</f>
        <v>-1671.81</v>
      </c>
      <c r="N680" s="35" t="n">
        <f aca="false">+N679-M679</f>
        <v>-392.940000000001</v>
      </c>
      <c r="O680" s="35" t="n">
        <f aca="false">+O679-N679</f>
        <v>848.919999999999</v>
      </c>
      <c r="P680" s="35" t="n">
        <f aca="false">+P679-O679</f>
        <v>2455.03</v>
      </c>
      <c r="Q680" s="35" t="n">
        <f aca="false">+Q679-P679</f>
        <v>-1403.09</v>
      </c>
      <c r="R680" s="35" t="n">
        <f aca="false">+R679-Q679</f>
        <v>6174.628</v>
      </c>
      <c r="S680" s="35" t="n">
        <f aca="false">+S679-R679</f>
        <v>-171.548999999995</v>
      </c>
      <c r="T680" s="35" t="n">
        <f aca="false">+T679-S679</f>
        <v>1912.269</v>
      </c>
      <c r="U680" s="35" t="n">
        <f aca="false">+U679-T679</f>
        <v>-648.101000000002</v>
      </c>
      <c r="V680" s="35" t="n">
        <f aca="false">+V679-U679</f>
        <v>3055.413</v>
      </c>
      <c r="W680" s="35" t="n">
        <f aca="false">+W679-V679</f>
        <v>-6467.731</v>
      </c>
      <c r="X680" s="35" t="n">
        <f aca="false">+X679-W679</f>
        <v>-6775.482</v>
      </c>
      <c r="Y680" s="35" t="n">
        <f aca="false">+Y679-X679</f>
        <v>-128.473000000002</v>
      </c>
      <c r="Z680" s="35" t="n">
        <f aca="false">+Z679-Y679</f>
        <v>-715.747999999992</v>
      </c>
      <c r="AA680" s="35" t="n">
        <f aca="false">+AA679-Z679</f>
        <v>-22564.345</v>
      </c>
      <c r="AB680" s="35" t="n">
        <f aca="false">+AB679-AA679</f>
        <v>21378.639</v>
      </c>
      <c r="AC680" s="35" t="n">
        <f aca="false">+AC679-AB679</f>
        <v>-3768.19999999999</v>
      </c>
      <c r="AD680" s="35" t="n">
        <f aca="false">+AD679-AC679</f>
        <v>-23.8000000000066</v>
      </c>
      <c r="AE680" s="35" t="n">
        <f aca="false">+AE679-AD679</f>
        <v>-15035.1</v>
      </c>
      <c r="AF680" s="35" t="n">
        <f aca="false">+AF679-AE679</f>
        <v>13510.5</v>
      </c>
      <c r="AG680" s="35" t="n">
        <f aca="false">+AG679-AF679</f>
        <v>8883.29999999998</v>
      </c>
      <c r="AH680" s="35" t="n">
        <f aca="false">+AH679-AG679</f>
        <v>-20104.5</v>
      </c>
      <c r="AI680" s="35" t="n">
        <f aca="false">+AI679-AH679</f>
        <v>-4327.80000000001</v>
      </c>
      <c r="AJ680" s="35" t="n">
        <f aca="false">+AJ679-AI679</f>
        <v>3810.03954296324</v>
      </c>
      <c r="AK680" s="35" t="n">
        <f aca="false">+AK679-AJ679</f>
        <v>-427.219797744896</v>
      </c>
      <c r="AL680" s="35" t="n">
        <f aca="false">+AL679-AK679</f>
        <v>-1228.57626395888</v>
      </c>
      <c r="AM680" s="30"/>
      <c r="AN680" s="30"/>
      <c r="AO680" s="30"/>
      <c r="AP680" s="30"/>
      <c r="AQ680" s="30"/>
      <c r="AR680" s="30"/>
      <c r="AS680" s="30"/>
      <c r="AT680" s="30"/>
      <c r="AU680" s="30"/>
      <c r="AV680" s="30"/>
      <c r="AW680" s="30"/>
      <c r="AX680" s="30"/>
      <c r="AY680" s="30"/>
    </row>
    <row r="681" customFormat="false" ht="15" hidden="false" customHeight="true" outlineLevel="0" collapsed="false">
      <c r="A681" s="51" t="s">
        <v>255</v>
      </c>
      <c r="B681" s="55" t="n">
        <f aca="false">B610-B658</f>
        <v>4339.5</v>
      </c>
      <c r="C681" s="55" t="n">
        <f aca="false">C610-C658</f>
        <v>5290.74</v>
      </c>
      <c r="D681" s="55" t="n">
        <f aca="false">D610-D658</f>
        <v>5059.87</v>
      </c>
      <c r="E681" s="55" t="n">
        <f aca="false">E610-E658</f>
        <v>8840.14</v>
      </c>
      <c r="F681" s="55" t="n">
        <f aca="false">F610-F658</f>
        <v>11695.03</v>
      </c>
      <c r="G681" s="55" t="n">
        <f aca="false">G610-G658</f>
        <v>12448.33</v>
      </c>
      <c r="H681" s="55" t="n">
        <f aca="false">H610-H658</f>
        <v>9000.11</v>
      </c>
      <c r="I681" s="55" t="n">
        <f aca="false">I610-I658</f>
        <v>9284.07</v>
      </c>
      <c r="J681" s="55" t="n">
        <f aca="false">J610-J658</f>
        <v>7680.88</v>
      </c>
      <c r="K681" s="55" t="n">
        <f aca="false">K610-K658</f>
        <v>6135.55</v>
      </c>
      <c r="L681" s="55" t="n">
        <f aca="false">L610-L658</f>
        <v>4955.99</v>
      </c>
      <c r="M681" s="55" t="n">
        <f aca="false">M610-M658</f>
        <v>1740.99</v>
      </c>
      <c r="N681" s="55" t="n">
        <f aca="false">N610-N658</f>
        <v>837.24</v>
      </c>
      <c r="O681" s="55" t="n">
        <f aca="false">O610-O658</f>
        <v>890.52</v>
      </c>
      <c r="P681" s="55" t="n">
        <f aca="false">P610-P658</f>
        <v>2054.59</v>
      </c>
      <c r="Q681" s="55" t="n">
        <f aca="false">Q610-Q658</f>
        <v>4361.31</v>
      </c>
      <c r="R681" s="55" t="n">
        <f aca="false">R610-R658</f>
        <v>18700.603</v>
      </c>
      <c r="S681" s="55" t="n">
        <f aca="false">S610-S658</f>
        <v>16849.713</v>
      </c>
      <c r="T681" s="55" t="n">
        <f aca="false">T610-T658</f>
        <v>23887.376</v>
      </c>
      <c r="U681" s="55" t="n">
        <f aca="false">U610-U658</f>
        <v>30653.375</v>
      </c>
      <c r="V681" s="55" t="n">
        <f aca="false">V610-V658</f>
        <v>43414.901</v>
      </c>
      <c r="W681" s="55" t="n">
        <f aca="false">W610-W658</f>
        <v>46786.302</v>
      </c>
      <c r="X681" s="55" t="n">
        <f aca="false">X610-X658</f>
        <v>25984.397</v>
      </c>
      <c r="Y681" s="55" t="n">
        <f aca="false">Y610-Y658-Y638</f>
        <v>8218.525</v>
      </c>
      <c r="Z681" s="55" t="n">
        <f aca="false">Z610-Z658-Z638</f>
        <v>3557.054</v>
      </c>
      <c r="AA681" s="55" t="n">
        <f aca="false">AA610-AA658-AA638</f>
        <v>-30572.456</v>
      </c>
      <c r="AB681" s="55" t="n">
        <f aca="false">AB610-AB658-AB638</f>
        <v>-7412.3</v>
      </c>
      <c r="AC681" s="55" t="n">
        <f aca="false">AC610-AC658-AC638</f>
        <v>19588.9</v>
      </c>
      <c r="AD681" s="55" t="n">
        <f aca="false">AD610-AD658-AD638</f>
        <v>30183</v>
      </c>
      <c r="AE681" s="55" t="n">
        <f aca="false">AE610-AE658-AE638</f>
        <v>12088.7</v>
      </c>
      <c r="AF681" s="55" t="n">
        <f aca="false">AF610-AF658-AF638</f>
        <v>-478.800000000003</v>
      </c>
      <c r="AG681" s="55" t="n">
        <f aca="false">AG610-AG658-AG638</f>
        <v>-13878.4</v>
      </c>
      <c r="AH681" s="55" t="n">
        <f aca="false">AH610-AH658-AH638</f>
        <v>-42429.3</v>
      </c>
      <c r="AI681" s="55" t="n">
        <f aca="false">AI610-AI658-AI638</f>
        <v>-59017.2</v>
      </c>
      <c r="AJ681" s="55" t="n">
        <f aca="false">AJ610-AJ658-AJ638</f>
        <v>-69724.188568351</v>
      </c>
      <c r="AK681" s="55" t="n">
        <f aca="false">AK610-AK658-AK638</f>
        <v>-93625.4277438045</v>
      </c>
      <c r="AL681" s="55" t="n">
        <f aca="false">AL610-AL658-AL638</f>
        <v>-120404.609946719</v>
      </c>
      <c r="AM681" s="53"/>
      <c r="AN681" s="53"/>
      <c r="AO681" s="53"/>
      <c r="AP681" s="53"/>
      <c r="AQ681" s="53"/>
      <c r="AR681" s="53"/>
      <c r="AS681" s="53"/>
      <c r="AT681" s="53"/>
      <c r="AU681" s="53"/>
      <c r="AV681" s="53"/>
      <c r="AW681" s="53"/>
      <c r="AX681" s="53"/>
      <c r="AY681" s="53"/>
    </row>
    <row r="682" customFormat="false" ht="15" hidden="false" customHeight="true" outlineLevel="0" collapsed="false">
      <c r="A682" s="29"/>
      <c r="B682" s="30"/>
      <c r="C682" s="30"/>
      <c r="D682" s="30"/>
      <c r="E682" s="30"/>
      <c r="F682" s="30"/>
      <c r="G682" s="30"/>
      <c r="H682" s="30"/>
      <c r="I682" s="30"/>
      <c r="J682" s="30"/>
      <c r="K682" s="30"/>
      <c r="L682" s="30"/>
      <c r="M682" s="30"/>
      <c r="N682" s="30"/>
      <c r="O682" s="30"/>
      <c r="P682" s="30"/>
      <c r="Q682" s="31" t="n">
        <f aca="false">+Q637/Q677</f>
        <v>0.0184755021042135</v>
      </c>
      <c r="R682" s="31" t="n">
        <f aca="false">+R637/R677</f>
        <v>0.0176158005070394</v>
      </c>
      <c r="S682" s="31" t="n">
        <f aca="false">+S637/S677</f>
        <v>0.0338719569242027</v>
      </c>
      <c r="T682" s="31" t="n">
        <f aca="false">+T637/T677</f>
        <v>0.116059433771116</v>
      </c>
      <c r="U682" s="31" t="n">
        <f aca="false">+U637/U677</f>
        <v>0.0902634000682771</v>
      </c>
      <c r="V682" s="31" t="n">
        <f aca="false">+V637/V677</f>
        <v>0.11854151176518</v>
      </c>
      <c r="W682" s="30"/>
      <c r="X682" s="30"/>
      <c r="Y682" s="30"/>
      <c r="Z682" s="30"/>
      <c r="AA682" s="30"/>
      <c r="AB682" s="30"/>
      <c r="AC682" s="30"/>
      <c r="AD682" s="32" t="n">
        <f aca="false">+AD681-26070</f>
        <v>4113</v>
      </c>
      <c r="AE682" s="32" t="n">
        <f aca="false">+AE681-7200</f>
        <v>4888.7</v>
      </c>
      <c r="AF682" s="32" t="n">
        <f aca="false">+AF681+2430</f>
        <v>1951.2</v>
      </c>
      <c r="AG682" s="30"/>
      <c r="AH682" s="30"/>
      <c r="AI682" s="30"/>
      <c r="AJ682" s="30"/>
      <c r="AK682" s="30"/>
      <c r="AL682" s="30"/>
      <c r="AM682" s="30"/>
      <c r="AN682" s="30"/>
      <c r="AO682" s="30"/>
      <c r="AP682" s="30"/>
      <c r="AQ682" s="30"/>
      <c r="AR682" s="30"/>
      <c r="AS682" s="30"/>
      <c r="AT682" s="30"/>
      <c r="AU682" s="30"/>
      <c r="AV682" s="30"/>
      <c r="AW682" s="30"/>
      <c r="AX682" s="30"/>
      <c r="AY682" s="30"/>
    </row>
    <row r="683" customFormat="false" ht="15" hidden="false" customHeight="true" outlineLevel="0" collapsed="false">
      <c r="A683" s="70" t="s">
        <v>677</v>
      </c>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c r="AA683" s="86"/>
      <c r="AB683" s="86"/>
      <c r="AC683" s="86"/>
      <c r="AD683" s="86"/>
      <c r="AE683" s="86"/>
      <c r="AF683" s="86"/>
      <c r="AG683" s="86"/>
      <c r="AH683" s="86"/>
      <c r="AI683" s="86"/>
      <c r="AJ683" s="86"/>
      <c r="AK683" s="86"/>
      <c r="AL683" s="86"/>
      <c r="AM683" s="86"/>
      <c r="AN683" s="86"/>
      <c r="AO683" s="86"/>
      <c r="AP683" s="86"/>
      <c r="AQ683" s="86"/>
      <c r="AR683" s="86"/>
      <c r="AS683" s="86"/>
      <c r="AT683" s="86"/>
      <c r="AU683" s="86"/>
      <c r="AV683" s="86"/>
      <c r="AW683" s="86"/>
      <c r="AX683" s="86"/>
      <c r="AY683" s="86"/>
    </row>
    <row r="684" customFormat="false" ht="15" hidden="false" customHeight="true" outlineLevel="0" collapsed="false">
      <c r="A684" s="70" t="s">
        <v>678</v>
      </c>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c r="AA684" s="86"/>
      <c r="AB684" s="86"/>
      <c r="AC684" s="86"/>
      <c r="AD684" s="86"/>
      <c r="AE684" s="86"/>
      <c r="AF684" s="86"/>
      <c r="AG684" s="86"/>
      <c r="AH684" s="86"/>
      <c r="AI684" s="86"/>
      <c r="AJ684" s="86"/>
      <c r="AK684" s="86"/>
      <c r="AL684" s="86"/>
      <c r="AM684" s="86"/>
      <c r="AN684" s="86"/>
      <c r="AO684" s="86"/>
      <c r="AP684" s="86"/>
      <c r="AQ684" s="86"/>
      <c r="AR684" s="86"/>
      <c r="AS684" s="86"/>
      <c r="AT684" s="86"/>
      <c r="AU684" s="86"/>
      <c r="AV684" s="86"/>
      <c r="AW684" s="86"/>
      <c r="AX684" s="86"/>
      <c r="AY684" s="86"/>
    </row>
    <row r="685" customFormat="false" ht="15" hidden="false" customHeight="true" outlineLevel="0" collapsed="false">
      <c r="A685" s="47" t="s">
        <v>652</v>
      </c>
      <c r="B685" s="74" t="n">
        <f aca="false">B634/B677*100</f>
        <v>35.3279448873551</v>
      </c>
      <c r="C685" s="74" t="n">
        <f aca="false">C634/C677*100</f>
        <v>50.0967785706304</v>
      </c>
      <c r="D685" s="74" t="n">
        <f aca="false">D634/D677*100</f>
        <v>37.7223853665892</v>
      </c>
      <c r="E685" s="74" t="n">
        <f aca="false">E634/E677*100</f>
        <v>37.087521621929</v>
      </c>
      <c r="F685" s="74" t="n">
        <f aca="false">F634/F677*100</f>
        <v>36.9322983862812</v>
      </c>
      <c r="G685" s="74" t="n">
        <f aca="false">G634/G677*100</f>
        <v>38.4061316441499</v>
      </c>
      <c r="H685" s="74" t="n">
        <f aca="false">H634/H677*100</f>
        <v>46.085963415058</v>
      </c>
      <c r="I685" s="74" t="n">
        <f aca="false">I634/I677*100</f>
        <v>44.9148509999345</v>
      </c>
      <c r="J685" s="74" t="n">
        <f aca="false">J634/J677*100</f>
        <v>45.5208621401593</v>
      </c>
      <c r="K685" s="74" t="n">
        <f aca="false">K634/K677*100</f>
        <v>47.7564041934178</v>
      </c>
      <c r="L685" s="74" t="n">
        <f aca="false">L634/L677*100</f>
        <v>50.9257347709871</v>
      </c>
      <c r="M685" s="74" t="n">
        <f aca="false">M634/M677*100</f>
        <v>53.2072210707758</v>
      </c>
      <c r="N685" s="74" t="n">
        <f aca="false">N634/N677*100</f>
        <v>44.116651698264</v>
      </c>
      <c r="O685" s="74" t="n">
        <f aca="false">O634/O677*100</f>
        <v>47.4892625882744</v>
      </c>
      <c r="P685" s="74" t="n">
        <f aca="false">P634/P677*100</f>
        <v>56.536726338311</v>
      </c>
      <c r="Q685" s="74" t="n">
        <f aca="false">Q634/Q677*100</f>
        <v>62.4500235996503</v>
      </c>
      <c r="R685" s="74" t="n">
        <f aca="false">R634/R677*100</f>
        <v>77.1566608927039</v>
      </c>
      <c r="S685" s="74" t="n">
        <f aca="false">S634/S677*100</f>
        <v>76.1083980200735</v>
      </c>
      <c r="T685" s="74" t="n">
        <f aca="false">T634/T677*100</f>
        <v>70.6543423211799</v>
      </c>
      <c r="U685" s="74" t="n">
        <f aca="false">U634/U677*100</f>
        <v>69.3373457825288</v>
      </c>
      <c r="V685" s="74" t="n">
        <f aca="false">V634/V677*100</f>
        <v>63.3900590653607</v>
      </c>
      <c r="W685" s="74" t="n">
        <f aca="false">W634/W677*100</f>
        <v>60.7141714198205</v>
      </c>
      <c r="X685" s="74" t="n">
        <f aca="false">X634/X677*100</f>
        <v>59.2453943473088</v>
      </c>
      <c r="Y685" s="74" t="n">
        <f aca="false">Y634/Y677*100</f>
        <v>57.4206343373927</v>
      </c>
      <c r="Z685" s="74" t="n">
        <f aca="false">Z634/Z677*100</f>
        <v>60.0760725222252</v>
      </c>
      <c r="AA685" s="74" t="n">
        <f aca="false">AA634/AA677*100</f>
        <v>60.2243433259948</v>
      </c>
      <c r="AB685" s="74" t="n">
        <f aca="false">AB634/AB677*100</f>
        <v>64.2017933547608</v>
      </c>
      <c r="AC685" s="74" t="n">
        <f aca="false">AC634/AC677*100</f>
        <v>65.3613036724986</v>
      </c>
      <c r="AD685" s="74" t="n">
        <f aca="false">AD634/AD677*100</f>
        <v>64.7703919345929</v>
      </c>
      <c r="AE685" s="74" t="n">
        <f aca="false">AE634/AE677*100</f>
        <v>59.3187980452784</v>
      </c>
      <c r="AF685" s="74" t="n">
        <f aca="false">AF634/AF677*100</f>
        <v>49.7177982158761</v>
      </c>
      <c r="AG685" s="74" t="n">
        <f aca="false">AG634/AG677*100</f>
        <v>48.470843826384</v>
      </c>
      <c r="AH685" s="74" t="n">
        <f aca="false">AH634/AH677*100</f>
        <v>42.8213866200453</v>
      </c>
      <c r="AI685" s="74" t="n">
        <f aca="false">AI634/AI677*100</f>
        <v>43.1564012371046</v>
      </c>
      <c r="AJ685" s="74" t="n">
        <f aca="false">AJ634/AJ677*100</f>
        <v>38.814658629221</v>
      </c>
      <c r="AK685" s="74" t="n">
        <f aca="false">AK634/AK677*100</f>
        <v>34.6588700120051</v>
      </c>
      <c r="AL685" s="74" t="n">
        <f aca="false">AL634/AL677*100</f>
        <v>31.0114782094163</v>
      </c>
      <c r="AM685" s="36"/>
      <c r="AN685" s="36"/>
      <c r="AO685" s="36"/>
      <c r="AP685" s="36"/>
      <c r="AQ685" s="36"/>
      <c r="AR685" s="36"/>
      <c r="AS685" s="36"/>
      <c r="AT685" s="36"/>
      <c r="AU685" s="36"/>
      <c r="AV685" s="36"/>
      <c r="AW685" s="36"/>
      <c r="AX685" s="36"/>
      <c r="AY685" s="36"/>
    </row>
    <row r="686" customFormat="false" ht="15" hidden="false" customHeight="true" outlineLevel="0" collapsed="false">
      <c r="A686" s="47" t="s">
        <v>367</v>
      </c>
      <c r="B686" s="74" t="n">
        <f aca="false">B636/B677*100</f>
        <v>3.00008000501653</v>
      </c>
      <c r="C686" s="74" t="n">
        <f aca="false">C636/C677*100</f>
        <v>5.21985696725891</v>
      </c>
      <c r="D686" s="74" t="n">
        <f aca="false">D636/D677*100</f>
        <v>4.35237649801032</v>
      </c>
      <c r="E686" s="74" t="n">
        <f aca="false">E636/E677*100</f>
        <v>4.05778241445869</v>
      </c>
      <c r="F686" s="74" t="n">
        <f aca="false">F636/F677*100</f>
        <v>2.56388608194973</v>
      </c>
      <c r="G686" s="74" t="n">
        <f aca="false">G636/G677*100</f>
        <v>2.06283037517728</v>
      </c>
      <c r="H686" s="74" t="n">
        <f aca="false">H636/H677*100</f>
        <v>3.01553527778529</v>
      </c>
      <c r="I686" s="74" t="n">
        <f aca="false">I636/I677*100</f>
        <v>5.71667906078245</v>
      </c>
      <c r="J686" s="74" t="n">
        <f aca="false">J636/J677*100</f>
        <v>5.58603028362964</v>
      </c>
      <c r="K686" s="74" t="n">
        <f aca="false">K636/K677*100</f>
        <v>5.54907138722528</v>
      </c>
      <c r="L686" s="74" t="n">
        <f aca="false">L636/L677*100</f>
        <v>8.53835829395391</v>
      </c>
      <c r="M686" s="74" t="n">
        <f aca="false">M636/M677*100</f>
        <v>8.46844536252077</v>
      </c>
      <c r="N686" s="74" t="n">
        <f aca="false">N636/N677*100</f>
        <v>10.3279724971937</v>
      </c>
      <c r="O686" s="74" t="n">
        <f aca="false">O636/O677*100</f>
        <v>16.11938338142</v>
      </c>
      <c r="P686" s="74" t="n">
        <f aca="false">P636/P677*100</f>
        <v>8.09306360603171</v>
      </c>
      <c r="Q686" s="74" t="n">
        <f aca="false">Q636/Q677*100</f>
        <v>18.5362867796674</v>
      </c>
      <c r="R686" s="74" t="n">
        <f aca="false">R636/R677*100</f>
        <v>4.62435971976942</v>
      </c>
      <c r="S686" s="74" t="n">
        <f aca="false">S636/S677*100</f>
        <v>5.15962956393741</v>
      </c>
      <c r="T686" s="74" t="n">
        <f aca="false">T636/T677*100</f>
        <v>17.4096213602739</v>
      </c>
      <c r="U686" s="74" t="n">
        <f aca="false">U636/U677*100</f>
        <v>19.480455147384</v>
      </c>
      <c r="V686" s="74" t="n">
        <f aca="false">V636/V677*100</f>
        <v>24.8178420097948</v>
      </c>
      <c r="W686" s="74" t="n">
        <f aca="false">W636/W677*100</f>
        <v>28.9953830099293</v>
      </c>
      <c r="X686" s="74" t="n">
        <f aca="false">X636/X677*100</f>
        <v>29.1927145475537</v>
      </c>
      <c r="Y686" s="74" t="n">
        <f aca="false">Y636/Y677*100</f>
        <v>23.3610625322721</v>
      </c>
      <c r="Z686" s="74" t="n">
        <f aca="false">Z636/Z677*100</f>
        <v>33.4095784629764</v>
      </c>
      <c r="AA686" s="74" t="n">
        <f aca="false">AA636/AA677*100</f>
        <v>65.0101075203909</v>
      </c>
      <c r="AB686" s="74" t="n">
        <f aca="false">AB636/AB677*100</f>
        <v>26.9873277785739</v>
      </c>
      <c r="AC686" s="74" t="n">
        <f aca="false">AC636/AC677*100</f>
        <v>24.0288632978094</v>
      </c>
      <c r="AD686" s="74" t="n">
        <f aca="false">AD636/AD677*100</f>
        <v>26.7792737957172</v>
      </c>
      <c r="AE686" s="74" t="n">
        <f aca="false">AE636/AE677*100</f>
        <v>42.0732165086327</v>
      </c>
      <c r="AF686" s="74" t="n">
        <f aca="false">AF636/AF677*100</f>
        <v>51.4706393509861</v>
      </c>
      <c r="AG686" s="74" t="n">
        <f aca="false">AG636/AG677*100</f>
        <v>43.795269127548</v>
      </c>
      <c r="AH686" s="74" t="n">
        <f aca="false">AH636/AH677*100</f>
        <v>59.2302018739585</v>
      </c>
      <c r="AI686" s="74" t="n">
        <f aca="false">AI636/AI677*100</f>
        <v>67.1019907531333</v>
      </c>
      <c r="AJ686" s="74" t="n">
        <f aca="false">AJ636/AJ677*100</f>
        <v>65.0372689657668</v>
      </c>
      <c r="AK686" s="74" t="n">
        <f aca="false">AK636/AK677*100</f>
        <v>60.0983745657709</v>
      </c>
      <c r="AL686" s="74" t="n">
        <f aca="false">AL636/AL677*100</f>
        <v>55.8777016743568</v>
      </c>
      <c r="AM686" s="36"/>
      <c r="AN686" s="36"/>
      <c r="AO686" s="36"/>
      <c r="AP686" s="36"/>
      <c r="AQ686" s="36"/>
      <c r="AR686" s="36"/>
      <c r="AS686" s="36"/>
      <c r="AT686" s="36"/>
      <c r="AU686" s="36"/>
      <c r="AV686" s="36"/>
      <c r="AW686" s="36"/>
      <c r="AX686" s="36"/>
      <c r="AY686" s="36"/>
    </row>
    <row r="687" customFormat="false" ht="15" hidden="false" customHeight="true" outlineLevel="0" collapsed="false">
      <c r="A687" s="51" t="s">
        <v>383</v>
      </c>
      <c r="B687" s="97" t="n">
        <f aca="false">B675/B677*100</f>
        <v>61.4734761747223</v>
      </c>
      <c r="C687" s="97" t="n">
        <f aca="false">C675/C677*100</f>
        <v>44.5322103028271</v>
      </c>
      <c r="D687" s="97" t="n">
        <f aca="false">D675/D677*100</f>
        <v>57.5076226330223</v>
      </c>
      <c r="E687" s="97" t="n">
        <f aca="false">E675/E677*100</f>
        <v>58.5960896439593</v>
      </c>
      <c r="F687" s="97" t="n">
        <f aca="false">F675/F677*100</f>
        <v>60.1204594644272</v>
      </c>
      <c r="G687" s="97" t="n">
        <f aca="false">G675/G677*100</f>
        <v>59.2063379271874</v>
      </c>
      <c r="H687" s="97" t="n">
        <f aca="false">H675/H677*100</f>
        <v>50.6385180665665</v>
      </c>
      <c r="I687" s="97" t="n">
        <f aca="false">I675/I677*100</f>
        <v>49.0513515284652</v>
      </c>
      <c r="J687" s="97" t="n">
        <f aca="false">J675/J677*100</f>
        <v>48.4089634846252</v>
      </c>
      <c r="K687" s="97" t="n">
        <f aca="false">K675/K677*100</f>
        <v>46.4625603910426</v>
      </c>
      <c r="L687" s="97" t="n">
        <f aca="false">L675/L677*100</f>
        <v>40.535906935059</v>
      </c>
      <c r="M687" s="97" t="n">
        <f aca="false">M675/M677*100</f>
        <v>36.457141932905</v>
      </c>
      <c r="N687" s="97" t="n">
        <f aca="false">N675/N677*100</f>
        <v>44.6842192780108</v>
      </c>
      <c r="O687" s="97" t="n">
        <f aca="false">O675/O677*100</f>
        <v>36.0714426440521</v>
      </c>
      <c r="P687" s="97" t="n">
        <f aca="false">P675/P677*100</f>
        <v>34.4763982510309</v>
      </c>
      <c r="Q687" s="97" t="n">
        <f aca="false">Q675/Q677*100</f>
        <v>18.3361836280732</v>
      </c>
      <c r="R687" s="97" t="n">
        <f aca="false">R675/R677*100</f>
        <v>18.0489907139638</v>
      </c>
      <c r="S687" s="97" t="n">
        <f aca="false">S675/S677*100</f>
        <v>18.6501172261615</v>
      </c>
      <c r="T687" s="97" t="n">
        <f aca="false">T675/T677*100</f>
        <v>11.8749680203532</v>
      </c>
      <c r="U687" s="97" t="n">
        <f aca="false">U675/U677*100</f>
        <v>3.36620926978493</v>
      </c>
      <c r="V687" s="97" t="n">
        <f aca="false">V675/V677*100</f>
        <v>6.56136525825141</v>
      </c>
      <c r="W687" s="97" t="n">
        <f aca="false">W675/W677*100</f>
        <v>2.89231784559213</v>
      </c>
      <c r="X687" s="97" t="n">
        <f aca="false">X675/X677*100</f>
        <v>0.357248075925839</v>
      </c>
      <c r="Y687" s="97" t="n">
        <f aca="false">Y675/Y677*100</f>
        <v>10.4359558813104</v>
      </c>
      <c r="Z687" s="97" t="n">
        <f aca="false">Z675/Z677*100</f>
        <v>-3.74978629097264</v>
      </c>
      <c r="AA687" s="97" t="n">
        <f aca="false">AA675/AA677*100</f>
        <v>-31.8817053197507</v>
      </c>
      <c r="AB687" s="97" t="n">
        <f aca="false">AB675/AB677*100</f>
        <v>-2.75001535406474</v>
      </c>
      <c r="AC687" s="97" t="n">
        <f aca="false">AC675/AC677*100</f>
        <v>3.11057078081459</v>
      </c>
      <c r="AD687" s="97" t="n">
        <f aca="false">AD675/AD677*100</f>
        <v>4.0250241943014</v>
      </c>
      <c r="AE687" s="97" t="n">
        <f aca="false">AE675/AE677*100</f>
        <v>-5.71480200500378</v>
      </c>
      <c r="AF687" s="97" t="n">
        <f aca="false">AF675/AF677*100</f>
        <v>-5.50260651408382</v>
      </c>
      <c r="AG687" s="97" t="n">
        <f aca="false">AG675/AG677*100</f>
        <v>3.91842084741049</v>
      </c>
      <c r="AH687" s="97" t="n">
        <f aca="false">AH675/AH677*100</f>
        <v>-10.7181003633185</v>
      </c>
      <c r="AI687" s="97" t="n">
        <f aca="false">AI675/AI677*100</f>
        <v>-13.4266816969094</v>
      </c>
      <c r="AJ687" s="97" t="n">
        <f aca="false">AJ675/AJ677*100</f>
        <v>-6.88705127550975</v>
      </c>
      <c r="AK687" s="97" t="n">
        <f aca="false">AK675/AK677*100</f>
        <v>2.286091296742</v>
      </c>
      <c r="AL687" s="97" t="n">
        <f aca="false">AL675/AL677*100</f>
        <v>10.2101862761002</v>
      </c>
      <c r="AM687" s="98"/>
      <c r="AN687" s="98"/>
      <c r="AO687" s="98"/>
      <c r="AP687" s="98"/>
      <c r="AQ687" s="98"/>
      <c r="AR687" s="98"/>
      <c r="AS687" s="98"/>
      <c r="AT687" s="98"/>
      <c r="AU687" s="98"/>
      <c r="AV687" s="98"/>
      <c r="AW687" s="98"/>
      <c r="AX687" s="98"/>
      <c r="AY687" s="98"/>
    </row>
    <row r="688" customFormat="false" ht="15" hidden="false" customHeight="true" outlineLevel="0" collapsed="false">
      <c r="A688" s="47" t="s">
        <v>679</v>
      </c>
      <c r="B688" s="74" t="n">
        <f aca="false">B658/B677*100</f>
        <v>8.62605439043746</v>
      </c>
      <c r="C688" s="74" t="n">
        <f aca="false">C658/C677*100</f>
        <v>0.346906278434941</v>
      </c>
      <c r="D688" s="74" t="n">
        <f aca="false">D658/D677*100</f>
        <v>5.43871351934347</v>
      </c>
      <c r="E688" s="74" t="n">
        <f aca="false">E658/E677*100</f>
        <v>0.132522756577195</v>
      </c>
      <c r="F688" s="74" t="n">
        <f aca="false">F658/F677*100</f>
        <v>0.287670955786971</v>
      </c>
      <c r="G688" s="74" t="n">
        <f aca="false">G658/G677*100</f>
        <v>0.106843380199467</v>
      </c>
      <c r="H688" s="74" t="n">
        <f aca="false">H658/H677*100</f>
        <v>3.00023362771713</v>
      </c>
      <c r="I688" s="74" t="n">
        <f aca="false">I658/I677*100</f>
        <v>1.77050656318292</v>
      </c>
      <c r="J688" s="74" t="n">
        <f aca="false">J658/J677*100</f>
        <v>7.80956999064291</v>
      </c>
      <c r="K688" s="74" t="n">
        <f aca="false">K658/K677*100</f>
        <v>13.0001059326042</v>
      </c>
      <c r="L688" s="74" t="n">
        <f aca="false">L658/L677*100</f>
        <v>12.0250424409119</v>
      </c>
      <c r="M688" s="74" t="n">
        <f aca="false">M658/M677*100</f>
        <v>18.7720806212727</v>
      </c>
      <c r="N688" s="74" t="n">
        <f aca="false">N658/N677*100</f>
        <v>35.9008237052632</v>
      </c>
      <c r="O688" s="74" t="n">
        <f aca="false">O658/O677*100</f>
        <v>26.3948127684353</v>
      </c>
      <c r="P688" s="74" t="n">
        <f aca="false">P658/P677*100</f>
        <v>15.9207802642488</v>
      </c>
      <c r="Q688" s="74" t="n">
        <f aca="false">Q658/Q677*100</f>
        <v>13.7181894798139</v>
      </c>
      <c r="R688" s="74" t="n">
        <f aca="false">R658/R677*100</f>
        <v>1.54551044844659</v>
      </c>
      <c r="S688" s="74" t="n">
        <f aca="false">S658/S677*100</f>
        <v>8.20909804860568</v>
      </c>
      <c r="T688" s="74" t="n">
        <f aca="false">T658/T677*100</f>
        <v>2.54106398965441</v>
      </c>
      <c r="U688" s="74" t="n">
        <f aca="false">U658/U677*100</f>
        <v>0.413301089827436</v>
      </c>
      <c r="V688" s="74" t="n">
        <f aca="false">V658/V677*100</f>
        <v>0.148021713956489</v>
      </c>
      <c r="W688" s="74" t="n">
        <f aca="false">W658/W677*100</f>
        <v>0.121509530738166</v>
      </c>
      <c r="X688" s="74" t="n">
        <f aca="false">X658/X677*100</f>
        <v>8.27992203500728</v>
      </c>
      <c r="Y688" s="74" t="n">
        <f aca="false">Y658/Y677*100</f>
        <v>18.7924365277943</v>
      </c>
      <c r="Z688" s="74" t="n">
        <f aca="false">Z658/Z677*100</f>
        <v>10.5836137642958</v>
      </c>
      <c r="AA688" s="74" t="n">
        <f aca="false">AA658/AA677*100</f>
        <v>11.2529101540622</v>
      </c>
      <c r="AB688" s="74" t="n">
        <f aca="false">AB658/AB677*100</f>
        <v>14.0601265174934</v>
      </c>
      <c r="AC688" s="74" t="n">
        <f aca="false">AC658/AC677*100</f>
        <v>11.6844757726065</v>
      </c>
      <c r="AD688" s="74" t="n">
        <f aca="false">AD658/AD677*100</f>
        <v>7.18149696622223</v>
      </c>
      <c r="AE688" s="74" t="n">
        <f aca="false">AE658/AE677*100</f>
        <v>9.13949302246813</v>
      </c>
      <c r="AF688" s="74" t="n">
        <f aca="false">AF658/AF677*100</f>
        <v>3.87203865782097</v>
      </c>
      <c r="AG688" s="74" t="n">
        <f aca="false">AG658/AG677*100</f>
        <v>27.0831380450905</v>
      </c>
      <c r="AH688" s="74" t="n">
        <f aca="false">AH658/AH677*100</f>
        <v>18.4797306526074</v>
      </c>
      <c r="AI688" s="74" t="n">
        <f aca="false">AI658/AI677*100</f>
        <v>18.7064314609622</v>
      </c>
      <c r="AJ688" s="74" t="n">
        <f aca="false">AJ658/AJ677*100</f>
        <v>19.9285344477836</v>
      </c>
      <c r="AK688" s="74" t="n">
        <f aca="false">AK658/AK677*100</f>
        <v>27.2140333156513</v>
      </c>
      <c r="AL688" s="74" t="n">
        <f aca="false">AL658/AL677*100</f>
        <v>33.9994592907154</v>
      </c>
      <c r="AM688" s="36"/>
      <c r="AN688" s="36"/>
      <c r="AO688" s="36"/>
      <c r="AP688" s="36"/>
      <c r="AQ688" s="36"/>
      <c r="AR688" s="36"/>
      <c r="AS688" s="36"/>
      <c r="AT688" s="36"/>
      <c r="AU688" s="36"/>
      <c r="AV688" s="36"/>
      <c r="AW688" s="36"/>
      <c r="AX688" s="36"/>
      <c r="AY688" s="36"/>
    </row>
    <row r="689" customFormat="false" ht="15" hidden="false" customHeight="true" outlineLevel="0" collapsed="false">
      <c r="A689" s="47" t="s">
        <v>380</v>
      </c>
      <c r="B689" s="48" t="n">
        <f aca="false">B676/B677*100</f>
        <v>0.198498932906063</v>
      </c>
      <c r="C689" s="48" t="n">
        <f aca="false">C676/C677*100</f>
        <v>0.151154159283559</v>
      </c>
      <c r="D689" s="48" t="n">
        <f aca="false">D676/D677*100</f>
        <v>0.417615502378159</v>
      </c>
      <c r="E689" s="48" t="n">
        <f aca="false">E676/E677*100</f>
        <v>0.25860631965299</v>
      </c>
      <c r="F689" s="48" t="n">
        <f aca="false">F676/F677*100</f>
        <v>0.383356067341915</v>
      </c>
      <c r="G689" s="48" t="n">
        <f aca="false">G676/G677*100</f>
        <v>0.324700053485515</v>
      </c>
      <c r="H689" s="48" t="n">
        <f aca="false">H676/H677*100</f>
        <v>0.259983240590209</v>
      </c>
      <c r="I689" s="48" t="n">
        <f aca="false">I676/I677*100</f>
        <v>0.317118410817926</v>
      </c>
      <c r="J689" s="48" t="n">
        <f aca="false">J676/J677*100</f>
        <v>0.484144091585818</v>
      </c>
      <c r="K689" s="48" t="n">
        <f aca="false">K676/K677*100</f>
        <v>0.231964028314272</v>
      </c>
      <c r="L689" s="48" t="n">
        <f aca="false">L676/L677*100</f>
        <v>0</v>
      </c>
      <c r="M689" s="48" t="n">
        <f aca="false">M676/M677*100</f>
        <v>1.86719163379846</v>
      </c>
      <c r="N689" s="48" t="n">
        <f aca="false">N676/N677*100</f>
        <v>0.871156526531475</v>
      </c>
      <c r="O689" s="48" t="n">
        <f aca="false">O676/O677*100</f>
        <v>0.319911386253486</v>
      </c>
      <c r="P689" s="48" t="n">
        <f aca="false">P676/P677*100</f>
        <v>0.893811804626459</v>
      </c>
      <c r="Q689" s="48" t="n">
        <f aca="false">Q676/Q677*100</f>
        <v>0.677505992609191</v>
      </c>
      <c r="R689" s="48" t="n">
        <f aca="false">R676/R677*100</f>
        <v>0.169988673562845</v>
      </c>
      <c r="S689" s="48" t="n">
        <f aca="false">S676/S677*100</f>
        <v>0.081855189827537</v>
      </c>
      <c r="T689" s="48" t="n">
        <f aca="false">T676/T677*100</f>
        <v>0.0610682981930535</v>
      </c>
      <c r="U689" s="48" t="n">
        <f aca="false">U676/U677*100</f>
        <v>0.0942920313610569</v>
      </c>
      <c r="V689" s="48" t="n">
        <f aca="false">V676/V677*100</f>
        <v>0.137969860704968</v>
      </c>
      <c r="W689" s="48" t="n">
        <f aca="false">W676/W677*100</f>
        <v>0.405552843991443</v>
      </c>
      <c r="X689" s="48" t="n">
        <f aca="false">X676/X677*100</f>
        <v>0.37193682585548</v>
      </c>
      <c r="Y689" s="48" t="n">
        <f aca="false">Y676/Y677*100</f>
        <v>0</v>
      </c>
      <c r="Z689" s="48" t="n">
        <f aca="false">Z676/Z677*100</f>
        <v>0</v>
      </c>
      <c r="AA689" s="48" t="n">
        <f aca="false">AA676/AA677*100</f>
        <v>0</v>
      </c>
      <c r="AB689" s="48" t="n">
        <f aca="false">AB676/AB677*100</f>
        <v>0</v>
      </c>
      <c r="AC689" s="48" t="n">
        <f aca="false">AC676/AC677*100</f>
        <v>0</v>
      </c>
      <c r="AD689" s="48" t="n">
        <f aca="false">AD676/AD677*100</f>
        <v>0</v>
      </c>
      <c r="AE689" s="48" t="n">
        <f aca="false">AE676/AE677*100</f>
        <v>0</v>
      </c>
      <c r="AF689" s="48" t="n">
        <f aca="false">AF676/AF677*100</f>
        <v>0</v>
      </c>
      <c r="AG689" s="48" t="n">
        <f aca="false">AG676/AG677*100</f>
        <v>0</v>
      </c>
      <c r="AH689" s="48" t="n">
        <f aca="false">AH676/AH677*100</f>
        <v>0</v>
      </c>
      <c r="AI689" s="48" t="n">
        <f aca="false">AI676/AI677*100</f>
        <v>0</v>
      </c>
      <c r="AJ689" s="48" t="n">
        <f aca="false">AJ676/AJ677*100</f>
        <v>0</v>
      </c>
      <c r="AK689" s="48" t="n">
        <f aca="false">AK676/AK677*100</f>
        <v>0</v>
      </c>
      <c r="AL689" s="48" t="n">
        <f aca="false">AL676/AL677*100</f>
        <v>0</v>
      </c>
      <c r="AM689" s="43"/>
      <c r="AN689" s="43"/>
      <c r="AO689" s="43"/>
      <c r="AP689" s="43"/>
      <c r="AQ689" s="43"/>
      <c r="AR689" s="43"/>
      <c r="AS689" s="43"/>
      <c r="AT689" s="43"/>
      <c r="AU689" s="43"/>
      <c r="AV689" s="43"/>
      <c r="AW689" s="43"/>
      <c r="AX689" s="43"/>
      <c r="AY689" s="43"/>
    </row>
    <row r="690" customFormat="false" ht="15" hidden="false" customHeight="true" outlineLevel="0" collapsed="false">
      <c r="A690" s="51" t="s">
        <v>427</v>
      </c>
      <c r="B690" s="97" t="n">
        <f aca="false">B685+B686+B687+B688+B689-B688</f>
        <v>100</v>
      </c>
      <c r="C690" s="97" t="n">
        <f aca="false">C685+C686+C687+C688+C689-C688</f>
        <v>100</v>
      </c>
      <c r="D690" s="97" t="n">
        <f aca="false">D685+D686+D687+D688+D689-D688</f>
        <v>100</v>
      </c>
      <c r="E690" s="97" t="n">
        <f aca="false">E685+E686+E687+E688+E689-E688</f>
        <v>100</v>
      </c>
      <c r="F690" s="97" t="n">
        <f aca="false">F685+F686+F687+F688+F689-F688</f>
        <v>100</v>
      </c>
      <c r="G690" s="97" t="n">
        <f aca="false">G685+G686+G687+G688+G689-G688</f>
        <v>100</v>
      </c>
      <c r="H690" s="97" t="n">
        <f aca="false">H685+H686+H687+H688+H689-H688</f>
        <v>100</v>
      </c>
      <c r="I690" s="97" t="n">
        <f aca="false">I685+I686+I687+I688+I689-I688</f>
        <v>100</v>
      </c>
      <c r="J690" s="97" t="n">
        <f aca="false">J685+J686+J687+J688+J689-J688</f>
        <v>100</v>
      </c>
      <c r="K690" s="97" t="n">
        <f aca="false">K685+K686+K687+K688+K689-K688</f>
        <v>100</v>
      </c>
      <c r="L690" s="97" t="n">
        <f aca="false">L685+L686+L687+L688+L689-L688</f>
        <v>100</v>
      </c>
      <c r="M690" s="97" t="n">
        <f aca="false">M685+M686+M687+M688+M689-M688</f>
        <v>100</v>
      </c>
      <c r="N690" s="97" t="n">
        <f aca="false">N685+N686+N687+N688+N689-N688</f>
        <v>100</v>
      </c>
      <c r="O690" s="97" t="n">
        <f aca="false">O685+O686+O687+O688+O689-O688</f>
        <v>100</v>
      </c>
      <c r="P690" s="97" t="n">
        <f aca="false">P685+P686+P687+P688+P689-P688</f>
        <v>100</v>
      </c>
      <c r="Q690" s="97" t="n">
        <f aca="false">Q685+Q686+Q687+Q688+Q689-Q688</f>
        <v>100</v>
      </c>
      <c r="R690" s="97" t="n">
        <f aca="false">R685+R686+R687+R688+R689-R688</f>
        <v>100</v>
      </c>
      <c r="S690" s="97" t="n">
        <f aca="false">S685+S686+S687+S688+S689-S688</f>
        <v>100</v>
      </c>
      <c r="T690" s="97" t="n">
        <f aca="false">T685+T686+T687+T688+T689-T688</f>
        <v>100</v>
      </c>
      <c r="U690" s="97" t="n">
        <f aca="false">U685+U686+U687+U688+U689-U688</f>
        <v>92.2783022310588</v>
      </c>
      <c r="V690" s="97" t="n">
        <f aca="false">V685+V686+V687+V688+V689-V688</f>
        <v>94.9072361941119</v>
      </c>
      <c r="W690" s="97" t="n">
        <f aca="false">W685+W686+W687+W688+W689-W688</f>
        <v>93.0074251193333</v>
      </c>
      <c r="X690" s="97" t="n">
        <f aca="false">X685+X686+X687+X688+X689-X688</f>
        <v>89.1672937966438</v>
      </c>
      <c r="Y690" s="97" t="n">
        <f aca="false">Y685+Y686+Y687+Y688+Y689-Y688</f>
        <v>91.2176527509752</v>
      </c>
      <c r="Z690" s="97" t="n">
        <f aca="false">Z685+Z686+Z687+Z688+Z689-Z688</f>
        <v>89.7358646942289</v>
      </c>
      <c r="AA690" s="97" t="n">
        <f aca="false">AA685+AA686+AA687+AA688+AA689-AA688</f>
        <v>93.3527455266349</v>
      </c>
      <c r="AB690" s="97" t="n">
        <f aca="false">AB685+AB686+AB687+AB688+AB689-AB688</f>
        <v>88.43910577927</v>
      </c>
      <c r="AC690" s="97" t="n">
        <f aca="false">AC685+AC686+AC687+AC688+AC689-AC688</f>
        <v>92.5007377511225</v>
      </c>
      <c r="AD690" s="97" t="n">
        <f aca="false">AD685+AD686+AD687+AD688+AD689-AD688</f>
        <v>95.5746899246115</v>
      </c>
      <c r="AE690" s="97" t="n">
        <f aca="false">AE685+AE686+AE687+AE688+AE689-AE688</f>
        <v>95.6772125489073</v>
      </c>
      <c r="AF690" s="97" t="n">
        <f aca="false">AF685+AF686+AF687+AF688+AF689-AF688</f>
        <v>95.6858310527783</v>
      </c>
      <c r="AG690" s="97" t="n">
        <f aca="false">AG685+AG686+AG687+AG688+AG689-AG688</f>
        <v>96.1845338013424</v>
      </c>
      <c r="AH690" s="97" t="n">
        <f aca="false">AH685+AH686+AH687+AH688+AH689-AH688</f>
        <v>91.3334881306854</v>
      </c>
      <c r="AI690" s="97" t="n">
        <f aca="false">AI685+AI686+AI687+AI688+AI689-AI688</f>
        <v>96.8317102933285</v>
      </c>
      <c r="AJ690" s="97" t="n">
        <f aca="false">AJ685+AJ686+AJ687+AJ688+AJ689-AJ688</f>
        <v>96.964876319478</v>
      </c>
      <c r="AK690" s="97" t="n">
        <f aca="false">AK685+AK686+AK687+AK688+AK689-AK688</f>
        <v>97.043335874518</v>
      </c>
      <c r="AL690" s="97" t="n">
        <f aca="false">AL685+AL686+AL687+AL688+AL689-AL688</f>
        <v>97.0993661598733</v>
      </c>
      <c r="AM690" s="98"/>
      <c r="AN690" s="98"/>
      <c r="AO690" s="98"/>
      <c r="AP690" s="98"/>
      <c r="AQ690" s="98"/>
      <c r="AR690" s="98"/>
      <c r="AS690" s="98"/>
      <c r="AT690" s="98"/>
      <c r="AU690" s="98"/>
      <c r="AV690" s="98"/>
      <c r="AW690" s="98"/>
      <c r="AX690" s="98"/>
      <c r="AY690" s="98"/>
    </row>
    <row r="691" customFormat="false" ht="15" hidden="false" customHeight="true" outlineLevel="0" collapsed="false">
      <c r="A691" s="38" t="s">
        <v>680</v>
      </c>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c r="AY691" s="45"/>
    </row>
    <row r="692" customFormat="false" ht="15" hidden="false" customHeight="true" outlineLevel="0" collapsed="false">
      <c r="A692" s="47" t="s">
        <v>681</v>
      </c>
      <c r="B692" s="74" t="n">
        <f aca="false">+(B599)/B78</f>
        <v>1.48207592053286</v>
      </c>
      <c r="C692" s="74" t="n">
        <f aca="false">+(C599)/C78</f>
        <v>1.50565078591759</v>
      </c>
      <c r="D692" s="74" t="n">
        <f aca="false">+(D599)/D78</f>
        <v>2.04744166491486</v>
      </c>
      <c r="E692" s="74" t="n">
        <f aca="false">+(E599)/E78</f>
        <v>2.184374710962</v>
      </c>
      <c r="F692" s="74" t="n">
        <f aca="false">+(F599)/F78</f>
        <v>2.3082721623826</v>
      </c>
      <c r="G692" s="74" t="n">
        <f aca="false">+(G599)/G78</f>
        <v>2.3182423967241</v>
      </c>
      <c r="H692" s="74" t="n">
        <f aca="false">+(H599)/H78</f>
        <v>2.33228859235342</v>
      </c>
      <c r="I692" s="74" t="n">
        <f aca="false">+(I599)/I78</f>
        <v>2.39669676866029</v>
      </c>
      <c r="J692" s="74" t="n">
        <f aca="false">+(J599)/J78</f>
        <v>2.47786494463083</v>
      </c>
      <c r="K692" s="74" t="n">
        <f aca="false">+(K599)/K78</f>
        <v>2.17977322604243</v>
      </c>
      <c r="L692" s="74" t="n">
        <f aca="false">+(L599)/L78</f>
        <v>2.01693026932035</v>
      </c>
      <c r="M692" s="74" t="n">
        <f aca="false">+(M599)/M78</f>
        <v>2.21097671720102</v>
      </c>
      <c r="N692" s="74" t="n">
        <f aca="false">+(N599)/N78</f>
        <v>2.45496262475931</v>
      </c>
      <c r="O692" s="74" t="n">
        <f aca="false">+(O599)/O78</f>
        <v>2.89060363951899</v>
      </c>
      <c r="P692" s="74" t="n">
        <f aca="false">+(P599)/P78</f>
        <v>3.57770778097547</v>
      </c>
      <c r="Q692" s="74" t="n">
        <f aca="false">+(Q599)/Q78</f>
        <v>4.03840747478088</v>
      </c>
      <c r="R692" s="74" t="n">
        <f aca="false">+(R599)/R78</f>
        <v>6.52820665663416</v>
      </c>
      <c r="S692" s="74" t="n">
        <f aca="false">+(S599)/S78</f>
        <v>6.89438899921975</v>
      </c>
      <c r="T692" s="74" t="n">
        <f aca="false">+(T599)/T78</f>
        <v>7.44726186950423</v>
      </c>
      <c r="U692" s="74" t="n">
        <f aca="false">+(U599)/U78</f>
        <v>7.90807894974217</v>
      </c>
      <c r="V692" s="74" t="n">
        <f aca="false">+(V599)/V78</f>
        <v>8.37392715396064</v>
      </c>
      <c r="W692" s="74" t="n">
        <f aca="false">+(W599)/W78</f>
        <v>8.3696897033841</v>
      </c>
      <c r="X692" s="74" t="n">
        <f aca="false">+(X599)/X78</f>
        <v>9.01819876452978</v>
      </c>
      <c r="Y692" s="74" t="n">
        <f aca="false">+(Y599)/Y78</f>
        <v>9.49995607685496</v>
      </c>
      <c r="Z692" s="74" t="n">
        <f aca="false">+(Z599)/Z78</f>
        <v>10.7630462282317</v>
      </c>
      <c r="AA692" s="74" t="n">
        <f aca="false">+(AA599)/AA78</f>
        <v>12.2386968639353</v>
      </c>
      <c r="AB692" s="74" t="n">
        <f aca="false">+(AB599)/AB78</f>
        <v>14.1925225685573</v>
      </c>
      <c r="AC692" s="74" t="n">
        <f aca="false">+(AC599)/AC78</f>
        <v>12.3726622381196</v>
      </c>
      <c r="AD692" s="74" t="n">
        <f aca="false">+(AD599)/AD78</f>
        <v>11.8841764605689</v>
      </c>
      <c r="AE692" s="74" t="n">
        <f aca="false">+(AE599)/AE78</f>
        <v>12.4968489184125</v>
      </c>
      <c r="AF692" s="74" t="n">
        <f aca="false">+(AF599)/AF78</f>
        <v>14.3486257280065</v>
      </c>
      <c r="AG692" s="74" t="n">
        <f aca="false">+(AG599)/AG78</f>
        <v>15.0025031502231</v>
      </c>
      <c r="AH692" s="74" t="n">
        <f aca="false">+(AH599)/AH78</f>
        <v>19.6131278733186</v>
      </c>
      <c r="AI692" s="74" t="n">
        <f aca="false">+(AI599)/AI78</f>
        <v>22.3248948739338</v>
      </c>
      <c r="AJ692" s="74" t="n">
        <f aca="false">+(AJ599)/AJ78</f>
        <v>26.4545340763912</v>
      </c>
      <c r="AK692" s="74" t="n">
        <f aca="false">+(AK599)/AK78</f>
        <v>30.5658844105318</v>
      </c>
      <c r="AL692" s="74" t="n">
        <f aca="false">+(AL599)/AL78</f>
        <v>34.8950363158172</v>
      </c>
      <c r="AM692" s="36"/>
      <c r="AN692" s="36"/>
      <c r="AO692" s="36"/>
      <c r="AP692" s="36"/>
      <c r="AQ692" s="36"/>
      <c r="AR692" s="36"/>
      <c r="AS692" s="36"/>
      <c r="AT692" s="36"/>
      <c r="AU692" s="36"/>
      <c r="AV692" s="36"/>
      <c r="AW692" s="36"/>
      <c r="AX692" s="36"/>
      <c r="AY692" s="36"/>
    </row>
    <row r="693" customFormat="false" ht="15" hidden="false" customHeight="true" outlineLevel="0" collapsed="false">
      <c r="A693" s="47" t="s">
        <v>682</v>
      </c>
      <c r="B693" s="74" t="n">
        <f aca="false">+(B599-B587)/B78</f>
        <v>1.3622012052709</v>
      </c>
      <c r="C693" s="74" t="n">
        <f aca="false">+(C599-C587)/C78</f>
        <v>1.40092694684479</v>
      </c>
      <c r="D693" s="74" t="n">
        <f aca="false">+(D599-D587)/D78</f>
        <v>1.97999159133908</v>
      </c>
      <c r="E693" s="74" t="n">
        <f aca="false">+(E599-E587)/E78</f>
        <v>2.11829326741165</v>
      </c>
      <c r="F693" s="74" t="n">
        <f aca="false">+(F599-F587)/F78</f>
        <v>2.243418342036</v>
      </c>
      <c r="G693" s="74" t="n">
        <f aca="false">+(G599-G587)/G78</f>
        <v>2.25461619958126</v>
      </c>
      <c r="H693" s="74" t="n">
        <f aca="false">+(H599-H587)/H78</f>
        <v>2.27037770434461</v>
      </c>
      <c r="I693" s="74" t="n">
        <f aca="false">+(I599-I587)/I78</f>
        <v>2.33823751986479</v>
      </c>
      <c r="J693" s="74" t="n">
        <f aca="false">+(J599-J587)/J78</f>
        <v>2.42075944471071</v>
      </c>
      <c r="K693" s="74" t="n">
        <f aca="false">+(K599-K587)/K78</f>
        <v>2.12402357709221</v>
      </c>
      <c r="L693" s="74" t="n">
        <f aca="false">+(L599-L587)/L78</f>
        <v>1.96253436924552</v>
      </c>
      <c r="M693" s="74" t="n">
        <f aca="false">+(M599-M587)/M78</f>
        <v>2.15793456600156</v>
      </c>
      <c r="N693" s="74" t="n">
        <f aca="false">+(N599-N587)/N78</f>
        <v>2.40327422243524</v>
      </c>
      <c r="O693" s="74" t="n">
        <f aca="false">+(O599-O587)/O78</f>
        <v>2.84159988212084</v>
      </c>
      <c r="P693" s="74" t="n">
        <f aca="false">+(P599-P587)/P78</f>
        <v>3.53435949149086</v>
      </c>
      <c r="Q693" s="74" t="n">
        <f aca="false">+(Q599-Q587)/Q78</f>
        <v>3.99635619465701</v>
      </c>
      <c r="R693" s="74" t="n">
        <f aca="false">+(R599-R587)/R78</f>
        <v>3.96333160946584</v>
      </c>
      <c r="S693" s="74" t="n">
        <f aca="false">+(S599-S587)/S78</f>
        <v>4.38906705944787</v>
      </c>
      <c r="T693" s="74" t="n">
        <f aca="false">+(T599-T587)/T78</f>
        <v>4.99248708226907</v>
      </c>
      <c r="U693" s="74" t="n">
        <f aca="false">+(U599-U587)/U78</f>
        <v>5.43999372340905</v>
      </c>
      <c r="V693" s="74" t="n">
        <f aca="false">+(V599-V587)/V78</f>
        <v>5.93723578183021</v>
      </c>
      <c r="W693" s="74" t="n">
        <f aca="false">+(W599-W587)/W78</f>
        <v>6.16362452455763</v>
      </c>
      <c r="X693" s="74" t="n">
        <f aca="false">+(X599-X587)/X78</f>
        <v>7.2229561682151</v>
      </c>
      <c r="Y693" s="74" t="n">
        <f aca="false">+(Y599-Y587)/Y78</f>
        <v>9.49995607685496</v>
      </c>
      <c r="Z693" s="74" t="n">
        <f aca="false">+(Z599-Z587)/Z78</f>
        <v>10.7630462282317</v>
      </c>
      <c r="AA693" s="74" t="n">
        <f aca="false">+(AA599-AA587)/AA78</f>
        <v>12.2386968639353</v>
      </c>
      <c r="AB693" s="74" t="n">
        <f aca="false">+(AB599-AB587)/AB78</f>
        <v>14.1925225685573</v>
      </c>
      <c r="AC693" s="74" t="n">
        <f aca="false">+(AC599-AC587)/AC78</f>
        <v>12.3726622381196</v>
      </c>
      <c r="AD693" s="74" t="n">
        <f aca="false">+(AD599-AD587)/AD78</f>
        <v>11.8841764605689</v>
      </c>
      <c r="AE693" s="74" t="n">
        <f aca="false">+(AE599-AE587)/AE78</f>
        <v>12.4968489184125</v>
      </c>
      <c r="AF693" s="74" t="n">
        <f aca="false">+(AF599-AF587)/AF78</f>
        <v>14.3486257280065</v>
      </c>
      <c r="AG693" s="74" t="n">
        <f aca="false">+(AG599-AG587)/AG78</f>
        <v>15.0025031502231</v>
      </c>
      <c r="AH693" s="74" t="n">
        <f aca="false">+(AH599-AH587)/AH78</f>
        <v>19.6131278733186</v>
      </c>
      <c r="AI693" s="74" t="n">
        <f aca="false">+(AI599-AI587)/AI78</f>
        <v>22.3248948739338</v>
      </c>
      <c r="AJ693" s="74" t="n">
        <f aca="false">+(AJ599-AJ587)/AJ78</f>
        <v>26.4545340763912</v>
      </c>
      <c r="AK693" s="74" t="n">
        <f aca="false">+(AK599-AK587)/AK78</f>
        <v>30.5658844105318</v>
      </c>
      <c r="AL693" s="74" t="n">
        <f aca="false">+(AL599-AL587)/AL78</f>
        <v>34.8950363158172</v>
      </c>
      <c r="AM693" s="36"/>
      <c r="AN693" s="36"/>
      <c r="AO693" s="36"/>
      <c r="AP693" s="36"/>
      <c r="AQ693" s="36"/>
      <c r="AR693" s="36"/>
      <c r="AS693" s="36"/>
      <c r="AT693" s="36"/>
      <c r="AU693" s="36"/>
      <c r="AV693" s="36"/>
      <c r="AW693" s="36"/>
      <c r="AX693" s="36"/>
      <c r="AY693" s="36"/>
    </row>
    <row r="694" customFormat="false" ht="15" hidden="false" customHeight="true" outlineLevel="0" collapsed="false">
      <c r="A694" s="47" t="s">
        <v>683</v>
      </c>
      <c r="B694" s="103" t="n">
        <f aca="false">+B610/B599</f>
        <v>1.24936101498301</v>
      </c>
      <c r="C694" s="103" t="n">
        <f aca="false">+C610/C599</f>
        <v>1.13368784739149</v>
      </c>
      <c r="D694" s="103" t="n">
        <f aca="false">+D610/D599</f>
        <v>0.606905976377047</v>
      </c>
      <c r="E694" s="103" t="n">
        <f aca="false">+E610/E599</f>
        <v>0.853171173910784</v>
      </c>
      <c r="F694" s="103" t="n">
        <f aca="false">+F610/F599</f>
        <v>1.07099925142203</v>
      </c>
      <c r="G694" s="103" t="n">
        <f aca="false">+G610/G599</f>
        <v>1.13104436333961</v>
      </c>
      <c r="H694" s="103" t="n">
        <f aca="false">+H610/H599</f>
        <v>0.867201378630329</v>
      </c>
      <c r="I694" s="103" t="n">
        <f aca="false">+I610/I599</f>
        <v>0.846988151527829</v>
      </c>
      <c r="J694" s="103" t="n">
        <f aca="false">+J610/J599</f>
        <v>0.791516508873732</v>
      </c>
      <c r="K694" s="103" t="n">
        <f aca="false">+K610/K599</f>
        <v>0.856788109007834</v>
      </c>
      <c r="L694" s="103" t="n">
        <f aca="false">+L610/L599</f>
        <v>0.747819144833796</v>
      </c>
      <c r="M694" s="103" t="n">
        <f aca="false">+M610/M599</f>
        <v>0.47449555379983</v>
      </c>
      <c r="N694" s="103" t="n">
        <f aca="false">+N610/N599</f>
        <v>0.753859392994909</v>
      </c>
      <c r="O694" s="103" t="n">
        <f aca="false">+O610/O599</f>
        <v>0.489876831299873</v>
      </c>
      <c r="P694" s="103" t="n">
        <f aca="false">+P610/P599</f>
        <v>0.338017954488833</v>
      </c>
      <c r="Q694" s="103" t="n">
        <f aca="false">+Q610/Q599</f>
        <v>0.412986707194383</v>
      </c>
      <c r="R694" s="103" t="n">
        <f aca="false">+R610/(R599-R587)</f>
        <v>0.928455085563793</v>
      </c>
      <c r="S694" s="103" t="n">
        <f aca="false">+S610/(S599-S587)</f>
        <v>0.943614832794931</v>
      </c>
      <c r="T694" s="103" t="n">
        <f aca="false">+T610/(T599-T587)</f>
        <v>0.966717445467118</v>
      </c>
      <c r="U694" s="103" t="n">
        <f aca="false">+U610/(U599-U587)</f>
        <v>1.07015187318436</v>
      </c>
      <c r="V694" s="103" t="n">
        <f aca="false">+V610/(V599-V587)</f>
        <v>1.37855580249634</v>
      </c>
      <c r="W694" s="103" t="n">
        <f aca="false">+W610/(W599-W587)</f>
        <v>1.43002533776702</v>
      </c>
      <c r="X694" s="103" t="n">
        <f aca="false">+X610/(X599-X587)</f>
        <v>0.81479420771883</v>
      </c>
      <c r="Y694" s="103" t="n">
        <f aca="false">+Y610/(Y599-Y587)</f>
        <v>0.446628120152827</v>
      </c>
      <c r="Z694" s="103" t="n">
        <f aca="false">+Z610/(Z599-Z587)</f>
        <v>0.350118973548382</v>
      </c>
      <c r="AA694" s="103" t="n">
        <f aca="false">+AA610/(AA599-AA587)</f>
        <v>0.139894714400512</v>
      </c>
      <c r="AB694" s="103" t="n">
        <f aca="false">+AB610/(AB599-AB587)</f>
        <v>0.0758914266306468</v>
      </c>
      <c r="AC694" s="103" t="n">
        <f aca="false">+AC610/(AC599-AC587)</f>
        <v>0.45172969676445</v>
      </c>
      <c r="AD694" s="103" t="n">
        <f aca="false">+AD610/(AD599-AD587)</f>
        <v>0.550543197844408</v>
      </c>
      <c r="AE694" s="103" t="n">
        <f aca="false">+AE610/(AE599-AE587)</f>
        <v>0.484384413035478</v>
      </c>
      <c r="AF694" s="103" t="n">
        <f aca="false">+AF610/(AF599-AF587)</f>
        <v>0.382732796885756</v>
      </c>
      <c r="AG694" s="103" t="n">
        <f aca="false">+AG610/(AG599-AG587)</f>
        <v>0.260987904026732</v>
      </c>
      <c r="AH694" s="103" t="n">
        <f aca="false">+AH610/(AH599-AH587)</f>
        <v>0.128635038923359</v>
      </c>
      <c r="AI694" s="103" t="n">
        <f aca="false">+AI610/(AI599-AI587)</f>
        <v>0.0911310703081271</v>
      </c>
      <c r="AJ694" s="103" t="n">
        <f aca="false">+AJ610/(AJ599-AJ587)</f>
        <v>0.0640344780364125</v>
      </c>
      <c r="AK694" s="103" t="n">
        <f aca="false">+AK610/(AK599-AK587)</f>
        <v>0.0442818202149588</v>
      </c>
      <c r="AL694" s="103" t="n">
        <f aca="false">+AL610/(AL599-AL587)</f>
        <v>0.0290305963836864</v>
      </c>
      <c r="AM694" s="50" t="s">
        <v>684</v>
      </c>
      <c r="AN694" s="80"/>
      <c r="AO694" s="80"/>
      <c r="AP694" s="80"/>
      <c r="AQ694" s="80"/>
      <c r="AR694" s="80"/>
      <c r="AS694" s="80"/>
      <c r="AT694" s="80"/>
      <c r="AU694" s="80"/>
      <c r="AV694" s="80"/>
      <c r="AW694" s="80"/>
      <c r="AX694" s="80"/>
      <c r="AY694" s="80"/>
    </row>
    <row r="695" customFormat="false" ht="15" hidden="false" customHeight="true" outlineLevel="0" collapsed="false">
      <c r="A695" s="47" t="s">
        <v>685</v>
      </c>
      <c r="B695" s="103" t="n">
        <f aca="false">+B677/B599</f>
        <v>2.24937803837072</v>
      </c>
      <c r="C695" s="103" t="n">
        <f aca="false">+C677/C599</f>
        <v>2.13365804436819</v>
      </c>
      <c r="D695" s="103" t="n">
        <f aca="false">+D677/D599</f>
        <v>1.60690700310483</v>
      </c>
      <c r="E695" s="103" t="n">
        <f aca="false">+E677/E599</f>
        <v>1.8531702115784</v>
      </c>
      <c r="F695" s="103" t="n">
        <f aca="false">+F677/F599</f>
        <v>2.07099834074322</v>
      </c>
      <c r="G695" s="103" t="n">
        <f aca="false">+G677/G599</f>
        <v>2.13104436333961</v>
      </c>
      <c r="H695" s="103" t="n">
        <f aca="false">+H677/H599</f>
        <v>1.86720047732912</v>
      </c>
      <c r="I695" s="103" t="n">
        <f aca="false">+I677/I599</f>
        <v>1.84698815152783</v>
      </c>
      <c r="J695" s="103" t="n">
        <f aca="false">+J677/J599</f>
        <v>1.79151650887373</v>
      </c>
      <c r="K695" s="103" t="n">
        <f aca="false">+K677/K599</f>
        <v>2.03919753354299</v>
      </c>
      <c r="L695" s="103" t="n">
        <f aca="false">+L677/L599</f>
        <v>1.92343296306564</v>
      </c>
      <c r="M695" s="103" t="n">
        <f aca="false">+M677/M599</f>
        <v>1.6459031543159</v>
      </c>
      <c r="N695" s="103" t="n">
        <f aca="false">+N677/N599</f>
        <v>1.90015027421834</v>
      </c>
      <c r="O695" s="103" t="n">
        <f aca="false">+O677/O599</f>
        <v>1.61709451571132</v>
      </c>
      <c r="P695" s="103" t="n">
        <f aca="false">+P677/P599</f>
        <v>1.44196196705529</v>
      </c>
      <c r="Q695" s="103" t="n">
        <f aca="false">+Q677/Q599</f>
        <v>1.53109844568265</v>
      </c>
      <c r="R695" s="103" t="n">
        <f aca="false">+R677/R599</f>
        <v>1.64061214790643</v>
      </c>
      <c r="S695" s="103" t="n">
        <f aca="false">+S677/S599</f>
        <v>1.7230040868598</v>
      </c>
      <c r="T695" s="103" t="n">
        <f aca="false">+T677/T599</f>
        <v>1.78276761718211</v>
      </c>
      <c r="U695" s="103" t="n">
        <f aca="false">+U677/U599</f>
        <v>1.87183767494377</v>
      </c>
      <c r="V695" s="103" t="n">
        <f aca="false">+V677/V599</f>
        <v>2.11378246216659</v>
      </c>
      <c r="W695" s="103" t="n">
        <f aca="false">+W677/W599</f>
        <v>2.16020247548775</v>
      </c>
      <c r="X695" s="103" t="n">
        <f aca="false">+X677/X599</f>
        <v>1.76772117621505</v>
      </c>
      <c r="Y695" s="103" t="n">
        <f aca="false">+Y677/Y599</f>
        <v>1.56783490443297</v>
      </c>
      <c r="Z695" s="103" t="n">
        <f aca="false">+Z677/Z599</f>
        <v>1.40658852670839</v>
      </c>
      <c r="AA695" s="103" t="n">
        <f aca="false">+AA677/AA599</f>
        <v>1.24577564125155</v>
      </c>
      <c r="AB695" s="103" t="n">
        <f aca="false">+AB677/AB599</f>
        <v>1.1724550941322</v>
      </c>
      <c r="AC695" s="103" t="n">
        <f aca="false">+AC677/AC599</f>
        <v>1.55812163838331</v>
      </c>
      <c r="AD695" s="103" t="n">
        <f aca="false">+AD677/AD599</f>
        <v>1.6423937969386</v>
      </c>
      <c r="AE695" s="103" t="n">
        <f aca="false">+AE677/AE599</f>
        <v>1.56133244285734</v>
      </c>
      <c r="AF695" s="103" t="n">
        <f aca="false">+AF677/AF599</f>
        <v>1.53651997436445</v>
      </c>
      <c r="AG695" s="103" t="n">
        <f aca="false">+AG677/AG599</f>
        <v>1.44090543302949</v>
      </c>
      <c r="AH695" s="103" t="n">
        <f aca="false">+AH677/AH599</f>
        <v>1.27120991006868</v>
      </c>
      <c r="AI695" s="103" t="n">
        <f aca="false">+AI677/AI599</f>
        <v>1.21361017949551</v>
      </c>
      <c r="AJ695" s="103" t="n">
        <f aca="false">+AJ677/AJ599</f>
        <v>1.1760064248313</v>
      </c>
      <c r="AK695" s="103" t="n">
        <f aca="false">+AK677/AK599</f>
        <v>1.14931726708075</v>
      </c>
      <c r="AL695" s="103" t="n">
        <f aca="false">+AL677/AL599</f>
        <v>1.12879482819841</v>
      </c>
      <c r="AM695" s="80"/>
      <c r="AN695" s="80"/>
      <c r="AO695" s="80"/>
      <c r="AP695" s="80"/>
      <c r="AQ695" s="80"/>
      <c r="AR695" s="80"/>
      <c r="AS695" s="80"/>
      <c r="AT695" s="80"/>
      <c r="AU695" s="80"/>
      <c r="AV695" s="80"/>
      <c r="AW695" s="80"/>
      <c r="AX695" s="80"/>
      <c r="AY695" s="80"/>
    </row>
    <row r="696" customFormat="false" ht="15" hidden="false" customHeight="true" outlineLevel="0" collapsed="false">
      <c r="A696" s="47" t="s">
        <v>686</v>
      </c>
      <c r="B696" s="103" t="n">
        <f aca="false">+B610/B677</f>
        <v>0.555425096924997</v>
      </c>
      <c r="C696" s="103" t="n">
        <f aca="false">+C610/C677</f>
        <v>0.531335304822566</v>
      </c>
      <c r="D696" s="103" t="n">
        <f aca="false">+D610/D677</f>
        <v>0.377685812062801</v>
      </c>
      <c r="E696" s="103" t="n">
        <f aca="false">+E610/E677</f>
        <v>0.460384679496933</v>
      </c>
      <c r="F696" s="103" t="n">
        <f aca="false">+F610/F677</f>
        <v>0.517141530416521</v>
      </c>
      <c r="G696" s="103" t="n">
        <f aca="false">+G610/G677</f>
        <v>0.530746512272096</v>
      </c>
      <c r="H696" s="103" t="n">
        <f aca="false">+H610/H677</f>
        <v>0.464439351403118</v>
      </c>
      <c r="I696" s="103" t="n">
        <f aca="false">+I610/I677</f>
        <v>0.458578010274295</v>
      </c>
      <c r="J696" s="103" t="n">
        <f aca="false">+J610/J677</f>
        <v>0.441813684078933</v>
      </c>
      <c r="K696" s="103" t="n">
        <f aca="false">+K610/K677</f>
        <v>0.420159447485803</v>
      </c>
      <c r="L696" s="103" t="n">
        <f aca="false">+L610/L677</f>
        <v>0.388793973688531</v>
      </c>
      <c r="M696" s="103" t="n">
        <f aca="false">+M610/M677</f>
        <v>0.288288865936981</v>
      </c>
      <c r="N696" s="103" t="n">
        <f aca="false">+N610/N677</f>
        <v>0.396736722996829</v>
      </c>
      <c r="O696" s="103" t="n">
        <f aca="false">+O610/O677</f>
        <v>0.302936424890656</v>
      </c>
      <c r="P696" s="103" t="n">
        <f aca="false">+P610/P677</f>
        <v>0.234415305127027</v>
      </c>
      <c r="Q696" s="103" t="n">
        <f aca="false">+Q610/Q677</f>
        <v>0.269732301250067</v>
      </c>
      <c r="R696" s="103" t="n">
        <f aca="false">+R610/R677</f>
        <v>0.343574951184096</v>
      </c>
      <c r="S696" s="103" t="n">
        <f aca="false">+S610/S677</f>
        <v>0.348646158221116</v>
      </c>
      <c r="T696" s="103" t="n">
        <f aca="false">+T610/T677</f>
        <v>0.363517349971313</v>
      </c>
      <c r="U696" s="103" t="n">
        <f aca="false">+U610/U677</f>
        <v>0.393282510968587</v>
      </c>
      <c r="V696" s="103" t="n">
        <f aca="false">+V610/V677</f>
        <v>0.462401439975753</v>
      </c>
      <c r="W696" s="103" t="n">
        <f aca="false">+W610/W677</f>
        <v>0.487501650402427</v>
      </c>
      <c r="X696" s="103" t="n">
        <f aca="false">+X610/X677</f>
        <v>0.369172501866622</v>
      </c>
      <c r="Y696" s="103" t="n">
        <f aca="false">+Y610/Y677</f>
        <v>0.284869356390785</v>
      </c>
      <c r="Z696" s="103" t="n">
        <f aca="false">+Z610/Z677</f>
        <v>0.248913571311227</v>
      </c>
      <c r="AA696" s="103" t="n">
        <f aca="false">+AA610/AA677</f>
        <v>0.112295271931926</v>
      </c>
      <c r="AB696" s="103" t="n">
        <f aca="false">+AB610/AB677</f>
        <v>0.0647286424959568</v>
      </c>
      <c r="AC696" s="103" t="n">
        <f aca="false">+AC610/AC677</f>
        <v>0.289919404003117</v>
      </c>
      <c r="AD696" s="103" t="n">
        <f aca="false">+AD610/AD677</f>
        <v>0.335207791743133</v>
      </c>
      <c r="AE696" s="103" t="n">
        <f aca="false">+AE610/AE677</f>
        <v>0.310237845406596</v>
      </c>
      <c r="AF696" s="103" t="n">
        <f aca="false">+AF610/AF677</f>
        <v>0.249090674557657</v>
      </c>
      <c r="AG696" s="103" t="n">
        <f aca="false">+AG610/AG677</f>
        <v>0.181127711815208</v>
      </c>
      <c r="AH696" s="103" t="n">
        <f aca="false">+AH610/AH677</f>
        <v>0.101191029038162</v>
      </c>
      <c r="AI696" s="103" t="n">
        <f aca="false">+AI610/AI677</f>
        <v>0.0750908914969795</v>
      </c>
      <c r="AJ696" s="103" t="n">
        <f aca="false">+AJ610/AJ677</f>
        <v>0.0544507892850997</v>
      </c>
      <c r="AK696" s="103" t="n">
        <f aca="false">+AK610/AK677</f>
        <v>0.0385288044331172</v>
      </c>
      <c r="AL696" s="103" t="n">
        <f aca="false">+AL610/AL677</f>
        <v>0.0257182223540306</v>
      </c>
      <c r="AM696" s="80"/>
      <c r="AN696" s="80"/>
      <c r="AO696" s="80"/>
      <c r="AP696" s="80"/>
      <c r="AQ696" s="80"/>
      <c r="AR696" s="80"/>
      <c r="AS696" s="80"/>
      <c r="AT696" s="80"/>
      <c r="AU696" s="80"/>
      <c r="AV696" s="80"/>
      <c r="AW696" s="80"/>
      <c r="AX696" s="80"/>
      <c r="AY696" s="80"/>
    </row>
    <row r="697" customFormat="false" ht="15" hidden="false" customHeight="true" outlineLevel="0" collapsed="false">
      <c r="A697" s="47" t="s">
        <v>687</v>
      </c>
      <c r="B697" s="103" t="n">
        <f aca="false">+B610/B623</f>
        <v>0.555429300437328</v>
      </c>
      <c r="C697" s="103" t="n">
        <f aca="false">+C610/C623</f>
        <v>0.531327883212844</v>
      </c>
      <c r="D697" s="103" t="n">
        <f aca="false">+D610/D623</f>
        <v>0.377686053384023</v>
      </c>
      <c r="E697" s="103" t="n">
        <f aca="false">+E610/E623</f>
        <v>0.460384440423989</v>
      </c>
      <c r="F697" s="103" t="n">
        <f aca="false">+F610/F623</f>
        <v>0.5171413030143</v>
      </c>
      <c r="G697" s="103" t="n">
        <f aca="false">+G610/G623</f>
        <v>0.530746512272096</v>
      </c>
      <c r="H697" s="103" t="n">
        <f aca="false">+H610/H623</f>
        <v>0.464439127217471</v>
      </c>
      <c r="I697" s="103" t="n">
        <f aca="false">+I610/I623</f>
        <v>0.458578010274295</v>
      </c>
      <c r="J697" s="103" t="n">
        <f aca="false">+J610/J623</f>
        <v>0.441813684078933</v>
      </c>
      <c r="K697" s="103" t="n">
        <f aca="false">+K610/K623</f>
        <v>0.420159447485803</v>
      </c>
      <c r="L697" s="103" t="n">
        <f aca="false">+L610/L623</f>
        <v>0.388793973688531</v>
      </c>
      <c r="M697" s="103" t="n">
        <f aca="false">+M610/M623</f>
        <v>0.288288865936981</v>
      </c>
      <c r="N697" s="103" t="n">
        <f aca="false">+N610/N623</f>
        <v>0.396736722996829</v>
      </c>
      <c r="O697" s="103" t="n">
        <f aca="false">+O610/O623</f>
        <v>0.302936424890656</v>
      </c>
      <c r="P697" s="103" t="n">
        <f aca="false">+P610/P623</f>
        <v>0.234415305127027</v>
      </c>
      <c r="Q697" s="103" t="n">
        <f aca="false">+Q610/Q623</f>
        <v>0.269732301250067</v>
      </c>
      <c r="R697" s="103" t="n">
        <f aca="false">+R610/R623</f>
        <v>0.343574951184096</v>
      </c>
      <c r="S697" s="103" t="n">
        <f aca="false">+S610/S623</f>
        <v>0.348646158221116</v>
      </c>
      <c r="T697" s="103" t="n">
        <f aca="false">+T610/T623</f>
        <v>0.363517349971313</v>
      </c>
      <c r="U697" s="103" t="n">
        <f aca="false">+U610/U623</f>
        <v>0.393282510968587</v>
      </c>
      <c r="V697" s="103" t="n">
        <f aca="false">+V610/V623</f>
        <v>0.462401439975753</v>
      </c>
      <c r="W697" s="103" t="n">
        <f aca="false">+W610/W623</f>
        <v>0.487501650402427</v>
      </c>
      <c r="X697" s="103" t="n">
        <f aca="false">+X610/X623</f>
        <v>0.369172501866622</v>
      </c>
      <c r="Y697" s="103" t="n">
        <f aca="false">+Y610/Y623</f>
        <v>0.284869356390785</v>
      </c>
      <c r="Z697" s="103" t="n">
        <f aca="false">+Z610/Z623</f>
        <v>0.248913571311227</v>
      </c>
      <c r="AA697" s="103" t="n">
        <f aca="false">+AA610/AA623</f>
        <v>0.112295271931926</v>
      </c>
      <c r="AB697" s="103" t="n">
        <f aca="false">+AB610/AB623</f>
        <v>0.0647286424959568</v>
      </c>
      <c r="AC697" s="103" t="n">
        <f aca="false">+AC610/AC623</f>
        <v>0.289919404003117</v>
      </c>
      <c r="AD697" s="103" t="n">
        <f aca="false">+AD610/AD623</f>
        <v>0.335207791743133</v>
      </c>
      <c r="AE697" s="103" t="n">
        <f aca="false">+AE610/AE623</f>
        <v>0.310237845406596</v>
      </c>
      <c r="AF697" s="103" t="n">
        <f aca="false">+AF610/AF623</f>
        <v>0.249090674557657</v>
      </c>
      <c r="AG697" s="103" t="n">
        <f aca="false">+AG610/AG623</f>
        <v>0.181127711815208</v>
      </c>
      <c r="AH697" s="103" t="n">
        <f aca="false">+AH610/AH623</f>
        <v>0.101191029038162</v>
      </c>
      <c r="AI697" s="103" t="n">
        <f aca="false">+AI610/AI623</f>
        <v>0.0750908914969795</v>
      </c>
      <c r="AJ697" s="103" t="n">
        <f aca="false">+AJ610/AJ623</f>
        <v>0.0544507892850997</v>
      </c>
      <c r="AK697" s="103" t="n">
        <f aca="false">+AK610/AK623</f>
        <v>0.0385288044331172</v>
      </c>
      <c r="AL697" s="103" t="n">
        <f aca="false">+AL610/AL623</f>
        <v>0.0257182223540306</v>
      </c>
      <c r="AM697" s="80"/>
      <c r="AN697" s="80"/>
      <c r="AO697" s="80"/>
      <c r="AP697" s="80"/>
      <c r="AQ697" s="80"/>
      <c r="AR697" s="80"/>
      <c r="AS697" s="80"/>
      <c r="AT697" s="80"/>
      <c r="AU697" s="80"/>
      <c r="AV697" s="80"/>
      <c r="AW697" s="80"/>
      <c r="AX697" s="80"/>
      <c r="AY697" s="80"/>
    </row>
    <row r="698" customFormat="false" ht="15" hidden="false" customHeight="true" outlineLevel="0" collapsed="false">
      <c r="A698" s="47" t="s">
        <v>688</v>
      </c>
      <c r="B698" s="103" t="n">
        <f aca="false">B532/B599</f>
        <v>0.0107612129406933</v>
      </c>
      <c r="C698" s="103" t="n">
        <f aca="false">C532*2/(C599+B599)</f>
        <v>0.0802088654293664</v>
      </c>
      <c r="D698" s="103" t="n">
        <f aca="false">D532*2/(D599+C599)</f>
        <v>0.0977891127012942</v>
      </c>
      <c r="E698" s="103" t="n">
        <f aca="false">E532*2/(E599+D599)</f>
        <v>0.112346568245153</v>
      </c>
      <c r="F698" s="103" t="n">
        <f aca="false">F532*2/(F599+E599)</f>
        <v>0.116913341792905</v>
      </c>
      <c r="G698" s="104" t="n">
        <f aca="false">(G532-135)*2/(G599+F599)</f>
        <v>0.00446920983031098</v>
      </c>
      <c r="H698" s="103" t="n">
        <f aca="false">H532*2/(H599+G599)</f>
        <v>0.0187303151874129</v>
      </c>
      <c r="I698" s="103" t="n">
        <f aca="false">I532*2/(I599+H599)</f>
        <v>0.0697769523668973</v>
      </c>
      <c r="J698" s="103" t="n">
        <f aca="false">J532*2/(J599+I599)</f>
        <v>0.0790725975642834</v>
      </c>
      <c r="K698" s="103" t="n">
        <f aca="false">K532*2/(K599+J599)</f>
        <v>0.0832743229831661</v>
      </c>
      <c r="L698" s="103" t="n">
        <f aca="false">L532*2/(L599+K599)</f>
        <v>0.120426419239456</v>
      </c>
      <c r="M698" s="103" t="n">
        <f aca="false">M532*2/(M599+L599)</f>
        <v>0.192494044846001</v>
      </c>
      <c r="N698" s="103" t="n">
        <f aca="false">N532*2/(N599+M599)</f>
        <v>0.244550746915521</v>
      </c>
      <c r="O698" s="103" t="n">
        <f aca="false">O532*2/(O599+N599)</f>
        <v>0.253705163472098</v>
      </c>
      <c r="P698" s="103" t="n">
        <f aca="false">P532*2/(P599+O599)</f>
        <v>0.266878256896463</v>
      </c>
      <c r="Q698" s="103" t="n">
        <f aca="false">Q532*2/(Q599+P599)</f>
        <v>0.232127709562142</v>
      </c>
      <c r="R698" s="103" t="n">
        <f aca="false">R532*2/(R599+Q599)</f>
        <v>0.0675796980231312</v>
      </c>
      <c r="S698" s="103" t="n">
        <f aca="false">S532*2/(S599+R599)</f>
        <v>0.11863223841447</v>
      </c>
      <c r="T698" s="103" t="n">
        <f aca="false">T532*2/(T599+S599)</f>
        <v>0.165440892342988</v>
      </c>
      <c r="U698" s="103" t="n">
        <f aca="false">U532*2/(U599+T599)</f>
        <v>0.138530708020559</v>
      </c>
      <c r="V698" s="103" t="n">
        <f aca="false">V532*2/(V599+U599)</f>
        <v>0.100114175024852</v>
      </c>
      <c r="W698" s="103" t="n">
        <f aca="false">W532*2/(W599+V599)</f>
        <v>0.00659517203669095</v>
      </c>
      <c r="X698" s="103" t="n">
        <f aca="false">X532*2/(X599+W599)</f>
        <v>0.0698476142423791</v>
      </c>
      <c r="Y698" s="103" t="n">
        <f aca="false">Y532*2/(Y599+X599)</f>
        <v>0.0739269827628504</v>
      </c>
      <c r="Z698" s="103" t="n">
        <f aca="false">Z532*2/(Z599+Y599)</f>
        <v>0.212096495629242</v>
      </c>
      <c r="AA698" s="103" t="n">
        <f aca="false">AA532*2/(AA599+Z599)</f>
        <v>0.235137380184529</v>
      </c>
      <c r="AB698" s="103" t="n">
        <f aca="false">AB532*2/(AB599+AA599)</f>
        <v>0.255942554886026</v>
      </c>
      <c r="AC698" s="103" t="n">
        <f aca="false">AC532*2/(AC599+AB599)</f>
        <v>0.0307147409469609</v>
      </c>
      <c r="AD698" s="103" t="n">
        <f aca="false">AD532*2/(AD599+AC599)</f>
        <v>-0.0440524984218314</v>
      </c>
      <c r="AE698" s="103" t="n">
        <f aca="false">AE532*2/(AE599+AD599)</f>
        <v>0.0757057726297848</v>
      </c>
      <c r="AF698" s="103" t="n">
        <f aca="false">AF532*2/(AF599+AE599)</f>
        <v>0.175110862986671</v>
      </c>
      <c r="AG698" s="103" t="n">
        <f aca="false">AG532*2/(AG599+AF599)</f>
        <v>0.303764699466297</v>
      </c>
      <c r="AH698" s="103" t="n">
        <f aca="false">AH532*2/(AH599+AG599)</f>
        <v>0.324980471401672</v>
      </c>
      <c r="AI698" s="103" t="n">
        <f aca="false">AI532*2/(AI599+AH599)</f>
        <v>0.289501429226206</v>
      </c>
      <c r="AJ698" s="103" t="n">
        <f aca="false">AJ532*2/(AJ599+AI599)</f>
        <v>0.272868134863456</v>
      </c>
      <c r="AK698" s="103" t="n">
        <f aca="false">AK532*2/(AK599+AJ599)</f>
        <v>0.261817614734972</v>
      </c>
      <c r="AL698" s="103" t="n">
        <f aca="false">AL532*2/(AL599+AK599)</f>
        <v>0.247076454215585</v>
      </c>
      <c r="AM698" s="80"/>
      <c r="AN698" s="80"/>
      <c r="AO698" s="80"/>
      <c r="AP698" s="80"/>
      <c r="AQ698" s="80"/>
      <c r="AR698" s="80"/>
      <c r="AS698" s="80"/>
      <c r="AT698" s="80"/>
      <c r="AU698" s="80"/>
      <c r="AV698" s="80"/>
      <c r="AW698" s="80"/>
      <c r="AX698" s="80"/>
      <c r="AY698" s="80"/>
    </row>
    <row r="699" customFormat="false" ht="15" hidden="false" customHeight="true" outlineLevel="0" collapsed="false">
      <c r="A699" s="47" t="s">
        <v>689</v>
      </c>
      <c r="B699" s="103" t="n">
        <f aca="false">(B513-B522)/B623</f>
        <v>0.0951201976355097</v>
      </c>
      <c r="C699" s="103" t="n">
        <f aca="false">(C513-C522)*2/(C623+B623)</f>
        <v>0.106356405569217</v>
      </c>
      <c r="D699" s="103" t="n">
        <f aca="false">(D513-D522)*2/(D623+C623)</f>
        <v>0.113545459042439</v>
      </c>
      <c r="E699" s="103" t="n">
        <f aca="false">(E513-E522)*2/(E623+D623)</f>
        <v>0.133281845362488</v>
      </c>
      <c r="F699" s="103" t="n">
        <f aca="false">(F513-F522)*2/(F623+E623)</f>
        <v>0.139995976032392</v>
      </c>
      <c r="G699" s="103" t="n">
        <f aca="false">(G513-G522)*2/(G623+F623)</f>
        <v>0.0835146182683808</v>
      </c>
      <c r="H699" s="103" t="n">
        <f aca="false">(H513-H522)*2/(H623+G623)</f>
        <v>0.0801140510355638</v>
      </c>
      <c r="I699" s="103" t="n">
        <f aca="false">(I513-I522)*2/(I623+H623)</f>
        <v>0.11171915525776</v>
      </c>
      <c r="J699" s="103" t="n">
        <f aca="false">(J513-J522)*2/(J623+I623)</f>
        <v>0.114921118757892</v>
      </c>
      <c r="K699" s="103" t="n">
        <f aca="false">(K513-K522)*2/(K623+J623)</f>
        <v>0.119017017168601</v>
      </c>
      <c r="L699" s="103" t="n">
        <f aca="false">(L513-L522)*2/(L623+K623)</f>
        <v>0.139623172281019</v>
      </c>
      <c r="M699" s="103" t="n">
        <f aca="false">(M513-M522)*2/(M623+L623)</f>
        <v>0.198726019197224</v>
      </c>
      <c r="N699" s="103" t="n">
        <f aca="false">(N513-N522)*2/(N623+M623)</f>
        <v>0.186384573225915</v>
      </c>
      <c r="O699" s="103" t="n">
        <f aca="false">(O513-O522)*2/(O623+N623)</f>
        <v>0.208278622105356</v>
      </c>
      <c r="P699" s="103" t="n">
        <f aca="false">(P513-P522)*2/(P623+O623)</f>
        <v>0.257744621423794</v>
      </c>
      <c r="Q699" s="103" t="n">
        <f aca="false">(Q513-Q522)*2/(Q623+P623)</f>
        <v>0.241506174323727</v>
      </c>
      <c r="R699" s="103" t="n">
        <f aca="false">(R513-R522)*2/(R623+Q623)</f>
        <v>0.0951660057769494</v>
      </c>
      <c r="S699" s="103" t="n">
        <f aca="false">(S513-S522)*2/(S623+R623)</f>
        <v>0.10813060416313</v>
      </c>
      <c r="T699" s="103" t="n">
        <f aca="false">(T513-T522)*2/(T623+S623)</f>
        <v>0.155490419600354</v>
      </c>
      <c r="U699" s="103" t="n">
        <f aca="false">(U513-U522)*2/(U623+T623)</f>
        <v>0.126305491167207</v>
      </c>
      <c r="V699" s="103" t="n">
        <f aca="false">(V513-V522)*2/(V623+U623)</f>
        <v>0.0645271290394978</v>
      </c>
      <c r="W699" s="103" t="n">
        <f aca="false">(W513-W522)*2/(W623+V623)</f>
        <v>-0.0151208776581632</v>
      </c>
      <c r="X699" s="103" t="n">
        <f aca="false">(X513-X522)*2/(X623+W623)</f>
        <v>0.0786069174900029</v>
      </c>
      <c r="Y699" s="103" t="n">
        <f aca="false">(Y513-Y522)*2/(Y623+X623)</f>
        <v>0.214727083642264</v>
      </c>
      <c r="Z699" s="103" t="n">
        <f aca="false">(Z513-Z522)*2/(Z623+Y623)</f>
        <v>0.213042467045671</v>
      </c>
      <c r="AA699" s="103" t="n">
        <f aca="false">(AA513-AA522)*2/(AA623+Z623)</f>
        <v>0.270671144926826</v>
      </c>
      <c r="AB699" s="103" t="n">
        <f aca="false">(AB513-AB522)*2/(AB623+AA623)</f>
        <v>0.280786490591009</v>
      </c>
      <c r="AC699" s="103" t="n">
        <f aca="false">(AC513-AC522)*2/(AC623+AB623)</f>
        <v>0.0594843030826676</v>
      </c>
      <c r="AD699" s="103" t="n">
        <f aca="false">(AD513-AD522)*2/(AD623+AC623)</f>
        <v>-0.0081721032475484</v>
      </c>
      <c r="AE699" s="103" t="n">
        <f aca="false">(AE513-AE522)*2/(AE623+AD623)</f>
        <v>0.0277455688827891</v>
      </c>
      <c r="AF699" s="103" t="n">
        <f aca="false">(AF513-AF522)*2/(AF623+AE623)</f>
        <v>0.18973065456371</v>
      </c>
      <c r="AG699" s="103" t="n">
        <f aca="false">(AG513-AG522)*2/(AG623+AF623)</f>
        <v>0.32255281709366</v>
      </c>
      <c r="AH699" s="103" t="n">
        <f aca="false">(AH513-AH522)*2/(AH623+AG623)</f>
        <v>0.326396761103984</v>
      </c>
      <c r="AI699" s="103" t="n">
        <f aca="false">(AI513-AI522)*2/(AI623+AH623)</f>
        <v>0.348997852564586</v>
      </c>
      <c r="AJ699" s="103" t="n">
        <f aca="false">(AJ513-AJ522)*2/(AJ623+AI623)</f>
        <v>0.312597470350812</v>
      </c>
      <c r="AK699" s="103" t="n">
        <f aca="false">(AK513-AK522)*2/(AK623+AJ623)</f>
        <v>0.306020298857956</v>
      </c>
      <c r="AL699" s="103" t="n">
        <f aca="false">(AL513-AL522)*2/(AL623+AK623)</f>
        <v>0.292883511298334</v>
      </c>
      <c r="AM699" s="80"/>
      <c r="AN699" s="80"/>
      <c r="AO699" s="80"/>
      <c r="AP699" s="80"/>
      <c r="AQ699" s="80"/>
      <c r="AR699" s="80"/>
      <c r="AS699" s="80"/>
      <c r="AT699" s="80"/>
      <c r="AU699" s="80"/>
      <c r="AV699" s="80"/>
      <c r="AW699" s="80"/>
      <c r="AX699" s="80"/>
      <c r="AY699" s="80"/>
    </row>
    <row r="700" customFormat="false" ht="15" hidden="false" customHeight="true" outlineLevel="0" collapsed="false">
      <c r="A700" s="47" t="s">
        <v>690</v>
      </c>
      <c r="B700" s="80"/>
      <c r="C700" s="103" t="n">
        <f aca="false">((C499-C522)*2)/(C677+B677-C658-B658-C636-B636)</f>
        <v>0.0622745053574468</v>
      </c>
      <c r="D700" s="103" t="n">
        <f aca="false">((D499-D522)*2)/(D677+C677-D658-C658-D636-C636)</f>
        <v>0.0584150401279548</v>
      </c>
      <c r="E700" s="103" t="n">
        <f aca="false">((E499-E522)*2)/(E677+D677-E658-D658-E636-D636)</f>
        <v>0.0557673483474228</v>
      </c>
      <c r="F700" s="103" t="n">
        <f aca="false">((F499-F522)*2)/(F677+E677-F658-E658-F636-E636)</f>
        <v>0.0806093887662751</v>
      </c>
      <c r="G700" s="103" t="n">
        <f aca="false">((G499-G522)*2)/(G677+F677-G658-F658-G636-F636)</f>
        <v>0.0373543215681822</v>
      </c>
      <c r="H700" s="103" t="n">
        <f aca="false">((H499-H522)*2)/(H677+G677-H658-G658-H636-G636)</f>
        <v>0.0420994553652033</v>
      </c>
      <c r="I700" s="103" t="n">
        <f aca="false">((I499-I522)*2)/(I677+H677-I658-H658-I636-H636)</f>
        <v>0.0915882691969506</v>
      </c>
      <c r="J700" s="103" t="n">
        <f aca="false">((J499-J522)*2)/(J677+I677-J658-I658-J636-I636)</f>
        <v>0.105307469789947</v>
      </c>
      <c r="K700" s="103" t="n">
        <f aca="false">((K499-K522)*2)/(K677+J677-K658-J658-K636-J636)</f>
        <v>0.113098543479901</v>
      </c>
      <c r="L700" s="103" t="n">
        <f aca="false">((L499-L522)*2)/(L677+K677-L658-K658-L636-K636)</f>
        <v>0.140550156696551</v>
      </c>
      <c r="M700" s="103" t="n">
        <f aca="false">((M499-M522)*2)/(M677+L677-M658-L658-M636-L636)</f>
        <v>0.218778480093103</v>
      </c>
      <c r="N700" s="103" t="n">
        <f aca="false">((N499-N522)*2)/(N677+M677-N658-M658-N636-M636)</f>
        <v>0.255734301685361</v>
      </c>
      <c r="O700" s="103" t="n">
        <f aca="false">((O499-O522)*2)/(O677+N677-O658-N658-O636-N636)</f>
        <v>0.330423423240098</v>
      </c>
      <c r="P700" s="103" t="n">
        <f aca="false">((P499-P522)*2)/(P677+O677-P658-O658-P636-O636)</f>
        <v>0.325837046951823</v>
      </c>
      <c r="Q700" s="103" t="n">
        <f aca="false">((Q499-Q522)*2)/(Q677+P677-Q658-P658-Q636-P636)</f>
        <v>0.291123476879227</v>
      </c>
      <c r="R700" s="103" t="n">
        <f aca="false">((R499-R522)*2)/(R677+Q677-R658-Q658-R636-Q636)</f>
        <v>0.0768198273626091</v>
      </c>
      <c r="S700" s="103" t="n">
        <f aca="false">((S499-S522)*2)/(S677+R677-S658-R658-S636-R636)</f>
        <v>0.103240369220309</v>
      </c>
      <c r="T700" s="103" t="n">
        <f aca="false">((T499-T522)*2)/(T677+S677-T658-S658-T636-S636)</f>
        <v>0.179689362286962</v>
      </c>
      <c r="U700" s="103" t="n">
        <f aca="false">((U499-U522)*2)/(U677+T677-U658-T658-U636-T636)</f>
        <v>0.149048788142944</v>
      </c>
      <c r="V700" s="103" t="n">
        <f aca="false">((V499-V522)*2)/(V677+U677-V658-U658-V636-U636)</f>
        <v>0.0741068669488214</v>
      </c>
      <c r="W700" s="103" t="n">
        <f aca="false">((W499-W522)*2)/(W677+V677-W658-V658-W636-V636)</f>
        <v>-0.0303115798345376</v>
      </c>
      <c r="X700" s="103" t="n">
        <f aca="false">((X499-X522)*2)/(X677+W677-X658-W658-X636-W636)</f>
        <v>0.0977002672018595</v>
      </c>
      <c r="Y700" s="103" t="n">
        <f aca="false">((Y499-Y522)*2)/(Y677+X677-Y658-X658-Y636-X636)</f>
        <v>0.3340565553196</v>
      </c>
      <c r="Z700" s="103" t="n">
        <f aca="false">((Z499-Z522)*2)/(Z677+Y677-Z658-Y658-Z636-Y636)</f>
        <v>0.346279192005428</v>
      </c>
      <c r="AA700" s="103" t="n">
        <f aca="false">((AA499-AA522)*2)/(AA677+Z677-AA658-Z658-AA636-Z636)</f>
        <v>0.629073501713213</v>
      </c>
      <c r="AB700" s="103" t="n">
        <f aca="false">((AB499-AB522)*2)/(AB677+AA677-AB658-AA658-AB636-AA636)</f>
        <v>0.638417650957239</v>
      </c>
      <c r="AC700" s="103" t="n">
        <f aca="false">((AC499-AC522)*2)/(AC677+AB677-AC658-AB658-AC636-AB636)</f>
        <v>0.0773049367913043</v>
      </c>
      <c r="AD700" s="103" t="n">
        <f aca="false">((AD499-AD522)*2)/(AD677+AC677-AD658-AC658-AD636-AC636)</f>
        <v>-0.0286410684114226</v>
      </c>
      <c r="AE700" s="103" t="n">
        <f aca="false">((AE499-AE522)*2)/(AE677+AD677-AE658-AD658-AE636-AD636)</f>
        <v>0.0367517229270341</v>
      </c>
      <c r="AF700" s="103" t="n">
        <f aca="false">((AF499-AF522)*2)/(AF677+AE677-AF658-AE658-AF636-AE636)</f>
        <v>0.386752469378476</v>
      </c>
      <c r="AG700" s="103" t="n">
        <f aca="false">((AG499-AG522)*2)/(AG677+AF677-AG658-AF658-AG636-AF636)</f>
        <v>0.820547176340511</v>
      </c>
      <c r="AH700" s="103" t="n">
        <f aca="false">((AH499-AH522)*2)/(AH677+AG677-AH658-AG658-AH636-AG636)</f>
        <v>1.20997291997386</v>
      </c>
      <c r="AI700" s="103" t="n">
        <f aca="false">((AI499-AI522)*2)/(AI677+AH677-AI658-AH658-AI636-AH636)</f>
        <v>1.81697878828485</v>
      </c>
      <c r="AJ700" s="103" t="n">
        <f aca="false">((AJ499-AJ522)*2)/(AJ677+AI677-AJ658-AI658-AJ636-AI636)</f>
        <v>1.99740608040324</v>
      </c>
      <c r="AK700" s="103" t="n">
        <f aca="false">((AK499-AK522)*2)/(AK677+AJ677-AK658-AJ658-AK636-AJ636)</f>
        <v>2.07744907293461</v>
      </c>
      <c r="AL700" s="103" t="n">
        <f aca="false">((AL499-AL522)*2)/(AL677+AK677-AL658-AK658-AL636-AK636)</f>
        <v>2.41123266722639</v>
      </c>
      <c r="AM700" s="80"/>
      <c r="AN700" s="80"/>
      <c r="AO700" s="80"/>
      <c r="AP700" s="80"/>
      <c r="AQ700" s="80"/>
      <c r="AR700" s="80"/>
      <c r="AS700" s="80"/>
      <c r="AT700" s="80"/>
      <c r="AU700" s="80"/>
      <c r="AV700" s="80"/>
      <c r="AW700" s="80"/>
      <c r="AX700" s="80"/>
      <c r="AY700" s="80"/>
    </row>
    <row r="701" customFormat="false" ht="15" hidden="false" customHeight="true" outlineLevel="0" collapsed="false">
      <c r="A701" s="47" t="s">
        <v>691</v>
      </c>
      <c r="B701" s="103" t="n">
        <f aca="false">+B665/B674</f>
        <v>3.44767111493758</v>
      </c>
      <c r="C701" s="103" t="n">
        <f aca="false">+C665/C674</f>
        <v>2.58569911076848</v>
      </c>
      <c r="D701" s="103" t="n">
        <f aca="false">+D665/D674</f>
        <v>3.37411271283681</v>
      </c>
      <c r="E701" s="103" t="n">
        <f aca="false">+E665/E674</f>
        <v>3.13359288139952</v>
      </c>
      <c r="F701" s="103" t="n">
        <f aca="false">+F665/F674</f>
        <v>3.20626014607115</v>
      </c>
      <c r="G701" s="103" t="n">
        <f aca="false">+G665/G674</f>
        <v>4.04184410496769</v>
      </c>
      <c r="H701" s="103" t="n">
        <f aca="false">+H665/H674</f>
        <v>3.64221237154947</v>
      </c>
      <c r="I701" s="103" t="n">
        <f aca="false">+I665/I674</f>
        <v>3.3949723623683</v>
      </c>
      <c r="J701" s="103" t="n">
        <f aca="false">+J665/J674</f>
        <v>2.88921948199551</v>
      </c>
      <c r="K701" s="103" t="n">
        <f aca="false">+K665/K674</f>
        <v>2.71551123535667</v>
      </c>
      <c r="L701" s="103" t="n">
        <f aca="false">+L665/L674</f>
        <v>2.26286638407636</v>
      </c>
      <c r="M701" s="103" t="n">
        <f aca="false">+M665/M674</f>
        <v>1.75808042165093</v>
      </c>
      <c r="N701" s="103" t="n">
        <f aca="false">+N665/N674</f>
        <v>1.85066832980603</v>
      </c>
      <c r="O701" s="103" t="n">
        <f aca="false">+O665/O674</f>
        <v>1.58493975219309</v>
      </c>
      <c r="P701" s="103" t="n">
        <f aca="false">+P665/P674</f>
        <v>1.53641046669571</v>
      </c>
      <c r="Q701" s="103" t="n">
        <f aca="false">+Q665/Q674</f>
        <v>1.26555102687571</v>
      </c>
      <c r="R701" s="103" t="n">
        <f aca="false">+R665/R674</f>
        <v>1.48137388416683</v>
      </c>
      <c r="S701" s="103" t="n">
        <f aca="false">+S665/S674</f>
        <v>1.39818432257802</v>
      </c>
      <c r="T701" s="103" t="n">
        <f aca="false">+T665/T674</f>
        <v>1.23778518901877</v>
      </c>
      <c r="U701" s="103" t="n">
        <f aca="false">+U665/U674</f>
        <v>1.06565354440434</v>
      </c>
      <c r="V701" s="103" t="n">
        <f aca="false">+V665/V674</f>
        <v>1.16800984747345</v>
      </c>
      <c r="W701" s="103" t="n">
        <f aca="false">+W665/W674</f>
        <v>1.08715707029938</v>
      </c>
      <c r="X701" s="103" t="n">
        <f aca="false">+X665/X674</f>
        <v>1.0076233125537</v>
      </c>
      <c r="Y701" s="103" t="n">
        <f aca="false">+Y665/Y674</f>
        <v>1.20592648455394</v>
      </c>
      <c r="Z701" s="103" t="n">
        <f aca="false">+Z665/Z674</f>
        <v>0.937653526024073</v>
      </c>
      <c r="AA701" s="103" t="n">
        <f aca="false">+AA665/AA674</f>
        <v>0.628519028890579</v>
      </c>
      <c r="AB701" s="103" t="n">
        <f aca="false">+AB665/AB674</f>
        <v>0.968224719101124</v>
      </c>
      <c r="AC701" s="103" t="n">
        <f aca="false">+AC665/AC674</f>
        <v>1.06942026213514</v>
      </c>
      <c r="AD701" s="103" t="n">
        <f aca="false">+AD665/AD674</f>
        <v>1.06598003032644</v>
      </c>
      <c r="AE701" s="103" t="n">
        <f aca="false">+AE665/AE674</f>
        <v>0.926265199742297</v>
      </c>
      <c r="AF701" s="103" t="n">
        <f aca="false">+AF665/AF674</f>
        <v>0.926140616802935</v>
      </c>
      <c r="AG701" s="103" t="n">
        <f aca="false">+AG665/AG674</f>
        <v>1.04556629940532</v>
      </c>
      <c r="AH701" s="103" t="n">
        <f aca="false">+AH665/AH674</f>
        <v>0.85579108024144</v>
      </c>
      <c r="AI701" s="103" t="n">
        <f aca="false">+AI665/AI674</f>
        <v>0.831470422144193</v>
      </c>
      <c r="AJ701" s="103" t="n">
        <f aca="false">+AJ665/AJ674</f>
        <v>0.906037496068867</v>
      </c>
      <c r="AK701" s="103" t="n">
        <f aca="false">+AK665/AK674</f>
        <v>1.03263113081871</v>
      </c>
      <c r="AL701" s="103" t="n">
        <f aca="false">+AL665/AL674</f>
        <v>1.15140792314586</v>
      </c>
      <c r="AM701" s="80"/>
      <c r="AN701" s="80"/>
      <c r="AO701" s="80"/>
      <c r="AP701" s="80"/>
      <c r="AQ701" s="80"/>
      <c r="AR701" s="80"/>
      <c r="AS701" s="80"/>
      <c r="AT701" s="80"/>
      <c r="AU701" s="80"/>
      <c r="AV701" s="80"/>
      <c r="AW701" s="80"/>
      <c r="AX701" s="80"/>
      <c r="AY701" s="80"/>
    </row>
    <row r="702" customFormat="false" ht="15" hidden="false" customHeight="true" outlineLevel="0" collapsed="false">
      <c r="A702" s="47" t="s">
        <v>692</v>
      </c>
      <c r="B702" s="103" t="n">
        <f aca="false">(+B665-B647)/B674</f>
        <v>2.32093413689195</v>
      </c>
      <c r="C702" s="103" t="n">
        <f aca="false">(+C665-C647)/C674</f>
        <v>1.68297457359164</v>
      </c>
      <c r="D702" s="103" t="n">
        <f aca="false">(+D665-D647)/D674</f>
        <v>2.57173342477678</v>
      </c>
      <c r="E702" s="103" t="n">
        <f aca="false">(+E665-E647)/E674</f>
        <v>2.31599000128576</v>
      </c>
      <c r="F702" s="103" t="n">
        <f aca="false">(+F665-F647)/F674</f>
        <v>2.15264370709604</v>
      </c>
      <c r="G702" s="103" t="n">
        <f aca="false">(+G665-G647)/G674</f>
        <v>2.60425720756565</v>
      </c>
      <c r="H702" s="103" t="n">
        <f aca="false">(+H665-H647)/H674</f>
        <v>2.56487255692122</v>
      </c>
      <c r="I702" s="103" t="n">
        <f aca="false">(+I665-I647)/I674</f>
        <v>2.3335342780828</v>
      </c>
      <c r="J702" s="103" t="n">
        <f aca="false">(+J665-J647)/J674</f>
        <v>1.93253929386544</v>
      </c>
      <c r="K702" s="103" t="n">
        <f aca="false">(+K665-K647)/K674</f>
        <v>1.67598100928757</v>
      </c>
      <c r="L702" s="103" t="n">
        <f aca="false">(+L665-L647)/L674</f>
        <v>1.56996979963773</v>
      </c>
      <c r="M702" s="103" t="n">
        <f aca="false">(+M665-M647)/M674</f>
        <v>1.14916934622725</v>
      </c>
      <c r="N702" s="103" t="n">
        <f aca="false">(+N665-N647)/N674</f>
        <v>1.36332417405657</v>
      </c>
      <c r="O702" s="103" t="n">
        <f aca="false">(+O665-O647)/O674</f>
        <v>0.944151149152725</v>
      </c>
      <c r="P702" s="103" t="n">
        <f aca="false">(+P665-P647)/P674</f>
        <v>0.926837922265791</v>
      </c>
      <c r="Q702" s="103" t="n">
        <f aca="false">(+Q665-Q647)/Q674</f>
        <v>0.726842258158226</v>
      </c>
      <c r="R702" s="103" t="n">
        <f aca="false">(+R665-R647)/R674</f>
        <v>0.858983554940888</v>
      </c>
      <c r="S702" s="103" t="n">
        <f aca="false">(+S665-S647)/S674</f>
        <v>0.844866407822972</v>
      </c>
      <c r="T702" s="103" t="n">
        <f aca="false">(+T665-T647)/T674</f>
        <v>0.611727405524628</v>
      </c>
      <c r="U702" s="103" t="n">
        <f aca="false">(+U665-U647)/U674</f>
        <v>0.513344890103308</v>
      </c>
      <c r="V702" s="103" t="n">
        <f aca="false">(+V665-V647)/V674</f>
        <v>0.652577689807305</v>
      </c>
      <c r="W702" s="103" t="n">
        <f aca="false">(+W665-W647)/W674</f>
        <v>0.714848062333517</v>
      </c>
      <c r="X702" s="103" t="n">
        <f aca="false">(+X665-X647)/X674</f>
        <v>0.678722763724957</v>
      </c>
      <c r="Y702" s="103" t="n">
        <f aca="false">(+Y665-Y647)/Y674</f>
        <v>0.827685627432359</v>
      </c>
      <c r="Z702" s="103" t="n">
        <f aca="false">(+Z665-Z647)/Z674</f>
        <v>0.455050011387252</v>
      </c>
      <c r="AA702" s="103" t="n">
        <f aca="false">(+AA665-AA647)/AA674</f>
        <v>0.405307993679664</v>
      </c>
      <c r="AB702" s="103" t="n">
        <f aca="false">(+AB665-AB647)/AB674</f>
        <v>0.650700177409817</v>
      </c>
      <c r="AC702" s="103" t="n">
        <f aca="false">(+AC665-AC647)/AC674</f>
        <v>0.825307654842914</v>
      </c>
      <c r="AD702" s="103" t="n">
        <f aca="false">(+AD665-AD647)/AD674</f>
        <v>0.759527079220668</v>
      </c>
      <c r="AE702" s="103" t="n">
        <f aca="false">(+AE665-AE647)/AE674</f>
        <v>0.692530444537554</v>
      </c>
      <c r="AF702" s="103" t="n">
        <f aca="false">(+AF665-AF647)/AF674</f>
        <v>0.638487250679611</v>
      </c>
      <c r="AG702" s="103" t="n">
        <f aca="false">(+AG665-AG647)/AG674</f>
        <v>0.753293993499951</v>
      </c>
      <c r="AH702" s="103" t="n">
        <f aca="false">(+AH665-AH647)/AH674</f>
        <v>0.584054256948662</v>
      </c>
      <c r="AI702" s="103" t="n">
        <f aca="false">(+AI665-AI647)/AI674</f>
        <v>0.556527760689261</v>
      </c>
      <c r="AJ702" s="103" t="n">
        <f aca="false">(+AJ665-AJ647)/AJ674</f>
        <v>0.621470530695609</v>
      </c>
      <c r="AK702" s="103" t="n">
        <f aca="false">(+AK665-AK647)/AK674</f>
        <v>0.745035921006895</v>
      </c>
      <c r="AL702" s="103" t="n">
        <f aca="false">(+AL665-AL647)/AL674</f>
        <v>0.864845754644879</v>
      </c>
      <c r="AM702" s="80"/>
      <c r="AN702" s="80"/>
      <c r="AO702" s="80"/>
      <c r="AP702" s="80"/>
      <c r="AQ702" s="80"/>
      <c r="AR702" s="80"/>
      <c r="AS702" s="80"/>
      <c r="AT702" s="80"/>
      <c r="AU702" s="80"/>
      <c r="AV702" s="80"/>
      <c r="AW702" s="80"/>
      <c r="AX702" s="80"/>
      <c r="AY702" s="80"/>
    </row>
    <row r="703" customFormat="false" ht="15" hidden="false" customHeight="true" outlineLevel="0" collapsed="false">
      <c r="A703" s="47" t="s">
        <v>693</v>
      </c>
      <c r="B703" s="103" t="n">
        <f aca="false">+B675/B322</f>
        <v>0.585368314417961</v>
      </c>
      <c r="C703" s="103" t="n">
        <f aca="false">+C675/C322</f>
        <v>0.368515348992352</v>
      </c>
      <c r="D703" s="103" t="n">
        <f aca="false">+D675/D322</f>
        <v>0.585373055505331</v>
      </c>
      <c r="E703" s="103" t="n">
        <f aca="false">+E675/E322</f>
        <v>0.551332464925747</v>
      </c>
      <c r="F703" s="103" t="n">
        <f aca="false">+F675/F322</f>
        <v>0.543235241880467</v>
      </c>
      <c r="G703" s="103" t="n">
        <f aca="false">+G675/G322</f>
        <v>0.674478377945811</v>
      </c>
      <c r="H703" s="103" t="n">
        <f aca="false">+H675/H322</f>
        <v>0.499198229527307</v>
      </c>
      <c r="I703" s="103" t="n">
        <f aca="false">+I675/I322</f>
        <v>0.385936477192227</v>
      </c>
      <c r="J703" s="103" t="n">
        <f aca="false">+J675/J322</f>
        <v>0.382931342545596</v>
      </c>
      <c r="K703" s="103" t="n">
        <f aca="false">+K675/K322</f>
        <v>0.364337615506307</v>
      </c>
      <c r="L703" s="103" t="n">
        <f aca="false">+L675/L322</f>
        <v>0.239334770443143</v>
      </c>
      <c r="M703" s="103" t="n">
        <f aca="false">+M675/M322</f>
        <v>0.158592471399555</v>
      </c>
      <c r="N703" s="103" t="n">
        <f aca="false">+N675/N322</f>
        <v>0.202892685173572</v>
      </c>
      <c r="O703" s="103" t="n">
        <f aca="false">+O675/O322</f>
        <v>0.133523909602088</v>
      </c>
      <c r="P703" s="103" t="n">
        <f aca="false">+P675/P322</f>
        <v>0.111128284954812</v>
      </c>
      <c r="Q703" s="103" t="n">
        <f aca="false">+Q675/Q322</f>
        <v>0.066092753291048</v>
      </c>
      <c r="R703" s="103" t="n">
        <f aca="false">+R675/R322</f>
        <v>0.151631917909352</v>
      </c>
      <c r="S703" s="103" t="n">
        <f aca="false">+S675/S322</f>
        <v>0.146721868365022</v>
      </c>
      <c r="T703" s="103" t="n">
        <f aca="false">+T675/T322</f>
        <v>0.0679775454465086</v>
      </c>
      <c r="U703" s="103" t="n">
        <f aca="false">+U675/U322</f>
        <v>0.0187754673488037</v>
      </c>
      <c r="V703" s="103" t="n">
        <f aca="false">+V675/V322</f>
        <v>0.0443093099490739</v>
      </c>
      <c r="W703" s="103" t="n">
        <f aca="false">+W675/W322</f>
        <v>0.0254869067122221</v>
      </c>
      <c r="X703" s="103" t="n">
        <f aca="false">+X675/X322</f>
        <v>0.00218428911545143</v>
      </c>
      <c r="Y703" s="103" t="n">
        <f aca="false">+Y675/Y322</f>
        <v>0.0433070205694759</v>
      </c>
      <c r="Z703" s="103" t="n">
        <f aca="false">+Z675/Z322</f>
        <v>-0.0148280471941999</v>
      </c>
      <c r="AA703" s="103" t="n">
        <f aca="false">+AA675/AA322</f>
        <v>-0.105682382977477</v>
      </c>
      <c r="AB703" s="103" t="n">
        <f aca="false">+AB675/AB322</f>
        <v>-0.00912447370235389</v>
      </c>
      <c r="AC703" s="103" t="n">
        <f aca="false">+AC675/AC322</f>
        <v>0.0196850371687453</v>
      </c>
      <c r="AD703" s="103" t="n">
        <f aca="false">+AD675/AD322</f>
        <v>0.0295696425858243</v>
      </c>
      <c r="AE703" s="103" t="n">
        <f aca="false">+AE675/AE322</f>
        <v>-0.0297619994753632</v>
      </c>
      <c r="AF703" s="103" t="n">
        <f aca="false">+AF675/AF322</f>
        <v>-0.0193894100871529</v>
      </c>
      <c r="AG703" s="103" t="n">
        <f aca="false">+AG675/AG322</f>
        <v>0.0127279310075724</v>
      </c>
      <c r="AH703" s="103" t="n">
        <f aca="false">+AH675/AH322</f>
        <v>-0.0396738384425422</v>
      </c>
      <c r="AI703" s="103" t="n">
        <f aca="false">+AI675/AI322</f>
        <v>-0.0475847608893397</v>
      </c>
      <c r="AJ703" s="103" t="n">
        <f aca="false">+AJ675/AJ322</f>
        <v>-0.0257050155072148</v>
      </c>
      <c r="AK703" s="103" t="n">
        <f aca="false">+AK675/AK322</f>
        <v>0.00891017328700525</v>
      </c>
      <c r="AL703" s="103" t="n">
        <f aca="false">+AL675/AL322</f>
        <v>0.0415047903572464</v>
      </c>
      <c r="AM703" s="80"/>
      <c r="AN703" s="80"/>
      <c r="AO703" s="80"/>
      <c r="AP703" s="80"/>
      <c r="AQ703" s="80"/>
      <c r="AR703" s="80"/>
      <c r="AS703" s="80"/>
      <c r="AT703" s="80"/>
      <c r="AU703" s="80"/>
      <c r="AV703" s="80"/>
      <c r="AW703" s="80"/>
      <c r="AX703" s="80"/>
      <c r="AY703" s="80"/>
    </row>
    <row r="704" customFormat="false" ht="15" hidden="false" customHeight="true" outlineLevel="0" collapsed="false">
      <c r="A704" s="47" t="s">
        <v>694</v>
      </c>
      <c r="B704" s="103" t="n">
        <f aca="false">+B679/B322</f>
        <v>0.585354930899867</v>
      </c>
      <c r="C704" s="103" t="n">
        <f aca="false">+C679/C322</f>
        <v>0.439139455757038</v>
      </c>
      <c r="D704" s="103" t="n">
        <f aca="false">+D679/D322</f>
        <v>0.611676008392594</v>
      </c>
      <c r="E704" s="103" t="n">
        <f aca="false">+E679/E322</f>
        <v>0.641708091923516</v>
      </c>
      <c r="F704" s="103" t="n">
        <f aca="false">+F679/F322</f>
        <v>0.618320637984489</v>
      </c>
      <c r="G704" s="103" t="n">
        <f aca="false">+G679/G322</f>
        <v>0.723837559827048</v>
      </c>
      <c r="H704" s="103" t="n">
        <f aca="false">+H679/H322</f>
        <v>0.511582729540345</v>
      </c>
      <c r="I704" s="103" t="n">
        <f aca="false">+I679/I322</f>
        <v>0.420577061606841</v>
      </c>
      <c r="J704" s="103" t="n">
        <f aca="false">+J679/J322</f>
        <v>0.379636503935002</v>
      </c>
      <c r="K704" s="103" t="n">
        <f aca="false">+K679/K322</f>
        <v>0.316171142539919</v>
      </c>
      <c r="L704" s="103" t="n">
        <f aca="false">+L679/L322</f>
        <v>0.225601605775057</v>
      </c>
      <c r="M704" s="103" t="n">
        <f aca="false">+M679/M322</f>
        <v>0.135186933465944</v>
      </c>
      <c r="N704" s="103" t="n">
        <f aca="false">+N679/N322</f>
        <v>0.102038490428137</v>
      </c>
      <c r="O704" s="103" t="n">
        <f aca="false">+O679/O322</f>
        <v>0.0945778625983889</v>
      </c>
      <c r="P704" s="103" t="n">
        <f aca="false">+P679/P322</f>
        <v>0.0978225152473252</v>
      </c>
      <c r="Q704" s="103" t="n">
        <f aca="false">+Q679/Q322</f>
        <v>0.0754550425089033</v>
      </c>
      <c r="R704" s="103" t="n">
        <f aca="false">+R679/R322</f>
        <v>0.192547480737451</v>
      </c>
      <c r="S704" s="103" t="n">
        <f aca="false">+S679/S322</f>
        <v>0.160431541298021</v>
      </c>
      <c r="T704" s="103" t="n">
        <f aca="false">+T679/T322</f>
        <v>0.119942160878505</v>
      </c>
      <c r="U704" s="103" t="n">
        <f aca="false">+U679/U322</f>
        <v>0.100230183434764</v>
      </c>
      <c r="V704" s="103" t="n">
        <f aca="false">+V679/V322</f>
        <v>0.123390190810918</v>
      </c>
      <c r="W704" s="103" t="n">
        <f aca="false">+W679/W322</f>
        <v>0.0983917004503656</v>
      </c>
      <c r="X704" s="103" t="n">
        <f aca="false">+X679/X322</f>
        <v>0.0267329648487759</v>
      </c>
      <c r="Y704" s="103" t="n">
        <f aca="false">+Y679/Y322</f>
        <v>0.0187909115532552</v>
      </c>
      <c r="Z704" s="103" t="n">
        <f aca="false">+Z679/Z322</f>
        <v>0.014331822004381</v>
      </c>
      <c r="AA704" s="103" t="n">
        <f aca="false">+AA679/AA322</f>
        <v>-0.0722010431195747</v>
      </c>
      <c r="AB704" s="103" t="n">
        <f aca="false">+AB679/AB322</f>
        <v>0.00657963332969929</v>
      </c>
      <c r="AC704" s="103" t="n">
        <f aca="false">+AC679/AC322</f>
        <v>-0.0102372705085087</v>
      </c>
      <c r="AD704" s="103" t="n">
        <f aca="false">+AD679/AD322</f>
        <v>-0.0118902992160109</v>
      </c>
      <c r="AE704" s="103" t="n">
        <f aca="false">+AE679/AE322</f>
        <v>-0.0767851857846161</v>
      </c>
      <c r="AF704" s="103" t="n">
        <f aca="false">+AF679/AF322</f>
        <v>-0.00919757906589305</v>
      </c>
      <c r="AG704" s="103" t="n">
        <f aca="false">+AG679/AG322</f>
        <v>0.0140830114718717</v>
      </c>
      <c r="AH704" s="103" t="n">
        <f aca="false">+AH679/AH322</f>
        <v>-0.0369088062659906</v>
      </c>
      <c r="AI704" s="103" t="n">
        <f aca="false">+AI679/AI322</f>
        <v>-0.0421517516633138</v>
      </c>
      <c r="AJ704" s="103" t="n">
        <f aca="false">+AJ679/AJ322</f>
        <v>-0.0308780607145371</v>
      </c>
      <c r="AK704" s="103" t="n">
        <f aca="false">+AK679/AK322</f>
        <v>-0.0293625167163157</v>
      </c>
      <c r="AL704" s="103" t="n">
        <f aca="false">+AL679/AL322</f>
        <v>-0.0294711747004639</v>
      </c>
      <c r="AM704" s="80"/>
      <c r="AN704" s="80"/>
      <c r="AO704" s="80"/>
      <c r="AP704" s="80"/>
      <c r="AQ704" s="80"/>
      <c r="AR704" s="80"/>
      <c r="AS704" s="80"/>
      <c r="AT704" s="80"/>
      <c r="AU704" s="80"/>
      <c r="AV704" s="80"/>
      <c r="AW704" s="80"/>
      <c r="AX704" s="80"/>
      <c r="AY704" s="80"/>
    </row>
    <row r="705" customFormat="false" ht="15" hidden="false" customHeight="true" outlineLevel="0" collapsed="false">
      <c r="A705" s="47" t="s">
        <v>695</v>
      </c>
      <c r="B705" s="80"/>
      <c r="C705" s="103" t="n">
        <f aca="false">(+C675-B675)/(C322-B322)</f>
        <v>-0.509720942449852</v>
      </c>
      <c r="D705" s="103" t="n">
        <f aca="false">(+D675-C675)/(D322-C322)</f>
        <v>1.39017768776103</v>
      </c>
      <c r="E705" s="103" t="n">
        <f aca="false">(+E675-D675)/(E322-D322)</f>
        <v>0.448528025267524</v>
      </c>
      <c r="F705" s="103" t="n">
        <f aca="false">(+F675-E675)/(F322-E322)</f>
        <v>0.507985868129484</v>
      </c>
      <c r="G705" s="103" t="n">
        <f aca="false">(+G675-F675)/(G322-F322)</f>
        <v>-0.0534022807710857</v>
      </c>
      <c r="H705" s="103" t="n">
        <f aca="false">(+H675-G675)/(H322-G322)</f>
        <v>-8.89365275928365</v>
      </c>
      <c r="I705" s="103" t="n">
        <f aca="false">(+I675-H675)/(I322-H322)</f>
        <v>-0.0280403011223305</v>
      </c>
      <c r="J705" s="103" t="n">
        <f aca="false">(+J675-I675)/(J322-I322)</f>
        <v>1.56123644887194</v>
      </c>
      <c r="K705" s="103" t="n">
        <f aca="false">(+K675-J675)/(K322-J322)</f>
        <v>-1.47575622775801</v>
      </c>
      <c r="L705" s="103" t="n">
        <f aca="false">(+L675-K675)/(L322-K322)</f>
        <v>-0.546202390052015</v>
      </c>
      <c r="M705" s="103" t="n">
        <f aca="false">(+M675-L675)/(M322-L322)</f>
        <v>-0.136982595364776</v>
      </c>
      <c r="N705" s="103" t="n">
        <f aca="false">(+N675-M675)/(N322-M322)</f>
        <v>0.397110569094944</v>
      </c>
      <c r="O705" s="103" t="n">
        <f aca="false">(+O675-N675)/(O322-N322)</f>
        <v>-0.130696780880903</v>
      </c>
      <c r="P705" s="103" t="n">
        <f aca="false">(+P675-O675)/(P322-O322)</f>
        <v>0.0511762840383112</v>
      </c>
      <c r="Q705" s="103" t="n">
        <f aca="false">(+Q675-P675)/(Q322-P322)</f>
        <v>-0.518520390502708</v>
      </c>
      <c r="R705" s="103" t="n">
        <f aca="false">(+R675-Q675)/(R322-Q322)</f>
        <v>-0.181439445934612</v>
      </c>
      <c r="S705" s="103" t="n">
        <f aca="false">(+S675-R675)/(S322-R322)</f>
        <v>0.120097969670261</v>
      </c>
      <c r="T705" s="103" t="n">
        <f aca="false">(+T675-S675)/(T322-S322)</f>
        <v>-0.0789351453254937</v>
      </c>
      <c r="U705" s="103" t="n">
        <f aca="false">(+U675-T675)/(U322-T322)</f>
        <v>-0.322253475819185</v>
      </c>
      <c r="V705" s="103" t="n">
        <f aca="false">(+V675-U675)/(V322-U322)</f>
        <v>-2.0217218426182</v>
      </c>
      <c r="W705" s="103" t="n">
        <f aca="false">(+W675-V675)/(W322-V322)</f>
        <v>0.112141325105558</v>
      </c>
      <c r="X705" s="103" t="n">
        <f aca="false">(+X675-W675)/(X322-W322)</f>
        <v>-0.0626886825732348</v>
      </c>
      <c r="Y705" s="103" t="n">
        <f aca="false">(+Y675-X675)/(Y322-X322)</f>
        <v>0.152506570414569</v>
      </c>
      <c r="Z705" s="103" t="n">
        <f aca="false">(+Z675-Y675)/(Z322-Y322)</f>
        <v>-0.886845850911004</v>
      </c>
      <c r="AA705" s="103" t="n">
        <f aca="false">(+AA675-Z675)/(AA322-Z322)</f>
        <v>-0.491156563725933</v>
      </c>
      <c r="AB705" s="103" t="n">
        <f aca="false">(+AB675-AA675)/(AB322-AA322)</f>
        <v>1.0237557219448</v>
      </c>
      <c r="AC705" s="103" t="n">
        <f aca="false">(+AC675-AB675)/(AC322-AB322)</f>
        <v>-0.0536990321162984</v>
      </c>
      <c r="AD705" s="103" t="n">
        <f aca="false">(+AD675-AC675)/(AD322-AC322)</f>
        <v>-0.0477556840549023</v>
      </c>
      <c r="AE705" s="103" t="n">
        <f aca="false">(+AE675-AD675)/(AE322-AD322)</f>
        <v>-0.174419404352162</v>
      </c>
      <c r="AF705" s="103" t="n">
        <f aca="false">(+AF675-AE675)/(AF322-AE322)</f>
        <v>-0.00391589838467492</v>
      </c>
      <c r="AG705" s="103" t="n">
        <f aca="false">(+AG675-AF675)/(AG322-AF322)</f>
        <v>0.516721051013085</v>
      </c>
      <c r="AH705" s="103" t="n">
        <f aca="false">(+AH675-AG675)/(AH322-AG322)</f>
        <v>-4.34435429628381</v>
      </c>
      <c r="AI705" s="103" t="n">
        <f aca="false">(+AI675-AH675)/(AI322-AH322)</f>
        <v>-0.106113487731852</v>
      </c>
      <c r="AJ705" s="103" t="n">
        <f aca="false">(+AJ675-AI675)/(AJ322-AI322)</f>
        <v>0.21652952738606</v>
      </c>
      <c r="AK705" s="103" t="n">
        <f aca="false">(+AK675-AJ675)/(AK322-AJ322)</f>
        <v>0.434513670656734</v>
      </c>
      <c r="AL705" s="103" t="n">
        <f aca="false">(+AL675-AK675)/(AL322-AK322)</f>
        <v>0.475794030554651</v>
      </c>
      <c r="AM705" s="80"/>
      <c r="AN705" s="80"/>
      <c r="AO705" s="80"/>
      <c r="AP705" s="80"/>
      <c r="AQ705" s="80"/>
      <c r="AR705" s="80"/>
      <c r="AS705" s="80"/>
      <c r="AT705" s="80"/>
      <c r="AU705" s="80"/>
      <c r="AV705" s="80"/>
      <c r="AW705" s="80"/>
      <c r="AX705" s="80"/>
      <c r="AY705" s="80"/>
    </row>
    <row r="706" customFormat="false" ht="15" hidden="false" customHeight="true" outlineLevel="0" collapsed="false">
      <c r="A706" s="47" t="s">
        <v>696</v>
      </c>
      <c r="B706" s="80"/>
      <c r="C706" s="103" t="n">
        <f aca="false">+C680/(+C322-B322)</f>
        <v>-0.153020934528003</v>
      </c>
      <c r="D706" s="103" t="n">
        <f aca="false">+D680/(+D322-C322)</f>
        <v>1.25199550188596</v>
      </c>
      <c r="E706" s="103" t="n">
        <f aca="false">+E680/(+E322-D322)</f>
        <v>0.732406621725672</v>
      </c>
      <c r="F706" s="103" t="n">
        <f aca="false">+F680/(+F322-E322)</f>
        <v>0.516508806894923</v>
      </c>
      <c r="G706" s="103" t="n">
        <f aca="false">+G680/(+G322-F322)</f>
        <v>0.138635705626447</v>
      </c>
      <c r="H706" s="103" t="n">
        <f aca="false">+H680/(+H322-G322)</f>
        <v>-10.8626545159588</v>
      </c>
      <c r="I706" s="103" t="n">
        <f aca="false">+I680/(+I322-H322)</f>
        <v>0.0879472687353796</v>
      </c>
      <c r="J706" s="103" t="n">
        <f aca="false">+J680/(+J322-I322)</f>
        <v>16.4323176091411</v>
      </c>
      <c r="K706" s="103" t="n">
        <f aca="false">+K680/(+K322-J322)</f>
        <v>-5.96456109134049</v>
      </c>
      <c r="L706" s="103" t="n">
        <f aca="false">+L680/(+L322-K322)</f>
        <v>-0.343551333917485</v>
      </c>
      <c r="M706" s="103" t="n">
        <f aca="false">+M680/(+M322-L322)</f>
        <v>-0.19579599767173</v>
      </c>
      <c r="N706" s="103" t="n">
        <f aca="false">+N680/(+N322-M322)</f>
        <v>-0.0432885839497116</v>
      </c>
      <c r="O706" s="103" t="n">
        <f aca="false">+O680/(+O322-N322)</f>
        <v>0.0661608663292066</v>
      </c>
      <c r="P706" s="103" t="n">
        <f aca="false">+P680/(+P322-O322)</f>
        <v>0.106508293011797</v>
      </c>
      <c r="Q706" s="103" t="n">
        <f aca="false">+Q680/(+Q322-P322)</f>
        <v>-0.214900551690758</v>
      </c>
      <c r="R706" s="103" t="n">
        <f aca="false">+R680/(+R322-Q322)</f>
        <v>-0.263385637976363</v>
      </c>
      <c r="S706" s="103" t="n">
        <f aca="false">+S680/(+S322-R322)</f>
        <v>-0.0137116135526039</v>
      </c>
      <c r="T706" s="103" t="n">
        <f aca="false">+T680/(+T322-S322)</f>
        <v>0.044401428484655</v>
      </c>
      <c r="U706" s="103" t="n">
        <f aca="false">+U680/(+U322-T322)</f>
        <v>-0.0363972740893031</v>
      </c>
      <c r="V706" s="103" t="n">
        <f aca="false">+V680/(+V322-U322)</f>
        <v>-1.75056577742688</v>
      </c>
      <c r="W706" s="103" t="n">
        <f aca="false">+W680/(+W322-V322)</f>
        <v>0.213479535709568</v>
      </c>
      <c r="X706" s="103" t="n">
        <f aca="false">+X680/(+X322-W322)</f>
        <v>-0.172760294079063</v>
      </c>
      <c r="Y706" s="103" t="n">
        <f aca="false">+Y680/(+Y322-X322)</f>
        <v>-0.00229885106833064</v>
      </c>
      <c r="Z706" s="103" t="n">
        <f aca="false">+Z680/(+Z322-Y322)</f>
        <v>-0.0525538912933575</v>
      </c>
      <c r="AA706" s="103" t="n">
        <f aca="false">+AA680/(+AA322-Z322)</f>
        <v>-0.439340211590753</v>
      </c>
      <c r="AB706" s="103" t="n">
        <f aca="false">+AB680/(+AB322-AA322)</f>
        <v>0.849296725228304</v>
      </c>
      <c r="AC706" s="103" t="n">
        <f aca="false">+AC680/(+AC322-AB322)</f>
        <v>0.0325990290019067</v>
      </c>
      <c r="AD706" s="103" t="n">
        <f aca="false">+AD680/(+AD322-AC322)</f>
        <v>0.00104101967439733</v>
      </c>
      <c r="AE706" s="103" t="n">
        <f aca="false">+AE680/(+AE322-AD322)</f>
        <v>-0.235006424143525</v>
      </c>
      <c r="AF706" s="103" t="n">
        <f aca="false">+AF680/(+AF322-AE322)</f>
        <v>0.0916275461138744</v>
      </c>
      <c r="AG706" s="103" t="n">
        <f aca="false">+AG680/(+AG322-AF322)</f>
        <v>0.37940769467318</v>
      </c>
      <c r="AH706" s="103" t="n">
        <f aca="false">+AH680/(+AH322-AG322)</f>
        <v>-4.22576509164281</v>
      </c>
      <c r="AI706" s="103" t="n">
        <f aca="false">+AI680/(+AI322-AH322)</f>
        <v>-0.080941528844653</v>
      </c>
      <c r="AJ706" s="103" t="n">
        <f aca="false">+AJ680/(+AJ322-AI322)</f>
        <v>0.0939349718872052</v>
      </c>
      <c r="AK706" s="103" t="n">
        <f aca="false">+AK680/(+AK322-AJ322)</f>
        <v>-0.0107284763274209</v>
      </c>
      <c r="AL706" s="103" t="n">
        <f aca="false">+AL680/(+AL322-AK322)</f>
        <v>-0.0309189288886908</v>
      </c>
      <c r="AM706" s="80"/>
      <c r="AN706" s="80"/>
      <c r="AO706" s="80"/>
      <c r="AP706" s="80"/>
      <c r="AQ706" s="80"/>
      <c r="AR706" s="80"/>
      <c r="AS706" s="80"/>
      <c r="AT706" s="80"/>
      <c r="AU706" s="80"/>
      <c r="AV706" s="80"/>
      <c r="AW706" s="80"/>
      <c r="AX706" s="80"/>
      <c r="AY706" s="80"/>
    </row>
    <row r="707" customFormat="false" ht="15" hidden="false" customHeight="true" outlineLevel="0" collapsed="false">
      <c r="A707" s="47" t="s">
        <v>697</v>
      </c>
      <c r="B707" s="103" t="n">
        <f aca="false">(+B497)/B647</f>
        <v>3.4072040681437</v>
      </c>
      <c r="C707" s="103" t="n">
        <f aca="false">(+C497)*2/(C647+B647)</f>
        <v>4.23993145148002</v>
      </c>
      <c r="D707" s="103" t="n">
        <f aca="false">(+D497)*2/(D647+C647)</f>
        <v>5.03411167076255</v>
      </c>
      <c r="E707" s="103" t="n">
        <f aca="false">(+E497)*2/(E647+D647)</f>
        <v>5.06193133222009</v>
      </c>
      <c r="F707" s="103" t="n">
        <f aca="false">(+F497)*2/(F647+E647)</f>
        <v>4.1525621747527</v>
      </c>
      <c r="G707" s="103" t="n">
        <f aca="false">(+G497)*2/(G647+F647)</f>
        <v>2.837814987547</v>
      </c>
      <c r="H707" s="103" t="n">
        <f aca="false">(+H497)*2/(H647+G647)</f>
        <v>3.46335148721474</v>
      </c>
      <c r="I707" s="103" t="n">
        <f aca="false">(+I497)*2/(I647+H647)</f>
        <v>5.28015529489883</v>
      </c>
      <c r="J707" s="103" t="n">
        <f aca="false">(+J497)*2/(J647+I647)</f>
        <v>4.75553682950133</v>
      </c>
      <c r="K707" s="103" t="n">
        <f aca="false">(+K497)*2/(K647+J647)</f>
        <v>4.19451147963997</v>
      </c>
      <c r="L707" s="103" t="n">
        <f aca="false">(+L497)*2/(L647+K647)</f>
        <v>5.46227266761848</v>
      </c>
      <c r="M707" s="103" t="n">
        <f aca="false">(+M497)*2/(M647+L647)</f>
        <v>7.70150545510831</v>
      </c>
      <c r="N707" s="103" t="n">
        <f aca="false">(+N497)*2/(N647+M647)</f>
        <v>8.16435756663585</v>
      </c>
      <c r="O707" s="103" t="n">
        <f aca="false">(+O497)*2/(O647+N647)</f>
        <v>7.49745757295113</v>
      </c>
      <c r="P707" s="103" t="n">
        <f aca="false">(+P497)*2/(P647+O647)</f>
        <v>7.70652476934759</v>
      </c>
      <c r="Q707" s="103" t="n">
        <f aca="false">(+Q497)*2/(Q647+P647)</f>
        <v>7.0870691101827</v>
      </c>
      <c r="R707" s="103" t="n">
        <f aca="false">(+R497)*2/(R647+Q647)</f>
        <v>4.85307653887243</v>
      </c>
      <c r="S707" s="103" t="n">
        <f aca="false">(+S497)*2/(S647+R647)</f>
        <v>4.79053163367668</v>
      </c>
      <c r="T707" s="103" t="n">
        <f aca="false">(+T497)*2/(T647+S647)</f>
        <v>5.62809766851945</v>
      </c>
      <c r="U707" s="103" t="n">
        <f aca="false">(+U497)*2/(U647+T647)</f>
        <v>5.58724942103087</v>
      </c>
      <c r="V707" s="103" t="n">
        <f aca="false">(+V497)*2/(V647+U647)</f>
        <v>6.02042947226392</v>
      </c>
      <c r="W707" s="103" t="n">
        <f aca="false">(+W497)*2/(W647+V647)</f>
        <v>6.73919827962561</v>
      </c>
      <c r="X707" s="103" t="n">
        <f aca="false">(+X497)*2/(X647+W647)</f>
        <v>10.4044079879553</v>
      </c>
      <c r="Y707" s="103" t="n">
        <f aca="false">(+Y497)*2/(Y647+X647)</f>
        <v>11.7334905397503</v>
      </c>
      <c r="Z707" s="103" t="n">
        <f aca="false">(+Z497)*2/(Z647+Y647)</f>
        <v>9.27219015047077</v>
      </c>
      <c r="AA707" s="103" t="n">
        <f aca="false">(+AA497)*2/(AA647+Z647)</f>
        <v>11.2968784218483</v>
      </c>
      <c r="AB707" s="103" t="n">
        <f aca="false">(+AB497)*2/(AB647+AA647)</f>
        <v>11.7960832851619</v>
      </c>
      <c r="AC707" s="103" t="n">
        <f aca="false">(+AC497)*2/(AC647+AB647)</f>
        <v>8.30751503440259</v>
      </c>
      <c r="AD707" s="103" t="n">
        <f aca="false">(+AD497)*2/(AD647+AC647)</f>
        <v>8.73671193891648</v>
      </c>
      <c r="AE707" s="103" t="n">
        <f aca="false">(+AE497)*2/(AE647+AD647)</f>
        <v>9.8133107606657</v>
      </c>
      <c r="AF707" s="103" t="n">
        <f aca="false">(+AF497)*2/(AF647+AE647)</f>
        <v>13.6971676481747</v>
      </c>
      <c r="AG707" s="103" t="n">
        <f aca="false">(+AG497)*2/(AG647+AF647)</f>
        <v>11.3191912384727</v>
      </c>
      <c r="AH707" s="103" t="n">
        <f aca="false">(+AH497)*2/(AH647+AG647)</f>
        <v>11.00264313168</v>
      </c>
      <c r="AI707" s="103" t="n">
        <f aca="false">(+AI497)*2/(AI647+AH647)</f>
        <v>11.8804160575105</v>
      </c>
      <c r="AJ707" s="103" t="n">
        <f aca="false">(+AJ497)*2/(AJ647+AI647)</f>
        <v>11.5730315608805</v>
      </c>
      <c r="AK707" s="103" t="n">
        <f aca="false">(+AK497)*2/(AK647+AJ647)</f>
        <v>11.4057215348467</v>
      </c>
      <c r="AL707" s="103" t="n">
        <f aca="false">(+AL497)*2/(AL647+AK647)</f>
        <v>11.333071527503</v>
      </c>
      <c r="AM707" s="80"/>
      <c r="AN707" s="80"/>
      <c r="AO707" s="80"/>
      <c r="AP707" s="80"/>
      <c r="AQ707" s="80"/>
      <c r="AR707" s="80"/>
      <c r="AS707" s="80"/>
      <c r="AT707" s="80"/>
      <c r="AU707" s="80"/>
      <c r="AV707" s="80"/>
      <c r="AW707" s="80"/>
      <c r="AX707" s="80"/>
      <c r="AY707" s="80"/>
    </row>
    <row r="708" customFormat="false" ht="15" hidden="false" customHeight="true" outlineLevel="0" collapsed="false">
      <c r="A708" s="47" t="s">
        <v>698</v>
      </c>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row>
    <row r="709" customFormat="false" ht="15" hidden="false" customHeight="true" outlineLevel="0" collapsed="false">
      <c r="A709" s="47" t="s">
        <v>699</v>
      </c>
      <c r="B709" s="75" t="n">
        <f aca="false">(+B647*365)/B497</f>
        <v>107.125958028941</v>
      </c>
      <c r="C709" s="75" t="n">
        <f aca="false">((+C647+B647)*365)/(C497*2)</f>
        <v>86.086297426481</v>
      </c>
      <c r="D709" s="75" t="n">
        <f aca="false">((+D647+C647)*365)/(D497*2)</f>
        <v>72.5053443132522</v>
      </c>
      <c r="E709" s="75" t="n">
        <f aca="false">((+E647+D647)*365)/(E497*2)</f>
        <v>72.1068651557381</v>
      </c>
      <c r="F709" s="75" t="n">
        <f aca="false">((+F647+E647)*365)/(F497*2)</f>
        <v>87.8975400342409</v>
      </c>
      <c r="G709" s="75" t="n">
        <f aca="false">((+G647+F647)*365)/(G497*2)</f>
        <v>128.62008326889</v>
      </c>
      <c r="H709" s="75" t="n">
        <f aca="false">((+H647+G647)*365)/(H497*2)</f>
        <v>105.389245459905</v>
      </c>
      <c r="I709" s="75" t="n">
        <f aca="false">((+I647+H647)*365)/(I497*2)</f>
        <v>69.1267547287156</v>
      </c>
      <c r="J709" s="75" t="n">
        <f aca="false">((+J647+I647)*365)/(J497*2)</f>
        <v>76.7526386791277</v>
      </c>
      <c r="K709" s="75" t="n">
        <f aca="false">((+K647+J647)*365)/(K497*2)</f>
        <v>87.018476828994</v>
      </c>
      <c r="L709" s="75" t="n">
        <f aca="false">((+L647+K647)*365)/(L497*2)</f>
        <v>66.822002893374</v>
      </c>
      <c r="M709" s="75" t="n">
        <f aca="false">((+M647+L647)*365)/(M497*2)</f>
        <v>47.3933313593773</v>
      </c>
      <c r="N709" s="75" t="n">
        <f aca="false">((+N647+M647)*365)/(N497*2)</f>
        <v>44.7065181823485</v>
      </c>
      <c r="O709" s="75" t="n">
        <f aca="false">((+O647+N647)*365)/(O497*2)</f>
        <v>48.6831697876924</v>
      </c>
      <c r="P709" s="75" t="n">
        <f aca="false">((+P647+O647)*365)/(P497*2)</f>
        <v>47.3624637465351</v>
      </c>
      <c r="Q709" s="75" t="n">
        <f aca="false">((+Q647+P647)*365)/(Q497*2)</f>
        <v>51.5022492832147</v>
      </c>
      <c r="R709" s="75" t="n">
        <f aca="false">((+R647+Q647)*365)/(R497*2)</f>
        <v>75.2100233895765</v>
      </c>
      <c r="S709" s="75" t="n">
        <f aca="false">((+S647+R647)*365)/(S497*2)</f>
        <v>76.1919611247544</v>
      </c>
      <c r="T709" s="75" t="n">
        <f aca="false">((+T647+S647)*365)/(T497*2)</f>
        <v>64.8531744645466</v>
      </c>
      <c r="U709" s="75" t="n">
        <f aca="false">((+U647+T647)*365)/(U497*2)</f>
        <v>65.3273144789473</v>
      </c>
      <c r="V709" s="75" t="n">
        <f aca="false">((+V647+U647)*365)/(V497*2)</f>
        <v>60.6269040575183</v>
      </c>
      <c r="W709" s="75" t="n">
        <f aca="false">((+W647+V647)*365)/(W497*2)</f>
        <v>54.1607450701506</v>
      </c>
      <c r="X709" s="75" t="n">
        <f aca="false">((+X647+W647)*365)/(X497*2)</f>
        <v>35.0812848191405</v>
      </c>
      <c r="Y709" s="75" t="n">
        <f aca="false">((+Y647+X647)*365)/(Y497*2)</f>
        <v>31.1075377581348</v>
      </c>
      <c r="Z709" s="75" t="n">
        <f aca="false">((+Z647+Y647)*365)/(Z497*2)</f>
        <v>39.365025315132</v>
      </c>
      <c r="AA709" s="75" t="n">
        <f aca="false">((+AA647+Z647)*365)/(AA497*2)</f>
        <v>32.309810406925</v>
      </c>
      <c r="AB709" s="75" t="n">
        <f aca="false">((+AB647+AA647)*365)/(AB497*2)</f>
        <v>30.9424739700786</v>
      </c>
      <c r="AC709" s="75" t="n">
        <f aca="false">((+AC647+AB647)*365)/(AC497*2)</f>
        <v>43.9361227140106</v>
      </c>
      <c r="AD709" s="75" t="n">
        <f aca="false">((+AD647+AC647)*365)/(AD497*2)</f>
        <v>41.7777308616709</v>
      </c>
      <c r="AE709" s="75" t="n">
        <f aca="false">((+AE647+AD647)*365)/(AE497*2)</f>
        <v>37.1943790329167</v>
      </c>
      <c r="AF709" s="75" t="n">
        <f aca="false">((+AF647+AE647)*365)/(AF497*2)</f>
        <v>26.6478449687837</v>
      </c>
      <c r="AG709" s="75" t="n">
        <f aca="false">((+AG647+AF647)*365)/(AG497*2)</f>
        <v>32.2461200902239</v>
      </c>
      <c r="AH709" s="75" t="n">
        <f aca="false">((+AH647+AG647)*365)/(AH497*2)</f>
        <v>33.1738470140009</v>
      </c>
      <c r="AI709" s="75" t="n">
        <f aca="false">((+AI647+AH647)*365)/(AI497*2)</f>
        <v>30.722829758917</v>
      </c>
      <c r="AJ709" s="75" t="n">
        <f aca="false">((+AJ647+AI647)*365)/(AJ497*2)</f>
        <v>31.5388408024206</v>
      </c>
      <c r="AK709" s="75" t="n">
        <f aca="false">((+AK647+AJ647)*365)/(AK497*2)</f>
        <v>32.0014826668223</v>
      </c>
      <c r="AL709" s="75" t="n">
        <f aca="false">((+AL647+AK647)*365)/(AL497*2)</f>
        <v>32.206626342578</v>
      </c>
      <c r="AM709" s="36"/>
      <c r="AN709" s="36"/>
      <c r="AO709" s="36"/>
      <c r="AP709" s="36"/>
      <c r="AQ709" s="36"/>
      <c r="AR709" s="36"/>
      <c r="AS709" s="36"/>
      <c r="AT709" s="36"/>
      <c r="AU709" s="36"/>
      <c r="AV709" s="36"/>
      <c r="AW709" s="36"/>
      <c r="AX709" s="36"/>
      <c r="AY709" s="36"/>
    </row>
    <row r="710" customFormat="false" ht="15" hidden="false" customHeight="true" outlineLevel="0" collapsed="false">
      <c r="A710" s="47" t="s">
        <v>700</v>
      </c>
      <c r="B710" s="103" t="n">
        <f aca="false">+B327/B634</f>
        <v>2.92088455547293</v>
      </c>
      <c r="C710" s="103" t="n">
        <f aca="false">+C327/C634</f>
        <v>2.35264103370948</v>
      </c>
      <c r="D710" s="103" t="n">
        <f aca="false">+D327/D634</f>
        <v>2.56323342095992</v>
      </c>
      <c r="E710" s="103" t="n">
        <f aca="false">+E327/E634</f>
        <v>2.81393229039047</v>
      </c>
      <c r="F710" s="103" t="n">
        <f aca="false">+F327/F634</f>
        <v>2.95569642106617</v>
      </c>
      <c r="G710" s="103" t="n">
        <f aca="false">+G327/G634</f>
        <v>2.23161984602414</v>
      </c>
      <c r="H710" s="103" t="n">
        <f aca="false">+H327/H634</f>
        <v>2.14197207418654</v>
      </c>
      <c r="I710" s="103" t="n">
        <f aca="false">+I327/I634</f>
        <v>2.74754132331889</v>
      </c>
      <c r="J710" s="103" t="n">
        <f aca="false">+J327/J634</f>
        <v>2.71161610119682</v>
      </c>
      <c r="K710" s="103" t="n">
        <f aca="false">+K327/K634</f>
        <v>2.60483208131237</v>
      </c>
      <c r="L710" s="103" t="n">
        <f aca="false">+L327/L634</f>
        <v>3.27077113289737</v>
      </c>
      <c r="M710" s="103" t="n">
        <f aca="false">+M327/M634</f>
        <v>4.26367712517642</v>
      </c>
      <c r="N710" s="103" t="n">
        <f aca="false">+N327/N634</f>
        <v>4.91448119051973</v>
      </c>
      <c r="O710" s="103" t="n">
        <f aca="false">+O327/O634</f>
        <v>5.5805060994498</v>
      </c>
      <c r="P710" s="103" t="n">
        <f aca="false">+P327/P634</f>
        <v>5.37687792484934</v>
      </c>
      <c r="Q710" s="103" t="n">
        <f aca="false">+Q327/Q634</f>
        <v>4.34772811886344</v>
      </c>
      <c r="R710" s="103" t="n">
        <f aca="false">+R327/R634</f>
        <v>1.51603935474955</v>
      </c>
      <c r="S710" s="103" t="n">
        <f aca="false">+S327/S634</f>
        <v>1.63636460383765</v>
      </c>
      <c r="T710" s="103" t="n">
        <f aca="false">+T327/T634</f>
        <v>2.42271501187988</v>
      </c>
      <c r="U710" s="103" t="n">
        <f aca="false">+U327/U634</f>
        <v>2.49864952675121</v>
      </c>
      <c r="V710" s="103" t="n">
        <f aca="false">+V327/V634</f>
        <v>2.22726203891057</v>
      </c>
      <c r="W710" s="103" t="n">
        <f aca="false">+W327/W634</f>
        <v>1.80793224645129</v>
      </c>
      <c r="X710" s="103" t="n">
        <f aca="false">+X327/X634</f>
        <v>2.69470821129876</v>
      </c>
      <c r="Y710" s="103" t="n">
        <f aca="false">+Y327/Y634</f>
        <v>4.10715330911918</v>
      </c>
      <c r="Z710" s="103" t="n">
        <f aca="false">+Z327/Z634</f>
        <v>4.12073275538252</v>
      </c>
      <c r="AA710" s="103" t="n">
        <f aca="false">+AA327/AA634</f>
        <v>4.93436841824063</v>
      </c>
      <c r="AB710" s="103" t="n">
        <f aca="false">+AB327/AB634</f>
        <v>4.63238963478117</v>
      </c>
      <c r="AC710" s="103" t="n">
        <f aca="false">+AC327/AC634</f>
        <v>2.36119961447529</v>
      </c>
      <c r="AD710" s="103" t="n">
        <f aca="false">+AD327/AD634</f>
        <v>2.06156766690379</v>
      </c>
      <c r="AE710" s="103" t="n">
        <f aca="false">+AE327/AE634</f>
        <v>3.19172147275197</v>
      </c>
      <c r="AF710" s="103" t="n">
        <f aca="false">+AF327/AF634</f>
        <v>5.61534768754651</v>
      </c>
      <c r="AG710" s="103" t="n">
        <f aca="false">+AG327/AG634</f>
        <v>6.23516534949369</v>
      </c>
      <c r="AH710" s="103" t="n">
        <f aca="false">+AH327/AH634</f>
        <v>6.18041385909653</v>
      </c>
      <c r="AI710" s="103" t="n">
        <f aca="false">+AI327/AI634</f>
        <v>6.40739732330057</v>
      </c>
      <c r="AJ710" s="103" t="n">
        <f aca="false">+AJ327/AJ634</f>
        <v>6.76465653648254</v>
      </c>
      <c r="AK710" s="103" t="n">
        <f aca="false">+AK327/AK634</f>
        <v>7.24729121017391</v>
      </c>
      <c r="AL710" s="103" t="n">
        <f aca="false">+AL327/AL634</f>
        <v>7.76596921612705</v>
      </c>
      <c r="AM710" s="80"/>
      <c r="AN710" s="80"/>
      <c r="AO710" s="80"/>
      <c r="AP710" s="80"/>
      <c r="AQ710" s="80"/>
      <c r="AR710" s="80"/>
      <c r="AS710" s="80"/>
      <c r="AT710" s="80"/>
      <c r="AU710" s="80"/>
      <c r="AV710" s="80"/>
      <c r="AW710" s="80"/>
      <c r="AX710" s="80"/>
      <c r="AY710" s="80"/>
    </row>
    <row r="711" customFormat="false" ht="15" hidden="false" customHeight="true" outlineLevel="0" collapsed="false">
      <c r="A711" s="47" t="s">
        <v>701</v>
      </c>
      <c r="B711" s="103" t="n">
        <f aca="false">B327/B677</f>
        <v>1.03188848598074</v>
      </c>
      <c r="C711" s="103" t="n">
        <f aca="false">C327/C677</f>
        <v>1.17859736921923</v>
      </c>
      <c r="D711" s="103" t="n">
        <f aca="false">D327/D677</f>
        <v>0.966912788899708</v>
      </c>
      <c r="E711" s="103" t="n">
        <f aca="false">E327/E677</f>
        <v>1.04361774662501</v>
      </c>
      <c r="F711" s="103" t="n">
        <f aca="false">F327/F677</f>
        <v>1.09160662162079</v>
      </c>
      <c r="G711" s="103" t="n">
        <f aca="false">G327/G677</f>
        <v>0.857078855861004</v>
      </c>
      <c r="H711" s="103" t="n">
        <f aca="false">H327/H677</f>
        <v>0.987148466470368</v>
      </c>
      <c r="I711" s="103" t="n">
        <f aca="false">I327/I677</f>
        <v>1.23405409153031</v>
      </c>
      <c r="J711" s="103" t="n">
        <f aca="false">J327/J677</f>
        <v>1.23435102719617</v>
      </c>
      <c r="K711" s="103" t="n">
        <f aca="false">K327/K677</f>
        <v>1.24397413731135</v>
      </c>
      <c r="L711" s="103" t="n">
        <f aca="false">L327/L677</f>
        <v>1.66566423210532</v>
      </c>
      <c r="M711" s="103" t="n">
        <f aca="false">M327/M677</f>
        <v>2.26858411373672</v>
      </c>
      <c r="N711" s="103" t="n">
        <f aca="false">N327/N677</f>
        <v>2.16810454959829</v>
      </c>
      <c r="O711" s="103" t="n">
        <f aca="false">O327/O677</f>
        <v>2.65014119532239</v>
      </c>
      <c r="P711" s="103" t="n">
        <f aca="false">P327/P677</f>
        <v>3.03991075791712</v>
      </c>
      <c r="Q711" s="103" t="n">
        <f aca="false">Q327/Q677</f>
        <v>2.71515723627885</v>
      </c>
      <c r="R711" s="103" t="n">
        <f aca="false">R327/R677</f>
        <v>1.16972534394405</v>
      </c>
      <c r="S711" s="103" t="n">
        <f aca="false">S327/S677</f>
        <v>1.24541088574836</v>
      </c>
      <c r="T711" s="103" t="n">
        <f aca="false">T327/T677</f>
        <v>1.71175335796023</v>
      </c>
      <c r="U711" s="103" t="n">
        <f aca="false">U327/U677</f>
        <v>1.73249726225701</v>
      </c>
      <c r="V711" s="103" t="n">
        <f aca="false">V327/V677</f>
        <v>1.41186272200576</v>
      </c>
      <c r="W711" s="103" t="n">
        <f aca="false">W327/W677</f>
        <v>1.09767108326465</v>
      </c>
      <c r="X711" s="103" t="n">
        <f aca="false">X327/X677</f>
        <v>1.59649050629326</v>
      </c>
      <c r="Y711" s="103" t="n">
        <f aca="false">Y327/Y677</f>
        <v>2.35835348330545</v>
      </c>
      <c r="Z711" s="103" t="n">
        <f aca="false">Z327/Z677</f>
        <v>2.47557439857069</v>
      </c>
      <c r="AA711" s="103" t="n">
        <f aca="false">AA327/AA677</f>
        <v>2.9716909771707</v>
      </c>
      <c r="AB711" s="103" t="n">
        <f aca="false">AB327/AB677</f>
        <v>2.97407722070956</v>
      </c>
      <c r="AC711" s="103" t="n">
        <f aca="false">AC327/AC677</f>
        <v>1.54331085033106</v>
      </c>
      <c r="AD711" s="103" t="n">
        <f aca="false">AD327/AD677</f>
        <v>1.33528545785043</v>
      </c>
      <c r="AE711" s="103" t="n">
        <f aca="false">AE327/AE677</f>
        <v>1.89329081458953</v>
      </c>
      <c r="AF711" s="103" t="n">
        <f aca="false">AF327/AF677</f>
        <v>2.79182723241424</v>
      </c>
      <c r="AG711" s="103" t="n">
        <f aca="false">AG327/AG677</f>
        <v>3.02223725886989</v>
      </c>
      <c r="AH711" s="103" t="n">
        <f aca="false">AH327/AH677</f>
        <v>2.64653891332259</v>
      </c>
      <c r="AI711" s="103" t="n">
        <f aca="false">AI327/AI677</f>
        <v>2.76520209769909</v>
      </c>
      <c r="AJ711" s="103" t="n">
        <f aca="false">AJ327/AJ677</f>
        <v>2.62567834207498</v>
      </c>
      <c r="AK711" s="103" t="n">
        <f aca="false">AK327/AK677</f>
        <v>2.51182923992565</v>
      </c>
      <c r="AL711" s="103" t="n">
        <f aca="false">AL327/AL677</f>
        <v>2.40834185120922</v>
      </c>
      <c r="AM711" s="80"/>
      <c r="AN711" s="80"/>
      <c r="AO711" s="80"/>
      <c r="AP711" s="80"/>
      <c r="AQ711" s="80"/>
      <c r="AR711" s="80"/>
      <c r="AS711" s="80"/>
      <c r="AT711" s="80"/>
      <c r="AU711" s="80"/>
      <c r="AV711" s="80"/>
      <c r="AW711" s="80"/>
      <c r="AX711" s="80"/>
      <c r="AY711" s="80"/>
    </row>
    <row r="712" customFormat="false" ht="15" hidden="false" customHeight="true" outlineLevel="0" collapsed="false">
      <c r="A712" s="47" t="s">
        <v>702</v>
      </c>
      <c r="B712" s="74" t="n">
        <f aca="false">(+B652+B654)/B322*100</f>
        <v>7.50094714128054</v>
      </c>
      <c r="C712" s="74" t="n">
        <f aca="false">(+C652+C654)/C322*100</f>
        <v>4.58558422440135</v>
      </c>
      <c r="D712" s="74" t="n">
        <f aca="false">(+D652+D654)/D322*100</f>
        <v>3.47970076992818</v>
      </c>
      <c r="E712" s="74" t="n">
        <f aca="false">(+E652+E654)/E322*100</f>
        <v>3.80615618242032</v>
      </c>
      <c r="F712" s="74" t="n">
        <f aca="false">(+F652+F654)/F322*100</f>
        <v>7.01179791330344</v>
      </c>
      <c r="G712" s="74" t="n">
        <f aca="false">(+G652+G654)/G322*100</f>
        <v>12.5368385963133</v>
      </c>
      <c r="H712" s="74" t="n">
        <f aca="false">(+H652+H654)/H322*100</f>
        <v>5.65296798604809</v>
      </c>
      <c r="I712" s="74" t="n">
        <f aca="false">(+I652+I654)/I322*100</f>
        <v>5.01820317614039</v>
      </c>
      <c r="J712" s="74" t="n">
        <f aca="false">(+J652+J654)/J322*100</f>
        <v>7.62656248244139</v>
      </c>
      <c r="K712" s="74" t="n">
        <f aca="false">(+K652+K654)/K322*100</f>
        <v>12.339066218795</v>
      </c>
      <c r="L712" s="74" t="n">
        <f aca="false">(+L652+L654)/L322*100</f>
        <v>5.54448609887392</v>
      </c>
      <c r="M712" s="74" t="n">
        <f aca="false">(+M652+M654)/M322*100</f>
        <v>5.31924169715781</v>
      </c>
      <c r="N712" s="74" t="n">
        <f aca="false">(+N652+N654)/N322*100</f>
        <v>4.2818795599118</v>
      </c>
      <c r="O712" s="74" t="n">
        <f aca="false">(+O652+O654)/O322*100</f>
        <v>7.28261405080507</v>
      </c>
      <c r="P712" s="74" t="n">
        <f aca="false">(+P652+P654)/P322*100</f>
        <v>6.28369965338595</v>
      </c>
      <c r="Q712" s="74" t="n">
        <f aca="false">(+Q652+Q654)/Q322*100</f>
        <v>6.85235393182296</v>
      </c>
      <c r="R712" s="74" t="n">
        <f aca="false">(+R652+R654)/R322*100</f>
        <v>9.53002724118297</v>
      </c>
      <c r="S712" s="74" t="n">
        <f aca="false">(+S652+S654)/S322*100</f>
        <v>8.03823208456591</v>
      </c>
      <c r="T712" s="74" t="n">
        <f aca="false">(+T652+T654)/T322*100</f>
        <v>7.33404361360024</v>
      </c>
      <c r="U712" s="74" t="n">
        <f aca="false">(+U652+U654)/U322*100</f>
        <v>7.12037405394093</v>
      </c>
      <c r="V712" s="74" t="n">
        <f aca="false">(+V652+V654)/V322*100</f>
        <v>5.10264614862853</v>
      </c>
      <c r="W712" s="74" t="n">
        <f aca="false">(+W652+W654)/W322*100</f>
        <v>3.72320689503166</v>
      </c>
      <c r="X712" s="74" t="n">
        <f aca="false">(+X652+X654)/X322*100</f>
        <v>2.95807959752148</v>
      </c>
      <c r="Y712" s="74" t="n">
        <f aca="false">(+Y652+Y654)/Y322*100</f>
        <v>4.52114074104699</v>
      </c>
      <c r="Z712" s="74" t="n">
        <f aca="false">(+Z652+Z654)/Z322*100</f>
        <v>2.95432206078116</v>
      </c>
      <c r="AA712" s="74" t="n">
        <f aca="false">(+AA652+AA654)/AA322*100</f>
        <v>0.934063028127578</v>
      </c>
      <c r="AB712" s="74" t="n">
        <f aca="false">(+AB652+AB654)/AB322*100</f>
        <v>4.17516163794933</v>
      </c>
      <c r="AC712" s="74" t="n">
        <f aca="false">(+AC652+AC654)/AC322*100</f>
        <v>1.03004531819186</v>
      </c>
      <c r="AD712" s="74" t="n">
        <f aca="false">(+AD652+AD654)/AD322*100</f>
        <v>3.67908821592942</v>
      </c>
      <c r="AE712" s="74" t="n">
        <f aca="false">(+AE652+AE654)/AE322*100</f>
        <v>2.74043162968826</v>
      </c>
      <c r="AF712" s="74" t="n">
        <f aca="false">(+AF652+AF654)/AF322*100</f>
        <v>2.99211865483943</v>
      </c>
      <c r="AG712" s="74" t="n">
        <f aca="false">(+AG652+AG654)/AG322*100</f>
        <v>3.90580962603515</v>
      </c>
      <c r="AH712" s="74" t="n">
        <f aca="false">(+AH652+AH654)/AH322*100</f>
        <v>3.28767123287671</v>
      </c>
      <c r="AI712" s="74" t="n">
        <f aca="false">(+AI652+AI654)/AI322*100</f>
        <v>3.28767123287671</v>
      </c>
      <c r="AJ712" s="74" t="n">
        <f aca="false">(+AJ652+AJ654)/AJ322*100</f>
        <v>3.28767123287671</v>
      </c>
      <c r="AK712" s="74" t="n">
        <f aca="false">(+AK652+AK654)/AK322*100</f>
        <v>3.28767123287671</v>
      </c>
      <c r="AL712" s="74" t="n">
        <f aca="false">(+AL652+AL654)/AL322*100</f>
        <v>3.28767123287671</v>
      </c>
      <c r="AM712" s="36"/>
      <c r="AN712" s="36"/>
      <c r="AO712" s="36"/>
      <c r="AP712" s="36"/>
      <c r="AQ712" s="36"/>
      <c r="AR712" s="36"/>
      <c r="AS712" s="36"/>
      <c r="AT712" s="36"/>
      <c r="AU712" s="36"/>
      <c r="AV712" s="36"/>
      <c r="AW712" s="36"/>
      <c r="AX712" s="36"/>
      <c r="AY712" s="36"/>
    </row>
    <row r="713" customFormat="false" ht="15" hidden="false" customHeight="true" outlineLevel="0" collapsed="false">
      <c r="A713" s="47" t="s">
        <v>703</v>
      </c>
      <c r="B713" s="75" t="n">
        <f aca="false">(+B652+B654)/B322*365</f>
        <v>27.378457065674</v>
      </c>
      <c r="C713" s="75" t="n">
        <f aca="false">(+C652+C654)/C322*365</f>
        <v>16.7373824190649</v>
      </c>
      <c r="D713" s="75" t="n">
        <f aca="false">(+D652+D654)/D322*365</f>
        <v>12.7009078102379</v>
      </c>
      <c r="E713" s="75" t="n">
        <f aca="false">(+E652+E654)/E322*365</f>
        <v>13.8924700658342</v>
      </c>
      <c r="F713" s="75" t="n">
        <f aca="false">(+F652+F654)/F322*365</f>
        <v>25.5930623835575</v>
      </c>
      <c r="G713" s="75" t="n">
        <f aca="false">(+G652+G654)/G322*365</f>
        <v>45.7594608765434</v>
      </c>
      <c r="H713" s="75" t="n">
        <f aca="false">(+H652+H654)/H322*365</f>
        <v>20.6333331490755</v>
      </c>
      <c r="I713" s="75" t="n">
        <f aca="false">(+I652+I654)/I322*365</f>
        <v>18.3164415929124</v>
      </c>
      <c r="J713" s="75" t="n">
        <f aca="false">(+J652+J654)/J322*365</f>
        <v>27.8369530609111</v>
      </c>
      <c r="K713" s="75" t="n">
        <f aca="false">(+K652+K654)/K322*365</f>
        <v>45.0375916986019</v>
      </c>
      <c r="L713" s="75" t="n">
        <f aca="false">(+L652+L654)/L322*365</f>
        <v>20.2373742608898</v>
      </c>
      <c r="M713" s="75" t="n">
        <f aca="false">(+M652+M654)/M322*365</f>
        <v>19.415232194626</v>
      </c>
      <c r="N713" s="75" t="n">
        <f aca="false">(+N652+N654)/N322*365</f>
        <v>15.6288603936781</v>
      </c>
      <c r="O713" s="75" t="n">
        <f aca="false">(+O652+O654)/O322*365</f>
        <v>26.5815412854385</v>
      </c>
      <c r="P713" s="75" t="n">
        <f aca="false">(+P652+P654)/P322*365</f>
        <v>22.9355037348587</v>
      </c>
      <c r="Q713" s="75" t="n">
        <f aca="false">(+Q652+Q654)/Q322*365</f>
        <v>25.0110918511538</v>
      </c>
      <c r="R713" s="75" t="n">
        <f aca="false">(+R652+R654)/R322*365</f>
        <v>34.7845994303178</v>
      </c>
      <c r="S713" s="75" t="n">
        <f aca="false">(+S652+S654)/S322*365</f>
        <v>29.3395471086656</v>
      </c>
      <c r="T713" s="75" t="n">
        <f aca="false">(+T652+T654)/T322*365</f>
        <v>26.7692591896409</v>
      </c>
      <c r="U713" s="75" t="n">
        <f aca="false">(+U652+U654)/U322*365</f>
        <v>25.9893652968844</v>
      </c>
      <c r="V713" s="75" t="n">
        <f aca="false">(+V652+V654)/V322*365</f>
        <v>18.6246584424941</v>
      </c>
      <c r="W713" s="75" t="n">
        <f aca="false">(+W652+W654)/W322*365</f>
        <v>13.5897051668656</v>
      </c>
      <c r="X713" s="75" t="n">
        <f aca="false">(+X652+X654)/X322*365</f>
        <v>10.7969905309534</v>
      </c>
      <c r="Y713" s="75" t="n">
        <f aca="false">(+Y652+Y654)/Y322*365</f>
        <v>16.5021637048215</v>
      </c>
      <c r="Z713" s="75" t="n">
        <f aca="false">(+Z652+Z654)/Z322*365</f>
        <v>10.7832755218512</v>
      </c>
      <c r="AA713" s="75" t="n">
        <f aca="false">(+AA652+AA654)/AA322*365</f>
        <v>3.40933005266566</v>
      </c>
      <c r="AB713" s="75" t="n">
        <f aca="false">(+AB652+AB654)/AB322*365</f>
        <v>15.2393399785151</v>
      </c>
      <c r="AC713" s="75" t="n">
        <f aca="false">(+AC652+AC654)/AC322*365</f>
        <v>3.75966541140028</v>
      </c>
      <c r="AD713" s="75" t="n">
        <f aca="false">(+AD652+AD654)/AD322*365</f>
        <v>13.4286719881424</v>
      </c>
      <c r="AE713" s="75" t="n">
        <f aca="false">(+AE652+AE654)/AE322*365</f>
        <v>10.0025754483621</v>
      </c>
      <c r="AF713" s="75" t="n">
        <f aca="false">(+AF652+AF654)/AF322*365</f>
        <v>10.9212330901639</v>
      </c>
      <c r="AG713" s="75" t="n">
        <f aca="false">(+AG652+AG654)/AG322*365</f>
        <v>14.2562051350283</v>
      </c>
      <c r="AH713" s="78" t="n">
        <v>12</v>
      </c>
      <c r="AI713" s="78" t="n">
        <v>12</v>
      </c>
      <c r="AJ713" s="78" t="n">
        <v>12</v>
      </c>
      <c r="AK713" s="78" t="n">
        <v>12</v>
      </c>
      <c r="AL713" s="78" t="n">
        <v>12</v>
      </c>
      <c r="AM713" s="36"/>
      <c r="AN713" s="36"/>
      <c r="AO713" s="36"/>
      <c r="AP713" s="36"/>
      <c r="AQ713" s="36"/>
      <c r="AR713" s="36"/>
      <c r="AS713" s="36"/>
      <c r="AT713" s="36"/>
      <c r="AU713" s="36"/>
      <c r="AV713" s="36"/>
      <c r="AW713" s="36"/>
      <c r="AX713" s="36"/>
      <c r="AY713" s="36"/>
    </row>
    <row r="714" customFormat="false" ht="15" hidden="false" customHeight="true" outlineLevel="0" collapsed="false">
      <c r="A714" s="47" t="s">
        <v>704</v>
      </c>
      <c r="B714" s="74" t="n">
        <f aca="false">+B648/B434*100</f>
        <v>25.4064365455662</v>
      </c>
      <c r="C714" s="74" t="n">
        <f aca="false">+C648/C434*100</f>
        <v>20.910704067115</v>
      </c>
      <c r="D714" s="74" t="n">
        <f aca="false">+D648/D434*100</f>
        <v>19.7440844699068</v>
      </c>
      <c r="E714" s="74" t="n">
        <f aca="false">+E648/E434*100</f>
        <v>20.9786191277021</v>
      </c>
      <c r="F714" s="74" t="n">
        <f aca="false">+F648/F434*100</f>
        <v>22.5444406603795</v>
      </c>
      <c r="G714" s="74" t="n">
        <f aca="false">+G648/G434*100</f>
        <v>22.6170598152009</v>
      </c>
      <c r="H714" s="74" t="n">
        <f aca="false">+H648/H434*100</f>
        <v>16.9724863822593</v>
      </c>
      <c r="I714" s="74" t="n">
        <f aca="false">+I648/I434*100</f>
        <v>13.9460354687009</v>
      </c>
      <c r="J714" s="74" t="n">
        <f aca="false">+J648/J434*100</f>
        <v>13.1917297046105</v>
      </c>
      <c r="K714" s="74" t="n">
        <f aca="false">+K648/K434*100</f>
        <v>11.7088425004663</v>
      </c>
      <c r="L714" s="74" t="n">
        <f aca="false">+L648/L434*100</f>
        <v>8.22932874878948</v>
      </c>
      <c r="M714" s="74" t="n">
        <f aca="false">+M648/M434*100</f>
        <v>8.00902987064133</v>
      </c>
      <c r="N714" s="74" t="n">
        <f aca="false">+N648/N434*100</f>
        <v>7.60076670425926</v>
      </c>
      <c r="O714" s="74" t="n">
        <f aca="false">+O648/O434*100</f>
        <v>7.05325591862407</v>
      </c>
      <c r="P714" s="74" t="n">
        <f aca="false">+P648/P434*100</f>
        <v>7.05321111933363</v>
      </c>
      <c r="Q714" s="74" t="n">
        <f aca="false">+Q648/Q434*100</f>
        <v>7.33570890628247</v>
      </c>
      <c r="R714" s="74" t="n">
        <f aca="false">+R648/R434*100</f>
        <v>11.9613940516347</v>
      </c>
      <c r="S714" s="74" t="n">
        <f aca="false">+S648/S434*100</f>
        <v>11.2287763645383</v>
      </c>
      <c r="T714" s="74" t="n">
        <f aca="false">+T648/T434*100</f>
        <v>11.6750189251453</v>
      </c>
      <c r="U714" s="74" t="n">
        <f aca="false">+U648/U434*100</f>
        <v>8.34608124345428</v>
      </c>
      <c r="V714" s="74" t="n">
        <f aca="false">+V648/V434*100</f>
        <v>8.12075625893578</v>
      </c>
      <c r="W714" s="74" t="n">
        <f aca="false">+W648/W434*100</f>
        <v>6.64950408215313</v>
      </c>
      <c r="X714" s="74" t="n">
        <f aca="false">+X648/X434*100</f>
        <v>6.39103052301016</v>
      </c>
      <c r="Y714" s="74" t="n">
        <f aca="false">+Y648/Y434*100</f>
        <v>2.93817962636422</v>
      </c>
      <c r="Z714" s="74" t="n">
        <f aca="false">+Z648/Z434*100</f>
        <v>3.75885544220463</v>
      </c>
      <c r="AA714" s="74" t="n">
        <f aca="false">+AA648/AA434*100</f>
        <v>4.43201936116651</v>
      </c>
      <c r="AB714" s="74" t="n">
        <f aca="false">+AB648/AB434*100</f>
        <v>3.94863142705578</v>
      </c>
      <c r="AC714" s="74" t="n">
        <f aca="false">+AC648/AC434*100</f>
        <v>4.55633572234147</v>
      </c>
      <c r="AD714" s="74" t="n">
        <f aca="false">+AD648/AD434*100</f>
        <v>8.87031923187215</v>
      </c>
      <c r="AE714" s="74" t="n">
        <f aca="false">+AE648/AE434*100</f>
        <v>5.33891929333867</v>
      </c>
      <c r="AF714" s="74" t="n">
        <f aca="false">+AF648/AF434*100</f>
        <v>3.7219448349411</v>
      </c>
      <c r="AG714" s="74" t="n">
        <f aca="false">+AG648/AG434*100</f>
        <v>3.23670706624138</v>
      </c>
      <c r="AH714" s="74" t="n">
        <f aca="false">+AH648/AH434*100</f>
        <v>3.56164383561644</v>
      </c>
      <c r="AI714" s="74" t="n">
        <f aca="false">+AI648/AI434*100</f>
        <v>3.56164383561644</v>
      </c>
      <c r="AJ714" s="74" t="n">
        <f aca="false">+AJ648/AJ434*100</f>
        <v>3.56164383561644</v>
      </c>
      <c r="AK714" s="74" t="n">
        <f aca="false">+AK648/AK434*100</f>
        <v>3.56164383561644</v>
      </c>
      <c r="AL714" s="74" t="n">
        <f aca="false">+AL648/AL434*100</f>
        <v>3.56164383561644</v>
      </c>
      <c r="AM714" s="36"/>
      <c r="AN714" s="36"/>
      <c r="AO714" s="36"/>
      <c r="AP714" s="36"/>
      <c r="AQ714" s="36"/>
      <c r="AR714" s="36"/>
      <c r="AS714" s="36"/>
      <c r="AT714" s="36"/>
      <c r="AU714" s="36"/>
      <c r="AV714" s="36"/>
      <c r="AW714" s="36"/>
      <c r="AX714" s="36"/>
      <c r="AY714" s="36"/>
    </row>
    <row r="715" customFormat="false" ht="15" hidden="false" customHeight="true" outlineLevel="0" collapsed="false">
      <c r="A715" s="47" t="s">
        <v>705</v>
      </c>
      <c r="B715" s="75" t="n">
        <f aca="false">+B648/B434*365</f>
        <v>92.7334933913166</v>
      </c>
      <c r="C715" s="75" t="n">
        <f aca="false">+C648/C434*365</f>
        <v>76.3240698449698</v>
      </c>
      <c r="D715" s="75" t="n">
        <f aca="false">+D648/D434*365</f>
        <v>72.0659083151598</v>
      </c>
      <c r="E715" s="75" t="n">
        <f aca="false">+E648/E434*365</f>
        <v>76.5719598161128</v>
      </c>
      <c r="F715" s="75" t="n">
        <f aca="false">+F648/F434*365</f>
        <v>82.287208410385</v>
      </c>
      <c r="G715" s="75" t="n">
        <f aca="false">+G648/G434*365</f>
        <v>82.5522683254832</v>
      </c>
      <c r="H715" s="75" t="n">
        <f aca="false">+H648/H434*365</f>
        <v>61.9495752952464</v>
      </c>
      <c r="I715" s="75" t="n">
        <f aca="false">+I648/I434*365</f>
        <v>50.9030294607582</v>
      </c>
      <c r="J715" s="75" t="n">
        <f aca="false">+J648/J434*365</f>
        <v>48.1498134218284</v>
      </c>
      <c r="K715" s="75" t="n">
        <f aca="false">+K648/K434*365</f>
        <v>42.7372751267019</v>
      </c>
      <c r="L715" s="75" t="n">
        <f aca="false">+L648/L434*365</f>
        <v>30.0370499330816</v>
      </c>
      <c r="M715" s="75" t="n">
        <f aca="false">+M648/M434*365</f>
        <v>29.2329590278408</v>
      </c>
      <c r="N715" s="75" t="n">
        <f aca="false">+N648/N434*365</f>
        <v>27.7427984705463</v>
      </c>
      <c r="O715" s="75" t="n">
        <f aca="false">+O648/O434*365</f>
        <v>25.7443841029779</v>
      </c>
      <c r="P715" s="75" t="n">
        <f aca="false">+P648/P434*365</f>
        <v>25.7442205855678</v>
      </c>
      <c r="Q715" s="75" t="n">
        <f aca="false">+Q648/Q434*365</f>
        <v>26.775337507931</v>
      </c>
      <c r="R715" s="75" t="n">
        <f aca="false">+R648/R434*365</f>
        <v>43.6590882884665</v>
      </c>
      <c r="S715" s="75" t="n">
        <f aca="false">+S648/S434*365</f>
        <v>40.9850337305648</v>
      </c>
      <c r="T715" s="75" t="n">
        <f aca="false">+T648/T434*365</f>
        <v>42.6138190767804</v>
      </c>
      <c r="U715" s="75" t="n">
        <f aca="false">+U648/U434*365</f>
        <v>30.4631965386081</v>
      </c>
      <c r="V715" s="75" t="n">
        <f aca="false">+V648/V434*365</f>
        <v>29.6407603451156</v>
      </c>
      <c r="W715" s="75" t="n">
        <f aca="false">+W648/W434*365</f>
        <v>24.2706898998589</v>
      </c>
      <c r="X715" s="75" t="n">
        <f aca="false">+X648/X434*365</f>
        <v>23.3272614089871</v>
      </c>
      <c r="Y715" s="75" t="n">
        <f aca="false">+Y648/Y434*365</f>
        <v>10.7243556362294</v>
      </c>
      <c r="Z715" s="75" t="n">
        <f aca="false">+Z648/Z434*365</f>
        <v>13.7198223640469</v>
      </c>
      <c r="AA715" s="75" t="n">
        <f aca="false">+AA648/AA434*365</f>
        <v>16.1768706682577</v>
      </c>
      <c r="AB715" s="75" t="n">
        <f aca="false">+AB648/AB434*365</f>
        <v>14.4125047087536</v>
      </c>
      <c r="AC715" s="75" t="n">
        <f aca="false">+AC648/AC434*365</f>
        <v>16.6306253865464</v>
      </c>
      <c r="AD715" s="75" t="n">
        <f aca="false">+AD648/AD434*365</f>
        <v>32.3766651963334</v>
      </c>
      <c r="AE715" s="75" t="n">
        <f aca="false">+AE648/AE434*365</f>
        <v>19.4870554206862</v>
      </c>
      <c r="AF715" s="75" t="n">
        <f aca="false">+AF648/AF434*365</f>
        <v>13.585098647535</v>
      </c>
      <c r="AG715" s="75" t="n">
        <f aca="false">+AG648/AG434*365</f>
        <v>11.813980791781</v>
      </c>
      <c r="AH715" s="78" t="n">
        <v>13</v>
      </c>
      <c r="AI715" s="78" t="n">
        <v>13</v>
      </c>
      <c r="AJ715" s="78" t="n">
        <v>13</v>
      </c>
      <c r="AK715" s="78" t="n">
        <v>13</v>
      </c>
      <c r="AL715" s="78" t="n">
        <v>13</v>
      </c>
      <c r="AM715" s="36"/>
      <c r="AN715" s="36"/>
      <c r="AO715" s="36"/>
      <c r="AP715" s="36"/>
      <c r="AQ715" s="36"/>
      <c r="AR715" s="36"/>
      <c r="AS715" s="36"/>
      <c r="AT715" s="36"/>
      <c r="AU715" s="36"/>
      <c r="AV715" s="36"/>
      <c r="AW715" s="36"/>
      <c r="AX715" s="36"/>
      <c r="AY715" s="36"/>
    </row>
    <row r="716" customFormat="false" ht="15" hidden="false" customHeight="true" outlineLevel="0" collapsed="false">
      <c r="A716" s="47" t="s">
        <v>706</v>
      </c>
      <c r="B716" s="74" t="n">
        <f aca="false">+B657/B322*100</f>
        <v>32.716833583159</v>
      </c>
      <c r="C716" s="74" t="n">
        <f aca="false">+C657/C322*100</f>
        <v>26.1895974775159</v>
      </c>
      <c r="D716" s="74" t="n">
        <f aca="false">+D657/D322*100</f>
        <v>31.028925313454</v>
      </c>
      <c r="E716" s="74" t="n">
        <f aca="false">+E657/E322*100</f>
        <v>34.6541532586294</v>
      </c>
      <c r="F716" s="74" t="n">
        <f aca="false">+F657/F322*100</f>
        <v>41.7713994868883</v>
      </c>
      <c r="G716" s="74" t="n">
        <f aca="false">+G657/G322*100</f>
        <v>43.6839035944822</v>
      </c>
      <c r="H716" s="74" t="n">
        <f aca="false">+H657/H322*100</f>
        <v>36.1920429471159</v>
      </c>
      <c r="I716" s="74" t="n">
        <f aca="false">+I657/I322*100</f>
        <v>28.2531452039563</v>
      </c>
      <c r="J716" s="74" t="n">
        <f aca="false">+J657/J322*100</f>
        <v>25.0203960848507</v>
      </c>
      <c r="K716" s="74" t="n">
        <f aca="false">+K657/K322*100</f>
        <v>18.276529830461</v>
      </c>
      <c r="L716" s="74" t="n">
        <f aca="false">+L657/L322*100</f>
        <v>16.5769912704857</v>
      </c>
      <c r="M716" s="74" t="n">
        <f aca="false">+M657/M322*100</f>
        <v>10.1925308029433</v>
      </c>
      <c r="N716" s="74" t="n">
        <f aca="false">+N657/N322*100</f>
        <v>9.38691418746533</v>
      </c>
      <c r="O716" s="74" t="n">
        <f aca="false">+O657/O322*100</f>
        <v>6.87696826530758</v>
      </c>
      <c r="P716" s="74" t="n">
        <f aca="false">+P657/P322*100</f>
        <v>6.16931005551229</v>
      </c>
      <c r="Q716" s="74" t="n">
        <f aca="false">+Q657/Q322*100</f>
        <v>4.11724037372472</v>
      </c>
      <c r="R716" s="74" t="n">
        <f aca="false">+R657/R322*100</f>
        <v>14.1210961119478</v>
      </c>
      <c r="S716" s="74" t="n">
        <f aca="false">+S657/S322*100</f>
        <v>12.719936021825</v>
      </c>
      <c r="T716" s="74" t="n">
        <f aca="false">+T657/T322*100</f>
        <v>9.60317605197655</v>
      </c>
      <c r="U716" s="74" t="n">
        <f aca="false">+U657/U322*100</f>
        <v>8.71124955729393</v>
      </c>
      <c r="V716" s="74" t="n">
        <f aca="false">+V657/V322*100</f>
        <v>10.1764644684374</v>
      </c>
      <c r="W716" s="74" t="n">
        <f aca="false">+W657/W322*100</f>
        <v>11.8975439060929</v>
      </c>
      <c r="X716" s="74" t="n">
        <f aca="false">+X657/X322*100</f>
        <v>8.47489931709707</v>
      </c>
      <c r="Y716" s="74" t="n">
        <f aca="false">+Y657/Y322*100</f>
        <v>6.12346647169598</v>
      </c>
      <c r="Z716" s="74" t="n">
        <f aca="false">+Z657/Z322*100</f>
        <v>3.94618411635534</v>
      </c>
      <c r="AA716" s="74" t="n">
        <f aca="false">+AA657/AA322*100</f>
        <v>3.64139152681739</v>
      </c>
      <c r="AB716" s="74" t="n">
        <f aca="false">+AB657/AB322*100</f>
        <v>8.50950740544133</v>
      </c>
      <c r="AC716" s="74" t="n">
        <f aca="false">+AC657/AC322*100</f>
        <v>6.59683024269415</v>
      </c>
      <c r="AD716" s="74" t="n">
        <f aca="false">+AD657/AD322*100</f>
        <v>18.0550863131738</v>
      </c>
      <c r="AE716" s="74" t="n">
        <f aca="false">+AE657/AE322*100</f>
        <v>14.1435986355806</v>
      </c>
      <c r="AF716" s="74" t="n">
        <f aca="false">+AF657/AF322*100</f>
        <v>11.0576440229617</v>
      </c>
      <c r="AG716" s="74" t="n">
        <f aca="false">+AG657/AG322*100</f>
        <v>9.13425556930139</v>
      </c>
      <c r="AH716" s="74" t="n">
        <f aca="false">+AH657/AH322*100</f>
        <v>7.29889623697271</v>
      </c>
      <c r="AI716" s="74" t="n">
        <f aca="false">+AI657/AI322*100</f>
        <v>6.57031796965166</v>
      </c>
      <c r="AJ716" s="74" t="n">
        <f aca="false">+AJ657/AJ322*100</f>
        <v>6.84931506849315</v>
      </c>
      <c r="AK716" s="74" t="n">
        <f aca="false">+AK657/AK322*100</f>
        <v>6.84931506849315</v>
      </c>
      <c r="AL716" s="74" t="n">
        <f aca="false">+AL657/AL322*100</f>
        <v>6.84931506849315</v>
      </c>
      <c r="AM716" s="36"/>
      <c r="AN716" s="36"/>
      <c r="AO716" s="36"/>
      <c r="AP716" s="36"/>
      <c r="AQ716" s="36"/>
      <c r="AR716" s="36"/>
      <c r="AS716" s="36"/>
      <c r="AT716" s="36"/>
      <c r="AU716" s="36"/>
      <c r="AV716" s="36"/>
      <c r="AW716" s="36"/>
      <c r="AX716" s="36"/>
      <c r="AY716" s="36"/>
    </row>
    <row r="717" customFormat="false" ht="15" hidden="false" customHeight="true" outlineLevel="0" collapsed="false">
      <c r="A717" s="47" t="s">
        <v>707</v>
      </c>
      <c r="B717" s="75" t="n">
        <f aca="false">(+B657*365)/B322</f>
        <v>119.41644257853</v>
      </c>
      <c r="C717" s="75" t="n">
        <f aca="false">(+C657*365)/C322</f>
        <v>95.5920307929329</v>
      </c>
      <c r="D717" s="75" t="n">
        <f aca="false">(+D657*365)/D322</f>
        <v>113.255577394107</v>
      </c>
      <c r="E717" s="75" t="n">
        <f aca="false">(+E657*365)/E322</f>
        <v>126.487659393997</v>
      </c>
      <c r="F717" s="75" t="n">
        <f aca="false">(+F657*365)/F322</f>
        <v>152.465608127142</v>
      </c>
      <c r="G717" s="75" t="n">
        <f aca="false">(+G657*365)/G322</f>
        <v>159.44624811986</v>
      </c>
      <c r="H717" s="75" t="n">
        <f aca="false">(+H657*365)/H322</f>
        <v>132.100956756973</v>
      </c>
      <c r="I717" s="75" t="n">
        <f aca="false">(+I657*365)/I322</f>
        <v>103.12397999444</v>
      </c>
      <c r="J717" s="75" t="n">
        <f aca="false">(+J657*365)/J322</f>
        <v>91.3244457097051</v>
      </c>
      <c r="K717" s="75" t="n">
        <f aca="false">(+K657*365)/K322</f>
        <v>66.7093338811825</v>
      </c>
      <c r="L717" s="75" t="n">
        <f aca="false">(+L657*365)/L322</f>
        <v>60.5060181372728</v>
      </c>
      <c r="M717" s="75" t="n">
        <f aca="false">(+M657*365)/M322</f>
        <v>37.2027374307432</v>
      </c>
      <c r="N717" s="75" t="n">
        <f aca="false">(+N657*365)/N322</f>
        <v>34.2622367842485</v>
      </c>
      <c r="O717" s="75" t="n">
        <f aca="false">(+O657*365)/O322</f>
        <v>25.1009341683727</v>
      </c>
      <c r="P717" s="75" t="n">
        <f aca="false">(+P657*365)/P322</f>
        <v>22.5179817026199</v>
      </c>
      <c r="Q717" s="75" t="n">
        <f aca="false">(+Q657*365)/Q322</f>
        <v>15.0279273640952</v>
      </c>
      <c r="R717" s="75" t="n">
        <f aca="false">(+R657*365)/R322</f>
        <v>51.5420008086093</v>
      </c>
      <c r="S717" s="75" t="n">
        <f aca="false">(+S657*365)/S322</f>
        <v>46.4277664796613</v>
      </c>
      <c r="T717" s="75" t="n">
        <f aca="false">(+T657*365)/T322</f>
        <v>35.0515925897144</v>
      </c>
      <c r="U717" s="75" t="n">
        <f aca="false">(+U657*365)/U322</f>
        <v>31.7960608841229</v>
      </c>
      <c r="V717" s="75" t="n">
        <f aca="false">(+V657*365)/V322</f>
        <v>37.1440953097964</v>
      </c>
      <c r="W717" s="75" t="n">
        <f aca="false">(+W657*365)/W322</f>
        <v>43.4260352572392</v>
      </c>
      <c r="X717" s="75" t="n">
        <f aca="false">(+X657*365)/X322</f>
        <v>30.9333825074043</v>
      </c>
      <c r="Y717" s="75" t="n">
        <f aca="false">(+Y657*365)/Y322</f>
        <v>22.3506526216903</v>
      </c>
      <c r="Z717" s="75" t="n">
        <f aca="false">(+Z657*365)/Z322</f>
        <v>14.403572024697</v>
      </c>
      <c r="AA717" s="75" t="n">
        <f aca="false">(+AA657*365)/AA322</f>
        <v>13.2910790728835</v>
      </c>
      <c r="AB717" s="75" t="n">
        <f aca="false">(+AB657*365)/AB322</f>
        <v>31.0597020298609</v>
      </c>
      <c r="AC717" s="75" t="n">
        <f aca="false">(+AC657*365)/AC322</f>
        <v>24.0784303858337</v>
      </c>
      <c r="AD717" s="75" t="n">
        <f aca="false">(+AD657*365)/AD322</f>
        <v>65.9010650430845</v>
      </c>
      <c r="AE717" s="75" t="n">
        <f aca="false">(+AE657*365)/AE322</f>
        <v>51.6241350198694</v>
      </c>
      <c r="AF717" s="75" t="n">
        <f aca="false">(+AF657*365)/AF322</f>
        <v>40.3604006838102</v>
      </c>
      <c r="AG717" s="75" t="n">
        <f aca="false">(+AG657*365)/AG322</f>
        <v>33.3400328279501</v>
      </c>
      <c r="AH717" s="75" t="n">
        <f aca="false">(+AH657*365)/AH322</f>
        <v>26.6409712649504</v>
      </c>
      <c r="AI717" s="78" t="n">
        <v>25</v>
      </c>
      <c r="AJ717" s="78" t="n">
        <v>25</v>
      </c>
      <c r="AK717" s="78" t="n">
        <v>25</v>
      </c>
      <c r="AL717" s="78" t="n">
        <v>25</v>
      </c>
      <c r="AM717" s="36"/>
      <c r="AN717" s="36"/>
      <c r="AO717" s="36"/>
      <c r="AP717" s="36"/>
      <c r="AQ717" s="36"/>
      <c r="AR717" s="36"/>
      <c r="AS717" s="36"/>
      <c r="AT717" s="36"/>
      <c r="AU717" s="36"/>
      <c r="AV717" s="36"/>
      <c r="AW717" s="36"/>
      <c r="AX717" s="36"/>
      <c r="AY717" s="36"/>
    </row>
    <row r="718" customFormat="false" ht="15" hidden="false" customHeight="true" outlineLevel="0" collapsed="false">
      <c r="A718" s="47" t="s">
        <v>708</v>
      </c>
      <c r="B718" s="74" t="n">
        <f aca="false">(+B668+B667)/B497*100</f>
        <v>17.1031783854094</v>
      </c>
      <c r="C718" s="74" t="n">
        <f aca="false">(+C668+C667)/C497*100</f>
        <v>17.5996583638224</v>
      </c>
      <c r="D718" s="74" t="n">
        <f aca="false">(+D668+D667)/D497*100</f>
        <v>18.0427858175732</v>
      </c>
      <c r="E718" s="74" t="n">
        <f aca="false">(+E668+E667)/E497*100</f>
        <v>18.3098712427935</v>
      </c>
      <c r="F718" s="74" t="n">
        <f aca="false">(+F668+F667)/F497*100</f>
        <v>18.8236594087455</v>
      </c>
      <c r="G718" s="74" t="n">
        <f aca="false">(+G668+G667)/G497*100</f>
        <v>18.9886303870143</v>
      </c>
      <c r="H718" s="74" t="n">
        <f aca="false">(+H668+H667)/H497*100</f>
        <v>16.4332505443007</v>
      </c>
      <c r="I718" s="74" t="n">
        <f aca="false">(+I668+I667)/I497*100</f>
        <v>12.8875651921364</v>
      </c>
      <c r="J718" s="74" t="n">
        <f aca="false">(+J668+J667)/J497*100</f>
        <v>16.5984676453812</v>
      </c>
      <c r="K718" s="74" t="n">
        <f aca="false">(+K668+K667)/K497*100</f>
        <v>18.3223056409378</v>
      </c>
      <c r="L718" s="74" t="n">
        <f aca="false">(+L668+L667)/L497*100</f>
        <v>15.0486027129568</v>
      </c>
      <c r="M718" s="74" t="n">
        <f aca="false">(+M668+M667)/M497*100</f>
        <v>17.004338645936</v>
      </c>
      <c r="N718" s="74" t="n">
        <f aca="false">(+N668+N667)/N497*100</f>
        <v>19.6400217663165</v>
      </c>
      <c r="O718" s="74" t="n">
        <f aca="false">(+O668+O667)/O497*100</f>
        <v>18.9723524488676</v>
      </c>
      <c r="P718" s="74" t="n">
        <f aca="false">(+P668+P667)/P497*100</f>
        <v>18.8592734153184</v>
      </c>
      <c r="Q718" s="74" t="n">
        <f aca="false">(+Q668+Q667)/Q497*100</f>
        <v>21.342826753407</v>
      </c>
      <c r="R718" s="74" t="n">
        <f aca="false">(+R668+R667)/R497*100</f>
        <v>28.5820995109892</v>
      </c>
      <c r="S718" s="74" t="n">
        <f aca="false">(+S668+S667)/S497*100</f>
        <v>32.7954594462093</v>
      </c>
      <c r="T718" s="74" t="n">
        <f aca="false">(+T668+T667)/T497*100</f>
        <v>25.0082481611436</v>
      </c>
      <c r="U718" s="74" t="n">
        <f aca="false">(+U668+U667)/U497*100</f>
        <v>22.3542716425129</v>
      </c>
      <c r="V718" s="74" t="n">
        <f aca="false">(+V668+V667)/V497*100</f>
        <v>20.007650725072</v>
      </c>
      <c r="W718" s="74" t="n">
        <f aca="false">(+W668+W667)/W497*100</f>
        <v>21.3016491854224</v>
      </c>
      <c r="X718" s="74" t="n">
        <f aca="false">(+X668+X667)/X497*100</f>
        <v>21.0138621029899</v>
      </c>
      <c r="Y718" s="74" t="n">
        <f aca="false">(+Y668+Y667)/Y497*100</f>
        <v>14.4471672779855</v>
      </c>
      <c r="Z718" s="74" t="n">
        <f aca="false">(+Z668+Z667)/Z497*100</f>
        <v>15.9556759603921</v>
      </c>
      <c r="AA718" s="74" t="n">
        <f aca="false">(+AA668+AA667)/AA497*100</f>
        <v>19.5859245724981</v>
      </c>
      <c r="AB718" s="74" t="n">
        <f aca="false">(+AB668+AB667)/AB497*100</f>
        <v>19.3637460400992</v>
      </c>
      <c r="AC718" s="74" t="n">
        <f aca="false">(+AC668+AC667)/AC497*100</f>
        <v>16.1037129414711</v>
      </c>
      <c r="AD718" s="74" t="n">
        <f aca="false">(+AD668+AD667)/AD497*100</f>
        <v>34.9761721107034</v>
      </c>
      <c r="AE718" s="74" t="n">
        <f aca="false">(+AE668+AE667)/AE497*100</f>
        <v>33.2236706989592</v>
      </c>
      <c r="AF718" s="74" t="n">
        <f aca="false">(+AF668+AF667)/AF497*100</f>
        <v>21.6030618930168</v>
      </c>
      <c r="AG718" s="74" t="n">
        <f aca="false">(+AG668+AG667)/AG497*100</f>
        <v>18.6762617204451</v>
      </c>
      <c r="AH718" s="74" t="n">
        <f aca="false">(+AH668+AH667)/AH497*100</f>
        <v>21.5973364224305</v>
      </c>
      <c r="AI718" s="74" t="n">
        <f aca="false">(+AI668+AI667)/AI497*100</f>
        <v>21.7617449401407</v>
      </c>
      <c r="AJ718" s="74" t="n">
        <f aca="false">(+AJ668+AJ667)/AJ497*100</f>
        <v>20.5479452054795</v>
      </c>
      <c r="AK718" s="74" t="n">
        <f aca="false">(+AK668+AK667)/AK497*100</f>
        <v>20.5479452054795</v>
      </c>
      <c r="AL718" s="74" t="n">
        <f aca="false">(+AL668+AL667)/AL497*100</f>
        <v>20.5479452054795</v>
      </c>
      <c r="AM718" s="36"/>
      <c r="AN718" s="36"/>
      <c r="AO718" s="36"/>
      <c r="AP718" s="36"/>
      <c r="AQ718" s="36"/>
      <c r="AR718" s="36"/>
      <c r="AS718" s="36"/>
      <c r="AT718" s="36"/>
      <c r="AU718" s="36"/>
      <c r="AV718" s="36"/>
      <c r="AW718" s="36"/>
      <c r="AX718" s="36"/>
      <c r="AY718" s="36"/>
    </row>
    <row r="719" customFormat="false" ht="15" hidden="false" customHeight="true" outlineLevel="0" collapsed="false">
      <c r="A719" s="47" t="s">
        <v>709</v>
      </c>
      <c r="B719" s="75" t="n">
        <f aca="false">(+B668+B667)/B497*365</f>
        <v>62.4266011067442</v>
      </c>
      <c r="C719" s="75" t="n">
        <f aca="false">(+C668+C667)/C497*365</f>
        <v>64.2387530279518</v>
      </c>
      <c r="D719" s="75" t="n">
        <f aca="false">(+D668+D667)/D497*365</f>
        <v>65.8561682341421</v>
      </c>
      <c r="E719" s="75" t="n">
        <f aca="false">(+E668+E667)/E497*365</f>
        <v>66.8310300361962</v>
      </c>
      <c r="F719" s="75" t="n">
        <f aca="false">(+F668+F667)/F497*365</f>
        <v>68.7063568419212</v>
      </c>
      <c r="G719" s="75" t="n">
        <f aca="false">(+G668+G667)/G497*365</f>
        <v>69.3085009126021</v>
      </c>
      <c r="H719" s="75" t="n">
        <f aca="false">(+H668+H667)/H497*365</f>
        <v>59.9813644866974</v>
      </c>
      <c r="I719" s="75" t="n">
        <f aca="false">(+I668+I667)/I497*365</f>
        <v>47.0396129512977</v>
      </c>
      <c r="J719" s="75" t="n">
        <f aca="false">(+J668+J667)/J497*365</f>
        <v>60.5844069056413</v>
      </c>
      <c r="K719" s="75" t="n">
        <f aca="false">(+K668+K667)/K497*365</f>
        <v>66.8764155894229</v>
      </c>
      <c r="L719" s="75" t="n">
        <f aca="false">(+L668+L667)/L497*365</f>
        <v>54.9273999022922</v>
      </c>
      <c r="M719" s="75" t="n">
        <f aca="false">(+M668+M667)/M497*365</f>
        <v>62.0658360576663</v>
      </c>
      <c r="N719" s="75" t="n">
        <f aca="false">(+N668+N667)/N497*365</f>
        <v>71.6860794470553</v>
      </c>
      <c r="O719" s="75" t="n">
        <f aca="false">(+O668+O667)/O497*365</f>
        <v>69.2490864383666</v>
      </c>
      <c r="P719" s="75" t="n">
        <f aca="false">(+P668+P667)/P497*365</f>
        <v>68.8363479659123</v>
      </c>
      <c r="Q719" s="75" t="n">
        <f aca="false">(+Q668+Q667)/Q497*365</f>
        <v>77.9013176499357</v>
      </c>
      <c r="R719" s="75" t="n">
        <f aca="false">(+R668+R667)/R497*365</f>
        <v>104.324663215111</v>
      </c>
      <c r="S719" s="75" t="n">
        <f aca="false">(+S668+S667)/S497*365</f>
        <v>119.703426978664</v>
      </c>
      <c r="T719" s="75" t="n">
        <f aca="false">(+T668+T667)/T497*365</f>
        <v>91.2801057881742</v>
      </c>
      <c r="U719" s="75" t="n">
        <f aca="false">(+U668+U667)/U497*365</f>
        <v>81.5930914951721</v>
      </c>
      <c r="V719" s="75" t="n">
        <f aca="false">(+V668+V667)/V497*365</f>
        <v>73.0279251465128</v>
      </c>
      <c r="W719" s="75" t="n">
        <f aca="false">(+W668+W667)/W497*365</f>
        <v>77.7510195267918</v>
      </c>
      <c r="X719" s="75" t="n">
        <f aca="false">(+X668+X667)/X497*365</f>
        <v>76.7005966759133</v>
      </c>
      <c r="Y719" s="75" t="n">
        <f aca="false">(+Y668+Y667)/Y497*365</f>
        <v>52.7321605646471</v>
      </c>
      <c r="Z719" s="75" t="n">
        <f aca="false">(+Z668+Z667)/Z497*365</f>
        <v>58.2382172554312</v>
      </c>
      <c r="AA719" s="75" t="n">
        <f aca="false">(+AA668+AA667)/AA497*365</f>
        <v>71.488624689618</v>
      </c>
      <c r="AB719" s="75" t="n">
        <f aca="false">(+AB668+AB667)/AB497*365</f>
        <v>70.6776730463621</v>
      </c>
      <c r="AC719" s="75" t="n">
        <f aca="false">(+AC668+AC667)/AC497*365</f>
        <v>58.7785522363694</v>
      </c>
      <c r="AD719" s="75" t="n">
        <f aca="false">(+AD668+AD667)/AD497*365</f>
        <v>127.663028204067</v>
      </c>
      <c r="AE719" s="75" t="n">
        <f aca="false">(+AE668+AE667)/AE497*365</f>
        <v>121.266398051201</v>
      </c>
      <c r="AF719" s="75" t="n">
        <f aca="false">(+AF668+AF667)/AF497*365</f>
        <v>78.8511759095113</v>
      </c>
      <c r="AG719" s="78" t="n">
        <v>80</v>
      </c>
      <c r="AH719" s="78" t="n">
        <v>75</v>
      </c>
      <c r="AI719" s="78" t="n">
        <v>75</v>
      </c>
      <c r="AJ719" s="78" t="n">
        <v>75</v>
      </c>
      <c r="AK719" s="78" t="n">
        <v>75</v>
      </c>
      <c r="AL719" s="78" t="n">
        <v>75</v>
      </c>
      <c r="AM719" s="36"/>
      <c r="AN719" s="36"/>
      <c r="AO719" s="36"/>
      <c r="AP719" s="36"/>
      <c r="AQ719" s="36"/>
      <c r="AR719" s="36"/>
      <c r="AS719" s="36"/>
      <c r="AT719" s="36"/>
      <c r="AU719" s="36"/>
      <c r="AV719" s="36"/>
      <c r="AW719" s="36"/>
      <c r="AX719" s="36"/>
      <c r="AY719" s="36"/>
    </row>
    <row r="720" customFormat="false" ht="15" hidden="false" customHeight="true" outlineLevel="0" collapsed="false">
      <c r="A720" s="47" t="s">
        <v>710</v>
      </c>
      <c r="B720" s="74" t="n">
        <f aca="false">(+B649+B650)/B445*100</f>
        <v>24.1670690487687</v>
      </c>
      <c r="C720" s="74" t="n">
        <f aca="false">(+C649+C650)/C445*100</f>
        <v>18.001514004542</v>
      </c>
      <c r="D720" s="74" t="n">
        <f aca="false">(+D649+D650)/D445*100</f>
        <v>86.6181229773463</v>
      </c>
      <c r="E720" s="74" t="n">
        <f aca="false">(+E649+E650)/E445*100</f>
        <v>75.0548060708263</v>
      </c>
      <c r="F720" s="74" t="n">
        <f aca="false">(+F649+F650)/F445*100</f>
        <v>115.128639133379</v>
      </c>
      <c r="G720" s="74" t="n">
        <f aca="false">(+G649+G650)/G445*100</f>
        <v>163.477299935537</v>
      </c>
      <c r="H720" s="74" t="n">
        <f aca="false">(+H649+H650)/H445*100</f>
        <v>205.260263929619</v>
      </c>
      <c r="I720" s="74" t="n">
        <f aca="false">(+I649+I650)/I445*100</f>
        <v>148.944120969844</v>
      </c>
      <c r="J720" s="74" t="n">
        <f aca="false">(+J649+J650)/J445*100</f>
        <v>146.434050760531</v>
      </c>
      <c r="K720" s="74" t="n">
        <f aca="false">(+K649+K650)/K445*100</f>
        <v>128.920078297447</v>
      </c>
      <c r="L720" s="74" t="n">
        <f aca="false">(+L649+L650)/L445*100</f>
        <v>143.047054322877</v>
      </c>
      <c r="M720" s="74" t="n">
        <f aca="false">(+M649+M650)/M445*100</f>
        <v>117.3144751693</v>
      </c>
      <c r="N720" s="74" t="n">
        <f aca="false">(+N649+N650)/N445*100</f>
        <v>127.490768540567</v>
      </c>
      <c r="O720" s="74" t="n">
        <f aca="false">(+O649+O650)/O445*100</f>
        <v>107.023489540727</v>
      </c>
      <c r="P720" s="74" t="n">
        <f aca="false">(+P649+P650)/P445*100</f>
        <v>113.241659628378</v>
      </c>
      <c r="Q720" s="74" t="n">
        <f aca="false">(+Q649+Q650)/Q445*100</f>
        <v>148.838279830406</v>
      </c>
      <c r="R720" s="74" t="n">
        <f aca="false">(+R649+R650)/R445*100</f>
        <v>187.53377609296</v>
      </c>
      <c r="S720" s="74" t="n">
        <f aca="false">(+S649+S650)/S445*100</f>
        <v>175.051213443566</v>
      </c>
      <c r="T720" s="74" t="n">
        <f aca="false">(+T649+T650)/T445*100</f>
        <v>140.111169169488</v>
      </c>
      <c r="U720" s="74" t="n">
        <f aca="false">(+U649+U650)/U445*100</f>
        <v>137.489414260433</v>
      </c>
      <c r="V720" s="74" t="n">
        <f aca="false">(+V649+V650)/V445*100</f>
        <v>123.587549048364</v>
      </c>
      <c r="W720" s="74" t="n">
        <f aca="false">(+W649+W650)/W445*100</f>
        <v>160.489908497877</v>
      </c>
      <c r="X720" s="74" t="n">
        <f aca="false">(+X649+X650)/X445*100</f>
        <v>131.662332564644</v>
      </c>
      <c r="Y720" s="74" t="n">
        <f aca="false">(+Y649+Y650)/Y445*100</f>
        <v>101.563483570439</v>
      </c>
      <c r="Z720" s="74" t="n">
        <f aca="false">(+Z649+Z650)/Z445*100</f>
        <v>88.2815056569033</v>
      </c>
      <c r="AA720" s="78" t="n">
        <v>108</v>
      </c>
      <c r="AB720" s="78" t="n">
        <v>108</v>
      </c>
      <c r="AC720" s="78" t="n">
        <v>108</v>
      </c>
      <c r="AD720" s="78" t="n">
        <v>108</v>
      </c>
      <c r="AE720" s="78" t="n">
        <v>108</v>
      </c>
      <c r="AF720" s="78" t="n">
        <v>108</v>
      </c>
      <c r="AG720" s="78" t="n">
        <v>105</v>
      </c>
      <c r="AH720" s="78" t="n">
        <v>105</v>
      </c>
      <c r="AI720" s="78" t="n">
        <v>105</v>
      </c>
      <c r="AJ720" s="78" t="n">
        <v>105</v>
      </c>
      <c r="AK720" s="78" t="n">
        <v>105</v>
      </c>
      <c r="AL720" s="78" t="n">
        <v>105</v>
      </c>
      <c r="AM720" s="36"/>
      <c r="AN720" s="36"/>
      <c r="AO720" s="36"/>
      <c r="AP720" s="36"/>
      <c r="AQ720" s="36"/>
      <c r="AR720" s="36"/>
      <c r="AS720" s="36"/>
      <c r="AT720" s="36"/>
      <c r="AU720" s="36"/>
      <c r="AV720" s="36"/>
      <c r="AW720" s="36"/>
      <c r="AX720" s="36"/>
      <c r="AY720" s="36"/>
    </row>
    <row r="721" customFormat="false" ht="15" hidden="false" customHeight="true" outlineLevel="0" collapsed="false">
      <c r="A721" s="70" t="s">
        <v>711</v>
      </c>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c r="AA721" s="86"/>
      <c r="AB721" s="86"/>
      <c r="AC721" s="86"/>
      <c r="AD721" s="86"/>
      <c r="AE721" s="86"/>
      <c r="AF721" s="86"/>
      <c r="AG721" s="86"/>
      <c r="AH721" s="86"/>
      <c r="AI721" s="86"/>
      <c r="AJ721" s="86"/>
      <c r="AK721" s="86"/>
      <c r="AL721" s="86"/>
      <c r="AM721" s="86"/>
      <c r="AN721" s="86"/>
      <c r="AO721" s="86"/>
      <c r="AP721" s="86"/>
      <c r="AQ721" s="86"/>
      <c r="AR721" s="86"/>
      <c r="AS721" s="86"/>
      <c r="AT721" s="86"/>
      <c r="AU721" s="86"/>
      <c r="AV721" s="86"/>
      <c r="AW721" s="86"/>
      <c r="AX721" s="86"/>
      <c r="AY721" s="86"/>
    </row>
    <row r="722" customFormat="false" ht="15" hidden="false" customHeight="true" outlineLevel="0" collapsed="false">
      <c r="A722" s="38" t="s">
        <v>712</v>
      </c>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c r="AY722" s="45"/>
    </row>
    <row r="723" customFormat="false" ht="15" hidden="false" customHeight="true" outlineLevel="0" collapsed="false">
      <c r="A723" s="47" t="s">
        <v>713</v>
      </c>
      <c r="B723" s="48" t="n">
        <f aca="false">B499/B327</f>
        <v>0.0656219320919036</v>
      </c>
      <c r="C723" s="48" t="n">
        <f aca="false">C499/C327</f>
        <v>0.0742685563458378</v>
      </c>
      <c r="D723" s="48" t="n">
        <f aca="false">D499/D327</f>
        <v>0.0714072366734245</v>
      </c>
      <c r="E723" s="48" t="n">
        <f aca="false">E499/E327</f>
        <v>0.0723579913837974</v>
      </c>
      <c r="F723" s="48" t="n">
        <f aca="false">F499/F327</f>
        <v>0.0922495549761101</v>
      </c>
      <c r="G723" s="48" t="n">
        <f aca="false">G499/G327</f>
        <v>0.0768324887757412</v>
      </c>
      <c r="H723" s="48" t="n">
        <f aca="false">H499/H327</f>
        <v>0.0809623299596358</v>
      </c>
      <c r="I723" s="48" t="n">
        <f aca="false">I499/I327</f>
        <v>0.100365257022886</v>
      </c>
      <c r="J723" s="48" t="n">
        <f aca="false">J499/J327</f>
        <v>0.110189157555081</v>
      </c>
      <c r="K723" s="48" t="n">
        <f aca="false">K499/K327</f>
        <v>0.112594128452644</v>
      </c>
      <c r="L723" s="48" t="n">
        <f aca="false">L499/L327</f>
        <v>0.106385664257749</v>
      </c>
      <c r="M723" s="48" t="n">
        <f aca="false">M499/M327</f>
        <v>0.100477863392741</v>
      </c>
      <c r="N723" s="48" t="n">
        <f aca="false">N499/N327</f>
        <v>0.0878871785108418</v>
      </c>
      <c r="O723" s="48" t="n">
        <f aca="false">O499/O327</f>
        <v>0.0892219335918009</v>
      </c>
      <c r="P723" s="48" t="n">
        <f aca="false">P499/P327</f>
        <v>0.0846127568224178</v>
      </c>
      <c r="Q723" s="48" t="n">
        <f aca="false">Q499/Q327</f>
        <v>0.0899951755657517</v>
      </c>
      <c r="R723" s="48" t="n">
        <f aca="false">R499/R327</f>
        <v>0.0704155456059494</v>
      </c>
      <c r="S723" s="48" t="n">
        <f aca="false">S499/S327</f>
        <v>0.0968980199597153</v>
      </c>
      <c r="T723" s="48" t="n">
        <f aca="false">T499/T327</f>
        <v>0.1048121888666</v>
      </c>
      <c r="U723" s="48" t="n">
        <f aca="false">U499/U327</f>
        <v>0.0911953441539109</v>
      </c>
      <c r="V723" s="48" t="n">
        <f aca="false">V499/V327</f>
        <v>0.0659070134283499</v>
      </c>
      <c r="W723" s="48" t="n">
        <f aca="false">W499/W327</f>
        <v>0.0157716825943845</v>
      </c>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row>
    <row r="724" customFormat="false" ht="15" hidden="false" customHeight="true" outlineLevel="0" collapsed="false">
      <c r="A724" s="47" t="s">
        <v>714</v>
      </c>
      <c r="B724" s="48" t="n">
        <f aca="false">+B513/B499</f>
        <v>1.90897624217652</v>
      </c>
      <c r="C724" s="48" t="n">
        <f aca="false">+C513/C499</f>
        <v>1.54214491696397</v>
      </c>
      <c r="D724" s="48" t="n">
        <f aca="false">+D513/D499</f>
        <v>1.71141958171386</v>
      </c>
      <c r="E724" s="48" t="n">
        <f aca="false">+E513/E499</f>
        <v>1.97523002654417</v>
      </c>
      <c r="F724" s="48" t="n">
        <f aca="false">+F513/F499</f>
        <v>1.57017532368289</v>
      </c>
      <c r="G724" s="48" t="n">
        <f aca="false">+G513/G499</f>
        <v>1.70361515817999</v>
      </c>
      <c r="H724" s="48" t="n">
        <f aca="false">+H513/H499</f>
        <v>1.52994519569386</v>
      </c>
      <c r="I724" s="48" t="n">
        <f aca="false">+I513/I499</f>
        <v>1.21078057365013</v>
      </c>
      <c r="J724" s="48" t="n">
        <f aca="false">+J513/J499</f>
        <v>1.15134423763865</v>
      </c>
      <c r="K724" s="48" t="n">
        <f aca="false">+K513/K499</f>
        <v>1.17112971135114</v>
      </c>
      <c r="L724" s="48" t="n">
        <f aca="false">+L513/L499</f>
        <v>1.16022432261359</v>
      </c>
      <c r="M724" s="48" t="n">
        <f aca="false">+M513/M499</f>
        <v>1.14505174808162</v>
      </c>
      <c r="N724" s="48" t="n">
        <f aca="false">+N513/N499</f>
        <v>1.12888532576564</v>
      </c>
      <c r="O724" s="48" t="n">
        <f aca="false">+O513/O499</f>
        <v>1.10164423130335</v>
      </c>
      <c r="P724" s="48" t="n">
        <f aca="false">+P513/P499</f>
        <v>1.13421091954432</v>
      </c>
      <c r="Q724" s="48" t="n">
        <f aca="false">+Q513/Q499</f>
        <v>1.12509001988833</v>
      </c>
      <c r="R724" s="48" t="n">
        <f aca="false">+R513/R499</f>
        <v>1.29127008184944</v>
      </c>
      <c r="S724" s="48" t="n">
        <f aca="false">+S513/S499</f>
        <v>1.11950947454057</v>
      </c>
      <c r="T724" s="48" t="n">
        <f aca="false">+T513/T499</f>
        <v>1.03202718867011</v>
      </c>
      <c r="U724" s="48" t="n">
        <f aca="false">+U513/U499</f>
        <v>1.04171068579199</v>
      </c>
      <c r="V724" s="48" t="n">
        <f aca="false">+V513/V499</f>
        <v>1.07113948102858</v>
      </c>
      <c r="W724" s="48" t="n">
        <f aca="false">+W513/W499</f>
        <v>1.39937428817926</v>
      </c>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row>
    <row r="725" customFormat="false" ht="15" hidden="false" customHeight="true" outlineLevel="0" collapsed="false">
      <c r="A725" s="47" t="s">
        <v>715</v>
      </c>
      <c r="B725" s="48" t="n">
        <f aca="false">+B525/B513</f>
        <v>0.0370097772722343</v>
      </c>
      <c r="C725" s="48" t="n">
        <f aca="false">+C525/C513</f>
        <v>0.261129219420978</v>
      </c>
      <c r="D725" s="48" t="n">
        <f aca="false">+D525/D513</f>
        <v>0.381699615001946</v>
      </c>
      <c r="E725" s="48" t="n">
        <f aca="false">+E525/E513</f>
        <v>0.465066809639528</v>
      </c>
      <c r="F725" s="48" t="n">
        <f aca="false">+F525/F513</f>
        <v>0.436720266534659</v>
      </c>
      <c r="G725" s="48" t="n">
        <f aca="false">+G525/G513</f>
        <v>0.0783908715768666</v>
      </c>
      <c r="H725" s="48" t="n">
        <f aca="false">+H525/H513</f>
        <v>0.0934360758189992</v>
      </c>
      <c r="I725" s="48" t="n">
        <f aca="false">+I525/I513</f>
        <v>0.295401792923935</v>
      </c>
      <c r="J725" s="48" t="n">
        <f aca="false">+J525/J513</f>
        <v>0.308261968696325</v>
      </c>
      <c r="K725" s="48" t="n">
        <f aca="false">+K525/K513</f>
        <v>0.381154193226604</v>
      </c>
      <c r="L725" s="48" t="n">
        <f aca="false">+L525/L513</f>
        <v>0.448312850693283</v>
      </c>
      <c r="M725" s="48" t="n">
        <f aca="false">+M525/M513</f>
        <v>0.633982675359971</v>
      </c>
      <c r="N725" s="48" t="n">
        <f aca="false">+N525/N513</f>
        <v>0.782676563210041</v>
      </c>
      <c r="O725" s="48" t="n">
        <f aca="false">+O525/O513</f>
        <v>0.760212785626045</v>
      </c>
      <c r="P725" s="48" t="n">
        <f aca="false">+P525/P513</f>
        <v>0.758483449666433</v>
      </c>
      <c r="Q725" s="48" t="n">
        <f aca="false">+Q525/Q513</f>
        <v>0.705481117891572</v>
      </c>
      <c r="R725" s="48" t="n">
        <f aca="false">+R525/R513</f>
        <v>0.343875743915668</v>
      </c>
      <c r="S725" s="48" t="n">
        <f aca="false">+S525/S513</f>
        <v>0.637905301791933</v>
      </c>
      <c r="T725" s="48" t="n">
        <f aca="false">+T525/T513</f>
        <v>0.612924383426811</v>
      </c>
      <c r="U725" s="48" t="n">
        <f aca="false">+U525/U513</f>
        <v>0.532206529053445</v>
      </c>
      <c r="V725" s="48" t="n">
        <f aca="false">+V525/V513</f>
        <v>0.5013813087453</v>
      </c>
      <c r="W725" s="48" t="n">
        <f aca="false">+W525/W513</f>
        <v>-0.391358014097995</v>
      </c>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row>
    <row r="726" customFormat="false" ht="15" hidden="false" customHeight="true" outlineLevel="0" collapsed="false">
      <c r="A726" s="47" t="s">
        <v>716</v>
      </c>
      <c r="B726" s="48" t="n">
        <f aca="false">B327/(B327+B355)</f>
        <v>0.94370891703119</v>
      </c>
      <c r="C726" s="48" t="n">
        <f aca="false">C327/(C327+C355)</f>
        <v>0.961294144644865</v>
      </c>
      <c r="D726" s="48" t="n">
        <f aca="false">D327/(D327+D355)</f>
        <v>0.951655422571703</v>
      </c>
      <c r="E726" s="48" t="n">
        <f aca="false">E327/(E327+E355)</f>
        <v>0.934085608393702</v>
      </c>
      <c r="F726" s="48" t="n">
        <f aca="false">F327/(F327+F355)</f>
        <v>0.950029927011769</v>
      </c>
      <c r="G726" s="48" t="n">
        <f aca="false">G327/(G327+G355)</f>
        <v>0.948712143609101</v>
      </c>
      <c r="H726" s="48" t="n">
        <f aca="false">H327/(H327+H355)</f>
        <v>0.958859557485324</v>
      </c>
      <c r="I726" s="48" t="n">
        <f aca="false">I327/(I327+I355)</f>
        <v>0.979283218034936</v>
      </c>
      <c r="J726" s="48" t="n">
        <f aca="false">J327/(J327+J355)</f>
        <v>0.983597049657508</v>
      </c>
      <c r="K726" s="48" t="n">
        <f aca="false">K327/(K327+K355)</f>
        <v>0.981096044506574</v>
      </c>
      <c r="L726" s="48" t="n">
        <f aca="false">L327/(L327+L355)</f>
        <v>0.983240110888171</v>
      </c>
      <c r="M726" s="48" t="n">
        <f aca="false">M327/(M327+M355)</f>
        <v>0.985634874643338</v>
      </c>
      <c r="N726" s="48" t="n">
        <f aca="false">N327/(N327+N355)</f>
        <v>0.988799504497239</v>
      </c>
      <c r="O726" s="48" t="n">
        <f aca="false">O327/(O327+O355)</f>
        <v>0.991012610832051</v>
      </c>
      <c r="P726" s="48" t="n">
        <f aca="false">P327/(P327+P355)</f>
        <v>0.988771553841071</v>
      </c>
      <c r="Q726" s="48" t="n">
        <f aca="false">Q327/(Q327+Q355)</f>
        <v>0.98886782217162</v>
      </c>
      <c r="R726" s="48" t="n">
        <f aca="false">R327/(R327+R355)</f>
        <v>0.979902261709175</v>
      </c>
      <c r="S726" s="48" t="n">
        <f aca="false">S327/(S327+S355)</f>
        <v>0.988552335159007</v>
      </c>
      <c r="T726" s="48" t="n">
        <f aca="false">T327/(T327+T355)</f>
        <v>0.996654390925763</v>
      </c>
      <c r="U726" s="48" t="n">
        <f aca="false">U327/(U327+U355)</f>
        <v>0.996210593874422</v>
      </c>
      <c r="V726" s="48" t="n">
        <f aca="false">V327/(V327+V355)</f>
        <v>0.995333289563861</v>
      </c>
      <c r="W726" s="48" t="n">
        <f aca="false">W327/(W327+W355)</f>
        <v>0.993740622088296</v>
      </c>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row>
    <row r="727" customFormat="false" ht="15" hidden="false" customHeight="true" outlineLevel="0" collapsed="false">
      <c r="A727" s="47" t="s">
        <v>717</v>
      </c>
      <c r="B727" s="48" t="n">
        <f aca="false">(+B327+B355)/B677</f>
        <v>1.0934393724147</v>
      </c>
      <c r="C727" s="48" t="n">
        <f aca="false">(+C327+C355)/C677</f>
        <v>1.2260527912137</v>
      </c>
      <c r="D727" s="48" t="n">
        <f aca="false">(+D327+D355)/D677</f>
        <v>1.01603244826449</v>
      </c>
      <c r="E727" s="48" t="n">
        <f aca="false">(+E327+E355)/E677</f>
        <v>1.11726134868908</v>
      </c>
      <c r="F727" s="48" t="n">
        <f aca="false">(+F327+F355)/F677</f>
        <v>1.14902340503561</v>
      </c>
      <c r="G727" s="48" t="n">
        <f aca="false">(+G327+G355)/G677</f>
        <v>0.903412970556586</v>
      </c>
      <c r="H727" s="48" t="n">
        <f aca="false">(+H327+H355)/H677</f>
        <v>1.029502661536</v>
      </c>
      <c r="I727" s="48" t="n">
        <f aca="false">(+I327+I355)/I677</f>
        <v>1.26016056315823</v>
      </c>
      <c r="J727" s="48" t="n">
        <f aca="false">(+J327+J355)/J677</f>
        <v>1.25493567475215</v>
      </c>
      <c r="K727" s="48" t="n">
        <f aca="false">(+K327+K355)/K677</f>
        <v>1.26794328065708</v>
      </c>
      <c r="L727" s="48" t="n">
        <f aca="false">(+L327+L355)/L677</f>
        <v>1.69405643002167</v>
      </c>
      <c r="M727" s="48" t="n">
        <f aca="false">(+M327+M355)/M677</f>
        <v>2.30164756960089</v>
      </c>
      <c r="N727" s="48" t="n">
        <f aca="false">(+N327+N355)/N677</f>
        <v>2.19266346689835</v>
      </c>
      <c r="O727" s="48" t="n">
        <f aca="false">(+O327+O355)/O677</f>
        <v>2.67417504717456</v>
      </c>
      <c r="P727" s="48" t="n">
        <f aca="false">(+P327+P355)/P677</f>
        <v>3.07443185041885</v>
      </c>
      <c r="Q727" s="48" t="n">
        <f aca="false">(+Q327+Q355)/Q677</f>
        <v>2.74572311425422</v>
      </c>
      <c r="R727" s="48" t="n">
        <f aca="false">(+R327+R355)/R677</f>
        <v>1.19371634259092</v>
      </c>
      <c r="S727" s="48" t="n">
        <f aca="false">(+S327+S355)/S677</f>
        <v>1.25983303205494</v>
      </c>
      <c r="T727" s="48" t="n">
        <f aca="false">(+T327+T355)/T677</f>
        <v>1.71749943967059</v>
      </c>
      <c r="U727" s="48" t="n">
        <f aca="false">(+U327+U355)/U677</f>
        <v>1.73908737059205</v>
      </c>
      <c r="V727" s="48" t="n">
        <f aca="false">(+V327+V355)/V677</f>
        <v>1.41848236847822</v>
      </c>
      <c r="W727" s="48" t="n">
        <f aca="false">(+W327+W355)/W677</f>
        <v>1.10458509883389</v>
      </c>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row>
    <row r="728" customFormat="false" ht="15" hidden="false" customHeight="true" outlineLevel="0" collapsed="false">
      <c r="A728" s="47" t="s">
        <v>718</v>
      </c>
      <c r="B728" s="48" t="n">
        <f aca="false">+B677/B599</f>
        <v>2.24937803837072</v>
      </c>
      <c r="C728" s="48" t="n">
        <f aca="false">+C677/C599</f>
        <v>2.13365804436819</v>
      </c>
      <c r="D728" s="48" t="n">
        <f aca="false">+D677/D599</f>
        <v>1.60690700310483</v>
      </c>
      <c r="E728" s="48" t="n">
        <f aca="false">+E677/E599</f>
        <v>1.8531702115784</v>
      </c>
      <c r="F728" s="48" t="n">
        <f aca="false">+F677/F599</f>
        <v>2.07099834074322</v>
      </c>
      <c r="G728" s="48" t="n">
        <f aca="false">+G677/G599</f>
        <v>2.13104436333961</v>
      </c>
      <c r="H728" s="48" t="n">
        <f aca="false">+H677/H599</f>
        <v>1.86720047732912</v>
      </c>
      <c r="I728" s="48" t="n">
        <f aca="false">+I677/I599</f>
        <v>1.84698815152783</v>
      </c>
      <c r="J728" s="48" t="n">
        <f aca="false">+J677/J599</f>
        <v>1.79151650887373</v>
      </c>
      <c r="K728" s="48" t="n">
        <f aca="false">+K677/K599</f>
        <v>2.03919753354299</v>
      </c>
      <c r="L728" s="48" t="n">
        <f aca="false">+L677/L599</f>
        <v>1.92343296306564</v>
      </c>
      <c r="M728" s="48" t="n">
        <f aca="false">+M677/M599</f>
        <v>1.6459031543159</v>
      </c>
      <c r="N728" s="48" t="n">
        <f aca="false">+N677/N599</f>
        <v>1.90015027421834</v>
      </c>
      <c r="O728" s="48" t="n">
        <f aca="false">+O677/O599</f>
        <v>1.61709451571132</v>
      </c>
      <c r="P728" s="48" t="n">
        <f aca="false">+P677/P599</f>
        <v>1.44196196705529</v>
      </c>
      <c r="Q728" s="48" t="n">
        <f aca="false">+Q677/Q599</f>
        <v>1.53109844568265</v>
      </c>
      <c r="R728" s="48" t="n">
        <f aca="false">+R677/R599</f>
        <v>1.64061214790643</v>
      </c>
      <c r="S728" s="48" t="n">
        <f aca="false">+S677/S599</f>
        <v>1.7230040868598</v>
      </c>
      <c r="T728" s="48" t="n">
        <f aca="false">+T677/T599</f>
        <v>1.78276761718211</v>
      </c>
      <c r="U728" s="48" t="n">
        <f aca="false">+U677/U599</f>
        <v>1.87183767494377</v>
      </c>
      <c r="V728" s="48" t="n">
        <f aca="false">+V677/V599</f>
        <v>2.11378246216659</v>
      </c>
      <c r="W728" s="48" t="n">
        <f aca="false">+W677/W599</f>
        <v>2.16020247548775</v>
      </c>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row>
    <row r="729" customFormat="false" ht="15" hidden="false" customHeight="true" outlineLevel="0" collapsed="false">
      <c r="A729" s="47" t="s">
        <v>719</v>
      </c>
      <c r="B729" s="48" t="n">
        <f aca="false">+B532/B525</f>
        <v>1</v>
      </c>
      <c r="C729" s="48" t="n">
        <f aca="false">+C532/C525</f>
        <v>1</v>
      </c>
      <c r="D729" s="48" t="n">
        <f aca="false">+D532/D525</f>
        <v>1</v>
      </c>
      <c r="E729" s="48" t="n">
        <f aca="false">+E532/E525</f>
        <v>0.846537358795656</v>
      </c>
      <c r="F729" s="48" t="n">
        <f aca="false">+F532/F525</f>
        <v>0.795586971057407</v>
      </c>
      <c r="G729" s="48" t="n">
        <f aca="false">+G532/G525</f>
        <v>0.891136885853822</v>
      </c>
      <c r="H729" s="48" t="n">
        <f aca="false">+H532/H525</f>
        <v>0.875363546734399</v>
      </c>
      <c r="I729" s="48" t="n">
        <f aca="false">+I532/I525</f>
        <v>0.841349812942854</v>
      </c>
      <c r="J729" s="48" t="n">
        <f aca="false">+J532/J525</f>
        <v>0.899353547640302</v>
      </c>
      <c r="K729" s="48" t="n">
        <f aca="false">+K532/K525</f>
        <v>0.697820068680695</v>
      </c>
      <c r="L729" s="48" t="n">
        <f aca="false">+L532/L525</f>
        <v>0.706705388531588</v>
      </c>
      <c r="M729" s="48" t="n">
        <f aca="false">+M532/M525</f>
        <v>0.675766250087272</v>
      </c>
      <c r="N729" s="48" t="n">
        <f aca="false">+N532/N525</f>
        <v>0.726452718074998</v>
      </c>
      <c r="O729" s="48" t="n">
        <f aca="false">+O532/O525</f>
        <v>0.723678974132212</v>
      </c>
      <c r="P729" s="48" t="n">
        <f aca="false">+P532/P525</f>
        <v>0.729994408657647</v>
      </c>
      <c r="Q729" s="48" t="n">
        <f aca="false">+Q532/Q525</f>
        <v>0.735422706260284</v>
      </c>
      <c r="R729" s="48" t="n">
        <f aca="false">+R532/R525</f>
        <v>0.911487994749727</v>
      </c>
      <c r="S729" s="48" t="n">
        <f aca="false">+S532/S525</f>
        <v>0.777706270133324</v>
      </c>
      <c r="T729" s="48" t="n">
        <f aca="false">+T532/T525</f>
        <v>0.787353269078684</v>
      </c>
      <c r="U729" s="48" t="n">
        <f aca="false">+U532/U525</f>
        <v>0.820283760347814</v>
      </c>
      <c r="V729" s="48" t="n">
        <f aca="false">+V532/V525</f>
        <v>0.921394787879587</v>
      </c>
      <c r="W729" s="48" t="n">
        <f aca="false">+W532/W525</f>
        <v>-0.322094434377054</v>
      </c>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row>
    <row r="730" customFormat="false" ht="15" hidden="false" customHeight="true" outlineLevel="0" collapsed="false">
      <c r="A730" s="47" t="s">
        <v>720</v>
      </c>
      <c r="B730" s="48" t="n">
        <f aca="false">+B729*B728*B727*B726*B725*B724*B723</f>
        <v>0.0107612129406933</v>
      </c>
      <c r="C730" s="48" t="n">
        <f aca="false">+C729*C728*C727*C726*C725*C724*C723</f>
        <v>0.0752100580946079</v>
      </c>
      <c r="D730" s="48" t="n">
        <f aca="false">+D729*D728*D727*D726*D725*D724*D723</f>
        <v>0.0724767138140061</v>
      </c>
      <c r="E730" s="48" t="n">
        <f aca="false">+E729*E728*E727*E726*E725*E724*E723</f>
        <v>0.108823433178526</v>
      </c>
      <c r="F730" s="48" t="n">
        <f aca="false">+F729*F728*F727*F726*F725*F724*F723</f>
        <v>0.113775656098542</v>
      </c>
      <c r="G730" s="48" t="n">
        <f aca="false">+G729*G728*G727*G726*G725*G724*G723</f>
        <v>0.0167008887176117</v>
      </c>
      <c r="H730" s="48" t="n">
        <f aca="false">+H729*H728*H727*H726*H725*H724*H723</f>
        <v>0.018673913575669</v>
      </c>
      <c r="I730" s="48" t="n">
        <f aca="false">+I729*I728*I727*I726*I725*I724*I723</f>
        <v>0.0688393689585641</v>
      </c>
      <c r="J730" s="48" t="n">
        <f aca="false">+J729*J728*J727*J726*J725*J724*J723</f>
        <v>0.0777774949947401</v>
      </c>
      <c r="K730" s="48" t="n">
        <f aca="false">+K729*K728*K727*K726*K725*K724*K723</f>
        <v>0.0889683524711342</v>
      </c>
      <c r="L730" s="48" t="n">
        <f aca="false">+L729*L728*L727*L726*L725*L724*L723</f>
        <v>0.125287914570927</v>
      </c>
      <c r="M730" s="48" t="n">
        <f aca="false">+M729*M728*M727*M726*M725*M724*M723</f>
        <v>0.184046921601792</v>
      </c>
      <c r="N730" s="48" t="n">
        <f aca="false">+N729*N728*N727*N726*N725*N724*N723</f>
        <v>0.232398436463119</v>
      </c>
      <c r="O730" s="48" t="n">
        <f aca="false">+O729*O728*O727*O726*O725*O724*O723</f>
        <v>0.231738684402241</v>
      </c>
      <c r="P730" s="48" t="n">
        <f aca="false">+P729*P728*P727*P726*P725*P724*P723</f>
        <v>0.232921700355965</v>
      </c>
      <c r="Q730" s="48" t="n">
        <f aca="false">+Q729*Q728*Q727*Q726*Q725*Q724*Q723</f>
        <v>0.21838712469439</v>
      </c>
      <c r="R730" s="48" t="n">
        <f aca="false">+R729*R728*R727*R726*R725*R724*R723</f>
        <v>0.0546925227244664</v>
      </c>
      <c r="S730" s="48" t="n">
        <f aca="false">+S729*S728*S727*S726*S725*S724*S723</f>
        <v>0.115481775699522</v>
      </c>
      <c r="T730" s="48" t="n">
        <f aca="false">+T729*T728*T727*T726*T725*T724*T723</f>
        <v>0.159299858053147</v>
      </c>
      <c r="U730" s="48" t="n">
        <f aca="false">+U729*U728*U727*U726*U725*U724*U723</f>
        <v>0.134494597240346</v>
      </c>
      <c r="V730" s="48" t="n">
        <f aca="false">+V729*V728*V727*V726*V725*V724*V723</f>
        <v>0.0973294595744625</v>
      </c>
      <c r="W730" s="48" t="n">
        <f aca="false">+W729*W728*W727*W726*W725*W724*W723</f>
        <v>0.0065968415559049</v>
      </c>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row>
    <row r="731" customFormat="false" ht="15" hidden="false" customHeight="true" outlineLevel="0" collapsed="false">
      <c r="A731" s="47" t="s">
        <v>721</v>
      </c>
      <c r="B731" s="48" t="n">
        <f aca="false">+B698</f>
        <v>0.0107612129406933</v>
      </c>
      <c r="C731" s="48" t="n">
        <f aca="false">+C698</f>
        <v>0.0802088654293664</v>
      </c>
      <c r="D731" s="48" t="n">
        <f aca="false">+D698</f>
        <v>0.0977891127012942</v>
      </c>
      <c r="E731" s="48" t="n">
        <f aca="false">+E698</f>
        <v>0.112346568245153</v>
      </c>
      <c r="F731" s="48" t="n">
        <f aca="false">+F698</f>
        <v>0.116913341792905</v>
      </c>
      <c r="G731" s="48" t="n">
        <f aca="false">+G698</f>
        <v>0.00446920983031098</v>
      </c>
      <c r="H731" s="48" t="n">
        <f aca="false">+H698</f>
        <v>0.0187303151874129</v>
      </c>
      <c r="I731" s="48" t="n">
        <f aca="false">+I698</f>
        <v>0.0697769523668973</v>
      </c>
      <c r="J731" s="48" t="n">
        <f aca="false">+J698</f>
        <v>0.0790725975642834</v>
      </c>
      <c r="K731" s="48" t="n">
        <f aca="false">+K698</f>
        <v>0.0832743229831661</v>
      </c>
      <c r="L731" s="48" t="n">
        <f aca="false">+L698</f>
        <v>0.120426419239456</v>
      </c>
      <c r="M731" s="48" t="n">
        <f aca="false">+M698</f>
        <v>0.192494044846001</v>
      </c>
      <c r="N731" s="48" t="n">
        <f aca="false">+N698</f>
        <v>0.244550746915521</v>
      </c>
      <c r="O731" s="48" t="n">
        <f aca="false">+O698</f>
        <v>0.253705163472098</v>
      </c>
      <c r="P731" s="48" t="n">
        <f aca="false">+P698</f>
        <v>0.266878256896463</v>
      </c>
      <c r="Q731" s="48" t="n">
        <f aca="false">+Q698</f>
        <v>0.232127709562142</v>
      </c>
      <c r="R731" s="48" t="n">
        <f aca="false">+R698</f>
        <v>0.0675796980231312</v>
      </c>
      <c r="S731" s="48" t="n">
        <f aca="false">+S698</f>
        <v>0.11863223841447</v>
      </c>
      <c r="T731" s="48" t="n">
        <f aca="false">+T698</f>
        <v>0.165440892342988</v>
      </c>
      <c r="U731" s="48" t="n">
        <f aca="false">+U698</f>
        <v>0.138530708020559</v>
      </c>
      <c r="V731" s="48" t="n">
        <f aca="false">+V698</f>
        <v>0.100114175024852</v>
      </c>
      <c r="W731" s="48" t="n">
        <f aca="false">+W698</f>
        <v>0.00659517203669095</v>
      </c>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row>
    <row r="732" customFormat="false" ht="15" hidden="false" customHeight="true" outlineLevel="0" collapsed="false">
      <c r="A732" s="38" t="s">
        <v>722</v>
      </c>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c r="AY732" s="45"/>
    </row>
    <row r="733" customFormat="false" ht="15" hidden="false" customHeight="true" outlineLevel="0" collapsed="false">
      <c r="A733" s="29" t="s">
        <v>272</v>
      </c>
      <c r="B733" s="31" t="n">
        <f aca="false">+B61</f>
        <v>310.490000000002</v>
      </c>
      <c r="C733" s="31" t="n">
        <f aca="false">+C61</f>
        <v>549.23</v>
      </c>
      <c r="D733" s="31" t="n">
        <f aca="false">+D61</f>
        <v>688.809999999997</v>
      </c>
      <c r="E733" s="31" t="n">
        <f aca="false">+E61</f>
        <v>908.13</v>
      </c>
      <c r="F733" s="31" t="n">
        <f aca="false">+F61</f>
        <v>1634.07</v>
      </c>
      <c r="G733" s="31" t="n">
        <f aca="false">+G61</f>
        <v>842.051576</v>
      </c>
      <c r="H733" s="31" t="n">
        <f aca="false">+H61</f>
        <v>893.818378295995</v>
      </c>
      <c r="I733" s="31" t="n">
        <f aca="false">+I61</f>
        <v>1783.78</v>
      </c>
      <c r="J733" s="31" t="n">
        <f aca="false">+J61</f>
        <v>1988.76</v>
      </c>
      <c r="K733" s="31" t="n">
        <f aca="false">+K61</f>
        <v>2008.18</v>
      </c>
      <c r="L733" s="31" t="n">
        <f aca="false">+L61</f>
        <v>2240.6</v>
      </c>
      <c r="M733" s="31" t="n">
        <f aca="false">+M61</f>
        <v>2981.5</v>
      </c>
      <c r="N733" s="31" t="n">
        <f aca="false">+N61</f>
        <v>3136.36</v>
      </c>
      <c r="O733" s="31" t="n">
        <f aca="false">+O61</f>
        <v>4140.63999999999</v>
      </c>
      <c r="P733" s="31" t="n">
        <f aca="false">+P61</f>
        <v>5521.11</v>
      </c>
      <c r="Q733" s="31" t="n">
        <f aca="false">+Q61</f>
        <v>6266.28</v>
      </c>
      <c r="R733" s="31" t="n">
        <f aca="false">+R61</f>
        <v>2910.20900000001</v>
      </c>
      <c r="S733" s="31" t="n">
        <f aca="false">+S61</f>
        <v>5587.31200000003</v>
      </c>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row>
    <row r="734" customFormat="false" ht="15" hidden="false" customHeight="true" outlineLevel="0" collapsed="false">
      <c r="A734" s="29" t="s">
        <v>267</v>
      </c>
      <c r="B734" s="31" t="n">
        <f aca="false">+B49</f>
        <v>315.83</v>
      </c>
      <c r="C734" s="31" t="n">
        <f aca="false">+C49</f>
        <v>328.1</v>
      </c>
      <c r="D734" s="31" t="n">
        <f aca="false">+D49</f>
        <v>391.79</v>
      </c>
      <c r="E734" s="31" t="n">
        <f aca="false">+E49</f>
        <v>546.05</v>
      </c>
      <c r="F734" s="31" t="n">
        <f aca="false">+F49</f>
        <v>655.98</v>
      </c>
      <c r="G734" s="31" t="n">
        <f aca="false">+G49</f>
        <v>705.57</v>
      </c>
      <c r="H734" s="31" t="n">
        <f aca="false">+H49</f>
        <v>761.9</v>
      </c>
      <c r="I734" s="31" t="n">
        <f aca="false">+I49</f>
        <v>824.43</v>
      </c>
      <c r="J734" s="31" t="n">
        <f aca="false">+J49</f>
        <v>883.5</v>
      </c>
      <c r="K734" s="31" t="n">
        <f aca="false">+K49</f>
        <v>953.55</v>
      </c>
      <c r="L734" s="31" t="n">
        <f aca="false">+L49</f>
        <v>1029.69</v>
      </c>
      <c r="M734" s="31" t="n">
        <f aca="false">+M49</f>
        <v>964.54</v>
      </c>
      <c r="N734" s="31" t="n">
        <f aca="false">+N49</f>
        <v>1092.14</v>
      </c>
      <c r="O734" s="31" t="n">
        <f aca="false">+O49</f>
        <v>1260.06</v>
      </c>
      <c r="P734" s="31" t="n">
        <f aca="false">+P49</f>
        <v>1505.74</v>
      </c>
      <c r="Q734" s="31" t="n">
        <f aca="false">+Q49</f>
        <v>1773.61</v>
      </c>
      <c r="R734" s="31" t="n">
        <f aca="false">+R49</f>
        <v>1784.142</v>
      </c>
      <c r="S734" s="31" t="n">
        <f aca="false">+S49</f>
        <v>2041.079</v>
      </c>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row>
    <row r="735" customFormat="false" ht="15" hidden="false" customHeight="true" outlineLevel="0" collapsed="false">
      <c r="A735" s="29" t="s">
        <v>723</v>
      </c>
      <c r="B735" s="30"/>
      <c r="C735" s="31" t="n">
        <f aca="false">-C680</f>
        <v>367.009999999999</v>
      </c>
      <c r="D735" s="31" t="n">
        <f aca="false">-D680</f>
        <v>-4086</v>
      </c>
      <c r="E735" s="31" t="n">
        <f aca="false">-E680</f>
        <v>-3728.77</v>
      </c>
      <c r="F735" s="31" t="n">
        <f aca="false">-F680</f>
        <v>-2428.32999999999</v>
      </c>
      <c r="G735" s="31" t="n">
        <f aca="false">-G680</f>
        <v>629.129999999999</v>
      </c>
      <c r="H735" s="31" t="n">
        <f aca="false">-H680</f>
        <v>4181.87</v>
      </c>
      <c r="I735" s="31" t="n">
        <f aca="false">-I680</f>
        <v>-505.660000000002</v>
      </c>
      <c r="J735" s="31" t="n">
        <f aca="false">-J680</f>
        <v>1121.67</v>
      </c>
      <c r="K735" s="31" t="n">
        <f aca="false">-K680</f>
        <v>1609</v>
      </c>
      <c r="L735" s="31" t="n">
        <f aca="false">-L680</f>
        <v>1474.22</v>
      </c>
      <c r="M735" s="31" t="n">
        <f aca="false">-M680</f>
        <v>1671.81</v>
      </c>
      <c r="N735" s="31" t="n">
        <f aca="false">-N680</f>
        <v>392.940000000001</v>
      </c>
      <c r="O735" s="31" t="n">
        <f aca="false">-O680</f>
        <v>-848.919999999999</v>
      </c>
      <c r="P735" s="31" t="n">
        <f aca="false">-P680</f>
        <v>-2455.03</v>
      </c>
      <c r="Q735" s="31" t="n">
        <f aca="false">-Q680</f>
        <v>1403.09</v>
      </c>
      <c r="R735" s="31" t="n">
        <f aca="false">-R680</f>
        <v>-6174.628</v>
      </c>
      <c r="S735" s="31" t="n">
        <f aca="false">-S680</f>
        <v>171.548999999995</v>
      </c>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row>
    <row r="736" customFormat="false" ht="15" hidden="false" customHeight="true" outlineLevel="0" collapsed="false">
      <c r="A736" s="29" t="s">
        <v>492</v>
      </c>
      <c r="B736" s="31" t="n">
        <f aca="false">+B355</f>
        <v>569.31</v>
      </c>
      <c r="C736" s="31" t="n">
        <f aca="false">+C355</f>
        <v>475.64</v>
      </c>
      <c r="D736" s="31" t="n">
        <f aca="false">+D355</f>
        <v>768.76</v>
      </c>
      <c r="E736" s="31" t="n">
        <f aca="false">+E355</f>
        <v>1418.16</v>
      </c>
      <c r="F736" s="31" t="n">
        <f aca="false">+F355</f>
        <v>1305.73</v>
      </c>
      <c r="G736" s="31" t="n">
        <f aca="false">+G355</f>
        <v>1088.93</v>
      </c>
      <c r="H736" s="31" t="n">
        <f aca="false">+H355</f>
        <v>877.44</v>
      </c>
      <c r="I736" s="31" t="n">
        <f aca="false">+I355</f>
        <v>549.76</v>
      </c>
      <c r="J736" s="31" t="n">
        <f aca="false">+J355</f>
        <v>434.7</v>
      </c>
      <c r="K736" s="31" t="n">
        <f aca="false">+K355</f>
        <v>506.84</v>
      </c>
      <c r="L736" s="31" t="n">
        <f aca="false">+L355</f>
        <v>523.98</v>
      </c>
      <c r="M736" s="31" t="n">
        <f aca="false">+M355</f>
        <v>572.38</v>
      </c>
      <c r="N736" s="31" t="n">
        <f aca="false">+N355</f>
        <v>544.9916</v>
      </c>
      <c r="O736" s="31" t="n">
        <f aca="false">+O355</f>
        <v>548.95</v>
      </c>
      <c r="P736" s="31" t="n">
        <f aca="false">+P355</f>
        <v>943.08</v>
      </c>
      <c r="Q736" s="31" t="n">
        <f aca="false">+Q355</f>
        <v>1005.71</v>
      </c>
      <c r="R736" s="31" t="n">
        <f aca="false">+R355</f>
        <v>1367.324</v>
      </c>
      <c r="S736" s="31" t="n">
        <f aca="false">+S355</f>
        <v>911.665</v>
      </c>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row>
    <row r="737" customFormat="false" ht="15" hidden="false" customHeight="true" outlineLevel="0" collapsed="false">
      <c r="A737" s="47" t="s">
        <v>724</v>
      </c>
      <c r="B737" s="35" t="n">
        <f aca="false">SUM(B733:B736)</f>
        <v>1195.63</v>
      </c>
      <c r="C737" s="35" t="n">
        <f aca="false">SUM(C733:C736)</f>
        <v>1719.98</v>
      </c>
      <c r="D737" s="35" t="n">
        <f aca="false">SUM(D733:D736)</f>
        <v>-2236.64</v>
      </c>
      <c r="E737" s="35" t="n">
        <f aca="false">SUM(E733:E736)</f>
        <v>-856.430000000004</v>
      </c>
      <c r="F737" s="35" t="n">
        <f aca="false">SUM(F733:F736)</f>
        <v>1167.45</v>
      </c>
      <c r="G737" s="35" t="n">
        <f aca="false">SUM(G733:G736)</f>
        <v>3265.681576</v>
      </c>
      <c r="H737" s="35" t="n">
        <f aca="false">SUM(H733:H736)</f>
        <v>6715.02837829599</v>
      </c>
      <c r="I737" s="35" t="n">
        <f aca="false">SUM(I733:I736)</f>
        <v>2652.31</v>
      </c>
      <c r="J737" s="35" t="n">
        <f aca="false">SUM(J733:J736)</f>
        <v>4428.63</v>
      </c>
      <c r="K737" s="35" t="n">
        <f aca="false">SUM(K733:K736)</f>
        <v>5077.57</v>
      </c>
      <c r="L737" s="35" t="n">
        <f aca="false">SUM(L733:L736)</f>
        <v>5268.49000000001</v>
      </c>
      <c r="M737" s="35" t="n">
        <f aca="false">SUM(M733:M736)</f>
        <v>6190.23</v>
      </c>
      <c r="N737" s="35" t="n">
        <f aca="false">SUM(N733:N736)</f>
        <v>5166.4316</v>
      </c>
      <c r="O737" s="35" t="n">
        <f aca="false">SUM(O733:O736)</f>
        <v>5100.72999999999</v>
      </c>
      <c r="P737" s="35" t="n">
        <f aca="false">SUM(P733:P736)</f>
        <v>5514.9</v>
      </c>
      <c r="Q737" s="35" t="n">
        <f aca="false">SUM(Q733:Q736)</f>
        <v>10448.69</v>
      </c>
      <c r="R737" s="35" t="n">
        <f aca="false">SUM(R733:R736)</f>
        <v>-112.952999999987</v>
      </c>
      <c r="S737" s="35" t="n">
        <f aca="false">SUM(S733:S736)</f>
        <v>8711.60500000002</v>
      </c>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row>
    <row r="738" customFormat="false" ht="15" hidden="false" customHeight="true" outlineLevel="0" collapsed="false">
      <c r="A738" s="29" t="s">
        <v>725</v>
      </c>
      <c r="B738" s="31" t="n">
        <f aca="false">-B45</f>
        <v>-835.55</v>
      </c>
      <c r="C738" s="31" t="n">
        <f aca="false">-C45</f>
        <v>-671.57</v>
      </c>
      <c r="D738" s="31" t="n">
        <f aca="false">-D45</f>
        <v>-751.67</v>
      </c>
      <c r="E738" s="31" t="n">
        <f aca="false">-E45</f>
        <v>-990.46</v>
      </c>
      <c r="F738" s="31" t="n">
        <f aca="false">-F45</f>
        <v>-1369.45</v>
      </c>
      <c r="G738" s="31" t="n">
        <f aca="false">-G45</f>
        <v>-1724.3</v>
      </c>
      <c r="H738" s="31" t="n">
        <f aca="false">-H45</f>
        <v>-1534.57</v>
      </c>
      <c r="I738" s="31" t="n">
        <f aca="false">-I45</f>
        <v>-1400.67</v>
      </c>
      <c r="J738" s="31" t="n">
        <f aca="false">-J45</f>
        <v>-1349.37</v>
      </c>
      <c r="K738" s="31" t="n">
        <f aca="false">-K45</f>
        <v>-1152.53</v>
      </c>
      <c r="L738" s="31" t="n">
        <f aca="false">-L45</f>
        <v>-956.15</v>
      </c>
      <c r="M738" s="31" t="n">
        <f aca="false">-M45</f>
        <v>-594.09</v>
      </c>
      <c r="N738" s="31" t="n">
        <f aca="false">-N45</f>
        <v>-304.01</v>
      </c>
      <c r="O738" s="31" t="n">
        <f aca="false">-O45</f>
        <v>-383.74</v>
      </c>
      <c r="P738" s="31" t="n">
        <f aca="false">-P45</f>
        <v>-288.37</v>
      </c>
      <c r="Q738" s="31" t="n">
        <f aca="false">-Q45</f>
        <v>-763.12</v>
      </c>
      <c r="R738" s="31" t="n">
        <f aca="false">-R45</f>
        <v>-1603.183</v>
      </c>
      <c r="S738" s="31" t="n">
        <f aca="false">-S45</f>
        <v>-1018.515</v>
      </c>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row>
    <row r="739" customFormat="false" ht="15" hidden="false" customHeight="true" outlineLevel="0" collapsed="false">
      <c r="A739" s="29" t="s">
        <v>726</v>
      </c>
      <c r="B739" s="31" t="n">
        <f aca="false">-B541-B542</f>
        <v>-69.48</v>
      </c>
      <c r="C739" s="31" t="n">
        <f aca="false">-C541-C542</f>
        <v>-194.34</v>
      </c>
      <c r="D739" s="31" t="n">
        <f aca="false">-D541-D542</f>
        <v>-295.11</v>
      </c>
      <c r="E739" s="31" t="n">
        <f aca="false">-E541-E542</f>
        <v>-475.72</v>
      </c>
      <c r="F739" s="31" t="n">
        <f aca="false">-F541-F542</f>
        <v>-654.06</v>
      </c>
      <c r="G739" s="31" t="n">
        <f aca="false">-G541-G542</f>
        <v>-130.8219</v>
      </c>
      <c r="H739" s="31" t="n">
        <f aca="false">-H541-H542</f>
        <v>-130.8219</v>
      </c>
      <c r="I739" s="31" t="n">
        <f aca="false">-I541-I542</f>
        <v>-457.875</v>
      </c>
      <c r="J739" s="31" t="n">
        <f aca="false">-J541-J542</f>
        <v>-524.24</v>
      </c>
      <c r="K739" s="31" t="n">
        <f aca="false">-K541-K542</f>
        <v>-535.18</v>
      </c>
      <c r="L739" s="31" t="n">
        <f aca="false">-L541-L542</f>
        <v>-670.83</v>
      </c>
      <c r="M739" s="31" t="n">
        <f aca="false">-M541-M542</f>
        <v>-1006.25</v>
      </c>
      <c r="N739" s="31" t="n">
        <f aca="false">-N541-N542</f>
        <v>-1358.38</v>
      </c>
      <c r="O739" s="31" t="n">
        <f aca="false">-O541-O542</f>
        <v>-1821.96</v>
      </c>
      <c r="P739" s="31" t="n">
        <f aca="false">-P541-P542</f>
        <v>-2264.32</v>
      </c>
      <c r="Q739" s="31" t="n">
        <f aca="false">-Q541-Q542</f>
        <v>-2337.22</v>
      </c>
      <c r="R739" s="31" t="n">
        <f aca="false">-R541-R542</f>
        <v>-1556.479</v>
      </c>
      <c r="S739" s="31" t="n">
        <f aca="false">-S541-S542</f>
        <v>-2326.936</v>
      </c>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row>
    <row r="740" customFormat="false" ht="15" hidden="false" customHeight="true" outlineLevel="0" collapsed="false">
      <c r="A740" s="29" t="s">
        <v>727</v>
      </c>
      <c r="B740" s="31" t="n">
        <f aca="false">-B52</f>
        <v>-0</v>
      </c>
      <c r="C740" s="31" t="n">
        <f aca="false">-C52</f>
        <v>-0</v>
      </c>
      <c r="D740" s="31" t="n">
        <f aca="false">-D52</f>
        <v>-0</v>
      </c>
      <c r="E740" s="31" t="n">
        <f aca="false">-E52</f>
        <v>-205</v>
      </c>
      <c r="F740" s="31" t="n">
        <f aca="false">-F52</f>
        <v>-321</v>
      </c>
      <c r="G740" s="31" t="n">
        <f aca="false">-G52</f>
        <v>-22.5</v>
      </c>
      <c r="H740" s="31" t="n">
        <f aca="false">-H52</f>
        <v>-29.5</v>
      </c>
      <c r="I740" s="31" t="n">
        <f aca="false">-I52</f>
        <v>-148</v>
      </c>
      <c r="J740" s="31" t="n">
        <f aca="false">-J52</f>
        <v>-102.6</v>
      </c>
      <c r="K740" s="32" t="n">
        <f aca="false">-K52+92.5</f>
        <v>-307</v>
      </c>
      <c r="L740" s="32" t="n">
        <f aca="false">-L52+56.4</f>
        <v>-442.5</v>
      </c>
      <c r="M740" s="32" t="n">
        <f aca="false">-M52+190.45</f>
        <v>-738.35</v>
      </c>
      <c r="N740" s="92" t="n">
        <f aca="false">-895</f>
        <v>-895</v>
      </c>
      <c r="O740" s="31" t="n">
        <f aca="false">-O52</f>
        <v>-1249.8</v>
      </c>
      <c r="P740" s="31" t="n">
        <f aca="false">-P52</f>
        <v>-1632.2</v>
      </c>
      <c r="Q740" s="31" t="n">
        <f aca="false">-Q52</f>
        <v>-1688.4</v>
      </c>
      <c r="R740" s="31" t="n">
        <f aca="false">-R52</f>
        <v>-184.5</v>
      </c>
      <c r="S740" s="31" t="n">
        <f aca="false">-S52</f>
        <v>-1211</v>
      </c>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row>
    <row r="741" customFormat="false" ht="15" hidden="false" customHeight="true" outlineLevel="0" collapsed="false">
      <c r="A741" s="29" t="s">
        <v>728</v>
      </c>
      <c r="B741" s="30"/>
      <c r="C741" s="31" t="n">
        <f aca="false">-((C627-B627)+(C630-B630))</f>
        <v>-2042.38</v>
      </c>
      <c r="D741" s="31" t="n">
        <f aca="false">-((D627-C627)+(D630-C630))</f>
        <v>-1270.26</v>
      </c>
      <c r="E741" s="31" t="n">
        <f aca="false">-((E627-D627)+(E630-D630))</f>
        <v>-1768.44</v>
      </c>
      <c r="F741" s="31" t="n">
        <f aca="false">-((F627-E627)+(F630-E630))</f>
        <v>-1903.96</v>
      </c>
      <c r="G741" s="31" t="n">
        <f aca="false">-((G627-F627)+(G630-F630))</f>
        <v>-1279.79</v>
      </c>
      <c r="H741" s="31" t="n">
        <f aca="false">-((H627-G627)+(H630-G630))</f>
        <v>-1211.84</v>
      </c>
      <c r="I741" s="31" t="n">
        <f aca="false">-((I627-H627)+(I630-H630))</f>
        <v>-552.229999999999</v>
      </c>
      <c r="J741" s="31" t="n">
        <f aca="false">-((J627-I627)+(J630-I630))</f>
        <v>-939.02</v>
      </c>
      <c r="K741" s="31" t="n">
        <f aca="false">-((K627-J627)+(K630-J630))</f>
        <v>-1250.41</v>
      </c>
      <c r="L741" s="31" t="n">
        <f aca="false">-((L627-K627)+(L630-K630))</f>
        <v>-1052.22</v>
      </c>
      <c r="M741" s="31" t="n">
        <f aca="false">-((M627-L627)+(M630-L630))</f>
        <v>-725.25</v>
      </c>
      <c r="N741" s="31" t="n">
        <f aca="false">-((N627-M627)+(N630-M630))</f>
        <v>-1654.92</v>
      </c>
      <c r="O741" s="31" t="n">
        <f aca="false">-((O627-N627)+(O630-N630))</f>
        <v>-1925.11</v>
      </c>
      <c r="P741" s="31" t="n">
        <f aca="false">-((P627-O627)+(P630-O630))</f>
        <v>-5777.72</v>
      </c>
      <c r="Q741" s="31" t="n">
        <f aca="false">-((Q627-P627)+(Q630-P630))</f>
        <v>-6139.95</v>
      </c>
      <c r="R741" s="31" t="n">
        <f aca="false">-((R627-Q627)+(R630-Q630))</f>
        <v>-24798.786</v>
      </c>
      <c r="S741" s="31" t="n">
        <f aca="false">-((S627-R627)+(S630-R630))</f>
        <v>-6285.418</v>
      </c>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row>
    <row r="742" customFormat="false" ht="15" hidden="false" customHeight="true" outlineLevel="0" collapsed="false">
      <c r="A742" s="29" t="s">
        <v>729</v>
      </c>
      <c r="B742" s="43"/>
      <c r="C742" s="60" t="n">
        <v>0</v>
      </c>
      <c r="D742" s="60" t="n">
        <v>0</v>
      </c>
      <c r="E742" s="60" t="n">
        <v>0</v>
      </c>
      <c r="F742" s="60" t="n">
        <v>0</v>
      </c>
      <c r="G742" s="60" t="n">
        <v>0</v>
      </c>
      <c r="H742" s="60" t="n">
        <v>0</v>
      </c>
      <c r="I742" s="60" t="n">
        <v>0</v>
      </c>
      <c r="J742" s="60" t="n">
        <v>0</v>
      </c>
      <c r="K742" s="60" t="n">
        <v>0</v>
      </c>
      <c r="L742" s="60" t="n">
        <v>0</v>
      </c>
      <c r="M742" s="60" t="n">
        <v>0</v>
      </c>
      <c r="N742" s="60" t="n">
        <v>0</v>
      </c>
      <c r="O742" s="60" t="n">
        <v>0</v>
      </c>
      <c r="P742" s="60" t="n">
        <v>0</v>
      </c>
      <c r="Q742" s="60" t="n">
        <v>0</v>
      </c>
      <c r="R742" s="60" t="n">
        <v>0</v>
      </c>
      <c r="S742" s="60" t="n">
        <v>0</v>
      </c>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row>
    <row r="743" customFormat="false" ht="15" hidden="false" customHeight="true" outlineLevel="0" collapsed="false">
      <c r="A743" s="29" t="s">
        <v>367</v>
      </c>
      <c r="B743" s="30"/>
      <c r="C743" s="31" t="n">
        <f aca="false">-(C636-B636)</f>
        <v>-245.69</v>
      </c>
      <c r="D743" s="31" t="n">
        <f aca="false">-(D636-C636)</f>
        <v>-158</v>
      </c>
      <c r="E743" s="31" t="n">
        <f aca="false">-(E636-D636)</f>
        <v>-100.23</v>
      </c>
      <c r="F743" s="31" t="n">
        <f aca="false">-(F636-E636)</f>
        <v>198.35</v>
      </c>
      <c r="G743" s="31" t="n">
        <f aca="false">-(G636-F636)</f>
        <v>98.26</v>
      </c>
      <c r="H743" s="31" t="n">
        <f aca="false">-(H636-G636)</f>
        <v>-139.92</v>
      </c>
      <c r="I743" s="31" t="n">
        <f aca="false">-(I636-H636)</f>
        <v>-579.12</v>
      </c>
      <c r="J743" s="31" t="n">
        <f aca="false">-(J636-I636)</f>
        <v>24.2</v>
      </c>
      <c r="K743" s="31" t="n">
        <f aca="false">-(K636-J636)</f>
        <v>6.25999999999999</v>
      </c>
      <c r="L743" s="31" t="n">
        <f aca="false">-(L636-K636)</f>
        <v>-402.38</v>
      </c>
      <c r="M743" s="31" t="n">
        <f aca="false">-(M636-L636)</f>
        <v>109.74</v>
      </c>
      <c r="N743" s="31" t="n">
        <f aca="false">-(N636-M636)</f>
        <v>-825.879999999999</v>
      </c>
      <c r="O743" s="31" t="n">
        <f aca="false">-(O636-N636)</f>
        <v>-1389.88</v>
      </c>
      <c r="P743" s="31" t="n">
        <f aca="false">-(P636-O636)</f>
        <v>1470.84</v>
      </c>
      <c r="Q743" s="31" t="n">
        <f aca="false">-(Q636-P636)</f>
        <v>-3888.06</v>
      </c>
      <c r="R743" s="31" t="n">
        <f aca="false">-(R636-Q636)</f>
        <v>3463.429</v>
      </c>
      <c r="S743" s="31" t="n">
        <f aca="false">-(S636-R636)</f>
        <v>-625.978</v>
      </c>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row>
    <row r="744" customFormat="false" ht="15" hidden="false" customHeight="true" outlineLevel="0" collapsed="false">
      <c r="A744" s="29" t="s">
        <v>380</v>
      </c>
      <c r="B744" s="30"/>
      <c r="C744" s="62" t="n">
        <v>50.9700000000007</v>
      </c>
      <c r="D744" s="62" t="n">
        <v>311.279999999999</v>
      </c>
      <c r="E744" s="62" t="n">
        <v>615.800000000002</v>
      </c>
      <c r="F744" s="62" t="n">
        <v>27.779999999997</v>
      </c>
      <c r="G744" s="62" t="n">
        <v>-959.83</v>
      </c>
      <c r="H744" s="62" t="n">
        <v>-220.16</v>
      </c>
      <c r="I744" s="62" t="n">
        <v>201.63</v>
      </c>
      <c r="J744" s="62" t="n">
        <v>120.269999999999</v>
      </c>
      <c r="K744" s="62" t="n">
        <v>-252.949999999998</v>
      </c>
      <c r="L744" s="62" t="n">
        <v>-457.44</v>
      </c>
      <c r="M744" s="62" t="n">
        <v>74.1599999999985</v>
      </c>
      <c r="N744" s="62" t="n">
        <v>416.75</v>
      </c>
      <c r="O744" s="62" t="n">
        <v>398.250000000012</v>
      </c>
      <c r="P744" s="62" t="n">
        <v>-1488.74999999999</v>
      </c>
      <c r="Q744" s="62" t="n">
        <v>558.041636261229</v>
      </c>
      <c r="R744" s="62" t="n">
        <v>766</v>
      </c>
      <c r="S744" s="62" t="n">
        <v>766</v>
      </c>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row>
    <row r="745" customFormat="false" ht="15" hidden="false" customHeight="true" outlineLevel="0" collapsed="false">
      <c r="A745" s="29" t="s">
        <v>730</v>
      </c>
      <c r="B745" s="36"/>
      <c r="C745" s="49" t="n">
        <f aca="false">+C50</f>
        <v>0</v>
      </c>
      <c r="D745" s="49" t="n">
        <f aca="false">+D50</f>
        <v>0</v>
      </c>
      <c r="E745" s="49" t="n">
        <f aca="false">+E50</f>
        <v>0</v>
      </c>
      <c r="F745" s="49" t="n">
        <f aca="false">+F50</f>
        <v>0</v>
      </c>
      <c r="G745" s="49" t="n">
        <f aca="false">+G50</f>
        <v>0</v>
      </c>
      <c r="H745" s="49" t="n">
        <f aca="false">+H50</f>
        <v>0</v>
      </c>
      <c r="I745" s="49" t="n">
        <f aca="false">+I50</f>
        <v>0</v>
      </c>
      <c r="J745" s="49" t="n">
        <f aca="false">+J50</f>
        <v>-54.68</v>
      </c>
      <c r="K745" s="49" t="n">
        <f aca="false">+K50</f>
        <v>-40.43</v>
      </c>
      <c r="L745" s="49" t="n">
        <f aca="false">+L50</f>
        <v>-107.41</v>
      </c>
      <c r="M745" s="49" t="n">
        <f aca="false">+M50</f>
        <v>-95.19</v>
      </c>
      <c r="N745" s="49" t="n">
        <f aca="false">+N50</f>
        <v>358.7584</v>
      </c>
      <c r="O745" s="49" t="n">
        <f aca="false">+O50</f>
        <v>217.15</v>
      </c>
      <c r="P745" s="49" t="n">
        <f aca="false">+P50</f>
        <v>-130.76</v>
      </c>
      <c r="Q745" s="49" t="n">
        <f aca="false">+Q50</f>
        <v>-127.37</v>
      </c>
      <c r="R745" s="49" t="n">
        <f aca="false">+R50</f>
        <v>-589.887</v>
      </c>
      <c r="S745" s="49" t="n">
        <f aca="false">+S50</f>
        <v>-32.715</v>
      </c>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row>
    <row r="746" customFormat="false" ht="15" hidden="false" customHeight="true" outlineLevel="0" collapsed="false">
      <c r="A746" s="29" t="s">
        <v>731</v>
      </c>
      <c r="B746" s="30"/>
      <c r="C746" s="31" t="n">
        <f aca="false">C584-B584+C586-B586</f>
        <v>431.79</v>
      </c>
      <c r="D746" s="31" t="n">
        <f aca="false">D584-C584+D586-C586</f>
        <v>4631.27</v>
      </c>
      <c r="E746" s="31" t="n">
        <f aca="false">E584-D584+E586-D586</f>
        <v>0.210000000000036</v>
      </c>
      <c r="F746" s="31" t="n">
        <f aca="false">F584-E584+F586-E586</f>
        <v>0</v>
      </c>
      <c r="G746" s="31" t="n">
        <f aca="false">G584-F584+G586-F586</f>
        <v>0</v>
      </c>
      <c r="H746" s="62" t="n">
        <v>0</v>
      </c>
      <c r="I746" s="31" t="n">
        <f aca="false">I584-H584+I586-H586</f>
        <v>0</v>
      </c>
      <c r="J746" s="31" t="n">
        <f aca="false">J584-I584+J586-I586</f>
        <v>0</v>
      </c>
      <c r="K746" s="31" t="n">
        <f aca="false">K584-J584+K586-J586</f>
        <v>0</v>
      </c>
      <c r="L746" s="62" t="n">
        <v>0</v>
      </c>
      <c r="M746" s="31" t="n">
        <f aca="false">M584-L584+M586-L586</f>
        <v>0</v>
      </c>
      <c r="N746" s="62" t="n">
        <v>0</v>
      </c>
      <c r="O746" s="31" t="n">
        <f aca="false">O584-N584+O586-N586</f>
        <v>1001.08</v>
      </c>
      <c r="P746" s="31" t="n">
        <f aca="false">P584-O584+P586-O586</f>
        <v>3170.79</v>
      </c>
      <c r="Q746" s="31" t="n">
        <f aca="false">Q584-P584+Q586-P586</f>
        <v>194.040000000001</v>
      </c>
      <c r="R746" s="31" t="n">
        <f aca="false">R584-Q584+R586-Q586</f>
        <v>-0.00200000000040745</v>
      </c>
      <c r="S746" s="31" t="n">
        <f aca="false">S584-R584+S586-R586</f>
        <v>0</v>
      </c>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row>
    <row r="747" customFormat="false" ht="15" hidden="false" customHeight="true" outlineLevel="0" collapsed="false">
      <c r="A747" s="47" t="s">
        <v>732</v>
      </c>
      <c r="B747" s="30"/>
      <c r="C747" s="35" t="n">
        <f aca="false">C737+SUM(C738:C746)</f>
        <v>-951.24</v>
      </c>
      <c r="D747" s="35" t="n">
        <f aca="false">D737+SUM(D738:D746)</f>
        <v>230.869999999997</v>
      </c>
      <c r="E747" s="35" t="n">
        <f aca="false">E737+SUM(E738:E746)</f>
        <v>-3780.27</v>
      </c>
      <c r="F747" s="35" t="n">
        <f aca="false">F737+SUM(F738:F746)</f>
        <v>-2854.89</v>
      </c>
      <c r="G747" s="35" t="n">
        <f aca="false">G737+SUM(G738:G746)</f>
        <v>-753.300324000001</v>
      </c>
      <c r="H747" s="35" t="n">
        <f aca="false">H737+SUM(H738:H746)</f>
        <v>3448.21647829599</v>
      </c>
      <c r="I747" s="35" t="n">
        <f aca="false">I737+SUM(I738:I746)</f>
        <v>-283.954999999998</v>
      </c>
      <c r="J747" s="35" t="n">
        <f aca="false">J737+SUM(J738:J746)</f>
        <v>1603.19</v>
      </c>
      <c r="K747" s="35" t="n">
        <f aca="false">K737+SUM(K738:K746)</f>
        <v>1545.33</v>
      </c>
      <c r="L747" s="35" t="n">
        <f aca="false">L737+SUM(L738:L746)</f>
        <v>1179.56000000001</v>
      </c>
      <c r="M747" s="35" t="n">
        <f aca="false">M737+SUM(M738:M746)</f>
        <v>3215</v>
      </c>
      <c r="N747" s="35" t="n">
        <f aca="false">N737+SUM(N738:N746)</f>
        <v>903.750000000001</v>
      </c>
      <c r="O747" s="35" t="n">
        <f aca="false">O737+SUM(O738:O746)</f>
        <v>-53.2799999999988</v>
      </c>
      <c r="P747" s="35" t="n">
        <f aca="false">P737+SUM(P738:P746)</f>
        <v>-1425.58999999999</v>
      </c>
      <c r="Q747" s="35" t="n">
        <f aca="false">Q737+SUM(Q738:Q746)</f>
        <v>-3743.34836373877</v>
      </c>
      <c r="R747" s="35" t="n">
        <f aca="false">R737+SUM(R738:R746)</f>
        <v>-24616.361</v>
      </c>
      <c r="S747" s="35" t="n">
        <f aca="false">S737+SUM(S738:S746)</f>
        <v>-2022.95699999998</v>
      </c>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row>
    <row r="748" customFormat="false" ht="15" hidden="false" customHeight="true" outlineLevel="0" collapsed="false">
      <c r="A748" s="51" t="s">
        <v>255</v>
      </c>
      <c r="B748" s="55" t="n">
        <f aca="false">B658-B610</f>
        <v>-4339.5</v>
      </c>
      <c r="C748" s="55" t="n">
        <f aca="false">C658-C610</f>
        <v>-5290.74</v>
      </c>
      <c r="D748" s="55" t="n">
        <f aca="false">D658-D610</f>
        <v>-5059.87</v>
      </c>
      <c r="E748" s="55" t="n">
        <f aca="false">E658-E610</f>
        <v>-8840.14</v>
      </c>
      <c r="F748" s="55" t="n">
        <f aca="false">F658-F610</f>
        <v>-11695.03</v>
      </c>
      <c r="G748" s="55" t="n">
        <f aca="false">G658-G610</f>
        <v>-12448.33</v>
      </c>
      <c r="H748" s="55" t="n">
        <f aca="false">H658-H610</f>
        <v>-9000.11</v>
      </c>
      <c r="I748" s="55" t="n">
        <f aca="false">I658-I610</f>
        <v>-9284.07</v>
      </c>
      <c r="J748" s="55" t="n">
        <f aca="false">J658-J610</f>
        <v>-7680.88</v>
      </c>
      <c r="K748" s="55" t="n">
        <f aca="false">K658-K610</f>
        <v>-6135.55</v>
      </c>
      <c r="L748" s="55" t="n">
        <f aca="false">L658-L610</f>
        <v>-4955.99</v>
      </c>
      <c r="M748" s="55" t="n">
        <f aca="false">M658-M610</f>
        <v>-1740.99</v>
      </c>
      <c r="N748" s="55" t="n">
        <f aca="false">N658-N610</f>
        <v>-837.24</v>
      </c>
      <c r="O748" s="55" t="n">
        <f aca="false">O658-O610</f>
        <v>-890.52</v>
      </c>
      <c r="P748" s="55" t="n">
        <f aca="false">P658-P610</f>
        <v>-2054.59</v>
      </c>
      <c r="Q748" s="55" t="n">
        <f aca="false">Q658-Q610</f>
        <v>-4361.31</v>
      </c>
      <c r="R748" s="55" t="n">
        <f aca="false">R658-R610</f>
        <v>-18700.603</v>
      </c>
      <c r="S748" s="55" t="n">
        <f aca="false">S658-S610</f>
        <v>-16849.713</v>
      </c>
      <c r="T748" s="53"/>
      <c r="U748" s="53"/>
      <c r="V748" s="53"/>
      <c r="W748" s="53"/>
      <c r="X748" s="53"/>
      <c r="Y748" s="53"/>
      <c r="Z748" s="53"/>
      <c r="AA748" s="53"/>
      <c r="AB748" s="53"/>
      <c r="AC748" s="53"/>
      <c r="AD748" s="53"/>
      <c r="AE748" s="53"/>
      <c r="AF748" s="53"/>
      <c r="AG748" s="53"/>
      <c r="AH748" s="53"/>
      <c r="AI748" s="53"/>
      <c r="AJ748" s="53"/>
      <c r="AK748" s="53"/>
      <c r="AL748" s="53"/>
      <c r="AM748" s="53"/>
      <c r="AN748" s="53"/>
      <c r="AO748" s="53"/>
      <c r="AP748" s="53"/>
      <c r="AQ748" s="53"/>
      <c r="AR748" s="53"/>
      <c r="AS748" s="53"/>
      <c r="AT748" s="53"/>
      <c r="AU748" s="53"/>
      <c r="AV748" s="53"/>
      <c r="AW748" s="53"/>
      <c r="AX748" s="53"/>
      <c r="AY748" s="53"/>
    </row>
    <row r="749" customFormat="false" ht="15" hidden="false" customHeight="true" outlineLevel="0" collapsed="false">
      <c r="A749" s="29"/>
      <c r="B749" s="30"/>
      <c r="C749" s="31" t="n">
        <f aca="false">C748-B748</f>
        <v>-951.239999999998</v>
      </c>
      <c r="D749" s="31" t="n">
        <f aca="false">D748-C748</f>
        <v>230.869999999999</v>
      </c>
      <c r="E749" s="31" t="n">
        <f aca="false">E748-D748</f>
        <v>-3780.27</v>
      </c>
      <c r="F749" s="31" t="n">
        <f aca="false">F748-E748</f>
        <v>-2854.89</v>
      </c>
      <c r="G749" s="31" t="n">
        <f aca="false">G748-F748</f>
        <v>-753.299999999998</v>
      </c>
      <c r="H749" s="31" t="n">
        <f aca="false">H748-G748</f>
        <v>3448.22</v>
      </c>
      <c r="I749" s="31" t="n">
        <f aca="false">I748-H748</f>
        <v>-283.959999999999</v>
      </c>
      <c r="J749" s="31" t="n">
        <f aca="false">J748-I748</f>
        <v>1603.19</v>
      </c>
      <c r="K749" s="31" t="n">
        <f aca="false">K748-J748</f>
        <v>1545.33</v>
      </c>
      <c r="L749" s="31" t="n">
        <f aca="false">L748-K748</f>
        <v>1179.56</v>
      </c>
      <c r="M749" s="31" t="n">
        <f aca="false">M748-L748</f>
        <v>3215</v>
      </c>
      <c r="N749" s="31" t="n">
        <f aca="false">N748-M748</f>
        <v>903.75</v>
      </c>
      <c r="O749" s="31" t="n">
        <f aca="false">O748-N748</f>
        <v>-53.2799999999997</v>
      </c>
      <c r="P749" s="31" t="n">
        <f aca="false">P748-O748</f>
        <v>-1164.07</v>
      </c>
      <c r="Q749" s="31" t="n">
        <f aca="false">Q748-P748</f>
        <v>-2306.72</v>
      </c>
      <c r="R749" s="31" t="n">
        <f aca="false">R748-Q748</f>
        <v>-14339.293</v>
      </c>
      <c r="S749" s="31" t="n">
        <f aca="false">S748-R748</f>
        <v>1850.89</v>
      </c>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row>
    <row r="750" customFormat="false" ht="15" hidden="false" customHeight="true" outlineLevel="0" collapsed="false">
      <c r="A750" s="29" t="s">
        <v>733</v>
      </c>
      <c r="B750" s="30"/>
      <c r="C750" s="31" t="n">
        <f aca="false">C749-C747</f>
        <v>0</v>
      </c>
      <c r="D750" s="31" t="n">
        <f aca="false">D749-D747</f>
        <v>1.81898940354586E-012</v>
      </c>
      <c r="E750" s="31" t="n">
        <f aca="false">E749-E747</f>
        <v>0</v>
      </c>
      <c r="F750" s="31" t="n">
        <f aca="false">F749-F747</f>
        <v>0</v>
      </c>
      <c r="G750" s="31" t="n">
        <f aca="false">G749-G747</f>
        <v>0.000324000003274705</v>
      </c>
      <c r="H750" s="31" t="n">
        <f aca="false">H749-H747</f>
        <v>0.00352170400492469</v>
      </c>
      <c r="I750" s="31" t="n">
        <f aca="false">I749-I747</f>
        <v>-0.00500000000147338</v>
      </c>
      <c r="J750" s="31" t="n">
        <f aca="false">J749-J747</f>
        <v>0</v>
      </c>
      <c r="K750" s="31" t="n">
        <f aca="false">K749-K747</f>
        <v>0</v>
      </c>
      <c r="L750" s="31" t="n">
        <f aca="false">L749-L747</f>
        <v>-6.82121026329696E-012</v>
      </c>
      <c r="M750" s="31" t="n">
        <f aca="false">M749-M747</f>
        <v>0</v>
      </c>
      <c r="N750" s="31" t="n">
        <f aca="false">N749-N747</f>
        <v>0</v>
      </c>
      <c r="O750" s="31" t="n">
        <f aca="false">O749-O747</f>
        <v>-9.09494701772928E-013</v>
      </c>
      <c r="P750" s="31" t="n">
        <f aca="false">P749-P747</f>
        <v>261.519999999992</v>
      </c>
      <c r="Q750" s="31" t="n">
        <f aca="false">Q749-Q747</f>
        <v>1436.62836373877</v>
      </c>
      <c r="R750" s="31" t="n">
        <f aca="false">R749-R747</f>
        <v>10277.068</v>
      </c>
      <c r="S750" s="31" t="n">
        <f aca="false">S749-S747</f>
        <v>3873.84699999998</v>
      </c>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row>
    <row r="751" customFormat="false" ht="15" hidden="false" customHeight="true" outlineLevel="0" collapsed="false">
      <c r="A751" s="38" t="s">
        <v>734</v>
      </c>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c r="AY751" s="45"/>
    </row>
    <row r="752" customFormat="false" ht="15" hidden="false" customHeight="true" outlineLevel="0" collapsed="false">
      <c r="A752" s="51" t="s">
        <v>251</v>
      </c>
      <c r="B752" s="53"/>
      <c r="C752" s="55" t="n">
        <f aca="false">+C51-C50</f>
        <v>353.3</v>
      </c>
      <c r="D752" s="55" t="n">
        <f aca="false">+D51-D50</f>
        <v>705.899999999997</v>
      </c>
      <c r="E752" s="55" t="n">
        <f aca="false">+E51-E50</f>
        <v>1335.83</v>
      </c>
      <c r="F752" s="55" t="n">
        <f aca="false">+F51-F50</f>
        <v>1570.35</v>
      </c>
      <c r="G752" s="55" t="n">
        <f aca="false">+G51-G50</f>
        <v>206.681575999999</v>
      </c>
      <c r="H752" s="55" t="n">
        <f aca="false">+H51-H50</f>
        <v>236.688378295995</v>
      </c>
      <c r="I752" s="55" t="n">
        <f aca="false">+I51-I50</f>
        <v>932.870000000003</v>
      </c>
      <c r="J752" s="55" t="n">
        <f aca="false">+J51-J50</f>
        <v>1074.09</v>
      </c>
      <c r="K752" s="55" t="n">
        <f aca="false">+K51-K50</f>
        <v>1362.49</v>
      </c>
      <c r="L752" s="55" t="n">
        <f aca="false">+L51-L50</f>
        <v>1808.43</v>
      </c>
      <c r="M752" s="55" t="n">
        <f aca="false">+M51-M50</f>
        <v>2959.79</v>
      </c>
      <c r="N752" s="55" t="n">
        <f aca="false">+N51-N50</f>
        <v>3377.3416</v>
      </c>
      <c r="O752" s="55" t="n">
        <f aca="false">+O51-O50</f>
        <v>4305.84999999999</v>
      </c>
      <c r="P752" s="55" t="n">
        <f aca="false">+P51-P50</f>
        <v>6175.82</v>
      </c>
      <c r="Q752" s="55" t="n">
        <f aca="false">+Q51-Q50</f>
        <v>6508.87</v>
      </c>
      <c r="R752" s="55" t="n">
        <f aca="false">+R51-R50</f>
        <v>2674.35000000001</v>
      </c>
      <c r="S752" s="55" t="n">
        <f aca="false">+S51-S50</f>
        <v>5480.46200000003</v>
      </c>
      <c r="T752" s="55" t="n">
        <f aca="false">+T51-T50</f>
        <v>8517.99300000001</v>
      </c>
      <c r="U752" s="55" t="n">
        <f aca="false">+U51-U50</f>
        <v>6883.788</v>
      </c>
      <c r="V752" s="55" t="n">
        <f aca="false">+V51-V50</f>
        <v>1811.506</v>
      </c>
      <c r="W752" s="55" t="n">
        <f aca="false">+W51-W50</f>
        <v>-5968.77800000002</v>
      </c>
      <c r="X752" s="55" t="n">
        <f aca="false">+X51-X50</f>
        <v>3412.60800000001</v>
      </c>
      <c r="Y752" s="55" t="n">
        <f aca="false">+Y51</f>
        <v>8265.36700000002</v>
      </c>
      <c r="Z752" s="55" t="n">
        <f aca="false">+Z51</f>
        <v>16540.862</v>
      </c>
      <c r="AA752" s="55" t="n">
        <f aca="false">+AA51</f>
        <v>22307.154</v>
      </c>
      <c r="AB752" s="55" t="n">
        <f aca="false">+AB51</f>
        <v>24967.9999999999</v>
      </c>
      <c r="AC752" s="55" t="n">
        <f aca="false">+AC51</f>
        <v>3619.2</v>
      </c>
      <c r="AD752" s="55" t="n">
        <f aca="false">+AD51</f>
        <v>-4119.10000000001</v>
      </c>
      <c r="AE752" s="55" t="n">
        <f aca="false">+AE51</f>
        <v>5276.10000000001</v>
      </c>
      <c r="AF752" s="55" t="n">
        <f aca="false">+AF51</f>
        <v>21104</v>
      </c>
      <c r="AG752" s="55" t="n">
        <f aca="false">+AG51</f>
        <v>37921.8000000001</v>
      </c>
      <c r="AH752" s="55" t="n">
        <f aca="false">+AH51</f>
        <v>43482.9</v>
      </c>
      <c r="AI752" s="55" t="n">
        <f aca="false">+AI51</f>
        <v>48140.2000000002</v>
      </c>
      <c r="AJ752" s="55" t="n">
        <f aca="false">+AJ51</f>
        <v>52122.4502817522</v>
      </c>
      <c r="AK752" s="55" t="n">
        <f aca="false">+AK51</f>
        <v>58460.772777821</v>
      </c>
      <c r="AL752" s="55" t="n">
        <f aca="false">+AL51</f>
        <v>63335.7268908518</v>
      </c>
      <c r="AM752" s="53"/>
      <c r="AN752" s="53"/>
      <c r="AO752" s="53"/>
      <c r="AP752" s="53"/>
      <c r="AQ752" s="53"/>
      <c r="AR752" s="53"/>
      <c r="AS752" s="53"/>
      <c r="AT752" s="53"/>
      <c r="AU752" s="53"/>
      <c r="AV752" s="53"/>
      <c r="AW752" s="53"/>
      <c r="AX752" s="53"/>
      <c r="AY752" s="53"/>
    </row>
    <row r="753" customFormat="false" ht="15" hidden="false" customHeight="true" outlineLevel="0" collapsed="false">
      <c r="A753" s="29" t="s">
        <v>727</v>
      </c>
      <c r="B753" s="30"/>
      <c r="C753" s="31" t="n">
        <f aca="false">-C52</f>
        <v>-0</v>
      </c>
      <c r="D753" s="31" t="n">
        <f aca="false">-D52</f>
        <v>-0</v>
      </c>
      <c r="E753" s="31" t="n">
        <f aca="false">-E52</f>
        <v>-205</v>
      </c>
      <c r="F753" s="31" t="n">
        <f aca="false">-F52</f>
        <v>-321</v>
      </c>
      <c r="G753" s="31" t="n">
        <f aca="false">-G52</f>
        <v>-22.5</v>
      </c>
      <c r="H753" s="31" t="n">
        <f aca="false">-H52</f>
        <v>-29.5</v>
      </c>
      <c r="I753" s="31" t="n">
        <f aca="false">-I52</f>
        <v>-148</v>
      </c>
      <c r="J753" s="31" t="n">
        <f aca="false">-J52</f>
        <v>-102.6</v>
      </c>
      <c r="K753" s="31" t="n">
        <f aca="false">-K52</f>
        <v>-399.5</v>
      </c>
      <c r="L753" s="31" t="n">
        <f aca="false">-L52</f>
        <v>-498.9</v>
      </c>
      <c r="M753" s="31" t="n">
        <f aca="false">-M52</f>
        <v>-928.8</v>
      </c>
      <c r="N753" s="31" t="n">
        <f aca="false">-N52</f>
        <v>-1022</v>
      </c>
      <c r="O753" s="31" t="n">
        <f aca="false">-O52</f>
        <v>-1249.8</v>
      </c>
      <c r="P753" s="31" t="n">
        <f aca="false">-P52</f>
        <v>-1632.2</v>
      </c>
      <c r="Q753" s="31" t="n">
        <f aca="false">-Q52</f>
        <v>-1688.4</v>
      </c>
      <c r="R753" s="31" t="n">
        <f aca="false">-R52</f>
        <v>-184.5</v>
      </c>
      <c r="S753" s="31" t="n">
        <f aca="false">-S52</f>
        <v>-1211</v>
      </c>
      <c r="T753" s="31" t="n">
        <f aca="false">-T52</f>
        <v>-1705</v>
      </c>
      <c r="U753" s="31" t="n">
        <f aca="false">-U52</f>
        <v>-1240</v>
      </c>
      <c r="V753" s="31" t="n">
        <f aca="false">-V52</f>
        <v>-370</v>
      </c>
      <c r="W753" s="31" t="n">
        <f aca="false">-W52</f>
        <v>1206</v>
      </c>
      <c r="X753" s="31" t="n">
        <f aca="false">-X52</f>
        <v>-1073.907</v>
      </c>
      <c r="Y753" s="31" t="n">
        <f aca="false">-Y52</f>
        <v>-4369.382</v>
      </c>
      <c r="Z753" s="31" t="n">
        <f aca="false">-Z52</f>
        <v>-4310.09</v>
      </c>
      <c r="AA753" s="31" t="n">
        <f aca="false">-AA52</f>
        <v>-6681.258</v>
      </c>
      <c r="AB753" s="31" t="n">
        <f aca="false">-AB52</f>
        <v>-5136</v>
      </c>
      <c r="AC753" s="31" t="n">
        <f aca="false">-AC52</f>
        <v>-1224</v>
      </c>
      <c r="AD753" s="31" t="n">
        <f aca="false">-AD52</f>
        <v>982.3</v>
      </c>
      <c r="AE753" s="31" t="n">
        <f aca="false">-AE52</f>
        <v>142.2</v>
      </c>
      <c r="AF753" s="31" t="n">
        <f aca="false">-AF52</f>
        <v>-7302.9</v>
      </c>
      <c r="AG753" s="31" t="n">
        <f aca="false">-AG52</f>
        <v>-11743.1</v>
      </c>
      <c r="AH753" s="31" t="n">
        <f aca="false">-AH52</f>
        <v>-10450</v>
      </c>
      <c r="AI753" s="31" t="n">
        <f aca="false">-AI52</f>
        <v>-12484.9</v>
      </c>
      <c r="AJ753" s="31" t="n">
        <f aca="false">-AJ52</f>
        <v>-13030.6125704381</v>
      </c>
      <c r="AK753" s="31" t="n">
        <f aca="false">-AK52</f>
        <v>-14615.1931944552</v>
      </c>
      <c r="AL753" s="31" t="n">
        <f aca="false">-AL52</f>
        <v>-15833.9317227129</v>
      </c>
      <c r="AM753" s="30"/>
      <c r="AN753" s="30"/>
      <c r="AO753" s="30"/>
      <c r="AP753" s="30"/>
      <c r="AQ753" s="30"/>
      <c r="AR753" s="30"/>
      <c r="AS753" s="30"/>
      <c r="AT753" s="30"/>
      <c r="AU753" s="30"/>
      <c r="AV753" s="30"/>
      <c r="AW753" s="30"/>
      <c r="AX753" s="30"/>
      <c r="AY753" s="30"/>
    </row>
    <row r="754" customFormat="false" ht="15" hidden="false" customHeight="true" outlineLevel="0" collapsed="false">
      <c r="A754" s="29" t="s">
        <v>735</v>
      </c>
      <c r="B754" s="30"/>
      <c r="C754" s="31" t="n">
        <f aca="false">+C618-B618</f>
        <v>0</v>
      </c>
      <c r="D754" s="31" t="n">
        <f aca="false">+D618-C618</f>
        <v>0</v>
      </c>
      <c r="E754" s="31" t="n">
        <f aca="false">+E618-D618</f>
        <v>0</v>
      </c>
      <c r="F754" s="31" t="n">
        <f aca="false">+F618-E618</f>
        <v>0</v>
      </c>
      <c r="G754" s="31" t="n">
        <f aca="false">+G618-F618</f>
        <v>0</v>
      </c>
      <c r="H754" s="31" t="n">
        <f aca="false">+H618-G618</f>
        <v>0</v>
      </c>
      <c r="I754" s="31" t="n">
        <f aca="false">+I618-H618</f>
        <v>0</v>
      </c>
      <c r="J754" s="31" t="n">
        <f aca="false">+J618-I618</f>
        <v>0</v>
      </c>
      <c r="K754" s="31" t="n">
        <f aca="false">+K618-J618</f>
        <v>1891.5</v>
      </c>
      <c r="L754" s="31" t="n">
        <f aca="false">+L618-K618</f>
        <v>-206.51</v>
      </c>
      <c r="M754" s="31" t="n">
        <f aca="false">+M618-L618</f>
        <v>117.87</v>
      </c>
      <c r="N754" s="31" t="n">
        <f aca="false">+N618-M618</f>
        <v>-94.3799999999999</v>
      </c>
      <c r="O754" s="31" t="n">
        <f aca="false">+O618-N618</f>
        <v>88.4100000000001</v>
      </c>
      <c r="P754" s="31" t="n">
        <f aca="false">+P618-O618</f>
        <v>172.4</v>
      </c>
      <c r="Q754" s="31" t="n">
        <f aca="false">+Q618-P618</f>
        <v>568.91</v>
      </c>
      <c r="R754" s="31" t="n">
        <f aca="false">+R618-Q618</f>
        <v>96.1690000000003</v>
      </c>
      <c r="S754" s="31" t="n">
        <f aca="false">+S618-R618</f>
        <v>1211</v>
      </c>
      <c r="T754" s="31" t="n">
        <f aca="false">+T618-S618</f>
        <v>593.5</v>
      </c>
      <c r="U754" s="31" t="n">
        <f aca="false">+U618-T618</f>
        <v>464.8</v>
      </c>
      <c r="V754" s="31" t="n">
        <f aca="false">+V618-U618</f>
        <v>370</v>
      </c>
      <c r="W754" s="31" t="n">
        <f aca="false">+W618-V618</f>
        <v>-1206</v>
      </c>
      <c r="X754" s="31" t="n">
        <f aca="false">+X618-W618</f>
        <v>1035</v>
      </c>
      <c r="Y754" s="31" t="n">
        <f aca="false">+Y141-X141</f>
        <v>-1811.627</v>
      </c>
      <c r="Z754" s="31" t="n">
        <f aca="false">+Z141-Y141</f>
        <v>-2022.021</v>
      </c>
      <c r="AA754" s="31" t="n">
        <f aca="false">+AA141-Z141</f>
        <v>1714.865</v>
      </c>
      <c r="AB754" s="31" t="n">
        <f aca="false">+AB141-AA141</f>
        <v>-486.586</v>
      </c>
      <c r="AC754" s="31" t="n">
        <f aca="false">+AC141-AB141</f>
        <v>150.9</v>
      </c>
      <c r="AD754" s="31" t="n">
        <f aca="false">+AD141-AC141</f>
        <v>-940.3</v>
      </c>
      <c r="AE754" s="31" t="n">
        <f aca="false">+AE141-AD141</f>
        <v>-264.3</v>
      </c>
      <c r="AF754" s="31" t="n">
        <f aca="false">+AF141-AE141</f>
        <v>3591.5</v>
      </c>
      <c r="AG754" s="31" t="n">
        <f aca="false">+AG141-AF141</f>
        <v>528</v>
      </c>
      <c r="AH754" s="31" t="n">
        <f aca="false">+AH141-AG141</f>
        <v>-84.2000000000007</v>
      </c>
      <c r="AI754" s="31" t="n">
        <f aca="false">+AI141-AH141</f>
        <v>-121.799999999999</v>
      </c>
      <c r="AJ754" s="31" t="n">
        <f aca="false">+AJ141-AI141</f>
        <v>267.855000000001</v>
      </c>
      <c r="AK754" s="31" t="n">
        <f aca="false">+AK141-AJ141</f>
        <v>281.24775</v>
      </c>
      <c r="AL754" s="31" t="n">
        <f aca="false">+AL141-AK141</f>
        <v>295.310137500001</v>
      </c>
      <c r="AM754" s="30"/>
      <c r="AN754" s="30"/>
      <c r="AO754" s="30"/>
      <c r="AP754" s="30"/>
      <c r="AQ754" s="30"/>
      <c r="AR754" s="30"/>
      <c r="AS754" s="30"/>
      <c r="AT754" s="30"/>
      <c r="AU754" s="30"/>
      <c r="AV754" s="30"/>
      <c r="AW754" s="30"/>
      <c r="AX754" s="30"/>
      <c r="AY754" s="30"/>
    </row>
    <row r="755" customFormat="false" ht="15" hidden="false" customHeight="true" outlineLevel="0" collapsed="false">
      <c r="A755" s="29" t="s">
        <v>736</v>
      </c>
      <c r="B755" s="30"/>
      <c r="C755" s="31" t="n">
        <f aca="false">+C49</f>
        <v>328.1</v>
      </c>
      <c r="D755" s="31" t="n">
        <f aca="false">+D49</f>
        <v>391.79</v>
      </c>
      <c r="E755" s="31" t="n">
        <f aca="false">+E49</f>
        <v>546.05</v>
      </c>
      <c r="F755" s="31" t="n">
        <f aca="false">+F49</f>
        <v>655.98</v>
      </c>
      <c r="G755" s="31" t="n">
        <f aca="false">+G49</f>
        <v>705.57</v>
      </c>
      <c r="H755" s="31" t="n">
        <f aca="false">+H49</f>
        <v>761.9</v>
      </c>
      <c r="I755" s="31" t="n">
        <f aca="false">+I49</f>
        <v>824.43</v>
      </c>
      <c r="J755" s="31" t="n">
        <f aca="false">+J49</f>
        <v>883.5</v>
      </c>
      <c r="K755" s="31" t="n">
        <f aca="false">+K49</f>
        <v>953.55</v>
      </c>
      <c r="L755" s="31" t="n">
        <f aca="false">+L49</f>
        <v>1029.69</v>
      </c>
      <c r="M755" s="31" t="n">
        <f aca="false">+M49</f>
        <v>964.54</v>
      </c>
      <c r="N755" s="31" t="n">
        <f aca="false">+N49</f>
        <v>1092.14</v>
      </c>
      <c r="O755" s="31" t="n">
        <f aca="false">+O49</f>
        <v>1260.06</v>
      </c>
      <c r="P755" s="31" t="n">
        <f aca="false">+P49</f>
        <v>1505.74</v>
      </c>
      <c r="Q755" s="31" t="n">
        <f aca="false">+Q49</f>
        <v>1773.61</v>
      </c>
      <c r="R755" s="31" t="n">
        <f aca="false">+R49</f>
        <v>1784.142</v>
      </c>
      <c r="S755" s="31" t="n">
        <f aca="false">+S49</f>
        <v>2041.079</v>
      </c>
      <c r="T755" s="31" t="n">
        <f aca="false">+T49</f>
        <v>2674.31</v>
      </c>
      <c r="U755" s="31" t="n">
        <f aca="false">+U49</f>
        <v>3528.132</v>
      </c>
      <c r="V755" s="31" t="n">
        <f aca="false">+V49</f>
        <v>3807.835</v>
      </c>
      <c r="W755" s="31" t="n">
        <f aca="false">+W49</f>
        <v>3770.36</v>
      </c>
      <c r="X755" s="31" t="n">
        <f aca="false">+X49</f>
        <v>4163.367</v>
      </c>
      <c r="Y755" s="31" t="n">
        <f aca="false">+Y49</f>
        <v>4879.004</v>
      </c>
      <c r="Z755" s="31" t="n">
        <f aca="false">+Z49</f>
        <v>5178.939</v>
      </c>
      <c r="AA755" s="31" t="n">
        <f aca="false">+AA49</f>
        <v>5546.094</v>
      </c>
      <c r="AB755" s="31" t="n">
        <f aca="false">+AB49</f>
        <v>6210.1</v>
      </c>
      <c r="AC755" s="31" t="n">
        <f aca="false">+AC49</f>
        <v>6698</v>
      </c>
      <c r="AD755" s="31" t="n">
        <f aca="false">+AD49</f>
        <v>7477.1</v>
      </c>
      <c r="AE755" s="31" t="n">
        <f aca="false">+AE49</f>
        <v>7527.6</v>
      </c>
      <c r="AF755" s="31" t="n">
        <f aca="false">+AF49</f>
        <v>7319.6</v>
      </c>
      <c r="AG755" s="31" t="n">
        <f aca="false">+AG49</f>
        <v>7178.1</v>
      </c>
      <c r="AH755" s="31" t="n">
        <f aca="false">+AH49</f>
        <v>7193.4</v>
      </c>
      <c r="AI755" s="31" t="n">
        <f aca="false">+AI49</f>
        <v>7151.9</v>
      </c>
      <c r="AJ755" s="31" t="n">
        <f aca="false">+AJ49</f>
        <v>7551.4454</v>
      </c>
      <c r="AK755" s="31" t="n">
        <f aca="false">+AK49</f>
        <v>8111.9454</v>
      </c>
      <c r="AL755" s="31" t="n">
        <f aca="false">+AL49</f>
        <v>8467.4548</v>
      </c>
      <c r="AM755" s="30"/>
      <c r="AN755" s="30"/>
      <c r="AO755" s="30"/>
      <c r="AP755" s="30"/>
      <c r="AQ755" s="30"/>
      <c r="AR755" s="30"/>
      <c r="AS755" s="30"/>
      <c r="AT755" s="30"/>
      <c r="AU755" s="30"/>
      <c r="AV755" s="30"/>
      <c r="AW755" s="30"/>
      <c r="AX755" s="30"/>
      <c r="AY755" s="30"/>
    </row>
    <row r="756" customFormat="false" ht="15" hidden="false" customHeight="true" outlineLevel="0" collapsed="false">
      <c r="A756" s="29" t="s">
        <v>737</v>
      </c>
      <c r="B756" s="36"/>
      <c r="C756" s="49" t="n">
        <f aca="false">+B676-C676</f>
        <v>3.21</v>
      </c>
      <c r="D756" s="49" t="n">
        <f aca="false">+C676-D676</f>
        <v>-50.21</v>
      </c>
      <c r="E756" s="49" t="n">
        <f aca="false">+D676-E676</f>
        <v>15.56</v>
      </c>
      <c r="F756" s="49" t="n">
        <f aca="false">+E676-F676</f>
        <v>-37.38</v>
      </c>
      <c r="G756" s="49" t="n">
        <f aca="false">+F676-G676</f>
        <v>10.87</v>
      </c>
      <c r="H756" s="49" t="n">
        <f aca="false">+G676-H676</f>
        <v>22.45</v>
      </c>
      <c r="I756" s="49" t="n">
        <f aca="false">+H676-I676</f>
        <v>-12.92</v>
      </c>
      <c r="J756" s="49" t="n">
        <f aca="false">+I676-J676</f>
        <v>-35.46</v>
      </c>
      <c r="K756" s="49" t="n">
        <f aca="false">+J676-K676</f>
        <v>53.19</v>
      </c>
      <c r="L756" s="49" t="n">
        <f aca="false">+K676-L676</f>
        <v>49.05</v>
      </c>
      <c r="M756" s="49" t="n">
        <f aca="false">+L676-M676</f>
        <v>-323.24</v>
      </c>
      <c r="N756" s="49" t="n">
        <f aca="false">+M676-N676</f>
        <v>129.92</v>
      </c>
      <c r="O756" s="49" t="n">
        <f aca="false">+N676-O676</f>
        <v>120.25</v>
      </c>
      <c r="P756" s="49" t="n">
        <f aca="false">+O676-P676</f>
        <v>-171.11</v>
      </c>
      <c r="Q756" s="49" t="n">
        <f aca="false">+P676-Q676</f>
        <v>21.26</v>
      </c>
      <c r="R756" s="49" t="n">
        <f aca="false">+Q676-R676</f>
        <v>126.038</v>
      </c>
      <c r="S756" s="49" t="n">
        <f aca="false">+R676-S676</f>
        <v>45.139</v>
      </c>
      <c r="T756" s="49" t="n">
        <f aca="false">+S676-T676</f>
        <v>8.598</v>
      </c>
      <c r="U756" s="49" t="n">
        <f aca="false">+T676-U676</f>
        <v>-31.129</v>
      </c>
      <c r="V756" s="49" t="n">
        <f aca="false">+U676-V676</f>
        <v>-55.682</v>
      </c>
      <c r="W756" s="49" t="n">
        <f aca="false">+V676-W676</f>
        <v>-260.232</v>
      </c>
      <c r="X756" s="49" t="n">
        <f aca="false">+W676-X676</f>
        <v>52.707</v>
      </c>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row>
    <row r="757" customFormat="false" ht="15" hidden="false" customHeight="true" outlineLevel="0" collapsed="false">
      <c r="A757" s="29" t="s">
        <v>738</v>
      </c>
      <c r="B757" s="30"/>
      <c r="C757" s="31" t="n">
        <f aca="false">+B657-C657</f>
        <v>5.87999999999965</v>
      </c>
      <c r="D757" s="31" t="n">
        <f aca="false">+C657-D657</f>
        <v>-1598.79</v>
      </c>
      <c r="E757" s="31" t="n">
        <f aca="false">+D657-E657</f>
        <v>-2321.68</v>
      </c>
      <c r="F757" s="31" t="n">
        <f aca="false">+E657-F657</f>
        <v>-3420.51</v>
      </c>
      <c r="G757" s="31" t="n">
        <f aca="false">+F657-G657</f>
        <v>1501.04</v>
      </c>
      <c r="H757" s="31" t="n">
        <f aca="false">+G657-H657</f>
        <v>1406.24</v>
      </c>
      <c r="I757" s="31" t="n">
        <f aca="false">+H657-I657</f>
        <v>43.9200000000001</v>
      </c>
      <c r="J757" s="31" t="n">
        <f aca="false">+I657-J657</f>
        <v>882.31</v>
      </c>
      <c r="K757" s="31" t="n">
        <f aca="false">+J657-K657</f>
        <v>1751.06</v>
      </c>
      <c r="L757" s="31" t="n">
        <f aca="false">+K657-L657</f>
        <v>-253.04</v>
      </c>
      <c r="M757" s="31" t="n">
        <f aca="false">+L657-M657</f>
        <v>1125.31</v>
      </c>
      <c r="N757" s="31" t="n">
        <f aca="false">+M657-N657</f>
        <v>-531.47</v>
      </c>
      <c r="O757" s="31" t="n">
        <f aca="false">+N657-O657</f>
        <v>344.29</v>
      </c>
      <c r="P757" s="31" t="n">
        <f aca="false">+O657-P657</f>
        <v>-985.38</v>
      </c>
      <c r="Q757" s="31" t="n">
        <f aca="false">+P657-Q657</f>
        <v>1470.4</v>
      </c>
      <c r="R757" s="31" t="n">
        <f aca="false">+Q657-R657</f>
        <v>-5821.392</v>
      </c>
      <c r="S757" s="31" t="n">
        <f aca="false">+R657-S657</f>
        <v>-640.873</v>
      </c>
      <c r="T757" s="31" t="n">
        <f aca="false">+S657-T657</f>
        <v>-1631.518</v>
      </c>
      <c r="U757" s="31" t="n">
        <f aca="false">+T657-U657</f>
        <v>-450.346</v>
      </c>
      <c r="V757" s="31" t="n">
        <f aca="false">+U657-V657</f>
        <v>-1891.634</v>
      </c>
      <c r="W757" s="31" t="n">
        <f aca="false">+V657-W657</f>
        <v>1204.008</v>
      </c>
      <c r="X757" s="31" t="n">
        <f aca="false">+W657-X657</f>
        <v>413.18</v>
      </c>
      <c r="Y757" s="31" t="n">
        <f aca="false">+X161-Y161</f>
        <v>67.4299999999985</v>
      </c>
      <c r="Z757" s="31" t="n">
        <f aca="false">+Y161-Z161</f>
        <v>3910.479</v>
      </c>
      <c r="AA757" s="31" t="n">
        <f aca="false">+Z161-AA161</f>
        <v>-1206.04</v>
      </c>
      <c r="AB757" s="31" t="n">
        <f aca="false">+AA161-AB161</f>
        <v>-15250.244</v>
      </c>
      <c r="AC757" s="31" t="n">
        <f aca="false">+AB161-AC161</f>
        <v>13257.1</v>
      </c>
      <c r="AD757" s="31" t="n">
        <f aca="false">+AC161-AD161</f>
        <v>-16364.9</v>
      </c>
      <c r="AE757" s="31" t="n">
        <f aca="false">+AD161-AE161</f>
        <v>-2947.4</v>
      </c>
      <c r="AF757" s="31" t="n">
        <f aca="false">+AE161-AF161</f>
        <v>-9516.60000000001</v>
      </c>
      <c r="AG757" s="31" t="n">
        <f aca="false">+AF161-AG161</f>
        <v>4928.10000000001</v>
      </c>
      <c r="AH757" s="31" t="n">
        <f aca="false">+AG161-AH161</f>
        <v>6825.8</v>
      </c>
      <c r="AI757" s="31" t="n">
        <f aca="false">+AH161-AI161</f>
        <v>-630.899999999998</v>
      </c>
      <c r="AJ757" s="31" t="n">
        <f aca="false">+AI161-AJ161</f>
        <v>-4030.94940452294</v>
      </c>
      <c r="AK757" s="31" t="n">
        <f aca="false">+AJ161-AK161</f>
        <v>-2727.4730436546</v>
      </c>
      <c r="AL757" s="31" t="n">
        <f aca="false">+AK161-AL161</f>
        <v>-2721.60330903458</v>
      </c>
      <c r="AM757" s="30"/>
      <c r="AN757" s="30"/>
      <c r="AO757" s="30"/>
      <c r="AP757" s="30"/>
      <c r="AQ757" s="30"/>
      <c r="AR757" s="30"/>
      <c r="AS757" s="30"/>
      <c r="AT757" s="30"/>
      <c r="AU757" s="30"/>
      <c r="AV757" s="30"/>
      <c r="AW757" s="30"/>
      <c r="AX757" s="30"/>
      <c r="AY757" s="30"/>
    </row>
    <row r="758" customFormat="false" ht="15" hidden="false" customHeight="true" outlineLevel="0" collapsed="false">
      <c r="A758" s="29" t="s">
        <v>739</v>
      </c>
      <c r="B758" s="30"/>
      <c r="C758" s="31" t="n">
        <f aca="false">+B659-C659</f>
        <v>-114.66</v>
      </c>
      <c r="D758" s="31" t="n">
        <f aca="false">+C659-D659</f>
        <v>-2597.13</v>
      </c>
      <c r="E758" s="31" t="n">
        <f aca="false">+D659-E659</f>
        <v>-1002.96</v>
      </c>
      <c r="F758" s="31" t="n">
        <f aca="false">+E659-F659</f>
        <v>2369.05</v>
      </c>
      <c r="G758" s="31" t="n">
        <f aca="false">+F659-G659</f>
        <v>-114.27</v>
      </c>
      <c r="H758" s="31" t="n">
        <f aca="false">+G659-H659</f>
        <v>919.44</v>
      </c>
      <c r="I758" s="31" t="n">
        <f aca="false">+H659-I659</f>
        <v>-173.5</v>
      </c>
      <c r="J758" s="31" t="n">
        <f aca="false">+I659-J659</f>
        <v>1.23000000000002</v>
      </c>
      <c r="K758" s="31" t="n">
        <f aca="false">+J659-K659</f>
        <v>207.58</v>
      </c>
      <c r="L758" s="31" t="n">
        <f aca="false">+K659-L659</f>
        <v>21.5500000000002</v>
      </c>
      <c r="M758" s="31" t="n">
        <f aca="false">+L659-M659</f>
        <v>-361.920000000001</v>
      </c>
      <c r="N758" s="31" t="n">
        <f aca="false">+M659-N659</f>
        <v>-1076.01</v>
      </c>
      <c r="O758" s="31" t="n">
        <f aca="false">+N659-O659</f>
        <v>310.95</v>
      </c>
      <c r="P758" s="31" t="n">
        <f aca="false">+O659-P659</f>
        <v>-3669.4</v>
      </c>
      <c r="Q758" s="31" t="n">
        <f aca="false">+P659-Q659</f>
        <v>-1545.58</v>
      </c>
      <c r="R758" s="31" t="n">
        <f aca="false">+Q659-R659</f>
        <v>345.934999999999</v>
      </c>
      <c r="S758" s="31" t="n">
        <f aca="false">+R659-S659</f>
        <v>-1709.188</v>
      </c>
      <c r="T758" s="31" t="n">
        <f aca="false">+S659-T659</f>
        <v>1668.609</v>
      </c>
      <c r="U758" s="31" t="n">
        <f aca="false">+T659-U659</f>
        <v>665.108</v>
      </c>
      <c r="V758" s="31" t="n">
        <f aca="false">+U659-V659</f>
        <v>-1638.898</v>
      </c>
      <c r="W758" s="31" t="n">
        <f aca="false">+V659-W659</f>
        <v>902.694</v>
      </c>
      <c r="X758" s="31" t="n">
        <f aca="false">+W659-X659</f>
        <v>2318.893</v>
      </c>
      <c r="Y758" s="31" t="n">
        <f aca="false">+X163-Y163</f>
        <v>4982.212</v>
      </c>
      <c r="Z758" s="31" t="n">
        <f aca="false">+Y163-Z163</f>
        <v>671.359</v>
      </c>
      <c r="AA758" s="31" t="n">
        <f aca="false">+Z163-AA163</f>
        <v>-206.37</v>
      </c>
      <c r="AB758" s="31" t="n">
        <f aca="false">+AA163-AB163</f>
        <v>16.416</v>
      </c>
      <c r="AC758" s="31" t="n">
        <f aca="false">+AB163-AC163</f>
        <v>-5.40000000000001</v>
      </c>
      <c r="AD758" s="31" t="n">
        <f aca="false">+AC163-AD163</f>
        <v>23.8</v>
      </c>
      <c r="AE758" s="31" t="n">
        <f aca="false">+AD163-AE163</f>
        <v>206.2</v>
      </c>
      <c r="AF758" s="31" t="n">
        <f aca="false">+AE163-AF163</f>
        <v>0</v>
      </c>
      <c r="AG758" s="31" t="n">
        <f aca="false">+AF163-AG163</f>
        <v>-950</v>
      </c>
      <c r="AH758" s="31" t="n">
        <f aca="false">+AG163-AH163</f>
        <v>950</v>
      </c>
      <c r="AI758" s="31" t="n">
        <f aca="false">+AH163-AI163</f>
        <v>0</v>
      </c>
      <c r="AJ758" s="31" t="n">
        <f aca="false">+AI163-AJ163</f>
        <v>0</v>
      </c>
      <c r="AK758" s="31" t="n">
        <f aca="false">+AJ163-AK163</f>
        <v>0</v>
      </c>
      <c r="AL758" s="31" t="n">
        <f aca="false">+AK163-AL163</f>
        <v>0</v>
      </c>
      <c r="AM758" s="30"/>
      <c r="AN758" s="30"/>
      <c r="AO758" s="30"/>
      <c r="AP758" s="30"/>
      <c r="AQ758" s="30"/>
      <c r="AR758" s="30"/>
      <c r="AS758" s="30"/>
      <c r="AT758" s="30"/>
      <c r="AU758" s="30"/>
      <c r="AV758" s="30"/>
      <c r="AW758" s="30"/>
      <c r="AX758" s="30"/>
      <c r="AY758" s="30"/>
    </row>
    <row r="759" customFormat="false" ht="15" hidden="false" customHeight="true" outlineLevel="0" collapsed="false">
      <c r="A759" s="29" t="s">
        <v>740</v>
      </c>
      <c r="B759" s="30"/>
      <c r="C759" s="31" t="n">
        <f aca="false">+B647-C647</f>
        <v>76.4299999999998</v>
      </c>
      <c r="D759" s="31" t="n">
        <f aca="false">+C647-D647</f>
        <v>-500.88</v>
      </c>
      <c r="E759" s="31" t="n">
        <f aca="false">+D647-E647</f>
        <v>-1282.18</v>
      </c>
      <c r="F759" s="31" t="n">
        <f aca="false">+E647-F647</f>
        <v>-2205.2</v>
      </c>
      <c r="G759" s="31" t="n">
        <f aca="false">+F647-G647</f>
        <v>-46.7999999999993</v>
      </c>
      <c r="H759" s="31" t="n">
        <f aca="false">+G647-H647</f>
        <v>2298.57</v>
      </c>
      <c r="I759" s="31" t="n">
        <f aca="false">+H647-I647</f>
        <v>-300.47</v>
      </c>
      <c r="J759" s="31" t="n">
        <f aca="false">+I647-J647</f>
        <v>-598.8</v>
      </c>
      <c r="K759" s="31" t="n">
        <f aca="false">+J647-K647</f>
        <v>-776.660000000001</v>
      </c>
      <c r="L759" s="31" t="n">
        <f aca="false">+K647-L647</f>
        <v>1848.84</v>
      </c>
      <c r="M759" s="31" t="n">
        <f aca="false">+L647-M647</f>
        <v>-964.85</v>
      </c>
      <c r="N759" s="31" t="n">
        <f aca="false">+M647-N647</f>
        <v>-611.4</v>
      </c>
      <c r="O759" s="31" t="n">
        <f aca="false">+N647-O647</f>
        <v>-3344.8</v>
      </c>
      <c r="P759" s="31" t="n">
        <f aca="false">+O647-P647</f>
        <v>-1677.6</v>
      </c>
      <c r="Q759" s="31" t="n">
        <f aca="false">+P647-Q647</f>
        <v>-1535.93</v>
      </c>
      <c r="R759" s="31" t="n">
        <f aca="false">+Q647-R647</f>
        <v>-1061.004</v>
      </c>
      <c r="S759" s="31" t="n">
        <f aca="false">+R647-S647</f>
        <v>-3082.256</v>
      </c>
      <c r="T759" s="31" t="n">
        <f aca="false">+S647-T647+S664-T664</f>
        <v>-5706.634</v>
      </c>
      <c r="U759" s="31" t="n">
        <f aca="false">+T647-U647+T664-U664</f>
        <v>-1050.886</v>
      </c>
      <c r="V759" s="31" t="n">
        <f aca="false">+U647-V647+U664-V664</f>
        <v>3417.937</v>
      </c>
      <c r="W759" s="31" t="n">
        <f aca="false">+V647-W647+V664-W664</f>
        <v>6125.502</v>
      </c>
      <c r="X759" s="31" t="n">
        <f aca="false">+W647-X647+W664-X664</f>
        <v>-3470.93</v>
      </c>
      <c r="Y759" s="31" t="n">
        <f aca="false">-Y164+X164-Y160+X160</f>
        <v>-5595.271</v>
      </c>
      <c r="Z759" s="31" t="n">
        <f aca="false">-Z164+Y164-Z160+Y160</f>
        <v>-8178.268</v>
      </c>
      <c r="AA759" s="31" t="n">
        <f aca="false">-AA164+Z164-AA160+Z160</f>
        <v>2784.296</v>
      </c>
      <c r="AB759" s="31" t="n">
        <f aca="false">-AB164+AA164-AB160+AA160</f>
        <v>-14790.946</v>
      </c>
      <c r="AC759" s="31" t="n">
        <f aca="false">-AC164+AB164-AC160+AB160</f>
        <v>13865.6</v>
      </c>
      <c r="AD759" s="31" t="n">
        <f aca="false">-AD164+AC164-AD160+AC160</f>
        <v>-8937.6</v>
      </c>
      <c r="AE759" s="31" t="n">
        <f aca="false">-AE164+AD164-AE160+AD160</f>
        <v>-2738.2</v>
      </c>
      <c r="AF759" s="31" t="n">
        <f aca="false">-AF164+AE164-AF160+AE160</f>
        <v>-3030.5</v>
      </c>
      <c r="AG759" s="31" t="n">
        <f aca="false">-AG164+AF164-AG160+AF160</f>
        <v>576.300000000003</v>
      </c>
      <c r="AH759" s="31" t="n">
        <f aca="false">-AH164+AG164-AH160+AG160</f>
        <v>5908.69999999999</v>
      </c>
      <c r="AI759" s="31" t="n">
        <f aca="false">-AI164+AH164-AI160+AH160</f>
        <v>-8944.89999999999</v>
      </c>
      <c r="AJ759" s="31" t="n">
        <f aca="false">-AJ164+AI164-AJ160+AI160</f>
        <v>-5255.12064549361</v>
      </c>
      <c r="AK759" s="31" t="n">
        <f aca="false">-AK164+AJ164-AK160+AJ160</f>
        <v>-5461.04666283757</v>
      </c>
      <c r="AL759" s="31" t="n">
        <f aca="false">-AL164+AK164-AL160+AK160</f>
        <v>-5134.09209948057</v>
      </c>
      <c r="AM759" s="30"/>
      <c r="AN759" s="30"/>
      <c r="AO759" s="30"/>
      <c r="AP759" s="30"/>
      <c r="AQ759" s="30"/>
      <c r="AR759" s="30"/>
      <c r="AS759" s="30"/>
      <c r="AT759" s="30"/>
      <c r="AU759" s="30"/>
      <c r="AV759" s="30"/>
      <c r="AW759" s="30"/>
      <c r="AX759" s="30"/>
      <c r="AY759" s="30"/>
    </row>
    <row r="760" customFormat="false" ht="15" hidden="false" customHeight="true" outlineLevel="0" collapsed="false">
      <c r="A760" s="29" t="s">
        <v>741</v>
      </c>
      <c r="B760" s="30"/>
      <c r="C760" s="31" t="n">
        <f aca="false">+C668+C669+C667-B668-B669-B667</f>
        <v>333.58</v>
      </c>
      <c r="D760" s="31" t="n">
        <f aca="false">+D668+D669+D667-C668-C669-C667</f>
        <v>861.71</v>
      </c>
      <c r="E760" s="31" t="n">
        <f aca="false">+E668+E669+E667-D668-D669-D667</f>
        <v>1270.38</v>
      </c>
      <c r="F760" s="31" t="n">
        <f aca="false">+F668+F669+F667-E668-E669-E667</f>
        <v>690.91</v>
      </c>
      <c r="G760" s="31" t="n">
        <f aca="false">+G668+G669+G667-F668-F669-F667</f>
        <v>-1099.56</v>
      </c>
      <c r="H760" s="31" t="n">
        <f aca="false">+H668+H669+H667-G668-G669-G667</f>
        <v>-633.9</v>
      </c>
      <c r="I760" s="31" t="n">
        <f aca="false">+I668+I669+I667-H668-H669-H667</f>
        <v>-12.8100000000004</v>
      </c>
      <c r="J760" s="31" t="n">
        <f aca="false">+J668+J669+J667-I668-I669-I667</f>
        <v>1033.77</v>
      </c>
      <c r="K760" s="31" t="n">
        <f aca="false">+K668+K669+K667-J668-J669-J667</f>
        <v>268.01</v>
      </c>
      <c r="L760" s="31" t="n">
        <f aca="false">+L668+L669+L667-K668-K669-K667</f>
        <v>-10.1600000000002</v>
      </c>
      <c r="M760" s="31" t="n">
        <f aca="false">+M668+M669+M667-L668-L669-L667</f>
        <v>1892.36</v>
      </c>
      <c r="N760" s="31" t="n">
        <f aca="false">+N668+N669+N667-M668-M669-M667</f>
        <v>2790.86</v>
      </c>
      <c r="O760" s="31" t="n">
        <f aca="false">+O668+O669+O667-N668-N669-N667</f>
        <v>1857.08</v>
      </c>
      <c r="P760" s="31" t="n">
        <f aca="false">+P668+P669+P667-O668-O669-O667</f>
        <v>5047.3</v>
      </c>
      <c r="Q760" s="31" t="n">
        <f aca="false">+Q668+Q669+Q667-P668-P669-P667</f>
        <v>2750.84</v>
      </c>
      <c r="R760" s="31" t="n">
        <f aca="false">+R668+R669+R667-Q668-Q669-Q667</f>
        <v>-578.449000000001</v>
      </c>
      <c r="S760" s="31" t="n">
        <f aca="false">+S668+S669+S667-R668-R669-R667</f>
        <v>7232.016</v>
      </c>
      <c r="T760" s="31" t="n">
        <f aca="false">+T668+T669+T667-S668-S669-S667</f>
        <v>4458.82</v>
      </c>
      <c r="U760" s="31" t="n">
        <f aca="false">+U668+U669+U667-T668-T669-T667</f>
        <v>5804.073</v>
      </c>
      <c r="V760" s="31" t="n">
        <f aca="false">+V668+V669+V667-U668-U669-U667</f>
        <v>-2485.313</v>
      </c>
      <c r="W760" s="31" t="n">
        <f aca="false">+W668+W669+W667-V668-V669-V667</f>
        <v>-2651.641</v>
      </c>
      <c r="X760" s="31" t="n">
        <f aca="false">+X668+X669+X667-W668-W669-W667</f>
        <v>8914.223</v>
      </c>
      <c r="Y760" s="31" t="n">
        <f aca="false">+Y168+Y169-X168-X169</f>
        <v>1111.067</v>
      </c>
      <c r="Z760" s="31" t="n">
        <f aca="false">+Z168+Z169-Y168-Y169</f>
        <v>5909.803</v>
      </c>
      <c r="AA760" s="31" t="n">
        <f aca="false">+AA168+AA169-Z168-Z169</f>
        <v>23459.488</v>
      </c>
      <c r="AB760" s="31" t="n">
        <f aca="false">+AB168+AB169-AA168-AA169</f>
        <v>6081.123</v>
      </c>
      <c r="AC760" s="31" t="n">
        <f aca="false">+AC168+AC169-AB168-AB169</f>
        <v>-32056.5</v>
      </c>
      <c r="AD760" s="31" t="n">
        <f aca="false">+AD168+AD169-AC168-AC169</f>
        <v>20790.6</v>
      </c>
      <c r="AE760" s="31" t="n">
        <f aca="false">+AE168+AE169-AD168-AD169</f>
        <v>18825.5</v>
      </c>
      <c r="AF760" s="31" t="n">
        <f aca="false">+AF168+AF169-AE168-AE169</f>
        <v>7177.10000000001</v>
      </c>
      <c r="AG760" s="31" t="n">
        <f aca="false">+AG168+AG169-AF168-AF169</f>
        <v>11402.6</v>
      </c>
      <c r="AH760" s="31" t="n">
        <f aca="false">+AH168+AH169-AG168-AG169</f>
        <v>-2082.79999999999</v>
      </c>
      <c r="AI760" s="31" t="n">
        <f aca="false">+AI168+AI169-AH168-AH169</f>
        <v>12708.6</v>
      </c>
      <c r="AJ760" s="31" t="n">
        <f aca="false">+AJ168+AJ169-AI168-AI169</f>
        <v>6475.5105070533</v>
      </c>
      <c r="AK760" s="31" t="n">
        <f aca="false">+AK168+AK169-AJ168-AJ169</f>
        <v>9915.16750423707</v>
      </c>
      <c r="AL760" s="31" t="n">
        <f aca="false">+AL168+AL169-AK168-AK169</f>
        <v>10713.642472474</v>
      </c>
      <c r="AM760" s="30"/>
      <c r="AN760" s="30"/>
      <c r="AO760" s="30"/>
      <c r="AP760" s="30"/>
      <c r="AQ760" s="30"/>
      <c r="AR760" s="30"/>
      <c r="AS760" s="30"/>
      <c r="AT760" s="30"/>
      <c r="AU760" s="30"/>
      <c r="AV760" s="30"/>
      <c r="AW760" s="30"/>
      <c r="AX760" s="30"/>
      <c r="AY760" s="30"/>
    </row>
    <row r="761" customFormat="false" ht="15" hidden="false" customHeight="true" outlineLevel="0" collapsed="false">
      <c r="A761" s="29" t="s">
        <v>742</v>
      </c>
      <c r="B761" s="30"/>
      <c r="C761" s="31" t="n">
        <f aca="false">+C671+C672+C673-B671-B672-B673</f>
        <v>158.21</v>
      </c>
      <c r="D761" s="31" t="n">
        <f aca="false">+D671+D672+D673-C671-C672-C673</f>
        <v>114.55</v>
      </c>
      <c r="E761" s="31" t="n">
        <f aca="false">+E671+E672+E673-D671-D672-D673</f>
        <v>227.25</v>
      </c>
      <c r="F761" s="31" t="n">
        <f aca="false">+F671+F672+F673-E671-E672-E673</f>
        <v>217.39</v>
      </c>
      <c r="G761" s="31" t="n">
        <f aca="false">+G671+G672+G673-F671-F672-F673</f>
        <v>-523.06</v>
      </c>
      <c r="H761" s="31" t="n">
        <f aca="false">+H671+H672+H673-G671-G672-G673</f>
        <v>29.9400000000001</v>
      </c>
      <c r="I761" s="31" t="n">
        <f aca="false">+I671+I672+I673-H671-H672-H673</f>
        <v>355.37</v>
      </c>
      <c r="J761" s="31" t="n">
        <f aca="false">+J671+J672+J673-I671-I672-I673</f>
        <v>64.42</v>
      </c>
      <c r="K761" s="31" t="n">
        <f aca="false">+K671+K672+K673-J671-J672-J673</f>
        <v>47.8499999999999</v>
      </c>
      <c r="L761" s="31" t="n">
        <f aca="false">+L671+L672+L673-K671-K672-K673</f>
        <v>206.92</v>
      </c>
      <c r="M761" s="31" t="n">
        <f aca="false">+M671+M672+M673-L671-L672-L673</f>
        <v>509.24</v>
      </c>
      <c r="N761" s="31" t="n">
        <f aca="false">+N671+N672+N673-M671-M672-M673</f>
        <v>540.44</v>
      </c>
      <c r="O761" s="31" t="n">
        <f aca="false">+O671+O672+O673-N671-N672-N673</f>
        <v>571.41</v>
      </c>
      <c r="P761" s="31" t="n">
        <f aca="false">+P671+P672+P673-O671-O672-O673</f>
        <v>-1573.91</v>
      </c>
      <c r="Q761" s="31" t="n">
        <f aca="false">+Q671+Q672+Q673-P671-P672-P673</f>
        <v>2410.01</v>
      </c>
      <c r="R761" s="31" t="n">
        <f aca="false">+R671+R672+R673-Q671-Q672-Q673</f>
        <v>-771.493</v>
      </c>
      <c r="S761" s="31" t="n">
        <f aca="false">+S671+S672+S673-R671-R672-R673</f>
        <v>1006.098</v>
      </c>
      <c r="T761" s="31" t="n">
        <f aca="false">+T671+T672+T673-S671-S672-S673</f>
        <v>1216.348</v>
      </c>
      <c r="U761" s="31" t="n">
        <f aca="false">+U671+U672+U673-T671-T672-T673</f>
        <v>-699.519</v>
      </c>
      <c r="V761" s="31" t="n">
        <f aca="false">+V671+V672+V673-U671-U672-U673</f>
        <v>-1116.911</v>
      </c>
      <c r="W761" s="31" t="n">
        <f aca="false">+W671+W672+W673-V671-V672-V673</f>
        <v>-2205.566</v>
      </c>
      <c r="X761" s="31" t="n">
        <f aca="false">+X671+X672+X673-W671-W672-W673</f>
        <v>1679.193</v>
      </c>
      <c r="Y761" s="31" t="n">
        <f aca="false">+Y170-X170</f>
        <v>-669.946</v>
      </c>
      <c r="Z761" s="31" t="n">
        <f aca="false">+Z170-Y170</f>
        <v>2953.294</v>
      </c>
      <c r="AA761" s="31" t="n">
        <f aca="false">+AA170-Z170</f>
        <v>1318.535</v>
      </c>
      <c r="AB761" s="31" t="n">
        <f aca="false">+AB170-AA170</f>
        <v>1865.357</v>
      </c>
      <c r="AC761" s="31" t="n">
        <f aca="false">+AC170-AB170</f>
        <v>-1779.2</v>
      </c>
      <c r="AD761" s="31" t="n">
        <f aca="false">+AD170-AC170</f>
        <v>-1598.9</v>
      </c>
      <c r="AE761" s="31" t="n">
        <f aca="false">+AE170-AD170</f>
        <v>52.8999999999996</v>
      </c>
      <c r="AF761" s="31" t="n">
        <f aca="false">+AF170-AE170</f>
        <v>490.7</v>
      </c>
      <c r="AG761" s="31" t="n">
        <f aca="false">+AG170-AF170</f>
        <v>1313.6</v>
      </c>
      <c r="AH761" s="31" t="n">
        <f aca="false">+AH170-AG170</f>
        <v>1744.7</v>
      </c>
      <c r="AI761" s="31" t="n">
        <f aca="false">+AI170-AH170</f>
        <v>5251.9</v>
      </c>
      <c r="AJ761" s="31" t="n">
        <f aca="false">+AJ170-AI170</f>
        <v>675.17</v>
      </c>
      <c r="AK761" s="31" t="n">
        <f aca="false">+AK170-AJ170</f>
        <v>708.9285</v>
      </c>
      <c r="AL761" s="31" t="n">
        <f aca="false">+AL170-AK170</f>
        <v>744.374925</v>
      </c>
      <c r="AM761" s="30"/>
      <c r="AN761" s="30"/>
      <c r="AO761" s="30"/>
      <c r="AP761" s="30"/>
      <c r="AQ761" s="30"/>
      <c r="AR761" s="30"/>
      <c r="AS761" s="30"/>
      <c r="AT761" s="30"/>
      <c r="AU761" s="30"/>
      <c r="AV761" s="30"/>
      <c r="AW761" s="30"/>
      <c r="AX761" s="30"/>
      <c r="AY761" s="30"/>
    </row>
    <row r="762" customFormat="false" ht="15" hidden="false" customHeight="true" outlineLevel="0" collapsed="false">
      <c r="A762" s="29" t="s">
        <v>743</v>
      </c>
      <c r="B762" s="30"/>
      <c r="C762" s="31" t="n">
        <f aca="false">SUM(C757:C761)</f>
        <v>459.44</v>
      </c>
      <c r="D762" s="31" t="n">
        <f aca="false">SUM(D757:D761)</f>
        <v>-3720.54</v>
      </c>
      <c r="E762" s="31" t="n">
        <f aca="false">SUM(E757:E761)</f>
        <v>-3109.19</v>
      </c>
      <c r="F762" s="31" t="n">
        <f aca="false">SUM(F757:F761)</f>
        <v>-2348.36</v>
      </c>
      <c r="G762" s="31" t="n">
        <f aca="false">SUM(G757:G761)</f>
        <v>-282.649999999999</v>
      </c>
      <c r="H762" s="31" t="n">
        <f aca="false">SUM(H757:H761)</f>
        <v>4020.29</v>
      </c>
      <c r="I762" s="31" t="n">
        <f aca="false">SUM(I757:I761)</f>
        <v>-87.4900000000005</v>
      </c>
      <c r="J762" s="31" t="n">
        <f aca="false">SUM(J757:J761)</f>
        <v>1382.93</v>
      </c>
      <c r="K762" s="31" t="n">
        <f aca="false">SUM(K757:K761)</f>
        <v>1497.84</v>
      </c>
      <c r="L762" s="31" t="n">
        <f aca="false">SUM(L757:L761)</f>
        <v>1814.11</v>
      </c>
      <c r="M762" s="31" t="n">
        <f aca="false">SUM(M757:M761)</f>
        <v>2200.14</v>
      </c>
      <c r="N762" s="31" t="n">
        <f aca="false">SUM(N757:N761)</f>
        <v>1112.42</v>
      </c>
      <c r="O762" s="31" t="n">
        <f aca="false">SUM(O757:O761)</f>
        <v>-261.070000000001</v>
      </c>
      <c r="P762" s="31" t="n">
        <f aca="false">SUM(P757:P761)</f>
        <v>-2858.99</v>
      </c>
      <c r="Q762" s="31" t="n">
        <f aca="false">SUM(Q757:Q761)</f>
        <v>3549.74</v>
      </c>
      <c r="R762" s="31" t="n">
        <f aca="false">SUM(R757:R761)</f>
        <v>-7886.403</v>
      </c>
      <c r="S762" s="31" t="n">
        <f aca="false">SUM(S757:S761)</f>
        <v>2805.797</v>
      </c>
      <c r="T762" s="31" t="n">
        <f aca="false">SUM(T757:T761)</f>
        <v>5.62500000000159</v>
      </c>
      <c r="U762" s="31" t="n">
        <f aca="false">SUM(U757:U761)</f>
        <v>4268.43</v>
      </c>
      <c r="V762" s="31" t="n">
        <f aca="false">SUM(V757:V761)</f>
        <v>-3714.819</v>
      </c>
      <c r="W762" s="31" t="n">
        <f aca="false">SUM(W757:W761)</f>
        <v>3374.997</v>
      </c>
      <c r="X762" s="31" t="n">
        <f aca="false">SUM(X757:X761)</f>
        <v>9854.559</v>
      </c>
      <c r="Y762" s="31" t="n">
        <f aca="false">SUM(Y757:Y761)</f>
        <v>-104.508000000004</v>
      </c>
      <c r="Z762" s="31" t="n">
        <f aca="false">SUM(Z757:Z761)</f>
        <v>5266.66699999999</v>
      </c>
      <c r="AA762" s="31" t="n">
        <f aca="false">SUM(AA757:AA761)</f>
        <v>26149.909</v>
      </c>
      <c r="AB762" s="31" t="n">
        <f aca="false">SUM(AB757:AB761)</f>
        <v>-22078.294</v>
      </c>
      <c r="AC762" s="31" t="n">
        <f aca="false">SUM(AC757:AC761)</f>
        <v>-6718.40000000001</v>
      </c>
      <c r="AD762" s="31" t="n">
        <f aca="false">SUM(AD757:AD761)</f>
        <v>-6086.99999999999</v>
      </c>
      <c r="AE762" s="31" t="n">
        <f aca="false">SUM(AE757:AE761)</f>
        <v>13399</v>
      </c>
      <c r="AF762" s="31" t="n">
        <f aca="false">SUM(AF757:AF761)</f>
        <v>-4879.3</v>
      </c>
      <c r="AG762" s="31" t="n">
        <f aca="false">SUM(AG757:AG761)</f>
        <v>17270.6</v>
      </c>
      <c r="AH762" s="31" t="n">
        <f aca="false">SUM(AH757:AH761)</f>
        <v>13346.4</v>
      </c>
      <c r="AI762" s="31" t="n">
        <f aca="false">SUM(AI757:AI761)</f>
        <v>8384.70000000001</v>
      </c>
      <c r="AJ762" s="31" t="n">
        <f aca="false">SUM(AJ757:AJ761)</f>
        <v>-2135.38954296325</v>
      </c>
      <c r="AK762" s="31" t="n">
        <f aca="false">SUM(AK757:AK761)</f>
        <v>2435.5762977449</v>
      </c>
      <c r="AL762" s="31" t="n">
        <f aca="false">SUM(AL757:AL761)</f>
        <v>3602.32198895888</v>
      </c>
      <c r="AM762" s="30"/>
      <c r="AN762" s="30"/>
      <c r="AO762" s="30"/>
      <c r="AP762" s="30"/>
      <c r="AQ762" s="30"/>
      <c r="AR762" s="30"/>
      <c r="AS762" s="30"/>
      <c r="AT762" s="30"/>
      <c r="AU762" s="30"/>
      <c r="AV762" s="30"/>
      <c r="AW762" s="30"/>
      <c r="AX762" s="30"/>
      <c r="AY762" s="30"/>
    </row>
    <row r="763" customFormat="false" ht="15" hidden="false" customHeight="true" outlineLevel="0" collapsed="false">
      <c r="A763" s="51" t="s">
        <v>744</v>
      </c>
      <c r="B763" s="53"/>
      <c r="C763" s="52" t="n">
        <f aca="false">C762+SUM(C752:C756)</f>
        <v>1144.05</v>
      </c>
      <c r="D763" s="52" t="n">
        <f aca="false">D762+SUM(D752:D756)</f>
        <v>-2673.06</v>
      </c>
      <c r="E763" s="52" t="n">
        <f aca="false">E762+SUM(E752:E756)</f>
        <v>-1416.75</v>
      </c>
      <c r="F763" s="52" t="n">
        <f aca="false">F762+SUM(F752:F756)</f>
        <v>-480.410000000001</v>
      </c>
      <c r="G763" s="52" t="n">
        <f aca="false">G762+SUM(G752:G756)</f>
        <v>617.971576000001</v>
      </c>
      <c r="H763" s="52" t="n">
        <f aca="false">H762+SUM(H752:H756)</f>
        <v>5011.82837829599</v>
      </c>
      <c r="I763" s="52" t="n">
        <f aca="false">I762+SUM(I752:I756)</f>
        <v>1508.89</v>
      </c>
      <c r="J763" s="52" t="n">
        <f aca="false">J762+SUM(J752:J756)</f>
        <v>3202.46</v>
      </c>
      <c r="K763" s="52" t="n">
        <f aca="false">K762+SUM(K752:K756)</f>
        <v>5359.07</v>
      </c>
      <c r="L763" s="52" t="n">
        <f aca="false">L762+SUM(L752:L756)</f>
        <v>3995.87000000001</v>
      </c>
      <c r="M763" s="52" t="n">
        <f aca="false">M762+SUM(M752:M756)</f>
        <v>4990.3</v>
      </c>
      <c r="N763" s="52" t="n">
        <f aca="false">N762+SUM(N752:N756)</f>
        <v>4595.4416</v>
      </c>
      <c r="O763" s="52" t="n">
        <f aca="false">O762+SUM(O752:O756)</f>
        <v>4263.69999999999</v>
      </c>
      <c r="P763" s="52" t="n">
        <f aca="false">P762+SUM(P752:P756)</f>
        <v>3191.66</v>
      </c>
      <c r="Q763" s="52" t="n">
        <f aca="false">Q762+SUM(Q752:Q756)</f>
        <v>10733.99</v>
      </c>
      <c r="R763" s="52" t="n">
        <f aca="false">R762+SUM(R752:R756)</f>
        <v>-3390.20399999999</v>
      </c>
      <c r="S763" s="52" t="n">
        <f aca="false">S762+SUM(S752:S756)</f>
        <v>10372.477</v>
      </c>
      <c r="T763" s="52" t="n">
        <f aca="false">T762+SUM(T752:T756)</f>
        <v>10095.026</v>
      </c>
      <c r="U763" s="52" t="n">
        <f aca="false">U762+SUM(U752:U756)</f>
        <v>13874.021</v>
      </c>
      <c r="V763" s="52" t="n">
        <f aca="false">V762+SUM(V752:V756)</f>
        <v>1848.84</v>
      </c>
      <c r="W763" s="52" t="n">
        <f aca="false">W762+SUM(W752:W756)</f>
        <v>916.346999999977</v>
      </c>
      <c r="X763" s="52" t="n">
        <f aca="false">X762+SUM(X752:X756)</f>
        <v>17444.334</v>
      </c>
      <c r="Y763" s="52" t="n">
        <f aca="false">Y762+SUM(Y752:Y756)</f>
        <v>6858.85400000001</v>
      </c>
      <c r="Z763" s="52" t="n">
        <f aca="false">Z762+SUM(Z752:Z756)</f>
        <v>20654.357</v>
      </c>
      <c r="AA763" s="52" t="n">
        <f aca="false">AA762+SUM(AA752:AA756)</f>
        <v>49036.764</v>
      </c>
      <c r="AB763" s="52" t="n">
        <f aca="false">AB762+SUM(AB752:AB756)</f>
        <v>3477.21999999991</v>
      </c>
      <c r="AC763" s="52" t="n">
        <f aca="false">AC762+SUM(AC752:AC756)</f>
        <v>2525.69999999999</v>
      </c>
      <c r="AD763" s="52" t="n">
        <f aca="false">AD762+SUM(AD752:AD756)</f>
        <v>-2687</v>
      </c>
      <c r="AE763" s="52" t="n">
        <f aca="false">AE762+SUM(AE752:AE756)</f>
        <v>26080.6</v>
      </c>
      <c r="AF763" s="52" t="n">
        <f aca="false">AF762+SUM(AF752:AF756)</f>
        <v>19832.9</v>
      </c>
      <c r="AG763" s="52" t="n">
        <f aca="false">AG762+SUM(AG752:AG756)</f>
        <v>51155.4000000001</v>
      </c>
      <c r="AH763" s="52" t="n">
        <f aca="false">AH762+SUM(AH752:AH756)</f>
        <v>53488.5</v>
      </c>
      <c r="AI763" s="52" t="n">
        <f aca="false">AI762+SUM(AI752:AI756)</f>
        <v>51070.1000000002</v>
      </c>
      <c r="AJ763" s="52" t="n">
        <f aca="false">AJ762+SUM(AJ752:AJ756)</f>
        <v>44775.7485683509</v>
      </c>
      <c r="AK763" s="52" t="n">
        <f aca="false">AK762+SUM(AK752:AK756)</f>
        <v>54674.3490311106</v>
      </c>
      <c r="AL763" s="52" t="n">
        <f aca="false">AL762+SUM(AL752:AL756)</f>
        <v>59866.8820945977</v>
      </c>
      <c r="AM763" s="53"/>
      <c r="AN763" s="53"/>
      <c r="AO763" s="53"/>
      <c r="AP763" s="53"/>
      <c r="AQ763" s="53"/>
      <c r="AR763" s="53"/>
      <c r="AS763" s="53"/>
      <c r="AT763" s="53"/>
      <c r="AU763" s="53"/>
      <c r="AV763" s="53"/>
      <c r="AW763" s="53"/>
      <c r="AX763" s="53"/>
      <c r="AY763" s="53"/>
    </row>
    <row r="764" customFormat="false" ht="15" hidden="false" customHeight="true" outlineLevel="0" collapsed="false">
      <c r="A764" s="29" t="s">
        <v>745</v>
      </c>
      <c r="B764" s="30"/>
      <c r="C764" s="31" t="n">
        <f aca="false">+B634-C634-C49</f>
        <v>-2081.61</v>
      </c>
      <c r="D764" s="31" t="n">
        <f aca="false">+C634-D634-D49</f>
        <v>-1274.49</v>
      </c>
      <c r="E764" s="31" t="n">
        <f aca="false">+D634-E634-E49</f>
        <v>-1784.18</v>
      </c>
      <c r="F764" s="31" t="n">
        <f aca="false">+E634-F634-F49</f>
        <v>-1912.88</v>
      </c>
      <c r="G764" s="31" t="n">
        <f aca="false">+F634-G634-G49</f>
        <v>-1332.79</v>
      </c>
      <c r="H764" s="31" t="n">
        <f aca="false">+G634-H634-H49</f>
        <v>-1283.31</v>
      </c>
      <c r="I764" s="31" t="n">
        <f aca="false">+H634-I634-I49</f>
        <v>-735.27</v>
      </c>
      <c r="J764" s="31" t="n">
        <f aca="false">+I634-J634-J49</f>
        <v>-1038.11</v>
      </c>
      <c r="K764" s="31" t="n">
        <f aca="false">+J634-K634-K49</f>
        <v>-1438.94</v>
      </c>
      <c r="L764" s="31" t="n">
        <f aca="false">+K634-L634-L49</f>
        <v>-329.729999999997</v>
      </c>
      <c r="M764" s="31" t="n">
        <f aca="false">+L634-M634-M49</f>
        <v>-777.160000000001</v>
      </c>
      <c r="N764" s="31" t="n">
        <f aca="false">+M634-N634-N49</f>
        <v>-1671.15</v>
      </c>
      <c r="O764" s="31" t="n">
        <f aca="false">+N634-O634-O49</f>
        <v>-2316.93</v>
      </c>
      <c r="P764" s="31" t="n">
        <f aca="false">+O634-P634-P49</f>
        <v>-6104.1</v>
      </c>
      <c r="Q764" s="31" t="n">
        <f aca="false">+P634-Q634-Q49</f>
        <v>-6876.32</v>
      </c>
      <c r="R764" s="31" t="n">
        <f aca="false">+Q634-R634-R49</f>
        <v>-25210.249</v>
      </c>
      <c r="S764" s="31" t="n">
        <f aca="false">+R634-S634-S49</f>
        <v>-6177.311</v>
      </c>
      <c r="T764" s="31" t="n">
        <f aca="false">+S634-T634-T49</f>
        <v>-4481.6</v>
      </c>
      <c r="U764" s="31" t="n">
        <f aca="false">+T634-U634-U49</f>
        <v>-8227.70299999999</v>
      </c>
      <c r="V764" s="31" t="n">
        <f aca="false">+U634-V634-V49</f>
        <v>-8898.787</v>
      </c>
      <c r="W764" s="31" t="n">
        <f aca="false">+V634-W634-W49</f>
        <v>-2476.20199999999</v>
      </c>
      <c r="X764" s="31" t="n">
        <f aca="false">+W634-X634-X49</f>
        <v>493.611999999985</v>
      </c>
      <c r="Y764" s="31" t="n">
        <f aca="false">+X155-Y155-Y49</f>
        <v>199.539000000005</v>
      </c>
      <c r="Z764" s="31" t="n">
        <f aca="false">+Y155-Z155-Z49</f>
        <v>-8267.20600000001</v>
      </c>
      <c r="AA764" s="31" t="n">
        <f aca="false">+Z155-AA155-AA49</f>
        <v>-7534.029</v>
      </c>
      <c r="AB764" s="31" t="n">
        <f aca="false">+AA155-AB155-AB49</f>
        <v>-15176.776</v>
      </c>
      <c r="AC764" s="31" t="n">
        <f aca="false">+AB155-AC155-AC49</f>
        <v>-17953.8</v>
      </c>
      <c r="AD764" s="31" t="n">
        <f aca="false">+AC155-AD155-AD49</f>
        <v>-7722.4</v>
      </c>
      <c r="AE764" s="31" t="n">
        <f aca="false">+AD155-AE155-AE49</f>
        <v>-1256.9</v>
      </c>
      <c r="AF764" s="31" t="n">
        <f aca="false">+AE155-AF155-AF49</f>
        <v>-3734.6</v>
      </c>
      <c r="AG764" s="31" t="n">
        <f aca="false">+AF155-AG155-AG49</f>
        <v>-4344.70000000001</v>
      </c>
      <c r="AH764" s="31" t="n">
        <f aca="false">+AG155-AH155-AH49</f>
        <v>-8362.59999999998</v>
      </c>
      <c r="AI764" s="31" t="n">
        <f aca="false">+AH155-AI155-AI49</f>
        <v>-13131</v>
      </c>
      <c r="AJ764" s="31" t="n">
        <f aca="false">+AI155-AJ155-AJ49</f>
        <v>-9800.2</v>
      </c>
      <c r="AK764" s="31" t="n">
        <f aca="false">+AJ155-AK155-AK49</f>
        <v>-8700</v>
      </c>
      <c r="AL764" s="31" t="n">
        <f aca="false">+AK155-AL155-AL49</f>
        <v>-8700.00000000001</v>
      </c>
      <c r="AM764" s="30"/>
      <c r="AN764" s="30"/>
      <c r="AO764" s="30"/>
      <c r="AP764" s="30"/>
      <c r="AQ764" s="30"/>
      <c r="AR764" s="30"/>
      <c r="AS764" s="30"/>
      <c r="AT764" s="30"/>
      <c r="AU764" s="30"/>
      <c r="AV764" s="30"/>
      <c r="AW764" s="30"/>
      <c r="AX764" s="30"/>
      <c r="AY764" s="30"/>
    </row>
    <row r="765" customFormat="false" ht="15" hidden="false" customHeight="true" outlineLevel="0" collapsed="false">
      <c r="A765" s="29" t="s">
        <v>746</v>
      </c>
      <c r="B765" s="30"/>
      <c r="C765" s="31" t="n">
        <f aca="false">+B636-C636</f>
        <v>-245.69</v>
      </c>
      <c r="D765" s="31" t="n">
        <f aca="false">+C636-D636</f>
        <v>-158</v>
      </c>
      <c r="E765" s="31" t="n">
        <f aca="false">+D636-E636</f>
        <v>-100.23</v>
      </c>
      <c r="F765" s="31" t="n">
        <f aca="false">+E636-F636</f>
        <v>198.35</v>
      </c>
      <c r="G765" s="31" t="n">
        <f aca="false">+F636-G636</f>
        <v>98.26</v>
      </c>
      <c r="H765" s="31" t="n">
        <f aca="false">+G636-H636</f>
        <v>-139.92</v>
      </c>
      <c r="I765" s="31" t="n">
        <f aca="false">+H636-I636</f>
        <v>-579.12</v>
      </c>
      <c r="J765" s="31" t="n">
        <f aca="false">+I636-J636</f>
        <v>24.2</v>
      </c>
      <c r="K765" s="31" t="n">
        <f aca="false">+J636-K636</f>
        <v>6.25999999999999</v>
      </c>
      <c r="L765" s="31" t="n">
        <f aca="false">+K636-L636</f>
        <v>-402.38</v>
      </c>
      <c r="M765" s="31" t="n">
        <f aca="false">+L636-M636</f>
        <v>109.74</v>
      </c>
      <c r="N765" s="31" t="n">
        <f aca="false">+M636-N636</f>
        <v>-825.879999999999</v>
      </c>
      <c r="O765" s="31" t="n">
        <f aca="false">+N636-O636</f>
        <v>-1389.88</v>
      </c>
      <c r="P765" s="31" t="n">
        <f aca="false">+O636-P636</f>
        <v>1470.84</v>
      </c>
      <c r="Q765" s="31" t="n">
        <f aca="false">+P636-Q636</f>
        <v>-3888.06</v>
      </c>
      <c r="R765" s="31" t="n">
        <f aca="false">+Q636-R636</f>
        <v>3463.429</v>
      </c>
      <c r="S765" s="31" t="n">
        <f aca="false">+R636-S636</f>
        <v>-625.978</v>
      </c>
      <c r="T765" s="31" t="n">
        <f aca="false">+S636-T636</f>
        <v>-9038.419</v>
      </c>
      <c r="U765" s="31" t="n">
        <f aca="false">+T636-U636</f>
        <v>-3044.821</v>
      </c>
      <c r="V765" s="31" t="n">
        <f aca="false">+U636-V636</f>
        <v>-8031.53</v>
      </c>
      <c r="W765" s="31" t="n">
        <f aca="false">+V636-W636</f>
        <v>-4520.54</v>
      </c>
      <c r="X765" s="31" t="n">
        <f aca="false">+W636-X636</f>
        <v>1408.526</v>
      </c>
      <c r="Y765" s="31" t="n">
        <f aca="false">+X156-Y156</f>
        <v>6683.96</v>
      </c>
      <c r="Z765" s="31" t="n">
        <f aca="false">+Y156-Z156</f>
        <v>-8984.181</v>
      </c>
      <c r="AA765" s="31" t="n">
        <f aca="false">+Z156-AA156</f>
        <v>-29237.714</v>
      </c>
      <c r="AB765" s="31" t="n">
        <f aca="false">+AA156-AB156</f>
        <v>31661.268</v>
      </c>
      <c r="AC765" s="31" t="n">
        <f aca="false">+AB156-AC156</f>
        <v>-831.299999999999</v>
      </c>
      <c r="AD765" s="31" t="n">
        <f aca="false">+AC156-AD156</f>
        <v>-3490.9</v>
      </c>
      <c r="AE765" s="31" t="n">
        <f aca="false">+AD156-AE156</f>
        <v>-17509.1</v>
      </c>
      <c r="AF765" s="31" t="n">
        <f aca="false">+AE156-AF156</f>
        <v>-18439.7</v>
      </c>
      <c r="AG765" s="31" t="n">
        <f aca="false">+AF156-AG156</f>
        <v>11038.3</v>
      </c>
      <c r="AH765" s="31" t="n">
        <f aca="false">+AG156-AH156</f>
        <v>-31131.9</v>
      </c>
      <c r="AI765" s="31" t="n">
        <f aca="false">+AH156-AI156</f>
        <v>-20060.4</v>
      </c>
      <c r="AJ765" s="31" t="n">
        <f aca="false">+AI156-AJ156</f>
        <v>-12059.855</v>
      </c>
      <c r="AK765" s="31" t="n">
        <f aca="false">+AJ156-AK156</f>
        <v>-5162.84775</v>
      </c>
      <c r="AL765" s="31" t="n">
        <f aca="false">+AK156-AL156</f>
        <v>-5270.9901375</v>
      </c>
      <c r="AM765" s="30"/>
      <c r="AN765" s="30"/>
      <c r="AO765" s="30"/>
      <c r="AP765" s="30"/>
      <c r="AQ765" s="30"/>
      <c r="AR765" s="30"/>
      <c r="AS765" s="30"/>
      <c r="AT765" s="30"/>
      <c r="AU765" s="30"/>
      <c r="AV765" s="30"/>
      <c r="AW765" s="30"/>
      <c r="AX765" s="30"/>
      <c r="AY765" s="30"/>
    </row>
    <row r="766" customFormat="false" ht="15" hidden="false" customHeight="true" outlineLevel="0" collapsed="false">
      <c r="A766" s="51" t="s">
        <v>747</v>
      </c>
      <c r="B766" s="53"/>
      <c r="C766" s="52" t="n">
        <f aca="false">C765+C764</f>
        <v>-2327.3</v>
      </c>
      <c r="D766" s="52" t="n">
        <f aca="false">D765+D764</f>
        <v>-1432.49</v>
      </c>
      <c r="E766" s="52" t="n">
        <f aca="false">E765+E764</f>
        <v>-1884.41</v>
      </c>
      <c r="F766" s="52" t="n">
        <f aca="false">F765+F764</f>
        <v>-1714.53</v>
      </c>
      <c r="G766" s="52" t="n">
        <f aca="false">G765+G764</f>
        <v>-1234.53</v>
      </c>
      <c r="H766" s="52" t="n">
        <f aca="false">H765+H764</f>
        <v>-1423.23</v>
      </c>
      <c r="I766" s="52" t="n">
        <f aca="false">I765+I764</f>
        <v>-1314.39</v>
      </c>
      <c r="J766" s="52" t="n">
        <f aca="false">J765+J764</f>
        <v>-1013.91</v>
      </c>
      <c r="K766" s="52" t="n">
        <f aca="false">K765+K764</f>
        <v>-1432.68</v>
      </c>
      <c r="L766" s="52" t="n">
        <f aca="false">L765+L764</f>
        <v>-732.109999999997</v>
      </c>
      <c r="M766" s="52" t="n">
        <f aca="false">M765+M764</f>
        <v>-667.420000000001</v>
      </c>
      <c r="N766" s="52" t="n">
        <f aca="false">N765+N764</f>
        <v>-2497.03</v>
      </c>
      <c r="O766" s="52" t="n">
        <f aca="false">O765+O764</f>
        <v>-3706.81</v>
      </c>
      <c r="P766" s="52" t="n">
        <f aca="false">P765+P764</f>
        <v>-4633.26</v>
      </c>
      <c r="Q766" s="52" t="n">
        <f aca="false">Q765+Q764</f>
        <v>-10764.38</v>
      </c>
      <c r="R766" s="52" t="n">
        <f aca="false">R765+R764</f>
        <v>-21746.82</v>
      </c>
      <c r="S766" s="52" t="n">
        <f aca="false">S765+S764</f>
        <v>-6803.289</v>
      </c>
      <c r="T766" s="52" t="n">
        <f aca="false">T765+T764</f>
        <v>-13520.019</v>
      </c>
      <c r="U766" s="52" t="n">
        <f aca="false">U765+U764</f>
        <v>-11272.524</v>
      </c>
      <c r="V766" s="52" t="n">
        <f aca="false">V765+V764</f>
        <v>-16930.317</v>
      </c>
      <c r="W766" s="52" t="n">
        <f aca="false">W765+W764</f>
        <v>-6996.74199999999</v>
      </c>
      <c r="X766" s="52" t="n">
        <f aca="false">X765+X764</f>
        <v>1902.13799999998</v>
      </c>
      <c r="Y766" s="52" t="n">
        <f aca="false">Y765+Y764</f>
        <v>6883.49900000001</v>
      </c>
      <c r="Z766" s="52" t="n">
        <f aca="false">Z765+Z764</f>
        <v>-17251.387</v>
      </c>
      <c r="AA766" s="52" t="n">
        <f aca="false">AA765+AA764</f>
        <v>-36771.743</v>
      </c>
      <c r="AB766" s="52" t="n">
        <f aca="false">AB765+AB764</f>
        <v>16484.492</v>
      </c>
      <c r="AC766" s="52" t="n">
        <f aca="false">AC765+AC764</f>
        <v>-18785.1</v>
      </c>
      <c r="AD766" s="52" t="n">
        <f aca="false">AD765+AD764</f>
        <v>-11213.3</v>
      </c>
      <c r="AE766" s="52" t="n">
        <f aca="false">AE765+AE764</f>
        <v>-18766</v>
      </c>
      <c r="AF766" s="52" t="n">
        <f aca="false">AF765+AF764</f>
        <v>-22174.3</v>
      </c>
      <c r="AG766" s="52" t="n">
        <f aca="false">AG765+AG764</f>
        <v>6693.6</v>
      </c>
      <c r="AH766" s="52" t="n">
        <f aca="false">AH765+AH764</f>
        <v>-39494.5</v>
      </c>
      <c r="AI766" s="52" t="n">
        <f aca="false">AI765+AI764</f>
        <v>-33191.4</v>
      </c>
      <c r="AJ766" s="52" t="n">
        <f aca="false">AJ765+AJ764</f>
        <v>-21860.055</v>
      </c>
      <c r="AK766" s="52" t="n">
        <f aca="false">AK765+AK764</f>
        <v>-13862.84775</v>
      </c>
      <c r="AL766" s="52" t="n">
        <f aca="false">AL765+AL764</f>
        <v>-13970.9901375</v>
      </c>
      <c r="AM766" s="53"/>
      <c r="AN766" s="53"/>
      <c r="AO766" s="53"/>
      <c r="AP766" s="53"/>
      <c r="AQ766" s="53"/>
      <c r="AR766" s="53"/>
      <c r="AS766" s="53"/>
      <c r="AT766" s="53"/>
      <c r="AU766" s="53"/>
      <c r="AV766" s="53"/>
      <c r="AW766" s="53"/>
      <c r="AX766" s="53"/>
      <c r="AY766" s="53"/>
    </row>
    <row r="767" customFormat="false" ht="15" hidden="false" customHeight="true" outlineLevel="0" collapsed="false">
      <c r="A767" s="47"/>
      <c r="B767" s="30"/>
      <c r="C767" s="30"/>
      <c r="D767" s="30"/>
      <c r="E767" s="30"/>
      <c r="F767" s="30"/>
      <c r="G767" s="30"/>
      <c r="H767" s="30"/>
      <c r="I767" s="30"/>
      <c r="J767" s="30"/>
      <c r="K767" s="30"/>
      <c r="L767" s="30"/>
      <c r="M767" s="30"/>
      <c r="N767" s="30"/>
      <c r="O767" s="30"/>
      <c r="P767" s="30"/>
      <c r="Q767" s="30"/>
      <c r="R767" s="30"/>
      <c r="S767" s="30"/>
      <c r="T767" s="30"/>
      <c r="U767" s="30"/>
      <c r="V767" s="30"/>
      <c r="W767" s="30"/>
      <c r="X767" s="31" t="n">
        <f aca="false">+Y768+Y770+Y773</f>
        <v>-4791.35900000002</v>
      </c>
      <c r="Y767" s="31" t="n">
        <f aca="false">+Y762+Y764+Y765+Y772+Y775</f>
        <v>9500.40100000001</v>
      </c>
      <c r="Z767" s="31" t="n">
        <f aca="false">+Z762+Z764+Z765+Z772+Z775</f>
        <v>-13383.931</v>
      </c>
      <c r="AA767" s="31" t="n">
        <f aca="false">+AA762+AA764+AA765+AA772+AA775</f>
        <v>-7710.53600000001</v>
      </c>
      <c r="AB767" s="31" t="n">
        <f aca="false">+AB762+AB764+AB765+AB772+AB775</f>
        <v>-10954.942</v>
      </c>
      <c r="AC767" s="31" t="n">
        <f aca="false">+AC762+AC764+AC765+AC772+AC775</f>
        <v>-22697</v>
      </c>
      <c r="AD767" s="31" t="n">
        <f aca="false">+AD762+AD764+AD765+AD772+AD775</f>
        <v>-13883.6</v>
      </c>
      <c r="AE767" s="31" t="n">
        <f aca="false">+AE762+AE764+AE765+AE772+AE775</f>
        <v>-5247.80000000001</v>
      </c>
      <c r="AF767" s="31" t="n">
        <f aca="false">+AF762+AF764+AF765+AF772+AF775</f>
        <v>-27687</v>
      </c>
      <c r="AG767" s="31" t="n">
        <f aca="false">+AG762+AG764+AG765+AG772+AG775</f>
        <v>24705.8</v>
      </c>
      <c r="AH767" s="31" t="n">
        <f aca="false">+AH762+AH764+AH765+AH772+AH775</f>
        <v>-33994.6</v>
      </c>
      <c r="AI767" s="31" t="n">
        <f aca="false">+AI762+AI764+AI765+AI772+AI775</f>
        <v>-17158.7</v>
      </c>
      <c r="AJ767" s="31" t="n">
        <f aca="false">+AJ762+AJ764+AJ765+AJ772+AJ775</f>
        <v>-24499.6645429632</v>
      </c>
      <c r="AK767" s="31" t="n">
        <f aca="false">+AK762+AK764+AK765+AK772+AK775</f>
        <v>-11981.9134522551</v>
      </c>
      <c r="AL767" s="31" t="n">
        <f aca="false">+AL762+AL764+AL765+AL772+AL775</f>
        <v>-10978.7743485411</v>
      </c>
      <c r="AM767" s="30"/>
      <c r="AN767" s="30"/>
      <c r="AO767" s="30"/>
      <c r="AP767" s="30"/>
      <c r="AQ767" s="30"/>
      <c r="AR767" s="30"/>
      <c r="AS767" s="30"/>
      <c r="AT767" s="30"/>
      <c r="AU767" s="30"/>
      <c r="AV767" s="30"/>
      <c r="AW767" s="30"/>
      <c r="AX767" s="30"/>
      <c r="AY767" s="30"/>
    </row>
    <row r="768" customFormat="false" ht="15" hidden="false" customHeight="true" outlineLevel="0" collapsed="false">
      <c r="A768" s="29" t="s">
        <v>748</v>
      </c>
      <c r="B768" s="30"/>
      <c r="C768" s="31" t="n">
        <f aca="false">+C610-B610</f>
        <v>188.149999999999</v>
      </c>
      <c r="D768" s="31" t="n">
        <f aca="false">+D610-C610</f>
        <v>585.56</v>
      </c>
      <c r="E768" s="31" t="n">
        <f aca="false">+E610-D610</f>
        <v>2954.59</v>
      </c>
      <c r="F768" s="31" t="n">
        <f aca="false">+F610-E610</f>
        <v>2894.79</v>
      </c>
      <c r="G768" s="31" t="n">
        <f aca="false">+G610-F610</f>
        <v>712.989999999998</v>
      </c>
      <c r="H768" s="31" t="n">
        <f aca="false">+H610-G610</f>
        <v>-2851.78</v>
      </c>
      <c r="I768" s="31" t="n">
        <f aca="false">+I610-H610</f>
        <v>35.25</v>
      </c>
      <c r="J768" s="31" t="n">
        <f aca="false">+J610-I610</f>
        <v>-326.83</v>
      </c>
      <c r="K768" s="31" t="n">
        <f aca="false">+K610-J610</f>
        <v>-445.589999999998</v>
      </c>
      <c r="L768" s="31" t="n">
        <f aca="false">+L610-K610</f>
        <v>-1709.27</v>
      </c>
      <c r="M768" s="31" t="n">
        <f aca="false">+M610-L610</f>
        <v>-2184.49</v>
      </c>
      <c r="N768" s="31" t="n">
        <f aca="false">+N610-M610</f>
        <v>3813.33</v>
      </c>
      <c r="O768" s="31" t="n">
        <f aca="false">+O610-N610</f>
        <v>-1884.78</v>
      </c>
      <c r="P768" s="31" t="n">
        <f aca="false">+P610-O610</f>
        <v>-515.3</v>
      </c>
      <c r="Q768" s="31" t="n">
        <f aca="false">+Q610-P610</f>
        <v>2471.03</v>
      </c>
      <c r="R768" s="31" t="n">
        <f aca="false">+R610-Q610</f>
        <v>10706.429</v>
      </c>
      <c r="S768" s="31" t="n">
        <f aca="false">+S610-R610</f>
        <v>2457.479</v>
      </c>
      <c r="T768" s="31" t="n">
        <f aca="false">+T610-S610</f>
        <v>3643.73</v>
      </c>
      <c r="U768" s="31" t="n">
        <f aca="false">+U610-T610</f>
        <v>5296.285</v>
      </c>
      <c r="V768" s="31" t="n">
        <f aca="false">+V610-U610</f>
        <v>12575.392</v>
      </c>
      <c r="W768" s="31" t="n">
        <f aca="false">+W610-V610</f>
        <v>3348.883</v>
      </c>
      <c r="X768" s="31" t="n">
        <f aca="false">+X610-W610</f>
        <v>-13405.932</v>
      </c>
      <c r="Y768" s="31" t="n">
        <f aca="false">+Y140-X140</f>
        <v>-9347.437</v>
      </c>
      <c r="Z768" s="31" t="n">
        <f aca="false">+Z140-Y140</f>
        <v>-2701.314</v>
      </c>
      <c r="AA768" s="31" t="n">
        <f aca="false">+AA140-Z140</f>
        <v>-11425.352</v>
      </c>
      <c r="AB768" s="31" t="n">
        <f aca="false">+AB140-AA140</f>
        <v>-3699.573</v>
      </c>
      <c r="AC768" s="31" t="n">
        <f aca="false">+AC140-AB140</f>
        <v>26490</v>
      </c>
      <c r="AD768" s="31" t="n">
        <f aca="false">+AD140-AC140</f>
        <v>5598.9</v>
      </c>
      <c r="AE768" s="31" t="n">
        <f aca="false">+AE140-AD140</f>
        <v>-2873.7</v>
      </c>
      <c r="AF768" s="31" t="n">
        <f aca="false">+AF140-AE140</f>
        <v>-3290.5</v>
      </c>
      <c r="AG768" s="31" t="n">
        <f aca="false">+AG140-AF140</f>
        <v>-9254.3</v>
      </c>
      <c r="AH768" s="31" t="n">
        <f aca="false">+AH140-AG140</f>
        <v>-8176.8</v>
      </c>
      <c r="AI768" s="31" t="n">
        <f aca="false">+AI140-AH140</f>
        <v>-2866.8</v>
      </c>
      <c r="AJ768" s="31" t="n">
        <f aca="false">+AJ140-AI140</f>
        <v>-2000</v>
      </c>
      <c r="AK768" s="31" t="n">
        <f aca="false">+AK140-AJ140</f>
        <v>-2000</v>
      </c>
      <c r="AL768" s="31" t="n">
        <f aca="false">+AL140-AK140</f>
        <v>-2000</v>
      </c>
      <c r="AM768" s="30"/>
      <c r="AN768" s="30"/>
      <c r="AO768" s="30"/>
      <c r="AP768" s="30"/>
      <c r="AQ768" s="30"/>
      <c r="AR768" s="30"/>
      <c r="AS768" s="30"/>
      <c r="AT768" s="30"/>
      <c r="AU768" s="30"/>
      <c r="AV768" s="30"/>
      <c r="AW768" s="30"/>
      <c r="AX768" s="30"/>
      <c r="AY768" s="30"/>
    </row>
    <row r="769" customFormat="false" ht="15" hidden="false" customHeight="true" outlineLevel="0" collapsed="false">
      <c r="A769" s="29" t="s">
        <v>749</v>
      </c>
      <c r="B769" s="30"/>
      <c r="C769" s="31" t="n">
        <f aca="false">+C584-B584</f>
        <v>86.36</v>
      </c>
      <c r="D769" s="31" t="n">
        <f aca="false">+D584-C584</f>
        <v>409.27</v>
      </c>
      <c r="E769" s="31" t="n">
        <f aca="false">+E584-D584</f>
        <v>0.0399999999999636</v>
      </c>
      <c r="F769" s="31" t="n">
        <f aca="false">+F584-E584</f>
        <v>0</v>
      </c>
      <c r="G769" s="31" t="n">
        <f aca="false">+G584-F584</f>
        <v>0</v>
      </c>
      <c r="H769" s="31" t="n">
        <f aca="false">+H584-G584</f>
        <v>0</v>
      </c>
      <c r="I769" s="31" t="n">
        <f aca="false">+I584-H584</f>
        <v>0</v>
      </c>
      <c r="J769" s="31" t="n">
        <f aca="false">+J584-I584</f>
        <v>0</v>
      </c>
      <c r="K769" s="31" t="n">
        <f aca="false">+K584-J584</f>
        <v>0</v>
      </c>
      <c r="L769" s="31" t="n">
        <f aca="false">+L584-K584</f>
        <v>0</v>
      </c>
      <c r="M769" s="31" t="n">
        <f aca="false">+M584-L584</f>
        <v>0</v>
      </c>
      <c r="N769" s="31" t="n">
        <f aca="false">+N584-M584</f>
        <v>0</v>
      </c>
      <c r="O769" s="31" t="n">
        <f aca="false">+O584-N584</f>
        <v>32.3</v>
      </c>
      <c r="P769" s="31" t="n">
        <f aca="false">+P584-O584</f>
        <v>102.28</v>
      </c>
      <c r="Q769" s="31" t="n">
        <f aca="false">+Q584-P584</f>
        <v>6.47000000000003</v>
      </c>
      <c r="R769" s="31" t="n">
        <f aca="false">+R584-Q584</f>
        <v>0.00200000000018008</v>
      </c>
      <c r="S769" s="31" t="n">
        <f aca="false">+S584-R584</f>
        <v>0</v>
      </c>
      <c r="T769" s="31" t="n">
        <f aca="false">+T584-S584</f>
        <v>0</v>
      </c>
      <c r="U769" s="31" t="n">
        <f aca="false">+U584-T584</f>
        <v>1330.338</v>
      </c>
      <c r="V769" s="31" t="n">
        <f aca="false">+V584-U584</f>
        <v>0</v>
      </c>
      <c r="W769" s="31" t="n">
        <f aca="false">+W584-V584</f>
        <v>0</v>
      </c>
      <c r="X769" s="31" t="n">
        <f aca="false">+X584-W584</f>
        <v>185.2</v>
      </c>
      <c r="Y769" s="31" t="n">
        <f aca="false">+Y137-X137</f>
        <v>0</v>
      </c>
      <c r="Z769" s="31" t="n">
        <f aca="false">+Z137-Y137</f>
        <v>0</v>
      </c>
      <c r="AA769" s="31" t="n">
        <f aca="false">+AA137-Z137</f>
        <v>81.2280000000001</v>
      </c>
      <c r="AB769" s="31" t="n">
        <f aca="false">+AB137-AA137</f>
        <v>8.39199999999983</v>
      </c>
      <c r="AC769" s="31" t="n">
        <f aca="false">+AC137-AB137</f>
        <v>0</v>
      </c>
      <c r="AD769" s="31" t="n">
        <f aca="false">+AD137-AC137</f>
        <v>0</v>
      </c>
      <c r="AE769" s="31" t="n">
        <f aca="false">+AE137-AD137</f>
        <v>0</v>
      </c>
      <c r="AF769" s="31" t="n">
        <f aca="false">+AF137-AE137</f>
        <v>0.599999999999909</v>
      </c>
      <c r="AG769" s="31" t="n">
        <f aca="false">+AG137-AF137</f>
        <v>0.200000000000273</v>
      </c>
      <c r="AH769" s="31" t="n">
        <f aca="false">+AH137-AG137</f>
        <v>0.199999999999818</v>
      </c>
      <c r="AI769" s="31" t="n">
        <f aca="false">+AI137-AH137</f>
        <v>2937.4</v>
      </c>
      <c r="AJ769" s="31" t="n">
        <f aca="false">+AJ137-AI137</f>
        <v>0</v>
      </c>
      <c r="AK769" s="31" t="n">
        <f aca="false">+AK137-AJ137</f>
        <v>0</v>
      </c>
      <c r="AL769" s="31" t="n">
        <f aca="false">+AL137-AK137</f>
        <v>0</v>
      </c>
      <c r="AM769" s="30"/>
      <c r="AN769" s="30"/>
      <c r="AO769" s="30"/>
      <c r="AP769" s="30"/>
      <c r="AQ769" s="30"/>
      <c r="AR769" s="30"/>
      <c r="AS769" s="30"/>
      <c r="AT769" s="30"/>
      <c r="AU769" s="30"/>
      <c r="AV769" s="30"/>
      <c r="AW769" s="30"/>
      <c r="AX769" s="30"/>
      <c r="AY769" s="30"/>
    </row>
    <row r="770" customFormat="false" ht="15" hidden="false" customHeight="true" outlineLevel="0" collapsed="false">
      <c r="A770" s="29" t="s">
        <v>750</v>
      </c>
      <c r="B770" s="30"/>
      <c r="C770" s="31" t="n">
        <f aca="false">+C597-B597+C541+C542-C532</f>
        <v>340.199999999999</v>
      </c>
      <c r="D770" s="31" t="n">
        <f aca="false">+D597-C597+D541+D542-D532</f>
        <v>4222.11</v>
      </c>
      <c r="E770" s="31" t="n">
        <f aca="false">+E597-D597+E541+E542-E532</f>
        <v>-3.41000000000304</v>
      </c>
      <c r="F770" s="31" t="n">
        <f aca="false">+F597-E597+F541+F542-F532</f>
        <v>-5.88999999999578</v>
      </c>
      <c r="G770" s="31" t="n">
        <f aca="false">+G597-F597+G541+G542-G532</f>
        <v>-5.92967600000091</v>
      </c>
      <c r="H770" s="31" t="n">
        <f aca="false">+H597-G597+H541+H542-H532</f>
        <v>-9.54647829600006</v>
      </c>
      <c r="I770" s="31" t="n">
        <f aca="false">+I597-H597+I541+I542-I532</f>
        <v>-20.5949999999979</v>
      </c>
      <c r="J770" s="31" t="n">
        <f aca="false">+J597-I597+J541+J542-J532</f>
        <v>-6.43999999999915</v>
      </c>
      <c r="K770" s="31" t="n">
        <f aca="false">+K597-J597+K541+K542-K532</f>
        <v>-1805.45</v>
      </c>
      <c r="L770" s="31" t="n">
        <f aca="false">+L597-K597+L541+L542-L532</f>
        <v>-1305.96</v>
      </c>
      <c r="M770" s="31" t="n">
        <f aca="false">+M597-L597+M541+M542-M532</f>
        <v>-6.44000000000028</v>
      </c>
      <c r="N770" s="31" t="n">
        <f aca="false">+N597-M597+N541+N542-N532</f>
        <v>-195.04</v>
      </c>
      <c r="O770" s="31" t="n">
        <f aca="false">+O597-N597+O541+O542-O532</f>
        <v>962.340000000009</v>
      </c>
      <c r="P770" s="31" t="n">
        <f aca="false">+P597-O597+P541+P542-P532</f>
        <v>2570.33000000001</v>
      </c>
      <c r="Q770" s="31" t="n">
        <f aca="false">+Q597-P597+Q541+Q542-Q532</f>
        <v>181.790000000002</v>
      </c>
      <c r="R770" s="31" t="n">
        <f aca="false">+R597-Q597+R541+R542-R532</f>
        <v>12905.684</v>
      </c>
      <c r="S770" s="31" t="n">
        <f aca="false">+S597-R597+S541+S542-S532</f>
        <v>38.779999999967</v>
      </c>
      <c r="T770" s="31" t="n">
        <f aca="false">+T597-S597+T541+T542-T532</f>
        <v>-278.648000000022</v>
      </c>
      <c r="U770" s="31" t="n">
        <f aca="false">+U597-T597+U541+U542-U532</f>
        <v>-1445.68499999999</v>
      </c>
      <c r="V770" s="31" t="n">
        <f aca="false">+V597-U597+V541+V542-V532</f>
        <v>9.59399999998459</v>
      </c>
      <c r="W770" s="31" t="n">
        <f aca="false">+W597-V597+W541+W542-W532</f>
        <v>-316.359999999984</v>
      </c>
      <c r="X770" s="31" t="n">
        <f aca="false">+X597-W597+X541+X542-X532</f>
        <v>4799.38399999997</v>
      </c>
      <c r="Y770" s="31" t="n">
        <f aca="false">+Y138-X138-Y53+Y541+Y542</f>
        <v>2100.03099999998</v>
      </c>
      <c r="Z770" s="31" t="n">
        <f aca="false">+Z138-Y138-Z53+Z541+Z542</f>
        <v>453.232999999976</v>
      </c>
      <c r="AA770" s="31" t="n">
        <f aca="false">+AA138-Z138-AA53+AA541+AA542</f>
        <v>3002.23575480004</v>
      </c>
      <c r="AB770" s="31" t="n">
        <f aca="false">+AB138-AA138-AB53+AB541+AB542</f>
        <v>2806.63300000008</v>
      </c>
      <c r="AC770" s="31" t="n">
        <f aca="false">+AC138-AB138-AC53+AC541+AC542</f>
        <v>-11362.3325</v>
      </c>
      <c r="AD770" s="31" t="n">
        <f aca="false">+AD138-AC138-AD53+AD541+AD542</f>
        <v>2030.20000000001</v>
      </c>
      <c r="AE770" s="31" t="n">
        <f aca="false">+AE138-AD138-AE53+AE541+AE542</f>
        <v>1114.19999999999</v>
      </c>
      <c r="AF770" s="31" t="n">
        <f aca="false">+AF138-AE138-AF53+AF541+AF542</f>
        <v>4721.16000000001</v>
      </c>
      <c r="AG770" s="31" t="n">
        <f aca="false">+AG138-AF138-AG53+AG541+AG542</f>
        <v>-7798.51500000006</v>
      </c>
      <c r="AH770" s="31" t="n">
        <f aca="false">+AH138-AG138-AH53+AH541+AH542</f>
        <v>12404.225</v>
      </c>
      <c r="AI770" s="31" t="n">
        <f aca="false">+AI138-AH138-AI53+AI541+AI542</f>
        <v>-2087.75000000015</v>
      </c>
      <c r="AJ770" s="31" t="n">
        <f aca="false">+AJ138-AI138-AJ53+AJ541+AJ542</f>
        <v>4711.16885565717</v>
      </c>
      <c r="AK770" s="31" t="n">
        <f aca="false">+AK138-AJ138-AK53+AK541+AK542</f>
        <v>2226.87093602577</v>
      </c>
      <c r="AL770" s="31" t="n">
        <f aca="false">+AL138-AK138-AL53+AL541+AL542</f>
        <v>1678.10779238652</v>
      </c>
      <c r="AM770" s="30"/>
      <c r="AN770" s="30"/>
      <c r="AO770" s="30"/>
      <c r="AP770" s="30"/>
      <c r="AQ770" s="30"/>
      <c r="AR770" s="30"/>
      <c r="AS770" s="30"/>
      <c r="AT770" s="30"/>
      <c r="AU770" s="30"/>
      <c r="AV770" s="30"/>
      <c r="AW770" s="30"/>
      <c r="AX770" s="30"/>
      <c r="AY770" s="30"/>
    </row>
    <row r="771" customFormat="false" ht="15" hidden="false" customHeight="true" outlineLevel="0" collapsed="false">
      <c r="A771" s="29" t="s">
        <v>751</v>
      </c>
      <c r="B771" s="30"/>
      <c r="C771" s="31" t="n">
        <f aca="false">-C541-C542</f>
        <v>-194.34</v>
      </c>
      <c r="D771" s="31" t="n">
        <f aca="false">-D541-D542</f>
        <v>-295.11</v>
      </c>
      <c r="E771" s="31" t="n">
        <f aca="false">-E541-E542</f>
        <v>-475.72</v>
      </c>
      <c r="F771" s="31" t="n">
        <f aca="false">-F541-F542</f>
        <v>-654.06</v>
      </c>
      <c r="G771" s="31" t="n">
        <f aca="false">-G541-G542</f>
        <v>-130.8219</v>
      </c>
      <c r="H771" s="31" t="n">
        <f aca="false">-H541-H542</f>
        <v>-130.8219</v>
      </c>
      <c r="I771" s="31" t="n">
        <f aca="false">-I541-I542</f>
        <v>-457.875</v>
      </c>
      <c r="J771" s="31" t="n">
        <f aca="false">-J541-J542</f>
        <v>-524.24</v>
      </c>
      <c r="K771" s="31" t="n">
        <f aca="false">-K541-K542</f>
        <v>-535.18</v>
      </c>
      <c r="L771" s="31" t="n">
        <f aca="false">-L541-L542</f>
        <v>-670.83</v>
      </c>
      <c r="M771" s="31" t="n">
        <f aca="false">-M541-M542</f>
        <v>-1006.25</v>
      </c>
      <c r="N771" s="31" t="n">
        <f aca="false">-N541-N542</f>
        <v>-1358.38</v>
      </c>
      <c r="O771" s="31" t="n">
        <f aca="false">-O541-O542</f>
        <v>-1821.96</v>
      </c>
      <c r="P771" s="31" t="n">
        <f aca="false">-P541-P542</f>
        <v>-2264.32</v>
      </c>
      <c r="Q771" s="31" t="n">
        <f aca="false">-Q541-Q542</f>
        <v>-2337.22</v>
      </c>
      <c r="R771" s="31" t="n">
        <f aca="false">-R541-R542</f>
        <v>-1556.479</v>
      </c>
      <c r="S771" s="31" t="n">
        <f aca="false">-S541-S542</f>
        <v>-2326.936</v>
      </c>
      <c r="T771" s="31" t="n">
        <f aca="false">-T541-T542</f>
        <v>-3092.305</v>
      </c>
      <c r="U771" s="31" t="n">
        <f aca="false">-U541-U542</f>
        <v>-3092.305</v>
      </c>
      <c r="V771" s="31" t="n">
        <f aca="false">-V541-V542</f>
        <v>-1867.715</v>
      </c>
      <c r="W771" s="31" t="n">
        <f aca="false">-W541-W542</f>
        <v>-0</v>
      </c>
      <c r="X771" s="31" t="n">
        <f aca="false">-X541-X542</f>
        <v>-1541.353</v>
      </c>
      <c r="Y771" s="31" t="n">
        <f aca="false">-Y541-Y542</f>
        <v>-3253.969</v>
      </c>
      <c r="Z771" s="31" t="n">
        <f aca="false">-Z541-Z542</f>
        <v>-5494.799</v>
      </c>
      <c r="AA771" s="31" t="n">
        <f aca="false">-AA541-AA542</f>
        <v>-8322.0607548</v>
      </c>
      <c r="AB771" s="31" t="n">
        <f aca="false">-AB541-AB542</f>
        <v>-10970.7</v>
      </c>
      <c r="AC771" s="31" t="n">
        <f aca="false">-AC541-AC542</f>
        <v>-1717.2675</v>
      </c>
      <c r="AD771" s="31" t="n">
        <f aca="false">-AD541-AD542</f>
        <v>-1761.3</v>
      </c>
      <c r="AE771" s="31" t="n">
        <f aca="false">-AE541-AE542</f>
        <v>-2935.5</v>
      </c>
      <c r="AF771" s="31" t="n">
        <f aca="false">-AF541-AF542</f>
        <v>-7633.86</v>
      </c>
      <c r="AG771" s="31" t="n">
        <f aca="false">-AG541-AG542</f>
        <v>-14534.685</v>
      </c>
      <c r="AH771" s="31" t="n">
        <f aca="false">-AH541-AH542</f>
        <v>-18353.125</v>
      </c>
      <c r="AI771" s="31" t="n">
        <f aca="false">-AI541-AI542</f>
        <v>-20558.65</v>
      </c>
      <c r="AJ771" s="31" t="n">
        <f aca="false">-AJ541-AJ542</f>
        <v>-19545.9188556571</v>
      </c>
      <c r="AK771" s="31" t="n">
        <f aca="false">-AK541-AK542</f>
        <v>-21922.7897916829</v>
      </c>
      <c r="AL771" s="31" t="n">
        <f aca="false">-AL541-AL542</f>
        <v>-23750.8975840694</v>
      </c>
      <c r="AM771" s="30"/>
      <c r="AN771" s="30"/>
      <c r="AO771" s="30"/>
      <c r="AP771" s="30"/>
      <c r="AQ771" s="30"/>
      <c r="AR771" s="30"/>
      <c r="AS771" s="30"/>
      <c r="AT771" s="30"/>
      <c r="AU771" s="30"/>
      <c r="AV771" s="30"/>
      <c r="AW771" s="30"/>
      <c r="AX771" s="30"/>
      <c r="AY771" s="30"/>
    </row>
    <row r="772" customFormat="false" ht="15" hidden="false" customHeight="true" outlineLevel="0" collapsed="false">
      <c r="A772" s="29" t="s">
        <v>752</v>
      </c>
      <c r="B772" s="30"/>
      <c r="C772" s="30"/>
      <c r="D772" s="30"/>
      <c r="E772" s="30"/>
      <c r="F772" s="30"/>
      <c r="G772" s="30"/>
      <c r="H772" s="30"/>
      <c r="I772" s="30"/>
      <c r="J772" s="30"/>
      <c r="K772" s="30"/>
      <c r="L772" s="30"/>
      <c r="M772" s="30"/>
      <c r="N772" s="30"/>
      <c r="O772" s="30"/>
      <c r="P772" s="30"/>
      <c r="Q772" s="30"/>
      <c r="R772" s="30"/>
      <c r="S772" s="30"/>
      <c r="T772" s="31" t="n">
        <f aca="false">-T643+S643</f>
        <v>0</v>
      </c>
      <c r="U772" s="31" t="n">
        <f aca="false">-U643+T643</f>
        <v>-6082.395</v>
      </c>
      <c r="V772" s="31" t="n">
        <f aca="false">-V643+U643</f>
        <v>1285.44</v>
      </c>
      <c r="W772" s="31" t="n">
        <f aca="false">-W643+V643</f>
        <v>-1930.698</v>
      </c>
      <c r="X772" s="31" t="n">
        <f aca="false">-X643+W643</f>
        <v>-3101.523</v>
      </c>
      <c r="Y772" s="31" t="n">
        <f aca="false">+X158+X157-Y158-Y157</f>
        <v>2383.929</v>
      </c>
      <c r="Z772" s="31" t="n">
        <f aca="false">+Y158+Y157-Z158-Z157</f>
        <v>-1399.211</v>
      </c>
      <c r="AA772" s="31" t="n">
        <f aca="false">+Z158+Z157-AA158-AA157</f>
        <v>2911.298</v>
      </c>
      <c r="AB772" s="31" t="n">
        <f aca="false">+AA158+AA157-AB158-AB157</f>
        <v>-5361.14</v>
      </c>
      <c r="AC772" s="31" t="n">
        <f aca="false">+AB158+AB157-AC158-AC157</f>
        <v>2806.5</v>
      </c>
      <c r="AD772" s="31" t="n">
        <f aca="false">+AC158+AC157-AD158-AD157</f>
        <v>3416.7</v>
      </c>
      <c r="AE772" s="31" t="n">
        <f aca="false">+AD158+AD157-AE158-AE157</f>
        <v>119.200000000001</v>
      </c>
      <c r="AF772" s="31" t="n">
        <f aca="false">+AE158+AE157-AF158-AF157</f>
        <v>-633.4</v>
      </c>
      <c r="AG772" s="31" t="n">
        <f aca="false">+AF158+AF157-AG158-AG157</f>
        <v>741.6</v>
      </c>
      <c r="AH772" s="31" t="n">
        <f aca="false">+AG158+AG157-AH158-AH157</f>
        <v>-7846.5</v>
      </c>
      <c r="AI772" s="31" t="n">
        <f aca="false">+AH158+AH157-AI158-AI157</f>
        <v>7648</v>
      </c>
      <c r="AJ772" s="31" t="n">
        <f aca="false">+AI158+AI157-AJ158-AJ157</f>
        <v>-504.22</v>
      </c>
      <c r="AK772" s="31" t="n">
        <f aca="false">+AJ158+AJ157-AK158-AK157</f>
        <v>-554.642000000001</v>
      </c>
      <c r="AL772" s="31" t="n">
        <f aca="false">+AK158+AK157-AL158-AL157</f>
        <v>-610.1062</v>
      </c>
      <c r="AM772" s="30"/>
      <c r="AN772" s="30"/>
      <c r="AO772" s="30"/>
      <c r="AP772" s="30"/>
      <c r="AQ772" s="30"/>
      <c r="AR772" s="30"/>
      <c r="AS772" s="30"/>
      <c r="AT772" s="30"/>
      <c r="AU772" s="30"/>
      <c r="AV772" s="30"/>
      <c r="AW772" s="30"/>
      <c r="AX772" s="30"/>
      <c r="AY772" s="30"/>
    </row>
    <row r="773" customFormat="false" ht="15" hidden="false" customHeight="true" outlineLevel="0" collapsed="false">
      <c r="A773" s="29" t="s">
        <v>753</v>
      </c>
      <c r="B773" s="30"/>
      <c r="C773" s="30"/>
      <c r="D773" s="30"/>
      <c r="E773" s="30"/>
      <c r="F773" s="30"/>
      <c r="G773" s="30"/>
      <c r="H773" s="30"/>
      <c r="I773" s="30"/>
      <c r="J773" s="30"/>
      <c r="K773" s="30"/>
      <c r="L773" s="30"/>
      <c r="M773" s="30"/>
      <c r="N773" s="30"/>
      <c r="O773" s="30"/>
      <c r="P773" s="30"/>
      <c r="Q773" s="30"/>
      <c r="R773" s="30"/>
      <c r="S773" s="30"/>
      <c r="T773" s="31" t="n">
        <f aca="false">+T622-S622</f>
        <v>0</v>
      </c>
      <c r="U773" s="31" t="n">
        <f aca="false">+U622-T622</f>
        <v>765.63</v>
      </c>
      <c r="V773" s="31" t="n">
        <f aca="false">+V622-U622</f>
        <v>19.496</v>
      </c>
      <c r="W773" s="31" t="n">
        <f aca="false">+W622-V622</f>
        <v>-106.464</v>
      </c>
      <c r="X773" s="31" t="n">
        <f aca="false">+X622-W622</f>
        <v>107.474</v>
      </c>
      <c r="Y773" s="31" t="n">
        <f aca="false">+Y144+Y142-X142-X144</f>
        <v>2456.047</v>
      </c>
      <c r="Z773" s="31" t="n">
        <f aca="false">+Z144+Z142-Y142-Y144</f>
        <v>-1072.445</v>
      </c>
      <c r="AA773" s="31" t="n">
        <f aca="false">+AA144+AA142-Z142-Z144</f>
        <v>2411.926</v>
      </c>
      <c r="AB773" s="31" t="n">
        <f aca="false">+AB144+AB142-AA142-AA144</f>
        <v>946.532</v>
      </c>
      <c r="AC773" s="31" t="n">
        <f aca="false">+AC144+AC142-AB142-AB144</f>
        <v>-468.7</v>
      </c>
      <c r="AD773" s="31" t="n">
        <f aca="false">+AD144+AD142-AC142-AC144</f>
        <v>-379.4</v>
      </c>
      <c r="AE773" s="31" t="n">
        <f aca="false">+AE144+AE142-AD142-AD144</f>
        <v>-498.7</v>
      </c>
      <c r="AF773" s="31" t="n">
        <f aca="false">+AF144+AF142-AE142-AE144</f>
        <v>3720.7</v>
      </c>
      <c r="AG773" s="31" t="n">
        <f aca="false">+AG144+AG142-AF142-AF144</f>
        <v>2365.6</v>
      </c>
      <c r="AH773" s="31" t="n">
        <f aca="false">+AH144+AH142-AG142-AG144</f>
        <v>655.7</v>
      </c>
      <c r="AI773" s="31" t="n">
        <f aca="false">+AI144+AI142-AH142-AH144</f>
        <v>-239.900000000001</v>
      </c>
      <c r="AJ773" s="31" t="n">
        <f aca="false">+AJ144+AJ142-AI142-AI144</f>
        <v>1070.41</v>
      </c>
      <c r="AK773" s="31" t="n">
        <f aca="false">+AK144+AK142-AJ142-AJ144</f>
        <v>1177.451</v>
      </c>
      <c r="AL773" s="31" t="n">
        <f aca="false">+AL144+AL142-AK142-AK144</f>
        <v>1295.1961</v>
      </c>
      <c r="AM773" s="30"/>
      <c r="AN773" s="30"/>
      <c r="AO773" s="30"/>
      <c r="AP773" s="30"/>
      <c r="AQ773" s="30"/>
      <c r="AR773" s="30"/>
      <c r="AS773" s="30"/>
      <c r="AT773" s="30"/>
      <c r="AU773" s="30"/>
      <c r="AV773" s="30"/>
      <c r="AW773" s="30"/>
      <c r="AX773" s="30"/>
      <c r="AY773" s="30"/>
    </row>
    <row r="774" customFormat="false" ht="15" hidden="false" customHeight="true" outlineLevel="0" collapsed="false">
      <c r="A774" s="51" t="s">
        <v>754</v>
      </c>
      <c r="B774" s="53"/>
      <c r="C774" s="52" t="n">
        <f aca="false">SUM(C768:C771)</f>
        <v>420.369999999998</v>
      </c>
      <c r="D774" s="52" t="n">
        <f aca="false">SUM(D768:D771)</f>
        <v>4921.83</v>
      </c>
      <c r="E774" s="52" t="n">
        <f aca="false">SUM(E768:E771)</f>
        <v>2475.5</v>
      </c>
      <c r="F774" s="52" t="n">
        <f aca="false">SUM(F768:F771)</f>
        <v>2234.84000000001</v>
      </c>
      <c r="G774" s="52" t="n">
        <f aca="false">SUM(G768:G771)</f>
        <v>576.238423999997</v>
      </c>
      <c r="H774" s="52" t="n">
        <f aca="false">SUM(H768:H771)</f>
        <v>-2992.148378296</v>
      </c>
      <c r="I774" s="52" t="n">
        <f aca="false">SUM(I768:I771)</f>
        <v>-443.219999999998</v>
      </c>
      <c r="J774" s="52" t="n">
        <f aca="false">SUM(J768:J771)</f>
        <v>-857.509999999999</v>
      </c>
      <c r="K774" s="52" t="n">
        <f aca="false">SUM(K768:K771)</f>
        <v>-2786.22</v>
      </c>
      <c r="L774" s="52" t="n">
        <f aca="false">SUM(L768:L771)</f>
        <v>-3686.06000000001</v>
      </c>
      <c r="M774" s="52" t="n">
        <f aca="false">SUM(M768:M771)</f>
        <v>-3197.18</v>
      </c>
      <c r="N774" s="52" t="n">
        <f aca="false">SUM(N768:N771)</f>
        <v>2259.91</v>
      </c>
      <c r="O774" s="52" t="n">
        <f aca="false">SUM(O768:O771)</f>
        <v>-2712.09999999999</v>
      </c>
      <c r="P774" s="52" t="n">
        <f aca="false">SUM(P768:P771)</f>
        <v>-107.009999999993</v>
      </c>
      <c r="Q774" s="52" t="n">
        <f aca="false">SUM(Q768:Q771)</f>
        <v>322.070000000002</v>
      </c>
      <c r="R774" s="52" t="n">
        <f aca="false">SUM(R768:R771)</f>
        <v>22055.636</v>
      </c>
      <c r="S774" s="52" t="n">
        <f aca="false">SUM(S768:S771)</f>
        <v>169.322999999966</v>
      </c>
      <c r="T774" s="52" t="n">
        <f aca="false">SUM(T768:T773)</f>
        <v>272.776999999981</v>
      </c>
      <c r="U774" s="52" t="n">
        <f aca="false">SUM(U768:U773)</f>
        <v>-3228.13199999998</v>
      </c>
      <c r="V774" s="52" t="n">
        <f aca="false">SUM(V768:V773)</f>
        <v>12022.207</v>
      </c>
      <c r="W774" s="52" t="n">
        <f aca="false">SUM(W768:W773)</f>
        <v>995.361000000017</v>
      </c>
      <c r="X774" s="52" t="n">
        <f aca="false">SUM(X768:X773)</f>
        <v>-12956.75</v>
      </c>
      <c r="Y774" s="52" t="n">
        <f aca="false">SUM(Y768:Y773)</f>
        <v>-5661.39900000002</v>
      </c>
      <c r="Z774" s="52" t="n">
        <f aca="false">SUM(Z768:Z773)</f>
        <v>-10214.536</v>
      </c>
      <c r="AA774" s="52" t="n">
        <f aca="false">SUM(AA768:AA773)</f>
        <v>-11340.725</v>
      </c>
      <c r="AB774" s="52" t="n">
        <f aca="false">SUM(AB768:AB773)</f>
        <v>-16269.8559999999</v>
      </c>
      <c r="AC774" s="52" t="n">
        <f aca="false">SUM(AC768:AC773)</f>
        <v>15748.2</v>
      </c>
      <c r="AD774" s="52" t="n">
        <f aca="false">SUM(AD768:AD773)</f>
        <v>8905.10000000001</v>
      </c>
      <c r="AE774" s="52" t="n">
        <f aca="false">SUM(AE768:AE773)</f>
        <v>-5074.50000000002</v>
      </c>
      <c r="AF774" s="52" t="n">
        <f aca="false">SUM(AF768:AF773)</f>
        <v>-3115.29999999999</v>
      </c>
      <c r="AG774" s="52" t="n">
        <f aca="false">SUM(AG768:AG773)</f>
        <v>-28480.1000000001</v>
      </c>
      <c r="AH774" s="52" t="n">
        <f aca="false">SUM(AH768:AH773)</f>
        <v>-21316.3</v>
      </c>
      <c r="AI774" s="52" t="n">
        <f aca="false">SUM(AI768:AI773)</f>
        <v>-15167.7000000002</v>
      </c>
      <c r="AJ774" s="52" t="n">
        <f aca="false">SUM(AJ768:AJ773)</f>
        <v>-16268.5599999999</v>
      </c>
      <c r="AK774" s="52" t="n">
        <f aca="false">SUM(AK768:AK773)</f>
        <v>-21073.1098556571</v>
      </c>
      <c r="AL774" s="52" t="n">
        <f aca="false">SUM(AL768:AL773)</f>
        <v>-23387.6998916829</v>
      </c>
      <c r="AM774" s="53"/>
      <c r="AN774" s="53"/>
      <c r="AO774" s="53"/>
      <c r="AP774" s="53"/>
      <c r="AQ774" s="53"/>
      <c r="AR774" s="53"/>
      <c r="AS774" s="53"/>
      <c r="AT774" s="53"/>
      <c r="AU774" s="53"/>
      <c r="AV774" s="53"/>
      <c r="AW774" s="53"/>
      <c r="AX774" s="53"/>
      <c r="AY774" s="53"/>
    </row>
    <row r="775" customFormat="false" ht="15" hidden="false" customHeight="true" outlineLevel="0" collapsed="false">
      <c r="A775" s="47" t="s">
        <v>755</v>
      </c>
      <c r="B775" s="30"/>
      <c r="C775" s="35" t="n">
        <f aca="false">+C50</f>
        <v>0</v>
      </c>
      <c r="D775" s="35" t="n">
        <f aca="false">+D50</f>
        <v>0</v>
      </c>
      <c r="E775" s="35" t="n">
        <f aca="false">+E50</f>
        <v>0</v>
      </c>
      <c r="F775" s="35" t="n">
        <f aca="false">+F50</f>
        <v>0</v>
      </c>
      <c r="G775" s="35" t="n">
        <f aca="false">+G50</f>
        <v>0</v>
      </c>
      <c r="H775" s="35" t="n">
        <f aca="false">+H50</f>
        <v>0</v>
      </c>
      <c r="I775" s="35" t="n">
        <f aca="false">+I50</f>
        <v>0</v>
      </c>
      <c r="J775" s="35" t="n">
        <f aca="false">+J50</f>
        <v>-54.68</v>
      </c>
      <c r="K775" s="35" t="n">
        <f aca="false">+K50</f>
        <v>-40.43</v>
      </c>
      <c r="L775" s="35" t="n">
        <f aca="false">+L50</f>
        <v>-107.41</v>
      </c>
      <c r="M775" s="35" t="n">
        <f aca="false">+M50</f>
        <v>-95.19</v>
      </c>
      <c r="N775" s="35" t="n">
        <f aca="false">+N50</f>
        <v>358.7584</v>
      </c>
      <c r="O775" s="35" t="n">
        <f aca="false">+O50</f>
        <v>217.15</v>
      </c>
      <c r="P775" s="35" t="n">
        <f aca="false">+P50</f>
        <v>-130.76</v>
      </c>
      <c r="Q775" s="35" t="n">
        <f aca="false">+Q50</f>
        <v>-127.37</v>
      </c>
      <c r="R775" s="35" t="n">
        <f aca="false">+R50+R619</f>
        <v>-551.476</v>
      </c>
      <c r="S775" s="35" t="n">
        <f aca="false">+S50+S619+S620-R619-R620</f>
        <v>569.858</v>
      </c>
      <c r="T775" s="35" t="n">
        <f aca="false">+T50+T619+T620-S619-S620</f>
        <v>-241.717</v>
      </c>
      <c r="U775" s="35" t="n">
        <f aca="false">+U50+U619+U620-T619-T620</f>
        <v>-843.079</v>
      </c>
      <c r="V775" s="35" t="n">
        <f aca="false">+V50+V619+V620-U619-U620</f>
        <v>2873.136</v>
      </c>
      <c r="W775" s="35" t="n">
        <f aca="false">+W50+W619+W620-V619-V620</f>
        <v>5062.516</v>
      </c>
      <c r="X775" s="35" t="n">
        <f aca="false">+X50+X619+X620-W619-W620</f>
        <v>1006.251</v>
      </c>
      <c r="Y775" s="35" t="n">
        <f aca="false">-Y173+X173</f>
        <v>337.481</v>
      </c>
      <c r="Z775" s="35" t="n">
        <f aca="false">-Z173+Y173</f>
        <v>0</v>
      </c>
      <c r="AA775" s="35" t="n">
        <f aca="false">-AA173+Z173</f>
        <v>0</v>
      </c>
      <c r="AB775" s="35" t="n">
        <f aca="false">-AB173+AA173</f>
        <v>0</v>
      </c>
      <c r="AC775" s="35" t="n">
        <f aca="false">-AC173+AB173</f>
        <v>0</v>
      </c>
      <c r="AD775" s="35" t="n">
        <f aca="false">-AD173+AC173</f>
        <v>0</v>
      </c>
      <c r="AE775" s="35" t="n">
        <f aca="false">-AE173+AD173</f>
        <v>0</v>
      </c>
      <c r="AF775" s="35" t="n">
        <f aca="false">-AF173+AE173</f>
        <v>0</v>
      </c>
      <c r="AG775" s="35" t="n">
        <f aca="false">-AG173+AF173</f>
        <v>0</v>
      </c>
      <c r="AH775" s="35" t="n">
        <f aca="false">-AH173+AG173</f>
        <v>0</v>
      </c>
      <c r="AI775" s="35" t="n">
        <f aca="false">-AI173+AH173</f>
        <v>0</v>
      </c>
      <c r="AJ775" s="35" t="n">
        <f aca="false">-AJ173+AI173</f>
        <v>0</v>
      </c>
      <c r="AK775" s="35" t="n">
        <f aca="false">-AK173+AJ173</f>
        <v>0</v>
      </c>
      <c r="AL775" s="35" t="n">
        <f aca="false">-AL173+AK173</f>
        <v>0</v>
      </c>
      <c r="AM775" s="30"/>
      <c r="AN775" s="30"/>
      <c r="AO775" s="30"/>
      <c r="AP775" s="30"/>
      <c r="AQ775" s="30"/>
      <c r="AR775" s="30"/>
      <c r="AS775" s="30"/>
      <c r="AT775" s="30"/>
      <c r="AU775" s="30"/>
      <c r="AV775" s="30"/>
      <c r="AW775" s="30"/>
      <c r="AX775" s="30"/>
      <c r="AY775" s="30"/>
    </row>
    <row r="776" customFormat="false" ht="15" hidden="false" customHeight="true" outlineLevel="0" collapsed="false">
      <c r="A776" s="51" t="s">
        <v>756</v>
      </c>
      <c r="B776" s="53"/>
      <c r="C776" s="52" t="n">
        <f aca="false">C775+C774+C766+C763</f>
        <v>-762.880000000003</v>
      </c>
      <c r="D776" s="52" t="n">
        <f aca="false">D775+D774+D766+D763</f>
        <v>816.279999999999</v>
      </c>
      <c r="E776" s="52" t="n">
        <f aca="false">E775+E774+E766+E763</f>
        <v>-825.660000000003</v>
      </c>
      <c r="F776" s="52" t="n">
        <f aca="false">F775+F774+F766+F763</f>
        <v>39.9000000000033</v>
      </c>
      <c r="G776" s="52" t="n">
        <f aca="false">G775+G774+G766+G763</f>
        <v>-40.320000000002</v>
      </c>
      <c r="H776" s="52" t="n">
        <f aca="false">H775+H774+H766+H763</f>
        <v>596.449999999995</v>
      </c>
      <c r="I776" s="52" t="n">
        <f aca="false">I775+I774+I766+I763</f>
        <v>-248.719999999996</v>
      </c>
      <c r="J776" s="52" t="n">
        <f aca="false">J775+J774+J766+J763</f>
        <v>1276.36</v>
      </c>
      <c r="K776" s="52" t="n">
        <f aca="false">K775+K774+K766+K763</f>
        <v>1099.74</v>
      </c>
      <c r="L776" s="52" t="n">
        <f aca="false">L775+L774+L766+L763</f>
        <v>-529.709999999997</v>
      </c>
      <c r="M776" s="52" t="n">
        <f aca="false">M775+M774+M766+M763</f>
        <v>1030.51</v>
      </c>
      <c r="N776" s="52" t="n">
        <f aca="false">N775+N774+N766+N763</f>
        <v>4717.08</v>
      </c>
      <c r="O776" s="52" t="n">
        <f aca="false">O775+O774+O766+O763</f>
        <v>-1938.06</v>
      </c>
      <c r="P776" s="52" t="n">
        <f aca="false">P775+P774+P766+P763</f>
        <v>-1679.36999999999</v>
      </c>
      <c r="Q776" s="52" t="n">
        <f aca="false">Q775+Q774+Q766+Q763</f>
        <v>164.310000000001</v>
      </c>
      <c r="R776" s="52" t="n">
        <f aca="false">R775+R774+R766+R763</f>
        <v>-3632.864</v>
      </c>
      <c r="S776" s="52" t="n">
        <f aca="false">S775+S774+S766+S763</f>
        <v>4308.36899999999</v>
      </c>
      <c r="T776" s="52" t="n">
        <f aca="false">T775+T774+T766+T763</f>
        <v>-3393.93300000001</v>
      </c>
      <c r="U776" s="52" t="n">
        <f aca="false">U775+U774+U766+U763</f>
        <v>-1469.71399999997</v>
      </c>
      <c r="V776" s="52" t="n">
        <f aca="false">V775+V774+V766+V763</f>
        <v>-186.134000000021</v>
      </c>
      <c r="W776" s="52" t="n">
        <f aca="false">W775+W774+W766+W763</f>
        <v>-22.5179999999968</v>
      </c>
      <c r="X776" s="52" t="n">
        <f aca="false">X775+X774+X766+X763</f>
        <v>7395.97299999997</v>
      </c>
      <c r="Y776" s="52" t="n">
        <f aca="false">Y775+Y774+Y766+Y763</f>
        <v>8418.43500000001</v>
      </c>
      <c r="Z776" s="52" t="n">
        <f aca="false">Z775+Z774+Z766+Z763</f>
        <v>-6811.566</v>
      </c>
      <c r="AA776" s="52" t="n">
        <f aca="false">AA775+AA774+AA766+AA763</f>
        <v>924.296000000009</v>
      </c>
      <c r="AB776" s="52" t="n">
        <f aca="false">AB775+AB774+AB766+AB763</f>
        <v>3691.85599999998</v>
      </c>
      <c r="AC776" s="52" t="n">
        <f aca="false">AC775+AC774+AC766+AC763</f>
        <v>-511.2</v>
      </c>
      <c r="AD776" s="52" t="n">
        <f aca="false">AD775+AD774+AD766+AD763</f>
        <v>-4995.19999999999</v>
      </c>
      <c r="AE776" s="52" t="n">
        <f aca="false">AE775+AE774+AE766+AE763</f>
        <v>2240.09999999998</v>
      </c>
      <c r="AF776" s="52" t="n">
        <f aca="false">AF775+AF774+AF766+AF763</f>
        <v>-5456.69999999998</v>
      </c>
      <c r="AG776" s="52" t="n">
        <f aca="false">AG775+AG774+AG766+AG763</f>
        <v>29368.9</v>
      </c>
      <c r="AH776" s="52" t="n">
        <f aca="false">AH775+AH774+AH766+AH763</f>
        <v>-7322.29999999998</v>
      </c>
      <c r="AI776" s="52" t="n">
        <f aca="false">AI775+AI774+AI766+AI763</f>
        <v>2711.00000000002</v>
      </c>
      <c r="AJ776" s="52" t="n">
        <f aca="false">AJ775+AJ774+AJ766+AJ763</f>
        <v>6647.13356835098</v>
      </c>
      <c r="AK776" s="52" t="n">
        <f aca="false">AK775+AK774+AK766+AK763</f>
        <v>19738.3914254535</v>
      </c>
      <c r="AL776" s="52" t="n">
        <f aca="false">AL775+AL774+AL766+AL763</f>
        <v>22508.1920654148</v>
      </c>
      <c r="AM776" s="53"/>
      <c r="AN776" s="53"/>
      <c r="AO776" s="53"/>
      <c r="AP776" s="53"/>
      <c r="AQ776" s="53"/>
      <c r="AR776" s="53"/>
      <c r="AS776" s="53"/>
      <c r="AT776" s="53"/>
      <c r="AU776" s="53"/>
      <c r="AV776" s="53"/>
      <c r="AW776" s="53"/>
      <c r="AX776" s="53"/>
      <c r="AY776" s="53"/>
    </row>
    <row r="777" customFormat="false" ht="15" hidden="false" customHeight="true" outlineLevel="0" collapsed="false">
      <c r="A777" s="47" t="s">
        <v>757</v>
      </c>
      <c r="B777" s="30"/>
      <c r="C777" s="35" t="n">
        <f aca="false">+B658</f>
        <v>797.86</v>
      </c>
      <c r="D777" s="35" t="n">
        <f aca="false">+C658</f>
        <v>34.77</v>
      </c>
      <c r="E777" s="35" t="n">
        <f aca="false">+D658</f>
        <v>851.2</v>
      </c>
      <c r="F777" s="35" t="n">
        <f aca="false">+E658</f>
        <v>25.52</v>
      </c>
      <c r="G777" s="35" t="n">
        <f aca="false">+F658</f>
        <v>65.42</v>
      </c>
      <c r="H777" s="35" t="n">
        <f aca="false">+G658</f>
        <v>25.11</v>
      </c>
      <c r="I777" s="35" t="n">
        <f aca="false">+H658</f>
        <v>621.55</v>
      </c>
      <c r="J777" s="35" t="n">
        <f aca="false">+I658</f>
        <v>372.84</v>
      </c>
      <c r="K777" s="35" t="n">
        <f aca="false">+J658</f>
        <v>1649.2</v>
      </c>
      <c r="L777" s="35" t="n">
        <f aca="false">+K658</f>
        <v>2748.94</v>
      </c>
      <c r="M777" s="35" t="n">
        <f aca="false">+L658</f>
        <v>2219.23</v>
      </c>
      <c r="N777" s="35" t="n">
        <f aca="false">+M658</f>
        <v>3249.74</v>
      </c>
      <c r="O777" s="35" t="n">
        <f aca="false">+N658</f>
        <v>7966.82</v>
      </c>
      <c r="P777" s="35" t="n">
        <f aca="false">+O658</f>
        <v>6028.76</v>
      </c>
      <c r="Q777" s="35" t="n">
        <f aca="false">+P658</f>
        <v>4349.39</v>
      </c>
      <c r="R777" s="35" t="n">
        <f aca="false">+Q658</f>
        <v>4513.7</v>
      </c>
      <c r="S777" s="35" t="n">
        <f aca="false">+R658</f>
        <v>880.836</v>
      </c>
      <c r="T777" s="35" t="n">
        <f aca="false">+S658</f>
        <v>5189.205</v>
      </c>
      <c r="U777" s="35" t="n">
        <f aca="false">+T658</f>
        <v>1795.272</v>
      </c>
      <c r="V777" s="35" t="n">
        <f aca="false">+U658</f>
        <v>325.558</v>
      </c>
      <c r="W777" s="35" t="n">
        <f aca="false">+V658</f>
        <v>139.424</v>
      </c>
      <c r="X777" s="35" t="n">
        <f aca="false">+W658</f>
        <v>116.906</v>
      </c>
      <c r="Y777" s="35" t="n">
        <f aca="false">+X658</f>
        <v>7512.879</v>
      </c>
      <c r="Z777" s="35" t="n">
        <f aca="false">+Y658</f>
        <v>15931.314</v>
      </c>
      <c r="AA777" s="35" t="n">
        <f aca="false">+Z658</f>
        <v>9119.748</v>
      </c>
      <c r="AB777" s="35" t="n">
        <f aca="false">+AA658</f>
        <v>10044.044</v>
      </c>
      <c r="AC777" s="35" t="n">
        <f aca="false">+AB658</f>
        <v>13735.9</v>
      </c>
      <c r="AD777" s="35" t="n">
        <f aca="false">+AC658</f>
        <v>13224.7</v>
      </c>
      <c r="AE777" s="35" t="n">
        <f aca="false">+AD658</f>
        <v>8229.5</v>
      </c>
      <c r="AF777" s="35" t="n">
        <f aca="false">+AE658</f>
        <v>10469.6</v>
      </c>
      <c r="AG777" s="35" t="n">
        <f aca="false">+AF658</f>
        <v>5012.9</v>
      </c>
      <c r="AH777" s="35" t="n">
        <f aca="false">+AG658</f>
        <v>34381.8</v>
      </c>
      <c r="AI777" s="35" t="n">
        <f aca="false">+AH658</f>
        <v>27059.5</v>
      </c>
      <c r="AJ777" s="35" t="n">
        <f aca="false">+AI658</f>
        <v>29770.5</v>
      </c>
      <c r="AK777" s="35" t="n">
        <f aca="false">+AJ658</f>
        <v>36417.633568351</v>
      </c>
      <c r="AL777" s="35" t="n">
        <f aca="false">+AK658</f>
        <v>56156.0249938045</v>
      </c>
      <c r="AM777" s="30"/>
      <c r="AN777" s="30"/>
      <c r="AO777" s="30"/>
      <c r="AP777" s="30"/>
      <c r="AQ777" s="30"/>
      <c r="AR777" s="30"/>
      <c r="AS777" s="30"/>
      <c r="AT777" s="30"/>
      <c r="AU777" s="30"/>
      <c r="AV777" s="30"/>
      <c r="AW777" s="30"/>
      <c r="AX777" s="30"/>
      <c r="AY777" s="30"/>
    </row>
    <row r="778" customFormat="false" ht="15" hidden="false" customHeight="true" outlineLevel="0" collapsed="false">
      <c r="A778" s="64" t="s">
        <v>758</v>
      </c>
      <c r="B778" s="66"/>
      <c r="C778" s="65" t="n">
        <f aca="false">+C658</f>
        <v>34.77</v>
      </c>
      <c r="D778" s="65" t="n">
        <f aca="false">+D658</f>
        <v>851.2</v>
      </c>
      <c r="E778" s="65" t="n">
        <f aca="false">+E658</f>
        <v>25.52</v>
      </c>
      <c r="F778" s="65" t="n">
        <f aca="false">+F658</f>
        <v>65.42</v>
      </c>
      <c r="G778" s="65" t="n">
        <f aca="false">+G658</f>
        <v>25.11</v>
      </c>
      <c r="H778" s="65" t="n">
        <f aca="false">+H658</f>
        <v>621.55</v>
      </c>
      <c r="I778" s="65" t="n">
        <f aca="false">+I658</f>
        <v>372.84</v>
      </c>
      <c r="J778" s="65" t="n">
        <f aca="false">+J658</f>
        <v>1649.2</v>
      </c>
      <c r="K778" s="65" t="n">
        <f aca="false">+K658</f>
        <v>2748.94</v>
      </c>
      <c r="L778" s="65" t="n">
        <f aca="false">+L658</f>
        <v>2219.23</v>
      </c>
      <c r="M778" s="65" t="n">
        <f aca="false">+M658</f>
        <v>3249.74</v>
      </c>
      <c r="N778" s="65" t="n">
        <f aca="false">+N658</f>
        <v>7966.82</v>
      </c>
      <c r="O778" s="65" t="n">
        <f aca="false">+O658</f>
        <v>6028.76</v>
      </c>
      <c r="P778" s="65" t="n">
        <f aca="false">+P658</f>
        <v>4349.39</v>
      </c>
      <c r="Q778" s="65" t="n">
        <f aca="false">+Q658</f>
        <v>4513.7</v>
      </c>
      <c r="R778" s="65" t="n">
        <f aca="false">+R658</f>
        <v>880.836</v>
      </c>
      <c r="S778" s="65" t="n">
        <f aca="false">+S658</f>
        <v>5189.205</v>
      </c>
      <c r="T778" s="65" t="n">
        <f aca="false">+T658</f>
        <v>1795.272</v>
      </c>
      <c r="U778" s="65" t="n">
        <f aca="false">+U658</f>
        <v>325.558</v>
      </c>
      <c r="V778" s="65" t="n">
        <f aca="false">+V658</f>
        <v>139.424</v>
      </c>
      <c r="W778" s="65" t="n">
        <f aca="false">+W658</f>
        <v>116.906</v>
      </c>
      <c r="X778" s="65" t="n">
        <f aca="false">+X658</f>
        <v>7512.879</v>
      </c>
      <c r="Y778" s="65" t="n">
        <f aca="false">+Y658</f>
        <v>15931.314</v>
      </c>
      <c r="Z778" s="65" t="n">
        <f aca="false">+Z658</f>
        <v>9119.748</v>
      </c>
      <c r="AA778" s="65" t="n">
        <f aca="false">+AA658</f>
        <v>10044.044</v>
      </c>
      <c r="AB778" s="65" t="n">
        <f aca="false">+AB658</f>
        <v>13735.9</v>
      </c>
      <c r="AC778" s="65" t="n">
        <f aca="false">+AC658</f>
        <v>13224.7</v>
      </c>
      <c r="AD778" s="65" t="n">
        <f aca="false">+AD658</f>
        <v>8229.5</v>
      </c>
      <c r="AE778" s="65" t="n">
        <f aca="false">+AE658</f>
        <v>10469.6</v>
      </c>
      <c r="AF778" s="65" t="n">
        <f aca="false">+AF658</f>
        <v>5012.9</v>
      </c>
      <c r="AG778" s="65" t="n">
        <f aca="false">+AG658</f>
        <v>34381.8</v>
      </c>
      <c r="AH778" s="65" t="n">
        <f aca="false">+AH658</f>
        <v>27059.5</v>
      </c>
      <c r="AI778" s="65" t="n">
        <f aca="false">+AI658</f>
        <v>29770.5</v>
      </c>
      <c r="AJ778" s="65" t="n">
        <f aca="false">+AJ658</f>
        <v>36417.633568351</v>
      </c>
      <c r="AK778" s="65" t="n">
        <f aca="false">+AK658</f>
        <v>56156.0249938045</v>
      </c>
      <c r="AL778" s="65" t="n">
        <f aca="false">+AL658</f>
        <v>78664.2170592194</v>
      </c>
      <c r="AM778" s="66"/>
      <c r="AN778" s="66"/>
      <c r="AO778" s="66"/>
      <c r="AP778" s="66"/>
      <c r="AQ778" s="66"/>
      <c r="AR778" s="66"/>
      <c r="AS778" s="66"/>
      <c r="AT778" s="66"/>
      <c r="AU778" s="66"/>
      <c r="AV778" s="66"/>
      <c r="AW778" s="66"/>
      <c r="AX778" s="66"/>
      <c r="AY778" s="66"/>
    </row>
    <row r="779" customFormat="false" ht="15" hidden="false" customHeight="true" outlineLevel="0" collapsed="false">
      <c r="A779" s="29" t="s">
        <v>759</v>
      </c>
      <c r="B779" s="30"/>
      <c r="C779" s="31" t="n">
        <f aca="false">C777+C776</f>
        <v>34.9799999999974</v>
      </c>
      <c r="D779" s="31" t="n">
        <f aca="false">D777+D776</f>
        <v>851.049999999999</v>
      </c>
      <c r="E779" s="31" t="n">
        <f aca="false">E777+E776</f>
        <v>25.5399999999968</v>
      </c>
      <c r="F779" s="31" t="n">
        <f aca="false">F777+F776</f>
        <v>65.4200000000033</v>
      </c>
      <c r="G779" s="31" t="n">
        <f aca="false">G777+G776</f>
        <v>25.099999999998</v>
      </c>
      <c r="H779" s="31" t="n">
        <f aca="false">H777+H776</f>
        <v>621.559999999995</v>
      </c>
      <c r="I779" s="31" t="n">
        <f aca="false">I777+I776</f>
        <v>372.830000000004</v>
      </c>
      <c r="J779" s="31" t="n">
        <f aca="false">J777+J776</f>
        <v>1649.2</v>
      </c>
      <c r="K779" s="31" t="n">
        <f aca="false">K777+K776</f>
        <v>2748.94</v>
      </c>
      <c r="L779" s="31" t="n">
        <f aca="false">L777+L776</f>
        <v>2219.23</v>
      </c>
      <c r="M779" s="31" t="n">
        <f aca="false">M777+M776</f>
        <v>3249.74</v>
      </c>
      <c r="N779" s="31" t="n">
        <f aca="false">N777+N776</f>
        <v>7966.82</v>
      </c>
      <c r="O779" s="31" t="n">
        <f aca="false">O777+O776</f>
        <v>6028.76</v>
      </c>
      <c r="P779" s="31" t="n">
        <f aca="false">P777+P776</f>
        <v>4349.39000000001</v>
      </c>
      <c r="Q779" s="31" t="n">
        <f aca="false">Q777+Q776</f>
        <v>4513.7</v>
      </c>
      <c r="R779" s="31" t="n">
        <f aca="false">R777+R776</f>
        <v>880.835999999996</v>
      </c>
      <c r="S779" s="31" t="n">
        <f aca="false">S777+S776</f>
        <v>5189.20499999999</v>
      </c>
      <c r="T779" s="31" t="n">
        <f aca="false">T777+T776</f>
        <v>1795.27199999999</v>
      </c>
      <c r="U779" s="31" t="n">
        <f aca="false">U777+U776</f>
        <v>325.558000000027</v>
      </c>
      <c r="V779" s="31" t="n">
        <f aca="false">V777+V776</f>
        <v>139.423999999979</v>
      </c>
      <c r="W779" s="31" t="n">
        <f aca="false">W777+W776</f>
        <v>116.906000000003</v>
      </c>
      <c r="X779" s="31" t="n">
        <f aca="false">X777+X776</f>
        <v>7512.87899999997</v>
      </c>
      <c r="Y779" s="31" t="n">
        <f aca="false">Y777+Y776</f>
        <v>15931.314</v>
      </c>
      <c r="Z779" s="31" t="n">
        <f aca="false">Z777+Z776</f>
        <v>9119.748</v>
      </c>
      <c r="AA779" s="31" t="n">
        <f aca="false">AA777+AA776</f>
        <v>10044.044</v>
      </c>
      <c r="AB779" s="31" t="n">
        <f aca="false">AB777+AB776</f>
        <v>13735.9</v>
      </c>
      <c r="AC779" s="31" t="n">
        <f aca="false">AC777+AC776</f>
        <v>13224.7</v>
      </c>
      <c r="AD779" s="31" t="n">
        <f aca="false">AD777+AD776</f>
        <v>8229.50000000001</v>
      </c>
      <c r="AE779" s="31" t="n">
        <f aca="false">AE777+AE776</f>
        <v>10469.6</v>
      </c>
      <c r="AF779" s="31" t="n">
        <f aca="false">AF777+AF776</f>
        <v>5012.90000000003</v>
      </c>
      <c r="AG779" s="31" t="n">
        <f aca="false">AG777+AG776</f>
        <v>34381.8</v>
      </c>
      <c r="AH779" s="31" t="n">
        <f aca="false">AH777+AH776</f>
        <v>27059.5</v>
      </c>
      <c r="AI779" s="31" t="n">
        <f aca="false">AI777+AI776</f>
        <v>29770.5</v>
      </c>
      <c r="AJ779" s="31" t="n">
        <f aca="false">AJ777+AJ776</f>
        <v>36417.633568351</v>
      </c>
      <c r="AK779" s="31" t="n">
        <f aca="false">AK777+AK776</f>
        <v>56156.0249938045</v>
      </c>
      <c r="AL779" s="31" t="n">
        <f aca="false">AL777+AL776</f>
        <v>78664.2170592193</v>
      </c>
      <c r="AM779" s="30"/>
      <c r="AN779" s="30"/>
      <c r="AO779" s="30"/>
      <c r="AP779" s="30"/>
      <c r="AQ779" s="30"/>
      <c r="AR779" s="30"/>
      <c r="AS779" s="30"/>
      <c r="AT779" s="30"/>
      <c r="AU779" s="30"/>
      <c r="AV779" s="30"/>
      <c r="AW779" s="30"/>
      <c r="AX779" s="30"/>
      <c r="AY779" s="30"/>
    </row>
    <row r="780" customFormat="false" ht="15" hidden="false" customHeight="true" outlineLevel="0" collapsed="false">
      <c r="A780" s="29" t="s">
        <v>458</v>
      </c>
      <c r="B780" s="43"/>
      <c r="C780" s="59" t="n">
        <f aca="false">C778-C779</f>
        <v>-0.2099999999974</v>
      </c>
      <c r="D780" s="59" t="n">
        <f aca="false">D778-D779</f>
        <v>0.150000000000773</v>
      </c>
      <c r="E780" s="59" t="n">
        <f aca="false">E778-E779</f>
        <v>-0.0199999999967808</v>
      </c>
      <c r="F780" s="59" t="n">
        <f aca="false">F778-F779</f>
        <v>-3.26849658449646E-012</v>
      </c>
      <c r="G780" s="59" t="n">
        <f aca="false">G778-G779</f>
        <v>0.0100000000019804</v>
      </c>
      <c r="H780" s="59" t="n">
        <f aca="false">H778-H779</f>
        <v>-0.00999999999532975</v>
      </c>
      <c r="I780" s="59" t="n">
        <f aca="false">I778-I779</f>
        <v>0.0099999999961824</v>
      </c>
      <c r="J780" s="59" t="n">
        <f aca="false">J778-J779</f>
        <v>0</v>
      </c>
      <c r="K780" s="59" t="n">
        <f aca="false">K778-K779</f>
        <v>0</v>
      </c>
      <c r="L780" s="59" t="n">
        <f aca="false">L778-L779</f>
        <v>0</v>
      </c>
      <c r="M780" s="59" t="n">
        <f aca="false">M778-M779</f>
        <v>0</v>
      </c>
      <c r="N780" s="59" t="n">
        <f aca="false">N778-N779</f>
        <v>0</v>
      </c>
      <c r="O780" s="59" t="n">
        <f aca="false">O778-O779</f>
        <v>0</v>
      </c>
      <c r="P780" s="59" t="n">
        <f aca="false">P778-P779</f>
        <v>0</v>
      </c>
      <c r="Q780" s="59" t="n">
        <f aca="false">Q778-Q779</f>
        <v>0</v>
      </c>
      <c r="R780" s="59" t="n">
        <f aca="false">R778-R779</f>
        <v>4.32009983342141E-012</v>
      </c>
      <c r="S780" s="59" t="n">
        <f aca="false">S778-S779</f>
        <v>0</v>
      </c>
      <c r="T780" s="59" t="n">
        <f aca="false">T778-T779</f>
        <v>1.18234311230481E-011</v>
      </c>
      <c r="U780" s="59" t="n">
        <f aca="false">U778-U779</f>
        <v>-2.72848410531878E-011</v>
      </c>
      <c r="V780" s="59" t="n">
        <f aca="false">V778-V779</f>
        <v>2.09467998502078E-011</v>
      </c>
      <c r="W780" s="59" t="n">
        <f aca="false">W778-W779</f>
        <v>-3.15480974677485E-012</v>
      </c>
      <c r="X780" s="59" t="n">
        <f aca="false">X778-X779</f>
        <v>2.72848410531878E-011</v>
      </c>
      <c r="Y780" s="59" t="n">
        <f aca="false">Y778-Y779</f>
        <v>0</v>
      </c>
      <c r="Z780" s="59" t="n">
        <f aca="false">Z778-Z779</f>
        <v>0</v>
      </c>
      <c r="AA780" s="59" t="n">
        <f aca="false">AA778-AA779</f>
        <v>0</v>
      </c>
      <c r="AB780" s="59" t="n">
        <f aca="false">AB778-AB779</f>
        <v>0</v>
      </c>
      <c r="AC780" s="59" t="n">
        <f aca="false">AC778-AC779</f>
        <v>0</v>
      </c>
      <c r="AD780" s="59" t="n">
        <f aca="false">AD778-AD779</f>
        <v>0</v>
      </c>
      <c r="AE780" s="59" t="n">
        <f aca="false">AE778-AE779</f>
        <v>0</v>
      </c>
      <c r="AF780" s="59" t="n">
        <f aca="false">AF778-AF779</f>
        <v>-2.45563569478691E-011</v>
      </c>
      <c r="AG780" s="59" t="n">
        <f aca="false">AG778-AG779</f>
        <v>0</v>
      </c>
      <c r="AH780" s="59" t="n">
        <f aca="false">AH778-AH779</f>
        <v>0</v>
      </c>
      <c r="AI780" s="59" t="n">
        <f aca="false">AI778-AI779</f>
        <v>0</v>
      </c>
      <c r="AJ780" s="59" t="n">
        <f aca="false">AJ778-AJ779</f>
        <v>0</v>
      </c>
      <c r="AK780" s="59" t="n">
        <f aca="false">AK778-AK779</f>
        <v>0</v>
      </c>
      <c r="AL780" s="59" t="n">
        <f aca="false">AL778-AL779</f>
        <v>0</v>
      </c>
      <c r="AM780" s="43"/>
      <c r="AN780" s="43"/>
      <c r="AO780" s="43"/>
      <c r="AP780" s="43"/>
      <c r="AQ780" s="43"/>
      <c r="AR780" s="43"/>
      <c r="AS780" s="43"/>
      <c r="AT780" s="43"/>
      <c r="AU780" s="43"/>
      <c r="AV780" s="43"/>
      <c r="AW780" s="43"/>
      <c r="AX780" s="43"/>
      <c r="AY780" s="43"/>
    </row>
  </sheetData>
  <mergeCells count="2">
    <mergeCell ref="A147:R147"/>
    <mergeCell ref="A153:S1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N1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20" width="40"/>
    <col collapsed="false" customWidth="true" hidden="false" outlineLevel="0" max="50" min="2" style="20" width="11.5"/>
    <col collapsed="false" customWidth="true" hidden="false" outlineLevel="0" max="51" min="51" style="20" width="2.5"/>
    <col collapsed="false" customWidth="true" hidden="false" outlineLevel="0" max="81" min="52" style="20" width="11.5"/>
    <col collapsed="false" customWidth="true" hidden="false" outlineLevel="0" max="82" min="82" style="20" width="2.5"/>
    <col collapsed="false" customWidth="true" hidden="false" outlineLevel="0" max="85" min="83" style="20" width="11.5"/>
    <col collapsed="false" customWidth="true" hidden="false" outlineLevel="0" max="86" min="86" style="20" width="2.5"/>
    <col collapsed="false" customWidth="true" hidden="false" outlineLevel="0" max="92" min="87" style="20" width="11.5"/>
  </cols>
  <sheetData>
    <row r="1" customFormat="false" ht="15.75" hidden="false" customHeight="true" outlineLevel="0" collapsed="false">
      <c r="A1" s="105" t="s">
        <v>760</v>
      </c>
    </row>
    <row r="2" customFormat="false" ht="15" hidden="false" customHeight="true" outlineLevel="0" collapsed="false">
      <c r="A2" s="106" t="s">
        <v>761</v>
      </c>
    </row>
    <row r="3" customFormat="false" ht="15" hidden="false" customHeight="true" outlineLevel="0" collapsed="false">
      <c r="B3" s="107" t="s">
        <v>762</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c r="AU3" s="107"/>
      <c r="AV3" s="107"/>
      <c r="AW3" s="107"/>
      <c r="AX3" s="107"/>
      <c r="AZ3" s="108" t="s">
        <v>763</v>
      </c>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E3" s="109" t="s">
        <v>764</v>
      </c>
      <c r="CF3" s="109"/>
      <c r="CG3" s="109"/>
      <c r="CI3" s="110" t="s">
        <v>765</v>
      </c>
      <c r="CJ3" s="110"/>
      <c r="CK3" s="110"/>
      <c r="CL3" s="110"/>
      <c r="CM3" s="110"/>
      <c r="CN3" s="110"/>
    </row>
    <row r="4" customFormat="false" ht="15" hidden="false" customHeight="true" outlineLevel="0" collapsed="false">
      <c r="A4" s="47" t="s">
        <v>766</v>
      </c>
      <c r="B4" s="111" t="s">
        <v>767</v>
      </c>
      <c r="C4" s="111" t="s">
        <v>767</v>
      </c>
      <c r="D4" s="111" t="s">
        <v>767</v>
      </c>
      <c r="E4" s="111" t="s">
        <v>767</v>
      </c>
      <c r="F4" s="111" t="s">
        <v>768</v>
      </c>
      <c r="G4" s="111" t="s">
        <v>768</v>
      </c>
      <c r="H4" s="111" t="s">
        <v>768</v>
      </c>
      <c r="I4" s="111" t="s">
        <v>768</v>
      </c>
      <c r="J4" s="111" t="s">
        <v>769</v>
      </c>
      <c r="K4" s="111" t="s">
        <v>769</v>
      </c>
      <c r="L4" s="111" t="s">
        <v>769</v>
      </c>
      <c r="M4" s="111" t="s">
        <v>769</v>
      </c>
      <c r="N4" s="111" t="s">
        <v>769</v>
      </c>
      <c r="O4" s="111" t="s">
        <v>769</v>
      </c>
      <c r="P4" s="111" t="s">
        <v>231</v>
      </c>
      <c r="Q4" s="111" t="s">
        <v>231</v>
      </c>
      <c r="R4" s="111" t="s">
        <v>231</v>
      </c>
      <c r="S4" s="111" t="s">
        <v>231</v>
      </c>
      <c r="T4" s="111" t="s">
        <v>231</v>
      </c>
      <c r="U4" s="111" t="s">
        <v>231</v>
      </c>
      <c r="V4" s="111" t="s">
        <v>232</v>
      </c>
      <c r="W4" s="111" t="s">
        <v>232</v>
      </c>
      <c r="X4" s="111" t="s">
        <v>232</v>
      </c>
      <c r="Y4" s="111" t="s">
        <v>232</v>
      </c>
      <c r="Z4" s="111" t="s">
        <v>233</v>
      </c>
      <c r="AA4" s="111" t="s">
        <v>233</v>
      </c>
      <c r="AB4" s="111" t="s">
        <v>233</v>
      </c>
      <c r="AC4" s="111" t="s">
        <v>233</v>
      </c>
      <c r="AD4" s="111" t="s">
        <v>234</v>
      </c>
      <c r="AE4" s="111" t="s">
        <v>234</v>
      </c>
      <c r="AF4" s="111" t="s">
        <v>234</v>
      </c>
      <c r="AG4" s="111" t="s">
        <v>234</v>
      </c>
      <c r="AH4" s="111" t="s">
        <v>235</v>
      </c>
      <c r="AI4" s="111" t="s">
        <v>235</v>
      </c>
      <c r="AJ4" s="111" t="s">
        <v>235</v>
      </c>
      <c r="AK4" s="111" t="s">
        <v>235</v>
      </c>
      <c r="AL4" s="111" t="s">
        <v>236</v>
      </c>
      <c r="AM4" s="111" t="s">
        <v>236</v>
      </c>
      <c r="AN4" s="111" t="s">
        <v>236</v>
      </c>
      <c r="AO4" s="111" t="s">
        <v>236</v>
      </c>
      <c r="AP4" s="111" t="s">
        <v>237</v>
      </c>
      <c r="AQ4" s="111" t="s">
        <v>237</v>
      </c>
      <c r="AR4" s="111" t="s">
        <v>237</v>
      </c>
      <c r="AS4" s="111" t="s">
        <v>237</v>
      </c>
      <c r="AT4" s="111" t="s">
        <v>238</v>
      </c>
      <c r="AU4" s="111" t="s">
        <v>238</v>
      </c>
      <c r="AV4" s="111" t="s">
        <v>238</v>
      </c>
      <c r="AW4" s="111" t="s">
        <v>238</v>
      </c>
      <c r="AX4" s="111" t="s">
        <v>239</v>
      </c>
      <c r="AZ4" s="112" t="s">
        <v>231</v>
      </c>
      <c r="BA4" s="112" t="s">
        <v>232</v>
      </c>
      <c r="BB4" s="112" t="s">
        <v>232</v>
      </c>
      <c r="BC4" s="112" t="s">
        <v>232</v>
      </c>
      <c r="BD4" s="112" t="s">
        <v>232</v>
      </c>
      <c r="BE4" s="112" t="s">
        <v>233</v>
      </c>
      <c r="BF4" s="112" t="s">
        <v>233</v>
      </c>
      <c r="BG4" s="112" t="s">
        <v>233</v>
      </c>
      <c r="BH4" s="112" t="s">
        <v>233</v>
      </c>
      <c r="BI4" s="112" t="s">
        <v>234</v>
      </c>
      <c r="BJ4" s="112" t="s">
        <v>234</v>
      </c>
      <c r="BK4" s="112" t="s">
        <v>234</v>
      </c>
      <c r="BL4" s="112" t="s">
        <v>234</v>
      </c>
      <c r="BM4" s="112" t="s">
        <v>235</v>
      </c>
      <c r="BN4" s="112" t="s">
        <v>235</v>
      </c>
      <c r="BO4" s="112" t="s">
        <v>235</v>
      </c>
      <c r="BP4" s="112" t="s">
        <v>235</v>
      </c>
      <c r="BQ4" s="112" t="s">
        <v>236</v>
      </c>
      <c r="BR4" s="112" t="s">
        <v>236</v>
      </c>
      <c r="BS4" s="112" t="s">
        <v>236</v>
      </c>
      <c r="BT4" s="112" t="s">
        <v>236</v>
      </c>
      <c r="BU4" s="112" t="s">
        <v>237</v>
      </c>
      <c r="BV4" s="112" t="s">
        <v>237</v>
      </c>
      <c r="BW4" s="112" t="s">
        <v>237</v>
      </c>
      <c r="BX4" s="112" t="s">
        <v>237</v>
      </c>
      <c r="BY4" s="112" t="s">
        <v>238</v>
      </c>
      <c r="BZ4" s="112" t="s">
        <v>238</v>
      </c>
      <c r="CA4" s="112" t="s">
        <v>238</v>
      </c>
      <c r="CB4" s="112" t="s">
        <v>238</v>
      </c>
      <c r="CC4" s="112" t="s">
        <v>239</v>
      </c>
      <c r="CE4" s="113" t="s">
        <v>767</v>
      </c>
      <c r="CF4" s="113" t="s">
        <v>768</v>
      </c>
      <c r="CG4" s="113" t="s">
        <v>770</v>
      </c>
      <c r="CI4" s="114"/>
      <c r="CJ4" s="114" t="s">
        <v>238</v>
      </c>
      <c r="CK4" s="114"/>
      <c r="CL4" s="114"/>
      <c r="CM4" s="114"/>
      <c r="CN4" s="114"/>
    </row>
    <row r="5" customFormat="false" ht="15" hidden="false" customHeight="true" outlineLevel="0" collapsed="false">
      <c r="A5" s="47" t="s">
        <v>771</v>
      </c>
      <c r="B5" s="111" t="s">
        <v>772</v>
      </c>
      <c r="C5" s="111" t="s">
        <v>773</v>
      </c>
      <c r="D5" s="111" t="s">
        <v>774</v>
      </c>
      <c r="E5" s="111" t="s">
        <v>775</v>
      </c>
      <c r="F5" s="111" t="s">
        <v>772</v>
      </c>
      <c r="G5" s="111" t="s">
        <v>773</v>
      </c>
      <c r="H5" s="111" t="s">
        <v>774</v>
      </c>
      <c r="I5" s="111" t="s">
        <v>775</v>
      </c>
      <c r="J5" s="111" t="s">
        <v>772</v>
      </c>
      <c r="K5" s="111" t="s">
        <v>773</v>
      </c>
      <c r="L5" s="111" t="s">
        <v>774</v>
      </c>
      <c r="M5" s="111" t="s">
        <v>776</v>
      </c>
      <c r="N5" s="111" t="s">
        <v>775</v>
      </c>
      <c r="O5" s="111" t="s">
        <v>777</v>
      </c>
      <c r="P5" s="111" t="s">
        <v>772</v>
      </c>
      <c r="Q5" s="111" t="s">
        <v>778</v>
      </c>
      <c r="R5" s="111" t="s">
        <v>773</v>
      </c>
      <c r="S5" s="111" t="s">
        <v>779</v>
      </c>
      <c r="T5" s="111" t="s">
        <v>774</v>
      </c>
      <c r="U5" s="111" t="s">
        <v>775</v>
      </c>
      <c r="V5" s="111" t="s">
        <v>772</v>
      </c>
      <c r="W5" s="111" t="s">
        <v>773</v>
      </c>
      <c r="X5" s="111" t="s">
        <v>774</v>
      </c>
      <c r="Y5" s="111" t="s">
        <v>775</v>
      </c>
      <c r="Z5" s="111" t="s">
        <v>772</v>
      </c>
      <c r="AA5" s="111" t="s">
        <v>773</v>
      </c>
      <c r="AB5" s="111" t="s">
        <v>774</v>
      </c>
      <c r="AC5" s="111" t="s">
        <v>775</v>
      </c>
      <c r="AD5" s="111" t="s">
        <v>772</v>
      </c>
      <c r="AE5" s="111" t="s">
        <v>773</v>
      </c>
      <c r="AF5" s="111" t="s">
        <v>774</v>
      </c>
      <c r="AG5" s="111" t="s">
        <v>775</v>
      </c>
      <c r="AH5" s="111" t="s">
        <v>772</v>
      </c>
      <c r="AI5" s="111" t="s">
        <v>773</v>
      </c>
      <c r="AJ5" s="111" t="s">
        <v>774</v>
      </c>
      <c r="AK5" s="111" t="s">
        <v>775</v>
      </c>
      <c r="AL5" s="111" t="s">
        <v>772</v>
      </c>
      <c r="AM5" s="111" t="s">
        <v>773</v>
      </c>
      <c r="AN5" s="111" t="s">
        <v>774</v>
      </c>
      <c r="AO5" s="111" t="s">
        <v>775</v>
      </c>
      <c r="AP5" s="111" t="s">
        <v>772</v>
      </c>
      <c r="AQ5" s="111" t="s">
        <v>773</v>
      </c>
      <c r="AR5" s="111" t="s">
        <v>774</v>
      </c>
      <c r="AS5" s="111" t="s">
        <v>775</v>
      </c>
      <c r="AT5" s="111" t="s">
        <v>772</v>
      </c>
      <c r="AU5" s="111" t="s">
        <v>773</v>
      </c>
      <c r="AV5" s="111" t="s">
        <v>774</v>
      </c>
      <c r="AW5" s="111" t="s">
        <v>775</v>
      </c>
      <c r="AX5" s="111" t="s">
        <v>772</v>
      </c>
      <c r="AZ5" s="112" t="s">
        <v>775</v>
      </c>
      <c r="BA5" s="112" t="s">
        <v>772</v>
      </c>
      <c r="BB5" s="112" t="s">
        <v>773</v>
      </c>
      <c r="BC5" s="112" t="s">
        <v>774</v>
      </c>
      <c r="BD5" s="112" t="s">
        <v>775</v>
      </c>
      <c r="BE5" s="112" t="s">
        <v>772</v>
      </c>
      <c r="BF5" s="112" t="s">
        <v>773</v>
      </c>
      <c r="BG5" s="112" t="s">
        <v>774</v>
      </c>
      <c r="BH5" s="112" t="s">
        <v>775</v>
      </c>
      <c r="BI5" s="112" t="s">
        <v>772</v>
      </c>
      <c r="BJ5" s="112" t="s">
        <v>773</v>
      </c>
      <c r="BK5" s="112" t="s">
        <v>774</v>
      </c>
      <c r="BL5" s="112" t="s">
        <v>775</v>
      </c>
      <c r="BM5" s="112" t="s">
        <v>772</v>
      </c>
      <c r="BN5" s="112" t="s">
        <v>773</v>
      </c>
      <c r="BO5" s="112" t="s">
        <v>774</v>
      </c>
      <c r="BP5" s="112" t="s">
        <v>775</v>
      </c>
      <c r="BQ5" s="112" t="s">
        <v>772</v>
      </c>
      <c r="BR5" s="112" t="s">
        <v>773</v>
      </c>
      <c r="BS5" s="112" t="s">
        <v>774</v>
      </c>
      <c r="BT5" s="112" t="s">
        <v>775</v>
      </c>
      <c r="BU5" s="112" t="s">
        <v>772</v>
      </c>
      <c r="BV5" s="112" t="s">
        <v>773</v>
      </c>
      <c r="BW5" s="112" t="s">
        <v>774</v>
      </c>
      <c r="BX5" s="112" t="s">
        <v>775</v>
      </c>
      <c r="BY5" s="112" t="s">
        <v>772</v>
      </c>
      <c r="BZ5" s="112" t="s">
        <v>773</v>
      </c>
      <c r="CA5" s="112" t="s">
        <v>774</v>
      </c>
      <c r="CB5" s="112" t="s">
        <v>775</v>
      </c>
      <c r="CC5" s="112" t="s">
        <v>772</v>
      </c>
      <c r="CE5" s="113" t="s">
        <v>767</v>
      </c>
      <c r="CF5" s="113" t="s">
        <v>768</v>
      </c>
      <c r="CG5" s="113" t="s">
        <v>770</v>
      </c>
      <c r="CI5" s="114" t="s">
        <v>780</v>
      </c>
      <c r="CJ5" s="114" t="s">
        <v>775</v>
      </c>
      <c r="CK5" s="114" t="s">
        <v>781</v>
      </c>
      <c r="CL5" s="114" t="s">
        <v>782</v>
      </c>
      <c r="CM5" s="114" t="s">
        <v>783</v>
      </c>
      <c r="CN5" s="114" t="s">
        <v>784</v>
      </c>
    </row>
    <row r="6" customFormat="false" ht="15" hidden="false" customHeight="true" outlineLevel="0" collapsed="false">
      <c r="A6" s="115" t="s">
        <v>785</v>
      </c>
      <c r="B6" s="116" t="s">
        <v>786</v>
      </c>
      <c r="C6" s="116" t="s">
        <v>787</v>
      </c>
      <c r="D6" s="116" t="s">
        <v>788</v>
      </c>
      <c r="E6" s="116" t="s">
        <v>789</v>
      </c>
      <c r="F6" s="116" t="s">
        <v>790</v>
      </c>
      <c r="G6" s="116" t="s">
        <v>791</v>
      </c>
      <c r="H6" s="116" t="s">
        <v>792</v>
      </c>
      <c r="I6" s="116" t="s">
        <v>793</v>
      </c>
      <c r="J6" s="116" t="s">
        <v>794</v>
      </c>
      <c r="K6" s="116" t="s">
        <v>795</v>
      </c>
      <c r="L6" s="116" t="s">
        <v>796</v>
      </c>
      <c r="M6" s="116" t="s">
        <v>797</v>
      </c>
      <c r="N6" s="116" t="s">
        <v>798</v>
      </c>
      <c r="O6" s="116" t="s">
        <v>799</v>
      </c>
      <c r="P6" s="116" t="s">
        <v>800</v>
      </c>
      <c r="Q6" s="116" t="s">
        <v>801</v>
      </c>
      <c r="R6" s="116" t="s">
        <v>802</v>
      </c>
      <c r="S6" s="116" t="s">
        <v>803</v>
      </c>
      <c r="T6" s="116" t="s">
        <v>804</v>
      </c>
      <c r="U6" s="116" t="s">
        <v>805</v>
      </c>
      <c r="V6" s="116" t="s">
        <v>806</v>
      </c>
      <c r="W6" s="116" t="s">
        <v>807</v>
      </c>
      <c r="X6" s="116" t="s">
        <v>808</v>
      </c>
      <c r="Y6" s="116" t="s">
        <v>809</v>
      </c>
      <c r="Z6" s="116" t="s">
        <v>810</v>
      </c>
      <c r="AA6" s="116" t="s">
        <v>811</v>
      </c>
      <c r="AB6" s="116" t="s">
        <v>812</v>
      </c>
      <c r="AC6" s="116" t="s">
        <v>813</v>
      </c>
      <c r="AD6" s="116" t="s">
        <v>814</v>
      </c>
      <c r="AE6" s="116" t="s">
        <v>815</v>
      </c>
      <c r="AF6" s="116" t="s">
        <v>816</v>
      </c>
      <c r="AG6" s="116" t="s">
        <v>817</v>
      </c>
      <c r="AH6" s="116" t="s">
        <v>818</v>
      </c>
      <c r="AI6" s="116" t="s">
        <v>819</v>
      </c>
      <c r="AJ6" s="116" t="s">
        <v>820</v>
      </c>
      <c r="AK6" s="116" t="s">
        <v>821</v>
      </c>
      <c r="AL6" s="116" t="s">
        <v>822</v>
      </c>
      <c r="AM6" s="116" t="s">
        <v>823</v>
      </c>
      <c r="AN6" s="116" t="s">
        <v>824</v>
      </c>
      <c r="AO6" s="116" t="s">
        <v>825</v>
      </c>
      <c r="AP6" s="116" t="s">
        <v>826</v>
      </c>
      <c r="AQ6" s="116" t="s">
        <v>827</v>
      </c>
      <c r="AR6" s="116" t="s">
        <v>828</v>
      </c>
      <c r="AS6" s="116" t="s">
        <v>829</v>
      </c>
      <c r="AT6" s="116" t="s">
        <v>830</v>
      </c>
      <c r="AU6" s="116" t="s">
        <v>831</v>
      </c>
      <c r="AV6" s="116" t="s">
        <v>832</v>
      </c>
      <c r="AW6" s="116" t="s">
        <v>833</v>
      </c>
      <c r="AX6" s="116" t="s">
        <v>834</v>
      </c>
      <c r="AZ6" s="116" t="s">
        <v>835</v>
      </c>
      <c r="BA6" s="116" t="s">
        <v>836</v>
      </c>
      <c r="BB6" s="116" t="s">
        <v>837</v>
      </c>
      <c r="BC6" s="116" t="s">
        <v>838</v>
      </c>
      <c r="BD6" s="116" t="s">
        <v>839</v>
      </c>
      <c r="BE6" s="116" t="s">
        <v>840</v>
      </c>
      <c r="BF6" s="116" t="s">
        <v>841</v>
      </c>
      <c r="BG6" s="116" t="s">
        <v>842</v>
      </c>
      <c r="BH6" s="116" t="s">
        <v>843</v>
      </c>
      <c r="BI6" s="116" t="s">
        <v>844</v>
      </c>
      <c r="BJ6" s="116" t="s">
        <v>845</v>
      </c>
      <c r="BK6" s="116" t="s">
        <v>846</v>
      </c>
      <c r="BL6" s="116" t="s">
        <v>847</v>
      </c>
      <c r="BM6" s="116" t="s">
        <v>848</v>
      </c>
      <c r="BN6" s="116" t="s">
        <v>849</v>
      </c>
      <c r="BO6" s="116" t="s">
        <v>850</v>
      </c>
      <c r="BP6" s="116" t="s">
        <v>851</v>
      </c>
      <c r="BQ6" s="116" t="s">
        <v>852</v>
      </c>
      <c r="BR6" s="116" t="s">
        <v>853</v>
      </c>
      <c r="BS6" s="116" t="s">
        <v>854</v>
      </c>
      <c r="BT6" s="116" t="s">
        <v>855</v>
      </c>
      <c r="BU6" s="116" t="s">
        <v>856</v>
      </c>
      <c r="BV6" s="116" t="s">
        <v>857</v>
      </c>
      <c r="BW6" s="116" t="s">
        <v>858</v>
      </c>
      <c r="BX6" s="116" t="s">
        <v>859</v>
      </c>
      <c r="BY6" s="116" t="s">
        <v>860</v>
      </c>
      <c r="BZ6" s="116" t="s">
        <v>861</v>
      </c>
      <c r="CA6" s="116" t="s">
        <v>862</v>
      </c>
      <c r="CB6" s="116" t="s">
        <v>863</v>
      </c>
      <c r="CC6" s="116" t="s">
        <v>864</v>
      </c>
      <c r="CE6" s="116" t="s">
        <v>865</v>
      </c>
      <c r="CF6" s="116" t="s">
        <v>866</v>
      </c>
      <c r="CG6" s="116" t="s">
        <v>867</v>
      </c>
      <c r="CI6" s="116" t="s">
        <v>868</v>
      </c>
      <c r="CJ6" s="116" t="s">
        <v>869</v>
      </c>
      <c r="CK6" s="116" t="s">
        <v>870</v>
      </c>
      <c r="CL6" s="116" t="s">
        <v>871</v>
      </c>
      <c r="CM6" s="116" t="s">
        <v>872</v>
      </c>
      <c r="CN6" s="116" t="s">
        <v>873</v>
      </c>
    </row>
    <row r="8" customFormat="false" ht="15" hidden="false" customHeight="true" outlineLevel="0" collapsed="false">
      <c r="A8" s="38" t="s">
        <v>874</v>
      </c>
      <c r="B8" s="117"/>
      <c r="C8" s="117"/>
      <c r="D8" s="117"/>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c r="BA8" s="117"/>
      <c r="BB8" s="117"/>
      <c r="BC8" s="117"/>
      <c r="BD8" s="117"/>
      <c r="BE8" s="117"/>
      <c r="BF8" s="117"/>
      <c r="BG8" s="117"/>
      <c r="BH8" s="117"/>
      <c r="BI8" s="117"/>
      <c r="BJ8" s="117"/>
      <c r="BK8" s="117"/>
      <c r="BL8" s="117"/>
      <c r="BM8" s="117"/>
      <c r="BN8" s="117"/>
      <c r="BO8" s="117"/>
      <c r="BP8" s="117"/>
      <c r="BQ8" s="117"/>
      <c r="BR8" s="117"/>
      <c r="BS8" s="117"/>
      <c r="BT8" s="117"/>
      <c r="BU8" s="117"/>
      <c r="BV8" s="117"/>
      <c r="BW8" s="117"/>
      <c r="BX8" s="117"/>
      <c r="BY8" s="117"/>
      <c r="BZ8" s="117"/>
      <c r="CA8" s="117"/>
      <c r="CB8" s="117"/>
      <c r="CC8" s="117"/>
      <c r="CD8" s="117"/>
      <c r="CE8" s="117"/>
      <c r="CF8" s="117"/>
      <c r="CG8" s="117"/>
      <c r="CH8" s="117"/>
      <c r="CI8" s="117"/>
      <c r="CJ8" s="117"/>
      <c r="CK8" s="117"/>
      <c r="CL8" s="117"/>
      <c r="CM8" s="117"/>
      <c r="CN8" s="117"/>
    </row>
    <row r="9" customFormat="false" ht="15" hidden="false" customHeight="true" outlineLevel="0" collapsed="false">
      <c r="A9" s="29" t="s">
        <v>407</v>
      </c>
      <c r="B9" s="60" t="n">
        <v>21485</v>
      </c>
      <c r="C9" s="44" t="n">
        <f aca="false">8835+8903+12146</f>
        <v>29884</v>
      </c>
      <c r="D9" s="44" t="n">
        <f aca="false">7177+6296+9703</f>
        <v>23176</v>
      </c>
      <c r="E9" s="44" t="n">
        <f aca="false">11208+10801+13240</f>
        <v>35249</v>
      </c>
      <c r="F9" s="44" t="n">
        <f aca="false">7873+7469+8685</f>
        <v>24027</v>
      </c>
      <c r="G9" s="44" t="n">
        <f aca="false">8182+8201+8958</f>
        <v>25341</v>
      </c>
      <c r="H9" s="44" t="n">
        <f aca="false">9575+6928+8782</f>
        <v>25285</v>
      </c>
      <c r="I9" s="60" t="n">
        <v>38643</v>
      </c>
      <c r="J9" s="60" t="n">
        <v>19877</v>
      </c>
      <c r="K9" s="60" t="n">
        <v>31397</v>
      </c>
      <c r="L9" s="44" t="n">
        <f aca="false">9140+10638+15950</f>
        <v>35728</v>
      </c>
      <c r="M9" s="44" t="n">
        <f aca="false">9140+10638+15950</f>
        <v>35728</v>
      </c>
      <c r="N9" s="44" t="n">
        <f aca="false">13726+13643+17057</f>
        <v>44426</v>
      </c>
      <c r="O9" s="44" t="n">
        <f aca="false">13726+13643+17057</f>
        <v>44426</v>
      </c>
      <c r="P9" s="60" t="n">
        <v>30646</v>
      </c>
      <c r="Q9" s="60" t="n">
        <v>30646</v>
      </c>
      <c r="R9" s="60" t="n">
        <v>38387</v>
      </c>
      <c r="S9" s="60" t="n">
        <v>38387</v>
      </c>
      <c r="T9" s="44" t="n">
        <f aca="false">9797+8718+11295</f>
        <v>29810</v>
      </c>
      <c r="U9" s="44" t="n">
        <f aca="false">14694+13291+16034</f>
        <v>44019</v>
      </c>
      <c r="V9" s="60" t="n">
        <v>26719</v>
      </c>
      <c r="W9" s="60" t="n">
        <v>16815</v>
      </c>
      <c r="X9" s="44" t="n">
        <f aca="false">5126+5966+7025</f>
        <v>18117</v>
      </c>
      <c r="Y9" s="60" t="n">
        <v>16956</v>
      </c>
      <c r="Z9" s="60" t="n">
        <v>1021</v>
      </c>
      <c r="AA9" s="44" t="n">
        <f aca="false">1705+2589+3642</f>
        <v>7936</v>
      </c>
      <c r="AB9" s="44" t="n">
        <f aca="false">4588+5114+6884</f>
        <v>16586</v>
      </c>
      <c r="AC9" s="60" t="n">
        <v>26277</v>
      </c>
      <c r="AD9" s="60" t="n">
        <v>9050</v>
      </c>
      <c r="AE9" s="60" t="n">
        <v>13514</v>
      </c>
      <c r="AF9" s="60" t="n">
        <v>19305</v>
      </c>
      <c r="AG9" s="60" t="n">
        <v>32016</v>
      </c>
      <c r="AH9" s="60" t="n">
        <v>24987</v>
      </c>
      <c r="AI9" s="44" t="n">
        <f aca="false">8148+8379+11314</f>
        <v>27841</v>
      </c>
      <c r="AJ9" s="60" t="n">
        <v>30790</v>
      </c>
      <c r="AK9" s="60" t="n">
        <v>40491</v>
      </c>
      <c r="AL9" s="60" t="n">
        <v>26165</v>
      </c>
      <c r="AM9" s="60" t="n">
        <v>32086</v>
      </c>
      <c r="AN9" s="60" t="n">
        <v>29485</v>
      </c>
      <c r="AO9" s="60" t="n">
        <v>37149</v>
      </c>
      <c r="AP9" s="60" t="n">
        <v>27885</v>
      </c>
      <c r="AQ9" s="60" t="n">
        <v>28180</v>
      </c>
      <c r="AR9" s="60" t="n">
        <v>30058</v>
      </c>
      <c r="AS9" s="60" t="n">
        <v>39908</v>
      </c>
      <c r="AT9" s="60" t="n">
        <v>28071</v>
      </c>
      <c r="AU9" s="60" t="n">
        <v>30718</v>
      </c>
      <c r="AV9" s="60" t="n">
        <v>37376</v>
      </c>
      <c r="AW9" s="60" t="n">
        <v>46493</v>
      </c>
      <c r="AX9" s="60" t="n">
        <v>29424</v>
      </c>
      <c r="AZ9" s="44" t="n">
        <f aca="false">14694+13291+16034</f>
        <v>44019</v>
      </c>
      <c r="BA9" s="60" t="n">
        <v>26719</v>
      </c>
      <c r="BB9" s="60" t="n">
        <v>16815</v>
      </c>
      <c r="BC9" s="44" t="n">
        <f aca="false">5126+5966+7025</f>
        <v>18117</v>
      </c>
      <c r="BD9" s="89" t="n">
        <f aca="false">78607-X9-W9-V9</f>
        <v>16956</v>
      </c>
      <c r="BE9" s="60" t="n">
        <v>1021</v>
      </c>
      <c r="BF9" s="44" t="n">
        <f aca="false">1705+2589+3642</f>
        <v>7936</v>
      </c>
      <c r="BG9" s="44" t="n">
        <f aca="false">4588+5114+6884</f>
        <v>16586</v>
      </c>
      <c r="BH9" s="60" t="n">
        <v>26277</v>
      </c>
      <c r="BI9" s="60" t="n">
        <v>9050</v>
      </c>
      <c r="BJ9" s="60" t="n">
        <v>13514</v>
      </c>
      <c r="BK9" s="60" t="n">
        <v>19305</v>
      </c>
      <c r="BL9" s="60" t="n">
        <v>32016</v>
      </c>
      <c r="BM9" s="60" t="n">
        <v>24987</v>
      </c>
      <c r="BN9" s="44" t="n">
        <f aca="false">8148+8379+11314</f>
        <v>27841</v>
      </c>
      <c r="BO9" s="60" t="n">
        <v>30790</v>
      </c>
      <c r="BP9" s="60" t="n">
        <v>40491</v>
      </c>
      <c r="BQ9" s="60" t="n">
        <v>26165</v>
      </c>
      <c r="BR9" s="60" t="n">
        <v>32086</v>
      </c>
      <c r="BS9" s="89" t="n">
        <f aca="false">87736-AM9-AL9</f>
        <v>29485</v>
      </c>
      <c r="BT9" s="60" t="n">
        <v>37149</v>
      </c>
      <c r="BU9" s="60" t="n">
        <v>27885</v>
      </c>
      <c r="BV9" s="60" t="n">
        <v>28180</v>
      </c>
      <c r="BW9" s="60" t="n">
        <v>30058</v>
      </c>
      <c r="BX9" s="60" t="n">
        <v>39908</v>
      </c>
      <c r="BY9" s="60" t="n">
        <v>28071</v>
      </c>
      <c r="BZ9" s="60" t="n">
        <v>30718</v>
      </c>
      <c r="CA9" s="60" t="n">
        <v>37376</v>
      </c>
      <c r="CB9" s="60" t="n">
        <v>46493</v>
      </c>
      <c r="CC9" s="60" t="n">
        <v>29424</v>
      </c>
      <c r="CE9" s="43"/>
      <c r="CF9" s="43"/>
      <c r="CG9" s="118" t="n">
        <f aca="false">'Main Model'!AI207</f>
        <v>142658</v>
      </c>
      <c r="CI9" s="59" t="n">
        <f aca="false">+CC9/AW9-1</f>
        <v>-0.36713053577958</v>
      </c>
      <c r="CJ9" s="59" t="n">
        <f aca="false">CG9-AV9-AU9-AT9</f>
        <v>46493</v>
      </c>
      <c r="CK9" s="43"/>
      <c r="CL9" s="59" t="n">
        <f aca="false">+CA9/AU9-1</f>
        <v>0.216745881893353</v>
      </c>
      <c r="CM9" s="43"/>
      <c r="CN9" s="43"/>
    </row>
    <row r="10" customFormat="false" ht="15" hidden="false" customHeight="true" outlineLevel="0" collapsed="false">
      <c r="A10" s="29" t="s">
        <v>409</v>
      </c>
      <c r="B10" s="60" t="n">
        <v>6701</v>
      </c>
      <c r="C10" s="44" t="n">
        <f aca="false">2219+2641+2637</f>
        <v>7497</v>
      </c>
      <c r="D10" s="44" t="n">
        <f aca="false">2627+2674+2451</f>
        <v>7752</v>
      </c>
      <c r="E10" s="44" t="n">
        <f aca="false">2678+2605+3462</f>
        <v>8745</v>
      </c>
      <c r="F10" s="44" t="n">
        <f aca="false">2309+2406+2423</f>
        <v>7138</v>
      </c>
      <c r="G10" s="44" t="n">
        <f aca="false">2310+2696+3094</f>
        <v>8100</v>
      </c>
      <c r="H10" s="44" t="n">
        <f aca="false">2959+2646+1949</f>
        <v>7554</v>
      </c>
      <c r="I10" s="60" t="n">
        <v>8978</v>
      </c>
      <c r="J10" s="60" t="n">
        <v>8618</v>
      </c>
      <c r="K10" s="60" t="n">
        <v>9588</v>
      </c>
      <c r="L10" s="44" t="n">
        <f aca="false">3804+3819+3303</f>
        <v>10926</v>
      </c>
      <c r="M10" s="44" t="n">
        <f aca="false">3804+3819+3303</f>
        <v>10926</v>
      </c>
      <c r="N10" s="44" t="n">
        <f aca="false">4455+4458+5396</f>
        <v>14309</v>
      </c>
      <c r="O10" s="44" t="n">
        <f aca="false">4455+4458+5396</f>
        <v>14309</v>
      </c>
      <c r="P10" s="60" t="n">
        <v>11481</v>
      </c>
      <c r="Q10" s="60" t="n">
        <v>11481</v>
      </c>
      <c r="R10" s="60" t="n">
        <v>13572</v>
      </c>
      <c r="S10" s="60" t="n">
        <v>13572</v>
      </c>
      <c r="T10" s="44" t="n">
        <f aca="false">5352+4403+4198</f>
        <v>13953</v>
      </c>
      <c r="U10" s="44" t="n">
        <f aca="false">4954+5047+5501</f>
        <v>15502</v>
      </c>
      <c r="V10" s="60" t="n">
        <v>12889</v>
      </c>
      <c r="W10" s="60" t="n">
        <v>12123</v>
      </c>
      <c r="X10" s="44" t="n">
        <f aca="false">4731+4209+4143</f>
        <v>13083</v>
      </c>
      <c r="Y10" s="60" t="n">
        <v>8551</v>
      </c>
      <c r="Z10" s="60" t="n">
        <v>2793</v>
      </c>
      <c r="AA10" s="44" t="n">
        <f aca="false">3070+3736+4702</f>
        <v>11508</v>
      </c>
      <c r="AB10" s="44" t="n">
        <f aca="false">5401+5545+5878</f>
        <v>16824</v>
      </c>
      <c r="AC10" s="60" t="n">
        <v>17783</v>
      </c>
      <c r="AD10" s="60" t="n">
        <v>8937</v>
      </c>
      <c r="AE10" s="60" t="n">
        <v>14029</v>
      </c>
      <c r="AF10" s="60" t="n">
        <v>14772</v>
      </c>
      <c r="AG10" s="60" t="n">
        <v>16703</v>
      </c>
      <c r="AH10" s="60" t="n">
        <v>14664</v>
      </c>
      <c r="AI10" s="44" t="n">
        <f aca="false">5477+5742+6235</f>
        <v>17454</v>
      </c>
      <c r="AJ10" s="60" t="n">
        <v>16772</v>
      </c>
      <c r="AK10" s="60" t="n">
        <v>19206</v>
      </c>
      <c r="AL10" s="60" t="n">
        <v>15164</v>
      </c>
      <c r="AM10" s="60" t="n">
        <v>17760</v>
      </c>
      <c r="AN10" s="60" t="n">
        <v>17756</v>
      </c>
      <c r="AO10" s="60" t="n">
        <v>19120</v>
      </c>
      <c r="AP10" s="60" t="n">
        <v>16008</v>
      </c>
      <c r="AQ10" s="60" t="n">
        <v>17444</v>
      </c>
      <c r="AR10" s="60" t="n">
        <v>16346</v>
      </c>
      <c r="AS10" s="60" t="n">
        <v>19268</v>
      </c>
      <c r="AT10" s="60" t="n">
        <v>16167</v>
      </c>
      <c r="AU10" s="60" t="n">
        <v>18398</v>
      </c>
      <c r="AV10" s="60" t="n">
        <v>20249</v>
      </c>
      <c r="AW10" s="60" t="n">
        <v>22965</v>
      </c>
      <c r="AX10" s="60" t="n">
        <v>19339</v>
      </c>
      <c r="AZ10" s="44" t="n">
        <f aca="false">4954+5047+5501</f>
        <v>15502</v>
      </c>
      <c r="BA10" s="60" t="n">
        <v>12889</v>
      </c>
      <c r="BB10" s="60" t="n">
        <v>12123</v>
      </c>
      <c r="BC10" s="44" t="n">
        <f aca="false">4731+4209+4143</f>
        <v>13083</v>
      </c>
      <c r="BD10" s="89" t="n">
        <f aca="false">46646-X10-W10-V10</f>
        <v>8551</v>
      </c>
      <c r="BE10" s="60" t="n">
        <v>2793</v>
      </c>
      <c r="BF10" s="44" t="n">
        <f aca="false">3070+3736+4702</f>
        <v>11508</v>
      </c>
      <c r="BG10" s="44" t="n">
        <f aca="false">5401+5545+5878</f>
        <v>16824</v>
      </c>
      <c r="BH10" s="60" t="n">
        <v>17783</v>
      </c>
      <c r="BI10" s="60" t="n">
        <v>8937</v>
      </c>
      <c r="BJ10" s="60" t="n">
        <v>14029</v>
      </c>
      <c r="BK10" s="60" t="n">
        <v>14772</v>
      </c>
      <c r="BL10" s="60" t="n">
        <v>16703</v>
      </c>
      <c r="BM10" s="60" t="n">
        <v>14664</v>
      </c>
      <c r="BN10" s="44" t="n">
        <f aca="false">5477+5742+6235</f>
        <v>17454</v>
      </c>
      <c r="BO10" s="60" t="n">
        <v>16772</v>
      </c>
      <c r="BP10" s="60" t="n">
        <v>19206</v>
      </c>
      <c r="BQ10" s="60" t="n">
        <v>15164</v>
      </c>
      <c r="BR10" s="60" t="n">
        <v>17760</v>
      </c>
      <c r="BS10" s="89" t="n">
        <f aca="false">50680-AM10-AL10</f>
        <v>17756</v>
      </c>
      <c r="BT10" s="60" t="n">
        <v>19120</v>
      </c>
      <c r="BU10" s="60" t="n">
        <v>16008</v>
      </c>
      <c r="BV10" s="60" t="n">
        <v>17444</v>
      </c>
      <c r="BW10" s="60" t="n">
        <v>16346</v>
      </c>
      <c r="BX10" s="60" t="n">
        <v>19268</v>
      </c>
      <c r="BY10" s="60" t="n">
        <v>16167</v>
      </c>
      <c r="BZ10" s="60" t="n">
        <v>18398</v>
      </c>
      <c r="CA10" s="60" t="n">
        <v>20249</v>
      </c>
      <c r="CB10" s="60" t="n">
        <v>22965</v>
      </c>
      <c r="CC10" s="60" t="n">
        <v>19339</v>
      </c>
      <c r="CE10" s="43"/>
      <c r="CF10" s="43"/>
      <c r="CG10" s="118" t="n">
        <f aca="false">'Main Model'!AI209</f>
        <v>77779</v>
      </c>
      <c r="CI10" s="59" t="n">
        <f aca="false">+CC10/AW10-1</f>
        <v>-0.157892445025038</v>
      </c>
      <c r="CJ10" s="59" t="n">
        <f aca="false">CG10-AV10-AU10-AT10</f>
        <v>22965</v>
      </c>
      <c r="CK10" s="43"/>
      <c r="CL10" s="59" t="n">
        <f aca="false">+CA10/AU10-1</f>
        <v>0.100608761821937</v>
      </c>
      <c r="CM10" s="43"/>
      <c r="CN10" s="43"/>
    </row>
    <row r="11" customFormat="false" ht="15" hidden="false" customHeight="true" outlineLevel="0" collapsed="false">
      <c r="A11" s="119" t="s">
        <v>875</v>
      </c>
      <c r="B11" s="120" t="n">
        <f aca="false">+B10+B9</f>
        <v>28186</v>
      </c>
      <c r="C11" s="120" t="n">
        <f aca="false">+C10+C9</f>
        <v>37381</v>
      </c>
      <c r="D11" s="120" t="n">
        <f aca="false">+D10+D9</f>
        <v>30928</v>
      </c>
      <c r="E11" s="120" t="n">
        <f aca="false">+E10+E9</f>
        <v>43994</v>
      </c>
      <c r="F11" s="120" t="n">
        <f aca="false">+F10+F9</f>
        <v>31165</v>
      </c>
      <c r="G11" s="120" t="n">
        <f aca="false">+G10+G9</f>
        <v>33441</v>
      </c>
      <c r="H11" s="120" t="n">
        <f aca="false">+H10+H9</f>
        <v>32839</v>
      </c>
      <c r="I11" s="120" t="n">
        <f aca="false">+I10+I9</f>
        <v>47621</v>
      </c>
      <c r="J11" s="120" t="n">
        <f aca="false">+J10+J9</f>
        <v>28495</v>
      </c>
      <c r="K11" s="121" t="n">
        <v>40985</v>
      </c>
      <c r="L11" s="120" t="n">
        <f aca="false">+L10+L9</f>
        <v>46654</v>
      </c>
      <c r="M11" s="120" t="n">
        <f aca="false">+M10+M9</f>
        <v>46654</v>
      </c>
      <c r="N11" s="120" t="n">
        <f aca="false">+N10+N9</f>
        <v>58735</v>
      </c>
      <c r="O11" s="120" t="n">
        <f aca="false">+O10+O9</f>
        <v>58735</v>
      </c>
      <c r="P11" s="120" t="n">
        <f aca="false">+P10+P9</f>
        <v>42127</v>
      </c>
      <c r="Q11" s="120" t="n">
        <f aca="false">+Q10+Q9</f>
        <v>42127</v>
      </c>
      <c r="R11" s="120" t="n">
        <f aca="false">+R10+R9</f>
        <v>51959</v>
      </c>
      <c r="S11" s="120" t="n">
        <f aca="false">+S10+S9</f>
        <v>51959</v>
      </c>
      <c r="T11" s="120" t="n">
        <f aca="false">+T10+T9</f>
        <v>43763</v>
      </c>
      <c r="U11" s="120" t="n">
        <f aca="false">+U10+U9</f>
        <v>59521</v>
      </c>
      <c r="V11" s="120" t="n">
        <f aca="false">+V10+V9</f>
        <v>39608</v>
      </c>
      <c r="W11" s="120" t="n">
        <f aca="false">+W10+W9</f>
        <v>28938</v>
      </c>
      <c r="X11" s="120" t="n">
        <f aca="false">+X10+X9</f>
        <v>31200</v>
      </c>
      <c r="Y11" s="120" t="n">
        <f aca="false">+Y10+Y9</f>
        <v>25507</v>
      </c>
      <c r="Z11" s="120" t="n">
        <f aca="false">+Z10+Z9</f>
        <v>3814</v>
      </c>
      <c r="AA11" s="120" t="n">
        <f aca="false">+AA10+AA9</f>
        <v>19444</v>
      </c>
      <c r="AB11" s="120" t="n">
        <f aca="false">+AB10+AB9</f>
        <v>33410</v>
      </c>
      <c r="AC11" s="120" t="n">
        <f aca="false">+AC10+AC9</f>
        <v>44060</v>
      </c>
      <c r="AD11" s="120" t="n">
        <f aca="false">+AD10+AD9</f>
        <v>17987</v>
      </c>
      <c r="AE11" s="120" t="n">
        <f aca="false">+AE10+AE9</f>
        <v>27543</v>
      </c>
      <c r="AF11" s="120" t="n">
        <f aca="false">+AF10+AF9</f>
        <v>34077</v>
      </c>
      <c r="AG11" s="120" t="n">
        <f aca="false">+AG10+AG9</f>
        <v>48719</v>
      </c>
      <c r="AH11" s="120" t="n">
        <f aca="false">+AH10+AH9</f>
        <v>39651</v>
      </c>
      <c r="AI11" s="120" t="n">
        <f aca="false">+AI10+AI9</f>
        <v>45295</v>
      </c>
      <c r="AJ11" s="120" t="n">
        <f aca="false">+AJ10+AJ9</f>
        <v>47562</v>
      </c>
      <c r="AK11" s="120" t="n">
        <f aca="false">+AK10+AK9</f>
        <v>59697</v>
      </c>
      <c r="AL11" s="120" t="n">
        <f aca="false">+AL10+AL9</f>
        <v>41329</v>
      </c>
      <c r="AM11" s="120" t="n">
        <f aca="false">+AM10+AM9</f>
        <v>49846</v>
      </c>
      <c r="AN11" s="120" t="n">
        <f aca="false">+AN10+AN9</f>
        <v>47241</v>
      </c>
      <c r="AO11" s="120" t="n">
        <f aca="false">+AO10+AO9</f>
        <v>56269</v>
      </c>
      <c r="AP11" s="120" t="n">
        <f aca="false">+AP10+AP9</f>
        <v>43893</v>
      </c>
      <c r="AQ11" s="120" t="n">
        <f aca="false">+AQ10+AQ9</f>
        <v>45624</v>
      </c>
      <c r="AR11" s="120" t="n">
        <f aca="false">+AR10+AR9</f>
        <v>46404</v>
      </c>
      <c r="AS11" s="120" t="n">
        <f aca="false">+AS10+AS9</f>
        <v>59176</v>
      </c>
      <c r="AT11" s="120" t="n">
        <f aca="false">+AT10+AT9</f>
        <v>44238</v>
      </c>
      <c r="AU11" s="120" t="n">
        <f aca="false">+AU10+AU9</f>
        <v>49116</v>
      </c>
      <c r="AV11" s="120" t="n">
        <f aca="false">+AV10+AV9</f>
        <v>57625</v>
      </c>
      <c r="AW11" s="120" t="n">
        <f aca="false">+AW10+AW9</f>
        <v>69458</v>
      </c>
      <c r="AX11" s="120" t="n">
        <f aca="false">+AX10+AX9</f>
        <v>48763</v>
      </c>
      <c r="AY11" s="119"/>
      <c r="AZ11" s="120" t="n">
        <f aca="false">+AZ10+AZ9</f>
        <v>59521</v>
      </c>
      <c r="BA11" s="120" t="n">
        <f aca="false">+BA10+BA9</f>
        <v>39608</v>
      </c>
      <c r="BB11" s="120" t="n">
        <f aca="false">+BB10+BB9</f>
        <v>28938</v>
      </c>
      <c r="BC11" s="120" t="n">
        <f aca="false">+BC10+BC9</f>
        <v>31200</v>
      </c>
      <c r="BD11" s="120" t="n">
        <f aca="false">+BD10+BD9</f>
        <v>25507</v>
      </c>
      <c r="BE11" s="120" t="n">
        <f aca="false">+BE10+BE9</f>
        <v>3814</v>
      </c>
      <c r="BF11" s="120" t="n">
        <f aca="false">+BF10+BF9</f>
        <v>19444</v>
      </c>
      <c r="BG11" s="120" t="n">
        <f aca="false">+BG10+BG9</f>
        <v>33410</v>
      </c>
      <c r="BH11" s="120" t="n">
        <f aca="false">+BH10+BH9</f>
        <v>44060</v>
      </c>
      <c r="BI11" s="120" t="n">
        <f aca="false">+BI10+BI9</f>
        <v>17987</v>
      </c>
      <c r="BJ11" s="120" t="n">
        <f aca="false">+BJ10+BJ9</f>
        <v>27543</v>
      </c>
      <c r="BK11" s="120" t="n">
        <f aca="false">+BK10+BK9</f>
        <v>34077</v>
      </c>
      <c r="BL11" s="120" t="n">
        <f aca="false">+BL10+BL9</f>
        <v>48719</v>
      </c>
      <c r="BM11" s="120" t="n">
        <f aca="false">+BM10+BM9</f>
        <v>39651</v>
      </c>
      <c r="BN11" s="120" t="n">
        <f aca="false">+BN10+BN9</f>
        <v>45295</v>
      </c>
      <c r="BO11" s="120" t="n">
        <f aca="false">+BO10+BO9</f>
        <v>47562</v>
      </c>
      <c r="BP11" s="120" t="n">
        <f aca="false">+BP10+BP9</f>
        <v>59697</v>
      </c>
      <c r="BQ11" s="120" t="n">
        <f aca="false">+BQ10+BQ9</f>
        <v>41329</v>
      </c>
      <c r="BR11" s="120" t="n">
        <f aca="false">+BR10+BR9</f>
        <v>49846</v>
      </c>
      <c r="BS11" s="120" t="n">
        <f aca="false">+BS10+BS9</f>
        <v>47241</v>
      </c>
      <c r="BT11" s="120" t="n">
        <f aca="false">+BT10+BT9</f>
        <v>56269</v>
      </c>
      <c r="BU11" s="120" t="n">
        <f aca="false">+BU10+BU9</f>
        <v>43893</v>
      </c>
      <c r="BV11" s="120" t="n">
        <f aca="false">+BV10+BV9</f>
        <v>45624</v>
      </c>
      <c r="BW11" s="120" t="n">
        <f aca="false">+BW10+BW9</f>
        <v>46404</v>
      </c>
      <c r="BX11" s="120" t="n">
        <f aca="false">+BX10+BX9</f>
        <v>59176</v>
      </c>
      <c r="BY11" s="120" t="n">
        <f aca="false">+BY10+BY9</f>
        <v>44238</v>
      </c>
      <c r="BZ11" s="120" t="n">
        <f aca="false">+BZ10+BZ9</f>
        <v>49116</v>
      </c>
      <c r="CA11" s="120" t="n">
        <f aca="false">+CA10+CA9</f>
        <v>57625</v>
      </c>
      <c r="CB11" s="120" t="n">
        <f aca="false">+CB10+CB9</f>
        <v>69458</v>
      </c>
      <c r="CC11" s="120" t="n">
        <f aca="false">+CC10+CC9</f>
        <v>48763</v>
      </c>
      <c r="CD11" s="119"/>
      <c r="CE11" s="120" t="n">
        <f aca="false">+E11+D11+B11+C11</f>
        <v>140489</v>
      </c>
      <c r="CF11" s="120"/>
      <c r="CG11" s="120" t="n">
        <f aca="false">+CG10+CG9</f>
        <v>220437</v>
      </c>
      <c r="CH11" s="119"/>
      <c r="CI11" s="120"/>
      <c r="CJ11" s="120" t="n">
        <f aca="false">CG11-AV11-AU11-AT11</f>
        <v>69458</v>
      </c>
      <c r="CK11" s="120" t="n">
        <f aca="false">+CJ11/AS11-1</f>
        <v>0.173752872786265</v>
      </c>
      <c r="CL11" s="120" t="n">
        <f aca="false">+CM11-CA11-AU11-AT11</f>
        <v>69458</v>
      </c>
      <c r="CM11" s="122" t="n">
        <f aca="false">+'Main Model'!AI8</f>
        <v>220437</v>
      </c>
      <c r="CN11" s="120" t="n">
        <f aca="false">+CL11/BX11-1</f>
        <v>0.173752872786265</v>
      </c>
    </row>
    <row r="13" customFormat="false" ht="15" hidden="false" customHeight="true" outlineLevel="0" collapsed="false">
      <c r="A13" s="38" t="s">
        <v>876</v>
      </c>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117"/>
      <c r="CE13" s="117"/>
      <c r="CF13" s="117"/>
      <c r="CG13" s="117"/>
      <c r="CH13" s="117"/>
      <c r="CI13" s="117"/>
      <c r="CJ13" s="117"/>
      <c r="CK13" s="117"/>
      <c r="CL13" s="117"/>
      <c r="CM13" s="117"/>
      <c r="CN13" s="117"/>
    </row>
    <row r="14" customFormat="false" ht="15" hidden="false" customHeight="true" outlineLevel="0" collapsed="false">
      <c r="A14" s="29" t="s">
        <v>877</v>
      </c>
      <c r="B14" s="59" t="n">
        <f aca="false">+B10/B11</f>
        <v>0.237742141488682</v>
      </c>
      <c r="C14" s="59" t="n">
        <f aca="false">+C10/C11</f>
        <v>0.200556432412188</v>
      </c>
      <c r="D14" s="59" t="n">
        <f aca="false">+D10/D11</f>
        <v>0.250646663217796</v>
      </c>
      <c r="E14" s="59" t="n">
        <f aca="false">+E10/E11</f>
        <v>0.198777105968996</v>
      </c>
      <c r="F14" s="59" t="n">
        <f aca="false">+F10/F11</f>
        <v>0.229038986042034</v>
      </c>
      <c r="G14" s="59" t="n">
        <f aca="false">+G10/G11</f>
        <v>0.242217637032385</v>
      </c>
      <c r="H14" s="59" t="n">
        <f aca="false">+H10/H11</f>
        <v>0.230031365145102</v>
      </c>
      <c r="I14" s="59" t="n">
        <f aca="false">+I10/I11</f>
        <v>0.188530270258919</v>
      </c>
      <c r="J14" s="118" t="n">
        <f aca="false">+J11/'New Qrtrly'!AV6-1</f>
        <v>269606.274253105</v>
      </c>
      <c r="K14" s="118" t="e">
        <f aca="false">+K11/'New Qrtrly'!AX6-1</f>
        <v>#DIV/0!</v>
      </c>
      <c r="L14" s="118" t="e">
        <f aca="false">+L11/'New Qrtrly'!AZ6-1</f>
        <v>#DIV/0!</v>
      </c>
      <c r="M14" s="118" t="e">
        <f aca="false">+M11/'New Qrtrly'!BA6-1</f>
        <v>#DIV/0!</v>
      </c>
      <c r="N14" s="118" t="e">
        <f aca="false">+N11/'New Qrtrly'!BB6-1</f>
        <v>#DIV/0!</v>
      </c>
      <c r="O14" s="118" t="e">
        <f aca="false">+O11/'New Qrtrly'!BA6-1</f>
        <v>#DIV/0!</v>
      </c>
      <c r="P14" s="118" t="e">
        <f aca="false">+P11/'New Qrtrly'!BD6-1</f>
        <v>#DIV/0!</v>
      </c>
      <c r="Q14" s="118" t="e">
        <f aca="false">+Q11/'New Qrtrly'!BE6-1</f>
        <v>#DIV/0!</v>
      </c>
      <c r="R14" s="118" t="e">
        <f aca="false">+R11/'New Qrtrly'!BF6-1</f>
        <v>#DIV/0!</v>
      </c>
      <c r="S14" s="118" t="e">
        <f aca="false">+S11/'New Qrtrly'!BH6-1</f>
        <v>#DIV/0!</v>
      </c>
      <c r="T14" s="118" t="e">
        <f aca="false">+T11/'New Qrtrly'!BH6-1</f>
        <v>#DIV/0!</v>
      </c>
      <c r="U14" s="118" t="e">
        <f aca="false">+U11/'New Qrtrly'!BJ6-1</f>
        <v>#DIV/0!</v>
      </c>
      <c r="V14" s="118" t="e">
        <f aca="false">+V11/'New Qrtrly'!BL6-1</f>
        <v>#DIV/0!</v>
      </c>
      <c r="W14" s="118" t="e">
        <f aca="false">+W11/'New Qrtrly'!BN6-1</f>
        <v>#DIV/0!</v>
      </c>
      <c r="X14" s="118" t="e">
        <f aca="false">+X11/'New Qrtrly'!BP6-1</f>
        <v>#DIV/0!</v>
      </c>
      <c r="Y14" s="118" t="e">
        <f aca="false">+Y11/'New Qrtrly'!BR6-1</f>
        <v>#DIV/0!</v>
      </c>
      <c r="Z14" s="118" t="e">
        <f aca="false">+Z11/'New Qrtrly'!BT6-1</f>
        <v>#DIV/0!</v>
      </c>
      <c r="AA14" s="118" t="e">
        <f aca="false">+AA11/'New Qrtrly'!BV6-1</f>
        <v>#DIV/0!</v>
      </c>
      <c r="AB14" s="118" t="e">
        <f aca="false">+AB11/'New Qrtrly'!BX6-1</f>
        <v>#DIV/0!</v>
      </c>
      <c r="AC14" s="118" t="e">
        <f aca="false">+AC11/'New Qrtrly'!BZ6-1</f>
        <v>#DIV/0!</v>
      </c>
      <c r="AD14" s="118" t="e">
        <f aca="false">+AD11/'New Qrtrly'!CB6-1</f>
        <v>#DIV/0!</v>
      </c>
      <c r="AE14" s="118" t="e">
        <f aca="false">+AE11/'New Qrtrly'!CD6-1</f>
        <v>#DIV/0!</v>
      </c>
      <c r="AF14" s="118" t="e">
        <f aca="false">+AF11/'New Qrtrly'!CF6-1</f>
        <v>#DIV/0!</v>
      </c>
      <c r="AG14" s="118" t="e">
        <f aca="false">+AG11/'New Qrtrly'!CH6-1</f>
        <v>#DIV/0!</v>
      </c>
      <c r="AH14" s="118" t="e">
        <f aca="false">+AH11/'New Qrtrly'!CJ6-1</f>
        <v>#DIV/0!</v>
      </c>
      <c r="AI14" s="118" t="e">
        <f aca="false">+AI11/'New Qrtrly'!CL6-1</f>
        <v>#DIV/0!</v>
      </c>
      <c r="AJ14" s="118" t="e">
        <f aca="false">+AJ11/'New Qrtrly'!CN6-1</f>
        <v>#DIV/0!</v>
      </c>
      <c r="AK14" s="118" t="e">
        <f aca="false">+AK11/'New Qrtrly'!CP6-1</f>
        <v>#DIV/0!</v>
      </c>
      <c r="AL14" s="118" t="e">
        <f aca="false">+AL11/'New Qrtrly'!CR6-1</f>
        <v>#DIV/0!</v>
      </c>
      <c r="AM14" s="118" t="e">
        <f aca="false">+AM11/'New Qrtrly'!CT6-1</f>
        <v>#DIV/0!</v>
      </c>
      <c r="AN14" s="118" t="e">
        <f aca="false">+AN11/'New Qrtrly'!CV6-1</f>
        <v>#DIV/0!</v>
      </c>
      <c r="AO14" s="118" t="e">
        <f aca="false">+AO11/'New Qrtrly'!CX6-1</f>
        <v>#DIV/0!</v>
      </c>
      <c r="AP14" s="118" t="e">
        <f aca="false">+AP11/'New Qrtrly'!CZ6-1</f>
        <v>#DIV/0!</v>
      </c>
      <c r="AQ14" s="118" t="e">
        <f aca="false">+AQ11/'New Qrtrly'!DB6-1</f>
        <v>#DIV/0!</v>
      </c>
      <c r="AR14" s="118" t="e">
        <f aca="false">+AR11/'New Qrtrly'!DD6-1</f>
        <v>#DIV/0!</v>
      </c>
      <c r="AS14" s="118" t="e">
        <f aca="false">+AS11/'New Qrtrly'!DF6-1</f>
        <v>#DIV/0!</v>
      </c>
      <c r="AT14" s="118" t="e">
        <f aca="false">+AT11/'New Qrtrly'!DH6-1</f>
        <v>#DIV/0!</v>
      </c>
      <c r="AU14" s="118" t="e">
        <f aca="false">+AU11/'New Qrtrly'!DJ6-1</f>
        <v>#DIV/0!</v>
      </c>
      <c r="AV14" s="118" t="e">
        <f aca="false">+AV11/'New Qrtrly'!DL6-1</f>
        <v>#DIV/0!</v>
      </c>
      <c r="AW14" s="118" t="e">
        <f aca="false">+AW11/'New Qrtrly'!DN6-1</f>
        <v>#DIV/0!</v>
      </c>
      <c r="AX14" s="118" t="e">
        <f aca="false">+AX11/'New Qrtrly'!DP6-1</f>
        <v>#DIV/0!</v>
      </c>
      <c r="AZ14" s="118" t="e">
        <f aca="false">+AZ11/'New Qrtrly'!BI6-1</f>
        <v>#DIV/0!</v>
      </c>
      <c r="BA14" s="118" t="e">
        <f aca="false">+BA11/'New Qrtrly'!BK6-1</f>
        <v>#DIV/0!</v>
      </c>
      <c r="BB14" s="118" t="e">
        <f aca="false">+BB11/'New Qrtrly'!BM6-1</f>
        <v>#DIV/0!</v>
      </c>
      <c r="BC14" s="118" t="e">
        <f aca="false">+BC11/'New Qrtrly'!BO6-1</f>
        <v>#DIV/0!</v>
      </c>
      <c r="BD14" s="118" t="e">
        <f aca="false">+BD11/'New Qrtrly'!BQ6-1</f>
        <v>#DIV/0!</v>
      </c>
      <c r="BE14" s="118" t="e">
        <f aca="false">+BE11/'New Qrtrly'!BS6-1</f>
        <v>#DIV/0!</v>
      </c>
      <c r="BF14" s="118" t="e">
        <f aca="false">+BF11/'New Qrtrly'!BU6-1</f>
        <v>#DIV/0!</v>
      </c>
      <c r="BG14" s="118" t="e">
        <f aca="false">+BG11/'New Qrtrly'!BW6-1</f>
        <v>#DIV/0!</v>
      </c>
      <c r="BH14" s="118" t="e">
        <f aca="false">+BH11/'New Qrtrly'!BY6-1</f>
        <v>#DIV/0!</v>
      </c>
      <c r="BI14" s="118" t="e">
        <f aca="false">+BI11/'New Qrtrly'!CA6-1</f>
        <v>#DIV/0!</v>
      </c>
      <c r="BJ14" s="118" t="e">
        <f aca="false">+BJ11/'New Qrtrly'!CC6-1</f>
        <v>#DIV/0!</v>
      </c>
      <c r="BK14" s="118" t="e">
        <f aca="false">+BK11/'New Qrtrly'!CE6-1</f>
        <v>#DIV/0!</v>
      </c>
      <c r="BL14" s="118" t="e">
        <f aca="false">+BL11/'New Qrtrly'!CG6-1</f>
        <v>#DIV/0!</v>
      </c>
      <c r="BM14" s="118" t="e">
        <f aca="false">+BM11/'New Qrtrly'!CI6-1</f>
        <v>#DIV/0!</v>
      </c>
      <c r="BN14" s="118" t="e">
        <f aca="false">+BN11/'New Qrtrly'!CK6-1</f>
        <v>#DIV/0!</v>
      </c>
      <c r="BO14" s="118" t="e">
        <f aca="false">+BO11/'New Qrtrly'!CM6-1</f>
        <v>#DIV/0!</v>
      </c>
      <c r="BP14" s="118" t="e">
        <f aca="false">+BP11/'New Qrtrly'!CO6-1</f>
        <v>#DIV/0!</v>
      </c>
      <c r="BQ14" s="118" t="e">
        <f aca="false">+BQ11/'New Qrtrly'!CQ6-1</f>
        <v>#DIV/0!</v>
      </c>
      <c r="BR14" s="118" t="e">
        <f aca="false">+BR11/'New Qrtrly'!CS6-1</f>
        <v>#DIV/0!</v>
      </c>
      <c r="BS14" s="118" t="e">
        <f aca="false">+BS11/'New Qrtrly'!CU6-1</f>
        <v>#DIV/0!</v>
      </c>
      <c r="BT14" s="118" t="e">
        <f aca="false">+BT11/'New Qrtrly'!CW6-1</f>
        <v>#DIV/0!</v>
      </c>
      <c r="BU14" s="118" t="e">
        <f aca="false">+BU11/'New Qrtrly'!CY6-1</f>
        <v>#DIV/0!</v>
      </c>
      <c r="BV14" s="118" t="e">
        <f aca="false">+BV11/'New Qrtrly'!DA6-1</f>
        <v>#DIV/0!</v>
      </c>
      <c r="BW14" s="118" t="e">
        <f aca="false">+BW11/'New Qrtrly'!DC6-1</f>
        <v>#DIV/0!</v>
      </c>
      <c r="BX14" s="118" t="e">
        <f aca="false">+BX11/'New Qrtrly'!DE6-1</f>
        <v>#DIV/0!</v>
      </c>
      <c r="BY14" s="118" t="e">
        <f aca="false">+BY11/'New Qrtrly'!DG6-1</f>
        <v>#DIV/0!</v>
      </c>
      <c r="BZ14" s="118" t="e">
        <f aca="false">+BZ11/'New Qrtrly'!DI6-1</f>
        <v>#DIV/0!</v>
      </c>
      <c r="CA14" s="118" t="e">
        <f aca="false">+CA11/'New Qrtrly'!DK6-1</f>
        <v>#DIV/0!</v>
      </c>
      <c r="CB14" s="118" t="e">
        <f aca="false">+CB11/'New Qrtrly'!DM6-1</f>
        <v>#DIV/0!</v>
      </c>
      <c r="CC14" s="118" t="e">
        <f aca="false">+CC11/'New Qrtrly'!DO6-1</f>
        <v>#DIV/0!</v>
      </c>
      <c r="CE14" s="43"/>
      <c r="CF14" s="43"/>
      <c r="CG14" s="43"/>
      <c r="CI14" s="43"/>
      <c r="CJ14" s="43"/>
      <c r="CK14" s="43"/>
      <c r="CL14" s="43"/>
      <c r="CM14" s="43"/>
      <c r="CN14" s="43"/>
    </row>
    <row r="15" customFormat="false" ht="15" hidden="false" customHeight="true" outlineLevel="0" collapsed="false">
      <c r="A15" s="29" t="s">
        <v>407</v>
      </c>
      <c r="B15" s="56"/>
      <c r="C15" s="56"/>
      <c r="D15" s="56"/>
      <c r="E15" s="56"/>
      <c r="F15" s="56"/>
      <c r="G15" s="56"/>
      <c r="H15" s="56"/>
      <c r="I15" s="56"/>
      <c r="J15" s="57" t="n">
        <f aca="false">+J10/J11</f>
        <v>0.302439024390244</v>
      </c>
      <c r="K15" s="57" t="n">
        <f aca="false">+K10/K11</f>
        <v>0.233939246065634</v>
      </c>
      <c r="L15" s="57" t="n">
        <f aca="false">+L10/L11</f>
        <v>0.234192137865992</v>
      </c>
      <c r="M15" s="57" t="n">
        <f aca="false">+M10/M11</f>
        <v>0.234192137865992</v>
      </c>
      <c r="N15" s="57" t="n">
        <f aca="false">+N10/N11</f>
        <v>0.243619647569592</v>
      </c>
      <c r="O15" s="57" t="n">
        <f aca="false">+O10/O11</f>
        <v>0.243619647569592</v>
      </c>
      <c r="P15" s="57" t="n">
        <f aca="false">+P10/P11</f>
        <v>0.272533054810454</v>
      </c>
      <c r="Q15" s="57" t="n">
        <f aca="false">+Q10/Q11</f>
        <v>0.272533054810454</v>
      </c>
      <c r="R15" s="57" t="n">
        <f aca="false">+R10/R11</f>
        <v>0.261205950845859</v>
      </c>
      <c r="S15" s="57" t="n">
        <f aca="false">+S10/S11</f>
        <v>0.261205950845859</v>
      </c>
      <c r="T15" s="57" t="n">
        <f aca="false">+T10/T11</f>
        <v>0.318830975938578</v>
      </c>
      <c r="U15" s="57" t="n">
        <f aca="false">+U10/U11</f>
        <v>0.260445893046152</v>
      </c>
      <c r="V15" s="57" t="n">
        <f aca="false">+V10/V11</f>
        <v>0.325414057766108</v>
      </c>
      <c r="W15" s="57" t="n">
        <f aca="false">+W10/W11</f>
        <v>0.418930126477296</v>
      </c>
      <c r="X15" s="57" t="n">
        <f aca="false">+X10/X11</f>
        <v>0.419326923076923</v>
      </c>
      <c r="Y15" s="57" t="n">
        <f aca="false">+Y10/Y11</f>
        <v>0.335241306308072</v>
      </c>
      <c r="Z15" s="57" t="n">
        <f aca="false">+Z10/Z11</f>
        <v>0.732302045097011</v>
      </c>
      <c r="AA15" s="57" t="n">
        <f aca="false">+AA10/AA11</f>
        <v>0.591853528080642</v>
      </c>
      <c r="AB15" s="57" t="n">
        <f aca="false">+AB10/AB11</f>
        <v>0.503561807841964</v>
      </c>
      <c r="AC15" s="57" t="n">
        <f aca="false">+AC10/AC11</f>
        <v>0.403608715388107</v>
      </c>
      <c r="AD15" s="57" t="n">
        <f aca="false">+AD10/AD11</f>
        <v>0.496858842497359</v>
      </c>
      <c r="AE15" s="57" t="n">
        <f aca="false">+AE10/AE11</f>
        <v>0.509349017899285</v>
      </c>
      <c r="AF15" s="57" t="n">
        <f aca="false">+AF10/AF11</f>
        <v>0.43348886345629</v>
      </c>
      <c r="AG15" s="57" t="n">
        <f aca="false">+AG10/AG11</f>
        <v>0.342843654426404</v>
      </c>
      <c r="AH15" s="57" t="n">
        <f aca="false">+AH10/AH11</f>
        <v>0.369826738291594</v>
      </c>
      <c r="AI15" s="57" t="n">
        <f aca="false">+AI10/AI11</f>
        <v>0.385340545314052</v>
      </c>
      <c r="AJ15" s="57" t="n">
        <f aca="false">+AJ10/AJ11</f>
        <v>0.352634456078382</v>
      </c>
      <c r="AK15" s="57" t="n">
        <f aca="false">+AK10/AK11</f>
        <v>0.321724709784411</v>
      </c>
      <c r="AL15" s="57" t="n">
        <f aca="false">+AL10/AL11</f>
        <v>0.36690943405357</v>
      </c>
      <c r="AM15" s="57" t="n">
        <f aca="false">+AM10/AM11</f>
        <v>0.356297395979617</v>
      </c>
      <c r="AN15" s="57" t="n">
        <f aca="false">+AN10/AN11</f>
        <v>0.3758599521602</v>
      </c>
      <c r="AO15" s="57" t="n">
        <f aca="false">+AO10/AO11</f>
        <v>0.339796335460022</v>
      </c>
      <c r="AP15" s="57" t="n">
        <f aca="false">+AP10/AP11</f>
        <v>0.364705078258492</v>
      </c>
      <c r="AQ15" s="57" t="n">
        <f aca="false">+AQ10/AQ11</f>
        <v>0.382342626687708</v>
      </c>
      <c r="AR15" s="57" t="n">
        <f aca="false">+AR10/AR11</f>
        <v>0.352254116024481</v>
      </c>
      <c r="AS15" s="57" t="n">
        <f aca="false">+AS10/AS11</f>
        <v>0.325604974989861</v>
      </c>
      <c r="AT15" s="57" t="n">
        <f aca="false">+AT10/AT11</f>
        <v>0.36545503865455</v>
      </c>
      <c r="AU15" s="57" t="n">
        <f aca="false">+AU10/AU11</f>
        <v>0.374582620734588</v>
      </c>
      <c r="AV15" s="57" t="n">
        <f aca="false">+AV10/AV11</f>
        <v>0.35139262472885</v>
      </c>
      <c r="AW15" s="57" t="n">
        <f aca="false">+AW10/AW11</f>
        <v>0.330631460738864</v>
      </c>
      <c r="AX15" s="57" t="n">
        <f aca="false">+AX10/AX11</f>
        <v>0.396591678116605</v>
      </c>
      <c r="AZ15" s="57" t="n">
        <f aca="false">+AZ10/AZ11</f>
        <v>0.260445893046152</v>
      </c>
      <c r="BA15" s="57" t="n">
        <f aca="false">+BA10/BA11</f>
        <v>0.325414057766108</v>
      </c>
      <c r="BB15" s="57" t="n">
        <f aca="false">+BB10/BB11</f>
        <v>0.418930126477296</v>
      </c>
      <c r="BC15" s="57" t="n">
        <f aca="false">+BC10/BC11</f>
        <v>0.419326923076923</v>
      </c>
      <c r="BD15" s="57" t="n">
        <f aca="false">+BD10/BD11</f>
        <v>0.335241306308072</v>
      </c>
      <c r="BE15" s="57" t="n">
        <f aca="false">+BE10/BE11</f>
        <v>0.732302045097011</v>
      </c>
      <c r="BF15" s="57" t="n">
        <f aca="false">+BF10/BF11</f>
        <v>0.591853528080642</v>
      </c>
      <c r="BG15" s="57" t="n">
        <f aca="false">+BG10/BG11</f>
        <v>0.503561807841964</v>
      </c>
      <c r="BH15" s="57" t="n">
        <f aca="false">+BH10/BH11</f>
        <v>0.403608715388107</v>
      </c>
      <c r="BI15" s="57" t="n">
        <f aca="false">+BI10/BI11</f>
        <v>0.496858842497359</v>
      </c>
      <c r="BJ15" s="57" t="n">
        <f aca="false">+BJ10/BJ11</f>
        <v>0.509349017899285</v>
      </c>
      <c r="BK15" s="57" t="n">
        <f aca="false">+BK10/BK11</f>
        <v>0.43348886345629</v>
      </c>
      <c r="BL15" s="57" t="n">
        <f aca="false">+BL10/BL11</f>
        <v>0.342843654426404</v>
      </c>
      <c r="BM15" s="57" t="n">
        <f aca="false">+BM10/BM11</f>
        <v>0.369826738291594</v>
      </c>
      <c r="BN15" s="57" t="n">
        <f aca="false">+BN10/BN11</f>
        <v>0.385340545314052</v>
      </c>
      <c r="BO15" s="57" t="n">
        <f aca="false">+BO10/BO11</f>
        <v>0.352634456078382</v>
      </c>
      <c r="BP15" s="57" t="n">
        <f aca="false">+BP10/BP11</f>
        <v>0.321724709784411</v>
      </c>
      <c r="BQ15" s="57" t="n">
        <f aca="false">+BQ10/BQ11</f>
        <v>0.36690943405357</v>
      </c>
      <c r="BR15" s="57" t="n">
        <f aca="false">+BR10/BR11</f>
        <v>0.356297395979617</v>
      </c>
      <c r="BS15" s="57" t="n">
        <f aca="false">+BS10/BS11</f>
        <v>0.3758599521602</v>
      </c>
      <c r="BT15" s="57" t="n">
        <f aca="false">+BT10/BT11</f>
        <v>0.339796335460022</v>
      </c>
      <c r="BU15" s="57" t="n">
        <f aca="false">+BU10/BU11</f>
        <v>0.364705078258492</v>
      </c>
      <c r="BV15" s="57" t="n">
        <f aca="false">+BV10/BV11</f>
        <v>0.382342626687708</v>
      </c>
      <c r="BW15" s="57" t="n">
        <f aca="false">+BW10/BW11</f>
        <v>0.352254116024481</v>
      </c>
      <c r="BX15" s="57" t="n">
        <f aca="false">+BX10/BX11</f>
        <v>0.325604974989861</v>
      </c>
      <c r="BY15" s="57" t="n">
        <f aca="false">+BY10/BY11</f>
        <v>0.36545503865455</v>
      </c>
      <c r="BZ15" s="57" t="n">
        <f aca="false">+BZ10/BZ11</f>
        <v>0.374582620734588</v>
      </c>
      <c r="CA15" s="57" t="n">
        <f aca="false">+CA10/CA11</f>
        <v>0.35139262472885</v>
      </c>
      <c r="CB15" s="57" t="n">
        <f aca="false">+CB10/CB11</f>
        <v>0.330631460738864</v>
      </c>
      <c r="CC15" s="57" t="n">
        <f aca="false">+CC10/CC11</f>
        <v>0.396591678116605</v>
      </c>
      <c r="CE15" s="56"/>
      <c r="CF15" s="56"/>
      <c r="CG15" s="56"/>
      <c r="CI15" s="56"/>
      <c r="CJ15" s="56"/>
      <c r="CK15" s="56"/>
      <c r="CL15" s="56"/>
      <c r="CM15" s="56"/>
      <c r="CN15" s="56"/>
    </row>
    <row r="16" customFormat="false" ht="15" hidden="false" customHeight="true" outlineLevel="0" collapsed="false">
      <c r="A16" s="29" t="s">
        <v>409</v>
      </c>
      <c r="B16" s="30"/>
      <c r="C16" s="30"/>
      <c r="D16" s="30"/>
      <c r="E16" s="30"/>
      <c r="F16" s="30"/>
      <c r="G16" s="30"/>
      <c r="H16" s="30"/>
      <c r="I16" s="30"/>
      <c r="J16" s="31" t="n">
        <f aca="false">J11+K11</f>
        <v>69480</v>
      </c>
      <c r="K16" s="32" t="n">
        <f aca="false">157000/J16*(J35+J34+K35+K34)</f>
        <v>163722.557872769</v>
      </c>
      <c r="L16" s="32" t="n">
        <f aca="false">157000/K16*(K35+K34+L35+L34)</f>
        <v>90003.7431277567</v>
      </c>
      <c r="M16" s="32" t="n">
        <f aca="false">157000/L16*(L35+L34+M35+M34)</f>
        <v>176050.220705914</v>
      </c>
      <c r="N16" s="32" t="n">
        <f aca="false">157000/L16*(L35+L34+N35+N34)</f>
        <v>198646.345003914</v>
      </c>
      <c r="O16" s="32" t="n">
        <f aca="false">157000/M16*(M35+M34+O35+O34)</f>
        <v>100402.466575301</v>
      </c>
      <c r="P16" s="32" t="n">
        <f aca="false">157000/N16*(N35+N34+P35+P34)</f>
        <v>84229.0670219497</v>
      </c>
      <c r="Q16" s="32" t="n">
        <f aca="false">157000/O16*(O35+O34+Q35+Q34)</f>
        <v>165203.257108828</v>
      </c>
      <c r="R16" s="32" t="n">
        <f aca="false">157000/P16*(P35+P34+R35+R34)</f>
        <v>184158.460130608</v>
      </c>
      <c r="S16" s="32" t="n">
        <f aca="false">157000/R16*(R35+R34+S35+S34)</f>
        <v>94003.1830670308</v>
      </c>
      <c r="T16" s="32" t="n">
        <f aca="false">157000/R16*(R35+R34+T35+T34)</f>
        <v>84950.1170345629</v>
      </c>
      <c r="U16" s="30"/>
      <c r="V16" s="30"/>
      <c r="W16" s="30"/>
      <c r="X16" s="30"/>
      <c r="Y16" s="30"/>
      <c r="Z16" s="32" t="n">
        <f aca="false">+Z33*0.2</f>
        <v>1301.74</v>
      </c>
      <c r="AA16" s="32" t="n">
        <f aca="false">0.45*AA33</f>
        <v>12764.61</v>
      </c>
      <c r="AB16" s="32" t="n">
        <f aca="false">0.56*AB33</f>
        <v>26955.656</v>
      </c>
      <c r="AC16" s="30"/>
      <c r="AD16" s="30"/>
      <c r="AE16" s="30"/>
      <c r="AF16" s="30"/>
      <c r="AG16" s="30"/>
      <c r="AH16" s="30"/>
      <c r="AI16" s="30"/>
      <c r="AJ16" s="30"/>
      <c r="AK16" s="30"/>
      <c r="AL16" s="30"/>
      <c r="AM16" s="30"/>
      <c r="AN16" s="30"/>
      <c r="AO16" s="30"/>
      <c r="AP16" s="30"/>
      <c r="AQ16" s="30"/>
      <c r="AR16" s="30"/>
      <c r="AS16" s="30"/>
      <c r="AT16" s="30"/>
      <c r="AU16" s="30"/>
      <c r="AV16" s="30"/>
      <c r="AW16" s="30"/>
      <c r="AX16" s="30"/>
      <c r="AZ16" s="30"/>
      <c r="BA16" s="30"/>
      <c r="BB16" s="30"/>
      <c r="BC16" s="30"/>
      <c r="BD16" s="30"/>
      <c r="BE16" s="30"/>
      <c r="BF16" s="32" t="n">
        <f aca="false">+Z16/Z9*BF9*1.05</f>
        <v>10624.0343506366</v>
      </c>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E16" s="30"/>
      <c r="CF16" s="30"/>
      <c r="CG16" s="30"/>
      <c r="CI16" s="30"/>
      <c r="CJ16" s="30"/>
      <c r="CK16" s="30"/>
      <c r="CL16" s="30"/>
      <c r="CM16" s="30"/>
      <c r="CN16" s="30"/>
    </row>
    <row r="17" customFormat="false" ht="15" hidden="false" customHeight="true" outlineLevel="0" collapsed="false">
      <c r="A17" s="29" t="s">
        <v>412</v>
      </c>
      <c r="B17" s="30"/>
      <c r="C17" s="30"/>
      <c r="D17" s="30"/>
      <c r="E17" s="30"/>
      <c r="F17" s="30"/>
      <c r="G17" s="30"/>
      <c r="H17" s="30"/>
      <c r="I17" s="30"/>
      <c r="J17" s="30"/>
      <c r="K17" s="30"/>
      <c r="L17" s="30"/>
      <c r="M17" s="30"/>
      <c r="N17" s="30"/>
      <c r="O17" s="30"/>
      <c r="P17" s="30"/>
      <c r="Q17" s="30"/>
      <c r="R17" s="30"/>
      <c r="S17" s="30"/>
      <c r="T17" s="30"/>
      <c r="U17" s="30"/>
      <c r="V17" s="30"/>
      <c r="W17" s="30"/>
      <c r="X17" s="30"/>
      <c r="Y17" s="30"/>
      <c r="Z17" s="32" t="n">
        <f aca="false">+Z31*0.21</f>
        <v>1366.827</v>
      </c>
      <c r="AA17" s="32" t="n">
        <f aca="false">+AA31*0.21</f>
        <v>5956.818</v>
      </c>
      <c r="AB17" s="32" t="n">
        <f aca="false">+AB9*2+AB10*0.7</f>
        <v>44948.8</v>
      </c>
      <c r="AC17" s="30"/>
      <c r="AD17" s="30"/>
      <c r="AE17" s="30"/>
      <c r="AF17" s="30"/>
      <c r="AG17" s="30"/>
      <c r="AH17" s="30"/>
      <c r="AI17" s="30"/>
      <c r="AJ17" s="30"/>
      <c r="AK17" s="30"/>
      <c r="AL17" s="30"/>
      <c r="AM17" s="30"/>
      <c r="AN17" s="30"/>
      <c r="AO17" s="30"/>
      <c r="AP17" s="30"/>
      <c r="AQ17" s="30"/>
      <c r="AR17" s="30"/>
      <c r="AS17" s="30"/>
      <c r="AT17" s="30"/>
      <c r="AU17" s="30"/>
      <c r="AV17" s="30"/>
      <c r="AW17" s="30"/>
      <c r="AX17" s="30"/>
      <c r="AZ17" s="30"/>
      <c r="BA17" s="30"/>
      <c r="BB17" s="30"/>
      <c r="BC17" s="30"/>
      <c r="BD17" s="30"/>
      <c r="BE17" s="30"/>
      <c r="BF17" s="31" t="n">
        <f aca="false">+Z17/Z10*BF10</f>
        <v>5631.73831578947</v>
      </c>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E17" s="30"/>
      <c r="CF17" s="30"/>
      <c r="CG17" s="30"/>
      <c r="CI17" s="30"/>
      <c r="CJ17" s="30"/>
      <c r="CK17" s="30"/>
      <c r="CL17" s="30"/>
      <c r="CM17" s="30"/>
      <c r="CN17" s="30"/>
    </row>
    <row r="18" customFormat="false" ht="15" hidden="false" customHeight="true" outlineLevel="0" collapsed="false">
      <c r="A18" s="29" t="s">
        <v>407</v>
      </c>
      <c r="B18" s="43"/>
      <c r="C18" s="43"/>
      <c r="D18" s="43"/>
      <c r="E18" s="43"/>
      <c r="F18" s="43"/>
      <c r="G18" s="43"/>
      <c r="H18" s="43"/>
      <c r="I18" s="43"/>
      <c r="J18" s="43"/>
      <c r="K18" s="43"/>
      <c r="L18" s="43"/>
      <c r="M18" s="43"/>
      <c r="N18" s="43"/>
      <c r="O18" s="43"/>
      <c r="P18" s="59" t="n">
        <f aca="false">+P11/J11-1</f>
        <v>0.478399719248991</v>
      </c>
      <c r="Q18" s="43"/>
      <c r="R18" s="59" t="n">
        <f aca="false">+R11/K11-1</f>
        <v>0.267756496279127</v>
      </c>
      <c r="S18" s="43"/>
      <c r="T18" s="59" t="n">
        <f aca="false">+T11/M11-1</f>
        <v>-0.0619668195653106</v>
      </c>
      <c r="U18" s="59" t="n">
        <f aca="false">+U11/O11-1</f>
        <v>0.013382140120882</v>
      </c>
      <c r="V18" s="43"/>
      <c r="W18" s="43"/>
      <c r="X18" s="43"/>
      <c r="Y18" s="43"/>
      <c r="Z18" s="59" t="n">
        <f aca="false">0.25*Z31</f>
        <v>1627.175</v>
      </c>
      <c r="AA18" s="59" t="n">
        <f aca="false">0.25*AA31</f>
        <v>7091.45</v>
      </c>
      <c r="AB18" s="43"/>
      <c r="AC18" s="89" t="n">
        <f aca="false">0.65*AC31</f>
        <v>45503.185</v>
      </c>
      <c r="AD18" s="89" t="n">
        <f aca="false">0.52*AD33</f>
        <v>15345.148</v>
      </c>
      <c r="AE18" s="89" t="n">
        <f aca="false">0.52*AE33</f>
        <v>23180.82</v>
      </c>
      <c r="AF18" s="89" t="n">
        <f aca="false">0.52*AF33</f>
        <v>28782.832</v>
      </c>
      <c r="AG18" s="89" t="n">
        <f aca="false">0.52*AG33</f>
        <v>45470.308</v>
      </c>
      <c r="AH18" s="89" t="n">
        <f aca="false">0.52*AH33</f>
        <v>37558.82</v>
      </c>
      <c r="AI18" s="89" t="n">
        <f aca="false">0.52*AI33</f>
        <v>42982.94</v>
      </c>
      <c r="AJ18" s="89" t="n">
        <f aca="false">0.52*AJ33</f>
        <v>46954.284</v>
      </c>
      <c r="AK18" s="89" t="n">
        <f aca="false">0.52*AK33</f>
        <v>60453.484</v>
      </c>
      <c r="AL18" s="89" t="n">
        <f aca="false">0.52*AL33</f>
        <v>42584.308</v>
      </c>
      <c r="AM18" s="89" t="n">
        <f aca="false">0.52*AM33</f>
        <v>50117.808</v>
      </c>
      <c r="AN18" s="89" t="n">
        <f aca="false">0.52*AN33</f>
        <v>48219.652</v>
      </c>
      <c r="AO18" s="89" t="n">
        <f aca="false">0.52*AO33</f>
        <v>58586.788</v>
      </c>
      <c r="AP18" s="89" t="n">
        <f aca="false">0.52*AP33</f>
        <v>44712.356</v>
      </c>
      <c r="AQ18" s="89" t="n">
        <f aca="false">0.52*AQ33</f>
        <v>45597.916</v>
      </c>
      <c r="AR18" s="89" t="n">
        <f aca="false">0.52*AR33</f>
        <v>49289.084</v>
      </c>
      <c r="AS18" s="89" t="n">
        <f aca="false">0.52*AS33</f>
        <v>61914.892</v>
      </c>
      <c r="AT18" s="43"/>
      <c r="AU18" s="43"/>
      <c r="AV18" s="43"/>
      <c r="AW18" s="43"/>
      <c r="AX18" s="43"/>
      <c r="AZ18" s="43"/>
      <c r="BA18" s="43"/>
      <c r="BB18" s="43"/>
      <c r="BC18" s="43"/>
      <c r="BD18" s="43"/>
      <c r="BE18" s="43"/>
      <c r="BF18" s="59" t="n">
        <f aca="false">+Z18*2</f>
        <v>3254.35</v>
      </c>
      <c r="BG18" s="43"/>
      <c r="BH18" s="43"/>
      <c r="BI18" s="43"/>
      <c r="BJ18" s="43"/>
      <c r="BK18" s="43"/>
      <c r="BL18" s="43"/>
      <c r="BM18" s="43"/>
      <c r="BN18" s="43"/>
      <c r="BO18" s="43"/>
      <c r="BP18" s="43"/>
      <c r="BQ18" s="43"/>
      <c r="BR18" s="43"/>
      <c r="BS18" s="43"/>
      <c r="BT18" s="43"/>
      <c r="BU18" s="43"/>
      <c r="BV18" s="43"/>
      <c r="BW18" s="43"/>
      <c r="BX18" s="89" t="n">
        <f aca="false">0.52*BX33</f>
        <v>63797.9871844186</v>
      </c>
      <c r="BY18" s="43"/>
      <c r="BZ18" s="43"/>
      <c r="CA18" s="43"/>
      <c r="CB18" s="43"/>
      <c r="CC18" s="43"/>
      <c r="CE18" s="43"/>
      <c r="CF18" s="43"/>
      <c r="CG18" s="43"/>
      <c r="CI18" s="43"/>
      <c r="CJ18" s="43"/>
      <c r="CK18" s="43"/>
      <c r="CL18" s="43"/>
      <c r="CM18" s="43"/>
      <c r="CN18" s="43"/>
    </row>
    <row r="19" customFormat="false" ht="15" hidden="false" customHeight="true" outlineLevel="0" collapsed="false">
      <c r="A19" s="29" t="s">
        <v>878</v>
      </c>
      <c r="B19" s="30"/>
      <c r="C19" s="30"/>
      <c r="D19" s="30"/>
      <c r="E19" s="30"/>
      <c r="F19" s="30"/>
      <c r="G19" s="30"/>
      <c r="H19" s="30"/>
      <c r="I19" s="30"/>
      <c r="J19" s="30"/>
      <c r="K19" s="30"/>
      <c r="L19" s="30"/>
      <c r="M19" s="30"/>
      <c r="N19" s="30"/>
      <c r="O19" s="30"/>
      <c r="P19" s="30"/>
      <c r="Q19" s="30"/>
      <c r="R19" s="30"/>
      <c r="S19" s="30"/>
      <c r="T19" s="30"/>
      <c r="U19" s="30"/>
      <c r="V19" s="30"/>
      <c r="W19" s="30"/>
      <c r="X19" s="30"/>
      <c r="Y19" s="30"/>
      <c r="Z19" s="31" t="n">
        <f aca="false">+Z31-Z18-Z17-Z16</f>
        <v>2212.958</v>
      </c>
      <c r="AA19" s="31" t="n">
        <f aca="false">+AA31-AA18-AA17-AA16</f>
        <v>2552.922</v>
      </c>
      <c r="AB19" s="30"/>
      <c r="AC19" s="31" t="n">
        <f aca="false">+AC31-AC18</f>
        <v>24501.715</v>
      </c>
      <c r="AD19" s="31" t="n">
        <f aca="false">+AD31-AD18</f>
        <v>14164.752</v>
      </c>
      <c r="AE19" s="31" t="n">
        <f aca="false">+AE31-AE18</f>
        <v>21397.68</v>
      </c>
      <c r="AF19" s="31" t="n">
        <f aca="false">+AF31-AF18</f>
        <v>26568.768</v>
      </c>
      <c r="AG19" s="31" t="n">
        <f aca="false">+AG31-AG18</f>
        <v>41972.592</v>
      </c>
      <c r="AH19" s="31" t="n">
        <f aca="false">+AH31-AH18</f>
        <v>34669.68</v>
      </c>
      <c r="AI19" s="31" t="n">
        <f aca="false">+AI31-AI18</f>
        <v>39676.56</v>
      </c>
      <c r="AJ19" s="31" t="n">
        <f aca="false">+AJ31-AJ18</f>
        <v>43342.416</v>
      </c>
      <c r="AK19" s="31" t="n">
        <f aca="false">+AK31-AK18</f>
        <v>55803.216</v>
      </c>
      <c r="AL19" s="31" t="n">
        <f aca="false">+AL31-AL18</f>
        <v>39308.592</v>
      </c>
      <c r="AM19" s="31" t="n">
        <f aca="false">+AM31-AM18</f>
        <v>46262.592</v>
      </c>
      <c r="AN19" s="31" t="n">
        <f aca="false">+AN31-AN18</f>
        <v>44510.448</v>
      </c>
      <c r="AO19" s="31" t="n">
        <f aca="false">+AO31-AO18</f>
        <v>54080.112</v>
      </c>
      <c r="AP19" s="31" t="n">
        <f aca="false">+AP31-AP18</f>
        <v>41272.944</v>
      </c>
      <c r="AQ19" s="31" t="n">
        <f aca="false">+AQ31-AQ18</f>
        <v>42090.384</v>
      </c>
      <c r="AR19" s="31" t="n">
        <f aca="false">+AR31-AR18</f>
        <v>45497.616</v>
      </c>
      <c r="AS19" s="31" t="n">
        <f aca="false">+AS31-AS18</f>
        <v>57152.208</v>
      </c>
      <c r="AT19" s="30"/>
      <c r="AU19" s="30"/>
      <c r="AV19" s="30"/>
      <c r="AW19" s="30"/>
      <c r="AX19" s="30"/>
      <c r="AZ19" s="30"/>
      <c r="BA19" s="30"/>
      <c r="BB19" s="30"/>
      <c r="BC19" s="30"/>
      <c r="BD19" s="30"/>
      <c r="BE19" s="30"/>
      <c r="BF19" s="32" t="n">
        <f aca="false">+Z19*1.2</f>
        <v>2655.5496</v>
      </c>
      <c r="BG19" s="30"/>
      <c r="BH19" s="30"/>
      <c r="BI19" s="30"/>
      <c r="BJ19" s="30"/>
      <c r="BK19" s="30"/>
      <c r="BL19" s="30"/>
      <c r="BM19" s="30"/>
      <c r="BN19" s="30"/>
      <c r="BO19" s="30"/>
      <c r="BP19" s="30"/>
      <c r="BQ19" s="30"/>
      <c r="BR19" s="30"/>
      <c r="BS19" s="30"/>
      <c r="BT19" s="30"/>
      <c r="BU19" s="30"/>
      <c r="BV19" s="30"/>
      <c r="BW19" s="30"/>
      <c r="BX19" s="31" t="n">
        <f aca="false">+BX31-BX18</f>
        <v>-63797.9871844186</v>
      </c>
      <c r="BY19" s="30"/>
      <c r="BZ19" s="30"/>
      <c r="CA19" s="30"/>
      <c r="CB19" s="30"/>
      <c r="CC19" s="30"/>
      <c r="CE19" s="30"/>
      <c r="CF19" s="30"/>
      <c r="CG19" s="30"/>
      <c r="CI19" s="30"/>
      <c r="CJ19" s="30"/>
      <c r="CK19" s="30"/>
      <c r="CL19" s="30"/>
      <c r="CM19" s="30"/>
      <c r="CN19" s="30"/>
    </row>
    <row r="20" customFormat="false" ht="15" hidden="false" customHeight="true" outlineLevel="0" collapsed="false">
      <c r="A20" s="29" t="s">
        <v>879</v>
      </c>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59" t="n">
        <f aca="false">+AA10/AA11</f>
        <v>0.591853528080642</v>
      </c>
      <c r="AB20" s="59" t="n">
        <f aca="false">+AB10/AB11</f>
        <v>0.503561807841964</v>
      </c>
      <c r="AC20" s="59" t="n">
        <f aca="false">+AC10/AC11</f>
        <v>0.403608715388107</v>
      </c>
      <c r="AD20" s="59" t="n">
        <f aca="false">+AD10/AD11</f>
        <v>0.496858842497359</v>
      </c>
      <c r="AE20" s="59" t="n">
        <f aca="false">+AE10/AE11</f>
        <v>0.509349017899285</v>
      </c>
      <c r="AF20" s="59" t="n">
        <f aca="false">+AF10/AF11</f>
        <v>0.43348886345629</v>
      </c>
      <c r="AG20" s="59" t="n">
        <f aca="false">+AG10/AG11</f>
        <v>0.342843654426404</v>
      </c>
      <c r="AH20" s="59" t="n">
        <f aca="false">+AH10/AH11</f>
        <v>0.369826738291594</v>
      </c>
      <c r="AI20" s="59" t="n">
        <f aca="false">+AI10/AI11</f>
        <v>0.385340545314052</v>
      </c>
      <c r="AJ20" s="59" t="n">
        <f aca="false">+AJ10/AJ11</f>
        <v>0.352634456078382</v>
      </c>
      <c r="AK20" s="59" t="n">
        <f aca="false">+AK10/AK11</f>
        <v>0.321724709784411</v>
      </c>
      <c r="AL20" s="59" t="n">
        <f aca="false">+AL10/AL11</f>
        <v>0.36690943405357</v>
      </c>
      <c r="AM20" s="59" t="n">
        <f aca="false">+AM10/AM11</f>
        <v>0.356297395979617</v>
      </c>
      <c r="AN20" s="59" t="n">
        <f aca="false">+AN10/AN11</f>
        <v>0.3758599521602</v>
      </c>
      <c r="AO20" s="59" t="n">
        <f aca="false">+AO10/AO11</f>
        <v>0.339796335460022</v>
      </c>
      <c r="AP20" s="59" t="n">
        <f aca="false">+AP10/AP11</f>
        <v>0.364705078258492</v>
      </c>
      <c r="AQ20" s="59" t="n">
        <f aca="false">+AQ10/AQ11</f>
        <v>0.382342626687708</v>
      </c>
      <c r="AR20" s="59" t="n">
        <f aca="false">+AR10/AR11</f>
        <v>0.352254116024481</v>
      </c>
      <c r="AS20" s="59" t="n">
        <f aca="false">+AS10/AS11</f>
        <v>0.325604974989861</v>
      </c>
      <c r="AT20" s="59" t="n">
        <f aca="false">+AT10/AT11</f>
        <v>0.36545503865455</v>
      </c>
      <c r="AU20" s="59" t="n">
        <f aca="false">+AU10/AU11</f>
        <v>0.374582620734588</v>
      </c>
      <c r="AV20" s="59" t="n">
        <f aca="false">+AV10/AV11</f>
        <v>0.35139262472885</v>
      </c>
      <c r="AW20" s="59" t="n">
        <f aca="false">+AW10/AW11</f>
        <v>0.330631460738864</v>
      </c>
      <c r="AX20" s="59" t="n">
        <f aca="false">+AX10/AX11</f>
        <v>0.396591678116605</v>
      </c>
      <c r="AZ20" s="43"/>
      <c r="BA20" s="43"/>
      <c r="BB20" s="43"/>
      <c r="BC20" s="43"/>
      <c r="BD20" s="43"/>
      <c r="BE20" s="43"/>
      <c r="BF20" s="43"/>
      <c r="BG20" s="43"/>
      <c r="BH20" s="43"/>
      <c r="BI20" s="59" t="n">
        <f aca="false">+BI10/BI11</f>
        <v>0.496858842497359</v>
      </c>
      <c r="BJ20" s="59" t="n">
        <f aca="false">+BJ10/BJ11</f>
        <v>0.509349017899285</v>
      </c>
      <c r="BK20" s="59" t="n">
        <f aca="false">+BK10/BK11</f>
        <v>0.43348886345629</v>
      </c>
      <c r="BL20" s="59" t="n">
        <f aca="false">+BL10/BL11</f>
        <v>0.342843654426404</v>
      </c>
      <c r="BM20" s="59" t="n">
        <f aca="false">+BM10/BM11</f>
        <v>0.369826738291594</v>
      </c>
      <c r="BN20" s="59" t="n">
        <f aca="false">+BN10/BN11</f>
        <v>0.385340545314052</v>
      </c>
      <c r="BO20" s="59" t="n">
        <f aca="false">+BO10/BO11</f>
        <v>0.352634456078382</v>
      </c>
      <c r="BP20" s="59" t="n">
        <f aca="false">+BP10/BP11</f>
        <v>0.321724709784411</v>
      </c>
      <c r="BQ20" s="59" t="n">
        <f aca="false">+BQ10/BQ11</f>
        <v>0.36690943405357</v>
      </c>
      <c r="BR20" s="59" t="n">
        <f aca="false">+BR10/BR11</f>
        <v>0.356297395979617</v>
      </c>
      <c r="BS20" s="59" t="n">
        <f aca="false">+BS10/BS11</f>
        <v>0.3758599521602</v>
      </c>
      <c r="BT20" s="59" t="n">
        <f aca="false">+BT10/BT11</f>
        <v>0.339796335460022</v>
      </c>
      <c r="BU20" s="59" t="n">
        <f aca="false">+BU10/BU11</f>
        <v>0.364705078258492</v>
      </c>
      <c r="BV20" s="59" t="n">
        <f aca="false">+BV10/BV11</f>
        <v>0.382342626687708</v>
      </c>
      <c r="BW20" s="59" t="n">
        <f aca="false">+BW10/BW11</f>
        <v>0.352254116024481</v>
      </c>
      <c r="BX20" s="59" t="n">
        <f aca="false">+BX10/BX11</f>
        <v>0.325604974989861</v>
      </c>
      <c r="BY20" s="59" t="n">
        <f aca="false">+BY10/BY11</f>
        <v>0.36545503865455</v>
      </c>
      <c r="BZ20" s="59" t="n">
        <f aca="false">+BZ10/BZ11</f>
        <v>0.374582620734588</v>
      </c>
      <c r="CA20" s="59" t="n">
        <f aca="false">+CA10/CA11</f>
        <v>0.35139262472885</v>
      </c>
      <c r="CB20" s="59" t="n">
        <f aca="false">+CB10/CB11</f>
        <v>0.330631460738864</v>
      </c>
      <c r="CC20" s="59" t="n">
        <f aca="false">+CC10/CC11</f>
        <v>0.396591678116605</v>
      </c>
      <c r="CE20" s="43"/>
      <c r="CF20" s="43"/>
      <c r="CG20" s="43"/>
      <c r="CI20" s="43"/>
      <c r="CJ20" s="43"/>
      <c r="CK20" s="43"/>
      <c r="CL20" s="43"/>
      <c r="CM20" s="43"/>
      <c r="CN20" s="43"/>
    </row>
    <row r="22" customFormat="false" ht="15" hidden="false" customHeight="true" outlineLevel="0" collapsed="false">
      <c r="A22" s="38" t="s">
        <v>880</v>
      </c>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7"/>
      <c r="BQ22" s="117"/>
      <c r="BR22" s="117"/>
      <c r="BS22" s="117"/>
      <c r="BT22" s="117"/>
      <c r="BU22" s="117"/>
      <c r="BV22" s="117"/>
      <c r="BW22" s="117"/>
      <c r="BX22" s="117"/>
      <c r="BY22" s="117"/>
      <c r="BZ22" s="117"/>
      <c r="CA22" s="117"/>
      <c r="CB22" s="117"/>
      <c r="CC22" s="117"/>
      <c r="CD22" s="117"/>
      <c r="CE22" s="117"/>
      <c r="CF22" s="117"/>
      <c r="CG22" s="117"/>
      <c r="CH22" s="117"/>
      <c r="CI22" s="117"/>
      <c r="CJ22" s="117"/>
      <c r="CK22" s="117"/>
      <c r="CL22" s="117"/>
      <c r="CM22" s="117"/>
      <c r="CN22" s="117"/>
    </row>
    <row r="23" customFormat="false" ht="15" hidden="false" customHeight="true" outlineLevel="0" collapsed="false">
      <c r="A23" s="29" t="s">
        <v>881</v>
      </c>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E23" s="43"/>
      <c r="CF23" s="43"/>
      <c r="CG23" s="43"/>
      <c r="CI23" s="43"/>
      <c r="CJ23" s="43"/>
      <c r="CK23" s="43"/>
      <c r="CL23" s="43"/>
      <c r="CM23" s="43"/>
      <c r="CN23" s="43"/>
    </row>
    <row r="24" customFormat="false" ht="15" hidden="false" customHeight="true" outlineLevel="0" collapsed="false">
      <c r="A24" s="29" t="s">
        <v>882</v>
      </c>
      <c r="B24" s="30"/>
      <c r="C24" s="30"/>
      <c r="D24" s="30"/>
      <c r="E24" s="30"/>
      <c r="F24" s="30"/>
      <c r="G24" s="30"/>
      <c r="H24" s="30"/>
      <c r="I24" s="30"/>
      <c r="J24" s="30"/>
      <c r="K24" s="30"/>
      <c r="L24" s="30"/>
      <c r="M24" s="30"/>
      <c r="N24" s="30"/>
      <c r="O24" s="30"/>
      <c r="P24" s="30"/>
      <c r="Q24" s="30"/>
      <c r="R24" s="30"/>
      <c r="S24" s="30"/>
      <c r="T24" s="30"/>
      <c r="U24" s="30"/>
      <c r="V24" s="30"/>
      <c r="W24" s="30"/>
      <c r="X24" s="31" t="n">
        <f aca="false">+(X35+X34)/X11*1000000</f>
        <v>946548.076923077</v>
      </c>
      <c r="Y24" s="31" t="n">
        <f aca="false">+(Y35+Y34)/Y11*1000000</f>
        <v>1069886.69776924</v>
      </c>
      <c r="Z24" s="31" t="n">
        <f aca="false">+(Z35+Z34)/Z11*1000000</f>
        <v>1094520.18877819</v>
      </c>
      <c r="AA24" s="31" t="n">
        <f aca="false">+(AA35+AA34)/AA11*1000000</f>
        <v>1038911.74655421</v>
      </c>
      <c r="AB24" s="31" t="n">
        <f aca="false">+(AB35+AB34)/AB11*1000000</f>
        <v>1072256.80933852</v>
      </c>
      <c r="AC24" s="31" t="n">
        <f aca="false">+(AC35+AC34)/AC11*1000000</f>
        <v>1221831.59328189</v>
      </c>
      <c r="AD24" s="31" t="n">
        <f aca="false">+(AD35+AD34)/AD11*1000000</f>
        <v>1216017.12347807</v>
      </c>
      <c r="AE24" s="31" t="n">
        <f aca="false">+(AE35+AE34)/AE11*1000000</f>
        <v>1241164.72424936</v>
      </c>
      <c r="AF24" s="31" t="n">
        <f aca="false">+(AF35+AF34)/AF11*1000000</f>
        <v>1265695.33703084</v>
      </c>
      <c r="AG24" s="31" t="n">
        <f aca="false">+(AG35+AG34)/AG11*1000000</f>
        <v>1404415.11525278</v>
      </c>
      <c r="AH24" s="31" t="n">
        <f aca="false">+(AH35+AH34)/AH11*1000000</f>
        <v>1444616.78141787</v>
      </c>
      <c r="AI24" s="31" t="n">
        <f aca="false">+(AI35+AI34)/AI11*1000000</f>
        <v>1423243.18357435</v>
      </c>
      <c r="AJ24" s="31" t="n">
        <f aca="false">+(AJ35+AJ34)/AJ11*1000000</f>
        <v>1447762.91997813</v>
      </c>
      <c r="AK24" s="31" t="n">
        <f aca="false">+(AK35+AK34)/AK11*1000000</f>
        <v>1472213.00902893</v>
      </c>
      <c r="AL24" s="31" t="n">
        <f aca="false">+(AL35+AL34)/AL11*1000000</f>
        <v>1460753.95001089</v>
      </c>
      <c r="AM24" s="31" t="n">
        <f aca="false">+(AM35+AM34)/AM11*1000000</f>
        <v>1421688.80150865</v>
      </c>
      <c r="AN24" s="31" t="n">
        <f aca="false">+(AN35+AN34)/AN11*1000000</f>
        <v>1417781.16466629</v>
      </c>
      <c r="AO24" s="31" t="n">
        <f aca="false">+(AO35+AO34)/AO11*1000000</f>
        <v>1437837.88586966</v>
      </c>
      <c r="AP24" s="31" t="n">
        <f aca="false">+(AP35+AP34)/AP11*1000000</f>
        <v>1413583.03146288</v>
      </c>
      <c r="AQ24" s="31" t="n">
        <f aca="false">+(AQ35+AQ34)/AQ11*1000000</f>
        <v>1367929.16009118</v>
      </c>
      <c r="AR24" s="31" t="n">
        <f aca="false">+(AR35+AR34)/AR11*1000000</f>
        <v>1459848.28894061</v>
      </c>
      <c r="AS24" s="31" t="n">
        <f aca="false">+(AS35+AS34)/AS11*1000000</f>
        <v>1419970.9341625</v>
      </c>
      <c r="AT24" s="31" t="n">
        <f aca="false">+(AT35+AT34)/AT11*1000000</f>
        <v>1393107.73543108</v>
      </c>
      <c r="AU24" s="31" t="n">
        <f aca="false">+(AU35+AU34)/AU11*1000000</f>
        <v>1389300.83883052</v>
      </c>
      <c r="AV24" s="31" t="n">
        <f aca="false">+(AV35+AV34)/AV11*1000000</f>
        <v>1444737.52711497</v>
      </c>
      <c r="AW24" s="31" t="n">
        <f aca="false">+(AW35+AW34)/AW11*1000000</f>
        <v>1454882.08701661</v>
      </c>
      <c r="AX24" s="31" t="n">
        <f aca="false">+(AX35+AX34)/AX11*1000000</f>
        <v>1413446.67063142</v>
      </c>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1" t="n">
        <f aca="false">+(BX35+BX34)/BX11*1000000</f>
        <v>1482395.43697742</v>
      </c>
      <c r="BY24" s="30"/>
      <c r="BZ24" s="30"/>
      <c r="CA24" s="30"/>
      <c r="CB24" s="30"/>
      <c r="CC24" s="30"/>
      <c r="CE24" s="30"/>
      <c r="CF24" s="30"/>
      <c r="CG24" s="30"/>
      <c r="CI24" s="30"/>
      <c r="CJ24" s="30"/>
      <c r="CK24" s="30"/>
      <c r="CL24" s="30"/>
      <c r="CM24" s="30"/>
      <c r="CN24" s="30"/>
    </row>
    <row r="25" customFormat="false" ht="15" hidden="false" customHeight="true" outlineLevel="0" collapsed="false">
      <c r="A25" s="29" t="s">
        <v>883</v>
      </c>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E25" s="43"/>
      <c r="CF25" s="43"/>
      <c r="CG25" s="43"/>
      <c r="CI25" s="43"/>
      <c r="CJ25" s="43"/>
      <c r="CK25" s="43"/>
      <c r="CL25" s="43"/>
      <c r="CM25" s="43"/>
      <c r="CN25" s="43"/>
    </row>
    <row r="26" customFormat="false" ht="15" hidden="false" customHeight="true" outlineLevel="0" collapsed="false">
      <c r="A26" s="29" t="s">
        <v>884</v>
      </c>
      <c r="B26" s="43"/>
      <c r="C26" s="43"/>
      <c r="D26" s="43"/>
      <c r="E26" s="43"/>
      <c r="F26" s="43"/>
      <c r="G26" s="43"/>
      <c r="H26" s="43"/>
      <c r="I26" s="43"/>
      <c r="J26" s="43"/>
      <c r="K26" s="43"/>
      <c r="L26" s="43"/>
      <c r="M26" s="43"/>
      <c r="N26" s="43"/>
      <c r="O26" s="43"/>
      <c r="P26" s="60" t="n">
        <v>375000</v>
      </c>
      <c r="Q26" s="60" t="n">
        <v>375000</v>
      </c>
      <c r="R26" s="43"/>
      <c r="S26" s="60" t="n">
        <v>405000</v>
      </c>
      <c r="T26" s="43"/>
      <c r="U26" s="43"/>
      <c r="V26" s="43"/>
      <c r="W26" s="43"/>
      <c r="X26" s="43"/>
      <c r="Y26" s="59" t="n">
        <f aca="false">+Y27/X27-1</f>
        <v>0.169220383496327</v>
      </c>
      <c r="Z26" s="59" t="n">
        <f aca="false">+Z27/Y27-1</f>
        <v>0.134007504637447</v>
      </c>
      <c r="AA26" s="59" t="n">
        <f aca="false">+AA27/Z27-1</f>
        <v>-0.145138303279082</v>
      </c>
      <c r="AB26" s="59" t="n">
        <f aca="false">+AB27/AA27-1</f>
        <v>-0.0124116033521269</v>
      </c>
      <c r="AC26" s="59" t="n">
        <f aca="false">+AC27/AB27-1</f>
        <v>0.102804536606815</v>
      </c>
      <c r="AD26" s="59" t="n">
        <f aca="false">+AD27/AC27-1</f>
        <v>0.0325832036923368</v>
      </c>
      <c r="AE26" s="59" t="n">
        <f aca="false">+AE27/AD27-1</f>
        <v>-0.0134815639337655</v>
      </c>
      <c r="AF26" s="59" t="n">
        <f aca="false">+AF27/AE27-1</f>
        <v>0.00358605013583424</v>
      </c>
      <c r="AG26" s="59" t="n">
        <f aca="false">+AG27/AF27-1</f>
        <v>0.104987491949531</v>
      </c>
      <c r="AH26" s="59" t="n">
        <f aca="false">+AH27/AG27-1</f>
        <v>0.0149117117681996</v>
      </c>
      <c r="AI26" s="59" t="n">
        <f aca="false">+AI27/AH27-1</f>
        <v>0.0018162199933367</v>
      </c>
      <c r="AJ26" s="59" t="n">
        <f aca="false">+AJ27/AI27-1</f>
        <v>0.0403255393224411</v>
      </c>
      <c r="AK26" s="59" t="n">
        <f aca="false">+AK27/AJ27-1</f>
        <v>0.0257787882560836</v>
      </c>
      <c r="AL26" s="59" t="n">
        <f aca="false">+AL27/AK27-1</f>
        <v>0.0174799713332638</v>
      </c>
      <c r="AM26" s="59" t="n">
        <f aca="false">+AM27/AL27-1</f>
        <v>-0.0241859705364074</v>
      </c>
      <c r="AN26" s="59" t="n">
        <f aca="false">+AN27/AM27-1</f>
        <v>0.0151804243011358</v>
      </c>
      <c r="AO26" s="59" t="n">
        <f aca="false">+AO27/AN27-1</f>
        <v>0.020059493326188</v>
      </c>
      <c r="AP26" s="59" t="n">
        <f aca="false">+AP27/AO27-1</f>
        <v>-0.0216329950391777</v>
      </c>
      <c r="AQ26" s="59" t="n">
        <f aca="false">+AQ27/AP27-1</f>
        <v>-0.0188862863432097</v>
      </c>
      <c r="AR26" s="59" t="n">
        <f aca="false">+AR27/AQ27-1</f>
        <v>0.0627807841856953</v>
      </c>
      <c r="AS26" s="59" t="n">
        <f aca="false">+AS27/AR27-1</f>
        <v>-0.014959277659651</v>
      </c>
      <c r="AT26" s="59" t="n">
        <f aca="false">+AT27/AS27-1</f>
        <v>-0.0198345496194786</v>
      </c>
      <c r="AU26" s="59" t="n">
        <f aca="false">+AU27/AT27-1</f>
        <v>-0.0101540116246017</v>
      </c>
      <c r="AV26" s="59" t="n">
        <f aca="false">+AV27/AU27-1</f>
        <v>0.0252981478021821</v>
      </c>
      <c r="AW26" s="59" t="n">
        <f aca="false">+AW27/AV27-1</f>
        <v>0.0185741427637176</v>
      </c>
      <c r="AX26" s="59" t="n">
        <f aca="false">+AX27/AW27-1</f>
        <v>-0.030883483431018</v>
      </c>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59" t="n">
        <f aca="false">+BX27/BW27-1</f>
        <v>0.0627807841856956</v>
      </c>
      <c r="BY26" s="43"/>
      <c r="BZ26" s="43"/>
      <c r="CA26" s="43"/>
      <c r="CB26" s="43"/>
      <c r="CC26" s="43"/>
      <c r="CE26" s="43"/>
      <c r="CF26" s="43"/>
      <c r="CG26" s="43"/>
      <c r="CI26" s="43"/>
      <c r="CJ26" s="43"/>
      <c r="CK26" s="43"/>
      <c r="CL26" s="43"/>
      <c r="CM26" s="43"/>
      <c r="CN26" s="43"/>
    </row>
    <row r="27" customFormat="false" ht="15" hidden="false" customHeight="true" outlineLevel="0" collapsed="false">
      <c r="A27" s="29" t="s">
        <v>885</v>
      </c>
      <c r="B27" s="31" t="n">
        <f aca="false">B33/B11*1000000</f>
        <v>1377680.6925424</v>
      </c>
      <c r="C27" s="31" t="n">
        <f aca="false">C33/C11*1000000</f>
        <v>1328797.94548032</v>
      </c>
      <c r="D27" s="31" t="n">
        <f aca="false">D33/D11*1000000</f>
        <v>1330133.82695292</v>
      </c>
      <c r="E27" s="31" t="n">
        <f aca="false">E33/E11*1000000</f>
        <v>1357720.53007228</v>
      </c>
      <c r="F27" s="31" t="n">
        <f aca="false">F33/F11*1000000</f>
        <v>1366545.70832665</v>
      </c>
      <c r="G27" s="31" t="n">
        <f aca="false">G33/G11*1000000</f>
        <v>1382257.13943961</v>
      </c>
      <c r="H27" s="31" t="n">
        <f aca="false">H33/H11*1000000</f>
        <v>1375281.15959682</v>
      </c>
      <c r="I27" s="31" t="n">
        <f aca="false">I33/I11*1000000</f>
        <v>1389698.91434451</v>
      </c>
      <c r="J27" s="31" t="n">
        <f aca="false">J33/J11*1000000</f>
        <v>1494247.44692051</v>
      </c>
      <c r="K27" s="31" t="n">
        <f aca="false">K33/K11*1000000</f>
        <v>1482586.92204465</v>
      </c>
      <c r="L27" s="31" t="n">
        <f aca="false">L33/L11*1000000</f>
        <v>1524662.83705577</v>
      </c>
      <c r="M27" s="31" t="n">
        <f aca="false">M33/M11*1000000</f>
        <v>1541274.06010203</v>
      </c>
      <c r="N27" s="31" t="n">
        <f aca="false">N33/N11*1000000</f>
        <v>1493571.29479867</v>
      </c>
      <c r="O27" s="31" t="n">
        <f aca="false">O33/O11*1000000</f>
        <v>1494865.07193326</v>
      </c>
      <c r="P27" s="31" t="n">
        <f aca="false">P33/P11*1000000</f>
        <v>1483638.85394165</v>
      </c>
      <c r="Q27" s="31" t="n">
        <f aca="false">Q33/Q11*1000000</f>
        <v>1486628.52802241</v>
      </c>
      <c r="R27" s="31" t="n">
        <f aca="false">R33/R11*1000000</f>
        <v>1464227.58328682</v>
      </c>
      <c r="S27" s="31" t="n">
        <f aca="false">S33/S11*1000000</f>
        <v>1466744.93350526</v>
      </c>
      <c r="T27" s="31" t="n">
        <f aca="false">T33/T11*1000000</f>
        <v>1445339.67049791</v>
      </c>
      <c r="U27" s="31" t="n">
        <f aca="false">U33/U11*1000000</f>
        <v>1486186.38799751</v>
      </c>
      <c r="V27" s="31" t="n">
        <f aca="false">V33/V11*1000000</f>
        <v>1435028.27711573</v>
      </c>
      <c r="W27" s="31" t="n">
        <f aca="false">W33/W11*1000000</f>
        <v>1357903.10318612</v>
      </c>
      <c r="X27" s="31" t="n">
        <f aca="false">X33/X11*1000000</f>
        <v>1287067.30769231</v>
      </c>
      <c r="Y27" s="31" t="n">
        <f aca="false">Y33/Y11*1000000</f>
        <v>1504865.33108558</v>
      </c>
      <c r="Z27" s="31" t="n">
        <f aca="false">Z33/Z11*1000000</f>
        <v>1706528.57891977</v>
      </c>
      <c r="AA27" s="31" t="n">
        <f aca="false">AA33/AA11*1000000</f>
        <v>1458845.91647809</v>
      </c>
      <c r="AB27" s="31" t="n">
        <f aca="false">AB33/AB11*1000000</f>
        <v>1440739.29961089</v>
      </c>
      <c r="AC27" s="31" t="n">
        <f aca="false">AC33/AC11*1000000</f>
        <v>1588853.83567862</v>
      </c>
      <c r="AD27" s="31" t="n">
        <f aca="false">AD33/AD11*1000000</f>
        <v>1640623.78384389</v>
      </c>
      <c r="AE27" s="31" t="n">
        <f aca="false">AE33/AE11*1000000</f>
        <v>1618505.60941074</v>
      </c>
      <c r="AF27" s="31" t="n">
        <f aca="false">AF33/AF11*1000000</f>
        <v>1624309.65167122</v>
      </c>
      <c r="AG27" s="31" t="n">
        <f aca="false">AG33/AG11*1000000</f>
        <v>1794841.84814959</v>
      </c>
      <c r="AH27" s="31" t="n">
        <f aca="false">AH33/AH11*1000000</f>
        <v>1821606.0124587</v>
      </c>
      <c r="AI27" s="31" t="n">
        <f aca="false">AI33/AI11*1000000</f>
        <v>1824914.44971851</v>
      </c>
      <c r="AJ27" s="31" t="n">
        <f aca="false">AJ33/AJ11*1000000</f>
        <v>1898505.10912073</v>
      </c>
      <c r="AK27" s="31" t="n">
        <f aca="false">AK33/AK11*1000000</f>
        <v>1947446.27033184</v>
      </c>
      <c r="AL27" s="31" t="n">
        <f aca="false">AL33/AL11*1000000</f>
        <v>1981487.57531031</v>
      </c>
      <c r="AM27" s="31" t="n">
        <f aca="false">AM33/AM11*1000000</f>
        <v>1933563.3751956</v>
      </c>
      <c r="AN27" s="31" t="n">
        <f aca="false">AN33/AN11*1000000</f>
        <v>1962915.68764421</v>
      </c>
      <c r="AO27" s="31" t="n">
        <f aca="false">AO33/AO11*1000000</f>
        <v>2002290.78178038</v>
      </c>
      <c r="AP27" s="31" t="n">
        <f aca="false">AP33/AP11*1000000</f>
        <v>1958975.23523113</v>
      </c>
      <c r="AQ27" s="31" t="n">
        <f aca="false">AQ33/AQ11*1000000</f>
        <v>1921977.4679993</v>
      </c>
      <c r="AR27" s="31" t="n">
        <f aca="false">AR33/AR11*1000000</f>
        <v>2042640.72062753</v>
      </c>
      <c r="AS27" s="31" t="n">
        <f aca="false">AS33/AS11*1000000</f>
        <v>2012084.29092876</v>
      </c>
      <c r="AT27" s="31" t="n">
        <f aca="false">AT33/AT11*1000000</f>
        <v>1972175.50522176</v>
      </c>
      <c r="AU27" s="31" t="n">
        <f aca="false">AU33/AU11*1000000</f>
        <v>1952150.01221598</v>
      </c>
      <c r="AV27" s="31" t="n">
        <f aca="false">AV33/AV11*1000000</f>
        <v>2001535.79175705</v>
      </c>
      <c r="AW27" s="31" t="n">
        <f aca="false">AW33/AW11*1000000</f>
        <v>2038712.60329984</v>
      </c>
      <c r="AX27" s="31" t="n">
        <f aca="false">AX33/AX11*1000000</f>
        <v>1975750.05639522</v>
      </c>
      <c r="AZ27" s="32" t="n">
        <f aca="false">T27*0.99</f>
        <v>1430886.27379293</v>
      </c>
      <c r="BA27" s="31" t="n">
        <f aca="false">U27</f>
        <v>1486186.38799751</v>
      </c>
      <c r="BB27" s="32" t="n">
        <f aca="false">+V27*0.98</f>
        <v>1406327.71157342</v>
      </c>
      <c r="BC27" s="32" t="n">
        <f aca="false">+W27*0.975</f>
        <v>1323955.52560647</v>
      </c>
      <c r="BD27" s="31" t="n">
        <f aca="false">+X27</f>
        <v>1287067.30769231</v>
      </c>
      <c r="BE27" s="32" t="n">
        <f aca="false">+Y27*1.1</f>
        <v>1655351.86419414</v>
      </c>
      <c r="BF27" s="32" t="n">
        <f aca="false">+Z27*0.95</f>
        <v>1621202.14997378</v>
      </c>
      <c r="BG27" s="32" t="n">
        <f aca="false">+AA27*1.04</f>
        <v>1517199.75313721</v>
      </c>
      <c r="BH27" s="32" t="n">
        <f aca="false">+AB27*1.025</f>
        <v>1476757.78210117</v>
      </c>
      <c r="BI27" s="32" t="n">
        <f aca="false">+AC27*0.95</f>
        <v>1509411.14389469</v>
      </c>
      <c r="BJ27" s="32" t="n">
        <f aca="false">+AD27*1.02</f>
        <v>1673436.25952077</v>
      </c>
      <c r="BK27" s="32" t="n">
        <f aca="false">+AE27*1.03</f>
        <v>1667060.77769306</v>
      </c>
      <c r="BL27" s="32" t="n">
        <f aca="false">+AF27*1.03</f>
        <v>1673038.94122135</v>
      </c>
      <c r="BM27" s="31" t="n">
        <f aca="false">+AG27</f>
        <v>1794841.84814959</v>
      </c>
      <c r="BN27" s="32" t="n">
        <f aca="false">+AH27*1.005</f>
        <v>1830714.042521</v>
      </c>
      <c r="BO27" s="32" t="n">
        <f aca="false">+AI27*1.013</f>
        <v>1848638.33756485</v>
      </c>
      <c r="BP27" s="32" t="n">
        <f aca="false">+AJ27*1.012</f>
        <v>1921287.17043018</v>
      </c>
      <c r="BQ27" s="31" t="n">
        <f aca="false">+AK27*1</f>
        <v>1947446.27033184</v>
      </c>
      <c r="BR27" s="32" t="n">
        <f aca="false">+AL27*0.98</f>
        <v>1941857.82380411</v>
      </c>
      <c r="BS27" s="32" t="n">
        <f aca="false">+AM27*0.98</f>
        <v>1894892.10769169</v>
      </c>
      <c r="BT27" s="32" t="n">
        <f aca="false">+AN27*1.005</f>
        <v>1972730.26608243</v>
      </c>
      <c r="BU27" s="32" t="n">
        <f aca="false">+AO27*0.98</f>
        <v>1962244.96614477</v>
      </c>
      <c r="BV27" s="32" t="n">
        <f aca="false">+AP27*0.98</f>
        <v>1919795.73052651</v>
      </c>
      <c r="BW27" s="32" t="n">
        <f aca="false">+AQ27*1.015</f>
        <v>1950807.13001929</v>
      </c>
      <c r="BX27" s="32" t="n">
        <f aca="false">+AR27*1.015</f>
        <v>2073280.33143694</v>
      </c>
      <c r="BY27" s="32" t="n">
        <f aca="false">+AS27*0.98</f>
        <v>1971842.60511018</v>
      </c>
      <c r="BZ27" s="32" t="n">
        <f aca="false">+AT27*0.995</f>
        <v>1962314.62769565</v>
      </c>
      <c r="CA27" s="32" t="n">
        <f aca="false">+AU27*1.015</f>
        <v>1981432.26239922</v>
      </c>
      <c r="CB27" s="32" t="n">
        <f aca="false">+AV27*1.0135</f>
        <v>2028556.52494577</v>
      </c>
      <c r="CC27" s="32" t="n">
        <f aca="false">+AW27*0.99</f>
        <v>2018325.47726684</v>
      </c>
      <c r="CE27" s="30"/>
      <c r="CF27" s="30"/>
      <c r="CG27" s="30"/>
      <c r="CI27" s="30"/>
      <c r="CJ27" s="30"/>
      <c r="CK27" s="30"/>
      <c r="CL27" s="30"/>
      <c r="CM27" s="30"/>
      <c r="CN27" s="30"/>
    </row>
    <row r="28" customFormat="false" ht="15" hidden="false" customHeight="true" outlineLevel="0" collapsed="false">
      <c r="A28" s="29" t="s">
        <v>886</v>
      </c>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Z28" s="30"/>
      <c r="BA28" s="30"/>
      <c r="BB28" s="30"/>
      <c r="BC28" s="31" t="n">
        <f aca="false">+BC27-W27</f>
        <v>-33947.5775796531</v>
      </c>
      <c r="BD28" s="31" t="n">
        <f aca="false">+BD27-X27</f>
        <v>0</v>
      </c>
      <c r="BE28" s="31" t="n">
        <f aca="false">+BE27-Y27</f>
        <v>150486.533108559</v>
      </c>
      <c r="BF28" s="31" t="n">
        <f aca="false">+BF27-Z27</f>
        <v>-85326.4289459887</v>
      </c>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E28" s="30"/>
      <c r="CF28" s="30"/>
      <c r="CG28" s="30"/>
      <c r="CI28" s="30"/>
      <c r="CJ28" s="30"/>
      <c r="CK28" s="30"/>
      <c r="CL28" s="30"/>
      <c r="CM28" s="30"/>
      <c r="CN28" s="30"/>
    </row>
    <row r="30" customFormat="false" ht="15" hidden="false" customHeight="true" outlineLevel="0" collapsed="false">
      <c r="A30" s="38" t="s">
        <v>887</v>
      </c>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c r="BR30" s="117"/>
      <c r="BS30" s="117"/>
      <c r="BT30" s="117"/>
      <c r="BU30" s="117"/>
      <c r="BV30" s="117"/>
      <c r="BW30" s="117"/>
      <c r="BX30" s="117"/>
      <c r="BY30" s="117"/>
      <c r="BZ30" s="117"/>
      <c r="CA30" s="117"/>
      <c r="CB30" s="117"/>
      <c r="CC30" s="117"/>
      <c r="CD30" s="117"/>
      <c r="CE30" s="117"/>
      <c r="CF30" s="117"/>
      <c r="CG30" s="117"/>
      <c r="CH30" s="117"/>
      <c r="CI30" s="117"/>
      <c r="CJ30" s="117"/>
      <c r="CK30" s="117"/>
      <c r="CL30" s="117"/>
      <c r="CM30" s="117"/>
      <c r="CN30" s="117"/>
    </row>
    <row r="31" customFormat="false" ht="15" hidden="false" customHeight="true" outlineLevel="0" collapsed="false">
      <c r="A31" s="29" t="s">
        <v>888</v>
      </c>
      <c r="B31" s="92" t="n">
        <f aca="false">40076.081+1078.347</f>
        <v>41154.428</v>
      </c>
      <c r="C31" s="92" t="n">
        <f aca="false">51859.991+883.674</f>
        <v>52743.665</v>
      </c>
      <c r="D31" s="92" t="n">
        <f aca="false">42819.741+843.781</f>
        <v>43663.522</v>
      </c>
      <c r="E31" s="62" t="n">
        <v>62368.127</v>
      </c>
      <c r="F31" s="92" t="n">
        <f aca="false">44482.826+830.465</f>
        <v>45313.291</v>
      </c>
      <c r="G31" s="92" t="n">
        <f aca="false">47923.842+1192.4</f>
        <v>49116.242</v>
      </c>
      <c r="H31" s="62" t="n">
        <v>48282.549</v>
      </c>
      <c r="I31" s="62" t="n">
        <v>70572.209</v>
      </c>
      <c r="J31" s="62" t="n">
        <v>45344.621</v>
      </c>
      <c r="K31" s="62" t="n">
        <v>60763.825</v>
      </c>
      <c r="L31" s="62" t="n">
        <v>71131.62</v>
      </c>
      <c r="M31" s="62" t="n">
        <v>71906.6</v>
      </c>
      <c r="N31" s="62" t="n">
        <v>87724.91</v>
      </c>
      <c r="O31" s="62" t="n">
        <v>87800.9</v>
      </c>
      <c r="P31" s="62" t="n">
        <v>62501.254</v>
      </c>
      <c r="Q31" s="62" t="n">
        <v>62627.2</v>
      </c>
      <c r="R31" s="62" t="n">
        <v>76079.801</v>
      </c>
      <c r="S31" s="62" t="n">
        <v>76210.6</v>
      </c>
      <c r="T31" s="62" t="n">
        <v>63252.4</v>
      </c>
      <c r="U31" s="62" t="n">
        <v>88459.3</v>
      </c>
      <c r="V31" s="62" t="n">
        <v>56838.6</v>
      </c>
      <c r="W31" s="62" t="n">
        <v>39295</v>
      </c>
      <c r="X31" s="62" t="n">
        <v>40156.5</v>
      </c>
      <c r="Y31" s="62" t="n">
        <v>38384.6</v>
      </c>
      <c r="Z31" s="62" t="n">
        <v>6508.7</v>
      </c>
      <c r="AA31" s="62" t="n">
        <v>28365.8</v>
      </c>
      <c r="AB31" s="62" t="n">
        <v>48135.1</v>
      </c>
      <c r="AC31" s="62" t="n">
        <v>70004.9</v>
      </c>
      <c r="AD31" s="92" t="n">
        <f aca="false">29345.9+164</f>
        <v>29509.9</v>
      </c>
      <c r="AE31" s="62" t="n">
        <v>44578.5</v>
      </c>
      <c r="AF31" s="62" t="n">
        <v>55351.6</v>
      </c>
      <c r="AG31" s="62" t="n">
        <v>87442.9</v>
      </c>
      <c r="AH31" s="62" t="n">
        <v>72228.5</v>
      </c>
      <c r="AI31" s="62" t="n">
        <v>82659.5</v>
      </c>
      <c r="AJ31" s="62" t="n">
        <v>90296.7</v>
      </c>
      <c r="AK31" s="62" t="n">
        <v>116256.7</v>
      </c>
      <c r="AL31" s="62" t="n">
        <v>81892.9</v>
      </c>
      <c r="AM31" s="62" t="n">
        <v>96380.4</v>
      </c>
      <c r="AN31" s="62" t="n">
        <v>92730.1</v>
      </c>
      <c r="AO31" s="62" t="n">
        <v>112666.9</v>
      </c>
      <c r="AP31" s="62" t="n">
        <v>85985.3</v>
      </c>
      <c r="AQ31" s="62" t="n">
        <v>87688.3</v>
      </c>
      <c r="AR31" s="62" t="n">
        <v>94786.7</v>
      </c>
      <c r="AS31" s="62" t="n">
        <v>119067.1</v>
      </c>
      <c r="AT31" s="62" t="n">
        <v>87245.1</v>
      </c>
      <c r="AU31" s="62" t="n">
        <v>95881.8</v>
      </c>
      <c r="AV31" s="62" t="n">
        <v>115338.5</v>
      </c>
      <c r="AW31" s="62" t="n">
        <v>141604.9</v>
      </c>
      <c r="AX31" s="62" t="n">
        <v>96343.5</v>
      </c>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E31" s="30"/>
      <c r="CF31" s="30"/>
      <c r="CG31" s="30"/>
      <c r="CI31" s="30"/>
      <c r="CJ31" s="30"/>
      <c r="CK31" s="30"/>
      <c r="CL31" s="30"/>
      <c r="CM31" s="30"/>
      <c r="CN31" s="30"/>
    </row>
    <row r="32" customFormat="false" ht="15" hidden="false" customHeight="true" outlineLevel="0" collapsed="false">
      <c r="A32" s="29" t="s">
        <v>889</v>
      </c>
      <c r="B32" s="62" t="n">
        <v>2323.12</v>
      </c>
      <c r="C32" s="62" t="n">
        <v>3071.869</v>
      </c>
      <c r="D32" s="62" t="n">
        <v>2525.143</v>
      </c>
      <c r="E32" s="62" t="n">
        <v>2636.57</v>
      </c>
      <c r="F32" s="62" t="n">
        <v>2724.894</v>
      </c>
      <c r="G32" s="62" t="n">
        <v>2892.181</v>
      </c>
      <c r="H32" s="62" t="n">
        <v>3119.691</v>
      </c>
      <c r="I32" s="62" t="n">
        <v>4393.357</v>
      </c>
      <c r="J32" s="62" t="n">
        <v>2766.04</v>
      </c>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E32" s="30"/>
      <c r="CF32" s="30"/>
      <c r="CG32" s="30"/>
      <c r="CI32" s="30"/>
      <c r="CJ32" s="30"/>
      <c r="CK32" s="30"/>
      <c r="CL32" s="30"/>
      <c r="CM32" s="30"/>
      <c r="CN32" s="30"/>
    </row>
    <row r="33" customFormat="false" ht="15" hidden="false" customHeight="true" outlineLevel="0" collapsed="false">
      <c r="A33" s="119" t="s">
        <v>391</v>
      </c>
      <c r="B33" s="120" t="n">
        <f aca="false">+B31-B32</f>
        <v>38831.308</v>
      </c>
      <c r="C33" s="120" t="n">
        <f aca="false">+C31-C32</f>
        <v>49671.796</v>
      </c>
      <c r="D33" s="120" t="n">
        <f aca="false">+D31-D32</f>
        <v>41138.379</v>
      </c>
      <c r="E33" s="120" t="n">
        <f aca="false">+E31-E32</f>
        <v>59731.557</v>
      </c>
      <c r="F33" s="120" t="n">
        <f aca="false">+F31-F32</f>
        <v>42588.397</v>
      </c>
      <c r="G33" s="120" t="n">
        <f aca="false">+G31-G32</f>
        <v>46224.061</v>
      </c>
      <c r="H33" s="120" t="n">
        <f aca="false">+H31-H32</f>
        <v>45162.858</v>
      </c>
      <c r="I33" s="120" t="n">
        <f aca="false">+I31-I32</f>
        <v>66178.852</v>
      </c>
      <c r="J33" s="120" t="n">
        <f aca="false">J31-J32</f>
        <v>42578.581</v>
      </c>
      <c r="K33" s="120" t="n">
        <f aca="false">K31-K32</f>
        <v>60763.825</v>
      </c>
      <c r="L33" s="120" t="n">
        <f aca="false">L31-L32</f>
        <v>71131.62</v>
      </c>
      <c r="M33" s="120" t="n">
        <f aca="false">M31-M32</f>
        <v>71906.6</v>
      </c>
      <c r="N33" s="120" t="n">
        <f aca="false">N31-N32</f>
        <v>87724.91</v>
      </c>
      <c r="O33" s="120" t="n">
        <f aca="false">O31-O32</f>
        <v>87800.9</v>
      </c>
      <c r="P33" s="120" t="n">
        <f aca="false">P31-P32</f>
        <v>62501.254</v>
      </c>
      <c r="Q33" s="120" t="n">
        <f aca="false">Q31-Q32</f>
        <v>62627.2</v>
      </c>
      <c r="R33" s="120" t="n">
        <f aca="false">R31-R32</f>
        <v>76079.801</v>
      </c>
      <c r="S33" s="120" t="n">
        <f aca="false">S31-S32</f>
        <v>76210.6</v>
      </c>
      <c r="T33" s="120" t="n">
        <f aca="false">T31-T32</f>
        <v>63252.4</v>
      </c>
      <c r="U33" s="120" t="n">
        <f aca="false">U31-U32</f>
        <v>88459.3</v>
      </c>
      <c r="V33" s="120" t="n">
        <f aca="false">V31-V32</f>
        <v>56838.6</v>
      </c>
      <c r="W33" s="120" t="n">
        <f aca="false">W31-W32</f>
        <v>39295</v>
      </c>
      <c r="X33" s="120" t="n">
        <f aca="false">X31-X32</f>
        <v>40156.5</v>
      </c>
      <c r="Y33" s="120" t="n">
        <f aca="false">Y31-Y32</f>
        <v>38384.6</v>
      </c>
      <c r="Z33" s="120" t="n">
        <f aca="false">Z31-Z32</f>
        <v>6508.7</v>
      </c>
      <c r="AA33" s="120" t="n">
        <f aca="false">AA31-AA32</f>
        <v>28365.8</v>
      </c>
      <c r="AB33" s="120" t="n">
        <f aca="false">AB31-AB32</f>
        <v>48135.1</v>
      </c>
      <c r="AC33" s="120" t="n">
        <f aca="false">AC31-AC32</f>
        <v>70004.9</v>
      </c>
      <c r="AD33" s="120" t="n">
        <f aca="false">AD31-AD32</f>
        <v>29509.9</v>
      </c>
      <c r="AE33" s="120" t="n">
        <f aca="false">AE31-AE32</f>
        <v>44578.5</v>
      </c>
      <c r="AF33" s="120" t="n">
        <f aca="false">AF31-AF32</f>
        <v>55351.6</v>
      </c>
      <c r="AG33" s="120" t="n">
        <f aca="false">AG31-AG32</f>
        <v>87442.9</v>
      </c>
      <c r="AH33" s="120" t="n">
        <f aca="false">AH31-AH32</f>
        <v>72228.5</v>
      </c>
      <c r="AI33" s="120" t="n">
        <f aca="false">AI31-AI32</f>
        <v>82659.5</v>
      </c>
      <c r="AJ33" s="120" t="n">
        <f aca="false">AJ31-AJ32</f>
        <v>90296.7</v>
      </c>
      <c r="AK33" s="120" t="n">
        <f aca="false">AK31-AK32</f>
        <v>116256.7</v>
      </c>
      <c r="AL33" s="120" t="n">
        <f aca="false">AL31-AL32</f>
        <v>81892.9</v>
      </c>
      <c r="AM33" s="120" t="n">
        <f aca="false">AM31-AM32</f>
        <v>96380.4</v>
      </c>
      <c r="AN33" s="120" t="n">
        <f aca="false">AN31-AN32</f>
        <v>92730.1</v>
      </c>
      <c r="AO33" s="120" t="n">
        <f aca="false">AO31-AO32</f>
        <v>112666.9</v>
      </c>
      <c r="AP33" s="120" t="n">
        <f aca="false">AP31-AP32</f>
        <v>85985.3</v>
      </c>
      <c r="AQ33" s="120" t="n">
        <f aca="false">AQ31-AQ32</f>
        <v>87688.3</v>
      </c>
      <c r="AR33" s="120" t="n">
        <f aca="false">AR31-AR32</f>
        <v>94786.7</v>
      </c>
      <c r="AS33" s="120" t="n">
        <f aca="false">AS31-AS32</f>
        <v>119067.1</v>
      </c>
      <c r="AT33" s="120" t="n">
        <f aca="false">AT31-AT32</f>
        <v>87245.1</v>
      </c>
      <c r="AU33" s="120" t="n">
        <f aca="false">AU31-AU32</f>
        <v>95881.8</v>
      </c>
      <c r="AV33" s="120" t="n">
        <f aca="false">AV31-AV32</f>
        <v>115338.5</v>
      </c>
      <c r="AW33" s="120" t="n">
        <f aca="false">AW31-AW32</f>
        <v>141604.9</v>
      </c>
      <c r="AX33" s="120" t="n">
        <f aca="false">AX31-AX32</f>
        <v>96343.5</v>
      </c>
      <c r="AY33" s="119"/>
      <c r="AZ33" s="120" t="n">
        <f aca="false">AZ27*AZ11/10^6</f>
        <v>85167.781902429</v>
      </c>
      <c r="BA33" s="120" t="n">
        <f aca="false">BA27*BA11/10^6</f>
        <v>58864.8704558055</v>
      </c>
      <c r="BB33" s="120" t="n">
        <f aca="false">BB27*BB11/10^6</f>
        <v>40696.3113175116</v>
      </c>
      <c r="BC33" s="120" t="n">
        <f aca="false">BC27*BC11/10^6</f>
        <v>41307.4123989218</v>
      </c>
      <c r="BD33" s="120" t="n">
        <f aca="false">BD27*BD11/10^6</f>
        <v>32829.2258173077</v>
      </c>
      <c r="BE33" s="120" t="n">
        <f aca="false">BE27*BE11/10^6</f>
        <v>6313.51201003646</v>
      </c>
      <c r="BF33" s="120" t="n">
        <f aca="false">BF27*BF11/10^6</f>
        <v>31522.6546040902</v>
      </c>
      <c r="BG33" s="120" t="n">
        <f aca="false">BG27*BG11/10^6</f>
        <v>50689.6437523143</v>
      </c>
      <c r="BH33" s="120" t="n">
        <f aca="false">BH27*BH11/10^6</f>
        <v>65065.9478793774</v>
      </c>
      <c r="BI33" s="120" t="n">
        <f aca="false">BI27*BI11/10^6</f>
        <v>27149.7782452338</v>
      </c>
      <c r="BJ33" s="120" t="n">
        <f aca="false">BJ27*BJ11/10^6</f>
        <v>46091.4548959804</v>
      </c>
      <c r="BK33" s="120" t="n">
        <f aca="false">BK27*BK11/10^6</f>
        <v>56808.4301214465</v>
      </c>
      <c r="BL33" s="120" t="n">
        <f aca="false">BL27*BL11/10^6</f>
        <v>81508.784177363</v>
      </c>
      <c r="BM33" s="120" t="n">
        <f aca="false">BM27*BM11/10^6</f>
        <v>71167.2741209795</v>
      </c>
      <c r="BN33" s="120" t="n">
        <f aca="false">BN27*BN11/10^6</f>
        <v>82922.1925559885</v>
      </c>
      <c r="BO33" s="120" t="n">
        <f aca="false">BO27*BO11/10^6</f>
        <v>87924.9366112595</v>
      </c>
      <c r="BP33" s="120" t="n">
        <f aca="false">BP27*BP11/10^6</f>
        <v>114695.08021317</v>
      </c>
      <c r="BQ33" s="120" t="n">
        <f aca="false">BQ27*BQ11/10^6</f>
        <v>80486.0069065447</v>
      </c>
      <c r="BR33" s="120" t="n">
        <f aca="false">BR27*BR11/10^6</f>
        <v>96793.8450853396</v>
      </c>
      <c r="BS33" s="120" t="n">
        <f aca="false">BS27*BS11/10^6</f>
        <v>89516.5980594631</v>
      </c>
      <c r="BT33" s="120" t="n">
        <f aca="false">BT27*BT11/10^6</f>
        <v>111003.559342192</v>
      </c>
      <c r="BU33" s="120" t="n">
        <f aca="false">BU27*BU11/10^6</f>
        <v>86128.8182989923</v>
      </c>
      <c r="BV33" s="120" t="n">
        <f aca="false">BV27*BV11/10^6</f>
        <v>87588.7604095414</v>
      </c>
      <c r="BW33" s="120" t="n">
        <f aca="false">BW27*BW11/10^6</f>
        <v>90525.254061415</v>
      </c>
      <c r="BX33" s="120" t="n">
        <f aca="false">BX27*BX11/10^6</f>
        <v>122688.436893113</v>
      </c>
      <c r="BY33" s="120" t="n">
        <f aca="false">BY27*BY11/10^6</f>
        <v>87230.3731648641</v>
      </c>
      <c r="BZ33" s="120" t="n">
        <f aca="false">BZ27*BZ11/10^6</f>
        <v>96381.0452538994</v>
      </c>
      <c r="CA33" s="120" t="n">
        <f aca="false">CA27*CA11/10^6</f>
        <v>114180.034120755</v>
      </c>
      <c r="CB33" s="120" t="n">
        <f aca="false">CB27*CB11/10^6</f>
        <v>140899.479109683</v>
      </c>
      <c r="CC33" s="120" t="n">
        <f aca="false">CC27*CC11/10^6</f>
        <v>98419.6052479628</v>
      </c>
      <c r="CD33" s="119"/>
      <c r="CE33" s="120" t="n">
        <f aca="false">+E33+D33+B33+C33</f>
        <v>189373.04</v>
      </c>
      <c r="CF33" s="120"/>
      <c r="CG33" s="122" t="n">
        <f aca="false">'Main Model'!AI16</f>
        <v>440070.3</v>
      </c>
      <c r="CH33" s="119"/>
      <c r="CI33" s="120"/>
      <c r="CJ33" s="120" t="n">
        <f aca="false">CG33-AV33-AU33-AT33</f>
        <v>141604.9</v>
      </c>
      <c r="CK33" s="120"/>
      <c r="CL33" s="120" t="n">
        <f aca="false">+CM33-CA33-AU33-AT33</f>
        <v>142763.365879245</v>
      </c>
      <c r="CM33" s="122" t="n">
        <f aca="false">+'Main Model'!AI16</f>
        <v>440070.3</v>
      </c>
      <c r="CN33" s="120" t="n">
        <f aca="false">+CL33/BX33-1</f>
        <v>0.163625273045267</v>
      </c>
    </row>
    <row r="34" customFormat="false" ht="15" hidden="false" customHeight="true" outlineLevel="0" collapsed="false">
      <c r="A34" s="29" t="s">
        <v>890</v>
      </c>
      <c r="B34" s="62" t="n">
        <v>-2469.627</v>
      </c>
      <c r="C34" s="62" t="n">
        <v>-2430.844</v>
      </c>
      <c r="D34" s="62" t="n">
        <v>-2487.722</v>
      </c>
      <c r="E34" s="62" t="n">
        <v>3097.979</v>
      </c>
      <c r="F34" s="62" t="n">
        <v>-1548.179</v>
      </c>
      <c r="G34" s="62" t="n">
        <v>1557.41</v>
      </c>
      <c r="H34" s="62" t="n">
        <v>-6592.28</v>
      </c>
      <c r="I34" s="62" t="n">
        <v>-507.764</v>
      </c>
      <c r="J34" s="62" t="n">
        <v>-2847.014</v>
      </c>
      <c r="K34" s="62" t="n">
        <v>6081.489</v>
      </c>
      <c r="L34" s="62" t="n">
        <v>-8731.179</v>
      </c>
      <c r="M34" s="62" t="n">
        <v>-10095.8</v>
      </c>
      <c r="N34" s="62" t="n">
        <v>20905.657</v>
      </c>
      <c r="O34" s="62" t="n">
        <v>19662.6</v>
      </c>
      <c r="P34" s="62" t="n">
        <v>-9276.384</v>
      </c>
      <c r="Q34" s="62" t="n">
        <v>-9350.9</v>
      </c>
      <c r="R34" s="62" t="n">
        <v>-10.775</v>
      </c>
      <c r="S34" s="62" t="n">
        <v>-88.9</v>
      </c>
      <c r="T34" s="62" t="n">
        <v>-10940.7</v>
      </c>
      <c r="U34" s="62" t="n">
        <v>10792.5</v>
      </c>
      <c r="V34" s="62" t="n">
        <v>-7138.3</v>
      </c>
      <c r="W34" s="62" t="n">
        <v>3663</v>
      </c>
      <c r="X34" s="62" t="n">
        <v>9655.9</v>
      </c>
      <c r="Y34" s="62" t="n">
        <v>5734.1</v>
      </c>
      <c r="Z34" s="62" t="n">
        <v>180.1</v>
      </c>
      <c r="AA34" s="62" t="n">
        <v>-1022.3</v>
      </c>
      <c r="AB34" s="62" t="n">
        <v>-2304.3</v>
      </c>
      <c r="AC34" s="62" t="n">
        <v>-1476.6</v>
      </c>
      <c r="AD34" s="62" t="n">
        <v>-2578.9</v>
      </c>
      <c r="AE34" s="62" t="n">
        <v>1560.3</v>
      </c>
      <c r="AF34" s="62" t="n">
        <v>-918.1</v>
      </c>
      <c r="AG34" s="62" t="n">
        <v>1446.8</v>
      </c>
      <c r="AH34" s="62" t="n">
        <v>-6622.6</v>
      </c>
      <c r="AI34" s="62" t="n">
        <v>3407</v>
      </c>
      <c r="AJ34" s="62" t="n">
        <v>-6100.1</v>
      </c>
      <c r="AK34" s="62" t="n">
        <v>3730.8</v>
      </c>
      <c r="AL34" s="62" t="n">
        <v>-1975</v>
      </c>
      <c r="AM34" s="62" t="n">
        <v>-2609</v>
      </c>
      <c r="AN34" s="62" t="n">
        <v>-2261.1</v>
      </c>
      <c r="AO34" s="62" t="n">
        <v>1735.7</v>
      </c>
      <c r="AP34" s="62" t="n">
        <v>-4108.9</v>
      </c>
      <c r="AQ34" s="62" t="n">
        <v>605.4</v>
      </c>
      <c r="AR34" s="62" t="n">
        <v>134.9</v>
      </c>
      <c r="AS34" s="62" t="n">
        <v>5674.4</v>
      </c>
      <c r="AT34" s="62" t="n">
        <v>-6509.3</v>
      </c>
      <c r="AU34" s="62" t="n">
        <v>1640.8</v>
      </c>
      <c r="AV34" s="62" t="n">
        <v>2912.1</v>
      </c>
      <c r="AW34" s="62" t="n">
        <v>847.1</v>
      </c>
      <c r="AX34" s="62" t="n">
        <v>-5051.9</v>
      </c>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E34" s="31" t="n">
        <f aca="false">+E34+D34+B34+C34</f>
        <v>-4290.214</v>
      </c>
      <c r="CF34" s="30"/>
      <c r="CG34" s="30"/>
      <c r="CI34" s="30"/>
      <c r="CJ34" s="30"/>
      <c r="CK34" s="30"/>
      <c r="CL34" s="30"/>
      <c r="CM34" s="30"/>
      <c r="CN34" s="30"/>
    </row>
    <row r="35" customFormat="false" ht="15" hidden="false" customHeight="true" outlineLevel="0" collapsed="false">
      <c r="A35" s="29" t="s">
        <v>891</v>
      </c>
      <c r="B35" s="92" t="n">
        <f aca="false">25492.433+3549.388</f>
        <v>29041.821</v>
      </c>
      <c r="C35" s="92" t="n">
        <f aca="false">32585.377+4458.318</f>
        <v>37043.695</v>
      </c>
      <c r="D35" s="92" t="n">
        <f aca="false">26126.584+5116.026</f>
        <v>31242.61</v>
      </c>
      <c r="E35" s="92" t="n">
        <f aca="false">36775.559+2188.523</f>
        <v>38964.082</v>
      </c>
      <c r="F35" s="92" t="n">
        <f aca="false">27226.302+3569.379</f>
        <v>30795.681</v>
      </c>
      <c r="G35" s="92" t="n">
        <f aca="false">25667.731+4111.572</f>
        <v>29779.303</v>
      </c>
      <c r="H35" s="92" t="n">
        <f aca="false">34094.779+3850.037</f>
        <v>37944.816</v>
      </c>
      <c r="I35" s="92" t="n">
        <f aca="false">43565.808+4545.451</f>
        <v>48111.259</v>
      </c>
      <c r="J35" s="92" t="n">
        <f aca="false">28211.092+4051.282</f>
        <v>32262.374</v>
      </c>
      <c r="K35" s="92" t="n">
        <f aca="false">32590.943+4367.261</f>
        <v>36958.204</v>
      </c>
      <c r="L35" s="92" t="n">
        <f aca="false">54064.829+5484.256</f>
        <v>59549.085</v>
      </c>
      <c r="M35" s="92" t="n">
        <f aca="false">58278.7+1923.9</f>
        <v>60202.6</v>
      </c>
      <c r="N35" s="92" t="n">
        <f aca="false">35925.396+6229.478</f>
        <v>42154.874</v>
      </c>
      <c r="O35" s="92" t="n">
        <f aca="false">40923+1892.8</f>
        <v>42815.8</v>
      </c>
      <c r="P35" s="92" t="n">
        <f aca="false">47530.8+5257.004</f>
        <v>52787.804</v>
      </c>
      <c r="Q35" s="92" t="n">
        <f aca="false">50476+2045</f>
        <v>52521</v>
      </c>
      <c r="R35" s="92" t="n">
        <f aca="false">49685.064+5613.624</f>
        <v>55298.688</v>
      </c>
      <c r="S35" s="92" t="n">
        <f aca="false">53466.7+1598.5</f>
        <v>55065.2</v>
      </c>
      <c r="T35" s="92" t="n">
        <f aca="false">53192+2105.9</f>
        <v>55297.9</v>
      </c>
      <c r="U35" s="92" t="n">
        <f aca="false">51588+1911.6</f>
        <v>53499.6</v>
      </c>
      <c r="V35" s="92" t="n">
        <f aca="false">44963.4+1911.5</f>
        <v>46874.9</v>
      </c>
      <c r="W35" s="92" t="n">
        <f aca="false">21726.1+1743.9</f>
        <v>23470</v>
      </c>
      <c r="X35" s="92" t="n">
        <f aca="false">17602.6+2273.8</f>
        <v>19876.4</v>
      </c>
      <c r="Y35" s="92" t="n">
        <f aca="false">19552.5+2003</f>
        <v>21555.5</v>
      </c>
      <c r="Z35" s="92" t="n">
        <f aca="false">3250.2+744.2</f>
        <v>3994.4</v>
      </c>
      <c r="AA35" s="92" t="n">
        <f aca="false">19223.7+1999.2</f>
        <v>21222.9</v>
      </c>
      <c r="AB35" s="92" t="n">
        <f aca="false">35981.2+2147.2</f>
        <v>38128.4</v>
      </c>
      <c r="AC35" s="92" t="n">
        <f aca="false">2576+52734.5</f>
        <v>55310.5</v>
      </c>
      <c r="AD35" s="92" t="n">
        <f aca="false">22334+2117.4</f>
        <v>24451.4</v>
      </c>
      <c r="AE35" s="92" t="n">
        <f aca="false">30925.4+1699.7</f>
        <v>32625.1</v>
      </c>
      <c r="AF35" s="92" t="n">
        <f aca="false">41573.6+2475.6</f>
        <v>44049.2</v>
      </c>
      <c r="AG35" s="92" t="n">
        <f aca="false">64298.6+2676.3</f>
        <v>66974.9</v>
      </c>
      <c r="AH35" s="92" t="n">
        <f aca="false">61313.6+2589.5</f>
        <v>63903.1</v>
      </c>
      <c r="AI35" s="92" t="n">
        <f aca="false">58320.3+2738.5</f>
        <v>61058.8</v>
      </c>
      <c r="AJ35" s="92" t="n">
        <f aca="false">2925.3+72033.3</f>
        <v>74958.6</v>
      </c>
      <c r="AK35" s="92" t="n">
        <f aca="false">80802.3+3353.6</f>
        <v>84155.9</v>
      </c>
      <c r="AL35" s="92" t="n">
        <f aca="false">58764.2+3582.3</f>
        <v>62346.5</v>
      </c>
      <c r="AM35" s="92" t="n">
        <f aca="false">3551.7+69922.8</f>
        <v>73474.5</v>
      </c>
      <c r="AN35" s="92" t="n">
        <f aca="false">65553.6+3684.9</f>
        <v>69238.5</v>
      </c>
      <c r="AO35" s="92" t="n">
        <f aca="false">74924.8+4245.2</f>
        <v>79170</v>
      </c>
      <c r="AP35" s="92" t="n">
        <f aca="false">61988+4167.3</f>
        <v>66155.3</v>
      </c>
      <c r="AQ35" s="92" t="n">
        <f aca="false">57735.4+4069.6</f>
        <v>61805</v>
      </c>
      <c r="AR35" s="92" t="n">
        <f aca="false">63674+3933.9</f>
        <v>67607.9</v>
      </c>
      <c r="AS35" s="92" t="n">
        <f aca="false">73720+4633.8</f>
        <v>78353.8</v>
      </c>
      <c r="AT35" s="92" t="n">
        <f aca="false">63866.3+4271.3</f>
        <v>68137.6</v>
      </c>
      <c r="AU35" s="92" t="n">
        <f aca="false">62103.5+4492.6</f>
        <v>66596.1</v>
      </c>
      <c r="AV35" s="92" t="n">
        <f aca="false">75901.7+4439.2</f>
        <v>80340.9</v>
      </c>
      <c r="AW35" s="92" t="n">
        <f aca="false">95355.3+4850.8</f>
        <v>100206.1</v>
      </c>
      <c r="AX35" s="92" t="n">
        <f aca="false">69206.4+4769.4</f>
        <v>73975.8</v>
      </c>
      <c r="AZ35" s="31" t="n">
        <f aca="false">AZ71/100*AZ33</f>
        <v>61320.8029697489</v>
      </c>
      <c r="BA35" s="31" t="n">
        <f aca="false">BA71/100*BA33</f>
        <v>42382.70672818</v>
      </c>
      <c r="BB35" s="31" t="n">
        <f aca="false">BB71/100*BB33</f>
        <v>28283.9363656706</v>
      </c>
      <c r="BC35" s="31" t="n">
        <f aca="false">BC71/100*BC33</f>
        <v>28667.3442048518</v>
      </c>
      <c r="BD35" s="31" t="n">
        <f aca="false">BD71/100*BD33</f>
        <v>24195.1394273558</v>
      </c>
      <c r="BE35" s="31" t="n">
        <f aca="false">BE71/100*BE33</f>
        <v>4482.59352712589</v>
      </c>
      <c r="BF35" s="31" t="n">
        <f aca="false">BF71/100*BF33</f>
        <v>21435.4051307813</v>
      </c>
      <c r="BG35" s="31" t="n">
        <f aca="false">BG71/100*BG33</f>
        <v>36243.0952829048</v>
      </c>
      <c r="BH35" s="31" t="n">
        <f aca="false">BH71/100*BH33</f>
        <v>49319.9884925681</v>
      </c>
      <c r="BI35" s="31" t="n">
        <f aca="false">BI71/100*BI33</f>
        <v>20769.5803576038</v>
      </c>
      <c r="BJ35" s="31" t="n">
        <f aca="false">BJ71/100*BJ33</f>
        <v>34292.0424426095</v>
      </c>
      <c r="BK35" s="31" t="n">
        <f aca="false">BK71/100*BK33</f>
        <v>43856.1080537567</v>
      </c>
      <c r="BL35" s="31" t="n">
        <f aca="false">BL71/100*BL33</f>
        <v>64799.4834210036</v>
      </c>
      <c r="BM35" s="31" t="n">
        <f aca="false">BM71/100*BM33</f>
        <v>56222.1465555738</v>
      </c>
      <c r="BN35" s="31" t="n">
        <f aca="false">BN71/100*BN33</f>
        <v>65591.4543117869</v>
      </c>
      <c r="BO35" s="31" t="n">
        <f aca="false">BO71/100*BO33</f>
        <v>68141.8258737261</v>
      </c>
      <c r="BP35" s="31" t="n">
        <f aca="false">BP71/100*BP33</f>
        <v>87168.2609620093</v>
      </c>
      <c r="BQ35" s="31" t="n">
        <f aca="false">BQ71/100*BQ33</f>
        <v>60525.4771937216</v>
      </c>
      <c r="BR35" s="31" t="n">
        <f aca="false">BR71/100*BR33</f>
        <v>71627.4453631513</v>
      </c>
      <c r="BS35" s="31" t="n">
        <f aca="false">BS71/100*BS33</f>
        <v>65705.182975646</v>
      </c>
      <c r="BT35" s="31" t="n">
        <f aca="false">BT71/100*BT33</f>
        <v>81032.5983198003</v>
      </c>
      <c r="BU35" s="31" t="n">
        <f aca="false">BU71/100*BU33</f>
        <v>62357.2644484705</v>
      </c>
      <c r="BV35" s="31" t="n">
        <f aca="false">BV71/100*BV33</f>
        <v>63239.0850156889</v>
      </c>
      <c r="BW35" s="31" t="n">
        <f aca="false">BW71/100*BW33</f>
        <v>64635.0313998503</v>
      </c>
      <c r="BX35" s="31" t="n">
        <f aca="false">BX71/100*BX33</f>
        <v>87722.2323785755</v>
      </c>
      <c r="BY35" s="31" t="n">
        <f aca="false">BY71/100*BY33</f>
        <v>62195.2560665481</v>
      </c>
      <c r="BZ35" s="31" t="n">
        <f aca="false">BZ71/100*BZ33</f>
        <v>68526.9231755224</v>
      </c>
      <c r="CA35" s="31" t="n">
        <f aca="false">CA71/100*CA33</f>
        <v>81981.2644987021</v>
      </c>
      <c r="CB35" s="31" t="n">
        <f aca="false">CB71/100*CB33</f>
        <v>102293.02183363</v>
      </c>
      <c r="CC35" s="31" t="n">
        <f aca="false">CC71/100*CC33</f>
        <v>72043.1510415088</v>
      </c>
      <c r="CE35" s="31" t="n">
        <f aca="false">+E35+D35+B35+C35</f>
        <v>136292.208</v>
      </c>
      <c r="CF35" s="30"/>
      <c r="CG35" s="123" t="n">
        <f aca="false">'Main Model'!AI22</f>
        <v>314171.4</v>
      </c>
      <c r="CI35" s="30"/>
      <c r="CJ35" s="31" t="n">
        <f aca="false">CG35-AV35-AV34-AU35-AU34-AT35-AT34</f>
        <v>101053.2</v>
      </c>
      <c r="CK35" s="30"/>
      <c r="CL35" s="30"/>
      <c r="CM35" s="30"/>
      <c r="CN35" s="30"/>
    </row>
    <row r="36" customFormat="false" ht="15" hidden="false" customHeight="true" outlineLevel="0" collapsed="false">
      <c r="A36" s="29" t="s">
        <v>892</v>
      </c>
      <c r="B36" s="62" t="n">
        <v>3287.136</v>
      </c>
      <c r="C36" s="62" t="n">
        <v>3763.162</v>
      </c>
      <c r="D36" s="62" t="n">
        <v>3474.789</v>
      </c>
      <c r="E36" s="62" t="n">
        <v>3325.541</v>
      </c>
      <c r="F36" s="62" t="n">
        <v>3581.296</v>
      </c>
      <c r="G36" s="62" t="n">
        <v>3692.046</v>
      </c>
      <c r="H36" s="62" t="n">
        <v>3917.767</v>
      </c>
      <c r="I36" s="62" t="n">
        <v>4118.241</v>
      </c>
      <c r="J36" s="62" t="n">
        <v>4217.456</v>
      </c>
      <c r="K36" s="62" t="n">
        <v>4660.319</v>
      </c>
      <c r="L36" s="62" t="n">
        <v>4917.685</v>
      </c>
      <c r="M36" s="62" t="n">
        <v>4766.4</v>
      </c>
      <c r="N36" s="62" t="n">
        <v>4549.2</v>
      </c>
      <c r="O36" s="62" t="n">
        <v>4588</v>
      </c>
      <c r="P36" s="62" t="n">
        <v>4929.916</v>
      </c>
      <c r="Q36" s="62" t="n">
        <v>5001.4</v>
      </c>
      <c r="R36" s="62" t="n">
        <v>5173.61</v>
      </c>
      <c r="S36" s="62" t="n">
        <v>5250.8</v>
      </c>
      <c r="T36" s="62" t="n">
        <v>5000.7</v>
      </c>
      <c r="U36" s="62" t="n">
        <v>5734.8</v>
      </c>
      <c r="V36" s="62" t="n">
        <v>5004.3</v>
      </c>
      <c r="W36" s="62" t="n">
        <v>4321.2</v>
      </c>
      <c r="X36" s="62" t="n">
        <v>2727.9</v>
      </c>
      <c r="Y36" s="62" t="n">
        <v>4097.2</v>
      </c>
      <c r="Z36" s="62" t="n">
        <v>3541.9</v>
      </c>
      <c r="AA36" s="62" t="n">
        <v>3736.2</v>
      </c>
      <c r="AB36" s="62" t="n">
        <v>4544.8</v>
      </c>
      <c r="AC36" s="62" t="n">
        <v>4016</v>
      </c>
      <c r="AD36" s="62" t="n">
        <v>4243.1</v>
      </c>
      <c r="AE36" s="62" t="n">
        <v>4003</v>
      </c>
      <c r="AF36" s="62" t="n">
        <v>4324.1</v>
      </c>
      <c r="AG36" s="62" t="n">
        <v>4375.8</v>
      </c>
      <c r="AH36" s="62" t="n">
        <v>4454.1</v>
      </c>
      <c r="AI36" s="62" t="n">
        <v>5270.5</v>
      </c>
      <c r="AJ36" s="62" t="n">
        <v>5494.7</v>
      </c>
      <c r="AK36" s="62" t="n">
        <v>5919.3</v>
      </c>
      <c r="AL36" s="62" t="n">
        <v>5375.6</v>
      </c>
      <c r="AM36" s="62" t="n">
        <v>5728.3</v>
      </c>
      <c r="AN36" s="62" t="n">
        <v>5694.6</v>
      </c>
      <c r="AO36" s="62" t="n">
        <v>5535.3</v>
      </c>
      <c r="AP36" s="62" t="n">
        <v>5497.5</v>
      </c>
      <c r="AQ36" s="62" t="n">
        <v>5986.8</v>
      </c>
      <c r="AR36" s="62" t="n">
        <v>6063.5</v>
      </c>
      <c r="AS36" s="62" t="n">
        <v>6514.9</v>
      </c>
      <c r="AT36" s="62" t="n">
        <v>6121.9</v>
      </c>
      <c r="AU36" s="62" t="n">
        <v>6477.8</v>
      </c>
      <c r="AV36" s="62" t="n">
        <v>6251.6</v>
      </c>
      <c r="AW36" s="62" t="n">
        <v>7215.6</v>
      </c>
      <c r="AX36" s="62" t="n">
        <v>6927.1</v>
      </c>
      <c r="AZ36" s="62" t="n">
        <v>5000</v>
      </c>
      <c r="BA36" s="62" t="n">
        <v>4700</v>
      </c>
      <c r="BB36" s="62" t="n">
        <v>4800</v>
      </c>
      <c r="BC36" s="62" t="n">
        <v>4350</v>
      </c>
      <c r="BD36" s="62" t="n">
        <v>2800</v>
      </c>
      <c r="BE36" s="62" t="n">
        <v>2400</v>
      </c>
      <c r="BF36" s="62" t="n">
        <v>4000</v>
      </c>
      <c r="BG36" s="62" t="n">
        <v>4000</v>
      </c>
      <c r="BH36" s="62" t="n">
        <v>4600</v>
      </c>
      <c r="BI36" s="62" t="n">
        <v>3900</v>
      </c>
      <c r="BJ36" s="62" t="n">
        <v>4500</v>
      </c>
      <c r="BK36" s="62" t="n">
        <v>4400</v>
      </c>
      <c r="BL36" s="62" t="n">
        <v>4400</v>
      </c>
      <c r="BM36" s="62" t="n">
        <v>4400</v>
      </c>
      <c r="BN36" s="62" t="n">
        <v>4500</v>
      </c>
      <c r="BO36" s="62" t="n">
        <v>5300</v>
      </c>
      <c r="BP36" s="62" t="n">
        <v>5300</v>
      </c>
      <c r="BQ36" s="62" t="n">
        <v>5920</v>
      </c>
      <c r="BR36" s="62" t="n">
        <v>5400</v>
      </c>
      <c r="BS36" s="62" t="n">
        <v>5800</v>
      </c>
      <c r="BT36" s="62" t="n">
        <v>5800</v>
      </c>
      <c r="BU36" s="62" t="n">
        <v>5600</v>
      </c>
      <c r="BV36" s="62" t="n">
        <v>5550</v>
      </c>
      <c r="BW36" s="62" t="n">
        <v>6000</v>
      </c>
      <c r="BX36" s="62" t="n">
        <v>6200</v>
      </c>
      <c r="BY36" s="62" t="n">
        <v>6450</v>
      </c>
      <c r="BZ36" s="62" t="n">
        <v>6350</v>
      </c>
      <c r="CA36" s="62" t="n">
        <v>6600</v>
      </c>
      <c r="CB36" s="62" t="n">
        <v>6400</v>
      </c>
      <c r="CC36" s="62" t="n">
        <v>6800</v>
      </c>
      <c r="CE36" s="31" t="n">
        <f aca="false">+E36+D36+B36+C36</f>
        <v>13850.628</v>
      </c>
      <c r="CF36" s="30"/>
      <c r="CG36" s="123" t="n">
        <f aca="false">'Main Model'!AI29</f>
        <v>26066.9</v>
      </c>
      <c r="CI36" s="30"/>
      <c r="CJ36" s="31" t="n">
        <f aca="false">CG36-AV36-AU36-AT36</f>
        <v>7215.6</v>
      </c>
      <c r="CK36" s="30"/>
      <c r="CL36" s="30"/>
      <c r="CM36" s="30"/>
      <c r="CN36" s="30"/>
    </row>
    <row r="37" customFormat="false" ht="15" hidden="false" customHeight="true" outlineLevel="0" collapsed="false">
      <c r="A37" s="29" t="s">
        <v>893</v>
      </c>
      <c r="B37" s="62" t="n">
        <v>5046.968</v>
      </c>
      <c r="C37" s="62" t="n">
        <v>5055.557</v>
      </c>
      <c r="D37" s="62" t="n">
        <v>4416.103</v>
      </c>
      <c r="E37" s="62" t="n">
        <v>6508.869</v>
      </c>
      <c r="F37" s="62" t="n">
        <v>4939.273</v>
      </c>
      <c r="G37" s="62" t="n">
        <v>5830.432</v>
      </c>
      <c r="H37" s="62" t="n">
        <v>5351.395</v>
      </c>
      <c r="I37" s="62" t="n">
        <v>7158.1</v>
      </c>
      <c r="J37" s="62" t="n">
        <v>5885.039</v>
      </c>
      <c r="K37" s="62" t="n">
        <v>6945.844</v>
      </c>
      <c r="L37" s="62" t="n">
        <v>7511.752</v>
      </c>
      <c r="M37" s="62" t="n">
        <v>8640.3</v>
      </c>
      <c r="N37" s="62" t="n">
        <v>9788.344</v>
      </c>
      <c r="O37" s="62" t="n">
        <v>9478.1</v>
      </c>
      <c r="P37" s="62" t="n">
        <v>7584.45</v>
      </c>
      <c r="Q37" s="62" t="n">
        <v>7739.3</v>
      </c>
      <c r="R37" s="62" t="n">
        <v>7558.964</v>
      </c>
      <c r="S37" s="62" t="n">
        <v>7693.2</v>
      </c>
      <c r="T37" s="62" t="n">
        <v>7398.2</v>
      </c>
      <c r="U37" s="62" t="n">
        <v>8578</v>
      </c>
      <c r="V37" s="62" t="n">
        <v>6728</v>
      </c>
      <c r="W37" s="62" t="n">
        <v>5555</v>
      </c>
      <c r="X37" s="62" t="n">
        <v>5644.8</v>
      </c>
      <c r="Y37" s="62" t="n">
        <v>5168.3</v>
      </c>
      <c r="Z37" s="62" t="n">
        <v>2124.7</v>
      </c>
      <c r="AA37" s="62" t="n">
        <v>3624.7</v>
      </c>
      <c r="AB37" s="62" t="n">
        <v>5228.3</v>
      </c>
      <c r="AC37" s="62" t="n">
        <v>6813.4</v>
      </c>
      <c r="AD37" s="62" t="n">
        <v>4795.3</v>
      </c>
      <c r="AE37" s="62" t="n">
        <v>5043.2</v>
      </c>
      <c r="AF37" s="62" t="n">
        <v>5657.5</v>
      </c>
      <c r="AG37" s="62" t="n">
        <v>6885</v>
      </c>
      <c r="AH37" s="62" t="n">
        <v>7291.1</v>
      </c>
      <c r="AI37" s="62" t="n">
        <v>7549.8</v>
      </c>
      <c r="AJ37" s="62" t="n">
        <v>7970.1</v>
      </c>
      <c r="AK37" s="62" t="n">
        <v>9693.3</v>
      </c>
      <c r="AL37" s="62" t="n">
        <v>7938.3</v>
      </c>
      <c r="AM37" s="62" t="n">
        <v>8988.7</v>
      </c>
      <c r="AN37" s="62" t="n">
        <v>8918.8</v>
      </c>
      <c r="AO37" s="62" t="n">
        <v>10304.8</v>
      </c>
      <c r="AP37" s="62" t="n">
        <v>9332.7</v>
      </c>
      <c r="AQ37" s="62" t="n">
        <v>9118.1</v>
      </c>
      <c r="AR37" s="62" t="n">
        <v>8866.1</v>
      </c>
      <c r="AS37" s="62" t="n">
        <v>10614.4</v>
      </c>
      <c r="AT37" s="62" t="n">
        <v>9799.4</v>
      </c>
      <c r="AU37" s="62" t="n">
        <v>9545.5</v>
      </c>
      <c r="AV37" s="62" t="n">
        <v>10483.7</v>
      </c>
      <c r="AW37" s="62" t="n">
        <v>12680.9</v>
      </c>
      <c r="AX37" s="62" t="n">
        <v>10797.2</v>
      </c>
      <c r="AZ37" s="62" t="n">
        <v>9750</v>
      </c>
      <c r="BA37" s="62" t="n">
        <v>7300</v>
      </c>
      <c r="BB37" s="62" t="n">
        <v>5800</v>
      </c>
      <c r="BC37" s="62" t="n">
        <v>5800</v>
      </c>
      <c r="BD37" s="62" t="n">
        <v>5200</v>
      </c>
      <c r="BE37" s="62" t="n">
        <v>2500</v>
      </c>
      <c r="BF37" s="62" t="n">
        <v>5000</v>
      </c>
      <c r="BG37" s="62" t="n">
        <v>6200</v>
      </c>
      <c r="BH37" s="62" t="n">
        <v>6300</v>
      </c>
      <c r="BI37" s="62" t="n">
        <v>3500</v>
      </c>
      <c r="BJ37" s="62" t="n">
        <v>5500</v>
      </c>
      <c r="BK37" s="62" t="n">
        <v>5600</v>
      </c>
      <c r="BL37" s="62" t="n">
        <v>6500</v>
      </c>
      <c r="BM37" s="62" t="n">
        <v>6000</v>
      </c>
      <c r="BN37" s="32" t="n">
        <f aca="false">+AH37*1.08</f>
        <v>7874.388</v>
      </c>
      <c r="BO37" s="32" t="n">
        <f aca="false">+AI37*1.04</f>
        <v>7851.792</v>
      </c>
      <c r="BP37" s="32" t="n">
        <f aca="false">+AJ37*1.25</f>
        <v>9962.625</v>
      </c>
      <c r="BQ37" s="62" t="n">
        <v>7900</v>
      </c>
      <c r="BR37" s="62" t="n">
        <v>9300</v>
      </c>
      <c r="BS37" s="62" t="n">
        <v>8800</v>
      </c>
      <c r="BT37" s="32" t="n">
        <f aca="false">+AN37*1.17</f>
        <v>10434.996</v>
      </c>
      <c r="BU37" s="62" t="n">
        <v>9200</v>
      </c>
      <c r="BV37" s="62" t="n">
        <v>9450</v>
      </c>
      <c r="BW37" s="32" t="n">
        <f aca="false">+AQ37*1.01</f>
        <v>9209.281</v>
      </c>
      <c r="BX37" s="62" t="n">
        <v>11400</v>
      </c>
      <c r="BY37" s="62" t="n">
        <v>8900</v>
      </c>
      <c r="BZ37" s="62" t="n">
        <v>10500</v>
      </c>
      <c r="CA37" s="62" t="n">
        <v>10800</v>
      </c>
      <c r="CB37" s="62" t="n">
        <v>12400</v>
      </c>
      <c r="CC37" s="62" t="n">
        <v>10000</v>
      </c>
      <c r="CE37" s="31" t="n">
        <f aca="false">+E37+D37+B37+C37</f>
        <v>21027.497</v>
      </c>
      <c r="CF37" s="30"/>
      <c r="CG37" s="123" t="n">
        <f aca="false">'Main Model'!AI34+'Main Model'!AI31+'Main Model'!AI37</f>
        <v>44309.5</v>
      </c>
      <c r="CI37" s="30"/>
      <c r="CJ37" s="31" t="n">
        <f aca="false">CG37-AV37-AU37-AT37</f>
        <v>14480.9</v>
      </c>
      <c r="CK37" s="30"/>
      <c r="CL37" s="30"/>
      <c r="CM37" s="30"/>
      <c r="CN37" s="30"/>
    </row>
    <row r="38" customFormat="false" ht="15" hidden="false" customHeight="true" outlineLevel="0" collapsed="false">
      <c r="A38" s="29" t="s">
        <v>894</v>
      </c>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E38" s="59" t="n">
        <f aca="false">+E38+D38+B38+C38</f>
        <v>0</v>
      </c>
      <c r="CF38" s="43"/>
      <c r="CG38" s="43"/>
      <c r="CI38" s="43"/>
      <c r="CJ38" s="43"/>
      <c r="CK38" s="43"/>
      <c r="CL38" s="43"/>
      <c r="CM38" s="43"/>
      <c r="CN38" s="43"/>
    </row>
    <row r="39" customFormat="false" ht="15" hidden="false" customHeight="true" outlineLevel="0" collapsed="false">
      <c r="A39" s="119" t="s">
        <v>895</v>
      </c>
      <c r="B39" s="124" t="n">
        <f aca="false">SUM(B34:B38)</f>
        <v>34906.298</v>
      </c>
      <c r="C39" s="124" t="n">
        <f aca="false">SUM(C34:C38)</f>
        <v>43431.57</v>
      </c>
      <c r="D39" s="124" t="n">
        <f aca="false">SUM(D34:D38)</f>
        <v>36645.78</v>
      </c>
      <c r="E39" s="124" t="n">
        <f aca="false">SUM(E34:E38)</f>
        <v>51896.471</v>
      </c>
      <c r="F39" s="124" t="n">
        <f aca="false">SUM(F34:F38)</f>
        <v>37768.071</v>
      </c>
      <c r="G39" s="124" t="n">
        <f aca="false">SUM(G34:G38)</f>
        <v>40859.191</v>
      </c>
      <c r="H39" s="124" t="n">
        <f aca="false">SUM(H34:H38)</f>
        <v>40621.698</v>
      </c>
      <c r="I39" s="124" t="n">
        <f aca="false">SUM(I34:I38)</f>
        <v>58879.836</v>
      </c>
      <c r="J39" s="124" t="n">
        <f aca="false">SUM(J34:J38)</f>
        <v>39517.855</v>
      </c>
      <c r="K39" s="124" t="n">
        <f aca="false">SUM(K34:K38)</f>
        <v>54645.856</v>
      </c>
      <c r="L39" s="124" t="n">
        <f aca="false">SUM(L34:L38)</f>
        <v>63247.343</v>
      </c>
      <c r="M39" s="124" t="n">
        <f aca="false">SUM(M34:M38)</f>
        <v>63513.5</v>
      </c>
      <c r="N39" s="124" t="n">
        <f aca="false">SUM(N34:N38)</f>
        <v>77398.075</v>
      </c>
      <c r="O39" s="124" t="n">
        <f aca="false">SUM(O34:O38)</f>
        <v>76544.5</v>
      </c>
      <c r="P39" s="124" t="n">
        <f aca="false">SUM(P34:P38)</f>
        <v>56025.786</v>
      </c>
      <c r="Q39" s="124" t="n">
        <f aca="false">SUM(Q34:Q38)</f>
        <v>55910.8</v>
      </c>
      <c r="R39" s="124" t="n">
        <f aca="false">SUM(R34:R38)</f>
        <v>68020.487</v>
      </c>
      <c r="S39" s="124" t="n">
        <f aca="false">SUM(S34:S38)</f>
        <v>67920.3</v>
      </c>
      <c r="T39" s="124" t="n">
        <f aca="false">SUM(T34:T38)</f>
        <v>56756.1</v>
      </c>
      <c r="U39" s="124" t="n">
        <f aca="false">SUM(U34:U38)</f>
        <v>78604.9</v>
      </c>
      <c r="V39" s="124" t="n">
        <f aca="false">SUM(V34:V38)</f>
        <v>51468.9</v>
      </c>
      <c r="W39" s="124" t="n">
        <f aca="false">SUM(W34:W38)</f>
        <v>37009.2</v>
      </c>
      <c r="X39" s="124" t="n">
        <f aca="false">SUM(X34:X38)</f>
        <v>37905</v>
      </c>
      <c r="Y39" s="124" t="n">
        <f aca="false">SUM(Y34:Y38)</f>
        <v>36555.1</v>
      </c>
      <c r="Z39" s="124" t="n">
        <f aca="false">SUM(Z34:Z38)</f>
        <v>9841.1</v>
      </c>
      <c r="AA39" s="124" t="n">
        <f aca="false">SUM(AA34:AA38)</f>
        <v>27561.5</v>
      </c>
      <c r="AB39" s="124" t="n">
        <f aca="false">SUM(AB34:AB38)</f>
        <v>45597.2</v>
      </c>
      <c r="AC39" s="124" t="n">
        <f aca="false">SUM(AC34:AC38)</f>
        <v>64663.3</v>
      </c>
      <c r="AD39" s="124" t="n">
        <f aca="false">SUM(AD34:AD38)</f>
        <v>30910.9</v>
      </c>
      <c r="AE39" s="124" t="n">
        <f aca="false">SUM(AE34:AE38)</f>
        <v>43231.6</v>
      </c>
      <c r="AF39" s="124" t="n">
        <f aca="false">SUM(AF34:AF38)</f>
        <v>53112.7</v>
      </c>
      <c r="AG39" s="124" t="n">
        <f aca="false">SUM(AG34:AG38)</f>
        <v>79682.5</v>
      </c>
      <c r="AH39" s="124" t="n">
        <f aca="false">SUM(AH34:AH38)</f>
        <v>69025.7</v>
      </c>
      <c r="AI39" s="124" t="n">
        <f aca="false">SUM(AI34:AI38)</f>
        <v>77286.1</v>
      </c>
      <c r="AJ39" s="124" t="n">
        <f aca="false">SUM(AJ34:AJ38)</f>
        <v>82323.3</v>
      </c>
      <c r="AK39" s="124" t="n">
        <f aca="false">SUM(AK34:AK38)</f>
        <v>103499.3</v>
      </c>
      <c r="AL39" s="124" t="n">
        <f aca="false">SUM(AL34:AL38)</f>
        <v>73685.4</v>
      </c>
      <c r="AM39" s="124" t="n">
        <f aca="false">SUM(AM34:AM38)</f>
        <v>85582.5</v>
      </c>
      <c r="AN39" s="124" t="n">
        <f aca="false">SUM(AN34:AN38)</f>
        <v>81590.8</v>
      </c>
      <c r="AO39" s="124" t="n">
        <f aca="false">SUM(AO34:AO38)</f>
        <v>96745.8</v>
      </c>
      <c r="AP39" s="124" t="n">
        <f aca="false">SUM(AP34:AP38)</f>
        <v>76876.6</v>
      </c>
      <c r="AQ39" s="124" t="n">
        <f aca="false">SUM(AQ34:AQ38)</f>
        <v>77515.3</v>
      </c>
      <c r="AR39" s="124" t="n">
        <f aca="false">SUM(AR34:AR38)</f>
        <v>82672.4</v>
      </c>
      <c r="AS39" s="124" t="n">
        <f aca="false">SUM(AS34:AS38)</f>
        <v>101157.5</v>
      </c>
      <c r="AT39" s="124" t="n">
        <f aca="false">SUM(AT34:AT38)</f>
        <v>77549.6</v>
      </c>
      <c r="AU39" s="124" t="n">
        <f aca="false">SUM(AU34:AU38)</f>
        <v>84260.2</v>
      </c>
      <c r="AV39" s="124" t="n">
        <f aca="false">SUM(AV34:AV38)</f>
        <v>99988.3</v>
      </c>
      <c r="AW39" s="124" t="n">
        <f aca="false">SUM(AW34:AW38)</f>
        <v>120949.7</v>
      </c>
      <c r="AX39" s="124" t="n">
        <f aca="false">SUM(AX34:AX38)</f>
        <v>86648.2</v>
      </c>
      <c r="AY39" s="119"/>
      <c r="AZ39" s="124" t="n">
        <f aca="false">SUM(AZ34:AZ38)</f>
        <v>76070.8029697489</v>
      </c>
      <c r="BA39" s="124" t="n">
        <f aca="false">SUM(BA34:BA38)</f>
        <v>54382.70672818</v>
      </c>
      <c r="BB39" s="124" t="n">
        <f aca="false">SUM(BB34:BB38)</f>
        <v>38883.9363656706</v>
      </c>
      <c r="BC39" s="124" t="n">
        <f aca="false">SUM(BC34:BC38)</f>
        <v>38817.3442048517</v>
      </c>
      <c r="BD39" s="124" t="n">
        <f aca="false">SUM(BD34:BD38)</f>
        <v>32195.1394273558</v>
      </c>
      <c r="BE39" s="124" t="n">
        <f aca="false">SUM(BE34:BE38)</f>
        <v>9382.59352712589</v>
      </c>
      <c r="BF39" s="124" t="n">
        <f aca="false">SUM(BF34:BF38)</f>
        <v>30435.4051307813</v>
      </c>
      <c r="BG39" s="124" t="n">
        <f aca="false">SUM(BG34:BG38)</f>
        <v>46443.0952829048</v>
      </c>
      <c r="BH39" s="124" t="n">
        <f aca="false">SUM(BH34:BH38)</f>
        <v>60219.9884925681</v>
      </c>
      <c r="BI39" s="124" t="n">
        <f aca="false">SUM(BI34:BI38)</f>
        <v>28169.5803576038</v>
      </c>
      <c r="BJ39" s="124" t="n">
        <f aca="false">SUM(BJ34:BJ38)</f>
        <v>44292.0424426095</v>
      </c>
      <c r="BK39" s="124" t="n">
        <f aca="false">SUM(BK34:BK38)</f>
        <v>53856.1080537567</v>
      </c>
      <c r="BL39" s="124" t="n">
        <f aca="false">SUM(BL34:BL38)</f>
        <v>75699.4834210036</v>
      </c>
      <c r="BM39" s="124" t="n">
        <f aca="false">SUM(BM34:BM38)</f>
        <v>66622.1465555738</v>
      </c>
      <c r="BN39" s="124" t="n">
        <f aca="false">SUM(BN34:BN38)</f>
        <v>77965.8423117869</v>
      </c>
      <c r="BO39" s="124" t="n">
        <f aca="false">SUM(BO34:BO38)</f>
        <v>81293.6178737261</v>
      </c>
      <c r="BP39" s="124" t="n">
        <f aca="false">SUM(BP34:BP38)</f>
        <v>102430.885962009</v>
      </c>
      <c r="BQ39" s="124" t="n">
        <f aca="false">SUM(BQ34:BQ38)</f>
        <v>74345.4771937216</v>
      </c>
      <c r="BR39" s="124" t="n">
        <f aca="false">SUM(BR34:BR38)</f>
        <v>86327.4453631513</v>
      </c>
      <c r="BS39" s="124" t="n">
        <f aca="false">SUM(BS34:BS38)</f>
        <v>80305.182975646</v>
      </c>
      <c r="BT39" s="124" t="n">
        <f aca="false">SUM(BT34:BT38)</f>
        <v>97267.5943198003</v>
      </c>
      <c r="BU39" s="124" t="n">
        <f aca="false">SUM(BU34:BU38)</f>
        <v>77157.2644484705</v>
      </c>
      <c r="BV39" s="124" t="n">
        <f aca="false">SUM(BV34:BV38)</f>
        <v>78239.0850156889</v>
      </c>
      <c r="BW39" s="124" t="n">
        <f aca="false">SUM(BW34:BW38)</f>
        <v>79844.3123998503</v>
      </c>
      <c r="BX39" s="124" t="n">
        <f aca="false">SUM(BX34:BX38)</f>
        <v>105322.232378576</v>
      </c>
      <c r="BY39" s="124" t="n">
        <f aca="false">SUM(BY34:BY38)</f>
        <v>77545.2560665481</v>
      </c>
      <c r="BZ39" s="124" t="n">
        <f aca="false">SUM(BZ34:BZ38)</f>
        <v>85376.9231755224</v>
      </c>
      <c r="CA39" s="124" t="n">
        <f aca="false">SUM(CA34:CA38)</f>
        <v>99381.2644987021</v>
      </c>
      <c r="CB39" s="124" t="n">
        <f aca="false">SUM(CB34:CB38)</f>
        <v>121093.02183363</v>
      </c>
      <c r="CC39" s="124" t="n">
        <f aca="false">SUM(CC34:CC38)</f>
        <v>88843.1510415088</v>
      </c>
      <c r="CD39" s="119"/>
      <c r="CE39" s="124" t="n">
        <f aca="false">SUM(CE34:CE38)</f>
        <v>166880.119</v>
      </c>
      <c r="CF39" s="124"/>
      <c r="CG39" s="124"/>
      <c r="CH39" s="119"/>
      <c r="CI39" s="124"/>
      <c r="CJ39" s="124"/>
      <c r="CK39" s="124"/>
      <c r="CL39" s="124"/>
      <c r="CM39" s="124"/>
      <c r="CN39" s="124"/>
    </row>
    <row r="40" customFormat="false" ht="15" hidden="false" customHeight="true" outlineLevel="0" collapsed="false">
      <c r="A40" s="119" t="s">
        <v>172</v>
      </c>
      <c r="B40" s="120" t="n">
        <f aca="false">B33-B39</f>
        <v>3925.01</v>
      </c>
      <c r="C40" s="120" t="n">
        <f aca="false">C33-C39</f>
        <v>6240.226</v>
      </c>
      <c r="D40" s="120" t="n">
        <f aca="false">D33-D39</f>
        <v>4492.599</v>
      </c>
      <c r="E40" s="120" t="n">
        <f aca="false">E33-E39</f>
        <v>7835.086</v>
      </c>
      <c r="F40" s="120" t="n">
        <f aca="false">F33-F39</f>
        <v>4820.326</v>
      </c>
      <c r="G40" s="120" t="n">
        <f aca="false">G33-G39</f>
        <v>5364.87</v>
      </c>
      <c r="H40" s="120" t="n">
        <f aca="false">H33-H39</f>
        <v>4541.16</v>
      </c>
      <c r="I40" s="120" t="n">
        <f aca="false">I33-I39</f>
        <v>7299.016</v>
      </c>
      <c r="J40" s="120" t="n">
        <f aca="false">J33-J39</f>
        <v>3060.726</v>
      </c>
      <c r="K40" s="120" t="n">
        <f aca="false">K33-K39</f>
        <v>6117.969</v>
      </c>
      <c r="L40" s="120" t="n">
        <f aca="false">L33-L39</f>
        <v>7884.27699999999</v>
      </c>
      <c r="M40" s="120" t="n">
        <f aca="false">M33-M39</f>
        <v>8393.10000000001</v>
      </c>
      <c r="N40" s="120" t="n">
        <f aca="false">N33-N39</f>
        <v>10326.835</v>
      </c>
      <c r="O40" s="120" t="n">
        <f aca="false">O33-O39</f>
        <v>11256.4</v>
      </c>
      <c r="P40" s="120" t="n">
        <f aca="false">P33-P39</f>
        <v>6475.46799999999</v>
      </c>
      <c r="Q40" s="120" t="n">
        <f aca="false">Q33-Q39</f>
        <v>6716.39999999999</v>
      </c>
      <c r="R40" s="120" t="n">
        <f aca="false">R33-R39</f>
        <v>8059.31400000001</v>
      </c>
      <c r="S40" s="120" t="n">
        <f aca="false">S33-S39</f>
        <v>8290.30000000002</v>
      </c>
      <c r="T40" s="120" t="n">
        <f aca="false">T33-T39</f>
        <v>6496.3</v>
      </c>
      <c r="U40" s="120" t="n">
        <f aca="false">U33-U39</f>
        <v>9854.40000000001</v>
      </c>
      <c r="V40" s="120" t="n">
        <f aca="false">V33-V39</f>
        <v>5369.7</v>
      </c>
      <c r="W40" s="120" t="n">
        <f aca="false">W33-W39</f>
        <v>2285.8</v>
      </c>
      <c r="X40" s="120" t="n">
        <f aca="false">X33-X39</f>
        <v>2251.5</v>
      </c>
      <c r="Y40" s="120" t="n">
        <f aca="false">Y33-Y39</f>
        <v>1829.5</v>
      </c>
      <c r="Z40" s="120" t="n">
        <f aca="false">Z33-Z39</f>
        <v>-3332.4</v>
      </c>
      <c r="AA40" s="120" t="n">
        <f aca="false">AA33-AA39</f>
        <v>804.299999999999</v>
      </c>
      <c r="AB40" s="120" t="n">
        <f aca="false">AB33-AB39</f>
        <v>2537.90000000001</v>
      </c>
      <c r="AC40" s="120" t="n">
        <f aca="false">AC33-AC39</f>
        <v>5341.59999999999</v>
      </c>
      <c r="AD40" s="120" t="n">
        <f aca="false">AD33-AD39</f>
        <v>-1401</v>
      </c>
      <c r="AE40" s="120" t="n">
        <f aca="false">AE33-AE39</f>
        <v>1346.89999999999</v>
      </c>
      <c r="AF40" s="120" t="n">
        <f aca="false">AF33-AF39</f>
        <v>2238.9</v>
      </c>
      <c r="AG40" s="120" t="n">
        <f aca="false">AG33-AG39</f>
        <v>7760.39999999999</v>
      </c>
      <c r="AH40" s="120" t="n">
        <f aca="false">AH33-AH39</f>
        <v>3202.8</v>
      </c>
      <c r="AI40" s="120" t="n">
        <f aca="false">AI33-AI39</f>
        <v>5373.39999999999</v>
      </c>
      <c r="AJ40" s="120" t="n">
        <f aca="false">AJ33-AJ39</f>
        <v>7973.39999999999</v>
      </c>
      <c r="AK40" s="120" t="n">
        <f aca="false">AK33-AK39</f>
        <v>12757.4</v>
      </c>
      <c r="AL40" s="120" t="n">
        <f aca="false">AL33-AL39</f>
        <v>8207.5</v>
      </c>
      <c r="AM40" s="120" t="n">
        <f aca="false">AM33-AM39</f>
        <v>10797.9</v>
      </c>
      <c r="AN40" s="120" t="n">
        <f aca="false">AN33-AN39</f>
        <v>11139.3</v>
      </c>
      <c r="AO40" s="120" t="n">
        <f aca="false">AO33-AO39</f>
        <v>15921.1</v>
      </c>
      <c r="AP40" s="120" t="n">
        <f aca="false">AP33-AP39</f>
        <v>9108.7</v>
      </c>
      <c r="AQ40" s="120" t="n">
        <f aca="false">AQ33-AQ39</f>
        <v>10173</v>
      </c>
      <c r="AR40" s="120" t="n">
        <f aca="false">AR33-AR39</f>
        <v>12114.3</v>
      </c>
      <c r="AS40" s="120" t="n">
        <f aca="false">AS33-AS39</f>
        <v>17909.6</v>
      </c>
      <c r="AT40" s="120" t="n">
        <f aca="false">AT33-AT39</f>
        <v>9695.5</v>
      </c>
      <c r="AU40" s="120" t="n">
        <f aca="false">AU33-AU39</f>
        <v>11621.6</v>
      </c>
      <c r="AV40" s="120" t="n">
        <f aca="false">AV33-AV39</f>
        <v>15350.2</v>
      </c>
      <c r="AW40" s="120" t="n">
        <f aca="false">AW33-AW39</f>
        <v>20655.2</v>
      </c>
      <c r="AX40" s="120" t="n">
        <f aca="false">AX33-AX39</f>
        <v>9695.3</v>
      </c>
      <c r="AY40" s="119"/>
      <c r="AZ40" s="120" t="n">
        <f aca="false">AZ33-AZ39</f>
        <v>9096.97893268013</v>
      </c>
      <c r="BA40" s="120" t="n">
        <f aca="false">BA33-BA39</f>
        <v>4482.16372762554</v>
      </c>
      <c r="BB40" s="120" t="n">
        <f aca="false">BB33-BB39</f>
        <v>1812.37495184104</v>
      </c>
      <c r="BC40" s="120" t="n">
        <f aca="false">BC33-BC39</f>
        <v>2490.06819407008</v>
      </c>
      <c r="BD40" s="120" t="n">
        <f aca="false">BD33-BD39</f>
        <v>634.086389951921</v>
      </c>
      <c r="BE40" s="120" t="n">
        <f aca="false">BE33-BE39</f>
        <v>-3069.08151708943</v>
      </c>
      <c r="BF40" s="120" t="n">
        <f aca="false">BF33-BF39</f>
        <v>1087.24947330886</v>
      </c>
      <c r="BG40" s="120" t="n">
        <f aca="false">BG33-BG39</f>
        <v>4246.54846940959</v>
      </c>
      <c r="BH40" s="120" t="n">
        <f aca="false">BH33-BH39</f>
        <v>4845.95938680934</v>
      </c>
      <c r="BI40" s="120" t="n">
        <f aca="false">BI33-BI39</f>
        <v>-1019.80211237006</v>
      </c>
      <c r="BJ40" s="120" t="n">
        <f aca="false">BJ33-BJ39</f>
        <v>1799.41245337098</v>
      </c>
      <c r="BK40" s="120" t="n">
        <f aca="false">BK33-BK39</f>
        <v>2952.32206768979</v>
      </c>
      <c r="BL40" s="120" t="n">
        <f aca="false">BL33-BL39</f>
        <v>5809.30075635942</v>
      </c>
      <c r="BM40" s="120" t="n">
        <f aca="false">BM33-BM39</f>
        <v>4545.1275654057</v>
      </c>
      <c r="BN40" s="120" t="n">
        <f aca="false">BN33-BN39</f>
        <v>4956.3502442016</v>
      </c>
      <c r="BO40" s="120" t="n">
        <f aca="false">BO33-BO39</f>
        <v>6631.31873753338</v>
      </c>
      <c r="BP40" s="120" t="n">
        <f aca="false">BP33-BP39</f>
        <v>12264.1942511608</v>
      </c>
      <c r="BQ40" s="120" t="n">
        <f aca="false">BQ33-BQ39</f>
        <v>6140.52971282309</v>
      </c>
      <c r="BR40" s="120" t="n">
        <f aca="false">BR33-BR39</f>
        <v>10466.3997221883</v>
      </c>
      <c r="BS40" s="120" t="n">
        <f aca="false">BS33-BS39</f>
        <v>9211.41508381719</v>
      </c>
      <c r="BT40" s="120" t="n">
        <f aca="false">BT33-BT39</f>
        <v>13735.9650223919</v>
      </c>
      <c r="BU40" s="120" t="n">
        <f aca="false">BU33-BU39</f>
        <v>8971.55385052187</v>
      </c>
      <c r="BV40" s="120" t="n">
        <f aca="false">BV33-BV39</f>
        <v>9349.67539385251</v>
      </c>
      <c r="BW40" s="120" t="n">
        <f aca="false">BW33-BW39</f>
        <v>10680.9416615647</v>
      </c>
      <c r="BX40" s="120" t="n">
        <f aca="false">BX33-BX39</f>
        <v>17366.2045145371</v>
      </c>
      <c r="BY40" s="120" t="n">
        <f aca="false">BY33-BY39</f>
        <v>9685.11709831601</v>
      </c>
      <c r="BZ40" s="120" t="n">
        <f aca="false">BZ33-BZ39</f>
        <v>11004.1220783769</v>
      </c>
      <c r="CA40" s="120" t="n">
        <f aca="false">CA33-CA39</f>
        <v>14798.7696220529</v>
      </c>
      <c r="CB40" s="120" t="n">
        <f aca="false">CB33-CB39</f>
        <v>19806.4572760532</v>
      </c>
      <c r="CC40" s="120" t="n">
        <f aca="false">CC33-CC39</f>
        <v>9576.45420645403</v>
      </c>
      <c r="CD40" s="119"/>
      <c r="CE40" s="120" t="n">
        <f aca="false">CE33-CE39</f>
        <v>22492.921</v>
      </c>
      <c r="CF40" s="120"/>
      <c r="CG40" s="122" t="n">
        <f aca="false">'Main Model'!AI43</f>
        <v>57322.5000000002</v>
      </c>
      <c r="CH40" s="119"/>
      <c r="CI40" s="120"/>
      <c r="CJ40" s="120" t="n">
        <f aca="false">CG40-AV40-AU40-AT40</f>
        <v>20655.2000000002</v>
      </c>
      <c r="CK40" s="120"/>
      <c r="CL40" s="120" t="n">
        <f aca="false">+CM40-CA40-AU40-AT40</f>
        <v>21206.6303779473</v>
      </c>
      <c r="CM40" s="122" t="n">
        <f aca="false">+'Main Model'!AI43</f>
        <v>57322.5000000002</v>
      </c>
      <c r="CN40" s="120" t="n">
        <f aca="false">+CL40/BX40-1</f>
        <v>0.221143650599956</v>
      </c>
    </row>
    <row r="41" customFormat="false" ht="15" hidden="false" customHeight="true" outlineLevel="0" collapsed="false">
      <c r="A41" s="29" t="s">
        <v>896</v>
      </c>
      <c r="B41" s="37" t="n">
        <v>-180.481</v>
      </c>
      <c r="C41" s="37" t="n">
        <v>-79.465</v>
      </c>
      <c r="D41" s="37" t="n">
        <v>-17.185</v>
      </c>
      <c r="E41" s="37" t="n">
        <v>327.611</v>
      </c>
      <c r="F41" s="37" t="n">
        <v>496.708</v>
      </c>
      <c r="G41" s="37" t="n">
        <v>65.683</v>
      </c>
      <c r="H41" s="37" t="n">
        <v>-637.1</v>
      </c>
      <c r="I41" s="37" t="n">
        <v>228.683</v>
      </c>
      <c r="J41" s="37" t="n">
        <v>-26.73</v>
      </c>
      <c r="K41" s="37" t="n">
        <v>-26.428</v>
      </c>
      <c r="L41" s="37" t="n">
        <v>-1.942</v>
      </c>
      <c r="M41" s="37" t="n">
        <v>-26.1</v>
      </c>
      <c r="N41" s="37" t="n">
        <v>59.013</v>
      </c>
      <c r="O41" s="37" t="n">
        <v>68.1</v>
      </c>
      <c r="P41" s="37" t="n">
        <v>-62.748</v>
      </c>
      <c r="Q41" s="37" t="n">
        <v>-36.9</v>
      </c>
      <c r="R41" s="36"/>
      <c r="S41" s="37" t="n">
        <v>19.7</v>
      </c>
      <c r="T41" s="37" t="n">
        <v>-9.4</v>
      </c>
      <c r="U41" s="37" t="n">
        <v>0.3</v>
      </c>
      <c r="V41" s="37" t="n">
        <v>0.1</v>
      </c>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E41" s="36"/>
      <c r="CF41" s="36"/>
      <c r="CG41" s="36"/>
      <c r="CI41" s="36"/>
      <c r="CJ41" s="36"/>
      <c r="CK41" s="36"/>
      <c r="CL41" s="36"/>
      <c r="CM41" s="36"/>
      <c r="CN41" s="36"/>
    </row>
    <row r="42" customFormat="false" ht="15" hidden="false" customHeight="true" outlineLevel="0" collapsed="false">
      <c r="A42" s="29" t="s">
        <v>262</v>
      </c>
      <c r="B42" s="62" t="n">
        <v>701.188</v>
      </c>
      <c r="C42" s="62" t="n">
        <v>630.543</v>
      </c>
      <c r="D42" s="62" t="n">
        <v>603.181</v>
      </c>
      <c r="E42" s="62" t="n">
        <v>541.475</v>
      </c>
      <c r="F42" s="62" t="n">
        <v>338.239</v>
      </c>
      <c r="G42" s="62" t="n">
        <v>339.242</v>
      </c>
      <c r="H42" s="62" t="n">
        <v>453.315</v>
      </c>
      <c r="I42" s="62" t="n">
        <v>422.991</v>
      </c>
      <c r="J42" s="62" t="n">
        <v>366.312</v>
      </c>
      <c r="K42" s="62" t="n">
        <v>410.243</v>
      </c>
      <c r="L42" s="62" t="n">
        <v>335.257</v>
      </c>
      <c r="M42" s="62" t="n">
        <v>367.8</v>
      </c>
      <c r="N42" s="62" t="n">
        <v>200.647</v>
      </c>
      <c r="O42" s="62" t="n">
        <v>243.8</v>
      </c>
      <c r="P42" s="62" t="n">
        <v>115.925</v>
      </c>
      <c r="Q42" s="62" t="n">
        <v>141.9</v>
      </c>
      <c r="R42" s="62" t="n">
        <v>173.715</v>
      </c>
      <c r="S42" s="62" t="n">
        <v>204.1</v>
      </c>
      <c r="T42" s="62" t="n">
        <v>191.7</v>
      </c>
      <c r="U42" s="62" t="n">
        <v>166.1</v>
      </c>
      <c r="V42" s="62" t="n">
        <v>125.5</v>
      </c>
      <c r="W42" s="62" t="n">
        <v>301.2</v>
      </c>
      <c r="X42" s="62" t="n">
        <v>336.8</v>
      </c>
      <c r="Y42" s="62" t="n">
        <v>331</v>
      </c>
      <c r="Z42" s="62" t="n">
        <v>768.4</v>
      </c>
      <c r="AA42" s="62" t="n">
        <v>872.4</v>
      </c>
      <c r="AB42" s="62" t="n">
        <v>656.4</v>
      </c>
      <c r="AC42" s="62" t="n">
        <v>770.7</v>
      </c>
      <c r="AD42" s="62" t="n">
        <v>707.4</v>
      </c>
      <c r="AE42" s="62" t="n">
        <v>870.8</v>
      </c>
      <c r="AF42" s="62" t="n">
        <v>668.3</v>
      </c>
      <c r="AG42" s="62" t="n">
        <v>764.6</v>
      </c>
      <c r="AH42" s="62" t="n">
        <v>688.8</v>
      </c>
      <c r="AI42" s="62" t="n">
        <v>770.5</v>
      </c>
      <c r="AJ42" s="62" t="n">
        <v>804</v>
      </c>
      <c r="AK42" s="62" t="n">
        <v>627.6</v>
      </c>
      <c r="AL42" s="62" t="n">
        <v>698.7</v>
      </c>
      <c r="AM42" s="62" t="n">
        <v>587.1</v>
      </c>
      <c r="AN42" s="62" t="n">
        <v>616.3</v>
      </c>
      <c r="AO42" s="62" t="n">
        <v>592.3</v>
      </c>
      <c r="AP42" s="62" t="n">
        <v>590.5</v>
      </c>
      <c r="AQ42" s="62" t="n">
        <v>606.8</v>
      </c>
      <c r="AR42" s="62" t="n">
        <v>500.6</v>
      </c>
      <c r="AS42" s="62" t="n">
        <v>471.2</v>
      </c>
      <c r="AT42" s="62" t="n">
        <v>418.6</v>
      </c>
      <c r="AU42" s="62" t="n">
        <v>419.8</v>
      </c>
      <c r="AV42" s="62" t="n">
        <v>438.3</v>
      </c>
      <c r="AW42" s="62" t="n">
        <v>420.6</v>
      </c>
      <c r="AX42" s="62" t="n">
        <v>415.3</v>
      </c>
      <c r="AZ42" s="62" t="n">
        <v>185</v>
      </c>
      <c r="BA42" s="62" t="n">
        <v>130</v>
      </c>
      <c r="BB42" s="62" t="n">
        <v>125</v>
      </c>
      <c r="BC42" s="62" t="n">
        <v>250</v>
      </c>
      <c r="BD42" s="62" t="n">
        <v>340</v>
      </c>
      <c r="BE42" s="62" t="n">
        <v>340</v>
      </c>
      <c r="BF42" s="62" t="n">
        <v>340</v>
      </c>
      <c r="BG42" s="62" t="n">
        <v>600</v>
      </c>
      <c r="BH42" s="62" t="n">
        <v>600</v>
      </c>
      <c r="BI42" s="62" t="n">
        <v>650</v>
      </c>
      <c r="BJ42" s="62" t="n">
        <v>750</v>
      </c>
      <c r="BK42" s="62" t="n">
        <v>820</v>
      </c>
      <c r="BL42" s="62" t="n">
        <v>700</v>
      </c>
      <c r="BM42" s="62" t="n">
        <v>750</v>
      </c>
      <c r="BN42" s="62" t="n">
        <v>680</v>
      </c>
      <c r="BO42" s="62" t="n">
        <v>780</v>
      </c>
      <c r="BP42" s="62" t="n">
        <v>800</v>
      </c>
      <c r="BQ42" s="62" t="n">
        <v>800</v>
      </c>
      <c r="BR42" s="62" t="n">
        <v>750</v>
      </c>
      <c r="BS42" s="62" t="n">
        <v>580</v>
      </c>
      <c r="BT42" s="62" t="n">
        <v>600</v>
      </c>
      <c r="BU42" s="62" t="n">
        <v>600</v>
      </c>
      <c r="BV42" s="62" t="n">
        <v>600</v>
      </c>
      <c r="BW42" s="62" t="n">
        <v>600</v>
      </c>
      <c r="BX42" s="62" t="n">
        <v>520</v>
      </c>
      <c r="BY42" s="62" t="n">
        <v>480</v>
      </c>
      <c r="BZ42" s="62" t="n">
        <v>410</v>
      </c>
      <c r="CA42" s="62" t="n">
        <v>420</v>
      </c>
      <c r="CB42" s="62" t="n">
        <v>450</v>
      </c>
      <c r="CC42" s="62" t="n">
        <v>400</v>
      </c>
      <c r="CE42" s="30"/>
      <c r="CF42" s="30"/>
      <c r="CG42" s="123" t="n">
        <f aca="false">'Main Model'!AI45</f>
        <v>1697.3</v>
      </c>
      <c r="CI42" s="30"/>
      <c r="CJ42" s="31" t="n">
        <f aca="false">CG42-AV42-AU42-AT42</f>
        <v>420.6</v>
      </c>
      <c r="CK42" s="30"/>
      <c r="CL42" s="30"/>
      <c r="CM42" s="30"/>
      <c r="CN42" s="30"/>
    </row>
    <row r="43" customFormat="false" ht="15" hidden="false" customHeight="true" outlineLevel="0" collapsed="false">
      <c r="A43" s="29" t="s">
        <v>263</v>
      </c>
      <c r="B43" s="62" t="n">
        <v>258.814</v>
      </c>
      <c r="C43" s="62" t="n">
        <v>454.412</v>
      </c>
      <c r="D43" s="62" t="n">
        <v>297.941</v>
      </c>
      <c r="E43" s="62" t="n">
        <v>218.425</v>
      </c>
      <c r="F43" s="62" t="n">
        <v>385.174</v>
      </c>
      <c r="G43" s="62" t="n">
        <v>316.144</v>
      </c>
      <c r="H43" s="62" t="n">
        <v>257.816</v>
      </c>
      <c r="I43" s="62" t="n">
        <v>403.567</v>
      </c>
      <c r="J43" s="62" t="n">
        <v>384.089</v>
      </c>
      <c r="K43" s="62" t="n">
        <v>556.604</v>
      </c>
      <c r="L43" s="62" t="n">
        <v>379.657</v>
      </c>
      <c r="M43" s="62" t="n">
        <v>417.3</v>
      </c>
      <c r="N43" s="62" t="n">
        <v>577.297</v>
      </c>
      <c r="O43" s="62" t="n">
        <v>594.1</v>
      </c>
      <c r="P43" s="62" t="n">
        <v>499.85</v>
      </c>
      <c r="Q43" s="62" t="n">
        <v>524.7</v>
      </c>
      <c r="R43" s="62" t="n">
        <v>281.452</v>
      </c>
      <c r="S43" s="62" t="n">
        <v>275.9</v>
      </c>
      <c r="T43" s="62" t="n">
        <v>208</v>
      </c>
      <c r="U43" s="62" t="n">
        <v>90.8</v>
      </c>
      <c r="V43" s="62" t="n">
        <v>210.7</v>
      </c>
      <c r="W43" s="62" t="n">
        <v>455</v>
      </c>
      <c r="X43" s="62" t="n">
        <v>223.3</v>
      </c>
      <c r="Y43" s="62" t="n">
        <v>344.4</v>
      </c>
      <c r="Z43" s="62" t="n">
        <v>256.2</v>
      </c>
      <c r="AA43" s="62" t="n">
        <v>218.7</v>
      </c>
      <c r="AB43" s="62" t="n">
        <v>340.6</v>
      </c>
      <c r="AC43" s="62" t="n">
        <v>379.5</v>
      </c>
      <c r="AD43" s="62" t="n">
        <v>134</v>
      </c>
      <c r="AE43" s="62" t="n">
        <v>209.3</v>
      </c>
      <c r="AF43" s="62" t="n">
        <v>176.4</v>
      </c>
      <c r="AG43" s="62" t="n">
        <v>241.6</v>
      </c>
      <c r="AH43" s="62" t="n">
        <v>256.4</v>
      </c>
      <c r="AI43" s="62" t="n">
        <v>199.9</v>
      </c>
      <c r="AJ43" s="62" t="n">
        <v>315.9</v>
      </c>
      <c r="AK43" s="62" t="n">
        <v>389.2</v>
      </c>
      <c r="AL43" s="62" t="n">
        <v>511.8</v>
      </c>
      <c r="AM43" s="62" t="n">
        <v>474.6</v>
      </c>
      <c r="AN43" s="62" t="n">
        <v>300.3</v>
      </c>
      <c r="AO43" s="62" t="n">
        <v>1179</v>
      </c>
      <c r="AP43" s="62" t="n">
        <v>223.4</v>
      </c>
      <c r="AQ43" s="62" t="n">
        <v>972.7</v>
      </c>
      <c r="AR43" s="62" t="n">
        <v>247.1</v>
      </c>
      <c r="AS43" s="62" t="n">
        <v>1059.3</v>
      </c>
      <c r="AT43" s="62" t="n">
        <v>528.5</v>
      </c>
      <c r="AU43" s="62" t="n">
        <v>1347.8</v>
      </c>
      <c r="AV43" s="62" t="n">
        <v>592.5</v>
      </c>
      <c r="AW43" s="62" t="n">
        <v>682.9</v>
      </c>
      <c r="AX43" s="62" t="n">
        <v>851</v>
      </c>
      <c r="AZ43" s="62" t="n">
        <v>200</v>
      </c>
      <c r="BA43" s="62" t="n">
        <v>600</v>
      </c>
      <c r="BB43" s="62" t="n">
        <v>200</v>
      </c>
      <c r="BC43" s="62" t="n">
        <v>400</v>
      </c>
      <c r="BD43" s="62" t="n">
        <v>250</v>
      </c>
      <c r="BE43" s="62" t="n">
        <v>250</v>
      </c>
      <c r="BF43" s="62" t="n">
        <v>250</v>
      </c>
      <c r="BG43" s="62" t="n">
        <v>200</v>
      </c>
      <c r="BH43" s="62" t="n">
        <v>250</v>
      </c>
      <c r="BI43" s="62" t="n">
        <v>350</v>
      </c>
      <c r="BJ43" s="62" t="n">
        <v>200</v>
      </c>
      <c r="BK43" s="62" t="n">
        <v>200</v>
      </c>
      <c r="BL43" s="62" t="n">
        <v>180</v>
      </c>
      <c r="BM43" s="62" t="n">
        <v>200</v>
      </c>
      <c r="BN43" s="62" t="n">
        <v>240</v>
      </c>
      <c r="BO43" s="62" t="n">
        <v>220</v>
      </c>
      <c r="BP43" s="62" t="n">
        <v>300</v>
      </c>
      <c r="BQ43" s="62" t="n">
        <v>300</v>
      </c>
      <c r="BR43" s="62" t="n">
        <v>450</v>
      </c>
      <c r="BS43" s="62" t="n">
        <v>450</v>
      </c>
      <c r="BT43" s="62" t="n">
        <v>300</v>
      </c>
      <c r="BU43" s="62" t="n">
        <v>1000</v>
      </c>
      <c r="BV43" s="62" t="n">
        <v>250</v>
      </c>
      <c r="BW43" s="62" t="n">
        <v>350</v>
      </c>
      <c r="BX43" s="62" t="n">
        <v>250</v>
      </c>
      <c r="BY43" s="62" t="n">
        <v>1050</v>
      </c>
      <c r="BZ43" s="62" t="n">
        <v>500</v>
      </c>
      <c r="CA43" s="62" t="n">
        <v>700</v>
      </c>
      <c r="CB43" s="62" t="n">
        <v>800</v>
      </c>
      <c r="CC43" s="62" t="n">
        <v>670</v>
      </c>
      <c r="CE43" s="30"/>
      <c r="CF43" s="30"/>
      <c r="CG43" s="123" t="n">
        <f aca="false">'Main Model'!AI46</f>
        <v>3151.7</v>
      </c>
      <c r="CI43" s="30"/>
      <c r="CJ43" s="31" t="n">
        <f aca="false">CG43-AV43-AU43-AT43</f>
        <v>682.9</v>
      </c>
      <c r="CK43" s="30"/>
      <c r="CL43" s="30"/>
      <c r="CM43" s="30"/>
      <c r="CN43" s="30"/>
    </row>
    <row r="44" customFormat="false" ht="15" hidden="false" customHeight="true" outlineLevel="0" collapsed="false">
      <c r="A44" s="119" t="s">
        <v>264</v>
      </c>
      <c r="B44" s="124" t="n">
        <f aca="false">B40-B42+B43+B41</f>
        <v>3302.155</v>
      </c>
      <c r="C44" s="124" t="n">
        <f aca="false">C40-C42+C43+C41</f>
        <v>5984.63</v>
      </c>
      <c r="D44" s="124" t="n">
        <f aca="false">D40-D42+D43+D41</f>
        <v>4170.174</v>
      </c>
      <c r="E44" s="124" t="n">
        <f aca="false">E40-E42+E43+E41</f>
        <v>7839.647</v>
      </c>
      <c r="F44" s="124" t="n">
        <f aca="false">F40-F42+F43+F41</f>
        <v>5363.969</v>
      </c>
      <c r="G44" s="124" t="n">
        <f aca="false">G40-G42+G43+G41</f>
        <v>5407.455</v>
      </c>
      <c r="H44" s="124" t="n">
        <f aca="false">H40-H42+H43+H41</f>
        <v>3708.561</v>
      </c>
      <c r="I44" s="124" t="n">
        <f aca="false">I40-I42+I43+I41</f>
        <v>7508.275</v>
      </c>
      <c r="J44" s="124" t="n">
        <f aca="false">J40-J42+J43+J41</f>
        <v>3051.773</v>
      </c>
      <c r="K44" s="124" t="n">
        <f aca="false">K40-K42+K43+K41</f>
        <v>6237.902</v>
      </c>
      <c r="L44" s="124" t="n">
        <f aca="false">L40-L42+L43+L41</f>
        <v>7926.73499999999</v>
      </c>
      <c r="M44" s="124" t="n">
        <f aca="false">M40-M42+M43+M41</f>
        <v>8416.50000000001</v>
      </c>
      <c r="N44" s="124" t="n">
        <f aca="false">N40-N42+N43+N41</f>
        <v>10762.498</v>
      </c>
      <c r="O44" s="124" t="n">
        <f aca="false">O40-O42+O43+O41</f>
        <v>11674.8</v>
      </c>
      <c r="P44" s="124" t="n">
        <f aca="false">P40-P42+P43+P41</f>
        <v>6796.64499999999</v>
      </c>
      <c r="Q44" s="124" t="n">
        <f aca="false">Q40-Q42+Q43+Q41</f>
        <v>7062.3</v>
      </c>
      <c r="R44" s="124" t="n">
        <f aca="false">R40-R42+R43+R41</f>
        <v>8167.05100000001</v>
      </c>
      <c r="S44" s="124" t="n">
        <f aca="false">S40-S42+S43+S41</f>
        <v>8381.80000000002</v>
      </c>
      <c r="T44" s="124" t="n">
        <f aca="false">T40-T42+T43+T41</f>
        <v>6503.2</v>
      </c>
      <c r="U44" s="124" t="n">
        <f aca="false">U40-U42+U43+U41</f>
        <v>9779.40000000001</v>
      </c>
      <c r="V44" s="124" t="n">
        <f aca="false">V40-V42+V43+V41</f>
        <v>5455.00000000001</v>
      </c>
      <c r="W44" s="124" t="n">
        <f aca="false">W40-W42+W43+W41</f>
        <v>2439.6</v>
      </c>
      <c r="X44" s="124" t="n">
        <f aca="false">X40-X42+X43+X41</f>
        <v>2138</v>
      </c>
      <c r="Y44" s="124" t="n">
        <f aca="false">Y40-Y42+Y43+Y41</f>
        <v>1842.9</v>
      </c>
      <c r="Z44" s="124" t="n">
        <f aca="false">Z40-Z42+Z43+Z41</f>
        <v>-3844.6</v>
      </c>
      <c r="AA44" s="124" t="n">
        <f aca="false">AA40-AA42+AA43+AA41</f>
        <v>150.599999999999</v>
      </c>
      <c r="AB44" s="124" t="n">
        <f aca="false">AB40-AB42+AB43+AB41</f>
        <v>2222.10000000001</v>
      </c>
      <c r="AC44" s="124" t="n">
        <f aca="false">AC40-AC42+AC43+AC41</f>
        <v>4950.39999999999</v>
      </c>
      <c r="AD44" s="124" t="n">
        <f aca="false">AD40-AD42+AD43+AD41</f>
        <v>-1974.4</v>
      </c>
      <c r="AE44" s="124" t="n">
        <f aca="false">AE40-AE42+AE43+AE41</f>
        <v>685.399999999994</v>
      </c>
      <c r="AF44" s="124" t="n">
        <f aca="false">AF40-AF42+AF43+AF41</f>
        <v>1747</v>
      </c>
      <c r="AG44" s="124" t="n">
        <f aca="false">AG40-AG42+AG43+AG41</f>
        <v>7237.39999999999</v>
      </c>
      <c r="AH44" s="124" t="n">
        <f aca="false">AH40-AH42+AH43+AH41</f>
        <v>2770.4</v>
      </c>
      <c r="AI44" s="124" t="n">
        <f aca="false">AI40-AI42+AI43+AI41</f>
        <v>4802.79999999999</v>
      </c>
      <c r="AJ44" s="124" t="n">
        <f aca="false">AJ40-AJ42+AJ43+AJ41</f>
        <v>7485.29999999999</v>
      </c>
      <c r="AK44" s="124" t="n">
        <f aca="false">AK40-AK42+AK43+AK41</f>
        <v>12519</v>
      </c>
      <c r="AL44" s="124" t="n">
        <f aca="false">AL40-AL42+AL43+AL41</f>
        <v>8020.6</v>
      </c>
      <c r="AM44" s="124" t="n">
        <f aca="false">AM40-AM42+AM43+AM41</f>
        <v>10685.4</v>
      </c>
      <c r="AN44" s="124" t="n">
        <f aca="false">AN40-AN42+AN43+AN41</f>
        <v>10823.3</v>
      </c>
      <c r="AO44" s="124" t="n">
        <f aca="false">AO40-AO42+AO43+AO41</f>
        <v>16507.8</v>
      </c>
      <c r="AP44" s="124" t="n">
        <f aca="false">AP40-AP42+AP43+AP41</f>
        <v>8741.6</v>
      </c>
      <c r="AQ44" s="124" t="n">
        <f aca="false">AQ40-AQ42+AQ43+AQ41</f>
        <v>10538.9</v>
      </c>
      <c r="AR44" s="124" t="n">
        <f aca="false">AR40-AR42+AR43+AR41</f>
        <v>11860.8</v>
      </c>
      <c r="AS44" s="124" t="n">
        <f aca="false">AS40-AS42+AS43+AS41</f>
        <v>18497.7</v>
      </c>
      <c r="AT44" s="124" t="n">
        <f aca="false">AT40-AT42+AT43+AT41</f>
        <v>9805.4</v>
      </c>
      <c r="AU44" s="124" t="n">
        <f aca="false">AU40-AU42+AU43+AU41</f>
        <v>12549.6</v>
      </c>
      <c r="AV44" s="124" t="n">
        <f aca="false">AV40-AV42+AV43+AV41</f>
        <v>15504.4</v>
      </c>
      <c r="AW44" s="124" t="n">
        <f aca="false">AW40-AW42+AW43+AW41</f>
        <v>20917.5</v>
      </c>
      <c r="AX44" s="124" t="n">
        <f aca="false">AX40-AX42+AX43+AX41</f>
        <v>10131</v>
      </c>
      <c r="AY44" s="119"/>
      <c r="AZ44" s="124" t="n">
        <f aca="false">AZ40-AZ42+AZ43+AZ41</f>
        <v>9111.97893268013</v>
      </c>
      <c r="BA44" s="124" t="n">
        <f aca="false">BA40-BA42+BA43+BA41</f>
        <v>4952.16372762554</v>
      </c>
      <c r="BB44" s="124" t="n">
        <f aca="false">BB40-BB42+BB43+BB41</f>
        <v>1887.37495184104</v>
      </c>
      <c r="BC44" s="124" t="n">
        <f aca="false">BC40-BC42+BC43+BC41</f>
        <v>2640.06819407008</v>
      </c>
      <c r="BD44" s="124" t="n">
        <f aca="false">BD40-BD42+BD43+BD41</f>
        <v>544.086389951921</v>
      </c>
      <c r="BE44" s="124" t="n">
        <f aca="false">BE40-BE42+BE43+BE41</f>
        <v>-3159.08151708943</v>
      </c>
      <c r="BF44" s="124" t="n">
        <f aca="false">BF40-BF42+BF43+BF41</f>
        <v>997.249473308861</v>
      </c>
      <c r="BG44" s="124" t="n">
        <f aca="false">BG40-BG42+BG43+BG41</f>
        <v>3846.54846940959</v>
      </c>
      <c r="BH44" s="124" t="n">
        <f aca="false">BH40-BH42+BH43+BH41</f>
        <v>4495.95938680934</v>
      </c>
      <c r="BI44" s="124" t="n">
        <f aca="false">BI40-BI42+BI43+BI41</f>
        <v>-1319.80211237006</v>
      </c>
      <c r="BJ44" s="124" t="n">
        <f aca="false">BJ40-BJ42+BJ43+BJ41</f>
        <v>1249.41245337098</v>
      </c>
      <c r="BK44" s="124" t="n">
        <f aca="false">BK40-BK42+BK43+BK41</f>
        <v>2332.32206768979</v>
      </c>
      <c r="BL44" s="124" t="n">
        <f aca="false">BL40-BL42+BL43+BL41</f>
        <v>5289.30075635942</v>
      </c>
      <c r="BM44" s="124" t="n">
        <f aca="false">BM40-BM42+BM43+BM41</f>
        <v>3995.1275654057</v>
      </c>
      <c r="BN44" s="124" t="n">
        <f aca="false">BN40-BN42+BN43+BN41</f>
        <v>4516.3502442016</v>
      </c>
      <c r="BO44" s="124" t="n">
        <f aca="false">BO40-BO42+BO43+BO41</f>
        <v>6071.31873753338</v>
      </c>
      <c r="BP44" s="124" t="n">
        <f aca="false">BP40-BP42+BP43+BP41</f>
        <v>11764.1942511608</v>
      </c>
      <c r="BQ44" s="124" t="n">
        <f aca="false">BQ40-BQ42+BQ43+BQ41</f>
        <v>5640.52971282309</v>
      </c>
      <c r="BR44" s="124" t="n">
        <f aca="false">BR40-BR42+BR43+BR41</f>
        <v>10166.3997221883</v>
      </c>
      <c r="BS44" s="124" t="n">
        <f aca="false">BS40-BS42+BS43+BS41</f>
        <v>9081.41508381719</v>
      </c>
      <c r="BT44" s="124" t="n">
        <f aca="false">BT40-BT42+BT43+BT41</f>
        <v>13435.9650223919</v>
      </c>
      <c r="BU44" s="124" t="n">
        <f aca="false">BU40-BU42+BU43+BU41</f>
        <v>9371.55385052187</v>
      </c>
      <c r="BV44" s="124" t="n">
        <f aca="false">BV40-BV42+BV43+BV41</f>
        <v>8999.67539385251</v>
      </c>
      <c r="BW44" s="124" t="n">
        <f aca="false">BW40-BW42+BW43+BW41</f>
        <v>10430.9416615647</v>
      </c>
      <c r="BX44" s="124" t="n">
        <f aca="false">BX40-BX42+BX43+BX41</f>
        <v>17096.2045145371</v>
      </c>
      <c r="BY44" s="124" t="n">
        <f aca="false">BY40-BY42+BY43+BY41</f>
        <v>10255.117098316</v>
      </c>
      <c r="BZ44" s="124" t="n">
        <f aca="false">BZ40-BZ42+BZ43+BZ41</f>
        <v>11094.1220783769</v>
      </c>
      <c r="CA44" s="124" t="n">
        <f aca="false">CA40-CA42+CA43+CA41</f>
        <v>15078.7696220529</v>
      </c>
      <c r="CB44" s="124" t="n">
        <f aca="false">CB40-CB42+CB43+CB41</f>
        <v>20156.4572760532</v>
      </c>
      <c r="CC44" s="124" t="n">
        <f aca="false">CC40-CC42+CC43+CC41</f>
        <v>9846.45420645403</v>
      </c>
      <c r="CD44" s="119"/>
      <c r="CE44" s="124" t="n">
        <f aca="false">CE40-CE42+CE43-CE41</f>
        <v>22492.921</v>
      </c>
      <c r="CF44" s="124"/>
      <c r="CG44" s="125" t="n">
        <f aca="false">'Main Model'!AI47</f>
        <v>58776.9000000002</v>
      </c>
      <c r="CH44" s="119"/>
      <c r="CI44" s="124"/>
      <c r="CJ44" s="124" t="n">
        <f aca="false">CG44-AV44-AU44-AT44</f>
        <v>20917.5000000002</v>
      </c>
      <c r="CK44" s="124"/>
      <c r="CL44" s="124"/>
      <c r="CM44" s="124"/>
      <c r="CN44" s="124"/>
    </row>
    <row r="45" customFormat="false" ht="15" hidden="false" customHeight="true" outlineLevel="0" collapsed="false">
      <c r="A45" s="29" t="s">
        <v>897</v>
      </c>
      <c r="B45" s="62" t="n">
        <v>1137.683</v>
      </c>
      <c r="C45" s="62" t="n">
        <v>1231.124</v>
      </c>
      <c r="D45" s="62" t="n">
        <v>1194.226</v>
      </c>
      <c r="E45" s="62" t="n">
        <v>1315.971</v>
      </c>
      <c r="F45" s="62" t="n">
        <v>1209.725</v>
      </c>
      <c r="G45" s="62" t="n">
        <v>1261.107</v>
      </c>
      <c r="H45" s="62" t="n">
        <v>1313.35</v>
      </c>
      <c r="I45" s="62" t="n">
        <v>1394.757</v>
      </c>
      <c r="J45" s="62" t="n">
        <v>1321.32</v>
      </c>
      <c r="K45" s="62" t="n">
        <v>1411.354</v>
      </c>
      <c r="L45" s="62" t="n">
        <v>1350.371</v>
      </c>
      <c r="M45" s="62" t="n">
        <v>1459.5</v>
      </c>
      <c r="N45" s="62" t="n">
        <v>1463.049</v>
      </c>
      <c r="O45" s="62" t="n">
        <v>1574.2</v>
      </c>
      <c r="P45" s="62" t="n">
        <v>1430.462</v>
      </c>
      <c r="Q45" s="62" t="n">
        <v>1524.8</v>
      </c>
      <c r="R45" s="62" t="n">
        <v>1401.846</v>
      </c>
      <c r="S45" s="62" t="n">
        <v>1481.1</v>
      </c>
      <c r="T45" s="62" t="n">
        <v>1606.6</v>
      </c>
      <c r="U45" s="62" t="n">
        <v>1597.6</v>
      </c>
      <c r="V45" s="62" t="n">
        <v>1646.4</v>
      </c>
      <c r="W45" s="62" t="n">
        <v>1600.4</v>
      </c>
      <c r="X45" s="62" t="n">
        <v>1574.6</v>
      </c>
      <c r="Y45" s="62" t="n">
        <v>1876.6</v>
      </c>
      <c r="Z45" s="62" t="n">
        <v>1636.7</v>
      </c>
      <c r="AA45" s="62" t="n">
        <v>1711.6</v>
      </c>
      <c r="AB45" s="62" t="n">
        <v>1944.3</v>
      </c>
      <c r="AC45" s="62" t="n">
        <v>2184.5</v>
      </c>
      <c r="AD45" s="62" t="n">
        <v>1834.9</v>
      </c>
      <c r="AE45" s="62" t="n">
        <v>1842.7</v>
      </c>
      <c r="AF45" s="62" t="n">
        <v>1896.5</v>
      </c>
      <c r="AG45" s="62" t="n">
        <v>1953.5</v>
      </c>
      <c r="AH45" s="62" t="n">
        <v>1824</v>
      </c>
      <c r="AI45" s="62" t="n">
        <v>1767.9</v>
      </c>
      <c r="AJ45" s="62" t="n">
        <v>1889.5</v>
      </c>
      <c r="AK45" s="62" t="n">
        <v>1838.2</v>
      </c>
      <c r="AL45" s="62" t="n">
        <v>1793.6</v>
      </c>
      <c r="AM45" s="62" t="n">
        <v>1802.9</v>
      </c>
      <c r="AN45" s="62" t="n">
        <v>1784.7</v>
      </c>
      <c r="AO45" s="62" t="n">
        <v>1796.9</v>
      </c>
      <c r="AP45" s="62" t="n">
        <v>1727.2</v>
      </c>
      <c r="AQ45" s="62" t="n">
        <v>1754.4</v>
      </c>
      <c r="AR45" s="62" t="n">
        <v>1923.3</v>
      </c>
      <c r="AS45" s="62" t="n">
        <v>1788.5</v>
      </c>
      <c r="AT45" s="62" t="n">
        <v>1828.1</v>
      </c>
      <c r="AU45" s="62" t="n">
        <v>1723</v>
      </c>
      <c r="AV45" s="62" t="n">
        <v>1774.6</v>
      </c>
      <c r="AW45" s="62" t="n">
        <v>1826.2</v>
      </c>
      <c r="AX45" s="62" t="n">
        <v>1829.2</v>
      </c>
      <c r="AZ45" s="62" t="n">
        <v>1620</v>
      </c>
      <c r="BA45" s="62" t="n">
        <v>1580</v>
      </c>
      <c r="BB45" s="62" t="n">
        <v>1620</v>
      </c>
      <c r="BC45" s="62" t="n">
        <v>1600</v>
      </c>
      <c r="BD45" s="62" t="n">
        <v>1550</v>
      </c>
      <c r="BE45" s="62" t="n">
        <v>1880</v>
      </c>
      <c r="BF45" s="62" t="n">
        <v>1800</v>
      </c>
      <c r="BG45" s="62" t="n">
        <v>1750</v>
      </c>
      <c r="BH45" s="62" t="n">
        <v>2000</v>
      </c>
      <c r="BI45" s="62" t="n">
        <v>2200</v>
      </c>
      <c r="BJ45" s="62" t="n">
        <v>1850</v>
      </c>
      <c r="BK45" s="62" t="n">
        <v>1850</v>
      </c>
      <c r="BL45" s="62" t="n">
        <v>1900</v>
      </c>
      <c r="BM45" s="62" t="n">
        <v>1960</v>
      </c>
      <c r="BN45" s="62" t="n">
        <v>1850</v>
      </c>
      <c r="BO45" s="62" t="n">
        <v>1800</v>
      </c>
      <c r="BP45" s="62" t="n">
        <v>1900</v>
      </c>
      <c r="BQ45" s="62" t="n">
        <v>1900</v>
      </c>
      <c r="BR45" s="62" t="n">
        <v>1850</v>
      </c>
      <c r="BS45" s="62" t="n">
        <v>1820</v>
      </c>
      <c r="BT45" s="62" t="n">
        <v>1820</v>
      </c>
      <c r="BU45" s="62" t="n">
        <v>1820</v>
      </c>
      <c r="BV45" s="62" t="n">
        <v>1750</v>
      </c>
      <c r="BW45" s="62" t="n">
        <v>1760</v>
      </c>
      <c r="BX45" s="62" t="n">
        <v>2000</v>
      </c>
      <c r="BY45" s="62" t="n">
        <v>1850</v>
      </c>
      <c r="BZ45" s="62" t="n">
        <v>1880</v>
      </c>
      <c r="CA45" s="62" t="n">
        <v>1750</v>
      </c>
      <c r="CB45" s="62" t="n">
        <v>1790</v>
      </c>
      <c r="CC45" s="62" t="n">
        <v>1840</v>
      </c>
      <c r="CE45" s="31" t="n">
        <f aca="false">+E45+D45+B45+C45</f>
        <v>4879.004</v>
      </c>
      <c r="CF45" s="30"/>
      <c r="CG45" s="123" t="n">
        <f aca="false">'Main Model'!AI49</f>
        <v>7151.9</v>
      </c>
      <c r="CI45" s="30"/>
      <c r="CJ45" s="31" t="n">
        <f aca="false">CG45-AV45-AU45-AT45</f>
        <v>1826.2</v>
      </c>
      <c r="CK45" s="30"/>
      <c r="CL45" s="30"/>
      <c r="CM45" s="30"/>
      <c r="CN45" s="30"/>
    </row>
    <row r="46" customFormat="false" ht="15" hidden="false" customHeight="true" outlineLevel="0" collapsed="false">
      <c r="A46" s="119" t="s">
        <v>251</v>
      </c>
      <c r="B46" s="124" t="n">
        <f aca="false">+B44-B45</f>
        <v>2164.472</v>
      </c>
      <c r="C46" s="124" t="n">
        <f aca="false">+C44-C45</f>
        <v>4753.506</v>
      </c>
      <c r="D46" s="124" t="n">
        <f aca="false">+D44-D45</f>
        <v>2975.948</v>
      </c>
      <c r="E46" s="124" t="n">
        <f aca="false">+E44-E45</f>
        <v>6523.676</v>
      </c>
      <c r="F46" s="124" t="n">
        <f aca="false">+F44-F45</f>
        <v>4154.244</v>
      </c>
      <c r="G46" s="124" t="n">
        <f aca="false">+G44-G45</f>
        <v>4146.348</v>
      </c>
      <c r="H46" s="124" t="n">
        <f aca="false">+H44-H45</f>
        <v>2395.211</v>
      </c>
      <c r="I46" s="124" t="n">
        <f aca="false">+I44-I45</f>
        <v>6113.518</v>
      </c>
      <c r="J46" s="124" t="n">
        <f aca="false">+J44-J45</f>
        <v>1730.453</v>
      </c>
      <c r="K46" s="124" t="n">
        <f aca="false">+K44-K45</f>
        <v>4826.548</v>
      </c>
      <c r="L46" s="124" t="n">
        <f aca="false">+L44-L45</f>
        <v>6576.36399999999</v>
      </c>
      <c r="M46" s="124" t="n">
        <f aca="false">+M44-M45</f>
        <v>6957.00000000001</v>
      </c>
      <c r="N46" s="124" t="n">
        <f aca="false">+N44-N45</f>
        <v>9299.44900000001</v>
      </c>
      <c r="O46" s="124" t="n">
        <f aca="false">+O44-O45</f>
        <v>10100.6</v>
      </c>
      <c r="P46" s="124" t="n">
        <f aca="false">+P44-P45</f>
        <v>5366.18299999999</v>
      </c>
      <c r="Q46" s="124" t="n">
        <f aca="false">+Q44-Q45</f>
        <v>5537.49999999999</v>
      </c>
      <c r="R46" s="124" t="n">
        <f aca="false">+R44-R45</f>
        <v>6765.20500000001</v>
      </c>
      <c r="S46" s="124" t="n">
        <f aca="false">+S44-S45</f>
        <v>6900.70000000002</v>
      </c>
      <c r="T46" s="124" t="n">
        <f aca="false">+T44-T45</f>
        <v>4896.6</v>
      </c>
      <c r="U46" s="124" t="n">
        <f aca="false">+U44-U45</f>
        <v>8181.80000000001</v>
      </c>
      <c r="V46" s="124" t="n">
        <f aca="false">+V44-V45</f>
        <v>3808.6</v>
      </c>
      <c r="W46" s="124" t="n">
        <f aca="false">+W44-W45</f>
        <v>839.200000000003</v>
      </c>
      <c r="X46" s="124" t="n">
        <f aca="false">+X44-X45</f>
        <v>563.4</v>
      </c>
      <c r="Y46" s="124" t="n">
        <f aca="false">+Y44-Y45</f>
        <v>-33.6999999999998</v>
      </c>
      <c r="Z46" s="124" t="n">
        <f aca="false">+Z44-Z45</f>
        <v>-5481.3</v>
      </c>
      <c r="AA46" s="124" t="n">
        <f aca="false">+AA44-AA45</f>
        <v>-1561</v>
      </c>
      <c r="AB46" s="124" t="n">
        <f aca="false">+AB44-AB45</f>
        <v>277.800000000009</v>
      </c>
      <c r="AC46" s="124" t="n">
        <f aca="false">+AC44-AC45</f>
        <v>2765.89999999999</v>
      </c>
      <c r="AD46" s="124" t="n">
        <f aca="false">+AD44-AD45</f>
        <v>-3809.3</v>
      </c>
      <c r="AE46" s="124" t="n">
        <f aca="false">+AE44-AE45</f>
        <v>-1157.30000000001</v>
      </c>
      <c r="AF46" s="124" t="n">
        <f aca="false">+AF44-AF45</f>
        <v>-149.499999999998</v>
      </c>
      <c r="AG46" s="124" t="n">
        <f aca="false">+AG44-AG45</f>
        <v>5283.89999999999</v>
      </c>
      <c r="AH46" s="124" t="n">
        <f aca="false">+AH44-AH45</f>
        <v>946.400000000003</v>
      </c>
      <c r="AI46" s="124" t="n">
        <f aca="false">+AI44-AI45</f>
        <v>3034.89999999999</v>
      </c>
      <c r="AJ46" s="124" t="n">
        <f aca="false">+AJ44-AJ45</f>
        <v>5595.79999999999</v>
      </c>
      <c r="AK46" s="124" t="n">
        <f aca="false">+AK44-AK45</f>
        <v>10680.8</v>
      </c>
      <c r="AL46" s="124" t="n">
        <f aca="false">+AL44-AL45</f>
        <v>6227</v>
      </c>
      <c r="AM46" s="124" t="n">
        <f aca="false">+AM44-AM45</f>
        <v>8882.5</v>
      </c>
      <c r="AN46" s="124" t="n">
        <f aca="false">+AN44-AN45</f>
        <v>9038.60000000002</v>
      </c>
      <c r="AO46" s="124" t="n">
        <f aca="false">+AO44-AO45</f>
        <v>14710.9</v>
      </c>
      <c r="AP46" s="124" t="n">
        <f aca="false">+AP44-AP45</f>
        <v>7014.4</v>
      </c>
      <c r="AQ46" s="124" t="n">
        <f aca="false">+AQ44-AQ45</f>
        <v>8784.5</v>
      </c>
      <c r="AR46" s="124" t="n">
        <f aca="false">+AR44-AR45</f>
        <v>9937.5</v>
      </c>
      <c r="AS46" s="124" t="n">
        <f aca="false">+AS44-AS45</f>
        <v>16709.2</v>
      </c>
      <c r="AT46" s="124" t="n">
        <f aca="false">+AT44-AT45</f>
        <v>7977.3</v>
      </c>
      <c r="AU46" s="124" t="n">
        <f aca="false">+AU44-AU45</f>
        <v>10826.6</v>
      </c>
      <c r="AV46" s="124" t="n">
        <f aca="false">+AV44-AV45</f>
        <v>13729.8</v>
      </c>
      <c r="AW46" s="124" t="n">
        <f aca="false">+AW44-AW45</f>
        <v>19091.3</v>
      </c>
      <c r="AX46" s="124" t="n">
        <f aca="false">+AX44-AX45</f>
        <v>8301.8</v>
      </c>
      <c r="AY46" s="119"/>
      <c r="AZ46" s="124" t="n">
        <f aca="false">+AZ44-AZ45</f>
        <v>7491.97893268013</v>
      </c>
      <c r="BA46" s="124" t="n">
        <f aca="false">+BA44-BA45</f>
        <v>3372.16372762554</v>
      </c>
      <c r="BB46" s="124" t="n">
        <f aca="false">+BB44-BB45</f>
        <v>267.37495184104</v>
      </c>
      <c r="BC46" s="124" t="n">
        <f aca="false">+BC44-BC45</f>
        <v>1040.06819407008</v>
      </c>
      <c r="BD46" s="124" t="n">
        <f aca="false">+BD44-BD45</f>
        <v>-1005.91361004808</v>
      </c>
      <c r="BE46" s="124" t="n">
        <f aca="false">+BE44-BE45</f>
        <v>-5039.08151708943</v>
      </c>
      <c r="BF46" s="124" t="n">
        <f aca="false">+BF44-BF45</f>
        <v>-802.750526691139</v>
      </c>
      <c r="BG46" s="124" t="n">
        <f aca="false">+BG44-BG45</f>
        <v>2096.54846940959</v>
      </c>
      <c r="BH46" s="124" t="n">
        <f aca="false">+BH44-BH45</f>
        <v>2495.95938680934</v>
      </c>
      <c r="BI46" s="124" t="n">
        <f aca="false">+BI44-BI45</f>
        <v>-3519.80211237006</v>
      </c>
      <c r="BJ46" s="124" t="n">
        <f aca="false">+BJ44-BJ45</f>
        <v>-600.587546629016</v>
      </c>
      <c r="BK46" s="124" t="n">
        <f aca="false">+BK44-BK45</f>
        <v>482.322067689791</v>
      </c>
      <c r="BL46" s="124" t="n">
        <f aca="false">+BL44-BL45</f>
        <v>3389.30075635941</v>
      </c>
      <c r="BM46" s="124" t="n">
        <f aca="false">+BM44-BM45</f>
        <v>2035.1275654057</v>
      </c>
      <c r="BN46" s="124" t="n">
        <f aca="false">+BN44-BN45</f>
        <v>2666.3502442016</v>
      </c>
      <c r="BO46" s="124" t="n">
        <f aca="false">+BO44-BO45</f>
        <v>4271.31873753338</v>
      </c>
      <c r="BP46" s="124" t="n">
        <f aca="false">+BP44-BP45</f>
        <v>9864.19425116084</v>
      </c>
      <c r="BQ46" s="124" t="n">
        <f aca="false">+BQ44-BQ45</f>
        <v>3740.52971282309</v>
      </c>
      <c r="BR46" s="124" t="n">
        <f aca="false">+BR44-BR45</f>
        <v>8316.39972218829</v>
      </c>
      <c r="BS46" s="124" t="n">
        <f aca="false">+BS44-BS45</f>
        <v>7261.41508381719</v>
      </c>
      <c r="BT46" s="124" t="n">
        <f aca="false">+BT44-BT45</f>
        <v>11615.9650223919</v>
      </c>
      <c r="BU46" s="124" t="n">
        <f aca="false">+BU44-BU45</f>
        <v>7551.55385052187</v>
      </c>
      <c r="BV46" s="124" t="n">
        <f aca="false">+BV44-BV45</f>
        <v>7249.67539385251</v>
      </c>
      <c r="BW46" s="124" t="n">
        <f aca="false">+BW44-BW45</f>
        <v>8670.94166156469</v>
      </c>
      <c r="BX46" s="124" t="n">
        <f aca="false">+BX44-BX45</f>
        <v>15096.2045145371</v>
      </c>
      <c r="BY46" s="124" t="n">
        <f aca="false">+BY44-BY45</f>
        <v>8405.11709831601</v>
      </c>
      <c r="BZ46" s="124" t="n">
        <f aca="false">+BZ44-BZ45</f>
        <v>9214.12207837692</v>
      </c>
      <c r="CA46" s="124" t="n">
        <f aca="false">+CA44-CA45</f>
        <v>13328.7696220529</v>
      </c>
      <c r="CB46" s="124" t="n">
        <f aca="false">+CB44-CB45</f>
        <v>18366.4572760532</v>
      </c>
      <c r="CC46" s="124" t="n">
        <f aca="false">+CC44-CC45</f>
        <v>8006.45420645403</v>
      </c>
      <c r="CD46" s="119"/>
      <c r="CE46" s="124" t="n">
        <f aca="false">+CE44-CE45</f>
        <v>17613.917</v>
      </c>
      <c r="CF46" s="124"/>
      <c r="CG46" s="125" t="n">
        <f aca="false">'Main Model'!AI51</f>
        <v>48140.2000000002</v>
      </c>
      <c r="CH46" s="119"/>
      <c r="CI46" s="124"/>
      <c r="CJ46" s="124" t="n">
        <f aca="false">CG46-AV46-AU46-AT46</f>
        <v>15606.5000000002</v>
      </c>
      <c r="CK46" s="124"/>
      <c r="CL46" s="124"/>
      <c r="CM46" s="124"/>
      <c r="CN46" s="124"/>
    </row>
    <row r="47" customFormat="false" ht="15" hidden="false" customHeight="true" outlineLevel="0" collapsed="false">
      <c r="A47" s="29" t="s">
        <v>898</v>
      </c>
      <c r="B47" s="43"/>
      <c r="C47" s="43"/>
      <c r="D47" s="43"/>
      <c r="E47" s="43"/>
      <c r="F47" s="43"/>
      <c r="G47" s="43"/>
      <c r="H47" s="43"/>
      <c r="I47" s="60" t="n">
        <v>3240</v>
      </c>
      <c r="J47" s="43"/>
      <c r="K47" s="43"/>
      <c r="L47" s="43"/>
      <c r="M47" s="43"/>
      <c r="N47" s="60" t="n">
        <v>0.032</v>
      </c>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E47" s="59" t="n">
        <f aca="false">+E47+D47+B47+C47</f>
        <v>0</v>
      </c>
      <c r="CF47" s="43"/>
      <c r="CG47" s="43"/>
      <c r="CI47" s="43"/>
      <c r="CJ47" s="43"/>
      <c r="CK47" s="43"/>
      <c r="CL47" s="43"/>
      <c r="CM47" s="43"/>
      <c r="CN47" s="43"/>
    </row>
    <row r="48" customFormat="false" ht="15" hidden="false" customHeight="true" outlineLevel="0" collapsed="false">
      <c r="A48" s="29" t="s">
        <v>899</v>
      </c>
      <c r="B48" s="30"/>
      <c r="C48" s="62" t="n">
        <v>1570</v>
      </c>
      <c r="D48" s="62" t="n">
        <v>50</v>
      </c>
      <c r="E48" s="62" t="n">
        <v>6532.235</v>
      </c>
      <c r="F48" s="30"/>
      <c r="G48" s="30"/>
      <c r="H48" s="30"/>
      <c r="I48" s="62" t="n">
        <v>3508.459</v>
      </c>
      <c r="J48" s="62" t="n">
        <v>125.692</v>
      </c>
      <c r="K48" s="30"/>
      <c r="L48" s="30"/>
      <c r="M48" s="62" t="n">
        <v>29.1</v>
      </c>
      <c r="N48" s="30"/>
      <c r="O48" s="62" t="n">
        <v>44.1</v>
      </c>
      <c r="P48" s="62" t="n">
        <v>146.593</v>
      </c>
      <c r="Q48" s="62" t="n">
        <v>177.9</v>
      </c>
      <c r="R48" s="62" t="n">
        <v>159.431</v>
      </c>
      <c r="S48" s="62" t="n">
        <v>192.7</v>
      </c>
      <c r="T48" s="62" t="n">
        <v>60.9</v>
      </c>
      <c r="U48" s="62" t="n">
        <v>117.1</v>
      </c>
      <c r="V48" s="62" t="n">
        <v>201.2</v>
      </c>
      <c r="W48" s="62" t="n">
        <v>648.1</v>
      </c>
      <c r="X48" s="62" t="n">
        <v>21.7</v>
      </c>
      <c r="Y48" s="62" t="n">
        <v>687.3</v>
      </c>
      <c r="Z48" s="62" t="n">
        <v>16.7</v>
      </c>
      <c r="AA48" s="62" t="n">
        <v>17</v>
      </c>
      <c r="AB48" s="62" t="n">
        <v>460.3</v>
      </c>
      <c r="AC48" s="62" t="n">
        <v>-373.5</v>
      </c>
      <c r="AD48" s="62" t="n">
        <v>16.8</v>
      </c>
      <c r="AE48" s="62" t="n">
        <v>-2.3</v>
      </c>
      <c r="AF48" s="62" t="n">
        <v>-420.2</v>
      </c>
      <c r="AG48" s="62" t="n">
        <v>-4702.6</v>
      </c>
      <c r="AH48" s="62" t="n">
        <v>-130.1</v>
      </c>
      <c r="AI48" s="62" t="n">
        <v>-82.3</v>
      </c>
      <c r="AJ48" s="62" t="n">
        <v>-69.4</v>
      </c>
      <c r="AK48" s="62" t="n">
        <v>-564.3</v>
      </c>
      <c r="AL48" s="62" t="n">
        <v>5.9</v>
      </c>
      <c r="AM48" s="62" t="n">
        <v>228.8</v>
      </c>
      <c r="AN48" s="62" t="n">
        <v>5.9</v>
      </c>
      <c r="AO48" s="62" t="n">
        <v>696.6</v>
      </c>
      <c r="AP48" s="30"/>
      <c r="AQ48" s="62" t="n">
        <v>-1173.8</v>
      </c>
      <c r="AR48" s="30"/>
      <c r="AS48" s="62" t="n">
        <v>136.5</v>
      </c>
      <c r="AT48" s="30"/>
      <c r="AU48" s="62" t="n">
        <v>400</v>
      </c>
      <c r="AV48" s="62" t="n">
        <v>3084.8</v>
      </c>
      <c r="AW48" s="30"/>
      <c r="AX48" s="30"/>
      <c r="AZ48" s="30"/>
      <c r="BA48" s="30"/>
      <c r="BB48" s="30"/>
      <c r="BC48" s="30"/>
      <c r="BD48" s="62" t="n">
        <v>29</v>
      </c>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E48" s="31" t="n">
        <f aca="false">+E48+D48+B48+C48</f>
        <v>8152.235</v>
      </c>
      <c r="CF48" s="30"/>
      <c r="CG48" s="123" t="n">
        <f aca="false">-'Main Model'!AI50</f>
        <v>3484.8</v>
      </c>
      <c r="CI48" s="30"/>
      <c r="CJ48" s="31" t="n">
        <f aca="false">CG48-AV48-AU48-AT48</f>
        <v>0</v>
      </c>
      <c r="CK48" s="30"/>
      <c r="CL48" s="30"/>
      <c r="CM48" s="30"/>
      <c r="CN48" s="30"/>
    </row>
    <row r="49" customFormat="false" ht="15" hidden="false" customHeight="true" outlineLevel="0" collapsed="false">
      <c r="A49" s="29" t="s">
        <v>269</v>
      </c>
      <c r="B49" s="62" t="n">
        <v>719.511</v>
      </c>
      <c r="C49" s="62" t="n">
        <v>1461.412</v>
      </c>
      <c r="D49" s="62" t="n">
        <v>788.903</v>
      </c>
      <c r="E49" s="92" t="n">
        <f aca="false">1217.458+182.098</f>
        <v>1399.556</v>
      </c>
      <c r="F49" s="62" t="n">
        <v>1246.4</v>
      </c>
      <c r="G49" s="62" t="n">
        <v>1202.248</v>
      </c>
      <c r="H49" s="92" t="n">
        <f aca="false">729.644+48.407</f>
        <v>778.051</v>
      </c>
      <c r="I49" s="92" t="n">
        <f aca="false">-369.505-1787.105+3240</f>
        <v>1083.39</v>
      </c>
      <c r="J49" s="92" t="n">
        <f aca="false">662.146-169.739</f>
        <v>492.407</v>
      </c>
      <c r="K49" s="92" t="n">
        <f aca="false">1795.998-312.047</f>
        <v>1483.951</v>
      </c>
      <c r="L49" s="92" t="n">
        <f aca="false">2383.724-304.458</f>
        <v>2079.266</v>
      </c>
      <c r="M49" s="92" t="n">
        <f aca="false">2383.8-304.5</f>
        <v>2079.3</v>
      </c>
      <c r="N49" s="92" t="n">
        <f aca="false">1930.853+694.781</f>
        <v>2625.634</v>
      </c>
      <c r="O49" s="92" t="n">
        <f aca="false">1930.6+694.7</f>
        <v>2625.3</v>
      </c>
      <c r="P49" s="92" t="n">
        <f aca="false">1566.12-47.541</f>
        <v>1518.579</v>
      </c>
      <c r="Q49" s="92" t="n">
        <f aca="false">1179.3-36</f>
        <v>1143.3</v>
      </c>
      <c r="R49" s="92" t="n">
        <f aca="false">2060.561-50.579</f>
        <v>2009.982</v>
      </c>
      <c r="S49" s="92" t="n">
        <f aca="false">1475.7-45.1</f>
        <v>1430.6</v>
      </c>
      <c r="T49" s="92" t="n">
        <f aca="false">1059.6-32.3</f>
        <v>1027.3</v>
      </c>
      <c r="U49" s="92" t="n">
        <f aca="false">67.4+1467.4</f>
        <v>1534.8</v>
      </c>
      <c r="V49" s="92" t="n">
        <f aca="false">1416.1-110.9</f>
        <v>1305.2</v>
      </c>
      <c r="W49" s="92" t="n">
        <f aca="false">-665.9+468.3</f>
        <v>-197.6</v>
      </c>
      <c r="X49" s="92" t="n">
        <f aca="false">411.7-147.5</f>
        <v>264.2</v>
      </c>
      <c r="Y49" s="92" t="n">
        <f aca="false">296.7-444.5</f>
        <v>-147.8</v>
      </c>
      <c r="Z49" s="92" t="n">
        <f aca="false">-1610.1+0.1</f>
        <v>-1610</v>
      </c>
      <c r="AA49" s="92" t="n">
        <f aca="false">-111.4+0.1</f>
        <v>-111.3</v>
      </c>
      <c r="AB49" s="62" t="n">
        <v>11.3</v>
      </c>
      <c r="AC49" s="62" t="n">
        <v>727.7</v>
      </c>
      <c r="AD49" s="62" t="n">
        <v>-1003.2</v>
      </c>
      <c r="AE49" s="62" t="n">
        <v>-324.9</v>
      </c>
      <c r="AF49" s="62" t="n">
        <v>213.1</v>
      </c>
      <c r="AG49" s="92" t="n">
        <f aca="false">101.1+871.7</f>
        <v>972.8</v>
      </c>
      <c r="AH49" s="92" t="n">
        <f aca="false">415.1-19.1</f>
        <v>396</v>
      </c>
      <c r="AI49" s="92" t="n">
        <f aca="false">1167.6-43.5</f>
        <v>1124.1</v>
      </c>
      <c r="AJ49" s="92" t="n">
        <f aca="false">2213.4-161.6</f>
        <v>2051.8</v>
      </c>
      <c r="AK49" s="92" t="n">
        <f aca="false">4003.9-272.9</f>
        <v>3731</v>
      </c>
      <c r="AL49" s="92" t="n">
        <f aca="false">2131.9-1675</f>
        <v>456.9</v>
      </c>
      <c r="AM49" s="92" t="n">
        <f aca="false">3021.6+22</f>
        <v>3043.6</v>
      </c>
      <c r="AN49" s="92" t="n">
        <f aca="false">2847.3+385.1</f>
        <v>3232.4</v>
      </c>
      <c r="AO49" s="92" t="n">
        <f aca="false">4853.6+156.6</f>
        <v>5010.2</v>
      </c>
      <c r="AP49" s="92" t="n">
        <f aca="false">2497-738.4</f>
        <v>1758.6</v>
      </c>
      <c r="AQ49" s="92" t="n">
        <f aca="false">3085.6-828.3</f>
        <v>2257.3</v>
      </c>
      <c r="AR49" s="92" t="n">
        <f aca="false">3545.6-1225.5</f>
        <v>2320.1</v>
      </c>
      <c r="AS49" s="92" t="n">
        <f aca="false">5845.8-1731.8</f>
        <v>4114</v>
      </c>
      <c r="AT49" s="92" t="n">
        <f aca="false">1940+100</f>
        <v>2040</v>
      </c>
      <c r="AU49" s="92" t="n">
        <f aca="false">2626+90</f>
        <v>2716</v>
      </c>
      <c r="AV49" s="92" t="n">
        <f aca="false">2706.5-21.7</f>
        <v>2684.8</v>
      </c>
      <c r="AW49" s="92" t="n">
        <f aca="false">4998.1+46</f>
        <v>5044.1</v>
      </c>
      <c r="AX49" s="92" t="n">
        <f aca="false">2117.9+92.8</f>
        <v>2210.7</v>
      </c>
      <c r="AZ49" s="31" t="n">
        <f aca="false">+AZ46*0.25</f>
        <v>1872.99473317003</v>
      </c>
      <c r="BA49" s="31" t="n">
        <f aca="false">+BA46*0.25</f>
        <v>843.040931906386</v>
      </c>
      <c r="BB49" s="32" t="n">
        <f aca="false">+BB46*0.24</f>
        <v>64.1699884418497</v>
      </c>
      <c r="BC49" s="32" t="n">
        <f aca="false">+BC46*0.2</f>
        <v>208.013638814016</v>
      </c>
      <c r="BD49" s="32" t="n">
        <f aca="false">+BD46*0.3</f>
        <v>-301.774083014424</v>
      </c>
      <c r="BE49" s="32" t="n">
        <f aca="false">+BE46*0.3</f>
        <v>-1511.72445512683</v>
      </c>
      <c r="BF49" s="32" t="n">
        <f aca="false">+BF46*0.3</f>
        <v>-240.825158007342</v>
      </c>
      <c r="BG49" s="32" t="n">
        <f aca="false">+BG46*0.3</f>
        <v>628.964540822876</v>
      </c>
      <c r="BH49" s="32" t="n">
        <f aca="false">+BH46*0.3</f>
        <v>748.787816042801</v>
      </c>
      <c r="BI49" s="32" t="n">
        <f aca="false">+BI46*0.3</f>
        <v>-1055.94063371102</v>
      </c>
      <c r="BJ49" s="32" t="n">
        <f aca="false">+BJ46*0.3</f>
        <v>-180.176263988705</v>
      </c>
      <c r="BK49" s="32" t="n">
        <f aca="false">+BK46*0.3</f>
        <v>144.696620306937</v>
      </c>
      <c r="BL49" s="32" t="n">
        <f aca="false">+BL46*0.3</f>
        <v>1016.79022690782</v>
      </c>
      <c r="BM49" s="32" t="n">
        <f aca="false">+BM46*0.3</f>
        <v>610.538269621709</v>
      </c>
      <c r="BN49" s="32" t="n">
        <f aca="false">+BN46*0.3</f>
        <v>799.905073260481</v>
      </c>
      <c r="BO49" s="32" t="n">
        <f aca="false">+BO46*0.3</f>
        <v>1281.39562126001</v>
      </c>
      <c r="BP49" s="32" t="n">
        <f aca="false">+BP46*0.3</f>
        <v>2959.25827534825</v>
      </c>
      <c r="BQ49" s="32" t="n">
        <f aca="false">+BQ46*0.3</f>
        <v>1122.15891384693</v>
      </c>
      <c r="BR49" s="32" t="n">
        <f aca="false">+BR46*0.3</f>
        <v>2494.91991665649</v>
      </c>
      <c r="BS49" s="32" t="n">
        <f aca="false">+BS46*0.3</f>
        <v>2178.42452514516</v>
      </c>
      <c r="BT49" s="32" t="n">
        <f aca="false">+BT46*0.3</f>
        <v>3484.78950671757</v>
      </c>
      <c r="BU49" s="32" t="n">
        <f aca="false">+BU46*0.3</f>
        <v>2265.46615515656</v>
      </c>
      <c r="BV49" s="32" t="n">
        <f aca="false">+BV46*0.3</f>
        <v>2174.90261815575</v>
      </c>
      <c r="BW49" s="32" t="n">
        <f aca="false">+BW46*0.3</f>
        <v>2601.28249846941</v>
      </c>
      <c r="BX49" s="31" t="n">
        <f aca="false">+BX46*0.25</f>
        <v>3774.05112863428</v>
      </c>
      <c r="BY49" s="32" t="n">
        <f aca="false">+BY46*0.3</f>
        <v>2521.5351294948</v>
      </c>
      <c r="BZ49" s="32" t="n">
        <f aca="false">+BZ46*0.3</f>
        <v>2764.23662351308</v>
      </c>
      <c r="CA49" s="31" t="n">
        <f aca="false">+CA46*0.25</f>
        <v>3332.19240551323</v>
      </c>
      <c r="CB49" s="31" t="n">
        <f aca="false">+CB46*0.25</f>
        <v>4591.6143190133</v>
      </c>
      <c r="CC49" s="31" t="n">
        <f aca="false">+CC46*0.25</f>
        <v>2001.61355161351</v>
      </c>
      <c r="CE49" s="31" t="n">
        <f aca="false">+E49+D49+B49+C49</f>
        <v>4369.382</v>
      </c>
      <c r="CF49" s="30"/>
      <c r="CG49" s="123" t="n">
        <f aca="false">'Main Model'!AI52</f>
        <v>12484.9</v>
      </c>
      <c r="CI49" s="30"/>
      <c r="CJ49" s="31" t="n">
        <f aca="false">CG49-AV49-AU49-AT49</f>
        <v>5044.1</v>
      </c>
      <c r="CK49" s="30"/>
      <c r="CL49" s="30"/>
      <c r="CM49" s="30"/>
      <c r="CN49" s="30"/>
    </row>
    <row r="50" customFormat="false" ht="15" hidden="false" customHeight="true" outlineLevel="0" collapsed="false">
      <c r="A50" s="119" t="s">
        <v>254</v>
      </c>
      <c r="B50" s="124" t="n">
        <f aca="false">B46+B47-B49-B48</f>
        <v>1444.961</v>
      </c>
      <c r="C50" s="124" t="n">
        <f aca="false">C46+C47-C49-C48</f>
        <v>1722.094</v>
      </c>
      <c r="D50" s="124" t="n">
        <f aca="false">D46+D47-D49-D48</f>
        <v>2137.045</v>
      </c>
      <c r="E50" s="124" t="n">
        <f aca="false">E46+E47-E49-E48</f>
        <v>-1408.115</v>
      </c>
      <c r="F50" s="124" t="n">
        <f aca="false">F46+F47-F49-F48</f>
        <v>2907.844</v>
      </c>
      <c r="G50" s="124" t="n">
        <f aca="false">G46+G47-G49-G48</f>
        <v>2944.1</v>
      </c>
      <c r="H50" s="124" t="n">
        <f aca="false">H46+H47-H49-H48</f>
        <v>1617.16</v>
      </c>
      <c r="I50" s="124" t="n">
        <f aca="false">I46+I47-I49-I48</f>
        <v>4761.669</v>
      </c>
      <c r="J50" s="124" t="n">
        <f aca="false">J46+J47-J49-J48</f>
        <v>1112.354</v>
      </c>
      <c r="K50" s="124" t="n">
        <f aca="false">K46+K47-K49-K48</f>
        <v>3342.597</v>
      </c>
      <c r="L50" s="124" t="n">
        <f aca="false">L46+L47-L49-L48</f>
        <v>4497.09799999999</v>
      </c>
      <c r="M50" s="124" t="n">
        <f aca="false">M46+M47-M49-M48</f>
        <v>4848.60000000001</v>
      </c>
      <c r="N50" s="124" t="n">
        <f aca="false">N46+N47-N49-N48</f>
        <v>6673.84700000001</v>
      </c>
      <c r="O50" s="124" t="n">
        <f aca="false">O46+O47-O49-O48</f>
        <v>7431.19999999999</v>
      </c>
      <c r="P50" s="124" t="n">
        <f aca="false">P46+P47-P49-P48</f>
        <v>3701.01099999999</v>
      </c>
      <c r="Q50" s="124" t="n">
        <f aca="false">Q46+Q47-Q49-Q48</f>
        <v>4216.3</v>
      </c>
      <c r="R50" s="124" t="n">
        <f aca="false">R46+R47-R49-R48</f>
        <v>4595.79200000001</v>
      </c>
      <c r="S50" s="124" t="n">
        <f aca="false">S46+S47-S49-S48</f>
        <v>5277.40000000002</v>
      </c>
      <c r="T50" s="124" t="n">
        <f aca="false">T46+T47-T49-T48</f>
        <v>3808.4</v>
      </c>
      <c r="U50" s="124" t="n">
        <f aca="false">U46+U47-U49-U48</f>
        <v>6529.90000000001</v>
      </c>
      <c r="V50" s="124" t="n">
        <f aca="false">V46+V47-V49-V48</f>
        <v>2302.20000000001</v>
      </c>
      <c r="W50" s="124" t="n">
        <f aca="false">W46+W47-W49-W48</f>
        <v>388.700000000003</v>
      </c>
      <c r="X50" s="124" t="n">
        <f aca="false">X46+X47-X49-X48</f>
        <v>277.5</v>
      </c>
      <c r="Y50" s="124" t="n">
        <f aca="false">Y46+Y47-Y49-Y48</f>
        <v>-573.2</v>
      </c>
      <c r="Z50" s="124" t="n">
        <f aca="false">Z46+Z47-Z49-Z48</f>
        <v>-3888</v>
      </c>
      <c r="AA50" s="124" t="n">
        <f aca="false">AA46+AA47-AA49-AA48</f>
        <v>-1466.7</v>
      </c>
      <c r="AB50" s="124" t="n">
        <f aca="false">AB46+AB47-AB49-AB48</f>
        <v>-193.799999999991</v>
      </c>
      <c r="AC50" s="124" t="n">
        <f aca="false">AC46+AC47-AC49-AC48</f>
        <v>2411.69999999999</v>
      </c>
      <c r="AD50" s="124" t="n">
        <f aca="false">AD46+AD47-AD49-AD48</f>
        <v>-2822.9</v>
      </c>
      <c r="AE50" s="124" t="n">
        <f aca="false">AE46+AE47-AE49-AE48</f>
        <v>-830.100000000006</v>
      </c>
      <c r="AF50" s="124" t="n">
        <f aca="false">AF46+AF47-AF49-AF48</f>
        <v>57.6000000000016</v>
      </c>
      <c r="AG50" s="124" t="n">
        <f aca="false">AG46+AG47-AG49-AG48</f>
        <v>9013.69999999999</v>
      </c>
      <c r="AH50" s="124" t="n">
        <f aca="false">AH46+AH47-AH49-AH48</f>
        <v>680.500000000003</v>
      </c>
      <c r="AI50" s="124" t="n">
        <f aca="false">AI46+AI47-AI49-AI48</f>
        <v>1993.09999999999</v>
      </c>
      <c r="AJ50" s="124" t="n">
        <f aca="false">AJ46+AJ47-AJ49-AJ48</f>
        <v>3613.39999999999</v>
      </c>
      <c r="AK50" s="124" t="n">
        <f aca="false">AK46+AK47-AK49-AK48</f>
        <v>7514.09999999998</v>
      </c>
      <c r="AL50" s="124" t="n">
        <f aca="false">AL46+AL47-AL49-AL48</f>
        <v>5764.2</v>
      </c>
      <c r="AM50" s="124" t="n">
        <f aca="false">AM46+AM47-AM49-AM48</f>
        <v>5610.09999999999</v>
      </c>
      <c r="AN50" s="124" t="n">
        <f aca="false">AN46+AN47-AN49-AN48</f>
        <v>5800.30000000002</v>
      </c>
      <c r="AO50" s="124" t="n">
        <f aca="false">AO46+AO47-AO49-AO48</f>
        <v>9004.10000000001</v>
      </c>
      <c r="AP50" s="124" t="n">
        <f aca="false">AP46+AP47-AP49-AP48</f>
        <v>5255.8</v>
      </c>
      <c r="AQ50" s="124" t="n">
        <f aca="false">AQ46+AQ47-AQ49-AQ48</f>
        <v>7701</v>
      </c>
      <c r="AR50" s="124" t="n">
        <f aca="false">AR46+AR47-AR49-AR48</f>
        <v>7617.4</v>
      </c>
      <c r="AS50" s="124" t="n">
        <f aca="false">AS46+AS47-AS49-AS48</f>
        <v>12458.7</v>
      </c>
      <c r="AT50" s="124" t="n">
        <f aca="false">AT46+AT47-AT49-AT48</f>
        <v>5937.3</v>
      </c>
      <c r="AU50" s="124" t="n">
        <f aca="false">AU46+AU47-AU49-AU48</f>
        <v>7710.59999999999</v>
      </c>
      <c r="AV50" s="124" t="n">
        <f aca="false">AV46+AV47-AV49-AV48</f>
        <v>7960.2</v>
      </c>
      <c r="AW50" s="124" t="n">
        <f aca="false">AW46+AW47-AW49-AW48</f>
        <v>14047.2</v>
      </c>
      <c r="AX50" s="124" t="n">
        <f aca="false">AX46+AX47-AX49-AX48</f>
        <v>6091.1</v>
      </c>
      <c r="AY50" s="119"/>
      <c r="AZ50" s="124" t="n">
        <f aca="false">AZ46+AZ47-AZ49-AZ48</f>
        <v>5618.98419951009</v>
      </c>
      <c r="BA50" s="124" t="n">
        <f aca="false">BA46+BA47-BA49-BA48</f>
        <v>2529.12279571916</v>
      </c>
      <c r="BB50" s="124" t="n">
        <f aca="false">BB46+BB47-BB49-BB48</f>
        <v>203.204963399191</v>
      </c>
      <c r="BC50" s="124" t="n">
        <f aca="false">BC46+BC47-BC49-BC48</f>
        <v>832.054555256065</v>
      </c>
      <c r="BD50" s="124" t="n">
        <f aca="false">BD46+BD47-BD49-BD48</f>
        <v>-733.139527033655</v>
      </c>
      <c r="BE50" s="124" t="n">
        <f aca="false">BE46+BE47-BE49-BE48</f>
        <v>-3527.3570619626</v>
      </c>
      <c r="BF50" s="124" t="n">
        <f aca="false">BF46+BF47-BF49-BF48</f>
        <v>-561.925368683798</v>
      </c>
      <c r="BG50" s="124" t="n">
        <f aca="false">BG46+BG47-BG49-BG48</f>
        <v>1467.58392858671</v>
      </c>
      <c r="BH50" s="124" t="n">
        <f aca="false">BH46+BH47-BH49-BH48</f>
        <v>1747.17157076654</v>
      </c>
      <c r="BI50" s="124" t="n">
        <f aca="false">BI46+BI47-BI49-BI48</f>
        <v>-2463.86147865904</v>
      </c>
      <c r="BJ50" s="124" t="n">
        <f aca="false">BJ46+BJ47-BJ49-BJ48</f>
        <v>-420.411282640311</v>
      </c>
      <c r="BK50" s="124" t="n">
        <f aca="false">BK46+BK47-BK49-BK48</f>
        <v>337.625447382854</v>
      </c>
      <c r="BL50" s="124" t="n">
        <f aca="false">BL46+BL47-BL49-BL48</f>
        <v>2372.51052945159</v>
      </c>
      <c r="BM50" s="124" t="n">
        <f aca="false">BM46+BM47-BM49-BM48</f>
        <v>1424.58929578399</v>
      </c>
      <c r="BN50" s="124" t="n">
        <f aca="false">BN46+BN47-BN49-BN48</f>
        <v>1866.44517094112</v>
      </c>
      <c r="BO50" s="124" t="n">
        <f aca="false">BO46+BO47-BO49-BO48</f>
        <v>2989.92311627337</v>
      </c>
      <c r="BP50" s="124" t="n">
        <f aca="false">BP46+BP47-BP49-BP48</f>
        <v>6904.93597581259</v>
      </c>
      <c r="BQ50" s="124" t="n">
        <f aca="false">BQ46+BQ47-BQ49-BQ48</f>
        <v>2618.37079897616</v>
      </c>
      <c r="BR50" s="124" t="n">
        <f aca="false">BR46+BR47-BR49-BR48</f>
        <v>5821.4798055318</v>
      </c>
      <c r="BS50" s="124" t="n">
        <f aca="false">BS46+BS47-BS49-BS48</f>
        <v>5082.99055867203</v>
      </c>
      <c r="BT50" s="124" t="n">
        <f aca="false">BT46+BT47-BT49-BT48</f>
        <v>8131.17551567432</v>
      </c>
      <c r="BU50" s="124" t="n">
        <f aca="false">BU46+BU47-BU49-BU48</f>
        <v>5286.08769536531</v>
      </c>
      <c r="BV50" s="124" t="n">
        <f aca="false">BV46+BV47-BV49-BV48</f>
        <v>5074.77277569676</v>
      </c>
      <c r="BW50" s="124" t="n">
        <f aca="false">BW46+BW47-BW49-BW48</f>
        <v>6069.65916309528</v>
      </c>
      <c r="BX50" s="124" t="n">
        <f aca="false">BX46+BX47-BX49-BX48</f>
        <v>11322.1533859028</v>
      </c>
      <c r="BY50" s="124" t="n">
        <f aca="false">BY46+BY47-BY49-BY48</f>
        <v>5883.58196882121</v>
      </c>
      <c r="BZ50" s="124" t="n">
        <f aca="false">BZ46+BZ47-BZ49-BZ48</f>
        <v>6449.88545486385</v>
      </c>
      <c r="CA50" s="124" t="n">
        <f aca="false">CA46+CA47-CA49-CA48</f>
        <v>9996.57721653968</v>
      </c>
      <c r="CB50" s="124" t="n">
        <f aca="false">CB46+CB47-CB49-CB48</f>
        <v>13774.8429570399</v>
      </c>
      <c r="CC50" s="124" t="n">
        <f aca="false">CC46+CC47-CC49-CC48</f>
        <v>6004.84065484052</v>
      </c>
      <c r="CD50" s="119"/>
      <c r="CE50" s="124" t="n">
        <f aca="false">CE46+CE47-CE49-CE48</f>
        <v>5092.3</v>
      </c>
      <c r="CF50" s="124"/>
      <c r="CG50" s="125" t="n">
        <f aca="false">'Main Model'!AI53</f>
        <v>35655.3000000002</v>
      </c>
      <c r="CH50" s="119"/>
      <c r="CI50" s="124"/>
      <c r="CJ50" s="124" t="n">
        <f aca="false">CG50-AV50-AU50-AT50</f>
        <v>14047.2000000002</v>
      </c>
      <c r="CK50" s="124"/>
      <c r="CL50" s="124"/>
      <c r="CM50" s="124"/>
      <c r="CN50" s="124"/>
    </row>
    <row r="51" customFormat="false" ht="15" hidden="false" customHeight="true" outlineLevel="0" collapsed="false">
      <c r="A51" s="119" t="s">
        <v>900</v>
      </c>
      <c r="B51" s="120" t="n">
        <f aca="false">B50+B48-B47-B41*(1-B66/100)</f>
        <v>1565.44673797259</v>
      </c>
      <c r="C51" s="120" t="n">
        <f aca="false">C50-C47+(+C48-C41)*(1-C66/100)</f>
        <v>2990.35465788662</v>
      </c>
      <c r="D51" s="120" t="n">
        <f aca="false">D50+D48-D47</f>
        <v>2187.045</v>
      </c>
      <c r="E51" s="120" t="n">
        <f aca="false">E50-E47+(+E48-E41)</f>
        <v>4796.509</v>
      </c>
      <c r="F51" s="120" t="n">
        <f aca="false">F50-F47+(+F48-F41)</f>
        <v>2411.136</v>
      </c>
      <c r="G51" s="120" t="n">
        <f aca="false">G50-G47+(+G48-G41)</f>
        <v>2878.417</v>
      </c>
      <c r="H51" s="120" t="n">
        <f aca="false">H50-H47+(+H48-H41)</f>
        <v>2254.26</v>
      </c>
      <c r="I51" s="120" t="n">
        <f aca="false">I50-I47+(+I48-I41)</f>
        <v>4801.445</v>
      </c>
      <c r="J51" s="126" t="n">
        <f aca="false">J50-J47+(+J48-J41)*0.7</f>
        <v>1219.0494</v>
      </c>
      <c r="K51" s="126" t="n">
        <f aca="false">K50-K47+(+K48-K41)*0.7</f>
        <v>3361.0966</v>
      </c>
      <c r="L51" s="126" t="n">
        <f aca="false">L50-L47+(+L48-L41)*0.7</f>
        <v>4498.45739999999</v>
      </c>
      <c r="M51" s="126" t="n">
        <f aca="false">M50-M47+(+M48-M41)*0.7</f>
        <v>4887.24000000001</v>
      </c>
      <c r="N51" s="120" t="n">
        <f aca="false">N50-N47+(+N48-N41)</f>
        <v>6614.80200000001</v>
      </c>
      <c r="O51" s="126" t="n">
        <f aca="false">O50-O47+(+O48-O41)*0.7</f>
        <v>7414.39999999999</v>
      </c>
      <c r="P51" s="126" t="n">
        <f aca="false">P50-P47+(+P48-P41)*0.7</f>
        <v>3847.54969999999</v>
      </c>
      <c r="Q51" s="126" t="n">
        <f aca="false">Q50-Q47+(+Q48-Q41)*0.7</f>
        <v>4366.65999999999</v>
      </c>
      <c r="R51" s="120" t="n">
        <f aca="false">R50-R47+(+R48-R41)</f>
        <v>4755.22300000001</v>
      </c>
      <c r="S51" s="126" t="n">
        <f aca="false">S50-S47+(+S48-S41)*0.7</f>
        <v>5398.50000000002</v>
      </c>
      <c r="T51" s="126" t="n">
        <f aca="false">T50-T47+(+T48-T41)*0.7</f>
        <v>3857.61</v>
      </c>
      <c r="U51" s="126" t="n">
        <f aca="false">U50-U47+(+U48-U41)*0.7</f>
        <v>6611.66000000001</v>
      </c>
      <c r="V51" s="126" t="n">
        <f aca="false">V50+(+V48-V47-V41)*0.7</f>
        <v>2442.97000000001</v>
      </c>
      <c r="W51" s="120" t="n">
        <f aca="false">W50-W47+(+W48-W41)*0.75</f>
        <v>874.775000000003</v>
      </c>
      <c r="X51" s="126" t="n">
        <f aca="false">X50-X47+(+X48-X41)*0.7</f>
        <v>292.69</v>
      </c>
      <c r="Y51" s="120" t="n">
        <f aca="false">Y50-Y47+(+Y48-Y41)*0.75</f>
        <v>-57.7249999999999</v>
      </c>
      <c r="Z51" s="120" t="n">
        <f aca="false">Z50-Z47+(+Z48-Z41)*0.75</f>
        <v>-3875.475</v>
      </c>
      <c r="AA51" s="120" t="n">
        <f aca="false">AA50-AA47+(+AA48-AA41)*0.75</f>
        <v>-1453.95</v>
      </c>
      <c r="AB51" s="120" t="n">
        <f aca="false">AB50-AB47+(+AB48-AB41)*0.75</f>
        <v>151.425000000009</v>
      </c>
      <c r="AC51" s="120" t="n">
        <f aca="false">AC50-AC47+(+AC48-AC41)*0.75</f>
        <v>2131.57499999999</v>
      </c>
      <c r="AD51" s="120" t="n">
        <f aca="false">AD50-AD47+(+AD48-AD41)*0.75</f>
        <v>-2810.3</v>
      </c>
      <c r="AE51" s="120" t="n">
        <f aca="false">AE50-AE47+(+AE48-AE41)*0.75</f>
        <v>-831.825000000006</v>
      </c>
      <c r="AF51" s="120" t="n">
        <f aca="false">AF50-AF47+(+AF48-AF41)*0.75</f>
        <v>-257.549999999998</v>
      </c>
      <c r="AG51" s="120" t="n">
        <f aca="false">AG50-AG47+(+AG48-AG41)*0.75</f>
        <v>5486.74999999999</v>
      </c>
      <c r="AH51" s="120" t="n">
        <f aca="false">AH50-AH47+(+AH48-AH41)*0.75</f>
        <v>582.925000000003</v>
      </c>
      <c r="AI51" s="120" t="n">
        <f aca="false">AI50-AI47+(+AI48-AI41)*0.75</f>
        <v>1931.37499999999</v>
      </c>
      <c r="AJ51" s="120" t="n">
        <f aca="false">AJ50-AJ47+(+AJ48-AJ41)*0.75</f>
        <v>3561.34999999999</v>
      </c>
      <c r="AK51" s="120" t="n">
        <f aca="false">AK50-AK47+(+AK48-AK41)*0.75</f>
        <v>7090.87499999998</v>
      </c>
      <c r="AL51" s="120" t="n">
        <f aca="false">AL50-AL47+(+AL48-AL41)*0.75</f>
        <v>5768.625</v>
      </c>
      <c r="AM51" s="120" t="n">
        <f aca="false">AM50-AM47+(+AM48-AM41)*0.75</f>
        <v>5781.69999999999</v>
      </c>
      <c r="AN51" s="120" t="n">
        <f aca="false">AN50-AN47+(+AN48-AN41)*0.75</f>
        <v>5804.72500000002</v>
      </c>
      <c r="AO51" s="120" t="n">
        <f aca="false">AO50-AO47+(+AO48-AO41)*0.75</f>
        <v>9526.55000000001</v>
      </c>
      <c r="AP51" s="120" t="n">
        <f aca="false">AP50-AP47+(+AP48-AP41)*0.75</f>
        <v>5255.8</v>
      </c>
      <c r="AQ51" s="120" t="n">
        <f aca="false">AQ50-AQ47+(+AQ48-AQ41)*0.75</f>
        <v>6820.65</v>
      </c>
      <c r="AR51" s="120" t="n">
        <f aca="false">AR50-AR47+(+AR48-AR41)*0.75</f>
        <v>7617.4</v>
      </c>
      <c r="AS51" s="120" t="n">
        <f aca="false">AS50-AS47+(+AS48-AS41)*0.75</f>
        <v>12561.075</v>
      </c>
      <c r="AT51" s="120" t="n">
        <f aca="false">AT50-AT47+(+AT48-AT41)*0.75</f>
        <v>5937.3</v>
      </c>
      <c r="AU51" s="120" t="n">
        <f aca="false">AU50-AU47+(+AU48-AU41)*0.75</f>
        <v>8010.59999999999</v>
      </c>
      <c r="AV51" s="120" t="n">
        <f aca="false">AV50-AV47+(+AV48-AV41)*0.75</f>
        <v>10273.8</v>
      </c>
      <c r="AW51" s="120" t="n">
        <f aca="false">AW50-AW47+(+AW48-AW41)*0.75</f>
        <v>14047.2</v>
      </c>
      <c r="AX51" s="120" t="n">
        <f aca="false">AX50-AX47+(+AX48-AX41)*0.75</f>
        <v>6091.1</v>
      </c>
      <c r="AY51" s="119"/>
      <c r="AZ51" s="120" t="n">
        <f aca="false">AZ50-AZ47+(+AZ48-AZ41)</f>
        <v>5618.98419951009</v>
      </c>
      <c r="BA51" s="120" t="n">
        <f aca="false">BA50-BA47+(+BA48-BA41)</f>
        <v>2529.12279571916</v>
      </c>
      <c r="BB51" s="120" t="n">
        <f aca="false">BB50-BB47+(+BB48-BB41)</f>
        <v>203.204963399191</v>
      </c>
      <c r="BC51" s="120" t="n">
        <f aca="false">BC50-BC47+(+BC48-BC41)</f>
        <v>832.054555256065</v>
      </c>
      <c r="BD51" s="120" t="n">
        <f aca="false">BD50-BD47+(+BD48-BD41)</f>
        <v>-704.139527033655</v>
      </c>
      <c r="BE51" s="120" t="n">
        <f aca="false">BE50-BE47+(+BE48-BE41)</f>
        <v>-3527.3570619626</v>
      </c>
      <c r="BF51" s="120" t="n">
        <f aca="false">BF50-BF47+(+BF48-BF41)</f>
        <v>-561.925368683798</v>
      </c>
      <c r="BG51" s="120" t="n">
        <f aca="false">BG50-BG47+(+BG48-BG41)</f>
        <v>1467.58392858671</v>
      </c>
      <c r="BH51" s="120" t="n">
        <f aca="false">BH50-BH47+(+BH48-BH41)</f>
        <v>1747.17157076654</v>
      </c>
      <c r="BI51" s="120" t="n">
        <f aca="false">BI50-BI47+(+BI48-BI41)</f>
        <v>-2463.86147865904</v>
      </c>
      <c r="BJ51" s="120" t="n">
        <f aca="false">BJ50-BJ47+(+BJ48-BJ41)</f>
        <v>-420.411282640311</v>
      </c>
      <c r="BK51" s="120" t="n">
        <f aca="false">BK50-BK47+(+BK48-BK41)</f>
        <v>337.625447382854</v>
      </c>
      <c r="BL51" s="120" t="n">
        <f aca="false">BL50-BL47+(+BL48-BL41)</f>
        <v>2372.51052945159</v>
      </c>
      <c r="BM51" s="120" t="n">
        <f aca="false">BM50-BM47+(+BM48-BM41)</f>
        <v>1424.58929578399</v>
      </c>
      <c r="BN51" s="120" t="n">
        <f aca="false">BN50-BN47+(+BN48-BN41)</f>
        <v>1866.44517094112</v>
      </c>
      <c r="BO51" s="120" t="n">
        <f aca="false">BO50-BO47+(+BO48-BO41)</f>
        <v>2989.92311627337</v>
      </c>
      <c r="BP51" s="120" t="n">
        <f aca="false">BP50-BP47+(+BP48-BP41)</f>
        <v>6904.93597581259</v>
      </c>
      <c r="BQ51" s="120" t="n">
        <f aca="false">BQ50-BQ47+(+BQ48-BQ41)</f>
        <v>2618.37079897616</v>
      </c>
      <c r="BR51" s="120" t="n">
        <f aca="false">BR50-BR47+(+BR48-BR41)</f>
        <v>5821.4798055318</v>
      </c>
      <c r="BS51" s="120" t="n">
        <f aca="false">BS50-BS47+(+BS48-BS41)</f>
        <v>5082.99055867203</v>
      </c>
      <c r="BT51" s="120" t="n">
        <f aca="false">BT50-BT47+(+BT48-BT41)</f>
        <v>8131.17551567432</v>
      </c>
      <c r="BU51" s="120" t="n">
        <f aca="false">BU50-BU47+(+BU48-BU41)</f>
        <v>5286.08769536531</v>
      </c>
      <c r="BV51" s="120" t="n">
        <f aca="false">BV50-BV47+(+BV48-BV41)</f>
        <v>5074.77277569676</v>
      </c>
      <c r="BW51" s="120" t="n">
        <f aca="false">BW50-BW47+(+BW48-BW41)</f>
        <v>6069.65916309528</v>
      </c>
      <c r="BX51" s="120" t="n">
        <f aca="false">BX50-BX47+(+BX48-BX41)</f>
        <v>11322.1533859028</v>
      </c>
      <c r="BY51" s="120" t="n">
        <f aca="false">BY50-BY47+(+BY48-BY41)</f>
        <v>5883.58196882121</v>
      </c>
      <c r="BZ51" s="120" t="n">
        <f aca="false">BZ50-BZ47+(+BZ48-BZ41)</f>
        <v>6449.88545486385</v>
      </c>
      <c r="CA51" s="120" t="n">
        <f aca="false">CA50-CA47+(+CA48-CA41)</f>
        <v>9996.57721653968</v>
      </c>
      <c r="CB51" s="120" t="n">
        <f aca="false">CB50-CB47+(+CB48-CB41)</f>
        <v>13774.8429570399</v>
      </c>
      <c r="CC51" s="120" t="n">
        <f aca="false">CC50-CC47+(+CC48-CC41)</f>
        <v>6004.84065484052</v>
      </c>
      <c r="CD51" s="119"/>
      <c r="CE51" s="120" t="n">
        <f aca="false">CE50+CE48-CE47</f>
        <v>13244.535</v>
      </c>
      <c r="CF51" s="120"/>
      <c r="CG51" s="122" t="n">
        <f aca="false">'Main Model'!AI55</f>
        <v>39140.1000000002</v>
      </c>
      <c r="CH51" s="119"/>
      <c r="CI51" s="120"/>
      <c r="CJ51" s="120" t="n">
        <f aca="false">CG51-AV51-AU51-AT51</f>
        <v>14918.4000000002</v>
      </c>
      <c r="CK51" s="120"/>
      <c r="CL51" s="120" t="n">
        <f aca="false">+CM51-CA51-AU51-AT51</f>
        <v>15195.6227834605</v>
      </c>
      <c r="CM51" s="122" t="n">
        <f aca="false">+'Main Model'!AI55</f>
        <v>39140.1000000002</v>
      </c>
      <c r="CN51" s="120" t="n">
        <f aca="false">+CL51/BX51-1</f>
        <v>0.342114195554046</v>
      </c>
    </row>
    <row r="52" customFormat="false" ht="15" hidden="false" customHeight="true" outlineLevel="0" collapsed="false">
      <c r="A52" s="29" t="s">
        <v>583</v>
      </c>
      <c r="B52" s="37" t="n">
        <v>-23.951</v>
      </c>
      <c r="C52" s="37" t="n">
        <v>-49.387</v>
      </c>
      <c r="D52" s="37" t="n">
        <v>30.372</v>
      </c>
      <c r="E52" s="37" t="n">
        <v>14.29</v>
      </c>
      <c r="F52" s="37" t="n">
        <v>-90.624</v>
      </c>
      <c r="G52" s="37" t="n">
        <v>30.827</v>
      </c>
      <c r="H52" s="37" t="n">
        <v>-45.804</v>
      </c>
      <c r="I52" s="37" t="n">
        <v>190.777</v>
      </c>
      <c r="J52" s="37" t="n">
        <v>-35.031</v>
      </c>
      <c r="K52" s="37" t="n">
        <v>-174.085</v>
      </c>
      <c r="L52" s="37" t="n">
        <v>127.366</v>
      </c>
      <c r="M52" s="36"/>
      <c r="N52" s="37" t="n">
        <v>-272.89</v>
      </c>
      <c r="O52" s="36"/>
      <c r="P52" s="37" t="n">
        <v>-245.185</v>
      </c>
      <c r="Q52" s="37" t="n">
        <v>-245.185</v>
      </c>
      <c r="R52" s="37" t="n">
        <v>-343.341</v>
      </c>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7" t="n">
        <v>7.8</v>
      </c>
      <c r="AS52" s="37" t="n">
        <v>57.5</v>
      </c>
      <c r="AT52" s="37" t="n">
        <v>-128.1</v>
      </c>
      <c r="AU52" s="37" t="n">
        <v>-576.4</v>
      </c>
      <c r="AV52" s="36"/>
      <c r="AW52" s="37" t="n">
        <v>-288.7</v>
      </c>
      <c r="AX52" s="37" t="n">
        <v>-92.5</v>
      </c>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E52" s="36"/>
      <c r="CF52" s="36"/>
      <c r="CG52" s="36"/>
      <c r="CI52" s="36"/>
      <c r="CJ52" s="36"/>
      <c r="CK52" s="36"/>
      <c r="CL52" s="36"/>
      <c r="CM52" s="36"/>
      <c r="CN52" s="36"/>
    </row>
    <row r="53" customFormat="false" ht="15" hidden="false" customHeight="true" outlineLevel="0" collapsed="false">
      <c r="A53" s="119" t="s">
        <v>901</v>
      </c>
      <c r="B53" s="124" t="n">
        <f aca="false">+B50+B52</f>
        <v>1421.01</v>
      </c>
      <c r="C53" s="124" t="n">
        <f aca="false">+C50+C52</f>
        <v>1672.707</v>
      </c>
      <c r="D53" s="124" t="n">
        <f aca="false">+D50+D52</f>
        <v>2167.417</v>
      </c>
      <c r="E53" s="124" t="n">
        <f aca="false">+E50+E52</f>
        <v>-1393.825</v>
      </c>
      <c r="F53" s="124" t="n">
        <f aca="false">+F50+F52</f>
        <v>2817.22</v>
      </c>
      <c r="G53" s="124" t="n">
        <f aca="false">+G50+G52</f>
        <v>2974.927</v>
      </c>
      <c r="H53" s="124" t="n">
        <f aca="false">+H50+H52</f>
        <v>1571.356</v>
      </c>
      <c r="I53" s="124" t="n">
        <f aca="false">+I50+I52</f>
        <v>4952.446</v>
      </c>
      <c r="J53" s="124" t="n">
        <f aca="false">+J50+J52</f>
        <v>1077.323</v>
      </c>
      <c r="K53" s="124" t="n">
        <f aca="false">+K50+K52</f>
        <v>3168.512</v>
      </c>
      <c r="L53" s="124" t="n">
        <f aca="false">+L50+L52</f>
        <v>4624.46399999999</v>
      </c>
      <c r="M53" s="124" t="n">
        <f aca="false">+M50+M52</f>
        <v>4848.60000000001</v>
      </c>
      <c r="N53" s="124" t="n">
        <f aca="false">+N50+N52</f>
        <v>6400.95700000001</v>
      </c>
      <c r="O53" s="124" t="n">
        <f aca="false">+O50+O52</f>
        <v>7431.19999999999</v>
      </c>
      <c r="P53" s="124" t="n">
        <f aca="false">+P50+P52</f>
        <v>3455.82599999999</v>
      </c>
      <c r="Q53" s="124" t="n">
        <f aca="false">+Q50+Q52</f>
        <v>3971.115</v>
      </c>
      <c r="R53" s="124" t="n">
        <f aca="false">+R50+R52</f>
        <v>4252.45100000001</v>
      </c>
      <c r="S53" s="124" t="n">
        <f aca="false">+S50+S52</f>
        <v>5277.40000000002</v>
      </c>
      <c r="T53" s="124" t="n">
        <f aca="false">+T50+T52</f>
        <v>3808.4</v>
      </c>
      <c r="U53" s="124" t="n">
        <f aca="false">+U50+U52</f>
        <v>6529.90000000001</v>
      </c>
      <c r="V53" s="124" t="n">
        <f aca="false">+V50+V52</f>
        <v>2302.20000000001</v>
      </c>
      <c r="W53" s="124" t="n">
        <f aca="false">+W50+W52</f>
        <v>388.700000000003</v>
      </c>
      <c r="X53" s="124" t="n">
        <f aca="false">+X50+X52</f>
        <v>277.5</v>
      </c>
      <c r="Y53" s="124" t="n">
        <f aca="false">+Y50+Y52</f>
        <v>-573.2</v>
      </c>
      <c r="Z53" s="124" t="n">
        <f aca="false">+Z50+Z52</f>
        <v>-3888</v>
      </c>
      <c r="AA53" s="124" t="n">
        <f aca="false">+AA50+AA52</f>
        <v>-1466.7</v>
      </c>
      <c r="AB53" s="124" t="n">
        <f aca="false">+AB50+AB52</f>
        <v>-193.799999999991</v>
      </c>
      <c r="AC53" s="124" t="n">
        <f aca="false">+AC50+AC52</f>
        <v>2411.69999999999</v>
      </c>
      <c r="AD53" s="124" t="n">
        <f aca="false">+AD50+AD52</f>
        <v>-2822.9</v>
      </c>
      <c r="AE53" s="124" t="n">
        <f aca="false">+AE50+AE52</f>
        <v>-830.100000000006</v>
      </c>
      <c r="AF53" s="124" t="n">
        <f aca="false">+AF50+AF52</f>
        <v>57.6000000000016</v>
      </c>
      <c r="AG53" s="124" t="n">
        <f aca="false">+AG50+AG52</f>
        <v>9013.69999999999</v>
      </c>
      <c r="AH53" s="124" t="n">
        <f aca="false">+AH50+AH52</f>
        <v>680.500000000003</v>
      </c>
      <c r="AI53" s="124" t="n">
        <f aca="false">+AI50+AI52</f>
        <v>1993.09999999999</v>
      </c>
      <c r="AJ53" s="124" t="n">
        <f aca="false">+AJ50+AJ52</f>
        <v>3613.39999999999</v>
      </c>
      <c r="AK53" s="124" t="n">
        <f aca="false">+AK50+AK52</f>
        <v>7514.09999999998</v>
      </c>
      <c r="AL53" s="124" t="n">
        <f aca="false">+AL50+AL52</f>
        <v>5764.2</v>
      </c>
      <c r="AM53" s="124" t="n">
        <f aca="false">+AM50+AM52</f>
        <v>5610.09999999999</v>
      </c>
      <c r="AN53" s="124" t="n">
        <f aca="false">+AN50+AN52</f>
        <v>5800.30000000002</v>
      </c>
      <c r="AO53" s="124" t="n">
        <f aca="false">+AO50+AO52</f>
        <v>9004.10000000001</v>
      </c>
      <c r="AP53" s="124" t="n">
        <f aca="false">+AP50+AP52</f>
        <v>5255.8</v>
      </c>
      <c r="AQ53" s="124" t="n">
        <f aca="false">+AQ50+AQ52</f>
        <v>7701</v>
      </c>
      <c r="AR53" s="124" t="n">
        <f aca="false">+AR50+AR52</f>
        <v>7625.2</v>
      </c>
      <c r="AS53" s="124" t="n">
        <f aca="false">+AS50+AS52</f>
        <v>12516.2</v>
      </c>
      <c r="AT53" s="124" t="n">
        <f aca="false">+AT50+AT52</f>
        <v>5809.2</v>
      </c>
      <c r="AU53" s="124" t="n">
        <f aca="false">+AU50+AU52</f>
        <v>7134.19999999999</v>
      </c>
      <c r="AV53" s="124" t="n">
        <f aca="false">+AV50+AV52</f>
        <v>7960.2</v>
      </c>
      <c r="AW53" s="124" t="n">
        <f aca="false">+AW50+AW52</f>
        <v>13758.5</v>
      </c>
      <c r="AX53" s="124" t="n">
        <f aca="false">+AX50+AX52</f>
        <v>5998.6</v>
      </c>
      <c r="AY53" s="119"/>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c r="BY53" s="124"/>
      <c r="BZ53" s="124"/>
      <c r="CA53" s="124"/>
      <c r="CB53" s="124"/>
      <c r="CC53" s="124"/>
      <c r="CD53" s="119"/>
      <c r="CE53" s="124"/>
      <c r="CF53" s="124"/>
      <c r="CG53" s="124"/>
      <c r="CH53" s="119"/>
      <c r="CI53" s="124"/>
      <c r="CJ53" s="124"/>
      <c r="CK53" s="124"/>
      <c r="CL53" s="124"/>
      <c r="CM53" s="124"/>
      <c r="CN53" s="124"/>
    </row>
    <row r="55" customFormat="false" ht="15" hidden="false" customHeight="true" outlineLevel="0" collapsed="false">
      <c r="A55" s="38" t="s">
        <v>902</v>
      </c>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c r="CC55" s="117"/>
      <c r="CD55" s="117"/>
      <c r="CE55" s="117"/>
      <c r="CF55" s="117"/>
      <c r="CG55" s="117"/>
      <c r="CH55" s="117"/>
      <c r="CI55" s="117"/>
      <c r="CJ55" s="117"/>
      <c r="CK55" s="117"/>
      <c r="CL55" s="117"/>
      <c r="CM55" s="117"/>
      <c r="CN55" s="117"/>
    </row>
    <row r="56" customFormat="false" ht="15" hidden="false" customHeight="true" outlineLevel="0" collapsed="false">
      <c r="A56" s="29" t="s">
        <v>271</v>
      </c>
      <c r="B56" s="31" t="n">
        <f aca="false">B40+B43</f>
        <v>4183.824</v>
      </c>
      <c r="C56" s="31" t="n">
        <f aca="false">C40+C43</f>
        <v>6694.638</v>
      </c>
      <c r="D56" s="31" t="n">
        <f aca="false">D40+D43</f>
        <v>4790.54</v>
      </c>
      <c r="E56" s="31" t="n">
        <f aca="false">E40+E43</f>
        <v>8053.511</v>
      </c>
      <c r="F56" s="31" t="n">
        <f aca="false">F40+F43</f>
        <v>5205.5</v>
      </c>
      <c r="G56" s="31" t="n">
        <f aca="false">G40+G43</f>
        <v>5681.014</v>
      </c>
      <c r="H56" s="31" t="n">
        <f aca="false">H40+H43</f>
        <v>4798.976</v>
      </c>
      <c r="I56" s="31" t="n">
        <f aca="false">I40+I43</f>
        <v>7702.583</v>
      </c>
      <c r="J56" s="31" t="n">
        <f aca="false">J40+J43</f>
        <v>3444.815</v>
      </c>
      <c r="K56" s="31" t="n">
        <f aca="false">K40+K43</f>
        <v>6674.573</v>
      </c>
      <c r="L56" s="31" t="n">
        <f aca="false">L40+L43</f>
        <v>8263.93399999999</v>
      </c>
      <c r="M56" s="31" t="n">
        <f aca="false">M40+M43</f>
        <v>8810.40000000001</v>
      </c>
      <c r="N56" s="31" t="n">
        <f aca="false">N40+N43</f>
        <v>10904.132</v>
      </c>
      <c r="O56" s="31" t="n">
        <f aca="false">O40+O43</f>
        <v>11850.5</v>
      </c>
      <c r="P56" s="31" t="n">
        <f aca="false">P40+P43</f>
        <v>6975.31799999999</v>
      </c>
      <c r="Q56" s="31" t="n">
        <f aca="false">Q40+Q43</f>
        <v>7241.09999999999</v>
      </c>
      <c r="R56" s="31" t="n">
        <f aca="false">R40+R43</f>
        <v>8340.76600000001</v>
      </c>
      <c r="S56" s="31" t="n">
        <f aca="false">S40+S43</f>
        <v>8566.20000000002</v>
      </c>
      <c r="T56" s="31" t="n">
        <f aca="false">T40+T43</f>
        <v>6704.3</v>
      </c>
      <c r="U56" s="31" t="n">
        <f aca="false">U40+U43</f>
        <v>9945.20000000001</v>
      </c>
      <c r="V56" s="31" t="n">
        <f aca="false">V40+V43</f>
        <v>5580.4</v>
      </c>
      <c r="W56" s="31" t="n">
        <f aca="false">W40+W43</f>
        <v>2740.8</v>
      </c>
      <c r="X56" s="31" t="n">
        <f aca="false">X40+X43</f>
        <v>2474.8</v>
      </c>
      <c r="Y56" s="31" t="n">
        <f aca="false">Y40+Y43</f>
        <v>2173.9</v>
      </c>
      <c r="Z56" s="31" t="n">
        <f aca="false">Z40+Z43</f>
        <v>-3076.2</v>
      </c>
      <c r="AA56" s="31" t="n">
        <f aca="false">AA40+AA43</f>
        <v>1023</v>
      </c>
      <c r="AB56" s="31" t="n">
        <f aca="false">AB40+AB43</f>
        <v>2878.50000000001</v>
      </c>
      <c r="AC56" s="31" t="n">
        <f aca="false">AC40+AC43</f>
        <v>5721.09999999999</v>
      </c>
      <c r="AD56" s="31" t="n">
        <f aca="false">AD40+AD43</f>
        <v>-1267</v>
      </c>
      <c r="AE56" s="31" t="n">
        <f aca="false">AE40+AE43</f>
        <v>1556.19999999999</v>
      </c>
      <c r="AF56" s="31" t="n">
        <f aca="false">AF40+AF43</f>
        <v>2415.3</v>
      </c>
      <c r="AG56" s="31" t="n">
        <f aca="false">AG40+AG43</f>
        <v>8001.99999999999</v>
      </c>
      <c r="AH56" s="31" t="n">
        <f aca="false">AH40+AH43</f>
        <v>3459.2</v>
      </c>
      <c r="AI56" s="31" t="n">
        <f aca="false">AI40+AI43</f>
        <v>5573.29999999999</v>
      </c>
      <c r="AJ56" s="31" t="n">
        <f aca="false">AJ40+AJ43</f>
        <v>8289.29999999999</v>
      </c>
      <c r="AK56" s="31" t="n">
        <f aca="false">AK40+AK43</f>
        <v>13146.6</v>
      </c>
      <c r="AL56" s="31" t="n">
        <f aca="false">AL40+AL43</f>
        <v>8719.3</v>
      </c>
      <c r="AM56" s="31" t="n">
        <f aca="false">AM40+AM43</f>
        <v>11272.5</v>
      </c>
      <c r="AN56" s="31" t="n">
        <f aca="false">AN40+AN43</f>
        <v>11439.6</v>
      </c>
      <c r="AO56" s="31" t="n">
        <f aca="false">AO40+AO43</f>
        <v>17100.1</v>
      </c>
      <c r="AP56" s="31" t="n">
        <f aca="false">AP40+AP43</f>
        <v>9332.1</v>
      </c>
      <c r="AQ56" s="31" t="n">
        <f aca="false">AQ40+AQ43</f>
        <v>11145.7</v>
      </c>
      <c r="AR56" s="31" t="n">
        <f aca="false">AR40+AR43</f>
        <v>12361.4</v>
      </c>
      <c r="AS56" s="31" t="n">
        <f aca="false">AS40+AS43</f>
        <v>18968.9</v>
      </c>
      <c r="AT56" s="31" t="n">
        <f aca="false">AT40+AT43</f>
        <v>10224</v>
      </c>
      <c r="AU56" s="31" t="n">
        <f aca="false">AU40+AU43</f>
        <v>12969.4</v>
      </c>
      <c r="AV56" s="31" t="n">
        <f aca="false">AV40+AV43</f>
        <v>15942.7</v>
      </c>
      <c r="AW56" s="31" t="n">
        <f aca="false">AW40+AW43</f>
        <v>21338.1</v>
      </c>
      <c r="AX56" s="31" t="n">
        <f aca="false">AX40+AX43</f>
        <v>10546.3</v>
      </c>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E56" s="31" t="n">
        <f aca="false">CE40+CE43</f>
        <v>22492.921</v>
      </c>
      <c r="CF56" s="30"/>
      <c r="CG56" s="30"/>
      <c r="CI56" s="30"/>
      <c r="CJ56" s="30"/>
      <c r="CK56" s="30"/>
      <c r="CL56" s="30"/>
      <c r="CM56" s="30"/>
      <c r="CN56" s="30"/>
    </row>
    <row r="57" customFormat="false" ht="15" hidden="false" customHeight="true" outlineLevel="0" collapsed="false">
      <c r="A57" s="29" t="s">
        <v>903</v>
      </c>
      <c r="B57" s="31" t="n">
        <f aca="false">B40-B45</f>
        <v>2787.327</v>
      </c>
      <c r="C57" s="31" t="n">
        <f aca="false">C40-C45</f>
        <v>5009.102</v>
      </c>
      <c r="D57" s="31" t="n">
        <f aca="false">D40-D45</f>
        <v>3298.373</v>
      </c>
      <c r="E57" s="31" t="n">
        <f aca="false">E40-E45</f>
        <v>6519.115</v>
      </c>
      <c r="F57" s="31" t="n">
        <f aca="false">F40-F45</f>
        <v>3610.601</v>
      </c>
      <c r="G57" s="31" t="n">
        <f aca="false">G40-G45</f>
        <v>4103.763</v>
      </c>
      <c r="H57" s="31" t="n">
        <f aca="false">H40-H45</f>
        <v>3227.81</v>
      </c>
      <c r="I57" s="31" t="n">
        <f aca="false">I40-I45</f>
        <v>5904.259</v>
      </c>
      <c r="J57" s="31" t="n">
        <f aca="false">J40-J45</f>
        <v>1739.406</v>
      </c>
      <c r="K57" s="31" t="n">
        <f aca="false">K40-K45</f>
        <v>4706.615</v>
      </c>
      <c r="L57" s="31" t="n">
        <f aca="false">L40-L45</f>
        <v>6533.90599999999</v>
      </c>
      <c r="M57" s="31" t="n">
        <f aca="false">M40-M45</f>
        <v>6933.60000000001</v>
      </c>
      <c r="N57" s="31" t="n">
        <f aca="false">N40-N45</f>
        <v>8863.78600000001</v>
      </c>
      <c r="O57" s="31" t="n">
        <f aca="false">O40-O45</f>
        <v>9682.19999999999</v>
      </c>
      <c r="P57" s="31" t="n">
        <f aca="false">P40-P45</f>
        <v>5045.00599999999</v>
      </c>
      <c r="Q57" s="31" t="n">
        <f aca="false">Q40-Q45</f>
        <v>5191.59999999999</v>
      </c>
      <c r="R57" s="31" t="n">
        <f aca="false">R40-R45</f>
        <v>6657.46800000001</v>
      </c>
      <c r="S57" s="31" t="n">
        <f aca="false">S40-S45</f>
        <v>6809.20000000002</v>
      </c>
      <c r="T57" s="31" t="n">
        <f aca="false">T40-T45</f>
        <v>4889.7</v>
      </c>
      <c r="U57" s="31" t="n">
        <f aca="false">U40-U45</f>
        <v>8256.80000000001</v>
      </c>
      <c r="V57" s="31" t="n">
        <f aca="false">V40-V45</f>
        <v>3723.3</v>
      </c>
      <c r="W57" s="31" t="n">
        <f aca="false">W40-W45</f>
        <v>685.400000000003</v>
      </c>
      <c r="X57" s="31" t="n">
        <f aca="false">X40-X45</f>
        <v>676.9</v>
      </c>
      <c r="Y57" s="31" t="n">
        <f aca="false">Y40-Y45</f>
        <v>-47.0999999999999</v>
      </c>
      <c r="Z57" s="31" t="n">
        <f aca="false">Z40-Z45</f>
        <v>-4969.1</v>
      </c>
      <c r="AA57" s="31" t="n">
        <f aca="false">AA40-AA45</f>
        <v>-907.300000000001</v>
      </c>
      <c r="AB57" s="31" t="n">
        <f aca="false">AB40-AB45</f>
        <v>593.600000000009</v>
      </c>
      <c r="AC57" s="31" t="n">
        <f aca="false">AC40-AC45</f>
        <v>3157.09999999999</v>
      </c>
      <c r="AD57" s="31" t="n">
        <f aca="false">AD40-AD45</f>
        <v>-3235.9</v>
      </c>
      <c r="AE57" s="31" t="n">
        <f aca="false">AE40-AE45</f>
        <v>-495.800000000006</v>
      </c>
      <c r="AF57" s="31" t="n">
        <f aca="false">AF40-AF45</f>
        <v>342.400000000001</v>
      </c>
      <c r="AG57" s="31" t="n">
        <f aca="false">AG40-AG45</f>
        <v>5806.89999999999</v>
      </c>
      <c r="AH57" s="31" t="n">
        <f aca="false">AH40-AH45</f>
        <v>1378.8</v>
      </c>
      <c r="AI57" s="31" t="n">
        <f aca="false">AI40-AI45</f>
        <v>3605.49999999999</v>
      </c>
      <c r="AJ57" s="31" t="n">
        <f aca="false">AJ40-AJ45</f>
        <v>6083.89999999999</v>
      </c>
      <c r="AK57" s="31" t="n">
        <f aca="false">AK40-AK45</f>
        <v>10919.2</v>
      </c>
      <c r="AL57" s="31" t="n">
        <f aca="false">AL40-AL45</f>
        <v>6413.9</v>
      </c>
      <c r="AM57" s="31" t="n">
        <f aca="false">AM40-AM45</f>
        <v>8995</v>
      </c>
      <c r="AN57" s="31" t="n">
        <f aca="false">AN40-AN45</f>
        <v>9354.60000000002</v>
      </c>
      <c r="AO57" s="31" t="n">
        <f aca="false">AO40-AO45</f>
        <v>14124.2</v>
      </c>
      <c r="AP57" s="31" t="n">
        <f aca="false">AP40-AP45</f>
        <v>7381.5</v>
      </c>
      <c r="AQ57" s="31" t="n">
        <f aca="false">AQ40-AQ45</f>
        <v>8418.6</v>
      </c>
      <c r="AR57" s="31" t="n">
        <f aca="false">AR40-AR45</f>
        <v>10191</v>
      </c>
      <c r="AS57" s="31" t="n">
        <f aca="false">AS40-AS45</f>
        <v>16121.1</v>
      </c>
      <c r="AT57" s="31" t="n">
        <f aca="false">AT40-AT45</f>
        <v>7867.4</v>
      </c>
      <c r="AU57" s="31" t="n">
        <f aca="false">AU40-AU45</f>
        <v>9898.59999999999</v>
      </c>
      <c r="AV57" s="31" t="n">
        <f aca="false">AV40-AV45</f>
        <v>13575.6</v>
      </c>
      <c r="AW57" s="31" t="n">
        <f aca="false">AW40-AW45</f>
        <v>18829</v>
      </c>
      <c r="AX57" s="31" t="n">
        <f aca="false">AX40-AX45</f>
        <v>7866.1</v>
      </c>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E57" s="31" t="n">
        <f aca="false">CE40-CE45</f>
        <v>17613.917</v>
      </c>
      <c r="CF57" s="30"/>
      <c r="CG57" s="30"/>
      <c r="CI57" s="30"/>
      <c r="CJ57" s="30"/>
      <c r="CK57" s="30"/>
      <c r="CL57" s="30"/>
      <c r="CM57" s="30"/>
      <c r="CN57" s="30"/>
    </row>
    <row r="58" customFormat="false" ht="15" hidden="false" customHeight="true" outlineLevel="0" collapsed="false">
      <c r="A58" s="29" t="s">
        <v>274</v>
      </c>
      <c r="B58" s="31" t="n">
        <f aca="false">B51+B45</f>
        <v>2703.12973797259</v>
      </c>
      <c r="C58" s="31" t="n">
        <f aca="false">C51+C45</f>
        <v>4221.47865788662</v>
      </c>
      <c r="D58" s="31" t="n">
        <f aca="false">D51+D45</f>
        <v>3381.271</v>
      </c>
      <c r="E58" s="31" t="n">
        <f aca="false">E51+E45</f>
        <v>6112.48</v>
      </c>
      <c r="F58" s="31" t="n">
        <f aca="false">F51+F45</f>
        <v>3620.861</v>
      </c>
      <c r="G58" s="31" t="n">
        <f aca="false">G51+G45</f>
        <v>4139.524</v>
      </c>
      <c r="H58" s="31" t="n">
        <f aca="false">H51+H45</f>
        <v>3567.61</v>
      </c>
      <c r="I58" s="31" t="n">
        <f aca="false">I51+I45</f>
        <v>6196.20200000001</v>
      </c>
      <c r="J58" s="31" t="n">
        <f aca="false">J51+J45</f>
        <v>2540.3694</v>
      </c>
      <c r="K58" s="31" t="n">
        <f aca="false">K51+K45</f>
        <v>4772.4506</v>
      </c>
      <c r="L58" s="31" t="n">
        <f aca="false">L51+L45</f>
        <v>5848.82839999999</v>
      </c>
      <c r="M58" s="31" t="n">
        <f aca="false">M51+M45</f>
        <v>6346.74000000001</v>
      </c>
      <c r="N58" s="31" t="n">
        <f aca="false">N51+N45</f>
        <v>8077.85100000001</v>
      </c>
      <c r="O58" s="31" t="n">
        <f aca="false">O51+O45</f>
        <v>8988.6</v>
      </c>
      <c r="P58" s="31" t="n">
        <f aca="false">P51+P45</f>
        <v>5278.01169999999</v>
      </c>
      <c r="Q58" s="31" t="n">
        <f aca="false">Q51+Q45</f>
        <v>5891.46</v>
      </c>
      <c r="R58" s="31" t="n">
        <f aca="false">R51+R45</f>
        <v>6157.06900000001</v>
      </c>
      <c r="S58" s="31" t="n">
        <f aca="false">S51+S45</f>
        <v>6879.60000000002</v>
      </c>
      <c r="T58" s="31" t="n">
        <f aca="false">T51+T45</f>
        <v>5464.21</v>
      </c>
      <c r="U58" s="31" t="n">
        <f aca="false">U51+U45</f>
        <v>8209.26000000001</v>
      </c>
      <c r="V58" s="31" t="n">
        <f aca="false">V51+V45</f>
        <v>4089.37000000001</v>
      </c>
      <c r="W58" s="31" t="n">
        <f aca="false">W51+W45</f>
        <v>2475.175</v>
      </c>
      <c r="X58" s="31" t="n">
        <f aca="false">X51+X45</f>
        <v>1867.29</v>
      </c>
      <c r="Y58" s="31" t="n">
        <f aca="false">Y51+Y45</f>
        <v>1818.875</v>
      </c>
      <c r="Z58" s="31" t="n">
        <f aca="false">Z51+Z45</f>
        <v>-2238.775</v>
      </c>
      <c r="AA58" s="31" t="n">
        <f aca="false">AA51+AA45</f>
        <v>257.649999999999</v>
      </c>
      <c r="AB58" s="31" t="n">
        <f aca="false">AB51+AB45</f>
        <v>2095.72500000001</v>
      </c>
      <c r="AC58" s="31" t="n">
        <f aca="false">AC51+AC45</f>
        <v>4316.07499999999</v>
      </c>
      <c r="AD58" s="31" t="n">
        <f aca="false">AD51+AD45</f>
        <v>-975.400000000001</v>
      </c>
      <c r="AE58" s="31" t="n">
        <f aca="false">AE51+AE45</f>
        <v>1010.87499999999</v>
      </c>
      <c r="AF58" s="31" t="n">
        <f aca="false">AF51+AF45</f>
        <v>1638.95</v>
      </c>
      <c r="AG58" s="31" t="n">
        <f aca="false">AG51+AG45</f>
        <v>7440.24999999999</v>
      </c>
      <c r="AH58" s="31" t="n">
        <f aca="false">AH51+AH45</f>
        <v>2406.925</v>
      </c>
      <c r="AI58" s="31" t="n">
        <f aca="false">AI51+AI45</f>
        <v>3699.27499999999</v>
      </c>
      <c r="AJ58" s="31" t="n">
        <f aca="false">AJ51+AJ45</f>
        <v>5450.84999999999</v>
      </c>
      <c r="AK58" s="31" t="n">
        <f aca="false">AK51+AK45</f>
        <v>8929.07499999998</v>
      </c>
      <c r="AL58" s="31" t="n">
        <f aca="false">AL51+AL45</f>
        <v>7562.225</v>
      </c>
      <c r="AM58" s="31" t="n">
        <f aca="false">AM51+AM45</f>
        <v>7584.6</v>
      </c>
      <c r="AN58" s="31" t="n">
        <f aca="false">AN51+AN45</f>
        <v>7589.42500000002</v>
      </c>
      <c r="AO58" s="31" t="n">
        <f aca="false">AO51+AO45</f>
        <v>11323.45</v>
      </c>
      <c r="AP58" s="31" t="n">
        <f aca="false">AP51+AP45</f>
        <v>6983</v>
      </c>
      <c r="AQ58" s="31" t="n">
        <f aca="false">AQ51+AQ45</f>
        <v>8575.05</v>
      </c>
      <c r="AR58" s="31" t="n">
        <f aca="false">AR51+AR45</f>
        <v>9540.7</v>
      </c>
      <c r="AS58" s="31" t="n">
        <f aca="false">AS51+AS45</f>
        <v>14349.575</v>
      </c>
      <c r="AT58" s="31" t="n">
        <f aca="false">AT51+AT45</f>
        <v>7765.4</v>
      </c>
      <c r="AU58" s="31" t="n">
        <f aca="false">AU51+AU45</f>
        <v>9733.59999999999</v>
      </c>
      <c r="AV58" s="31" t="n">
        <f aca="false">AV51+AV45</f>
        <v>12048.4</v>
      </c>
      <c r="AW58" s="31" t="n">
        <f aca="false">AW51+AW45</f>
        <v>15873.4</v>
      </c>
      <c r="AX58" s="31" t="n">
        <f aca="false">AX51+AX45</f>
        <v>7920.3</v>
      </c>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E58" s="31" t="n">
        <f aca="false">CE51+CE45</f>
        <v>18123.539</v>
      </c>
      <c r="CF58" s="30"/>
      <c r="CG58" s="30"/>
      <c r="CI58" s="30"/>
      <c r="CJ58" s="30"/>
      <c r="CK58" s="30"/>
      <c r="CL58" s="30"/>
      <c r="CM58" s="30"/>
      <c r="CN58" s="30"/>
    </row>
    <row r="60" customFormat="false" ht="15" hidden="false" customHeight="true" outlineLevel="0" collapsed="false">
      <c r="A60" s="38" t="s">
        <v>904</v>
      </c>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117"/>
      <c r="BQ60" s="117"/>
      <c r="BR60" s="117"/>
      <c r="BS60" s="117"/>
      <c r="BT60" s="117"/>
      <c r="BU60" s="117"/>
      <c r="BV60" s="117"/>
      <c r="BW60" s="117"/>
      <c r="BX60" s="117"/>
      <c r="BY60" s="117"/>
      <c r="BZ60" s="117"/>
      <c r="CA60" s="117"/>
      <c r="CB60" s="117"/>
      <c r="CC60" s="117"/>
      <c r="CD60" s="117"/>
      <c r="CE60" s="117"/>
      <c r="CF60" s="117"/>
      <c r="CG60" s="117"/>
      <c r="CH60" s="117"/>
      <c r="CI60" s="117"/>
      <c r="CJ60" s="117"/>
      <c r="CK60" s="117"/>
      <c r="CL60" s="117"/>
      <c r="CM60" s="117"/>
      <c r="CN60" s="117"/>
    </row>
    <row r="61" customFormat="false" ht="15" hidden="false" customHeight="true" outlineLevel="0" collapsed="false">
      <c r="A61" s="29" t="s">
        <v>905</v>
      </c>
      <c r="B61" s="49" t="n">
        <f aca="false">B40/B33*100</f>
        <v>10.1078490582908</v>
      </c>
      <c r="C61" s="49" t="n">
        <f aca="false">C40/C33*100</f>
        <v>12.5629159855625</v>
      </c>
      <c r="D61" s="49" t="n">
        <f aca="false">D40/D33*100</f>
        <v>10.9207001082858</v>
      </c>
      <c r="E61" s="49" t="n">
        <f aca="false">E40/E33*100</f>
        <v>13.1171635120779</v>
      </c>
      <c r="F61" s="49" t="n">
        <f aca="false">F40/F33*100</f>
        <v>11.3184020520895</v>
      </c>
      <c r="G61" s="49" t="n">
        <f aca="false">G40/G33*100</f>
        <v>11.6062281935808</v>
      </c>
      <c r="H61" s="49" t="n">
        <f aca="false">H40/H33*100</f>
        <v>10.0550766738456</v>
      </c>
      <c r="I61" s="49" t="n">
        <f aca="false">I40/I33*100</f>
        <v>11.0292272824557</v>
      </c>
      <c r="J61" s="49" t="n">
        <f aca="false">J40/J33*100</f>
        <v>7.18841710577439</v>
      </c>
      <c r="K61" s="49" t="n">
        <f aca="false">K40/K33*100</f>
        <v>10.0684395691022</v>
      </c>
      <c r="L61" s="49" t="n">
        <f aca="false">L40/L33*100</f>
        <v>11.0840678168162</v>
      </c>
      <c r="M61" s="49" t="n">
        <f aca="false">M40/M33*100</f>
        <v>11.6722248027302</v>
      </c>
      <c r="N61" s="49" t="n">
        <f aca="false">N40/N33*100</f>
        <v>11.7718388083841</v>
      </c>
      <c r="O61" s="49" t="n">
        <f aca="false">O40/O33*100</f>
        <v>12.8203697228616</v>
      </c>
      <c r="P61" s="49" t="n">
        <f aca="false">P40/P33*100</f>
        <v>10.3605409261068</v>
      </c>
      <c r="Q61" s="49" t="n">
        <f aca="false">Q40/Q33*100</f>
        <v>10.7244136732921</v>
      </c>
      <c r="R61" s="49" t="n">
        <f aca="false">R40/R33*100</f>
        <v>10.5932374875692</v>
      </c>
      <c r="S61" s="49" t="n">
        <f aca="false">S40/S33*100</f>
        <v>10.878145559804</v>
      </c>
      <c r="T61" s="49" t="n">
        <f aca="false">T40/T33*100</f>
        <v>10.2704403311179</v>
      </c>
      <c r="U61" s="49" t="n">
        <f aca="false">U40/U33*100</f>
        <v>11.1400384131459</v>
      </c>
      <c r="V61" s="49" t="n">
        <f aca="false">V40/V33*100</f>
        <v>9.44727702652775</v>
      </c>
      <c r="W61" s="49" t="n">
        <f aca="false">W40/W33*100</f>
        <v>5.8170250668024</v>
      </c>
      <c r="X61" s="49" t="n">
        <f aca="false">X40/X33*100</f>
        <v>5.60681334279631</v>
      </c>
      <c r="Y61" s="49" t="n">
        <f aca="false">Y40/Y33*100</f>
        <v>4.76623437524424</v>
      </c>
      <c r="Z61" s="49" t="n">
        <f aca="false">Z40/Z33*100</f>
        <v>-51.1991641956151</v>
      </c>
      <c r="AA61" s="49" t="n">
        <f aca="false">AA40/AA33*100</f>
        <v>2.83545678246339</v>
      </c>
      <c r="AB61" s="49" t="n">
        <f aca="false">AB40/AB33*100</f>
        <v>5.27245191139108</v>
      </c>
      <c r="AC61" s="49" t="n">
        <f aca="false">AC40/AC33*100</f>
        <v>7.63032302024571</v>
      </c>
      <c r="AD61" s="49" t="n">
        <f aca="false">AD40/AD33*100</f>
        <v>-4.74755929366077</v>
      </c>
      <c r="AE61" s="49" t="n">
        <f aca="false">AE40/AE33*100</f>
        <v>3.02141166705922</v>
      </c>
      <c r="AF61" s="49" t="n">
        <f aca="false">AF40/AF33*100</f>
        <v>4.04486952500018</v>
      </c>
      <c r="AG61" s="49" t="n">
        <f aca="false">AG40/AG33*100</f>
        <v>8.87482002541086</v>
      </c>
      <c r="AH61" s="49" t="n">
        <f aca="false">AH40/AH33*100</f>
        <v>4.434260714261</v>
      </c>
      <c r="AI61" s="49" t="n">
        <f aca="false">AI40/AI33*100</f>
        <v>6.50064420907457</v>
      </c>
      <c r="AJ61" s="49" t="n">
        <f aca="false">AJ40/AJ33*100</f>
        <v>8.83022303140646</v>
      </c>
      <c r="AK61" s="49" t="n">
        <f aca="false">AK40/AK33*100</f>
        <v>10.9734750771353</v>
      </c>
      <c r="AL61" s="49" t="n">
        <f aca="false">AL40/AL33*100</f>
        <v>10.0222363599286</v>
      </c>
      <c r="AM61" s="49" t="n">
        <f aca="false">AM40/AM33*100</f>
        <v>11.2034189524011</v>
      </c>
      <c r="AN61" s="49" t="n">
        <f aca="false">AN40/AN33*100</f>
        <v>12.0126043215741</v>
      </c>
      <c r="AO61" s="49" t="n">
        <f aca="false">AO40/AO33*100</f>
        <v>14.1311245805112</v>
      </c>
      <c r="AP61" s="49" t="n">
        <f aca="false">AP40/AP33*100</f>
        <v>10.5933223469593</v>
      </c>
      <c r="AQ61" s="49" t="n">
        <f aca="false">AQ40/AQ33*100</f>
        <v>11.6013196743465</v>
      </c>
      <c r="AR61" s="49" t="n">
        <f aca="false">AR40/AR33*100</f>
        <v>12.780590525886</v>
      </c>
      <c r="AS61" s="49" t="n">
        <f aca="false">AS40/AS33*100</f>
        <v>15.0416025921518</v>
      </c>
      <c r="AT61" s="49" t="n">
        <f aca="false">AT40/AT33*100</f>
        <v>11.1129450249928</v>
      </c>
      <c r="AU61" s="49" t="n">
        <f aca="false">AU40/AU33*100</f>
        <v>12.1207570154085</v>
      </c>
      <c r="AV61" s="49" t="n">
        <f aca="false">AV40/AV33*100</f>
        <v>13.3088257606957</v>
      </c>
      <c r="AW61" s="49" t="n">
        <f aca="false">AW40/AW33*100</f>
        <v>14.586500890859</v>
      </c>
      <c r="AX61" s="49" t="n">
        <f aca="false">AX40/AX33*100</f>
        <v>10.0632632196256</v>
      </c>
      <c r="AZ61" s="49" t="n">
        <f aca="false">AZ40/AZ33*100</f>
        <v>10.6812443972087</v>
      </c>
      <c r="BA61" s="49" t="n">
        <f aca="false">BA40/BA33*100</f>
        <v>7.61432700508643</v>
      </c>
      <c r="BB61" s="49" t="n">
        <f aca="false">BB40/BB33*100</f>
        <v>4.45341332707266</v>
      </c>
      <c r="BC61" s="49" t="n">
        <f aca="false">BC40/BC33*100</f>
        <v>6.02813889677359</v>
      </c>
      <c r="BD61" s="49" t="n">
        <f aca="false">BD40/BD33*100</f>
        <v>1.93146921429268</v>
      </c>
      <c r="BE61" s="49" t="n">
        <f aca="false">BE40/BE33*100</f>
        <v>-48.6113198519393</v>
      </c>
      <c r="BF61" s="49" t="n">
        <f aca="false">BF40/BF33*100</f>
        <v>3.44910505464786</v>
      </c>
      <c r="BG61" s="49" t="n">
        <f aca="false">BG40/BG33*100</f>
        <v>8.37754648693048</v>
      </c>
      <c r="BH61" s="49" t="n">
        <f aca="false">BH40/BH33*100</f>
        <v>7.447765758816</v>
      </c>
      <c r="BI61" s="49" t="n">
        <f aca="false">BI40/BI33*100</f>
        <v>-3.75620788928209</v>
      </c>
      <c r="BJ61" s="49" t="n">
        <f aca="false">BJ40/BJ33*100</f>
        <v>3.90400445686063</v>
      </c>
      <c r="BK61" s="49" t="n">
        <f aca="false">BK40/BK33*100</f>
        <v>5.19697879589041</v>
      </c>
      <c r="BL61" s="49" t="n">
        <f aca="false">BL40/BL33*100</f>
        <v>7.12720820828143</v>
      </c>
      <c r="BM61" s="49" t="n">
        <f aca="false">BM40/BM33*100</f>
        <v>6.38654159730678</v>
      </c>
      <c r="BN61" s="49" t="n">
        <f aca="false">BN40/BN33*100</f>
        <v>5.9771094943674</v>
      </c>
      <c r="BO61" s="49" t="n">
        <f aca="false">BO40/BO33*100</f>
        <v>7.54202276750255</v>
      </c>
      <c r="BP61" s="49" t="n">
        <f aca="false">BP40/BP33*100</f>
        <v>10.6928686290352</v>
      </c>
      <c r="BQ61" s="49" t="n">
        <f aca="false">BQ40/BQ33*100</f>
        <v>7.62931340345047</v>
      </c>
      <c r="BR61" s="49" t="n">
        <f aca="false">BR40/BR33*100</f>
        <v>10.8130839445013</v>
      </c>
      <c r="BS61" s="49" t="n">
        <f aca="false">BS40/BS33*100</f>
        <v>10.2901755467722</v>
      </c>
      <c r="BT61" s="49" t="n">
        <f aca="false">BT40/BT33*100</f>
        <v>12.3743464658172</v>
      </c>
      <c r="BU61" s="49" t="n">
        <f aca="false">BU40/BU33*100</f>
        <v>10.4164367138738</v>
      </c>
      <c r="BV61" s="49" t="n">
        <f aca="false">BV40/BV33*100</f>
        <v>10.6745150292526</v>
      </c>
      <c r="BW61" s="49" t="n">
        <f aca="false">BW40/BW33*100</f>
        <v>11.7988530077125</v>
      </c>
      <c r="BX61" s="49" t="n">
        <f aca="false">BX40/BX33*100</f>
        <v>14.1547198369368</v>
      </c>
      <c r="BY61" s="49" t="n">
        <f aca="false">BY40/BY33*100</f>
        <v>11.1029183378722</v>
      </c>
      <c r="BZ61" s="49" t="n">
        <f aca="false">BZ40/BZ33*100</f>
        <v>11.4173093364867</v>
      </c>
      <c r="CA61" s="49" t="n">
        <f aca="false">CA40/CA33*100</f>
        <v>12.9609083899922</v>
      </c>
      <c r="CB61" s="49" t="n">
        <f aca="false">CB40/CB33*100</f>
        <v>14.0571543636686</v>
      </c>
      <c r="CC61" s="49" t="n">
        <f aca="false">CC40/CC33*100</f>
        <v>9.73023025476142</v>
      </c>
      <c r="CE61" s="49" t="n">
        <f aca="false">CE40/CE33*100</f>
        <v>11.8775729639235</v>
      </c>
      <c r="CF61" s="36"/>
      <c r="CG61" s="49" t="n">
        <f aca="false">CG40/CG33*100</f>
        <v>13.0257597479312</v>
      </c>
      <c r="CI61" s="36"/>
      <c r="CJ61" s="49" t="n">
        <f aca="false">CJ40/CJ33*100</f>
        <v>14.5865008908591</v>
      </c>
      <c r="CK61" s="36"/>
      <c r="CL61" s="49" t="n">
        <f aca="false">CL40/CL33*100</f>
        <v>14.8543922646687</v>
      </c>
      <c r="CM61" s="36"/>
      <c r="CN61" s="36"/>
    </row>
    <row r="62" customFormat="false" ht="15" hidden="false" customHeight="true" outlineLevel="0" collapsed="false">
      <c r="A62" s="29" t="s">
        <v>906</v>
      </c>
      <c r="B62" s="79" t="n">
        <f aca="false">B56/B42</f>
        <v>5.96676497601214</v>
      </c>
      <c r="C62" s="79" t="n">
        <f aca="false">C56/C42</f>
        <v>10.617258458186</v>
      </c>
      <c r="D62" s="79" t="n">
        <f aca="false">D56/D42</f>
        <v>7.94212682428658</v>
      </c>
      <c r="E62" s="79" t="n">
        <f aca="false">E56/E42</f>
        <v>14.8732831617341</v>
      </c>
      <c r="F62" s="79" t="n">
        <f aca="false">F56/F42</f>
        <v>15.3900052921159</v>
      </c>
      <c r="G62" s="79" t="n">
        <f aca="false">G56/G42</f>
        <v>16.7461988786766</v>
      </c>
      <c r="H62" s="79" t="n">
        <f aca="false">H56/H42</f>
        <v>10.5864045972447</v>
      </c>
      <c r="I62" s="79" t="n">
        <f aca="false">I56/I42</f>
        <v>18.2098035182782</v>
      </c>
      <c r="J62" s="79" t="n">
        <f aca="false">J56/J42</f>
        <v>9.40404627749023</v>
      </c>
      <c r="K62" s="79" t="n">
        <f aca="false">K56/K42</f>
        <v>16.2698035067021</v>
      </c>
      <c r="L62" s="79" t="n">
        <f aca="false">L56/L42</f>
        <v>24.6495494501233</v>
      </c>
      <c r="M62" s="79" t="n">
        <f aca="false">M56/M42</f>
        <v>23.9543230016313</v>
      </c>
      <c r="N62" s="79" t="n">
        <f aca="false">N56/N42</f>
        <v>54.3448543960289</v>
      </c>
      <c r="O62" s="79" t="n">
        <f aca="false">O56/O42</f>
        <v>48.6074651353568</v>
      </c>
      <c r="P62" s="79" t="n">
        <f aca="false">P56/P42</f>
        <v>60.1709553590683</v>
      </c>
      <c r="Q62" s="79" t="n">
        <f aca="false">Q56/Q42</f>
        <v>51.029598308668</v>
      </c>
      <c r="R62" s="79" t="n">
        <f aca="false">R56/R42</f>
        <v>48.0140805342084</v>
      </c>
      <c r="S62" s="79" t="n">
        <f aca="false">S56/S42</f>
        <v>41.970602645762</v>
      </c>
      <c r="T62" s="79" t="n">
        <f aca="false">T56/T42</f>
        <v>34.9728742827335</v>
      </c>
      <c r="U62" s="79" t="n">
        <f aca="false">U56/U42</f>
        <v>59.8747742323902</v>
      </c>
      <c r="V62" s="79" t="n">
        <f aca="false">V56/V42</f>
        <v>44.4653386454184</v>
      </c>
      <c r="W62" s="79" t="n">
        <f aca="false">W56/W42</f>
        <v>9.09960159362551</v>
      </c>
      <c r="X62" s="79" t="n">
        <f aca="false">X56/X42</f>
        <v>7.3479809976247</v>
      </c>
      <c r="Y62" s="79" t="n">
        <f aca="false">Y56/Y42</f>
        <v>6.56767371601209</v>
      </c>
      <c r="Z62" s="79" t="n">
        <f aca="false">Z56/Z42</f>
        <v>-4.0033836543467</v>
      </c>
      <c r="AA62" s="79" t="n">
        <f aca="false">AA56/AA42</f>
        <v>1.1726272352132</v>
      </c>
      <c r="AB62" s="79" t="n">
        <f aca="false">AB56/AB42</f>
        <v>4.38528336380257</v>
      </c>
      <c r="AC62" s="79" t="n">
        <f aca="false">AC56/AC42</f>
        <v>7.42325158946411</v>
      </c>
      <c r="AD62" s="79" t="n">
        <f aca="false">AD56/AD42</f>
        <v>-1.79106587503534</v>
      </c>
      <c r="AE62" s="79" t="n">
        <f aca="false">AE56/AE42</f>
        <v>1.78709232889297</v>
      </c>
      <c r="AF62" s="79" t="n">
        <f aca="false">AF56/AF42</f>
        <v>3.61409546610804</v>
      </c>
      <c r="AG62" s="79" t="n">
        <f aca="false">AG56/AG42</f>
        <v>10.4656029296364</v>
      </c>
      <c r="AH62" s="79" t="n">
        <f aca="false">AH56/AH42</f>
        <v>5.02206736353078</v>
      </c>
      <c r="AI62" s="79" t="n">
        <f aca="false">AI56/AI42</f>
        <v>7.23335496430888</v>
      </c>
      <c r="AJ62" s="79" t="n">
        <f aca="false">AJ56/AJ42</f>
        <v>10.3100746268657</v>
      </c>
      <c r="AK62" s="79" t="n">
        <f aca="false">AK56/AK42</f>
        <v>20.9474187380497</v>
      </c>
      <c r="AL62" s="79" t="n">
        <f aca="false">AL56/AL42</f>
        <v>12.4793187347932</v>
      </c>
      <c r="AM62" s="79" t="n">
        <f aca="false">AM56/AM42</f>
        <v>19.200306591722</v>
      </c>
      <c r="AN62" s="79" t="n">
        <f aca="false">AN56/AN42</f>
        <v>18.5617394126238</v>
      </c>
      <c r="AO62" s="79" t="n">
        <f aca="false">AO56/AO42</f>
        <v>28.8706736451123</v>
      </c>
      <c r="AP62" s="79" t="n">
        <f aca="false">AP56/AP42</f>
        <v>15.8037256562235</v>
      </c>
      <c r="AQ62" s="79" t="n">
        <f aca="false">AQ56/AQ42</f>
        <v>18.3679960448253</v>
      </c>
      <c r="AR62" s="79" t="n">
        <f aca="false">AR56/AR42</f>
        <v>24.6931681981622</v>
      </c>
      <c r="AS62" s="79" t="n">
        <f aca="false">AS56/AS42</f>
        <v>40.2565789473684</v>
      </c>
      <c r="AT62" s="79" t="n">
        <f aca="false">AT56/AT42</f>
        <v>24.4242713807931</v>
      </c>
      <c r="AU62" s="79" t="n">
        <f aca="false">AU56/AU42</f>
        <v>30.8942353501667</v>
      </c>
      <c r="AV62" s="79" t="n">
        <f aca="false">AV56/AV42</f>
        <v>36.3739447866758</v>
      </c>
      <c r="AW62" s="79" t="n">
        <f aca="false">AW56/AW42</f>
        <v>50.7325249643366</v>
      </c>
      <c r="AX62" s="79" t="n">
        <f aca="false">AX56/AX42</f>
        <v>25.3944136768601</v>
      </c>
      <c r="AZ62" s="79" t="n">
        <f aca="false">AZ56/AZ42</f>
        <v>0</v>
      </c>
      <c r="BA62" s="79" t="n">
        <f aca="false">BA56/BA42</f>
        <v>0</v>
      </c>
      <c r="BB62" s="79" t="n">
        <f aca="false">BB56/BB42</f>
        <v>0</v>
      </c>
      <c r="BC62" s="79" t="n">
        <f aca="false">BC56/BC42</f>
        <v>0</v>
      </c>
      <c r="BD62" s="79" t="n">
        <f aca="false">BD56/BD42</f>
        <v>0</v>
      </c>
      <c r="BE62" s="79" t="n">
        <f aca="false">BE56/BE42</f>
        <v>0</v>
      </c>
      <c r="BF62" s="79" t="n">
        <f aca="false">BF56/BF42</f>
        <v>0</v>
      </c>
      <c r="BG62" s="79" t="n">
        <f aca="false">BG56/BG42</f>
        <v>0</v>
      </c>
      <c r="BH62" s="79" t="n">
        <f aca="false">BH56/BH42</f>
        <v>0</v>
      </c>
      <c r="BI62" s="79" t="n">
        <f aca="false">BI56/BI42</f>
        <v>0</v>
      </c>
      <c r="BJ62" s="79" t="n">
        <f aca="false">BJ56/BJ42</f>
        <v>0</v>
      </c>
      <c r="BK62" s="79" t="n">
        <f aca="false">BK56/BK42</f>
        <v>0</v>
      </c>
      <c r="BL62" s="79" t="n">
        <f aca="false">BL56/BL42</f>
        <v>0</v>
      </c>
      <c r="BM62" s="79" t="n">
        <f aca="false">BM56/BM42</f>
        <v>0</v>
      </c>
      <c r="BN62" s="79" t="n">
        <f aca="false">BN56/BN42</f>
        <v>0</v>
      </c>
      <c r="BO62" s="79" t="n">
        <f aca="false">BO56/BO42</f>
        <v>0</v>
      </c>
      <c r="BP62" s="79" t="n">
        <f aca="false">BP56/BP42</f>
        <v>0</v>
      </c>
      <c r="BQ62" s="79" t="n">
        <f aca="false">BQ56/BQ42</f>
        <v>0</v>
      </c>
      <c r="BR62" s="79" t="n">
        <f aca="false">BR56/BR42</f>
        <v>0</v>
      </c>
      <c r="BS62" s="79" t="n">
        <f aca="false">BS56/BS42</f>
        <v>0</v>
      </c>
      <c r="BT62" s="79" t="n">
        <f aca="false">BT56/BT42</f>
        <v>0</v>
      </c>
      <c r="BU62" s="79" t="n">
        <f aca="false">BU56/BU42</f>
        <v>0</v>
      </c>
      <c r="BV62" s="79" t="n">
        <f aca="false">BV56/BV42</f>
        <v>0</v>
      </c>
      <c r="BW62" s="79" t="n">
        <f aca="false">BW56/BW42</f>
        <v>0</v>
      </c>
      <c r="BX62" s="79" t="n">
        <f aca="false">BX56/BX42</f>
        <v>0</v>
      </c>
      <c r="BY62" s="79" t="n">
        <f aca="false">BY56/BY42</f>
        <v>0</v>
      </c>
      <c r="BZ62" s="79" t="n">
        <f aca="false">BZ56/BZ42</f>
        <v>0</v>
      </c>
      <c r="CA62" s="79" t="n">
        <f aca="false">CA56/CA42</f>
        <v>0</v>
      </c>
      <c r="CB62" s="79" t="n">
        <f aca="false">CB56/CB42</f>
        <v>0</v>
      </c>
      <c r="CC62" s="79" t="n">
        <f aca="false">CC56/CC42</f>
        <v>0</v>
      </c>
      <c r="CE62" s="79" t="e">
        <f aca="false">CE56/CE42</f>
        <v>#DIV/0!</v>
      </c>
      <c r="CF62" s="80"/>
      <c r="CG62" s="79" t="n">
        <f aca="false">CG56/CG42</f>
        <v>0</v>
      </c>
      <c r="CI62" s="80"/>
      <c r="CJ62" s="79" t="n">
        <f aca="false">CJ56/CJ42</f>
        <v>0</v>
      </c>
      <c r="CK62" s="80"/>
      <c r="CL62" s="80"/>
      <c r="CM62" s="80"/>
      <c r="CN62" s="80"/>
    </row>
    <row r="63" customFormat="false" ht="15" hidden="false" customHeight="true" outlineLevel="0" collapsed="false">
      <c r="A63" s="29" t="s">
        <v>283</v>
      </c>
      <c r="B63" s="49" t="n">
        <f aca="false">B43/B56*100</f>
        <v>6.18606327608427</v>
      </c>
      <c r="C63" s="49" t="n">
        <f aca="false">C43/C56*100</f>
        <v>6.78770084357063</v>
      </c>
      <c r="D63" s="49" t="n">
        <f aca="false">D43/D56*100</f>
        <v>6.21936149160637</v>
      </c>
      <c r="E63" s="49" t="n">
        <f aca="false">E43/E56*100</f>
        <v>2.71217112635719</v>
      </c>
      <c r="F63" s="49" t="n">
        <f aca="false">F43/F56*100</f>
        <v>7.39936605513399</v>
      </c>
      <c r="G63" s="49" t="n">
        <f aca="false">G43/G56*100</f>
        <v>5.5649220368054</v>
      </c>
      <c r="H63" s="49" t="n">
        <f aca="false">H43/H56*100</f>
        <v>5.37231276005548</v>
      </c>
      <c r="I63" s="49" t="n">
        <f aca="false">I43/I56*100</f>
        <v>5.23937229887688</v>
      </c>
      <c r="J63" s="49" t="n">
        <f aca="false">J43/J56*100</f>
        <v>11.149771468134</v>
      </c>
      <c r="K63" s="49" t="n">
        <f aca="false">K43/K56*100</f>
        <v>8.33917016114739</v>
      </c>
      <c r="L63" s="49" t="n">
        <f aca="false">L43/L56*100</f>
        <v>4.59414366087629</v>
      </c>
      <c r="M63" s="49" t="n">
        <f aca="false">M43/M56*100</f>
        <v>4.73644783437755</v>
      </c>
      <c r="N63" s="49" t="n">
        <f aca="false">N43/N56*100</f>
        <v>5.29429577705039</v>
      </c>
      <c r="O63" s="49" t="n">
        <f aca="false">O43/O56*100</f>
        <v>5.01329057845661</v>
      </c>
      <c r="P63" s="49" t="n">
        <f aca="false">P43/P56*100</f>
        <v>7.16598153661239</v>
      </c>
      <c r="Q63" s="49" t="n">
        <f aca="false">Q43/Q56*100</f>
        <v>7.24613663669885</v>
      </c>
      <c r="R63" s="49" t="n">
        <f aca="false">R43/R56*100</f>
        <v>3.37441429240431</v>
      </c>
      <c r="S63" s="49" t="n">
        <f aca="false">S43/S56*100</f>
        <v>3.2207980201256</v>
      </c>
      <c r="T63" s="49" t="n">
        <f aca="false">T43/T56*100</f>
        <v>3.10248646391122</v>
      </c>
      <c r="U63" s="49" t="n">
        <f aca="false">U43/U56*100</f>
        <v>0.913003257853034</v>
      </c>
      <c r="V63" s="49" t="n">
        <f aca="false">V43/V56*100</f>
        <v>3.77571500250878</v>
      </c>
      <c r="W63" s="49" t="n">
        <f aca="false">W43/W56*100</f>
        <v>16.6009924109749</v>
      </c>
      <c r="X63" s="49" t="n">
        <f aca="false">X43/X56*100</f>
        <v>9.02295134960401</v>
      </c>
      <c r="Y63" s="49" t="n">
        <f aca="false">Y43/Y56*100</f>
        <v>15.8424950549703</v>
      </c>
      <c r="Z63" s="49" t="n">
        <f aca="false">Z43/Z56*100</f>
        <v>-8.32845718743905</v>
      </c>
      <c r="AA63" s="49" t="n">
        <f aca="false">AA43/AA56*100</f>
        <v>21.3782991202346</v>
      </c>
      <c r="AB63" s="49" t="n">
        <f aca="false">AB43/AB56*100</f>
        <v>11.8325516762202</v>
      </c>
      <c r="AC63" s="49" t="n">
        <f aca="false">AC43/AC56*100</f>
        <v>6.63333974235725</v>
      </c>
      <c r="AD63" s="49" t="n">
        <f aca="false">AD43/AD56*100</f>
        <v>-10.5761641673244</v>
      </c>
      <c r="AE63" s="49" t="n">
        <f aca="false">AE43/AE56*100</f>
        <v>13.4494280940754</v>
      </c>
      <c r="AF63" s="49" t="n">
        <f aca="false">AF43/AF56*100</f>
        <v>7.30344056638926</v>
      </c>
      <c r="AG63" s="49" t="n">
        <f aca="false">AG43/AG56*100</f>
        <v>3.01924518870283</v>
      </c>
      <c r="AH63" s="49" t="n">
        <f aca="false">AH43/AH56*100</f>
        <v>7.41211840888066</v>
      </c>
      <c r="AI63" s="49" t="n">
        <f aca="false">AI43/AI56*100</f>
        <v>3.5867439398561</v>
      </c>
      <c r="AJ63" s="49" t="n">
        <f aca="false">AJ43/AJ56*100</f>
        <v>3.81093699106077</v>
      </c>
      <c r="AK63" s="49" t="n">
        <f aca="false">AK43/AK56*100</f>
        <v>2.96046125994554</v>
      </c>
      <c r="AL63" s="49" t="n">
        <f aca="false">AL43/AL56*100</f>
        <v>5.86973724954985</v>
      </c>
      <c r="AM63" s="49" t="n">
        <f aca="false">AM43/AM56*100</f>
        <v>4.21024617431803</v>
      </c>
      <c r="AN63" s="49" t="n">
        <f aca="false">AN43/AN56*100</f>
        <v>2.62509178642609</v>
      </c>
      <c r="AO63" s="49" t="n">
        <f aca="false">AO43/AO56*100</f>
        <v>6.89469652224256</v>
      </c>
      <c r="AP63" s="49" t="n">
        <f aca="false">AP43/AP56*100</f>
        <v>2.39388776374021</v>
      </c>
      <c r="AQ63" s="49" t="n">
        <f aca="false">AQ43/AQ56*100</f>
        <v>8.72713243672448</v>
      </c>
      <c r="AR63" s="49" t="n">
        <f aca="false">AR43/AR56*100</f>
        <v>1.99896451858204</v>
      </c>
      <c r="AS63" s="49" t="n">
        <f aca="false">AS43/AS56*100</f>
        <v>5.58440394540537</v>
      </c>
      <c r="AT63" s="49" t="n">
        <f aca="false">AT43/AT56*100</f>
        <v>5.16920970266041</v>
      </c>
      <c r="AU63" s="49" t="n">
        <f aca="false">AU43/AU56*100</f>
        <v>10.3921538390365</v>
      </c>
      <c r="AV63" s="49" t="n">
        <f aca="false">AV43/AV56*100</f>
        <v>3.71643448098503</v>
      </c>
      <c r="AW63" s="49" t="n">
        <f aca="false">AW43/AW56*100</f>
        <v>3.20037866539195</v>
      </c>
      <c r="AX63" s="49" t="n">
        <f aca="false">AX43/AX56*100</f>
        <v>8.06918066051601</v>
      </c>
      <c r="AZ63" s="49" t="e">
        <f aca="false">AZ43/AZ56*100</f>
        <v>#DIV/0!</v>
      </c>
      <c r="BA63" s="49" t="e">
        <f aca="false">BA43/BA56*100</f>
        <v>#DIV/0!</v>
      </c>
      <c r="BB63" s="49" t="e">
        <f aca="false">BB43/BB56*100</f>
        <v>#DIV/0!</v>
      </c>
      <c r="BC63" s="49" t="e">
        <f aca="false">BC43/BC56*100</f>
        <v>#DIV/0!</v>
      </c>
      <c r="BD63" s="49" t="e">
        <f aca="false">BD43/BD56*100</f>
        <v>#DIV/0!</v>
      </c>
      <c r="BE63" s="49" t="e">
        <f aca="false">BE43/BE56*100</f>
        <v>#DIV/0!</v>
      </c>
      <c r="BF63" s="49" t="e">
        <f aca="false">BF43/BF56*100</f>
        <v>#DIV/0!</v>
      </c>
      <c r="BG63" s="49" t="e">
        <f aca="false">BG43/BG56*100</f>
        <v>#DIV/0!</v>
      </c>
      <c r="BH63" s="49" t="e">
        <f aca="false">BH43/BH56*100</f>
        <v>#DIV/0!</v>
      </c>
      <c r="BI63" s="49" t="e">
        <f aca="false">BI43/BI56*100</f>
        <v>#DIV/0!</v>
      </c>
      <c r="BJ63" s="49" t="e">
        <f aca="false">BJ43/BJ56*100</f>
        <v>#DIV/0!</v>
      </c>
      <c r="BK63" s="49" t="e">
        <f aca="false">BK43/BK56*100</f>
        <v>#DIV/0!</v>
      </c>
      <c r="BL63" s="49" t="e">
        <f aca="false">BL43/BL56*100</f>
        <v>#DIV/0!</v>
      </c>
      <c r="BM63" s="49" t="e">
        <f aca="false">BM43/BM56*100</f>
        <v>#DIV/0!</v>
      </c>
      <c r="BN63" s="49" t="e">
        <f aca="false">BN43/BN56*100</f>
        <v>#DIV/0!</v>
      </c>
      <c r="BO63" s="49" t="e">
        <f aca="false">BO43/BO56*100</f>
        <v>#DIV/0!</v>
      </c>
      <c r="BP63" s="49" t="e">
        <f aca="false">BP43/BP56*100</f>
        <v>#DIV/0!</v>
      </c>
      <c r="BQ63" s="49" t="e">
        <f aca="false">BQ43/BQ56*100</f>
        <v>#DIV/0!</v>
      </c>
      <c r="BR63" s="49" t="e">
        <f aca="false">BR43/BR56*100</f>
        <v>#DIV/0!</v>
      </c>
      <c r="BS63" s="49" t="e">
        <f aca="false">BS43/BS56*100</f>
        <v>#DIV/0!</v>
      </c>
      <c r="BT63" s="49" t="e">
        <f aca="false">BT43/BT56*100</f>
        <v>#DIV/0!</v>
      </c>
      <c r="BU63" s="49" t="e">
        <f aca="false">BU43/BU56*100</f>
        <v>#DIV/0!</v>
      </c>
      <c r="BV63" s="49" t="e">
        <f aca="false">BV43/BV56*100</f>
        <v>#DIV/0!</v>
      </c>
      <c r="BW63" s="49" t="e">
        <f aca="false">BW43/BW56*100</f>
        <v>#DIV/0!</v>
      </c>
      <c r="BX63" s="49" t="e">
        <f aca="false">BX43/BX56*100</f>
        <v>#DIV/0!</v>
      </c>
      <c r="BY63" s="49" t="e">
        <f aca="false">BY43/BY56*100</f>
        <v>#DIV/0!</v>
      </c>
      <c r="BZ63" s="49" t="e">
        <f aca="false">BZ43/BZ56*100</f>
        <v>#DIV/0!</v>
      </c>
      <c r="CA63" s="49" t="e">
        <f aca="false">CA43/CA56*100</f>
        <v>#DIV/0!</v>
      </c>
      <c r="CB63" s="49" t="e">
        <f aca="false">CB43/CB56*100</f>
        <v>#DIV/0!</v>
      </c>
      <c r="CC63" s="49" t="e">
        <f aca="false">CC43/CC56*100</f>
        <v>#DIV/0!</v>
      </c>
      <c r="CE63" s="49" t="n">
        <f aca="false">CE43/CE56*100</f>
        <v>0</v>
      </c>
      <c r="CF63" s="36"/>
      <c r="CG63" s="49" t="e">
        <f aca="false">CG43/CG56*100</f>
        <v>#DIV/0!</v>
      </c>
      <c r="CI63" s="36"/>
      <c r="CJ63" s="49" t="e">
        <f aca="false">CJ43/CJ56*100</f>
        <v>#DIV/0!</v>
      </c>
      <c r="CK63" s="36"/>
      <c r="CL63" s="36"/>
      <c r="CM63" s="36"/>
      <c r="CN63" s="36"/>
    </row>
    <row r="64" customFormat="false" ht="15" hidden="false" customHeight="true" outlineLevel="0" collapsed="false">
      <c r="A64" s="29" t="s">
        <v>285</v>
      </c>
      <c r="B64" s="49" t="n">
        <f aca="false">B43/B51*100</f>
        <v>16.5329163696231</v>
      </c>
      <c r="C64" s="49" t="n">
        <f aca="false">C43/C51*100</f>
        <v>15.1959232929631</v>
      </c>
      <c r="D64" s="49" t="n">
        <f aca="false">D43/D51*100</f>
        <v>13.6229935826652</v>
      </c>
      <c r="E64" s="49" t="n">
        <f aca="false">E43/E51*100</f>
        <v>4.5538327979787</v>
      </c>
      <c r="F64" s="49" t="n">
        <f aca="false">F43/F51*100</f>
        <v>15.9747936242501</v>
      </c>
      <c r="G64" s="49" t="n">
        <f aca="false">G43/G51*100</f>
        <v>10.9832592011512</v>
      </c>
      <c r="H64" s="49" t="n">
        <f aca="false">H43/H51*100</f>
        <v>11.436835147676</v>
      </c>
      <c r="I64" s="49" t="n">
        <f aca="false">I43/I51*100</f>
        <v>8.40511554334163</v>
      </c>
      <c r="J64" s="49" t="n">
        <f aca="false">J43/J51*100</f>
        <v>31.5072547511199</v>
      </c>
      <c r="K64" s="49" t="n">
        <f aca="false">K43/K51*100</f>
        <v>16.5601905044919</v>
      </c>
      <c r="L64" s="49" t="n">
        <f aca="false">L43/L51*100</f>
        <v>8.4397153566465</v>
      </c>
      <c r="M64" s="49" t="n">
        <f aca="false">M43/M51*100</f>
        <v>8.53856164215385</v>
      </c>
      <c r="N64" s="49" t="n">
        <f aca="false">N43/N51*100</f>
        <v>8.7273511739278</v>
      </c>
      <c r="O64" s="49" t="n">
        <f aca="false">O43/O51*100</f>
        <v>8.01278593008201</v>
      </c>
      <c r="P64" s="49" t="n">
        <f aca="false">P43/P51*100</f>
        <v>12.9913851405221</v>
      </c>
      <c r="Q64" s="49" t="n">
        <f aca="false">Q43/Q51*100</f>
        <v>12.016048879464</v>
      </c>
      <c r="R64" s="49" t="n">
        <f aca="false">R43/R51*100</f>
        <v>5.91879707849662</v>
      </c>
      <c r="S64" s="49" t="n">
        <f aca="false">S43/S51*100</f>
        <v>5.11067889228488</v>
      </c>
      <c r="T64" s="49" t="n">
        <f aca="false">T43/T51*100</f>
        <v>5.39193956880037</v>
      </c>
      <c r="U64" s="49" t="n">
        <f aca="false">U43/U51*100</f>
        <v>1.37333135702683</v>
      </c>
      <c r="V64" s="49" t="n">
        <f aca="false">V43/V51*100</f>
        <v>8.62474774557197</v>
      </c>
      <c r="W64" s="49" t="n">
        <f aca="false">W43/W51*100</f>
        <v>52.013374867823</v>
      </c>
      <c r="X64" s="49" t="n">
        <f aca="false">X43/X51*100</f>
        <v>76.292322935529</v>
      </c>
      <c r="Y64" s="49" t="n">
        <f aca="false">Y43/Y51*100</f>
        <v>-596.621914248593</v>
      </c>
      <c r="Z64" s="49" t="n">
        <f aca="false">Z43/Z51*100</f>
        <v>-6.61080254678459</v>
      </c>
      <c r="AA64" s="49" t="n">
        <f aca="false">AA43/AA51*100</f>
        <v>-15.041782729805</v>
      </c>
      <c r="AB64" s="49" t="n">
        <f aca="false">AB43/AB51*100</f>
        <v>224.929833250771</v>
      </c>
      <c r="AC64" s="49" t="n">
        <f aca="false">AC43/AC51*100</f>
        <v>17.8037366735865</v>
      </c>
      <c r="AD64" s="49" t="n">
        <f aca="false">AD43/AD51*100</f>
        <v>-4.76817421627584</v>
      </c>
      <c r="AE64" s="49" t="n">
        <f aca="false">AE43/AE51*100</f>
        <v>-25.1615423917289</v>
      </c>
      <c r="AF64" s="49" t="n">
        <f aca="false">AF43/AF51*100</f>
        <v>-68.4915550378572</v>
      </c>
      <c r="AG64" s="49" t="n">
        <f aca="false">AG43/AG51*100</f>
        <v>4.40333530778695</v>
      </c>
      <c r="AH64" s="49" t="n">
        <f aca="false">AH43/AH51*100</f>
        <v>43.9850752669724</v>
      </c>
      <c r="AI64" s="49" t="n">
        <f aca="false">AI43/AI51*100</f>
        <v>10.3501391495696</v>
      </c>
      <c r="AJ64" s="49" t="n">
        <f aca="false">AJ43/AJ51*100</f>
        <v>8.87023179412303</v>
      </c>
      <c r="AK64" s="49" t="n">
        <f aca="false">AK43/AK51*100</f>
        <v>5.48874433691189</v>
      </c>
      <c r="AL64" s="49" t="n">
        <f aca="false">AL43/AL51*100</f>
        <v>8.87213157381525</v>
      </c>
      <c r="AM64" s="49" t="n">
        <f aca="false">AM43/AM51*100</f>
        <v>8.20865835307955</v>
      </c>
      <c r="AN64" s="49" t="n">
        <f aca="false">AN43/AN51*100</f>
        <v>5.17337169288811</v>
      </c>
      <c r="AO64" s="49" t="n">
        <f aca="false">AO43/AO51*100</f>
        <v>12.3759388236035</v>
      </c>
      <c r="AP64" s="49" t="n">
        <f aca="false">AP43/AP51*100</f>
        <v>4.25054225807679</v>
      </c>
      <c r="AQ64" s="49" t="n">
        <f aca="false">AQ43/AQ51*100</f>
        <v>14.2611041469655</v>
      </c>
      <c r="AR64" s="49" t="n">
        <f aca="false">AR43/AR51*100</f>
        <v>3.2438889909943</v>
      </c>
      <c r="AS64" s="49" t="n">
        <f aca="false">AS43/AS51*100</f>
        <v>8.43319540724022</v>
      </c>
      <c r="AT64" s="49" t="n">
        <f aca="false">AT43/AT51*100</f>
        <v>8.9013524666094</v>
      </c>
      <c r="AU64" s="49" t="n">
        <f aca="false">AU43/AU51*100</f>
        <v>16.8252066012534</v>
      </c>
      <c r="AV64" s="49" t="n">
        <f aca="false">AV43/AV51*100</f>
        <v>5.76709688722771</v>
      </c>
      <c r="AW64" s="49" t="n">
        <f aca="false">AW43/AW51*100</f>
        <v>4.86146705393246</v>
      </c>
      <c r="AX64" s="49" t="n">
        <f aca="false">AX43/AX51*100</f>
        <v>13.9712038876393</v>
      </c>
      <c r="AZ64" s="49" t="n">
        <f aca="false">AZ43/AZ51*100</f>
        <v>3.55936220673903</v>
      </c>
      <c r="BA64" s="49" t="n">
        <f aca="false">BA43/BA51*100</f>
        <v>23.723640505537</v>
      </c>
      <c r="BB64" s="49" t="n">
        <f aca="false">BB43/BB51*100</f>
        <v>98.4227927578252</v>
      </c>
      <c r="BC64" s="49" t="n">
        <f aca="false">BC43/BC51*100</f>
        <v>48.0737708210611</v>
      </c>
      <c r="BD64" s="49" t="n">
        <f aca="false">BD43/BD51*100</f>
        <v>-35.5043269695682</v>
      </c>
      <c r="BE64" s="49" t="n">
        <f aca="false">BE43/BE51*100</f>
        <v>-7.08745940964938</v>
      </c>
      <c r="BF64" s="49" t="n">
        <f aca="false">BF43/BF51*100</f>
        <v>-44.4898938422334</v>
      </c>
      <c r="BG64" s="49" t="n">
        <f aca="false">BG43/BG51*100</f>
        <v>13.6278407050015</v>
      </c>
      <c r="BH64" s="49" t="n">
        <f aca="false">BH43/BH51*100</f>
        <v>14.308840882199</v>
      </c>
      <c r="BI64" s="49" t="n">
        <f aca="false">BI43/BI51*100</f>
        <v>-14.2053440516667</v>
      </c>
      <c r="BJ64" s="49" t="n">
        <f aca="false">BJ43/BJ51*100</f>
        <v>-47.5724625523699</v>
      </c>
      <c r="BK64" s="49" t="n">
        <f aca="false">BK43/BK51*100</f>
        <v>59.2372410167318</v>
      </c>
      <c r="BL64" s="49" t="n">
        <f aca="false">BL43/BL51*100</f>
        <v>7.58689994272048</v>
      </c>
      <c r="BM64" s="49" t="n">
        <f aca="false">BM43/BM51*100</f>
        <v>14.0391339870299</v>
      </c>
      <c r="BN64" s="49" t="n">
        <f aca="false">BN43/BN51*100</f>
        <v>12.8586686465043</v>
      </c>
      <c r="BO64" s="49" t="n">
        <f aca="false">BO43/BO51*100</f>
        <v>7.35804873384863</v>
      </c>
      <c r="BP64" s="49" t="n">
        <f aca="false">BP43/BP51*100</f>
        <v>4.34471805460434</v>
      </c>
      <c r="BQ64" s="49" t="n">
        <f aca="false">BQ43/BQ51*100</f>
        <v>11.4575063286417</v>
      </c>
      <c r="BR64" s="49" t="n">
        <f aca="false">BR43/BR51*100</f>
        <v>7.72999331840664</v>
      </c>
      <c r="BS64" s="49" t="n">
        <f aca="false">BS43/BS51*100</f>
        <v>8.85305598752805</v>
      </c>
      <c r="BT64" s="49" t="n">
        <f aca="false">BT43/BT51*100</f>
        <v>3.68950343553273</v>
      </c>
      <c r="BU64" s="49" t="n">
        <f aca="false">BU43/BU51*100</f>
        <v>18.9175824849968</v>
      </c>
      <c r="BV64" s="49" t="n">
        <f aca="false">BV43/BV51*100</f>
        <v>4.9263289421993</v>
      </c>
      <c r="BW64" s="49" t="n">
        <f aca="false">BW43/BW51*100</f>
        <v>5.76638639164565</v>
      </c>
      <c r="BX64" s="49" t="n">
        <f aca="false">BX43/BX51*100</f>
        <v>2.20806052946848</v>
      </c>
      <c r="BY64" s="49" t="n">
        <f aca="false">BY43/BY51*100</f>
        <v>17.846271294668</v>
      </c>
      <c r="BZ64" s="49" t="n">
        <f aca="false">BZ43/BZ51*100</f>
        <v>7.75207565311026</v>
      </c>
      <c r="CA64" s="49" t="n">
        <f aca="false">CA43/CA51*100</f>
        <v>7.00239676878428</v>
      </c>
      <c r="CB64" s="49" t="n">
        <f aca="false">CB43/CB51*100</f>
        <v>5.80768871554462</v>
      </c>
      <c r="CC64" s="49" t="n">
        <f aca="false">CC43/CC51*100</f>
        <v>11.1576649325392</v>
      </c>
      <c r="CE64" s="49" t="n">
        <f aca="false">CE43/CE51*100</f>
        <v>0</v>
      </c>
      <c r="CF64" s="36"/>
      <c r="CG64" s="49" t="n">
        <f aca="false">CG43/CG51*100</f>
        <v>8.05235551263279</v>
      </c>
      <c r="CI64" s="36"/>
      <c r="CJ64" s="49" t="n">
        <f aca="false">CJ43/CJ51*100</f>
        <v>4.57756864006858</v>
      </c>
      <c r="CK64" s="36"/>
      <c r="CL64" s="36"/>
      <c r="CM64" s="36"/>
      <c r="CN64" s="36"/>
    </row>
    <row r="65" customFormat="false" ht="15" hidden="false" customHeight="true" outlineLevel="0" collapsed="false">
      <c r="A65" s="29" t="s">
        <v>291</v>
      </c>
      <c r="B65" s="49" t="n">
        <f aca="false">B46/B33*100</f>
        <v>5.57403835070403</v>
      </c>
      <c r="C65" s="49" t="n">
        <f aca="false">C46/C33*100</f>
        <v>9.56982912395598</v>
      </c>
      <c r="D65" s="49" t="n">
        <f aca="false">D46/D33*100</f>
        <v>7.23399431951366</v>
      </c>
      <c r="E65" s="49" t="n">
        <f aca="false">E46/E33*100</f>
        <v>10.9216573745098</v>
      </c>
      <c r="F65" s="49" t="n">
        <f aca="false">F46/F33*100</f>
        <v>9.75440329439965</v>
      </c>
      <c r="G65" s="49" t="n">
        <f aca="false">G46/G33*100</f>
        <v>8.97010758098472</v>
      </c>
      <c r="H65" s="49" t="n">
        <f aca="false">H46/H33*100</f>
        <v>5.30349740045237</v>
      </c>
      <c r="I65" s="49" t="n">
        <f aca="false">I46/I33*100</f>
        <v>9.23787254574921</v>
      </c>
      <c r="J65" s="49" t="n">
        <f aca="false">J46/J33*100</f>
        <v>4.0641396668433</v>
      </c>
      <c r="K65" s="49" t="n">
        <f aca="false">K46/K33*100</f>
        <v>7.94312734591675</v>
      </c>
      <c r="L65" s="49" t="n">
        <f aca="false">L46/L33*100</f>
        <v>9.24534545958603</v>
      </c>
      <c r="M65" s="49" t="n">
        <f aca="false">M46/M33*100</f>
        <v>9.67505069075718</v>
      </c>
      <c r="N65" s="49" t="n">
        <f aca="false">N46/N33*100</f>
        <v>10.6006936912218</v>
      </c>
      <c r="O65" s="49" t="n">
        <f aca="false">O46/O33*100</f>
        <v>11.5039823054206</v>
      </c>
      <c r="P65" s="49" t="n">
        <f aca="false">P46/P33*100</f>
        <v>8.58572053610315</v>
      </c>
      <c r="Q65" s="49" t="n">
        <f aca="false">Q46/Q33*100</f>
        <v>8.84200475192887</v>
      </c>
      <c r="R65" s="49" t="n">
        <f aca="false">R46/R33*100</f>
        <v>8.89224854833678</v>
      </c>
      <c r="S65" s="49" t="n">
        <f aca="false">S46/S33*100</f>
        <v>9.05477715698343</v>
      </c>
      <c r="T65" s="49" t="n">
        <f aca="false">T46/T33*100</f>
        <v>7.74136633550664</v>
      </c>
      <c r="U65" s="49" t="n">
        <f aca="false">U46/U33*100</f>
        <v>9.24922534996321</v>
      </c>
      <c r="V65" s="49" t="n">
        <f aca="false">V46/V33*100</f>
        <v>6.70072802637645</v>
      </c>
      <c r="W65" s="49" t="n">
        <f aca="false">W46/W33*100</f>
        <v>2.1356406667515</v>
      </c>
      <c r="X65" s="49" t="n">
        <f aca="false">X46/X33*100</f>
        <v>1.40301072055583</v>
      </c>
      <c r="Y65" s="49" t="n">
        <f aca="false">Y46/Y33*100</f>
        <v>-0.0877956263709921</v>
      </c>
      <c r="Z65" s="49" t="n">
        <f aca="false">Z46/Z33*100</f>
        <v>-84.2149738042927</v>
      </c>
      <c r="AA65" s="49" t="n">
        <f aca="false">AA46/AA33*100</f>
        <v>-5.50310585282277</v>
      </c>
      <c r="AB65" s="49" t="n">
        <f aca="false">AB46/AB33*100</f>
        <v>0.577125631815471</v>
      </c>
      <c r="AC65" s="49" t="n">
        <f aca="false">AC46/AC33*100</f>
        <v>3.95100914364565</v>
      </c>
      <c r="AD65" s="49" t="n">
        <f aca="false">AD46/AD33*100</f>
        <v>-12.9085493342912</v>
      </c>
      <c r="AE65" s="49" t="n">
        <f aca="false">AE46/AE33*100</f>
        <v>-2.59609452987428</v>
      </c>
      <c r="AF65" s="49" t="n">
        <f aca="false">AF46/AF33*100</f>
        <v>-0.270091560135567</v>
      </c>
      <c r="AG65" s="49" t="n">
        <f aca="false">AG46/AG33*100</f>
        <v>6.0426861414706</v>
      </c>
      <c r="AH65" s="49" t="n">
        <f aca="false">AH46/AH33*100</f>
        <v>1.31028610590003</v>
      </c>
      <c r="AI65" s="49" t="n">
        <f aca="false">AI46/AI33*100</f>
        <v>3.67156830128418</v>
      </c>
      <c r="AJ65" s="49" t="n">
        <f aca="false">AJ46/AJ33*100</f>
        <v>6.19712569783834</v>
      </c>
      <c r="AK65" s="49" t="n">
        <f aca="false">AK46/AK33*100</f>
        <v>9.18725544420234</v>
      </c>
      <c r="AL65" s="49" t="n">
        <f aca="false">AL46/AL33*100</f>
        <v>7.60383378778869</v>
      </c>
      <c r="AM65" s="49" t="n">
        <f aca="false">AM46/AM33*100</f>
        <v>9.21608542815759</v>
      </c>
      <c r="AN65" s="49" t="n">
        <f aca="false">AN46/AN33*100</f>
        <v>9.7472126094979</v>
      </c>
      <c r="AO65" s="49" t="n">
        <f aca="false">AO46/AO33*100</f>
        <v>13.0569847932268</v>
      </c>
      <c r="AP65" s="49" t="n">
        <f aca="false">AP46/AP33*100</f>
        <v>8.15767346278957</v>
      </c>
      <c r="AQ65" s="49" t="n">
        <f aca="false">AQ46/AQ33*100</f>
        <v>10.0178701149412</v>
      </c>
      <c r="AR65" s="49" t="n">
        <f aca="false">AR46/AR33*100</f>
        <v>10.4840658024807</v>
      </c>
      <c r="AS65" s="49" t="n">
        <f aca="false">AS46/AS33*100</f>
        <v>14.033431569258</v>
      </c>
      <c r="AT65" s="49" t="n">
        <f aca="false">AT46/AT33*100</f>
        <v>9.14355075528597</v>
      </c>
      <c r="AU65" s="49" t="n">
        <f aca="false">AU46/AU33*100</f>
        <v>11.2916111295366</v>
      </c>
      <c r="AV65" s="49" t="n">
        <f aca="false">AV46/AV33*100</f>
        <v>11.9039175990671</v>
      </c>
      <c r="AW65" s="49" t="n">
        <f aca="false">AW46/AW33*100</f>
        <v>13.4820899559267</v>
      </c>
      <c r="AX65" s="49" t="n">
        <f aca="false">AX46/AX33*100</f>
        <v>8.61687607363237</v>
      </c>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E65" s="49" t="n">
        <f aca="false">CE46/CE33*100</f>
        <v>9.30117454945012</v>
      </c>
      <c r="CF65" s="36"/>
      <c r="CG65" s="36"/>
      <c r="CI65" s="36"/>
      <c r="CJ65" s="36"/>
      <c r="CK65" s="36"/>
      <c r="CL65" s="36"/>
      <c r="CM65" s="36"/>
      <c r="CN65" s="36"/>
    </row>
    <row r="66" customFormat="false" ht="15" hidden="false" customHeight="true" outlineLevel="0" collapsed="false">
      <c r="A66" s="29" t="s">
        <v>292</v>
      </c>
      <c r="B66" s="49" t="n">
        <f aca="false">B49/(B46+B47+B48)*100</f>
        <v>33.2418714587206</v>
      </c>
      <c r="C66" s="49" t="n">
        <f aca="false">C49/(C46+C47+C48)*100</f>
        <v>23.1107869590066</v>
      </c>
      <c r="D66" s="49" t="n">
        <f aca="false">D49/(D46+D47+D48)*100</f>
        <v>26.0712675829195</v>
      </c>
      <c r="E66" s="49" t="n">
        <f aca="false">E49/(E46+E47+E48)*100</f>
        <v>10.7197115544063</v>
      </c>
      <c r="F66" s="49" t="n">
        <f aca="false">F49/(F46+F47+F48)*100</f>
        <v>30.0030523002501</v>
      </c>
      <c r="G66" s="49" t="n">
        <f aca="false">G49/(G46+G47+G48)*100</f>
        <v>28.9953472308644</v>
      </c>
      <c r="H66" s="49" t="n">
        <f aca="false">H49/(H46+H47+H48)*100</f>
        <v>32.4836100034611</v>
      </c>
      <c r="I66" s="49" t="n">
        <f aca="false">I49/(I46+I47+I48)*100</f>
        <v>8.42319963719419</v>
      </c>
      <c r="J66" s="49" t="n">
        <f aca="false">J49/(J46+J47-J48)*100</f>
        <v>30.6841330266625</v>
      </c>
      <c r="K66" s="49" t="n">
        <f aca="false">K49/(K46+K47-K48)*100</f>
        <v>30.7455970602592</v>
      </c>
      <c r="L66" s="49" t="n">
        <f aca="false">L49/(L46+L47-L48)*100</f>
        <v>31.6172584120953</v>
      </c>
      <c r="M66" s="49" t="n">
        <f aca="false">M49/(M46+M47-M48)*100</f>
        <v>30.013423981293</v>
      </c>
      <c r="N66" s="49" t="n">
        <f aca="false">N49/(N46+N47-N48)*100</f>
        <v>28.2341993063914</v>
      </c>
      <c r="O66" s="49" t="n">
        <f aca="false">O49/(O46+O47-O48)*100</f>
        <v>26.1055039029484</v>
      </c>
      <c r="P66" s="49" t="n">
        <f aca="false">P49/(P46+P47-P48)*100</f>
        <v>29.0938368722448</v>
      </c>
      <c r="Q66" s="49" t="n">
        <f aca="false">Q49/(Q46+Q47-Q48)*100</f>
        <v>21.3318158071498</v>
      </c>
      <c r="R66" s="49" t="n">
        <f aca="false">R49/(R46+R47-R48)*100</f>
        <v>30.4276531410248</v>
      </c>
      <c r="S66" s="49" t="n">
        <f aca="false">S49/(S46+S47-S48)*100</f>
        <v>21.3267740011926</v>
      </c>
      <c r="T66" s="49" t="n">
        <f aca="false">T49/(T46+T47-T48)*100</f>
        <v>21.2440804847281</v>
      </c>
      <c r="U66" s="49" t="n">
        <f aca="false">U49/(U46+U47-U48)*100</f>
        <v>19.0310860912371</v>
      </c>
      <c r="V66" s="49" t="n">
        <f aca="false">V49/(V46+V47-V48)*100</f>
        <v>36.1811831235793</v>
      </c>
      <c r="W66" s="49" t="n">
        <f aca="false">W49/(W46+W47+W48)*100</f>
        <v>-13.2858199421771</v>
      </c>
      <c r="X66" s="49" t="n">
        <f aca="false">X49/(X46+X47+X48)*100</f>
        <v>45.15467441463</v>
      </c>
      <c r="Y66" s="49" t="n">
        <f aca="false">Y49/(Y46+Y47+Y48)*100</f>
        <v>-22.6132190942472</v>
      </c>
      <c r="Z66" s="49" t="n">
        <f aca="false">Z49/(Z46+Z47+Z48)*100</f>
        <v>29.4623577206017</v>
      </c>
      <c r="AA66" s="49" t="n">
        <f aca="false">AA49/(AA46+AA47+AA48)*100</f>
        <v>7.20854922279793</v>
      </c>
      <c r="AB66" s="49" t="n">
        <f aca="false">AB49/(AB46+AB47+AB48)*100</f>
        <v>1.53095786478795</v>
      </c>
      <c r="AC66" s="49" t="n">
        <f aca="false">AC49/(AC46+AC47+AC48)*100</f>
        <v>30.4171543220198</v>
      </c>
      <c r="AD66" s="49" t="n">
        <f aca="false">AD49/(AD46+AD47+AD48)*100</f>
        <v>26.4522083058668</v>
      </c>
      <c r="AE66" s="49" t="n">
        <f aca="false">AE49/(AE46+AE47+AE48)*100</f>
        <v>28.0182821662641</v>
      </c>
      <c r="AF66" s="49" t="n">
        <f aca="false">AF49/(AF46+AF47+AF48)*100</f>
        <v>-37.4056520975953</v>
      </c>
      <c r="AG66" s="49" t="n">
        <f aca="false">AG49/(AG46+AG47+AG48)*100</f>
        <v>167.349045243422</v>
      </c>
      <c r="AH66" s="49" t="n">
        <f aca="false">AH49/(AH46+AH47+AH48)*100</f>
        <v>48.5115766262402</v>
      </c>
      <c r="AI66" s="49" t="n">
        <f aca="false">AI49/(AI46+AI47+AI48)*100</f>
        <v>38.0715301767934</v>
      </c>
      <c r="AJ66" s="49" t="n">
        <f aca="false">AJ49/(AJ46+AJ47+AJ48)*100</f>
        <v>37.127243775333</v>
      </c>
      <c r="AK66" s="49" t="n">
        <f aca="false">AK49/(AK46+AK47+AK48)*100</f>
        <v>36.8803439924876</v>
      </c>
      <c r="AL66" s="49" t="n">
        <f aca="false">AL49/(AL46+AL47+AL48)*100</f>
        <v>7.33045612796612</v>
      </c>
      <c r="AM66" s="49" t="n">
        <f aca="false">AM49/(AM46+AM47+AM48)*100</f>
        <v>33.4046733177483</v>
      </c>
      <c r="AN66" s="49" t="n">
        <f aca="false">AN49/(AN46+AN47+AN48)*100</f>
        <v>35.7388468129802</v>
      </c>
      <c r="AO66" s="49" t="n">
        <f aca="false">AO49/(AO46+AO47+AO48)*100</f>
        <v>32.5179295797501</v>
      </c>
      <c r="AP66" s="49" t="n">
        <f aca="false">AP49/(AP46+AP47+AP48)*100</f>
        <v>25.0712819343066</v>
      </c>
      <c r="AQ66" s="49" t="n">
        <f aca="false">AQ49/(AQ46+AQ47+AQ48)*100</f>
        <v>29.6595582535115</v>
      </c>
      <c r="AR66" s="49" t="n">
        <f aca="false">AR49/(AR46+AR47+AR48)*100</f>
        <v>23.3469182389937</v>
      </c>
      <c r="AS66" s="49" t="n">
        <f aca="false">AS49/(AS46+AS47+AS48)*100</f>
        <v>24.4216625014099</v>
      </c>
      <c r="AT66" s="49" t="n">
        <f aca="false">AT49/(AT46+AT47+AT48)*100</f>
        <v>25.5725621450867</v>
      </c>
      <c r="AU66" s="49" t="n">
        <f aca="false">AU49/(AU46+AU47+AU48)*100</f>
        <v>24.1925427110613</v>
      </c>
      <c r="AV66" s="49" t="n">
        <f aca="false">AV49/(AV46+AV47+AV48)*100</f>
        <v>15.9670762313704</v>
      </c>
      <c r="AW66" s="49" t="n">
        <f aca="false">AW49/(AW46+AW47+AW48)*100</f>
        <v>26.4209351903747</v>
      </c>
      <c r="AX66" s="49" t="n">
        <f aca="false">AX49/(AX46+AX47+AX48)*100</f>
        <v>26.6291647594498</v>
      </c>
      <c r="AZ66" s="49" t="n">
        <f aca="false">AZ49/(AZ46+AZ47+AZ48)*100</f>
        <v>25</v>
      </c>
      <c r="BA66" s="49" t="n">
        <f aca="false">BA49/(BA46+BA47+BA48)*100</f>
        <v>25</v>
      </c>
      <c r="BB66" s="49" t="n">
        <f aca="false">BB49/(BB46+BB47+BB48)*100</f>
        <v>24</v>
      </c>
      <c r="BC66" s="49" t="n">
        <f aca="false">BC49/(BC46+BC47+BC48)*100</f>
        <v>20</v>
      </c>
      <c r="BD66" s="49" t="n">
        <f aca="false">BD49/(BD46+BD47+BD48)*100</f>
        <v>30.890559811074</v>
      </c>
      <c r="BE66" s="49" t="n">
        <f aca="false">BE49/(BE46+BE47+BE48)*100</f>
        <v>30</v>
      </c>
      <c r="BF66" s="49" t="n">
        <f aca="false">BF49/(BF46+BF47+BF48)*100</f>
        <v>30</v>
      </c>
      <c r="BG66" s="49" t="n">
        <f aca="false">BG49/(BG46+BG47+BG48)*100</f>
        <v>30</v>
      </c>
      <c r="BH66" s="49" t="n">
        <f aca="false">BH49/(BH46+BH47+BH48)*100</f>
        <v>30</v>
      </c>
      <c r="BI66" s="49" t="n">
        <f aca="false">BI49/(BI46+BI47+BI48)*100</f>
        <v>30</v>
      </c>
      <c r="BJ66" s="49" t="n">
        <f aca="false">BJ49/(BJ46+BJ47+BJ48)*100</f>
        <v>30</v>
      </c>
      <c r="BK66" s="49" t="n">
        <f aca="false">BK49/(BK46+BK47+BK48)*100</f>
        <v>30</v>
      </c>
      <c r="BL66" s="49" t="n">
        <f aca="false">BL49/(BL46+BL47+BL48)*100</f>
        <v>30</v>
      </c>
      <c r="BM66" s="49" t="n">
        <f aca="false">BM49/(BM46+BM47+BM48)*100</f>
        <v>30</v>
      </c>
      <c r="BN66" s="49" t="n">
        <f aca="false">BN49/(BN46+BN47+BN48)*100</f>
        <v>30</v>
      </c>
      <c r="BO66" s="49" t="n">
        <f aca="false">BO49/(BO46+BO47+BO48)*100</f>
        <v>30</v>
      </c>
      <c r="BP66" s="49" t="n">
        <f aca="false">BP49/(BP46+BP47+BP48)*100</f>
        <v>30</v>
      </c>
      <c r="BQ66" s="49" t="n">
        <f aca="false">BQ49/(BQ46+BQ47+BQ48)*100</f>
        <v>30</v>
      </c>
      <c r="BR66" s="49" t="n">
        <f aca="false">BR49/(BR46+BR47+BR48)*100</f>
        <v>30</v>
      </c>
      <c r="BS66" s="49" t="n">
        <f aca="false">BS49/(BS46+BS47+BS48)*100</f>
        <v>30</v>
      </c>
      <c r="BT66" s="49" t="n">
        <f aca="false">BT49/(BT46+BT47+BT48)*100</f>
        <v>30</v>
      </c>
      <c r="BU66" s="49" t="n">
        <f aca="false">BU49/(BU46+BU47+BU48)*100</f>
        <v>30</v>
      </c>
      <c r="BV66" s="49" t="n">
        <f aca="false">BV49/(BV46+BV47+BV48)*100</f>
        <v>30</v>
      </c>
      <c r="BW66" s="49" t="n">
        <f aca="false">BW49/(BW46+BW47+BW48)*100</f>
        <v>30</v>
      </c>
      <c r="BX66" s="49" t="n">
        <f aca="false">BX49/(BX46+BX47+BX48)*100</f>
        <v>25</v>
      </c>
      <c r="BY66" s="49" t="n">
        <f aca="false">BY49/(BY46+BY47+BY48)*100</f>
        <v>30</v>
      </c>
      <c r="BZ66" s="49" t="n">
        <f aca="false">BZ49/(BZ46+BZ47+BZ48)*100</f>
        <v>30</v>
      </c>
      <c r="CA66" s="49" t="n">
        <f aca="false">CA49/(CA46+CA47+CA48)*100</f>
        <v>25</v>
      </c>
      <c r="CB66" s="49" t="n">
        <f aca="false">CB49/(CB46+CB47+CB48)*100</f>
        <v>25</v>
      </c>
      <c r="CC66" s="49" t="n">
        <f aca="false">CC49/(CC46+CC47+CC48)*100</f>
        <v>25</v>
      </c>
      <c r="CE66" s="49" t="n">
        <f aca="false">CE49/(CE46+CE47+CE48)*100</f>
        <v>16.9578367774901</v>
      </c>
      <c r="CF66" s="36"/>
      <c r="CG66" s="36"/>
      <c r="CI66" s="36"/>
      <c r="CJ66" s="36"/>
      <c r="CK66" s="36"/>
      <c r="CL66" s="36"/>
      <c r="CM66" s="36"/>
      <c r="CN66" s="36"/>
    </row>
    <row r="67" customFormat="false" ht="15" hidden="false" customHeight="true" outlineLevel="0" collapsed="false">
      <c r="A67" s="29" t="s">
        <v>907</v>
      </c>
      <c r="B67" s="49" t="n">
        <f aca="false">B51/B33*100</f>
        <v>4.03140357253119</v>
      </c>
      <c r="C67" s="49" t="n">
        <f aca="false">C51/C33*100</f>
        <v>6.02022656456115</v>
      </c>
      <c r="D67" s="49" t="n">
        <f aca="false">D51/D33*100</f>
        <v>5.31631302244554</v>
      </c>
      <c r="E67" s="49" t="n">
        <f aca="false">E51/E33*100</f>
        <v>8.03010877483069</v>
      </c>
      <c r="F67" s="49" t="n">
        <f aca="false">F51/F33*100</f>
        <v>5.66148568587825</v>
      </c>
      <c r="G67" s="49" t="n">
        <f aca="false">G51/G33*100</f>
        <v>6.22709674946129</v>
      </c>
      <c r="H67" s="49" t="n">
        <f aca="false">H51/H33*100</f>
        <v>4.99140244844557</v>
      </c>
      <c r="I67" s="49" t="n">
        <f aca="false">I51/I33*100</f>
        <v>7.25525580286585</v>
      </c>
      <c r="J67" s="49" t="n">
        <f aca="false">J51/J33*100</f>
        <v>2.86305783652114</v>
      </c>
      <c r="K67" s="49" t="n">
        <f aca="false">K51/K33*100</f>
        <v>5.53141050616876</v>
      </c>
      <c r="L67" s="49" t="n">
        <f aca="false">L51/L33*100</f>
        <v>6.32413179961315</v>
      </c>
      <c r="M67" s="49" t="n">
        <f aca="false">M51/M33*100</f>
        <v>6.79665009887827</v>
      </c>
      <c r="N67" s="49" t="n">
        <f aca="false">N51/N33*100</f>
        <v>7.54039189096918</v>
      </c>
      <c r="O67" s="49" t="n">
        <f aca="false">O51/O33*100</f>
        <v>8.44456036327645</v>
      </c>
      <c r="P67" s="49" t="n">
        <f aca="false">P51/P33*100</f>
        <v>6.15595600689867</v>
      </c>
      <c r="Q67" s="49" t="n">
        <f aca="false">Q51/Q33*100</f>
        <v>6.97246563793367</v>
      </c>
      <c r="R67" s="49" t="n">
        <f aca="false">R51/R33*100</f>
        <v>6.25030946124585</v>
      </c>
      <c r="S67" s="49" t="n">
        <f aca="false">S51/S33*100</f>
        <v>7.08366027822903</v>
      </c>
      <c r="T67" s="49" t="n">
        <f aca="false">T51/T33*100</f>
        <v>6.09875672701748</v>
      </c>
      <c r="U67" s="49" t="n">
        <f aca="false">U51/U33*100</f>
        <v>7.47423956554032</v>
      </c>
      <c r="V67" s="49" t="n">
        <f aca="false">V51/V33*100</f>
        <v>4.29808264102213</v>
      </c>
      <c r="W67" s="49" t="n">
        <f aca="false">W51/W33*100</f>
        <v>2.22617381346228</v>
      </c>
      <c r="X67" s="49" t="n">
        <f aca="false">X51/X33*100</f>
        <v>0.728873283279171</v>
      </c>
      <c r="Y67" s="49" t="n">
        <f aca="false">Y51/Y33*100</f>
        <v>-0.150385831817968</v>
      </c>
      <c r="Z67" s="49" t="n">
        <f aca="false">Z51/Z33*100</f>
        <v>-59.5429962972637</v>
      </c>
      <c r="AA67" s="49" t="n">
        <f aca="false">AA51/AA33*100</f>
        <v>-5.12571476919389</v>
      </c>
      <c r="AB67" s="49" t="n">
        <f aca="false">AB51/AB33*100</f>
        <v>0.314583329005255</v>
      </c>
      <c r="AC67" s="49" t="n">
        <f aca="false">AC51/AC33*100</f>
        <v>3.04489400027711</v>
      </c>
      <c r="AD67" s="49" t="n">
        <f aca="false">AD51/AD33*100</f>
        <v>-9.5232447415952</v>
      </c>
      <c r="AE67" s="49" t="n">
        <f aca="false">AE51/AE33*100</f>
        <v>-1.86597799387598</v>
      </c>
      <c r="AF67" s="49" t="n">
        <f aca="false">AF51/AF33*100</f>
        <v>-0.465298202761977</v>
      </c>
      <c r="AG67" s="49" t="n">
        <f aca="false">AG51/AG33*100</f>
        <v>6.27466609638975</v>
      </c>
      <c r="AH67" s="49" t="n">
        <f aca="false">AH51/AH33*100</f>
        <v>0.807056771219121</v>
      </c>
      <c r="AI67" s="49" t="n">
        <f aca="false">AI51/AI33*100</f>
        <v>2.33654328903513</v>
      </c>
      <c r="AJ67" s="49" t="n">
        <f aca="false">AJ51/AJ33*100</f>
        <v>3.94405332642278</v>
      </c>
      <c r="AK67" s="49" t="n">
        <f aca="false">AK51/AK33*100</f>
        <v>6.09932588831438</v>
      </c>
      <c r="AL67" s="49" t="n">
        <f aca="false">AL51/AL33*100</f>
        <v>7.04410882994741</v>
      </c>
      <c r="AM67" s="49" t="n">
        <f aca="false">AM51/AM33*100</f>
        <v>5.99883378778257</v>
      </c>
      <c r="AN67" s="49" t="n">
        <f aca="false">AN51/AN33*100</f>
        <v>6.25980668628635</v>
      </c>
      <c r="AO67" s="49" t="n">
        <f aca="false">AO51/AO33*100</f>
        <v>8.45550024008827</v>
      </c>
      <c r="AP67" s="49" t="n">
        <f aca="false">AP51/AP33*100</f>
        <v>6.11244014965349</v>
      </c>
      <c r="AQ67" s="49" t="n">
        <f aca="false">AQ51/AQ33*100</f>
        <v>7.77828969201137</v>
      </c>
      <c r="AR67" s="49" t="n">
        <f aca="false">AR51/AR33*100</f>
        <v>8.03635953145326</v>
      </c>
      <c r="AS67" s="49" t="n">
        <f aca="false">AS51/AS33*100</f>
        <v>10.5495766672742</v>
      </c>
      <c r="AT67" s="49" t="n">
        <f aca="false">AT51/AT33*100</f>
        <v>6.80531055612292</v>
      </c>
      <c r="AU67" s="49" t="n">
        <f aca="false">AU51/AU33*100</f>
        <v>8.35466167719003</v>
      </c>
      <c r="AV67" s="49" t="n">
        <f aca="false">AV51/AV33*100</f>
        <v>8.90752003884219</v>
      </c>
      <c r="AW67" s="49" t="n">
        <f aca="false">AW51/AW33*100</f>
        <v>9.91999570636326</v>
      </c>
      <c r="AX67" s="49" t="n">
        <f aca="false">AX51/AX33*100</f>
        <v>6.3222739468672</v>
      </c>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E67" s="49" t="n">
        <f aca="false">CE51/CE33*100</f>
        <v>6.99388624695469</v>
      </c>
      <c r="CF67" s="36"/>
      <c r="CG67" s="36"/>
      <c r="CI67" s="36"/>
      <c r="CJ67" s="36"/>
      <c r="CK67" s="36"/>
      <c r="CL67" s="36"/>
      <c r="CM67" s="36"/>
      <c r="CN67" s="36"/>
    </row>
    <row r="69" customFormat="false" ht="15" hidden="false" customHeight="true" outlineLevel="0" collapsed="false">
      <c r="A69" s="38" t="s">
        <v>908</v>
      </c>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7"/>
      <c r="BO69" s="117"/>
      <c r="BP69" s="117"/>
      <c r="BQ69" s="117"/>
      <c r="BR69" s="117"/>
      <c r="BS69" s="117"/>
      <c r="BT69" s="117"/>
      <c r="BU69" s="117"/>
      <c r="BV69" s="117"/>
      <c r="BW69" s="117"/>
      <c r="BX69" s="117"/>
      <c r="BY69" s="117"/>
      <c r="BZ69" s="117"/>
      <c r="CA69" s="117"/>
      <c r="CB69" s="117"/>
      <c r="CC69" s="117"/>
      <c r="CD69" s="117"/>
      <c r="CE69" s="117"/>
      <c r="CF69" s="117"/>
      <c r="CG69" s="117"/>
      <c r="CH69" s="117"/>
      <c r="CI69" s="117"/>
      <c r="CJ69" s="117"/>
      <c r="CK69" s="117"/>
      <c r="CL69" s="117"/>
      <c r="CM69" s="117"/>
      <c r="CN69" s="117"/>
    </row>
    <row r="70" customFormat="false" ht="15" hidden="false" customHeight="true" outlineLevel="0" collapsed="false">
      <c r="A70" s="29" t="s">
        <v>909</v>
      </c>
      <c r="B70" s="30"/>
      <c r="C70" s="30"/>
      <c r="D70" s="30"/>
      <c r="E70" s="30"/>
      <c r="F70" s="30"/>
      <c r="G70" s="30"/>
      <c r="H70" s="30"/>
      <c r="I70" s="30"/>
      <c r="J70" s="30"/>
      <c r="K70" s="30"/>
      <c r="L70" s="30"/>
      <c r="M70" s="30"/>
      <c r="N70" s="30"/>
      <c r="O70" s="30"/>
      <c r="P70" s="30"/>
      <c r="Q70" s="30"/>
      <c r="R70" s="30"/>
      <c r="S70" s="30"/>
      <c r="T70" s="30"/>
      <c r="U70" s="30"/>
      <c r="V70" s="31" t="n">
        <f aca="false">+(V34+V35)/V11*1000000</f>
        <v>1003246.81882448</v>
      </c>
      <c r="W70" s="31" t="n">
        <f aca="false">+(W34+W35)/W11*1000000</f>
        <v>937625.267813947</v>
      </c>
      <c r="X70" s="31" t="n">
        <f aca="false">+(X34+X35)/X11*1000000</f>
        <v>946548.076923077</v>
      </c>
      <c r="Y70" s="31" t="n">
        <f aca="false">+(Y34+Y35)/Y11*1000000</f>
        <v>1069886.69776924</v>
      </c>
      <c r="Z70" s="31" t="n">
        <f aca="false">+(Z34+Z35)/Z11*1000000</f>
        <v>1094520.18877819</v>
      </c>
      <c r="AA70" s="31" t="n">
        <f aca="false">+(AA34+AA35)/AA11*1000000</f>
        <v>1038911.74655421</v>
      </c>
      <c r="AB70" s="31" t="n">
        <f aca="false">+(AB34+AB35)/AB11*1000000</f>
        <v>1072256.80933852</v>
      </c>
      <c r="AC70" s="31" t="n">
        <f aca="false">+(AC34+AC35)/AC11*1000000</f>
        <v>1221831.59328189</v>
      </c>
      <c r="AD70" s="31" t="n">
        <f aca="false">+(AD34+AD35)/AD11*1000000</f>
        <v>1216017.12347807</v>
      </c>
      <c r="AE70" s="31" t="n">
        <f aca="false">+(AE34+AE35)/AE11*1000000</f>
        <v>1241164.72424936</v>
      </c>
      <c r="AF70" s="31" t="n">
        <f aca="false">+(AF34+AF35)/AF11*1000000</f>
        <v>1265695.33703084</v>
      </c>
      <c r="AG70" s="31" t="n">
        <f aca="false">+(AG34+AG35)/AG11*1000000</f>
        <v>1404415.11525278</v>
      </c>
      <c r="AH70" s="31" t="n">
        <f aca="false">+(AH34+AH35)/AH11*1000000</f>
        <v>1444616.78141787</v>
      </c>
      <c r="AI70" s="31" t="n">
        <f aca="false">+(AI34+AI35)/AI11*1000000</f>
        <v>1423243.18357435</v>
      </c>
      <c r="AJ70" s="31" t="n">
        <f aca="false">+(AJ34+AJ35)/AJ11*1000000</f>
        <v>1447762.91997813</v>
      </c>
      <c r="AK70" s="31" t="n">
        <f aca="false">+(AK34+AK35)/AK11*1000000</f>
        <v>1472213.00902893</v>
      </c>
      <c r="AL70" s="31" t="n">
        <f aca="false">+(AL34+AL35)/AL11*1000000</f>
        <v>1460753.95001089</v>
      </c>
      <c r="AM70" s="31" t="n">
        <f aca="false">+(AM34+AM35)/AM11*1000000</f>
        <v>1421688.80150865</v>
      </c>
      <c r="AN70" s="31" t="n">
        <f aca="false">+(AN34+AN35)/AN11*1000000</f>
        <v>1417781.16466629</v>
      </c>
      <c r="AO70" s="31" t="n">
        <f aca="false">+(AO34+AO35)/AO11*1000000</f>
        <v>1437837.88586966</v>
      </c>
      <c r="AP70" s="31" t="n">
        <f aca="false">+(AP34+AP35)/AP11*1000000</f>
        <v>1413583.03146288</v>
      </c>
      <c r="AQ70" s="31" t="n">
        <f aca="false">+(AQ34+AQ35)/AQ11*1000000</f>
        <v>1367929.16009118</v>
      </c>
      <c r="AR70" s="31" t="n">
        <f aca="false">+(AR34+AR35)/AR11*1000000</f>
        <v>1459848.28894061</v>
      </c>
      <c r="AS70" s="31" t="n">
        <f aca="false">+(AS34+AS35)/AS11*1000000</f>
        <v>1419970.9341625</v>
      </c>
      <c r="AT70" s="31" t="n">
        <f aca="false">+(AT34+AT35)/AT11*1000000</f>
        <v>1393107.73543108</v>
      </c>
      <c r="AU70" s="31" t="n">
        <f aca="false">+(AU34+AU35)/AU11*1000000</f>
        <v>1389300.83883052</v>
      </c>
      <c r="AV70" s="31" t="n">
        <f aca="false">+(AV34+AV35)/AV11*1000000</f>
        <v>1444737.52711497</v>
      </c>
      <c r="AW70" s="31" t="n">
        <f aca="false">+(AW34+AW35)/AW11*1000000</f>
        <v>1454882.08701661</v>
      </c>
      <c r="AX70" s="31" t="n">
        <f aca="false">+(AX34+AX35)/AX11*1000000</f>
        <v>1413446.67063142</v>
      </c>
      <c r="AZ70" s="30"/>
      <c r="BA70" s="30"/>
      <c r="BB70" s="30"/>
      <c r="BC70" s="31" t="n">
        <f aca="false">+(BC34+BC35)/BC11*1000000</f>
        <v>918825.134770889</v>
      </c>
      <c r="BD70" s="31" t="n">
        <f aca="false">+(BD34+BD35)/BD11*1000000</f>
        <v>948568.605769231</v>
      </c>
      <c r="BE70" s="31" t="n">
        <f aca="false">+(BE34+BE35)/BE11*1000000</f>
        <v>1175299.82357784</v>
      </c>
      <c r="BF70" s="31" t="n">
        <f aca="false">+(BF34+BF35)/BF11*1000000</f>
        <v>1102417.46198217</v>
      </c>
      <c r="BG70" s="31" t="n">
        <f aca="false">+(BG34+BG35)/BG11*1000000</f>
        <v>1084797.82349311</v>
      </c>
      <c r="BH70" s="31" t="n">
        <f aca="false">+(BH34+BH35)/BH11*1000000</f>
        <v>1119382.39883268</v>
      </c>
      <c r="BI70" s="31" t="n">
        <f aca="false">+(BI34+BI35)/BI11*1000000</f>
        <v>1154699.52507944</v>
      </c>
      <c r="BJ70" s="31" t="n">
        <f aca="false">+(BJ34+BJ35)/BJ11*1000000</f>
        <v>1245036.57708345</v>
      </c>
      <c r="BK70" s="31" t="n">
        <f aca="false">+(BK34+BK35)/BK11*1000000</f>
        <v>1286970.92037904</v>
      </c>
      <c r="BL70" s="31" t="n">
        <f aca="false">+(BL34+BL35)/BL11*1000000</f>
        <v>1330065.95827097</v>
      </c>
      <c r="BM70" s="31" t="n">
        <f aca="false">+(BM34+BM35)/BM11*1000000</f>
        <v>1417925.06003818</v>
      </c>
      <c r="BN70" s="31" t="n">
        <f aca="false">+(BN34+BN35)/BN11*1000000</f>
        <v>1448094.80763411</v>
      </c>
      <c r="BO70" s="31" t="n">
        <f aca="false">+(BO34+BO35)/BO11*1000000</f>
        <v>1432694.71161276</v>
      </c>
      <c r="BP70" s="31" t="n">
        <f aca="false">+(BP34+BP35)/BP11*1000000</f>
        <v>1460178.24952693</v>
      </c>
      <c r="BQ70" s="31" t="n">
        <f aca="false">+(BQ34+BQ35)/BQ11*1000000</f>
        <v>1464479.59528955</v>
      </c>
      <c r="BR70" s="31" t="n">
        <f aca="false">+(BR34+BR35)/BR11*1000000</f>
        <v>1436974.78961504</v>
      </c>
      <c r="BS70" s="31" t="n">
        <f aca="false">+(BS34+BS35)/BS11*1000000</f>
        <v>1390850.8070457</v>
      </c>
      <c r="BT70" s="31" t="n">
        <f aca="false">+(BT34+BT35)/BT11*1000000</f>
        <v>1440093.09424017</v>
      </c>
      <c r="BU70" s="31" t="n">
        <f aca="false">+(BU34+BU35)/BU11*1000000</f>
        <v>1420665.35548881</v>
      </c>
      <c r="BV70" s="31" t="n">
        <f aca="false">+(BV34+BV35)/BV11*1000000</f>
        <v>1386092.51744014</v>
      </c>
      <c r="BW70" s="31" t="n">
        <f aca="false">+(BW34+BW35)/BW11*1000000</f>
        <v>1392876.29083377</v>
      </c>
      <c r="BX70" s="31" t="n">
        <f aca="false">+(BX34+BX35)/BX11*1000000</f>
        <v>1482395.43697742</v>
      </c>
      <c r="BY70" s="31" t="n">
        <f aca="false">+(BY34+BY35)/BY11*1000000</f>
        <v>1405923.77744356</v>
      </c>
      <c r="BZ70" s="31" t="n">
        <f aca="false">+(BZ34+BZ35)/BZ11*1000000</f>
        <v>1395205.7002916</v>
      </c>
      <c r="CA70" s="31" t="n">
        <f aca="false">+(CA34+CA35)/CA11*1000000</f>
        <v>1422668.36440264</v>
      </c>
      <c r="CB70" s="31" t="n">
        <f aca="false">+(CB34+CB35)/CB11*1000000</f>
        <v>1472732.03711063</v>
      </c>
      <c r="CC70" s="31" t="n">
        <f aca="false">+(CC34+CC35)/CC11*1000000</f>
        <v>1477414.24935932</v>
      </c>
      <c r="CE70" s="30"/>
      <c r="CF70" s="30"/>
      <c r="CG70" s="31" t="n">
        <f aca="false">+(CG34+CG35)/CG11*1000000</f>
        <v>1425220.81138829</v>
      </c>
      <c r="CI70" s="30"/>
      <c r="CJ70" s="31" t="n">
        <f aca="false">+(CJ34+CJ35)/CJ11*1000000</f>
        <v>1454882.08701661</v>
      </c>
      <c r="CK70" s="30"/>
      <c r="CL70" s="30"/>
      <c r="CM70" s="30"/>
      <c r="CN70" s="30"/>
    </row>
    <row r="71" customFormat="false" ht="15" hidden="false" customHeight="true" outlineLevel="0" collapsed="false">
      <c r="A71" s="29" t="s">
        <v>910</v>
      </c>
      <c r="B71" s="49" t="n">
        <f aca="false">(B34+B35)/B33*100</f>
        <v>68.429819567242</v>
      </c>
      <c r="C71" s="49" t="n">
        <f aca="false">(C34+C35)/C33*100</f>
        <v>69.6831074922276</v>
      </c>
      <c r="D71" s="49" t="n">
        <f aca="false">(D34+D35)/D33*100</f>
        <v>69.8979607339414</v>
      </c>
      <c r="E71" s="49" t="n">
        <f aca="false">(E34+E35)/E33*100</f>
        <v>70.4184908489829</v>
      </c>
      <c r="F71" s="49" t="n">
        <f aca="false">(F34+F35)/F33*100</f>
        <v>68.6748130012971</v>
      </c>
      <c r="G71" s="49" t="n">
        <f aca="false">(G34+G35)/G33*100</f>
        <v>67.7930764239862</v>
      </c>
      <c r="H71" s="49" t="n">
        <f aca="false">(H34+H35)/H33*100</f>
        <v>69.421062767994</v>
      </c>
      <c r="I71" s="49" t="n">
        <f aca="false">(I34+I35)/I33*100</f>
        <v>71.9315817083077</v>
      </c>
      <c r="J71" s="49" t="n">
        <f aca="false">(J34+J35)/J33*100</f>
        <v>69.0848762667784</v>
      </c>
      <c r="K71" s="49" t="n">
        <f aca="false">(K34+K35)/K33*100</f>
        <v>70.8311120967122</v>
      </c>
      <c r="L71" s="49" t="n">
        <f aca="false">(L34+L35)/L33*100</f>
        <v>71.4420759712769</v>
      </c>
      <c r="M71" s="49" t="n">
        <f aca="false">(M34+M35)/M33*100</f>
        <v>69.6831723374489</v>
      </c>
      <c r="N71" s="49" t="n">
        <f aca="false">(N34+N35)/N33*100</f>
        <v>71.8844066069717</v>
      </c>
      <c r="O71" s="49" t="n">
        <f aca="false">(O34+O35)/O33*100</f>
        <v>71.159179461714</v>
      </c>
      <c r="P71" s="49" t="n">
        <f aca="false">(P34+P35)/P33*100</f>
        <v>69.6168752070159</v>
      </c>
      <c r="Q71" s="49" t="n">
        <f aca="false">(Q34+Q35)/Q33*100</f>
        <v>68.9318698584641</v>
      </c>
      <c r="R71" s="49" t="n">
        <f aca="false">(R34+R35)/R33*100</f>
        <v>72.6709484952517</v>
      </c>
      <c r="S71" s="49" t="n">
        <f aca="false">(S34+S35)/S33*100</f>
        <v>72.137340474947</v>
      </c>
      <c r="T71" s="49" t="n">
        <f aca="false">(T34+T35)/T33*100</f>
        <v>70.1272995174887</v>
      </c>
      <c r="U71" s="49" t="n">
        <f aca="false">(U34+U35)/U33*100</f>
        <v>72.6798652035456</v>
      </c>
      <c r="V71" s="49" t="n">
        <f aca="false">(V34+V35)/V33*100</f>
        <v>69.9112926778633</v>
      </c>
      <c r="W71" s="49" t="n">
        <f aca="false">(W34+W35)/W33*100</f>
        <v>69.0494973915256</v>
      </c>
      <c r="X71" s="49" t="n">
        <f aca="false">(X34+X35)/X33*100</f>
        <v>73.543012961787</v>
      </c>
      <c r="Y71" s="49" t="n">
        <f aca="false">(Y34+Y35)/Y33*100</f>
        <v>71.0951787956628</v>
      </c>
      <c r="Z71" s="49" t="n">
        <f aca="false">(Z34+Z35)/Z33*100</f>
        <v>64.137231705256</v>
      </c>
      <c r="AA71" s="49" t="n">
        <f aca="false">(AA34+AA35)/AA33*100</f>
        <v>71.2146317043764</v>
      </c>
      <c r="AB71" s="49" t="n">
        <f aca="false">(AB34+AB35)/AB33*100</f>
        <v>74.424068922678</v>
      </c>
      <c r="AC71" s="49" t="n">
        <f aca="false">(AC34+AC35)/AC33*100</f>
        <v>76.9001884153824</v>
      </c>
      <c r="AD71" s="49" t="n">
        <f aca="false">(AD34+AD35)/AD33*100</f>
        <v>74.1191938976411</v>
      </c>
      <c r="AE71" s="49" t="n">
        <f aca="false">(AE34+AE35)/AE33*100</f>
        <v>76.6858463160492</v>
      </c>
      <c r="AF71" s="49" t="n">
        <f aca="false">(AF34+AF35)/AF33*100</f>
        <v>77.9220474204901</v>
      </c>
      <c r="AG71" s="49" t="n">
        <f aca="false">(AG34+AG35)/AG33*100</f>
        <v>78.2472905175835</v>
      </c>
      <c r="AH71" s="49" t="n">
        <f aca="false">(AH34+AH35)/AH33*100</f>
        <v>79.3045681413846</v>
      </c>
      <c r="AI71" s="49" t="n">
        <f aca="false">(AI34+AI35)/AI33*100</f>
        <v>77.9895837743998</v>
      </c>
      <c r="AJ71" s="49" t="n">
        <f aca="false">(AJ34+AJ35)/AJ33*100</f>
        <v>76.2580470825623</v>
      </c>
      <c r="AK71" s="49" t="n">
        <f aca="false">(AK34+AK35)/AK33*100</f>
        <v>75.5971053711313</v>
      </c>
      <c r="AL71" s="49" t="n">
        <f aca="false">(AL34+AL35)/AL33*100</f>
        <v>73.7200660863152</v>
      </c>
      <c r="AM71" s="49" t="n">
        <f aca="false">(AM34+AM35)/AM33*100</f>
        <v>73.5268789089898</v>
      </c>
      <c r="AN71" s="49" t="n">
        <f aca="false">(AN34+AN35)/AN33*100</f>
        <v>72.2283271559073</v>
      </c>
      <c r="AO71" s="49" t="n">
        <f aca="false">(AO34+AO35)/AO33*100</f>
        <v>71.8096441812103</v>
      </c>
      <c r="AP71" s="49" t="n">
        <f aca="false">(AP34+AP35)/AP33*100</f>
        <v>72.1593109519883</v>
      </c>
      <c r="AQ71" s="49" t="n">
        <f aca="false">(AQ34+AQ35)/AQ33*100</f>
        <v>71.1730071172551</v>
      </c>
      <c r="AR71" s="49" t="n">
        <f aca="false">(AR34+AR35)/AR33*100</f>
        <v>71.4686765126331</v>
      </c>
      <c r="AS71" s="49" t="n">
        <f aca="false">(AS34+AS35)/AS33*100</f>
        <v>70.5721395750799</v>
      </c>
      <c r="AT71" s="49" t="n">
        <f aca="false">(AT34+AT35)/AT33*100</f>
        <v>70.6381217970981</v>
      </c>
      <c r="AU71" s="49" t="n">
        <f aca="false">(AU34+AU35)/AU33*100</f>
        <v>71.1677294335317</v>
      </c>
      <c r="AV71" s="49" t="n">
        <f aca="false">(AV34+AV35)/AV33*100</f>
        <v>72.1814485189247</v>
      </c>
      <c r="AW71" s="49" t="n">
        <f aca="false">(AW34+AW35)/AW33*100</f>
        <v>71.3627847623917</v>
      </c>
      <c r="AX71" s="49" t="n">
        <f aca="false">(AX34+AX35)/AX33*100</f>
        <v>71.5397509951372</v>
      </c>
      <c r="AZ71" s="37" t="n">
        <v>72</v>
      </c>
      <c r="BA71" s="37" t="n">
        <v>72</v>
      </c>
      <c r="BB71" s="37" t="n">
        <v>69.5</v>
      </c>
      <c r="BC71" s="37" t="n">
        <v>69.4</v>
      </c>
      <c r="BD71" s="37" t="n">
        <v>73.7</v>
      </c>
      <c r="BE71" s="37" t="n">
        <v>71</v>
      </c>
      <c r="BF71" s="37" t="n">
        <v>68</v>
      </c>
      <c r="BG71" s="37" t="n">
        <v>71.5</v>
      </c>
      <c r="BH71" s="37" t="n">
        <v>75.8</v>
      </c>
      <c r="BI71" s="37" t="n">
        <v>76.5</v>
      </c>
      <c r="BJ71" s="37" t="n">
        <v>74.4</v>
      </c>
      <c r="BK71" s="37" t="n">
        <v>77.2</v>
      </c>
      <c r="BL71" s="37" t="n">
        <v>79.5</v>
      </c>
      <c r="BM71" s="37" t="n">
        <v>79</v>
      </c>
      <c r="BN71" s="37" t="n">
        <v>79.1</v>
      </c>
      <c r="BO71" s="37" t="n">
        <v>77.5</v>
      </c>
      <c r="BP71" s="37" t="n">
        <v>76</v>
      </c>
      <c r="BQ71" s="37" t="n">
        <v>75.2</v>
      </c>
      <c r="BR71" s="37" t="n">
        <v>74</v>
      </c>
      <c r="BS71" s="37" t="n">
        <v>73.4</v>
      </c>
      <c r="BT71" s="37" t="n">
        <v>73</v>
      </c>
      <c r="BU71" s="37" t="n">
        <v>72.4</v>
      </c>
      <c r="BV71" s="37" t="n">
        <v>72.2</v>
      </c>
      <c r="BW71" s="37" t="n">
        <v>71.4</v>
      </c>
      <c r="BX71" s="37" t="n">
        <v>71.5</v>
      </c>
      <c r="BY71" s="37" t="n">
        <v>71.3</v>
      </c>
      <c r="BZ71" s="37" t="n">
        <v>71.1</v>
      </c>
      <c r="CA71" s="37" t="n">
        <v>71.8</v>
      </c>
      <c r="CB71" s="37" t="n">
        <v>72.6</v>
      </c>
      <c r="CC71" s="37" t="n">
        <v>73.2</v>
      </c>
      <c r="CE71" s="49" t="n">
        <f aca="false">(CE34+CE35)/CE33*100</f>
        <v>69.7047446669283</v>
      </c>
      <c r="CF71" s="36"/>
      <c r="CG71" s="49" t="n">
        <f aca="false">(CG34+CG35)/CG33*100</f>
        <v>71.3911845448329</v>
      </c>
      <c r="CI71" s="36"/>
      <c r="CJ71" s="49" t="n">
        <f aca="false">(CJ34+CJ35)/CJ33*100</f>
        <v>71.3627847623916</v>
      </c>
      <c r="CK71" s="36"/>
      <c r="CL71" s="36"/>
      <c r="CM71" s="36"/>
      <c r="CN71" s="36"/>
    </row>
    <row r="72" customFormat="false" ht="15" hidden="false" customHeight="true" outlineLevel="0" collapsed="false">
      <c r="A72" s="29" t="s">
        <v>911</v>
      </c>
      <c r="B72" s="49" t="n">
        <f aca="false">B36/B33*100</f>
        <v>8.46516939372735</v>
      </c>
      <c r="C72" s="49" t="n">
        <f aca="false">C36/C33*100</f>
        <v>7.57605382338098</v>
      </c>
      <c r="D72" s="49" t="n">
        <f aca="false">D36/D33*100</f>
        <v>8.44658706654436</v>
      </c>
      <c r="E72" s="49" t="n">
        <f aca="false">E36/E33*100</f>
        <v>5.56747750606936</v>
      </c>
      <c r="F72" s="49" t="n">
        <f aca="false">F36/F33*100</f>
        <v>8.40908851300508</v>
      </c>
      <c r="G72" s="49" t="n">
        <f aca="false">G36/G33*100</f>
        <v>7.98728177517765</v>
      </c>
      <c r="H72" s="49" t="n">
        <f aca="false">H36/H33*100</f>
        <v>8.67475437449065</v>
      </c>
      <c r="I72" s="49" t="n">
        <f aca="false">I36/I33*100</f>
        <v>6.22289579758803</v>
      </c>
      <c r="J72" s="49" t="n">
        <f aca="false">J36/J33*100</f>
        <v>9.90511168044797</v>
      </c>
      <c r="K72" s="49" t="n">
        <f aca="false">K36/K33*100</f>
        <v>7.66956161828193</v>
      </c>
      <c r="L72" s="49" t="n">
        <f aca="false">L36/L33*100</f>
        <v>6.91350063445765</v>
      </c>
      <c r="M72" s="49" t="n">
        <f aca="false">M36/M33*100</f>
        <v>6.62859876562096</v>
      </c>
      <c r="N72" s="49" t="n">
        <f aca="false">N36/N33*100</f>
        <v>5.18575624642989</v>
      </c>
      <c r="O72" s="49" t="n">
        <f aca="false">O36/O33*100</f>
        <v>5.22545896454364</v>
      </c>
      <c r="P72" s="49" t="n">
        <f aca="false">P36/P33*100</f>
        <v>7.88770734103991</v>
      </c>
      <c r="Q72" s="49" t="n">
        <f aca="false">Q36/Q33*100</f>
        <v>7.98598691942159</v>
      </c>
      <c r="R72" s="49" t="n">
        <f aca="false">R36/R33*100</f>
        <v>6.80024123617253</v>
      </c>
      <c r="S72" s="49" t="n">
        <f aca="false">S36/S33*100</f>
        <v>6.88985521699081</v>
      </c>
      <c r="T72" s="49" t="n">
        <f aca="false">T36/T33*100</f>
        <v>7.90594507085897</v>
      </c>
      <c r="U72" s="49" t="n">
        <f aca="false">U36/U33*100</f>
        <v>6.48298143892163</v>
      </c>
      <c r="V72" s="49" t="n">
        <f aca="false">V36/V33*100</f>
        <v>8.80440404936082</v>
      </c>
      <c r="W72" s="49" t="n">
        <f aca="false">W36/W33*100</f>
        <v>10.9968189337066</v>
      </c>
      <c r="X72" s="49" t="n">
        <f aca="false">X36/X33*100</f>
        <v>6.79317171566247</v>
      </c>
      <c r="Y72" s="49" t="n">
        <f aca="false">Y36/Y33*100</f>
        <v>10.6740724144579</v>
      </c>
      <c r="Z72" s="49" t="n">
        <f aca="false">Z36/Z33*100</f>
        <v>54.4179329205525</v>
      </c>
      <c r="AA72" s="49" t="n">
        <f aca="false">AA36/AA33*100</f>
        <v>13.1714952513238</v>
      </c>
      <c r="AB72" s="49" t="n">
        <f aca="false">AB36/AB33*100</f>
        <v>9.4417587166122</v>
      </c>
      <c r="AC72" s="49" t="n">
        <f aca="false">AC36/AC33*100</f>
        <v>5.73674128525289</v>
      </c>
      <c r="AD72" s="49" t="n">
        <f aca="false">AD36/AD33*100</f>
        <v>14.3785644817502</v>
      </c>
      <c r="AE72" s="49" t="n">
        <f aca="false">AE36/AE33*100</f>
        <v>8.97966508518681</v>
      </c>
      <c r="AF72" s="49" t="n">
        <f aca="false">AF36/AF33*100</f>
        <v>7.81205963332587</v>
      </c>
      <c r="AG72" s="49" t="n">
        <f aca="false">AG36/AG33*100</f>
        <v>5.00417987052122</v>
      </c>
      <c r="AH72" s="49" t="n">
        <f aca="false">AH36/AH33*100</f>
        <v>6.1666793578712</v>
      </c>
      <c r="AI72" s="49" t="n">
        <f aca="false">AI36/AI33*100</f>
        <v>6.376157610438</v>
      </c>
      <c r="AJ72" s="49" t="n">
        <f aca="false">AJ36/AJ33*100</f>
        <v>6.08516147323213</v>
      </c>
      <c r="AK72" s="49" t="n">
        <f aca="false">AK36/AK33*100</f>
        <v>5.09157751768285</v>
      </c>
      <c r="AL72" s="49" t="n">
        <f aca="false">AL36/AL33*100</f>
        <v>6.56418321979073</v>
      </c>
      <c r="AM72" s="49" t="n">
        <f aca="false">AM36/AM33*100</f>
        <v>5.94342833190151</v>
      </c>
      <c r="AN72" s="49" t="n">
        <f aca="false">AN36/AN33*100</f>
        <v>6.1410480523584</v>
      </c>
      <c r="AO72" s="49" t="n">
        <f aca="false">AO36/AO33*100</f>
        <v>4.91297799087398</v>
      </c>
      <c r="AP72" s="49" t="n">
        <f aca="false">AP36/AP33*100</f>
        <v>6.39353470883977</v>
      </c>
      <c r="AQ72" s="49" t="n">
        <f aca="false">AQ36/AQ33*100</f>
        <v>6.82736465412147</v>
      </c>
      <c r="AR72" s="49" t="n">
        <f aca="false">AR36/AR33*100</f>
        <v>6.39699451505327</v>
      </c>
      <c r="AS72" s="49" t="n">
        <f aca="false">AS36/AS33*100</f>
        <v>5.47162062400109</v>
      </c>
      <c r="AT72" s="49" t="n">
        <f aca="false">AT36/AT33*100</f>
        <v>7.01689837022366</v>
      </c>
      <c r="AU72" s="49" t="n">
        <f aca="false">AU36/AU33*100</f>
        <v>6.75602669119687</v>
      </c>
      <c r="AV72" s="49" t="n">
        <f aca="false">AV36/AV33*100</f>
        <v>5.42021961443924</v>
      </c>
      <c r="AW72" s="49" t="n">
        <f aca="false">AW36/AW33*100</f>
        <v>5.09558638154471</v>
      </c>
      <c r="AX72" s="49" t="n">
        <f aca="false">AX36/AX33*100</f>
        <v>7.19000243918894</v>
      </c>
      <c r="AZ72" s="49" t="n">
        <f aca="false">AZ36/AZ33*100</f>
        <v>5.8707646111157</v>
      </c>
      <c r="BA72" s="49" t="n">
        <f aca="false">BA36/BA33*100</f>
        <v>7.98438858967448</v>
      </c>
      <c r="BB72" s="49" t="n">
        <f aca="false">BB36/BB33*100</f>
        <v>11.794680757552</v>
      </c>
      <c r="BC72" s="49" t="n">
        <f aca="false">BC36/BC33*100</f>
        <v>10.5307976156685</v>
      </c>
      <c r="BD72" s="49" t="n">
        <f aca="false">BD36/BD33*100</f>
        <v>8.52898577499756</v>
      </c>
      <c r="BE72" s="49" t="n">
        <f aca="false">BE36/BE33*100</f>
        <v>38.0137076825825</v>
      </c>
      <c r="BF72" s="49" t="n">
        <f aca="false">BF36/BF33*100</f>
        <v>12.6892866423787</v>
      </c>
      <c r="BG72" s="49" t="n">
        <f aca="false">BG36/BG33*100</f>
        <v>7.89115824041942</v>
      </c>
      <c r="BH72" s="49" t="n">
        <f aca="false">BH36/BH33*100</f>
        <v>7.06975023022444</v>
      </c>
      <c r="BI72" s="49" t="n">
        <f aca="false">BI36/BI33*100</f>
        <v>14.3647582119189</v>
      </c>
      <c r="BJ72" s="49" t="n">
        <f aca="false">BJ36/BJ33*100</f>
        <v>9.76319799441271</v>
      </c>
      <c r="BK72" s="49" t="n">
        <f aca="false">BK36/BK33*100</f>
        <v>7.74532932980822</v>
      </c>
      <c r="BL72" s="49" t="n">
        <f aca="false">BL36/BL33*100</f>
        <v>5.39819118197813</v>
      </c>
      <c r="BM72" s="49" t="n">
        <f aca="false">BM36/BM33*100</f>
        <v>6.18261701652406</v>
      </c>
      <c r="BN72" s="49" t="n">
        <f aca="false">BN36/BN33*100</f>
        <v>5.42677401705416</v>
      </c>
      <c r="BO72" s="49" t="n">
        <f aca="false">BO36/BO33*100</f>
        <v>6.02786900311657</v>
      </c>
      <c r="BP72" s="49" t="n">
        <f aca="false">BP36/BP33*100</f>
        <v>4.62094798673973</v>
      </c>
      <c r="BQ72" s="49" t="n">
        <f aca="false">BQ36/BQ33*100</f>
        <v>7.35531582138735</v>
      </c>
      <c r="BR72" s="49" t="n">
        <f aca="false">BR36/BR33*100</f>
        <v>5.5788671224281</v>
      </c>
      <c r="BS72" s="49" t="n">
        <f aca="false">BS36/BS33*100</f>
        <v>6.47924533073435</v>
      </c>
      <c r="BT72" s="49" t="n">
        <f aca="false">BT36/BT33*100</f>
        <v>5.22505767776352</v>
      </c>
      <c r="BU72" s="49" t="n">
        <f aca="false">BU36/BU33*100</f>
        <v>6.50188881096667</v>
      </c>
      <c r="BV72" s="49" t="n">
        <f aca="false">BV36/BV33*100</f>
        <v>6.33642943917656</v>
      </c>
      <c r="BW72" s="49" t="n">
        <f aca="false">BW36/BW33*100</f>
        <v>6.62798471234272</v>
      </c>
      <c r="BX72" s="49" t="n">
        <f aca="false">BX36/BX33*100</f>
        <v>5.05345096653363</v>
      </c>
      <c r="BY72" s="49" t="n">
        <f aca="false">BY36/BY33*100</f>
        <v>7.39421346714818</v>
      </c>
      <c r="BZ72" s="49" t="n">
        <f aca="false">BZ36/BZ33*100</f>
        <v>6.58843238654656</v>
      </c>
      <c r="CA72" s="49" t="n">
        <f aca="false">CA36/CA33*100</f>
        <v>5.78034509345123</v>
      </c>
      <c r="CB72" s="49" t="n">
        <f aca="false">CB36/CB33*100</f>
        <v>4.54224532300642</v>
      </c>
      <c r="CC72" s="49" t="n">
        <f aca="false">CC36/CC33*100</f>
        <v>6.9091925159299</v>
      </c>
      <c r="CE72" s="49" t="n">
        <f aca="false">CE36/CE33*100</f>
        <v>7.31393866835533</v>
      </c>
      <c r="CF72" s="36"/>
      <c r="CG72" s="49" t="n">
        <f aca="false">CG36/CG33*100</f>
        <v>5.92334906491076</v>
      </c>
      <c r="CI72" s="36"/>
      <c r="CJ72" s="49" t="n">
        <f aca="false">CJ36/CJ33*100</f>
        <v>5.0955863815447</v>
      </c>
      <c r="CK72" s="36"/>
      <c r="CL72" s="36"/>
      <c r="CM72" s="36"/>
      <c r="CN72" s="36"/>
    </row>
    <row r="73" customFormat="false" ht="15" hidden="false" customHeight="true" outlineLevel="0" collapsed="false">
      <c r="A73" s="29" t="s">
        <v>912</v>
      </c>
      <c r="B73" s="49" t="n">
        <f aca="false">B37/B33*100</f>
        <v>12.9971619807399</v>
      </c>
      <c r="C73" s="49" t="n">
        <f aca="false">C37/C33*100</f>
        <v>10.1779226988289</v>
      </c>
      <c r="D73" s="49" t="n">
        <f aca="false">D37/D33*100</f>
        <v>10.7347520912285</v>
      </c>
      <c r="E73" s="49" t="n">
        <f aca="false">E37/E33*100</f>
        <v>10.8968681328699</v>
      </c>
      <c r="F73" s="49" t="n">
        <f aca="false">F37/F33*100</f>
        <v>11.5976964336084</v>
      </c>
      <c r="G73" s="49" t="n">
        <f aca="false">G37/G33*100</f>
        <v>12.6134136072553</v>
      </c>
      <c r="H73" s="49" t="n">
        <f aca="false">H37/H33*100</f>
        <v>11.8491061836698</v>
      </c>
      <c r="I73" s="49" t="n">
        <f aca="false">I37/I33*100</f>
        <v>10.8162952116486</v>
      </c>
      <c r="J73" s="49" t="n">
        <f aca="false">J37/J33*100</f>
        <v>13.8215949469993</v>
      </c>
      <c r="K73" s="49" t="n">
        <f aca="false">K37/K33*100</f>
        <v>11.4308867159037</v>
      </c>
      <c r="L73" s="49" t="n">
        <f aca="false">L37/L33*100</f>
        <v>10.5603555774492</v>
      </c>
      <c r="M73" s="49" t="n">
        <f aca="false">M37/M33*100</f>
        <v>12.0160040942</v>
      </c>
      <c r="N73" s="49" t="n">
        <f aca="false">N37/N33*100</f>
        <v>11.1579983382143</v>
      </c>
      <c r="O73" s="49" t="n">
        <f aca="false">O37/O33*100</f>
        <v>10.7949918508808</v>
      </c>
      <c r="P73" s="49" t="n">
        <f aca="false">P37/P33*100</f>
        <v>12.1348765258374</v>
      </c>
      <c r="Q73" s="49" t="n">
        <f aca="false">Q37/Q33*100</f>
        <v>12.3577295488222</v>
      </c>
      <c r="R73" s="49" t="n">
        <f aca="false">R37/R33*100</f>
        <v>9.93557278100662</v>
      </c>
      <c r="S73" s="49" t="n">
        <f aca="false">S37/S33*100</f>
        <v>10.0946587482581</v>
      </c>
      <c r="T73" s="49" t="n">
        <f aca="false">T37/T33*100</f>
        <v>11.6963150805345</v>
      </c>
      <c r="U73" s="49" t="n">
        <f aca="false">U37/U33*100</f>
        <v>9.69711494438685</v>
      </c>
      <c r="V73" s="49" t="n">
        <f aca="false">V37/V33*100</f>
        <v>11.8370262462481</v>
      </c>
      <c r="W73" s="49" t="n">
        <f aca="false">W37/W33*100</f>
        <v>14.1366586079654</v>
      </c>
      <c r="X73" s="49" t="n">
        <f aca="false">X37/X33*100</f>
        <v>14.0570019797542</v>
      </c>
      <c r="Y73" s="49" t="n">
        <f aca="false">Y37/Y33*100</f>
        <v>13.464514414635</v>
      </c>
      <c r="Z73" s="49" t="n">
        <f aca="false">Z37/Z33*100</f>
        <v>32.6439995698066</v>
      </c>
      <c r="AA73" s="49" t="n">
        <f aca="false">AA37/AA33*100</f>
        <v>12.7784162618364</v>
      </c>
      <c r="AB73" s="49" t="n">
        <f aca="false">AB37/AB33*100</f>
        <v>10.8617204493187</v>
      </c>
      <c r="AC73" s="49" t="n">
        <f aca="false">AC37/AC33*100</f>
        <v>9.73274727911903</v>
      </c>
      <c r="AD73" s="49" t="n">
        <f aca="false">AD37/AD33*100</f>
        <v>16.2498009142695</v>
      </c>
      <c r="AE73" s="49" t="n">
        <f aca="false">AE37/AE33*100</f>
        <v>11.3130769317047</v>
      </c>
      <c r="AF73" s="49" t="n">
        <f aca="false">AF37/AF33*100</f>
        <v>10.2210234211839</v>
      </c>
      <c r="AG73" s="49" t="n">
        <f aca="false">AG37/AG33*100</f>
        <v>7.87370958648444</v>
      </c>
      <c r="AH73" s="49" t="n">
        <f aca="false">AH37/AH33*100</f>
        <v>10.0944917864832</v>
      </c>
      <c r="AI73" s="49" t="n">
        <f aca="false">AI37/AI33*100</f>
        <v>9.13361440608762</v>
      </c>
      <c r="AJ73" s="49" t="n">
        <f aca="false">AJ37/AJ33*100</f>
        <v>8.82656841279914</v>
      </c>
      <c r="AK73" s="49" t="n">
        <f aca="false">AK37/AK33*100</f>
        <v>8.33784203405051</v>
      </c>
      <c r="AL73" s="49" t="n">
        <f aca="false">AL37/AL33*100</f>
        <v>9.69351433396546</v>
      </c>
      <c r="AM73" s="49" t="n">
        <f aca="false">AM37/AM33*100</f>
        <v>9.32627380670759</v>
      </c>
      <c r="AN73" s="49" t="n">
        <f aca="false">AN37/AN33*100</f>
        <v>9.61802047016017</v>
      </c>
      <c r="AO73" s="49" t="n">
        <f aca="false">AO37/AO33*100</f>
        <v>9.14625324740452</v>
      </c>
      <c r="AP73" s="49" t="n">
        <f aca="false">AP37/AP33*100</f>
        <v>10.8538319922126</v>
      </c>
      <c r="AQ73" s="49" t="n">
        <f aca="false">AQ37/AQ33*100</f>
        <v>10.3983085542769</v>
      </c>
      <c r="AR73" s="49" t="n">
        <f aca="false">AR37/AR33*100</f>
        <v>9.35373844642761</v>
      </c>
      <c r="AS73" s="49" t="n">
        <f aca="false">AS37/AS33*100</f>
        <v>8.91463720876716</v>
      </c>
      <c r="AT73" s="49" t="n">
        <f aca="false">AT37/AT33*100</f>
        <v>11.2320348076855</v>
      </c>
      <c r="AU73" s="49" t="n">
        <f aca="false">AU37/AU33*100</f>
        <v>9.95548685986287</v>
      </c>
      <c r="AV73" s="49" t="n">
        <f aca="false">AV37/AV33*100</f>
        <v>9.08950610594034</v>
      </c>
      <c r="AW73" s="49" t="n">
        <f aca="false">AW37/AW33*100</f>
        <v>8.9551279652046</v>
      </c>
      <c r="AX73" s="49" t="n">
        <f aca="false">AX37/AX33*100</f>
        <v>11.2069833460483</v>
      </c>
      <c r="AZ73" s="49" t="n">
        <f aca="false">AZ37/AZ33*100</f>
        <v>11.4479909916756</v>
      </c>
      <c r="BA73" s="49" t="n">
        <f aca="false">BA37/BA33*100</f>
        <v>12.4012844052391</v>
      </c>
      <c r="BB73" s="49" t="n">
        <f aca="false">BB37/BB33*100</f>
        <v>14.2519059153753</v>
      </c>
      <c r="BC73" s="49" t="n">
        <f aca="false">BC37/BC33*100</f>
        <v>14.041063487558</v>
      </c>
      <c r="BD73" s="49" t="n">
        <f aca="false">BD37/BD33*100</f>
        <v>15.8395450107098</v>
      </c>
      <c r="BE73" s="49" t="n">
        <f aca="false">BE37/BE33*100</f>
        <v>39.5976121693568</v>
      </c>
      <c r="BF73" s="49" t="n">
        <f aca="false">BF37/BF33*100</f>
        <v>15.8616083029734</v>
      </c>
      <c r="BG73" s="49" t="n">
        <f aca="false">BG37/BG33*100</f>
        <v>12.2312952726501</v>
      </c>
      <c r="BH73" s="49" t="n">
        <f aca="false">BH37/BH33*100</f>
        <v>9.68248401095956</v>
      </c>
      <c r="BI73" s="49" t="n">
        <f aca="false">BI37/BI33*100</f>
        <v>12.8914496773632</v>
      </c>
      <c r="BJ73" s="49" t="n">
        <f aca="false">BJ37/BJ33*100</f>
        <v>11.9327975487266</v>
      </c>
      <c r="BK73" s="49" t="n">
        <f aca="false">BK37/BK33*100</f>
        <v>9.85769187430137</v>
      </c>
      <c r="BL73" s="49" t="n">
        <f aca="false">BL37/BL33*100</f>
        <v>7.97460060974043</v>
      </c>
      <c r="BM73" s="49" t="n">
        <f aca="false">BM37/BM33*100</f>
        <v>8.43084138616917</v>
      </c>
      <c r="BN73" s="49" t="n">
        <f aca="false">BN37/BN33*100</f>
        <v>9.49611648857846</v>
      </c>
      <c r="BO73" s="49" t="n">
        <f aca="false">BO37/BO33*100</f>
        <v>8.93010822938087</v>
      </c>
      <c r="BP73" s="49" t="n">
        <f aca="false">BP37/BP33*100</f>
        <v>8.68618338422507</v>
      </c>
      <c r="BQ73" s="49" t="n">
        <f aca="false">BQ37/BQ33*100</f>
        <v>9.81537077516218</v>
      </c>
      <c r="BR73" s="49" t="n">
        <f aca="false">BR37/BR33*100</f>
        <v>9.60804893307062</v>
      </c>
      <c r="BS73" s="49" t="n">
        <f aca="false">BS37/BS33*100</f>
        <v>9.8305791224935</v>
      </c>
      <c r="BT73" s="49" t="n">
        <f aca="false">BT37/BT33*100</f>
        <v>9.40059585641925</v>
      </c>
      <c r="BU73" s="49" t="n">
        <f aca="false">BU37/BU33*100</f>
        <v>10.6816744751595</v>
      </c>
      <c r="BV73" s="49" t="n">
        <f aca="false">BV37/BV33*100</f>
        <v>10.7890555315709</v>
      </c>
      <c r="BW73" s="49" t="n">
        <f aca="false">BW37/BW33*100</f>
        <v>10.1731622799447</v>
      </c>
      <c r="BX73" s="49" t="n">
        <f aca="false">BX37/BX33*100</f>
        <v>9.29182919652957</v>
      </c>
      <c r="BY73" s="49" t="n">
        <f aca="false">BY37/BY33*100</f>
        <v>10.2028681949797</v>
      </c>
      <c r="BZ73" s="49" t="n">
        <f aca="false">BZ37/BZ33*100</f>
        <v>10.8942582769668</v>
      </c>
      <c r="CA73" s="49" t="n">
        <f aca="false">CA37/CA33*100</f>
        <v>9.45874651655656</v>
      </c>
      <c r="CB73" s="49" t="n">
        <f aca="false">CB37/CB33*100</f>
        <v>8.80060031332494</v>
      </c>
      <c r="CC73" s="49" t="n">
        <f aca="false">CC37/CC33*100</f>
        <v>10.1605772293087</v>
      </c>
      <c r="CE73" s="49" t="n">
        <f aca="false">CE37/CE33*100</f>
        <v>11.1037437007929</v>
      </c>
      <c r="CF73" s="36"/>
      <c r="CG73" s="49" t="n">
        <f aca="false">CG37/CG33*100</f>
        <v>10.0687322002871</v>
      </c>
      <c r="CI73" s="36"/>
      <c r="CJ73" s="49" t="n">
        <f aca="false">CJ37/CJ33*100</f>
        <v>10.2262704186084</v>
      </c>
      <c r="CK73" s="36"/>
      <c r="CL73" s="36"/>
      <c r="CM73" s="36"/>
      <c r="CN73" s="36"/>
    </row>
    <row r="75" customFormat="false" ht="15" hidden="false" customHeight="true" outlineLevel="0" collapsed="false">
      <c r="A75" s="38" t="s">
        <v>913</v>
      </c>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7"/>
      <c r="BO75" s="117"/>
      <c r="BP75" s="117"/>
      <c r="BQ75" s="117"/>
      <c r="BR75" s="117"/>
      <c r="BS75" s="117"/>
      <c r="BT75" s="117"/>
      <c r="BU75" s="117"/>
      <c r="BV75" s="117"/>
      <c r="BW75" s="117"/>
      <c r="BX75" s="117"/>
      <c r="BY75" s="117"/>
      <c r="BZ75" s="117"/>
      <c r="CA75" s="117"/>
      <c r="CB75" s="117"/>
      <c r="CC75" s="117"/>
      <c r="CD75" s="117"/>
      <c r="CE75" s="117"/>
      <c r="CF75" s="117"/>
      <c r="CG75" s="117"/>
      <c r="CH75" s="117"/>
      <c r="CI75" s="117"/>
      <c r="CJ75" s="117"/>
      <c r="CK75" s="117"/>
      <c r="CL75" s="117"/>
      <c r="CM75" s="117"/>
      <c r="CN75" s="117"/>
    </row>
    <row r="76" customFormat="false" ht="15" hidden="false" customHeight="true" outlineLevel="0" collapsed="false">
      <c r="A76" s="29" t="s">
        <v>294</v>
      </c>
      <c r="B76" s="62" t="n">
        <v>2845.88</v>
      </c>
      <c r="C76" s="62" t="n">
        <v>2845.88</v>
      </c>
      <c r="D76" s="62" t="n">
        <v>2845.88</v>
      </c>
      <c r="E76" s="62" t="n">
        <v>2845.88</v>
      </c>
      <c r="F76" s="62" t="n">
        <v>2845.88</v>
      </c>
      <c r="G76" s="62" t="n">
        <v>2845.88</v>
      </c>
      <c r="H76" s="62" t="n">
        <v>2845.88</v>
      </c>
      <c r="I76" s="62" t="n">
        <v>2845.88</v>
      </c>
      <c r="J76" s="62" t="n">
        <v>2926.538</v>
      </c>
      <c r="K76" s="62" t="n">
        <v>2926.538</v>
      </c>
      <c r="L76" s="62" t="n">
        <v>2927.108</v>
      </c>
      <c r="M76" s="62" t="n">
        <v>2927.1</v>
      </c>
      <c r="N76" s="62" t="n">
        <v>2927.108</v>
      </c>
      <c r="O76" s="62" t="n">
        <v>2935.5</v>
      </c>
      <c r="P76" s="62" t="n">
        <v>2927.108</v>
      </c>
      <c r="Q76" s="62" t="n">
        <v>2927.108</v>
      </c>
      <c r="R76" s="62" t="n">
        <v>2927.108</v>
      </c>
      <c r="S76" s="62" t="n">
        <v>2935.5</v>
      </c>
      <c r="T76" s="62" t="n">
        <v>2935.5</v>
      </c>
      <c r="U76" s="62" t="n">
        <v>2935.5</v>
      </c>
      <c r="V76" s="62" t="n">
        <v>2935.5</v>
      </c>
      <c r="W76" s="62" t="n">
        <v>2935.5</v>
      </c>
      <c r="X76" s="62" t="n">
        <v>2935.5</v>
      </c>
      <c r="Y76" s="62" t="n">
        <v>2935.5</v>
      </c>
      <c r="Z76" s="62" t="n">
        <v>2935.5</v>
      </c>
      <c r="AA76" s="62" t="n">
        <v>2935.5</v>
      </c>
      <c r="AB76" s="62" t="n">
        <v>2935.5</v>
      </c>
      <c r="AC76" s="62" t="n">
        <v>2935.5</v>
      </c>
      <c r="AD76" s="62" t="n">
        <v>2935.5</v>
      </c>
      <c r="AE76" s="62" t="n">
        <v>2935.5</v>
      </c>
      <c r="AF76" s="62" t="n">
        <v>2935.5</v>
      </c>
      <c r="AG76" s="62" t="n">
        <v>2935.5</v>
      </c>
      <c r="AH76" s="62" t="n">
        <v>2935.5</v>
      </c>
      <c r="AI76" s="62" t="n">
        <v>2935.5</v>
      </c>
      <c r="AJ76" s="62" t="n">
        <v>2935.5</v>
      </c>
      <c r="AK76" s="62" t="n">
        <v>2936.1</v>
      </c>
      <c r="AL76" s="62" t="n">
        <v>2936.1</v>
      </c>
      <c r="AM76" s="62" t="n">
        <v>2936.1</v>
      </c>
      <c r="AN76" s="62" t="n">
        <v>2936.1</v>
      </c>
      <c r="AO76" s="62" t="n">
        <v>2936.3</v>
      </c>
      <c r="AP76" s="62" t="n">
        <v>5872.6</v>
      </c>
      <c r="AQ76" s="31" t="n">
        <f aca="false">+BV76</f>
        <v>5872.6</v>
      </c>
      <c r="AR76" s="92" t="n">
        <f aca="false">2936.3*2</f>
        <v>5872.6</v>
      </c>
      <c r="AS76" s="62" t="n">
        <v>5872.6</v>
      </c>
      <c r="AT76" s="62" t="n">
        <v>5872.6</v>
      </c>
      <c r="AU76" s="62" t="n">
        <v>5872.6</v>
      </c>
      <c r="AV76" s="62" t="n">
        <v>5872.6</v>
      </c>
      <c r="AW76" s="62" t="n">
        <v>5873.9</v>
      </c>
      <c r="AX76" s="62" t="n">
        <v>5873.9</v>
      </c>
      <c r="AZ76" s="31" t="n">
        <f aca="false">+T76</f>
        <v>2935.5</v>
      </c>
      <c r="BA76" s="31" t="n">
        <f aca="false">+U76</f>
        <v>2935.5</v>
      </c>
      <c r="BB76" s="31" t="n">
        <f aca="false">+V76</f>
        <v>2935.5</v>
      </c>
      <c r="BC76" s="31" t="n">
        <f aca="false">+W76</f>
        <v>2935.5</v>
      </c>
      <c r="BD76" s="31" t="n">
        <f aca="false">+X76</f>
        <v>2935.5</v>
      </c>
      <c r="BE76" s="31" t="n">
        <f aca="false">+Y76</f>
        <v>2935.5</v>
      </c>
      <c r="BF76" s="31" t="n">
        <f aca="false">+Z76</f>
        <v>2935.5</v>
      </c>
      <c r="BG76" s="31" t="n">
        <f aca="false">+AA76</f>
        <v>2935.5</v>
      </c>
      <c r="BH76" s="31" t="n">
        <f aca="false">+AB76</f>
        <v>2935.5</v>
      </c>
      <c r="BI76" s="31" t="n">
        <f aca="false">+AC76</f>
        <v>2935.5</v>
      </c>
      <c r="BJ76" s="31" t="n">
        <f aca="false">+AD76</f>
        <v>2935.5</v>
      </c>
      <c r="BK76" s="31" t="n">
        <f aca="false">+AE76</f>
        <v>2935.5</v>
      </c>
      <c r="BL76" s="31" t="n">
        <f aca="false">+AF76</f>
        <v>2935.5</v>
      </c>
      <c r="BM76" s="31" t="n">
        <f aca="false">+AG76</f>
        <v>2935.5</v>
      </c>
      <c r="BN76" s="31" t="n">
        <f aca="false">+AH76</f>
        <v>2935.5</v>
      </c>
      <c r="BO76" s="31" t="n">
        <f aca="false">+AI76</f>
        <v>2935.5</v>
      </c>
      <c r="BP76" s="31" t="n">
        <f aca="false">+AJ76</f>
        <v>2935.5</v>
      </c>
      <c r="BQ76" s="31" t="n">
        <f aca="false">+AK76</f>
        <v>2936.1</v>
      </c>
      <c r="BR76" s="31" t="n">
        <f aca="false">+AL76</f>
        <v>2936.1</v>
      </c>
      <c r="BS76" s="31" t="n">
        <f aca="false">+AM76</f>
        <v>2936.1</v>
      </c>
      <c r="BT76" s="31" t="n">
        <f aca="false">+AN76</f>
        <v>2936.1</v>
      </c>
      <c r="BU76" s="31" t="n">
        <f aca="false">+AO76</f>
        <v>2936.3</v>
      </c>
      <c r="BV76" s="31" t="n">
        <f aca="false">+AP76</f>
        <v>5872.6</v>
      </c>
      <c r="BW76" s="31" t="n">
        <f aca="false">+AQ76</f>
        <v>5872.6</v>
      </c>
      <c r="BX76" s="31" t="n">
        <f aca="false">+AR76</f>
        <v>5872.6</v>
      </c>
      <c r="BY76" s="31" t="n">
        <f aca="false">+AS76</f>
        <v>5872.6</v>
      </c>
      <c r="BZ76" s="31" t="n">
        <f aca="false">+AT76</f>
        <v>5872.6</v>
      </c>
      <c r="CA76" s="31" t="n">
        <f aca="false">+AU76</f>
        <v>5872.6</v>
      </c>
      <c r="CB76" s="31" t="n">
        <f aca="false">+AV76</f>
        <v>5872.6</v>
      </c>
      <c r="CC76" s="31" t="n">
        <f aca="false">+AW76</f>
        <v>5873.9</v>
      </c>
      <c r="CE76" s="30"/>
      <c r="CF76" s="30"/>
      <c r="CG76" s="62" t="n">
        <v>5872.6</v>
      </c>
      <c r="CI76" s="30"/>
      <c r="CJ76" s="62" t="n">
        <v>5872.6</v>
      </c>
      <c r="CK76" s="30"/>
      <c r="CL76" s="30"/>
      <c r="CM76" s="30"/>
      <c r="CN76" s="30"/>
    </row>
    <row r="77" customFormat="false" ht="15" hidden="false" customHeight="true" outlineLevel="0" collapsed="false">
      <c r="A77" s="29" t="s">
        <v>295</v>
      </c>
      <c r="B77" s="59" t="n">
        <f aca="false">B51/B76</f>
        <v>0.5500747529666</v>
      </c>
      <c r="C77" s="59" t="n">
        <f aca="false">C51/C76</f>
        <v>1.05076625082106</v>
      </c>
      <c r="D77" s="59" t="n">
        <f aca="false">D51/D76</f>
        <v>0.768495157912492</v>
      </c>
      <c r="E77" s="59" t="n">
        <f aca="false">E51/E76</f>
        <v>1.68542208385455</v>
      </c>
      <c r="F77" s="59" t="n">
        <f aca="false">F51/F76</f>
        <v>0.847237409869707</v>
      </c>
      <c r="G77" s="59" t="n">
        <f aca="false">G51/G76</f>
        <v>1.01143301896074</v>
      </c>
      <c r="H77" s="59" t="n">
        <f aca="false">H51/H76</f>
        <v>0.792113511462183</v>
      </c>
      <c r="I77" s="59" t="n">
        <f aca="false">I51/I76</f>
        <v>1.68715652100581</v>
      </c>
      <c r="J77" s="59" t="n">
        <f aca="false">J51/J76</f>
        <v>0.416549998667368</v>
      </c>
      <c r="K77" s="59" t="n">
        <f aca="false">K51/K76</f>
        <v>1.14848896546021</v>
      </c>
      <c r="L77" s="59" t="n">
        <f aca="false">L51/L76</f>
        <v>1.53682658788128</v>
      </c>
      <c r="M77" s="59" t="n">
        <f aca="false">M51/M76</f>
        <v>1.66965255713847</v>
      </c>
      <c r="N77" s="59" t="n">
        <f aca="false">N51/N76</f>
        <v>2.25984213770042</v>
      </c>
      <c r="O77" s="59" t="n">
        <f aca="false">O51/O76</f>
        <v>2.52577073752342</v>
      </c>
      <c r="P77" s="59" t="n">
        <f aca="false">P51/P76</f>
        <v>1.31445430096874</v>
      </c>
      <c r="Q77" s="59" t="n">
        <f aca="false">Q51/Q76</f>
        <v>1.49180009757071</v>
      </c>
      <c r="R77" s="59" t="n">
        <f aca="false">R51/R76</f>
        <v>1.62454648069016</v>
      </c>
      <c r="S77" s="59" t="n">
        <f aca="false">S51/S76</f>
        <v>1.83903934593767</v>
      </c>
      <c r="T77" s="59" t="n">
        <f aca="false">T51/T76</f>
        <v>1.31412365866122</v>
      </c>
      <c r="U77" s="59" t="n">
        <f aca="false">U51/U76</f>
        <v>2.25231136092659</v>
      </c>
      <c r="V77" s="59" t="n">
        <f aca="false">V51/V76</f>
        <v>0.832215976835294</v>
      </c>
      <c r="W77" s="59" t="n">
        <f aca="false">W51/W76</f>
        <v>0.297998637370125</v>
      </c>
      <c r="X77" s="59" t="n">
        <f aca="false">X51/X76</f>
        <v>0.0997070345767331</v>
      </c>
      <c r="Y77" s="59" t="n">
        <f aca="false">Y51/Y76</f>
        <v>-0.0196644523931187</v>
      </c>
      <c r="Z77" s="59" t="n">
        <f aca="false">Z51/Z76</f>
        <v>-1.32020950434338</v>
      </c>
      <c r="AA77" s="59" t="n">
        <f aca="false">AA51/AA76</f>
        <v>-0.495298926928973</v>
      </c>
      <c r="AB77" s="59" t="n">
        <f aca="false">AB51/AB76</f>
        <v>0.0515840572304577</v>
      </c>
      <c r="AC77" s="59" t="n">
        <f aca="false">AC51/AC76</f>
        <v>0.726136944302501</v>
      </c>
      <c r="AD77" s="59" t="n">
        <f aca="false">AD51/AD76</f>
        <v>-0.957349684891842</v>
      </c>
      <c r="AE77" s="59" t="n">
        <f aca="false">AE51/AE76</f>
        <v>-0.283367399080227</v>
      </c>
      <c r="AF77" s="59" t="n">
        <f aca="false">AF51/AF76</f>
        <v>-0.0877363311190593</v>
      </c>
      <c r="AG77" s="59" t="n">
        <f aca="false">AG51/AG76</f>
        <v>1.86910236756941</v>
      </c>
      <c r="AH77" s="59" t="n">
        <f aca="false">AH51/AH76</f>
        <v>0.198577755067281</v>
      </c>
      <c r="AI77" s="59" t="n">
        <f aca="false">AI51/AI76</f>
        <v>0.657937319025718</v>
      </c>
      <c r="AJ77" s="59" t="n">
        <f aca="false">AJ51/AJ76</f>
        <v>1.21320047692045</v>
      </c>
      <c r="AK77" s="59" t="n">
        <f aca="false">AK51/AK76</f>
        <v>2.41506590374987</v>
      </c>
      <c r="AL77" s="59" t="n">
        <f aca="false">AL51/AL76</f>
        <v>1.96472361295596</v>
      </c>
      <c r="AM77" s="59" t="n">
        <f aca="false">AM51/AM76</f>
        <v>1.96917679915534</v>
      </c>
      <c r="AN77" s="59" t="n">
        <f aca="false">AN51/AN76</f>
        <v>1.97701883450837</v>
      </c>
      <c r="AO77" s="59" t="n">
        <f aca="false">AO51/AO76</f>
        <v>3.24440622552192</v>
      </c>
      <c r="AP77" s="59" t="n">
        <f aca="false">AP51/AP76</f>
        <v>0.894969860027926</v>
      </c>
      <c r="AQ77" s="59" t="n">
        <f aca="false">AQ51/AQ76</f>
        <v>1.1614361611552</v>
      </c>
      <c r="AR77" s="59" t="n">
        <f aca="false">AR51/AR76</f>
        <v>1.29710860606886</v>
      </c>
      <c r="AS77" s="59" t="n">
        <f aca="false">AS51/AS76</f>
        <v>2.13892909443858</v>
      </c>
      <c r="AT77" s="59" t="n">
        <f aca="false">AT51/AT76</f>
        <v>1.01101726662807</v>
      </c>
      <c r="AU77" s="59" t="n">
        <f aca="false">AU51/AU76</f>
        <v>1.36406361747778</v>
      </c>
      <c r="AV77" s="59" t="n">
        <f aca="false">AV51/AV76</f>
        <v>1.74944658243367</v>
      </c>
      <c r="AW77" s="59" t="n">
        <f aca="false">AW51/AW76</f>
        <v>2.39146052877985</v>
      </c>
      <c r="AX77" s="59" t="n">
        <f aca="false">AX51/AX76</f>
        <v>1.03697713614464</v>
      </c>
      <c r="AZ77" s="59" t="n">
        <f aca="false">AZ51/AZ76</f>
        <v>1.91414893527852</v>
      </c>
      <c r="BA77" s="59" t="n">
        <f aca="false">BA51/BA76</f>
        <v>0.861564570164932</v>
      </c>
      <c r="BB77" s="59" t="n">
        <f aca="false">BB51/BB76</f>
        <v>0.0692232885025347</v>
      </c>
      <c r="BC77" s="59" t="n">
        <f aca="false">BC51/BC76</f>
        <v>0.283445598792732</v>
      </c>
      <c r="BD77" s="59" t="n">
        <f aca="false">BD51/BD76</f>
        <v>-0.239870389042295</v>
      </c>
      <c r="BE77" s="59" t="n">
        <f aca="false">BE51/BE76</f>
        <v>-1.20162052868765</v>
      </c>
      <c r="BF77" s="59" t="n">
        <f aca="false">BF51/BF76</f>
        <v>-0.191424073814954</v>
      </c>
      <c r="BG77" s="59" t="n">
        <f aca="false">BG51/BG76</f>
        <v>0.49994342653269</v>
      </c>
      <c r="BH77" s="59" t="n">
        <f aca="false">BH51/BH76</f>
        <v>0.595187045057583</v>
      </c>
      <c r="BI77" s="59" t="n">
        <f aca="false">BI51/BI76</f>
        <v>-0.839332815077174</v>
      </c>
      <c r="BJ77" s="59" t="n">
        <f aca="false">BJ51/BJ76</f>
        <v>-0.14321624344756</v>
      </c>
      <c r="BK77" s="59" t="n">
        <f aca="false">BK51/BK76</f>
        <v>0.115014630346739</v>
      </c>
      <c r="BL77" s="59" t="n">
        <f aca="false">BL51/BL76</f>
        <v>0.808213431937179</v>
      </c>
      <c r="BM77" s="59" t="n">
        <f aca="false">BM51/BM76</f>
        <v>0.485296983745184</v>
      </c>
      <c r="BN77" s="59" t="n">
        <f aca="false">BN51/BN76</f>
        <v>0.635818487801438</v>
      </c>
      <c r="BO77" s="59" t="n">
        <f aca="false">BO51/BO76</f>
        <v>1.01853964104015</v>
      </c>
      <c r="BP77" s="59" t="n">
        <f aca="false">BP51/BP76</f>
        <v>2.35221801254048</v>
      </c>
      <c r="BQ77" s="59" t="n">
        <f aca="false">BQ51/BQ76</f>
        <v>0.89178529306773</v>
      </c>
      <c r="BR77" s="59" t="n">
        <f aca="false">BR51/BR76</f>
        <v>1.9827253177793</v>
      </c>
      <c r="BS77" s="59" t="n">
        <f aca="false">BS51/BS76</f>
        <v>1.73120484951876</v>
      </c>
      <c r="BT77" s="59" t="n">
        <f aca="false">BT51/BT76</f>
        <v>2.76937962456126</v>
      </c>
      <c r="BU77" s="59" t="n">
        <f aca="false">BU51/BU76</f>
        <v>1.80025463861503</v>
      </c>
      <c r="BV77" s="59" t="n">
        <f aca="false">BV51/BV76</f>
        <v>0.864144122824091</v>
      </c>
      <c r="BW77" s="59" t="n">
        <f aca="false">BW51/BW76</f>
        <v>1.0335556930653</v>
      </c>
      <c r="BX77" s="59" t="n">
        <f aca="false">BX51/BX76</f>
        <v>1.92796263765672</v>
      </c>
      <c r="BY77" s="59" t="n">
        <f aca="false">BY51/BY76</f>
        <v>1.001870035218</v>
      </c>
      <c r="BZ77" s="59" t="n">
        <f aca="false">BZ51/BZ76</f>
        <v>1.09830151123248</v>
      </c>
      <c r="CA77" s="59" t="n">
        <f aca="false">CA51/CA76</f>
        <v>1.70224044146369</v>
      </c>
      <c r="CB77" s="59" t="n">
        <f aca="false">CB51/CB76</f>
        <v>2.3456123279365</v>
      </c>
      <c r="CC77" s="59" t="n">
        <f aca="false">CC51/CC76</f>
        <v>1.02229194484763</v>
      </c>
      <c r="CE77" s="43"/>
      <c r="CF77" s="43"/>
      <c r="CG77" s="59" t="n">
        <f aca="false">CG51/CG76</f>
        <v>6.66486735006644</v>
      </c>
      <c r="CI77" s="43"/>
      <c r="CJ77" s="59" t="n">
        <f aca="false">CJ51/CJ76</f>
        <v>2.54033988352692</v>
      </c>
      <c r="CK77" s="43"/>
      <c r="CL77" s="43"/>
      <c r="CM77" s="43"/>
      <c r="CN77" s="43"/>
    </row>
    <row r="78" customFormat="false" ht="15" hidden="false" customHeight="true" outlineLevel="0" collapsed="false">
      <c r="A78" s="29" t="s">
        <v>296</v>
      </c>
      <c r="B78" s="59" t="n">
        <f aca="false">B58/B76</f>
        <v>0.949839676294358</v>
      </c>
      <c r="C78" s="59" t="n">
        <f aca="false">C58/C76</f>
        <v>1.48336495491258</v>
      </c>
      <c r="D78" s="59" t="n">
        <f aca="false">D58/D76</f>
        <v>1.1881284523592</v>
      </c>
      <c r="E78" s="59" t="n">
        <f aca="false">E58/E76</f>
        <v>2.14783476464222</v>
      </c>
      <c r="F78" s="59" t="n">
        <f aca="false">F58/F76</f>
        <v>1.27231682291593</v>
      </c>
      <c r="G78" s="59" t="n">
        <f aca="false">G58/G76</f>
        <v>1.45456730431361</v>
      </c>
      <c r="H78" s="59" t="n">
        <f aca="false">H58/H76</f>
        <v>1.2536052117447</v>
      </c>
      <c r="I78" s="59" t="n">
        <f aca="false">I58/I76</f>
        <v>2.17725343303302</v>
      </c>
      <c r="J78" s="59" t="n">
        <f aca="false">J58/J76</f>
        <v>0.868045930037472</v>
      </c>
      <c r="K78" s="59" t="n">
        <f aca="false">K58/K76</f>
        <v>1.63074957509521</v>
      </c>
      <c r="L78" s="59" t="n">
        <f aca="false">L58/L76</f>
        <v>1.998159411952</v>
      </c>
      <c r="M78" s="59" t="n">
        <f aca="false">M58/M76</f>
        <v>2.1682689351235</v>
      </c>
      <c r="N78" s="59" t="n">
        <f aca="false">N58/N76</f>
        <v>2.75966961246391</v>
      </c>
      <c r="O78" s="59" t="n">
        <f aca="false">O58/O76</f>
        <v>3.06203372508942</v>
      </c>
      <c r="P78" s="59" t="n">
        <f aca="false">P58/P76</f>
        <v>1.8031489442822</v>
      </c>
      <c r="Q78" s="59" t="n">
        <f aca="false">Q58/Q76</f>
        <v>2.01272382160139</v>
      </c>
      <c r="R78" s="59" t="n">
        <f aca="false">R58/R76</f>
        <v>2.10346492169063</v>
      </c>
      <c r="S78" s="59" t="n">
        <f aca="false">S58/S76</f>
        <v>2.34358712314768</v>
      </c>
      <c r="T78" s="59" t="n">
        <f aca="false">T58/T76</f>
        <v>1.86142394822007</v>
      </c>
      <c r="U78" s="59" t="n">
        <f aca="false">U58/U76</f>
        <v>2.7965457332652</v>
      </c>
      <c r="V78" s="59" t="n">
        <f aca="false">V58/V76</f>
        <v>1.39307443365696</v>
      </c>
      <c r="W78" s="59" t="n">
        <f aca="false">W58/W76</f>
        <v>0.843186850621701</v>
      </c>
      <c r="X78" s="59" t="n">
        <f aca="false">X58/X76</f>
        <v>0.636106285130301</v>
      </c>
      <c r="Y78" s="59" t="n">
        <f aca="false">Y58/Y76</f>
        <v>0.619613353772782</v>
      </c>
      <c r="Z78" s="59" t="n">
        <f aca="false">Z58/Z76</f>
        <v>-0.762655424970192</v>
      </c>
      <c r="AA78" s="59" t="n">
        <f aca="false">AA58/AA76</f>
        <v>0.087770396865951</v>
      </c>
      <c r="AB78" s="59" t="n">
        <f aca="false">AB58/AB76</f>
        <v>0.713924374041904</v>
      </c>
      <c r="AC78" s="59" t="n">
        <f aca="false">AC58/AC76</f>
        <v>1.47030318514733</v>
      </c>
      <c r="AD78" s="59" t="n">
        <f aca="false">AD58/AD76</f>
        <v>-0.332277295179697</v>
      </c>
      <c r="AE78" s="59" t="n">
        <f aca="false">AE58/AE76</f>
        <v>0.344362118889455</v>
      </c>
      <c r="AF78" s="59" t="n">
        <f aca="false">AF58/AF76</f>
        <v>0.55832055867825</v>
      </c>
      <c r="AG78" s="59" t="n">
        <f aca="false">AG58/AG76</f>
        <v>2.53457673309487</v>
      </c>
      <c r="AH78" s="59" t="n">
        <f aca="false">AH58/AH76</f>
        <v>0.819936978368252</v>
      </c>
      <c r="AI78" s="59" t="n">
        <f aca="false">AI58/AI76</f>
        <v>1.26018565832056</v>
      </c>
      <c r="AJ78" s="59" t="n">
        <f aca="false">AJ58/AJ76</f>
        <v>1.85687276443536</v>
      </c>
      <c r="AK78" s="59" t="n">
        <f aca="false">AK58/AK76</f>
        <v>3.04113449814379</v>
      </c>
      <c r="AL78" s="59" t="n">
        <f aca="false">AL58/AL76</f>
        <v>2.57560198903307</v>
      </c>
      <c r="AM78" s="59" t="n">
        <f aca="false">AM58/AM76</f>
        <v>2.58322264228057</v>
      </c>
      <c r="AN78" s="59" t="n">
        <f aca="false">AN58/AN76</f>
        <v>2.58486597867921</v>
      </c>
      <c r="AO78" s="59" t="n">
        <f aca="false">AO58/AO76</f>
        <v>3.85636685624766</v>
      </c>
      <c r="AP78" s="59" t="n">
        <f aca="false">AP58/AP76</f>
        <v>1.18908149712223</v>
      </c>
      <c r="AQ78" s="59" t="n">
        <f aca="false">AQ58/AQ76</f>
        <v>1.46017947757382</v>
      </c>
      <c r="AR78" s="59" t="n">
        <f aca="false">AR58/AR76</f>
        <v>1.62461260770357</v>
      </c>
      <c r="AS78" s="59" t="n">
        <f aca="false">AS58/AS76</f>
        <v>2.44347903824541</v>
      </c>
      <c r="AT78" s="59" t="n">
        <f aca="false">AT58/AT76</f>
        <v>1.32231039062766</v>
      </c>
      <c r="AU78" s="59" t="n">
        <f aca="false">AU58/AU76</f>
        <v>1.65746006879406</v>
      </c>
      <c r="AV78" s="59" t="n">
        <f aca="false">AV58/AV76</f>
        <v>2.05162960187992</v>
      </c>
      <c r="AW78" s="59" t="n">
        <f aca="false">AW58/AW76</f>
        <v>2.70236129317829</v>
      </c>
      <c r="AX78" s="59" t="n">
        <f aca="false">AX58/AX76</f>
        <v>1.34838863446773</v>
      </c>
      <c r="AZ78" s="43"/>
      <c r="BA78" s="43"/>
      <c r="BB78" s="43"/>
      <c r="BC78" s="43"/>
      <c r="BD78" s="43"/>
      <c r="BE78" s="43"/>
      <c r="BF78" s="43"/>
      <c r="BG78" s="43"/>
      <c r="BH78" s="43"/>
      <c r="BI78" s="43"/>
      <c r="BJ78" s="43"/>
      <c r="BK78" s="43"/>
      <c r="BL78" s="43"/>
      <c r="BM78" s="43"/>
      <c r="BN78" s="43"/>
      <c r="BO78" s="43"/>
      <c r="BP78" s="43"/>
      <c r="BQ78" s="43"/>
      <c r="BR78" s="43"/>
      <c r="BS78" s="43"/>
      <c r="BT78" s="43"/>
      <c r="BU78" s="43"/>
      <c r="BV78" s="43"/>
      <c r="BW78" s="43"/>
      <c r="BX78" s="43"/>
      <c r="BY78" s="43"/>
      <c r="BZ78" s="43"/>
      <c r="CA78" s="43"/>
      <c r="CB78" s="43"/>
      <c r="CC78" s="43"/>
      <c r="CE78" s="43"/>
      <c r="CF78" s="43"/>
      <c r="CG78" s="59" t="n">
        <f aca="false">CG58/CG76</f>
        <v>0</v>
      </c>
      <c r="CI78" s="43"/>
      <c r="CJ78" s="59" t="n">
        <f aca="false">CJ58/CJ76</f>
        <v>0</v>
      </c>
      <c r="CK78" s="43"/>
      <c r="CL78" s="43"/>
      <c r="CM78" s="43"/>
      <c r="CN78" s="43"/>
    </row>
    <row r="79" customFormat="false" ht="15" hidden="false" customHeight="true" outlineLevel="0" collapsed="false">
      <c r="A79" s="29" t="s">
        <v>914</v>
      </c>
      <c r="B79" s="59" t="n">
        <f aca="false">B50/B76</f>
        <v>0.507737852615009</v>
      </c>
      <c r="C79" s="59" t="n">
        <f aca="false">C50/C76</f>
        <v>0.605118276244959</v>
      </c>
      <c r="D79" s="59" t="n">
        <f aca="false">D50/D76</f>
        <v>0.750925899897396</v>
      </c>
      <c r="E79" s="59" t="n">
        <f aca="false">E50/E76</f>
        <v>-0.494790714998526</v>
      </c>
      <c r="F79" s="59" t="n">
        <f aca="false">F50/F76</f>
        <v>1.02177323007295</v>
      </c>
      <c r="G79" s="59" t="n">
        <f aca="false">G50/G76</f>
        <v>1.03451305044485</v>
      </c>
      <c r="H79" s="59" t="n">
        <f aca="false">H50/H76</f>
        <v>0.568246025833836</v>
      </c>
      <c r="I79" s="59" t="n">
        <f aca="false">I50/I76</f>
        <v>1.67317982486964</v>
      </c>
      <c r="J79" s="59" t="n">
        <f aca="false">J50/J76</f>
        <v>0.380092108833032</v>
      </c>
      <c r="K79" s="59" t="n">
        <f aca="false">K50/K76</f>
        <v>1.14216763971628</v>
      </c>
      <c r="L79" s="59" t="n">
        <f aca="false">L50/L76</f>
        <v>1.53636217044263</v>
      </c>
      <c r="M79" s="59" t="n">
        <f aca="false">M50/M76</f>
        <v>1.65645177821052</v>
      </c>
      <c r="N79" s="59" t="n">
        <f aca="false">N50/N76</f>
        <v>2.28001392500721</v>
      </c>
      <c r="O79" s="59" t="n">
        <f aca="false">O50/O76</f>
        <v>2.53149378300119</v>
      </c>
      <c r="P79" s="59" t="n">
        <f aca="false">P50/P76</f>
        <v>1.26439167943239</v>
      </c>
      <c r="Q79" s="59" t="n">
        <f aca="false">Q50/Q76</f>
        <v>1.44043198952686</v>
      </c>
      <c r="R79" s="59" t="n">
        <f aca="false">R50/R76</f>
        <v>1.57007940943758</v>
      </c>
      <c r="S79" s="59" t="n">
        <f aca="false">S50/S76</f>
        <v>1.79778572645206</v>
      </c>
      <c r="T79" s="59" t="n">
        <f aca="false">T50/T76</f>
        <v>1.29735990461591</v>
      </c>
      <c r="U79" s="59" t="n">
        <f aca="false">U50/U76</f>
        <v>2.2244592062681</v>
      </c>
      <c r="V79" s="59" t="n">
        <f aca="false">V50/V76</f>
        <v>0.784261624936128</v>
      </c>
      <c r="W79" s="59" t="n">
        <f aca="false">W50/W76</f>
        <v>0.132413558167264</v>
      </c>
      <c r="X79" s="59" t="n">
        <f aca="false">X50/X76</f>
        <v>0.0945324476239142</v>
      </c>
      <c r="Y79" s="59" t="n">
        <f aca="false">Y50/Y76</f>
        <v>-0.195264861182081</v>
      </c>
      <c r="Z79" s="59" t="n">
        <f aca="false">Z50/Z76</f>
        <v>-1.32447623914154</v>
      </c>
      <c r="AA79" s="59" t="n">
        <f aca="false">AA50/AA76</f>
        <v>-0.49964230965764</v>
      </c>
      <c r="AB79" s="59" t="n">
        <f aca="false">AB50/AB76</f>
        <v>-0.0660194174757252</v>
      </c>
      <c r="AC79" s="59" t="n">
        <f aca="false">AC50/AC76</f>
        <v>0.821563617782317</v>
      </c>
      <c r="AD79" s="59" t="n">
        <f aca="false">AD50/AD76</f>
        <v>-0.961641969000171</v>
      </c>
      <c r="AE79" s="59" t="n">
        <f aca="false">AE50/AE76</f>
        <v>-0.282779764946349</v>
      </c>
      <c r="AF79" s="59" t="n">
        <f aca="false">AF50/AF76</f>
        <v>0.0196218702095049</v>
      </c>
      <c r="AG79" s="59" t="n">
        <f aca="false">AG50/AG76</f>
        <v>3.07058422755919</v>
      </c>
      <c r="AH79" s="59" t="n">
        <f aca="false">AH50/AH76</f>
        <v>0.231817407596663</v>
      </c>
      <c r="AI79" s="59" t="n">
        <f aca="false">AI50/AI76</f>
        <v>0.678964401294496</v>
      </c>
      <c r="AJ79" s="59" t="n">
        <f aca="false">AJ50/AJ76</f>
        <v>1.23093169817748</v>
      </c>
      <c r="AK79" s="59" t="n">
        <f aca="false">AK50/AK76</f>
        <v>2.55921119852865</v>
      </c>
      <c r="AL79" s="59" t="n">
        <f aca="false">AL50/AL76</f>
        <v>1.96321651169919</v>
      </c>
      <c r="AM79" s="59" t="n">
        <f aca="false">AM50/AM76</f>
        <v>1.91073192329961</v>
      </c>
      <c r="AN79" s="59" t="n">
        <f aca="false">AN50/AN76</f>
        <v>1.9755117332516</v>
      </c>
      <c r="AO79" s="59" t="n">
        <f aca="false">AO50/AO76</f>
        <v>3.06647822089024</v>
      </c>
      <c r="AP79" s="59" t="n">
        <f aca="false">AP50/AP76</f>
        <v>0.894969860027926</v>
      </c>
      <c r="AQ79" s="59" t="n">
        <f aca="false">AQ50/AQ76</f>
        <v>1.31134420869802</v>
      </c>
      <c r="AR79" s="59" t="n">
        <f aca="false">AR50/AR76</f>
        <v>1.29710860606886</v>
      </c>
      <c r="AS79" s="59" t="n">
        <f aca="false">AS50/AS76</f>
        <v>2.12149644109934</v>
      </c>
      <c r="AT79" s="59" t="n">
        <f aca="false">AT50/AT76</f>
        <v>1.01101726662807</v>
      </c>
      <c r="AU79" s="59" t="n">
        <f aca="false">AU50/AU76</f>
        <v>1.31297891904778</v>
      </c>
      <c r="AV79" s="59" t="n">
        <f aca="false">AV50/AV76</f>
        <v>1.35548138814154</v>
      </c>
      <c r="AW79" s="59" t="n">
        <f aca="false">AW50/AW76</f>
        <v>2.39146052877985</v>
      </c>
      <c r="AX79" s="59" t="n">
        <f aca="false">AX50/AX76</f>
        <v>1.03697713614464</v>
      </c>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3"/>
      <c r="BY79" s="43"/>
      <c r="BZ79" s="43"/>
      <c r="CA79" s="43"/>
      <c r="CB79" s="43"/>
      <c r="CC79" s="43"/>
      <c r="CE79" s="43"/>
      <c r="CF79" s="43"/>
      <c r="CG79" s="59" t="n">
        <f aca="false">CG50/CG76</f>
        <v>6.07146749310359</v>
      </c>
      <c r="CI79" s="43"/>
      <c r="CJ79" s="59" t="n">
        <f aca="false">CJ50/CJ76</f>
        <v>2.39198991928621</v>
      </c>
      <c r="CK79" s="43"/>
      <c r="CL79" s="43"/>
      <c r="CM79" s="43"/>
      <c r="CN79" s="43"/>
    </row>
    <row r="81" customFormat="false" ht="15" hidden="false" customHeight="true" outlineLevel="0" collapsed="false">
      <c r="A81" s="38" t="s">
        <v>915</v>
      </c>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c r="BS81" s="117"/>
      <c r="BT81" s="117"/>
      <c r="BU81" s="117"/>
      <c r="BV81" s="117"/>
      <c r="BW81" s="117"/>
      <c r="BX81" s="117"/>
      <c r="BY81" s="117"/>
      <c r="BZ81" s="117"/>
      <c r="CA81" s="117"/>
      <c r="CB81" s="117"/>
      <c r="CC81" s="117"/>
      <c r="CD81" s="117"/>
      <c r="CE81" s="117"/>
      <c r="CF81" s="117"/>
      <c r="CG81" s="117"/>
      <c r="CH81" s="117"/>
      <c r="CI81" s="117"/>
      <c r="CJ81" s="117"/>
      <c r="CK81" s="117"/>
      <c r="CL81" s="117"/>
      <c r="CM81" s="117"/>
      <c r="CN81" s="117"/>
    </row>
    <row r="82" customFormat="false" ht="15" hidden="false" customHeight="true" outlineLevel="0" collapsed="false">
      <c r="A82" s="29" t="s">
        <v>916</v>
      </c>
      <c r="B82" s="31" t="n">
        <f aca="false">+B33/B11*1000000</f>
        <v>1377680.6925424</v>
      </c>
      <c r="C82" s="31" t="n">
        <f aca="false">+C33/C11*1000000</f>
        <v>1328797.94548032</v>
      </c>
      <c r="D82" s="31" t="n">
        <f aca="false">+D33/D11*1000000</f>
        <v>1330133.82695292</v>
      </c>
      <c r="E82" s="31" t="n">
        <f aca="false">+E33/E11*1000000</f>
        <v>1357720.53007228</v>
      </c>
      <c r="F82" s="31" t="n">
        <f aca="false">+F33/F11*1000000</f>
        <v>1366545.70832665</v>
      </c>
      <c r="G82" s="31" t="n">
        <f aca="false">+G33/G11*1000000</f>
        <v>1382257.13943961</v>
      </c>
      <c r="H82" s="31" t="n">
        <f aca="false">+H33/H11*1000000</f>
        <v>1375281.15959682</v>
      </c>
      <c r="I82" s="31" t="n">
        <f aca="false">+I33/I11*1000000</f>
        <v>1389698.91434451</v>
      </c>
      <c r="J82" s="31" t="n">
        <f aca="false">+J33/J11*1000000</f>
        <v>1494247.44692051</v>
      </c>
      <c r="K82" s="31" t="n">
        <f aca="false">+K33/K11*1000000</f>
        <v>1482586.92204465</v>
      </c>
      <c r="L82" s="31" t="n">
        <f aca="false">+L33/L11*1000000</f>
        <v>1524662.83705577</v>
      </c>
      <c r="M82" s="31" t="n">
        <f aca="false">+M33/M11*1000000</f>
        <v>1541274.06010203</v>
      </c>
      <c r="N82" s="31" t="n">
        <f aca="false">+N33/N11*1000000</f>
        <v>1493571.29479867</v>
      </c>
      <c r="O82" s="31" t="n">
        <f aca="false">+O33/O11*1000000</f>
        <v>1494865.07193326</v>
      </c>
      <c r="P82" s="31" t="n">
        <f aca="false">+P33/P11*1000000</f>
        <v>1483638.85394165</v>
      </c>
      <c r="Q82" s="31" t="n">
        <f aca="false">+Q33/Q11*1000000</f>
        <v>1486628.52802241</v>
      </c>
      <c r="R82" s="31" t="n">
        <f aca="false">+R33/R11*1000000</f>
        <v>1464227.58328682</v>
      </c>
      <c r="S82" s="31" t="n">
        <f aca="false">+S33/S11*1000000</f>
        <v>1466744.93350526</v>
      </c>
      <c r="T82" s="31" t="n">
        <f aca="false">+T33/T11*1000000</f>
        <v>1445339.67049791</v>
      </c>
      <c r="U82" s="31" t="n">
        <f aca="false">+U33/U11*1000000</f>
        <v>1486186.38799751</v>
      </c>
      <c r="V82" s="31" t="n">
        <f aca="false">+V33/V11*1000000</f>
        <v>1435028.27711573</v>
      </c>
      <c r="W82" s="31" t="n">
        <f aca="false">+W33/W11*1000000</f>
        <v>1357903.10318612</v>
      </c>
      <c r="X82" s="31" t="n">
        <f aca="false">+X33/X11*1000000</f>
        <v>1287067.30769231</v>
      </c>
      <c r="Y82" s="31" t="n">
        <f aca="false">+Y33/Y11*1000000</f>
        <v>1504865.33108558</v>
      </c>
      <c r="Z82" s="31" t="n">
        <f aca="false">+Z33/Z11*1000000</f>
        <v>1706528.57891977</v>
      </c>
      <c r="AA82" s="31" t="n">
        <f aca="false">+AA33/AA11*1000000</f>
        <v>1458845.91647809</v>
      </c>
      <c r="AB82" s="31" t="n">
        <f aca="false">+AB33/AB11*1000000</f>
        <v>1440739.29961089</v>
      </c>
      <c r="AC82" s="31" t="n">
        <f aca="false">+AC33/AC11*1000000</f>
        <v>1588853.83567862</v>
      </c>
      <c r="AD82" s="31" t="n">
        <f aca="false">+AD33/AD11*1000000</f>
        <v>1640623.78384389</v>
      </c>
      <c r="AE82" s="31" t="n">
        <f aca="false">+AE33/AE11*1000000</f>
        <v>1618505.60941074</v>
      </c>
      <c r="AF82" s="31" t="n">
        <f aca="false">+AF33/AF11*1000000</f>
        <v>1624309.65167122</v>
      </c>
      <c r="AG82" s="31" t="n">
        <f aca="false">+AG33/AG11*1000000</f>
        <v>1794841.84814959</v>
      </c>
      <c r="AH82" s="31" t="n">
        <f aca="false">+AH33/AH11*1000000</f>
        <v>1821606.0124587</v>
      </c>
      <c r="AI82" s="31" t="n">
        <f aca="false">+AI33/AI11*1000000</f>
        <v>1824914.44971851</v>
      </c>
      <c r="AJ82" s="31" t="n">
        <f aca="false">+AJ33/AJ11*1000000</f>
        <v>1898505.10912073</v>
      </c>
      <c r="AK82" s="31" t="n">
        <f aca="false">+AK33/AK11*1000000</f>
        <v>1947446.27033184</v>
      </c>
      <c r="AL82" s="31" t="n">
        <f aca="false">+AL33/AL11*1000000</f>
        <v>1981487.57531031</v>
      </c>
      <c r="AM82" s="31" t="n">
        <f aca="false">+AM33/AM11*1000000</f>
        <v>1933563.3751956</v>
      </c>
      <c r="AN82" s="31" t="n">
        <f aca="false">+AN33/AN11*1000000</f>
        <v>1962915.68764421</v>
      </c>
      <c r="AO82" s="31" t="n">
        <f aca="false">+AO33/AO11*1000000</f>
        <v>2002290.78178038</v>
      </c>
      <c r="AP82" s="31" t="n">
        <f aca="false">+AP33/AP11*1000000</f>
        <v>1958975.23523113</v>
      </c>
      <c r="AQ82" s="31" t="n">
        <f aca="false">+AQ33/AQ11*1000000</f>
        <v>1921977.4679993</v>
      </c>
      <c r="AR82" s="31" t="n">
        <f aca="false">+AR33/AR11*1000000</f>
        <v>2042640.72062753</v>
      </c>
      <c r="AS82" s="31" t="n">
        <f aca="false">+AS33/AS11*1000000</f>
        <v>2012084.29092876</v>
      </c>
      <c r="AT82" s="31" t="n">
        <f aca="false">+AT33/AT11*1000000</f>
        <v>1972175.50522176</v>
      </c>
      <c r="AU82" s="31" t="n">
        <f aca="false">+AU33/AU11*1000000</f>
        <v>1952150.01221598</v>
      </c>
      <c r="AV82" s="31" t="n">
        <f aca="false">+AV33/AV11*1000000</f>
        <v>2001535.79175705</v>
      </c>
      <c r="AW82" s="31" t="n">
        <f aca="false">+AW33/AW11*1000000</f>
        <v>2038712.60329984</v>
      </c>
      <c r="AX82" s="31" t="n">
        <f aca="false">+AX33/AX11*1000000</f>
        <v>1975750.05639522</v>
      </c>
      <c r="AZ82" s="30"/>
      <c r="BA82" s="30"/>
      <c r="BB82" s="30"/>
      <c r="BC82" s="30"/>
      <c r="BD82" s="30"/>
      <c r="BE82" s="30"/>
      <c r="BF82" s="30"/>
      <c r="BG82" s="30"/>
      <c r="BH82" s="30"/>
      <c r="BI82" s="30"/>
      <c r="BJ82" s="30"/>
      <c r="BK82" s="30"/>
      <c r="BL82" s="30"/>
      <c r="BM82" s="30"/>
      <c r="BN82" s="30"/>
      <c r="BO82" s="30"/>
      <c r="BP82" s="30"/>
      <c r="BQ82" s="31" t="n">
        <f aca="false">+BQ33/BQ11*1000000</f>
        <v>1947446.27033184</v>
      </c>
      <c r="BR82" s="31" t="n">
        <f aca="false">+BR33/BR11*1000000</f>
        <v>1941857.82380411</v>
      </c>
      <c r="BS82" s="31" t="n">
        <f aca="false">+BS33/BS11*1000000</f>
        <v>1894892.10769169</v>
      </c>
      <c r="BT82" s="31" t="n">
        <f aca="false">+BT33/BT11*1000000</f>
        <v>1972730.26608243</v>
      </c>
      <c r="BU82" s="31" t="n">
        <f aca="false">+BU33/BU11*1000000</f>
        <v>1962244.96614477</v>
      </c>
      <c r="BV82" s="31" t="n">
        <f aca="false">+BV33/BV11*1000000</f>
        <v>1919795.73052651</v>
      </c>
      <c r="BW82" s="31" t="n">
        <f aca="false">+BW33/BW11*1000000</f>
        <v>1950807.13001929</v>
      </c>
      <c r="BX82" s="31" t="n">
        <f aca="false">+BX33/BX11*1000000</f>
        <v>2073280.33143694</v>
      </c>
      <c r="BY82" s="31" t="n">
        <f aca="false">+BY33/BY11*1000000</f>
        <v>1971842.60511018</v>
      </c>
      <c r="BZ82" s="31" t="n">
        <f aca="false">+BZ33/BZ11*1000000</f>
        <v>1962314.62769565</v>
      </c>
      <c r="CA82" s="31" t="n">
        <f aca="false">+CA33/CA11*1000000</f>
        <v>1981432.26239922</v>
      </c>
      <c r="CB82" s="31" t="n">
        <f aca="false">+CB33/CB11*1000000</f>
        <v>2028556.52494577</v>
      </c>
      <c r="CC82" s="31" t="n">
        <f aca="false">+CC33/CC11*1000000</f>
        <v>2018325.47726684</v>
      </c>
      <c r="CE82" s="30"/>
      <c r="CF82" s="30"/>
      <c r="CG82" s="30"/>
      <c r="CI82" s="30"/>
      <c r="CJ82" s="30"/>
      <c r="CK82" s="30"/>
      <c r="CL82" s="30"/>
      <c r="CM82" s="30"/>
      <c r="CN82" s="30"/>
    </row>
    <row r="83" customFormat="false" ht="15" hidden="false" customHeight="true" outlineLevel="0" collapsed="false">
      <c r="A83" s="29" t="s">
        <v>917</v>
      </c>
      <c r="B83" s="31" t="n">
        <f aca="false">+(B34+B35)/B11*1000000</f>
        <v>942744.412119492</v>
      </c>
      <c r="C83" s="31" t="n">
        <f aca="false">+(C34+C35)/C11*1000000</f>
        <v>925947.700703566</v>
      </c>
      <c r="D83" s="31" t="n">
        <f aca="false">+(D34+D35)/D11*1000000</f>
        <v>929736.420072426</v>
      </c>
      <c r="E83" s="31" t="n">
        <f aca="false">+(E34+E35)/E11*1000000</f>
        <v>956086.307223712</v>
      </c>
      <c r="F83" s="31" t="n">
        <f aca="false">+(F34+F35)/F11*1000000</f>
        <v>938472.709770576</v>
      </c>
      <c r="G83" s="31" t="n">
        <f aca="false">+(G34+G35)/G11*1000000</f>
        <v>937074.6389163</v>
      </c>
      <c r="H83" s="31" t="n">
        <f aca="false">+(H34+H35)/H11*1000000</f>
        <v>954734.797040105</v>
      </c>
      <c r="I83" s="31" t="n">
        <f aca="false">+(I34+I35)/I11*1000000</f>
        <v>999632.410071187</v>
      </c>
      <c r="J83" s="31" t="n">
        <f aca="false">+(J34+J35)/J11*1000000</f>
        <v>1032298.99982453</v>
      </c>
      <c r="K83" s="31" t="n">
        <f aca="false">+(K34+K35)/K11*1000000</f>
        <v>1050132.80468464</v>
      </c>
      <c r="L83" s="31" t="n">
        <f aca="false">+(L34+L35)/L11*1000000</f>
        <v>1089250.78235521</v>
      </c>
      <c r="M83" s="31" t="n">
        <f aca="false">+(M34+M35)/M11*1000000</f>
        <v>1074008.65949329</v>
      </c>
      <c r="N83" s="31" t="n">
        <f aca="false">+(N34+N35)/N11*1000000</f>
        <v>1073644.86251809</v>
      </c>
      <c r="O83" s="31" t="n">
        <f aca="false">+(O34+O35)/O11*1000000</f>
        <v>1063733.71924747</v>
      </c>
      <c r="P83" s="31" t="n">
        <f aca="false">+(P34+P35)/P11*1000000</f>
        <v>1032863.00947136</v>
      </c>
      <c r="Q83" s="31" t="n">
        <f aca="false">+(Q34+Q35)/Q11*1000000</f>
        <v>1024760.84221521</v>
      </c>
      <c r="R83" s="31" t="n">
        <f aca="false">+(R34+R35)/R11*1000000</f>
        <v>1064068.07290364</v>
      </c>
      <c r="S83" s="31" t="n">
        <f aca="false">+(S34+S35)/S11*1000000</f>
        <v>1058070.78658173</v>
      </c>
      <c r="T83" s="31" t="n">
        <f aca="false">+(T34+T35)/T11*1000000</f>
        <v>1013577.67977515</v>
      </c>
      <c r="U83" s="31" t="n">
        <f aca="false">+(U34+U35)/U11*1000000</f>
        <v>1080158.26347004</v>
      </c>
      <c r="V83" s="31" t="n">
        <f aca="false">+(V34+V35)/V11*1000000</f>
        <v>1003246.81882448</v>
      </c>
      <c r="W83" s="31" t="n">
        <f aca="false">+(W34+W35)/W11*1000000</f>
        <v>937625.267813947</v>
      </c>
      <c r="X83" s="31" t="n">
        <f aca="false">+(X34+X35)/X11*1000000</f>
        <v>946548.076923077</v>
      </c>
      <c r="Y83" s="31" t="n">
        <f aca="false">+(Y34+Y35)/Y11*1000000</f>
        <v>1069886.69776924</v>
      </c>
      <c r="Z83" s="31" t="n">
        <f aca="false">+(Z34+Z35)/Z11*1000000</f>
        <v>1094520.18877819</v>
      </c>
      <c r="AA83" s="31" t="n">
        <f aca="false">+(AA34+AA35)/AA11*1000000</f>
        <v>1038911.74655421</v>
      </c>
      <c r="AB83" s="31" t="n">
        <f aca="false">+(AB34+AB35)/AB11*1000000</f>
        <v>1072256.80933852</v>
      </c>
      <c r="AC83" s="31" t="n">
        <f aca="false">+(AC34+AC35)/AC11*1000000</f>
        <v>1221831.59328189</v>
      </c>
      <c r="AD83" s="31" t="n">
        <f aca="false">+(AD34+AD35)/AD11*1000000</f>
        <v>1216017.12347807</v>
      </c>
      <c r="AE83" s="31" t="n">
        <f aca="false">+(AE34+AE35)/AE11*1000000</f>
        <v>1241164.72424936</v>
      </c>
      <c r="AF83" s="31" t="n">
        <f aca="false">+(AF34+AF35)/AF11*1000000</f>
        <v>1265695.33703084</v>
      </c>
      <c r="AG83" s="31" t="n">
        <f aca="false">+(AG34+AG35)/AG11*1000000</f>
        <v>1404415.11525278</v>
      </c>
      <c r="AH83" s="31" t="n">
        <f aca="false">+(AH34+AH35)/AH11*1000000</f>
        <v>1444616.78141787</v>
      </c>
      <c r="AI83" s="31" t="n">
        <f aca="false">+(AI34+AI35)/AI11*1000000</f>
        <v>1423243.18357435</v>
      </c>
      <c r="AJ83" s="31" t="n">
        <f aca="false">+(AJ34+AJ35)/AJ11*1000000</f>
        <v>1447762.91997813</v>
      </c>
      <c r="AK83" s="31" t="n">
        <f aca="false">+(AK34+AK35)/AK11*1000000</f>
        <v>1472213.00902893</v>
      </c>
      <c r="AL83" s="31" t="n">
        <f aca="false">+(AL34+AL35)/AL11*1000000</f>
        <v>1460753.95001089</v>
      </c>
      <c r="AM83" s="31" t="n">
        <f aca="false">+(AM34+AM35)/AM11*1000000</f>
        <v>1421688.80150865</v>
      </c>
      <c r="AN83" s="31" t="n">
        <f aca="false">+(AN34+AN35)/AN11*1000000</f>
        <v>1417781.16466629</v>
      </c>
      <c r="AO83" s="31" t="n">
        <f aca="false">+(AO34+AO35)/AO11*1000000</f>
        <v>1437837.88586966</v>
      </c>
      <c r="AP83" s="31" t="n">
        <f aca="false">+(AP34+AP35)/AP11*1000000</f>
        <v>1413583.03146288</v>
      </c>
      <c r="AQ83" s="31" t="n">
        <f aca="false">+(AQ34+AQ35)/AQ11*1000000</f>
        <v>1367929.16009118</v>
      </c>
      <c r="AR83" s="31" t="n">
        <f aca="false">+(AR34+AR35)/AR11*1000000</f>
        <v>1459848.28894061</v>
      </c>
      <c r="AS83" s="31" t="n">
        <f aca="false">+(AS34+AS35)/AS11*1000000</f>
        <v>1419970.9341625</v>
      </c>
      <c r="AT83" s="31" t="n">
        <f aca="false">+(AT34+AT35)/AT11*1000000</f>
        <v>1393107.73543108</v>
      </c>
      <c r="AU83" s="31" t="n">
        <f aca="false">+(AU34+AU35)/AU11*1000000</f>
        <v>1389300.83883052</v>
      </c>
      <c r="AV83" s="31" t="n">
        <f aca="false">+(AV34+AV35)/AV11*1000000</f>
        <v>1444737.52711497</v>
      </c>
      <c r="AW83" s="31" t="n">
        <f aca="false">+(AW34+AW35)/AW11*1000000</f>
        <v>1454882.08701661</v>
      </c>
      <c r="AX83" s="31" t="n">
        <f aca="false">+(AX34+AX35)/AX11*1000000</f>
        <v>1413446.67063142</v>
      </c>
      <c r="AZ83" s="30"/>
      <c r="BA83" s="30"/>
      <c r="BB83" s="30"/>
      <c r="BC83" s="30"/>
      <c r="BD83" s="30"/>
      <c r="BE83" s="30"/>
      <c r="BF83" s="30"/>
      <c r="BG83" s="30"/>
      <c r="BH83" s="30"/>
      <c r="BI83" s="30"/>
      <c r="BJ83" s="30"/>
      <c r="BK83" s="30"/>
      <c r="BL83" s="30"/>
      <c r="BM83" s="30"/>
      <c r="BN83" s="30"/>
      <c r="BO83" s="30"/>
      <c r="BP83" s="30"/>
      <c r="BQ83" s="31" t="n">
        <f aca="false">+(BQ34+BQ35)/BQ11*1000000</f>
        <v>1464479.59528955</v>
      </c>
      <c r="BR83" s="31" t="n">
        <f aca="false">+(BR34+BR35)/BR11*1000000</f>
        <v>1436974.78961504</v>
      </c>
      <c r="BS83" s="31" t="n">
        <f aca="false">+(BS34+BS35)/BS11*1000000</f>
        <v>1390850.8070457</v>
      </c>
      <c r="BT83" s="31" t="n">
        <f aca="false">+(BT34+BT35)/BT11*1000000</f>
        <v>1440093.09424017</v>
      </c>
      <c r="BU83" s="31" t="n">
        <f aca="false">+(BU34+BU35)/BU11*1000000</f>
        <v>1420665.35548881</v>
      </c>
      <c r="BV83" s="31" t="n">
        <f aca="false">+(BV34+BV35)/BV11*1000000</f>
        <v>1386092.51744014</v>
      </c>
      <c r="BW83" s="31" t="n">
        <f aca="false">+(BW34+BW35)/BW11*1000000</f>
        <v>1392876.29083377</v>
      </c>
      <c r="BX83" s="31" t="n">
        <f aca="false">+(BX34+BX35)/BX11*1000000</f>
        <v>1482395.43697742</v>
      </c>
      <c r="BY83" s="31" t="n">
        <f aca="false">+(BY34+BY35)/BY11*1000000</f>
        <v>1405923.77744356</v>
      </c>
      <c r="BZ83" s="31" t="n">
        <f aca="false">+(BZ34+BZ35)/BZ11*1000000</f>
        <v>1395205.7002916</v>
      </c>
      <c r="CA83" s="31" t="n">
        <f aca="false">+(CA34+CA35)/CA11*1000000</f>
        <v>1422668.36440264</v>
      </c>
      <c r="CB83" s="31" t="n">
        <f aca="false">+(CB34+CB35)/CB11*1000000</f>
        <v>1472732.03711063</v>
      </c>
      <c r="CC83" s="31" t="n">
        <f aca="false">+(CC34+CC35)/CC11*1000000</f>
        <v>1477414.24935932</v>
      </c>
      <c r="CE83" s="30"/>
      <c r="CF83" s="30"/>
      <c r="CG83" s="30"/>
      <c r="CI83" s="30"/>
      <c r="CJ83" s="30"/>
      <c r="CK83" s="30"/>
      <c r="CL83" s="30"/>
      <c r="CM83" s="30"/>
      <c r="CN83" s="30"/>
    </row>
    <row r="84" customFormat="false" ht="15" hidden="false" customHeight="true" outlineLevel="0" collapsed="false">
      <c r="A84" s="29" t="s">
        <v>918</v>
      </c>
      <c r="B84" s="31" t="n">
        <f aca="false">+(B33-B34-B35)/B11*1000000</f>
        <v>434936.280422905</v>
      </c>
      <c r="C84" s="31" t="n">
        <f aca="false">+(C33-C34-C35)/C11*1000000</f>
        <v>402850.244776758</v>
      </c>
      <c r="D84" s="31" t="n">
        <f aca="false">+(D33-D34-D35)/D11*1000000</f>
        <v>400397.406880497</v>
      </c>
      <c r="E84" s="31" t="n">
        <f aca="false">+(E33-E34-E35)/E11*1000000</f>
        <v>401634.22284857</v>
      </c>
      <c r="F84" s="31" t="n">
        <f aca="false">+(F33-F34-F35)/F11*1000000</f>
        <v>428072.998556073</v>
      </c>
      <c r="G84" s="31" t="n">
        <f aca="false">+(G33-G34-G35)/G11*1000000</f>
        <v>445182.50052331</v>
      </c>
      <c r="H84" s="31" t="n">
        <f aca="false">+(H33-H34-H35)/H11*1000000</f>
        <v>420546.362556716</v>
      </c>
      <c r="I84" s="31" t="n">
        <f aca="false">+(I33-I34-I35)/I11*1000000</f>
        <v>390066.504273325</v>
      </c>
      <c r="J84" s="31" t="n">
        <f aca="false">+(J33-J34-J35)/J11*1000000</f>
        <v>461948.447095982</v>
      </c>
      <c r="K84" s="31" t="n">
        <f aca="false">+(K33-K34-K35)/K11*1000000</f>
        <v>432454.11736001</v>
      </c>
      <c r="L84" s="31" t="n">
        <f aca="false">+(L33-L34-L35)/L11*1000000</f>
        <v>435412.054700562</v>
      </c>
      <c r="M84" s="31" t="n">
        <f aca="false">+(M33-M34-M35)/M11*1000000</f>
        <v>467265.400608737</v>
      </c>
      <c r="N84" s="31" t="n">
        <f aca="false">+(N33-N34-N35)/N11*1000000</f>
        <v>419926.432280582</v>
      </c>
      <c r="O84" s="31" t="n">
        <f aca="false">+(O33-O34-O35)/O11*1000000</f>
        <v>431131.352685792</v>
      </c>
      <c r="P84" s="31" t="n">
        <f aca="false">+(P33-P34-P35)/P11*1000000</f>
        <v>450775.844470292</v>
      </c>
      <c r="Q84" s="31" t="n">
        <f aca="false">+(Q33-Q34-Q35)/Q11*1000000</f>
        <v>461867.685807202</v>
      </c>
      <c r="R84" s="31" t="n">
        <f aca="false">+(R33-R34-R35)/R11*1000000</f>
        <v>400159.510383187</v>
      </c>
      <c r="S84" s="31" t="n">
        <f aca="false">+(S33-S34-S35)/S11*1000000</f>
        <v>408674.146923536</v>
      </c>
      <c r="T84" s="31" t="n">
        <f aca="false">+(T33-T34-T35)/T11*1000000</f>
        <v>431761.990722757</v>
      </c>
      <c r="U84" s="31" t="n">
        <f aca="false">+(U33-U34-U35)/U11*1000000</f>
        <v>406028.124527478</v>
      </c>
      <c r="V84" s="31" t="n">
        <f aca="false">+(V33-V34-V35)/V11*1000000</f>
        <v>431781.458291254</v>
      </c>
      <c r="W84" s="31" t="n">
        <f aca="false">+(W33-W34-W35)/W11*1000000</f>
        <v>420277.835372175</v>
      </c>
      <c r="X84" s="31" t="n">
        <f aca="false">+(X33-X34-X35)/X11*1000000</f>
        <v>340519.230769231</v>
      </c>
      <c r="Y84" s="31" t="n">
        <f aca="false">+(Y33-Y34-Y35)/Y11*1000000</f>
        <v>434978.633316345</v>
      </c>
      <c r="Z84" s="31" t="n">
        <f aca="false">+(Z33-Z34-Z35)/Z11*1000000</f>
        <v>612008.390141584</v>
      </c>
      <c r="AA84" s="31" t="n">
        <f aca="false">+(AA33-AA34-AA35)/AA11*1000000</f>
        <v>419934.169923884</v>
      </c>
      <c r="AB84" s="31" t="n">
        <f aca="false">+(AB33-AB34-AB35)/AB11*1000000</f>
        <v>368482.490272374</v>
      </c>
      <c r="AC84" s="31" t="n">
        <f aca="false">+(AC33-AC34-AC35)/AC11*1000000</f>
        <v>367022.242396732</v>
      </c>
      <c r="AD84" s="31" t="n">
        <f aca="false">+(AD33-AD34-AD35)/AD11*1000000</f>
        <v>424606.66036582</v>
      </c>
      <c r="AE84" s="31" t="n">
        <f aca="false">+(AE33-AE34-AE35)/AE11*1000000</f>
        <v>377340.885161384</v>
      </c>
      <c r="AF84" s="31" t="n">
        <f aca="false">+(AF33-AF34-AF35)/AF11*1000000</f>
        <v>358614.314640373</v>
      </c>
      <c r="AG84" s="31" t="n">
        <f aca="false">+(AG33-AG34-AG35)/AG11*1000000</f>
        <v>390426.732896816</v>
      </c>
      <c r="AH84" s="31" t="n">
        <f aca="false">+(AH33-AH34-AH35)/AH11*1000000</f>
        <v>376989.231040831</v>
      </c>
      <c r="AI84" s="31" t="n">
        <f aca="false">+(AI33-AI34-AI35)/AI11*1000000</f>
        <v>401671.266144166</v>
      </c>
      <c r="AJ84" s="31" t="n">
        <f aca="false">+(AJ33-AJ34-AJ35)/AJ11*1000000</f>
        <v>450742.189142593</v>
      </c>
      <c r="AK84" s="31" t="n">
        <f aca="false">+(AK33-AK34-AK35)/AK11*1000000</f>
        <v>475233.261302913</v>
      </c>
      <c r="AL84" s="31" t="n">
        <f aca="false">+(AL33-AL34-AL35)/AL11*1000000</f>
        <v>520733.625299426</v>
      </c>
      <c r="AM84" s="31" t="n">
        <f aca="false">+(AM33-AM34-AM35)/AM11*1000000</f>
        <v>511874.573686956</v>
      </c>
      <c r="AN84" s="31" t="n">
        <f aca="false">+(AN33-AN34-AN35)/AN11*1000000</f>
        <v>545134.522977922</v>
      </c>
      <c r="AO84" s="31" t="n">
        <f aca="false">+(AO33-AO34-AO35)/AO11*1000000</f>
        <v>564452.895910715</v>
      </c>
      <c r="AP84" s="31" t="n">
        <f aca="false">+(AP33-AP34-AP35)/AP11*1000000</f>
        <v>545392.203768255</v>
      </c>
      <c r="AQ84" s="31" t="n">
        <f aca="false">+(AQ33-AQ34-AQ35)/AQ11*1000000</f>
        <v>554048.307908119</v>
      </c>
      <c r="AR84" s="31" t="n">
        <f aca="false">+(AR33-AR34-AR35)/AR11*1000000</f>
        <v>582792.431686924</v>
      </c>
      <c r="AS84" s="31" t="n">
        <f aca="false">+(AS33-AS34-AS35)/AS11*1000000</f>
        <v>592113.356766257</v>
      </c>
      <c r="AT84" s="31" t="n">
        <f aca="false">+(AT33-AT34-AT35)/AT11*1000000</f>
        <v>579067.769790678</v>
      </c>
      <c r="AU84" s="31" t="n">
        <f aca="false">+(AU33-AU34-AU35)/AU11*1000000</f>
        <v>562849.173385455</v>
      </c>
      <c r="AV84" s="31" t="n">
        <f aca="false">+(AV33-AV34-AV35)/AV11*1000000</f>
        <v>556798.264642082</v>
      </c>
      <c r="AW84" s="31" t="n">
        <f aca="false">+(AW33-AW34-AW35)/AW11*1000000</f>
        <v>583830.516283221</v>
      </c>
      <c r="AX84" s="31" t="n">
        <f aca="false">+(AX33-AX34-AX35)/AX11*1000000</f>
        <v>562303.385763797</v>
      </c>
      <c r="AZ84" s="30"/>
      <c r="BA84" s="30"/>
      <c r="BB84" s="30"/>
      <c r="BC84" s="30"/>
      <c r="BD84" s="30"/>
      <c r="BE84" s="30"/>
      <c r="BF84" s="30"/>
      <c r="BG84" s="30"/>
      <c r="BH84" s="30"/>
      <c r="BI84" s="30"/>
      <c r="BJ84" s="30"/>
      <c r="BK84" s="30"/>
      <c r="BL84" s="30"/>
      <c r="BM84" s="30"/>
      <c r="BN84" s="30"/>
      <c r="BO84" s="30"/>
      <c r="BP84" s="30"/>
      <c r="BQ84" s="31" t="n">
        <f aca="false">+(BQ33-BQ34-BQ35)/BQ11*1000000</f>
        <v>482966.675042297</v>
      </c>
      <c r="BR84" s="31" t="n">
        <f aca="false">+(BR33-BR34-BR35)/BR11*1000000</f>
        <v>504883.034189068</v>
      </c>
      <c r="BS84" s="31" t="n">
        <f aca="false">+(BS33-BS34-BS35)/BS11*1000000</f>
        <v>504041.30064599</v>
      </c>
      <c r="BT84" s="31" t="n">
        <f aca="false">+(BT33-BT34-BT35)/BT11*1000000</f>
        <v>532637.171842256</v>
      </c>
      <c r="BU84" s="31" t="n">
        <f aca="false">+(BU33-BU34-BU35)/BU11*1000000</f>
        <v>541579.610655956</v>
      </c>
      <c r="BV84" s="31" t="n">
        <f aca="false">+(BV33-BV34-BV35)/BV11*1000000</f>
        <v>533703.213086369</v>
      </c>
      <c r="BW84" s="31" t="n">
        <f aca="false">+(BW33-BW34-BW35)/BW11*1000000</f>
        <v>557930.839185516</v>
      </c>
      <c r="BX84" s="31" t="n">
        <f aca="false">+(BX33-BX34-BX35)/BX11*1000000</f>
        <v>590884.894459529</v>
      </c>
      <c r="BY84" s="31" t="n">
        <f aca="false">+(BY33-BY34-BY35)/BY11*1000000</f>
        <v>565918.827666622</v>
      </c>
      <c r="BZ84" s="31" t="n">
        <f aca="false">+(BZ33-BZ34-BZ35)/BZ11*1000000</f>
        <v>567108.927404042</v>
      </c>
      <c r="CA84" s="31" t="n">
        <f aca="false">+(CA33-CA34-CA35)/CA11*1000000</f>
        <v>558763.89799658</v>
      </c>
      <c r="CB84" s="31" t="n">
        <f aca="false">+(CB33-CB34-CB35)/CB11*1000000</f>
        <v>555824.487835141</v>
      </c>
      <c r="CC84" s="31" t="n">
        <f aca="false">+(CC33-CC34-CC35)/CC11*1000000</f>
        <v>540911.227907513</v>
      </c>
      <c r="CE84" s="30"/>
      <c r="CF84" s="30"/>
      <c r="CG84" s="30"/>
      <c r="CI84" s="30"/>
      <c r="CJ84" s="30"/>
      <c r="CK84" s="30"/>
      <c r="CL84" s="30"/>
      <c r="CM84" s="30"/>
      <c r="CN84" s="30"/>
    </row>
    <row r="85" customFormat="false" ht="15" hidden="false" customHeight="true" outlineLevel="0" collapsed="false">
      <c r="A85" s="29" t="s">
        <v>919</v>
      </c>
      <c r="B85" s="31" t="n">
        <f aca="false">+B40/B11*1000000</f>
        <v>139253.884907401</v>
      </c>
      <c r="C85" s="31" t="n">
        <f aca="false">+C40/C11*1000000</f>
        <v>166935.769508574</v>
      </c>
      <c r="D85" s="31" t="n">
        <f aca="false">+D40/D11*1000000</f>
        <v>145259.926280393</v>
      </c>
      <c r="E85" s="31" t="n">
        <f aca="false">+E40/E11*1000000</f>
        <v>178094.421966632</v>
      </c>
      <c r="F85" s="31" t="n">
        <f aca="false">+F40/F11*1000000</f>
        <v>154671.137493984</v>
      </c>
      <c r="G85" s="31" t="n">
        <f aca="false">+G40/G11*1000000</f>
        <v>160427.917825424</v>
      </c>
      <c r="H85" s="31" t="n">
        <f aca="false">+H40/H11*1000000</f>
        <v>138285.575078413</v>
      </c>
      <c r="I85" s="31" t="n">
        <f aca="false">+I40/I11*1000000</f>
        <v>153273.051804876</v>
      </c>
      <c r="J85" s="31" t="n">
        <f aca="false">+J40/J11*1000000</f>
        <v>107412.739077031</v>
      </c>
      <c r="K85" s="31" t="n">
        <f aca="false">+K40/K11*1000000</f>
        <v>149273.368305478</v>
      </c>
      <c r="L85" s="31" t="n">
        <f aca="false">+L40/L11*1000000</f>
        <v>168994.662837056</v>
      </c>
      <c r="M85" s="31" t="n">
        <f aca="false">+M40/M11*1000000</f>
        <v>179900.973121276</v>
      </c>
      <c r="N85" s="31" t="n">
        <f aca="false">+N40/N11*1000000</f>
        <v>175820.805311995</v>
      </c>
      <c r="O85" s="31" t="n">
        <f aca="false">+O40/O11*1000000</f>
        <v>191647.229079765</v>
      </c>
      <c r="P85" s="31" t="n">
        <f aca="false">+P40/P11*1000000</f>
        <v>153713.010658248</v>
      </c>
      <c r="Q85" s="31" t="n">
        <f aca="false">+Q40/Q11*1000000</f>
        <v>159432.193130296</v>
      </c>
      <c r="R85" s="31" t="n">
        <f aca="false">+R40/R11*1000000</f>
        <v>155109.105256068</v>
      </c>
      <c r="S85" s="31" t="n">
        <f aca="false">+S40/S11*1000000</f>
        <v>159554.648857754</v>
      </c>
      <c r="T85" s="31" t="n">
        <f aca="false">+T40/T11*1000000</f>
        <v>148442.748440463</v>
      </c>
      <c r="U85" s="31" t="n">
        <f aca="false">+U40/U11*1000000</f>
        <v>165561.734513869</v>
      </c>
      <c r="V85" s="31" t="n">
        <f aca="false">+V40/V11*1000000</f>
        <v>135571.096748132</v>
      </c>
      <c r="W85" s="31" t="n">
        <f aca="false">+W40/W11*1000000</f>
        <v>78989.5638952244</v>
      </c>
      <c r="X85" s="31" t="n">
        <f aca="false">+X40/X11*1000000</f>
        <v>72163.4615384615</v>
      </c>
      <c r="Y85" s="31" t="n">
        <f aca="false">+Y40/Y11*1000000</f>
        <v>71725.4087113342</v>
      </c>
      <c r="Z85" s="31" t="n">
        <f aca="false">+Z40/Z11*1000000</f>
        <v>-873728.36916623</v>
      </c>
      <c r="AA85" s="31" t="n">
        <f aca="false">+AA40/AA11*1000000</f>
        <v>41364.9454844682</v>
      </c>
      <c r="AB85" s="31" t="n">
        <f aca="false">+AB40/AB11*1000000</f>
        <v>75962.2867404971</v>
      </c>
      <c r="AC85" s="31" t="n">
        <f aca="false">+AC40/AC11*1000000</f>
        <v>121234.679981843</v>
      </c>
      <c r="AD85" s="31" t="n">
        <f aca="false">+AD40/AD11*1000000</f>
        <v>-77889.5869238895</v>
      </c>
      <c r="AE85" s="31" t="n">
        <f aca="false">+AE40/AE11*1000000</f>
        <v>48901.717314744</v>
      </c>
      <c r="AF85" s="31" t="n">
        <f aca="false">+AF40/AF11*1000000</f>
        <v>65701.2060920856</v>
      </c>
      <c r="AG85" s="31" t="n">
        <f aca="false">+AG40/AG11*1000000</f>
        <v>159288.983764034</v>
      </c>
      <c r="AH85" s="31" t="n">
        <f aca="false">+AH40/AH11*1000000</f>
        <v>80774.7597790725</v>
      </c>
      <c r="AI85" s="31" t="n">
        <f aca="false">+AI40/AI11*1000000</f>
        <v>118631.195496192</v>
      </c>
      <c r="AJ85" s="31" t="n">
        <f aca="false">+AJ40/AJ11*1000000</f>
        <v>167642.235398007</v>
      </c>
      <c r="AK85" s="31" t="n">
        <f aca="false">+AK40/AK11*1000000</f>
        <v>213702.531115466</v>
      </c>
      <c r="AL85" s="31" t="n">
        <f aca="false">+AL40/AL11*1000000</f>
        <v>198589.368240219</v>
      </c>
      <c r="AM85" s="31" t="n">
        <f aca="false">+AM40/AM11*1000000</f>
        <v>216625.205633351</v>
      </c>
      <c r="AN85" s="31" t="n">
        <f aca="false">+AN40/AN11*1000000</f>
        <v>235797.294722805</v>
      </c>
      <c r="AO85" s="31" t="n">
        <f aca="false">+AO40/AO11*1000000</f>
        <v>282946.204837477</v>
      </c>
      <c r="AP85" s="31" t="n">
        <f aca="false">+AP40/AP11*1000000</f>
        <v>207520.561365138</v>
      </c>
      <c r="AQ85" s="31" t="n">
        <f aca="false">+AQ40/AQ11*1000000</f>
        <v>222974.75013151</v>
      </c>
      <c r="AR85" s="31" t="n">
        <f aca="false">+AR40/AR11*1000000</f>
        <v>261061.546418412</v>
      </c>
      <c r="AS85" s="31" t="n">
        <f aca="false">+AS40/AS11*1000000</f>
        <v>302649.722860619</v>
      </c>
      <c r="AT85" s="31" t="n">
        <f aca="false">+AT40/AT11*1000000</f>
        <v>219166.779691668</v>
      </c>
      <c r="AU85" s="31" t="n">
        <f aca="false">+AU40/AU11*1000000</f>
        <v>236615.359556967</v>
      </c>
      <c r="AV85" s="31" t="n">
        <f aca="false">+AV40/AV11*1000000</f>
        <v>266380.911062907</v>
      </c>
      <c r="AW85" s="31" t="n">
        <f aca="false">+AW40/AW11*1000000</f>
        <v>297376.832042385</v>
      </c>
      <c r="AX85" s="31" t="n">
        <f aca="false">+AX40/AX11*1000000</f>
        <v>198824.928736952</v>
      </c>
      <c r="AZ85" s="30"/>
      <c r="BA85" s="30"/>
      <c r="BB85" s="30"/>
      <c r="BC85" s="30"/>
      <c r="BD85" s="30"/>
      <c r="BE85" s="30"/>
      <c r="BF85" s="30"/>
      <c r="BG85" s="30"/>
      <c r="BH85" s="30"/>
      <c r="BI85" s="30"/>
      <c r="BJ85" s="30"/>
      <c r="BK85" s="30"/>
      <c r="BL85" s="30"/>
      <c r="BM85" s="30"/>
      <c r="BN85" s="30"/>
      <c r="BO85" s="30"/>
      <c r="BP85" s="30"/>
      <c r="BQ85" s="31" t="n">
        <f aca="false">+BQ40/BQ11*1000000</f>
        <v>148576.779327424</v>
      </c>
      <c r="BR85" s="31" t="n">
        <f aca="false">+BR40/BR11*1000000</f>
        <v>209974.716570804</v>
      </c>
      <c r="BS85" s="31" t="n">
        <f aca="false">+BS40/BS11*1000000</f>
        <v>194987.724303406</v>
      </c>
      <c r="BT85" s="31" t="n">
        <f aca="false">+BT40/BT11*1000000</f>
        <v>244112.477961078</v>
      </c>
      <c r="BU85" s="31" t="n">
        <f aca="false">+BU40/BU11*1000000</f>
        <v>204396.005069644</v>
      </c>
      <c r="BV85" s="31" t="n">
        <f aca="false">+BV40/BV11*1000000</f>
        <v>204928.883786001</v>
      </c>
      <c r="BW85" s="31" t="n">
        <f aca="false">+BW40/BW11*1000000</f>
        <v>230172.865734952</v>
      </c>
      <c r="BX85" s="31" t="n">
        <f aca="false">+BX40/BX11*1000000</f>
        <v>293467.022349214</v>
      </c>
      <c r="BY85" s="31" t="n">
        <f aca="false">+BY40/BY11*1000000</f>
        <v>218932.074196754</v>
      </c>
      <c r="BZ85" s="31" t="n">
        <f aca="false">+BZ40/BZ11*1000000</f>
        <v>224043.531199139</v>
      </c>
      <c r="CA85" s="31" t="n">
        <f aca="false">+CA40/CA11*1000000</f>
        <v>256811.620339313</v>
      </c>
      <c r="CB85" s="31" t="n">
        <f aca="false">+CB40/CB11*1000000</f>
        <v>285157.322065899</v>
      </c>
      <c r="CC85" s="31" t="n">
        <f aca="false">+CC40/CC11*1000000</f>
        <v>196387.716228576</v>
      </c>
      <c r="CE85" s="30"/>
      <c r="CF85" s="30"/>
      <c r="CG85" s="30"/>
      <c r="CI85" s="30"/>
      <c r="CJ85" s="30"/>
      <c r="CK85" s="30"/>
      <c r="CL85" s="30"/>
      <c r="CM85" s="30"/>
      <c r="CN85" s="30"/>
    </row>
    <row r="87" customFormat="false" ht="15" hidden="false" customHeight="true" outlineLevel="0" collapsed="false">
      <c r="A87" s="38" t="s">
        <v>920</v>
      </c>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117"/>
      <c r="CH87" s="117"/>
      <c r="CI87" s="117"/>
      <c r="CJ87" s="117"/>
      <c r="CK87" s="117"/>
      <c r="CL87" s="117"/>
      <c r="CM87" s="117"/>
      <c r="CN87" s="117"/>
    </row>
    <row r="88" customFormat="false" ht="15" hidden="false" customHeight="true" outlineLevel="0" collapsed="false">
      <c r="A88" s="29" t="s">
        <v>173</v>
      </c>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62" t="n">
        <v>11390</v>
      </c>
      <c r="AN88" s="62" t="n">
        <v>17470</v>
      </c>
      <c r="AO88" s="62" t="n">
        <v>17470</v>
      </c>
      <c r="AP88" s="62" t="n">
        <v>17470</v>
      </c>
      <c r="AQ88" s="62" t="n">
        <v>17470</v>
      </c>
      <c r="AR88" s="62" t="n">
        <v>17470</v>
      </c>
      <c r="AS88" s="62" t="n">
        <v>17470</v>
      </c>
      <c r="AT88" s="62" t="n">
        <v>17470</v>
      </c>
      <c r="AU88" s="30"/>
      <c r="AV88" s="30"/>
      <c r="AW88" s="30"/>
      <c r="AX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E88" s="30"/>
      <c r="CF88" s="30"/>
      <c r="CG88" s="30"/>
      <c r="CI88" s="30"/>
      <c r="CJ88" s="30"/>
      <c r="CK88" s="30"/>
      <c r="CL88" s="30"/>
      <c r="CM88" s="30"/>
      <c r="CN88" s="30"/>
    </row>
    <row r="89" customFormat="false" ht="15" hidden="false" customHeight="true" outlineLevel="0" collapsed="false">
      <c r="A89" s="29" t="s">
        <v>921</v>
      </c>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62" t="n">
        <v>6620</v>
      </c>
      <c r="AO89" s="62" t="n">
        <v>6620</v>
      </c>
      <c r="AP89" s="62" t="n">
        <v>6620</v>
      </c>
      <c r="AQ89" s="62" t="n">
        <v>6620</v>
      </c>
      <c r="AR89" s="62" t="n">
        <v>6620</v>
      </c>
      <c r="AS89" s="62" t="n">
        <v>6620</v>
      </c>
      <c r="AT89" s="62" t="n">
        <v>6620</v>
      </c>
      <c r="AU89" s="30"/>
      <c r="AV89" s="30"/>
      <c r="AW89" s="30"/>
      <c r="AX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E89" s="30"/>
      <c r="CF89" s="30"/>
      <c r="CG89" s="30"/>
      <c r="CI89" s="30"/>
      <c r="CJ89" s="30"/>
      <c r="CK89" s="30"/>
      <c r="CL89" s="30"/>
      <c r="CM89" s="30"/>
      <c r="CN89" s="30"/>
    </row>
    <row r="91" customFormat="false" ht="15" hidden="false" customHeight="true" outlineLevel="0" collapsed="false">
      <c r="A91" s="38" t="s">
        <v>922</v>
      </c>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7"/>
      <c r="BO91" s="117"/>
      <c r="BP91" s="117"/>
      <c r="BQ91" s="117"/>
      <c r="BR91" s="117"/>
      <c r="BS91" s="117"/>
      <c r="BT91" s="117"/>
      <c r="BU91" s="117"/>
      <c r="BV91" s="117"/>
      <c r="BW91" s="117"/>
      <c r="BX91" s="117"/>
      <c r="BY91" s="117"/>
      <c r="BZ91" s="117"/>
      <c r="CA91" s="117"/>
      <c r="CB91" s="117"/>
      <c r="CC91" s="117"/>
      <c r="CD91" s="117"/>
      <c r="CE91" s="117"/>
      <c r="CF91" s="117"/>
      <c r="CG91" s="117"/>
      <c r="CH91" s="117"/>
      <c r="CI91" s="117"/>
      <c r="CJ91" s="117"/>
      <c r="CK91" s="117"/>
      <c r="CL91" s="117"/>
      <c r="CM91" s="117"/>
      <c r="CN91" s="117"/>
    </row>
    <row r="92" customFormat="false" ht="15" hidden="false" customHeight="true" outlineLevel="0" collapsed="false">
      <c r="A92" s="29"/>
      <c r="B92" s="43"/>
      <c r="C92" s="43"/>
      <c r="D92" s="43"/>
      <c r="E92" s="43"/>
      <c r="F92" s="43"/>
      <c r="G92" s="127" t="s">
        <v>923</v>
      </c>
      <c r="H92" s="127" t="s">
        <v>924</v>
      </c>
      <c r="I92" s="127" t="s">
        <v>924</v>
      </c>
      <c r="J92" s="127" t="s">
        <v>925</v>
      </c>
      <c r="K92" s="127" t="s">
        <v>924</v>
      </c>
      <c r="L92" s="127" t="s">
        <v>926</v>
      </c>
      <c r="M92" s="43"/>
      <c r="N92" s="127" t="s">
        <v>927</v>
      </c>
      <c r="O92" s="43"/>
      <c r="P92" s="43"/>
      <c r="Q92" s="43"/>
      <c r="R92" s="43"/>
      <c r="S92" s="43"/>
      <c r="T92" s="43"/>
      <c r="U92" s="43"/>
      <c r="V92" s="43"/>
      <c r="W92" s="43"/>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Z92" s="43"/>
      <c r="BA92" s="43"/>
      <c r="BB92" s="43"/>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E92" s="43"/>
      <c r="CF92" s="43"/>
      <c r="CG92" s="43"/>
      <c r="CI92" s="43"/>
      <c r="CJ92" s="43"/>
      <c r="CK92" s="43"/>
      <c r="CL92" s="43"/>
      <c r="CM92" s="43"/>
      <c r="CN92" s="43"/>
    </row>
    <row r="93" customFormat="false" ht="15" hidden="false" customHeight="true" outlineLevel="0" collapsed="false">
      <c r="A93" s="29"/>
      <c r="B93" s="56"/>
      <c r="C93" s="56"/>
      <c r="D93" s="56"/>
      <c r="E93" s="56"/>
      <c r="F93" s="56"/>
      <c r="G93" s="127" t="s">
        <v>928</v>
      </c>
      <c r="H93" s="127" t="s">
        <v>929</v>
      </c>
      <c r="I93" s="127" t="s">
        <v>930</v>
      </c>
      <c r="J93" s="127" t="s">
        <v>931</v>
      </c>
      <c r="K93" s="127" t="s">
        <v>932</v>
      </c>
      <c r="L93" s="127" t="s">
        <v>933</v>
      </c>
      <c r="M93" s="56"/>
      <c r="N93" s="127" t="s">
        <v>934</v>
      </c>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E93" s="56"/>
      <c r="CF93" s="56"/>
      <c r="CG93" s="56"/>
      <c r="CI93" s="56"/>
      <c r="CJ93" s="56"/>
      <c r="CK93" s="56"/>
      <c r="CL93" s="56"/>
      <c r="CM93" s="56"/>
      <c r="CN93" s="56"/>
    </row>
    <row r="94" customFormat="false" ht="15" hidden="false" customHeight="true" outlineLevel="0" collapsed="false">
      <c r="A94" s="29"/>
      <c r="B94" s="43"/>
      <c r="C94" s="43"/>
      <c r="D94" s="43"/>
      <c r="E94" s="43"/>
      <c r="F94" s="43"/>
      <c r="G94" s="127" t="s">
        <v>935</v>
      </c>
      <c r="H94" s="127" t="s">
        <v>936</v>
      </c>
      <c r="I94" s="127" t="s">
        <v>937</v>
      </c>
      <c r="J94" s="127" t="s">
        <v>938</v>
      </c>
      <c r="K94" s="127" t="s">
        <v>939</v>
      </c>
      <c r="L94" s="127" t="s">
        <v>940</v>
      </c>
      <c r="M94" s="43"/>
      <c r="N94" s="127" t="s">
        <v>941</v>
      </c>
      <c r="O94" s="43"/>
      <c r="P94" s="43"/>
      <c r="Q94" s="43"/>
      <c r="R94" s="43"/>
      <c r="S94" s="43"/>
      <c r="T94" s="43"/>
      <c r="U94" s="43"/>
      <c r="V94" s="43"/>
      <c r="W94" s="43"/>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Z94" s="43"/>
      <c r="BA94" s="43"/>
      <c r="BB94" s="43"/>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E94" s="43"/>
      <c r="CF94" s="43"/>
      <c r="CG94" s="43"/>
      <c r="CI94" s="43"/>
      <c r="CJ94" s="43"/>
      <c r="CK94" s="43"/>
      <c r="CL94" s="43"/>
      <c r="CM94" s="43"/>
      <c r="CN94" s="43"/>
    </row>
    <row r="95" customFormat="false" ht="15" hidden="false" customHeight="true" outlineLevel="0" collapsed="false">
      <c r="A95" s="29"/>
      <c r="B95" s="43"/>
      <c r="C95" s="43"/>
      <c r="D95" s="43"/>
      <c r="E95" s="43"/>
      <c r="F95" s="43"/>
      <c r="G95" s="127" t="s">
        <v>942</v>
      </c>
      <c r="H95" s="127" t="s">
        <v>943</v>
      </c>
      <c r="I95" s="127" t="s">
        <v>944</v>
      </c>
      <c r="J95" s="127" t="s">
        <v>945</v>
      </c>
      <c r="K95" s="127" t="s">
        <v>946</v>
      </c>
      <c r="L95" s="127" t="s">
        <v>947</v>
      </c>
      <c r="M95" s="43"/>
      <c r="N95" s="127" t="s">
        <v>948</v>
      </c>
      <c r="O95" s="43"/>
      <c r="P95" s="43"/>
      <c r="Q95" s="43"/>
      <c r="R95" s="43"/>
      <c r="S95" s="43"/>
      <c r="T95" s="43"/>
      <c r="U95" s="43"/>
      <c r="V95" s="43"/>
      <c r="W95" s="43"/>
      <c r="X95" s="43"/>
      <c r="Y95" s="43"/>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Z95" s="43"/>
      <c r="BA95" s="43"/>
      <c r="BB95" s="43"/>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E95" s="43"/>
      <c r="CF95" s="43"/>
      <c r="CG95" s="43"/>
      <c r="CI95" s="43"/>
      <c r="CJ95" s="43"/>
      <c r="CK95" s="43"/>
      <c r="CL95" s="43"/>
      <c r="CM95" s="43"/>
      <c r="CN95" s="43"/>
    </row>
    <row r="96" customFormat="false" ht="15" hidden="false" customHeight="true" outlineLevel="0" collapsed="false">
      <c r="A96" s="29"/>
      <c r="B96" s="43"/>
      <c r="C96" s="43"/>
      <c r="D96" s="43"/>
      <c r="E96" s="43"/>
      <c r="F96" s="43"/>
      <c r="G96" s="127" t="s">
        <v>949</v>
      </c>
      <c r="H96" s="127" t="s">
        <v>950</v>
      </c>
      <c r="I96" s="127" t="s">
        <v>951</v>
      </c>
      <c r="J96" s="127" t="s">
        <v>952</v>
      </c>
      <c r="K96" s="127" t="s">
        <v>953</v>
      </c>
      <c r="L96" s="127" t="s">
        <v>954</v>
      </c>
      <c r="M96" s="43"/>
      <c r="N96" s="127" t="s">
        <v>955</v>
      </c>
      <c r="O96" s="43"/>
      <c r="P96" s="43"/>
      <c r="Q96" s="43"/>
      <c r="R96" s="43"/>
      <c r="S96" s="43"/>
      <c r="T96" s="43"/>
      <c r="U96" s="43"/>
      <c r="V96" s="43"/>
      <c r="W96" s="43"/>
      <c r="X96" s="43"/>
      <c r="Y96" s="43"/>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Z96" s="43"/>
      <c r="BA96" s="43"/>
      <c r="BB96" s="43"/>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E96" s="43"/>
      <c r="CF96" s="43"/>
      <c r="CG96" s="43"/>
      <c r="CI96" s="43"/>
      <c r="CJ96" s="43"/>
      <c r="CK96" s="43"/>
      <c r="CL96" s="43"/>
      <c r="CM96" s="43"/>
      <c r="CN96" s="43"/>
    </row>
    <row r="98" customFormat="false" ht="15" hidden="false" customHeight="true" outlineLevel="0" collapsed="false">
      <c r="A98" s="38" t="s">
        <v>956</v>
      </c>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7"/>
      <c r="BO98" s="117"/>
      <c r="BP98" s="117"/>
      <c r="BQ98" s="117"/>
      <c r="BR98" s="117"/>
      <c r="BS98" s="117"/>
      <c r="BT98" s="117"/>
      <c r="BU98" s="117"/>
      <c r="BV98" s="117"/>
      <c r="BW98" s="117"/>
      <c r="BX98" s="117"/>
      <c r="BY98" s="117"/>
      <c r="BZ98" s="117"/>
      <c r="CA98" s="117"/>
      <c r="CB98" s="117"/>
      <c r="CC98" s="117"/>
      <c r="CD98" s="117"/>
      <c r="CE98" s="117"/>
      <c r="CF98" s="117"/>
      <c r="CG98" s="117"/>
      <c r="CH98" s="117"/>
      <c r="CI98" s="117"/>
      <c r="CJ98" s="117"/>
      <c r="CK98" s="117"/>
      <c r="CL98" s="117"/>
      <c r="CM98" s="117"/>
      <c r="CN98" s="117"/>
    </row>
    <row r="99" customFormat="false" ht="15" hidden="false" customHeight="true" outlineLevel="0" collapsed="false">
      <c r="A99" s="29" t="s">
        <v>957</v>
      </c>
      <c r="B99" s="62" t="n">
        <v>1342</v>
      </c>
      <c r="C99" s="62" t="n">
        <v>2034</v>
      </c>
      <c r="D99" s="62" t="n">
        <v>1744</v>
      </c>
      <c r="E99" s="62" t="n">
        <v>2652</v>
      </c>
      <c r="F99" s="62" t="n">
        <v>2019</v>
      </c>
      <c r="G99" s="62" t="n">
        <v>2275</v>
      </c>
      <c r="H99" s="62" t="n">
        <v>2302</v>
      </c>
      <c r="I99" s="62" t="n">
        <v>2954</v>
      </c>
      <c r="J99" s="62" t="n">
        <v>2042</v>
      </c>
      <c r="K99" s="62" t="n">
        <v>3560</v>
      </c>
      <c r="L99" s="62" t="n">
        <v>3540</v>
      </c>
      <c r="M99" s="62" t="n">
        <v>3540</v>
      </c>
      <c r="N99" s="62" t="n">
        <v>4376</v>
      </c>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E99" s="30"/>
      <c r="CF99" s="30"/>
      <c r="CG99" s="30"/>
      <c r="CI99" s="30"/>
      <c r="CJ99" s="30"/>
      <c r="CK99" s="30"/>
      <c r="CL99" s="30"/>
      <c r="CM99" s="30"/>
      <c r="CN99" s="30"/>
    </row>
    <row r="100" customFormat="false" ht="15" hidden="false" customHeight="true" outlineLevel="0" collapsed="false">
      <c r="A100" s="29" t="s">
        <v>958</v>
      </c>
      <c r="B100" s="62" t="n">
        <v>4057</v>
      </c>
      <c r="C100" s="62" t="n">
        <v>5025</v>
      </c>
      <c r="D100" s="62" t="n">
        <v>3750</v>
      </c>
      <c r="E100" s="62" t="n">
        <v>5938</v>
      </c>
      <c r="F100" s="62" t="n">
        <v>4474</v>
      </c>
      <c r="G100" s="62" t="n">
        <v>5530</v>
      </c>
      <c r="H100" s="62" t="n">
        <v>5070</v>
      </c>
      <c r="I100" s="62" t="n">
        <v>6549</v>
      </c>
      <c r="J100" s="62" t="n">
        <v>2884</v>
      </c>
      <c r="K100" s="62" t="n">
        <v>4511</v>
      </c>
      <c r="L100" s="62" t="n">
        <v>3650</v>
      </c>
      <c r="M100" s="62" t="n">
        <v>3650</v>
      </c>
      <c r="N100" s="62" t="n">
        <v>4895</v>
      </c>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E100" s="30"/>
      <c r="CF100" s="30"/>
      <c r="CG100" s="30"/>
      <c r="CI100" s="30"/>
      <c r="CJ100" s="30"/>
      <c r="CK100" s="30"/>
      <c r="CL100" s="30"/>
      <c r="CM100" s="30"/>
      <c r="CN100" s="30"/>
    </row>
    <row r="101" customFormat="false" ht="15" hidden="false" customHeight="true" outlineLevel="0" collapsed="false">
      <c r="A101" s="29" t="s">
        <v>959</v>
      </c>
      <c r="B101" s="62" t="n">
        <v>3053</v>
      </c>
      <c r="C101" s="62" t="n">
        <v>4495</v>
      </c>
      <c r="D101" s="62" t="n">
        <v>3859</v>
      </c>
      <c r="E101" s="62" t="n">
        <v>6067</v>
      </c>
      <c r="F101" s="62" t="n">
        <v>4505</v>
      </c>
      <c r="G101" s="62" t="n">
        <v>4608</v>
      </c>
      <c r="H101" s="62" t="n">
        <v>4853</v>
      </c>
      <c r="I101" s="62" t="n">
        <v>7175</v>
      </c>
      <c r="J101" s="62" t="n">
        <v>2379</v>
      </c>
      <c r="K101" s="62" t="n">
        <v>4610</v>
      </c>
      <c r="L101" s="62" t="n">
        <v>7192</v>
      </c>
      <c r="M101" s="62" t="n">
        <v>7192</v>
      </c>
      <c r="N101" s="62" t="n">
        <v>6795</v>
      </c>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E101" s="30"/>
      <c r="CF101" s="30"/>
      <c r="CG101" s="30"/>
      <c r="CI101" s="30"/>
      <c r="CJ101" s="30"/>
      <c r="CK101" s="30"/>
      <c r="CL101" s="30"/>
      <c r="CM101" s="30"/>
      <c r="CN101" s="30"/>
    </row>
    <row r="102" customFormat="false" ht="15" hidden="false" customHeight="true" outlineLevel="0" collapsed="false">
      <c r="A102" s="29" t="s">
        <v>960</v>
      </c>
      <c r="B102" s="62" t="n">
        <v>4095</v>
      </c>
      <c r="C102" s="62" t="n">
        <v>5646</v>
      </c>
      <c r="D102" s="62" t="n">
        <v>4108</v>
      </c>
      <c r="E102" s="62" t="n">
        <v>5888</v>
      </c>
      <c r="F102" s="62" t="n">
        <v>3219</v>
      </c>
      <c r="G102" s="62" t="n">
        <v>2852</v>
      </c>
      <c r="H102" s="62" t="n">
        <v>2440</v>
      </c>
      <c r="I102" s="62" t="n">
        <v>5636</v>
      </c>
      <c r="J102" s="62" t="n">
        <v>2092</v>
      </c>
      <c r="K102" s="62" t="n">
        <v>3537</v>
      </c>
      <c r="L102" s="62" t="n">
        <v>4299</v>
      </c>
      <c r="M102" s="62" t="n">
        <v>4299</v>
      </c>
      <c r="N102" s="62" t="n">
        <v>6026</v>
      </c>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E102" s="30"/>
      <c r="CF102" s="30"/>
      <c r="CG102" s="30"/>
      <c r="CI102" s="30"/>
      <c r="CJ102" s="30"/>
      <c r="CK102" s="30"/>
      <c r="CL102" s="30"/>
      <c r="CM102" s="30"/>
      <c r="CN102" s="30"/>
    </row>
    <row r="103" customFormat="false" ht="15" hidden="false" customHeight="true" outlineLevel="0" collapsed="false">
      <c r="A103" s="29" t="s">
        <v>961</v>
      </c>
      <c r="B103" s="62" t="n">
        <v>641</v>
      </c>
      <c r="C103" s="62" t="n">
        <v>895</v>
      </c>
      <c r="D103" s="62" t="n">
        <v>527</v>
      </c>
      <c r="E103" s="62" t="n">
        <v>1046</v>
      </c>
      <c r="F103" s="62" t="n">
        <v>574</v>
      </c>
      <c r="G103" s="62" t="n">
        <v>717</v>
      </c>
      <c r="H103" s="62" t="n">
        <v>1827</v>
      </c>
      <c r="I103" s="62" t="n">
        <v>3373</v>
      </c>
      <c r="J103" s="62" t="n">
        <v>1505</v>
      </c>
      <c r="K103" s="62" t="n">
        <v>1021</v>
      </c>
      <c r="L103" s="62" t="n">
        <v>981</v>
      </c>
      <c r="M103" s="62" t="n">
        <v>981</v>
      </c>
      <c r="N103" s="62" t="n">
        <v>1690</v>
      </c>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E103" s="30"/>
      <c r="CF103" s="30"/>
      <c r="CG103" s="30"/>
      <c r="CI103" s="30"/>
      <c r="CJ103" s="30"/>
      <c r="CK103" s="30"/>
      <c r="CL103" s="30"/>
      <c r="CM103" s="30"/>
      <c r="CN103" s="30"/>
    </row>
    <row r="104" customFormat="false" ht="15" hidden="false" customHeight="true" outlineLevel="0" collapsed="false">
      <c r="A104" s="29" t="s">
        <v>962</v>
      </c>
      <c r="B104" s="62" t="n">
        <v>3126</v>
      </c>
      <c r="C104" s="62" t="n">
        <v>4705</v>
      </c>
      <c r="D104" s="62" t="n">
        <v>3902</v>
      </c>
      <c r="E104" s="62" t="n">
        <v>5439</v>
      </c>
      <c r="F104" s="62" t="n">
        <v>3837</v>
      </c>
      <c r="G104" s="62" t="n">
        <v>3113</v>
      </c>
      <c r="H104" s="62" t="n">
        <v>3793</v>
      </c>
      <c r="I104" s="62" t="n">
        <v>6995</v>
      </c>
      <c r="J104" s="62" t="n">
        <v>4193</v>
      </c>
      <c r="K104" s="62" t="n">
        <v>9113</v>
      </c>
      <c r="L104" s="62" t="n">
        <v>11585</v>
      </c>
      <c r="M104" s="62" t="n">
        <v>11585</v>
      </c>
      <c r="N104" s="62" t="n">
        <v>14736</v>
      </c>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E104" s="30"/>
      <c r="CF104" s="30"/>
      <c r="CG104" s="30"/>
      <c r="CI104" s="30"/>
      <c r="CJ104" s="30"/>
      <c r="CK104" s="30"/>
      <c r="CL104" s="30"/>
      <c r="CM104" s="30"/>
      <c r="CN104" s="30"/>
    </row>
    <row r="105" customFormat="false" ht="15" hidden="false" customHeight="true" outlineLevel="0" collapsed="false">
      <c r="A105" s="119" t="s">
        <v>427</v>
      </c>
      <c r="B105" s="124" t="n">
        <f aca="false">SUM(B99:B104)</f>
        <v>16314</v>
      </c>
      <c r="C105" s="124" t="n">
        <f aca="false">SUM(C99:C104)</f>
        <v>22800</v>
      </c>
      <c r="D105" s="124" t="n">
        <f aca="false">SUM(D99:D104)</f>
        <v>17890</v>
      </c>
      <c r="E105" s="124" t="n">
        <f aca="false">SUM(E99:E104)</f>
        <v>27030</v>
      </c>
      <c r="F105" s="124" t="n">
        <f aca="false">SUM(F99:F104)</f>
        <v>18628</v>
      </c>
      <c r="G105" s="124" t="n">
        <f aca="false">SUM(G99:G104)</f>
        <v>19095</v>
      </c>
      <c r="H105" s="124" t="n">
        <f aca="false">SUM(H99:H104)</f>
        <v>20285</v>
      </c>
      <c r="I105" s="124" t="n">
        <f aca="false">SUM(I99:I104)</f>
        <v>32682</v>
      </c>
      <c r="J105" s="124" t="n">
        <f aca="false">SUM(J99:J104)</f>
        <v>15095</v>
      </c>
      <c r="K105" s="124" t="n">
        <f aca="false">SUM(K99:K104)</f>
        <v>26352</v>
      </c>
      <c r="L105" s="124" t="n">
        <f aca="false">SUM(L99:L104)</f>
        <v>31247</v>
      </c>
      <c r="M105" s="124" t="n">
        <f aca="false">SUM(M99:M104)</f>
        <v>31247</v>
      </c>
      <c r="N105" s="124" t="n">
        <f aca="false">SUM(N99:N104)</f>
        <v>38518</v>
      </c>
      <c r="O105" s="124" t="n">
        <f aca="false">SUM(O99:O104)</f>
        <v>0</v>
      </c>
      <c r="P105" s="124" t="n">
        <f aca="false">SUM(P99:P104)</f>
        <v>0</v>
      </c>
      <c r="Q105" s="124" t="n">
        <f aca="false">SUM(Q99:Q104)</f>
        <v>0</v>
      </c>
      <c r="R105" s="124" t="n">
        <f aca="false">SUM(R99:R104)</f>
        <v>0</v>
      </c>
      <c r="S105" s="124" t="n">
        <f aca="false">SUM(S99:S104)</f>
        <v>0</v>
      </c>
      <c r="T105" s="124" t="n">
        <f aca="false">SUM(T99:T104)</f>
        <v>0</v>
      </c>
      <c r="U105" s="124" t="n">
        <f aca="false">SUM(U99:U104)</f>
        <v>0</v>
      </c>
      <c r="V105" s="124" t="n">
        <f aca="false">SUM(V99:V104)</f>
        <v>0</v>
      </c>
      <c r="W105" s="124" t="n">
        <f aca="false">SUM(W99:W104)</f>
        <v>0</v>
      </c>
      <c r="X105" s="124" t="n">
        <f aca="false">SUM(X99:X104)</f>
        <v>0</v>
      </c>
      <c r="Y105" s="124" t="n">
        <f aca="false">SUM(Y99:Y104)</f>
        <v>0</v>
      </c>
      <c r="Z105" s="124" t="n">
        <f aca="false">SUM(Z99:Z104)</f>
        <v>0</v>
      </c>
      <c r="AA105" s="124" t="n">
        <f aca="false">SUM(AA99:AA104)</f>
        <v>0</v>
      </c>
      <c r="AB105" s="124" t="n">
        <f aca="false">SUM(AB99:AB104)</f>
        <v>0</v>
      </c>
      <c r="AC105" s="124" t="n">
        <f aca="false">SUM(AC99:AC104)</f>
        <v>0</v>
      </c>
      <c r="AD105" s="124" t="n">
        <f aca="false">SUM(AD99:AD104)</f>
        <v>0</v>
      </c>
      <c r="AE105" s="124" t="n">
        <f aca="false">SUM(AE99:AE104)</f>
        <v>0</v>
      </c>
      <c r="AF105" s="124" t="n">
        <f aca="false">SUM(AF99:AF104)</f>
        <v>0</v>
      </c>
      <c r="AG105" s="124" t="n">
        <f aca="false">SUM(AG99:AG104)</f>
        <v>0</v>
      </c>
      <c r="AH105" s="124" t="n">
        <f aca="false">SUM(AH99:AH104)</f>
        <v>0</v>
      </c>
      <c r="AI105" s="124" t="n">
        <f aca="false">SUM(AI99:AI104)</f>
        <v>0</v>
      </c>
      <c r="AJ105" s="124" t="n">
        <f aca="false">SUM(AJ99:AJ104)</f>
        <v>0</v>
      </c>
      <c r="AK105" s="124" t="n">
        <f aca="false">SUM(AK99:AK104)</f>
        <v>0</v>
      </c>
      <c r="AL105" s="124" t="n">
        <f aca="false">SUM(AL99:AL104)</f>
        <v>0</v>
      </c>
      <c r="AM105" s="124" t="n">
        <f aca="false">SUM(AM99:AM104)</f>
        <v>0</v>
      </c>
      <c r="AN105" s="124" t="n">
        <f aca="false">SUM(AN99:AN104)</f>
        <v>0</v>
      </c>
      <c r="AO105" s="124" t="n">
        <f aca="false">SUM(AO99:AO104)</f>
        <v>0</v>
      </c>
      <c r="AP105" s="124" t="n">
        <f aca="false">SUM(AP99:AP104)</f>
        <v>0</v>
      </c>
      <c r="AQ105" s="124" t="n">
        <f aca="false">SUM(AQ99:AQ104)</f>
        <v>0</v>
      </c>
      <c r="AR105" s="124" t="n">
        <f aca="false">SUM(AR99:AR104)</f>
        <v>0</v>
      </c>
      <c r="AS105" s="124" t="n">
        <f aca="false">SUM(AS99:AS104)</f>
        <v>0</v>
      </c>
      <c r="AT105" s="124" t="n">
        <f aca="false">SUM(AT99:AT104)</f>
        <v>0</v>
      </c>
      <c r="AU105" s="124" t="n">
        <f aca="false">SUM(AU99:AU104)</f>
        <v>0</v>
      </c>
      <c r="AV105" s="124" t="n">
        <f aca="false">SUM(AV99:AV104)</f>
        <v>0</v>
      </c>
      <c r="AW105" s="124" t="n">
        <f aca="false">SUM(AW99:AW104)</f>
        <v>0</v>
      </c>
      <c r="AX105" s="124" t="n">
        <f aca="false">SUM(AX99:AX104)</f>
        <v>0</v>
      </c>
      <c r="AY105" s="119"/>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c r="BY105" s="124"/>
      <c r="BZ105" s="124"/>
      <c r="CA105" s="124"/>
      <c r="CB105" s="124"/>
      <c r="CC105" s="124"/>
      <c r="CD105" s="119"/>
      <c r="CE105" s="124"/>
      <c r="CF105" s="124"/>
      <c r="CG105" s="124"/>
      <c r="CH105" s="119"/>
      <c r="CI105" s="124"/>
      <c r="CJ105" s="124"/>
      <c r="CK105" s="124"/>
      <c r="CL105" s="124"/>
      <c r="CM105" s="124"/>
      <c r="CN105" s="124"/>
    </row>
    <row r="107" customFormat="false" ht="15" hidden="false" customHeight="true" outlineLevel="0" collapsed="false">
      <c r="A107" s="38" t="s">
        <v>963</v>
      </c>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7"/>
      <c r="BO107" s="117"/>
      <c r="BP107" s="117"/>
      <c r="BQ107" s="117"/>
      <c r="BR107" s="117"/>
      <c r="BS107" s="117"/>
      <c r="BT107" s="117"/>
      <c r="BU107" s="117"/>
      <c r="BV107" s="117"/>
      <c r="BW107" s="117"/>
      <c r="BX107" s="117"/>
      <c r="BY107" s="117"/>
      <c r="BZ107" s="117"/>
      <c r="CA107" s="117"/>
      <c r="CB107" s="117"/>
      <c r="CC107" s="117"/>
      <c r="CD107" s="117"/>
      <c r="CE107" s="117"/>
      <c r="CF107" s="117"/>
      <c r="CG107" s="117"/>
      <c r="CH107" s="117"/>
      <c r="CI107" s="117"/>
      <c r="CJ107" s="117"/>
      <c r="CK107" s="117"/>
      <c r="CL107" s="117"/>
      <c r="CM107" s="117"/>
      <c r="CN107" s="117"/>
    </row>
    <row r="108" customFormat="false" ht="15" hidden="false" customHeight="true" outlineLevel="0" collapsed="false">
      <c r="A108" s="29" t="s">
        <v>957</v>
      </c>
      <c r="B108" s="57" t="n">
        <f aca="false">B99/B$105</f>
        <v>0.0822606350373912</v>
      </c>
      <c r="C108" s="57" t="n">
        <f aca="false">C99/C$105</f>
        <v>0.0892105263157895</v>
      </c>
      <c r="D108" s="57" t="n">
        <f aca="false">D99/D$105</f>
        <v>0.0974846282839575</v>
      </c>
      <c r="E108" s="57" t="n">
        <f aca="false">E99/E$105</f>
        <v>0.0981132075471698</v>
      </c>
      <c r="F108" s="57" t="n">
        <f aca="false">F99/F$105</f>
        <v>0.108385226540691</v>
      </c>
      <c r="G108" s="57" t="n">
        <f aca="false">G99/G$105</f>
        <v>0.119141136423147</v>
      </c>
      <c r="H108" s="57" t="n">
        <f aca="false">H99/H$105</f>
        <v>0.11348286911511</v>
      </c>
      <c r="I108" s="57" t="n">
        <f aca="false">I99/I$105</f>
        <v>0.0903861452787467</v>
      </c>
      <c r="J108" s="57" t="n">
        <f aca="false">J99/J$105</f>
        <v>0.135276581649553</v>
      </c>
      <c r="K108" s="57" t="n">
        <f aca="false">K99/K$105</f>
        <v>0.135094110503947</v>
      </c>
      <c r="L108" s="57" t="n">
        <f aca="false">L99/L$105</f>
        <v>0.113290875924089</v>
      </c>
      <c r="M108" s="57" t="n">
        <f aca="false">M99/M$105</f>
        <v>0.113290875924089</v>
      </c>
      <c r="N108" s="57" t="n">
        <f aca="false">N99/N$105</f>
        <v>0.113609221662599</v>
      </c>
      <c r="O108" s="57" t="e">
        <f aca="false">O99/O$105</f>
        <v>#DIV/0!</v>
      </c>
      <c r="P108" s="57" t="e">
        <f aca="false">P99/P$105</f>
        <v>#DIV/0!</v>
      </c>
      <c r="Q108" s="57" t="e">
        <f aca="false">Q99/Q$105</f>
        <v>#DIV/0!</v>
      </c>
      <c r="R108" s="57" t="e">
        <f aca="false">R99/R$105</f>
        <v>#DIV/0!</v>
      </c>
      <c r="S108" s="57" t="e">
        <f aca="false">S99/S$105</f>
        <v>#DIV/0!</v>
      </c>
      <c r="T108" s="57" t="e">
        <f aca="false">T99/T$105</f>
        <v>#DIV/0!</v>
      </c>
      <c r="U108" s="57" t="e">
        <f aca="false">U99/U$105</f>
        <v>#DIV/0!</v>
      </c>
      <c r="V108" s="57" t="e">
        <f aca="false">V99/V$105</f>
        <v>#DIV/0!</v>
      </c>
      <c r="W108" s="57" t="e">
        <f aca="false">W99/W$105</f>
        <v>#DIV/0!</v>
      </c>
      <c r="X108" s="57" t="e">
        <f aca="false">X99/X$105</f>
        <v>#DIV/0!</v>
      </c>
      <c r="Y108" s="57" t="e">
        <f aca="false">Y99/Y$105</f>
        <v>#DIV/0!</v>
      </c>
      <c r="Z108" s="57" t="e">
        <f aca="false">Z99/Z$105</f>
        <v>#DIV/0!</v>
      </c>
      <c r="AA108" s="57" t="e">
        <f aca="false">AA99/AA$105</f>
        <v>#DIV/0!</v>
      </c>
      <c r="AB108" s="57" t="e">
        <f aca="false">AB99/AB$105</f>
        <v>#DIV/0!</v>
      </c>
      <c r="AC108" s="57" t="e">
        <f aca="false">AC99/AC$105</f>
        <v>#DIV/0!</v>
      </c>
      <c r="AD108" s="57" t="e">
        <f aca="false">AD99/AD$105</f>
        <v>#DIV/0!</v>
      </c>
      <c r="AE108" s="57" t="e">
        <f aca="false">AE99/AE$105</f>
        <v>#DIV/0!</v>
      </c>
      <c r="AF108" s="57" t="e">
        <f aca="false">AF99/AF$105</f>
        <v>#DIV/0!</v>
      </c>
      <c r="AG108" s="57" t="e">
        <f aca="false">AG99/AG$105</f>
        <v>#DIV/0!</v>
      </c>
      <c r="AH108" s="57" t="e">
        <f aca="false">AH99/AH$105</f>
        <v>#DIV/0!</v>
      </c>
      <c r="AI108" s="57" t="e">
        <f aca="false">AI99/AI$105</f>
        <v>#DIV/0!</v>
      </c>
      <c r="AJ108" s="57" t="e">
        <f aca="false">AJ99/AJ$105</f>
        <v>#DIV/0!</v>
      </c>
      <c r="AK108" s="57" t="e">
        <f aca="false">AK99/AK$105</f>
        <v>#DIV/0!</v>
      </c>
      <c r="AL108" s="57" t="e">
        <f aca="false">AL99/AL$105</f>
        <v>#DIV/0!</v>
      </c>
      <c r="AM108" s="57" t="e">
        <f aca="false">AM99/AM$105</f>
        <v>#DIV/0!</v>
      </c>
      <c r="AN108" s="57" t="e">
        <f aca="false">AN99/AN$105</f>
        <v>#DIV/0!</v>
      </c>
      <c r="AO108" s="57" t="e">
        <f aca="false">AO99/AO$105</f>
        <v>#DIV/0!</v>
      </c>
      <c r="AP108" s="57" t="e">
        <f aca="false">AP99/AP$105</f>
        <v>#DIV/0!</v>
      </c>
      <c r="AQ108" s="57" t="e">
        <f aca="false">AQ99/AQ$105</f>
        <v>#DIV/0!</v>
      </c>
      <c r="AR108" s="57" t="e">
        <f aca="false">AR99/AR$105</f>
        <v>#DIV/0!</v>
      </c>
      <c r="AS108" s="57" t="e">
        <f aca="false">AS99/AS$105</f>
        <v>#DIV/0!</v>
      </c>
      <c r="AT108" s="57" t="e">
        <f aca="false">AT99/AT$105</f>
        <v>#DIV/0!</v>
      </c>
      <c r="AU108" s="57" t="e">
        <f aca="false">AU99/AU$105</f>
        <v>#DIV/0!</v>
      </c>
      <c r="AV108" s="57" t="e">
        <f aca="false">AV99/AV$105</f>
        <v>#DIV/0!</v>
      </c>
      <c r="AW108" s="57" t="e">
        <f aca="false">AW99/AW$105</f>
        <v>#DIV/0!</v>
      </c>
      <c r="AX108" s="57" t="e">
        <f aca="false">AX99/AX$105</f>
        <v>#DIV/0!</v>
      </c>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E108" s="56"/>
      <c r="CF108" s="56"/>
      <c r="CG108" s="56"/>
      <c r="CI108" s="56"/>
      <c r="CJ108" s="56"/>
      <c r="CK108" s="56"/>
      <c r="CL108" s="56"/>
      <c r="CM108" s="56"/>
      <c r="CN108" s="56"/>
    </row>
    <row r="109" customFormat="false" ht="15" hidden="false" customHeight="true" outlineLevel="0" collapsed="false">
      <c r="A109" s="29" t="s">
        <v>958</v>
      </c>
      <c r="B109" s="57" t="n">
        <f aca="false">B100/B$105</f>
        <v>0.248682113522128</v>
      </c>
      <c r="C109" s="57" t="n">
        <f aca="false">C100/C$105</f>
        <v>0.220394736842105</v>
      </c>
      <c r="D109" s="57" t="n">
        <f aca="false">D100/D$105</f>
        <v>0.209614309670207</v>
      </c>
      <c r="E109" s="57" t="n">
        <f aca="false">E100/E$105</f>
        <v>0.21968183499815</v>
      </c>
      <c r="F109" s="57" t="n">
        <f aca="false">F100/F$105</f>
        <v>0.240176079020829</v>
      </c>
      <c r="G109" s="57" t="n">
        <f aca="false">G100/G$105</f>
        <v>0.289604608536266</v>
      </c>
      <c r="H109" s="57" t="n">
        <f aca="false">H100/H$105</f>
        <v>0.249938378111905</v>
      </c>
      <c r="I109" s="57" t="n">
        <f aca="false">I100/I$105</f>
        <v>0.200385533321094</v>
      </c>
      <c r="J109" s="57" t="n">
        <f aca="false">J100/J$105</f>
        <v>0.191056641271944</v>
      </c>
      <c r="K109" s="57" t="n">
        <f aca="false">K100/K$105</f>
        <v>0.171182452944748</v>
      </c>
      <c r="L109" s="57" t="n">
        <f aca="false">L100/L$105</f>
        <v>0.116811213876532</v>
      </c>
      <c r="M109" s="57" t="n">
        <f aca="false">M100/M$105</f>
        <v>0.116811213876532</v>
      </c>
      <c r="N109" s="57" t="n">
        <f aca="false">N100/N$105</f>
        <v>0.127083441507866</v>
      </c>
      <c r="O109" s="57" t="e">
        <f aca="false">O100/O$105</f>
        <v>#DIV/0!</v>
      </c>
      <c r="P109" s="57" t="e">
        <f aca="false">P100/P$105</f>
        <v>#DIV/0!</v>
      </c>
      <c r="Q109" s="57" t="e">
        <f aca="false">Q100/Q$105</f>
        <v>#DIV/0!</v>
      </c>
      <c r="R109" s="57" t="e">
        <f aca="false">R100/R$105</f>
        <v>#DIV/0!</v>
      </c>
      <c r="S109" s="57" t="e">
        <f aca="false">S100/S$105</f>
        <v>#DIV/0!</v>
      </c>
      <c r="T109" s="57" t="e">
        <f aca="false">T100/T$105</f>
        <v>#DIV/0!</v>
      </c>
      <c r="U109" s="57" t="e">
        <f aca="false">U100/U$105</f>
        <v>#DIV/0!</v>
      </c>
      <c r="V109" s="57" t="e">
        <f aca="false">V100/V$105</f>
        <v>#DIV/0!</v>
      </c>
      <c r="W109" s="57" t="e">
        <f aca="false">W100/W$105</f>
        <v>#DIV/0!</v>
      </c>
      <c r="X109" s="57" t="e">
        <f aca="false">X100/X$105</f>
        <v>#DIV/0!</v>
      </c>
      <c r="Y109" s="57" t="e">
        <f aca="false">Y100/Y$105</f>
        <v>#DIV/0!</v>
      </c>
      <c r="Z109" s="57" t="e">
        <f aca="false">Z100/Z$105</f>
        <v>#DIV/0!</v>
      </c>
      <c r="AA109" s="57" t="e">
        <f aca="false">AA100/AA$105</f>
        <v>#DIV/0!</v>
      </c>
      <c r="AB109" s="57" t="e">
        <f aca="false">AB100/AB$105</f>
        <v>#DIV/0!</v>
      </c>
      <c r="AC109" s="57" t="e">
        <f aca="false">AC100/AC$105</f>
        <v>#DIV/0!</v>
      </c>
      <c r="AD109" s="57" t="e">
        <f aca="false">AD100/AD$105</f>
        <v>#DIV/0!</v>
      </c>
      <c r="AE109" s="57" t="e">
        <f aca="false">AE100/AE$105</f>
        <v>#DIV/0!</v>
      </c>
      <c r="AF109" s="57" t="e">
        <f aca="false">AF100/AF$105</f>
        <v>#DIV/0!</v>
      </c>
      <c r="AG109" s="57" t="e">
        <f aca="false">AG100/AG$105</f>
        <v>#DIV/0!</v>
      </c>
      <c r="AH109" s="57" t="e">
        <f aca="false">AH100/AH$105</f>
        <v>#DIV/0!</v>
      </c>
      <c r="AI109" s="57" t="e">
        <f aca="false">AI100/AI$105</f>
        <v>#DIV/0!</v>
      </c>
      <c r="AJ109" s="57" t="e">
        <f aca="false">AJ100/AJ$105</f>
        <v>#DIV/0!</v>
      </c>
      <c r="AK109" s="57" t="e">
        <f aca="false">AK100/AK$105</f>
        <v>#DIV/0!</v>
      </c>
      <c r="AL109" s="57" t="e">
        <f aca="false">AL100/AL$105</f>
        <v>#DIV/0!</v>
      </c>
      <c r="AM109" s="57" t="e">
        <f aca="false">AM100/AM$105</f>
        <v>#DIV/0!</v>
      </c>
      <c r="AN109" s="57" t="e">
        <f aca="false">AN100/AN$105</f>
        <v>#DIV/0!</v>
      </c>
      <c r="AO109" s="57" t="e">
        <f aca="false">AO100/AO$105</f>
        <v>#DIV/0!</v>
      </c>
      <c r="AP109" s="57" t="e">
        <f aca="false">AP100/AP$105</f>
        <v>#DIV/0!</v>
      </c>
      <c r="AQ109" s="57" t="e">
        <f aca="false">AQ100/AQ$105</f>
        <v>#DIV/0!</v>
      </c>
      <c r="AR109" s="57" t="e">
        <f aca="false">AR100/AR$105</f>
        <v>#DIV/0!</v>
      </c>
      <c r="AS109" s="57" t="e">
        <f aca="false">AS100/AS$105</f>
        <v>#DIV/0!</v>
      </c>
      <c r="AT109" s="57" t="e">
        <f aca="false">AT100/AT$105</f>
        <v>#DIV/0!</v>
      </c>
      <c r="AU109" s="57" t="e">
        <f aca="false">AU100/AU$105</f>
        <v>#DIV/0!</v>
      </c>
      <c r="AV109" s="57" t="e">
        <f aca="false">AV100/AV$105</f>
        <v>#DIV/0!</v>
      </c>
      <c r="AW109" s="57" t="e">
        <f aca="false">AW100/AW$105</f>
        <v>#DIV/0!</v>
      </c>
      <c r="AX109" s="57" t="e">
        <f aca="false">AX100/AX$105</f>
        <v>#DIV/0!</v>
      </c>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E109" s="56"/>
      <c r="CF109" s="56"/>
      <c r="CG109" s="56"/>
      <c r="CI109" s="56"/>
      <c r="CJ109" s="56"/>
      <c r="CK109" s="56"/>
      <c r="CL109" s="56"/>
      <c r="CM109" s="56"/>
      <c r="CN109" s="56"/>
    </row>
    <row r="110" customFormat="false" ht="15" hidden="false" customHeight="true" outlineLevel="0" collapsed="false">
      <c r="A110" s="29" t="s">
        <v>959</v>
      </c>
      <c r="B110" s="57" t="n">
        <f aca="false">B101/B$105</f>
        <v>0.187139879857791</v>
      </c>
      <c r="C110" s="57" t="n">
        <f aca="false">C101/C$105</f>
        <v>0.197149122807018</v>
      </c>
      <c r="D110" s="57" t="n">
        <f aca="false">D101/D$105</f>
        <v>0.215707098937954</v>
      </c>
      <c r="E110" s="57" t="n">
        <f aca="false">E101/E$105</f>
        <v>0.224454310025897</v>
      </c>
      <c r="F110" s="57" t="n">
        <f aca="false">F101/F$105</f>
        <v>0.241840240498175</v>
      </c>
      <c r="G110" s="57" t="n">
        <f aca="false">G101/G$105</f>
        <v>0.241319717203456</v>
      </c>
      <c r="H110" s="57" t="n">
        <f aca="false">H101/H$105</f>
        <v>0.239240818338674</v>
      </c>
      <c r="I110" s="57" t="n">
        <f aca="false">I101/I$105</f>
        <v>0.219539807845297</v>
      </c>
      <c r="J110" s="57" t="n">
        <f aca="false">J101/J$105</f>
        <v>0.157601854918847</v>
      </c>
      <c r="K110" s="57" t="n">
        <f aca="false">K101/K$105</f>
        <v>0.174939283545841</v>
      </c>
      <c r="L110" s="57" t="n">
        <f aca="false">L101/L$105</f>
        <v>0.230166095945211</v>
      </c>
      <c r="M110" s="57" t="n">
        <f aca="false">M101/M$105</f>
        <v>0.230166095945211</v>
      </c>
      <c r="N110" s="57" t="n">
        <f aca="false">N101/N$105</f>
        <v>0.176411028610001</v>
      </c>
      <c r="O110" s="57" t="e">
        <f aca="false">O101/O$105</f>
        <v>#DIV/0!</v>
      </c>
      <c r="P110" s="57" t="e">
        <f aca="false">P101/P$105</f>
        <v>#DIV/0!</v>
      </c>
      <c r="Q110" s="57" t="e">
        <f aca="false">Q101/Q$105</f>
        <v>#DIV/0!</v>
      </c>
      <c r="R110" s="57" t="e">
        <f aca="false">R101/R$105</f>
        <v>#DIV/0!</v>
      </c>
      <c r="S110" s="57" t="e">
        <f aca="false">S101/S$105</f>
        <v>#DIV/0!</v>
      </c>
      <c r="T110" s="57" t="e">
        <f aca="false">T101/T$105</f>
        <v>#DIV/0!</v>
      </c>
      <c r="U110" s="57" t="e">
        <f aca="false">U101/U$105</f>
        <v>#DIV/0!</v>
      </c>
      <c r="V110" s="57" t="e">
        <f aca="false">V101/V$105</f>
        <v>#DIV/0!</v>
      </c>
      <c r="W110" s="57" t="e">
        <f aca="false">W101/W$105</f>
        <v>#DIV/0!</v>
      </c>
      <c r="X110" s="57" t="e">
        <f aca="false">X101/X$105</f>
        <v>#DIV/0!</v>
      </c>
      <c r="Y110" s="57" t="e">
        <f aca="false">Y101/Y$105</f>
        <v>#DIV/0!</v>
      </c>
      <c r="Z110" s="57" t="e">
        <f aca="false">Z101/Z$105</f>
        <v>#DIV/0!</v>
      </c>
      <c r="AA110" s="57" t="e">
        <f aca="false">AA101/AA$105</f>
        <v>#DIV/0!</v>
      </c>
      <c r="AB110" s="57" t="e">
        <f aca="false">AB101/AB$105</f>
        <v>#DIV/0!</v>
      </c>
      <c r="AC110" s="57" t="e">
        <f aca="false">AC101/AC$105</f>
        <v>#DIV/0!</v>
      </c>
      <c r="AD110" s="57" t="e">
        <f aca="false">AD101/AD$105</f>
        <v>#DIV/0!</v>
      </c>
      <c r="AE110" s="57" t="e">
        <f aca="false">AE101/AE$105</f>
        <v>#DIV/0!</v>
      </c>
      <c r="AF110" s="57" t="e">
        <f aca="false">AF101/AF$105</f>
        <v>#DIV/0!</v>
      </c>
      <c r="AG110" s="57" t="e">
        <f aca="false">AG101/AG$105</f>
        <v>#DIV/0!</v>
      </c>
      <c r="AH110" s="57" t="e">
        <f aca="false">AH101/AH$105</f>
        <v>#DIV/0!</v>
      </c>
      <c r="AI110" s="57" t="e">
        <f aca="false">AI101/AI$105</f>
        <v>#DIV/0!</v>
      </c>
      <c r="AJ110" s="57" t="e">
        <f aca="false">AJ101/AJ$105</f>
        <v>#DIV/0!</v>
      </c>
      <c r="AK110" s="57" t="e">
        <f aca="false">AK101/AK$105</f>
        <v>#DIV/0!</v>
      </c>
      <c r="AL110" s="57" t="e">
        <f aca="false">AL101/AL$105</f>
        <v>#DIV/0!</v>
      </c>
      <c r="AM110" s="57" t="e">
        <f aca="false">AM101/AM$105</f>
        <v>#DIV/0!</v>
      </c>
      <c r="AN110" s="57" t="e">
        <f aca="false">AN101/AN$105</f>
        <v>#DIV/0!</v>
      </c>
      <c r="AO110" s="57" t="e">
        <f aca="false">AO101/AO$105</f>
        <v>#DIV/0!</v>
      </c>
      <c r="AP110" s="57" t="e">
        <f aca="false">AP101/AP$105</f>
        <v>#DIV/0!</v>
      </c>
      <c r="AQ110" s="57" t="e">
        <f aca="false">AQ101/AQ$105</f>
        <v>#DIV/0!</v>
      </c>
      <c r="AR110" s="57" t="e">
        <f aca="false">AR101/AR$105</f>
        <v>#DIV/0!</v>
      </c>
      <c r="AS110" s="57" t="e">
        <f aca="false">AS101/AS$105</f>
        <v>#DIV/0!</v>
      </c>
      <c r="AT110" s="57" t="e">
        <f aca="false">AT101/AT$105</f>
        <v>#DIV/0!</v>
      </c>
      <c r="AU110" s="57" t="e">
        <f aca="false">AU101/AU$105</f>
        <v>#DIV/0!</v>
      </c>
      <c r="AV110" s="57" t="e">
        <f aca="false">AV101/AV$105</f>
        <v>#DIV/0!</v>
      </c>
      <c r="AW110" s="57" t="e">
        <f aca="false">AW101/AW$105</f>
        <v>#DIV/0!</v>
      </c>
      <c r="AX110" s="57" t="e">
        <f aca="false">AX101/AX$105</f>
        <v>#DIV/0!</v>
      </c>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E110" s="56"/>
      <c r="CF110" s="56"/>
      <c r="CG110" s="56"/>
      <c r="CI110" s="56"/>
      <c r="CJ110" s="56"/>
      <c r="CK110" s="56"/>
      <c r="CL110" s="56"/>
      <c r="CM110" s="56"/>
      <c r="CN110" s="56"/>
    </row>
    <row r="111" customFormat="false" ht="15" hidden="false" customHeight="true" outlineLevel="0" collapsed="false">
      <c r="A111" s="29" t="s">
        <v>960</v>
      </c>
      <c r="B111" s="57" t="n">
        <f aca="false">B102/B$105</f>
        <v>0.25101140125046</v>
      </c>
      <c r="C111" s="57" t="n">
        <f aca="false">C102/C$105</f>
        <v>0.247631578947368</v>
      </c>
      <c r="D111" s="57" t="n">
        <f aca="false">D102/D$105</f>
        <v>0.229625489100056</v>
      </c>
      <c r="E111" s="57" t="n">
        <f aca="false">E102/E$105</f>
        <v>0.217832038475768</v>
      </c>
      <c r="F111" s="57" t="n">
        <f aca="false">F102/F$105</f>
        <v>0.172804380502469</v>
      </c>
      <c r="G111" s="57" t="n">
        <f aca="false">G102/G$105</f>
        <v>0.149358470803875</v>
      </c>
      <c r="H111" s="57" t="n">
        <f aca="false">H102/H$105</f>
        <v>0.120285925560759</v>
      </c>
      <c r="I111" s="57" t="n">
        <f aca="false">I102/I$105</f>
        <v>0.172449666483079</v>
      </c>
      <c r="J111" s="57" t="n">
        <f aca="false">J102/J$105</f>
        <v>0.138588936734018</v>
      </c>
      <c r="K111" s="57" t="n">
        <f aca="false">K102/K$105</f>
        <v>0.13422131147541</v>
      </c>
      <c r="L111" s="57" t="n">
        <f aca="false">L102/L$105</f>
        <v>0.137581207795948</v>
      </c>
      <c r="M111" s="57" t="n">
        <f aca="false">M102/M$105</f>
        <v>0.137581207795948</v>
      </c>
      <c r="N111" s="57" t="n">
        <f aca="false">N102/N$105</f>
        <v>0.15644633677761</v>
      </c>
      <c r="O111" s="57" t="e">
        <f aca="false">O102/O$105</f>
        <v>#DIV/0!</v>
      </c>
      <c r="P111" s="57" t="e">
        <f aca="false">P102/P$105</f>
        <v>#DIV/0!</v>
      </c>
      <c r="Q111" s="57" t="e">
        <f aca="false">Q102/Q$105</f>
        <v>#DIV/0!</v>
      </c>
      <c r="R111" s="57" t="e">
        <f aca="false">R102/R$105</f>
        <v>#DIV/0!</v>
      </c>
      <c r="S111" s="57" t="e">
        <f aca="false">S102/S$105</f>
        <v>#DIV/0!</v>
      </c>
      <c r="T111" s="57" t="e">
        <f aca="false">T102/T$105</f>
        <v>#DIV/0!</v>
      </c>
      <c r="U111" s="57" t="e">
        <f aca="false">U102/U$105</f>
        <v>#DIV/0!</v>
      </c>
      <c r="V111" s="57" t="e">
        <f aca="false">V102/V$105</f>
        <v>#DIV/0!</v>
      </c>
      <c r="W111" s="57" t="e">
        <f aca="false">W102/W$105</f>
        <v>#DIV/0!</v>
      </c>
      <c r="X111" s="57" t="e">
        <f aca="false">X102/X$105</f>
        <v>#DIV/0!</v>
      </c>
      <c r="Y111" s="57" t="e">
        <f aca="false">Y102/Y$105</f>
        <v>#DIV/0!</v>
      </c>
      <c r="Z111" s="57" t="e">
        <f aca="false">Z102/Z$105</f>
        <v>#DIV/0!</v>
      </c>
      <c r="AA111" s="57" t="e">
        <f aca="false">AA102/AA$105</f>
        <v>#DIV/0!</v>
      </c>
      <c r="AB111" s="57" t="e">
        <f aca="false">AB102/AB$105</f>
        <v>#DIV/0!</v>
      </c>
      <c r="AC111" s="57" t="e">
        <f aca="false">AC102/AC$105</f>
        <v>#DIV/0!</v>
      </c>
      <c r="AD111" s="57" t="e">
        <f aca="false">AD102/AD$105</f>
        <v>#DIV/0!</v>
      </c>
      <c r="AE111" s="57" t="e">
        <f aca="false">AE102/AE$105</f>
        <v>#DIV/0!</v>
      </c>
      <c r="AF111" s="57" t="e">
        <f aca="false">AF102/AF$105</f>
        <v>#DIV/0!</v>
      </c>
      <c r="AG111" s="57" t="e">
        <f aca="false">AG102/AG$105</f>
        <v>#DIV/0!</v>
      </c>
      <c r="AH111" s="57" t="e">
        <f aca="false">AH102/AH$105</f>
        <v>#DIV/0!</v>
      </c>
      <c r="AI111" s="57" t="e">
        <f aca="false">AI102/AI$105</f>
        <v>#DIV/0!</v>
      </c>
      <c r="AJ111" s="57" t="e">
        <f aca="false">AJ102/AJ$105</f>
        <v>#DIV/0!</v>
      </c>
      <c r="AK111" s="57" t="e">
        <f aca="false">AK102/AK$105</f>
        <v>#DIV/0!</v>
      </c>
      <c r="AL111" s="57" t="e">
        <f aca="false">AL102/AL$105</f>
        <v>#DIV/0!</v>
      </c>
      <c r="AM111" s="57" t="e">
        <f aca="false">AM102/AM$105</f>
        <v>#DIV/0!</v>
      </c>
      <c r="AN111" s="57" t="e">
        <f aca="false">AN102/AN$105</f>
        <v>#DIV/0!</v>
      </c>
      <c r="AO111" s="57" t="e">
        <f aca="false">AO102/AO$105</f>
        <v>#DIV/0!</v>
      </c>
      <c r="AP111" s="57" t="e">
        <f aca="false">AP102/AP$105</f>
        <v>#DIV/0!</v>
      </c>
      <c r="AQ111" s="57" t="e">
        <f aca="false">AQ102/AQ$105</f>
        <v>#DIV/0!</v>
      </c>
      <c r="AR111" s="57" t="e">
        <f aca="false">AR102/AR$105</f>
        <v>#DIV/0!</v>
      </c>
      <c r="AS111" s="57" t="e">
        <f aca="false">AS102/AS$105</f>
        <v>#DIV/0!</v>
      </c>
      <c r="AT111" s="57" t="e">
        <f aca="false">AT102/AT$105</f>
        <v>#DIV/0!</v>
      </c>
      <c r="AU111" s="57" t="e">
        <f aca="false">AU102/AU$105</f>
        <v>#DIV/0!</v>
      </c>
      <c r="AV111" s="57" t="e">
        <f aca="false">AV102/AV$105</f>
        <v>#DIV/0!</v>
      </c>
      <c r="AW111" s="57" t="e">
        <f aca="false">AW102/AW$105</f>
        <v>#DIV/0!</v>
      </c>
      <c r="AX111" s="57" t="e">
        <f aca="false">AX102/AX$105</f>
        <v>#DIV/0!</v>
      </c>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E111" s="56"/>
      <c r="CF111" s="56"/>
      <c r="CG111" s="56"/>
      <c r="CI111" s="56"/>
      <c r="CJ111" s="56"/>
      <c r="CK111" s="56"/>
      <c r="CL111" s="56"/>
      <c r="CM111" s="56"/>
      <c r="CN111" s="56"/>
    </row>
    <row r="112" customFormat="false" ht="15" hidden="false" customHeight="true" outlineLevel="0" collapsed="false">
      <c r="A112" s="29" t="s">
        <v>961</v>
      </c>
      <c r="B112" s="57" t="n">
        <f aca="false">B103/B$105</f>
        <v>0.0392914061542234</v>
      </c>
      <c r="C112" s="57" t="n">
        <f aca="false">C103/C$105</f>
        <v>0.0392543859649123</v>
      </c>
      <c r="D112" s="57" t="n">
        <f aca="false">D103/D$105</f>
        <v>0.0294577976523197</v>
      </c>
      <c r="E112" s="57" t="n">
        <f aca="false">E103/E$105</f>
        <v>0.0386977432482427</v>
      </c>
      <c r="F112" s="57" t="n">
        <f aca="false">F103/F$105</f>
        <v>0.0308138286450505</v>
      </c>
      <c r="G112" s="57" t="n">
        <f aca="false">G103/G$105</f>
        <v>0.0375490966221524</v>
      </c>
      <c r="H112" s="57" t="n">
        <f aca="false">H103/H$105</f>
        <v>0.0900665516391422</v>
      </c>
      <c r="I112" s="57" t="n">
        <f aca="false">I103/I$105</f>
        <v>0.10320665809926</v>
      </c>
      <c r="J112" s="57" t="n">
        <f aca="false">J103/J$105</f>
        <v>0.0997018880423981</v>
      </c>
      <c r="K112" s="57" t="n">
        <f aca="false">K103/K$105</f>
        <v>0.0387446873102611</v>
      </c>
      <c r="L112" s="57" t="n">
        <f aca="false">L103/L$105</f>
        <v>0.0313950139213365</v>
      </c>
      <c r="M112" s="57" t="n">
        <f aca="false">M103/M$105</f>
        <v>0.0313950139213365</v>
      </c>
      <c r="N112" s="57" t="n">
        <f aca="false">N103/N$105</f>
        <v>0.0438755906329508</v>
      </c>
      <c r="O112" s="57" t="e">
        <f aca="false">O103/O$105</f>
        <v>#DIV/0!</v>
      </c>
      <c r="P112" s="57" t="e">
        <f aca="false">P103/P$105</f>
        <v>#DIV/0!</v>
      </c>
      <c r="Q112" s="57" t="e">
        <f aca="false">Q103/Q$105</f>
        <v>#DIV/0!</v>
      </c>
      <c r="R112" s="57" t="e">
        <f aca="false">R103/R$105</f>
        <v>#DIV/0!</v>
      </c>
      <c r="S112" s="57" t="e">
        <f aca="false">S103/S$105</f>
        <v>#DIV/0!</v>
      </c>
      <c r="T112" s="57" t="e">
        <f aca="false">T103/T$105</f>
        <v>#DIV/0!</v>
      </c>
      <c r="U112" s="57" t="e">
        <f aca="false">U103/U$105</f>
        <v>#DIV/0!</v>
      </c>
      <c r="V112" s="57" t="e">
        <f aca="false">V103/V$105</f>
        <v>#DIV/0!</v>
      </c>
      <c r="W112" s="57" t="e">
        <f aca="false">W103/W$105</f>
        <v>#DIV/0!</v>
      </c>
      <c r="X112" s="57" t="e">
        <f aca="false">X103/X$105</f>
        <v>#DIV/0!</v>
      </c>
      <c r="Y112" s="57" t="e">
        <f aca="false">Y103/Y$105</f>
        <v>#DIV/0!</v>
      </c>
      <c r="Z112" s="57" t="e">
        <f aca="false">Z103/Z$105</f>
        <v>#DIV/0!</v>
      </c>
      <c r="AA112" s="57" t="e">
        <f aca="false">AA103/AA$105</f>
        <v>#DIV/0!</v>
      </c>
      <c r="AB112" s="57" t="e">
        <f aca="false">AB103/AB$105</f>
        <v>#DIV/0!</v>
      </c>
      <c r="AC112" s="57" t="e">
        <f aca="false">AC103/AC$105</f>
        <v>#DIV/0!</v>
      </c>
      <c r="AD112" s="57" t="e">
        <f aca="false">AD103/AD$105</f>
        <v>#DIV/0!</v>
      </c>
      <c r="AE112" s="57" t="e">
        <f aca="false">AE103/AE$105</f>
        <v>#DIV/0!</v>
      </c>
      <c r="AF112" s="57" t="e">
        <f aca="false">AF103/AF$105</f>
        <v>#DIV/0!</v>
      </c>
      <c r="AG112" s="57" t="e">
        <f aca="false">AG103/AG$105</f>
        <v>#DIV/0!</v>
      </c>
      <c r="AH112" s="57" t="e">
        <f aca="false">AH103/AH$105</f>
        <v>#DIV/0!</v>
      </c>
      <c r="AI112" s="57" t="e">
        <f aca="false">AI103/AI$105</f>
        <v>#DIV/0!</v>
      </c>
      <c r="AJ112" s="57" t="e">
        <f aca="false">AJ103/AJ$105</f>
        <v>#DIV/0!</v>
      </c>
      <c r="AK112" s="57" t="e">
        <f aca="false">AK103/AK$105</f>
        <v>#DIV/0!</v>
      </c>
      <c r="AL112" s="57" t="e">
        <f aca="false">AL103/AL$105</f>
        <v>#DIV/0!</v>
      </c>
      <c r="AM112" s="57" t="e">
        <f aca="false">AM103/AM$105</f>
        <v>#DIV/0!</v>
      </c>
      <c r="AN112" s="57" t="e">
        <f aca="false">AN103/AN$105</f>
        <v>#DIV/0!</v>
      </c>
      <c r="AO112" s="57" t="e">
        <f aca="false">AO103/AO$105</f>
        <v>#DIV/0!</v>
      </c>
      <c r="AP112" s="57" t="e">
        <f aca="false">AP103/AP$105</f>
        <v>#DIV/0!</v>
      </c>
      <c r="AQ112" s="57" t="e">
        <f aca="false">AQ103/AQ$105</f>
        <v>#DIV/0!</v>
      </c>
      <c r="AR112" s="57" t="e">
        <f aca="false">AR103/AR$105</f>
        <v>#DIV/0!</v>
      </c>
      <c r="AS112" s="57" t="e">
        <f aca="false">AS103/AS$105</f>
        <v>#DIV/0!</v>
      </c>
      <c r="AT112" s="57" t="e">
        <f aca="false">AT103/AT$105</f>
        <v>#DIV/0!</v>
      </c>
      <c r="AU112" s="57" t="e">
        <f aca="false">AU103/AU$105</f>
        <v>#DIV/0!</v>
      </c>
      <c r="AV112" s="57" t="e">
        <f aca="false">AV103/AV$105</f>
        <v>#DIV/0!</v>
      </c>
      <c r="AW112" s="57" t="e">
        <f aca="false">AW103/AW$105</f>
        <v>#DIV/0!</v>
      </c>
      <c r="AX112" s="57" t="e">
        <f aca="false">AX103/AX$105</f>
        <v>#DIV/0!</v>
      </c>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E112" s="56"/>
      <c r="CF112" s="56"/>
      <c r="CG112" s="56"/>
      <c r="CI112" s="56"/>
      <c r="CJ112" s="56"/>
      <c r="CK112" s="56"/>
      <c r="CL112" s="56"/>
      <c r="CM112" s="56"/>
      <c r="CN112" s="56"/>
    </row>
    <row r="113" customFormat="false" ht="15" hidden="false" customHeight="true" outlineLevel="0" collapsed="false">
      <c r="A113" s="29" t="s">
        <v>962</v>
      </c>
      <c r="B113" s="57" t="n">
        <f aca="false">B104/B$105</f>
        <v>0.191614564178007</v>
      </c>
      <c r="C113" s="57" t="n">
        <f aca="false">C104/C$105</f>
        <v>0.206359649122807</v>
      </c>
      <c r="D113" s="57" t="n">
        <f aca="false">D104/D$105</f>
        <v>0.218110676355506</v>
      </c>
      <c r="E113" s="57" t="n">
        <f aca="false">E104/E$105</f>
        <v>0.201220865704772</v>
      </c>
      <c r="F113" s="57" t="n">
        <f aca="false">F104/F$105</f>
        <v>0.205980244792785</v>
      </c>
      <c r="G113" s="57" t="n">
        <f aca="false">G104/G$105</f>
        <v>0.163026970411102</v>
      </c>
      <c r="H113" s="57" t="n">
        <f aca="false">H104/H$105</f>
        <v>0.18698545723441</v>
      </c>
      <c r="I113" s="57" t="n">
        <f aca="false">I104/I$105</f>
        <v>0.214032188972523</v>
      </c>
      <c r="J113" s="57" t="n">
        <f aca="false">J104/J$105</f>
        <v>0.27777409738324</v>
      </c>
      <c r="K113" s="57" t="n">
        <f aca="false">K104/K$105</f>
        <v>0.345818154219794</v>
      </c>
      <c r="L113" s="57" t="n">
        <f aca="false">L104/L$105</f>
        <v>0.370755592536884</v>
      </c>
      <c r="M113" s="57" t="n">
        <f aca="false">M104/M$105</f>
        <v>0.370755592536884</v>
      </c>
      <c r="N113" s="57" t="n">
        <f aca="false">N104/N$105</f>
        <v>0.382574380808972</v>
      </c>
      <c r="O113" s="57" t="e">
        <f aca="false">O104/O$105</f>
        <v>#DIV/0!</v>
      </c>
      <c r="P113" s="57" t="e">
        <f aca="false">P104/P$105</f>
        <v>#DIV/0!</v>
      </c>
      <c r="Q113" s="57" t="e">
        <f aca="false">Q104/Q$105</f>
        <v>#DIV/0!</v>
      </c>
      <c r="R113" s="57" t="e">
        <f aca="false">R104/R$105</f>
        <v>#DIV/0!</v>
      </c>
      <c r="S113" s="57" t="e">
        <f aca="false">S104/S$105</f>
        <v>#DIV/0!</v>
      </c>
      <c r="T113" s="57" t="e">
        <f aca="false">T104/T$105</f>
        <v>#DIV/0!</v>
      </c>
      <c r="U113" s="57" t="e">
        <f aca="false">U104/U$105</f>
        <v>#DIV/0!</v>
      </c>
      <c r="V113" s="57" t="e">
        <f aca="false">V104/V$105</f>
        <v>#DIV/0!</v>
      </c>
      <c r="W113" s="57" t="e">
        <f aca="false">W104/W$105</f>
        <v>#DIV/0!</v>
      </c>
      <c r="X113" s="57" t="e">
        <f aca="false">X104/X$105</f>
        <v>#DIV/0!</v>
      </c>
      <c r="Y113" s="57" t="e">
        <f aca="false">Y104/Y$105</f>
        <v>#DIV/0!</v>
      </c>
      <c r="Z113" s="57" t="e">
        <f aca="false">Z104/Z$105</f>
        <v>#DIV/0!</v>
      </c>
      <c r="AA113" s="57" t="e">
        <f aca="false">AA104/AA$105</f>
        <v>#DIV/0!</v>
      </c>
      <c r="AB113" s="57" t="e">
        <f aca="false">AB104/AB$105</f>
        <v>#DIV/0!</v>
      </c>
      <c r="AC113" s="57" t="e">
        <f aca="false">AC104/AC$105</f>
        <v>#DIV/0!</v>
      </c>
      <c r="AD113" s="57" t="e">
        <f aca="false">AD104/AD$105</f>
        <v>#DIV/0!</v>
      </c>
      <c r="AE113" s="57" t="e">
        <f aca="false">AE104/AE$105</f>
        <v>#DIV/0!</v>
      </c>
      <c r="AF113" s="57" t="e">
        <f aca="false">AF104/AF$105</f>
        <v>#DIV/0!</v>
      </c>
      <c r="AG113" s="57" t="e">
        <f aca="false">AG104/AG$105</f>
        <v>#DIV/0!</v>
      </c>
      <c r="AH113" s="57" t="e">
        <f aca="false">AH104/AH$105</f>
        <v>#DIV/0!</v>
      </c>
      <c r="AI113" s="57" t="e">
        <f aca="false">AI104/AI$105</f>
        <v>#DIV/0!</v>
      </c>
      <c r="AJ113" s="57" t="e">
        <f aca="false">AJ104/AJ$105</f>
        <v>#DIV/0!</v>
      </c>
      <c r="AK113" s="57" t="e">
        <f aca="false">AK104/AK$105</f>
        <v>#DIV/0!</v>
      </c>
      <c r="AL113" s="57" t="e">
        <f aca="false">AL104/AL$105</f>
        <v>#DIV/0!</v>
      </c>
      <c r="AM113" s="57" t="e">
        <f aca="false">AM104/AM$105</f>
        <v>#DIV/0!</v>
      </c>
      <c r="AN113" s="57" t="e">
        <f aca="false">AN104/AN$105</f>
        <v>#DIV/0!</v>
      </c>
      <c r="AO113" s="57" t="e">
        <f aca="false">AO104/AO$105</f>
        <v>#DIV/0!</v>
      </c>
      <c r="AP113" s="57" t="e">
        <f aca="false">AP104/AP$105</f>
        <v>#DIV/0!</v>
      </c>
      <c r="AQ113" s="57" t="e">
        <f aca="false">AQ104/AQ$105</f>
        <v>#DIV/0!</v>
      </c>
      <c r="AR113" s="57" t="e">
        <f aca="false">AR104/AR$105</f>
        <v>#DIV/0!</v>
      </c>
      <c r="AS113" s="57" t="e">
        <f aca="false">AS104/AS$105</f>
        <v>#DIV/0!</v>
      </c>
      <c r="AT113" s="57" t="e">
        <f aca="false">AT104/AT$105</f>
        <v>#DIV/0!</v>
      </c>
      <c r="AU113" s="57" t="e">
        <f aca="false">AU104/AU$105</f>
        <v>#DIV/0!</v>
      </c>
      <c r="AV113" s="57" t="e">
        <f aca="false">AV104/AV$105</f>
        <v>#DIV/0!</v>
      </c>
      <c r="AW113" s="57" t="e">
        <f aca="false">AW104/AW$105</f>
        <v>#DIV/0!</v>
      </c>
      <c r="AX113" s="57" t="e">
        <f aca="false">AX104/AX$105</f>
        <v>#DIV/0!</v>
      </c>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E113" s="56"/>
      <c r="CF113" s="56"/>
      <c r="CG113" s="56"/>
      <c r="CI113" s="56"/>
      <c r="CJ113" s="56"/>
      <c r="CK113" s="56"/>
      <c r="CL113" s="56"/>
      <c r="CM113" s="56"/>
      <c r="CN113" s="56"/>
    </row>
    <row r="115" customFormat="false" ht="15" hidden="false" customHeight="true" outlineLevel="0" collapsed="false">
      <c r="A115" s="38" t="s">
        <v>964</v>
      </c>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7"/>
      <c r="BO115" s="117"/>
      <c r="BP115" s="117"/>
      <c r="BQ115" s="117"/>
      <c r="BR115" s="117"/>
      <c r="BS115" s="117"/>
      <c r="BT115" s="117"/>
      <c r="BU115" s="117"/>
      <c r="BV115" s="117"/>
      <c r="BW115" s="117"/>
      <c r="BX115" s="117"/>
      <c r="BY115" s="117"/>
      <c r="BZ115" s="117"/>
      <c r="CA115" s="117"/>
      <c r="CB115" s="117"/>
      <c r="CC115" s="117"/>
      <c r="CD115" s="117"/>
      <c r="CE115" s="117"/>
      <c r="CF115" s="117"/>
      <c r="CG115" s="117"/>
      <c r="CH115" s="117"/>
      <c r="CI115" s="117"/>
      <c r="CJ115" s="117"/>
      <c r="CK115" s="117"/>
      <c r="CL115" s="117"/>
      <c r="CM115" s="117"/>
      <c r="CN115" s="117"/>
    </row>
    <row r="116" customFormat="false" ht="15" hidden="false" customHeight="true" outlineLevel="0" collapsed="false">
      <c r="A116" s="29"/>
      <c r="B116" s="30"/>
      <c r="C116" s="30"/>
      <c r="D116" s="30"/>
      <c r="E116" s="31" t="n">
        <f aca="false">E40/E11*10^6</f>
        <v>178094.421966632</v>
      </c>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E116" s="30"/>
      <c r="CF116" s="30"/>
      <c r="CG116" s="30"/>
      <c r="CI116" s="30"/>
      <c r="CJ116" s="30"/>
      <c r="CK116" s="30"/>
      <c r="CL116" s="30"/>
      <c r="CM116" s="30"/>
      <c r="CN116" s="30"/>
    </row>
    <row r="117" customFormat="false" ht="15" hidden="false" customHeight="true" outlineLevel="0" collapsed="false">
      <c r="A117" s="29"/>
      <c r="B117" s="43"/>
      <c r="C117" s="89" t="n">
        <f aca="false">+C50-1722.094</f>
        <v>0</v>
      </c>
      <c r="D117" s="89" t="n">
        <f aca="false">+D50-2137.045</f>
        <v>0</v>
      </c>
      <c r="E117" s="89" t="n">
        <f aca="false">+E50+1408.115</f>
        <v>0</v>
      </c>
      <c r="F117" s="89" t="n">
        <f aca="false">+F50-2907.844</f>
        <v>0</v>
      </c>
      <c r="G117" s="89" t="n">
        <f aca="false">+G50-2944.1</f>
        <v>0</v>
      </c>
      <c r="H117" s="89" t="n">
        <f aca="false">+H50-1617.16</f>
        <v>0</v>
      </c>
      <c r="I117" s="89" t="n">
        <f aca="false">+I50-4761.669</f>
        <v>0</v>
      </c>
      <c r="J117" s="89" t="n">
        <f aca="false">+J50-1112.354</f>
        <v>0</v>
      </c>
      <c r="K117" s="89" t="n">
        <f aca="false">+K50-3342.597</f>
        <v>0</v>
      </c>
      <c r="L117" s="43"/>
      <c r="M117" s="89" t="n">
        <f aca="false">+M50-4848.6</f>
        <v>0</v>
      </c>
      <c r="N117" s="89" t="n">
        <f aca="false">+N50-6673.847</f>
        <v>0</v>
      </c>
      <c r="O117" s="89" t="n">
        <f aca="false">+O50-7431.2</f>
        <v>0</v>
      </c>
      <c r="P117" s="89" t="n">
        <f aca="false">+P50-3701.011</f>
        <v>0</v>
      </c>
      <c r="Q117" s="89" t="n">
        <f aca="false">+Q50-4216.3</f>
        <v>0</v>
      </c>
      <c r="R117" s="89" t="n">
        <f aca="false">+R50-4595.792</f>
        <v>0</v>
      </c>
      <c r="S117" s="89" t="n">
        <f aca="false">+S50-5277.4</f>
        <v>0</v>
      </c>
      <c r="T117" s="89" t="n">
        <f aca="false">+T50-3808.4</f>
        <v>0</v>
      </c>
      <c r="U117" s="89" t="n">
        <f aca="false">+U50-6529.9</f>
        <v>0</v>
      </c>
      <c r="V117" s="89" t="n">
        <f aca="false">+V50-2302.2</f>
        <v>0</v>
      </c>
      <c r="W117" s="89" t="n">
        <f aca="false">+W50-388.7</f>
        <v>2.89901436190121E-012</v>
      </c>
      <c r="X117" s="89" t="n">
        <f aca="false">+X50-277.5</f>
        <v>0</v>
      </c>
      <c r="Y117" s="89" t="n">
        <f aca="false">+Y50+573.2</f>
        <v>0</v>
      </c>
      <c r="Z117" s="89" t="n">
        <f aca="false">+Z50+3888</f>
        <v>0</v>
      </c>
      <c r="AA117" s="89" t="n">
        <f aca="false">+AA50+1466.7</f>
        <v>0</v>
      </c>
      <c r="AB117" s="89" t="n">
        <f aca="false">+AB50+193.8</f>
        <v>8.58335624798201E-012</v>
      </c>
      <c r="AC117" s="89" t="n">
        <f aca="false">+AC50-2411.7</f>
        <v>0</v>
      </c>
      <c r="AD117" s="89" t="n">
        <f aca="false">+AD50+2822.9</f>
        <v>0</v>
      </c>
      <c r="AE117" s="89" t="n">
        <f aca="false">+AE50+830.1</f>
        <v>-5.91171556152403E-012</v>
      </c>
      <c r="AF117" s="89" t="n">
        <f aca="false">+AF50-57.6</f>
        <v>1.55608859131462E-012</v>
      </c>
      <c r="AG117" s="89" t="n">
        <f aca="false">+AG50-9013.7</f>
        <v>0</v>
      </c>
      <c r="AH117" s="89" t="n">
        <f aca="false">+AH50-680.5</f>
        <v>2.8421709430404E-012</v>
      </c>
      <c r="AI117" s="89" t="n">
        <f aca="false">+AI50-1993.1</f>
        <v>0</v>
      </c>
      <c r="AJ117" s="89" t="n">
        <f aca="false">+AJ50-3613.4</f>
        <v>0</v>
      </c>
      <c r="AK117" s="89" t="n">
        <f aca="false">+AK50-7514.1</f>
        <v>0</v>
      </c>
      <c r="AL117" s="89" t="n">
        <f aca="false">+AL50-5764.2</f>
        <v>0</v>
      </c>
      <c r="AM117" s="89" t="n">
        <f aca="false">+AM50-5610.1</f>
        <v>0</v>
      </c>
      <c r="AN117" s="89" t="n">
        <f aca="false">+AN50-5800.3</f>
        <v>0</v>
      </c>
      <c r="AO117" s="89" t="n">
        <f aca="false">+AO50-9004.1</f>
        <v>0</v>
      </c>
      <c r="AP117" s="89" t="n">
        <f aca="false">+AP51-5255.8</f>
        <v>0</v>
      </c>
      <c r="AQ117" s="89" t="n">
        <f aca="false">+AQ50-7701</f>
        <v>0</v>
      </c>
      <c r="AR117" s="89" t="n">
        <f aca="false">+AR50-7617.4</f>
        <v>0</v>
      </c>
      <c r="AS117" s="89" t="n">
        <f aca="false">+AS50-12458.7</f>
        <v>0</v>
      </c>
      <c r="AT117" s="89" t="n">
        <f aca="false">+AT50-5937.3</f>
        <v>0</v>
      </c>
      <c r="AU117" s="89" t="n">
        <f aca="false">+AU50-7710.6</f>
        <v>0</v>
      </c>
      <c r="AV117" s="89" t="n">
        <f aca="false">+AV50-7960.2</f>
        <v>0</v>
      </c>
      <c r="AW117" s="89" t="n">
        <f aca="false">+AW50-14047.2</f>
        <v>0</v>
      </c>
      <c r="AX117" s="89" t="n">
        <f aca="false">+AX50-6091.1</f>
        <v>0</v>
      </c>
      <c r="AZ117" s="43"/>
      <c r="BA117" s="43"/>
      <c r="BB117" s="43"/>
      <c r="BC117" s="43"/>
      <c r="BD117" s="43"/>
      <c r="BE117" s="43"/>
      <c r="BF117" s="43"/>
      <c r="BG117" s="43"/>
      <c r="BH117" s="43"/>
      <c r="BI117" s="43"/>
      <c r="BJ117" s="43"/>
      <c r="BK117" s="43"/>
      <c r="BL117" s="43"/>
      <c r="BM117" s="43"/>
      <c r="BN117" s="43"/>
      <c r="BO117" s="43"/>
      <c r="BP117" s="43"/>
      <c r="BQ117" s="43"/>
      <c r="BR117" s="43"/>
      <c r="BS117" s="43"/>
      <c r="BT117" s="43"/>
      <c r="BU117" s="43"/>
      <c r="BV117" s="43"/>
      <c r="BW117" s="43"/>
      <c r="BX117" s="43"/>
      <c r="BY117" s="43"/>
      <c r="BZ117" s="43"/>
      <c r="CA117" s="43"/>
      <c r="CB117" s="43"/>
      <c r="CC117" s="43"/>
      <c r="CE117" s="43"/>
      <c r="CF117" s="43"/>
      <c r="CG117" s="43"/>
      <c r="CI117" s="43"/>
      <c r="CJ117" s="43"/>
      <c r="CK117" s="43"/>
      <c r="CL117" s="43"/>
      <c r="CM117" s="43"/>
      <c r="CN117" s="43"/>
    </row>
    <row r="118" customFormat="false" ht="15" hidden="false" customHeight="true" outlineLevel="0" collapsed="false">
      <c r="A118" s="29"/>
      <c r="B118" s="43"/>
      <c r="C118" s="43"/>
      <c r="D118" s="43"/>
      <c r="E118" s="89" t="n">
        <f aca="false">+E53+1393.825</f>
        <v>0</v>
      </c>
      <c r="F118" s="43"/>
      <c r="G118" s="89" t="n">
        <f aca="false">+G53-2974.927</f>
        <v>0</v>
      </c>
      <c r="H118" s="89" t="n">
        <f aca="false">+H53-1571.356</f>
        <v>0</v>
      </c>
      <c r="I118" s="89" t="n">
        <f aca="false">+I53-4952.446</f>
        <v>0</v>
      </c>
      <c r="J118" s="89" t="n">
        <f aca="false">+J53-1077.323</f>
        <v>0</v>
      </c>
      <c r="K118" s="89" t="n">
        <f aca="false">+K53-3168.512</f>
        <v>0</v>
      </c>
      <c r="L118" s="89" t="n">
        <f aca="false">+L53-4624.464</f>
        <v>0</v>
      </c>
      <c r="M118" s="89" t="n">
        <f aca="false">+M53-4624.464</f>
        <v>224.136000000005</v>
      </c>
      <c r="N118" s="89" t="n">
        <f aca="false">+N53-6400.957</f>
        <v>0</v>
      </c>
      <c r="O118" s="89" t="n">
        <f aca="false">+O53-4252.451</f>
        <v>3178.74899999999</v>
      </c>
      <c r="P118" s="89" t="n">
        <f aca="false">+P53-3455.826</f>
        <v>0</v>
      </c>
      <c r="Q118" s="89" t="n">
        <f aca="false">+Q53-3455.826</f>
        <v>515.288999999995</v>
      </c>
      <c r="R118" s="89" t="n">
        <f aca="false">+R53-4252.451</f>
        <v>0</v>
      </c>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89" t="n">
        <f aca="false">+AR53-7625.2</f>
        <v>0</v>
      </c>
      <c r="AS118" s="89" t="n">
        <f aca="false">+AS53-12516.2</f>
        <v>0</v>
      </c>
      <c r="AT118" s="89" t="n">
        <f aca="false">+AT53-5809.2</f>
        <v>0</v>
      </c>
      <c r="AU118" s="89" t="n">
        <f aca="false">+AU53-7134.2</f>
        <v>0</v>
      </c>
      <c r="AV118" s="59" t="n">
        <f aca="false">+AV53-0</f>
        <v>7960.2</v>
      </c>
      <c r="AW118" s="89" t="n">
        <f aca="false">+AW53-13758.5</f>
        <v>0</v>
      </c>
      <c r="AX118" s="89" t="n">
        <f aca="false">+AX53-5998.6</f>
        <v>0</v>
      </c>
      <c r="AZ118" s="43"/>
      <c r="BA118" s="43"/>
      <c r="BB118" s="43"/>
      <c r="BC118" s="43"/>
      <c r="BD118" s="43"/>
      <c r="BE118" s="43"/>
      <c r="BF118" s="43"/>
      <c r="BG118" s="43"/>
      <c r="BH118" s="43"/>
      <c r="BI118" s="43"/>
      <c r="BJ118" s="43"/>
      <c r="BK118" s="43"/>
      <c r="BL118" s="43"/>
      <c r="BM118" s="43"/>
      <c r="BN118" s="43"/>
      <c r="BO118" s="43"/>
      <c r="BP118" s="43"/>
      <c r="BQ118" s="43"/>
      <c r="BR118" s="43"/>
      <c r="BS118" s="43"/>
      <c r="BT118" s="43"/>
      <c r="BU118" s="43"/>
      <c r="BV118" s="43"/>
      <c r="BW118" s="43"/>
      <c r="BX118" s="43"/>
      <c r="BY118" s="43"/>
      <c r="BZ118" s="43"/>
      <c r="CA118" s="43"/>
      <c r="CB118" s="43"/>
      <c r="CC118" s="43"/>
      <c r="CE118" s="43"/>
      <c r="CF118" s="43"/>
      <c r="CG118" s="43"/>
      <c r="CI118" s="43"/>
      <c r="CJ118" s="43"/>
      <c r="CK118" s="43"/>
      <c r="CL118" s="43"/>
      <c r="CM118" s="43"/>
      <c r="CN118" s="43"/>
    </row>
    <row r="119" customFormat="false" ht="15" hidden="false" customHeight="true" outlineLevel="0" collapsed="false">
      <c r="A119" s="29"/>
      <c r="B119" s="128" t="str">
        <f aca="false">+B$4&amp;" "&amp;B$5</f>
        <v>FY16 1Q</v>
      </c>
      <c r="C119" s="128" t="str">
        <f aca="false">+C$4&amp;" "&amp;C$5</f>
        <v>FY16 2Q</v>
      </c>
      <c r="D119" s="128" t="str">
        <f aca="false">+D$4&amp;" "&amp;D$5</f>
        <v>FY16 3Q</v>
      </c>
      <c r="E119" s="128" t="str">
        <f aca="false">+E$4&amp;" "&amp;E$5</f>
        <v>FY16 4Q</v>
      </c>
      <c r="F119" s="128" t="str">
        <f aca="false">+F$4&amp;" "&amp;F$5</f>
        <v>FY17 1Q</v>
      </c>
      <c r="G119" s="128" t="str">
        <f aca="false">+G$4&amp;" "&amp;G$5</f>
        <v>FY17 2Q</v>
      </c>
      <c r="H119" s="128" t="str">
        <f aca="false">+H$4&amp;" "&amp;H$5</f>
        <v>FY17 3Q</v>
      </c>
      <c r="I119" s="128" t="str">
        <f aca="false">+I$4&amp;" "&amp;I$5</f>
        <v>FY17 4Q</v>
      </c>
      <c r="J119" s="128" t="str">
        <f aca="false">+J$4&amp;" "&amp;J$5</f>
        <v>FY18 1Q</v>
      </c>
      <c r="K119" s="128" t="str">
        <f aca="false">+K$4&amp;" "&amp;K$5</f>
        <v>FY18 2Q</v>
      </c>
      <c r="L119" s="128" t="str">
        <f aca="false">+L$4&amp;" "&amp;L$5</f>
        <v>FY18 3Q</v>
      </c>
      <c r="M119" s="128" t="str">
        <f aca="false">+M$4&amp;" "&amp;M$5</f>
        <v>FY18 3Q rest.</v>
      </c>
      <c r="N119" s="128" t="str">
        <f aca="false">+N$4&amp;" "&amp;N$5</f>
        <v>FY18 4Q</v>
      </c>
      <c r="O119" s="128" t="str">
        <f aca="false">+O$4&amp;" "&amp;O$5</f>
        <v>FY18 4Q rest.</v>
      </c>
      <c r="P119" s="128" t="str">
        <f aca="false">+P$4&amp;" "&amp;P$5</f>
        <v>FY19 1Q</v>
      </c>
      <c r="Q119" s="128" t="str">
        <f aca="false">+Q$4&amp;" "&amp;Q$5</f>
        <v>FY19 1Q rest.</v>
      </c>
      <c r="R119" s="128" t="str">
        <f aca="false">+R$4&amp;" "&amp;R$5</f>
        <v>FY19 2Q</v>
      </c>
      <c r="S119" s="128" t="str">
        <f aca="false">+S$4&amp;" "&amp;S$5</f>
        <v>FY19 2Q rest.</v>
      </c>
      <c r="T119" s="128" t="str">
        <f aca="false">+T$4&amp;" "&amp;T$5</f>
        <v>FY19 3Q</v>
      </c>
      <c r="U119" s="128" t="str">
        <f aca="false">+U$4&amp;" "&amp;U$5</f>
        <v>FY19 4Q</v>
      </c>
      <c r="V119" s="128" t="str">
        <f aca="false">+V$4&amp;" "&amp;V$5</f>
        <v>FY20 1Q</v>
      </c>
      <c r="W119" s="128" t="str">
        <f aca="false">+W$4&amp;" "&amp;W$5</f>
        <v>FY20 2Q</v>
      </c>
      <c r="X119" s="128" t="str">
        <f aca="false">+X$4&amp;" "&amp;X$5</f>
        <v>FY20 3Q</v>
      </c>
      <c r="Y119" s="128" t="str">
        <f aca="false">+Y$4&amp;" "&amp;Y$5</f>
        <v>FY20 4Q</v>
      </c>
      <c r="Z119" s="128" t="str">
        <f aca="false">+Z$4&amp;" "&amp;Z$5</f>
        <v>FY21 1Q</v>
      </c>
      <c r="AA119" s="128" t="str">
        <f aca="false">+AA$4&amp;" "&amp;AA$5</f>
        <v>FY21 2Q</v>
      </c>
      <c r="AB119" s="128" t="str">
        <f aca="false">+AB$4&amp;" "&amp;AB$5</f>
        <v>FY21 3Q</v>
      </c>
      <c r="AC119" s="128" t="str">
        <f aca="false">+AC$4&amp;" "&amp;AC$5</f>
        <v>FY21 4Q</v>
      </c>
      <c r="AD119" s="128" t="str">
        <f aca="false">+AD$4&amp;" "&amp;AD$5</f>
        <v>FY22 1Q</v>
      </c>
      <c r="AE119" s="128" t="str">
        <f aca="false">+AE$4&amp;" "&amp;AE$5</f>
        <v>FY22 2Q</v>
      </c>
      <c r="AF119" s="128" t="str">
        <f aca="false">+AF$4&amp;" "&amp;AF$5</f>
        <v>FY22 3Q</v>
      </c>
      <c r="AG119" s="128" t="str">
        <f aca="false">+AG$4&amp;" "&amp;AG$5</f>
        <v>FY22 4Q</v>
      </c>
      <c r="AH119" s="128" t="str">
        <f aca="false">+AH$4&amp;" "&amp;AH$5</f>
        <v>FY23 1Q</v>
      </c>
      <c r="AI119" s="128" t="str">
        <f aca="false">+AI$4&amp;" "&amp;AI$5</f>
        <v>FY23 2Q</v>
      </c>
      <c r="AJ119" s="128" t="str">
        <f aca="false">+AJ$4&amp;" "&amp;AJ$5</f>
        <v>FY23 3Q</v>
      </c>
      <c r="AK119" s="128" t="str">
        <f aca="false">+AK$4&amp;" "&amp;AK$5</f>
        <v>FY23 4Q</v>
      </c>
      <c r="AL119" s="128" t="str">
        <f aca="false">+AL$4&amp;" "&amp;AL$5</f>
        <v>FY24 1Q</v>
      </c>
      <c r="AM119" s="128" t="str">
        <f aca="false">+AM$4&amp;" "&amp;AM$5</f>
        <v>FY24 2Q</v>
      </c>
      <c r="AN119" s="128" t="str">
        <f aca="false">+AN$4&amp;" "&amp;AN$5</f>
        <v>FY24 3Q</v>
      </c>
      <c r="AO119" s="128" t="str">
        <f aca="false">+AO$4&amp;" "&amp;AO$5</f>
        <v>FY24 4Q</v>
      </c>
      <c r="AP119" s="128" t="str">
        <f aca="false">+AP$4&amp;" "&amp;AP$5</f>
        <v>FY25 1Q</v>
      </c>
      <c r="AQ119" s="128" t="str">
        <f aca="false">+AQ$4&amp;" "&amp;AQ$5</f>
        <v>FY25 2Q</v>
      </c>
      <c r="AR119" s="128" t="str">
        <f aca="false">+AR$4&amp;" "&amp;AR$5</f>
        <v>FY25 3Q</v>
      </c>
      <c r="AS119" s="128" t="str">
        <f aca="false">+AS$4&amp;" "&amp;AS$5</f>
        <v>FY25 4Q</v>
      </c>
      <c r="AT119" s="128" t="str">
        <f aca="false">+AT$4&amp;" "&amp;AT$5</f>
        <v>FY26 1Q</v>
      </c>
      <c r="AU119" s="128" t="str">
        <f aca="false">+AU$4&amp;" "&amp;AU$5</f>
        <v>FY26 2Q</v>
      </c>
      <c r="AV119" s="128" t="str">
        <f aca="false">+AV$4&amp;" "&amp;AV$5</f>
        <v>FY26 3Q</v>
      </c>
      <c r="AW119" s="128" t="str">
        <f aca="false">+AW$4&amp;" "&amp;AW$5</f>
        <v>FY26 4Q</v>
      </c>
      <c r="AX119" s="128" t="str">
        <f aca="false">+AX$4&amp;" "&amp;AX$5</f>
        <v>FY27 1Q</v>
      </c>
      <c r="AZ119" s="43"/>
      <c r="BA119" s="43"/>
      <c r="BB119" s="43"/>
      <c r="BC119" s="43"/>
      <c r="BD119" s="43"/>
      <c r="BE119" s="43"/>
      <c r="BF119" s="43"/>
      <c r="BG119" s="43"/>
      <c r="BH119" s="43"/>
      <c r="BI119" s="43"/>
      <c r="BJ119" s="43"/>
      <c r="BK119" s="43"/>
      <c r="BL119" s="43"/>
      <c r="BM119" s="43"/>
      <c r="BN119" s="43"/>
      <c r="BO119" s="43"/>
      <c r="BP119" s="43"/>
      <c r="BQ119" s="43"/>
      <c r="BR119" s="43"/>
      <c r="BS119" s="43"/>
      <c r="BT119" s="43"/>
      <c r="BU119" s="43"/>
      <c r="BV119" s="43"/>
      <c r="BW119" s="43"/>
      <c r="BX119" s="43"/>
      <c r="BY119" s="43"/>
      <c r="BZ119" s="43"/>
      <c r="CA119" s="43"/>
      <c r="CB119" s="43"/>
      <c r="CC119" s="43"/>
      <c r="CE119" s="43"/>
      <c r="CF119" s="43"/>
      <c r="CG119" s="43"/>
      <c r="CI119" s="43"/>
      <c r="CJ119" s="43"/>
      <c r="CK119" s="43"/>
      <c r="CL119" s="43"/>
      <c r="CM119" s="43"/>
      <c r="CN119" s="43"/>
    </row>
    <row r="121" customFormat="false" ht="15" hidden="false" customHeight="true" outlineLevel="0" collapsed="false">
      <c r="A121" s="38" t="s">
        <v>965</v>
      </c>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c r="AI121" s="117"/>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117"/>
      <c r="BF121" s="117"/>
      <c r="BG121" s="117"/>
      <c r="BH121" s="117"/>
      <c r="BI121" s="117"/>
      <c r="BJ121" s="117"/>
      <c r="BK121" s="117"/>
      <c r="BL121" s="117"/>
      <c r="BM121" s="117"/>
      <c r="BN121" s="117"/>
      <c r="BO121" s="117"/>
      <c r="BP121" s="117"/>
      <c r="BQ121" s="117"/>
      <c r="BR121" s="117"/>
      <c r="BS121" s="117"/>
      <c r="BT121" s="117"/>
      <c r="BU121" s="117"/>
      <c r="BV121" s="117"/>
      <c r="BW121" s="117"/>
      <c r="BX121" s="117"/>
      <c r="BY121" s="117"/>
      <c r="BZ121" s="117"/>
      <c r="CA121" s="117"/>
      <c r="CB121" s="117"/>
      <c r="CC121" s="117"/>
      <c r="CD121" s="117"/>
      <c r="CE121" s="117"/>
      <c r="CF121" s="117"/>
      <c r="CG121" s="117"/>
      <c r="CH121" s="117"/>
      <c r="CI121" s="117"/>
      <c r="CJ121" s="117"/>
      <c r="CK121" s="117"/>
      <c r="CL121" s="117"/>
      <c r="CM121" s="117"/>
      <c r="CN121" s="117"/>
    </row>
    <row r="122" customFormat="false" ht="15" hidden="false" customHeight="true" outlineLevel="0" collapsed="false">
      <c r="A122" s="29" t="s">
        <v>966</v>
      </c>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Z122" s="43"/>
      <c r="BA122" s="43"/>
      <c r="BB122" s="43"/>
      <c r="BC122" s="43"/>
      <c r="BD122" s="43"/>
      <c r="BE122" s="43"/>
      <c r="BF122" s="43"/>
      <c r="BG122" s="43"/>
      <c r="BH122" s="43"/>
      <c r="BI122" s="43"/>
      <c r="BJ122" s="43"/>
      <c r="BK122" s="43"/>
      <c r="BL122" s="43"/>
      <c r="BM122" s="43"/>
      <c r="BN122" s="43"/>
      <c r="BO122" s="43"/>
      <c r="BP122" s="43"/>
      <c r="BQ122" s="43"/>
      <c r="BR122" s="43"/>
      <c r="BS122" s="43"/>
      <c r="BT122" s="43"/>
      <c r="BU122" s="43"/>
      <c r="BV122" s="43"/>
      <c r="BW122" s="43"/>
      <c r="BX122" s="43"/>
      <c r="BY122" s="43"/>
      <c r="BZ122" s="43"/>
      <c r="CA122" s="43"/>
      <c r="CB122" s="43"/>
      <c r="CC122" s="43"/>
      <c r="CE122" s="43"/>
      <c r="CF122" s="43"/>
      <c r="CG122" s="43"/>
      <c r="CI122" s="43"/>
      <c r="CJ122" s="43"/>
      <c r="CK122" s="43"/>
      <c r="CL122" s="43"/>
      <c r="CM122" s="43"/>
      <c r="CN122" s="43"/>
    </row>
    <row r="123" customFormat="false" ht="15" hidden="false" customHeight="true" outlineLevel="0" collapsed="false">
      <c r="A123" s="29" t="s">
        <v>967</v>
      </c>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Z123" s="43"/>
      <c r="BA123" s="43"/>
      <c r="BB123" s="43"/>
      <c r="BC123" s="43"/>
      <c r="BD123" s="43"/>
      <c r="BE123" s="43"/>
      <c r="BF123" s="43"/>
      <c r="BG123" s="43"/>
      <c r="BH123" s="43"/>
      <c r="BI123" s="43"/>
      <c r="BJ123" s="43"/>
      <c r="BK123" s="43"/>
      <c r="BL123" s="43"/>
      <c r="BM123" s="43"/>
      <c r="BN123" s="43"/>
      <c r="BO123" s="43"/>
      <c r="BP123" s="43"/>
      <c r="BQ123" s="43"/>
      <c r="BR123" s="43"/>
      <c r="BS123" s="43"/>
      <c r="BT123" s="43"/>
      <c r="BU123" s="43"/>
      <c r="BV123" s="43"/>
      <c r="BW123" s="43"/>
      <c r="BX123" s="43"/>
      <c r="BY123" s="43"/>
      <c r="BZ123" s="43"/>
      <c r="CA123" s="43"/>
      <c r="CB123" s="43"/>
      <c r="CC123" s="43"/>
      <c r="CE123" s="43"/>
      <c r="CF123" s="43"/>
      <c r="CG123" s="43"/>
      <c r="CI123" s="43"/>
      <c r="CJ123" s="43"/>
      <c r="CK123" s="43"/>
      <c r="CL123" s="43"/>
      <c r="CM123" s="43"/>
      <c r="CN123" s="43"/>
    </row>
    <row r="124" customFormat="false" ht="15" hidden="false" customHeight="true" outlineLevel="0" collapsed="false">
      <c r="A124" s="29" t="s">
        <v>968</v>
      </c>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Z124" s="43"/>
      <c r="BA124" s="43"/>
      <c r="BB124" s="43"/>
      <c r="BC124" s="43"/>
      <c r="BD124" s="43"/>
      <c r="BE124" s="43"/>
      <c r="BF124" s="43"/>
      <c r="BG124" s="43"/>
      <c r="BH124" s="43"/>
      <c r="BI124" s="43"/>
      <c r="BJ124" s="43"/>
      <c r="BK124" s="43"/>
      <c r="BL124" s="43"/>
      <c r="BM124" s="43"/>
      <c r="BN124" s="43"/>
      <c r="BO124" s="43"/>
      <c r="BP124" s="43"/>
      <c r="BQ124" s="43"/>
      <c r="BR124" s="43"/>
      <c r="BS124" s="43"/>
      <c r="BT124" s="43"/>
      <c r="BU124" s="43"/>
      <c r="BV124" s="43"/>
      <c r="BW124" s="43"/>
      <c r="BX124" s="43"/>
      <c r="BY124" s="43"/>
      <c r="BZ124" s="43"/>
      <c r="CA124" s="43"/>
      <c r="CB124" s="43"/>
      <c r="CC124" s="43"/>
      <c r="CE124" s="43"/>
      <c r="CF124" s="43"/>
      <c r="CG124" s="43"/>
      <c r="CI124" s="43"/>
      <c r="CJ124" s="43"/>
      <c r="CK124" s="43"/>
      <c r="CL124" s="43"/>
      <c r="CM124" s="43"/>
      <c r="CN124" s="43"/>
    </row>
    <row r="125" customFormat="false" ht="15" hidden="false" customHeight="true" outlineLevel="0" collapsed="false">
      <c r="A125" s="29" t="s">
        <v>969</v>
      </c>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Z125" s="43"/>
      <c r="BA125" s="43"/>
      <c r="BB125" s="43"/>
      <c r="BC125" s="43"/>
      <c r="BD125" s="43"/>
      <c r="BE125" s="43"/>
      <c r="BF125" s="43"/>
      <c r="BG125" s="43"/>
      <c r="BH125" s="43"/>
      <c r="BI125" s="43"/>
      <c r="BJ125" s="43"/>
      <c r="BK125" s="43"/>
      <c r="BL125" s="43"/>
      <c r="BM125" s="43"/>
      <c r="BN125" s="43"/>
      <c r="BO125" s="43"/>
      <c r="BP125" s="43"/>
      <c r="BQ125" s="43"/>
      <c r="BR125" s="43"/>
      <c r="BS125" s="43"/>
      <c r="BT125" s="43"/>
      <c r="BU125" s="43"/>
      <c r="BV125" s="43"/>
      <c r="BW125" s="43"/>
      <c r="BX125" s="43"/>
      <c r="BY125" s="43"/>
      <c r="BZ125" s="43"/>
      <c r="CA125" s="43"/>
      <c r="CB125" s="43"/>
      <c r="CC125" s="43"/>
      <c r="CE125" s="43"/>
      <c r="CF125" s="43"/>
      <c r="CG125" s="43"/>
      <c r="CI125" s="43"/>
      <c r="CJ125" s="43"/>
      <c r="CK125" s="43"/>
      <c r="CL125" s="43"/>
      <c r="CM125" s="43"/>
      <c r="CN125" s="43"/>
    </row>
    <row r="126" customFormat="false" ht="15" hidden="false" customHeight="true" outlineLevel="0" collapsed="false">
      <c r="A126" s="29" t="s">
        <v>967</v>
      </c>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Z126" s="43"/>
      <c r="BA126" s="43"/>
      <c r="BB126" s="43"/>
      <c r="BC126" s="43"/>
      <c r="BD126" s="43"/>
      <c r="BE126" s="43"/>
      <c r="BF126" s="43"/>
      <c r="BG126" s="43"/>
      <c r="BH126" s="43"/>
      <c r="BI126" s="43"/>
      <c r="BJ126" s="43"/>
      <c r="BK126" s="43"/>
      <c r="BL126" s="43"/>
      <c r="BM126" s="43"/>
      <c r="BN126" s="43"/>
      <c r="BO126" s="43"/>
      <c r="BP126" s="43"/>
      <c r="BQ126" s="43"/>
      <c r="BR126" s="43"/>
      <c r="BS126" s="43"/>
      <c r="BT126" s="43"/>
      <c r="BU126" s="43"/>
      <c r="BV126" s="43"/>
      <c r="BW126" s="43"/>
      <c r="BX126" s="43"/>
      <c r="BY126" s="43"/>
      <c r="BZ126" s="43"/>
      <c r="CA126" s="43"/>
      <c r="CB126" s="43"/>
      <c r="CC126" s="43"/>
      <c r="CE126" s="43"/>
      <c r="CF126" s="43"/>
      <c r="CG126" s="43"/>
      <c r="CI126" s="43"/>
      <c r="CJ126" s="43"/>
      <c r="CK126" s="43"/>
      <c r="CL126" s="43"/>
      <c r="CM126" s="43"/>
      <c r="CN126" s="43"/>
    </row>
    <row r="127" customFormat="false" ht="15" hidden="false" customHeight="true" outlineLevel="0" collapsed="false">
      <c r="A127" s="29" t="s">
        <v>968</v>
      </c>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Z127" s="43"/>
      <c r="BA127" s="43"/>
      <c r="BB127" s="43"/>
      <c r="BC127" s="43"/>
      <c r="BD127" s="43"/>
      <c r="BE127" s="43"/>
      <c r="BF127" s="43"/>
      <c r="BG127" s="43"/>
      <c r="BH127" s="43"/>
      <c r="BI127" s="43"/>
      <c r="BJ127" s="43"/>
      <c r="BK127" s="43"/>
      <c r="BL127" s="43"/>
      <c r="BM127" s="43"/>
      <c r="BN127" s="43"/>
      <c r="BO127" s="43"/>
      <c r="BP127" s="43"/>
      <c r="BQ127" s="43"/>
      <c r="BR127" s="43"/>
      <c r="BS127" s="43"/>
      <c r="BT127" s="43"/>
      <c r="BU127" s="43"/>
      <c r="BV127" s="43"/>
      <c r="BW127" s="43"/>
      <c r="BX127" s="43"/>
      <c r="BY127" s="43"/>
      <c r="BZ127" s="43"/>
      <c r="CA127" s="43"/>
      <c r="CB127" s="43"/>
      <c r="CC127" s="43"/>
      <c r="CE127" s="43"/>
      <c r="CF127" s="43"/>
      <c r="CG127" s="43"/>
      <c r="CI127" s="43"/>
      <c r="CJ127" s="43"/>
      <c r="CK127" s="43"/>
      <c r="CL127" s="43"/>
      <c r="CM127" s="43"/>
      <c r="CN127" s="43"/>
    </row>
    <row r="128" customFormat="false" ht="15" hidden="false" customHeight="true" outlineLevel="0" collapsed="false">
      <c r="A128" s="29" t="s">
        <v>970</v>
      </c>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Z128" s="43"/>
      <c r="BA128" s="43"/>
      <c r="BB128" s="43"/>
      <c r="BC128" s="43"/>
      <c r="BD128" s="43"/>
      <c r="BE128" s="43"/>
      <c r="BF128" s="43"/>
      <c r="BG128" s="43"/>
      <c r="BH128" s="43"/>
      <c r="BI128" s="43"/>
      <c r="BJ128" s="43"/>
      <c r="BK128" s="43"/>
      <c r="BL128" s="43"/>
      <c r="BM128" s="43"/>
      <c r="BN128" s="43"/>
      <c r="BO128" s="43"/>
      <c r="BP128" s="43"/>
      <c r="BQ128" s="43"/>
      <c r="BR128" s="43"/>
      <c r="BS128" s="43"/>
      <c r="BT128" s="43"/>
      <c r="BU128" s="43"/>
      <c r="BV128" s="43"/>
      <c r="BW128" s="43"/>
      <c r="BX128" s="43"/>
      <c r="BY128" s="43"/>
      <c r="BZ128" s="43"/>
      <c r="CA128" s="43"/>
      <c r="CB128" s="43"/>
      <c r="CC128" s="43"/>
      <c r="CE128" s="43"/>
      <c r="CF128" s="43"/>
      <c r="CG128" s="43"/>
      <c r="CI128" s="43"/>
      <c r="CJ128" s="43"/>
      <c r="CK128" s="43"/>
      <c r="CL128" s="43"/>
      <c r="CM128" s="43"/>
      <c r="CN128" s="43"/>
    </row>
    <row r="129" customFormat="false" ht="15" hidden="false" customHeight="true" outlineLevel="0" collapsed="false">
      <c r="A129" s="29" t="s">
        <v>957</v>
      </c>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3"/>
      <c r="BY129" s="43"/>
      <c r="BZ129" s="43"/>
      <c r="CA129" s="43"/>
      <c r="CB129" s="43"/>
      <c r="CC129" s="43"/>
      <c r="CE129" s="43"/>
      <c r="CF129" s="43"/>
      <c r="CG129" s="43"/>
      <c r="CI129" s="43"/>
      <c r="CJ129" s="43"/>
      <c r="CK129" s="43"/>
      <c r="CL129" s="43"/>
      <c r="CM129" s="43"/>
      <c r="CN129" s="43"/>
    </row>
    <row r="130" customFormat="false" ht="15" hidden="false" customHeight="true" outlineLevel="0" collapsed="false">
      <c r="A130" s="29" t="s">
        <v>958</v>
      </c>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Z130" s="43"/>
      <c r="BA130" s="43"/>
      <c r="BB130" s="43"/>
      <c r="BC130" s="43"/>
      <c r="BD130" s="43"/>
      <c r="BE130" s="43"/>
      <c r="BF130" s="43"/>
      <c r="BG130" s="43"/>
      <c r="BH130" s="43"/>
      <c r="BI130" s="43"/>
      <c r="BJ130" s="43"/>
      <c r="BK130" s="43"/>
      <c r="BL130" s="43"/>
      <c r="BM130" s="43"/>
      <c r="BN130" s="43"/>
      <c r="BO130" s="43"/>
      <c r="BP130" s="43"/>
      <c r="BQ130" s="43"/>
      <c r="BR130" s="43"/>
      <c r="BS130" s="43"/>
      <c r="BT130" s="43"/>
      <c r="BU130" s="43"/>
      <c r="BV130" s="43"/>
      <c r="BW130" s="43"/>
      <c r="BX130" s="43"/>
      <c r="BY130" s="43"/>
      <c r="BZ130" s="43"/>
      <c r="CA130" s="43"/>
      <c r="CB130" s="43"/>
      <c r="CC130" s="43"/>
      <c r="CE130" s="43"/>
      <c r="CF130" s="43"/>
      <c r="CG130" s="43"/>
      <c r="CI130" s="43"/>
      <c r="CJ130" s="43"/>
      <c r="CK130" s="43"/>
      <c r="CL130" s="43"/>
      <c r="CM130" s="43"/>
      <c r="CN130" s="43"/>
    </row>
    <row r="131" customFormat="false" ht="15" hidden="false" customHeight="true" outlineLevel="0" collapsed="false">
      <c r="A131" s="29" t="s">
        <v>959</v>
      </c>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Z131" s="43"/>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3"/>
      <c r="BY131" s="43"/>
      <c r="BZ131" s="43"/>
      <c r="CA131" s="43"/>
      <c r="CB131" s="43"/>
      <c r="CC131" s="43"/>
      <c r="CE131" s="43"/>
      <c r="CF131" s="43"/>
      <c r="CG131" s="43"/>
      <c r="CI131" s="43"/>
      <c r="CJ131" s="43"/>
      <c r="CK131" s="43"/>
      <c r="CL131" s="43"/>
      <c r="CM131" s="43"/>
      <c r="CN131" s="43"/>
    </row>
    <row r="132" customFormat="false" ht="15" hidden="false" customHeight="true" outlineLevel="0" collapsed="false">
      <c r="A132" s="29" t="s">
        <v>960</v>
      </c>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Z132" s="43"/>
      <c r="BA132" s="43"/>
      <c r="BB132" s="43"/>
      <c r="BC132" s="43"/>
      <c r="BD132" s="43"/>
      <c r="BE132" s="43"/>
      <c r="BF132" s="43"/>
      <c r="BG132" s="43"/>
      <c r="BH132" s="43"/>
      <c r="BI132" s="43"/>
      <c r="BJ132" s="43"/>
      <c r="BK132" s="43"/>
      <c r="BL132" s="43"/>
      <c r="BM132" s="43"/>
      <c r="BN132" s="43"/>
      <c r="BO132" s="43"/>
      <c r="BP132" s="43"/>
      <c r="BQ132" s="43"/>
      <c r="BR132" s="43"/>
      <c r="BS132" s="43"/>
      <c r="BT132" s="43"/>
      <c r="BU132" s="43"/>
      <c r="BV132" s="43"/>
      <c r="BW132" s="43"/>
      <c r="BX132" s="43"/>
      <c r="BY132" s="43"/>
      <c r="BZ132" s="43"/>
      <c r="CA132" s="43"/>
      <c r="CB132" s="43"/>
      <c r="CC132" s="43"/>
      <c r="CE132" s="43"/>
      <c r="CF132" s="43"/>
      <c r="CG132" s="43"/>
      <c r="CI132" s="43"/>
      <c r="CJ132" s="43"/>
      <c r="CK132" s="43"/>
      <c r="CL132" s="43"/>
      <c r="CM132" s="43"/>
      <c r="CN132" s="43"/>
    </row>
    <row r="133" customFormat="false" ht="15" hidden="false" customHeight="true" outlineLevel="0" collapsed="false">
      <c r="A133" s="29" t="s">
        <v>961</v>
      </c>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Z133" s="43"/>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3"/>
      <c r="BY133" s="43"/>
      <c r="BZ133" s="43"/>
      <c r="CA133" s="43"/>
      <c r="CB133" s="43"/>
      <c r="CC133" s="43"/>
      <c r="CE133" s="43"/>
      <c r="CF133" s="43"/>
      <c r="CG133" s="43"/>
      <c r="CI133" s="43"/>
      <c r="CJ133" s="43"/>
      <c r="CK133" s="43"/>
      <c r="CL133" s="43"/>
      <c r="CM133" s="43"/>
      <c r="CN133" s="43"/>
    </row>
    <row r="134" customFormat="false" ht="15" hidden="false" customHeight="true" outlineLevel="0" collapsed="false">
      <c r="A134" s="29" t="s">
        <v>962</v>
      </c>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Z134" s="43"/>
      <c r="BA134" s="43"/>
      <c r="BB134" s="43"/>
      <c r="BC134" s="43"/>
      <c r="BD134" s="43"/>
      <c r="BE134" s="43"/>
      <c r="BF134" s="43"/>
      <c r="BG134" s="43"/>
      <c r="BH134" s="43"/>
      <c r="BI134" s="43"/>
      <c r="BJ134" s="43"/>
      <c r="BK134" s="43"/>
      <c r="BL134" s="43"/>
      <c r="BM134" s="43"/>
      <c r="BN134" s="43"/>
      <c r="BO134" s="43"/>
      <c r="BP134" s="43"/>
      <c r="BQ134" s="43"/>
      <c r="BR134" s="43"/>
      <c r="BS134" s="43"/>
      <c r="BT134" s="43"/>
      <c r="BU134" s="43"/>
      <c r="BV134" s="43"/>
      <c r="BW134" s="43"/>
      <c r="BX134" s="43"/>
      <c r="BY134" s="43"/>
      <c r="BZ134" s="43"/>
      <c r="CA134" s="43"/>
      <c r="CB134" s="43"/>
      <c r="CC134" s="43"/>
      <c r="CE134" s="43"/>
      <c r="CF134" s="43"/>
      <c r="CG134" s="43"/>
      <c r="CI134" s="43"/>
      <c r="CJ134" s="43"/>
      <c r="CK134" s="43"/>
      <c r="CL134" s="43"/>
      <c r="CM134" s="43"/>
      <c r="CN134" s="43"/>
    </row>
    <row r="135" customFormat="false" ht="15" hidden="false" customHeight="true" outlineLevel="0" collapsed="false">
      <c r="A135" s="29" t="s">
        <v>427</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E135" s="43"/>
      <c r="CF135" s="43"/>
      <c r="CG135" s="43"/>
      <c r="CI135" s="43"/>
      <c r="CJ135" s="43"/>
      <c r="CK135" s="43"/>
      <c r="CL135" s="43"/>
      <c r="CM135" s="43"/>
      <c r="CN135" s="43"/>
    </row>
    <row r="136" customFormat="false" ht="15" hidden="false" customHeight="true" outlineLevel="0" collapsed="false">
      <c r="A136" s="29" t="s">
        <v>971</v>
      </c>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Z136" s="43"/>
      <c r="BA136" s="43"/>
      <c r="BB136" s="43"/>
      <c r="BC136" s="43"/>
      <c r="BD136" s="43"/>
      <c r="BE136" s="43"/>
      <c r="BF136" s="43"/>
      <c r="BG136" s="43"/>
      <c r="BH136" s="43"/>
      <c r="BI136" s="43"/>
      <c r="BJ136" s="43"/>
      <c r="BK136" s="43"/>
      <c r="BL136" s="43"/>
      <c r="BM136" s="43"/>
      <c r="BN136" s="43"/>
      <c r="BO136" s="43"/>
      <c r="BP136" s="43"/>
      <c r="BQ136" s="43"/>
      <c r="BR136" s="43"/>
      <c r="BS136" s="43"/>
      <c r="BT136" s="43"/>
      <c r="BU136" s="43"/>
      <c r="BV136" s="43"/>
      <c r="BW136" s="43"/>
      <c r="BX136" s="43"/>
      <c r="BY136" s="43"/>
      <c r="BZ136" s="43"/>
      <c r="CA136" s="43"/>
      <c r="CB136" s="43"/>
      <c r="CC136" s="43"/>
      <c r="CE136" s="43"/>
      <c r="CF136" s="43"/>
      <c r="CG136" s="43"/>
      <c r="CI136" s="43"/>
      <c r="CJ136" s="43"/>
      <c r="CK136" s="43"/>
      <c r="CL136" s="43"/>
      <c r="CM136" s="43"/>
      <c r="CN136" s="43"/>
    </row>
    <row r="137" customFormat="false" ht="15" hidden="false" customHeight="true" outlineLevel="0" collapsed="false">
      <c r="A137" s="29" t="s">
        <v>957</v>
      </c>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Z137" s="43"/>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3"/>
      <c r="BY137" s="43"/>
      <c r="BZ137" s="43"/>
      <c r="CA137" s="43"/>
      <c r="CB137" s="43"/>
      <c r="CC137" s="43"/>
      <c r="CE137" s="43"/>
      <c r="CF137" s="43"/>
      <c r="CG137" s="43"/>
      <c r="CI137" s="43"/>
      <c r="CJ137" s="43"/>
      <c r="CK137" s="43"/>
      <c r="CL137" s="43"/>
      <c r="CM137" s="43"/>
      <c r="CN137" s="43"/>
    </row>
    <row r="138" customFormat="false" ht="15" hidden="false" customHeight="true" outlineLevel="0" collapsed="false">
      <c r="A138" s="29" t="s">
        <v>958</v>
      </c>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Z138" s="43"/>
      <c r="BA138" s="43"/>
      <c r="BB138" s="43"/>
      <c r="BC138" s="43"/>
      <c r="BD138" s="43"/>
      <c r="BE138" s="43"/>
      <c r="BF138" s="43"/>
      <c r="BG138" s="43"/>
      <c r="BH138" s="43"/>
      <c r="BI138" s="43"/>
      <c r="BJ138" s="43"/>
      <c r="BK138" s="43"/>
      <c r="BL138" s="43"/>
      <c r="BM138" s="43"/>
      <c r="BN138" s="43"/>
      <c r="BO138" s="43"/>
      <c r="BP138" s="43"/>
      <c r="BQ138" s="43"/>
      <c r="BR138" s="43"/>
      <c r="BS138" s="43"/>
      <c r="BT138" s="43"/>
      <c r="BU138" s="43"/>
      <c r="BV138" s="43"/>
      <c r="BW138" s="43"/>
      <c r="BX138" s="43"/>
      <c r="BY138" s="43"/>
      <c r="BZ138" s="43"/>
      <c r="CA138" s="43"/>
      <c r="CB138" s="43"/>
      <c r="CC138" s="43"/>
      <c r="CE138" s="43"/>
      <c r="CF138" s="43"/>
      <c r="CG138" s="43"/>
      <c r="CI138" s="43"/>
      <c r="CJ138" s="43"/>
      <c r="CK138" s="43"/>
      <c r="CL138" s="43"/>
      <c r="CM138" s="43"/>
      <c r="CN138" s="43"/>
    </row>
    <row r="139" customFormat="false" ht="15" hidden="false" customHeight="true" outlineLevel="0" collapsed="false">
      <c r="A139" s="29" t="s">
        <v>959</v>
      </c>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Z139" s="43"/>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3"/>
      <c r="BY139" s="43"/>
      <c r="BZ139" s="43"/>
      <c r="CA139" s="43"/>
      <c r="CB139" s="43"/>
      <c r="CC139" s="43"/>
      <c r="CE139" s="43"/>
      <c r="CF139" s="43"/>
      <c r="CG139" s="43"/>
      <c r="CI139" s="43"/>
      <c r="CJ139" s="43"/>
      <c r="CK139" s="43"/>
      <c r="CL139" s="43"/>
      <c r="CM139" s="43"/>
      <c r="CN139" s="43"/>
    </row>
    <row r="140" customFormat="false" ht="15" hidden="false" customHeight="true" outlineLevel="0" collapsed="false">
      <c r="A140" s="29" t="s">
        <v>960</v>
      </c>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Z140" s="43"/>
      <c r="BA140" s="43"/>
      <c r="BB140" s="43"/>
      <c r="BC140" s="43"/>
      <c r="BD140" s="43"/>
      <c r="BE140" s="43"/>
      <c r="BF140" s="43"/>
      <c r="BG140" s="43"/>
      <c r="BH140" s="43"/>
      <c r="BI140" s="43"/>
      <c r="BJ140" s="43"/>
      <c r="BK140" s="43"/>
      <c r="BL140" s="43"/>
      <c r="BM140" s="43"/>
      <c r="BN140" s="43"/>
      <c r="BO140" s="43"/>
      <c r="BP140" s="43"/>
      <c r="BQ140" s="43"/>
      <c r="BR140" s="43"/>
      <c r="BS140" s="43"/>
      <c r="BT140" s="43"/>
      <c r="BU140" s="43"/>
      <c r="BV140" s="43"/>
      <c r="BW140" s="43"/>
      <c r="BX140" s="43"/>
      <c r="BY140" s="43"/>
      <c r="BZ140" s="43"/>
      <c r="CA140" s="43"/>
      <c r="CB140" s="43"/>
      <c r="CC140" s="43"/>
      <c r="CE140" s="43"/>
      <c r="CF140" s="43"/>
      <c r="CG140" s="43"/>
      <c r="CI140" s="43"/>
      <c r="CJ140" s="43"/>
      <c r="CK140" s="43"/>
      <c r="CL140" s="43"/>
      <c r="CM140" s="43"/>
      <c r="CN140" s="43"/>
    </row>
    <row r="141" customFormat="false" ht="15" hidden="false" customHeight="true" outlineLevel="0" collapsed="false">
      <c r="A141" s="29" t="s">
        <v>961</v>
      </c>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Z141" s="43"/>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3"/>
      <c r="BY141" s="43"/>
      <c r="BZ141" s="43"/>
      <c r="CA141" s="43"/>
      <c r="CB141" s="43"/>
      <c r="CC141" s="43"/>
      <c r="CE141" s="43"/>
      <c r="CF141" s="43"/>
      <c r="CG141" s="43"/>
      <c r="CI141" s="43"/>
      <c r="CJ141" s="43"/>
      <c r="CK141" s="43"/>
      <c r="CL141" s="43"/>
      <c r="CM141" s="43"/>
      <c r="CN141" s="43"/>
    </row>
    <row r="142" customFormat="false" ht="15" hidden="false" customHeight="true" outlineLevel="0" collapsed="false">
      <c r="A142" s="29" t="s">
        <v>962</v>
      </c>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Z142" s="43"/>
      <c r="BA142" s="43"/>
      <c r="BB142" s="43"/>
      <c r="BC142" s="43"/>
      <c r="BD142" s="43"/>
      <c r="BE142" s="43"/>
      <c r="BF142" s="43"/>
      <c r="BG142" s="43"/>
      <c r="BH142" s="43"/>
      <c r="BI142" s="43"/>
      <c r="BJ142" s="43"/>
      <c r="BK142" s="43"/>
      <c r="BL142" s="43"/>
      <c r="BM142" s="43"/>
      <c r="BN142" s="43"/>
      <c r="BO142" s="43"/>
      <c r="BP142" s="43"/>
      <c r="BQ142" s="43"/>
      <c r="BR142" s="43"/>
      <c r="BS142" s="43"/>
      <c r="BT142" s="43"/>
      <c r="BU142" s="43"/>
      <c r="BV142" s="43"/>
      <c r="BW142" s="43"/>
      <c r="BX142" s="43"/>
      <c r="BY142" s="43"/>
      <c r="BZ142" s="43"/>
      <c r="CA142" s="43"/>
      <c r="CB142" s="43"/>
      <c r="CC142" s="43"/>
      <c r="CE142" s="43"/>
      <c r="CF142" s="43"/>
      <c r="CG142" s="43"/>
      <c r="CI142" s="43"/>
      <c r="CJ142" s="43"/>
      <c r="CK142" s="43"/>
      <c r="CL142" s="43"/>
      <c r="CM142" s="43"/>
      <c r="CN142" s="43"/>
    </row>
    <row r="143" customFormat="false" ht="15" hidden="false" customHeight="true" outlineLevel="0" collapsed="false">
      <c r="A143" s="29" t="s">
        <v>427</v>
      </c>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Z143" s="43"/>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3"/>
      <c r="BY143" s="43"/>
      <c r="BZ143" s="43"/>
      <c r="CA143" s="43"/>
      <c r="CB143" s="43"/>
      <c r="CC143" s="43"/>
      <c r="CE143" s="43"/>
      <c r="CF143" s="43"/>
      <c r="CG143" s="43"/>
      <c r="CI143" s="43"/>
      <c r="CJ143" s="43"/>
      <c r="CK143" s="43"/>
      <c r="CL143" s="43"/>
      <c r="CM143" s="43"/>
      <c r="CN143" s="43"/>
    </row>
  </sheetData>
  <mergeCells count="4">
    <mergeCell ref="B3:AX3"/>
    <mergeCell ref="AZ3:CC3"/>
    <mergeCell ref="CE3:CG3"/>
    <mergeCell ref="CI3:C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V193"/>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N55" activeCellId="0" sqref="AN55"/>
    </sheetView>
  </sheetViews>
  <sheetFormatPr defaultColWidth="8.6796875" defaultRowHeight="12" zeroHeight="false" outlineLevelRow="0" outlineLevelCol="0"/>
  <cols>
    <col collapsed="false" customWidth="true" hidden="false" outlineLevel="0" max="1" min="1" style="20" width="32.82"/>
    <col collapsed="false" customWidth="true" hidden="false" outlineLevel="0" max="2" min="2" style="20" width="10.82"/>
    <col collapsed="false" customWidth="true" hidden="false" outlineLevel="0" max="3" min="3" style="20" width="11.73"/>
    <col collapsed="false" customWidth="true" hidden="false" outlineLevel="0" max="4" min="4" style="20" width="11.54"/>
    <col collapsed="false" customWidth="true" hidden="false" outlineLevel="0" max="5" min="5" style="20" width="10.54"/>
    <col collapsed="false" customWidth="true" hidden="false" outlineLevel="0" max="6" min="6" style="20" width="10.82"/>
    <col collapsed="false" customWidth="true" hidden="false" outlineLevel="0" max="7" min="7" style="20" width="11.73"/>
    <col collapsed="false" customWidth="true" hidden="false" outlineLevel="0" max="8" min="8" style="20" width="11.54"/>
    <col collapsed="false" customWidth="true" hidden="false" outlineLevel="0" max="9" min="9" style="20" width="10.54"/>
    <col collapsed="false" customWidth="true" hidden="false" outlineLevel="0" max="10" min="10" style="20" width="10.82"/>
    <col collapsed="false" customWidth="true" hidden="false" outlineLevel="0" max="11" min="11" style="20" width="11.73"/>
    <col collapsed="false" customWidth="true" hidden="false" outlineLevel="0" max="12" min="12" style="20" width="11.54"/>
    <col collapsed="false" customWidth="true" hidden="false" outlineLevel="0" max="13" min="13" style="20" width="10.54"/>
    <col collapsed="false" customWidth="true" hidden="false" outlineLevel="0" max="14" min="14" style="20" width="10.82"/>
    <col collapsed="false" customWidth="true" hidden="false" outlineLevel="0" max="15" min="15" style="20" width="12.18"/>
    <col collapsed="false" customWidth="true" hidden="false" outlineLevel="0" max="16" min="16" style="20" width="11.54"/>
    <col collapsed="false" customWidth="true" hidden="false" outlineLevel="0" max="18" min="17" style="20" width="13.18"/>
    <col collapsed="false" customWidth="true" hidden="false" outlineLevel="0" max="21" min="19" style="20" width="14.27"/>
    <col collapsed="false" customWidth="true" hidden="false" outlineLevel="0" max="22" min="22" style="129" width="14.27"/>
    <col collapsed="false" customWidth="true" hidden="false" outlineLevel="0" max="23" min="23" style="20" width="14.27"/>
    <col collapsed="false" customWidth="true" hidden="false" outlineLevel="0" max="25" min="24" style="20" width="15.45"/>
    <col collapsed="false" customWidth="true" hidden="false" outlineLevel="0" max="26" min="26" style="130" width="15"/>
    <col collapsed="false" customWidth="true" hidden="false" outlineLevel="0" max="38" min="27" style="20" width="15"/>
    <col collapsed="false" customWidth="true" hidden="false" outlineLevel="0" max="39" min="39" style="131" width="15"/>
    <col collapsed="false" customWidth="true" hidden="false" outlineLevel="0" max="45" min="40" style="20" width="15"/>
    <col collapsed="false" customWidth="true" hidden="false" outlineLevel="0" max="46" min="46" style="131" width="15"/>
    <col collapsed="false" customWidth="true" hidden="false" outlineLevel="0" max="47" min="47" style="20" width="15"/>
    <col collapsed="false" customWidth="true" hidden="false" outlineLevel="0" max="48" min="48" style="20" width="14"/>
  </cols>
  <sheetData>
    <row r="1" customFormat="false" ht="12.75" hidden="false" customHeight="true" outlineLevel="0" collapsed="false">
      <c r="A1" s="132" t="s">
        <v>972</v>
      </c>
      <c r="B1" s="132" t="s">
        <v>973</v>
      </c>
      <c r="C1" s="132" t="s">
        <v>974</v>
      </c>
      <c r="D1" s="132" t="s">
        <v>975</v>
      </c>
      <c r="E1" s="132" t="s">
        <v>976</v>
      </c>
      <c r="F1" s="132" t="s">
        <v>977</v>
      </c>
      <c r="G1" s="132" t="s">
        <v>978</v>
      </c>
      <c r="H1" s="132" t="s">
        <v>979</v>
      </c>
      <c r="I1" s="133" t="s">
        <v>980</v>
      </c>
      <c r="J1" s="132" t="s">
        <v>981</v>
      </c>
      <c r="K1" s="132" t="s">
        <v>982</v>
      </c>
      <c r="L1" s="132" t="s">
        <v>983</v>
      </c>
      <c r="M1" s="133" t="s">
        <v>984</v>
      </c>
      <c r="N1" s="132" t="s">
        <v>985</v>
      </c>
      <c r="O1" s="132" t="s">
        <v>986</v>
      </c>
      <c r="P1" s="132" t="s">
        <v>987</v>
      </c>
      <c r="Q1" s="132" t="s">
        <v>988</v>
      </c>
      <c r="R1" s="132" t="s">
        <v>989</v>
      </c>
      <c r="S1" s="132" t="s">
        <v>990</v>
      </c>
      <c r="T1" s="132" t="s">
        <v>991</v>
      </c>
      <c r="U1" s="132" t="s">
        <v>992</v>
      </c>
      <c r="V1" s="134" t="s">
        <v>993</v>
      </c>
      <c r="W1" s="132" t="s">
        <v>994</v>
      </c>
      <c r="X1" s="132" t="s">
        <v>995</v>
      </c>
      <c r="Y1" s="132" t="s">
        <v>996</v>
      </c>
      <c r="Z1" s="132" t="s">
        <v>997</v>
      </c>
      <c r="AA1" s="132" t="s">
        <v>998</v>
      </c>
      <c r="AB1" s="132" t="s">
        <v>999</v>
      </c>
      <c r="AC1" s="132" t="s">
        <v>1000</v>
      </c>
      <c r="AD1" s="132" t="s">
        <v>1001</v>
      </c>
      <c r="AE1" s="132" t="s">
        <v>1002</v>
      </c>
      <c r="AF1" s="132" t="s">
        <v>1003</v>
      </c>
      <c r="AG1" s="132" t="s">
        <v>1004</v>
      </c>
      <c r="AH1" s="132" t="s">
        <v>1005</v>
      </c>
      <c r="AI1" s="132" t="s">
        <v>1006</v>
      </c>
      <c r="AJ1" s="132" t="s">
        <v>1007</v>
      </c>
      <c r="AK1" s="132" t="s">
        <v>1008</v>
      </c>
      <c r="AL1" s="132" t="s">
        <v>1009</v>
      </c>
      <c r="AM1" s="135" t="s">
        <v>1010</v>
      </c>
      <c r="AN1" s="132" t="s">
        <v>1011</v>
      </c>
      <c r="AO1" s="132" t="s">
        <v>1012</v>
      </c>
      <c r="AP1" s="132" t="s">
        <v>1013</v>
      </c>
      <c r="AQ1" s="132" t="s">
        <v>1014</v>
      </c>
      <c r="AR1" s="132" t="s">
        <v>1015</v>
      </c>
      <c r="AS1" s="132" t="s">
        <v>1016</v>
      </c>
      <c r="AT1" s="135" t="s">
        <v>767</v>
      </c>
      <c r="AU1" s="132" t="s">
        <v>1017</v>
      </c>
    </row>
    <row r="2" customFormat="false" ht="12" hidden="false" customHeight="true" outlineLevel="0" collapsed="false">
      <c r="A2" s="128" t="s">
        <v>1018</v>
      </c>
      <c r="B2" s="136"/>
      <c r="C2" s="136"/>
      <c r="D2" s="136"/>
      <c r="E2" s="137"/>
      <c r="F2" s="136"/>
      <c r="G2" s="136"/>
      <c r="H2" s="136"/>
      <c r="I2" s="137"/>
      <c r="J2" s="136"/>
      <c r="K2" s="136"/>
      <c r="L2" s="136"/>
      <c r="M2" s="137"/>
      <c r="N2" s="136"/>
      <c r="O2" s="136"/>
      <c r="P2" s="136"/>
      <c r="AH2" s="138" t="n">
        <f aca="false">+SUM(AE22:AH22)/SUM(AE6:AH6)*1000000</f>
        <v>1113086.76622039</v>
      </c>
      <c r="AP2" s="137"/>
      <c r="AU2" s="137"/>
    </row>
    <row r="3" customFormat="false" ht="12.75" hidden="false" customHeight="true" outlineLevel="0" collapsed="false">
      <c r="A3" s="132" t="s">
        <v>879</v>
      </c>
      <c r="E3" s="139"/>
      <c r="I3" s="139"/>
      <c r="M3" s="139"/>
      <c r="O3" s="19"/>
      <c r="AL3" s="140"/>
      <c r="AP3" s="140"/>
      <c r="AS3" s="140"/>
      <c r="AU3" s="140"/>
    </row>
    <row r="4" customFormat="false" ht="12" hidden="false" customHeight="true" outlineLevel="0" collapsed="false">
      <c r="A4" s="128" t="s">
        <v>407</v>
      </c>
      <c r="B4" s="141" t="n">
        <v>16943</v>
      </c>
      <c r="C4" s="141" t="n">
        <v>19781</v>
      </c>
      <c r="D4" s="141" t="n">
        <v>19997</v>
      </c>
      <c r="E4" s="141" t="n">
        <v>26084</v>
      </c>
      <c r="F4" s="142" t="n">
        <f aca="false">18163-F5</f>
        <v>18004</v>
      </c>
      <c r="G4" s="141" t="n">
        <v>18745</v>
      </c>
      <c r="H4" s="141" t="n">
        <v>18814</v>
      </c>
      <c r="I4" s="141" t="n">
        <v>26941</v>
      </c>
      <c r="J4" s="141" t="n">
        <v>18180</v>
      </c>
      <c r="K4" s="141" t="n">
        <v>16979</v>
      </c>
      <c r="L4" s="141" t="n">
        <v>7914</v>
      </c>
      <c r="M4" s="141" t="n">
        <v>10051</v>
      </c>
      <c r="N4" s="141" t="n">
        <v>7467</v>
      </c>
      <c r="O4" s="142" t="n">
        <f aca="false">5858+819+13194+1614-N4</f>
        <v>14018</v>
      </c>
      <c r="P4" s="141" t="n">
        <v>15838</v>
      </c>
      <c r="Q4" s="141" t="n">
        <v>25484</v>
      </c>
      <c r="R4" s="141" t="n">
        <v>21127</v>
      </c>
      <c r="S4" s="143" t="n">
        <f aca="false">6504+17926</f>
        <v>24430</v>
      </c>
      <c r="T4" s="141" t="n">
        <v>18258</v>
      </c>
      <c r="U4" s="141" t="n">
        <v>29421</v>
      </c>
      <c r="V4" s="144" t="n">
        <f aca="false">+SUM(R4:U4)</f>
        <v>93236</v>
      </c>
      <c r="W4" s="141" t="n">
        <v>19083</v>
      </c>
      <c r="X4" s="143" t="n">
        <f aca="false">17225+6125</f>
        <v>23350</v>
      </c>
      <c r="Y4" s="138" t="n">
        <f aca="false">+Y6-Y5</f>
        <v>20756</v>
      </c>
      <c r="Z4" s="143" t="n">
        <f aca="false">9200+9521+12074</f>
        <v>30795</v>
      </c>
      <c r="AA4" s="141" t="n">
        <v>20337</v>
      </c>
      <c r="AB4" s="143" t="n">
        <f aca="false">7596+6982+6597</f>
        <v>21175</v>
      </c>
      <c r="AC4" s="143" t="n">
        <f aca="false">4964+4487+5230</f>
        <v>14681</v>
      </c>
      <c r="AD4" s="143" t="n">
        <f aca="false">7045+6863+9695</f>
        <v>23603</v>
      </c>
      <c r="AE4" s="141" t="n">
        <v>14897</v>
      </c>
      <c r="AF4" s="143" t="n">
        <f aca="false">4715+4939+6259</f>
        <v>15913</v>
      </c>
      <c r="AG4" s="143" t="n">
        <f aca="false">3890+2715+4093</f>
        <v>10698</v>
      </c>
      <c r="AH4" s="143" t="n">
        <f aca="false">7723+5576+5530</f>
        <v>18829</v>
      </c>
      <c r="AI4" s="141" t="n">
        <v>14949</v>
      </c>
      <c r="AJ4" s="143" t="n">
        <f aca="false">5832+5750+6625</f>
        <v>18207</v>
      </c>
      <c r="AK4" s="143" t="n">
        <f aca="false">5865+5204+7210</f>
        <v>18279</v>
      </c>
      <c r="AL4" s="143" t="n">
        <f aca="false">8009+8230+10027</f>
        <v>26266</v>
      </c>
      <c r="AN4" s="141" t="n">
        <v>21485</v>
      </c>
      <c r="AO4" s="143" t="n">
        <f aca="false">8803+8903+12134</f>
        <v>29840</v>
      </c>
      <c r="AP4" s="143" t="n">
        <f aca="false">7177+6296+9758</f>
        <v>23231</v>
      </c>
      <c r="AQ4" s="143" t="n">
        <f aca="false">7177+6296+9703</f>
        <v>23176</v>
      </c>
      <c r="AR4" s="141" t="n">
        <v>33000</v>
      </c>
      <c r="AS4" s="143" t="n">
        <f aca="false">11208+10801+13240</f>
        <v>35249</v>
      </c>
      <c r="AU4" s="143" t="n">
        <f aca="false">7873+7469+8685</f>
        <v>24027</v>
      </c>
    </row>
    <row r="5" customFormat="false" ht="12" hidden="false" customHeight="true" outlineLevel="0" collapsed="false">
      <c r="A5" s="128" t="s">
        <v>409</v>
      </c>
      <c r="B5" s="141" t="n">
        <v>97</v>
      </c>
      <c r="C5" s="141" t="n">
        <v>88</v>
      </c>
      <c r="D5" s="141" t="n">
        <v>71</v>
      </c>
      <c r="E5" s="141" t="n">
        <v>46</v>
      </c>
      <c r="F5" s="143" t="n">
        <f aca="false">142+17</f>
        <v>159</v>
      </c>
      <c r="G5" s="141" t="n">
        <v>147</v>
      </c>
      <c r="H5" s="141" t="n">
        <v>151</v>
      </c>
      <c r="I5" s="141" t="n">
        <v>368</v>
      </c>
      <c r="J5" s="141" t="n">
        <v>245</v>
      </c>
      <c r="K5" s="141" t="n">
        <v>228</v>
      </c>
      <c r="L5" s="141" t="n">
        <v>127</v>
      </c>
      <c r="M5" s="141" t="n">
        <v>750</v>
      </c>
      <c r="N5" s="141" t="n">
        <v>231</v>
      </c>
      <c r="O5" s="142" t="n">
        <f aca="false">344+165-N5</f>
        <v>278</v>
      </c>
      <c r="P5" s="141" t="n">
        <v>289</v>
      </c>
      <c r="Q5" s="141" t="n">
        <v>323</v>
      </c>
      <c r="R5" s="141" t="n">
        <v>275</v>
      </c>
      <c r="S5" s="141" t="n">
        <v>160</v>
      </c>
      <c r="T5" s="141" t="n">
        <v>179</v>
      </c>
      <c r="U5" s="141" t="n">
        <v>258</v>
      </c>
      <c r="V5" s="144" t="n">
        <f aca="false">+SUM(R5:U5)</f>
        <v>872</v>
      </c>
      <c r="W5" s="145" t="n">
        <v>194</v>
      </c>
      <c r="X5" s="145" t="n">
        <v>278</v>
      </c>
      <c r="Y5" s="146" t="n">
        <f aca="false">7593-4893</f>
        <v>2700</v>
      </c>
      <c r="Z5" s="146" t="n">
        <f aca="false">1100+1582+2211</f>
        <v>4893</v>
      </c>
      <c r="AA5" s="145" t="n">
        <v>7248</v>
      </c>
      <c r="AB5" s="146" t="n">
        <f aca="false">3027+2803+2835</f>
        <v>8665</v>
      </c>
      <c r="AC5" s="146" t="n">
        <f aca="false">3033+2883+2069</f>
        <v>7985</v>
      </c>
      <c r="AD5" s="146" t="n">
        <f aca="false">3001+3698+4325</f>
        <v>11024</v>
      </c>
      <c r="AE5" s="145" t="n">
        <v>6824</v>
      </c>
      <c r="AF5" s="146" t="n">
        <f aca="false">2517+2200+2480</f>
        <v>7197</v>
      </c>
      <c r="AG5" s="146" t="n">
        <f aca="false">2385+2660+2710</f>
        <v>7755</v>
      </c>
      <c r="AH5" s="146" t="n">
        <f aca="false">2563+2339+2317</f>
        <v>7219</v>
      </c>
      <c r="AI5" s="145" t="n">
        <v>5032</v>
      </c>
      <c r="AJ5" s="146" t="n">
        <f aca="false">2501+2111+2560</f>
        <v>7172</v>
      </c>
      <c r="AK5" s="146" t="n">
        <f aca="false">2537+2528+2080</f>
        <v>7145</v>
      </c>
      <c r="AL5" s="146" t="n">
        <f aca="false">2634+2532+2727</f>
        <v>7893</v>
      </c>
      <c r="AN5" s="145" t="n">
        <v>6701</v>
      </c>
      <c r="AO5" s="146" t="n">
        <f aca="false">2219+2641+2637</f>
        <v>7497</v>
      </c>
      <c r="AP5" s="146" t="n">
        <f aca="false">2451+2674+3627</f>
        <v>8752</v>
      </c>
      <c r="AQ5" s="146" t="n">
        <f aca="false">2627+2674+2451</f>
        <v>7752</v>
      </c>
      <c r="AR5" s="145" t="n">
        <v>7500</v>
      </c>
      <c r="AS5" s="146" t="n">
        <f aca="false">2678+2605+3462</f>
        <v>8745</v>
      </c>
      <c r="AU5" s="146" t="n">
        <f aca="false">2309+2406+2423</f>
        <v>7138</v>
      </c>
    </row>
    <row r="6" s="19" customFormat="true" ht="12.75" hidden="false" customHeight="true" outlineLevel="0" collapsed="false">
      <c r="A6" s="132" t="s">
        <v>875</v>
      </c>
      <c r="B6" s="147" t="n">
        <f aca="false">B4+B5</f>
        <v>17040</v>
      </c>
      <c r="C6" s="147" t="n">
        <f aca="false">C4+C5</f>
        <v>19869</v>
      </c>
      <c r="D6" s="147" t="n">
        <f aca="false">D4+D5</f>
        <v>20068</v>
      </c>
      <c r="E6" s="147" t="n">
        <f aca="false">E4+E5</f>
        <v>26130</v>
      </c>
      <c r="F6" s="147" t="n">
        <f aca="false">F4+F5</f>
        <v>18163</v>
      </c>
      <c r="G6" s="147" t="n">
        <f aca="false">G4+G5</f>
        <v>18892</v>
      </c>
      <c r="H6" s="147" t="n">
        <f aca="false">H4+H5</f>
        <v>18965</v>
      </c>
      <c r="I6" s="147" t="n">
        <f aca="false">I4+I5</f>
        <v>27309</v>
      </c>
      <c r="J6" s="147" t="n">
        <f aca="false">J4+J5</f>
        <v>18425</v>
      </c>
      <c r="K6" s="147" t="n">
        <f aca="false">K4+K5</f>
        <v>17207</v>
      </c>
      <c r="L6" s="147" t="n">
        <f aca="false">L4+L5</f>
        <v>8041</v>
      </c>
      <c r="M6" s="147" t="n">
        <f aca="false">M5+M4</f>
        <v>10801</v>
      </c>
      <c r="N6" s="147" t="n">
        <f aca="false">N5+N4</f>
        <v>7698</v>
      </c>
      <c r="O6" s="147" t="n">
        <f aca="false">O4+O5</f>
        <v>14296</v>
      </c>
      <c r="P6" s="147" t="n">
        <f aca="false">P4+P5</f>
        <v>16127</v>
      </c>
      <c r="Q6" s="147" t="n">
        <f aca="false">Q4+Q5</f>
        <v>25807</v>
      </c>
      <c r="R6" s="147" t="n">
        <f aca="false">R4+R5</f>
        <v>21402</v>
      </c>
      <c r="S6" s="147" t="n">
        <f aca="false">+S5+S4</f>
        <v>24590</v>
      </c>
      <c r="T6" s="147" t="n">
        <f aca="false">+T5+T4</f>
        <v>18437</v>
      </c>
      <c r="U6" s="147" t="n">
        <f aca="false">+U5+U4</f>
        <v>29679</v>
      </c>
      <c r="V6" s="144" t="n">
        <f aca="false">+SUM(R6:U6)</f>
        <v>94108</v>
      </c>
      <c r="W6" s="147" t="n">
        <f aca="false">+W5+W4</f>
        <v>19277</v>
      </c>
      <c r="X6" s="147" t="n">
        <f aca="false">+X5+X4</f>
        <v>23628</v>
      </c>
      <c r="Y6" s="148" t="n">
        <v>23456</v>
      </c>
      <c r="Z6" s="149" t="n">
        <f aca="false">14285+11103+10300</f>
        <v>35688</v>
      </c>
      <c r="AA6" s="147" t="n">
        <f aca="false">+AA5+AA4</f>
        <v>27585</v>
      </c>
      <c r="AB6" s="147" t="n">
        <f aca="false">+AB5+AB4</f>
        <v>29840</v>
      </c>
      <c r="AC6" s="147" t="n">
        <f aca="false">+AC5+AC4</f>
        <v>22666</v>
      </c>
      <c r="AD6" s="147" t="n">
        <f aca="false">+AD5+AD4</f>
        <v>34627</v>
      </c>
      <c r="AE6" s="147" t="n">
        <f aca="false">+AE5+AE4</f>
        <v>21721</v>
      </c>
      <c r="AF6" s="147" t="n">
        <f aca="false">+AF5+AF4</f>
        <v>23110</v>
      </c>
      <c r="AG6" s="147" t="n">
        <f aca="false">+AG5+AG4</f>
        <v>18453</v>
      </c>
      <c r="AH6" s="147" t="n">
        <f aca="false">+AH5+AH4</f>
        <v>26048</v>
      </c>
      <c r="AI6" s="147" t="n">
        <f aca="false">+AI5+AI4</f>
        <v>19981</v>
      </c>
      <c r="AJ6" s="147" t="n">
        <f aca="false">+AJ5+AJ4</f>
        <v>25379</v>
      </c>
      <c r="AK6" s="147" t="n">
        <f aca="false">+AK5+AK4</f>
        <v>25424</v>
      </c>
      <c r="AL6" s="147" t="n">
        <f aca="false">+AL5+AL4</f>
        <v>34159</v>
      </c>
      <c r="AM6" s="135" t="n">
        <f aca="false">+AL6+AK6+AI6+AJ6</f>
        <v>104943</v>
      </c>
      <c r="AN6" s="147" t="n">
        <f aca="false">+AN5+AN4</f>
        <v>28186</v>
      </c>
      <c r="AO6" s="147" t="n">
        <f aca="false">+AO5+AO4</f>
        <v>37337</v>
      </c>
      <c r="AP6" s="147" t="n">
        <f aca="false">+AP5+AP4</f>
        <v>31983</v>
      </c>
      <c r="AQ6" s="147" t="n">
        <f aca="false">+AQ5+AQ4</f>
        <v>30928</v>
      </c>
      <c r="AR6" s="147" t="n">
        <f aca="false">+AR5+AR4</f>
        <v>40500</v>
      </c>
      <c r="AS6" s="147" t="n">
        <f aca="false">+AS5+AS4</f>
        <v>43994</v>
      </c>
      <c r="AT6" s="135" t="n">
        <f aca="false">+AS6+AQ6+AN6+AO6</f>
        <v>140445</v>
      </c>
      <c r="AU6" s="147" t="n">
        <f aca="false">+AU5+AU4</f>
        <v>31165</v>
      </c>
      <c r="AV6" s="150" t="n">
        <f aca="false">+AU6/AN6-1</f>
        <v>0.105690768466615</v>
      </c>
    </row>
    <row r="7" customFormat="false" ht="12.75" hidden="false" customHeight="true" outlineLevel="0" collapsed="false">
      <c r="A7" s="132" t="s">
        <v>877</v>
      </c>
      <c r="C7" s="140"/>
      <c r="D7" s="140"/>
      <c r="F7" s="138" t="n">
        <f aca="false">(F25+F24)*10^6/F6</f>
        <v>642505.092771018</v>
      </c>
      <c r="G7" s="138" t="n">
        <f aca="false">(G25+G24)*10^6/G6</f>
        <v>693352.741901334</v>
      </c>
      <c r="H7" s="138" t="n">
        <f aca="false">(H25+H24)*10^6/H6</f>
        <v>716566.30635381</v>
      </c>
      <c r="I7" s="138" t="n">
        <f aca="false">(I25+I24)*10^6/I6</f>
        <v>692977.040536087</v>
      </c>
      <c r="J7" s="138" t="n">
        <f aca="false">(J25+J24)*10^6/J6</f>
        <v>780238.263229308</v>
      </c>
      <c r="K7" s="138" t="n">
        <f aca="false">(K25+K24)*10^6/K6</f>
        <v>810809.321787645</v>
      </c>
      <c r="L7" s="138" t="n">
        <f aca="false">(L25+L24)*10^6/L6</f>
        <v>914929.486382291</v>
      </c>
      <c r="M7" s="138" t="n">
        <f aca="false">(M25+M24)*10^6/M6</f>
        <v>818263.123784835</v>
      </c>
      <c r="N7" s="138" t="n">
        <f aca="false">(N25+N24)*10^6/N6</f>
        <v>860836.580930112</v>
      </c>
      <c r="O7" s="139"/>
      <c r="P7" s="138" t="n">
        <f aca="false">(P25+P24)*10^6/P6</f>
        <v>803614.931481367</v>
      </c>
      <c r="U7" s="151"/>
      <c r="V7" s="152"/>
      <c r="W7" s="151"/>
      <c r="X7" s="151"/>
      <c r="Y7" s="151"/>
      <c r="Z7" s="153"/>
      <c r="AA7" s="154"/>
      <c r="AB7" s="154"/>
      <c r="AC7" s="154"/>
      <c r="AD7" s="154"/>
      <c r="AE7" s="155" t="n">
        <f aca="false">+AE5/AE6</f>
        <v>0.314166014456056</v>
      </c>
      <c r="AF7" s="155" t="n">
        <f aca="false">+AF5/AF6</f>
        <v>0.311423626135872</v>
      </c>
      <c r="AG7" s="155" t="n">
        <f aca="false">+AG5/AG6</f>
        <v>0.420256868801821</v>
      </c>
      <c r="AH7" s="155" t="n">
        <f aca="false">+AH5/AH6</f>
        <v>0.277142199017199</v>
      </c>
      <c r="AI7" s="155" t="n">
        <f aca="false">+AI5/AI6</f>
        <v>0.251839247284921</v>
      </c>
      <c r="AJ7" s="155" t="n">
        <f aca="false">+AJ5/AJ6</f>
        <v>0.282595846960085</v>
      </c>
      <c r="AK7" s="155" t="n">
        <f aca="false">+AK5/AK6</f>
        <v>0.281033668974198</v>
      </c>
      <c r="AL7" s="155" t="n">
        <f aca="false">+AL5/AL6</f>
        <v>0.231066483210867</v>
      </c>
      <c r="AN7" s="155" t="n">
        <f aca="false">+AN5/AN6</f>
        <v>0.237742141488682</v>
      </c>
      <c r="AO7" s="155" t="n">
        <f aca="false">+AO5/AO6</f>
        <v>0.200792779280606</v>
      </c>
      <c r="AP7" s="155" t="n">
        <f aca="false">+AP5/AP6</f>
        <v>0.273645374104993</v>
      </c>
      <c r="AQ7" s="155" t="n">
        <f aca="false">+AQ5/AQ6</f>
        <v>0.250646663217796</v>
      </c>
      <c r="AR7" s="156"/>
      <c r="AS7" s="155" t="n">
        <f aca="false">+AS5/AS6</f>
        <v>0.198777105968996</v>
      </c>
      <c r="AU7" s="155" t="n">
        <f aca="false">+AU5/AU6</f>
        <v>0.229038986042034</v>
      </c>
    </row>
    <row r="8" customFormat="false" ht="12" hidden="false" customHeight="true" outlineLevel="0" collapsed="false">
      <c r="A8" s="128" t="s">
        <v>407</v>
      </c>
      <c r="B8" s="157" t="n">
        <f aca="false">B4/B6*100</f>
        <v>99.4307511737089</v>
      </c>
      <c r="C8" s="157" t="n">
        <f aca="false">C4/C6*100</f>
        <v>99.5570989984398</v>
      </c>
      <c r="D8" s="157" t="n">
        <f aca="false">D4/D6*100</f>
        <v>99.6462029101056</v>
      </c>
      <c r="E8" s="157" t="n">
        <f aca="false">E4/E6*100</f>
        <v>99.82395713739</v>
      </c>
      <c r="F8" s="157" t="n">
        <f aca="false">F4/F6*100</f>
        <v>99.1245939547432</v>
      </c>
      <c r="G8" s="157" t="n">
        <f aca="false">G4/G6*100</f>
        <v>99.2218928647046</v>
      </c>
      <c r="H8" s="157" t="n">
        <f aca="false">H4/H6*100</f>
        <v>99.2037964671764</v>
      </c>
      <c r="I8" s="157" t="n">
        <f aca="false">I4/I6*100</f>
        <v>98.6524588963345</v>
      </c>
      <c r="J8" s="157" t="n">
        <f aca="false">J4/J6*100</f>
        <v>98.6702849389417</v>
      </c>
      <c r="K8" s="157" t="n">
        <f aca="false">K4/K6*100</f>
        <v>98.6749578659848</v>
      </c>
      <c r="L8" s="157" t="n">
        <f aca="false">L4/L6*100</f>
        <v>98.4205944534262</v>
      </c>
      <c r="M8" s="157" t="n">
        <f aca="false">M4/M6*100</f>
        <v>93.0561985001389</v>
      </c>
      <c r="N8" s="157" t="n">
        <f aca="false">N4/N6*100</f>
        <v>96.9992205767732</v>
      </c>
      <c r="O8" s="158"/>
      <c r="P8" s="157" t="n">
        <f aca="false">P4/P6*100</f>
        <v>98.2079742047498</v>
      </c>
      <c r="R8" s="140"/>
      <c r="S8" s="140"/>
      <c r="T8" s="140"/>
      <c r="Z8" s="159"/>
      <c r="AA8" s="139"/>
      <c r="AB8" s="139"/>
      <c r="AC8" s="139"/>
      <c r="AD8" s="139"/>
      <c r="AE8" s="139"/>
      <c r="AF8" s="139"/>
      <c r="AG8" s="139"/>
      <c r="AH8" s="139"/>
      <c r="AI8" s="139"/>
      <c r="AJ8" s="139"/>
      <c r="AK8" s="139"/>
      <c r="AL8" s="139"/>
      <c r="AN8" s="139"/>
      <c r="AO8" s="139"/>
      <c r="AP8" s="160"/>
      <c r="AQ8" s="139"/>
      <c r="AR8" s="139"/>
      <c r="AS8" s="139"/>
      <c r="AU8" s="160"/>
    </row>
    <row r="9" customFormat="false" ht="12" hidden="false" customHeight="true" outlineLevel="0" collapsed="false">
      <c r="A9" s="128" t="s">
        <v>409</v>
      </c>
      <c r="B9" s="157" t="n">
        <f aca="false">B5/B6*100</f>
        <v>0.56924882629108</v>
      </c>
      <c r="C9" s="157" t="n">
        <f aca="false">C5/C6*100</f>
        <v>0.442901001560219</v>
      </c>
      <c r="D9" s="157" t="n">
        <f aca="false">D5/D6*100</f>
        <v>0.353797089894359</v>
      </c>
      <c r="E9" s="157" t="n">
        <f aca="false">E5/E6*100</f>
        <v>0.176042862610027</v>
      </c>
      <c r="F9" s="157" t="n">
        <f aca="false">F5/F6*100</f>
        <v>0.875406045256841</v>
      </c>
      <c r="G9" s="157" t="n">
        <f aca="false">G5/G6*100</f>
        <v>0.778107135295363</v>
      </c>
      <c r="H9" s="157" t="n">
        <f aca="false">H5/H6*100</f>
        <v>0.796203532823622</v>
      </c>
      <c r="I9" s="157" t="n">
        <f aca="false">I5/I6*100</f>
        <v>1.34754110366546</v>
      </c>
      <c r="J9" s="157" t="n">
        <f aca="false">J5/J6*100</f>
        <v>1.32971506105834</v>
      </c>
      <c r="K9" s="157" t="n">
        <f aca="false">K5/K6*100</f>
        <v>1.32504213401523</v>
      </c>
      <c r="L9" s="157" t="n">
        <f aca="false">L5/L6*100</f>
        <v>1.57940554657381</v>
      </c>
      <c r="M9" s="157" t="n">
        <f aca="false">M5/M6*100</f>
        <v>6.94380149986112</v>
      </c>
      <c r="N9" s="157" t="n">
        <f aca="false">N5/N6*100</f>
        <v>3.00077942322681</v>
      </c>
      <c r="O9" s="158"/>
      <c r="P9" s="157" t="n">
        <f aca="false">P5/P6*100</f>
        <v>1.7920257952502</v>
      </c>
      <c r="R9" s="140"/>
      <c r="S9" s="140"/>
      <c r="T9" s="140"/>
      <c r="U9" s="140"/>
      <c r="V9" s="161"/>
      <c r="W9" s="140"/>
      <c r="X9" s="140"/>
      <c r="Y9" s="140"/>
      <c r="Z9" s="162"/>
      <c r="AA9" s="163"/>
      <c r="AB9" s="163"/>
      <c r="AC9" s="163"/>
      <c r="AD9" s="163"/>
      <c r="AE9" s="163"/>
      <c r="AF9" s="163"/>
      <c r="AG9" s="163"/>
      <c r="AH9" s="163"/>
      <c r="AI9" s="163"/>
      <c r="AJ9" s="163"/>
      <c r="AK9" s="163"/>
      <c r="AL9" s="163"/>
      <c r="AN9" s="163"/>
      <c r="AO9" s="163"/>
      <c r="AP9" s="163"/>
      <c r="AQ9" s="163"/>
      <c r="AR9" s="163"/>
      <c r="AS9" s="163"/>
      <c r="AU9" s="163"/>
    </row>
    <row r="10" customFormat="false" ht="12.75" hidden="false" customHeight="true" outlineLevel="0" collapsed="false">
      <c r="A10" s="132" t="s">
        <v>412</v>
      </c>
      <c r="F10" s="138" t="n">
        <f aca="false">F27*10^6/F6</f>
        <v>88336.728514012</v>
      </c>
      <c r="G10" s="138" t="n">
        <f aca="false">G27*10^6/G6</f>
        <v>58345.3313571882</v>
      </c>
      <c r="H10" s="138" t="n">
        <f aca="false">H27*10^6/H6</f>
        <v>69150.5404692855</v>
      </c>
      <c r="I10" s="138" t="n">
        <f aca="false">I27*10^6/I6</f>
        <v>72035.9588414076</v>
      </c>
      <c r="J10" s="138" t="n">
        <f aca="false">J27*10^6/J6</f>
        <v>71951.2075983718</v>
      </c>
      <c r="K10" s="138" t="n">
        <f aca="false">K27*10^6/K6</f>
        <v>93147.8468065322</v>
      </c>
      <c r="L10" s="138" t="n">
        <f aca="false">L27*10^6/L6</f>
        <v>117213.903743316</v>
      </c>
      <c r="M10" s="138" t="n">
        <f aca="false">M27*10^6/M6</f>
        <v>110641.607258587</v>
      </c>
      <c r="N10" s="138" t="n">
        <f aca="false">N27*10^6/N6</f>
        <v>121484.801247077</v>
      </c>
      <c r="O10" s="139"/>
      <c r="P10" s="139"/>
    </row>
    <row r="11" customFormat="false" ht="12" hidden="false" customHeight="true" outlineLevel="0" collapsed="false">
      <c r="A11" s="128" t="s">
        <v>407</v>
      </c>
      <c r="B11" s="164" t="n">
        <v>28.1</v>
      </c>
      <c r="C11" s="165" t="n">
        <v>30.7</v>
      </c>
      <c r="D11" s="165" t="n">
        <v>28.7</v>
      </c>
      <c r="E11" s="164" t="n">
        <v>29.3</v>
      </c>
      <c r="F11" s="164" t="n">
        <v>29.9</v>
      </c>
      <c r="G11" s="165" t="n">
        <v>28.14</v>
      </c>
      <c r="H11" s="165" t="n">
        <v>25.5</v>
      </c>
      <c r="I11" s="164" t="n">
        <v>29.1</v>
      </c>
      <c r="J11" s="164" t="n">
        <v>28.8</v>
      </c>
      <c r="K11" s="165" t="n">
        <v>28.1</v>
      </c>
      <c r="L11" s="165" t="n">
        <v>25.5</v>
      </c>
      <c r="M11" s="158"/>
      <c r="N11" s="158"/>
      <c r="O11" s="166"/>
      <c r="P11" s="166"/>
    </row>
    <row r="12" customFormat="false" ht="12" hidden="false" customHeight="true" outlineLevel="0" collapsed="false">
      <c r="A12" s="128" t="s">
        <v>409</v>
      </c>
      <c r="B12" s="164" t="n">
        <v>0.2</v>
      </c>
      <c r="C12" s="165" t="n">
        <v>0.2</v>
      </c>
      <c r="D12" s="165" t="n">
        <v>0.1</v>
      </c>
      <c r="E12" s="164" t="n">
        <v>0.1</v>
      </c>
      <c r="F12" s="164" t="n">
        <v>0.3</v>
      </c>
      <c r="G12" s="165" t="n">
        <v>0.2</v>
      </c>
      <c r="H12" s="165" t="n">
        <v>0.2</v>
      </c>
      <c r="I12" s="164" t="n">
        <v>0.5</v>
      </c>
      <c r="J12" s="158"/>
      <c r="K12" s="165" t="n">
        <v>0.4</v>
      </c>
      <c r="L12" s="165" t="n">
        <v>0.3</v>
      </c>
      <c r="M12" s="158"/>
      <c r="N12" s="158"/>
      <c r="O12" s="166"/>
      <c r="P12" s="166"/>
      <c r="Q12" s="167" t="n">
        <f aca="false">+(Q22-Q14-Q15)/Q6*1000000</f>
        <v>1055155.65544232</v>
      </c>
      <c r="R12" s="168" t="n">
        <f aca="false">+(R22-R14-R15)/R6*1000000</f>
        <v>998494.579945799</v>
      </c>
      <c r="S12" s="168" t="n">
        <f aca="false">+(S22-S14-S15)/S6*1000000</f>
        <v>1004454.85969906</v>
      </c>
      <c r="T12" s="168" t="n">
        <f aca="false">+(T22-T14-T15)/T6*1000000</f>
        <v>1079484.24364051</v>
      </c>
      <c r="U12" s="169"/>
      <c r="V12" s="170"/>
      <c r="W12" s="169"/>
      <c r="X12" s="169"/>
      <c r="Y12" s="169"/>
    </row>
    <row r="13" customFormat="false" ht="12" hidden="false" customHeight="true" outlineLevel="0" collapsed="false">
      <c r="B13" s="158"/>
      <c r="C13" s="166"/>
      <c r="D13" s="166"/>
      <c r="E13" s="158"/>
      <c r="F13" s="158"/>
      <c r="G13" s="166"/>
      <c r="H13" s="166"/>
      <c r="I13" s="158"/>
      <c r="J13" s="158"/>
      <c r="K13" s="166"/>
      <c r="L13" s="166"/>
      <c r="M13" s="158"/>
      <c r="N13" s="158"/>
      <c r="O13" s="166"/>
      <c r="P13" s="166"/>
      <c r="S13" s="169"/>
      <c r="T13" s="169"/>
      <c r="U13" s="171"/>
      <c r="V13" s="172"/>
      <c r="W13" s="171"/>
      <c r="X13" s="171"/>
      <c r="Y13" s="171"/>
    </row>
    <row r="14" customFormat="false" ht="12" hidden="false" customHeight="true" outlineLevel="0" collapsed="false">
      <c r="A14" s="128" t="s">
        <v>881</v>
      </c>
      <c r="B14" s="166"/>
      <c r="C14" s="151"/>
      <c r="D14" s="137"/>
      <c r="E14" s="158"/>
      <c r="F14" s="173" t="n">
        <f aca="false">190000*2659/10^6</f>
        <v>505.21</v>
      </c>
      <c r="G14" s="151"/>
      <c r="H14" s="137"/>
      <c r="I14" s="158"/>
      <c r="J14" s="173" t="n">
        <f aca="false">190000*1.05*4860/10^6</f>
        <v>969.57</v>
      </c>
      <c r="K14" s="141" t="n">
        <v>800</v>
      </c>
      <c r="L14" s="137"/>
      <c r="M14" s="158"/>
      <c r="N14" s="166"/>
      <c r="O14" s="139"/>
      <c r="P14" s="137"/>
      <c r="R14" s="145" t="n">
        <v>740</v>
      </c>
      <c r="S14" s="145" t="n">
        <v>690</v>
      </c>
      <c r="T14" s="174" t="n">
        <f aca="false">2000-S14-R14</f>
        <v>570</v>
      </c>
      <c r="X14" s="145" t="n">
        <v>648</v>
      </c>
      <c r="AA14" s="145" t="n">
        <v>690</v>
      </c>
      <c r="AB14" s="145" t="n">
        <v>705</v>
      </c>
    </row>
    <row r="15" customFormat="false" ht="12" hidden="false" customHeight="true" outlineLevel="0" collapsed="false">
      <c r="A15" s="128" t="s">
        <v>882</v>
      </c>
      <c r="B15" s="141" t="n">
        <v>487.8</v>
      </c>
      <c r="C15" s="175" t="n">
        <f aca="false">1630-B15</f>
        <v>1142.2</v>
      </c>
      <c r="F15" s="141" t="n">
        <v>840</v>
      </c>
      <c r="G15" s="175" t="n">
        <f aca="false">2200-F15</f>
        <v>1360</v>
      </c>
      <c r="J15" s="141" t="n">
        <v>1440</v>
      </c>
      <c r="K15" s="176" t="n">
        <v>1200</v>
      </c>
      <c r="L15" s="177" t="n">
        <f aca="false">L27*10^6/L6</f>
        <v>117213.903743316</v>
      </c>
      <c r="M15" s="177" t="n">
        <f aca="false">M27*10^6/M6</f>
        <v>110641.607258587</v>
      </c>
      <c r="N15" s="142" t="n">
        <f aca="false">2670-O15</f>
        <v>1220</v>
      </c>
      <c r="O15" s="176" t="n">
        <v>1450</v>
      </c>
      <c r="P15" s="176" t="n">
        <v>1600</v>
      </c>
      <c r="Q15" s="175" t="n">
        <f aca="false">6430-P15-O15-N15</f>
        <v>2160</v>
      </c>
      <c r="R15" s="145" t="n">
        <v>1370</v>
      </c>
      <c r="S15" s="145" t="n">
        <v>1750</v>
      </c>
      <c r="T15" s="146" t="n">
        <f aca="false">1600+200</f>
        <v>1800</v>
      </c>
    </row>
    <row r="16" customFormat="false" ht="12" hidden="false" customHeight="true" outlineLevel="0" collapsed="false">
      <c r="A16" s="128" t="s">
        <v>883</v>
      </c>
      <c r="B16" s="139"/>
      <c r="C16" s="163"/>
      <c r="F16" s="139"/>
      <c r="G16" s="163"/>
      <c r="J16" s="139"/>
      <c r="K16" s="163"/>
      <c r="L16" s="163"/>
      <c r="M16" s="163"/>
      <c r="N16" s="139"/>
      <c r="O16" s="163"/>
      <c r="P16" s="163"/>
      <c r="Q16" s="163"/>
      <c r="AA16" s="145" t="n">
        <v>880</v>
      </c>
      <c r="AB16" s="145" t="n">
        <v>800</v>
      </c>
    </row>
    <row r="17" customFormat="false" ht="12" hidden="false" customHeight="true" outlineLevel="0" collapsed="false">
      <c r="B17" s="139"/>
      <c r="C17" s="163"/>
      <c r="F17" s="139"/>
      <c r="G17" s="163"/>
      <c r="J17" s="139"/>
      <c r="K17" s="163"/>
      <c r="L17" s="163"/>
      <c r="M17" s="163"/>
      <c r="N17" s="139"/>
      <c r="O17" s="163"/>
      <c r="P17" s="178"/>
    </row>
    <row r="18" customFormat="false" ht="12.75" hidden="false" customHeight="true" outlineLevel="0" collapsed="false">
      <c r="A18" s="132" t="s">
        <v>885</v>
      </c>
      <c r="B18" s="138" t="n">
        <f aca="false">B22/B6*1000000</f>
        <v>835605.633802817</v>
      </c>
      <c r="C18" s="138" t="n">
        <f aca="false">C22/C6*1000000</f>
        <v>843384.669585787</v>
      </c>
      <c r="D18" s="138" t="n">
        <f aca="false">D22/D6*1000000</f>
        <v>885783.834961132</v>
      </c>
      <c r="E18" s="138" t="n">
        <f aca="false">E20/E6*1000000</f>
        <v>1019801.37772675</v>
      </c>
      <c r="F18" s="138" t="n">
        <f aca="false">F22/F6*1000000</f>
        <v>892551.8912074</v>
      </c>
      <c r="G18" s="138" t="n">
        <f aca="false">G22/G6*1000000</f>
        <v>924144.611475757</v>
      </c>
      <c r="H18" s="142" t="n">
        <f aca="false">H22*91%*88%/H6*1000000</f>
        <v>760087.353335091</v>
      </c>
      <c r="I18" s="138" t="n">
        <f aca="false">I22/I6*1000000</f>
        <v>938154.088395767</v>
      </c>
      <c r="J18" s="138" t="n">
        <f aca="false">J22/J6*1000000</f>
        <v>1022449.38941655</v>
      </c>
      <c r="K18" s="142" t="n">
        <f aca="false">(K22-3200)/K6*1000000</f>
        <v>898705.817399895</v>
      </c>
      <c r="L18" s="138" t="n">
        <f aca="false">L22/L6*1000000</f>
        <v>1244681.38291257</v>
      </c>
      <c r="M18" s="138" t="n">
        <f aca="false">M22/M6*1000000</f>
        <v>1127786.31608184</v>
      </c>
      <c r="N18" s="138" t="n">
        <f aca="false">N22/N6*1000000</f>
        <v>1185309.1712133</v>
      </c>
      <c r="O18" s="138" t="n">
        <f aca="false">O22/O6*1000000</f>
        <v>1103584.63905988</v>
      </c>
      <c r="P18" s="138" t="n">
        <f aca="false">P22/P6*1000000</f>
        <v>1125773.1754201</v>
      </c>
      <c r="Q18" s="138" t="n">
        <f aca="false">Q22/Q6*1000000</f>
        <v>1138853.87685512</v>
      </c>
      <c r="R18" s="138" t="n">
        <f aca="false">R22/R6*1000000</f>
        <v>1097083.49686945</v>
      </c>
      <c r="S18" s="138" t="n">
        <f aca="false">S22/S6*1000000</f>
        <v>1103682.18788125</v>
      </c>
      <c r="T18" s="138" t="n">
        <f aca="false">T22/T6*1000000</f>
        <v>1208030.10251125</v>
      </c>
      <c r="U18" s="138" t="n">
        <f aca="false">U22/U6*1000000</f>
        <v>1289979.88476701</v>
      </c>
      <c r="V18" s="131"/>
      <c r="W18" s="138" t="n">
        <f aca="false">W22/W6*1000000</f>
        <v>1294551.01934948</v>
      </c>
      <c r="X18" s="138" t="n">
        <f aca="false">X22/X6*1000000</f>
        <v>1309704.92635856</v>
      </c>
      <c r="Y18" s="138" t="n">
        <f aca="false">Y22/Y6*1000000</f>
        <v>1227744.28717599</v>
      </c>
      <c r="Z18" s="138" t="n">
        <f aca="false">Z22/Z6*1000000</f>
        <v>1207974.69737727</v>
      </c>
      <c r="AA18" s="138" t="n">
        <f aca="false">AA22/AA6*1000000</f>
        <v>1090211.05673373</v>
      </c>
      <c r="AB18" s="138" t="n">
        <f aca="false">AB22/AB6*1000000</f>
        <v>1104572.88873995</v>
      </c>
      <c r="AC18" s="138" t="n">
        <f aca="false">AC22/AC6*1000000</f>
        <v>1050255.84576017</v>
      </c>
      <c r="AD18" s="138" t="n">
        <f aca="false">AD22/AD6*1000000</f>
        <v>1076749.87726341</v>
      </c>
      <c r="AE18" s="138" t="n">
        <f aca="false">AE22/AE6*1000000</f>
        <v>1088261.12978224</v>
      </c>
      <c r="AF18" s="138" t="n">
        <f aca="false">AF22/AF6*1000000</f>
        <v>1103255.34400692</v>
      </c>
      <c r="AG18" s="138" t="n">
        <f aca="false">AG22/AG6*1000000</f>
        <v>1058480.73483986</v>
      </c>
      <c r="AH18" s="138" t="n">
        <f aca="false">AH22/AH6*1000000</f>
        <v>1181195.13974202</v>
      </c>
      <c r="AI18" s="138" t="n">
        <f aca="false">AI22/AI6*1000000</f>
        <v>1240079.87588209</v>
      </c>
      <c r="AJ18" s="138" t="n">
        <f aca="false">AJ22/AJ6*1000000</f>
        <v>1267850.82154537</v>
      </c>
      <c r="AK18" s="139"/>
      <c r="AL18" s="138" t="n">
        <f aca="false">AL22/AL6*1000000</f>
        <v>1319038.75991686</v>
      </c>
      <c r="AN18" s="138" t="n">
        <f aca="false">AN22/AN6*1000000</f>
        <v>1362810.04754133</v>
      </c>
      <c r="AO18" s="138" t="n">
        <f aca="false">AO22/AO6*1000000</f>
        <v>1323014.24860058</v>
      </c>
      <c r="AP18" s="138" t="n">
        <f aca="false">AP22/AP6*1000000</f>
        <v>1230927.08903997</v>
      </c>
      <c r="AQ18" s="138" t="n">
        <f aca="false">AQ22/AQ6*1000000</f>
        <v>1320921.01008794</v>
      </c>
      <c r="AR18" s="139"/>
      <c r="AS18" s="138" t="n">
        <f aca="false">AS22/AS6*1000000</f>
        <v>1353657.97608765</v>
      </c>
      <c r="AU18" s="138" t="n">
        <f aca="false">AU22/AU6*1000000</f>
        <v>1316694.44131409</v>
      </c>
    </row>
    <row r="19" customFormat="false" ht="12.75" hidden="false" customHeight="true" outlineLevel="0" collapsed="false">
      <c r="A19" s="132" t="s">
        <v>886</v>
      </c>
      <c r="B19" s="132" t="s">
        <v>973</v>
      </c>
      <c r="C19" s="132" t="s">
        <v>974</v>
      </c>
      <c r="D19" s="132" t="s">
        <v>975</v>
      </c>
      <c r="E19" s="132" t="str">
        <f aca="false">E1</f>
        <v>4QFY07</v>
      </c>
      <c r="F19" s="132" t="s">
        <v>977</v>
      </c>
      <c r="G19" s="132" t="s">
        <v>978</v>
      </c>
      <c r="H19" s="133" t="s">
        <v>979</v>
      </c>
      <c r="I19" s="133" t="str">
        <f aca="false">I1</f>
        <v>4QFY08</v>
      </c>
      <c r="J19" s="132" t="s">
        <v>981</v>
      </c>
      <c r="K19" s="132" t="str">
        <f aca="false">K1</f>
        <v>2QFY09</v>
      </c>
      <c r="L19" s="133" t="s">
        <v>983</v>
      </c>
      <c r="M19" s="133" t="s">
        <v>984</v>
      </c>
      <c r="N19" s="132" t="s">
        <v>985</v>
      </c>
      <c r="O19" s="19"/>
      <c r="P19" s="179"/>
      <c r="R19" s="180" t="n">
        <f aca="false">+R18/N18-1</f>
        <v>-0.0744326260915887</v>
      </c>
      <c r="S19" s="180" t="n">
        <f aca="false">+S18/O18-1</f>
        <v>8.83926958774595E-005</v>
      </c>
      <c r="T19" s="181" t="n">
        <f aca="false">+T18/P18-1</f>
        <v>0.0730670519489467</v>
      </c>
      <c r="U19" s="128" t="n">
        <f aca="false">+U18/Q18-1</f>
        <v>0.132700086449384</v>
      </c>
      <c r="AI19" s="155" t="n">
        <f aca="false">+AI18/AH18-1</f>
        <v>0.0498518273220581</v>
      </c>
      <c r="AJ19" s="155" t="n">
        <f aca="false">+AJ18/AI18-1</f>
        <v>0.0223944813583319</v>
      </c>
      <c r="AK19" s="156"/>
      <c r="AL19" s="156"/>
      <c r="AN19" s="156"/>
      <c r="AO19" s="156"/>
      <c r="AP19" s="181" t="e">
        <f aca="false">+AP18/AM18-1</f>
        <v>#DIV/0!</v>
      </c>
      <c r="AQ19" s="156"/>
      <c r="AR19" s="156"/>
      <c r="AS19" s="156"/>
      <c r="AU19" s="181" t="e">
        <f aca="false">+AU18/AR18-1</f>
        <v>#DIV/0!</v>
      </c>
    </row>
    <row r="20" customFormat="false" ht="12" hidden="false" customHeight="true" outlineLevel="0" collapsed="false">
      <c r="A20" s="128" t="s">
        <v>888</v>
      </c>
      <c r="B20" s="141" t="n">
        <v>16413.77</v>
      </c>
      <c r="C20" s="141" t="n">
        <v>19286.2</v>
      </c>
      <c r="D20" s="141" t="n">
        <v>20699.79</v>
      </c>
      <c r="E20" s="141" t="n">
        <v>26647.41</v>
      </c>
      <c r="F20" s="141" t="n">
        <v>18831.9</v>
      </c>
      <c r="G20" s="139"/>
      <c r="H20" s="142" t="n">
        <f aca="false">H22/0.86</f>
        <v>20931.1860465116</v>
      </c>
      <c r="I20" s="142" t="n">
        <f aca="false">I22/0.86</f>
        <v>29790.7558139535</v>
      </c>
      <c r="J20" s="139"/>
      <c r="K20" s="139"/>
      <c r="L20" s="139"/>
      <c r="M20" s="139"/>
      <c r="N20" s="139"/>
      <c r="O20" s="139"/>
      <c r="P20" s="139"/>
    </row>
    <row r="21" customFormat="false" ht="12" hidden="false" customHeight="true" outlineLevel="0" collapsed="false">
      <c r="A21" s="128" t="s">
        <v>889</v>
      </c>
      <c r="B21" s="141" t="n">
        <v>2175.05</v>
      </c>
      <c r="C21" s="141" t="n">
        <v>2528.99</v>
      </c>
      <c r="D21" s="141" t="n">
        <v>2923.88</v>
      </c>
      <c r="E21" s="141" t="n">
        <v>3737.49</v>
      </c>
      <c r="F21" s="141" t="n">
        <v>2620.48</v>
      </c>
      <c r="G21" s="139"/>
      <c r="H21" s="138" t="n">
        <f aca="false">H20-H22</f>
        <v>2930.36604651163</v>
      </c>
      <c r="I21" s="138" t="n">
        <f aca="false">I20-I22</f>
        <v>4170.70581395349</v>
      </c>
      <c r="J21" s="139"/>
      <c r="K21" s="139"/>
      <c r="L21" s="139"/>
      <c r="M21" s="139"/>
      <c r="N21" s="139"/>
      <c r="O21" s="139"/>
      <c r="P21" s="139"/>
      <c r="Q21" s="140"/>
    </row>
    <row r="22" s="19" customFormat="true" ht="12.75" hidden="false" customHeight="true" outlineLevel="0" collapsed="false">
      <c r="A22" s="132" t="s">
        <v>391</v>
      </c>
      <c r="B22" s="147" t="n">
        <f aca="false">B20-B21</f>
        <v>14238.72</v>
      </c>
      <c r="C22" s="147" t="n">
        <f aca="false">C20-C21</f>
        <v>16757.21</v>
      </c>
      <c r="D22" s="147" t="n">
        <f aca="false">D20-D21</f>
        <v>17775.91</v>
      </c>
      <c r="E22" s="147" t="n">
        <f aca="false">E20-E21</f>
        <v>22909.92</v>
      </c>
      <c r="F22" s="147" t="n">
        <f aca="false">F20-F21</f>
        <v>16211.42</v>
      </c>
      <c r="G22" s="149" t="n">
        <f aca="false">17458.94</f>
        <v>17458.94</v>
      </c>
      <c r="H22" s="148" t="n">
        <v>18000.82</v>
      </c>
      <c r="I22" s="148" t="n">
        <v>25620.05</v>
      </c>
      <c r="J22" s="148" t="n">
        <v>18838.63</v>
      </c>
      <c r="K22" s="148" t="n">
        <v>18664.031</v>
      </c>
      <c r="L22" s="148" t="n">
        <v>10008.483</v>
      </c>
      <c r="M22" s="148" t="n">
        <v>12181.22</v>
      </c>
      <c r="N22" s="148" t="n">
        <v>9124.51</v>
      </c>
      <c r="O22" s="182" t="n">
        <v>15776.846</v>
      </c>
      <c r="P22" s="149" t="n">
        <f aca="false">18155.344</f>
        <v>18155.344</v>
      </c>
      <c r="Q22" s="183" t="n">
        <v>29390.402</v>
      </c>
      <c r="R22" s="183" t="n">
        <v>23479.781</v>
      </c>
      <c r="S22" s="183" t="n">
        <v>27139.545</v>
      </c>
      <c r="T22" s="183" t="n">
        <v>22272.451</v>
      </c>
      <c r="U22" s="148" t="n">
        <v>38285.313</v>
      </c>
      <c r="V22" s="144" t="n">
        <f aca="false">+SUM(R22:U22)</f>
        <v>111177.09</v>
      </c>
      <c r="W22" s="148" t="n">
        <v>24955.06</v>
      </c>
      <c r="X22" s="148" t="n">
        <v>30945.708</v>
      </c>
      <c r="Y22" s="148" t="n">
        <v>28797.97</v>
      </c>
      <c r="Z22" s="184" t="n">
        <f aca="false">42358.201+752</f>
        <v>43110.201</v>
      </c>
      <c r="AA22" s="184" t="n">
        <f aca="false">29409.8+663.672</f>
        <v>30073.472</v>
      </c>
      <c r="AB22" s="184" t="n">
        <f aca="false">32224.393+736.062</f>
        <v>32960.455</v>
      </c>
      <c r="AC22" s="184" t="n">
        <f aca="false">23225.049+580.05</f>
        <v>23805.099</v>
      </c>
      <c r="AD22" s="184" t="n">
        <f aca="false">36484.115+800.503</f>
        <v>37284.618</v>
      </c>
      <c r="AE22" s="185" t="n">
        <f aca="false">23132.128+505.992</f>
        <v>23638.12</v>
      </c>
      <c r="AF22" s="185" t="n">
        <f aca="false">24982.828+513.403</f>
        <v>25496.231</v>
      </c>
      <c r="AG22" s="185" t="n">
        <f aca="false">19032.828+499.317</f>
        <v>19532.145</v>
      </c>
      <c r="AH22" s="185" t="n">
        <f aca="false">30209.552+558.219</f>
        <v>30767.771</v>
      </c>
      <c r="AI22" s="184" t="n">
        <f aca="false">24346.199+431.837</f>
        <v>24778.036</v>
      </c>
      <c r="AJ22" s="184" t="n">
        <f aca="false">31503.691+673.095</f>
        <v>32176.786</v>
      </c>
      <c r="AK22" s="184" t="n">
        <f aca="false">32906.227+703.742</f>
        <v>33609.969</v>
      </c>
      <c r="AL22" s="184" t="n">
        <f aca="false">44355.331+701.714</f>
        <v>45057.045</v>
      </c>
      <c r="AM22" s="135" t="n">
        <f aca="false">+AL22+AK22+AI22+AJ22</f>
        <v>135621.836</v>
      </c>
      <c r="AN22" s="184" t="n">
        <f aca="false">37752.961+659.203</f>
        <v>38412.164</v>
      </c>
      <c r="AO22" s="149" t="n">
        <f aca="false">48788.121+609.262</f>
        <v>49397.383</v>
      </c>
      <c r="AP22" s="186" t="n">
        <f aca="false">0.375*AP5+(AO22-0.375*AO5)*(AP4/AO4)*0.995</f>
        <v>39368.7410887654</v>
      </c>
      <c r="AQ22" s="149" t="n">
        <f aca="false">40294.5979999999+558.847</f>
        <v>40853.4449999999</v>
      </c>
      <c r="AR22" s="147" t="n">
        <f aca="false">AR6/AQ6*AP22</f>
        <v>51553.0915059169</v>
      </c>
      <c r="AS22" s="149" t="n">
        <f aca="false">58934.885+617.944</f>
        <v>59552.829</v>
      </c>
      <c r="AT22" s="135" t="n">
        <f aca="false">+AS22+AQ22+AN22+AO22</f>
        <v>188215.821</v>
      </c>
      <c r="AU22" s="186" t="n">
        <f aca="false">0.375*AU5+(AS22-0.375*AS5)*(AU4/AS4)*1</f>
        <v>41034.7822635536</v>
      </c>
    </row>
    <row r="23" customFormat="false" ht="12" hidden="false" customHeight="true" outlineLevel="0" collapsed="false">
      <c r="B23" s="139"/>
      <c r="C23" s="156"/>
      <c r="E23" s="160"/>
      <c r="F23" s="156"/>
      <c r="G23" s="156"/>
      <c r="H23" s="163"/>
      <c r="I23" s="138" t="n">
        <f aca="false">(I22-I25-I24)*10^6/I6</f>
        <v>245177.04785968</v>
      </c>
      <c r="J23" s="138" t="n">
        <f aca="false">(J22-J25-J24)*10^6/J6</f>
        <v>242211.126187246</v>
      </c>
      <c r="K23" s="138" t="n">
        <f aca="false">(K22-K25-K24)*10^6/K6</f>
        <v>273867.321438949</v>
      </c>
      <c r="L23" s="138" t="n">
        <f aca="false">(L22-L25-L24)*10^6/L6</f>
        <v>329751.896530282</v>
      </c>
      <c r="M23" s="138" t="n">
        <f aca="false">(M22-M25-M24)*10^6/M6</f>
        <v>309523.19229701</v>
      </c>
      <c r="N23" s="138" t="n">
        <f aca="false">(N22-N25-N24)*10^6/N6</f>
        <v>324472.59028319</v>
      </c>
      <c r="O23" s="138" t="n">
        <f aca="false">(O22-O25-O24)*10^6/O6</f>
        <v>328595.271404589</v>
      </c>
      <c r="P23" s="138" t="n">
        <f aca="false">(P22-P25-P24)*10^6/P6</f>
        <v>322158.243938736</v>
      </c>
      <c r="Q23" s="138" t="n">
        <f aca="false">(Q22-Q25-Q24)*10^6/Q6</f>
        <v>305384.236834967</v>
      </c>
      <c r="R23" s="138" t="n">
        <f aca="false">(R25+R24)*10^6/R6</f>
        <v>810484.674329502</v>
      </c>
      <c r="S23" s="139"/>
      <c r="T23" s="139"/>
      <c r="U23" s="139"/>
      <c r="V23" s="131"/>
      <c r="W23" s="139"/>
      <c r="X23" s="139"/>
      <c r="Y23" s="139"/>
      <c r="Z23" s="159"/>
      <c r="AA23" s="140"/>
      <c r="AB23" s="140"/>
      <c r="AC23" s="140"/>
      <c r="AD23" s="181" t="n">
        <f aca="false">SUM(AA22:AD22)/SUM(AA6:AD6)</f>
        <v>1.0819892606217</v>
      </c>
      <c r="AE23" s="140"/>
      <c r="AF23" s="140"/>
      <c r="AG23" s="140"/>
      <c r="AH23" s="140"/>
      <c r="AI23" s="140"/>
      <c r="AJ23" s="140"/>
      <c r="AK23" s="140"/>
      <c r="AL23" s="140"/>
      <c r="AN23" s="140"/>
      <c r="AO23" s="139"/>
      <c r="AP23" s="140"/>
      <c r="AQ23" s="139"/>
      <c r="AR23" s="139"/>
      <c r="AS23" s="139"/>
      <c r="AU23" s="140"/>
    </row>
    <row r="24" customFormat="false" ht="12.75" hidden="false" customHeight="true" outlineLevel="0" collapsed="false">
      <c r="A24" s="128" t="s">
        <v>890</v>
      </c>
      <c r="B24" s="141" t="n">
        <v>-821.36</v>
      </c>
      <c r="C24" s="141" t="n">
        <v>-554.36</v>
      </c>
      <c r="D24" s="141" t="n">
        <v>-951.64</v>
      </c>
      <c r="E24" s="176" t="n">
        <v>1680.43</v>
      </c>
      <c r="F24" s="141" t="n">
        <v>-1267.14</v>
      </c>
      <c r="G24" s="141" t="n">
        <v>-876.49</v>
      </c>
      <c r="H24" s="141" t="n">
        <v>-557.14</v>
      </c>
      <c r="I24" s="176" t="n">
        <v>1788.72</v>
      </c>
      <c r="J24" s="139"/>
      <c r="K24" s="141" t="n">
        <v>-1759.269</v>
      </c>
      <c r="L24" s="141" t="n">
        <v>1279.131</v>
      </c>
      <c r="M24" s="176" t="n">
        <v>2601.6</v>
      </c>
      <c r="N24" s="141" t="n">
        <v>374.44</v>
      </c>
      <c r="O24" s="187" t="n">
        <v>421.013</v>
      </c>
      <c r="P24" s="141" t="n">
        <v>-2636.084</v>
      </c>
      <c r="Q24" s="165" t="n">
        <v>1905.741</v>
      </c>
      <c r="R24" s="165" t="n">
        <v>-1136.017</v>
      </c>
      <c r="S24" s="165" t="n">
        <v>-924.936</v>
      </c>
      <c r="T24" s="165" t="n">
        <v>-1493.953</v>
      </c>
      <c r="U24" s="141" t="n">
        <v>1065.243</v>
      </c>
      <c r="V24" s="144" t="n">
        <f aca="false">+SUM(R24:U24)</f>
        <v>-2489.663</v>
      </c>
      <c r="W24" s="141" t="n">
        <v>-2376.723</v>
      </c>
      <c r="X24" s="141" t="n">
        <v>1629.392</v>
      </c>
      <c r="Y24" s="141" t="n">
        <v>-1033.842</v>
      </c>
      <c r="Z24" s="188" t="n">
        <v>111.043</v>
      </c>
      <c r="AA24" s="145" t="n">
        <v>-1132.23</v>
      </c>
      <c r="AB24" s="145" t="n">
        <v>2157.625</v>
      </c>
      <c r="AC24" s="145" t="n">
        <v>-2447.446</v>
      </c>
      <c r="AD24" s="145" t="n">
        <v>4141.82</v>
      </c>
      <c r="AE24" s="145" t="n">
        <v>-384.441</v>
      </c>
      <c r="AF24" s="141" t="n">
        <v>1772.155</v>
      </c>
      <c r="AG24" s="141" t="n">
        <v>1309.357</v>
      </c>
      <c r="AH24" s="141" t="n">
        <v>1541.639</v>
      </c>
      <c r="AI24" s="141" t="n">
        <v>-1720.916</v>
      </c>
      <c r="AJ24" s="141" t="n">
        <v>-892.269</v>
      </c>
      <c r="AK24" s="141" t="n">
        <v>2005.436</v>
      </c>
      <c r="AL24" s="141" t="n">
        <v>81.623</v>
      </c>
      <c r="AM24" s="135" t="n">
        <f aca="false">+AL24+AK24+AI24+AJ24</f>
        <v>-526.126</v>
      </c>
      <c r="AN24" s="141" t="n">
        <v>-2469.627</v>
      </c>
      <c r="AO24" s="141" t="n">
        <v>-2430.844</v>
      </c>
      <c r="AP24" s="139"/>
      <c r="AQ24" s="141" t="n">
        <v>-2487.722</v>
      </c>
      <c r="AR24" s="139"/>
      <c r="AS24" s="141" t="n">
        <v>2173.827</v>
      </c>
      <c r="AT24" s="144" t="n">
        <f aca="false">+AS24+AQ24+AN24+AO24</f>
        <v>-5214.366</v>
      </c>
      <c r="AU24" s="139"/>
    </row>
    <row r="25" customFormat="false" ht="12.75" hidden="false" customHeight="true" outlineLevel="0" collapsed="false">
      <c r="A25" s="128" t="s">
        <v>891</v>
      </c>
      <c r="B25" s="141" t="n">
        <v>11266.69</v>
      </c>
      <c r="C25" s="141" t="n">
        <v>13215.6</v>
      </c>
      <c r="D25" s="143" t="n">
        <f aca="false">14177.19+328.2</f>
        <v>14505.39</v>
      </c>
      <c r="E25" s="176" t="n">
        <v>15378.79</v>
      </c>
      <c r="F25" s="141" t="n">
        <v>12936.96</v>
      </c>
      <c r="G25" s="143" t="n">
        <f aca="false">13584.7+390.61</f>
        <v>13975.31</v>
      </c>
      <c r="H25" s="141" t="n">
        <v>14146.82</v>
      </c>
      <c r="I25" s="189" t="n">
        <f aca="false">16666.84+468.95</f>
        <v>17135.79</v>
      </c>
      <c r="J25" s="143" t="n">
        <f aca="false">16518.34+467-2609.45</f>
        <v>14375.89</v>
      </c>
      <c r="K25" s="143" t="n">
        <f aca="false">15015.97+694.895</f>
        <v>15710.865</v>
      </c>
      <c r="L25" s="143" t="n">
        <f aca="false">5674.65+403.167</f>
        <v>6077.817</v>
      </c>
      <c r="M25" s="189" t="n">
        <f aca="false">5779.6+456.86</f>
        <v>6236.46</v>
      </c>
      <c r="N25" s="143" t="n">
        <f aca="false">5743.31+508.97</f>
        <v>6252.28</v>
      </c>
      <c r="O25" s="141" t="n">
        <v>10658.235</v>
      </c>
      <c r="P25" s="143" t="n">
        <f aca="false">14849.922+746.06</f>
        <v>15595.982</v>
      </c>
      <c r="Q25" s="173" t="n">
        <f aca="false">19059.262+544.348</f>
        <v>19603.61</v>
      </c>
      <c r="R25" s="173" t="n">
        <f aca="false">17787.928+694.082</f>
        <v>18482.01</v>
      </c>
      <c r="S25" s="173" t="n">
        <f aca="false">20107.221+786.815</f>
        <v>20894.036</v>
      </c>
      <c r="T25" s="173" t="n">
        <f aca="false">17178.599+609.011</f>
        <v>17787.61</v>
      </c>
      <c r="U25" s="143" t="n">
        <f aca="false">25893.94+643.789</f>
        <v>26537.729</v>
      </c>
      <c r="V25" s="144" t="n">
        <f aca="false">+SUM(R25:U25)</f>
        <v>83701.385</v>
      </c>
      <c r="W25" s="143" t="n">
        <f aca="false">19606.331+751.454</f>
        <v>20357.785</v>
      </c>
      <c r="X25" s="143" t="n">
        <f aca="false">20203.269+924.694</f>
        <v>21127.963</v>
      </c>
      <c r="Y25" s="143" t="n">
        <f aca="false">20756.678+1564.745</f>
        <v>22321.423</v>
      </c>
      <c r="Z25" s="189" t="n">
        <f aca="false">1832.844+30147.39</f>
        <v>31980.234</v>
      </c>
      <c r="AA25" s="189" t="n">
        <f aca="false">20486.898+2532.018</f>
        <v>23018.916</v>
      </c>
      <c r="AB25" s="189" t="n">
        <f aca="false">18809.779+3025.853</f>
        <v>21835.632</v>
      </c>
      <c r="AC25" s="189" t="n">
        <f aca="false">16464.181+3089.407</f>
        <v>19553.588</v>
      </c>
      <c r="AD25" s="189" t="n">
        <f aca="false">19633.306+4470.116</f>
        <v>24103.422</v>
      </c>
      <c r="AE25" s="189" t="n">
        <f aca="false">15398.46+2822.809</f>
        <v>18221.269</v>
      </c>
      <c r="AF25" s="143" t="n">
        <f aca="false">14566.981+3118.049</f>
        <v>17685.03</v>
      </c>
      <c r="AG25" s="143" t="n">
        <f aca="false">10556.513+3702.419</f>
        <v>14258.932</v>
      </c>
      <c r="AH25" s="143" t="n">
        <f aca="false">18574.993+3046.999</f>
        <v>21621.992</v>
      </c>
      <c r="AI25" s="189" t="n">
        <f aca="false">17148.371+2731.375</f>
        <v>19879.746</v>
      </c>
      <c r="AJ25" s="189" t="n">
        <f aca="false">20574.231+4000</f>
        <v>24574.231</v>
      </c>
      <c r="AK25" s="189" t="n">
        <f aca="false">20364.151+2662.246</f>
        <v>23026.397</v>
      </c>
      <c r="AL25" s="189" t="n">
        <f aca="false">28179.599+4518.251</f>
        <v>32697.85</v>
      </c>
      <c r="AM25" s="135" t="n">
        <f aca="false">+AL25+AK25+AI25+AJ25</f>
        <v>100178.224</v>
      </c>
      <c r="AN25" s="189" t="n">
        <f aca="false">25591.924+3549.388</f>
        <v>29141.312</v>
      </c>
      <c r="AO25" s="143" t="n">
        <f aca="false">32746.865+4458.318</f>
        <v>37205.183</v>
      </c>
      <c r="AP25" s="177" t="n">
        <f aca="false">+AP22*AP66/100</f>
        <v>27636.8562443133</v>
      </c>
      <c r="AQ25" s="143" t="n">
        <f aca="false">26289.917+5116.026</f>
        <v>31405.943</v>
      </c>
      <c r="AR25" s="139"/>
      <c r="AS25" s="143" t="n">
        <f aca="false">37893+2188.523</f>
        <v>40081.523</v>
      </c>
      <c r="AT25" s="144" t="n">
        <f aca="false">+AS25+AQ25+AN25+AO25</f>
        <v>137833.961</v>
      </c>
      <c r="AU25" s="177" t="n">
        <f aca="false">+AU22*AU66/100</f>
        <v>29216.7649716502</v>
      </c>
    </row>
    <row r="26" customFormat="false" ht="12.75" hidden="false" customHeight="true" outlineLevel="0" collapsed="false">
      <c r="A26" s="128" t="s">
        <v>892</v>
      </c>
      <c r="B26" s="141" t="n">
        <v>1291.24</v>
      </c>
      <c r="C26" s="141" t="n">
        <v>1203.48</v>
      </c>
      <c r="D26" s="141" t="n">
        <v>1149.04</v>
      </c>
      <c r="E26" s="141" t="n">
        <v>1163.19</v>
      </c>
      <c r="F26" s="141" t="n">
        <v>1391.1</v>
      </c>
      <c r="G26" s="141" t="n">
        <v>1619.17</v>
      </c>
      <c r="H26" s="141" t="n">
        <v>1477.87</v>
      </c>
      <c r="I26" s="141" t="n">
        <v>1673.58</v>
      </c>
      <c r="J26" s="141" t="n">
        <v>1626.44</v>
      </c>
      <c r="K26" s="141" t="n">
        <v>1570.217</v>
      </c>
      <c r="L26" s="141" t="n">
        <v>1225.269</v>
      </c>
      <c r="M26" s="141" t="n">
        <v>1239.85</v>
      </c>
      <c r="N26" s="141" t="n">
        <v>1440.93</v>
      </c>
      <c r="O26" s="187" t="n">
        <v>1675.036</v>
      </c>
      <c r="P26" s="141" t="n">
        <v>1736.174</v>
      </c>
      <c r="Q26" s="183" t="n">
        <v>1807.117</v>
      </c>
      <c r="R26" s="165" t="n">
        <v>2024.952</v>
      </c>
      <c r="S26" s="165" t="n">
        <v>2114.877</v>
      </c>
      <c r="T26" s="173" t="n">
        <f aca="false">2439.233-260</f>
        <v>2179.233</v>
      </c>
      <c r="U26" s="141" t="n">
        <v>3018.101</v>
      </c>
      <c r="V26" s="144" t="n">
        <f aca="false">+SUM(R26:U26)</f>
        <v>9337.163</v>
      </c>
      <c r="W26" s="141" t="n">
        <v>2497.391</v>
      </c>
      <c r="X26" s="141" t="n">
        <v>2515.135</v>
      </c>
      <c r="Y26" s="141" t="n">
        <v>2723.22</v>
      </c>
      <c r="Z26" s="141" t="n">
        <v>2468.196</v>
      </c>
      <c r="AA26" s="141" t="n">
        <v>2678.56</v>
      </c>
      <c r="AB26" s="141" t="n">
        <v>2638.047</v>
      </c>
      <c r="AC26" s="141" t="n">
        <v>2617.086</v>
      </c>
      <c r="AD26" s="141" t="n">
        <v>2821.441</v>
      </c>
      <c r="AE26" s="141" t="n">
        <v>2581.889</v>
      </c>
      <c r="AF26" s="141" t="n">
        <v>2545.724</v>
      </c>
      <c r="AG26" s="141" t="n">
        <v>2396.223</v>
      </c>
      <c r="AH26" s="141" t="n">
        <v>2472.887</v>
      </c>
      <c r="AI26" s="141" t="n">
        <v>2831.366</v>
      </c>
      <c r="AJ26" s="141" t="n">
        <v>2914.986</v>
      </c>
      <c r="AK26" s="141" t="n">
        <v>2770.383</v>
      </c>
      <c r="AL26" s="141" t="n">
        <v>3323.303</v>
      </c>
      <c r="AM26" s="135" t="n">
        <f aca="false">+AL26+AK26+AI26+AJ26</f>
        <v>11840.038</v>
      </c>
      <c r="AN26" s="141" t="n">
        <v>3304.142</v>
      </c>
      <c r="AO26" s="141" t="n">
        <v>3783.532</v>
      </c>
      <c r="AP26" s="141" t="n">
        <v>3300</v>
      </c>
      <c r="AQ26" s="141" t="n">
        <v>3491.794</v>
      </c>
      <c r="AR26" s="139"/>
      <c r="AS26" s="141" t="n">
        <v>3407.999</v>
      </c>
      <c r="AT26" s="144" t="n">
        <f aca="false">+AS26+AQ26+AN26+AO26</f>
        <v>13987.467</v>
      </c>
      <c r="AU26" s="141" t="n">
        <v>3450</v>
      </c>
    </row>
    <row r="27" customFormat="false" ht="12.75" hidden="false" customHeight="true" outlineLevel="0" collapsed="false">
      <c r="A27" s="128" t="s">
        <v>893</v>
      </c>
      <c r="B27" s="143" t="n">
        <f aca="false">1315.59</f>
        <v>1315.59</v>
      </c>
      <c r="C27" s="143" t="n">
        <f aca="false">1542.05+30.48</f>
        <v>1572.53</v>
      </c>
      <c r="D27" s="143" t="n">
        <f aca="false">1232.58-28.11</f>
        <v>1204.47</v>
      </c>
      <c r="E27" s="189" t="n">
        <f aca="false">2038.19+53.79</f>
        <v>2091.98</v>
      </c>
      <c r="F27" s="143" t="n">
        <f aca="false">1407.52+196.94</f>
        <v>1604.46</v>
      </c>
      <c r="G27" s="143" t="n">
        <f aca="false">1446.71+46.16-390.61</f>
        <v>1102.26</v>
      </c>
      <c r="H27" s="143" t="n">
        <f aca="false">1278.49+32.95</f>
        <v>1311.44</v>
      </c>
      <c r="I27" s="189" t="n">
        <f aca="false">2064.68-97.45</f>
        <v>1967.23</v>
      </c>
      <c r="J27" s="143" t="n">
        <f aca="false">1664.8-339.099</f>
        <v>1325.701</v>
      </c>
      <c r="K27" s="141" t="n">
        <v>1602.795</v>
      </c>
      <c r="L27" s="143" t="n">
        <f aca="false">594.865+347.652</f>
        <v>942.517</v>
      </c>
      <c r="M27" s="189" t="n">
        <f aca="false">955.04+180+60</f>
        <v>1195.04</v>
      </c>
      <c r="N27" s="141" t="n">
        <v>935.19</v>
      </c>
      <c r="O27" s="187" t="n">
        <v>1362.064</v>
      </c>
      <c r="P27" s="141" t="n">
        <v>1396.976</v>
      </c>
      <c r="Q27" s="173" t="n">
        <f aca="false">2290.006+3.936-380</f>
        <v>1913.942</v>
      </c>
      <c r="R27" s="165" t="n">
        <v>1754.828</v>
      </c>
      <c r="S27" s="165" t="n">
        <v>1992.975</v>
      </c>
      <c r="T27" s="165" t="n">
        <v>1879.295</v>
      </c>
      <c r="U27" s="141" t="n">
        <v>2565.533</v>
      </c>
      <c r="V27" s="144" t="n">
        <f aca="false">+SUM(R27:U27)</f>
        <v>8192.631</v>
      </c>
      <c r="W27" s="143" t="n">
        <f aca="false">2030.412+94.603</f>
        <v>2125.015</v>
      </c>
      <c r="X27" s="141" t="n">
        <v>2361.667</v>
      </c>
      <c r="Y27" s="141" t="n">
        <v>2683.451</v>
      </c>
      <c r="Z27" s="141" t="n">
        <v>3851.243</v>
      </c>
      <c r="AA27" s="141" t="n">
        <v>3101.239</v>
      </c>
      <c r="AB27" s="143" t="n">
        <f aca="false">2988.261</f>
        <v>2988.261</v>
      </c>
      <c r="AC27" s="141" t="n">
        <v>3058.694</v>
      </c>
      <c r="AD27" s="141" t="n">
        <v>4234.932</v>
      </c>
      <c r="AE27" s="141" t="n">
        <v>2986.832</v>
      </c>
      <c r="AF27" s="141" t="n">
        <v>2930.615</v>
      </c>
      <c r="AG27" s="141" t="n">
        <v>2536.67</v>
      </c>
      <c r="AH27" s="141" t="n">
        <v>3291.871</v>
      </c>
      <c r="AI27" s="141" t="n">
        <v>2626.973</v>
      </c>
      <c r="AJ27" s="141" t="n">
        <v>3235.942</v>
      </c>
      <c r="AK27" s="141" t="n">
        <v>3426.273</v>
      </c>
      <c r="AL27" s="141" t="n">
        <v>4383.308</v>
      </c>
      <c r="AM27" s="135" t="n">
        <f aca="false">+AL27+AK27+AI27+AJ27</f>
        <v>13672.496</v>
      </c>
      <c r="AN27" s="141" t="n">
        <v>4549.35</v>
      </c>
      <c r="AO27" s="141" t="n">
        <v>4895.008</v>
      </c>
      <c r="AP27" s="141" t="n">
        <v>4400</v>
      </c>
      <c r="AQ27" s="141" t="n">
        <v>4146.279</v>
      </c>
      <c r="AR27" s="139"/>
      <c r="AS27" s="141" t="n">
        <v>6358.4</v>
      </c>
      <c r="AT27" s="144" t="n">
        <f aca="false">+AS27+AQ27+AN27+AO27</f>
        <v>19949.037</v>
      </c>
      <c r="AU27" s="141" t="n">
        <v>4150</v>
      </c>
    </row>
    <row r="28" customFormat="false" ht="12.75" hidden="false" customHeight="true" outlineLevel="0" collapsed="false">
      <c r="A28" s="128" t="s">
        <v>894</v>
      </c>
      <c r="B28" s="139"/>
      <c r="C28" s="137"/>
      <c r="F28" s="156"/>
      <c r="G28" s="137"/>
      <c r="J28" s="156"/>
      <c r="K28" s="139"/>
      <c r="N28" s="139"/>
      <c r="O28" s="137"/>
      <c r="Q28" s="166"/>
      <c r="R28" s="166"/>
      <c r="S28" s="166"/>
      <c r="T28" s="166"/>
      <c r="U28" s="166"/>
      <c r="V28" s="190"/>
      <c r="W28" s="166"/>
      <c r="X28" s="166"/>
      <c r="Y28" s="166"/>
      <c r="AM28" s="135" t="n">
        <f aca="false">+AL28+AK28+AI28+AJ28</f>
        <v>0</v>
      </c>
      <c r="AO28" s="139"/>
      <c r="AQ28" s="139"/>
      <c r="AR28" s="139"/>
      <c r="AS28" s="139"/>
      <c r="AT28" s="144" t="n">
        <f aca="false">+AS28+AQ28+AN28+AO28</f>
        <v>0</v>
      </c>
    </row>
    <row r="29" s="19" customFormat="true" ht="12.75" hidden="false" customHeight="true" outlineLevel="0" collapsed="false">
      <c r="A29" s="132" t="s">
        <v>895</v>
      </c>
      <c r="B29" s="147" t="n">
        <f aca="false">SUM(B24:B28)</f>
        <v>13052.16</v>
      </c>
      <c r="C29" s="147" t="n">
        <f aca="false">SUM(C24:C28)</f>
        <v>15437.25</v>
      </c>
      <c r="D29" s="147" t="n">
        <f aca="false">SUM(D24:D28)</f>
        <v>15907.26</v>
      </c>
      <c r="E29" s="147" t="n">
        <f aca="false">SUM(E24:E28)</f>
        <v>20314.39</v>
      </c>
      <c r="F29" s="147" t="n">
        <f aca="false">SUM(F24:F28)</f>
        <v>14665.38</v>
      </c>
      <c r="G29" s="147" t="n">
        <f aca="false">SUM(G24:G28)</f>
        <v>15820.25</v>
      </c>
      <c r="H29" s="147" t="n">
        <f aca="false">SUM(H24:H28)</f>
        <v>16378.99</v>
      </c>
      <c r="I29" s="147" t="n">
        <f aca="false">SUM(I24:I28)</f>
        <v>22565.32</v>
      </c>
      <c r="J29" s="147" t="n">
        <f aca="false">SUM(J24:J28)</f>
        <v>17328.031</v>
      </c>
      <c r="K29" s="147" t="n">
        <f aca="false">SUM(K24:K28)</f>
        <v>17124.608</v>
      </c>
      <c r="L29" s="147" t="n">
        <f aca="false">SUM(L24:L28)</f>
        <v>9524.734</v>
      </c>
      <c r="M29" s="147" t="n">
        <f aca="false">SUM(M24:M28)</f>
        <v>11272.95</v>
      </c>
      <c r="N29" s="147" t="n">
        <f aca="false">SUM(N24:N28)</f>
        <v>9002.84</v>
      </c>
      <c r="O29" s="147" t="n">
        <f aca="false">SUM(O24:O28)</f>
        <v>14116.348</v>
      </c>
      <c r="P29" s="147" t="n">
        <f aca="false">SUM(P24:P28)</f>
        <v>16093.048</v>
      </c>
      <c r="Q29" s="147" t="n">
        <f aca="false">SUM(Q24:Q28)</f>
        <v>25230.41</v>
      </c>
      <c r="R29" s="191" t="n">
        <f aca="false">SUM(R24:R28)</f>
        <v>21125.773</v>
      </c>
      <c r="S29" s="191" t="n">
        <f aca="false">SUM(S24:S28)</f>
        <v>24076.952</v>
      </c>
      <c r="T29" s="192" t="n">
        <f aca="false">SUM(T24:T28)</f>
        <v>20352.185</v>
      </c>
      <c r="U29" s="147" t="n">
        <f aca="false">SUM(U24:U28)</f>
        <v>33186.606</v>
      </c>
      <c r="V29" s="144" t="n">
        <f aca="false">+SUM(R29:U29)</f>
        <v>98741.516</v>
      </c>
      <c r="W29" s="147" t="n">
        <f aca="false">SUM(W24:W28)</f>
        <v>22603.468</v>
      </c>
      <c r="X29" s="147" t="n">
        <f aca="false">SUM(X24:X28)</f>
        <v>27634.157</v>
      </c>
      <c r="Y29" s="147" t="n">
        <f aca="false">SUM(Y24:Y28)</f>
        <v>26694.252</v>
      </c>
      <c r="Z29" s="147" t="n">
        <f aca="false">SUM(Z24:Z28)</f>
        <v>38410.716</v>
      </c>
      <c r="AA29" s="147" t="n">
        <f aca="false">SUM(AA23:AA28)</f>
        <v>27666.485</v>
      </c>
      <c r="AB29" s="147" t="n">
        <f aca="false">SUM(AB23:AB28)</f>
        <v>29619.565</v>
      </c>
      <c r="AC29" s="147" t="n">
        <f aca="false">SUM(AC23:AC28)</f>
        <v>22781.922</v>
      </c>
      <c r="AD29" s="147" t="n">
        <f aca="false">SUM(AD23:AD28)</f>
        <v>35302.6969892606</v>
      </c>
      <c r="AE29" s="147" t="n">
        <f aca="false">SUM(AE23:AE28)</f>
        <v>23405.549</v>
      </c>
      <c r="AF29" s="147" t="n">
        <f aca="false">SUM(AF23:AF28)</f>
        <v>24933.524</v>
      </c>
      <c r="AG29" s="147" t="n">
        <f aca="false">SUM(AG23:AG28)</f>
        <v>20501.182</v>
      </c>
      <c r="AH29" s="147" t="n">
        <f aca="false">SUM(AH23:AH28)</f>
        <v>28928.389</v>
      </c>
      <c r="AI29" s="147" t="n">
        <f aca="false">SUM(AI23:AI28)</f>
        <v>23617.169</v>
      </c>
      <c r="AJ29" s="147" t="n">
        <f aca="false">SUM(AJ23:AJ28)</f>
        <v>29832.89</v>
      </c>
      <c r="AK29" s="147" t="n">
        <f aca="false">SUM(AK23:AK28)</f>
        <v>31228.489</v>
      </c>
      <c r="AL29" s="147" t="n">
        <f aca="false">SUM(AL23:AL28)</f>
        <v>40486.084</v>
      </c>
      <c r="AM29" s="135" t="n">
        <f aca="false">SUM(AM23:AM28)</f>
        <v>125164.632</v>
      </c>
      <c r="AN29" s="147" t="n">
        <f aca="false">SUM(AN23:AN28)</f>
        <v>34525.177</v>
      </c>
      <c r="AO29" s="147" t="n">
        <f aca="false">SUM(AO23:AO28)</f>
        <v>43452.879</v>
      </c>
      <c r="AP29" s="147" t="n">
        <f aca="false">SUM(AP23:AP28)</f>
        <v>35336.8562443133</v>
      </c>
      <c r="AQ29" s="147" t="n">
        <f aca="false">SUM(AQ23:AQ28)</f>
        <v>36556.294</v>
      </c>
      <c r="AR29" s="193"/>
      <c r="AS29" s="147" t="n">
        <f aca="false">SUM(AS23:AS28)</f>
        <v>52021.749</v>
      </c>
      <c r="AT29" s="135" t="n">
        <f aca="false">SUM(AT23:AT28)</f>
        <v>166556.099</v>
      </c>
      <c r="AU29" s="147" t="n">
        <f aca="false">SUM(AU23:AU28)</f>
        <v>36816.7649716502</v>
      </c>
    </row>
    <row r="30" customFormat="false" ht="12" hidden="false" customHeight="true" outlineLevel="0" collapsed="false">
      <c r="B30" s="139"/>
      <c r="C30" s="139"/>
      <c r="D30" s="140"/>
      <c r="E30" s="163"/>
      <c r="F30" s="139"/>
      <c r="G30" s="139"/>
      <c r="H30" s="140"/>
      <c r="I30" s="160"/>
      <c r="J30" s="160"/>
      <c r="K30" s="160"/>
      <c r="L30" s="140"/>
      <c r="M30" s="160"/>
      <c r="N30" s="160"/>
      <c r="O30" s="139"/>
      <c r="P30" s="140"/>
      <c r="Q30" s="166"/>
      <c r="R30" s="139"/>
      <c r="S30" s="139"/>
      <c r="T30" s="139"/>
      <c r="U30" s="139"/>
      <c r="V30" s="190"/>
      <c r="W30" s="139"/>
      <c r="X30" s="139"/>
      <c r="Y30" s="139"/>
      <c r="AA30" s="140"/>
      <c r="AB30" s="140"/>
      <c r="AC30" s="140"/>
      <c r="AD30" s="140"/>
      <c r="AE30" s="140"/>
      <c r="AF30" s="140"/>
      <c r="AG30" s="140"/>
      <c r="AH30" s="140"/>
      <c r="AI30" s="140"/>
      <c r="AJ30" s="140"/>
      <c r="AK30" s="140"/>
      <c r="AL30" s="140"/>
      <c r="AN30" s="140"/>
      <c r="AO30" s="139"/>
      <c r="AP30" s="140"/>
      <c r="AQ30" s="139"/>
      <c r="AR30" s="139"/>
      <c r="AS30" s="139"/>
      <c r="AU30" s="140"/>
    </row>
    <row r="31" s="19" customFormat="true" ht="12.75" hidden="false" customHeight="true" outlineLevel="0" collapsed="false">
      <c r="A31" s="132" t="s">
        <v>172</v>
      </c>
      <c r="B31" s="147" t="n">
        <f aca="false">B22-B29</f>
        <v>1186.56</v>
      </c>
      <c r="C31" s="147" t="n">
        <f aca="false">C22-C29</f>
        <v>1319.96</v>
      </c>
      <c r="D31" s="147" t="n">
        <f aca="false">D22-D29</f>
        <v>1868.65</v>
      </c>
      <c r="E31" s="147" t="n">
        <f aca="false">E22-E29</f>
        <v>2595.53</v>
      </c>
      <c r="F31" s="147" t="n">
        <f aca="false">F22-F29</f>
        <v>1546.04</v>
      </c>
      <c r="G31" s="147" t="n">
        <f aca="false">G22-G29</f>
        <v>1638.69</v>
      </c>
      <c r="H31" s="147" t="n">
        <f aca="false">H22-H29</f>
        <v>1621.83</v>
      </c>
      <c r="I31" s="147" t="n">
        <f aca="false">I22-I29</f>
        <v>3054.73</v>
      </c>
      <c r="J31" s="147" t="n">
        <f aca="false">J22-J29</f>
        <v>1510.599</v>
      </c>
      <c r="K31" s="147" t="n">
        <f aca="false">K22-K29</f>
        <v>1539.423</v>
      </c>
      <c r="L31" s="147" t="n">
        <f aca="false">L22-L29</f>
        <v>483.749</v>
      </c>
      <c r="M31" s="147" t="n">
        <f aca="false">M22-M29</f>
        <v>908.269999999999</v>
      </c>
      <c r="N31" s="147" t="n">
        <f aca="false">N22-N29</f>
        <v>121.67</v>
      </c>
      <c r="O31" s="147" t="n">
        <f aca="false">O22-O29</f>
        <v>1660.498</v>
      </c>
      <c r="P31" s="147" t="n">
        <f aca="false">P22-P29</f>
        <v>2062.296</v>
      </c>
      <c r="Q31" s="147" t="n">
        <f aca="false">Q22-Q29</f>
        <v>4159.992</v>
      </c>
      <c r="R31" s="147" t="n">
        <f aca="false">R22-R29</f>
        <v>2354.008</v>
      </c>
      <c r="S31" s="147" t="n">
        <f aca="false">S22-S29</f>
        <v>3062.593</v>
      </c>
      <c r="T31" s="147" t="n">
        <f aca="false">T22-T29</f>
        <v>1920.266</v>
      </c>
      <c r="U31" s="147" t="n">
        <f aca="false">U22-U29</f>
        <v>5098.707</v>
      </c>
      <c r="V31" s="144" t="n">
        <f aca="false">+SUM(R31:U31)</f>
        <v>12435.574</v>
      </c>
      <c r="W31" s="147" t="n">
        <f aca="false">W22-W29</f>
        <v>2351.592</v>
      </c>
      <c r="X31" s="147" t="n">
        <f aca="false">X22-X29</f>
        <v>3311.551</v>
      </c>
      <c r="Y31" s="147" t="n">
        <f aca="false">Y22-Y29</f>
        <v>2103.718</v>
      </c>
      <c r="Z31" s="147" t="n">
        <f aca="false">Z22-Z29</f>
        <v>4699.485</v>
      </c>
      <c r="AA31" s="147" t="n">
        <f aca="false">AA22-AA29</f>
        <v>2406.987</v>
      </c>
      <c r="AB31" s="147" t="n">
        <f aca="false">AB22-AB29</f>
        <v>3340.89000000001</v>
      </c>
      <c r="AC31" s="147" t="n">
        <f aca="false">AC22-AC29</f>
        <v>1023.177</v>
      </c>
      <c r="AD31" s="147" t="n">
        <f aca="false">AD22-AD29</f>
        <v>1981.92101073937</v>
      </c>
      <c r="AE31" s="147" t="n">
        <f aca="false">AE22-AE29</f>
        <v>232.571</v>
      </c>
      <c r="AF31" s="147" t="n">
        <f aca="false">AF22-AF29</f>
        <v>562.707000000002</v>
      </c>
      <c r="AG31" s="147" t="n">
        <f aca="false">AG22-AG29</f>
        <v>-969.037</v>
      </c>
      <c r="AH31" s="147" t="n">
        <f aca="false">AH22-AH29</f>
        <v>1839.38200000001</v>
      </c>
      <c r="AI31" s="192" t="n">
        <f aca="false">AI22-AI29</f>
        <v>1160.867</v>
      </c>
      <c r="AJ31" s="147" t="n">
        <f aca="false">AJ22-AJ29</f>
        <v>2343.896</v>
      </c>
      <c r="AK31" s="147" t="n">
        <f aca="false">AK22-AK29</f>
        <v>2381.48</v>
      </c>
      <c r="AL31" s="147" t="n">
        <f aca="false">AL22-AL29</f>
        <v>4570.961</v>
      </c>
      <c r="AM31" s="135" t="n">
        <f aca="false">AM22-AM29</f>
        <v>10457.204</v>
      </c>
      <c r="AN31" s="147" t="n">
        <f aca="false">AN22-AN29</f>
        <v>3886.98700000001</v>
      </c>
      <c r="AO31" s="147" t="n">
        <f aca="false">AO22-AO29</f>
        <v>5944.50399999999</v>
      </c>
      <c r="AP31" s="147" t="n">
        <f aca="false">AP22-AP29</f>
        <v>4031.88484445209</v>
      </c>
      <c r="AQ31" s="147" t="n">
        <f aca="false">AQ22-AQ29</f>
        <v>4297.15099999991</v>
      </c>
      <c r="AR31" s="147" t="n">
        <f aca="false">AR49/100*AR22</f>
        <v>5773.9462486627</v>
      </c>
      <c r="AS31" s="147" t="n">
        <f aca="false">AS22-AS29</f>
        <v>7531.08000000001</v>
      </c>
      <c r="AT31" s="135" t="n">
        <f aca="false">AT22-AT29</f>
        <v>21659.7219999999</v>
      </c>
      <c r="AU31" s="147" t="n">
        <f aca="false">AU22-AU29</f>
        <v>4218.01729190343</v>
      </c>
      <c r="AV31" s="194"/>
    </row>
    <row r="32" s="19" customFormat="true" ht="12.75" hidden="false" customHeight="true" outlineLevel="0" collapsed="false">
      <c r="A32" s="132" t="s">
        <v>1019</v>
      </c>
      <c r="B32" s="193"/>
      <c r="C32" s="141" t="n">
        <v>30.48</v>
      </c>
      <c r="D32" s="141" t="n">
        <v>-28.11</v>
      </c>
      <c r="E32" s="139"/>
      <c r="F32" s="141" t="n">
        <v>196.94</v>
      </c>
      <c r="G32" s="141" t="n">
        <v>46.16</v>
      </c>
      <c r="H32" s="141" t="n">
        <v>32.95</v>
      </c>
      <c r="I32" s="139"/>
      <c r="J32" s="141" t="n">
        <v>-339.099</v>
      </c>
      <c r="K32" s="141" t="n">
        <v>-143.508</v>
      </c>
      <c r="L32" s="141" t="n">
        <v>-347.652</v>
      </c>
      <c r="M32" s="139"/>
      <c r="N32" s="139"/>
      <c r="O32" s="139"/>
      <c r="P32" s="139"/>
      <c r="Q32" s="195"/>
      <c r="R32" s="195"/>
      <c r="S32" s="195"/>
      <c r="T32" s="195"/>
      <c r="U32" s="195"/>
      <c r="V32" s="196"/>
      <c r="W32" s="195"/>
      <c r="X32" s="195"/>
      <c r="Y32" s="195"/>
      <c r="Z32" s="197"/>
      <c r="AC32" s="198"/>
      <c r="AD32" s="198"/>
      <c r="AE32" s="198"/>
      <c r="AF32" s="198"/>
      <c r="AG32" s="198"/>
      <c r="AH32" s="198"/>
      <c r="AI32" s="198"/>
      <c r="AJ32" s="198"/>
      <c r="AK32" s="198"/>
      <c r="AL32" s="198"/>
      <c r="AM32" s="135" t="n">
        <f aca="false">+AL32+AK32+AI32+AJ32</f>
        <v>0</v>
      </c>
      <c r="AN32" s="198"/>
      <c r="AO32" s="193"/>
      <c r="AP32" s="194"/>
      <c r="AQ32" s="193"/>
      <c r="AR32" s="193"/>
      <c r="AS32" s="193"/>
      <c r="AT32" s="135" t="n">
        <f aca="false">+AS32+AR32+AP32+AQ32</f>
        <v>0</v>
      </c>
      <c r="AU32" s="194"/>
    </row>
    <row r="33" customFormat="false" ht="12.75" hidden="false" customHeight="true" outlineLevel="0" collapsed="false">
      <c r="A33" s="128" t="s">
        <v>262</v>
      </c>
      <c r="B33" s="141" t="n">
        <v>5.17</v>
      </c>
      <c r="C33" s="141" t="n">
        <v>3.71</v>
      </c>
      <c r="D33" s="141" t="n">
        <v>25.65</v>
      </c>
      <c r="E33" s="141" t="n">
        <v>18.79</v>
      </c>
      <c r="F33" s="141" t="n">
        <v>127.58</v>
      </c>
      <c r="G33" s="141" t="n">
        <v>126.25</v>
      </c>
      <c r="H33" s="141" t="n">
        <v>152.48</v>
      </c>
      <c r="I33" s="141" t="n">
        <v>91.09</v>
      </c>
      <c r="J33" s="141" t="n">
        <v>106.94</v>
      </c>
      <c r="K33" s="141" t="n">
        <v>245.753</v>
      </c>
      <c r="L33" s="141" t="n">
        <v>394.086</v>
      </c>
      <c r="M33" s="141" t="n">
        <v>440.31</v>
      </c>
      <c r="N33" s="141" t="n">
        <v>258.03</v>
      </c>
      <c r="O33" s="141" t="n">
        <v>170.04</v>
      </c>
      <c r="P33" s="141" t="n">
        <v>162.129</v>
      </c>
      <c r="Q33" s="165" t="n">
        <v>221.106</v>
      </c>
      <c r="R33" s="165" t="n">
        <v>316.179</v>
      </c>
      <c r="S33" s="165" t="n">
        <v>394.85</v>
      </c>
      <c r="T33" s="165" t="n">
        <v>474.81</v>
      </c>
      <c r="U33" s="165" t="n">
        <v>450.775</v>
      </c>
      <c r="V33" s="144" t="n">
        <f aca="false">+SUM(R33:U33)</f>
        <v>1636.614</v>
      </c>
      <c r="W33" s="141" t="n">
        <v>533.454</v>
      </c>
      <c r="X33" s="141" t="n">
        <v>626.978</v>
      </c>
      <c r="Y33" s="141" t="n">
        <v>550.123</v>
      </c>
      <c r="Z33" s="148" t="n">
        <v>724.008</v>
      </c>
      <c r="AA33" s="148" t="n">
        <v>833.764</v>
      </c>
      <c r="AB33" s="148" t="n">
        <v>1036.382</v>
      </c>
      <c r="AC33" s="148" t="n">
        <v>1071.055</v>
      </c>
      <c r="AD33" s="148" t="n">
        <v>827.656</v>
      </c>
      <c r="AE33" s="148" t="n">
        <v>1006.794</v>
      </c>
      <c r="AF33" s="148" t="n">
        <v>1244.135</v>
      </c>
      <c r="AG33" s="148" t="n">
        <v>1152.59</v>
      </c>
      <c r="AH33" s="148" t="n">
        <v>1125.729</v>
      </c>
      <c r="AI33" s="148" t="n">
        <v>1063.398</v>
      </c>
      <c r="AJ33" s="148" t="n">
        <v>1007.455</v>
      </c>
      <c r="AK33" s="148" t="n">
        <v>982.159</v>
      </c>
      <c r="AL33" s="148" t="n">
        <v>882.063</v>
      </c>
      <c r="AM33" s="135" t="n">
        <f aca="false">+AL33+AK33+AI33+AJ33</f>
        <v>3935.075</v>
      </c>
      <c r="AN33" s="148" t="n">
        <v>765.689</v>
      </c>
      <c r="AO33" s="148" t="n">
        <v>701.817</v>
      </c>
      <c r="AP33" s="148" t="n">
        <v>690</v>
      </c>
      <c r="AQ33" s="148" t="n">
        <v>665.712</v>
      </c>
      <c r="AR33" s="148" t="n">
        <v>660</v>
      </c>
      <c r="AS33" s="148" t="n">
        <v>602.228</v>
      </c>
      <c r="AT33" s="135" t="n">
        <f aca="false">+AS33+AQ33+AN33+AO33</f>
        <v>2735.446</v>
      </c>
      <c r="AU33" s="148" t="n">
        <v>605</v>
      </c>
    </row>
    <row r="34" customFormat="false" ht="12.75" hidden="false" customHeight="true" outlineLevel="0" collapsed="false">
      <c r="A34" s="128" t="s">
        <v>263</v>
      </c>
      <c r="B34" s="141" t="n">
        <v>138.84</v>
      </c>
      <c r="C34" s="143" t="n">
        <f aca="false">336.62-235.8</f>
        <v>100.82</v>
      </c>
      <c r="D34" s="141" t="n">
        <v>63.51</v>
      </c>
      <c r="E34" s="141" t="n">
        <v>169.06</v>
      </c>
      <c r="F34" s="141" t="n">
        <v>75.5</v>
      </c>
      <c r="G34" s="141" t="n">
        <v>111.4</v>
      </c>
      <c r="H34" s="143" t="n">
        <f aca="false">437.02-330</f>
        <v>107.02</v>
      </c>
      <c r="I34" s="141" t="n">
        <v>116.07</v>
      </c>
      <c r="J34" s="141" t="n">
        <v>121.66</v>
      </c>
      <c r="K34" s="143" t="n">
        <f aca="false">284.945-155</f>
        <v>129.945</v>
      </c>
      <c r="L34" s="141" t="n">
        <v>105.836</v>
      </c>
      <c r="M34" s="143" t="n">
        <f aca="false">131.05-60</f>
        <v>71.05</v>
      </c>
      <c r="N34" s="143" t="n">
        <f aca="false">606.24-515</f>
        <v>91.24</v>
      </c>
      <c r="O34" s="199" t="n">
        <v>55.596</v>
      </c>
      <c r="P34" s="141" t="n">
        <v>19.522</v>
      </c>
      <c r="Q34" s="165" t="n">
        <v>23.093</v>
      </c>
      <c r="R34" s="165" t="n">
        <v>47.298</v>
      </c>
      <c r="S34" s="165" t="n">
        <v>48.141</v>
      </c>
      <c r="T34" s="165" t="n">
        <v>16.733</v>
      </c>
      <c r="U34" s="165" t="n">
        <v>41.171</v>
      </c>
      <c r="V34" s="144" t="n">
        <f aca="false">+SUM(R34:U34)</f>
        <v>153.343</v>
      </c>
      <c r="W34" s="141" t="n">
        <v>41.177</v>
      </c>
      <c r="X34" s="141" t="n">
        <v>103.27</v>
      </c>
      <c r="Y34" s="141" t="n">
        <v>32.325</v>
      </c>
      <c r="Z34" s="148" t="n">
        <v>108.762</v>
      </c>
      <c r="AA34" s="148" t="n">
        <v>128.659</v>
      </c>
      <c r="AB34" s="148" t="n">
        <v>238.667</v>
      </c>
      <c r="AC34" s="148" t="n">
        <v>140.952</v>
      </c>
      <c r="AD34" s="148" t="n">
        <v>115.237</v>
      </c>
      <c r="AE34" s="148" t="n">
        <v>122.567</v>
      </c>
      <c r="AF34" s="148" t="n">
        <v>231.15</v>
      </c>
      <c r="AG34" s="148" t="n">
        <v>154.086</v>
      </c>
      <c r="AH34" s="148" t="n">
        <v>157.404</v>
      </c>
      <c r="AI34" s="148" t="n">
        <v>231.166</v>
      </c>
      <c r="AJ34" s="148" t="n">
        <v>256.985</v>
      </c>
      <c r="AK34" s="148" t="n">
        <v>193.237</v>
      </c>
      <c r="AL34" s="148" t="n">
        <v>372.458</v>
      </c>
      <c r="AM34" s="135" t="n">
        <f aca="false">+AL34+AK34+AI34+AJ34</f>
        <v>1053.846</v>
      </c>
      <c r="AN34" s="148" t="n">
        <v>270.95</v>
      </c>
      <c r="AO34" s="148" t="n">
        <v>264.638</v>
      </c>
      <c r="AP34" s="148" t="n">
        <v>250</v>
      </c>
      <c r="AQ34" s="148" t="n">
        <v>258.714</v>
      </c>
      <c r="AR34" s="148" t="n">
        <v>250</v>
      </c>
      <c r="AS34" s="148" t="n">
        <v>319.558</v>
      </c>
      <c r="AT34" s="135" t="n">
        <f aca="false">+AS34+AQ34+AN34+AO34</f>
        <v>1113.86</v>
      </c>
      <c r="AU34" s="148" t="n">
        <v>250</v>
      </c>
    </row>
    <row r="35" customFormat="false" ht="12" hidden="false" customHeight="true" outlineLevel="0" collapsed="false">
      <c r="A35" s="128" t="s">
        <v>264</v>
      </c>
      <c r="B35" s="138" t="n">
        <f aca="false">B31-B33+B34</f>
        <v>1320.23</v>
      </c>
      <c r="C35" s="138" t="n">
        <f aca="false">C31-C33+C34+C32</f>
        <v>1447.55</v>
      </c>
      <c r="D35" s="138" t="n">
        <f aca="false">D31-D33+D34+D32</f>
        <v>1878.4</v>
      </c>
      <c r="E35" s="138" t="n">
        <f aca="false">E31-E33+E34-E32</f>
        <v>2745.8</v>
      </c>
      <c r="F35" s="138" t="n">
        <f aca="false">F31-F33+F34+F32</f>
        <v>1690.9</v>
      </c>
      <c r="G35" s="138" t="n">
        <f aca="false">G31-G33+G34+G32</f>
        <v>1670</v>
      </c>
      <c r="H35" s="138" t="n">
        <f aca="false">H31-H33+H34+H32</f>
        <v>1609.32</v>
      </c>
      <c r="I35" s="138" t="n">
        <f aca="false">I31-I33+I34-I32</f>
        <v>3079.71</v>
      </c>
      <c r="J35" s="138" t="n">
        <f aca="false">J31-J33+J34+J32</f>
        <v>1186.22</v>
      </c>
      <c r="K35" s="138" t="n">
        <f aca="false">K31-K33+K34+K32</f>
        <v>1280.107</v>
      </c>
      <c r="L35" s="138" t="n">
        <f aca="false">L31-L33+L34-L32</f>
        <v>543.151</v>
      </c>
      <c r="M35" s="138" t="n">
        <f aca="false">M31-M33+M34-M32</f>
        <v>539.009999999999</v>
      </c>
      <c r="N35" s="138" t="n">
        <f aca="false">N31-N33+N34+N32</f>
        <v>-45.1199999999999</v>
      </c>
      <c r="O35" s="138" t="n">
        <f aca="false">O31-O33+O34+O32</f>
        <v>1546.054</v>
      </c>
      <c r="P35" s="138" t="n">
        <f aca="false">P31-P33+P34-P32</f>
        <v>1919.689</v>
      </c>
      <c r="Q35" s="138" t="n">
        <f aca="false">Q31-Q33+Q34-Q32</f>
        <v>3961.979</v>
      </c>
      <c r="R35" s="138" t="n">
        <f aca="false">R31-R33+R34-R32</f>
        <v>2085.127</v>
      </c>
      <c r="S35" s="138" t="n">
        <f aca="false">S31-S33+S34-S32</f>
        <v>2715.884</v>
      </c>
      <c r="T35" s="138" t="n">
        <f aca="false">T31-T33+T34-T32</f>
        <v>1462.189</v>
      </c>
      <c r="U35" s="138" t="n">
        <f aca="false">U31-U33+U34-U32</f>
        <v>4689.103</v>
      </c>
      <c r="V35" s="144" t="n">
        <f aca="false">+SUM(R35:U35)</f>
        <v>10952.303</v>
      </c>
      <c r="W35" s="138" t="n">
        <f aca="false">W31-W33+W34-W32</f>
        <v>1859.315</v>
      </c>
      <c r="X35" s="138" t="n">
        <f aca="false">X31-X33+X34-X32</f>
        <v>2787.843</v>
      </c>
      <c r="Y35" s="138" t="n">
        <f aca="false">Y31-Y33+Y34-Y32</f>
        <v>1585.92</v>
      </c>
      <c r="Z35" s="138" t="n">
        <f aca="false">Z31-Z33+Z34-Z32</f>
        <v>4084.239</v>
      </c>
      <c r="AA35" s="138" t="n">
        <f aca="false">AA31-AA33+AA34-AA32</f>
        <v>1701.882</v>
      </c>
      <c r="AB35" s="138" t="n">
        <f aca="false">AB31-AB33+AB34-AB32</f>
        <v>2543.17500000001</v>
      </c>
      <c r="AC35" s="138" t="n">
        <f aca="false">AC31-AC33+AC34-AC32</f>
        <v>93.0739999999996</v>
      </c>
      <c r="AD35" s="138" t="n">
        <f aca="false">AD31-AD33+AD34-AD32</f>
        <v>1269.50201073937</v>
      </c>
      <c r="AE35" s="200" t="n">
        <f aca="false">AE31-AE33+AE34-AE32</f>
        <v>-651.656</v>
      </c>
      <c r="AF35" s="200" t="n">
        <f aca="false">AF31-AF33+AF34-AF32</f>
        <v>-450.277999999998</v>
      </c>
      <c r="AG35" s="200" t="n">
        <f aca="false">AG31-AG33+AG34-AG32</f>
        <v>-1967.541</v>
      </c>
      <c r="AH35" s="200" t="n">
        <f aca="false">AH31-AH33+AH34-AH32</f>
        <v>871.057000000005</v>
      </c>
      <c r="AI35" s="200" t="n">
        <f aca="false">AI31-AI33+AI34-AI32</f>
        <v>328.635000000002</v>
      </c>
      <c r="AJ35" s="200" t="n">
        <f aca="false">AJ31-AJ33+AJ34-AJ32</f>
        <v>1593.426</v>
      </c>
      <c r="AK35" s="200" t="n">
        <f aca="false">AK31-AK33+AK34-AK32</f>
        <v>1592.558</v>
      </c>
      <c r="AL35" s="200" t="n">
        <f aca="false">AL31-AL33+AL34-AL32</f>
        <v>4061.356</v>
      </c>
      <c r="AM35" s="144" t="n">
        <f aca="false">AM31-AM33+AM34-AM32</f>
        <v>7575.97499999998</v>
      </c>
      <c r="AN35" s="200" t="n">
        <f aca="false">AN31-AN33+AN34-AN32</f>
        <v>3392.24800000001</v>
      </c>
      <c r="AO35" s="138" t="n">
        <f aca="false">AO31-AO33+AO34-AO32</f>
        <v>5507.32499999999</v>
      </c>
      <c r="AP35" s="138" t="n">
        <f aca="false">AP31-AP33+AP34-AP32</f>
        <v>3591.88484445209</v>
      </c>
      <c r="AQ35" s="138" t="n">
        <f aca="false">AQ31-AQ33+AQ34-AQ32</f>
        <v>3890.15299999991</v>
      </c>
      <c r="AR35" s="138" t="n">
        <f aca="false">AR31-AR33+AR34-AR32</f>
        <v>5363.9462486627</v>
      </c>
      <c r="AS35" s="138" t="n">
        <f aca="false">AS31-AS33+AS34-AS32</f>
        <v>7248.41000000001</v>
      </c>
      <c r="AT35" s="144" t="n">
        <f aca="false">AT31-AT33+AT34-AT32</f>
        <v>20038.1359999999</v>
      </c>
      <c r="AU35" s="138" t="n">
        <f aca="false">AU31-AU33+AU34-AU32</f>
        <v>3863.01729190343</v>
      </c>
    </row>
    <row r="36" customFormat="false" ht="12.75" hidden="false" customHeight="true" outlineLevel="0" collapsed="false">
      <c r="A36" s="128" t="s">
        <v>897</v>
      </c>
      <c r="B36" s="141" t="n">
        <v>327.7</v>
      </c>
      <c r="C36" s="141" t="n">
        <v>364.5</v>
      </c>
      <c r="D36" s="141" t="n">
        <v>332.28</v>
      </c>
      <c r="E36" s="141" t="n">
        <v>481.26</v>
      </c>
      <c r="F36" s="141" t="n">
        <v>412.9</v>
      </c>
      <c r="G36" s="141" t="n">
        <v>466.2</v>
      </c>
      <c r="H36" s="141" t="n">
        <v>408.31</v>
      </c>
      <c r="I36" s="141" t="n">
        <v>486.2</v>
      </c>
      <c r="J36" s="141" t="n">
        <v>441.07</v>
      </c>
      <c r="K36" s="141" t="n">
        <v>505.37</v>
      </c>
      <c r="L36" s="141" t="n">
        <v>357.803</v>
      </c>
      <c r="M36" s="141" t="n">
        <v>479.9</v>
      </c>
      <c r="N36" s="141" t="n">
        <v>435.01</v>
      </c>
      <c r="O36" s="187" t="n">
        <v>505.823</v>
      </c>
      <c r="P36" s="141" t="n">
        <v>512.717</v>
      </c>
      <c r="Q36" s="165" t="n">
        <v>587.533</v>
      </c>
      <c r="R36" s="165" t="n">
        <v>614.688</v>
      </c>
      <c r="S36" s="165" t="n">
        <v>640.593</v>
      </c>
      <c r="T36" s="201" t="n">
        <v>646.908</v>
      </c>
      <c r="U36" s="141" t="n">
        <v>772.121</v>
      </c>
      <c r="V36" s="144" t="n">
        <f aca="false">+SUM(R36:U36)</f>
        <v>2674.31</v>
      </c>
      <c r="W36" s="141" t="n">
        <v>846.588</v>
      </c>
      <c r="X36" s="141" t="n">
        <v>859.325</v>
      </c>
      <c r="Y36" s="141" t="n">
        <v>866.286</v>
      </c>
      <c r="Z36" s="148" t="n">
        <v>955.933</v>
      </c>
      <c r="AA36" s="148" t="n">
        <v>892.523</v>
      </c>
      <c r="AB36" s="148" t="n">
        <v>984.109</v>
      </c>
      <c r="AC36" s="148" t="n">
        <v>931.13</v>
      </c>
      <c r="AD36" s="148" t="n">
        <v>1000.073</v>
      </c>
      <c r="AE36" s="148" t="n">
        <v>951.735</v>
      </c>
      <c r="AF36" s="148" t="n">
        <v>900.843</v>
      </c>
      <c r="AG36" s="148" t="n">
        <v>883.314</v>
      </c>
      <c r="AH36" s="148" t="n">
        <v>1034.468</v>
      </c>
      <c r="AI36" s="148" t="n">
        <v>1033.151</v>
      </c>
      <c r="AJ36" s="148" t="n">
        <v>1030.797</v>
      </c>
      <c r="AK36" s="148" t="n">
        <v>998.61</v>
      </c>
      <c r="AL36" s="148" t="n">
        <v>1100.809</v>
      </c>
      <c r="AM36" s="135" t="n">
        <f aca="false">+AL36+AK36+AI36+AJ36</f>
        <v>4163.367</v>
      </c>
      <c r="AN36" s="148" t="n">
        <v>1043.17</v>
      </c>
      <c r="AO36" s="148" t="n">
        <v>1129.407</v>
      </c>
      <c r="AP36" s="148" t="n">
        <v>1100</v>
      </c>
      <c r="AQ36" s="148" t="n">
        <v>1086.932</v>
      </c>
      <c r="AR36" s="141" t="n">
        <v>1086.932</v>
      </c>
      <c r="AS36" s="148" t="n">
        <v>1177.159</v>
      </c>
      <c r="AT36" s="135" t="n">
        <f aca="false">+AS36+AQ36+AN36+AO36</f>
        <v>4436.668</v>
      </c>
      <c r="AU36" s="148" t="n">
        <v>1200</v>
      </c>
    </row>
    <row r="37" customFormat="false" ht="12" hidden="false" customHeight="true" outlineLevel="0" collapsed="false">
      <c r="A37" s="128" t="s">
        <v>251</v>
      </c>
      <c r="B37" s="138" t="n">
        <f aca="false">B35-B36</f>
        <v>992.530000000001</v>
      </c>
      <c r="C37" s="138" t="n">
        <f aca="false">C35-C36</f>
        <v>1083.05</v>
      </c>
      <c r="D37" s="138" t="n">
        <f aca="false">D35-D36</f>
        <v>1546.12</v>
      </c>
      <c r="E37" s="138" t="n">
        <f aca="false">E35-E36</f>
        <v>2264.54</v>
      </c>
      <c r="F37" s="138" t="n">
        <f aca="false">F35-F36</f>
        <v>1278</v>
      </c>
      <c r="G37" s="138" t="n">
        <f aca="false">G35-G36</f>
        <v>1203.8</v>
      </c>
      <c r="H37" s="138" t="n">
        <f aca="false">H35-H36</f>
        <v>1201.01</v>
      </c>
      <c r="I37" s="138" t="n">
        <f aca="false">I35-I36</f>
        <v>2593.51</v>
      </c>
      <c r="J37" s="138" t="n">
        <f aca="false">J35-J36</f>
        <v>745.150000000002</v>
      </c>
      <c r="K37" s="138" t="n">
        <f aca="false">K35-K36</f>
        <v>774.736999999999</v>
      </c>
      <c r="L37" s="138" t="n">
        <f aca="false">L35-L36</f>
        <v>185.348</v>
      </c>
      <c r="M37" s="138" t="n">
        <f aca="false">M35-M36</f>
        <v>59.1099999999987</v>
      </c>
      <c r="N37" s="138" t="n">
        <f aca="false">N35-N36</f>
        <v>-480.13</v>
      </c>
      <c r="O37" s="138" t="n">
        <f aca="false">O35-O36</f>
        <v>1040.231</v>
      </c>
      <c r="P37" s="138" t="n">
        <f aca="false">P35-P36</f>
        <v>1406.972</v>
      </c>
      <c r="Q37" s="138" t="n">
        <f aca="false">Q35-Q36</f>
        <v>3374.446</v>
      </c>
      <c r="R37" s="138" t="n">
        <f aca="false">R35-R36</f>
        <v>1470.439</v>
      </c>
      <c r="S37" s="138" t="n">
        <f aca="false">S35-S36</f>
        <v>2075.291</v>
      </c>
      <c r="T37" s="138" t="n">
        <f aca="false">T35-T36</f>
        <v>815.281000000003</v>
      </c>
      <c r="U37" s="202" t="n">
        <f aca="false">+U35-U36</f>
        <v>3916.982</v>
      </c>
      <c r="V37" s="144" t="n">
        <f aca="false">+SUM(R37:U37)</f>
        <v>8277.99300000001</v>
      </c>
      <c r="W37" s="138" t="n">
        <f aca="false">+W35-W36</f>
        <v>1012.727</v>
      </c>
      <c r="X37" s="138" t="n">
        <f aca="false">+X35-X36</f>
        <v>1928.518</v>
      </c>
      <c r="Y37" s="138" t="n">
        <f aca="false">+Y35-Y36</f>
        <v>719.634000000001</v>
      </c>
      <c r="Z37" s="138" t="n">
        <f aca="false">+Z35-Z36</f>
        <v>3128.306</v>
      </c>
      <c r="AA37" s="138" t="n">
        <f aca="false">+AA35-AA36</f>
        <v>809.358999999997</v>
      </c>
      <c r="AB37" s="138" t="n">
        <f aca="false">+AB35-AB36</f>
        <v>1559.06600000001</v>
      </c>
      <c r="AC37" s="138" t="n">
        <f aca="false">+AC35-AC36</f>
        <v>-838.056</v>
      </c>
      <c r="AD37" s="138" t="n">
        <f aca="false">+AD35-AD36</f>
        <v>269.429010739374</v>
      </c>
      <c r="AE37" s="138" t="n">
        <f aca="false">+AE35-AE36</f>
        <v>-1603.391</v>
      </c>
      <c r="AF37" s="138" t="n">
        <f aca="false">+AF35-AF36</f>
        <v>-1351.121</v>
      </c>
      <c r="AG37" s="138" t="n">
        <f aca="false">+AG35-AG36</f>
        <v>-2850.855</v>
      </c>
      <c r="AH37" s="138" t="n">
        <f aca="false">+AH35-AH36</f>
        <v>-163.410999999995</v>
      </c>
      <c r="AI37" s="138" t="n">
        <f aca="false">+AI35-AI36</f>
        <v>-704.515999999998</v>
      </c>
      <c r="AJ37" s="138" t="n">
        <f aca="false">+AJ35-AJ36</f>
        <v>562.629000000001</v>
      </c>
      <c r="AK37" s="138" t="n">
        <f aca="false">+AK35-AK36</f>
        <v>593.947999999996</v>
      </c>
      <c r="AL37" s="138" t="n">
        <f aca="false">+AL35-AL36</f>
        <v>2960.547</v>
      </c>
      <c r="AM37" s="144" t="n">
        <f aca="false">+AM35-AM36</f>
        <v>3412.60799999998</v>
      </c>
      <c r="AN37" s="138" t="n">
        <f aca="false">+AN35-AN36</f>
        <v>2349.07800000001</v>
      </c>
      <c r="AO37" s="138" t="n">
        <f aca="false">+AO35-AO36</f>
        <v>4377.91799999999</v>
      </c>
      <c r="AP37" s="138" t="n">
        <f aca="false">+AP35-AP36</f>
        <v>2491.88484445209</v>
      </c>
      <c r="AQ37" s="138" t="n">
        <f aca="false">+AQ35-AQ36</f>
        <v>2803.22099999991</v>
      </c>
      <c r="AR37" s="138" t="n">
        <f aca="false">+AR35-AR36</f>
        <v>4277.0142486627</v>
      </c>
      <c r="AS37" s="138" t="n">
        <f aca="false">+AS35-AS36</f>
        <v>6071.25100000001</v>
      </c>
      <c r="AT37" s="144" t="n">
        <f aca="false">+AT35-AT36</f>
        <v>15601.4679999999</v>
      </c>
      <c r="AU37" s="138" t="n">
        <f aca="false">+AU35-AU36</f>
        <v>2663.01729190343</v>
      </c>
    </row>
    <row r="38" customFormat="false" ht="12.75" hidden="false" customHeight="true" outlineLevel="0" collapsed="false">
      <c r="A38" s="128" t="s">
        <v>898</v>
      </c>
      <c r="B38" s="139"/>
      <c r="C38" s="141" t="n">
        <v>235.8</v>
      </c>
      <c r="E38" s="165" t="n">
        <v>53.79</v>
      </c>
      <c r="F38" s="139"/>
      <c r="G38" s="139"/>
      <c r="H38" s="141" t="n">
        <v>330</v>
      </c>
      <c r="I38" s="165" t="n">
        <v>-97.45</v>
      </c>
      <c r="J38" s="139"/>
      <c r="K38" s="141" t="n">
        <v>155</v>
      </c>
      <c r="L38" s="139"/>
      <c r="M38" s="141" t="n">
        <v>300</v>
      </c>
      <c r="N38" s="141" t="n">
        <v>515</v>
      </c>
      <c r="O38" s="139"/>
      <c r="P38" s="139"/>
      <c r="Q38" s="166"/>
      <c r="R38" s="166"/>
      <c r="S38" s="166"/>
      <c r="T38" s="166"/>
      <c r="U38" s="166"/>
      <c r="V38" s="190"/>
      <c r="W38" s="141" t="n">
        <v>94.603</v>
      </c>
      <c r="X38" s="139"/>
      <c r="Y38" s="139"/>
      <c r="Z38" s="148" t="n">
        <v>15.978</v>
      </c>
      <c r="AC38" s="141" t="n">
        <v>1562.569</v>
      </c>
      <c r="AD38" s="141" t="n">
        <v>1343.618</v>
      </c>
      <c r="AE38" s="139"/>
      <c r="AF38" s="141" t="n">
        <v>483.193</v>
      </c>
      <c r="AG38" s="143" t="n">
        <f aca="false">1002.903+15+341.152</f>
        <v>1359.055</v>
      </c>
      <c r="AH38" s="141" t="n">
        <v>3760.941</v>
      </c>
      <c r="AI38" s="139"/>
      <c r="AJ38" s="141" t="n">
        <v>1089.728</v>
      </c>
      <c r="AK38" s="139"/>
      <c r="AL38" s="139"/>
      <c r="AM38" s="135" t="n">
        <f aca="false">+AL38+AK38+AI38+AJ38</f>
        <v>1089.728</v>
      </c>
      <c r="AN38" s="139"/>
      <c r="AO38" s="141" t="n">
        <v>1518.293</v>
      </c>
      <c r="AP38" s="203"/>
      <c r="AQ38" s="139"/>
      <c r="AR38" s="139"/>
      <c r="AS38" s="141" t="n">
        <v>416.804</v>
      </c>
      <c r="AT38" s="144" t="n">
        <f aca="false">+AS38+AQ38+AN38+AO38</f>
        <v>1935.097</v>
      </c>
      <c r="AU38" s="203"/>
    </row>
    <row r="39" customFormat="false" ht="12.75" hidden="false" customHeight="true" outlineLevel="0" collapsed="false">
      <c r="A39" s="128" t="s">
        <v>899</v>
      </c>
      <c r="B39" s="141" t="n">
        <v>-38.43</v>
      </c>
      <c r="C39" s="143" t="n">
        <f aca="false">-30.84</f>
        <v>-30.84</v>
      </c>
      <c r="D39" s="141" t="n">
        <v>20.6</v>
      </c>
      <c r="E39" s="176" t="n">
        <v>-30.44</v>
      </c>
      <c r="F39" s="141" t="n">
        <v>-34.92</v>
      </c>
      <c r="G39" s="141" t="n">
        <v>-26.5</v>
      </c>
      <c r="H39" s="143" t="n">
        <f aca="false">12.77</f>
        <v>12.77</v>
      </c>
      <c r="I39" s="176" t="n">
        <v>-21.77</v>
      </c>
      <c r="J39" s="143" t="n">
        <f aca="false">-21.63</f>
        <v>-21.63</v>
      </c>
      <c r="K39" s="141" t="n">
        <v>-21.708</v>
      </c>
      <c r="L39" s="143" t="n">
        <f aca="false">22.289</f>
        <v>22.289</v>
      </c>
      <c r="M39" s="176" t="n">
        <v>-35.47</v>
      </c>
      <c r="N39" s="141" t="n">
        <v>-10.36</v>
      </c>
      <c r="O39" s="141" t="n">
        <v>-8.676</v>
      </c>
      <c r="P39" s="141" t="n">
        <v>9.744</v>
      </c>
      <c r="Q39" s="165" t="n">
        <v>380</v>
      </c>
      <c r="R39" s="166"/>
      <c r="S39" s="166"/>
      <c r="T39" s="165" t="n">
        <v>260</v>
      </c>
      <c r="U39" s="166"/>
      <c r="V39" s="190"/>
      <c r="W39" s="166"/>
      <c r="X39" s="166"/>
      <c r="Y39" s="166"/>
      <c r="AE39" s="204" t="n">
        <v>65.116</v>
      </c>
      <c r="AF39" s="204" t="n">
        <v>45.616</v>
      </c>
      <c r="AG39" s="204" t="n">
        <v>435.868</v>
      </c>
      <c r="AH39" s="205"/>
      <c r="AI39" s="205"/>
      <c r="AJ39" s="205"/>
      <c r="AK39" s="205"/>
      <c r="AL39" s="204" t="n">
        <v>80.369</v>
      </c>
      <c r="AM39" s="135" t="n">
        <f aca="false">+AL39+AK39+AI39+AJ39</f>
        <v>80.369</v>
      </c>
      <c r="AN39" s="205"/>
      <c r="AO39" s="141" t="n">
        <v>1570</v>
      </c>
      <c r="AQ39" s="141" t="n">
        <v>65.168</v>
      </c>
      <c r="AR39" s="139"/>
      <c r="AS39" s="141" t="n">
        <v>4209.379</v>
      </c>
      <c r="AT39" s="144" t="n">
        <f aca="false">+AS39+AQ39+AN39+AO39</f>
        <v>5844.547</v>
      </c>
    </row>
    <row r="40" customFormat="false" ht="12.75" hidden="false" customHeight="true" outlineLevel="0" collapsed="false">
      <c r="A40" s="128" t="s">
        <v>269</v>
      </c>
      <c r="B40" s="141" t="n">
        <v>262.3</v>
      </c>
      <c r="C40" s="141" t="n">
        <v>334.38</v>
      </c>
      <c r="D40" s="143" t="n">
        <f aca="false">460.45+12.5</f>
        <v>472.95</v>
      </c>
      <c r="E40" s="176" t="n">
        <v>572.7</v>
      </c>
      <c r="F40" s="141" t="n">
        <v>361.2</v>
      </c>
      <c r="G40" s="141" t="n">
        <v>373.94</v>
      </c>
      <c r="H40" s="143" t="n">
        <f aca="false">20+296.07</f>
        <v>316.07</v>
      </c>
      <c r="I40" s="176" t="n">
        <v>668.6</v>
      </c>
      <c r="J40" s="141" t="n">
        <v>217.82</v>
      </c>
      <c r="K40" s="143" t="n">
        <f aca="false">207.288+28.304</f>
        <v>235.592</v>
      </c>
      <c r="L40" s="143" t="n">
        <f aca="false">-26.523+0.9</f>
        <v>-25.623</v>
      </c>
      <c r="M40" s="176" t="n">
        <v>-209.5</v>
      </c>
      <c r="N40" s="141" t="n">
        <v>-53.2</v>
      </c>
      <c r="O40" s="141" t="n">
        <v>145.5</v>
      </c>
      <c r="P40" s="141" t="n">
        <v>350.9</v>
      </c>
      <c r="Q40" s="165" t="n">
        <v>767.8</v>
      </c>
      <c r="R40" s="165" t="n">
        <v>244</v>
      </c>
      <c r="S40" s="165" t="n">
        <v>404.7</v>
      </c>
      <c r="T40" s="165" t="n">
        <v>121.6</v>
      </c>
      <c r="U40" s="173" t="n">
        <f aca="false">885.8+48.9</f>
        <v>934.7</v>
      </c>
      <c r="V40" s="144" t="n">
        <f aca="false">+SUM(R40:U40)</f>
        <v>1705</v>
      </c>
      <c r="W40" s="143" t="n">
        <f aca="false">167.9+76.9</f>
        <v>244.8</v>
      </c>
      <c r="X40" s="141" t="n">
        <v>387.7</v>
      </c>
      <c r="Y40" s="141" t="n">
        <v>50.6</v>
      </c>
      <c r="Z40" s="143" t="n">
        <f aca="false">327.4+229.5</f>
        <v>556.9</v>
      </c>
      <c r="AA40" s="143" t="n">
        <f aca="false">100+40</f>
        <v>140</v>
      </c>
      <c r="AB40" s="141" t="n">
        <v>133.1</v>
      </c>
      <c r="AC40" s="141" t="n">
        <v>-16.9</v>
      </c>
      <c r="AD40" s="141" t="n">
        <v>113.8</v>
      </c>
      <c r="AE40" s="141" t="n">
        <v>-251</v>
      </c>
      <c r="AF40" s="141" t="n">
        <v>-663</v>
      </c>
      <c r="AG40" s="141" t="n">
        <v>-255.6</v>
      </c>
      <c r="AH40" s="141" t="n">
        <v>-36.4</v>
      </c>
      <c r="AI40" s="141" t="n">
        <v>-225</v>
      </c>
      <c r="AJ40" s="141" t="n">
        <v>445.47</v>
      </c>
      <c r="AK40" s="141" t="n">
        <v>273</v>
      </c>
      <c r="AL40" s="141" t="n">
        <v>580.437</v>
      </c>
      <c r="AM40" s="135" t="n">
        <f aca="false">+AL40+AK40+AI40+AJ40</f>
        <v>1073.907</v>
      </c>
      <c r="AN40" s="141" t="n">
        <v>755.889</v>
      </c>
      <c r="AO40" s="141" t="n">
        <v>1458.111</v>
      </c>
      <c r="AP40" s="142" t="n">
        <f aca="false">+AP37*0.3</f>
        <v>747.565453335628</v>
      </c>
      <c r="AQ40" s="141" t="n">
        <v>751.8</v>
      </c>
      <c r="AR40" s="138" t="n">
        <f aca="false">AR56/100*AR37</f>
        <v>1197.56398962556</v>
      </c>
      <c r="AS40" s="141" t="n">
        <v>1508.46</v>
      </c>
      <c r="AT40" s="144" t="n">
        <f aca="false">+AS40+AQ40+AN40+AO40</f>
        <v>4474.26</v>
      </c>
      <c r="AU40" s="142" t="n">
        <f aca="false">+AU37*0.28</f>
        <v>745.644841732961</v>
      </c>
    </row>
    <row r="41" s="19" customFormat="true" ht="12.75" hidden="false" customHeight="true" outlineLevel="0" collapsed="false">
      <c r="A41" s="132" t="s">
        <v>254</v>
      </c>
      <c r="B41" s="147" t="n">
        <f aca="false">B37+B38+B39-B40</f>
        <v>691.800000000001</v>
      </c>
      <c r="C41" s="147" t="n">
        <f aca="false">C37+C38+C39-C40</f>
        <v>953.629999999997</v>
      </c>
      <c r="D41" s="147" t="n">
        <f aca="false">D37+D38-D40-D39</f>
        <v>1052.57</v>
      </c>
      <c r="E41" s="147" t="n">
        <f aca="false">E37+E38+E39-E40</f>
        <v>1715.19</v>
      </c>
      <c r="F41" s="147" t="n">
        <f aca="false">F37+F38+F39-F40</f>
        <v>881.880000000004</v>
      </c>
      <c r="G41" s="147" t="n">
        <f aca="false">G37+G38+G39-G40</f>
        <v>803.359999999997</v>
      </c>
      <c r="H41" s="147" t="n">
        <f aca="false">H37+H38-H40-H39</f>
        <v>1202.17</v>
      </c>
      <c r="I41" s="147" t="n">
        <f aca="false">I37+I38+I39-I40</f>
        <v>1805.69</v>
      </c>
      <c r="J41" s="147" t="n">
        <f aca="false">J37+J38+J39-J40</f>
        <v>505.700000000002</v>
      </c>
      <c r="K41" s="147" t="n">
        <f aca="false">K37+K38+K39-K40</f>
        <v>672.436999999999</v>
      </c>
      <c r="L41" s="147" t="n">
        <f aca="false">L37+L38-L40-L39</f>
        <v>188.682</v>
      </c>
      <c r="M41" s="147" t="n">
        <f aca="false">M37+M38+M39-M40</f>
        <v>533.139999999999</v>
      </c>
      <c r="N41" s="147" t="n">
        <f aca="false">N37-N40+N39+N38</f>
        <v>77.7100000000001</v>
      </c>
      <c r="O41" s="147" t="n">
        <f aca="false">O37-O40+O39+O38</f>
        <v>886.055</v>
      </c>
      <c r="P41" s="147" t="n">
        <f aca="false">P37+P38-P40-P39</f>
        <v>1046.328</v>
      </c>
      <c r="Q41" s="147" t="n">
        <f aca="false">Q37+Q38-Q40-Q39</f>
        <v>2226.646</v>
      </c>
      <c r="R41" s="147" t="n">
        <f aca="false">R37+R38-R40-R39</f>
        <v>1226.439</v>
      </c>
      <c r="S41" s="147" t="n">
        <f aca="false">S37+S38-S40-S39</f>
        <v>1670.591</v>
      </c>
      <c r="T41" s="147" t="n">
        <f aca="false">T37+T38-T40-T39</f>
        <v>433.681000000003</v>
      </c>
      <c r="U41" s="147" t="n">
        <f aca="false">U37+U38-U40-U39</f>
        <v>2982.282</v>
      </c>
      <c r="V41" s="144" t="n">
        <f aca="false">+SUM(R41:U41)</f>
        <v>6312.99300000001</v>
      </c>
      <c r="W41" s="147" t="n">
        <f aca="false">W37+W38-W40-W39</f>
        <v>862.530000000001</v>
      </c>
      <c r="X41" s="147" t="n">
        <f aca="false">X37+X38-X40-X39</f>
        <v>1540.818</v>
      </c>
      <c r="Y41" s="147" t="n">
        <f aca="false">Y37+Y38-Y40-Y39</f>
        <v>669.034000000001</v>
      </c>
      <c r="Z41" s="147" t="n">
        <f aca="false">Z37+Z38-Z40-Z39</f>
        <v>2587.384</v>
      </c>
      <c r="AA41" s="147" t="n">
        <f aca="false">AA37+AA38-AA40-AA39</f>
        <v>669.358999999997</v>
      </c>
      <c r="AB41" s="147" t="n">
        <f aca="false">AB37+AB38-AB40-AB39</f>
        <v>1425.96600000001</v>
      </c>
      <c r="AC41" s="147" t="n">
        <f aca="false">AC37+AC38-AC40-AC39</f>
        <v>741.413</v>
      </c>
      <c r="AD41" s="147" t="n">
        <f aca="false">AD37+AD38-AD40-AD39</f>
        <v>1499.24701073937</v>
      </c>
      <c r="AE41" s="147" t="n">
        <f aca="false">AE37+AE38-AE40-AE39</f>
        <v>-1417.507</v>
      </c>
      <c r="AF41" s="147" t="n">
        <f aca="false">AF37+AF38-AF40-AF39</f>
        <v>-250.543999999998</v>
      </c>
      <c r="AG41" s="147" t="n">
        <f aca="false">AG37+AG38-AG40-AG39</f>
        <v>-1672.068</v>
      </c>
      <c r="AH41" s="147" t="n">
        <f aca="false">AH37+AH38-AH40-AH39</f>
        <v>3633.93000000001</v>
      </c>
      <c r="AI41" s="147" t="n">
        <f aca="false">AI37+AI38-AI40-AI39</f>
        <v>-479.515999999998</v>
      </c>
      <c r="AJ41" s="147" t="n">
        <f aca="false">AJ37+AJ38-AJ40-AJ39</f>
        <v>1206.887</v>
      </c>
      <c r="AK41" s="147" t="n">
        <f aca="false">AK37+AK38-AK40-AK39</f>
        <v>320.947999999996</v>
      </c>
      <c r="AL41" s="147" t="n">
        <f aca="false">AL37+AL38-AL40-AL39</f>
        <v>2299.741</v>
      </c>
      <c r="AM41" s="135" t="n">
        <f aca="false">AM37+AM38-AM40-AM39</f>
        <v>3348.05999999998</v>
      </c>
      <c r="AN41" s="147" t="n">
        <f aca="false">AN37+AN38-AN40-AN39</f>
        <v>1593.18900000001</v>
      </c>
      <c r="AO41" s="147" t="n">
        <f aca="false">AO37+AO38-AO40-AO39</f>
        <v>2868.09999999999</v>
      </c>
      <c r="AP41" s="147" t="n">
        <f aca="false">AP37+AP38-AP40-AP39</f>
        <v>1744.31939111646</v>
      </c>
      <c r="AQ41" s="147" t="n">
        <f aca="false">AQ37+AQ38-AQ40-AQ39</f>
        <v>1986.25299999991</v>
      </c>
      <c r="AR41" s="147" t="n">
        <f aca="false">AR37+AR38-AR40-AR39</f>
        <v>3079.45025903714</v>
      </c>
      <c r="AS41" s="147" t="n">
        <f aca="false">AS37+AS38-AS40-AS39</f>
        <v>770.216000000009</v>
      </c>
      <c r="AT41" s="135" t="n">
        <f aca="false">AT37+AT38-AT40-AT39</f>
        <v>7217.75799999989</v>
      </c>
      <c r="AU41" s="147" t="n">
        <f aca="false">AU37+AU38-AU40-AU39</f>
        <v>1917.37245017047</v>
      </c>
    </row>
    <row r="42" s="19" customFormat="true" ht="13.5" hidden="false" customHeight="true" outlineLevel="0" collapsed="false">
      <c r="A42" s="132" t="s">
        <v>900</v>
      </c>
      <c r="B42" s="147" t="n">
        <f aca="false">B41-B39</f>
        <v>730.230000000001</v>
      </c>
      <c r="C42" s="147" t="n">
        <f aca="false">C41-((C39)*(1-C56/100))-C38</f>
        <v>740.663634210912</v>
      </c>
      <c r="D42" s="147" t="n">
        <f aca="false">D41-D39</f>
        <v>1031.97</v>
      </c>
      <c r="E42" s="147" t="n">
        <f aca="false">E41-E39-E38*(1-E56/100)</f>
        <v>1705.3046040675</v>
      </c>
      <c r="F42" s="147" t="n">
        <f aca="false">F41-F39</f>
        <v>916.800000000004</v>
      </c>
      <c r="G42" s="206" t="n">
        <f aca="false">G41-((G39)*(1-G56/100))-G38+G32*(1-0.3)</f>
        <v>853.754935530448</v>
      </c>
      <c r="H42" s="147" t="n">
        <f aca="false">H41-H38+H39</f>
        <v>884.94</v>
      </c>
      <c r="I42" s="147" t="n">
        <f aca="false">I41-I39-I38*(1-I56/100)</f>
        <v>1898.57716512616</v>
      </c>
      <c r="J42" s="206" t="n">
        <f aca="false">J41-J39-J32*0.7</f>
        <v>764.699300000002</v>
      </c>
      <c r="K42" s="206" t="n">
        <f aca="false">K41-K39-K32*0.7-K38*0.9</f>
        <v>655.100599999999</v>
      </c>
      <c r="L42" s="206" t="n">
        <f aca="false">L41+((L39)*(1-0.3))-L38+L32*(1-0.3)</f>
        <v>-39.0721000000001</v>
      </c>
      <c r="M42" s="206" t="n">
        <f aca="false">M41-M39-M38*(1-30/100)</f>
        <v>358.609999999999</v>
      </c>
      <c r="N42" s="147" t="n">
        <f aca="false">N41-N38-N39</f>
        <v>-426.93</v>
      </c>
      <c r="O42" s="147" t="n">
        <f aca="false">O41-O38-O39</f>
        <v>894.731</v>
      </c>
      <c r="P42" s="206" t="n">
        <f aca="false">P41+P39-P38+P32*(1-0.3)</f>
        <v>1056.072</v>
      </c>
      <c r="Q42" s="206" t="n">
        <f aca="false">Q41+Q39*(1-Q40/Q37)-Q38+Q32*(1-0.3)</f>
        <v>2520.18321470132</v>
      </c>
      <c r="R42" s="206" t="n">
        <f aca="false">R41+R39-R38+R32*(1-0.3)</f>
        <v>1226.439</v>
      </c>
      <c r="S42" s="206" t="n">
        <f aca="false">S41+S39-S38+S32*(1-0.3)</f>
        <v>1670.591</v>
      </c>
      <c r="T42" s="206" t="n">
        <f aca="false">T41+T39-T38+T32*(1-0.3)</f>
        <v>693.681000000003</v>
      </c>
      <c r="U42" s="206" t="n">
        <f aca="false">U41+U39-U38+U32*(1-0.3)</f>
        <v>2982.282</v>
      </c>
      <c r="V42" s="144" t="n">
        <f aca="false">+SUM(R42:U42)</f>
        <v>6572.99300000001</v>
      </c>
      <c r="W42" s="147" t="n">
        <f aca="false">W41+W39-W38*(1-W56/100)</f>
        <v>788.841103654738</v>
      </c>
      <c r="X42" s="147" t="n">
        <f aca="false">X41+X39-X38*(1-X56/100)</f>
        <v>1540.818</v>
      </c>
      <c r="Y42" s="147" t="n">
        <f aca="false">Y41+Y39-Y38*(1-Y56/100)</f>
        <v>669.034000000001</v>
      </c>
      <c r="Z42" s="147" t="n">
        <f aca="false">Z41+Z39-Z38*(1-Z56/100)</f>
        <v>2574.23594417807</v>
      </c>
      <c r="AA42" s="147" t="n">
        <f aca="false">AA41+AA39-AA38*(1-AA56/100)</f>
        <v>669.358999999997</v>
      </c>
      <c r="AB42" s="147" t="n">
        <f aca="false">AB41+AB39-AB38*(1-AB56/100)</f>
        <v>1425.96600000001</v>
      </c>
      <c r="AC42" s="147" t="n">
        <f aca="false">AC41+AC39-AC38</f>
        <v>-821.156</v>
      </c>
      <c r="AD42" s="147" t="n">
        <f aca="false">AD41+AD39-AD38</f>
        <v>155.629010739374</v>
      </c>
      <c r="AE42" s="147" t="n">
        <f aca="false">AE41+AE39-AE38</f>
        <v>-1352.391</v>
      </c>
      <c r="AF42" s="147" t="n">
        <f aca="false">AF41+AF39-AF38</f>
        <v>-688.120999999998</v>
      </c>
      <c r="AG42" s="147" t="n">
        <f aca="false">AG41+AG39-AG38</f>
        <v>-2595.255</v>
      </c>
      <c r="AH42" s="147" t="n">
        <f aca="false">AH41+AH39-AH38</f>
        <v>-127.010999999995</v>
      </c>
      <c r="AI42" s="147" t="n">
        <f aca="false">AI41+AI39-AI38</f>
        <v>-479.515999999998</v>
      </c>
      <c r="AJ42" s="147" t="n">
        <f aca="false">AJ41+AJ39-AJ38</f>
        <v>117.159000000001</v>
      </c>
      <c r="AK42" s="147" t="n">
        <f aca="false">AK41+AK39-AK38</f>
        <v>320.947999999996</v>
      </c>
      <c r="AL42" s="147" t="n">
        <f aca="false">AL41+AL39-AL38</f>
        <v>2380.11</v>
      </c>
      <c r="AM42" s="135" t="n">
        <f aca="false">AM41+AM39-AM38</f>
        <v>2338.70099999998</v>
      </c>
      <c r="AN42" s="147" t="n">
        <f aca="false">AN41+AN39-AN38</f>
        <v>1593.18900000001</v>
      </c>
      <c r="AO42" s="147" t="n">
        <f aca="false">AO41+AO39-AO38</f>
        <v>2919.80699999999</v>
      </c>
      <c r="AP42" s="206" t="n">
        <f aca="false">AP41+AP39-AP38+AP32*(1-0.3)</f>
        <v>1744.31939111646</v>
      </c>
      <c r="AQ42" s="147" t="n">
        <f aca="false">AQ41+AQ39-AQ38</f>
        <v>2051.42099999991</v>
      </c>
      <c r="AR42" s="147" t="n">
        <f aca="false">AR41+AR39-AR38</f>
        <v>3079.45025903714</v>
      </c>
      <c r="AS42" s="147" t="n">
        <f aca="false">AS41+AS39-AS38</f>
        <v>4562.79100000001</v>
      </c>
      <c r="AT42" s="135" t="n">
        <f aca="false">AT41+AT39-AT38</f>
        <v>11127.2079999999</v>
      </c>
      <c r="AU42" s="206" t="n">
        <f aca="false">AU41+AU39-AU38+AU32*(1-0.3)</f>
        <v>1917.37245017047</v>
      </c>
    </row>
    <row r="43" customFormat="false" ht="12" hidden="false" customHeight="true" outlineLevel="0" collapsed="false">
      <c r="E43" s="140"/>
      <c r="F43" s="160"/>
      <c r="G43" s="163"/>
      <c r="H43" s="163"/>
      <c r="I43" s="140"/>
      <c r="J43" s="160"/>
      <c r="K43" s="160"/>
      <c r="L43" s="163"/>
      <c r="M43" s="140"/>
      <c r="N43" s="160"/>
      <c r="O43" s="160"/>
      <c r="P43" s="163"/>
      <c r="Q43" s="166"/>
      <c r="R43" s="166"/>
      <c r="S43" s="166"/>
      <c r="T43" s="166"/>
      <c r="U43" s="166"/>
      <c r="V43" s="190"/>
      <c r="W43" s="166"/>
      <c r="X43" s="166"/>
      <c r="Y43" s="166"/>
      <c r="AI43" s="207" t="n">
        <f aca="false">+AI42+479.516</f>
        <v>1.98951966012828E-012</v>
      </c>
      <c r="AJ43" s="207" t="n">
        <f aca="false">+AJ41-1206.887</f>
        <v>0</v>
      </c>
      <c r="AK43" s="208" t="n">
        <f aca="false">+AK42-320.948</f>
        <v>-4.09272615797818E-012</v>
      </c>
      <c r="AL43" s="208" t="n">
        <f aca="false">+AL41-22997.41/10</f>
        <v>0</v>
      </c>
      <c r="AM43" s="209"/>
      <c r="AN43" s="208" t="n">
        <f aca="false">+AN42-1593.189</f>
        <v>7.95807864051312E-012</v>
      </c>
      <c r="AO43" s="210" t="n">
        <f aca="false">+AO41-2868.1</f>
        <v>0</v>
      </c>
      <c r="AQ43" s="210" t="n">
        <f aca="false">+AQ41-1986.253</f>
        <v>-8.98126018000767E-011</v>
      </c>
      <c r="AR43" s="211"/>
      <c r="AS43" s="210" t="n">
        <f aca="false">+AS41-770.216</f>
        <v>9.43600753089413E-012</v>
      </c>
      <c r="AT43" s="212"/>
    </row>
    <row r="44" customFormat="false" ht="12" hidden="false" customHeight="true" outlineLevel="0" collapsed="false">
      <c r="A44" s="128" t="s">
        <v>271</v>
      </c>
      <c r="B44" s="213" t="n">
        <f aca="false">B31+B34</f>
        <v>1325.4</v>
      </c>
      <c r="C44" s="213" t="n">
        <f aca="false">C31+C34</f>
        <v>1420.78</v>
      </c>
      <c r="D44" s="213" t="n">
        <f aca="false">D31+D34</f>
        <v>1932.16</v>
      </c>
      <c r="E44" s="213" t="n">
        <f aca="false">E31+E34</f>
        <v>2764.59</v>
      </c>
      <c r="F44" s="213" t="n">
        <f aca="false">F31+F34</f>
        <v>1621.54</v>
      </c>
      <c r="G44" s="213" t="n">
        <f aca="false">G31+G34</f>
        <v>1750.09</v>
      </c>
      <c r="H44" s="138" t="n">
        <f aca="false">H31+H34</f>
        <v>1728.85</v>
      </c>
      <c r="I44" s="213" t="n">
        <f aca="false">I31+I34</f>
        <v>3170.8</v>
      </c>
      <c r="J44" s="213" t="n">
        <f aca="false">J31+J34</f>
        <v>1632.259</v>
      </c>
      <c r="K44" s="213" t="n">
        <f aca="false">K31+K34</f>
        <v>1669.368</v>
      </c>
      <c r="L44" s="213" t="n">
        <f aca="false">L31+L34</f>
        <v>589.585</v>
      </c>
      <c r="M44" s="213" t="n">
        <f aca="false">M31+M34</f>
        <v>979.319999999999</v>
      </c>
      <c r="N44" s="213" t="n">
        <f aca="false">N31+N34</f>
        <v>212.91</v>
      </c>
      <c r="O44" s="213" t="n">
        <f aca="false">O31+O34</f>
        <v>1716.094</v>
      </c>
      <c r="P44" s="213" t="n">
        <f aca="false">P31+P34</f>
        <v>2081.818</v>
      </c>
      <c r="Q44" s="213" t="n">
        <f aca="false">Q31+Q34</f>
        <v>4183.085</v>
      </c>
      <c r="R44" s="213" t="n">
        <f aca="false">R31+R34</f>
        <v>2401.306</v>
      </c>
      <c r="S44" s="213" t="n">
        <f aca="false">S31+S34</f>
        <v>3110.734</v>
      </c>
      <c r="T44" s="213" t="n">
        <f aca="false">T31+T34</f>
        <v>1936.999</v>
      </c>
      <c r="U44" s="213" t="n">
        <f aca="false">U31+U34</f>
        <v>5139.878</v>
      </c>
      <c r="V44" s="144" t="n">
        <f aca="false">+SUM(R44:U44)</f>
        <v>12588.917</v>
      </c>
      <c r="W44" s="213" t="n">
        <f aca="false">W31+W34</f>
        <v>2392.769</v>
      </c>
      <c r="X44" s="213" t="n">
        <f aca="false">X31+X34</f>
        <v>3414.821</v>
      </c>
      <c r="Y44" s="213" t="n">
        <f aca="false">Y31+Y34</f>
        <v>2136.043</v>
      </c>
      <c r="Z44" s="213" t="n">
        <f aca="false">Z31+Z34</f>
        <v>4808.247</v>
      </c>
      <c r="AA44" s="213" t="n">
        <f aca="false">AA31+AA34</f>
        <v>2535.646</v>
      </c>
      <c r="AB44" s="213" t="n">
        <f aca="false">AB31+AB34</f>
        <v>3579.55700000001</v>
      </c>
      <c r="AC44" s="213" t="n">
        <f aca="false">AC31+AC34</f>
        <v>1164.129</v>
      </c>
      <c r="AD44" s="213" t="n">
        <f aca="false">AD31+AD34</f>
        <v>2097.15801073937</v>
      </c>
      <c r="AE44" s="213" t="n">
        <f aca="false">AE31+AE34</f>
        <v>355.138</v>
      </c>
      <c r="AF44" s="213" t="n">
        <f aca="false">AF31+AF34</f>
        <v>793.857000000002</v>
      </c>
      <c r="AG44" s="213" t="n">
        <f aca="false">AG31+AG34</f>
        <v>-814.951</v>
      </c>
      <c r="AH44" s="213" t="n">
        <f aca="false">AH31+AH34</f>
        <v>1996.78600000001</v>
      </c>
      <c r="AI44" s="213" t="n">
        <f aca="false">AI31+AI34</f>
        <v>1392.033</v>
      </c>
      <c r="AJ44" s="213" t="n">
        <f aca="false">AJ31+AJ34</f>
        <v>2600.881</v>
      </c>
      <c r="AK44" s="213" t="n">
        <f aca="false">AK31+AK34</f>
        <v>2574.717</v>
      </c>
      <c r="AL44" s="213" t="n">
        <f aca="false">AL31+AL34</f>
        <v>4943.419</v>
      </c>
      <c r="AM44" s="214"/>
      <c r="AN44" s="213" t="n">
        <f aca="false">AN31+AN34</f>
        <v>4157.93700000001</v>
      </c>
      <c r="AO44" s="213" t="n">
        <f aca="false">AO31+AO34</f>
        <v>6209.14199999999</v>
      </c>
      <c r="AP44" s="213" t="n">
        <f aca="false">AP31+AP34</f>
        <v>4281.88484445209</v>
      </c>
      <c r="AQ44" s="213" t="n">
        <f aca="false">AQ31+AQ34</f>
        <v>4555.86499999991</v>
      </c>
      <c r="AR44" s="215"/>
      <c r="AS44" s="213" t="n">
        <f aca="false">AS31+AS34</f>
        <v>7850.63800000001</v>
      </c>
      <c r="AT44" s="144" t="n">
        <f aca="false">AT31+AT34</f>
        <v>22773.5819999999</v>
      </c>
      <c r="AU44" s="213" t="n">
        <f aca="false">AU31+AU34</f>
        <v>4468.01729190343</v>
      </c>
    </row>
    <row r="45" customFormat="false" ht="12" hidden="false" customHeight="true" outlineLevel="0" collapsed="false">
      <c r="A45" s="128" t="s">
        <v>903</v>
      </c>
      <c r="B45" s="213" t="n">
        <f aca="false">B31-B36</f>
        <v>858.860000000001</v>
      </c>
      <c r="C45" s="213" t="n">
        <f aca="false">C31-C36</f>
        <v>955.459999999997</v>
      </c>
      <c r="D45" s="213" t="n">
        <f aca="false">D31-D36</f>
        <v>1536.37</v>
      </c>
      <c r="E45" s="213" t="n">
        <f aca="false">E31-E36</f>
        <v>2114.27</v>
      </c>
      <c r="F45" s="213" t="n">
        <f aca="false">F31-F36</f>
        <v>1133.14</v>
      </c>
      <c r="G45" s="213" t="n">
        <f aca="false">G31-G36</f>
        <v>1172.49</v>
      </c>
      <c r="H45" s="138" t="n">
        <f aca="false">H31-H36</f>
        <v>1213.52</v>
      </c>
      <c r="I45" s="213" t="n">
        <f aca="false">I31-I36</f>
        <v>2568.53</v>
      </c>
      <c r="J45" s="213" t="n">
        <f aca="false">J31-J36</f>
        <v>1069.529</v>
      </c>
      <c r="K45" s="213" t="n">
        <f aca="false">K31-K36</f>
        <v>1034.053</v>
      </c>
      <c r="L45" s="213" t="n">
        <f aca="false">L31-L36</f>
        <v>125.946</v>
      </c>
      <c r="M45" s="213" t="n">
        <f aca="false">M31-M36</f>
        <v>428.369999999999</v>
      </c>
      <c r="N45" s="213" t="n">
        <f aca="false">N31-N36</f>
        <v>-313.34</v>
      </c>
      <c r="O45" s="213" t="n">
        <f aca="false">O31-O36</f>
        <v>1154.675</v>
      </c>
      <c r="P45" s="213" t="n">
        <f aca="false">P31-P36</f>
        <v>1549.579</v>
      </c>
      <c r="Q45" s="213" t="n">
        <f aca="false">Q31-Q36</f>
        <v>3572.459</v>
      </c>
      <c r="R45" s="213" t="n">
        <f aca="false">R31-R36</f>
        <v>1739.32</v>
      </c>
      <c r="S45" s="213" t="n">
        <f aca="false">S31-S36</f>
        <v>2422</v>
      </c>
      <c r="T45" s="213" t="n">
        <f aca="false">T31-T36</f>
        <v>1273.358</v>
      </c>
      <c r="U45" s="213" t="n">
        <f aca="false">U31-U36</f>
        <v>4326.586</v>
      </c>
      <c r="V45" s="144" t="n">
        <f aca="false">+SUM(R45:U45)</f>
        <v>9761.26400000001</v>
      </c>
      <c r="W45" s="213" t="n">
        <f aca="false">W31-W36</f>
        <v>1505.004</v>
      </c>
      <c r="X45" s="213" t="n">
        <f aca="false">X31-X36</f>
        <v>2452.226</v>
      </c>
      <c r="Y45" s="213" t="n">
        <f aca="false">Y31-Y36</f>
        <v>1237.432</v>
      </c>
      <c r="Z45" s="213" t="n">
        <f aca="false">Z31-Z36</f>
        <v>3743.552</v>
      </c>
      <c r="AA45" s="213" t="n">
        <f aca="false">AA31-AA36</f>
        <v>1514.464</v>
      </c>
      <c r="AB45" s="213" t="n">
        <f aca="false">AB31-AB36</f>
        <v>2356.78100000001</v>
      </c>
      <c r="AC45" s="213" t="n">
        <f aca="false">AC31-AC36</f>
        <v>92.0469999999997</v>
      </c>
      <c r="AD45" s="213" t="n">
        <f aca="false">AD31-AD36</f>
        <v>981.848010739374</v>
      </c>
      <c r="AE45" s="213" t="n">
        <f aca="false">AE31-AE36</f>
        <v>-719.164</v>
      </c>
      <c r="AF45" s="213" t="n">
        <f aca="false">AF31-AF36</f>
        <v>-338.135999999998</v>
      </c>
      <c r="AG45" s="213" t="n">
        <f aca="false">AG31-AG36</f>
        <v>-1852.351</v>
      </c>
      <c r="AH45" s="213" t="n">
        <f aca="false">AH31-AH36</f>
        <v>804.914000000005</v>
      </c>
      <c r="AI45" s="213" t="n">
        <f aca="false">AI31-AI36</f>
        <v>127.716000000002</v>
      </c>
      <c r="AJ45" s="213" t="n">
        <f aca="false">AJ31-AJ36</f>
        <v>1313.099</v>
      </c>
      <c r="AK45" s="213" t="n">
        <f aca="false">AK31-AK36</f>
        <v>1382.87</v>
      </c>
      <c r="AL45" s="213" t="n">
        <f aca="false">AL31-AL36</f>
        <v>3470.152</v>
      </c>
      <c r="AM45" s="214"/>
      <c r="AN45" s="213" t="n">
        <f aca="false">AN31-AN36</f>
        <v>2843.81700000001</v>
      </c>
      <c r="AO45" s="213" t="n">
        <f aca="false">AO31-AO36</f>
        <v>4815.09699999999</v>
      </c>
      <c r="AP45" s="213" t="n">
        <f aca="false">AP31-AP36</f>
        <v>2931.88484445209</v>
      </c>
      <c r="AQ45" s="213" t="n">
        <f aca="false">AQ31-AQ36</f>
        <v>3210.21899999991</v>
      </c>
      <c r="AR45" s="215"/>
      <c r="AS45" s="213" t="n">
        <f aca="false">AS31-AS36</f>
        <v>6353.92100000001</v>
      </c>
      <c r="AT45" s="144" t="n">
        <f aca="false">AT31-AT36</f>
        <v>17223.0539999999</v>
      </c>
      <c r="AU45" s="213" t="n">
        <f aca="false">AU31-AU36</f>
        <v>3018.01729190343</v>
      </c>
    </row>
    <row r="46" customFormat="false" ht="12" hidden="false" customHeight="true" outlineLevel="0" collapsed="false">
      <c r="A46" s="128" t="s">
        <v>274</v>
      </c>
      <c r="B46" s="213" t="n">
        <f aca="false">B42+B36</f>
        <v>1057.93</v>
      </c>
      <c r="C46" s="213" t="n">
        <f aca="false">C42+C36</f>
        <v>1105.16363421091</v>
      </c>
      <c r="D46" s="213" t="n">
        <f aca="false">D42+D36</f>
        <v>1364.25</v>
      </c>
      <c r="E46" s="213" t="n">
        <f aca="false">E42+E36</f>
        <v>2186.5646040675</v>
      </c>
      <c r="F46" s="213" t="n">
        <f aca="false">F42+F36</f>
        <v>1329.7</v>
      </c>
      <c r="G46" s="213" t="n">
        <f aca="false">G42+G36</f>
        <v>1319.95493553045</v>
      </c>
      <c r="H46" s="138" t="n">
        <f aca="false">H42+H36</f>
        <v>1293.25</v>
      </c>
      <c r="I46" s="213" t="n">
        <f aca="false">I42+I36</f>
        <v>2384.77716512616</v>
      </c>
      <c r="J46" s="213" t="n">
        <f aca="false">J42+J36</f>
        <v>1205.7693</v>
      </c>
      <c r="K46" s="213" t="n">
        <f aca="false">K42+K36</f>
        <v>1160.4706</v>
      </c>
      <c r="L46" s="213" t="n">
        <f aca="false">L42+L36</f>
        <v>318.7309</v>
      </c>
      <c r="M46" s="213" t="n">
        <f aca="false">M42+M36</f>
        <v>838.509999999999</v>
      </c>
      <c r="N46" s="213" t="n">
        <f aca="false">N42+N36</f>
        <v>8.0800000000001</v>
      </c>
      <c r="O46" s="213" t="n">
        <f aca="false">O42+O36</f>
        <v>1400.554</v>
      </c>
      <c r="P46" s="213" t="n">
        <f aca="false">P42+P36</f>
        <v>1568.789</v>
      </c>
      <c r="Q46" s="213" t="n">
        <f aca="false">Q42+Q36</f>
        <v>3107.71621470132</v>
      </c>
      <c r="R46" s="213" t="n">
        <f aca="false">R42+R36</f>
        <v>1841.127</v>
      </c>
      <c r="S46" s="213" t="n">
        <f aca="false">S42+S36</f>
        <v>2311.184</v>
      </c>
      <c r="T46" s="213" t="n">
        <f aca="false">T42+T36</f>
        <v>1340.589</v>
      </c>
      <c r="U46" s="213" t="n">
        <f aca="false">U42+U36</f>
        <v>3754.403</v>
      </c>
      <c r="V46" s="144" t="n">
        <f aca="false">+SUM(R46:U46)</f>
        <v>9247.30300000001</v>
      </c>
      <c r="W46" s="213" t="n">
        <f aca="false">W42+W36</f>
        <v>1635.42910365474</v>
      </c>
      <c r="X46" s="213" t="n">
        <f aca="false">X42+X36</f>
        <v>2400.143</v>
      </c>
      <c r="Y46" s="213" t="n">
        <f aca="false">Y42+Y36</f>
        <v>1535.32</v>
      </c>
      <c r="Z46" s="213" t="n">
        <f aca="false">Z42+Z36</f>
        <v>3530.16894417807</v>
      </c>
      <c r="AA46" s="213" t="n">
        <f aca="false">AA42+AA36</f>
        <v>1561.882</v>
      </c>
      <c r="AB46" s="213" t="n">
        <f aca="false">AB42+AB36</f>
        <v>2410.07500000001</v>
      </c>
      <c r="AC46" s="213" t="n">
        <f aca="false">AC42+AC36</f>
        <v>109.974</v>
      </c>
      <c r="AD46" s="213" t="n">
        <f aca="false">AD42+AD36</f>
        <v>1155.70201073937</v>
      </c>
      <c r="AE46" s="213" t="n">
        <f aca="false">AE42+AE36</f>
        <v>-400.656</v>
      </c>
      <c r="AF46" s="213" t="n">
        <f aca="false">AF42+AF36</f>
        <v>212.722000000002</v>
      </c>
      <c r="AG46" s="213" t="n">
        <f aca="false">AG42+AG36</f>
        <v>-1711.941</v>
      </c>
      <c r="AH46" s="213" t="n">
        <f aca="false">AH42+AH36</f>
        <v>907.457000000005</v>
      </c>
      <c r="AI46" s="213" t="n">
        <f aca="false">AI42+AI36</f>
        <v>553.635000000002</v>
      </c>
      <c r="AJ46" s="213" t="n">
        <f aca="false">AJ42+AJ36</f>
        <v>1147.956</v>
      </c>
      <c r="AK46" s="213" t="n">
        <f aca="false">AK42+AK36</f>
        <v>1319.558</v>
      </c>
      <c r="AL46" s="213" t="n">
        <f aca="false">AL42+AL36</f>
        <v>3480.919</v>
      </c>
      <c r="AM46" s="214"/>
      <c r="AN46" s="213" t="n">
        <f aca="false">AN42+AN36</f>
        <v>2636.35900000001</v>
      </c>
      <c r="AO46" s="213" t="n">
        <f aca="false">AO42+AO36</f>
        <v>4049.21399999999</v>
      </c>
      <c r="AP46" s="213" t="n">
        <f aca="false">AP42+AP36</f>
        <v>2844.31939111646</v>
      </c>
      <c r="AQ46" s="213" t="n">
        <f aca="false">AQ42+AQ36</f>
        <v>3138.35299999991</v>
      </c>
      <c r="AR46" s="215"/>
      <c r="AS46" s="213" t="n">
        <f aca="false">AS42+AS36</f>
        <v>5739.95000000001</v>
      </c>
      <c r="AT46" s="144" t="n">
        <f aca="false">AT42+AT36</f>
        <v>15563.8759999999</v>
      </c>
      <c r="AU46" s="213" t="n">
        <f aca="false">AU42+AU36</f>
        <v>3117.37245017047</v>
      </c>
    </row>
    <row r="47" customFormat="false" ht="12.75" hidden="false" customHeight="true" outlineLevel="0" collapsed="false">
      <c r="A47" s="132" t="s">
        <v>278</v>
      </c>
      <c r="Q47" s="166"/>
      <c r="R47" s="166"/>
      <c r="S47" s="166"/>
      <c r="T47" s="166"/>
      <c r="U47" s="166"/>
      <c r="V47" s="190"/>
      <c r="W47" s="166"/>
      <c r="X47" s="166"/>
      <c r="Y47" s="166"/>
      <c r="Z47" s="216"/>
      <c r="AA47" s="216"/>
      <c r="AB47" s="216"/>
      <c r="AC47" s="216"/>
      <c r="AD47" s="216"/>
      <c r="AE47" s="216"/>
      <c r="AF47" s="216"/>
      <c r="AG47" s="216"/>
      <c r="AH47" s="216"/>
      <c r="AI47" s="216"/>
      <c r="AJ47" s="216"/>
      <c r="AK47" s="216"/>
      <c r="AL47" s="216"/>
      <c r="AM47" s="214"/>
      <c r="AN47" s="216"/>
      <c r="AO47" s="216"/>
      <c r="AP47" s="166"/>
      <c r="AQ47" s="216"/>
      <c r="AR47" s="216"/>
      <c r="AS47" s="216"/>
      <c r="AT47" s="214"/>
      <c r="AU47" s="166"/>
    </row>
    <row r="48" s="19" customFormat="true" ht="12.75" hidden="false" customHeight="true" outlineLevel="0" collapsed="false">
      <c r="A48" s="132" t="s">
        <v>1020</v>
      </c>
      <c r="B48" s="217" t="n">
        <f aca="false">B31/B20*100</f>
        <v>7.2290521921533</v>
      </c>
      <c r="C48" s="218" t="n">
        <f aca="false">C31/C20*100</f>
        <v>6.84406466800094</v>
      </c>
      <c r="D48" s="217" t="n">
        <f aca="false">D31/D20*100</f>
        <v>9.02738626816987</v>
      </c>
      <c r="E48" s="218" t="n">
        <f aca="false">E31/E20*100</f>
        <v>9.74027119333548</v>
      </c>
      <c r="F48" s="217" t="n">
        <f aca="false">F31/F20*100</f>
        <v>8.20968675492119</v>
      </c>
      <c r="G48" s="218" t="e">
        <f aca="false">G31/G20*100</f>
        <v>#DIV/0!</v>
      </c>
      <c r="H48" s="217" t="n">
        <f aca="false">H31/H20*100</f>
        <v>7.74839035110623</v>
      </c>
      <c r="I48" s="218" t="n">
        <f aca="false">I31/I20*100</f>
        <v>10.2539526659784</v>
      </c>
      <c r="J48" s="217" t="e">
        <f aca="false">J31/J20*100</f>
        <v>#DIV/0!</v>
      </c>
      <c r="K48" s="218" t="e">
        <f aca="false">K31/K20*100</f>
        <v>#DIV/0!</v>
      </c>
      <c r="L48" s="219"/>
      <c r="M48" s="218" t="e">
        <f aca="false">M31/M20*100</f>
        <v>#DIV/0!</v>
      </c>
      <c r="N48" s="217" t="e">
        <f aca="false">N31/N20*100</f>
        <v>#DIV/0!</v>
      </c>
      <c r="O48" s="218" t="e">
        <f aca="false">O31/O20*100</f>
        <v>#DIV/0!</v>
      </c>
      <c r="P48" s="219"/>
      <c r="V48" s="220"/>
      <c r="Z48" s="197"/>
      <c r="AA48" s="197"/>
      <c r="AB48" s="197"/>
      <c r="AC48" s="197"/>
      <c r="AD48" s="197"/>
      <c r="AE48" s="197"/>
      <c r="AF48" s="197"/>
      <c r="AG48" s="197"/>
      <c r="AH48" s="197"/>
      <c r="AI48" s="197"/>
      <c r="AJ48" s="197"/>
      <c r="AK48" s="197"/>
      <c r="AL48" s="197"/>
      <c r="AM48" s="221"/>
      <c r="AN48" s="197"/>
      <c r="AO48" s="197"/>
      <c r="AQ48" s="197"/>
      <c r="AR48" s="197"/>
      <c r="AS48" s="197"/>
      <c r="AT48" s="221"/>
    </row>
    <row r="49" s="19" customFormat="true" ht="12.75" hidden="false" customHeight="true" outlineLevel="0" collapsed="false">
      <c r="A49" s="132" t="s">
        <v>905</v>
      </c>
      <c r="B49" s="217" t="n">
        <f aca="false">B31/B22*100</f>
        <v>8.33333333333334</v>
      </c>
      <c r="C49" s="218" t="n">
        <f aca="false">C31/C22*100</f>
        <v>7.87696758589286</v>
      </c>
      <c r="D49" s="217" t="n">
        <f aca="false">D31/D22*100</f>
        <v>10.5122606943892</v>
      </c>
      <c r="E49" s="218" t="n">
        <f aca="false">E31/E22*100</f>
        <v>11.3292844322459</v>
      </c>
      <c r="F49" s="217" t="n">
        <f aca="false">F31/F22*100</f>
        <v>9.53673398135391</v>
      </c>
      <c r="G49" s="217" t="n">
        <f aca="false">G31/G22*100</f>
        <v>9.38596501276708</v>
      </c>
      <c r="H49" s="217" t="n">
        <f aca="false">H31/H22*100</f>
        <v>9.00975622221654</v>
      </c>
      <c r="I49" s="217" t="n">
        <f aca="false">I31/I22*100</f>
        <v>11.9232007743935</v>
      </c>
      <c r="J49" s="217" t="n">
        <f aca="false">J31/J22*100</f>
        <v>8.01862449657964</v>
      </c>
      <c r="K49" s="217" t="n">
        <f aca="false">K31/K22*100</f>
        <v>8.24807352709604</v>
      </c>
      <c r="L49" s="217" t="n">
        <f aca="false">L31/L22*100</f>
        <v>4.83338983540263</v>
      </c>
      <c r="M49" s="217" t="n">
        <f aca="false">M31/M22*100</f>
        <v>7.45631389959297</v>
      </c>
      <c r="N49" s="217" t="n">
        <f aca="false">N31/N22*100</f>
        <v>1.33344146699384</v>
      </c>
      <c r="O49" s="217" t="n">
        <f aca="false">O31/O22*100</f>
        <v>10.5249046609189</v>
      </c>
      <c r="P49" s="217" t="n">
        <f aca="false">P31/P22*100</f>
        <v>11.3591678571334</v>
      </c>
      <c r="Q49" s="191" t="n">
        <f aca="false">Q31/Q22*100</f>
        <v>14.1542534872439</v>
      </c>
      <c r="R49" s="191" t="n">
        <f aca="false">R31/R22*100</f>
        <v>10.0256812446419</v>
      </c>
      <c r="S49" s="191" t="n">
        <f aca="false">S31/S22*100</f>
        <v>11.28461438834</v>
      </c>
      <c r="T49" s="191" t="n">
        <f aca="false">T31/T22*100</f>
        <v>8.62170939336673</v>
      </c>
      <c r="U49" s="191" t="n">
        <f aca="false">U31/U22*100</f>
        <v>13.317657870526</v>
      </c>
      <c r="V49" s="222" t="n">
        <f aca="false">V31/V22*100</f>
        <v>11.1853746127012</v>
      </c>
      <c r="W49" s="191" t="n">
        <f aca="false">W31/W22*100</f>
        <v>9.42330733726948</v>
      </c>
      <c r="X49" s="191" t="n">
        <f aca="false">X31/X22*100</f>
        <v>10.7011641161999</v>
      </c>
      <c r="Y49" s="191" t="n">
        <f aca="false">Y31/Y22*100</f>
        <v>7.30509129636568</v>
      </c>
      <c r="Z49" s="191" t="n">
        <f aca="false">Z31/Z22*100</f>
        <v>10.9010973991979</v>
      </c>
      <c r="AA49" s="191" t="n">
        <f aca="false">AA31/AA22*100</f>
        <v>8.00368843344725</v>
      </c>
      <c r="AB49" s="191" t="n">
        <f aca="false">AB31/AB22*100</f>
        <v>10.1360554640402</v>
      </c>
      <c r="AC49" s="191" t="n">
        <f aca="false">AC31/AC22*100</f>
        <v>4.29814217533815</v>
      </c>
      <c r="AD49" s="191" t="n">
        <f aca="false">AD31/AD22*100</f>
        <v>5.31565325609444</v>
      </c>
      <c r="AE49" s="191" t="n">
        <f aca="false">AE31/AE22*100</f>
        <v>0.983881120833636</v>
      </c>
      <c r="AF49" s="191" t="n">
        <f aca="false">AF31/AF22*100</f>
        <v>2.20702032390592</v>
      </c>
      <c r="AG49" s="191" t="n">
        <f aca="false">AG31/AG22*100</f>
        <v>-4.96124209604219</v>
      </c>
      <c r="AH49" s="191" t="n">
        <f aca="false">AH31/AH22*100</f>
        <v>5.9782751243176</v>
      </c>
      <c r="AI49" s="191" t="n">
        <f aca="false">AI31/AI22*100</f>
        <v>4.68506462739824</v>
      </c>
      <c r="AJ49" s="191" t="n">
        <f aca="false">AJ31/AJ22*100</f>
        <v>7.2844317017865</v>
      </c>
      <c r="AK49" s="191" t="n">
        <f aca="false">AK31/AK22*100</f>
        <v>7.08563581239839</v>
      </c>
      <c r="AL49" s="191" t="n">
        <f aca="false">AL31/AL22*100</f>
        <v>10.1448308472071</v>
      </c>
      <c r="AM49" s="221"/>
      <c r="AN49" s="191" t="n">
        <f aca="false">AN31/AN22*100</f>
        <v>10.1191565255215</v>
      </c>
      <c r="AO49" s="191" t="n">
        <f aca="false">AO31/AO22*100</f>
        <v>12.0340464190178</v>
      </c>
      <c r="AP49" s="191" t="n">
        <f aca="false">AP31/AP22*100</f>
        <v>10.2413354680591</v>
      </c>
      <c r="AQ49" s="191" t="n">
        <f aca="false">AQ31/AQ22*100</f>
        <v>10.5184544412348</v>
      </c>
      <c r="AR49" s="183" t="n">
        <v>11.2</v>
      </c>
      <c r="AS49" s="191" t="n">
        <f aca="false">AS31/AS22*100</f>
        <v>12.6460491070878</v>
      </c>
      <c r="AT49" s="135" t="n">
        <f aca="false">AT31/AT22*100</f>
        <v>11.5079178173868</v>
      </c>
      <c r="AU49" s="191" t="n">
        <f aca="false">AU31/AU22*100</f>
        <v>10.279126777894</v>
      </c>
    </row>
    <row r="50" customFormat="false" ht="12" hidden="false" customHeight="true" outlineLevel="0" collapsed="false">
      <c r="A50" s="128" t="s">
        <v>906</v>
      </c>
      <c r="B50" s="157" t="n">
        <f aca="false">B44/B33</f>
        <v>256.363636363637</v>
      </c>
      <c r="C50" s="223" t="n">
        <f aca="false">C44/C33</f>
        <v>382.959568733153</v>
      </c>
      <c r="D50" s="223" t="n">
        <f aca="false">D44/D33</f>
        <v>75.3278752436647</v>
      </c>
      <c r="E50" s="223" t="n">
        <f aca="false">E44/E33</f>
        <v>147.130920702501</v>
      </c>
      <c r="F50" s="157" t="n">
        <f aca="false">F44/F33</f>
        <v>12.7099858912056</v>
      </c>
      <c r="G50" s="223" t="n">
        <f aca="false">G44/G33</f>
        <v>13.862099009901</v>
      </c>
      <c r="H50" s="157" t="n">
        <f aca="false">H44/H33</f>
        <v>11.3382082896118</v>
      </c>
      <c r="I50" s="223" t="n">
        <f aca="false">I44/I33</f>
        <v>34.8095290372159</v>
      </c>
      <c r="J50" s="157" t="n">
        <f aca="false">J44/J33</f>
        <v>15.2633158780625</v>
      </c>
      <c r="K50" s="223" t="n">
        <f aca="false">K44/K33</f>
        <v>6.79286926304053</v>
      </c>
      <c r="L50" s="157" t="n">
        <f aca="false">L44/L33</f>
        <v>1.49608207345605</v>
      </c>
      <c r="M50" s="223" t="n">
        <f aca="false">M44/M33</f>
        <v>2.22416025073244</v>
      </c>
      <c r="N50" s="157" t="n">
        <f aca="false">N44/N33</f>
        <v>0.825136612021858</v>
      </c>
      <c r="O50" s="223" t="n">
        <f aca="false">O44/O33</f>
        <v>10.0922959303693</v>
      </c>
      <c r="P50" s="157" t="n">
        <f aca="false">P44/P33</f>
        <v>12.8405035496426</v>
      </c>
      <c r="Q50" s="224" t="n">
        <f aca="false">Q44/Q33</f>
        <v>18.9189121959603</v>
      </c>
      <c r="R50" s="224" t="n">
        <f aca="false">R44/R33</f>
        <v>7.59476752092961</v>
      </c>
      <c r="S50" s="224" t="n">
        <f aca="false">S44/S33</f>
        <v>7.87826769659365</v>
      </c>
      <c r="T50" s="224" t="n">
        <f aca="false">T44/T33</f>
        <v>4.0795244413555</v>
      </c>
      <c r="U50" s="224" t="n">
        <f aca="false">U44/U33</f>
        <v>11.4023137929122</v>
      </c>
      <c r="V50" s="225" t="n">
        <f aca="false">V44/V33</f>
        <v>7.69205017187926</v>
      </c>
      <c r="W50" s="224" t="n">
        <f aca="false">W44/W33</f>
        <v>4.48542704713059</v>
      </c>
      <c r="X50" s="224" t="n">
        <f aca="false">X44/X33</f>
        <v>5.44647659088517</v>
      </c>
      <c r="Y50" s="224" t="n">
        <f aca="false">Y44/Y33</f>
        <v>3.88284619984985</v>
      </c>
      <c r="Z50" s="224" t="n">
        <f aca="false">Z44/Z33</f>
        <v>6.64115175522922</v>
      </c>
      <c r="AA50" s="224" t="n">
        <f aca="false">AA44/AA33</f>
        <v>3.04120350602808</v>
      </c>
      <c r="AB50" s="224" t="n">
        <f aca="false">AB44/AB33</f>
        <v>3.45389730813542</v>
      </c>
      <c r="AC50" s="224" t="n">
        <f aca="false">AC44/AC33</f>
        <v>1.0868993655788</v>
      </c>
      <c r="AD50" s="224" t="n">
        <f aca="false">AD44/AD33</f>
        <v>2.53385224143772</v>
      </c>
      <c r="AE50" s="224" t="n">
        <f aca="false">AE44/AE33</f>
        <v>0.352741474422772</v>
      </c>
      <c r="AF50" s="224" t="n">
        <f aca="false">AF44/AF33</f>
        <v>0.63807946886793</v>
      </c>
      <c r="AG50" s="224" t="n">
        <f aca="false">AG44/AG33</f>
        <v>-0.707060619994968</v>
      </c>
      <c r="AH50" s="224" t="n">
        <f aca="false">AH44/AH33</f>
        <v>1.77377148496663</v>
      </c>
      <c r="AI50" s="224" t="n">
        <f aca="false">AI44/AI33</f>
        <v>1.30904233410257</v>
      </c>
      <c r="AJ50" s="224" t="n">
        <f aca="false">AJ44/AJ33</f>
        <v>2.58163491173303</v>
      </c>
      <c r="AK50" s="224" t="n">
        <f aca="false">AK44/AK33</f>
        <v>2.62148694865088</v>
      </c>
      <c r="AL50" s="224" t="n">
        <f aca="false">AL44/AL33</f>
        <v>5.60438313363105</v>
      </c>
      <c r="AM50" s="214"/>
      <c r="AN50" s="224" t="n">
        <f aca="false">AN44/AN33</f>
        <v>5.43032092664255</v>
      </c>
      <c r="AO50" s="224" t="n">
        <f aca="false">AO44/AO33</f>
        <v>8.84723795519344</v>
      </c>
      <c r="AP50" s="224" t="n">
        <f aca="false">AP44/AP33</f>
        <v>6.20563020935086</v>
      </c>
      <c r="AQ50" s="224" t="n">
        <f aca="false">AQ44/AQ33</f>
        <v>6.84359753166521</v>
      </c>
      <c r="AR50" s="216"/>
      <c r="AS50" s="224" t="n">
        <f aca="false">AS44/AS33</f>
        <v>13.0359896916118</v>
      </c>
      <c r="AT50" s="144" t="n">
        <f aca="false">AT44/AT33</f>
        <v>8.32536339595075</v>
      </c>
      <c r="AU50" s="224" t="n">
        <f aca="false">AU44/AU33</f>
        <v>7.38515254860071</v>
      </c>
    </row>
    <row r="51" customFormat="false" ht="12" hidden="false" customHeight="true" outlineLevel="0" collapsed="false">
      <c r="A51" s="128" t="s">
        <v>283</v>
      </c>
      <c r="B51" s="157" t="n">
        <f aca="false">B34/B44*100</f>
        <v>10.4753282028067</v>
      </c>
      <c r="C51" s="223" t="n">
        <f aca="false">C34/C44*100</f>
        <v>7.09610214107745</v>
      </c>
      <c r="D51" s="223" t="n">
        <f aca="false">D34/D44*100</f>
        <v>3.28699486584962</v>
      </c>
      <c r="E51" s="223" t="n">
        <f aca="false">E34/E44*100</f>
        <v>6.11519248785535</v>
      </c>
      <c r="F51" s="157" t="n">
        <f aca="false">F34/F44*100</f>
        <v>4.65606768874032</v>
      </c>
      <c r="G51" s="223" t="n">
        <f aca="false">G34/G44*100</f>
        <v>6.36538692295826</v>
      </c>
      <c r="H51" s="157" t="n">
        <f aca="false">H34/H44*100</f>
        <v>6.19024206842699</v>
      </c>
      <c r="I51" s="223" t="n">
        <f aca="false">I34/I44*100</f>
        <v>3.66059038728397</v>
      </c>
      <c r="J51" s="157" t="n">
        <f aca="false">J34/J44*100</f>
        <v>7.45347398911569</v>
      </c>
      <c r="K51" s="223" t="n">
        <f aca="false">K34/K44*100</f>
        <v>7.78408355737022</v>
      </c>
      <c r="L51" s="157" t="n">
        <f aca="false">L34/L44*100</f>
        <v>17.9509315874726</v>
      </c>
      <c r="M51" s="223" t="n">
        <f aca="false">M34/M44*100</f>
        <v>7.25503410529757</v>
      </c>
      <c r="N51" s="157" t="n">
        <f aca="false">N34/N44*100</f>
        <v>42.8537879855338</v>
      </c>
      <c r="O51" s="223" t="n">
        <f aca="false">O34/O44*100</f>
        <v>3.23968267472528</v>
      </c>
      <c r="P51" s="157" t="n">
        <f aca="false">P34/P44*100</f>
        <v>0.937738073164897</v>
      </c>
      <c r="Q51" s="224" t="n">
        <f aca="false">Q34/Q44*100</f>
        <v>0.552056675874385</v>
      </c>
      <c r="R51" s="224" t="n">
        <f aca="false">R34/R44*100</f>
        <v>1.96967816679757</v>
      </c>
      <c r="S51" s="224" t="n">
        <f aca="false">S34/S44*100</f>
        <v>1.54757687413967</v>
      </c>
      <c r="T51" s="224" t="n">
        <f aca="false">T34/T44*100</f>
        <v>0.863862087693384</v>
      </c>
      <c r="U51" s="224" t="n">
        <f aca="false">U34/U44*100</f>
        <v>0.801011230227643</v>
      </c>
      <c r="V51" s="225" t="n">
        <f aca="false">V34/V44*100</f>
        <v>1.21807936298253</v>
      </c>
      <c r="W51" s="224" t="n">
        <f aca="false">W34/W44*100</f>
        <v>1.72089324126148</v>
      </c>
      <c r="X51" s="224" t="n">
        <f aca="false">X34/X44*100</f>
        <v>3.02417022737063</v>
      </c>
      <c r="Y51" s="224" t="n">
        <f aca="false">Y34/Y44*100</f>
        <v>1.51331223201031</v>
      </c>
      <c r="Z51" s="224" t="n">
        <f aca="false">Z34/Z44*100</f>
        <v>2.26198862080089</v>
      </c>
      <c r="AA51" s="224" t="n">
        <f aca="false">AA34/AA44*100</f>
        <v>5.07401269735602</v>
      </c>
      <c r="AB51" s="224" t="n">
        <f aca="false">AB34/AB44*100</f>
        <v>6.66750103434586</v>
      </c>
      <c r="AC51" s="224" t="n">
        <f aca="false">AC34/AC44*100</f>
        <v>12.1079364915744</v>
      </c>
      <c r="AD51" s="224" t="n">
        <f aca="false">AD34/AD44*100</f>
        <v>5.49491261077519</v>
      </c>
      <c r="AE51" s="224" t="n">
        <f aca="false">AE34/AE44*100</f>
        <v>34.5124993664435</v>
      </c>
      <c r="AF51" s="224" t="n">
        <f aca="false">AF34/AF44*100</f>
        <v>29.1173347340893</v>
      </c>
      <c r="AG51" s="224" t="n">
        <f aca="false">AG34/AG44*100</f>
        <v>-18.9073944323033</v>
      </c>
      <c r="AH51" s="224" t="n">
        <f aca="false">AH34/AH44*100</f>
        <v>7.88286776850397</v>
      </c>
      <c r="AI51" s="224" t="n">
        <f aca="false">AI34/AI44*100</f>
        <v>16.6063591883238</v>
      </c>
      <c r="AJ51" s="224" t="n">
        <f aca="false">AJ34/AJ44*100</f>
        <v>9.88069042758973</v>
      </c>
      <c r="AK51" s="224" t="n">
        <f aca="false">AK34/AK44*100</f>
        <v>7.50517435508447</v>
      </c>
      <c r="AL51" s="224" t="n">
        <f aca="false">AL34/AL44*100</f>
        <v>7.53442101509097</v>
      </c>
      <c r="AM51" s="214"/>
      <c r="AN51" s="224" t="n">
        <f aca="false">AN34/AN44*100</f>
        <v>6.51645275048659</v>
      </c>
      <c r="AO51" s="224" t="n">
        <f aca="false">AO34/AO44*100</f>
        <v>4.26207034723961</v>
      </c>
      <c r="AP51" s="224" t="n">
        <f aca="false">AP34/AP44*100</f>
        <v>5.83855028992471</v>
      </c>
      <c r="AQ51" s="224" t="n">
        <f aca="false">AQ34/AQ44*100</f>
        <v>5.67870206865228</v>
      </c>
      <c r="AR51" s="216"/>
      <c r="AS51" s="224" t="n">
        <f aca="false">AS34/AS44*100</f>
        <v>4.07047172471842</v>
      </c>
      <c r="AT51" s="144" t="n">
        <f aca="false">AT34/AT44*100</f>
        <v>4.89101802254913</v>
      </c>
      <c r="AU51" s="224" t="n">
        <f aca="false">AU34/AU44*100</f>
        <v>5.59532301840078</v>
      </c>
    </row>
    <row r="52" customFormat="false" ht="12" hidden="false" customHeight="true" outlineLevel="0" collapsed="false">
      <c r="A52" s="128" t="s">
        <v>285</v>
      </c>
      <c r="B52" s="157" t="n">
        <f aca="false">B34/B42*100</f>
        <v>19.0131876258165</v>
      </c>
      <c r="C52" s="223" t="n">
        <f aca="false">C34/C42*100</f>
        <v>13.6121169371859</v>
      </c>
      <c r="D52" s="223" t="n">
        <f aca="false">D34/D42*100</f>
        <v>6.15424867001948</v>
      </c>
      <c r="E52" s="223" t="n">
        <f aca="false">E34/E42*100</f>
        <v>9.91377139290876</v>
      </c>
      <c r="F52" s="157" t="n">
        <f aca="false">F34/F42*100</f>
        <v>8.23516579406628</v>
      </c>
      <c r="G52" s="223" t="n">
        <f aca="false">G34/G42*100</f>
        <v>13.048240819924</v>
      </c>
      <c r="H52" s="157" t="n">
        <f aca="false">H34/H42*100</f>
        <v>12.0934752638597</v>
      </c>
      <c r="I52" s="223" t="n">
        <f aca="false">I34/I42*100</f>
        <v>6.11352554597313</v>
      </c>
      <c r="J52" s="157" t="n">
        <f aca="false">J34/J42*100</f>
        <v>15.9095215596509</v>
      </c>
      <c r="K52" s="223" t="n">
        <f aca="false">K34/K42*100</f>
        <v>19.835884748083</v>
      </c>
      <c r="L52" s="157" t="n">
        <f aca="false">L34/L42*100</f>
        <v>-270.873590106495</v>
      </c>
      <c r="M52" s="223" t="n">
        <f aca="false">M34/M42*100</f>
        <v>19.812609798946</v>
      </c>
      <c r="N52" s="157" t="n">
        <f aca="false">N34/N42*100</f>
        <v>-21.3711849717752</v>
      </c>
      <c r="O52" s="223" t="n">
        <f aca="false">O34/O42*100</f>
        <v>6.21371116011405</v>
      </c>
      <c r="P52" s="157" t="n">
        <f aca="false">P34/P42*100</f>
        <v>1.84854820504663</v>
      </c>
      <c r="Q52" s="224" t="n">
        <f aca="false">Q34/Q42*100</f>
        <v>0.916322268368767</v>
      </c>
      <c r="R52" s="224" t="n">
        <f aca="false">R34/R42*100</f>
        <v>3.85653098115764</v>
      </c>
      <c r="S52" s="224" t="n">
        <f aca="false">S34/S42*100</f>
        <v>2.88167480849591</v>
      </c>
      <c r="T52" s="224" t="n">
        <f aca="false">T34/T42*100</f>
        <v>2.41220388045801</v>
      </c>
      <c r="U52" s="224" t="n">
        <f aca="false">U34/U42*100</f>
        <v>1.38052001789234</v>
      </c>
      <c r="V52" s="225" t="n">
        <f aca="false">V34/V42*100</f>
        <v>2.33292504647426</v>
      </c>
      <c r="W52" s="224" t="n">
        <f aca="false">W34/W42*100</f>
        <v>5.21993590461058</v>
      </c>
      <c r="X52" s="224" t="n">
        <f aca="false">X34/X42*100</f>
        <v>6.70228411142653</v>
      </c>
      <c r="Y52" s="224" t="n">
        <f aca="false">Y34/Y42*100</f>
        <v>4.83159301321009</v>
      </c>
      <c r="Z52" s="224" t="n">
        <f aca="false">Z34/Z42*100</f>
        <v>4.22502064140537</v>
      </c>
      <c r="AA52" s="224" t="n">
        <f aca="false">AA34/AA42*100</f>
        <v>19.2212250825044</v>
      </c>
      <c r="AB52" s="224" t="n">
        <f aca="false">AB34/AB42*100</f>
        <v>16.7372153333248</v>
      </c>
      <c r="AC52" s="224" t="n">
        <f aca="false">AC34/AC42*100</f>
        <v>-17.1650697309646</v>
      </c>
      <c r="AD52" s="224" t="n">
        <f aca="false">AD34/AD42*100</f>
        <v>74.0459631867628</v>
      </c>
      <c r="AE52" s="224" t="n">
        <f aca="false">AE34/AE42*100</f>
        <v>-9.0629854827487</v>
      </c>
      <c r="AF52" s="224" t="n">
        <f aca="false">AF34/AF42*100</f>
        <v>-33.5914759177529</v>
      </c>
      <c r="AG52" s="224" t="n">
        <f aca="false">AG34/AG42*100</f>
        <v>-5.93722004196119</v>
      </c>
      <c r="AH52" s="224" t="n">
        <f aca="false">AH34/AH42*100</f>
        <v>-123.92942343577</v>
      </c>
      <c r="AI52" s="224" t="n">
        <f aca="false">AI34/AI42*100</f>
        <v>-48.2081932615389</v>
      </c>
      <c r="AJ52" s="224" t="n">
        <f aca="false">AJ34/AJ42*100</f>
        <v>219.347211908601</v>
      </c>
      <c r="AK52" s="224" t="n">
        <f aca="false">AK34/AK42*100</f>
        <v>60.2081957201797</v>
      </c>
      <c r="AL52" s="224" t="n">
        <f aca="false">AL34/AL42*100</f>
        <v>15.6487725357231</v>
      </c>
      <c r="AM52" s="214"/>
      <c r="AN52" s="224" t="n">
        <f aca="false">AN34/AN42*100</f>
        <v>17.0067706970108</v>
      </c>
      <c r="AO52" s="224" t="n">
        <f aca="false">AO34/AO42*100</f>
        <v>9.06354426850818</v>
      </c>
      <c r="AP52" s="224" t="n">
        <f aca="false">AP34/AP42*100</f>
        <v>14.3322376207711</v>
      </c>
      <c r="AQ52" s="224" t="n">
        <f aca="false">AQ34/AQ42*100</f>
        <v>12.6114532316873</v>
      </c>
      <c r="AR52" s="216"/>
      <c r="AS52" s="224" t="n">
        <f aca="false">AS34/AS42*100</f>
        <v>7.00356426581887</v>
      </c>
      <c r="AT52" s="144" t="n">
        <f aca="false">AT34/AT42*100</f>
        <v>10.010237968051</v>
      </c>
      <c r="AU52" s="224" t="n">
        <f aca="false">AU34/AU42*100</f>
        <v>13.0386769653321</v>
      </c>
    </row>
    <row r="53" customFormat="false" ht="12" hidden="false" customHeight="true" outlineLevel="0" collapsed="false">
      <c r="A53" s="128" t="s">
        <v>1021</v>
      </c>
      <c r="B53" s="157" t="n">
        <f aca="false">B45/B20*100</f>
        <v>5.23255778532294</v>
      </c>
      <c r="C53" s="223" t="n">
        <f aca="false">C45/C20*100</f>
        <v>4.95411226680216</v>
      </c>
      <c r="D53" s="223" t="n">
        <f aca="false">D45/D20*100</f>
        <v>7.4221525918862</v>
      </c>
      <c r="E53" s="223" t="n">
        <f aca="false">E45/E20*100</f>
        <v>7.93424201451473</v>
      </c>
      <c r="F53" s="157" t="n">
        <f aca="false">F45/F20*100</f>
        <v>6.01713050727757</v>
      </c>
      <c r="G53" s="223" t="e">
        <f aca="false">G45/G20*100</f>
        <v>#DIV/0!</v>
      </c>
      <c r="H53" s="157" t="n">
        <f aca="false">H45/H20*100</f>
        <v>5.79766477304923</v>
      </c>
      <c r="I53" s="223" t="n">
        <f aca="false">I45/I20*100</f>
        <v>8.621902767559</v>
      </c>
      <c r="J53" s="157" t="e">
        <f aca="false">J45/J20*100</f>
        <v>#DIV/0!</v>
      </c>
      <c r="K53" s="223" t="e">
        <f aca="false">K45/K20*100</f>
        <v>#DIV/0!</v>
      </c>
      <c r="L53" s="157" t="e">
        <f aca="false">L45/L20*100</f>
        <v>#DIV/0!</v>
      </c>
      <c r="M53" s="223" t="e">
        <f aca="false">M45/M20*100</f>
        <v>#DIV/0!</v>
      </c>
      <c r="N53" s="157" t="e">
        <f aca="false">N45/N20*100</f>
        <v>#DIV/0!</v>
      </c>
      <c r="O53" s="223" t="e">
        <f aca="false">O45/O20*100</f>
        <v>#DIV/0!</v>
      </c>
      <c r="P53" s="158"/>
      <c r="Q53" s="166"/>
      <c r="R53" s="166"/>
      <c r="S53" s="166"/>
      <c r="T53" s="166"/>
      <c r="U53" s="166"/>
      <c r="V53" s="190"/>
      <c r="W53" s="166"/>
      <c r="X53" s="166"/>
      <c r="Y53" s="166"/>
      <c r="Z53" s="216"/>
      <c r="AA53" s="216"/>
      <c r="AB53" s="216"/>
      <c r="AC53" s="216"/>
      <c r="AD53" s="216"/>
      <c r="AE53" s="216"/>
      <c r="AF53" s="216"/>
      <c r="AG53" s="216"/>
      <c r="AH53" s="216"/>
      <c r="AI53" s="216"/>
      <c r="AJ53" s="216"/>
      <c r="AK53" s="216"/>
      <c r="AL53" s="216"/>
      <c r="AM53" s="214"/>
      <c r="AN53" s="216"/>
      <c r="AO53" s="216"/>
      <c r="AP53" s="166"/>
      <c r="AQ53" s="216"/>
      <c r="AR53" s="216"/>
      <c r="AS53" s="216"/>
      <c r="AT53" s="214"/>
      <c r="AU53" s="166"/>
    </row>
    <row r="54" customFormat="false" ht="12" hidden="false" customHeight="true" outlineLevel="0" collapsed="false">
      <c r="A54" s="128" t="s">
        <v>290</v>
      </c>
      <c r="B54" s="157" t="n">
        <f aca="false">B35/B20*100</f>
        <v>8.0434293888607</v>
      </c>
      <c r="C54" s="223" t="n">
        <f aca="false">C35/C20*100</f>
        <v>7.50562578423949</v>
      </c>
      <c r="D54" s="223" t="n">
        <f aca="false">D35/D20*100</f>
        <v>9.07448819529087</v>
      </c>
      <c r="E54" s="223" t="n">
        <f aca="false">E35/E20*100</f>
        <v>10.3041909138637</v>
      </c>
      <c r="F54" s="157" t="n">
        <f aca="false">F35/F20*100</f>
        <v>8.97891343942993</v>
      </c>
      <c r="G54" s="223" t="e">
        <f aca="false">G35/G20*100</f>
        <v>#DIV/0!</v>
      </c>
      <c r="H54" s="157" t="n">
        <f aca="false">H35/H20*100</f>
        <v>7.68862307383775</v>
      </c>
      <c r="I54" s="223" t="n">
        <f aca="false">I35/I20*100</f>
        <v>10.33780418071</v>
      </c>
      <c r="J54" s="157" t="e">
        <f aca="false">J35/J20*100</f>
        <v>#DIV/0!</v>
      </c>
      <c r="K54" s="223" t="e">
        <f aca="false">K35/K20*100</f>
        <v>#DIV/0!</v>
      </c>
      <c r="L54" s="157" t="e">
        <f aca="false">L35/L20*100</f>
        <v>#DIV/0!</v>
      </c>
      <c r="M54" s="223" t="e">
        <f aca="false">M35/M20*100</f>
        <v>#DIV/0!</v>
      </c>
      <c r="N54" s="157" t="e">
        <f aca="false">N35/N20*100</f>
        <v>#DIV/0!</v>
      </c>
      <c r="O54" s="223" t="e">
        <f aca="false">O35/O20*100</f>
        <v>#DIV/0!</v>
      </c>
      <c r="P54" s="158"/>
      <c r="Q54" s="166"/>
      <c r="R54" s="166"/>
      <c r="S54" s="166"/>
      <c r="T54" s="166"/>
      <c r="U54" s="166"/>
      <c r="V54" s="190"/>
      <c r="W54" s="166"/>
      <c r="X54" s="166"/>
      <c r="Y54" s="166"/>
      <c r="Z54" s="216"/>
      <c r="AA54" s="216"/>
      <c r="AB54" s="216"/>
      <c r="AC54" s="216"/>
      <c r="AD54" s="216"/>
      <c r="AE54" s="216"/>
      <c r="AF54" s="216"/>
      <c r="AG54" s="216"/>
      <c r="AH54" s="216"/>
      <c r="AI54" s="216"/>
      <c r="AJ54" s="216"/>
      <c r="AK54" s="216"/>
      <c r="AL54" s="216"/>
      <c r="AM54" s="214"/>
      <c r="AN54" s="216"/>
      <c r="AO54" s="216"/>
      <c r="AP54" s="166"/>
      <c r="AQ54" s="216"/>
      <c r="AR54" s="216"/>
      <c r="AS54" s="216"/>
      <c r="AT54" s="214"/>
      <c r="AU54" s="166"/>
    </row>
    <row r="55" s="19" customFormat="true" ht="12.75" hidden="false" customHeight="true" outlineLevel="0" collapsed="false">
      <c r="A55" s="132" t="s">
        <v>291</v>
      </c>
      <c r="B55" s="217" t="n">
        <f aca="false">B37/B20*100</f>
        <v>6.04693498203034</v>
      </c>
      <c r="C55" s="218" t="n">
        <f aca="false">C37/C20*100</f>
        <v>5.61567338304071</v>
      </c>
      <c r="D55" s="218" t="n">
        <f aca="false">D37/D20*100</f>
        <v>7.4692545190072</v>
      </c>
      <c r="E55" s="218" t="n">
        <f aca="false">E37/E20*100</f>
        <v>8.49816173504291</v>
      </c>
      <c r="F55" s="217" t="n">
        <f aca="false">F37/F20*100</f>
        <v>6.7863571917863</v>
      </c>
      <c r="G55" s="218" t="e">
        <f aca="false">G37/G20*100</f>
        <v>#DIV/0!</v>
      </c>
      <c r="H55" s="217" t="n">
        <f aca="false">H37/H20*100</f>
        <v>5.73789749578075</v>
      </c>
      <c r="I55" s="218" t="n">
        <f aca="false">I37/I20*100</f>
        <v>8.70575428229063</v>
      </c>
      <c r="J55" s="217" t="e">
        <f aca="false">J37/J20*100</f>
        <v>#DIV/0!</v>
      </c>
      <c r="K55" s="218" t="e">
        <f aca="false">K37/K20*100</f>
        <v>#DIV/0!</v>
      </c>
      <c r="L55" s="218" t="n">
        <f aca="false">L37/L22*100</f>
        <v>1.8519090255736</v>
      </c>
      <c r="M55" s="218" t="n">
        <f aca="false">M37/M22*100</f>
        <v>0.485255171485275</v>
      </c>
      <c r="N55" s="218" t="n">
        <f aca="false">N37/N22*100</f>
        <v>-5.26198119131877</v>
      </c>
      <c r="O55" s="218" t="n">
        <f aca="false">O37/O22*100</f>
        <v>6.59340276250399</v>
      </c>
      <c r="P55" s="218" t="n">
        <f aca="false">P37/P22*100</f>
        <v>7.74963008136888</v>
      </c>
      <c r="Q55" s="218" t="n">
        <f aca="false">Q37/Q22*100</f>
        <v>11.4814557487169</v>
      </c>
      <c r="R55" s="218" t="n">
        <f aca="false">R37/R22*100</f>
        <v>6.26257544736044</v>
      </c>
      <c r="S55" s="218" t="n">
        <f aca="false">S37/S22*100</f>
        <v>7.64674205112872</v>
      </c>
      <c r="T55" s="218" t="n">
        <f aca="false">T37/T22*100</f>
        <v>3.66049071114806</v>
      </c>
      <c r="U55" s="218" t="n">
        <f aca="false">U37/U22*100</f>
        <v>10.2310303692698</v>
      </c>
      <c r="V55" s="226" t="n">
        <f aca="false">V37/V22*100</f>
        <v>7.44577232593514</v>
      </c>
      <c r="W55" s="218" t="n">
        <f aca="false">W37/W22*100</f>
        <v>4.05820302575911</v>
      </c>
      <c r="X55" s="218" t="n">
        <f aca="false">X37/X22*100</f>
        <v>6.23194014497907</v>
      </c>
      <c r="Y55" s="218" t="n">
        <f aca="false">Y37/Y22*100</f>
        <v>2.49890530478364</v>
      </c>
      <c r="Z55" s="218" t="n">
        <f aca="false">Z37/Z22*100</f>
        <v>7.25653308830548</v>
      </c>
      <c r="AA55" s="218" t="n">
        <f aca="false">AA37/AA22*100</f>
        <v>2.69127222822825</v>
      </c>
      <c r="AB55" s="218" t="n">
        <f aca="false">AB37/AB22*100</f>
        <v>4.7301106735329</v>
      </c>
      <c r="AC55" s="218" t="n">
        <f aca="false">AC37/AC22*100</f>
        <v>-3.52048945480126</v>
      </c>
      <c r="AD55" s="218" t="n">
        <f aca="false">AD37/AD22*100</f>
        <v>0.722627789131094</v>
      </c>
      <c r="AE55" s="218" t="n">
        <f aca="false">AE37/AE22*100</f>
        <v>-6.78307327317063</v>
      </c>
      <c r="AF55" s="218" t="n">
        <f aca="false">AF37/AF22*100</f>
        <v>-5.29929698236574</v>
      </c>
      <c r="AG55" s="218" t="n">
        <f aca="false">AG37/AG22*100</f>
        <v>-14.5957087662415</v>
      </c>
      <c r="AH55" s="218" t="n">
        <f aca="false">AH37/AH22*100</f>
        <v>-0.531110947231098</v>
      </c>
      <c r="AI55" s="218" t="n">
        <f aca="false">AI37/AI22*100</f>
        <v>-2.84330848498242</v>
      </c>
      <c r="AJ55" s="218" t="n">
        <f aca="false">AJ37/AJ22*100</f>
        <v>1.74855562019153</v>
      </c>
      <c r="AK55" s="218" t="n">
        <f aca="false">AK37/AK22*100</f>
        <v>1.76717806553168</v>
      </c>
      <c r="AL55" s="218" t="n">
        <f aca="false">AL37/AL22*100</f>
        <v>6.57066392170193</v>
      </c>
      <c r="AM55" s="221"/>
      <c r="AN55" s="218" t="n">
        <f aca="false">AN37/AN22*100</f>
        <v>6.11545342772151</v>
      </c>
      <c r="AO55" s="218" t="n">
        <f aca="false">AO37/AO22*100</f>
        <v>8.86265169148737</v>
      </c>
      <c r="AP55" s="218" t="n">
        <f aca="false">AP37/AP22*100</f>
        <v>6.32960256167093</v>
      </c>
      <c r="AQ55" s="218" t="n">
        <f aca="false">AQ37/AQ22*100</f>
        <v>6.86165144701975</v>
      </c>
      <c r="AR55" s="227"/>
      <c r="AS55" s="218" t="n">
        <f aca="false">AS37/AS22*100</f>
        <v>10.1947314711112</v>
      </c>
      <c r="AT55" s="135" t="n">
        <f aca="false">AT37/AT22*100</f>
        <v>8.28913739403443</v>
      </c>
      <c r="AU55" s="218" t="n">
        <f aca="false">AU37/AU22*100</f>
        <v>6.48965863837099</v>
      </c>
    </row>
    <row r="56" s="19" customFormat="true" ht="12.75" hidden="false" customHeight="true" outlineLevel="0" collapsed="false">
      <c r="A56" s="132" t="s">
        <v>292</v>
      </c>
      <c r="B56" s="217" t="n">
        <f aca="false">B40/(B37+B38+B39)*100</f>
        <v>27.4918771617231</v>
      </c>
      <c r="C56" s="218" t="n">
        <f aca="false">C40/(C37+C38+C39)*100</f>
        <v>25.9609785638311</v>
      </c>
      <c r="D56" s="218" t="n">
        <f aca="false">D40/(D37+D38+D39)*100</f>
        <v>30.1872702205882</v>
      </c>
      <c r="E56" s="218" t="n">
        <f aca="false">E40/(E37+E38+E39)*100</f>
        <v>25.0317978574145</v>
      </c>
      <c r="F56" s="217" t="n">
        <f aca="false">F40/(F37+F38+F39)*100</f>
        <v>29.0568587701515</v>
      </c>
      <c r="G56" s="217" t="n">
        <f aca="false">G40/(G37+G38+G39)*100</f>
        <v>31.7625074322603</v>
      </c>
      <c r="H56" s="217" t="n">
        <f aca="false">H40/(H37+H38+H39)*100</f>
        <v>20.4737721696097</v>
      </c>
      <c r="I56" s="218" t="n">
        <f aca="false">I40/(I37+I38+I39)*100</f>
        <v>27.0218931491458</v>
      </c>
      <c r="J56" s="217" t="n">
        <f aca="false">J40/(J37+J38+J39)*100</f>
        <v>30.1055948695267</v>
      </c>
      <c r="K56" s="217" t="n">
        <f aca="false">K40/(K37+K38+K39)*100</f>
        <v>25.9454268531072</v>
      </c>
      <c r="L56" s="217" t="n">
        <f aca="false">L40/(L37+L38+L39)*100</f>
        <v>-12.340286172503</v>
      </c>
      <c r="M56" s="218" t="n">
        <f aca="false">M40/(M37+M38+M39)*100</f>
        <v>-64.7324187368684</v>
      </c>
      <c r="N56" s="217" t="n">
        <f aca="false">N40/(N37+N38+N39)*100</f>
        <v>-217.05426356589</v>
      </c>
      <c r="O56" s="217" t="n">
        <f aca="false">O40/(O37+O38+O39)*100</f>
        <v>14.1049192723607</v>
      </c>
      <c r="P56" s="217" t="n">
        <f aca="false">P40/(P37+P38+P39)*100</f>
        <v>24.7685492364031</v>
      </c>
      <c r="Q56" s="191" t="n">
        <f aca="false">Q40/(Q37+Q38+Q39)*100</f>
        <v>20.4504206479465</v>
      </c>
      <c r="R56" s="191" t="n">
        <f aca="false">R40/(R37+R38+R39)*100</f>
        <v>16.5936839270449</v>
      </c>
      <c r="S56" s="191" t="n">
        <f aca="false">S40/(S37+S38+S39)*100</f>
        <v>19.5008796356752</v>
      </c>
      <c r="T56" s="191" t="n">
        <f aca="false">T40/(T37+T38+T39)*100</f>
        <v>11.3086718727476</v>
      </c>
      <c r="U56" s="191" t="n">
        <f aca="false">U40/(U37+U38+U39)*100</f>
        <v>23.8627596450532</v>
      </c>
      <c r="V56" s="222" t="n">
        <f aca="false">V40/(V37+V38+V39)*100</f>
        <v>20.5967799199637</v>
      </c>
      <c r="W56" s="191" t="n">
        <f aca="false">W40/(W37+W38+W39)*100</f>
        <v>22.1072309067757</v>
      </c>
      <c r="X56" s="191" t="n">
        <f aca="false">X40/(X37+X38+X39)*100</f>
        <v>20.1035199049218</v>
      </c>
      <c r="Y56" s="191" t="n">
        <f aca="false">Y40/(Y37+Y38+Y39)*100</f>
        <v>7.03135204840238</v>
      </c>
      <c r="Z56" s="191" t="n">
        <f aca="false">Z40/(Z37+Z38+Z39)*100</f>
        <v>17.7115044315335</v>
      </c>
      <c r="AA56" s="191" t="n">
        <f aca="false">AA40/(AA37+AA38+AA39)*100</f>
        <v>17.2976392429071</v>
      </c>
      <c r="AB56" s="191" t="n">
        <f aca="false">AB40/(AB37+AB38+AB39)*100</f>
        <v>8.53716263455168</v>
      </c>
      <c r="AC56" s="191" t="n">
        <f aca="false">AC40/(AC37+AC38+AC39)*100</f>
        <v>-2.33260134738783</v>
      </c>
      <c r="AD56" s="191" t="n">
        <f aca="false">AD40/(AD37+AD38+AD39)*100</f>
        <v>7.05497107290366</v>
      </c>
      <c r="AE56" s="191" t="n">
        <f aca="false">AE40/(AE37+AE38+AE39)*100</f>
        <v>16.3169784336351</v>
      </c>
      <c r="AF56" s="191" t="n">
        <f aca="false">AF40/(AF37+AF38+AF39)*100</f>
        <v>80.6263316113594</v>
      </c>
      <c r="AG56" s="191" t="n">
        <f aca="false">AG40/(AG37+AG38+AG39)*100</f>
        <v>24.206104180951</v>
      </c>
      <c r="AH56" s="191" t="n">
        <f aca="false">AH40/(AH37+AH38+AH39)*100</f>
        <v>-1.0118053219848</v>
      </c>
      <c r="AI56" s="191" t="n">
        <f aca="false">AI40/(AI37+AI38+AI39)*100</f>
        <v>31.9368190360475</v>
      </c>
      <c r="AJ56" s="191" t="n">
        <f aca="false">AJ40/(AJ37+AJ38+AJ39)*100</f>
        <v>26.9596703375844</v>
      </c>
      <c r="AK56" s="191" t="n">
        <f aca="false">AK40/(AK37+AK38+AK39)*100</f>
        <v>45.9636197108168</v>
      </c>
      <c r="AL56" s="191" t="n">
        <f aca="false">AL40/(AL37+AL38+AL39)*100</f>
        <v>19.0875709819015</v>
      </c>
      <c r="AM56" s="221"/>
      <c r="AN56" s="191" t="n">
        <f aca="false">AN40/(AN37+AN38+AN39)*100</f>
        <v>32.1781141366952</v>
      </c>
      <c r="AO56" s="191" t="n">
        <f aca="false">AO40/(AO37+AO38+AO39)*100</f>
        <v>19.5294641418519</v>
      </c>
      <c r="AP56" s="191" t="n">
        <f aca="false">AP40/(AP37+AP38+AP39)*100</f>
        <v>30</v>
      </c>
      <c r="AQ56" s="191" t="n">
        <f aca="false">AQ40/(AQ37+AQ38+AQ39)*100</f>
        <v>26.2098341612669</v>
      </c>
      <c r="AR56" s="183" t="n">
        <v>28</v>
      </c>
      <c r="AS56" s="191" t="n">
        <f aca="false">AS40/(AS37+AS38+AS39)*100</f>
        <v>14.1011386468942</v>
      </c>
      <c r="AT56" s="135" t="n">
        <f aca="false">AT40/(AT37+AT38+AT39)*100</f>
        <v>19.136215591457</v>
      </c>
      <c r="AU56" s="191" t="n">
        <f aca="false">AU40/(AU37+AU38+AU39)*100</f>
        <v>28</v>
      </c>
    </row>
    <row r="57" s="19" customFormat="true" ht="12.75" hidden="false" customHeight="true" outlineLevel="0" collapsed="false">
      <c r="A57" s="132" t="s">
        <v>293</v>
      </c>
      <c r="B57" s="217" t="n">
        <f aca="false">B42/B20*100</f>
        <v>4.44888651418901</v>
      </c>
      <c r="C57" s="218" t="n">
        <f aca="false">C42/C20*100</f>
        <v>3.84038138259954</v>
      </c>
      <c r="D57" s="218" t="n">
        <f aca="false">D42/D20*100</f>
        <v>4.98541289549314</v>
      </c>
      <c r="E57" s="218" t="n">
        <f aca="false">E42/E20*100</f>
        <v>6.39951351394939</v>
      </c>
      <c r="F57" s="217" t="n">
        <f aca="false">F42/F20*100</f>
        <v>4.8683351122298</v>
      </c>
      <c r="G57" s="218" t="e">
        <f aca="false">G42/G20*100</f>
        <v>#DIV/0!</v>
      </c>
      <c r="H57" s="217" t="n">
        <f aca="false">H42/H20*100</f>
        <v>4.22785406442595</v>
      </c>
      <c r="I57" s="218" t="n">
        <f aca="false">I42/I20*100</f>
        <v>6.37304127825081</v>
      </c>
      <c r="J57" s="217" t="e">
        <f aca="false">J42/J20*100</f>
        <v>#DIV/0!</v>
      </c>
      <c r="K57" s="218" t="e">
        <f aca="false">K42/K20*100</f>
        <v>#DIV/0!</v>
      </c>
      <c r="L57" s="219"/>
      <c r="M57" s="218" t="e">
        <f aca="false">M42/M20*100</f>
        <v>#DIV/0!</v>
      </c>
      <c r="N57" s="217" t="e">
        <f aca="false">N42/N20*100</f>
        <v>#DIV/0!</v>
      </c>
      <c r="O57" s="218" t="e">
        <f aca="false">O42/O20*100</f>
        <v>#DIV/0!</v>
      </c>
      <c r="P57" s="219"/>
      <c r="Q57" s="195"/>
      <c r="R57" s="195"/>
      <c r="S57" s="195"/>
      <c r="T57" s="195"/>
      <c r="U57" s="195"/>
      <c r="V57" s="196"/>
      <c r="W57" s="195"/>
      <c r="X57" s="195"/>
      <c r="Y57" s="195"/>
      <c r="Z57" s="228"/>
      <c r="AA57" s="228"/>
      <c r="AB57" s="228"/>
      <c r="AC57" s="228"/>
      <c r="AD57" s="228"/>
      <c r="AE57" s="228"/>
      <c r="AF57" s="228"/>
      <c r="AG57" s="228"/>
      <c r="AH57" s="228"/>
      <c r="AI57" s="228"/>
      <c r="AJ57" s="228"/>
      <c r="AK57" s="228"/>
      <c r="AL57" s="228"/>
      <c r="AM57" s="221"/>
      <c r="AN57" s="228"/>
      <c r="AO57" s="228"/>
      <c r="AP57" s="195"/>
      <c r="AQ57" s="228"/>
      <c r="AR57" s="228"/>
      <c r="AS57" s="228"/>
      <c r="AT57" s="221"/>
      <c r="AU57" s="195"/>
    </row>
    <row r="58" customFormat="false" ht="12" hidden="false" customHeight="true" outlineLevel="0" collapsed="false">
      <c r="A58" s="128" t="s">
        <v>907</v>
      </c>
      <c r="B58" s="157" t="n">
        <f aca="false">B42/B22*100</f>
        <v>5.12848064994607</v>
      </c>
      <c r="C58" s="223" t="n">
        <f aca="false">C42/C22*100</f>
        <v>4.41996987691216</v>
      </c>
      <c r="D58" s="223" t="n">
        <f aca="false">D42/D22*100</f>
        <v>5.80544118416441</v>
      </c>
      <c r="E58" s="223" t="n">
        <f aca="false">E42/E22*100</f>
        <v>7.44352055383651</v>
      </c>
      <c r="F58" s="157" t="n">
        <f aca="false">F42/F22*100</f>
        <v>5.65527264113819</v>
      </c>
      <c r="G58" s="223" t="n">
        <f aca="false">G42/G22*100</f>
        <v>4.89007314035358</v>
      </c>
      <c r="H58" s="157" t="n">
        <f aca="false">H42/H22*100</f>
        <v>4.91610937723948</v>
      </c>
      <c r="I58" s="223" t="n">
        <f aca="false">I42/I22*100</f>
        <v>7.41051311424512</v>
      </c>
      <c r="J58" s="157" t="n">
        <f aca="false">J42/J22*100</f>
        <v>4.05920865795444</v>
      </c>
      <c r="K58" s="223" t="n">
        <f aca="false">K42/K22*100</f>
        <v>3.50996309425332</v>
      </c>
      <c r="L58" s="157" t="n">
        <f aca="false">L42/L22*100</f>
        <v>-0.390389832305257</v>
      </c>
      <c r="M58" s="223" t="n">
        <f aca="false">M42/M22*100</f>
        <v>2.94395799435523</v>
      </c>
      <c r="N58" s="157" t="n">
        <f aca="false">N42/N22*100</f>
        <v>-4.67893618397043</v>
      </c>
      <c r="O58" s="223" t="n">
        <f aca="false">O42/O22*100</f>
        <v>5.6711651999392</v>
      </c>
      <c r="P58" s="157" t="n">
        <f aca="false">P42/P22*100</f>
        <v>5.81686582198608</v>
      </c>
      <c r="Q58" s="224" t="n">
        <f aca="false">Q42/Q22*100</f>
        <v>8.57485111874725</v>
      </c>
      <c r="R58" s="224" t="n">
        <f aca="false">R42/R22*100</f>
        <v>5.22338347193273</v>
      </c>
      <c r="S58" s="224" t="n">
        <f aca="false">S42/S22*100</f>
        <v>6.15556008768755</v>
      </c>
      <c r="T58" s="224" t="n">
        <f aca="false">T42/T22*100</f>
        <v>3.11452475526831</v>
      </c>
      <c r="U58" s="224" t="n">
        <f aca="false">U42/U22*100</f>
        <v>7.78962418303855</v>
      </c>
      <c r="V58" s="225" t="n">
        <f aca="false">V42/V22*100</f>
        <v>5.91218298662072</v>
      </c>
      <c r="W58" s="224" t="n">
        <f aca="false">W42/W22*100</f>
        <v>3.16104671218878</v>
      </c>
      <c r="X58" s="224" t="n">
        <f aca="false">X42/X22*100</f>
        <v>4.97910081747039</v>
      </c>
      <c r="Y58" s="224" t="n">
        <f aca="false">Y42/Y22*100</f>
        <v>2.3231984754481</v>
      </c>
      <c r="Z58" s="224" t="n">
        <f aca="false">Z42/Z22*100</f>
        <v>5.97129190879456</v>
      </c>
      <c r="AA58" s="224" t="n">
        <f aca="false">AA42/AA22*100</f>
        <v>2.22574566714478</v>
      </c>
      <c r="AB58" s="224" t="n">
        <f aca="false">AB42/AB22*100</f>
        <v>4.3262934325391</v>
      </c>
      <c r="AC58" s="224" t="n">
        <f aca="false">AC42/AC22*100</f>
        <v>-3.44949626128419</v>
      </c>
      <c r="AD58" s="224" t="n">
        <f aca="false">AD42/AD22*100</f>
        <v>0.417408087000849</v>
      </c>
      <c r="AE58" s="224" t="n">
        <f aca="false">AE42/AE22*100</f>
        <v>-5.72122909943769</v>
      </c>
      <c r="AF58" s="224" t="n">
        <f aca="false">AF42/AF22*100</f>
        <v>-2.69891263536167</v>
      </c>
      <c r="AG58" s="224" t="n">
        <f aca="false">AG42/AG22*100</f>
        <v>-13.2870967320794</v>
      </c>
      <c r="AH58" s="224" t="n">
        <f aca="false">AH42/AH22*100</f>
        <v>-0.412805334517066</v>
      </c>
      <c r="AI58" s="224" t="n">
        <f aca="false">AI42/AI22*100</f>
        <v>-1.935246199497</v>
      </c>
      <c r="AJ58" s="224" t="n">
        <f aca="false">AJ42/AJ22*100</f>
        <v>0.364110324754004</v>
      </c>
      <c r="AK58" s="224" t="n">
        <f aca="false">AK42/AK22*100</f>
        <v>0.954919059877728</v>
      </c>
      <c r="AL58" s="224" t="n">
        <f aca="false">AL42/AL22*100</f>
        <v>5.28243696407522</v>
      </c>
      <c r="AM58" s="214"/>
      <c r="AN58" s="224" t="n">
        <f aca="false">AN42/AN22*100</f>
        <v>4.14761584377284</v>
      </c>
      <c r="AO58" s="224" t="n">
        <f aca="false">AO42/AO22*100</f>
        <v>5.91085361748818</v>
      </c>
      <c r="AP58" s="224" t="n">
        <f aca="false">AP42/AP22*100</f>
        <v>4.43072179316965</v>
      </c>
      <c r="AQ58" s="224" t="n">
        <f aca="false">AQ42/AQ22*100</f>
        <v>5.02141496267919</v>
      </c>
      <c r="AR58" s="216"/>
      <c r="AS58" s="224" t="n">
        <f aca="false">AS42/AS22*100</f>
        <v>7.66175356673653</v>
      </c>
      <c r="AT58" s="144" t="n">
        <f aca="false">AT42/AT22*100</f>
        <v>5.91194084582289</v>
      </c>
      <c r="AU58" s="224" t="n">
        <f aca="false">AU42/AU22*100</f>
        <v>4.67255421962711</v>
      </c>
    </row>
    <row r="59" customFormat="false" ht="12" hidden="false" customHeight="true" outlineLevel="0" collapsed="false">
      <c r="Q59" s="166"/>
      <c r="R59" s="166"/>
      <c r="S59" s="166"/>
      <c r="T59" s="166"/>
      <c r="U59" s="166"/>
      <c r="V59" s="190"/>
      <c r="W59" s="166"/>
      <c r="X59" s="166"/>
      <c r="Y59" s="166"/>
      <c r="Z59" s="216"/>
      <c r="AA59" s="216"/>
      <c r="AB59" s="216"/>
      <c r="AC59" s="216"/>
      <c r="AD59" s="216"/>
      <c r="AE59" s="216"/>
      <c r="AF59" s="216"/>
      <c r="AG59" s="216"/>
      <c r="AH59" s="216"/>
      <c r="AI59" s="216"/>
      <c r="AJ59" s="216"/>
      <c r="AK59" s="216"/>
      <c r="AL59" s="216"/>
      <c r="AM59" s="214"/>
      <c r="AN59" s="216"/>
      <c r="AO59" s="216"/>
      <c r="AP59" s="216"/>
      <c r="AQ59" s="216"/>
      <c r="AR59" s="216"/>
      <c r="AS59" s="216"/>
      <c r="AT59" s="214"/>
      <c r="AU59" s="216"/>
    </row>
    <row r="60" customFormat="false" ht="12.75" hidden="false" customHeight="true" outlineLevel="0" collapsed="false">
      <c r="A60" s="132" t="s">
        <v>909</v>
      </c>
      <c r="Q60" s="166"/>
      <c r="R60" s="151"/>
      <c r="S60" s="151"/>
      <c r="T60" s="151"/>
      <c r="U60" s="151"/>
      <c r="V60" s="152"/>
      <c r="W60" s="151"/>
      <c r="X60" s="151"/>
      <c r="Y60" s="151"/>
      <c r="Z60" s="229"/>
      <c r="AA60" s="229"/>
      <c r="AB60" s="229"/>
      <c r="AC60" s="229"/>
      <c r="AD60" s="229"/>
      <c r="AE60" s="229"/>
      <c r="AF60" s="229"/>
      <c r="AG60" s="229"/>
      <c r="AH60" s="229"/>
      <c r="AI60" s="229"/>
      <c r="AJ60" s="229"/>
      <c r="AK60" s="229"/>
      <c r="AL60" s="229"/>
      <c r="AM60" s="214"/>
      <c r="AN60" s="229"/>
      <c r="AO60" s="229"/>
      <c r="AP60" s="229"/>
      <c r="AQ60" s="229"/>
      <c r="AR60" s="229"/>
      <c r="AS60" s="229"/>
      <c r="AT60" s="214"/>
      <c r="AU60" s="229"/>
    </row>
    <row r="61" customFormat="false" ht="12" hidden="false" customHeight="true" outlineLevel="0" collapsed="false">
      <c r="A61" s="128" t="s">
        <v>1022</v>
      </c>
      <c r="B61" s="157" t="n">
        <f aca="false">B21/B20*100</f>
        <v>13.2513736941605</v>
      </c>
      <c r="C61" s="223" t="n">
        <f aca="false">C21/C20*100</f>
        <v>13.1129512293764</v>
      </c>
      <c r="D61" s="230" t="n">
        <v>13.11</v>
      </c>
      <c r="E61" s="223" t="n">
        <f aca="false">E21/E20*100</f>
        <v>14.0257158200365</v>
      </c>
      <c r="F61" s="157" t="n">
        <f aca="false">F21/F20*100</f>
        <v>13.9151121235775</v>
      </c>
      <c r="G61" s="223" t="e">
        <f aca="false">G21/G20*100</f>
        <v>#DIV/0!</v>
      </c>
      <c r="H61" s="164" t="n">
        <v>14.11</v>
      </c>
      <c r="I61" s="223" t="n">
        <f aca="false">I21/I20*100</f>
        <v>14</v>
      </c>
      <c r="J61" s="157" t="e">
        <f aca="false">J21/J20*100</f>
        <v>#DIV/0!</v>
      </c>
      <c r="K61" s="223" t="e">
        <f aca="false">K21/K20*100</f>
        <v>#DIV/0!</v>
      </c>
      <c r="L61" s="158"/>
      <c r="M61" s="223" t="e">
        <f aca="false">M21/M20*100</f>
        <v>#DIV/0!</v>
      </c>
      <c r="N61" s="157" t="e">
        <f aca="false">N21/N20*100</f>
        <v>#DIV/0!</v>
      </c>
      <c r="O61" s="231"/>
      <c r="P61" s="158"/>
      <c r="Q61" s="166"/>
      <c r="R61" s="166"/>
      <c r="S61" s="166"/>
      <c r="T61" s="166"/>
      <c r="U61" s="166"/>
      <c r="V61" s="190"/>
      <c r="W61" s="166"/>
      <c r="X61" s="166"/>
      <c r="Y61" s="166"/>
      <c r="Z61" s="216"/>
      <c r="AA61" s="216"/>
      <c r="AB61" s="216"/>
      <c r="AC61" s="216"/>
      <c r="AD61" s="216"/>
      <c r="AE61" s="216"/>
      <c r="AF61" s="216"/>
      <c r="AG61" s="216"/>
      <c r="AH61" s="216"/>
      <c r="AI61" s="216"/>
      <c r="AJ61" s="216"/>
      <c r="AK61" s="216"/>
      <c r="AL61" s="216"/>
      <c r="AM61" s="214"/>
      <c r="AN61" s="216"/>
      <c r="AO61" s="216"/>
      <c r="AP61" s="216"/>
      <c r="AQ61" s="216"/>
      <c r="AR61" s="216"/>
      <c r="AS61" s="216"/>
      <c r="AT61" s="214"/>
      <c r="AU61" s="216"/>
    </row>
    <row r="62" customFormat="false" ht="12" hidden="false" customHeight="true" outlineLevel="0" collapsed="false">
      <c r="A62" s="128" t="s">
        <v>910</v>
      </c>
      <c r="B62" s="157" t="n">
        <f aca="false">(B24+B25)/B20*100</f>
        <v>63.6376042798212</v>
      </c>
      <c r="C62" s="223" t="n">
        <f aca="false">(C24+C25)/C20*100</f>
        <v>65.6492206862938</v>
      </c>
      <c r="D62" s="223" t="n">
        <f aca="false">(D24+D25)/D20*100</f>
        <v>65.477717406795</v>
      </c>
      <c r="E62" s="223" t="n">
        <f aca="false">(E24+E25)/E20*100</f>
        <v>64.0183042179334</v>
      </c>
      <c r="F62" s="157" t="n">
        <f aca="false">(F24+F25)/F20*100</f>
        <v>61.9683621939369</v>
      </c>
      <c r="G62" s="223" t="e">
        <f aca="false">(G24+G25)/G20*100</f>
        <v>#DIV/0!</v>
      </c>
      <c r="H62" s="223" t="n">
        <f aca="false">(H24+H25)/H20*100</f>
        <v>64.9255133932788</v>
      </c>
      <c r="I62" s="223" t="n">
        <f aca="false">(I24+I25)/I20*100</f>
        <v>63.5247729805367</v>
      </c>
      <c r="J62" s="157" t="e">
        <f aca="false">(J24+J25)/J20*100</f>
        <v>#DIV/0!</v>
      </c>
      <c r="K62" s="223" t="e">
        <f aca="false">(K24+K25)/K20*100</f>
        <v>#DIV/0!</v>
      </c>
      <c r="L62" s="223" t="e">
        <f aca="false">(L24+L25)/L20*100</f>
        <v>#DIV/0!</v>
      </c>
      <c r="M62" s="223" t="e">
        <f aca="false">(M24+M25)/M20*100</f>
        <v>#DIV/0!</v>
      </c>
      <c r="N62" s="157" t="e">
        <f aca="false">(N24+N25)/N20*100</f>
        <v>#DIV/0!</v>
      </c>
      <c r="O62" s="231"/>
      <c r="P62" s="231"/>
      <c r="Q62" s="166"/>
      <c r="R62" s="166"/>
      <c r="S62" s="166"/>
      <c r="T62" s="166"/>
      <c r="U62" s="166"/>
      <c r="V62" s="190"/>
      <c r="W62" s="166"/>
      <c r="X62" s="166"/>
      <c r="Y62" s="166"/>
      <c r="Z62" s="216"/>
      <c r="AA62" s="216"/>
      <c r="AB62" s="216"/>
      <c r="AC62" s="216"/>
      <c r="AD62" s="216"/>
      <c r="AE62" s="216"/>
      <c r="AF62" s="216"/>
      <c r="AG62" s="216"/>
      <c r="AH62" s="216"/>
      <c r="AI62" s="216"/>
      <c r="AJ62" s="216"/>
      <c r="AK62" s="216"/>
      <c r="AL62" s="216"/>
      <c r="AM62" s="214"/>
      <c r="AN62" s="216"/>
      <c r="AO62" s="216"/>
      <c r="AP62" s="216"/>
      <c r="AQ62" s="216"/>
      <c r="AR62" s="216"/>
      <c r="AS62" s="216"/>
      <c r="AT62" s="214"/>
      <c r="AU62" s="216"/>
    </row>
    <row r="63" customFormat="false" ht="12" hidden="false" customHeight="true" outlineLevel="0" collapsed="false">
      <c r="A63" s="128" t="s">
        <v>911</v>
      </c>
      <c r="B63" s="157" t="n">
        <f aca="false">B26/B20*100</f>
        <v>7.86680939235776</v>
      </c>
      <c r="C63" s="223" t="n">
        <f aca="false">C26/C20*100</f>
        <v>6.24010950835312</v>
      </c>
      <c r="D63" s="223" t="n">
        <f aca="false">D26/D20*100</f>
        <v>5.55097418862703</v>
      </c>
      <c r="E63" s="223" t="n">
        <f aca="false">E26/E20*100</f>
        <v>4.36511465842271</v>
      </c>
      <c r="F63" s="157" t="n">
        <f aca="false">F26/F20*100</f>
        <v>7.38693387284342</v>
      </c>
      <c r="G63" s="223" t="e">
        <f aca="false">G26/G20*100</f>
        <v>#DIV/0!</v>
      </c>
      <c r="H63" s="223" t="n">
        <f aca="false">H26/H20*100</f>
        <v>7.06061279430604</v>
      </c>
      <c r="I63" s="223" t="n">
        <f aca="false">I26/I20*100</f>
        <v>5.61778294734007</v>
      </c>
      <c r="J63" s="157" t="e">
        <f aca="false">J26/J20*100</f>
        <v>#DIV/0!</v>
      </c>
      <c r="K63" s="223" t="e">
        <f aca="false">K26/K20*100</f>
        <v>#DIV/0!</v>
      </c>
      <c r="L63" s="223" t="e">
        <f aca="false">L26/L20*100</f>
        <v>#DIV/0!</v>
      </c>
      <c r="M63" s="223" t="e">
        <f aca="false">M26/M20*100</f>
        <v>#DIV/0!</v>
      </c>
      <c r="N63" s="157" t="e">
        <f aca="false">N26/N20*100</f>
        <v>#DIV/0!</v>
      </c>
      <c r="O63" s="231"/>
      <c r="P63" s="231"/>
      <c r="Q63" s="166"/>
      <c r="R63" s="166"/>
      <c r="S63" s="166"/>
      <c r="T63" s="166"/>
      <c r="U63" s="166"/>
      <c r="V63" s="190"/>
      <c r="W63" s="166"/>
      <c r="X63" s="166"/>
      <c r="Y63" s="166"/>
      <c r="Z63" s="216"/>
      <c r="AA63" s="216"/>
      <c r="AB63" s="216"/>
      <c r="AC63" s="216"/>
      <c r="AD63" s="216"/>
      <c r="AE63" s="216"/>
      <c r="AF63" s="216"/>
      <c r="AG63" s="216"/>
      <c r="AH63" s="216"/>
      <c r="AI63" s="216"/>
      <c r="AJ63" s="216"/>
      <c r="AK63" s="216"/>
      <c r="AL63" s="216"/>
      <c r="AM63" s="214"/>
      <c r="AN63" s="216"/>
      <c r="AO63" s="216"/>
      <c r="AP63" s="216"/>
      <c r="AQ63" s="216"/>
      <c r="AR63" s="216"/>
      <c r="AS63" s="216"/>
      <c r="AT63" s="214"/>
      <c r="AU63" s="216"/>
    </row>
    <row r="64" customFormat="false" ht="12" hidden="false" customHeight="true" outlineLevel="0" collapsed="false">
      <c r="A64" s="128" t="s">
        <v>912</v>
      </c>
      <c r="B64" s="157" t="n">
        <f aca="false">B27/B20*100</f>
        <v>8.01516044150734</v>
      </c>
      <c r="C64" s="223" t="n">
        <f aca="false">C27/C20*100</f>
        <v>8.15365390797565</v>
      </c>
      <c r="D64" s="223" t="n">
        <f aca="false">D27/D20*100</f>
        <v>5.81875468301852</v>
      </c>
      <c r="E64" s="223" t="n">
        <f aca="false">E27/E20*100</f>
        <v>7.85059411027188</v>
      </c>
      <c r="F64" s="157" t="n">
        <f aca="false">F27/F20*100</f>
        <v>8.51990505472098</v>
      </c>
      <c r="G64" s="223" t="e">
        <f aca="false">G27/G20*100</f>
        <v>#DIV/0!</v>
      </c>
      <c r="H64" s="223" t="n">
        <f aca="false">H27/H20*100</f>
        <v>6.26548346130899</v>
      </c>
      <c r="I64" s="223" t="n">
        <f aca="false">I27/I20*100</f>
        <v>6.6034914061448</v>
      </c>
      <c r="J64" s="157" t="e">
        <f aca="false">J27/J20*100</f>
        <v>#DIV/0!</v>
      </c>
      <c r="K64" s="223" t="e">
        <f aca="false">K27/K20*100</f>
        <v>#DIV/0!</v>
      </c>
      <c r="L64" s="223" t="e">
        <f aca="false">L27/L20*100</f>
        <v>#DIV/0!</v>
      </c>
      <c r="M64" s="223" t="e">
        <f aca="false">M27/M20*100</f>
        <v>#DIV/0!</v>
      </c>
      <c r="N64" s="157" t="e">
        <f aca="false">N27/N20*100</f>
        <v>#DIV/0!</v>
      </c>
      <c r="O64" s="231"/>
      <c r="P64" s="231"/>
      <c r="Q64" s="166"/>
      <c r="R64" s="166"/>
      <c r="S64" s="166"/>
      <c r="T64" s="166"/>
      <c r="U64" s="166"/>
      <c r="V64" s="190"/>
      <c r="W64" s="166"/>
      <c r="X64" s="166"/>
      <c r="Y64" s="166"/>
      <c r="Z64" s="216"/>
      <c r="AA64" s="216"/>
      <c r="AB64" s="216"/>
      <c r="AC64" s="216"/>
      <c r="AD64" s="216"/>
      <c r="AE64" s="216"/>
      <c r="AF64" s="216"/>
      <c r="AG64" s="216"/>
      <c r="AH64" s="216"/>
      <c r="AI64" s="216"/>
      <c r="AJ64" s="216"/>
      <c r="AK64" s="216"/>
      <c r="AL64" s="216"/>
      <c r="AM64" s="214"/>
      <c r="AN64" s="216"/>
      <c r="AO64" s="216"/>
      <c r="AP64" s="216"/>
      <c r="AQ64" s="216"/>
      <c r="AR64" s="216"/>
      <c r="AS64" s="216"/>
      <c r="AT64" s="214"/>
      <c r="AU64" s="216"/>
    </row>
    <row r="65" customFormat="false" ht="12.75" hidden="false" customHeight="true" outlineLevel="0" collapsed="false">
      <c r="A65" s="132" t="s">
        <v>909</v>
      </c>
      <c r="B65" s="158"/>
      <c r="F65" s="158"/>
      <c r="J65" s="158"/>
      <c r="N65" s="158"/>
      <c r="Q65" s="166"/>
      <c r="R65" s="166"/>
      <c r="S65" s="166"/>
      <c r="T65" s="166"/>
      <c r="U65" s="166"/>
      <c r="V65" s="190"/>
      <c r="W65" s="166"/>
      <c r="X65" s="166"/>
      <c r="Y65" s="166"/>
      <c r="Z65" s="216"/>
      <c r="AA65" s="216"/>
      <c r="AB65" s="216"/>
      <c r="AC65" s="216"/>
      <c r="AD65" s="216"/>
      <c r="AE65" s="216"/>
      <c r="AF65" s="216"/>
      <c r="AG65" s="216"/>
      <c r="AH65" s="216"/>
      <c r="AI65" s="216"/>
      <c r="AJ65" s="216"/>
      <c r="AK65" s="216"/>
      <c r="AL65" s="216"/>
      <c r="AM65" s="214"/>
      <c r="AN65" s="216"/>
      <c r="AO65" s="216"/>
      <c r="AP65" s="216"/>
      <c r="AQ65" s="216"/>
      <c r="AR65" s="216"/>
      <c r="AS65" s="216"/>
      <c r="AT65" s="214"/>
      <c r="AU65" s="216"/>
    </row>
    <row r="66" customFormat="false" ht="12.75" hidden="false" customHeight="true" outlineLevel="0" collapsed="false">
      <c r="A66" s="128" t="s">
        <v>910</v>
      </c>
      <c r="B66" s="157" t="n">
        <f aca="false">(B24+B25)/B22*100</f>
        <v>73.3586305510608</v>
      </c>
      <c r="C66" s="223" t="n">
        <f aca="false">(C24+C25)/C22*100</f>
        <v>75.5569692090748</v>
      </c>
      <c r="D66" s="223" t="n">
        <f aca="false">(D24+D25)/D22*100</f>
        <v>76.2478545402177</v>
      </c>
      <c r="E66" s="223" t="n">
        <f aca="false">(E24+E25)/E22*100</f>
        <v>74.4621543855238</v>
      </c>
      <c r="F66" s="157" t="n">
        <f aca="false">(F24+F25)/F22*100</f>
        <v>71.9851808169796</v>
      </c>
      <c r="G66" s="157" t="n">
        <f aca="false">(G24+G25)/G22*100</f>
        <v>75.0264334489952</v>
      </c>
      <c r="H66" s="157" t="n">
        <f aca="false">(H24+H25)/H22*100</f>
        <v>75.4947830154404</v>
      </c>
      <c r="I66" s="157" t="n">
        <f aca="false">(I24+I25)/I22*100</f>
        <v>73.8660150936474</v>
      </c>
      <c r="J66" s="157" t="n">
        <f aca="false">(J24+J25)/J22*100</f>
        <v>76.3106977524374</v>
      </c>
      <c r="K66" s="157" t="n">
        <f aca="false">(K24+K25)/K22*100</f>
        <v>74.7512474663164</v>
      </c>
      <c r="L66" s="157" t="n">
        <f aca="false">(L24+L25)/L22*100</f>
        <v>73.5071239067899</v>
      </c>
      <c r="M66" s="157" t="n">
        <f aca="false">(M24+M25)/M22*100</f>
        <v>72.5548015715996</v>
      </c>
      <c r="N66" s="157" t="n">
        <f aca="false">(N24+N25)/N22*100</f>
        <v>72.6254889303645</v>
      </c>
      <c r="O66" s="157" t="n">
        <f aca="false">(O24+O25)/O22*100</f>
        <v>70.2247331310707</v>
      </c>
      <c r="P66" s="157" t="n">
        <f aca="false">(P24+P25)/P22*100</f>
        <v>71.3833789103638</v>
      </c>
      <c r="Q66" s="224" t="n">
        <f aca="false">(Q24+Q25)/Q22*100</f>
        <v>73.1849499710824</v>
      </c>
      <c r="R66" s="224" t="n">
        <f aca="false">(R24+R25)/R22*100</f>
        <v>73.8762980796116</v>
      </c>
      <c r="S66" s="224" t="n">
        <f aca="false">(S24+S25)/S22*100</f>
        <v>73.5793470376898</v>
      </c>
      <c r="T66" s="224" t="n">
        <f aca="false">(T24+T25)/T22*100</f>
        <v>73.1561021281403</v>
      </c>
      <c r="U66" s="224" t="n">
        <f aca="false">(U24+U25)/U22*100</f>
        <v>72.0980706100013</v>
      </c>
      <c r="V66" s="225" t="n">
        <f aca="false">(V24+V25)/V22*100</f>
        <v>73.0471736578103</v>
      </c>
      <c r="W66" s="224" t="n">
        <f aca="false">(W24+W25)/W22*100</f>
        <v>72.0537718602961</v>
      </c>
      <c r="X66" s="224" t="n">
        <f aca="false">(X24+X25)/X22*100</f>
        <v>73.5396165439162</v>
      </c>
      <c r="Y66" s="224" t="n">
        <f aca="false">(Y24+Y25)/Y22*100</f>
        <v>73.9204221686459</v>
      </c>
      <c r="Z66" s="224" t="n">
        <f aca="false">(Z24+Z25)/Z22*100</f>
        <v>74.4401006156292</v>
      </c>
      <c r="AA66" s="224" t="n">
        <f aca="false">(AA24+AA25)/AA22*100</f>
        <v>72.7773833363837</v>
      </c>
      <c r="AB66" s="224" t="n">
        <f aca="false">(AB24+AB25)/AB22*100</f>
        <v>72.7940709556346</v>
      </c>
      <c r="AC66" s="224" t="n">
        <f aca="false">(AC24+AC25)/AC22*100</f>
        <v>71.859150848312</v>
      </c>
      <c r="AD66" s="224" t="n">
        <f aca="false">(AD24+AD25)/AD22*100</f>
        <v>75.7557499985651</v>
      </c>
      <c r="AE66" s="224" t="n">
        <f aca="false">(AE24+AE25)/AE22*100</f>
        <v>75.4578959748068</v>
      </c>
      <c r="AF66" s="224" t="n">
        <f aca="false">(AF24+AF25)/AF22*100</f>
        <v>76.3139657779222</v>
      </c>
      <c r="AG66" s="224" t="n">
        <f aca="false">(AG24+AG25)/AG22*100</f>
        <v>79.7059872328411</v>
      </c>
      <c r="AH66" s="224" t="n">
        <f aca="false">(AH24+AH25)/AH22*100</f>
        <v>75.2853724762837</v>
      </c>
      <c r="AI66" s="224" t="n">
        <f aca="false">(AI24+AI25)/AI22*100</f>
        <v>73.2859940957386</v>
      </c>
      <c r="AJ66" s="224" t="n">
        <f aca="false">(AJ24+AJ25)/AJ22*100</f>
        <v>73.5995260682655</v>
      </c>
      <c r="AK66" s="224" t="n">
        <f aca="false">(AK24+AK25)/AK22*100</f>
        <v>74.4774057958816</v>
      </c>
      <c r="AL66" s="224" t="n">
        <f aca="false">(AL24+AL25)/AL22*100</f>
        <v>72.75104925323</v>
      </c>
      <c r="AM66" s="214"/>
      <c r="AN66" s="224" t="n">
        <f aca="false">(AN24+AN25)/AN22*100</f>
        <v>69.4355178739735</v>
      </c>
      <c r="AO66" s="224" t="n">
        <f aca="false">(AO24+AO25)/AO22*100</f>
        <v>70.3971281231639</v>
      </c>
      <c r="AP66" s="183" t="n">
        <v>70.2</v>
      </c>
      <c r="AQ66" s="224" t="n">
        <f aca="false">(AQ24+AQ25)/AQ22*100</f>
        <v>70.7852691492726</v>
      </c>
      <c r="AR66" s="216"/>
      <c r="AS66" s="224" t="n">
        <f aca="false">(AS24+AS25)/AS22*100</f>
        <v>70.9543958020869</v>
      </c>
      <c r="AT66" s="144" t="n">
        <f aca="false">(AT24+AT25)/AT22*100</f>
        <v>70.4614491467219</v>
      </c>
      <c r="AU66" s="183" t="n">
        <v>71.2</v>
      </c>
    </row>
    <row r="67" customFormat="false" ht="12" hidden="false" customHeight="true" outlineLevel="0" collapsed="false">
      <c r="A67" s="128" t="s">
        <v>911</v>
      </c>
      <c r="B67" s="157" t="n">
        <f aca="false">B26/B22*100</f>
        <v>9.06851177633945</v>
      </c>
      <c r="C67" s="223" t="n">
        <f aca="false">C26/C22*100</f>
        <v>7.18186380668381</v>
      </c>
      <c r="D67" s="223" t="n">
        <f aca="false">D26/D22*100</f>
        <v>6.46402912706016</v>
      </c>
      <c r="E67" s="223" t="n">
        <f aca="false">E26/E22*100</f>
        <v>5.07723291918959</v>
      </c>
      <c r="F67" s="157" t="n">
        <f aca="false">F26/F22*100</f>
        <v>8.58098797020865</v>
      </c>
      <c r="G67" s="157" t="n">
        <f aca="false">G26/G22*100</f>
        <v>9.27415982871812</v>
      </c>
      <c r="H67" s="157" t="n">
        <f aca="false">H26/H22*100</f>
        <v>8.21001487710004</v>
      </c>
      <c r="I67" s="223" t="n">
        <f aca="false">I26/I22*100</f>
        <v>6.53230575272101</v>
      </c>
      <c r="J67" s="157" t="n">
        <f aca="false">J26/J22*100</f>
        <v>8.63353651512875</v>
      </c>
      <c r="K67" s="157" t="n">
        <f aca="false">K26/K22*100</f>
        <v>8.4130646804005</v>
      </c>
      <c r="L67" s="157" t="n">
        <f aca="false">L26/L22*100</f>
        <v>12.2423048527934</v>
      </c>
      <c r="M67" s="223" t="n">
        <f aca="false">M26/M22*100</f>
        <v>10.1783729380144</v>
      </c>
      <c r="N67" s="157" t="n">
        <f aca="false">N26/N22*100</f>
        <v>15.7918616999707</v>
      </c>
      <c r="O67" s="157" t="n">
        <f aca="false">O26/O22*100</f>
        <v>10.6170523563455</v>
      </c>
      <c r="P67" s="157" t="n">
        <f aca="false">P26/P22*100</f>
        <v>9.56288132023276</v>
      </c>
      <c r="Q67" s="224" t="n">
        <f aca="false">Q26/Q22*100</f>
        <v>6.1486637712543</v>
      </c>
      <c r="R67" s="224" t="n">
        <f aca="false">R26/R22*100</f>
        <v>8.62423716814054</v>
      </c>
      <c r="S67" s="224" t="n">
        <f aca="false">S26/S22*100</f>
        <v>7.79260300789862</v>
      </c>
      <c r="T67" s="224" t="n">
        <f aca="false">T26/T22*100</f>
        <v>9.78443279547455</v>
      </c>
      <c r="U67" s="224" t="n">
        <f aca="false">U26/U22*100</f>
        <v>7.88318225320503</v>
      </c>
      <c r="V67" s="225" t="n">
        <f aca="false">V26/V22*100</f>
        <v>8.39845961069857</v>
      </c>
      <c r="W67" s="224" t="n">
        <f aca="false">W26/W22*100</f>
        <v>10.0075535783124</v>
      </c>
      <c r="X67" s="224" t="n">
        <f aca="false">X26/X22*100</f>
        <v>8.12757297393228</v>
      </c>
      <c r="Y67" s="224" t="n">
        <f aca="false">Y26/Y22*100</f>
        <v>9.45629153721599</v>
      </c>
      <c r="Z67" s="224" t="n">
        <f aca="false">Z26/Z22*100</f>
        <v>5.7253177733966</v>
      </c>
      <c r="AA67" s="224" t="n">
        <f aca="false">AA26/AA22*100</f>
        <v>8.9067201818267</v>
      </c>
      <c r="AB67" s="224" t="n">
        <f aca="false">AB26/AB22*100</f>
        <v>8.00367288619044</v>
      </c>
      <c r="AC67" s="224" t="n">
        <f aca="false">AC26/AC22*100</f>
        <v>10.9938043105807</v>
      </c>
      <c r="AD67" s="224" t="n">
        <f aca="false">AD26/AD22*100</f>
        <v>7.56730563794431</v>
      </c>
      <c r="AE67" s="224" t="n">
        <f aca="false">AE26/AE22*100</f>
        <v>10.9225649078692</v>
      </c>
      <c r="AF67" s="224" t="n">
        <f aca="false">AF26/AF22*100</f>
        <v>9.98470715142171</v>
      </c>
      <c r="AG67" s="224" t="n">
        <f aca="false">AG26/AG22*100</f>
        <v>12.2680995866045</v>
      </c>
      <c r="AH67" s="224" t="n">
        <f aca="false">AH26/AH22*100</f>
        <v>8.03726405790007</v>
      </c>
      <c r="AI67" s="224" t="n">
        <f aca="false">AI26/AI22*100</f>
        <v>11.4269185822476</v>
      </c>
      <c r="AJ67" s="224" t="n">
        <f aca="false">AJ26/AJ22*100</f>
        <v>9.05928267664769</v>
      </c>
      <c r="AK67" s="224" t="n">
        <f aca="false">AK26/AK22*100</f>
        <v>8.24274190791429</v>
      </c>
      <c r="AL67" s="224" t="n">
        <f aca="false">AL26/AL22*100</f>
        <v>7.37576776284375</v>
      </c>
      <c r="AM67" s="214"/>
      <c r="AN67" s="224" t="n">
        <f aca="false">AN26/AN22*100</f>
        <v>8.60181165528711</v>
      </c>
      <c r="AO67" s="224" t="n">
        <f aca="false">AO26/AO22*100</f>
        <v>7.65937742086458</v>
      </c>
      <c r="AP67" s="224" t="n">
        <f aca="false">AP26/AP22*100</f>
        <v>8.38228479940324</v>
      </c>
      <c r="AQ67" s="224" t="n">
        <f aca="false">AQ26/AQ22*100</f>
        <v>8.54712252540761</v>
      </c>
      <c r="AR67" s="216"/>
      <c r="AS67" s="224" t="n">
        <f aca="false">AS26/AS22*100</f>
        <v>5.722648373262</v>
      </c>
      <c r="AT67" s="144" t="n">
        <f aca="false">AT26/AT22*100</f>
        <v>7.43161065083897</v>
      </c>
      <c r="AU67" s="224" t="n">
        <f aca="false">AU26/AU22*100</f>
        <v>8.40750166003496</v>
      </c>
    </row>
    <row r="68" customFormat="false" ht="12" hidden="false" customHeight="true" outlineLevel="0" collapsed="false">
      <c r="A68" s="128" t="s">
        <v>912</v>
      </c>
      <c r="B68" s="157" t="n">
        <f aca="false">B27/B22*100</f>
        <v>9.23952433926645</v>
      </c>
      <c r="C68" s="223" t="n">
        <f aca="false">C27/C22*100</f>
        <v>9.38419939834853</v>
      </c>
      <c r="D68" s="223" t="n">
        <f aca="false">D27/D22*100</f>
        <v>6.775855638333</v>
      </c>
      <c r="E68" s="223" t="n">
        <f aca="false">E27/E22*100</f>
        <v>9.13132826304064</v>
      </c>
      <c r="F68" s="157" t="n">
        <f aca="false">F27/F22*100</f>
        <v>9.89709723145782</v>
      </c>
      <c r="G68" s="157" t="n">
        <f aca="false">G27/G22*100</f>
        <v>6.31344170951959</v>
      </c>
      <c r="H68" s="157" t="n">
        <f aca="false">H27/H22*100</f>
        <v>7.28544588524301</v>
      </c>
      <c r="I68" s="223" t="n">
        <f aca="false">I27/I22*100</f>
        <v>7.67847837923814</v>
      </c>
      <c r="J68" s="157" t="n">
        <f aca="false">J27/J22*100</f>
        <v>7.0371412358542</v>
      </c>
      <c r="K68" s="157" t="n">
        <f aca="false">K27/K22*100</f>
        <v>8.58761432618709</v>
      </c>
      <c r="L68" s="157" t="n">
        <f aca="false">L27/L22*100</f>
        <v>9.41718140501413</v>
      </c>
      <c r="M68" s="223" t="n">
        <f aca="false">M27/M22*100</f>
        <v>9.81051159079304</v>
      </c>
      <c r="N68" s="157" t="n">
        <f aca="false">N27/N22*100</f>
        <v>10.2492079026709</v>
      </c>
      <c r="O68" s="157" t="n">
        <f aca="false">O27/O22*100</f>
        <v>8.6333098516649</v>
      </c>
      <c r="P68" s="157" t="n">
        <f aca="false">P27/P22*100</f>
        <v>7.69457191227002</v>
      </c>
      <c r="Q68" s="224" t="n">
        <f aca="false">Q27/Q22*100</f>
        <v>6.5121327704194</v>
      </c>
      <c r="R68" s="224" t="n">
        <f aca="false">R27/R22*100</f>
        <v>7.47378350760597</v>
      </c>
      <c r="S68" s="224" t="n">
        <f aca="false">S27/S22*100</f>
        <v>7.34343556607158</v>
      </c>
      <c r="T68" s="224" t="n">
        <f aca="false">T27/T22*100</f>
        <v>8.43775568301845</v>
      </c>
      <c r="U68" s="224" t="n">
        <f aca="false">U27/U22*100</f>
        <v>6.70108926626772</v>
      </c>
      <c r="V68" s="225" t="n">
        <f aca="false">V27/V22*100</f>
        <v>7.36899211878994</v>
      </c>
      <c r="W68" s="224" t="n">
        <f aca="false">W27/W22*100</f>
        <v>8.51536722412208</v>
      </c>
      <c r="X68" s="224" t="n">
        <f aca="false">X27/X22*100</f>
        <v>7.63164636595162</v>
      </c>
      <c r="Y68" s="224" t="n">
        <f aca="false">Y27/Y22*100</f>
        <v>9.31819499777241</v>
      </c>
      <c r="Z68" s="224" t="n">
        <f aca="false">Z27/Z22*100</f>
        <v>8.93348421177623</v>
      </c>
      <c r="AA68" s="224" t="n">
        <f aca="false">AA27/AA22*100</f>
        <v>10.3122080483424</v>
      </c>
      <c r="AB68" s="224" t="n">
        <f aca="false">AB27/AB22*100</f>
        <v>9.06620069413484</v>
      </c>
      <c r="AC68" s="224" t="n">
        <f aca="false">AC27/AC22*100</f>
        <v>12.8489026657692</v>
      </c>
      <c r="AD68" s="224" t="n">
        <f aca="false">AD27/AD22*100</f>
        <v>11.3583891351656</v>
      </c>
      <c r="AE68" s="224" t="n">
        <f aca="false">AE27/AE22*100</f>
        <v>12.6356579964904</v>
      </c>
      <c r="AF68" s="224" t="n">
        <f aca="false">AF27/AF22*100</f>
        <v>11.4943067467501</v>
      </c>
      <c r="AG68" s="224" t="n">
        <f aca="false">AG27/AG22*100</f>
        <v>12.9871552765966</v>
      </c>
      <c r="AH68" s="224" t="n">
        <f aca="false">AH27/AH22*100</f>
        <v>10.6990883414986</v>
      </c>
      <c r="AI68" s="224" t="n">
        <f aca="false">AI27/AI22*100</f>
        <v>10.6020226946155</v>
      </c>
      <c r="AJ68" s="224" t="n">
        <f aca="false">AJ27/AJ22*100</f>
        <v>10.0567595533003</v>
      </c>
      <c r="AK68" s="224" t="n">
        <f aca="false">AK27/AK22*100</f>
        <v>10.1942164838057</v>
      </c>
      <c r="AL68" s="224" t="n">
        <f aca="false">AL27/AL22*100</f>
        <v>9.72835213671913</v>
      </c>
      <c r="AM68" s="214"/>
      <c r="AN68" s="224" t="n">
        <f aca="false">AN27/AN22*100</f>
        <v>11.843513945218</v>
      </c>
      <c r="AO68" s="224" t="n">
        <f aca="false">AO27/AO22*100</f>
        <v>9.9094480369537</v>
      </c>
      <c r="AP68" s="224" t="n">
        <f aca="false">AP27/AP22*100</f>
        <v>11.1763797325377</v>
      </c>
      <c r="AQ68" s="224" t="n">
        <f aca="false">AQ27/AQ22*100</f>
        <v>10.149153884085</v>
      </c>
      <c r="AR68" s="216"/>
      <c r="AS68" s="224" t="n">
        <f aca="false">AS27/AS22*100</f>
        <v>10.6769067175633</v>
      </c>
      <c r="AT68" s="144" t="n">
        <f aca="false">AT27/AT22*100</f>
        <v>10.5990223850523</v>
      </c>
      <c r="AU68" s="224" t="n">
        <f aca="false">AU27/AU22*100</f>
        <v>10.113371562071</v>
      </c>
    </row>
    <row r="69" customFormat="false" ht="12" hidden="false" customHeight="true" outlineLevel="0" collapsed="false">
      <c r="B69" s="158"/>
      <c r="F69" s="158"/>
      <c r="J69" s="158"/>
      <c r="N69" s="158"/>
      <c r="AA69" s="130"/>
      <c r="AB69" s="130"/>
      <c r="AC69" s="130"/>
      <c r="AD69" s="130"/>
      <c r="AE69" s="130"/>
      <c r="AF69" s="130"/>
      <c r="AG69" s="130"/>
      <c r="AH69" s="130"/>
      <c r="AI69" s="130"/>
      <c r="AJ69" s="130"/>
      <c r="AK69" s="130"/>
      <c r="AL69" s="130"/>
      <c r="AM69" s="214"/>
      <c r="AN69" s="130"/>
      <c r="AO69" s="130"/>
      <c r="AQ69" s="130"/>
      <c r="AR69" s="130"/>
      <c r="AS69" s="130"/>
      <c r="AT69" s="214"/>
    </row>
    <row r="70" customFormat="false" ht="12.75" hidden="false" customHeight="true" outlineLevel="0" collapsed="false">
      <c r="A70" s="132" t="s">
        <v>294</v>
      </c>
      <c r="B70" s="164" t="n">
        <v>1309.9</v>
      </c>
      <c r="C70" s="145" t="n">
        <v>1309.9</v>
      </c>
      <c r="D70" s="145" t="n">
        <v>1323.3</v>
      </c>
      <c r="E70" s="145" t="n">
        <v>1323.3</v>
      </c>
      <c r="F70" s="164" t="n">
        <v>1330.34</v>
      </c>
      <c r="G70" s="164" t="n">
        <v>1331.34</v>
      </c>
      <c r="H70" s="145" t="n">
        <v>1330.34</v>
      </c>
      <c r="I70" s="145" t="n">
        <v>1330.34</v>
      </c>
      <c r="J70" s="164" t="n">
        <v>1330.34</v>
      </c>
      <c r="K70" s="164" t="n">
        <v>1330.34</v>
      </c>
      <c r="L70" s="145" t="n">
        <v>1330.34</v>
      </c>
      <c r="M70" s="145" t="n">
        <v>1330.34</v>
      </c>
      <c r="N70" s="164" t="n">
        <v>1330.34</v>
      </c>
      <c r="O70" s="164" t="n">
        <v>1330.34</v>
      </c>
      <c r="P70" s="145" t="n">
        <v>1330.34</v>
      </c>
      <c r="Q70" s="145" t="n">
        <v>1330.34</v>
      </c>
      <c r="R70" s="145" t="n">
        <v>1330.34</v>
      </c>
      <c r="S70" s="145" t="n">
        <v>1330.34</v>
      </c>
      <c r="T70" s="145" t="n">
        <v>1330.34</v>
      </c>
      <c r="U70" s="145" t="n">
        <v>1330.34</v>
      </c>
      <c r="V70" s="232" t="n">
        <v>1330.34</v>
      </c>
      <c r="W70" s="145" t="n">
        <v>1330.34</v>
      </c>
      <c r="X70" s="146" t="n">
        <f aca="false">1330.34*2</f>
        <v>2660.68</v>
      </c>
      <c r="Y70" s="146" t="n">
        <f aca="false">1330.34*2</f>
        <v>2660.68</v>
      </c>
      <c r="Z70" s="146" t="n">
        <f aca="false">1330.34*2</f>
        <v>2660.68</v>
      </c>
      <c r="AA70" s="146" t="n">
        <f aca="false">1330.34*2</f>
        <v>2660.68</v>
      </c>
      <c r="AB70" s="146" t="n">
        <f aca="false">1330.34*2</f>
        <v>2660.68</v>
      </c>
      <c r="AC70" s="146" t="n">
        <f aca="false">1330.34*2</f>
        <v>2660.68</v>
      </c>
      <c r="AD70" s="146" t="n">
        <f aca="false">1330.34*2</f>
        <v>2660.68</v>
      </c>
      <c r="AE70" s="146" t="n">
        <f aca="false">1330.34*2</f>
        <v>2660.68</v>
      </c>
      <c r="AF70" s="146" t="n">
        <f aca="false">1330.34*2</f>
        <v>2660.68</v>
      </c>
      <c r="AG70" s="146" t="n">
        <f aca="false">1330.34*2</f>
        <v>2660.68</v>
      </c>
      <c r="AH70" s="146" t="n">
        <f aca="false">1330.34*2</f>
        <v>2660.68</v>
      </c>
      <c r="AI70" s="146" t="n">
        <f aca="false">1330.34*2</f>
        <v>2660.68</v>
      </c>
      <c r="AJ70" s="233" t="n">
        <f aca="false">+'Main Model'!X78</f>
        <v>5691.76</v>
      </c>
      <c r="AK70" s="233" t="n">
        <f aca="false">+'Main Model'!Y78</f>
        <v>5691.76</v>
      </c>
      <c r="AL70" s="233" t="n">
        <f aca="false">+'Main Model'!Z78</f>
        <v>5691.76</v>
      </c>
      <c r="AM70" s="214"/>
      <c r="AN70" s="145" t="n">
        <v>2845.88</v>
      </c>
      <c r="AO70" s="145" t="n">
        <v>2845.88</v>
      </c>
      <c r="AP70" s="145" t="n">
        <v>2845.88</v>
      </c>
      <c r="AQ70" s="145" t="n">
        <v>2845.88</v>
      </c>
      <c r="AR70" s="130"/>
      <c r="AS70" s="145" t="n">
        <v>2845.88</v>
      </c>
      <c r="AT70" s="214"/>
      <c r="AU70" s="145" t="n">
        <v>2845.88</v>
      </c>
    </row>
    <row r="71" customFormat="false" ht="12" hidden="false" customHeight="true" outlineLevel="0" collapsed="false">
      <c r="B71" s="158"/>
      <c r="F71" s="158"/>
      <c r="I71" s="140"/>
      <c r="J71" s="158"/>
      <c r="M71" s="140"/>
      <c r="N71" s="158"/>
      <c r="O71" s="140"/>
      <c r="Q71" s="140"/>
      <c r="AA71" s="130"/>
      <c r="AB71" s="130"/>
      <c r="AC71" s="130"/>
      <c r="AD71" s="130"/>
      <c r="AE71" s="130"/>
      <c r="AF71" s="130"/>
      <c r="AG71" s="130"/>
      <c r="AH71" s="130"/>
      <c r="AI71" s="130"/>
      <c r="AJ71" s="130"/>
      <c r="AK71" s="130"/>
      <c r="AL71" s="130"/>
      <c r="AM71" s="214"/>
      <c r="AN71" s="130"/>
      <c r="AO71" s="130"/>
      <c r="AQ71" s="130"/>
      <c r="AR71" s="130"/>
      <c r="AS71" s="130"/>
      <c r="AT71" s="214"/>
    </row>
    <row r="72" customFormat="false" ht="12" hidden="false" customHeight="true" outlineLevel="0" collapsed="false">
      <c r="A72" s="128" t="s">
        <v>295</v>
      </c>
      <c r="B72" s="223" t="n">
        <f aca="false">B42/B70</f>
        <v>0.557470035880602</v>
      </c>
      <c r="C72" s="181" t="n">
        <f aca="false">C42/C70</f>
        <v>0.565435250180099</v>
      </c>
      <c r="D72" s="181" t="n">
        <f aca="false">D42/D70</f>
        <v>0.77984583994559</v>
      </c>
      <c r="E72" s="181" t="n">
        <f aca="false">E42/E70</f>
        <v>1.28867573797892</v>
      </c>
      <c r="F72" s="223" t="n">
        <f aca="false">F42/F70</f>
        <v>0.689147135318794</v>
      </c>
      <c r="G72" s="181" t="n">
        <f aca="false">G42/G70</f>
        <v>0.64127490763475</v>
      </c>
      <c r="H72" s="181" t="n">
        <f aca="false">H42/H70</f>
        <v>0.665198370341417</v>
      </c>
      <c r="I72" s="181" t="n">
        <f aca="false">I42/I70</f>
        <v>1.42713679595153</v>
      </c>
      <c r="J72" s="223" t="n">
        <f aca="false">J42/J70</f>
        <v>0.574814934528017</v>
      </c>
      <c r="K72" s="181" t="n">
        <f aca="false">K42/K70</f>
        <v>0.492430957499586</v>
      </c>
      <c r="L72" s="181" t="n">
        <f aca="false">L42/L70</f>
        <v>-0.0293700106739631</v>
      </c>
      <c r="M72" s="181" t="n">
        <f aca="false">M42/M70</f>
        <v>0.269562668190086</v>
      </c>
      <c r="N72" s="223" t="n">
        <f aca="false">N42/N70</f>
        <v>-0.320917960822045</v>
      </c>
      <c r="O72" s="181" t="n">
        <f aca="false">O42/O70</f>
        <v>0.672558143031105</v>
      </c>
      <c r="P72" s="181" t="n">
        <f aca="false">P42/P70</f>
        <v>0.793836162184104</v>
      </c>
      <c r="Q72" s="181" t="n">
        <f aca="false">Q42/Q70</f>
        <v>1.8943903172883</v>
      </c>
      <c r="R72" s="181" t="n">
        <f aca="false">R42/R70</f>
        <v>0.92189891305982</v>
      </c>
      <c r="S72" s="181" t="n">
        <f aca="false">S42/S70</f>
        <v>1.25576243667033</v>
      </c>
      <c r="T72" s="181" t="n">
        <f aca="false">T42/T70</f>
        <v>0.52143136341086</v>
      </c>
      <c r="U72" s="181" t="n">
        <f aca="false">U42/U70</f>
        <v>2.24174421576439</v>
      </c>
      <c r="V72" s="234" t="n">
        <f aca="false">V42/V70</f>
        <v>4.9408369289054</v>
      </c>
      <c r="W72" s="181" t="n">
        <f aca="false">W42/W70</f>
        <v>0.592962027492775</v>
      </c>
      <c r="X72" s="181" t="n">
        <f aca="false">X42/X70</f>
        <v>0.579106844866726</v>
      </c>
      <c r="Y72" s="181" t="n">
        <f aca="false">Y42/Y70</f>
        <v>0.251452260324429</v>
      </c>
      <c r="Z72" s="181" t="n">
        <f aca="false">Z42/Z70</f>
        <v>0.967510540229592</v>
      </c>
      <c r="AA72" s="181" t="n">
        <f aca="false">AA42/AA70</f>
        <v>0.251574409549438</v>
      </c>
      <c r="AB72" s="181" t="n">
        <f aca="false">AB42/AB70</f>
        <v>0.53594043627945</v>
      </c>
      <c r="AC72" s="181" t="n">
        <f aca="false">AC42/AC70</f>
        <v>-0.308626366192101</v>
      </c>
      <c r="AD72" s="181" t="n">
        <f aca="false">AD42/AD70</f>
        <v>0.0584921940028016</v>
      </c>
      <c r="AE72" s="181" t="n">
        <f aca="false">AE42/AE70</f>
        <v>-0.508287730955996</v>
      </c>
      <c r="AF72" s="181" t="n">
        <f aca="false">AF42/AF70</f>
        <v>-0.258625990348331</v>
      </c>
      <c r="AG72" s="181" t="n">
        <f aca="false">AG42/AG70</f>
        <v>-0.975410421396034</v>
      </c>
      <c r="AH72" s="181" t="n">
        <f aca="false">AH42/AH70</f>
        <v>-0.0477362929777331</v>
      </c>
      <c r="AI72" s="181" t="n">
        <f aca="false">AI42/AI70</f>
        <v>-0.180223100861433</v>
      </c>
      <c r="AJ72" s="181" t="n">
        <f aca="false">AJ42/AJ70</f>
        <v>0.0205839669979059</v>
      </c>
      <c r="AK72" s="181" t="n">
        <f aca="false">AK42/AK70</f>
        <v>0.056388182214288</v>
      </c>
      <c r="AL72" s="181" t="n">
        <f aca="false">AL42/AL70</f>
        <v>0.41816766694309</v>
      </c>
      <c r="AM72" s="214"/>
      <c r="AN72" s="181" t="n">
        <f aca="false">AN42/AN70</f>
        <v>0.559822972156243</v>
      </c>
      <c r="AO72" s="181" t="n">
        <f aca="false">AO42/AO70</f>
        <v>1.02597685074564</v>
      </c>
      <c r="AP72" s="181" t="n">
        <f aca="false">AP42/AP70</f>
        <v>0.612927948865189</v>
      </c>
      <c r="AQ72" s="181" t="n">
        <f aca="false">AQ42/AQ70</f>
        <v>0.720838896931673</v>
      </c>
      <c r="AR72" s="235"/>
      <c r="AS72" s="181" t="n">
        <f aca="false">AS42/AS70</f>
        <v>1.60329704695912</v>
      </c>
      <c r="AT72" s="214"/>
      <c r="AU72" s="181" t="n">
        <f aca="false">AU42/AU70</f>
        <v>0.673736225761617</v>
      </c>
    </row>
    <row r="73" customFormat="false" ht="12" hidden="false" customHeight="true" outlineLevel="0" collapsed="false">
      <c r="A73" s="128" t="s">
        <v>296</v>
      </c>
      <c r="B73" s="223" t="n">
        <f aca="false">B46/B70</f>
        <v>0.807641804717918</v>
      </c>
      <c r="C73" s="223" t="n">
        <f aca="false">C46/C70</f>
        <v>0.843700766631737</v>
      </c>
      <c r="D73" s="223" t="n">
        <f aca="false">D46/D70</f>
        <v>1.03094536386307</v>
      </c>
      <c r="E73" s="181" t="n">
        <f aca="false">E46/E70</f>
        <v>1.65235744280775</v>
      </c>
      <c r="F73" s="223" t="n">
        <f aca="false">F46/F70</f>
        <v>0.999518919975348</v>
      </c>
      <c r="G73" s="223" t="n">
        <f aca="false">G46/G70</f>
        <v>0.991448417031298</v>
      </c>
      <c r="H73" s="223" t="n">
        <f aca="false">H46/H70</f>
        <v>0.972119909196145</v>
      </c>
      <c r="I73" s="181" t="n">
        <f aca="false">I46/I70</f>
        <v>1.79260727718189</v>
      </c>
      <c r="J73" s="223" t="n">
        <f aca="false">J46/J70</f>
        <v>0.906361757144792</v>
      </c>
      <c r="K73" s="223" t="n">
        <f aca="false">K46/K70</f>
        <v>0.872311288843453</v>
      </c>
      <c r="L73" s="223" t="n">
        <f aca="false">L46/L70</f>
        <v>0.239586045672535</v>
      </c>
      <c r="M73" s="181" t="n">
        <f aca="false">M46/M70</f>
        <v>0.630297517927747</v>
      </c>
      <c r="N73" s="223" t="n">
        <f aca="false">N46/N70</f>
        <v>0.00607363531127388</v>
      </c>
      <c r="O73" s="223" t="n">
        <f aca="false">O46/O70</f>
        <v>1.05277898882992</v>
      </c>
      <c r="P73" s="223" t="n">
        <f aca="false">P46/P70</f>
        <v>1.17923914187351</v>
      </c>
      <c r="Q73" s="223" t="n">
        <f aca="false">Q46/Q70</f>
        <v>2.33603155185991</v>
      </c>
      <c r="R73" s="223" t="n">
        <f aca="false">R46/R70</f>
        <v>1.38395222274005</v>
      </c>
      <c r="S73" s="223" t="n">
        <f aca="false">S46/S70</f>
        <v>1.73728821203602</v>
      </c>
      <c r="T73" s="223" t="n">
        <f aca="false">T46/T70</f>
        <v>1.00770404558233</v>
      </c>
      <c r="U73" s="223" t="n">
        <f aca="false">U46/U70</f>
        <v>2.82213794969707</v>
      </c>
      <c r="V73" s="236" t="n">
        <f aca="false">V46/V70</f>
        <v>6.95108243005548</v>
      </c>
      <c r="W73" s="223" t="n">
        <f aca="false">W46/W70</f>
        <v>1.22933167735672</v>
      </c>
      <c r="X73" s="223" t="n">
        <f aca="false">X46/X70</f>
        <v>0.902078791887788</v>
      </c>
      <c r="Y73" s="223" t="n">
        <f aca="false">Y46/Y70</f>
        <v>0.577040455823324</v>
      </c>
      <c r="Z73" s="223" t="n">
        <f aca="false">Z46/Z70</f>
        <v>1.32679200211152</v>
      </c>
      <c r="AA73" s="223" t="n">
        <f aca="false">AA46/AA70</f>
        <v>0.58702361802246</v>
      </c>
      <c r="AB73" s="223" t="n">
        <f aca="false">AB46/AB70</f>
        <v>0.905811672204101</v>
      </c>
      <c r="AC73" s="223" t="n">
        <f aca="false">AC46/AC70</f>
        <v>0.0413330426808183</v>
      </c>
      <c r="AD73" s="223" t="n">
        <f aca="false">AD46/AD70</f>
        <v>0.434363399859951</v>
      </c>
      <c r="AE73" s="223" t="n">
        <f aca="false">AE46/AE70</f>
        <v>-0.150584061217433</v>
      </c>
      <c r="AF73" s="223" t="n">
        <f aca="false">AF46/AF70</f>
        <v>0.0799502382849505</v>
      </c>
      <c r="AG73" s="223" t="n">
        <f aca="false">AG46/AG70</f>
        <v>-0.643422358194146</v>
      </c>
      <c r="AH73" s="223" t="n">
        <f aca="false">AH46/AH70</f>
        <v>0.341062059323183</v>
      </c>
      <c r="AI73" s="223" t="n">
        <f aca="false">AI46/AI70</f>
        <v>0.208080265195364</v>
      </c>
      <c r="AJ73" s="223" t="n">
        <f aca="false">AJ46/AJ70</f>
        <v>0.20168735153977</v>
      </c>
      <c r="AK73" s="223" t="n">
        <f aca="false">AK46/AK70</f>
        <v>0.231836549678833</v>
      </c>
      <c r="AL73" s="223" t="n">
        <f aca="false">AL46/AL70</f>
        <v>0.611571640406483</v>
      </c>
      <c r="AM73" s="214"/>
      <c r="AN73" s="223" t="n">
        <f aca="false">AN46/AN70</f>
        <v>0.926377429828386</v>
      </c>
      <c r="AO73" s="223" t="n">
        <f aca="false">AO46/AO70</f>
        <v>1.42283371048674</v>
      </c>
      <c r="AP73" s="223" t="n">
        <f aca="false">AP46/AP70</f>
        <v>0.99945162519729</v>
      </c>
      <c r="AQ73" s="223" t="n">
        <f aca="false">AQ46/AQ70</f>
        <v>1.10277067198895</v>
      </c>
      <c r="AR73" s="237"/>
      <c r="AS73" s="223" t="n">
        <f aca="false">AS46/AS70</f>
        <v>2.01693325087495</v>
      </c>
      <c r="AT73" s="214"/>
      <c r="AU73" s="223" t="n">
        <f aca="false">AU46/AU70</f>
        <v>1.09539841812391</v>
      </c>
    </row>
    <row r="74" customFormat="false" ht="12" hidden="false" customHeight="true" outlineLevel="0" collapsed="false">
      <c r="B74" s="231"/>
      <c r="E74" s="140"/>
      <c r="F74" s="231"/>
      <c r="I74" s="140"/>
      <c r="J74" s="231"/>
      <c r="M74" s="140"/>
      <c r="N74" s="231"/>
      <c r="AA74" s="130"/>
      <c r="AB74" s="130"/>
      <c r="AC74" s="130"/>
      <c r="AD74" s="130"/>
      <c r="AE74" s="130"/>
      <c r="AF74" s="130"/>
      <c r="AG74" s="130"/>
      <c r="AH74" s="130"/>
      <c r="AI74" s="130"/>
      <c r="AJ74" s="130"/>
      <c r="AK74" s="130"/>
      <c r="AL74" s="130"/>
      <c r="AM74" s="214"/>
      <c r="AN74" s="130"/>
      <c r="AO74" s="130"/>
      <c r="AQ74" s="130"/>
      <c r="AR74" s="130"/>
      <c r="AS74" s="130"/>
      <c r="AT74" s="214"/>
    </row>
    <row r="75" customFormat="false" ht="12" hidden="false" customHeight="true" outlineLevel="0" collapsed="false">
      <c r="A75" s="128" t="s">
        <v>914</v>
      </c>
      <c r="B75" s="223" t="n">
        <f aca="false">B41/B70</f>
        <v>0.528131918467059</v>
      </c>
      <c r="C75" s="223" t="n">
        <f aca="false">C41/C70</f>
        <v>0.728017405908846</v>
      </c>
      <c r="D75" s="223" t="n">
        <f aca="false">D41/D70</f>
        <v>0.795412982694778</v>
      </c>
      <c r="E75" s="181" t="n">
        <f aca="false">E41/E70</f>
        <v>1.29614599863976</v>
      </c>
      <c r="F75" s="223" t="n">
        <f aca="false">F41/F70</f>
        <v>0.662898206473537</v>
      </c>
      <c r="G75" s="223" t="n">
        <f aca="false">G41/G70</f>
        <v>0.603422116063513</v>
      </c>
      <c r="H75" s="223" t="n">
        <f aca="false">H41/H70</f>
        <v>0.903656208187381</v>
      </c>
      <c r="I75" s="181" t="n">
        <f aca="false">I41/I70</f>
        <v>1.35731467143738</v>
      </c>
      <c r="J75" s="223" t="n">
        <f aca="false">J41/J70</f>
        <v>0.380128388231582</v>
      </c>
      <c r="K75" s="223" t="n">
        <f aca="false">K41/K70</f>
        <v>0.505462513342453</v>
      </c>
      <c r="L75" s="223" t="n">
        <f aca="false">L41/L70</f>
        <v>0.141829908143783</v>
      </c>
      <c r="M75" s="181" t="n">
        <f aca="false">M41/M70</f>
        <v>0.400754694288677</v>
      </c>
      <c r="N75" s="223" t="n">
        <f aca="false">N41/N70</f>
        <v>0.0584136386186991</v>
      </c>
      <c r="O75" s="223" t="n">
        <f aca="false">O41/O70</f>
        <v>0.666036501946871</v>
      </c>
      <c r="P75" s="223" t="n">
        <f aca="false">P41/P70</f>
        <v>0.786511718808726</v>
      </c>
      <c r="Q75" s="223" t="n">
        <f aca="false">Q41/Q70</f>
        <v>1.67374205090428</v>
      </c>
      <c r="R75" s="223" t="n">
        <f aca="false">R41/R70</f>
        <v>0.92189891305982</v>
      </c>
      <c r="S75" s="223" t="n">
        <f aca="false">S41/S70</f>
        <v>1.25576243667033</v>
      </c>
      <c r="T75" s="223" t="n">
        <f aca="false">T41/T70</f>
        <v>0.325992603394623</v>
      </c>
      <c r="U75" s="223" t="n">
        <f aca="false">U41/U70</f>
        <v>2.24174421576439</v>
      </c>
      <c r="V75" s="236" t="n">
        <f aca="false">V41/V70</f>
        <v>4.74539816888916</v>
      </c>
      <c r="W75" s="223" t="n">
        <f aca="false">W41/W70</f>
        <v>0.648353052603095</v>
      </c>
      <c r="X75" s="223" t="n">
        <f aca="false">X41/X70</f>
        <v>0.579106844866726</v>
      </c>
      <c r="Y75" s="223" t="n">
        <f aca="false">Y41/Y70</f>
        <v>0.251452260324429</v>
      </c>
      <c r="Z75" s="223" t="n">
        <f aca="false">Z41/Z70</f>
        <v>0.972452155088173</v>
      </c>
      <c r="AA75" s="223" t="n">
        <f aca="false">AA41/AA70</f>
        <v>0.251574409549438</v>
      </c>
      <c r="AB75" s="223" t="n">
        <f aca="false">AB41/AB70</f>
        <v>0.53594043627945</v>
      </c>
      <c r="AC75" s="223" t="n">
        <f aca="false">AC41/AC70</f>
        <v>0.278655456499842</v>
      </c>
      <c r="AD75" s="223" t="n">
        <f aca="false">AD41/AD70</f>
        <v>0.563482647571062</v>
      </c>
      <c r="AE75" s="223" t="n">
        <f aca="false">AE41/AE70</f>
        <v>-0.53276117383526</v>
      </c>
      <c r="AF75" s="223" t="n">
        <f aca="false">AF41/AF70</f>
        <v>-0.094165401325976</v>
      </c>
      <c r="AG75" s="223" t="n">
        <f aca="false">AG41/AG70</f>
        <v>-0.628436339582363</v>
      </c>
      <c r="AH75" s="223" t="n">
        <f aca="false">AH41/AH70</f>
        <v>1.36578994843424</v>
      </c>
      <c r="AI75" s="223" t="n">
        <f aca="false">AI41/AI70</f>
        <v>-0.180223100861433</v>
      </c>
      <c r="AJ75" s="223" t="n">
        <f aca="false">AJ41/AJ70</f>
        <v>0.212041090980646</v>
      </c>
      <c r="AK75" s="223" t="n">
        <f aca="false">AK41/AK70</f>
        <v>0.056388182214288</v>
      </c>
      <c r="AL75" s="223" t="n">
        <f aca="false">AL41/AL70</f>
        <v>0.404047429968938</v>
      </c>
      <c r="AM75" s="214"/>
      <c r="AN75" s="223" t="n">
        <f aca="false">AN41/AN70</f>
        <v>0.559822972156243</v>
      </c>
      <c r="AO75" s="223" t="n">
        <f aca="false">AO41/AO70</f>
        <v>1.00780777826191</v>
      </c>
      <c r="AP75" s="223" t="n">
        <f aca="false">AP41/AP70</f>
        <v>0.612927948865189</v>
      </c>
      <c r="AQ75" s="223" t="n">
        <f aca="false">AQ41/AQ70</f>
        <v>0.697939828805118</v>
      </c>
      <c r="AR75" s="237"/>
      <c r="AS75" s="223" t="n">
        <f aca="false">AS41/AS70</f>
        <v>0.270642472627099</v>
      </c>
      <c r="AT75" s="214"/>
      <c r="AU75" s="223" t="n">
        <f aca="false">AU41/AU70</f>
        <v>0.673736225761617</v>
      </c>
    </row>
    <row r="76" customFormat="false" ht="12" hidden="false" customHeight="true" outlineLevel="0" collapsed="false">
      <c r="AA76" s="130"/>
      <c r="AB76" s="130"/>
      <c r="AC76" s="130"/>
      <c r="AD76" s="130"/>
      <c r="AE76" s="130"/>
      <c r="AF76" s="130"/>
      <c r="AG76" s="130"/>
      <c r="AH76" s="130"/>
      <c r="AI76" s="130"/>
      <c r="AJ76" s="130"/>
      <c r="AK76" s="130"/>
      <c r="AL76" s="130"/>
      <c r="AM76" s="214"/>
      <c r="AN76" s="130"/>
      <c r="AO76" s="130"/>
      <c r="AQ76" s="130"/>
      <c r="AR76" s="130"/>
      <c r="AS76" s="130"/>
      <c r="AT76" s="214"/>
    </row>
    <row r="77" s="238" customFormat="true" ht="12.75" hidden="false" customHeight="true" outlineLevel="0" collapsed="false">
      <c r="F77" s="239" t="n">
        <f aca="false">F22-F15-F14</f>
        <v>14866.21</v>
      </c>
      <c r="G77" s="240" t="s">
        <v>1023</v>
      </c>
      <c r="J77" s="241"/>
      <c r="N77" s="240" t="str">
        <f aca="false">+N1</f>
        <v>1QFY10</v>
      </c>
      <c r="O77" s="240" t="str">
        <f aca="false">+O1</f>
        <v>2QFY10</v>
      </c>
      <c r="P77" s="240" t="str">
        <f aca="false">+P1</f>
        <v>3QFY10</v>
      </c>
      <c r="Q77" s="240" t="str">
        <f aca="false">+Q1</f>
        <v>4QFY10A</v>
      </c>
      <c r="R77" s="240" t="str">
        <f aca="false">+R1</f>
        <v>1QFY11A</v>
      </c>
      <c r="S77" s="240" t="str">
        <f aca="false">+S1</f>
        <v>2QFY11A</v>
      </c>
      <c r="T77" s="240" t="str">
        <f aca="false">+T1</f>
        <v>3QFY11A</v>
      </c>
      <c r="U77" s="240" t="str">
        <f aca="false">+U1</f>
        <v>4QFY11A</v>
      </c>
      <c r="V77" s="240" t="str">
        <f aca="false">+V1</f>
        <v>FY11</v>
      </c>
      <c r="W77" s="240" t="str">
        <f aca="false">+W1</f>
        <v>1QFY12A</v>
      </c>
      <c r="X77" s="240" t="str">
        <f aca="false">+X1</f>
        <v>2QFY12A</v>
      </c>
      <c r="Y77" s="240" t="str">
        <f aca="false">+Y1</f>
        <v>3QFY12A</v>
      </c>
      <c r="Z77" s="240" t="str">
        <f aca="false">+Z1</f>
        <v>4QFY12A</v>
      </c>
      <c r="AA77" s="240" t="str">
        <f aca="false">+AA1</f>
        <v>1QFY13A</v>
      </c>
      <c r="AB77" s="240" t="str">
        <f aca="false">+AB1</f>
        <v>2QFY13A</v>
      </c>
      <c r="AC77" s="240" t="str">
        <f aca="false">+AC1</f>
        <v>3QFY13A</v>
      </c>
      <c r="AD77" s="240" t="str">
        <f aca="false">+AD1</f>
        <v>4QFY13A</v>
      </c>
      <c r="AE77" s="240" t="str">
        <f aca="false">+AE1</f>
        <v>1QFY14A</v>
      </c>
      <c r="AF77" s="240" t="str">
        <f aca="false">+AF1</f>
        <v>2QFY14A</v>
      </c>
      <c r="AG77" s="240" t="str">
        <f aca="false">+AG1</f>
        <v>3QFY14A</v>
      </c>
      <c r="AH77" s="240" t="str">
        <f aca="false">+AH1</f>
        <v>4QFY14A</v>
      </c>
      <c r="AI77" s="240" t="str">
        <f aca="false">+AI1</f>
        <v>1QFY15A</v>
      </c>
      <c r="AJ77" s="240" t="str">
        <f aca="false">+AJ1</f>
        <v>2QFY15A</v>
      </c>
      <c r="AK77" s="240" t="str">
        <f aca="false">+AK1</f>
        <v>3QFY15A</v>
      </c>
      <c r="AL77" s="240" t="str">
        <f aca="false">+AL1</f>
        <v>4QFY15A</v>
      </c>
      <c r="AM77" s="242"/>
      <c r="AN77" s="240" t="str">
        <f aca="false">+AN1</f>
        <v>1QFY16A</v>
      </c>
      <c r="AO77" s="240" t="str">
        <f aca="false">+AO1</f>
        <v>2QFY16A</v>
      </c>
      <c r="AP77" s="240" t="str">
        <f aca="false">+AP1</f>
        <v>3QFY16E</v>
      </c>
      <c r="AQ77" s="240" t="str">
        <f aca="false">+AQ1</f>
        <v>3QFY16A</v>
      </c>
      <c r="AR77" s="243"/>
      <c r="AS77" s="240" t="str">
        <f aca="false">+AS1</f>
        <v>4QFY16A</v>
      </c>
      <c r="AT77" s="242"/>
      <c r="AU77" s="240" t="str">
        <f aca="false">+AU1</f>
        <v>1QFY17E</v>
      </c>
    </row>
    <row r="78" customFormat="false" ht="12.75" hidden="false" customHeight="true" outlineLevel="0" collapsed="false">
      <c r="A78" s="128" t="s">
        <v>916</v>
      </c>
      <c r="F78" s="244"/>
      <c r="J78" s="244"/>
      <c r="K78" s="19"/>
      <c r="N78" s="138" t="n">
        <f aca="false">+N22/N6*1000000</f>
        <v>1185309.1712133</v>
      </c>
      <c r="O78" s="147" t="n">
        <f aca="false">+O22/O6*1000000</f>
        <v>1103584.63905988</v>
      </c>
      <c r="P78" s="138" t="n">
        <f aca="false">+P22/P6*1000000</f>
        <v>1125773.1754201</v>
      </c>
      <c r="Q78" s="138" t="n">
        <f aca="false">+Q22/Q6*1000000</f>
        <v>1138853.87685512</v>
      </c>
      <c r="R78" s="138" t="n">
        <f aca="false">+R22/R6*1000000</f>
        <v>1097083.49686945</v>
      </c>
      <c r="S78" s="138" t="n">
        <f aca="false">+S22/S6*1000000</f>
        <v>1103682.18788125</v>
      </c>
      <c r="T78" s="138" t="n">
        <f aca="false">+T22/T6*1000000</f>
        <v>1208030.10251125</v>
      </c>
      <c r="U78" s="138" t="n">
        <f aca="false">+U22/U6*1000000</f>
        <v>1289979.88476701</v>
      </c>
      <c r="V78" s="144" t="n">
        <f aca="false">+V22/V6*1000000</f>
        <v>1181377.67246143</v>
      </c>
      <c r="W78" s="138" t="n">
        <f aca="false">+W22/W6*1000000</f>
        <v>1294551.01934948</v>
      </c>
      <c r="X78" s="138" t="n">
        <f aca="false">+X22/X6*1000000</f>
        <v>1309704.92635856</v>
      </c>
      <c r="Y78" s="138" t="n">
        <f aca="false">+Y22/Y6*1000000</f>
        <v>1227744.28717599</v>
      </c>
      <c r="Z78" s="138" t="n">
        <f aca="false">+Z22/Z6*1000000</f>
        <v>1207974.69737727</v>
      </c>
      <c r="AA78" s="138" t="n">
        <f aca="false">+AA22/AA6*1000000</f>
        <v>1090211.05673373</v>
      </c>
      <c r="AB78" s="138" t="n">
        <f aca="false">+AB22/AB6*1000000</f>
        <v>1104572.88873995</v>
      </c>
      <c r="AC78" s="138" t="n">
        <f aca="false">+AC22/AC6*1000000</f>
        <v>1050255.84576017</v>
      </c>
      <c r="AD78" s="138" t="n">
        <f aca="false">+AD22/AD6*1000000</f>
        <v>1076749.87726341</v>
      </c>
      <c r="AE78" s="138" t="n">
        <f aca="false">+AE22/AE6*1000000</f>
        <v>1088261.12978224</v>
      </c>
      <c r="AF78" s="138" t="n">
        <f aca="false">+AF22/AF6*1000000</f>
        <v>1103255.34400692</v>
      </c>
      <c r="AG78" s="138" t="n">
        <f aca="false">+AG22/AG6*1000000</f>
        <v>1058480.73483986</v>
      </c>
      <c r="AH78" s="138" t="n">
        <f aca="false">+AH22/AH6*1000000</f>
        <v>1181195.13974202</v>
      </c>
      <c r="AI78" s="138" t="n">
        <f aca="false">+AI22/AI6*1000000</f>
        <v>1240079.87588209</v>
      </c>
      <c r="AJ78" s="138" t="n">
        <f aca="false">+AJ22/AJ6*1000000</f>
        <v>1267850.82154537</v>
      </c>
      <c r="AK78" s="138" t="n">
        <f aca="false">+AK22/AK6*1000000</f>
        <v>1321978.0129012</v>
      </c>
      <c r="AL78" s="138" t="n">
        <f aca="false">+AL22/AL6*1000000</f>
        <v>1319038.75991686</v>
      </c>
      <c r="AM78" s="214"/>
      <c r="AN78" s="138" t="n">
        <f aca="false">+AN22/AN6*1000000</f>
        <v>1362810.04754133</v>
      </c>
      <c r="AO78" s="138" t="n">
        <f aca="false">+AO22/AO6*1000000</f>
        <v>1323014.24860058</v>
      </c>
      <c r="AP78" s="138" t="n">
        <f aca="false">+AP22/AP6*1000000</f>
        <v>1230927.08903997</v>
      </c>
      <c r="AQ78" s="138" t="n">
        <f aca="false">+AQ22/AQ6*1000000</f>
        <v>1320921.01008794</v>
      </c>
      <c r="AR78" s="159"/>
      <c r="AS78" s="138" t="n">
        <f aca="false">+AS22/AS6*1000000</f>
        <v>1353657.97608765</v>
      </c>
      <c r="AT78" s="214"/>
      <c r="AU78" s="138" t="n">
        <f aca="false">+AU22/AU6*1000000</f>
        <v>1316694.44131409</v>
      </c>
    </row>
    <row r="79" customFormat="false" ht="12" hidden="false" customHeight="true" outlineLevel="0" collapsed="false">
      <c r="A79" s="128" t="s">
        <v>917</v>
      </c>
      <c r="F79" s="139"/>
      <c r="J79" s="139"/>
      <c r="N79" s="138" t="n">
        <f aca="false">+(N24+N25)/N6*1000000</f>
        <v>860836.580930112</v>
      </c>
      <c r="O79" s="138" t="n">
        <f aca="false">+(O24+O25)/O6*1000000</f>
        <v>774989.367655288</v>
      </c>
      <c r="P79" s="138" t="n">
        <f aca="false">+(P24+P25)/P6*1000000</f>
        <v>803614.931481367</v>
      </c>
      <c r="Q79" s="138" t="n">
        <f aca="false">+(Q24+Q25)/Q6*1000000</f>
        <v>833469.64002015</v>
      </c>
      <c r="R79" s="138" t="n">
        <f aca="false">+(R24+R25)/R6*1000000</f>
        <v>810484.674329502</v>
      </c>
      <c r="S79" s="138" t="n">
        <f aca="false">+(S24+S25)/S6*1000000</f>
        <v>812082.147214315</v>
      </c>
      <c r="T79" s="138" t="n">
        <f aca="false">+(T24+T25)/T6*1000000</f>
        <v>883747.735531811</v>
      </c>
      <c r="U79" s="138" t="n">
        <f aca="false">+(U24+U25)/U6*1000000</f>
        <v>930050.60817413</v>
      </c>
      <c r="V79" s="144" t="n">
        <f aca="false">+(V24+V25)/V6*1000000</f>
        <v>862962.999957496</v>
      </c>
      <c r="W79" s="138" t="n">
        <f aca="false">+(W24+W25)/W6*1000000</f>
        <v>932772.838097214</v>
      </c>
      <c r="X79" s="138" t="n">
        <f aca="false">+(X24+X25)/X6*1000000</f>
        <v>963151.980700863</v>
      </c>
      <c r="Y79" s="138" t="n">
        <f aca="false">+(Y24+Y25)/Y6*1000000</f>
        <v>907553.760231924</v>
      </c>
      <c r="Z79" s="138" t="n">
        <f aca="false">+(Z24+Z25)/Z6*1000000</f>
        <v>899217.580138982</v>
      </c>
      <c r="AA79" s="138" t="n">
        <f aca="false">+(AA24+AA25)/AA6*1000000</f>
        <v>793427.079934747</v>
      </c>
      <c r="AB79" s="138" t="n">
        <f aca="false">+(AB24+AB25)/AB6*1000000</f>
        <v>804063.572386059</v>
      </c>
      <c r="AC79" s="138" t="n">
        <f aca="false">+(AC24+AC25)/AC6*1000000</f>
        <v>754704.932498015</v>
      </c>
      <c r="AD79" s="138" t="n">
        <f aca="false">+(AD24+AD25)/AD6*1000000</f>
        <v>815699.945129523</v>
      </c>
      <c r="AE79" s="138" t="n">
        <f aca="false">+(AE24+AE25)/AE6*1000000</f>
        <v>821178.951245339</v>
      </c>
      <c r="AF79" s="138" t="n">
        <f aca="false">+(AF24+AF25)/AF6*1000000</f>
        <v>841937.905668542</v>
      </c>
      <c r="AG79" s="138" t="n">
        <f aca="false">+(AG24+AG25)/AG6*1000000</f>
        <v>843672.519373544</v>
      </c>
      <c r="AH79" s="138" t="n">
        <f aca="false">+(AH24+AH25)/AH6*1000000</f>
        <v>889267.160626536</v>
      </c>
      <c r="AI79" s="138" t="n">
        <f aca="false">+(AI24+AI25)/AI6*1000000</f>
        <v>908804.86462139</v>
      </c>
      <c r="AJ79" s="138" t="n">
        <f aca="false">+(AJ24+AJ25)/AJ6*1000000</f>
        <v>933132.195910004</v>
      </c>
      <c r="AK79" s="138" t="n">
        <f aca="false">+(AK24+AK25)/AK6*1000000</f>
        <v>984574.929200755</v>
      </c>
      <c r="AL79" s="138" t="n">
        <f aca="false">+(AL24+AL25)/AL6*1000000</f>
        <v>959614.537896308</v>
      </c>
      <c r="AM79" s="214"/>
      <c r="AN79" s="138" t="n">
        <f aca="false">+(AN24+AN25)/AN6*1000000</f>
        <v>946274.214148868</v>
      </c>
      <c r="AO79" s="138" t="n">
        <f aca="false">+(AO24+AO25)/AO6*1000000</f>
        <v>931364.035675068</v>
      </c>
      <c r="AP79" s="138" t="n">
        <f aca="false">+(AP23+AP25)/AP6*1000000</f>
        <v>864110.81650606</v>
      </c>
      <c r="AQ79" s="138" t="n">
        <f aca="false">+(AQ24+AQ25)/AQ6*1000000</f>
        <v>935017.492240041</v>
      </c>
      <c r="AR79" s="159"/>
      <c r="AS79" s="138" t="n">
        <f aca="false">+(AS24+AS25)/AS6*1000000</f>
        <v>960479.838159749</v>
      </c>
      <c r="AT79" s="214"/>
      <c r="AU79" s="138" t="n">
        <f aca="false">+(AU23+AU25)/AU6*1000000</f>
        <v>937486.442215631</v>
      </c>
    </row>
    <row r="80" customFormat="false" ht="12" hidden="false" customHeight="true" outlineLevel="0" collapsed="false">
      <c r="A80" s="128" t="s">
        <v>918</v>
      </c>
      <c r="N80" s="138" t="n">
        <f aca="false">+(N22-N24-N25)/N6*1000000</f>
        <v>324472.59028319</v>
      </c>
      <c r="O80" s="138" t="n">
        <f aca="false">+(O22-O24-O25)/O6*1000000</f>
        <v>328595.271404589</v>
      </c>
      <c r="P80" s="138" t="n">
        <f aca="false">+(P22-P24-P25)/P6*1000000</f>
        <v>322158.243938736</v>
      </c>
      <c r="Q80" s="138" t="n">
        <f aca="false">+(Q22-Q24-Q25)/Q6*1000000</f>
        <v>305384.236834967</v>
      </c>
      <c r="R80" s="138" t="n">
        <f aca="false">+(R22-R24-R25)/R6*1000000</f>
        <v>286598.82253995</v>
      </c>
      <c r="S80" s="138" t="n">
        <f aca="false">+(S22-S24-S25)/S6*1000000</f>
        <v>291600.040666938</v>
      </c>
      <c r="T80" s="138" t="n">
        <f aca="false">+(T22-T24-T25)/T6*1000000</f>
        <v>324282.366979444</v>
      </c>
      <c r="U80" s="138" t="n">
        <f aca="false">+(U22-U24-U25)/U6*1000000</f>
        <v>359929.276592877</v>
      </c>
      <c r="V80" s="144" t="n">
        <f aca="false">+(V22-V24-V25)/V6*1000000</f>
        <v>318414.672503932</v>
      </c>
      <c r="W80" s="138" t="n">
        <f aca="false">+(W22-W24-W25)/W6*1000000</f>
        <v>361778.18125227</v>
      </c>
      <c r="X80" s="138" t="n">
        <f aca="false">+(X22-X24-X25)/X6*1000000</f>
        <v>346552.945657694</v>
      </c>
      <c r="Y80" s="138" t="n">
        <f aca="false">+(Y22-Y24-Y25)/Y6*1000000</f>
        <v>320190.526944066</v>
      </c>
      <c r="Z80" s="138" t="n">
        <f aca="false">+(Z22-Z24-Z25)/Z6*1000000</f>
        <v>308757.117238287</v>
      </c>
      <c r="AA80" s="138" t="n">
        <f aca="false">+(AA22-AA24-AA25)/AA6*1000000</f>
        <v>296783.976798985</v>
      </c>
      <c r="AB80" s="138" t="n">
        <f aca="false">+(AB22-AB24-AB25)/AB6*1000000</f>
        <v>300509.316353888</v>
      </c>
      <c r="AC80" s="138" t="n">
        <f aca="false">+(AC22-AC24-AC25)/AC6*1000000</f>
        <v>295550.913262155</v>
      </c>
      <c r="AD80" s="138" t="n">
        <f aca="false">+(AD22-AD24-AD25)/AD6*1000000</f>
        <v>261049.932133884</v>
      </c>
      <c r="AE80" s="138" t="n">
        <f aca="false">+(AE22-AE24-AE25)/AE6*1000000</f>
        <v>267082.1785369</v>
      </c>
      <c r="AF80" s="138" t="n">
        <f aca="false">+(AF22-AF24-AF25)/AF6*1000000</f>
        <v>261317.438338382</v>
      </c>
      <c r="AG80" s="138" t="n">
        <f aca="false">+(AG22-AG24-AG25)/AG6*1000000</f>
        <v>214808.21546632</v>
      </c>
      <c r="AH80" s="138" t="n">
        <f aca="false">+(AH22-AH24-AH25)/AH6*1000000</f>
        <v>291927.979115479</v>
      </c>
      <c r="AI80" s="138" t="n">
        <f aca="false">+(AI22-AI24-AI25)/AI6*1000000</f>
        <v>331275.011260698</v>
      </c>
      <c r="AJ80" s="138" t="n">
        <f aca="false">+(AJ22-AJ24-AJ25)/AJ6*1000000</f>
        <v>334718.625635368</v>
      </c>
      <c r="AK80" s="138" t="n">
        <f aca="false">+(AK22-AK24-AK25)/AK6*1000000</f>
        <v>337403.08370044</v>
      </c>
      <c r="AL80" s="138" t="n">
        <f aca="false">+(AL22-AL24-AL25)/AL6*1000000</f>
        <v>359424.222020551</v>
      </c>
      <c r="AM80" s="214"/>
      <c r="AN80" s="138" t="n">
        <f aca="false">+(AN22-AN24-AN25)/AN6*1000000</f>
        <v>416535.833392465</v>
      </c>
      <c r="AO80" s="138" t="n">
        <f aca="false">+(AO22-AO24-AO25)/AO6*1000000</f>
        <v>391650.212925516</v>
      </c>
      <c r="AP80" s="138" t="n">
        <f aca="false">+(AP22-AP23-AP25)/AP6*1000000</f>
        <v>366816.272533912</v>
      </c>
      <c r="AQ80" s="138" t="n">
        <f aca="false">+(AQ22-AQ24-AQ25)/AQ6*1000000</f>
        <v>385903.517847902</v>
      </c>
      <c r="AR80" s="159"/>
      <c r="AS80" s="138" t="n">
        <f aca="false">+(AS22-AS24-AS25)/AS6*1000000</f>
        <v>393178.137927899</v>
      </c>
      <c r="AT80" s="214"/>
      <c r="AU80" s="138" t="n">
        <f aca="false">+(AU22-AU23-AU25)/AU6*1000000</f>
        <v>379207.999098457</v>
      </c>
    </row>
    <row r="81" customFormat="false" ht="12" hidden="false" customHeight="true" outlineLevel="0" collapsed="false">
      <c r="A81" s="128" t="s">
        <v>919</v>
      </c>
      <c r="B81" s="245"/>
      <c r="C81" s="245"/>
      <c r="F81" s="246"/>
      <c r="G81" s="247"/>
      <c r="H81" s="156"/>
      <c r="J81" s="246"/>
      <c r="K81" s="245"/>
      <c r="L81" s="156"/>
      <c r="N81" s="248" t="n">
        <f aca="false">+N31/N6*1000000</f>
        <v>15805.4040010392</v>
      </c>
      <c r="O81" s="248" t="n">
        <f aca="false">+O31/O6*1000000</f>
        <v>116151.231113598</v>
      </c>
      <c r="P81" s="138" t="n">
        <f aca="false">+P31/P6*1000000</f>
        <v>127878.464686551</v>
      </c>
      <c r="Q81" s="138" t="n">
        <f aca="false">+Q31/Q6*1000000</f>
        <v>161196.264579378</v>
      </c>
      <c r="R81" s="138" t="n">
        <f aca="false">+R31/R6*1000000</f>
        <v>109990.094383703</v>
      </c>
      <c r="S81" s="138" t="n">
        <f aca="false">+S31/S6*1000000</f>
        <v>124546.278975193</v>
      </c>
      <c r="T81" s="138" t="n">
        <f aca="false">+T31/T6*1000000</f>
        <v>104152.844822911</v>
      </c>
      <c r="U81" s="138" t="n">
        <f aca="false">+U31/U6*1000000</f>
        <v>171795.107651875</v>
      </c>
      <c r="V81" s="144" t="n">
        <f aca="false">+V31/V6*1000000</f>
        <v>132141.518255621</v>
      </c>
      <c r="W81" s="138" t="n">
        <f aca="false">+W31/W6*1000000</f>
        <v>121989.521191057</v>
      </c>
      <c r="X81" s="138" t="n">
        <f aca="false">+X31/X6*1000000</f>
        <v>140153.673607584</v>
      </c>
      <c r="Y81" s="138" t="n">
        <f aca="false">+Y31/Y6*1000000</f>
        <v>89687.8410641201</v>
      </c>
      <c r="Z81" s="138" t="n">
        <f aca="false">+Z31/Z6*1000000</f>
        <v>131682.498318763</v>
      </c>
      <c r="AA81" s="138" t="n">
        <f aca="false">+AA31/AA6*1000000</f>
        <v>87257.0962479608</v>
      </c>
      <c r="AB81" s="138" t="n">
        <f aca="false">+AB31/AB6*1000000</f>
        <v>111960.120643432</v>
      </c>
      <c r="AC81" s="138" t="n">
        <f aca="false">+AC31/AC6*1000000</f>
        <v>45141.4894555722</v>
      </c>
      <c r="AD81" s="138" t="n">
        <f aca="false">+AD31/AD6*1000000</f>
        <v>57236.2899107452</v>
      </c>
      <c r="AE81" s="138" t="n">
        <f aca="false">+AE31/AE6*1000000</f>
        <v>10707.1958012983</v>
      </c>
      <c r="AF81" s="138" t="n">
        <f aca="false">+AF31/AF6*1000000</f>
        <v>24349.069666811</v>
      </c>
      <c r="AG81" s="138" t="n">
        <f aca="false">+AG31/AG6*1000000</f>
        <v>-52513.791795372</v>
      </c>
      <c r="AH81" s="138" t="n">
        <f aca="false">+AH31/AH6*1000000</f>
        <v>70615.0952088454</v>
      </c>
      <c r="AI81" s="138" t="n">
        <f aca="false">+AI31/AI6*1000000</f>
        <v>58098.5436164357</v>
      </c>
      <c r="AJ81" s="138" t="n">
        <f aca="false">+AJ31/AJ6*1000000</f>
        <v>92355.7271760117</v>
      </c>
      <c r="AK81" s="138" t="n">
        <f aca="false">+AK31/AK6*1000000</f>
        <v>93670.5475141597</v>
      </c>
      <c r="AL81" s="138" t="n">
        <f aca="false">+AL31/AL6*1000000</f>
        <v>133814.251002664</v>
      </c>
      <c r="AM81" s="214"/>
      <c r="AN81" s="138" t="n">
        <f aca="false">+AN31/AN6*1000000</f>
        <v>137904.881856241</v>
      </c>
      <c r="AO81" s="138" t="n">
        <f aca="false">+AO31/AO6*1000000</f>
        <v>159212.148806813</v>
      </c>
      <c r="AP81" s="138" t="n">
        <f aca="false">+AP31/AP6*1000000</f>
        <v>126063.372555798</v>
      </c>
      <c r="AQ81" s="138" t="n">
        <f aca="false">+AQ31/AQ6*1000000</f>
        <v>138940.474650799</v>
      </c>
      <c r="AR81" s="159"/>
      <c r="AS81" s="138" t="n">
        <f aca="false">+AS31/AS6*1000000</f>
        <v>171184.252398055</v>
      </c>
      <c r="AT81" s="214"/>
      <c r="AU81" s="138" t="n">
        <f aca="false">+AU31/AU6*1000000</f>
        <v>135344.690900158</v>
      </c>
    </row>
    <row r="82" customFormat="false" ht="12" hidden="false" customHeight="true" outlineLevel="0" collapsed="false">
      <c r="F82" s="249"/>
      <c r="H82" s="156"/>
      <c r="J82" s="249"/>
      <c r="L82" s="156"/>
      <c r="N82" s="249"/>
      <c r="P82" s="156"/>
    </row>
    <row r="83" customFormat="false" ht="12" hidden="false" customHeight="true" outlineLevel="0" collapsed="false">
      <c r="F83" s="139"/>
      <c r="H83" s="156"/>
      <c r="J83" s="139"/>
      <c r="L83" s="156"/>
      <c r="N83" s="139"/>
      <c r="P83" s="156"/>
    </row>
    <row r="84" customFormat="false" ht="12" hidden="false" customHeight="true" outlineLevel="0" collapsed="false">
      <c r="B84" s="139"/>
      <c r="C84" s="139"/>
      <c r="F84" s="139"/>
      <c r="G84" s="139"/>
      <c r="H84" s="156"/>
      <c r="J84" s="139"/>
      <c r="K84" s="139"/>
      <c r="L84" s="156"/>
      <c r="N84" s="139"/>
      <c r="O84" s="139"/>
      <c r="P84" s="156"/>
    </row>
    <row r="85" customFormat="false" ht="12" hidden="false" customHeight="true" outlineLevel="0" collapsed="false">
      <c r="A85" s="128" t="s">
        <v>1024</v>
      </c>
      <c r="B85" s="139"/>
      <c r="C85" s="139"/>
      <c r="F85" s="139"/>
      <c r="G85" s="139"/>
      <c r="H85" s="156"/>
      <c r="J85" s="139"/>
      <c r="K85" s="139"/>
      <c r="L85" s="156"/>
      <c r="N85" s="139"/>
      <c r="O85" s="139"/>
      <c r="P85" s="156"/>
    </row>
    <row r="86" customFormat="false" ht="12" hidden="false" customHeight="true" outlineLevel="0" collapsed="false">
      <c r="A86" s="128" t="s">
        <v>1025</v>
      </c>
      <c r="B86" s="139"/>
      <c r="C86" s="139"/>
      <c r="F86" s="139"/>
      <c r="G86" s="139"/>
      <c r="H86" s="156"/>
      <c r="J86" s="139"/>
      <c r="K86" s="139"/>
      <c r="L86" s="156"/>
      <c r="N86" s="139"/>
      <c r="O86" s="139"/>
      <c r="P86" s="156"/>
    </row>
    <row r="87" customFormat="false" ht="12" hidden="false" customHeight="true" outlineLevel="0" collapsed="false">
      <c r="A87" s="128" t="s">
        <v>957</v>
      </c>
      <c r="H87" s="156"/>
      <c r="K87" s="139"/>
      <c r="L87" s="156"/>
      <c r="O87" s="139"/>
      <c r="P87" s="156"/>
      <c r="AE87" s="145" t="n">
        <v>1</v>
      </c>
      <c r="AF87" s="145" t="n">
        <v>1363</v>
      </c>
      <c r="AG87" s="145" t="n">
        <v>946</v>
      </c>
      <c r="AH87" s="145" t="n">
        <v>1529</v>
      </c>
      <c r="AI87" s="145" t="n">
        <v>1062</v>
      </c>
      <c r="AJ87" s="145" t="n">
        <v>1205</v>
      </c>
      <c r="AK87" s="145" t="n">
        <v>1171</v>
      </c>
      <c r="AL87" s="145" t="n">
        <v>1171</v>
      </c>
    </row>
    <row r="88" customFormat="false" ht="12" hidden="false" customHeight="true" outlineLevel="0" collapsed="false">
      <c r="A88" s="128" t="s">
        <v>958</v>
      </c>
      <c r="B88" s="166"/>
      <c r="C88" s="166"/>
      <c r="F88" s="166"/>
      <c r="G88" s="166"/>
      <c r="H88" s="156"/>
      <c r="J88" s="166"/>
      <c r="K88" s="139"/>
      <c r="L88" s="156"/>
      <c r="N88" s="166"/>
      <c r="O88" s="139"/>
      <c r="P88" s="156"/>
      <c r="AE88" s="145" t="n">
        <v>1.25</v>
      </c>
      <c r="AF88" s="145" t="n">
        <v>2291</v>
      </c>
      <c r="AG88" s="145" t="n">
        <v>2307</v>
      </c>
      <c r="AH88" s="145" t="n">
        <v>3295</v>
      </c>
      <c r="AI88" s="145" t="n">
        <v>2286</v>
      </c>
      <c r="AJ88" s="145" t="n">
        <v>2242</v>
      </c>
      <c r="AK88" s="145" t="n">
        <v>2530</v>
      </c>
      <c r="AL88" s="145" t="n">
        <v>2530</v>
      </c>
    </row>
    <row r="89" customFormat="false" ht="12" hidden="false" customHeight="true" outlineLevel="0" collapsed="false">
      <c r="A89" s="128" t="s">
        <v>959</v>
      </c>
      <c r="B89" s="166"/>
      <c r="C89" s="166"/>
      <c r="F89" s="166"/>
      <c r="G89" s="166"/>
      <c r="H89" s="156"/>
      <c r="J89" s="166"/>
      <c r="K89" s="139"/>
      <c r="L89" s="156"/>
      <c r="N89" s="166"/>
      <c r="O89" s="139"/>
      <c r="P89" s="156"/>
      <c r="AE89" s="145" t="n">
        <v>1.5</v>
      </c>
      <c r="AF89" s="145" t="n">
        <v>2547</v>
      </c>
      <c r="AG89" s="145" t="n">
        <v>1897</v>
      </c>
      <c r="AH89" s="145" t="n">
        <v>2709</v>
      </c>
      <c r="AI89" s="145" t="n">
        <v>2516</v>
      </c>
      <c r="AJ89" s="145" t="n">
        <v>2894</v>
      </c>
      <c r="AK89" s="145" t="n">
        <v>3234</v>
      </c>
      <c r="AL89" s="145" t="n">
        <v>3234</v>
      </c>
    </row>
    <row r="90" customFormat="false" ht="12" hidden="false" customHeight="true" outlineLevel="0" collapsed="false">
      <c r="A90" s="128" t="s">
        <v>960</v>
      </c>
      <c r="AE90" s="145" t="n">
        <v>1.75</v>
      </c>
      <c r="AF90" s="145" t="n">
        <v>1986</v>
      </c>
      <c r="AG90" s="145" t="n">
        <v>1071</v>
      </c>
      <c r="AH90" s="145" t="n">
        <v>3080</v>
      </c>
      <c r="AI90" s="145" t="n">
        <v>2348</v>
      </c>
      <c r="AJ90" s="145" t="n">
        <v>3544</v>
      </c>
      <c r="AK90" s="145" t="n">
        <v>3186</v>
      </c>
      <c r="AL90" s="145" t="n">
        <v>3186</v>
      </c>
    </row>
    <row r="91" customFormat="false" ht="12" hidden="false" customHeight="true" outlineLevel="0" collapsed="false">
      <c r="A91" s="128" t="s">
        <v>961</v>
      </c>
      <c r="B91" s="166"/>
      <c r="C91" s="166"/>
      <c r="F91" s="166"/>
      <c r="G91" s="166"/>
      <c r="J91" s="166"/>
      <c r="K91" s="166"/>
      <c r="N91" s="166"/>
      <c r="O91" s="166"/>
      <c r="AE91" s="145" t="n">
        <v>1.75</v>
      </c>
      <c r="AF91" s="145" t="n">
        <v>314</v>
      </c>
      <c r="AG91" s="145" t="n">
        <v>208</v>
      </c>
      <c r="AH91" s="145" t="n">
        <v>972</v>
      </c>
      <c r="AI91" s="145" t="n">
        <v>725</v>
      </c>
      <c r="AJ91" s="145" t="n">
        <v>479</v>
      </c>
      <c r="AK91" s="145" t="n">
        <v>381</v>
      </c>
      <c r="AL91" s="145" t="n">
        <v>381</v>
      </c>
    </row>
    <row r="92" customFormat="false" ht="12" hidden="false" customHeight="true" outlineLevel="0" collapsed="false">
      <c r="A92" s="128" t="s">
        <v>962</v>
      </c>
      <c r="B92" s="166"/>
      <c r="C92" s="166"/>
      <c r="F92" s="166"/>
      <c r="G92" s="166"/>
      <c r="J92" s="166"/>
      <c r="K92" s="166"/>
      <c r="N92" s="166"/>
      <c r="O92" s="166"/>
      <c r="AE92" s="145" t="n">
        <v>2</v>
      </c>
      <c r="AF92" s="145" t="n">
        <v>622</v>
      </c>
      <c r="AG92" s="145" t="n">
        <v>428</v>
      </c>
      <c r="AH92" s="145" t="n">
        <v>968</v>
      </c>
      <c r="AI92" s="145" t="n">
        <v>1070</v>
      </c>
      <c r="AJ92" s="145" t="n">
        <v>1717</v>
      </c>
      <c r="AK92" s="145" t="n">
        <v>1878</v>
      </c>
      <c r="AL92" s="145" t="n">
        <v>1878</v>
      </c>
    </row>
    <row r="93" customFormat="false" ht="12.75" hidden="false" customHeight="true" outlineLevel="0" collapsed="false">
      <c r="A93" s="128" t="s">
        <v>427</v>
      </c>
      <c r="B93" s="166"/>
      <c r="C93" s="166"/>
      <c r="F93" s="166"/>
      <c r="G93" s="166"/>
      <c r="J93" s="166"/>
      <c r="K93" s="166"/>
      <c r="N93" s="166"/>
      <c r="O93" s="166"/>
      <c r="AF93" s="132" t="n">
        <f aca="false">SUM(AF87:AF92)</f>
        <v>9123</v>
      </c>
      <c r="AG93" s="132" t="n">
        <f aca="false">SUM(AG87:AG92)</f>
        <v>6857</v>
      </c>
      <c r="AH93" s="132" t="n">
        <f aca="false">SUM(AH87:AH92)</f>
        <v>12553</v>
      </c>
      <c r="AI93" s="132" t="n">
        <f aca="false">SUM(AI87:AI92)</f>
        <v>10007</v>
      </c>
      <c r="AJ93" s="132" t="n">
        <f aca="false">SUM(AJ87:AJ92)</f>
        <v>12081</v>
      </c>
      <c r="AK93" s="132" t="n">
        <f aca="false">SUM(AK87:AK92)</f>
        <v>12380</v>
      </c>
      <c r="AL93" s="132" t="n">
        <f aca="false">SUM(AL87:AL92)</f>
        <v>12380</v>
      </c>
      <c r="AM93" s="250"/>
      <c r="AN93" s="19"/>
      <c r="AO93" s="19"/>
      <c r="AP93" s="19"/>
      <c r="AQ93" s="19"/>
      <c r="AR93" s="19"/>
      <c r="AS93" s="19"/>
      <c r="AT93" s="250"/>
      <c r="AU93" s="19"/>
    </row>
    <row r="94" customFormat="false" ht="12" hidden="false" customHeight="true" outlineLevel="0" collapsed="false">
      <c r="A94" s="128" t="s">
        <v>969</v>
      </c>
      <c r="B94" s="166"/>
      <c r="C94" s="166"/>
      <c r="F94" s="166"/>
      <c r="G94" s="166"/>
      <c r="J94" s="166"/>
      <c r="K94" s="166"/>
      <c r="N94" s="166"/>
      <c r="O94" s="166"/>
    </row>
    <row r="95" customFormat="false" ht="12" hidden="false" customHeight="true" outlineLevel="0" collapsed="false">
      <c r="A95" s="128" t="s">
        <v>957</v>
      </c>
      <c r="B95" s="166"/>
      <c r="C95" s="166"/>
      <c r="F95" s="166"/>
      <c r="G95" s="166"/>
      <c r="J95" s="166"/>
      <c r="K95" s="166"/>
      <c r="N95" s="166"/>
      <c r="O95" s="166"/>
      <c r="AF95" s="155" t="n">
        <f aca="false">AF87/AF$93</f>
        <v>0.149402608790968</v>
      </c>
      <c r="AG95" s="155" t="n">
        <f aca="false">AG87/AG$93</f>
        <v>0.137961207525157</v>
      </c>
      <c r="AH95" s="155" t="n">
        <f aca="false">AH87/AH$93</f>
        <v>0.121803552935553</v>
      </c>
      <c r="AI95" s="155" t="n">
        <f aca="false">AI87/AI$93</f>
        <v>0.106125712001599</v>
      </c>
      <c r="AJ95" s="155" t="n">
        <f aca="false">AJ87/AJ$93</f>
        <v>0.0997433987252711</v>
      </c>
      <c r="AK95" s="155" t="n">
        <f aca="false">AK87/AK$93</f>
        <v>0.0945880452342488</v>
      </c>
      <c r="AL95" s="155" t="n">
        <f aca="false">AL87/AL$93</f>
        <v>0.0945880452342488</v>
      </c>
      <c r="AN95" s="156"/>
      <c r="AO95" s="156"/>
      <c r="AQ95" s="156"/>
      <c r="AR95" s="156"/>
      <c r="AS95" s="156"/>
    </row>
    <row r="96" customFormat="false" ht="12" hidden="false" customHeight="true" outlineLevel="0" collapsed="false">
      <c r="A96" s="128" t="s">
        <v>958</v>
      </c>
      <c r="B96" s="166"/>
      <c r="C96" s="166"/>
      <c r="F96" s="166"/>
      <c r="G96" s="166"/>
      <c r="J96" s="166"/>
      <c r="K96" s="166"/>
      <c r="N96" s="166"/>
      <c r="O96" s="166"/>
      <c r="AF96" s="155" t="n">
        <f aca="false">AF88/AF$93</f>
        <v>0.251123533925244</v>
      </c>
      <c r="AG96" s="155" t="n">
        <f aca="false">AG88/AG$93</f>
        <v>0.33644450926061</v>
      </c>
      <c r="AH96" s="155" t="n">
        <f aca="false">AH88/AH$93</f>
        <v>0.262487054887278</v>
      </c>
      <c r="AI96" s="155" t="n">
        <f aca="false">AI88/AI$93</f>
        <v>0.228440091935645</v>
      </c>
      <c r="AJ96" s="155" t="n">
        <f aca="false">AJ88/AJ$93</f>
        <v>0.18558066385233</v>
      </c>
      <c r="AK96" s="155" t="n">
        <f aca="false">AK88/AK$93</f>
        <v>0.204361873990307</v>
      </c>
      <c r="AL96" s="155" t="n">
        <f aca="false">AL88/AL$93</f>
        <v>0.204361873990307</v>
      </c>
      <c r="AN96" s="156"/>
      <c r="AO96" s="156"/>
      <c r="AQ96" s="156"/>
      <c r="AR96" s="156"/>
      <c r="AS96" s="156"/>
    </row>
    <row r="97" customFormat="false" ht="12" hidden="false" customHeight="true" outlineLevel="0" collapsed="false">
      <c r="A97" s="128" t="s">
        <v>959</v>
      </c>
      <c r="B97" s="166"/>
      <c r="C97" s="166"/>
      <c r="F97" s="166"/>
      <c r="G97" s="166"/>
      <c r="J97" s="166"/>
      <c r="K97" s="166"/>
      <c r="N97" s="166"/>
      <c r="O97" s="166"/>
      <c r="AF97" s="155" t="n">
        <f aca="false">AF89/AF$93</f>
        <v>0.279184478789872</v>
      </c>
      <c r="AG97" s="155" t="n">
        <f aca="false">AG89/AG$93</f>
        <v>0.276651596908269</v>
      </c>
      <c r="AH97" s="155" t="n">
        <f aca="false">AH89/AH$93</f>
        <v>0.215804986855732</v>
      </c>
      <c r="AI97" s="155" t="n">
        <f aca="false">AI89/AI$93</f>
        <v>0.251424003197762</v>
      </c>
      <c r="AJ97" s="155" t="n">
        <f aca="false">AJ89/AJ$93</f>
        <v>0.239549706150153</v>
      </c>
      <c r="AK97" s="155" t="n">
        <f aca="false">AK89/AK$93</f>
        <v>0.261227786752827</v>
      </c>
      <c r="AL97" s="155" t="n">
        <f aca="false">AL89/AL$93</f>
        <v>0.261227786752827</v>
      </c>
      <c r="AN97" s="156"/>
      <c r="AO97" s="156"/>
      <c r="AQ97" s="156"/>
      <c r="AR97" s="156"/>
      <c r="AS97" s="156"/>
    </row>
    <row r="98" customFormat="false" ht="12" hidden="false" customHeight="true" outlineLevel="0" collapsed="false">
      <c r="A98" s="128" t="s">
        <v>960</v>
      </c>
      <c r="B98" s="166"/>
      <c r="C98" s="166"/>
      <c r="F98" s="166"/>
      <c r="G98" s="166"/>
      <c r="J98" s="166"/>
      <c r="K98" s="166"/>
      <c r="N98" s="166"/>
      <c r="O98" s="166"/>
      <c r="AF98" s="155" t="n">
        <f aca="false">AF90/AF$93</f>
        <v>0.217691548832621</v>
      </c>
      <c r="AG98" s="155" t="n">
        <f aca="false">AG90/AG$93</f>
        <v>0.156190753974041</v>
      </c>
      <c r="AH98" s="155" t="n">
        <f aca="false">AH90/AH$93</f>
        <v>0.245359674978093</v>
      </c>
      <c r="AI98" s="155" t="n">
        <f aca="false">AI90/AI$93</f>
        <v>0.23463575497152</v>
      </c>
      <c r="AJ98" s="155" t="n">
        <f aca="false">AJ90/AJ$93</f>
        <v>0.293353199238474</v>
      </c>
      <c r="AK98" s="155" t="n">
        <f aca="false">AK90/AK$93</f>
        <v>0.25735056542811</v>
      </c>
      <c r="AL98" s="155" t="n">
        <f aca="false">AL90/AL$93</f>
        <v>0.25735056542811</v>
      </c>
      <c r="AN98" s="156"/>
      <c r="AO98" s="156"/>
      <c r="AQ98" s="156"/>
      <c r="AR98" s="156"/>
      <c r="AS98" s="156"/>
    </row>
    <row r="99" customFormat="false" ht="12" hidden="false" customHeight="true" outlineLevel="0" collapsed="false">
      <c r="A99" s="128" t="s">
        <v>961</v>
      </c>
      <c r="B99" s="166"/>
      <c r="C99" s="166"/>
      <c r="F99" s="166"/>
      <c r="G99" s="166"/>
      <c r="J99" s="166"/>
      <c r="K99" s="166"/>
      <c r="N99" s="166"/>
      <c r="O99" s="166"/>
      <c r="AF99" s="155" t="n">
        <f aca="false">AF91/AF$93</f>
        <v>0.0344185026855201</v>
      </c>
      <c r="AG99" s="155" t="n">
        <f aca="false">AG91/AG$93</f>
        <v>0.0303339652909436</v>
      </c>
      <c r="AH99" s="155" t="n">
        <f aca="false">AH91/AH$93</f>
        <v>0.0774316896359436</v>
      </c>
      <c r="AI99" s="155" t="n">
        <f aca="false">AI91/AI$93</f>
        <v>0.0724492855001499</v>
      </c>
      <c r="AJ99" s="155" t="n">
        <f aca="false">AJ91/AJ$93</f>
        <v>0.0396490356758547</v>
      </c>
      <c r="AK99" s="155" t="n">
        <f aca="false">AK91/AK$93</f>
        <v>0.0307754442649435</v>
      </c>
      <c r="AL99" s="155" t="n">
        <f aca="false">AL91/AL$93</f>
        <v>0.0307754442649435</v>
      </c>
      <c r="AN99" s="156"/>
      <c r="AO99" s="156"/>
      <c r="AQ99" s="156"/>
      <c r="AR99" s="156"/>
      <c r="AS99" s="156"/>
    </row>
    <row r="100" customFormat="false" ht="12" hidden="false" customHeight="true" outlineLevel="0" collapsed="false">
      <c r="A100" s="128" t="s">
        <v>962</v>
      </c>
      <c r="B100" s="166"/>
      <c r="C100" s="166"/>
      <c r="F100" s="166"/>
      <c r="G100" s="166"/>
      <c r="J100" s="166"/>
      <c r="K100" s="166"/>
      <c r="N100" s="166"/>
      <c r="O100" s="166"/>
      <c r="AF100" s="155" t="n">
        <f aca="false">AF92/AF$93</f>
        <v>0.0681793269757755</v>
      </c>
      <c r="AG100" s="155" t="n">
        <f aca="false">AG92/AG$93</f>
        <v>0.06241796704098</v>
      </c>
      <c r="AH100" s="155" t="n">
        <f aca="false">AH92/AH$93</f>
        <v>0.0771130407074006</v>
      </c>
      <c r="AI100" s="155" t="n">
        <f aca="false">AI92/AI$93</f>
        <v>0.106925152393325</v>
      </c>
      <c r="AJ100" s="155" t="n">
        <f aca="false">AJ92/AJ$93</f>
        <v>0.142123996357917</v>
      </c>
      <c r="AK100" s="155" t="n">
        <f aca="false">AK92/AK$93</f>
        <v>0.151696284329564</v>
      </c>
      <c r="AL100" s="155" t="n">
        <f aca="false">AL92/AL$93</f>
        <v>0.151696284329564</v>
      </c>
      <c r="AN100" s="156"/>
      <c r="AO100" s="156"/>
      <c r="AQ100" s="156"/>
      <c r="AR100" s="156"/>
      <c r="AS100" s="156"/>
    </row>
    <row r="101" customFormat="false" ht="12" hidden="false" customHeight="true" outlineLevel="0" collapsed="false">
      <c r="B101" s="166"/>
      <c r="C101" s="166"/>
      <c r="F101" s="166"/>
      <c r="G101" s="166"/>
      <c r="J101" s="166"/>
      <c r="K101" s="166"/>
      <c r="N101" s="166"/>
      <c r="O101" s="166"/>
      <c r="AF101" s="200" t="n">
        <f aca="false">SUMPRODUCT(AF87:AF92,AE87:AE92)/AF93</f>
        <v>1.45963498849063</v>
      </c>
      <c r="AG101" s="200" t="n">
        <f aca="false">SUMPRODUCT(AG87:AG92,AE87:AE92)/AG93</f>
        <v>1.42474843225901</v>
      </c>
      <c r="AH101" s="200" t="n">
        <f aca="false">SUMPRODUCT(AH87:AH92,AE87:AE92)/AH93</f>
        <v>1.49273082131761</v>
      </c>
      <c r="AI101" s="200" t="n">
        <f aca="false">SUMPRODUCT(AI87:AI92,AE87:AE92)/AI93</f>
        <v>1.52006095732987</v>
      </c>
      <c r="AJ101" s="200" t="n">
        <f aca="false">SUMPRODUCT(AJ87:AJ92,AE87:AE92)/AJ93</f>
        <v>1.55804569158182</v>
      </c>
      <c r="AK101" s="200" t="n">
        <f aca="false">SUMPRODUCT(AK87:AK92,AE87:AE92)/AK93</f>
        <v>1.54949515347334</v>
      </c>
      <c r="AL101" s="200" t="n">
        <f aca="false">SUMPRODUCT(AL87:AL92,AG87:AG92)/AL93</f>
        <v>1403.44200323102</v>
      </c>
      <c r="AN101" s="137"/>
      <c r="AO101" s="137"/>
      <c r="AQ101" s="137"/>
      <c r="AR101" s="137"/>
      <c r="AS101" s="137"/>
    </row>
    <row r="102" customFormat="false" ht="12" hidden="false" customHeight="true" outlineLevel="0" collapsed="false">
      <c r="B102" s="166"/>
      <c r="C102" s="166"/>
      <c r="F102" s="166"/>
      <c r="G102" s="166"/>
      <c r="J102" s="166"/>
      <c r="K102" s="166"/>
      <c r="N102" s="166"/>
      <c r="O102" s="166"/>
      <c r="AJ102" s="156"/>
      <c r="AK102" s="156"/>
      <c r="AL102" s="156"/>
      <c r="AN102" s="156"/>
      <c r="AO102" s="156"/>
      <c r="AQ102" s="156"/>
      <c r="AR102" s="156"/>
      <c r="AS102" s="156"/>
    </row>
    <row r="103" customFormat="false" ht="12" hidden="false" customHeight="true" outlineLevel="0" collapsed="false">
      <c r="B103" s="166"/>
      <c r="C103" s="166"/>
      <c r="F103" s="166"/>
      <c r="G103" s="166"/>
      <c r="J103" s="166"/>
      <c r="K103" s="166"/>
      <c r="N103" s="166"/>
      <c r="O103" s="166"/>
    </row>
    <row r="104" customFormat="false" ht="12" hidden="false" customHeight="true" outlineLevel="0" collapsed="false">
      <c r="B104" s="139"/>
      <c r="C104" s="139"/>
      <c r="F104" s="139"/>
      <c r="G104" s="139"/>
      <c r="J104" s="139"/>
      <c r="K104" s="139"/>
      <c r="N104" s="139"/>
      <c r="O104" s="139"/>
    </row>
    <row r="105" customFormat="false" ht="12.75" hidden="false" customHeight="true" outlineLevel="0" collapsed="false">
      <c r="A105" s="128" t="s">
        <v>966</v>
      </c>
      <c r="B105" s="179"/>
      <c r="C105" s="179"/>
      <c r="F105" s="179"/>
      <c r="G105" s="179"/>
      <c r="J105" s="179"/>
      <c r="K105" s="179"/>
      <c r="N105" s="179"/>
      <c r="O105" s="179"/>
    </row>
    <row r="106" customFormat="false" ht="12" hidden="false" customHeight="true" outlineLevel="0" collapsed="false">
      <c r="A106" s="128" t="s">
        <v>967</v>
      </c>
      <c r="B106" s="139"/>
      <c r="C106" s="139"/>
      <c r="F106" s="139"/>
      <c r="G106" s="139"/>
      <c r="J106" s="139"/>
      <c r="K106" s="139"/>
      <c r="N106" s="139"/>
      <c r="O106" s="139"/>
      <c r="AF106" s="145" t="n">
        <v>1131</v>
      </c>
      <c r="AG106" s="145" t="n">
        <v>540</v>
      </c>
      <c r="AH106" s="145" t="n">
        <v>784</v>
      </c>
      <c r="AI106" s="145" t="n">
        <v>946</v>
      </c>
      <c r="AJ106" s="145" t="n">
        <v>725</v>
      </c>
      <c r="AK106" s="145" t="n">
        <v>473</v>
      </c>
      <c r="AL106" s="145" t="n">
        <v>473</v>
      </c>
    </row>
    <row r="107" customFormat="false" ht="12" hidden="false" customHeight="true" outlineLevel="0" collapsed="false">
      <c r="A107" s="128" t="s">
        <v>968</v>
      </c>
      <c r="B107" s="139"/>
      <c r="C107" s="139"/>
      <c r="F107" s="139"/>
      <c r="G107" s="139"/>
      <c r="J107" s="139"/>
      <c r="K107" s="139"/>
      <c r="N107" s="139"/>
      <c r="O107" s="139"/>
      <c r="AF107" s="145" t="n">
        <v>3706</v>
      </c>
      <c r="AG107" s="145" t="n">
        <v>1582</v>
      </c>
      <c r="AH107" s="145" t="n">
        <v>2584</v>
      </c>
      <c r="AI107" s="145" t="n">
        <v>1906</v>
      </c>
      <c r="AJ107" s="145" t="n">
        <v>2625</v>
      </c>
      <c r="AK107" s="145" t="n">
        <v>2022</v>
      </c>
      <c r="AL107" s="145" t="n">
        <v>2022</v>
      </c>
    </row>
    <row r="108" s="19" customFormat="true" ht="12.75" hidden="false" customHeight="true" outlineLevel="0" collapsed="false">
      <c r="A108" s="132" t="s">
        <v>969</v>
      </c>
      <c r="B108" s="193"/>
      <c r="C108" s="193"/>
      <c r="F108" s="193"/>
      <c r="G108" s="193"/>
      <c r="J108" s="193"/>
      <c r="K108" s="193"/>
      <c r="N108" s="193"/>
      <c r="O108" s="193"/>
      <c r="V108" s="220"/>
      <c r="Z108" s="197"/>
      <c r="AF108" s="132" t="n">
        <f aca="false">AF107+AF106</f>
        <v>4837</v>
      </c>
      <c r="AG108" s="132" t="n">
        <f aca="false">AG107+AG106</f>
        <v>2122</v>
      </c>
      <c r="AH108" s="132" t="n">
        <f aca="false">AH107+AH106</f>
        <v>3368</v>
      </c>
      <c r="AI108" s="132" t="n">
        <f aca="false">AI107+AI106</f>
        <v>2852</v>
      </c>
      <c r="AJ108" s="132" t="n">
        <f aca="false">AJ107+AJ106</f>
        <v>3350</v>
      </c>
      <c r="AK108" s="132" t="n">
        <f aca="false">AK107+AK106</f>
        <v>2495</v>
      </c>
      <c r="AL108" s="132" t="n">
        <f aca="false">AL107+AL106</f>
        <v>2495</v>
      </c>
      <c r="AM108" s="250"/>
      <c r="AT108" s="250"/>
    </row>
    <row r="109" customFormat="false" ht="12" hidden="false" customHeight="true" outlineLevel="0" collapsed="false">
      <c r="A109" s="128" t="s">
        <v>967</v>
      </c>
      <c r="C109" s="151"/>
      <c r="G109" s="151"/>
      <c r="K109" s="151"/>
      <c r="O109" s="151"/>
      <c r="AF109" s="155" t="n">
        <f aca="false">AF106/AF108</f>
        <v>0.233822617324788</v>
      </c>
      <c r="AG109" s="155" t="n">
        <f aca="false">AG106/AG108</f>
        <v>0.254476908576814</v>
      </c>
      <c r="AH109" s="155" t="n">
        <f aca="false">AH106/AH108</f>
        <v>0.232779097387173</v>
      </c>
      <c r="AI109" s="155" t="n">
        <f aca="false">AI106/AI108</f>
        <v>0.331697054698457</v>
      </c>
      <c r="AJ109" s="155" t="n">
        <f aca="false">AJ106/AJ108</f>
        <v>0.216417910447761</v>
      </c>
      <c r="AK109" s="155" t="n">
        <f aca="false">AK106/AK108</f>
        <v>0.189579158316633</v>
      </c>
      <c r="AL109" s="155" t="n">
        <f aca="false">AL106/AL108</f>
        <v>0.189579158316633</v>
      </c>
      <c r="AN109" s="156"/>
      <c r="AO109" s="156"/>
      <c r="AP109" s="156"/>
      <c r="AQ109" s="156"/>
      <c r="AR109" s="156"/>
      <c r="AS109" s="156"/>
      <c r="AU109" s="156"/>
    </row>
    <row r="110" customFormat="false" ht="12" hidden="false" customHeight="true" outlineLevel="0" collapsed="false">
      <c r="A110" s="128" t="s">
        <v>968</v>
      </c>
      <c r="B110" s="139"/>
      <c r="C110" s="139"/>
      <c r="D110" s="139"/>
      <c r="F110" s="139"/>
      <c r="G110" s="139"/>
      <c r="H110" s="139"/>
      <c r="J110" s="139"/>
      <c r="K110" s="139"/>
      <c r="L110" s="139"/>
      <c r="N110" s="139"/>
      <c r="O110" s="139"/>
      <c r="P110" s="139"/>
      <c r="AF110" s="155" t="n">
        <f aca="false">AF107/AF108</f>
        <v>0.766177382675212</v>
      </c>
      <c r="AG110" s="155" t="n">
        <f aca="false">AG107/AG108</f>
        <v>0.745523091423186</v>
      </c>
      <c r="AH110" s="155" t="n">
        <f aca="false">AH107/AH108</f>
        <v>0.767220902612827</v>
      </c>
      <c r="AI110" s="155" t="n">
        <f aca="false">AI107/AI108</f>
        <v>0.668302945301543</v>
      </c>
      <c r="AJ110" s="155" t="n">
        <f aca="false">AJ107/AJ108</f>
        <v>0.783582089552239</v>
      </c>
      <c r="AK110" s="155" t="n">
        <f aca="false">AK107/AK108</f>
        <v>0.810420841683367</v>
      </c>
      <c r="AL110" s="155" t="n">
        <f aca="false">AL107/AL108</f>
        <v>0.810420841683367</v>
      </c>
      <c r="AN110" s="156"/>
      <c r="AO110" s="156"/>
      <c r="AP110" s="156"/>
      <c r="AQ110" s="156"/>
      <c r="AR110" s="156"/>
      <c r="AS110" s="156"/>
      <c r="AU110" s="156"/>
    </row>
    <row r="111" customFormat="false" ht="12" hidden="false" customHeight="true" outlineLevel="0" collapsed="false">
      <c r="B111" s="139"/>
      <c r="C111" s="139"/>
      <c r="D111" s="139"/>
      <c r="F111" s="139"/>
      <c r="G111" s="139"/>
      <c r="H111" s="139"/>
      <c r="J111" s="139"/>
      <c r="K111" s="139"/>
      <c r="L111" s="139"/>
      <c r="N111" s="139"/>
      <c r="O111" s="139"/>
      <c r="P111" s="139"/>
    </row>
    <row r="112" customFormat="false" ht="12" hidden="false" customHeight="true" outlineLevel="0" collapsed="false">
      <c r="B112" s="139"/>
      <c r="C112" s="139"/>
      <c r="D112" s="139"/>
      <c r="F112" s="139"/>
      <c r="G112" s="139"/>
      <c r="H112" s="139"/>
      <c r="J112" s="139"/>
      <c r="K112" s="139"/>
      <c r="L112" s="139"/>
      <c r="N112" s="139"/>
      <c r="O112" s="139"/>
      <c r="P112" s="139"/>
    </row>
    <row r="113" customFormat="false" ht="12" hidden="false" customHeight="true" outlineLevel="0" collapsed="false">
      <c r="B113" s="139"/>
      <c r="C113" s="139"/>
      <c r="D113" s="139"/>
      <c r="F113" s="139"/>
      <c r="G113" s="139"/>
      <c r="H113" s="139"/>
      <c r="J113" s="139"/>
      <c r="K113" s="139"/>
      <c r="L113" s="139"/>
      <c r="N113" s="139"/>
      <c r="O113" s="139"/>
      <c r="P113" s="139"/>
    </row>
    <row r="114" customFormat="false" ht="12" hidden="false" customHeight="true" outlineLevel="0" collapsed="false">
      <c r="A114" s="128" t="s">
        <v>970</v>
      </c>
      <c r="B114" s="139"/>
      <c r="C114" s="139"/>
      <c r="D114" s="139"/>
      <c r="F114" s="139"/>
      <c r="G114" s="139"/>
      <c r="H114" s="139"/>
      <c r="J114" s="139"/>
      <c r="K114" s="139"/>
      <c r="L114" s="139"/>
      <c r="N114" s="139"/>
      <c r="O114" s="139"/>
      <c r="P114" s="139"/>
    </row>
    <row r="115" customFormat="false" ht="12" hidden="false" customHeight="true" outlineLevel="0" collapsed="false">
      <c r="A115" s="128" t="s">
        <v>957</v>
      </c>
      <c r="B115" s="139"/>
      <c r="C115" s="139"/>
      <c r="D115" s="139"/>
      <c r="F115" s="139"/>
      <c r="G115" s="139"/>
      <c r="H115" s="139"/>
      <c r="J115" s="139"/>
      <c r="K115" s="139"/>
      <c r="L115" s="139"/>
      <c r="N115" s="139"/>
      <c r="O115" s="139"/>
      <c r="P115" s="139"/>
      <c r="AF115" s="145" t="n">
        <v>10260</v>
      </c>
      <c r="AG115" s="145" t="n">
        <v>8703</v>
      </c>
      <c r="AH115" s="145" t="n">
        <v>9614</v>
      </c>
      <c r="AI115" s="145" t="n">
        <v>8177</v>
      </c>
      <c r="AJ115" s="145" t="n">
        <v>9075</v>
      </c>
      <c r="AK115" s="145" t="n">
        <v>9704</v>
      </c>
      <c r="AL115" s="145" t="n">
        <v>9704</v>
      </c>
    </row>
    <row r="116" customFormat="false" ht="12" hidden="false" customHeight="true" outlineLevel="0" collapsed="false">
      <c r="A116" s="128" t="s">
        <v>958</v>
      </c>
      <c r="B116" s="139"/>
      <c r="C116" s="139"/>
      <c r="D116" s="139"/>
      <c r="F116" s="139"/>
      <c r="G116" s="139"/>
      <c r="H116" s="139"/>
      <c r="J116" s="139"/>
      <c r="K116" s="139"/>
      <c r="L116" s="139"/>
      <c r="N116" s="139"/>
      <c r="O116" s="139"/>
      <c r="P116" s="139"/>
      <c r="AF116" s="145" t="n">
        <v>7647</v>
      </c>
      <c r="AG116" s="145" t="n">
        <v>7653</v>
      </c>
      <c r="AH116" s="145" t="n">
        <v>9494</v>
      </c>
      <c r="AI116" s="145" t="n">
        <v>7270</v>
      </c>
      <c r="AJ116" s="145" t="n">
        <v>7371</v>
      </c>
      <c r="AK116" s="145" t="n">
        <v>8342</v>
      </c>
      <c r="AL116" s="145" t="n">
        <v>8342</v>
      </c>
    </row>
    <row r="117" customFormat="false" ht="12" hidden="false" customHeight="true" outlineLevel="0" collapsed="false">
      <c r="A117" s="128" t="s">
        <v>959</v>
      </c>
      <c r="B117" s="139"/>
      <c r="C117" s="139"/>
      <c r="D117" s="139"/>
      <c r="F117" s="139"/>
      <c r="G117" s="139"/>
      <c r="H117" s="139"/>
      <c r="J117" s="139"/>
      <c r="K117" s="139"/>
      <c r="L117" s="139"/>
      <c r="N117" s="139"/>
      <c r="O117" s="139"/>
      <c r="P117" s="139"/>
      <c r="AF117" s="145" t="n">
        <v>10491</v>
      </c>
      <c r="AG117" s="145" t="n">
        <v>9753</v>
      </c>
      <c r="AH117" s="145" t="n">
        <v>11884</v>
      </c>
      <c r="AI117" s="145" t="n">
        <v>11356</v>
      </c>
      <c r="AJ117" s="145" t="n">
        <v>11428</v>
      </c>
      <c r="AK117" s="145" t="n">
        <v>13352</v>
      </c>
      <c r="AL117" s="145" t="n">
        <v>13352</v>
      </c>
    </row>
    <row r="118" customFormat="false" ht="12" hidden="false" customHeight="true" outlineLevel="0" collapsed="false">
      <c r="A118" s="128" t="s">
        <v>960</v>
      </c>
      <c r="B118" s="139"/>
      <c r="C118" s="139"/>
      <c r="D118" s="163"/>
      <c r="F118" s="139"/>
      <c r="G118" s="139"/>
      <c r="H118" s="163"/>
      <c r="J118" s="139"/>
      <c r="K118" s="139"/>
      <c r="L118" s="163"/>
      <c r="N118" s="139"/>
      <c r="O118" s="139"/>
      <c r="P118" s="163"/>
      <c r="AF118" s="145" t="n">
        <v>8082</v>
      </c>
      <c r="AG118" s="145" t="n">
        <v>5101</v>
      </c>
      <c r="AH118" s="145" t="n">
        <v>8989</v>
      </c>
      <c r="AI118" s="145" t="n">
        <v>8619</v>
      </c>
      <c r="AJ118" s="145" t="n">
        <v>11339</v>
      </c>
      <c r="AK118" s="145" t="n">
        <v>11214</v>
      </c>
      <c r="AL118" s="145" t="n">
        <v>11214</v>
      </c>
    </row>
    <row r="119" s="19" customFormat="true" ht="12.75" hidden="false" customHeight="true" outlineLevel="0" collapsed="false">
      <c r="A119" s="132" t="s">
        <v>961</v>
      </c>
      <c r="B119" s="193"/>
      <c r="C119" s="193"/>
      <c r="F119" s="193"/>
      <c r="G119" s="193"/>
      <c r="J119" s="193"/>
      <c r="K119" s="193"/>
      <c r="N119" s="193"/>
      <c r="O119" s="193"/>
      <c r="V119" s="220"/>
      <c r="Z119" s="197"/>
      <c r="AF119" s="251" t="n">
        <v>919</v>
      </c>
      <c r="AG119" s="251" t="n">
        <v>790</v>
      </c>
      <c r="AH119" s="251" t="n">
        <v>2237</v>
      </c>
      <c r="AI119" s="251" t="n">
        <v>1595</v>
      </c>
      <c r="AJ119" s="251" t="n">
        <v>1521</v>
      </c>
      <c r="AK119" s="251" t="n">
        <v>1048</v>
      </c>
      <c r="AL119" s="251" t="n">
        <v>1048</v>
      </c>
      <c r="AM119" s="131"/>
      <c r="AT119" s="131"/>
    </row>
    <row r="120" customFormat="false" ht="12" hidden="false" customHeight="true" outlineLevel="0" collapsed="false">
      <c r="A120" s="128" t="s">
        <v>962</v>
      </c>
      <c r="B120" s="139"/>
      <c r="C120" s="139"/>
      <c r="D120" s="158"/>
      <c r="F120" s="139"/>
      <c r="G120" s="139"/>
      <c r="H120" s="158"/>
      <c r="J120" s="139"/>
      <c r="K120" s="139"/>
      <c r="L120" s="158"/>
      <c r="N120" s="139"/>
      <c r="O120" s="139"/>
      <c r="P120" s="158"/>
      <c r="AF120" s="145" t="n">
        <v>1935</v>
      </c>
      <c r="AG120" s="145" t="n">
        <v>1480</v>
      </c>
      <c r="AH120" s="145" t="n">
        <v>3514</v>
      </c>
      <c r="AI120" s="145" t="n">
        <v>3512</v>
      </c>
      <c r="AJ120" s="145" t="n">
        <v>4900</v>
      </c>
      <c r="AK120" s="145" t="n">
        <v>5510</v>
      </c>
      <c r="AL120" s="145" t="n">
        <v>5510</v>
      </c>
    </row>
    <row r="121" customFormat="false" ht="12" hidden="false" customHeight="true" outlineLevel="0" collapsed="false">
      <c r="A121" s="128" t="s">
        <v>427</v>
      </c>
      <c r="B121" s="139"/>
      <c r="C121" s="139"/>
      <c r="D121" s="158"/>
      <c r="F121" s="139"/>
      <c r="G121" s="139"/>
      <c r="H121" s="158"/>
      <c r="J121" s="139"/>
      <c r="K121" s="139"/>
      <c r="L121" s="158"/>
      <c r="N121" s="139"/>
      <c r="O121" s="139"/>
      <c r="P121" s="158"/>
      <c r="AF121" s="128" t="n">
        <f aca="false">SUM(AF115:AF120)</f>
        <v>39334</v>
      </c>
      <c r="AG121" s="128" t="n">
        <f aca="false">SUM(AG115:AG120)</f>
        <v>33480</v>
      </c>
      <c r="AH121" s="128" t="n">
        <f aca="false">SUM(AH115:AH120)</f>
        <v>45732</v>
      </c>
      <c r="AI121" s="128" t="n">
        <f aca="false">SUM(AI115:AI120)</f>
        <v>40529</v>
      </c>
      <c r="AJ121" s="128" t="n">
        <f aca="false">SUM(AJ115:AJ120)</f>
        <v>45634</v>
      </c>
      <c r="AK121" s="128" t="n">
        <f aca="false">SUM(AK115:AK120)</f>
        <v>49170</v>
      </c>
      <c r="AL121" s="128" t="n">
        <f aca="false">SUM(AL115:AL120)</f>
        <v>49170</v>
      </c>
    </row>
    <row r="122" customFormat="false" ht="12" hidden="false" customHeight="true" outlineLevel="0" collapsed="false">
      <c r="B122" s="139"/>
      <c r="C122" s="139"/>
      <c r="D122" s="158"/>
      <c r="F122" s="139"/>
      <c r="G122" s="139"/>
      <c r="H122" s="158"/>
      <c r="J122" s="139"/>
      <c r="K122" s="139"/>
      <c r="L122" s="158"/>
      <c r="N122" s="139"/>
      <c r="O122" s="139"/>
      <c r="P122" s="158"/>
    </row>
    <row r="123" customFormat="false" ht="12" hidden="false" customHeight="true" outlineLevel="0" collapsed="false">
      <c r="A123" s="128" t="s">
        <v>971</v>
      </c>
      <c r="B123" s="139"/>
      <c r="C123" s="139"/>
      <c r="D123" s="158"/>
      <c r="F123" s="139"/>
      <c r="G123" s="139"/>
      <c r="H123" s="158"/>
      <c r="J123" s="139"/>
      <c r="K123" s="139"/>
      <c r="L123" s="158"/>
      <c r="N123" s="139"/>
      <c r="O123" s="139"/>
      <c r="P123" s="158"/>
    </row>
    <row r="124" customFormat="false" ht="12" hidden="false" customHeight="true" outlineLevel="0" collapsed="false">
      <c r="A124" s="128" t="s">
        <v>957</v>
      </c>
      <c r="B124" s="139"/>
      <c r="C124" s="139"/>
      <c r="D124" s="158"/>
      <c r="F124" s="139"/>
      <c r="G124" s="139"/>
      <c r="H124" s="158"/>
      <c r="J124" s="139"/>
      <c r="K124" s="139"/>
      <c r="L124" s="158"/>
      <c r="N124" s="139"/>
      <c r="O124" s="139"/>
      <c r="P124" s="158"/>
      <c r="AF124" s="155" t="n">
        <f aca="false">AF87/AF115</f>
        <v>0.132846003898636</v>
      </c>
      <c r="AG124" s="155" t="n">
        <f aca="false">AG87/AG115</f>
        <v>0.108698150063197</v>
      </c>
      <c r="AH124" s="155" t="n">
        <f aca="false">AH87/AH115</f>
        <v>0.159038901601831</v>
      </c>
      <c r="AI124" s="155" t="n">
        <f aca="false">AI87/AI115</f>
        <v>0.129876482817659</v>
      </c>
      <c r="AJ124" s="155" t="n">
        <f aca="false">AJ87/AJ115</f>
        <v>0.132782369146006</v>
      </c>
      <c r="AK124" s="155" t="n">
        <f aca="false">AK87/AK115</f>
        <v>0.120671887881286</v>
      </c>
      <c r="AL124" s="155" t="n">
        <f aca="false">AL87/AL115</f>
        <v>0.120671887881286</v>
      </c>
      <c r="AN124" s="156"/>
      <c r="AO124" s="156"/>
      <c r="AP124" s="156"/>
      <c r="AQ124" s="156"/>
      <c r="AR124" s="156"/>
      <c r="AS124" s="156"/>
      <c r="AU124" s="156"/>
    </row>
    <row r="125" customFormat="false" ht="12" hidden="false" customHeight="true" outlineLevel="0" collapsed="false">
      <c r="A125" s="128" t="s">
        <v>958</v>
      </c>
      <c r="B125" s="139"/>
      <c r="C125" s="139"/>
      <c r="D125" s="158"/>
      <c r="F125" s="139"/>
      <c r="G125" s="139"/>
      <c r="H125" s="158"/>
      <c r="J125" s="139"/>
      <c r="K125" s="139"/>
      <c r="L125" s="158"/>
      <c r="N125" s="139"/>
      <c r="O125" s="139"/>
      <c r="P125" s="158"/>
      <c r="AF125" s="155" t="n">
        <f aca="false">AF88/AF116</f>
        <v>0.299594612266248</v>
      </c>
      <c r="AG125" s="155" t="n">
        <f aca="false">AG88/AG116</f>
        <v>0.301450411603293</v>
      </c>
      <c r="AH125" s="155" t="n">
        <f aca="false">AH88/AH116</f>
        <v>0.347061301874868</v>
      </c>
      <c r="AI125" s="155" t="n">
        <f aca="false">AI88/AI116</f>
        <v>0.314442916093535</v>
      </c>
      <c r="AJ125" s="155" t="n">
        <f aca="false">AJ88/AJ116</f>
        <v>0.304164970831638</v>
      </c>
      <c r="AK125" s="155" t="n">
        <f aca="false">AK88/AK116</f>
        <v>0.303284584032606</v>
      </c>
      <c r="AL125" s="155" t="n">
        <f aca="false">AL88/AL116</f>
        <v>0.303284584032606</v>
      </c>
      <c r="AN125" s="156"/>
      <c r="AO125" s="156"/>
      <c r="AP125" s="156"/>
      <c r="AQ125" s="156"/>
      <c r="AR125" s="156"/>
      <c r="AS125" s="156"/>
      <c r="AU125" s="156"/>
    </row>
    <row r="126" customFormat="false" ht="12" hidden="false" customHeight="true" outlineLevel="0" collapsed="false">
      <c r="A126" s="128" t="s">
        <v>959</v>
      </c>
      <c r="B126" s="139"/>
      <c r="C126" s="139"/>
      <c r="D126" s="158"/>
      <c r="F126" s="139"/>
      <c r="G126" s="139"/>
      <c r="H126" s="158"/>
      <c r="J126" s="139"/>
      <c r="K126" s="139"/>
      <c r="L126" s="158"/>
      <c r="N126" s="139"/>
      <c r="O126" s="139"/>
      <c r="P126" s="158"/>
      <c r="AF126" s="155" t="n">
        <f aca="false">AF89/AF117</f>
        <v>0.242779525307406</v>
      </c>
      <c r="AG126" s="155" t="n">
        <f aca="false">AG89/AG117</f>
        <v>0.194504255100995</v>
      </c>
      <c r="AH126" s="155" t="n">
        <f aca="false">AH89/AH117</f>
        <v>0.227953550992932</v>
      </c>
      <c r="AI126" s="155" t="n">
        <f aca="false">AI89/AI117</f>
        <v>0.221556886227545</v>
      </c>
      <c r="AJ126" s="155" t="n">
        <f aca="false">AJ89/AJ117</f>
        <v>0.253237661883094</v>
      </c>
      <c r="AK126" s="155" t="n">
        <f aca="false">AK89/AK117</f>
        <v>0.242210904733373</v>
      </c>
      <c r="AL126" s="155" t="n">
        <f aca="false">AL89/AL117</f>
        <v>0.242210904733373</v>
      </c>
      <c r="AN126" s="156"/>
      <c r="AO126" s="156"/>
      <c r="AP126" s="156"/>
      <c r="AQ126" s="156"/>
      <c r="AR126" s="156"/>
      <c r="AS126" s="156"/>
      <c r="AU126" s="156"/>
    </row>
    <row r="127" customFormat="false" ht="12" hidden="false" customHeight="true" outlineLevel="0" collapsed="false">
      <c r="A127" s="128" t="s">
        <v>960</v>
      </c>
      <c r="B127" s="139"/>
      <c r="C127" s="139"/>
      <c r="D127" s="158"/>
      <c r="F127" s="139"/>
      <c r="G127" s="139"/>
      <c r="H127" s="158"/>
      <c r="J127" s="139"/>
      <c r="K127" s="139"/>
      <c r="L127" s="158"/>
      <c r="N127" s="139"/>
      <c r="O127" s="139"/>
      <c r="P127" s="158"/>
      <c r="AF127" s="155" t="n">
        <f aca="false">AF90/AF118</f>
        <v>0.245731254639941</v>
      </c>
      <c r="AG127" s="155" t="n">
        <f aca="false">AG90/AG118</f>
        <v>0.209958831601647</v>
      </c>
      <c r="AH127" s="155" t="n">
        <f aca="false">AH90/AH118</f>
        <v>0.342641005673601</v>
      </c>
      <c r="AI127" s="155" t="n">
        <f aca="false">AI90/AI118</f>
        <v>0.27242139459334</v>
      </c>
      <c r="AJ127" s="155" t="n">
        <f aca="false">AJ90/AJ118</f>
        <v>0.312549607549167</v>
      </c>
      <c r="AK127" s="155" t="n">
        <f aca="false">AK90/AK118</f>
        <v>0.284109149277689</v>
      </c>
      <c r="AL127" s="155" t="n">
        <f aca="false">AL90/AL118</f>
        <v>0.284109149277689</v>
      </c>
      <c r="AN127" s="156"/>
      <c r="AO127" s="156"/>
      <c r="AP127" s="156"/>
      <c r="AQ127" s="156"/>
      <c r="AR127" s="156"/>
      <c r="AS127" s="156"/>
      <c r="AU127" s="156"/>
    </row>
    <row r="128" s="19" customFormat="true" ht="12.75" hidden="false" customHeight="true" outlineLevel="0" collapsed="false">
      <c r="A128" s="132" t="s">
        <v>961</v>
      </c>
      <c r="B128" s="193"/>
      <c r="C128" s="193"/>
      <c r="F128" s="193"/>
      <c r="G128" s="193"/>
      <c r="J128" s="193"/>
      <c r="K128" s="193"/>
      <c r="N128" s="193"/>
      <c r="O128" s="193"/>
      <c r="V128" s="220"/>
      <c r="Z128" s="197"/>
      <c r="AF128" s="155" t="n">
        <f aca="false">AF91/AF119</f>
        <v>0.341675734494015</v>
      </c>
      <c r="AG128" s="155" t="n">
        <f aca="false">AG91/AG119</f>
        <v>0.263291139240506</v>
      </c>
      <c r="AH128" s="155" t="n">
        <f aca="false">AH91/AH119</f>
        <v>0.434510505140814</v>
      </c>
      <c r="AI128" s="155" t="n">
        <f aca="false">AI91/AI119</f>
        <v>0.454545454545455</v>
      </c>
      <c r="AJ128" s="155" t="n">
        <f aca="false">AJ91/AJ119</f>
        <v>0.314924391847469</v>
      </c>
      <c r="AK128" s="155" t="n">
        <f aca="false">AK91/AK119</f>
        <v>0.363549618320611</v>
      </c>
      <c r="AL128" s="155" t="n">
        <f aca="false">AL91/AL119</f>
        <v>0.363549618320611</v>
      </c>
      <c r="AM128" s="131"/>
      <c r="AN128" s="156"/>
      <c r="AO128" s="156"/>
      <c r="AP128" s="156"/>
      <c r="AQ128" s="156"/>
      <c r="AR128" s="156"/>
      <c r="AS128" s="156"/>
      <c r="AT128" s="131"/>
      <c r="AU128" s="156"/>
    </row>
    <row r="129" s="19" customFormat="true" ht="12.75" hidden="false" customHeight="true" outlineLevel="0" collapsed="false">
      <c r="A129" s="132" t="s">
        <v>962</v>
      </c>
      <c r="B129" s="193"/>
      <c r="C129" s="193"/>
      <c r="F129" s="193"/>
      <c r="G129" s="193"/>
      <c r="J129" s="193"/>
      <c r="K129" s="193"/>
      <c r="N129" s="193"/>
      <c r="O129" s="193"/>
      <c r="V129" s="220"/>
      <c r="Z129" s="197"/>
      <c r="AF129" s="155" t="n">
        <f aca="false">AF92/AF120</f>
        <v>0.321447028423773</v>
      </c>
      <c r="AG129" s="155" t="n">
        <f aca="false">AG92/AG120</f>
        <v>0.289189189189189</v>
      </c>
      <c r="AH129" s="155" t="n">
        <f aca="false">AH92/AH120</f>
        <v>0.275469550369949</v>
      </c>
      <c r="AI129" s="155" t="n">
        <f aca="false">AI92/AI120</f>
        <v>0.304669703872437</v>
      </c>
      <c r="AJ129" s="155" t="n">
        <f aca="false">AJ92/AJ120</f>
        <v>0.350408163265306</v>
      </c>
      <c r="AK129" s="155" t="n">
        <f aca="false">AK92/AK120</f>
        <v>0.340834845735027</v>
      </c>
      <c r="AL129" s="155" t="n">
        <f aca="false">AL92/AL120</f>
        <v>0.340834845735027</v>
      </c>
      <c r="AM129" s="131"/>
      <c r="AN129" s="156"/>
      <c r="AO129" s="156"/>
      <c r="AP129" s="156"/>
      <c r="AQ129" s="156"/>
      <c r="AR129" s="156"/>
      <c r="AS129" s="156"/>
      <c r="AT129" s="131"/>
      <c r="AU129" s="156"/>
    </row>
    <row r="130" customFormat="false" ht="12.75" hidden="false" customHeight="true" outlineLevel="0" collapsed="false">
      <c r="A130" s="132" t="s">
        <v>427</v>
      </c>
      <c r="AF130" s="252" t="n">
        <f aca="false">AF93/AF121</f>
        <v>0.231936746834799</v>
      </c>
      <c r="AG130" s="252" t="n">
        <f aca="false">AG93/AG121</f>
        <v>0.204808841099164</v>
      </c>
      <c r="AH130" s="252" t="n">
        <f aca="false">AH93/AH121</f>
        <v>0.274490509927403</v>
      </c>
      <c r="AI130" s="252" t="n">
        <f aca="false">AI93/AI121</f>
        <v>0.246909620271904</v>
      </c>
      <c r="AJ130" s="252" t="n">
        <f aca="false">AJ93/AJ121</f>
        <v>0.264736819038436</v>
      </c>
      <c r="AK130" s="252" t="n">
        <f aca="false">AK93/AK121</f>
        <v>0.251779540370144</v>
      </c>
      <c r="AL130" s="252" t="n">
        <f aca="false">AL93/AL121</f>
        <v>0.251779540370144</v>
      </c>
      <c r="AM130" s="250"/>
      <c r="AN130" s="253"/>
      <c r="AO130" s="253"/>
      <c r="AP130" s="253"/>
      <c r="AQ130" s="253"/>
      <c r="AR130" s="253"/>
      <c r="AS130" s="253"/>
      <c r="AT130" s="250"/>
      <c r="AU130" s="253"/>
    </row>
    <row r="131" customFormat="false" ht="12" hidden="false" customHeight="true" outlineLevel="0" collapsed="false">
      <c r="B131" s="139"/>
      <c r="C131" s="139"/>
      <c r="F131" s="139"/>
      <c r="G131" s="139"/>
      <c r="J131" s="139"/>
      <c r="K131" s="139"/>
      <c r="N131" s="139"/>
      <c r="O131" s="139"/>
    </row>
    <row r="132" customFormat="false" ht="12" hidden="false" customHeight="true" outlineLevel="0" collapsed="false">
      <c r="B132" s="139"/>
      <c r="C132" s="139"/>
      <c r="F132" s="139"/>
      <c r="G132" s="139"/>
      <c r="J132" s="139"/>
      <c r="K132" s="139"/>
      <c r="N132" s="139"/>
      <c r="O132" s="139"/>
    </row>
    <row r="133" customFormat="false" ht="12" hidden="false" customHeight="true" outlineLevel="0" collapsed="false">
      <c r="B133" s="139"/>
      <c r="C133" s="139"/>
      <c r="F133" s="139"/>
      <c r="G133" s="139"/>
      <c r="J133" s="139"/>
      <c r="K133" s="139"/>
      <c r="N133" s="139"/>
      <c r="O133" s="139"/>
    </row>
    <row r="134" s="19" customFormat="true" ht="12.75" hidden="false" customHeight="true" outlineLevel="0" collapsed="false">
      <c r="V134" s="220"/>
      <c r="Z134" s="197"/>
      <c r="AM134" s="250"/>
      <c r="AT134" s="250"/>
    </row>
    <row r="135" s="19" customFormat="true" ht="14.25" hidden="false" customHeight="true" outlineLevel="0" collapsed="false">
      <c r="B135" s="195"/>
      <c r="C135" s="195"/>
      <c r="F135" s="195"/>
      <c r="G135" s="195"/>
      <c r="J135" s="195"/>
      <c r="K135" s="195"/>
      <c r="N135" s="195"/>
      <c r="O135" s="195"/>
      <c r="V135" s="220"/>
      <c r="Z135" s="197"/>
      <c r="AM135" s="250"/>
      <c r="AT135" s="250"/>
    </row>
    <row r="136" s="19" customFormat="true" ht="12.75" hidden="false" customHeight="true" outlineLevel="0" collapsed="false">
      <c r="B136" s="195"/>
      <c r="C136" s="195"/>
      <c r="F136" s="195"/>
      <c r="G136" s="195"/>
      <c r="J136" s="195"/>
      <c r="K136" s="195"/>
      <c r="N136" s="195"/>
      <c r="O136" s="195"/>
      <c r="V136" s="220"/>
      <c r="Z136" s="197"/>
      <c r="AM136" s="250"/>
      <c r="AT136" s="250"/>
    </row>
    <row r="137" customFormat="false" ht="12" hidden="false" customHeight="true" outlineLevel="0" collapsed="false">
      <c r="B137" s="166"/>
      <c r="C137" s="166"/>
      <c r="F137" s="166"/>
      <c r="G137" s="166"/>
      <c r="J137" s="166"/>
      <c r="K137" s="166"/>
      <c r="N137" s="166"/>
      <c r="O137" s="166"/>
    </row>
    <row r="138" customFormat="false" ht="12" hidden="false" customHeight="true" outlineLevel="0" collapsed="false">
      <c r="B138" s="166"/>
      <c r="C138" s="166"/>
      <c r="F138" s="166"/>
      <c r="G138" s="166"/>
      <c r="J138" s="166"/>
      <c r="K138" s="166"/>
      <c r="N138" s="166"/>
      <c r="O138" s="166"/>
    </row>
    <row r="139" customFormat="false" ht="12" hidden="false" customHeight="true" outlineLevel="0" collapsed="false">
      <c r="B139" s="166"/>
      <c r="C139" s="166"/>
      <c r="F139" s="166"/>
      <c r="G139" s="166"/>
      <c r="J139" s="166"/>
      <c r="K139" s="166"/>
      <c r="N139" s="166"/>
      <c r="O139" s="166"/>
    </row>
    <row r="140" customFormat="false" ht="12" hidden="false" customHeight="true" outlineLevel="0" collapsed="false">
      <c r="B140" s="166"/>
      <c r="C140" s="166"/>
      <c r="F140" s="166"/>
      <c r="G140" s="166"/>
      <c r="J140" s="166"/>
      <c r="K140" s="166"/>
      <c r="N140" s="166"/>
      <c r="O140" s="166"/>
    </row>
    <row r="141" customFormat="false" ht="12" hidden="false" customHeight="true" outlineLevel="0" collapsed="false">
      <c r="B141" s="166"/>
      <c r="C141" s="166"/>
      <c r="F141" s="166"/>
      <c r="G141" s="166"/>
      <c r="J141" s="166"/>
      <c r="K141" s="166"/>
      <c r="N141" s="166"/>
      <c r="O141" s="166"/>
    </row>
    <row r="142" s="19" customFormat="true" ht="12.75" hidden="false" customHeight="true" outlineLevel="0" collapsed="false">
      <c r="B142" s="195"/>
      <c r="C142" s="195"/>
      <c r="F142" s="195"/>
      <c r="G142" s="195"/>
      <c r="J142" s="195"/>
      <c r="K142" s="195"/>
      <c r="N142" s="195"/>
      <c r="O142" s="195"/>
      <c r="V142" s="220"/>
      <c r="Z142" s="197"/>
      <c r="AM142" s="250"/>
      <c r="AT142" s="250"/>
    </row>
    <row r="143" s="19" customFormat="true" ht="12.75" hidden="false" customHeight="true" outlineLevel="0" collapsed="false">
      <c r="B143" s="195"/>
      <c r="C143" s="195"/>
      <c r="F143" s="195"/>
      <c r="G143" s="195"/>
      <c r="J143" s="195"/>
      <c r="K143" s="195"/>
      <c r="N143" s="195"/>
      <c r="O143" s="195"/>
      <c r="V143" s="220"/>
      <c r="Z143" s="197"/>
      <c r="AM143" s="250"/>
      <c r="AT143" s="250"/>
    </row>
    <row r="144" s="19" customFormat="true" ht="14.25" hidden="false" customHeight="true" outlineLevel="0" collapsed="false">
      <c r="B144" s="195"/>
      <c r="C144" s="195"/>
      <c r="F144" s="195"/>
      <c r="G144" s="195"/>
      <c r="J144" s="195"/>
      <c r="K144" s="195"/>
      <c r="N144" s="195"/>
      <c r="O144" s="195"/>
      <c r="V144" s="220"/>
      <c r="Z144" s="197"/>
      <c r="AM144" s="250"/>
      <c r="AT144" s="250"/>
    </row>
    <row r="145" s="19" customFormat="true" ht="12.75" hidden="false" customHeight="true" outlineLevel="0" collapsed="false">
      <c r="B145" s="195"/>
      <c r="C145" s="195"/>
      <c r="F145" s="195"/>
      <c r="G145" s="195"/>
      <c r="J145" s="195"/>
      <c r="K145" s="195"/>
      <c r="N145" s="195"/>
      <c r="O145" s="195"/>
      <c r="V145" s="220"/>
      <c r="Z145" s="197"/>
      <c r="AM145" s="250"/>
      <c r="AT145" s="250"/>
    </row>
    <row r="147" s="19" customFormat="true" ht="12.75" hidden="false" customHeight="true" outlineLevel="0" collapsed="false">
      <c r="V147" s="220"/>
      <c r="Z147" s="197"/>
      <c r="AM147" s="250"/>
      <c r="AT147" s="250"/>
    </row>
    <row r="148" customFormat="false" ht="12" hidden="false" customHeight="true" outlineLevel="0" collapsed="false">
      <c r="B148" s="166"/>
      <c r="C148" s="166"/>
      <c r="F148" s="166"/>
      <c r="G148" s="166"/>
      <c r="J148" s="166"/>
      <c r="K148" s="166"/>
      <c r="N148" s="166"/>
      <c r="O148" s="166"/>
    </row>
    <row r="149" customFormat="false" ht="12" hidden="false" customHeight="true" outlineLevel="0" collapsed="false">
      <c r="B149" s="166"/>
      <c r="C149" s="166"/>
      <c r="F149" s="166"/>
      <c r="G149" s="166"/>
      <c r="J149" s="166"/>
      <c r="K149" s="166"/>
      <c r="N149" s="166"/>
      <c r="O149" s="166"/>
    </row>
    <row r="150" customFormat="false" ht="12" hidden="false" customHeight="true" outlineLevel="0" collapsed="false">
      <c r="B150" s="166"/>
      <c r="C150" s="166"/>
      <c r="F150" s="166"/>
      <c r="G150" s="166"/>
      <c r="J150" s="166"/>
      <c r="K150" s="166"/>
      <c r="N150" s="166"/>
      <c r="O150" s="166"/>
    </row>
    <row r="151" customFormat="false" ht="12" hidden="false" customHeight="true" outlineLevel="0" collapsed="false">
      <c r="B151" s="166"/>
      <c r="C151" s="166"/>
      <c r="F151" s="166"/>
      <c r="G151" s="166"/>
      <c r="J151" s="166"/>
      <c r="K151" s="166"/>
      <c r="N151" s="166"/>
      <c r="O151" s="166"/>
    </row>
    <row r="152" s="19" customFormat="true" ht="12.75" hidden="false" customHeight="true" outlineLevel="0" collapsed="false">
      <c r="V152" s="220"/>
      <c r="Z152" s="197"/>
      <c r="AM152" s="250"/>
      <c r="AT152" s="250"/>
    </row>
    <row r="153" customFormat="false" ht="12" hidden="false" customHeight="true" outlineLevel="0" collapsed="false">
      <c r="B153" s="166"/>
      <c r="C153" s="166"/>
      <c r="F153" s="166"/>
      <c r="G153" s="166"/>
      <c r="J153" s="166"/>
      <c r="K153" s="166"/>
      <c r="N153" s="166"/>
      <c r="O153" s="166"/>
    </row>
    <row r="154" customFormat="false" ht="12" hidden="false" customHeight="true" outlineLevel="0" collapsed="false">
      <c r="B154" s="166"/>
      <c r="C154" s="166"/>
      <c r="F154" s="166"/>
      <c r="G154" s="166"/>
      <c r="J154" s="166"/>
      <c r="K154" s="166"/>
      <c r="N154" s="166"/>
      <c r="O154" s="166"/>
    </row>
    <row r="155" customFormat="false" ht="12" hidden="false" customHeight="true" outlineLevel="0" collapsed="false">
      <c r="B155" s="166"/>
      <c r="C155" s="166"/>
      <c r="F155" s="166"/>
      <c r="G155" s="166"/>
      <c r="J155" s="166"/>
      <c r="K155" s="166"/>
      <c r="N155" s="166"/>
      <c r="O155" s="166"/>
    </row>
    <row r="156" customFormat="false" ht="12" hidden="false" customHeight="true" outlineLevel="0" collapsed="false"/>
    <row r="157" customFormat="false" ht="12" hidden="false" customHeight="true" outlineLevel="0" collapsed="false">
      <c r="B157" s="166"/>
      <c r="C157" s="166"/>
      <c r="F157" s="166"/>
      <c r="G157" s="166"/>
      <c r="J157" s="166"/>
      <c r="K157" s="166"/>
      <c r="N157" s="166"/>
      <c r="O157" s="166"/>
    </row>
    <row r="158" customFormat="false" ht="12" hidden="false" customHeight="true" outlineLevel="0" collapsed="false"/>
    <row r="159" customFormat="false" ht="12" hidden="false" customHeight="true" outlineLevel="0" collapsed="false">
      <c r="B159" s="137"/>
      <c r="C159" s="137"/>
      <c r="F159" s="137"/>
      <c r="G159" s="137"/>
      <c r="J159" s="137"/>
      <c r="K159" s="137"/>
      <c r="N159" s="137"/>
      <c r="O159" s="137"/>
    </row>
    <row r="160" customFormat="false" ht="12" hidden="false" customHeight="true" outlineLevel="0" collapsed="false">
      <c r="B160" s="137"/>
      <c r="C160" s="137"/>
      <c r="F160" s="137"/>
      <c r="G160" s="137"/>
      <c r="J160" s="137"/>
      <c r="K160" s="137"/>
      <c r="N160" s="137"/>
      <c r="O160" s="137"/>
    </row>
    <row r="161" customFormat="false" ht="12" hidden="false" customHeight="true" outlineLevel="0" collapsed="false">
      <c r="B161" s="137"/>
      <c r="C161" s="137"/>
      <c r="F161" s="137"/>
      <c r="G161" s="137"/>
      <c r="J161" s="137"/>
      <c r="K161" s="137"/>
      <c r="N161" s="137"/>
      <c r="O161" s="137"/>
    </row>
    <row r="162" customFormat="false" ht="12" hidden="false" customHeight="true" outlineLevel="0" collapsed="false">
      <c r="B162" s="137"/>
      <c r="C162" s="137"/>
      <c r="F162" s="137"/>
      <c r="G162" s="137"/>
      <c r="J162" s="137"/>
      <c r="K162" s="137"/>
      <c r="N162" s="137"/>
      <c r="O162" s="137"/>
    </row>
    <row r="163" customFormat="false" ht="12" hidden="false" customHeight="true" outlineLevel="0" collapsed="false"/>
    <row r="164" customFormat="false" ht="12" hidden="false" customHeight="true" outlineLevel="0" collapsed="false"/>
    <row r="165" customFormat="false" ht="12" hidden="false" customHeight="true" outlineLevel="0" collapsed="false">
      <c r="B165" s="231"/>
      <c r="C165" s="231"/>
      <c r="F165" s="231"/>
      <c r="G165" s="231"/>
      <c r="J165" s="231"/>
      <c r="K165" s="231"/>
      <c r="N165" s="231"/>
      <c r="O165" s="231"/>
    </row>
    <row r="166" customFormat="false" ht="12" hidden="false" customHeight="true" outlineLevel="0" collapsed="false"/>
    <row r="167" customFormat="false" ht="12" hidden="false" customHeight="true" outlineLevel="0" collapsed="false">
      <c r="C167" s="166"/>
      <c r="G167" s="166"/>
      <c r="K167" s="166"/>
      <c r="O167" s="166"/>
    </row>
    <row r="168" customFormat="false" ht="12" hidden="false" customHeight="true" outlineLevel="0" collapsed="false"/>
    <row r="169" customFormat="false" ht="12" hidden="false" customHeight="true" outlineLevel="0" collapsed="false"/>
    <row r="170" customFormat="false" ht="12" hidden="false" customHeight="true" outlineLevel="0" collapsed="false"/>
    <row r="171" customFormat="false" ht="12" hidden="false" customHeight="true" outlineLevel="0" collapsed="false"/>
    <row r="172" customFormat="false" ht="12" hidden="false" customHeight="true" outlineLevel="0" collapsed="false"/>
    <row r="173" customFormat="false" ht="12" hidden="false" customHeight="true" outlineLevel="0" collapsed="false">
      <c r="B173" s="231"/>
      <c r="F173" s="231"/>
      <c r="J173" s="231"/>
      <c r="N173" s="231"/>
    </row>
    <row r="174" customFormat="false" ht="12" hidden="false" customHeight="true" outlineLevel="0" collapsed="false">
      <c r="B174" s="254"/>
      <c r="F174" s="254"/>
      <c r="J174" s="254"/>
      <c r="N174" s="254"/>
    </row>
    <row r="175" customFormat="false" ht="12" hidden="false" customHeight="true" outlineLevel="0" collapsed="false"/>
    <row r="176" customFormat="false" ht="12" hidden="false" customHeight="true" outlineLevel="0" collapsed="false"/>
    <row r="177" customFormat="false" ht="12" hidden="false" customHeight="true" outlineLevel="0" collapsed="false"/>
    <row r="178" customFormat="false" ht="12" hidden="false" customHeight="true" outlineLevel="0" collapsed="false"/>
    <row r="179" customFormat="false" ht="12" hidden="false" customHeight="true" outlineLevel="0" collapsed="false"/>
    <row r="180" customFormat="false" ht="12" hidden="false" customHeight="true" outlineLevel="0" collapsed="false"/>
    <row r="181" customFormat="false" ht="12" hidden="false" customHeight="true" outlineLevel="0" collapsed="false"/>
    <row r="182" customFormat="false" ht="12" hidden="false" customHeight="true" outlineLevel="0" collapsed="false"/>
    <row r="183" customFormat="false" ht="12" hidden="false" customHeight="true" outlineLevel="0" collapsed="false"/>
    <row r="184" customFormat="false" ht="12" hidden="false" customHeight="true" outlineLevel="0" collapsed="false"/>
    <row r="185" customFormat="false" ht="12" hidden="false" customHeight="true" outlineLevel="0" collapsed="false"/>
    <row r="186" customFormat="false" ht="12" hidden="false" customHeight="true" outlineLevel="0" collapsed="false"/>
    <row r="187" customFormat="false" ht="12" hidden="false" customHeight="true" outlineLevel="0" collapsed="false"/>
    <row r="188" customFormat="false" ht="12" hidden="false" customHeight="true" outlineLevel="0" collapsed="false"/>
    <row r="189" customFormat="false" ht="12" hidden="false" customHeight="true" outlineLevel="0" collapsed="false"/>
    <row r="190" customFormat="false" ht="12" hidden="false" customHeight="true" outlineLevel="0" collapsed="false"/>
    <row r="191" customFormat="false" ht="12" hidden="false" customHeight="true" outlineLevel="0" collapsed="false"/>
    <row r="192" customFormat="false" ht="12" hidden="false" customHeight="true" outlineLevel="0" collapsed="false"/>
    <row r="193" customFormat="false" ht="12" hidden="false" customHeight="true" outlineLevel="0" collapsed="false"/>
  </sheetData>
  <printOptions headings="false" gridLines="true" gridLinesSet="true" horizontalCentered="false" verticalCentered="false"/>
  <pageMargins left="0.75" right="0.75" top="1" bottom="1"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I8: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 zeroHeight="false" outlineLevelRow="0" outlineLevelCol="0"/>
  <sheetData>
    <row r="8" customFormat="false" ht="12" hidden="false" customHeight="true" outlineLevel="0" collapsed="false">
      <c r="I8" s="255" t="s">
        <v>1026</v>
      </c>
      <c r="J8" s="255"/>
    </row>
    <row r="9" customFormat="false" ht="12" hidden="false" customHeight="true" outlineLevel="0" collapsed="false">
      <c r="I9" s="255"/>
      <c r="J9" s="255"/>
    </row>
    <row r="10" customFormat="false" ht="12" hidden="false" customHeight="true" outlineLevel="0" collapsed="false">
      <c r="I10" s="255"/>
      <c r="J10" s="255"/>
    </row>
    <row r="11" customFormat="false" ht="12" hidden="false" customHeight="true" outlineLevel="0" collapsed="false">
      <c r="I11" s="255"/>
      <c r="J11" s="25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20" activeCellId="0" sqref="G20"/>
    </sheetView>
  </sheetViews>
  <sheetFormatPr defaultColWidth="8.6796875" defaultRowHeight="12" zeroHeight="false" outlineLevelRow="0" outlineLevelCol="0"/>
  <cols>
    <col collapsed="false" customWidth="true" hidden="false" outlineLevel="0" max="7" min="7" style="20" width="9.73"/>
  </cols>
  <sheetData>
    <row r="1" customFormat="false" ht="12.75" hidden="false" customHeight="true" outlineLevel="0" collapsed="false">
      <c r="B1" s="256" t="s">
        <v>1027</v>
      </c>
      <c r="C1" s="257"/>
      <c r="D1" s="257"/>
      <c r="E1" s="257"/>
      <c r="F1" s="258" t="s">
        <v>1028</v>
      </c>
      <c r="G1" s="259"/>
      <c r="H1" s="259"/>
      <c r="I1" s="260" t="s">
        <v>1029</v>
      </c>
      <c r="J1" s="261"/>
      <c r="K1" s="261"/>
      <c r="L1" s="261"/>
      <c r="M1" s="261"/>
      <c r="N1" s="261"/>
      <c r="O1" s="261"/>
      <c r="P1" s="261"/>
      <c r="Q1" s="261"/>
      <c r="R1" s="261"/>
      <c r="S1" s="128" t="s">
        <v>1030</v>
      </c>
    </row>
    <row r="2" customFormat="false" ht="12.75" hidden="false" customHeight="true" outlineLevel="0" collapsed="false">
      <c r="B2" s="262" t="s">
        <v>1031</v>
      </c>
      <c r="C2" s="263" t="s">
        <v>1010</v>
      </c>
      <c r="D2" s="263" t="s">
        <v>767</v>
      </c>
      <c r="E2" s="263" t="s">
        <v>768</v>
      </c>
      <c r="F2" s="264" t="s">
        <v>769</v>
      </c>
      <c r="G2" s="264" t="s">
        <v>231</v>
      </c>
      <c r="H2" s="264" t="s">
        <v>232</v>
      </c>
      <c r="I2" s="265" t="s">
        <v>233</v>
      </c>
      <c r="J2" s="265" t="s">
        <v>234</v>
      </c>
      <c r="K2" s="265" t="s">
        <v>235</v>
      </c>
      <c r="L2" s="265" t="s">
        <v>236</v>
      </c>
      <c r="M2" s="265" t="s">
        <v>237</v>
      </c>
      <c r="N2" s="265" t="s">
        <v>238</v>
      </c>
      <c r="O2" s="265" t="s">
        <v>239</v>
      </c>
      <c r="P2" s="265" t="s">
        <v>240</v>
      </c>
      <c r="Q2" s="265" t="s">
        <v>1032</v>
      </c>
      <c r="R2" s="265" t="s">
        <v>1033</v>
      </c>
    </row>
    <row r="3" customFormat="false" ht="12" hidden="false" customHeight="true" outlineLevel="0" collapsed="false">
      <c r="A3" s="128" t="s">
        <v>460</v>
      </c>
      <c r="B3" s="266" t="n">
        <f aca="false">+'Main Model'!W16</f>
        <v>99434.267</v>
      </c>
      <c r="C3" s="267" t="n">
        <f aca="false">+'Main Model'!X16</f>
        <v>135621.836</v>
      </c>
      <c r="D3" s="267" t="n">
        <f aca="false">+'Main Model'!Y16</f>
        <v>189373.04</v>
      </c>
      <c r="E3" s="267" t="n">
        <f aca="false">+'Main Model'!Z16</f>
        <v>200186.568</v>
      </c>
      <c r="F3" s="268" t="n">
        <f aca="false">+'Main Model'!AA16</f>
        <v>262479.079</v>
      </c>
      <c r="G3" s="268" t="n">
        <f aca="false">+'Main Model'!AB16</f>
        <v>290549.5</v>
      </c>
      <c r="H3" s="268" t="n">
        <f aca="false">+'Main Model'!AC16</f>
        <v>174674.7</v>
      </c>
      <c r="I3" s="269"/>
      <c r="J3" s="269"/>
      <c r="K3" s="261"/>
      <c r="L3" s="261"/>
      <c r="M3" s="261"/>
      <c r="N3" s="261"/>
      <c r="O3" s="261"/>
      <c r="P3" s="261"/>
      <c r="Q3" s="261"/>
      <c r="R3" s="261"/>
    </row>
    <row r="4" customFormat="false" ht="12" hidden="false" customHeight="true" outlineLevel="0" collapsed="false">
      <c r="A4" s="128" t="s">
        <v>172</v>
      </c>
      <c r="B4" s="266" t="n">
        <f aca="false">+'Main Model'!W43</f>
        <v>1665.62299999998</v>
      </c>
      <c r="C4" s="267" t="n">
        <f aca="false">+'Main Model'!X43</f>
        <v>10266.337</v>
      </c>
      <c r="D4" s="267" t="n">
        <f aca="false">+'Main Model'!Y43</f>
        <v>22546.311</v>
      </c>
      <c r="E4" s="267" t="n">
        <f aca="false">+'Main Model'!Z43</f>
        <v>22025.372</v>
      </c>
      <c r="F4" s="268" t="n">
        <f aca="false">+'Main Model'!AA43</f>
        <v>27389.807</v>
      </c>
      <c r="G4" s="268" t="n">
        <f aca="false">+'Main Model'!AB43</f>
        <v>31357.3999999999</v>
      </c>
      <c r="H4" s="268" t="n">
        <f aca="false">+'Main Model'!AC43</f>
        <v>11736.5</v>
      </c>
      <c r="I4" s="269"/>
      <c r="J4" s="269"/>
      <c r="K4" s="269"/>
      <c r="L4" s="269"/>
      <c r="M4" s="269"/>
      <c r="N4" s="269"/>
      <c r="O4" s="261"/>
      <c r="P4" s="261"/>
      <c r="Q4" s="261"/>
      <c r="R4" s="261"/>
    </row>
    <row r="5" customFormat="false" ht="12.75" hidden="false" customHeight="true" outlineLevel="0" collapsed="false">
      <c r="A5" s="128" t="s">
        <v>1034</v>
      </c>
      <c r="B5" s="270" t="n">
        <f aca="false">+B4/B3</f>
        <v>0.0167509959117009</v>
      </c>
      <c r="C5" s="271" t="n">
        <f aca="false">+C4/C3</f>
        <v>0.0756982599763656</v>
      </c>
      <c r="D5" s="271" t="n">
        <f aca="false">+D4/D3</f>
        <v>0.119057659949906</v>
      </c>
      <c r="E5" s="271" t="n">
        <f aca="false">+E4/E3</f>
        <v>0.110024225001949</v>
      </c>
      <c r="F5" s="272" t="n">
        <f aca="false">+F4/F3</f>
        <v>0.104350438535332</v>
      </c>
      <c r="G5" s="272" t="n">
        <f aca="false">+G4/G3</f>
        <v>0.107924467259451</v>
      </c>
      <c r="H5" s="272" t="n">
        <f aca="false">+H4/H3</f>
        <v>0.0671906120348282</v>
      </c>
      <c r="I5" s="273" t="n">
        <v>0.12</v>
      </c>
      <c r="J5" s="273" t="n">
        <v>0.12</v>
      </c>
      <c r="K5" s="273" t="n">
        <v>0.12</v>
      </c>
      <c r="L5" s="273" t="n">
        <v>0.12</v>
      </c>
      <c r="M5" s="273" t="n">
        <v>0.12</v>
      </c>
      <c r="N5" s="273" t="n">
        <v>0.12</v>
      </c>
      <c r="O5" s="273" t="n">
        <v>0.12</v>
      </c>
      <c r="P5" s="273" t="n">
        <v>0.12</v>
      </c>
      <c r="Q5" s="273" t="n">
        <v>0.12</v>
      </c>
      <c r="R5" s="273" t="n">
        <v>0.12</v>
      </c>
    </row>
    <row r="6" customFormat="false" ht="12" hidden="false" customHeight="true" outlineLevel="0" collapsed="false">
      <c r="A6" s="128" t="s">
        <v>1035</v>
      </c>
      <c r="B6" s="274" t="n">
        <v>-297.407</v>
      </c>
      <c r="C6" s="275" t="n">
        <v>-501.89</v>
      </c>
      <c r="D6" s="275" t="n">
        <v>-4408.76</v>
      </c>
      <c r="E6" s="275" t="n">
        <v>-3476.196</v>
      </c>
      <c r="F6" s="268" t="n">
        <f aca="false">-'Main Model'!AA52</f>
        <v>-6681.258</v>
      </c>
      <c r="G6" s="268" t="n">
        <f aca="false">-'Main Model'!AB52</f>
        <v>-5136</v>
      </c>
      <c r="H6" s="268" t="n">
        <f aca="false">-'Main Model'!AC52</f>
        <v>-1224</v>
      </c>
      <c r="I6" s="269"/>
      <c r="J6" s="269"/>
      <c r="K6" s="269"/>
      <c r="L6" s="269"/>
      <c r="M6" s="269"/>
      <c r="N6" s="269"/>
      <c r="O6" s="261"/>
      <c r="P6" s="261"/>
      <c r="Q6" s="261"/>
      <c r="R6" s="261"/>
    </row>
    <row r="7" customFormat="false" ht="12" hidden="false" customHeight="true" outlineLevel="0" collapsed="false">
      <c r="A7" s="128" t="s">
        <v>1036</v>
      </c>
      <c r="B7" s="274" t="n">
        <f aca="false">5861.708+467.494-2161.247</f>
        <v>4167.955</v>
      </c>
      <c r="C7" s="275" t="n">
        <f aca="false">18167.409-11219.837</f>
        <v>6947.572</v>
      </c>
      <c r="D7" s="275" t="n">
        <f aca="false">21238.534-23033.142</f>
        <v>-1794.608</v>
      </c>
      <c r="E7" s="275" t="n">
        <f aca="false">25023.908-23120.801</f>
        <v>1903.107</v>
      </c>
      <c r="F7" s="268" t="n">
        <f aca="false">+'Main Model'!AA762</f>
        <v>26149.909</v>
      </c>
      <c r="G7" s="268" t="n">
        <f aca="false">+'Main Model'!AB762</f>
        <v>-22078.294</v>
      </c>
      <c r="H7" s="268" t="n">
        <f aca="false">+'Main Model'!AC762</f>
        <v>-6718.40000000001</v>
      </c>
      <c r="I7" s="269"/>
      <c r="J7" s="269"/>
      <c r="K7" s="269"/>
      <c r="L7" s="269"/>
      <c r="M7" s="269"/>
      <c r="N7" s="269"/>
      <c r="O7" s="261"/>
      <c r="P7" s="261"/>
      <c r="Q7" s="261"/>
      <c r="R7" s="261"/>
    </row>
    <row r="8" customFormat="false" ht="12" hidden="false" customHeight="true" outlineLevel="0" collapsed="false">
      <c r="A8" s="128" t="s">
        <v>1037</v>
      </c>
      <c r="B8" s="276" t="n">
        <f aca="false">+B7+B6+B4</f>
        <v>5536.17099999998</v>
      </c>
      <c r="C8" s="277" t="n">
        <f aca="false">+C7+C6+C4</f>
        <v>16712.019</v>
      </c>
      <c r="D8" s="277" t="n">
        <f aca="false">+D7+D6+D4</f>
        <v>16342.943</v>
      </c>
      <c r="E8" s="277" t="n">
        <f aca="false">+E7+E6+E4</f>
        <v>20452.283</v>
      </c>
      <c r="F8" s="278" t="n">
        <f aca="false">+F7+F6+F4</f>
        <v>46858.458</v>
      </c>
      <c r="G8" s="278" t="n">
        <f aca="false">+G7+G6+G4</f>
        <v>4143.10599999991</v>
      </c>
      <c r="H8" s="278" t="n">
        <f aca="false">+H7+H6+H4</f>
        <v>3794.09999999999</v>
      </c>
      <c r="I8" s="279" t="n">
        <f aca="false">+I7+I6+I4</f>
        <v>0</v>
      </c>
      <c r="J8" s="279" t="n">
        <f aca="false">+J7+J6+J4</f>
        <v>0</v>
      </c>
      <c r="K8" s="279" t="n">
        <f aca="false">+K7+K6+K4</f>
        <v>0</v>
      </c>
      <c r="L8" s="279" t="n">
        <f aca="false">+L7+L6+L4</f>
        <v>0</v>
      </c>
      <c r="M8" s="279" t="n">
        <f aca="false">+M7+M6+M4</f>
        <v>0</v>
      </c>
      <c r="N8" s="279" t="n">
        <f aca="false">+N7+N6+N4</f>
        <v>0</v>
      </c>
      <c r="O8" s="280" t="n">
        <f aca="false">+O7+O6+O4</f>
        <v>0</v>
      </c>
      <c r="P8" s="280" t="n">
        <f aca="false">+P7+P6+P4</f>
        <v>0</v>
      </c>
      <c r="Q8" s="280" t="n">
        <f aca="false">+Q7+Q6+Q4</f>
        <v>0</v>
      </c>
      <c r="R8" s="280" t="n">
        <f aca="false">+R7+R6+R4</f>
        <v>0</v>
      </c>
    </row>
    <row r="9" customFormat="false" ht="12" hidden="false" customHeight="true" outlineLevel="0" collapsed="false">
      <c r="A9" s="128" t="s">
        <v>1038</v>
      </c>
      <c r="B9" s="281" t="n">
        <f aca="false">-2197.54+126.965</f>
        <v>-2070.575</v>
      </c>
      <c r="C9" s="282" t="n">
        <f aca="false">-2112.39+53.639</f>
        <v>-2058.751</v>
      </c>
      <c r="D9" s="282" t="n">
        <f aca="false">-1702.233+43.068</f>
        <v>-1659.165</v>
      </c>
      <c r="E9" s="282" t="n">
        <f aca="false">-3782.729+122.917</f>
        <v>-3659.812</v>
      </c>
      <c r="F9" s="283" t="n">
        <f aca="false">+'Main Model'!AA764</f>
        <v>-7534.029</v>
      </c>
      <c r="G9" s="283" t="n">
        <f aca="false">+'Main Model'!AB764</f>
        <v>-15176.776</v>
      </c>
      <c r="H9" s="268" t="n">
        <f aca="false">+'Main Model'!AC764</f>
        <v>-17953.8</v>
      </c>
      <c r="I9" s="269"/>
      <c r="J9" s="269"/>
      <c r="K9" s="269"/>
      <c r="L9" s="269"/>
      <c r="M9" s="269"/>
      <c r="N9" s="269"/>
      <c r="O9" s="261"/>
      <c r="P9" s="261"/>
      <c r="Q9" s="261"/>
      <c r="R9" s="261"/>
    </row>
    <row r="10" customFormat="false" ht="12.75" hidden="false" customHeight="true" outlineLevel="0" collapsed="false">
      <c r="A10" s="132" t="s">
        <v>1039</v>
      </c>
      <c r="B10" s="284" t="n">
        <f aca="false">+B9+B8</f>
        <v>3465.59599999998</v>
      </c>
      <c r="C10" s="284" t="n">
        <f aca="false">+C9+C8</f>
        <v>14653.268</v>
      </c>
      <c r="D10" s="284" t="n">
        <f aca="false">+D9+D8</f>
        <v>14683.778</v>
      </c>
      <c r="E10" s="284" t="n">
        <f aca="false">+E9+E8</f>
        <v>16792.471</v>
      </c>
      <c r="F10" s="284" t="n">
        <f aca="false">+F9+F8</f>
        <v>39324.429</v>
      </c>
      <c r="G10" s="284" t="n">
        <f aca="false">+G9+G8</f>
        <v>-11033.6700000001</v>
      </c>
      <c r="H10" s="284" t="n">
        <f aca="false">+H9+H8</f>
        <v>-14159.7</v>
      </c>
      <c r="I10" s="284" t="n">
        <f aca="false">+I9+I8</f>
        <v>0</v>
      </c>
      <c r="J10" s="284" t="n">
        <f aca="false">+J9+J8</f>
        <v>0</v>
      </c>
      <c r="K10" s="284" t="n">
        <f aca="false">+K9+K8</f>
        <v>0</v>
      </c>
      <c r="L10" s="284" t="n">
        <f aca="false">+L9+L8</f>
        <v>0</v>
      </c>
      <c r="M10" s="284" t="n">
        <f aca="false">+M9+M8</f>
        <v>0</v>
      </c>
      <c r="N10" s="284" t="n">
        <f aca="false">+N9+N8</f>
        <v>0</v>
      </c>
      <c r="O10" s="284" t="n">
        <f aca="false">+O9+O8</f>
        <v>0</v>
      </c>
      <c r="P10" s="284" t="n">
        <f aca="false">+P9+P8</f>
        <v>0</v>
      </c>
      <c r="Q10" s="284" t="n">
        <f aca="false">+Q9+Q8</f>
        <v>0</v>
      </c>
      <c r="R10" s="284" t="n">
        <f aca="false">+R9+R8</f>
        <v>0</v>
      </c>
    </row>
    <row r="11" customFormat="false" ht="12" hidden="false" customHeight="true" outlineLevel="0" collapsed="false">
      <c r="A11" s="128" t="s">
        <v>1040</v>
      </c>
      <c r="B11" s="145" t="n">
        <v>0</v>
      </c>
      <c r="C11" s="145" t="n">
        <v>0</v>
      </c>
      <c r="D11" s="145" t="n">
        <v>0</v>
      </c>
      <c r="E11" s="128" t="n">
        <f aca="false">+D11+1</f>
        <v>1</v>
      </c>
      <c r="F11" s="128" t="n">
        <f aca="false">+E11+1</f>
        <v>2</v>
      </c>
      <c r="G11" s="128" t="n">
        <f aca="false">+F11+1</f>
        <v>3</v>
      </c>
      <c r="H11" s="128" t="n">
        <f aca="false">+G11+1</f>
        <v>4</v>
      </c>
      <c r="I11" s="128" t="n">
        <f aca="false">+H11+1</f>
        <v>5</v>
      </c>
      <c r="J11" s="128" t="n">
        <f aca="false">+I11+1</f>
        <v>6</v>
      </c>
      <c r="K11" s="128" t="n">
        <f aca="false">+J11+1</f>
        <v>7</v>
      </c>
      <c r="L11" s="128" t="n">
        <f aca="false">+K11+1</f>
        <v>8</v>
      </c>
      <c r="M11" s="128" t="n">
        <f aca="false">+L11+1</f>
        <v>9</v>
      </c>
      <c r="N11" s="128" t="n">
        <f aca="false">+M11+1</f>
        <v>10</v>
      </c>
      <c r="O11" s="145" t="n">
        <v>10</v>
      </c>
    </row>
    <row r="12" customFormat="false" ht="12" hidden="false" customHeight="true" outlineLevel="0" collapsed="false">
      <c r="A12" s="128" t="s">
        <v>1041</v>
      </c>
      <c r="B12" s="285" t="n">
        <f aca="false">1/(1+$B$15)^B11</f>
        <v>1</v>
      </c>
      <c r="C12" s="285" t="n">
        <f aca="false">1/(1+$B$15)^C11</f>
        <v>1</v>
      </c>
      <c r="D12" s="285" t="n">
        <f aca="false">1/(1+$B$15)^D11</f>
        <v>1</v>
      </c>
      <c r="E12" s="285" t="n">
        <f aca="false">1/(1+$B$15)^E11</f>
        <v>1</v>
      </c>
      <c r="F12" s="285" t="n">
        <f aca="false">1/(1+$B$15)^F11</f>
        <v>1</v>
      </c>
      <c r="G12" s="285" t="n">
        <f aca="false">1/(1+$B$15)^G11</f>
        <v>1</v>
      </c>
      <c r="H12" s="285" t="n">
        <f aca="false">1/(1+$B$15)^H11</f>
        <v>1</v>
      </c>
      <c r="I12" s="285" t="n">
        <f aca="false">1/(1+$B$15)^I11</f>
        <v>1</v>
      </c>
      <c r="J12" s="285" t="n">
        <f aca="false">1/(1+$B$15)^J11</f>
        <v>1</v>
      </c>
      <c r="K12" s="285" t="n">
        <f aca="false">1/(1+$B$15)^K11</f>
        <v>1</v>
      </c>
      <c r="L12" s="285" t="n">
        <f aca="false">1/(1+$B$15)^L11</f>
        <v>1</v>
      </c>
      <c r="M12" s="285" t="n">
        <f aca="false">1/(1+$B$15)^M11</f>
        <v>1</v>
      </c>
      <c r="N12" s="285" t="n">
        <f aca="false">1/(1+$B$15)^N11</f>
        <v>1</v>
      </c>
      <c r="O12" s="286" t="n">
        <f aca="false">N12</f>
        <v>1</v>
      </c>
    </row>
    <row r="13" customFormat="false" ht="12.75" hidden="false" customHeight="true" outlineLevel="0" collapsed="false">
      <c r="A13" s="132" t="s">
        <v>1042</v>
      </c>
      <c r="B13" s="147" t="n">
        <f aca="false">+B12*B10</f>
        <v>3465.59599999998</v>
      </c>
      <c r="C13" s="147" t="n">
        <f aca="false">+C12*C10</f>
        <v>14653.268</v>
      </c>
      <c r="D13" s="147" t="n">
        <f aca="false">+D12*D10</f>
        <v>14683.778</v>
      </c>
      <c r="E13" s="147" t="n">
        <f aca="false">+E12*E10</f>
        <v>16792.471</v>
      </c>
      <c r="F13" s="147" t="n">
        <f aca="false">+F12*F10</f>
        <v>39324.429</v>
      </c>
      <c r="G13" s="147" t="n">
        <f aca="false">+G12*G10</f>
        <v>-11033.6700000001</v>
      </c>
      <c r="H13" s="147" t="n">
        <f aca="false">+H12*H10</f>
        <v>-14159.7</v>
      </c>
      <c r="I13" s="147" t="n">
        <f aca="false">+I12*I10</f>
        <v>0</v>
      </c>
      <c r="J13" s="147" t="n">
        <f aca="false">+J12*J10</f>
        <v>0</v>
      </c>
      <c r="K13" s="147" t="n">
        <f aca="false">+K12*K10</f>
        <v>0</v>
      </c>
      <c r="L13" s="147" t="n">
        <f aca="false">+L12*L10</f>
        <v>0</v>
      </c>
      <c r="M13" s="147" t="n">
        <f aca="false">+M12*M10</f>
        <v>0</v>
      </c>
      <c r="N13" s="147" t="n">
        <f aca="false">+N12*N10</f>
        <v>0</v>
      </c>
      <c r="O13" s="147" t="n">
        <f aca="false">+O12*O10</f>
        <v>0</v>
      </c>
      <c r="P13" s="19"/>
      <c r="Q13" s="19"/>
      <c r="R13" s="19"/>
      <c r="S13" s="19"/>
    </row>
    <row r="14" customFormat="false" ht="12" hidden="false" customHeight="true" outlineLevel="0" collapsed="false">
      <c r="A14" s="287"/>
      <c r="B14" s="244"/>
    </row>
    <row r="15" customFormat="false" ht="12" hidden="false" customHeight="true" outlineLevel="0" collapsed="false">
      <c r="A15" s="288" t="s">
        <v>1043</v>
      </c>
      <c r="B15" s="289" t="n">
        <f aca="false">+B36</f>
        <v>0</v>
      </c>
    </row>
    <row r="16" customFormat="false" ht="12" hidden="false" customHeight="true" outlineLevel="0" collapsed="false">
      <c r="A16" s="288" t="s">
        <v>1044</v>
      </c>
      <c r="B16" s="290"/>
    </row>
    <row r="17" customFormat="false" ht="12" hidden="false" customHeight="true" outlineLevel="0" collapsed="false">
      <c r="A17" s="288" t="s">
        <v>1045</v>
      </c>
      <c r="B17" s="291" t="e">
        <f aca="false">1/(B36-B16)</f>
        <v>#DIV/0!</v>
      </c>
      <c r="F17" s="292"/>
      <c r="G17" s="292"/>
    </row>
    <row r="18" customFormat="false" ht="12" hidden="false" customHeight="true" outlineLevel="0" collapsed="false">
      <c r="A18" s="288" t="s">
        <v>1046</v>
      </c>
      <c r="B18" s="177" t="n">
        <f aca="false">+O13</f>
        <v>0</v>
      </c>
      <c r="F18" s="292"/>
      <c r="G18" s="292"/>
    </row>
    <row r="19" customFormat="false" ht="12" hidden="false" customHeight="true" outlineLevel="0" collapsed="false">
      <c r="A19" s="288" t="s">
        <v>1047</v>
      </c>
      <c r="B19" s="177" t="n">
        <f aca="false">+SUM(E13:N13)</f>
        <v>30923.5299999999</v>
      </c>
      <c r="F19" s="292"/>
      <c r="G19" s="292"/>
    </row>
    <row r="20" customFormat="false" ht="12" hidden="false" customHeight="true" outlineLevel="0" collapsed="false">
      <c r="A20" s="288" t="s">
        <v>1048</v>
      </c>
      <c r="B20" s="177" t="n">
        <f aca="false">+B19+B18</f>
        <v>30923.5299999999</v>
      </c>
      <c r="F20" s="292"/>
      <c r="G20" s="292"/>
    </row>
    <row r="21" customFormat="false" ht="12" hidden="false" customHeight="true" outlineLevel="0" collapsed="false">
      <c r="A21" s="288" t="s">
        <v>1049</v>
      </c>
      <c r="B21" s="163"/>
      <c r="F21" s="292"/>
      <c r="G21" s="292"/>
    </row>
    <row r="22" customFormat="false" ht="12" hidden="false" customHeight="true" outlineLevel="0" collapsed="false">
      <c r="A22" s="288" t="s">
        <v>1050</v>
      </c>
      <c r="B22" s="177" t="n">
        <f aca="false">+B20-B21</f>
        <v>30923.5299999999</v>
      </c>
      <c r="F22" s="292"/>
      <c r="G22" s="292"/>
    </row>
    <row r="23" customFormat="false" ht="12" hidden="false" customHeight="true" outlineLevel="0" collapsed="false">
      <c r="A23" s="288" t="s">
        <v>1051</v>
      </c>
      <c r="B23" s="163"/>
      <c r="F23" s="292"/>
      <c r="G23" s="292"/>
    </row>
    <row r="24" customFormat="false" ht="12.75" hidden="false" customHeight="true" outlineLevel="0" collapsed="false">
      <c r="A24" s="293" t="s">
        <v>1052</v>
      </c>
      <c r="B24" s="294" t="e">
        <f aca="false">+B22/B23</f>
        <v>#DIV/0!</v>
      </c>
      <c r="F24" s="292"/>
      <c r="G24" s="292"/>
    </row>
    <row r="25" customFormat="false" ht="12" hidden="false" customHeight="true" outlineLevel="0" collapsed="false">
      <c r="F25" s="292"/>
      <c r="G25" s="292"/>
    </row>
    <row r="26" customFormat="false" ht="12" hidden="false" customHeight="true" outlineLevel="0" collapsed="false">
      <c r="A26" s="295" t="s">
        <v>1053</v>
      </c>
      <c r="F26" s="292"/>
      <c r="G26" s="292"/>
    </row>
    <row r="27" customFormat="false" ht="12" hidden="false" customHeight="true" outlineLevel="0" collapsed="false">
      <c r="A27" s="296" t="s">
        <v>1054</v>
      </c>
      <c r="B27" s="297"/>
      <c r="F27" s="163"/>
    </row>
    <row r="28" customFormat="false" ht="12" hidden="false" customHeight="true" outlineLevel="0" collapsed="false">
      <c r="A28" s="296" t="s">
        <v>1055</v>
      </c>
      <c r="B28" s="297"/>
    </row>
    <row r="29" customFormat="false" ht="12" hidden="false" customHeight="true" outlineLevel="0" collapsed="false">
      <c r="A29" s="296" t="s">
        <v>1056</v>
      </c>
    </row>
    <row r="30" customFormat="false" ht="12.75" hidden="false" customHeight="true" outlineLevel="0" collapsed="false">
      <c r="A30" s="296" t="s">
        <v>1057</v>
      </c>
      <c r="B30" s="252" t="n">
        <f aca="false">+B29*B28+B27</f>
        <v>0</v>
      </c>
    </row>
    <row r="31" customFormat="false" ht="12" hidden="false" customHeight="true" outlineLevel="0" collapsed="false">
      <c r="A31" s="296" t="s">
        <v>1058</v>
      </c>
      <c r="B31" s="156"/>
    </row>
    <row r="32" customFormat="false" ht="12" hidden="false" customHeight="true" outlineLevel="0" collapsed="false">
      <c r="A32" s="296" t="s">
        <v>1059</v>
      </c>
      <c r="B32" s="156"/>
    </row>
    <row r="33" customFormat="false" ht="12" hidden="false" customHeight="true" outlineLevel="0" collapsed="false">
      <c r="A33" s="296" t="s">
        <v>1060</v>
      </c>
      <c r="B33" s="155" t="n">
        <f aca="false">+(1-B32)*B31</f>
        <v>0</v>
      </c>
    </row>
    <row r="34" customFormat="false" ht="12" hidden="false" customHeight="true" outlineLevel="0" collapsed="false">
      <c r="A34" s="296" t="s">
        <v>1061</v>
      </c>
      <c r="B34" s="298" t="n">
        <v>0</v>
      </c>
    </row>
    <row r="35" customFormat="false" ht="12" hidden="false" customHeight="true" outlineLevel="0" collapsed="false">
      <c r="A35" s="296" t="s">
        <v>1062</v>
      </c>
      <c r="B35" s="155" t="n">
        <f aca="false">100%-B34</f>
        <v>1</v>
      </c>
    </row>
    <row r="36" customFormat="false" ht="12.75" hidden="false" customHeight="true" outlineLevel="0" collapsed="false">
      <c r="A36" s="295" t="s">
        <v>1043</v>
      </c>
      <c r="B36" s="252" t="n">
        <f aca="false">+B30</f>
        <v>0</v>
      </c>
    </row>
    <row r="38" customFormat="false" ht="12" hidden="false" customHeight="true" outlineLevel="0" collapsed="false">
      <c r="A38" s="296" t="s">
        <v>380</v>
      </c>
    </row>
    <row r="39" customFormat="false" ht="13.5" hidden="false" customHeight="true" outlineLevel="0" collapsed="false">
      <c r="A39" s="299" t="s">
        <v>174</v>
      </c>
      <c r="B39" s="300" t="e">
        <f aca="false">+B38+B24</f>
        <v>#DIV/0!</v>
      </c>
    </row>
  </sheetData>
  <conditionalFormatting sqref="B24">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91"/>
  <sheetViews>
    <sheetView showFormulas="false" showGridLines="false" showRowColHeaders="true" showZeros="true" rightToLeft="false" tabSelected="false" showOutlineSymbols="true" defaultGridColor="true" view="normal" topLeftCell="A832" colorId="64" zoomScale="85" zoomScaleNormal="85" zoomScalePageLayoutView="100" workbookViewId="0">
      <selection pane="topLeft" activeCell="B860" activeCellId="0" sqref="B860"/>
    </sheetView>
  </sheetViews>
  <sheetFormatPr defaultColWidth="8.6796875" defaultRowHeight="12" zeroHeight="false" outlineLevelRow="0" outlineLevelCol="0"/>
  <cols>
    <col collapsed="false" customWidth="true" hidden="false" outlineLevel="0" max="1" min="1" style="20" width="12.45"/>
    <col collapsed="false" customWidth="true" hidden="false" outlineLevel="0" max="2" min="2" style="20" width="16.54"/>
    <col collapsed="false" customWidth="true" hidden="false" outlineLevel="0" max="3" min="3" style="20" width="12.27"/>
    <col collapsed="false" customWidth="true" hidden="false" outlineLevel="0" max="5" min="5" style="20" width="13.18"/>
    <col collapsed="false" customWidth="true" hidden="false" outlineLevel="0" max="6" min="6" style="20" width="11.82"/>
    <col collapsed="false" customWidth="true" hidden="false" outlineLevel="0" max="7" min="7" style="20" width="9.54"/>
  </cols>
  <sheetData>
    <row r="1" customFormat="false" ht="12.75" hidden="false" customHeight="true" outlineLevel="0" collapsed="false">
      <c r="A1" s="132" t="s">
        <v>1063</v>
      </c>
    </row>
    <row r="3" customFormat="false" ht="12" hidden="false" customHeight="true" outlineLevel="0" collapsed="false">
      <c r="A3" s="128" t="s">
        <v>1064</v>
      </c>
    </row>
    <row r="4" customFormat="false" ht="12" hidden="false" customHeight="true" outlineLevel="0" collapsed="false">
      <c r="A4" s="128" t="s">
        <v>1065</v>
      </c>
    </row>
    <row r="5" customFormat="false" ht="12" hidden="false" customHeight="true" outlineLevel="0" collapsed="false">
      <c r="A5" s="127" t="s">
        <v>1066</v>
      </c>
    </row>
    <row r="7" customFormat="false" ht="12" hidden="false" customHeight="true" outlineLevel="0" collapsed="false">
      <c r="A7" s="127" t="s">
        <v>1067</v>
      </c>
    </row>
    <row r="8" customFormat="false" ht="12" hidden="false" customHeight="true" outlineLevel="0" collapsed="false">
      <c r="A8" s="247"/>
    </row>
    <row r="10" customFormat="false" ht="12" hidden="false" customHeight="true" outlineLevel="0" collapsed="false">
      <c r="A10" s="128" t="s">
        <v>1068</v>
      </c>
    </row>
    <row r="11" customFormat="false" ht="12" hidden="false" customHeight="true" outlineLevel="0" collapsed="false">
      <c r="G11" s="145" t="n">
        <v>2005</v>
      </c>
      <c r="H11" s="145" t="n">
        <v>2006</v>
      </c>
      <c r="I11" s="145" t="n">
        <v>2007</v>
      </c>
      <c r="J11" s="145" t="n">
        <v>2008</v>
      </c>
      <c r="K11" s="145" t="n">
        <v>2009</v>
      </c>
      <c r="L11" s="145" t="n">
        <v>2010</v>
      </c>
      <c r="M11" s="145" t="n">
        <v>2011</v>
      </c>
    </row>
    <row r="12" customFormat="false" ht="12" hidden="false" customHeight="true" outlineLevel="0" collapsed="false">
      <c r="E12" s="145" t="n">
        <v>29</v>
      </c>
      <c r="G12" s="145" t="n">
        <v>50</v>
      </c>
      <c r="H12" s="145" t="n">
        <v>50</v>
      </c>
    </row>
    <row r="13" customFormat="false" ht="12" hidden="false" customHeight="true" outlineLevel="0" collapsed="false">
      <c r="E13" s="145" t="n">
        <v>1</v>
      </c>
      <c r="G13" s="145" t="n">
        <v>83.3333</v>
      </c>
      <c r="H13" s="145" t="n">
        <v>83.3333</v>
      </c>
      <c r="I13" s="145" t="n">
        <v>83.3333</v>
      </c>
    </row>
    <row r="14" customFormat="false" ht="12" hidden="false" customHeight="true" outlineLevel="0" collapsed="false">
      <c r="E14" s="145" t="n">
        <v>2</v>
      </c>
      <c r="G14" s="145" t="n">
        <v>33.33333</v>
      </c>
      <c r="H14" s="145" t="n">
        <v>33.3333</v>
      </c>
      <c r="I14" s="145" t="n">
        <v>33.3333</v>
      </c>
    </row>
    <row r="15" customFormat="false" ht="12" hidden="false" customHeight="true" outlineLevel="0" collapsed="false">
      <c r="E15" s="145" t="n">
        <v>3</v>
      </c>
      <c r="G15" s="145" t="n">
        <v>16.66667</v>
      </c>
      <c r="H15" s="145" t="n">
        <v>16.666667</v>
      </c>
      <c r="I15" s="145" t="n">
        <v>16.66667</v>
      </c>
    </row>
    <row r="16" customFormat="false" ht="12" hidden="false" customHeight="true" outlineLevel="0" collapsed="false">
      <c r="E16" s="145" t="n">
        <v>4</v>
      </c>
      <c r="I16" s="145" t="n">
        <v>133.33333</v>
      </c>
      <c r="J16" s="145" t="n">
        <v>133.3333</v>
      </c>
      <c r="K16" s="145" t="n">
        <v>133.3333</v>
      </c>
    </row>
    <row r="17" customFormat="false" ht="12" hidden="false" customHeight="true" outlineLevel="0" collapsed="false">
      <c r="E17" s="145" t="n">
        <v>5</v>
      </c>
      <c r="G17" s="145" t="n">
        <v>6.66667</v>
      </c>
      <c r="H17" s="145" t="n">
        <v>6.6667</v>
      </c>
      <c r="I17" s="145" t="n">
        <v>6.6667</v>
      </c>
    </row>
    <row r="18" customFormat="false" ht="12" hidden="false" customHeight="true" outlineLevel="0" collapsed="false">
      <c r="E18" s="145" t="n">
        <v>6</v>
      </c>
      <c r="I18" s="145" t="n">
        <v>16.66667</v>
      </c>
      <c r="J18" s="145" t="n">
        <v>16.66667</v>
      </c>
      <c r="K18" s="145" t="n">
        <v>16.66667</v>
      </c>
    </row>
    <row r="19" customFormat="false" ht="12" hidden="false" customHeight="true" outlineLevel="0" collapsed="false">
      <c r="E19" s="145" t="n">
        <v>7</v>
      </c>
      <c r="G19" s="145" t="n">
        <v>166.666667</v>
      </c>
      <c r="H19" s="145" t="n">
        <v>83.3333</v>
      </c>
    </row>
    <row r="20" customFormat="false" ht="12" hidden="false" customHeight="true" outlineLevel="0" collapsed="false">
      <c r="E20" s="301" t="s">
        <v>1069</v>
      </c>
      <c r="J20" s="145" t="n">
        <v>50</v>
      </c>
    </row>
    <row r="21" customFormat="false" ht="12" hidden="false" customHeight="true" outlineLevel="0" collapsed="false">
      <c r="E21" s="145" t="n">
        <v>10</v>
      </c>
      <c r="I21" s="145" t="n">
        <v>250</v>
      </c>
    </row>
    <row r="22" customFormat="false" ht="12" hidden="false" customHeight="true" outlineLevel="0" collapsed="false">
      <c r="E22" s="145" t="n">
        <v>11</v>
      </c>
      <c r="K22" s="145" t="n">
        <v>166.66667</v>
      </c>
      <c r="L22" s="145" t="n">
        <v>166.6667</v>
      </c>
      <c r="M22" s="145" t="n">
        <v>166.6667</v>
      </c>
    </row>
    <row r="23" customFormat="false" ht="12" hidden="false" customHeight="true" outlineLevel="0" collapsed="false">
      <c r="G23" s="138" t="n">
        <f aca="false">SUM(G12:G22)</f>
        <v>356.666637</v>
      </c>
      <c r="H23" s="138" t="n">
        <f aca="false">SUM(H12:H22)</f>
        <v>273.333267</v>
      </c>
      <c r="I23" s="138" t="n">
        <f aca="false">SUM(I12:I22)</f>
        <v>539.99997</v>
      </c>
      <c r="J23" s="138" t="n">
        <f aca="false">SUM(J12:J22)</f>
        <v>199.99997</v>
      </c>
      <c r="K23" s="138" t="n">
        <f aca="false">SUM(K12:K22)</f>
        <v>316.66664</v>
      </c>
      <c r="L23" s="138" t="n">
        <f aca="false">SUM(L12:L22)</f>
        <v>166.6667</v>
      </c>
      <c r="M23" s="138" t="n">
        <f aca="false">SUM(M12:M22)</f>
        <v>166.6667</v>
      </c>
    </row>
    <row r="26" customFormat="false" ht="12.75" hidden="false" customHeight="true" outlineLevel="0" collapsed="false">
      <c r="A26" s="132" t="s">
        <v>1070</v>
      </c>
    </row>
    <row r="27" customFormat="false" ht="12" hidden="false" customHeight="true" outlineLevel="0" collapsed="false">
      <c r="A27" s="128" t="s">
        <v>1071</v>
      </c>
      <c r="C27" s="146" t="n">
        <f aca="false">(512.38+165.02)/(9.362442+29.070185)</f>
        <v>17.6256491652262</v>
      </c>
    </row>
    <row r="28" customFormat="false" ht="12" hidden="false" customHeight="true" outlineLevel="0" collapsed="false">
      <c r="A28" s="128" t="s">
        <v>1072</v>
      </c>
      <c r="C28" s="145" t="n">
        <v>44.382627</v>
      </c>
    </row>
    <row r="29" customFormat="false" ht="12" hidden="false" customHeight="true" outlineLevel="0" collapsed="false">
      <c r="A29" s="128" t="s">
        <v>1073</v>
      </c>
      <c r="C29" s="146" t="n">
        <f aca="false">290.702</f>
        <v>290.702</v>
      </c>
    </row>
    <row r="30" customFormat="false" ht="12" hidden="false" customHeight="true" outlineLevel="0" collapsed="false">
      <c r="A30" s="128" t="s">
        <v>1074</v>
      </c>
      <c r="C30" s="174" t="n">
        <f aca="false">0.1*C29</f>
        <v>29.0702</v>
      </c>
    </row>
    <row r="31" customFormat="false" ht="12" hidden="false" customHeight="true" outlineLevel="0" collapsed="false">
      <c r="A31" s="128" t="s">
        <v>1075</v>
      </c>
      <c r="C31" s="128" t="n">
        <f aca="false">C28-C30</f>
        <v>15.312427</v>
      </c>
    </row>
    <row r="32" customFormat="false" ht="12" hidden="false" customHeight="true" outlineLevel="0" collapsed="false">
      <c r="A32" s="128" t="s">
        <v>1076</v>
      </c>
      <c r="C32" s="145" t="n">
        <v>8.25</v>
      </c>
    </row>
    <row r="33" customFormat="false" ht="12" hidden="false" customHeight="true" outlineLevel="0" collapsed="false">
      <c r="A33" s="128" t="s">
        <v>1077</v>
      </c>
      <c r="C33" s="302" t="n">
        <f aca="false">414/8.25</f>
        <v>50.1818181818182</v>
      </c>
    </row>
    <row r="35" customFormat="false" ht="12" hidden="false" customHeight="true" outlineLevel="0" collapsed="false">
      <c r="A35" s="128" t="s">
        <v>1078</v>
      </c>
      <c r="C35" s="128" t="n">
        <f aca="false">C33-C27</f>
        <v>32.556169016592</v>
      </c>
    </row>
    <row r="36" customFormat="false" ht="12.75" hidden="false" customHeight="true" outlineLevel="0" collapsed="false">
      <c r="A36" s="132" t="s">
        <v>1079</v>
      </c>
      <c r="C36" s="132" t="n">
        <f aca="false">C35*C32</f>
        <v>268.588394386884</v>
      </c>
    </row>
    <row r="37" customFormat="false" ht="12" hidden="false" customHeight="true" outlineLevel="0" collapsed="false">
      <c r="A37" s="128" t="s">
        <v>1080</v>
      </c>
      <c r="C37" s="128" t="n">
        <f aca="false">C31-C32</f>
        <v>7.062427</v>
      </c>
    </row>
    <row r="39" customFormat="false" ht="12" hidden="false" customHeight="true" outlineLevel="0" collapsed="false">
      <c r="A39" s="128" t="s">
        <v>1081</v>
      </c>
      <c r="C39" s="128" t="n">
        <f aca="false">C27*C30</f>
        <v>512.381146362959</v>
      </c>
    </row>
    <row r="42" customFormat="false" ht="12" hidden="false" customHeight="true" outlineLevel="0" collapsed="false">
      <c r="A42" s="128" t="s">
        <v>1082</v>
      </c>
    </row>
    <row r="44" customFormat="false" ht="12" hidden="false" customHeight="true" outlineLevel="0" collapsed="false">
      <c r="A44" s="128" t="s">
        <v>1083</v>
      </c>
      <c r="B44" s="146" t="n">
        <f aca="false">100000000/1000</f>
        <v>100000</v>
      </c>
      <c r="F44" s="128" t="s">
        <v>1084</v>
      </c>
      <c r="G44" s="128" t="s">
        <v>1085</v>
      </c>
    </row>
    <row r="45" customFormat="false" ht="12" hidden="false" customHeight="true" outlineLevel="0" collapsed="false">
      <c r="A45" s="128" t="s">
        <v>1086</v>
      </c>
      <c r="B45" s="145" t="n">
        <v>131.6418</v>
      </c>
      <c r="C45" s="128" t="s">
        <v>1087</v>
      </c>
      <c r="G45" s="146" t="n">
        <f aca="false">100*44.1/31</f>
        <v>142.258064516129</v>
      </c>
      <c r="H45" s="128" t="s">
        <v>1088</v>
      </c>
    </row>
    <row r="46" customFormat="false" ht="12" hidden="false" customHeight="true" outlineLevel="0" collapsed="false">
      <c r="A46" s="128" t="s">
        <v>1089</v>
      </c>
      <c r="B46" s="145" t="n">
        <v>1316.418</v>
      </c>
      <c r="C46" s="128" t="s">
        <v>1090</v>
      </c>
      <c r="G46" s="303" t="e">
        <f aca="false">#REF!+Comments!G45</f>
        <v>#REF!</v>
      </c>
    </row>
    <row r="47" customFormat="false" ht="12" hidden="false" customHeight="true" outlineLevel="0" collapsed="false">
      <c r="A47" s="128" t="s">
        <v>1091</v>
      </c>
      <c r="B47" s="128" t="n">
        <f aca="false">B46*B44</f>
        <v>131641800</v>
      </c>
      <c r="C47" s="128" t="s">
        <v>1092</v>
      </c>
      <c r="G47" s="174" t="n">
        <f aca="false">G45*30</f>
        <v>4267.74193548387</v>
      </c>
      <c r="H47" s="128" t="s">
        <v>1093</v>
      </c>
    </row>
    <row r="48" customFormat="false" ht="12" hidden="false" customHeight="true" outlineLevel="0" collapsed="false">
      <c r="A48" s="128" t="s">
        <v>1094</v>
      </c>
      <c r="B48" s="128" t="n">
        <f aca="false">B47/1000000</f>
        <v>131.6418</v>
      </c>
      <c r="C48" s="128" t="s">
        <v>1095</v>
      </c>
    </row>
    <row r="51" customFormat="false" ht="12" hidden="false" customHeight="true" outlineLevel="0" collapsed="false">
      <c r="H51" s="128" t="s">
        <v>1096</v>
      </c>
    </row>
    <row r="52" customFormat="false" ht="12.75" hidden="false" customHeight="true" outlineLevel="0" collapsed="false">
      <c r="A52" s="132" t="s">
        <v>1097</v>
      </c>
      <c r="D52" s="128" t="s">
        <v>1098</v>
      </c>
      <c r="E52" s="128" t="s">
        <v>1099</v>
      </c>
      <c r="F52" s="128" t="s">
        <v>1100</v>
      </c>
      <c r="G52" s="128" t="s">
        <v>1101</v>
      </c>
      <c r="H52" s="128" t="s">
        <v>1102</v>
      </c>
      <c r="I52" s="128" t="s">
        <v>1103</v>
      </c>
    </row>
    <row r="53" customFormat="false" ht="12.75" hidden="false" customHeight="true" outlineLevel="0" collapsed="false">
      <c r="A53" s="132" t="s">
        <v>1104</v>
      </c>
      <c r="B53" s="19"/>
      <c r="D53" s="251" t="n">
        <v>54740</v>
      </c>
      <c r="E53" s="251" t="n">
        <v>70000</v>
      </c>
      <c r="F53" s="224" t="n">
        <f aca="false">E53/D53*100-100</f>
        <v>27.8772378516624</v>
      </c>
      <c r="G53" s="251" t="n">
        <v>13202</v>
      </c>
      <c r="H53" s="304" t="n">
        <v>0.256</v>
      </c>
      <c r="I53" s="305" t="n">
        <f aca="false">F60/41386</f>
        <v>0.318996762190113</v>
      </c>
    </row>
    <row r="54" customFormat="false" ht="12" hidden="false" customHeight="true" outlineLevel="0" collapsed="false">
      <c r="A54" s="128" t="s">
        <v>1105</v>
      </c>
      <c r="D54" s="303" t="e">
        <f aca="false">#REF!</f>
        <v>#REF!</v>
      </c>
      <c r="E54" s="145" t="n">
        <v>65500</v>
      </c>
      <c r="F54" s="224" t="e">
        <f aca="false">E54/D54*100-100</f>
        <v>#REF!</v>
      </c>
    </row>
    <row r="55" customFormat="false" ht="12" hidden="false" customHeight="true" outlineLevel="0" collapsed="false">
      <c r="A55" s="128" t="s">
        <v>1106</v>
      </c>
      <c r="D55" s="303" t="e">
        <f aca="false">#REF!</f>
        <v>#REF!</v>
      </c>
      <c r="E55" s="145" t="n">
        <v>4500</v>
      </c>
      <c r="F55" s="224" t="e">
        <f aca="false">E55/D55*100-100</f>
        <v>#REF!</v>
      </c>
    </row>
    <row r="57" customFormat="false" ht="12" hidden="false" customHeight="true" outlineLevel="0" collapsed="false">
      <c r="A57" s="128" t="s">
        <v>1107</v>
      </c>
      <c r="B57" s="128" t="s">
        <v>1098</v>
      </c>
      <c r="C57" s="128" t="s">
        <v>1099</v>
      </c>
      <c r="F57" s="128" t="s">
        <v>1108</v>
      </c>
      <c r="G57" s="128" t="s">
        <v>1109</v>
      </c>
      <c r="H57" s="128" t="s">
        <v>1110</v>
      </c>
      <c r="I57" s="128" t="s">
        <v>1111</v>
      </c>
    </row>
    <row r="58" customFormat="false" ht="12.75" hidden="false" customHeight="true" outlineLevel="0" collapsed="false">
      <c r="A58" s="128" t="s">
        <v>1112</v>
      </c>
      <c r="B58" s="251" t="n">
        <v>212110</v>
      </c>
      <c r="C58" s="145" t="n">
        <v>230000</v>
      </c>
      <c r="D58" s="224" t="n">
        <f aca="false">C58/B58*100-100</f>
        <v>8.4343029560134</v>
      </c>
      <c r="F58" s="145" t="n">
        <v>41386</v>
      </c>
      <c r="G58" s="306" t="n">
        <f aca="false">F58/43425*100-100</f>
        <v>-4.69545192861254</v>
      </c>
      <c r="H58" s="128" t="n">
        <f aca="false">C58-F58</f>
        <v>188614</v>
      </c>
      <c r="I58" s="174" t="n">
        <f aca="false">H58/168685</f>
        <v>1.11814328482082</v>
      </c>
      <c r="L58" s="174" t="n">
        <f aca="false">B58*1.1</f>
        <v>233321</v>
      </c>
    </row>
    <row r="59" customFormat="false" ht="12" hidden="false" customHeight="true" outlineLevel="0" collapsed="false">
      <c r="A59" s="128" t="s">
        <v>1113</v>
      </c>
      <c r="B59" s="141" t="n">
        <v>135349</v>
      </c>
      <c r="C59" s="141" t="n">
        <v>143469.94</v>
      </c>
      <c r="D59" s="224" t="n">
        <f aca="false">C59/B59*100-100</f>
        <v>6</v>
      </c>
      <c r="L59" s="145" t="n">
        <v>70000</v>
      </c>
    </row>
    <row r="60" customFormat="false" ht="12" hidden="false" customHeight="true" outlineLevel="0" collapsed="false">
      <c r="A60" s="128" t="s">
        <v>1114</v>
      </c>
      <c r="B60" s="145" t="n">
        <v>54321</v>
      </c>
      <c r="C60" s="145" t="n">
        <v>64768</v>
      </c>
      <c r="D60" s="224" t="n">
        <f aca="false">C60/B60*100-100</f>
        <v>19.2319729018244</v>
      </c>
      <c r="F60" s="145" t="n">
        <v>13202</v>
      </c>
      <c r="G60" s="145" t="n">
        <v>19.4</v>
      </c>
      <c r="H60" s="128" t="n">
        <f aca="false">C60-F60</f>
        <v>51566</v>
      </c>
      <c r="I60" s="174" t="n">
        <f aca="false">H60/43321</f>
        <v>1.19032339973685</v>
      </c>
      <c r="L60" s="128" t="n">
        <f aca="false">L59/L58*100</f>
        <v>30.0015857981065</v>
      </c>
    </row>
    <row r="61" customFormat="false" ht="12" hidden="false" customHeight="true" outlineLevel="0" collapsed="false">
      <c r="A61" s="128" t="s">
        <v>1115</v>
      </c>
      <c r="B61" s="145" t="n">
        <v>15678</v>
      </c>
    </row>
    <row r="62" customFormat="false" ht="12" hidden="false" customHeight="true" outlineLevel="0" collapsed="false">
      <c r="A62" s="128" t="s">
        <v>1116</v>
      </c>
      <c r="B62" s="145" t="n">
        <v>171</v>
      </c>
    </row>
    <row r="63" customFormat="false" ht="12" hidden="false" customHeight="true" outlineLevel="0" collapsed="false">
      <c r="A63" s="128" t="s">
        <v>1117</v>
      </c>
      <c r="B63" s="145" t="n">
        <v>946</v>
      </c>
    </row>
    <row r="64" customFormat="false" ht="12" hidden="false" customHeight="true" outlineLevel="0" collapsed="false">
      <c r="A64" s="128" t="s">
        <v>1118</v>
      </c>
      <c r="B64" s="145" t="n">
        <v>5580</v>
      </c>
    </row>
    <row r="65" customFormat="false" ht="12" hidden="false" customHeight="true" outlineLevel="0" collapsed="false">
      <c r="A65" s="128" t="s">
        <v>1119</v>
      </c>
      <c r="B65" s="145" t="n">
        <v>12</v>
      </c>
    </row>
    <row r="67" customFormat="false" ht="12.75" hidden="false" customHeight="true" outlineLevel="0" collapsed="false">
      <c r="A67" s="132" t="s">
        <v>1120</v>
      </c>
    </row>
    <row r="68" customFormat="false" ht="12" hidden="false" customHeight="true" outlineLevel="0" collapsed="false">
      <c r="A68" s="128" t="s">
        <v>1113</v>
      </c>
      <c r="B68" s="224" t="n">
        <f aca="false">B59/B$58*100</f>
        <v>63.8107585686672</v>
      </c>
      <c r="C68" s="224" t="n">
        <f aca="false">C59/C$58*100</f>
        <v>62.3782347826087</v>
      </c>
    </row>
    <row r="69" customFormat="false" ht="12" hidden="false" customHeight="true" outlineLevel="0" collapsed="false">
      <c r="A69" s="128" t="s">
        <v>1114</v>
      </c>
      <c r="B69" s="224" t="n">
        <f aca="false">B60/B$58*100</f>
        <v>25.6098250907548</v>
      </c>
      <c r="C69" s="224" t="n">
        <f aca="false">C60/C$58*100</f>
        <v>28.16</v>
      </c>
    </row>
    <row r="70" customFormat="false" ht="12" hidden="false" customHeight="true" outlineLevel="0" collapsed="false">
      <c r="A70" s="128" t="s">
        <v>1115</v>
      </c>
      <c r="B70" s="224" t="n">
        <f aca="false">B61/B$58*100</f>
        <v>7.39144783367121</v>
      </c>
      <c r="C70" s="224" t="n">
        <f aca="false">C61/C$58*100</f>
        <v>0</v>
      </c>
    </row>
    <row r="71" customFormat="false" ht="12" hidden="false" customHeight="true" outlineLevel="0" collapsed="false">
      <c r="A71" s="128" t="s">
        <v>1116</v>
      </c>
      <c r="B71" s="224" t="n">
        <f aca="false">B62/B$58*100</f>
        <v>0.0806185469803404</v>
      </c>
      <c r="C71" s="224" t="n">
        <f aca="false">C62/C$58*100</f>
        <v>0</v>
      </c>
    </row>
    <row r="72" customFormat="false" ht="12" hidden="false" customHeight="true" outlineLevel="0" collapsed="false">
      <c r="A72" s="128" t="s">
        <v>1117</v>
      </c>
      <c r="B72" s="224" t="n">
        <f aca="false">B63/B$58*100</f>
        <v>0.445995002592994</v>
      </c>
      <c r="C72" s="224" t="n">
        <f aca="false">C63/C$58*100</f>
        <v>0</v>
      </c>
    </row>
    <row r="73" customFormat="false" ht="12" hidden="false" customHeight="true" outlineLevel="0" collapsed="false">
      <c r="A73" s="128" t="s">
        <v>1118</v>
      </c>
      <c r="B73" s="224" t="n">
        <f aca="false">B64/B$58*100</f>
        <v>2.63071048041111</v>
      </c>
      <c r="C73" s="224" t="n">
        <f aca="false">C64/C$58*100</f>
        <v>0</v>
      </c>
    </row>
    <row r="74" customFormat="false" ht="12" hidden="false" customHeight="true" outlineLevel="0" collapsed="false">
      <c r="A74" s="128" t="s">
        <v>1119</v>
      </c>
      <c r="B74" s="224" t="n">
        <f aca="false">B65/B$58*100</f>
        <v>0.00565744189335722</v>
      </c>
      <c r="C74" s="224" t="n">
        <f aca="false">C65/C$58*100</f>
        <v>0</v>
      </c>
    </row>
    <row r="78" customFormat="false" ht="12.75" hidden="false" customHeight="true" outlineLevel="0" collapsed="false">
      <c r="B78" s="132" t="s">
        <v>1121</v>
      </c>
    </row>
    <row r="79" customFormat="false" ht="12" hidden="false" customHeight="true" outlineLevel="0" collapsed="false">
      <c r="B79" s="307" t="s">
        <v>1122</v>
      </c>
      <c r="C79" s="308"/>
      <c r="D79" s="309" t="s">
        <v>1123</v>
      </c>
      <c r="E79" s="310"/>
      <c r="F79" s="308"/>
      <c r="G79" s="309" t="s">
        <v>1124</v>
      </c>
      <c r="H79" s="310"/>
      <c r="I79" s="308"/>
      <c r="J79" s="309" t="s">
        <v>1125</v>
      </c>
      <c r="K79" s="310"/>
    </row>
    <row r="80" customFormat="false" ht="12" hidden="false" customHeight="true" outlineLevel="0" collapsed="false">
      <c r="B80" s="311"/>
      <c r="C80" s="312" t="s">
        <v>1126</v>
      </c>
      <c r="D80" s="313" t="s">
        <v>1127</v>
      </c>
      <c r="E80" s="314" t="s">
        <v>1128</v>
      </c>
      <c r="F80" s="312" t="s">
        <v>1126</v>
      </c>
      <c r="G80" s="313" t="s">
        <v>1127</v>
      </c>
      <c r="H80" s="314" t="s">
        <v>1128</v>
      </c>
      <c r="I80" s="312" t="s">
        <v>1126</v>
      </c>
      <c r="J80" s="313" t="s">
        <v>1127</v>
      </c>
      <c r="K80" s="314" t="s">
        <v>1128</v>
      </c>
    </row>
    <row r="81" customFormat="false" ht="12" hidden="false" customHeight="true" outlineLevel="0" collapsed="false">
      <c r="B81" s="315" t="s">
        <v>1129</v>
      </c>
      <c r="C81" s="316" t="n">
        <v>45790</v>
      </c>
      <c r="D81" s="317" t="n">
        <v>7039</v>
      </c>
      <c r="E81" s="318" t="n">
        <f aca="false">+D81/C81*100</f>
        <v>15.3723520419306</v>
      </c>
      <c r="F81" s="316" t="n">
        <v>48241</v>
      </c>
      <c r="G81" s="317" t="n">
        <v>6096</v>
      </c>
      <c r="H81" s="318" t="n">
        <f aca="false">+G81/F81*100</f>
        <v>12.6365539686159</v>
      </c>
      <c r="I81" s="316" t="n">
        <v>37659</v>
      </c>
      <c r="J81" s="317" t="n">
        <v>4949</v>
      </c>
      <c r="K81" s="318" t="n">
        <f aca="false">+J81/I81*100</f>
        <v>13.14161289466</v>
      </c>
    </row>
    <row r="82" customFormat="false" ht="12" hidden="false" customHeight="true" outlineLevel="0" collapsed="false">
      <c r="B82" s="315" t="s">
        <v>1130</v>
      </c>
      <c r="C82" s="319" t="n">
        <v>46313</v>
      </c>
      <c r="D82" s="320" t="n">
        <v>17500</v>
      </c>
      <c r="E82" s="321" t="n">
        <f aca="false">+D82/C82*100</f>
        <v>37.7863666789023</v>
      </c>
      <c r="F82" s="319" t="n">
        <v>57596</v>
      </c>
      <c r="G82" s="320" t="n">
        <v>16641</v>
      </c>
      <c r="H82" s="321" t="n">
        <f aca="false">+G82/F82*100</f>
        <v>28.8926314327384</v>
      </c>
      <c r="I82" s="319" t="n">
        <v>60522</v>
      </c>
      <c r="J82" s="320" t="n">
        <v>18828</v>
      </c>
      <c r="K82" s="321" t="n">
        <f aca="false">+J82/I82*100</f>
        <v>31.1093486666006</v>
      </c>
    </row>
    <row r="83" customFormat="false" ht="12" hidden="false" customHeight="true" outlineLevel="0" collapsed="false">
      <c r="B83" s="315" t="s">
        <v>1131</v>
      </c>
      <c r="C83" s="319" t="n">
        <v>7729</v>
      </c>
      <c r="D83" s="320" t="n">
        <v>3853</v>
      </c>
      <c r="E83" s="321" t="n">
        <f aca="false">+D83/C83*100</f>
        <v>49.8512097295899</v>
      </c>
      <c r="F83" s="319" t="n">
        <v>11842</v>
      </c>
      <c r="G83" s="320" t="n">
        <v>5617</v>
      </c>
      <c r="H83" s="321" t="n">
        <f aca="false">+G83/F83*100</f>
        <v>47.4328660699206</v>
      </c>
      <c r="I83" s="319" t="n">
        <v>12162</v>
      </c>
      <c r="J83" s="320" t="n">
        <v>5643</v>
      </c>
      <c r="K83" s="321" t="n">
        <f aca="false">+J83/I83*100</f>
        <v>46.3986186482486</v>
      </c>
    </row>
    <row r="84" customFormat="false" ht="12" hidden="false" customHeight="true" outlineLevel="0" collapsed="false">
      <c r="B84" s="315" t="s">
        <v>1132</v>
      </c>
      <c r="C84" s="319" t="n">
        <v>16742</v>
      </c>
      <c r="D84" s="320" t="n">
        <v>4555</v>
      </c>
      <c r="E84" s="321" t="n">
        <f aca="false">+D84/C84*100</f>
        <v>27.2070242503882</v>
      </c>
      <c r="F84" s="319" t="n">
        <v>24717</v>
      </c>
      <c r="G84" s="320" t="n">
        <v>7590</v>
      </c>
      <c r="H84" s="321" t="n">
        <f aca="false">+G84/F84*100</f>
        <v>30.7076101468625</v>
      </c>
      <c r="I84" s="319" t="n">
        <v>31762</v>
      </c>
      <c r="J84" s="320" t="n">
        <v>10933</v>
      </c>
      <c r="K84" s="321" t="n">
        <f aca="false">+J84/I84*100</f>
        <v>34.4216359171337</v>
      </c>
    </row>
    <row r="85" customFormat="false" ht="12" hidden="false" customHeight="true" outlineLevel="0" collapsed="false">
      <c r="B85" s="322" t="s">
        <v>1133</v>
      </c>
      <c r="C85" s="323" t="n">
        <f aca="false">SUM(C81:C84)</f>
        <v>116574</v>
      </c>
      <c r="D85" s="324" t="n">
        <f aca="false">SUM(D81:D84)</f>
        <v>32947</v>
      </c>
      <c r="E85" s="325" t="n">
        <f aca="false">+D85/C85*100</f>
        <v>28.2627344004667</v>
      </c>
      <c r="F85" s="323" t="n">
        <f aca="false">SUM(F81:F84)</f>
        <v>142396</v>
      </c>
      <c r="G85" s="324" t="n">
        <f aca="false">SUM(G81:G84)</f>
        <v>35944</v>
      </c>
      <c r="H85" s="325" t="n">
        <f aca="false">+G85/F85*100</f>
        <v>25.2422820865755</v>
      </c>
      <c r="I85" s="323" t="n">
        <f aca="false">SUM(I81:I84)</f>
        <v>142105</v>
      </c>
      <c r="J85" s="324" t="n">
        <f aca="false">SUM(J81:J84)</f>
        <v>40353</v>
      </c>
      <c r="K85" s="325" t="n">
        <f aca="false">+J85/I85*100</f>
        <v>28.3966081418669</v>
      </c>
    </row>
    <row r="86" customFormat="false" ht="12" hidden="false" customHeight="true" outlineLevel="0" collapsed="false">
      <c r="B86" s="315" t="s">
        <v>1134</v>
      </c>
      <c r="C86" s="319" t="n">
        <v>13825</v>
      </c>
      <c r="D86" s="320" t="n">
        <v>5769</v>
      </c>
      <c r="E86" s="321" t="n">
        <f aca="false">+D86/C86*100</f>
        <v>41.7287522603978</v>
      </c>
      <c r="F86" s="319" t="n">
        <v>13052</v>
      </c>
      <c r="G86" s="320" t="n">
        <v>4956</v>
      </c>
      <c r="H86" s="321" t="n">
        <f aca="false">+G86/F86*100</f>
        <v>37.9711921544591</v>
      </c>
      <c r="I86" s="319" t="n">
        <v>12534</v>
      </c>
      <c r="J86" s="320" t="n">
        <v>5582</v>
      </c>
      <c r="K86" s="321" t="n">
        <f aca="false">+J86/I86*100</f>
        <v>44.5348651667465</v>
      </c>
    </row>
    <row r="87" customFormat="false" ht="12" hidden="false" customHeight="true" outlineLevel="0" collapsed="false">
      <c r="B87" s="315" t="s">
        <v>1135</v>
      </c>
      <c r="C87" s="319" t="n">
        <v>9796</v>
      </c>
      <c r="D87" s="320" t="n">
        <v>5258</v>
      </c>
      <c r="E87" s="321" t="n">
        <f aca="false">+D87/C87*100</f>
        <v>53.6749693752552</v>
      </c>
      <c r="F87" s="319" t="n">
        <v>10640</v>
      </c>
      <c r="G87" s="320" t="n">
        <v>5445</v>
      </c>
      <c r="H87" s="321" t="n">
        <f aca="false">+G87/F87*100</f>
        <v>51.1748120300752</v>
      </c>
      <c r="I87" s="319" t="n">
        <v>12526</v>
      </c>
      <c r="J87" s="320" t="n">
        <v>6901</v>
      </c>
      <c r="K87" s="321" t="n">
        <f aca="false">+J87/I87*100</f>
        <v>55.0934057161105</v>
      </c>
    </row>
    <row r="88" customFormat="false" ht="12" hidden="false" customHeight="true" outlineLevel="0" collapsed="false">
      <c r="B88" s="322" t="s">
        <v>1136</v>
      </c>
      <c r="C88" s="323" t="n">
        <f aca="false">SUM(C86:C87)</f>
        <v>23621</v>
      </c>
      <c r="D88" s="324" t="n">
        <f aca="false">SUM(D86:D87)</f>
        <v>11027</v>
      </c>
      <c r="E88" s="325" t="n">
        <f aca="false">+D88/C88*100</f>
        <v>46.6830362812751</v>
      </c>
      <c r="F88" s="323" t="n">
        <f aca="false">SUM(F86:F87)</f>
        <v>23692</v>
      </c>
      <c r="G88" s="324" t="n">
        <f aca="false">SUM(G86:G87)</f>
        <v>10401</v>
      </c>
      <c r="H88" s="325" t="n">
        <f aca="false">+G88/F88*100</f>
        <v>43.9008948168158</v>
      </c>
      <c r="I88" s="323" t="n">
        <f aca="false">SUM(I86:I87)</f>
        <v>25060</v>
      </c>
      <c r="J88" s="324" t="n">
        <f aca="false">SUM(J86:J87)</f>
        <v>12483</v>
      </c>
      <c r="K88" s="325" t="n">
        <f aca="false">+J88/I88*100</f>
        <v>49.8124501197127</v>
      </c>
    </row>
    <row r="89" customFormat="false" ht="12" hidden="false" customHeight="true" outlineLevel="0" collapsed="false">
      <c r="B89" s="322" t="s">
        <v>1137</v>
      </c>
      <c r="C89" s="326" t="n">
        <f aca="false">+C85+C88</f>
        <v>140195</v>
      </c>
      <c r="D89" s="327" t="n">
        <f aca="false">+D85+D88</f>
        <v>43974</v>
      </c>
      <c r="E89" s="328" t="n">
        <f aca="false">+D89/C89*100</f>
        <v>31.3663112093869</v>
      </c>
      <c r="F89" s="326" t="n">
        <f aca="false">+F85+F88</f>
        <v>166088</v>
      </c>
      <c r="G89" s="327" t="n">
        <f aca="false">+G85+G88</f>
        <v>46345</v>
      </c>
      <c r="H89" s="328" t="n">
        <f aca="false">+G89/F89*100</f>
        <v>27.9038822792736</v>
      </c>
      <c r="I89" s="326" t="n">
        <f aca="false">+I85+I88</f>
        <v>167165</v>
      </c>
      <c r="J89" s="327" t="n">
        <f aca="false">+J85+J88</f>
        <v>52836</v>
      </c>
      <c r="K89" s="328" t="n">
        <f aca="false">+J89/I89*100</f>
        <v>31.6070947865881</v>
      </c>
    </row>
    <row r="92" customFormat="false" ht="12.75" hidden="false" customHeight="true" outlineLevel="0" collapsed="false">
      <c r="B92" s="132" t="s">
        <v>1121</v>
      </c>
    </row>
    <row r="93" customFormat="false" ht="12.75" hidden="false" customHeight="true" outlineLevel="0" collapsed="false">
      <c r="B93" s="132" t="s">
        <v>1138</v>
      </c>
    </row>
    <row r="94" customFormat="false" ht="12" hidden="false" customHeight="true" outlineLevel="0" collapsed="false">
      <c r="B94" s="128" t="s">
        <v>1139</v>
      </c>
    </row>
    <row r="95" customFormat="false" ht="12" hidden="false" customHeight="true" outlineLevel="0" collapsed="false">
      <c r="B95" s="128" t="s">
        <v>1140</v>
      </c>
    </row>
    <row r="96" customFormat="false" ht="12" hidden="false" customHeight="true" outlineLevel="0" collapsed="false">
      <c r="B96" s="128" t="s">
        <v>1141</v>
      </c>
    </row>
    <row r="97" customFormat="false" ht="12" hidden="false" customHeight="true" outlineLevel="0" collapsed="false">
      <c r="B97" s="128" t="s">
        <v>1142</v>
      </c>
    </row>
    <row r="98" customFormat="false" ht="12" hidden="false" customHeight="true" outlineLevel="0" collapsed="false">
      <c r="B98" s="128" t="s">
        <v>1143</v>
      </c>
    </row>
    <row r="99" customFormat="false" ht="12" hidden="false" customHeight="true" outlineLevel="0" collapsed="false">
      <c r="B99" s="128" t="s">
        <v>1144</v>
      </c>
    </row>
    <row r="100" customFormat="false" ht="12" hidden="false" customHeight="true" outlineLevel="0" collapsed="false">
      <c r="B100" s="128" t="s">
        <v>1145</v>
      </c>
    </row>
    <row r="102" customFormat="false" ht="12.75" hidden="false" customHeight="true" outlineLevel="0" collapsed="false">
      <c r="B102" s="132" t="s">
        <v>1121</v>
      </c>
    </row>
    <row r="103" customFormat="false" ht="12.75" hidden="false" customHeight="true" outlineLevel="0" collapsed="false">
      <c r="B103" s="132" t="s">
        <v>1146</v>
      </c>
    </row>
    <row r="104" customFormat="false" ht="12" hidden="false" customHeight="true" outlineLevel="0" collapsed="false">
      <c r="B104" s="128" t="s">
        <v>1147</v>
      </c>
    </row>
    <row r="105" customFormat="false" ht="12" hidden="false" customHeight="true" outlineLevel="0" collapsed="false">
      <c r="B105" s="128" t="s">
        <v>1148</v>
      </c>
    </row>
    <row r="106" customFormat="false" ht="12" hidden="false" customHeight="true" outlineLevel="0" collapsed="false">
      <c r="B106" s="128" t="s">
        <v>1149</v>
      </c>
    </row>
    <row r="107" customFormat="false" ht="12" hidden="false" customHeight="true" outlineLevel="0" collapsed="false">
      <c r="B107" s="128" t="s">
        <v>1150</v>
      </c>
    </row>
    <row r="108" customFormat="false" ht="12" hidden="false" customHeight="true" outlineLevel="0" collapsed="false">
      <c r="B108" s="128" t="s">
        <v>1151</v>
      </c>
    </row>
    <row r="110" customFormat="false" ht="12" hidden="false" customHeight="true" outlineLevel="0" collapsed="false">
      <c r="B110" s="128" t="s">
        <v>1152</v>
      </c>
    </row>
    <row r="113" customFormat="false" ht="12" hidden="false" customHeight="true" outlineLevel="0" collapsed="false">
      <c r="B113" s="329"/>
      <c r="C113" s="329"/>
      <c r="D113" s="330" t="n">
        <v>38808</v>
      </c>
      <c r="E113" s="330" t="n">
        <v>38838</v>
      </c>
      <c r="F113" s="330" t="n">
        <v>38869</v>
      </c>
      <c r="G113" s="330" t="n">
        <v>38899</v>
      </c>
      <c r="H113" s="331" t="s">
        <v>1101</v>
      </c>
    </row>
    <row r="114" customFormat="false" ht="12" hidden="false" customHeight="true" outlineLevel="0" collapsed="false">
      <c r="B114" s="332" t="s">
        <v>1153</v>
      </c>
      <c r="C114" s="333" t="s">
        <v>394</v>
      </c>
      <c r="D114" s="334" t="n">
        <v>713</v>
      </c>
      <c r="E114" s="334" t="n">
        <v>708</v>
      </c>
      <c r="F114" s="334" t="n">
        <v>819</v>
      </c>
      <c r="G114" s="334" t="n">
        <v>1182</v>
      </c>
      <c r="H114" s="334" t="n">
        <v>3422</v>
      </c>
    </row>
    <row r="115" customFormat="false" ht="12" hidden="false" customHeight="true" outlineLevel="0" collapsed="false">
      <c r="B115" s="332"/>
      <c r="C115" s="335" t="s">
        <v>1154</v>
      </c>
      <c r="D115" s="336" t="n">
        <v>398</v>
      </c>
      <c r="E115" s="336" t="n">
        <v>550</v>
      </c>
      <c r="F115" s="336" t="n">
        <v>425</v>
      </c>
      <c r="G115" s="336" t="n">
        <v>745</v>
      </c>
      <c r="H115" s="336" t="n">
        <v>2118</v>
      </c>
      <c r="J115" s="128" t="n">
        <f aca="false">SUM(D115:F115)+SUM(D116:F116)</f>
        <v>2181</v>
      </c>
    </row>
    <row r="116" customFormat="false" ht="12" hidden="false" customHeight="true" outlineLevel="0" collapsed="false">
      <c r="B116" s="332"/>
      <c r="C116" s="335" t="s">
        <v>1155</v>
      </c>
      <c r="D116" s="336" t="n">
        <v>187</v>
      </c>
      <c r="E116" s="336" t="n">
        <v>214</v>
      </c>
      <c r="F116" s="336" t="n">
        <v>407</v>
      </c>
      <c r="G116" s="336" t="n">
        <v>162</v>
      </c>
      <c r="H116" s="336" t="n">
        <v>970</v>
      </c>
    </row>
    <row r="117" customFormat="false" ht="12" hidden="false" customHeight="true" outlineLevel="0" collapsed="false">
      <c r="B117" s="332" t="s">
        <v>1156</v>
      </c>
      <c r="C117" s="333" t="s">
        <v>394</v>
      </c>
      <c r="D117" s="334" t="n">
        <v>4708</v>
      </c>
      <c r="E117" s="334" t="n">
        <v>5120</v>
      </c>
      <c r="F117" s="334" t="n">
        <v>5804</v>
      </c>
      <c r="G117" s="334" t="n">
        <v>5612</v>
      </c>
      <c r="H117" s="334" t="n">
        <v>21244</v>
      </c>
      <c r="I117" s="128" t="s">
        <v>1157</v>
      </c>
      <c r="L117" s="128" t="s">
        <v>1158</v>
      </c>
    </row>
    <row r="118" customFormat="false" ht="12" hidden="false" customHeight="true" outlineLevel="0" collapsed="false">
      <c r="B118" s="332"/>
      <c r="C118" s="335" t="s">
        <v>1154</v>
      </c>
      <c r="D118" s="336" t="n">
        <v>4335</v>
      </c>
      <c r="E118" s="336" t="n">
        <v>4732</v>
      </c>
      <c r="F118" s="336" t="n">
        <v>5261</v>
      </c>
      <c r="G118" s="336" t="n">
        <v>4208</v>
      </c>
      <c r="H118" s="336" t="n">
        <v>18536</v>
      </c>
      <c r="I118" s="174" t="n">
        <f aca="false">H118/12508</f>
        <v>1.48193156379917</v>
      </c>
      <c r="J118" s="128" t="n">
        <f aca="false">SUM(D118:F118)+SUM(D119:F119)</f>
        <v>14762</v>
      </c>
      <c r="L118" s="146" t="n">
        <f aca="false">42613-12508</f>
        <v>30105</v>
      </c>
      <c r="M118" s="128" t="s">
        <v>1159</v>
      </c>
    </row>
    <row r="119" customFormat="false" ht="12" hidden="false" customHeight="true" outlineLevel="0" collapsed="false">
      <c r="B119" s="332"/>
      <c r="C119" s="335" t="s">
        <v>1155</v>
      </c>
      <c r="D119" s="336" t="n">
        <v>102</v>
      </c>
      <c r="E119" s="336" t="n">
        <v>95</v>
      </c>
      <c r="F119" s="336" t="n">
        <v>237</v>
      </c>
      <c r="G119" s="336" t="n">
        <v>99</v>
      </c>
      <c r="H119" s="336" t="n">
        <v>533</v>
      </c>
    </row>
    <row r="120" customFormat="false" ht="12" hidden="false" customHeight="true" outlineLevel="0" collapsed="false">
      <c r="B120" s="332" t="s">
        <v>1160</v>
      </c>
      <c r="C120" s="333" t="s">
        <v>394</v>
      </c>
      <c r="D120" s="334" t="n">
        <v>95</v>
      </c>
      <c r="E120" s="334" t="n">
        <v>58</v>
      </c>
      <c r="F120" s="334" t="n">
        <v>49</v>
      </c>
      <c r="G120" s="334" t="n">
        <v>10</v>
      </c>
      <c r="H120" s="334" t="n">
        <v>212</v>
      </c>
      <c r="L120" s="174" t="n">
        <f aca="false">47727-H118</f>
        <v>29191</v>
      </c>
      <c r="M120" s="128" t="s">
        <v>1161</v>
      </c>
    </row>
    <row r="121" customFormat="false" ht="12" hidden="false" customHeight="true" outlineLevel="0" collapsed="false">
      <c r="B121" s="332"/>
      <c r="C121" s="335" t="s">
        <v>1154</v>
      </c>
      <c r="D121" s="336" t="n">
        <v>17</v>
      </c>
      <c r="E121" s="336" t="n">
        <v>40</v>
      </c>
      <c r="F121" s="336" t="n">
        <v>38</v>
      </c>
      <c r="G121" s="336" t="n">
        <v>17</v>
      </c>
      <c r="H121" s="336" t="n">
        <v>112</v>
      </c>
      <c r="J121" s="128" t="n">
        <f aca="false">SUM(D121:F121)+SUM(D122:F122)</f>
        <v>97</v>
      </c>
      <c r="L121" s="128" t="n">
        <f aca="false">L120/L118</f>
        <v>0.969639594751702</v>
      </c>
      <c r="M121" s="128" t="s">
        <v>1162</v>
      </c>
    </row>
    <row r="122" customFormat="false" ht="12" hidden="false" customHeight="true" outlineLevel="0" collapsed="false">
      <c r="B122" s="332"/>
      <c r="C122" s="335" t="s">
        <v>1163</v>
      </c>
      <c r="D122" s="336" t="n">
        <v>0</v>
      </c>
      <c r="E122" s="336" t="n">
        <v>0</v>
      </c>
      <c r="F122" s="336" t="n">
        <v>2</v>
      </c>
      <c r="G122" s="336" t="n">
        <v>0</v>
      </c>
      <c r="H122" s="336" t="n">
        <v>2</v>
      </c>
    </row>
    <row r="123" customFormat="false" ht="12" hidden="false" customHeight="true" outlineLevel="0" collapsed="false">
      <c r="B123" s="332" t="s">
        <v>427</v>
      </c>
      <c r="C123" s="333" t="s">
        <v>394</v>
      </c>
      <c r="D123" s="334" t="n">
        <v>5516</v>
      </c>
      <c r="E123" s="334" t="n">
        <v>5886</v>
      </c>
      <c r="F123" s="334" t="n">
        <v>6672</v>
      </c>
      <c r="G123" s="334" t="n">
        <v>6804</v>
      </c>
      <c r="H123" s="334" t="n">
        <v>24878</v>
      </c>
      <c r="L123" s="174" t="n">
        <f aca="false">L120+5299+3000</f>
        <v>37490</v>
      </c>
      <c r="M123" s="128" t="s">
        <v>1164</v>
      </c>
    </row>
    <row r="124" customFormat="false" ht="12" hidden="false" customHeight="true" outlineLevel="0" collapsed="false">
      <c r="B124" s="332"/>
      <c r="C124" s="335" t="s">
        <v>1154</v>
      </c>
      <c r="D124" s="336" t="n">
        <v>4750</v>
      </c>
      <c r="E124" s="336" t="n">
        <v>5322</v>
      </c>
      <c r="F124" s="336" t="n">
        <v>5724</v>
      </c>
      <c r="G124" s="336" t="n">
        <v>4970</v>
      </c>
      <c r="H124" s="336" t="n">
        <v>20766</v>
      </c>
      <c r="J124" s="128" t="n">
        <f aca="false">SUM(D124:F124)+SUM(D125:F125)</f>
        <v>17040</v>
      </c>
      <c r="L124" s="128" t="n">
        <f aca="false">L123/L118</f>
        <v>1.24530808835742</v>
      </c>
      <c r="M124" s="128" t="s">
        <v>1165</v>
      </c>
    </row>
    <row r="125" customFormat="false" ht="12" hidden="false" customHeight="true" outlineLevel="0" collapsed="false">
      <c r="B125" s="332"/>
      <c r="C125" s="335" t="s">
        <v>1163</v>
      </c>
      <c r="D125" s="336" t="n">
        <v>289</v>
      </c>
      <c r="E125" s="336" t="n">
        <v>309</v>
      </c>
      <c r="F125" s="336" t="n">
        <v>646</v>
      </c>
      <c r="G125" s="336" t="n">
        <v>261</v>
      </c>
      <c r="H125" s="336" t="n">
        <v>1505</v>
      </c>
    </row>
    <row r="126" customFormat="false" ht="12" hidden="false" customHeight="true" outlineLevel="0" collapsed="false">
      <c r="L126" s="128" t="n">
        <f aca="false">L123+H118</f>
        <v>56026</v>
      </c>
      <c r="M126" s="128" t="s">
        <v>1166</v>
      </c>
    </row>
    <row r="128" customFormat="false" ht="12" hidden="false" customHeight="true" outlineLevel="0" collapsed="false">
      <c r="L128" s="128" t="n">
        <f aca="false">L123/8</f>
        <v>4686.25</v>
      </c>
      <c r="M128" s="128" t="s">
        <v>1167</v>
      </c>
    </row>
    <row r="129" customFormat="false" ht="12" hidden="false" customHeight="true" outlineLevel="0" collapsed="false">
      <c r="B129" s="128" t="s">
        <v>1168</v>
      </c>
    </row>
    <row r="130" customFormat="false" ht="12" hidden="false" customHeight="true" outlineLevel="0" collapsed="false">
      <c r="B130" s="128" t="s">
        <v>1169</v>
      </c>
    </row>
    <row r="131" customFormat="false" ht="12" hidden="false" customHeight="true" outlineLevel="0" collapsed="false">
      <c r="B131" s="128" t="s">
        <v>1170</v>
      </c>
    </row>
    <row r="132" customFormat="false" ht="12" hidden="false" customHeight="true" outlineLevel="0" collapsed="false">
      <c r="B132" s="128" t="s">
        <v>1171</v>
      </c>
    </row>
    <row r="133" customFormat="false" ht="12" hidden="false" customHeight="true" outlineLevel="0" collapsed="false">
      <c r="B133" s="128" t="s">
        <v>1172</v>
      </c>
    </row>
    <row r="134" customFormat="false" ht="12" hidden="false" customHeight="true" outlineLevel="0" collapsed="false">
      <c r="B134" s="128" t="s">
        <v>1173</v>
      </c>
    </row>
    <row r="135" customFormat="false" ht="12" hidden="false" customHeight="true" outlineLevel="0" collapsed="false">
      <c r="B135" s="128" t="s">
        <v>1174</v>
      </c>
    </row>
    <row r="136" customFormat="false" ht="12" hidden="false" customHeight="true" outlineLevel="0" collapsed="false">
      <c r="B136" s="128" t="s">
        <v>1175</v>
      </c>
    </row>
    <row r="137" customFormat="false" ht="12" hidden="false" customHeight="true" outlineLevel="0" collapsed="false">
      <c r="B137" s="128" t="s">
        <v>1176</v>
      </c>
    </row>
    <row r="138" customFormat="false" ht="12" hidden="false" customHeight="true" outlineLevel="0" collapsed="false">
      <c r="B138" s="128" t="s">
        <v>1177</v>
      </c>
    </row>
    <row r="139" customFormat="false" ht="12" hidden="false" customHeight="true" outlineLevel="0" collapsed="false">
      <c r="B139" s="128" t="s">
        <v>1178</v>
      </c>
    </row>
    <row r="140" customFormat="false" ht="12" hidden="false" customHeight="true" outlineLevel="0" collapsed="false">
      <c r="B140" s="128" t="s">
        <v>1179</v>
      </c>
    </row>
    <row r="141" customFormat="false" ht="12" hidden="false" customHeight="true" outlineLevel="0" collapsed="false">
      <c r="B141" s="128" t="s">
        <v>1180</v>
      </c>
    </row>
    <row r="142" customFormat="false" ht="12" hidden="false" customHeight="true" outlineLevel="0" collapsed="false">
      <c r="B142" s="128" t="s">
        <v>1181</v>
      </c>
    </row>
    <row r="143" customFormat="false" ht="12" hidden="false" customHeight="true" outlineLevel="0" collapsed="false">
      <c r="B143" s="128" t="s">
        <v>1182</v>
      </c>
    </row>
    <row r="144" customFormat="false" ht="12" hidden="false" customHeight="true" outlineLevel="0" collapsed="false">
      <c r="B144" s="128" t="s">
        <v>1183</v>
      </c>
    </row>
    <row r="145" customFormat="false" ht="12" hidden="false" customHeight="true" outlineLevel="0" collapsed="false">
      <c r="B145" s="128" t="s">
        <v>1184</v>
      </c>
    </row>
    <row r="146" customFormat="false" ht="12" hidden="false" customHeight="true" outlineLevel="0" collapsed="false">
      <c r="B146" s="128" t="s">
        <v>1185</v>
      </c>
    </row>
    <row r="147" customFormat="false" ht="12" hidden="false" customHeight="true" outlineLevel="0" collapsed="false">
      <c r="B147" s="128" t="s">
        <v>1186</v>
      </c>
    </row>
    <row r="149" customFormat="false" ht="12" hidden="false" customHeight="true" outlineLevel="0" collapsed="false">
      <c r="B149" s="128" t="s">
        <v>1187</v>
      </c>
    </row>
    <row r="150" customFormat="false" ht="12" hidden="false" customHeight="true" outlineLevel="0" collapsed="false">
      <c r="B150" s="128" t="s">
        <v>1188</v>
      </c>
    </row>
    <row r="151" customFormat="false" ht="12" hidden="false" customHeight="true" outlineLevel="0" collapsed="false">
      <c r="B151" s="128" t="s">
        <v>1189</v>
      </c>
    </row>
    <row r="152" customFormat="false" ht="12" hidden="false" customHeight="true" outlineLevel="0" collapsed="false">
      <c r="B152" s="128" t="s">
        <v>1190</v>
      </c>
    </row>
    <row r="153" customFormat="false" ht="12" hidden="false" customHeight="true" outlineLevel="0" collapsed="false">
      <c r="B153" s="128" t="s">
        <v>1191</v>
      </c>
    </row>
    <row r="154" customFormat="false" ht="12" hidden="false" customHeight="true" outlineLevel="0" collapsed="false">
      <c r="B154" s="128" t="s">
        <v>1192</v>
      </c>
    </row>
    <row r="155" customFormat="false" ht="12" hidden="false" customHeight="true" outlineLevel="0" collapsed="false">
      <c r="B155" s="128" t="s">
        <v>1193</v>
      </c>
    </row>
    <row r="156" customFormat="false" ht="12" hidden="false" customHeight="true" outlineLevel="0" collapsed="false">
      <c r="B156" s="128" t="s">
        <v>1194</v>
      </c>
    </row>
    <row r="157" customFormat="false" ht="12" hidden="false" customHeight="true" outlineLevel="0" collapsed="false">
      <c r="B157" s="128" t="s">
        <v>1195</v>
      </c>
    </row>
    <row r="158" customFormat="false" ht="12" hidden="false" customHeight="true" outlineLevel="0" collapsed="false">
      <c r="B158" s="128" t="s">
        <v>1196</v>
      </c>
    </row>
    <row r="159" customFormat="false" ht="12" hidden="false" customHeight="true" outlineLevel="0" collapsed="false">
      <c r="B159" s="128" t="s">
        <v>1197</v>
      </c>
    </row>
    <row r="160" customFormat="false" ht="12" hidden="false" customHeight="true" outlineLevel="0" collapsed="false">
      <c r="B160" s="128" t="s">
        <v>1198</v>
      </c>
    </row>
    <row r="161" customFormat="false" ht="12" hidden="false" customHeight="true" outlineLevel="0" collapsed="false">
      <c r="B161" s="128" t="s">
        <v>1199</v>
      </c>
    </row>
    <row r="164" customFormat="false" ht="12.75" hidden="false" customHeight="true" outlineLevel="0" collapsed="false">
      <c r="B164" s="132" t="s">
        <v>1200</v>
      </c>
    </row>
    <row r="165" customFormat="false" ht="12.75" hidden="false" customHeight="true" outlineLevel="0" collapsed="false">
      <c r="B165" s="128" t="s">
        <v>1201</v>
      </c>
    </row>
    <row r="166" customFormat="false" ht="12.75" hidden="false" customHeight="true" outlineLevel="0" collapsed="false">
      <c r="B166" s="128" t="s">
        <v>1202</v>
      </c>
    </row>
    <row r="167" customFormat="false" ht="12.75" hidden="false" customHeight="true" outlineLevel="0" collapsed="false">
      <c r="B167" s="128" t="s">
        <v>1203</v>
      </c>
    </row>
    <row r="168" customFormat="false" ht="12" hidden="false" customHeight="true" outlineLevel="0" collapsed="false">
      <c r="B168" s="128" t="s">
        <v>1204</v>
      </c>
    </row>
    <row r="169" customFormat="false" ht="12" hidden="false" customHeight="true" outlineLevel="0" collapsed="false">
      <c r="B169" s="128" t="s">
        <v>1205</v>
      </c>
    </row>
    <row r="170" customFormat="false" ht="12" hidden="false" customHeight="true" outlineLevel="0" collapsed="false">
      <c r="B170" s="128" t="s">
        <v>1206</v>
      </c>
    </row>
    <row r="171" customFormat="false" ht="12" hidden="false" customHeight="true" outlineLevel="0" collapsed="false">
      <c r="B171" s="128" t="s">
        <v>1207</v>
      </c>
    </row>
    <row r="172" customFormat="false" ht="12" hidden="false" customHeight="true" outlineLevel="0" collapsed="false">
      <c r="B172" s="128" t="s">
        <v>1208</v>
      </c>
    </row>
    <row r="173" customFormat="false" ht="12" hidden="false" customHeight="true" outlineLevel="0" collapsed="false"/>
    <row r="174" customFormat="false" ht="12" hidden="false" customHeight="true" outlineLevel="0" collapsed="false">
      <c r="B174" s="128" t="s">
        <v>1209</v>
      </c>
    </row>
    <row r="175" customFormat="false" ht="12" hidden="false" customHeight="true" outlineLevel="0" collapsed="false">
      <c r="B175" s="128" t="s">
        <v>1210</v>
      </c>
    </row>
    <row r="176" customFormat="false" ht="12" hidden="false" customHeight="true" outlineLevel="0" collapsed="false"/>
    <row r="177" customFormat="false" ht="12" hidden="false" customHeight="true" outlineLevel="0" collapsed="false">
      <c r="B177" s="128" t="s">
        <v>1211</v>
      </c>
    </row>
    <row r="178" customFormat="false" ht="12" hidden="false" customHeight="true" outlineLevel="0" collapsed="false"/>
    <row r="179" customFormat="false" ht="12" hidden="false" customHeight="true" outlineLevel="0" collapsed="false">
      <c r="B179" s="128" t="s">
        <v>1212</v>
      </c>
    </row>
    <row r="180" customFormat="false" ht="12" hidden="false" customHeight="true" outlineLevel="0" collapsed="false"/>
    <row r="181" customFormat="false" ht="12" hidden="false" customHeight="true" outlineLevel="0" collapsed="false">
      <c r="B181" s="128" t="s">
        <v>1213</v>
      </c>
    </row>
    <row r="182" customFormat="false" ht="12" hidden="false" customHeight="true" outlineLevel="0" collapsed="false"/>
    <row r="183" customFormat="false" ht="12" hidden="false" customHeight="true" outlineLevel="0" collapsed="false"/>
    <row r="184" customFormat="false" ht="12" hidden="false" customHeight="true" outlineLevel="0" collapsed="false">
      <c r="B184" s="128" t="s">
        <v>1214</v>
      </c>
    </row>
    <row r="185" customFormat="false" ht="12" hidden="false" customHeight="true" outlineLevel="0" collapsed="false">
      <c r="B185" s="128" t="s">
        <v>1215</v>
      </c>
    </row>
    <row r="186" customFormat="false" ht="12" hidden="false" customHeight="true" outlineLevel="0" collapsed="false"/>
    <row r="187" customFormat="false" ht="12" hidden="false" customHeight="true" outlineLevel="0" collapsed="false">
      <c r="D187" s="128" t="n">
        <f aca="false">D196+D197</f>
        <v>24</v>
      </c>
      <c r="E187" s="128" t="n">
        <f aca="false">E196+E197</f>
        <v>22</v>
      </c>
      <c r="F187" s="128" t="n">
        <f aca="false">F196+F197</f>
        <v>71</v>
      </c>
      <c r="G187" s="128" t="n">
        <f aca="false">G196+G197</f>
        <v>53</v>
      </c>
      <c r="H187" s="128" t="n">
        <f aca="false">H196+H197</f>
        <v>50</v>
      </c>
      <c r="I187" s="128" t="n">
        <f aca="false">I196+I197</f>
        <v>132</v>
      </c>
      <c r="J187" s="128" t="n">
        <f aca="false">J196+J197</f>
        <v>57</v>
      </c>
      <c r="K187" s="128" t="n">
        <f aca="false">K196+K197</f>
        <v>96</v>
      </c>
      <c r="L187" s="128" t="n">
        <f aca="false">L196+L197</f>
        <v>91</v>
      </c>
      <c r="M187" s="128" t="n">
        <f aca="false">M196+M197</f>
        <v>24</v>
      </c>
      <c r="N187" s="128" t="n">
        <f aca="false">N196+N197</f>
        <v>99</v>
      </c>
      <c r="O187" s="128" t="n">
        <f aca="false">O196+O197</f>
        <v>78</v>
      </c>
    </row>
    <row r="188" customFormat="false" ht="12" hidden="false" customHeight="true" outlineLevel="0" collapsed="false">
      <c r="B188" s="329"/>
      <c r="C188" s="329"/>
      <c r="D188" s="330" t="n">
        <v>38443</v>
      </c>
      <c r="E188" s="330" t="n">
        <v>38473</v>
      </c>
      <c r="F188" s="330" t="n">
        <v>38504</v>
      </c>
      <c r="G188" s="330" t="n">
        <v>38534</v>
      </c>
      <c r="H188" s="330" t="n">
        <v>38565</v>
      </c>
      <c r="I188" s="330" t="n">
        <v>38596</v>
      </c>
      <c r="J188" s="330" t="n">
        <v>38626</v>
      </c>
      <c r="K188" s="330" t="n">
        <v>38657</v>
      </c>
      <c r="L188" s="330" t="n">
        <v>38687</v>
      </c>
      <c r="M188" s="330" t="n">
        <v>38718</v>
      </c>
      <c r="N188" s="330" t="n">
        <v>38749</v>
      </c>
      <c r="O188" s="330" t="n">
        <v>38777</v>
      </c>
      <c r="P188" s="331" t="s">
        <v>1101</v>
      </c>
    </row>
    <row r="189" customFormat="false" ht="12" hidden="false" customHeight="true" outlineLevel="0" collapsed="false">
      <c r="B189" s="332" t="s">
        <v>1153</v>
      </c>
      <c r="C189" s="333" t="s">
        <v>394</v>
      </c>
      <c r="D189" s="334" t="n">
        <v>1023</v>
      </c>
      <c r="E189" s="334" t="n">
        <v>1062</v>
      </c>
      <c r="F189" s="334" t="n">
        <v>1029</v>
      </c>
      <c r="G189" s="334" t="n">
        <v>1464</v>
      </c>
      <c r="H189" s="334" t="n">
        <v>1637</v>
      </c>
      <c r="I189" s="334" t="n">
        <v>1977</v>
      </c>
      <c r="J189" s="334" t="n">
        <v>1677</v>
      </c>
      <c r="K189" s="334" t="n">
        <v>1811</v>
      </c>
      <c r="L189" s="334" t="n">
        <v>1361</v>
      </c>
      <c r="M189" s="334" t="n">
        <v>1240</v>
      </c>
      <c r="N189" s="334" t="n">
        <v>1066</v>
      </c>
      <c r="O189" s="334" t="n">
        <v>1475</v>
      </c>
      <c r="P189" s="334" t="n">
        <v>16822</v>
      </c>
    </row>
    <row r="190" customFormat="false" ht="12" hidden="false" customHeight="true" outlineLevel="0" collapsed="false">
      <c r="B190" s="332"/>
      <c r="C190" s="335" t="s">
        <v>1154</v>
      </c>
      <c r="D190" s="336" t="n">
        <v>569</v>
      </c>
      <c r="E190" s="336" t="n">
        <v>677</v>
      </c>
      <c r="F190" s="336" t="n">
        <v>1041</v>
      </c>
      <c r="G190" s="336" t="n">
        <v>1302</v>
      </c>
      <c r="H190" s="336" t="n">
        <v>1428</v>
      </c>
      <c r="I190" s="336" t="n">
        <v>1533</v>
      </c>
      <c r="J190" s="336" t="n">
        <v>1152</v>
      </c>
      <c r="K190" s="336" t="n">
        <v>1408</v>
      </c>
      <c r="L190" s="336" t="n">
        <v>917</v>
      </c>
      <c r="M190" s="336" t="n">
        <v>1049</v>
      </c>
      <c r="N190" s="336" t="n">
        <v>1014</v>
      </c>
      <c r="O190" s="336" t="n">
        <v>1320</v>
      </c>
      <c r="P190" s="336" t="n">
        <v>13410</v>
      </c>
    </row>
    <row r="191" customFormat="false" ht="12" hidden="false" customHeight="true" outlineLevel="0" collapsed="false">
      <c r="B191" s="332"/>
      <c r="C191" s="335" t="s">
        <v>1155</v>
      </c>
      <c r="D191" s="336" t="n">
        <v>75</v>
      </c>
      <c r="E191" s="336" t="n">
        <v>150</v>
      </c>
      <c r="F191" s="336" t="n">
        <v>96</v>
      </c>
      <c r="G191" s="336" t="n">
        <v>185</v>
      </c>
      <c r="H191" s="336" t="n">
        <v>117</v>
      </c>
      <c r="I191" s="336" t="n">
        <v>257</v>
      </c>
      <c r="J191" s="336" t="n">
        <v>181</v>
      </c>
      <c r="K191" s="336" t="n">
        <v>98</v>
      </c>
      <c r="L191" s="336" t="n">
        <v>447</v>
      </c>
      <c r="M191" s="336" t="n">
        <v>75</v>
      </c>
      <c r="N191" s="336" t="n">
        <v>300</v>
      </c>
      <c r="O191" s="336" t="n">
        <v>274</v>
      </c>
      <c r="P191" s="336" t="n">
        <v>2255</v>
      </c>
    </row>
    <row r="192" customFormat="false" ht="12" hidden="false" customHeight="true" outlineLevel="0" collapsed="false">
      <c r="B192" s="332" t="s">
        <v>1156</v>
      </c>
      <c r="C192" s="333" t="s">
        <v>394</v>
      </c>
      <c r="D192" s="334" t="n">
        <v>3051</v>
      </c>
      <c r="E192" s="334" t="n">
        <v>4183</v>
      </c>
      <c r="F192" s="334" t="n">
        <v>4302</v>
      </c>
      <c r="G192" s="334" t="n">
        <v>4505</v>
      </c>
      <c r="H192" s="334" t="n">
        <v>4460</v>
      </c>
      <c r="I192" s="334" t="n">
        <v>3741</v>
      </c>
      <c r="J192" s="334" t="n">
        <v>3807</v>
      </c>
      <c r="K192" s="334" t="n">
        <v>2861</v>
      </c>
      <c r="L192" s="334" t="n">
        <v>2665</v>
      </c>
      <c r="M192" s="334" t="n">
        <v>3486</v>
      </c>
      <c r="N192" s="334" t="n">
        <v>4320</v>
      </c>
      <c r="O192" s="334" t="n">
        <v>5989</v>
      </c>
      <c r="P192" s="334" t="n">
        <v>47370</v>
      </c>
    </row>
    <row r="193" customFormat="false" ht="12" hidden="false" customHeight="true" outlineLevel="0" collapsed="false">
      <c r="B193" s="332"/>
      <c r="C193" s="335" t="s">
        <v>1154</v>
      </c>
      <c r="D193" s="336" t="n">
        <v>2591</v>
      </c>
      <c r="E193" s="336" t="n">
        <v>3635</v>
      </c>
      <c r="F193" s="336" t="n">
        <v>3797</v>
      </c>
      <c r="G193" s="336" t="n">
        <v>2485</v>
      </c>
      <c r="H193" s="336" t="n">
        <v>2928</v>
      </c>
      <c r="I193" s="336" t="n">
        <v>3619</v>
      </c>
      <c r="J193" s="336" t="n">
        <v>2712</v>
      </c>
      <c r="K193" s="336" t="n">
        <v>2529</v>
      </c>
      <c r="L193" s="336" t="n">
        <v>2659</v>
      </c>
      <c r="M193" s="336" t="n">
        <v>4545</v>
      </c>
      <c r="N193" s="336" t="n">
        <v>4424</v>
      </c>
      <c r="O193" s="336" t="n">
        <v>6689</v>
      </c>
      <c r="P193" s="336" t="n">
        <v>42613</v>
      </c>
    </row>
    <row r="194" customFormat="false" ht="12" hidden="false" customHeight="true" outlineLevel="0" collapsed="false">
      <c r="B194" s="332"/>
      <c r="C194" s="335" t="s">
        <v>1155</v>
      </c>
      <c r="D194" s="336" t="n">
        <v>163</v>
      </c>
      <c r="E194" s="336" t="n">
        <v>171</v>
      </c>
      <c r="F194" s="336" t="n">
        <v>238</v>
      </c>
      <c r="G194" s="336" t="n">
        <v>258</v>
      </c>
      <c r="H194" s="336" t="n">
        <v>214</v>
      </c>
      <c r="I194" s="336" t="n">
        <v>334</v>
      </c>
      <c r="J194" s="336" t="n">
        <v>179</v>
      </c>
      <c r="K194" s="336" t="n">
        <v>82</v>
      </c>
      <c r="L194" s="336" t="n">
        <v>430</v>
      </c>
      <c r="M194" s="336" t="n">
        <v>94</v>
      </c>
      <c r="N194" s="336" t="n">
        <v>201</v>
      </c>
      <c r="O194" s="336" t="n">
        <v>216</v>
      </c>
      <c r="P194" s="336" t="n">
        <v>2580</v>
      </c>
    </row>
    <row r="195" customFormat="false" ht="12" hidden="false" customHeight="true" outlineLevel="0" collapsed="false">
      <c r="B195" s="332" t="s">
        <v>1160</v>
      </c>
      <c r="C195" s="333" t="s">
        <v>394</v>
      </c>
      <c r="D195" s="334" t="n">
        <v>16</v>
      </c>
      <c r="E195" s="334" t="n">
        <v>106</v>
      </c>
      <c r="F195" s="334" t="n">
        <v>107</v>
      </c>
      <c r="G195" s="334" t="n">
        <v>57</v>
      </c>
      <c r="H195" s="334" t="n">
        <v>71</v>
      </c>
      <c r="I195" s="334" t="n">
        <v>150</v>
      </c>
      <c r="J195" s="334" t="n">
        <v>0</v>
      </c>
      <c r="K195" s="334" t="n">
        <v>70</v>
      </c>
      <c r="L195" s="334" t="n">
        <v>131</v>
      </c>
      <c r="M195" s="334" t="n">
        <v>47</v>
      </c>
      <c r="N195" s="334" t="n">
        <v>39</v>
      </c>
      <c r="O195" s="334" t="n">
        <v>99</v>
      </c>
      <c r="P195" s="334" t="n">
        <v>893</v>
      </c>
    </row>
    <row r="196" customFormat="false" ht="12" hidden="false" customHeight="true" outlineLevel="0" collapsed="false">
      <c r="B196" s="332"/>
      <c r="C196" s="335" t="s">
        <v>1154</v>
      </c>
      <c r="D196" s="336" t="n">
        <v>11</v>
      </c>
      <c r="E196" s="336" t="n">
        <v>20</v>
      </c>
      <c r="F196" s="336" t="n">
        <v>65</v>
      </c>
      <c r="G196" s="336" t="n">
        <v>50</v>
      </c>
      <c r="H196" s="336" t="n">
        <v>50</v>
      </c>
      <c r="I196" s="336" t="n">
        <v>132</v>
      </c>
      <c r="J196" s="336" t="n">
        <v>57</v>
      </c>
      <c r="K196" s="336" t="n">
        <v>96</v>
      </c>
      <c r="L196" s="336" t="n">
        <v>91</v>
      </c>
      <c r="M196" s="336" t="n">
        <v>24</v>
      </c>
      <c r="N196" s="336" t="n">
        <v>79</v>
      </c>
      <c r="O196" s="336" t="n">
        <v>78</v>
      </c>
      <c r="P196" s="336" t="n">
        <v>753</v>
      </c>
    </row>
    <row r="197" customFormat="false" ht="12" hidden="false" customHeight="true" outlineLevel="0" collapsed="false">
      <c r="B197" s="332"/>
      <c r="C197" s="335" t="s">
        <v>1163</v>
      </c>
      <c r="D197" s="336" t="n">
        <v>13</v>
      </c>
      <c r="E197" s="336" t="n">
        <v>2</v>
      </c>
      <c r="F197" s="336" t="n">
        <v>6</v>
      </c>
      <c r="G197" s="336" t="n">
        <v>3</v>
      </c>
      <c r="H197" s="336" t="n">
        <v>0</v>
      </c>
      <c r="I197" s="336" t="n">
        <v>0</v>
      </c>
      <c r="J197" s="336" t="n">
        <v>0</v>
      </c>
      <c r="K197" s="336" t="n">
        <v>0</v>
      </c>
      <c r="L197" s="336" t="n">
        <v>0</v>
      </c>
      <c r="M197" s="336" t="n">
        <v>0</v>
      </c>
      <c r="N197" s="336" t="n">
        <v>20</v>
      </c>
      <c r="O197" s="336" t="n">
        <v>0</v>
      </c>
      <c r="P197" s="336" t="n">
        <v>44</v>
      </c>
    </row>
    <row r="198" customFormat="false" ht="12" hidden="false" customHeight="true" outlineLevel="0" collapsed="false">
      <c r="B198" s="332" t="s">
        <v>427</v>
      </c>
      <c r="C198" s="333" t="s">
        <v>394</v>
      </c>
      <c r="D198" s="334" t="n">
        <v>4090</v>
      </c>
      <c r="E198" s="334" t="n">
        <v>5351</v>
      </c>
      <c r="F198" s="334" t="n">
        <v>5438</v>
      </c>
      <c r="G198" s="334" t="n">
        <v>6026</v>
      </c>
      <c r="H198" s="334" t="n">
        <v>6168</v>
      </c>
      <c r="I198" s="334" t="n">
        <v>5868</v>
      </c>
      <c r="J198" s="334" t="n">
        <v>5484</v>
      </c>
      <c r="K198" s="334" t="n">
        <v>4742</v>
      </c>
      <c r="L198" s="334" t="n">
        <v>4157</v>
      </c>
      <c r="M198" s="334" t="n">
        <v>4773</v>
      </c>
      <c r="N198" s="334" t="n">
        <v>5425</v>
      </c>
      <c r="O198" s="334" t="n">
        <v>7563</v>
      </c>
      <c r="P198" s="334" t="n">
        <v>65085</v>
      </c>
    </row>
    <row r="199" customFormat="false" ht="12" hidden="false" customHeight="true" outlineLevel="0" collapsed="false">
      <c r="B199" s="332"/>
      <c r="C199" s="335" t="s">
        <v>1154</v>
      </c>
      <c r="D199" s="336" t="n">
        <v>3171</v>
      </c>
      <c r="E199" s="336" t="n">
        <v>4332</v>
      </c>
      <c r="F199" s="336" t="n">
        <v>4903</v>
      </c>
      <c r="G199" s="336" t="n">
        <v>3837</v>
      </c>
      <c r="H199" s="336" t="n">
        <v>4406</v>
      </c>
      <c r="I199" s="336" t="n">
        <v>5284</v>
      </c>
      <c r="J199" s="336" t="n">
        <v>3921</v>
      </c>
      <c r="K199" s="336" t="n">
        <v>4033</v>
      </c>
      <c r="L199" s="336" t="n">
        <v>3667</v>
      </c>
      <c r="M199" s="336" t="n">
        <v>5618</v>
      </c>
      <c r="N199" s="336" t="n">
        <v>5517</v>
      </c>
      <c r="O199" s="336" t="n">
        <v>8087</v>
      </c>
      <c r="P199" s="336" t="n">
        <v>56776</v>
      </c>
    </row>
    <row r="200" customFormat="false" ht="12" hidden="false" customHeight="true" outlineLevel="0" collapsed="false">
      <c r="B200" s="332"/>
      <c r="C200" s="335" t="s">
        <v>1163</v>
      </c>
      <c r="D200" s="336" t="n">
        <v>251</v>
      </c>
      <c r="E200" s="336" t="n">
        <v>323</v>
      </c>
      <c r="F200" s="336" t="n">
        <v>340</v>
      </c>
      <c r="G200" s="336" t="n">
        <v>446</v>
      </c>
      <c r="H200" s="336" t="n">
        <v>331</v>
      </c>
      <c r="I200" s="336" t="n">
        <v>591</v>
      </c>
      <c r="J200" s="336" t="n">
        <v>360</v>
      </c>
      <c r="K200" s="336" t="n">
        <v>180</v>
      </c>
      <c r="L200" s="336" t="n">
        <v>877</v>
      </c>
      <c r="M200" s="336" t="n">
        <v>169</v>
      </c>
      <c r="N200" s="336" t="n">
        <v>521</v>
      </c>
      <c r="O200" s="336" t="n">
        <v>490</v>
      </c>
      <c r="P200" s="336" t="n">
        <v>4879</v>
      </c>
    </row>
    <row r="201" customFormat="false" ht="12" hidden="false" customHeight="true" outlineLevel="0" collapsed="false"/>
    <row r="202" customFormat="false" ht="12" hidden="false" customHeight="true" outlineLevel="0" collapsed="false"/>
    <row r="203" customFormat="false" ht="12" hidden="false" customHeight="true" outlineLevel="0" collapsed="false">
      <c r="B203" s="128" t="s">
        <v>1216</v>
      </c>
    </row>
    <row r="204" customFormat="false" ht="12" hidden="false" customHeight="true" outlineLevel="0" collapsed="false">
      <c r="B204" s="337"/>
    </row>
    <row r="205" customFormat="false" ht="12" hidden="false" customHeight="true" outlineLevel="0" collapsed="false">
      <c r="B205" s="128" t="s">
        <v>1217</v>
      </c>
    </row>
    <row r="206" customFormat="false" ht="12" hidden="false" customHeight="true" outlineLevel="0" collapsed="false">
      <c r="B206" s="337"/>
    </row>
    <row r="207" customFormat="false" ht="12" hidden="false" customHeight="true" outlineLevel="0" collapsed="false">
      <c r="B207" s="128" t="s">
        <v>1218</v>
      </c>
    </row>
    <row r="208" customFormat="false" ht="12" hidden="false" customHeight="true" outlineLevel="0" collapsed="false">
      <c r="B208" s="337"/>
    </row>
    <row r="209" customFormat="false" ht="12" hidden="false" customHeight="true" outlineLevel="0" collapsed="false">
      <c r="B209" s="337"/>
    </row>
    <row r="210" customFormat="false" ht="12" hidden="false" customHeight="true" outlineLevel="0" collapsed="false">
      <c r="B210" s="337"/>
    </row>
    <row r="211" customFormat="false" ht="12" hidden="false" customHeight="true" outlineLevel="0" collapsed="false">
      <c r="B211" s="128" t="s">
        <v>1219</v>
      </c>
    </row>
    <row r="212" customFormat="false" ht="12" hidden="false" customHeight="true" outlineLevel="0" collapsed="false">
      <c r="B212" s="337"/>
    </row>
    <row r="213" customFormat="false" ht="12" hidden="false" customHeight="true" outlineLevel="0" collapsed="false">
      <c r="B213" s="128" t="s">
        <v>1220</v>
      </c>
    </row>
    <row r="214" customFormat="false" ht="12" hidden="false" customHeight="true" outlineLevel="0" collapsed="false">
      <c r="B214" s="337"/>
    </row>
    <row r="215" customFormat="false" ht="12" hidden="false" customHeight="true" outlineLevel="0" collapsed="false">
      <c r="B215" s="338"/>
    </row>
    <row r="216" customFormat="false" ht="12" hidden="false" customHeight="true" outlineLevel="0" collapsed="false">
      <c r="B216" s="337"/>
    </row>
    <row r="217" customFormat="false" ht="12" hidden="false" customHeight="true" outlineLevel="0" collapsed="false">
      <c r="B217" s="128" t="s">
        <v>1221</v>
      </c>
    </row>
    <row r="218" customFormat="false" ht="12" hidden="false" customHeight="true" outlineLevel="0" collapsed="false">
      <c r="B218" s="337"/>
    </row>
    <row r="219" customFormat="false" ht="12" hidden="false" customHeight="true" outlineLevel="0" collapsed="false">
      <c r="B219" s="128" t="s">
        <v>1222</v>
      </c>
    </row>
    <row r="220" customFormat="false" ht="12" hidden="false" customHeight="true" outlineLevel="0" collapsed="false">
      <c r="B220" s="337"/>
    </row>
    <row r="221" customFormat="false" ht="12" hidden="false" customHeight="true" outlineLevel="0" collapsed="false">
      <c r="B221" s="338"/>
    </row>
    <row r="222" customFormat="false" ht="12" hidden="false" customHeight="true" outlineLevel="0" collapsed="false">
      <c r="B222" s="337"/>
    </row>
    <row r="223" customFormat="false" ht="12" hidden="false" customHeight="true" outlineLevel="0" collapsed="false">
      <c r="B223" s="128" t="s">
        <v>1223</v>
      </c>
    </row>
    <row r="224" customFormat="false" ht="12" hidden="false" customHeight="true" outlineLevel="0" collapsed="false">
      <c r="B224" s="337"/>
    </row>
    <row r="225" customFormat="false" ht="12" hidden="false" customHeight="true" outlineLevel="0" collapsed="false">
      <c r="B225" s="128" t="s">
        <v>1224</v>
      </c>
    </row>
    <row r="226" customFormat="false" ht="12" hidden="false" customHeight="true" outlineLevel="0" collapsed="false">
      <c r="B226" s="337"/>
    </row>
    <row r="227" customFormat="false" ht="12" hidden="false" customHeight="true" outlineLevel="0" collapsed="false">
      <c r="B227" s="128" t="s">
        <v>1225</v>
      </c>
    </row>
    <row r="228" customFormat="false" ht="12" hidden="false" customHeight="true" outlineLevel="0" collapsed="false">
      <c r="B228" s="337"/>
    </row>
    <row r="229" customFormat="false" ht="12" hidden="false" customHeight="true" outlineLevel="0" collapsed="false">
      <c r="B229" s="128" t="s">
        <v>1226</v>
      </c>
    </row>
    <row r="230" customFormat="false" ht="12" hidden="false" customHeight="true" outlineLevel="0" collapsed="false">
      <c r="B230" s="337"/>
    </row>
    <row r="231" customFormat="false" ht="12" hidden="false" customHeight="true" outlineLevel="0" collapsed="false">
      <c r="B231" s="128" t="s">
        <v>1227</v>
      </c>
    </row>
    <row r="232" customFormat="false" ht="12" hidden="false" customHeight="true" outlineLevel="0" collapsed="false"/>
    <row r="233" customFormat="false" ht="12" hidden="false" customHeight="true" outlineLevel="0" collapsed="false"/>
    <row r="234" customFormat="false" ht="12" hidden="false" customHeight="true" outlineLevel="0" collapsed="false"/>
    <row r="235" customFormat="false" ht="12" hidden="false" customHeight="true" outlineLevel="0" collapsed="false"/>
    <row r="236" customFormat="false" ht="12" hidden="false" customHeight="true" outlineLevel="0" collapsed="false"/>
    <row r="237" customFormat="false" ht="12" hidden="false" customHeight="true" outlineLevel="0" collapsed="false"/>
    <row r="238" customFormat="false" ht="12" hidden="false" customHeight="true" outlineLevel="0" collapsed="false"/>
    <row r="239" customFormat="false" ht="12" hidden="false" customHeight="true" outlineLevel="0" collapsed="false"/>
    <row r="240" customFormat="false" ht="12.75" hidden="false" customHeight="true" outlineLevel="0" collapsed="false">
      <c r="B240" s="132" t="s">
        <v>1228</v>
      </c>
    </row>
    <row r="241" customFormat="false" ht="12" hidden="false" customHeight="true" outlineLevel="0" collapsed="false">
      <c r="B241" s="128" t="s">
        <v>1229</v>
      </c>
    </row>
    <row r="243" customFormat="false" ht="12" hidden="false" customHeight="true" outlineLevel="0" collapsed="false">
      <c r="B243" s="128" t="s">
        <v>1230</v>
      </c>
    </row>
    <row r="244" customFormat="false" ht="12" hidden="false" customHeight="true" outlineLevel="0" collapsed="false">
      <c r="B244" s="128" t="s">
        <v>1231</v>
      </c>
    </row>
    <row r="248" customFormat="false" ht="12" hidden="false" customHeight="true" outlineLevel="0" collapsed="false">
      <c r="B248" s="128" t="s">
        <v>1232</v>
      </c>
    </row>
    <row r="249" customFormat="false" ht="12" hidden="false" customHeight="true" outlineLevel="0" collapsed="false">
      <c r="B249" s="128" t="s">
        <v>1233</v>
      </c>
    </row>
    <row r="251" customFormat="false" ht="12" hidden="false" customHeight="true" outlineLevel="0" collapsed="false">
      <c r="B251" s="128" t="s">
        <v>1234</v>
      </c>
    </row>
    <row r="252" customFormat="false" ht="12" hidden="false" customHeight="true" outlineLevel="0" collapsed="false">
      <c r="B252" s="128" t="s">
        <v>1235</v>
      </c>
    </row>
    <row r="254" customFormat="false" ht="12" hidden="false" customHeight="true" outlineLevel="0" collapsed="false">
      <c r="B254" s="128" t="s">
        <v>1236</v>
      </c>
    </row>
    <row r="256" customFormat="false" ht="12" hidden="false" customHeight="true" outlineLevel="0" collapsed="false">
      <c r="B256" s="128" t="s">
        <v>1237</v>
      </c>
    </row>
    <row r="257" customFormat="false" ht="12" hidden="false" customHeight="true" outlineLevel="0" collapsed="false">
      <c r="B257" s="128" t="s">
        <v>1238</v>
      </c>
    </row>
    <row r="258" customFormat="false" ht="12" hidden="false" customHeight="true" outlineLevel="0" collapsed="false">
      <c r="B258" s="128" t="s">
        <v>1239</v>
      </c>
    </row>
    <row r="259" customFormat="false" ht="12" hidden="false" customHeight="true" outlineLevel="0" collapsed="false">
      <c r="B259" s="128" t="s">
        <v>1240</v>
      </c>
    </row>
    <row r="260" customFormat="false" ht="12" hidden="false" customHeight="true" outlineLevel="0" collapsed="false">
      <c r="B260" s="128" t="s">
        <v>1241</v>
      </c>
    </row>
    <row r="261" customFormat="false" ht="12" hidden="false" customHeight="true" outlineLevel="0" collapsed="false">
      <c r="B261" s="128" t="s">
        <v>1242</v>
      </c>
    </row>
    <row r="262" customFormat="false" ht="12" hidden="false" customHeight="true" outlineLevel="0" collapsed="false">
      <c r="B262" s="128" t="s">
        <v>1243</v>
      </c>
    </row>
    <row r="264" customFormat="false" ht="12" hidden="false" customHeight="true" outlineLevel="0" collapsed="false">
      <c r="B264" s="128" t="s">
        <v>1244</v>
      </c>
    </row>
    <row r="266" customFormat="false" ht="12" hidden="false" customHeight="true" outlineLevel="0" collapsed="false">
      <c r="B266" s="128" t="s">
        <v>1245</v>
      </c>
    </row>
    <row r="268" customFormat="false" ht="12" hidden="false" customHeight="true" outlineLevel="0" collapsed="false">
      <c r="B268" s="128" t="s">
        <v>1246</v>
      </c>
    </row>
    <row r="270" customFormat="false" ht="12" hidden="false" customHeight="true" outlineLevel="0" collapsed="false">
      <c r="B270" s="128" t="s">
        <v>1247</v>
      </c>
    </row>
    <row r="272" customFormat="false" ht="12" hidden="false" customHeight="true" outlineLevel="0" collapsed="false">
      <c r="B272" s="128" t="s">
        <v>1248</v>
      </c>
    </row>
    <row r="273" customFormat="false" ht="12" hidden="false" customHeight="true" outlineLevel="0" collapsed="false">
      <c r="B273" s="128" t="s">
        <v>1249</v>
      </c>
    </row>
    <row r="275" customFormat="false" ht="12" hidden="false" customHeight="true" outlineLevel="0" collapsed="false">
      <c r="B275" s="128" t="s">
        <v>1250</v>
      </c>
    </row>
    <row r="276" customFormat="false" ht="12" hidden="false" customHeight="true" outlineLevel="0" collapsed="false">
      <c r="B276" s="128" t="s">
        <v>1251</v>
      </c>
    </row>
    <row r="280" customFormat="false" ht="12" hidden="false" customHeight="true" outlineLevel="0" collapsed="false">
      <c r="B280" s="128" t="s">
        <v>1229</v>
      </c>
    </row>
    <row r="282" customFormat="false" ht="12" hidden="false" customHeight="true" outlineLevel="0" collapsed="false">
      <c r="B282" s="128" t="s">
        <v>1230</v>
      </c>
    </row>
    <row r="283" customFormat="false" ht="12" hidden="false" customHeight="true" outlineLevel="0" collapsed="false">
      <c r="B283" s="128" t="s">
        <v>1231</v>
      </c>
    </row>
    <row r="286" customFormat="false" ht="12" hidden="false" customHeight="true" outlineLevel="0" collapsed="false">
      <c r="B286" s="128" t="s">
        <v>1252</v>
      </c>
    </row>
    <row r="288" customFormat="false" ht="12" hidden="false" customHeight="true" outlineLevel="0" collapsed="false">
      <c r="B288" s="128" t="s">
        <v>1232</v>
      </c>
    </row>
    <row r="289" customFormat="false" ht="12" hidden="false" customHeight="true" outlineLevel="0" collapsed="false">
      <c r="B289" s="128" t="s">
        <v>1233</v>
      </c>
    </row>
    <row r="291" customFormat="false" ht="12" hidden="false" customHeight="true" outlineLevel="0" collapsed="false">
      <c r="B291" s="128" t="s">
        <v>1234</v>
      </c>
    </row>
    <row r="292" customFormat="false" ht="12" hidden="false" customHeight="true" outlineLevel="0" collapsed="false">
      <c r="B292" s="128" t="s">
        <v>1235</v>
      </c>
    </row>
    <row r="294" customFormat="false" ht="12" hidden="false" customHeight="true" outlineLevel="0" collapsed="false">
      <c r="B294" s="128" t="s">
        <v>1236</v>
      </c>
    </row>
    <row r="296" customFormat="false" ht="12" hidden="false" customHeight="true" outlineLevel="0" collapsed="false">
      <c r="B296" s="128" t="s">
        <v>1237</v>
      </c>
    </row>
    <row r="297" customFormat="false" ht="12" hidden="false" customHeight="true" outlineLevel="0" collapsed="false">
      <c r="B297" s="128" t="s">
        <v>1238</v>
      </c>
    </row>
    <row r="298" customFormat="false" ht="12" hidden="false" customHeight="true" outlineLevel="0" collapsed="false">
      <c r="B298" s="128" t="s">
        <v>1239</v>
      </c>
    </row>
    <row r="299" customFormat="false" ht="12" hidden="false" customHeight="true" outlineLevel="0" collapsed="false">
      <c r="B299" s="128" t="s">
        <v>1240</v>
      </c>
    </row>
    <row r="300" customFormat="false" ht="12" hidden="false" customHeight="true" outlineLevel="0" collapsed="false">
      <c r="B300" s="128" t="s">
        <v>1241</v>
      </c>
    </row>
    <row r="301" customFormat="false" ht="12" hidden="false" customHeight="true" outlineLevel="0" collapsed="false">
      <c r="B301" s="128" t="s">
        <v>1242</v>
      </c>
    </row>
    <row r="302" customFormat="false" ht="12" hidden="false" customHeight="true" outlineLevel="0" collapsed="false">
      <c r="B302" s="128" t="s">
        <v>1243</v>
      </c>
    </row>
    <row r="304" customFormat="false" ht="12" hidden="false" customHeight="true" outlineLevel="0" collapsed="false">
      <c r="B304" s="128" t="s">
        <v>1244</v>
      </c>
    </row>
    <row r="306" customFormat="false" ht="12" hidden="false" customHeight="true" outlineLevel="0" collapsed="false">
      <c r="B306" s="128" t="s">
        <v>1245</v>
      </c>
    </row>
    <row r="308" customFormat="false" ht="12" hidden="false" customHeight="true" outlineLevel="0" collapsed="false">
      <c r="B308" s="128" t="s">
        <v>1246</v>
      </c>
    </row>
    <row r="310" customFormat="false" ht="12" hidden="false" customHeight="true" outlineLevel="0" collapsed="false">
      <c r="B310" s="128" t="s">
        <v>1247</v>
      </c>
    </row>
    <row r="312" customFormat="false" ht="12" hidden="false" customHeight="true" outlineLevel="0" collapsed="false">
      <c r="B312" s="128" t="s">
        <v>1248</v>
      </c>
    </row>
    <row r="313" customFormat="false" ht="12" hidden="false" customHeight="true" outlineLevel="0" collapsed="false">
      <c r="B313" s="128" t="s">
        <v>1249</v>
      </c>
    </row>
    <row r="315" customFormat="false" ht="12" hidden="false" customHeight="true" outlineLevel="0" collapsed="false">
      <c r="B315" s="128" t="s">
        <v>1250</v>
      </c>
    </row>
    <row r="316" customFormat="false" ht="12" hidden="false" customHeight="true" outlineLevel="0" collapsed="false">
      <c r="B316" s="128" t="s">
        <v>1251</v>
      </c>
    </row>
    <row r="318" customFormat="false" ht="12.75" hidden="false" customHeight="true" outlineLevel="0" collapsed="false">
      <c r="B318" s="132" t="s">
        <v>1253</v>
      </c>
    </row>
    <row r="319" customFormat="false" ht="12" hidden="false" customHeight="true" outlineLevel="0" collapsed="false">
      <c r="B319" s="128" t="s">
        <v>1254</v>
      </c>
      <c r="D319" s="128" t="s">
        <v>1255</v>
      </c>
    </row>
    <row r="320" customFormat="false" ht="12" hidden="false" customHeight="true" outlineLevel="0" collapsed="false">
      <c r="B320" s="128" t="s">
        <v>1256</v>
      </c>
    </row>
    <row r="321" customFormat="false" ht="12" hidden="false" customHeight="true" outlineLevel="0" collapsed="false">
      <c r="B321" s="128" t="s">
        <v>1257</v>
      </c>
    </row>
    <row r="322" customFormat="false" ht="12" hidden="false" customHeight="true" outlineLevel="0" collapsed="false">
      <c r="B322" s="128" t="s">
        <v>1258</v>
      </c>
    </row>
    <row r="323" customFormat="false" ht="12.75" hidden="false" customHeight="true" outlineLevel="0" collapsed="false">
      <c r="B323" s="132" t="s">
        <v>1259</v>
      </c>
      <c r="C323" s="19"/>
      <c r="D323" s="19"/>
      <c r="E323" s="149" t="n">
        <f aca="false">5400*1470</f>
        <v>7938000</v>
      </c>
      <c r="F323" s="132" t="s">
        <v>1260</v>
      </c>
      <c r="G323" s="19"/>
      <c r="I323" s="251" t="n">
        <v>1336.3</v>
      </c>
      <c r="J323" s="132" t="s">
        <v>1261</v>
      </c>
    </row>
    <row r="324" customFormat="false" ht="12" hidden="false" customHeight="true" outlineLevel="0" collapsed="false">
      <c r="B324" s="128" t="s">
        <v>1262</v>
      </c>
    </row>
    <row r="325" customFormat="false" ht="12" hidden="false" customHeight="true" outlineLevel="0" collapsed="false">
      <c r="B325" s="128" t="s">
        <v>1263</v>
      </c>
    </row>
    <row r="326" customFormat="false" ht="12" hidden="false" customHeight="true" outlineLevel="0" collapsed="false">
      <c r="B326" s="128" t="s">
        <v>1264</v>
      </c>
    </row>
    <row r="327" customFormat="false" ht="12" hidden="false" customHeight="true" outlineLevel="0" collapsed="false">
      <c r="B327" s="128" t="s">
        <v>1265</v>
      </c>
    </row>
    <row r="329" customFormat="false" ht="12.75" hidden="false" customHeight="true" outlineLevel="0" collapsed="false">
      <c r="B329" s="132" t="s">
        <v>1266</v>
      </c>
    </row>
    <row r="330" customFormat="false" ht="12" hidden="false" customHeight="true" outlineLevel="0" collapsed="false">
      <c r="B330" s="128" t="s">
        <v>1267</v>
      </c>
    </row>
    <row r="331" customFormat="false" ht="12" hidden="false" customHeight="true" outlineLevel="0" collapsed="false">
      <c r="B331" s="128" t="s">
        <v>1268</v>
      </c>
    </row>
    <row r="332" customFormat="false" ht="12" hidden="false" customHeight="true" outlineLevel="0" collapsed="false">
      <c r="B332" s="128" t="s">
        <v>1269</v>
      </c>
    </row>
    <row r="334" customFormat="false" ht="12" hidden="false" customHeight="true" outlineLevel="0" collapsed="false">
      <c r="C334" s="128" t="s">
        <v>1125</v>
      </c>
      <c r="D334" s="128" t="s">
        <v>1270</v>
      </c>
      <c r="E334" s="128" t="s">
        <v>1271</v>
      </c>
    </row>
    <row r="335" customFormat="false" ht="12" hidden="false" customHeight="true" outlineLevel="0" collapsed="false">
      <c r="B335" s="128" t="s">
        <v>1272</v>
      </c>
    </row>
    <row r="336" customFormat="false" ht="12" hidden="false" customHeight="true" outlineLevel="0" collapsed="false">
      <c r="B336" s="128" t="s">
        <v>1273</v>
      </c>
      <c r="C336" s="141" t="n">
        <v>14168</v>
      </c>
      <c r="D336" s="141" t="n">
        <v>12007</v>
      </c>
      <c r="E336" s="145" t="n">
        <v>-15.3</v>
      </c>
    </row>
    <row r="337" customFormat="false" ht="12" hidden="false" customHeight="true" outlineLevel="0" collapsed="false">
      <c r="B337" s="128" t="s">
        <v>1274</v>
      </c>
      <c r="C337" s="141" t="n">
        <v>42106</v>
      </c>
      <c r="D337" s="141" t="n">
        <v>64144</v>
      </c>
      <c r="E337" s="145" t="n">
        <v>52.3</v>
      </c>
    </row>
    <row r="338" customFormat="false" ht="12" hidden="false" customHeight="true" outlineLevel="0" collapsed="false">
      <c r="B338" s="128" t="s">
        <v>1275</v>
      </c>
      <c r="C338" s="141" t="n">
        <v>56274</v>
      </c>
      <c r="D338" s="141" t="n">
        <v>76151</v>
      </c>
      <c r="E338" s="145" t="n">
        <v>35.3</v>
      </c>
    </row>
    <row r="339" customFormat="false" ht="12" hidden="false" customHeight="true" outlineLevel="0" collapsed="false">
      <c r="B339" s="128" t="s">
        <v>1276</v>
      </c>
      <c r="C339" s="141" t="n">
        <v>502</v>
      </c>
      <c r="D339" s="141" t="n">
        <v>918</v>
      </c>
      <c r="E339" s="145" t="n">
        <v>82.9</v>
      </c>
    </row>
    <row r="340" customFormat="false" ht="12" hidden="false" customHeight="true" outlineLevel="0" collapsed="false">
      <c r="B340" s="128" t="s">
        <v>1277</v>
      </c>
      <c r="C340" s="141" t="n">
        <v>4879</v>
      </c>
      <c r="D340" s="141" t="n">
        <v>6025</v>
      </c>
      <c r="E340" s="145" t="n">
        <v>23.5</v>
      </c>
    </row>
    <row r="341" customFormat="false" ht="12" hidden="false" customHeight="true" outlineLevel="0" collapsed="false">
      <c r="B341" s="128" t="s">
        <v>1278</v>
      </c>
      <c r="C341" s="141" t="n">
        <v>61655</v>
      </c>
      <c r="D341" s="141" t="n">
        <v>83094</v>
      </c>
      <c r="E341" s="145" t="n">
        <v>34.8</v>
      </c>
    </row>
    <row r="342" customFormat="false" ht="12" hidden="false" customHeight="true" outlineLevel="0" collapsed="false">
      <c r="B342" s="128" t="s">
        <v>401</v>
      </c>
      <c r="C342" s="145" t="n">
        <v>7261</v>
      </c>
      <c r="D342" s="145" t="n">
        <v>8904</v>
      </c>
      <c r="E342" s="145" t="n">
        <v>22.6</v>
      </c>
    </row>
    <row r="343" customFormat="false" ht="12" hidden="false" customHeight="true" outlineLevel="0" collapsed="false">
      <c r="B343" s="128" t="s">
        <v>1279</v>
      </c>
      <c r="C343" s="145" t="n">
        <v>7838</v>
      </c>
      <c r="D343" s="145" t="n">
        <v>5468</v>
      </c>
      <c r="E343" s="145" t="n">
        <v>-30.2</v>
      </c>
    </row>
    <row r="344" customFormat="false" ht="12" hidden="false" customHeight="true" outlineLevel="0" collapsed="false">
      <c r="B344" s="128" t="s">
        <v>1280</v>
      </c>
    </row>
    <row r="346" customFormat="false" ht="12.75" hidden="false" customHeight="true" outlineLevel="0" collapsed="false">
      <c r="B346" s="132" t="s">
        <v>1281</v>
      </c>
    </row>
    <row r="347" customFormat="false" ht="12" hidden="false" customHeight="true" outlineLevel="0" collapsed="false">
      <c r="B347" s="128" t="s">
        <v>1282</v>
      </c>
    </row>
    <row r="348" customFormat="false" ht="12" hidden="false" customHeight="true" outlineLevel="0" collapsed="false">
      <c r="B348" s="128" t="s">
        <v>1283</v>
      </c>
    </row>
    <row r="349" customFormat="false" ht="12" hidden="false" customHeight="true" outlineLevel="0" collapsed="false">
      <c r="B349" s="128" t="s">
        <v>1284</v>
      </c>
    </row>
    <row r="350" customFormat="false" ht="12" hidden="false" customHeight="true" outlineLevel="0" collapsed="false">
      <c r="B350" s="128" t="s">
        <v>1285</v>
      </c>
    </row>
    <row r="352" customFormat="false" ht="12.75" hidden="false" customHeight="true" outlineLevel="0" collapsed="false">
      <c r="B352" s="132" t="s">
        <v>1286</v>
      </c>
      <c r="C352" s="132" t="s">
        <v>1125</v>
      </c>
      <c r="D352" s="132" t="s">
        <v>1270</v>
      </c>
    </row>
    <row r="353" customFormat="false" ht="12" hidden="false" customHeight="true" outlineLevel="0" collapsed="false">
      <c r="B353" s="128" t="s">
        <v>1287</v>
      </c>
      <c r="C353" s="145" t="n">
        <v>0</v>
      </c>
      <c r="D353" s="145" t="n">
        <v>295</v>
      </c>
    </row>
    <row r="354" customFormat="false" ht="12" hidden="false" customHeight="true" outlineLevel="0" collapsed="false">
      <c r="B354" s="128" t="s">
        <v>415</v>
      </c>
      <c r="C354" s="145" t="n">
        <v>603</v>
      </c>
      <c r="D354" s="145" t="n">
        <v>330</v>
      </c>
    </row>
    <row r="355" customFormat="false" ht="12" hidden="false" customHeight="true" outlineLevel="0" collapsed="false">
      <c r="B355" s="128" t="s">
        <v>1288</v>
      </c>
      <c r="C355" s="145" t="n">
        <v>3929</v>
      </c>
      <c r="D355" s="145" t="n">
        <v>5713</v>
      </c>
    </row>
    <row r="356" customFormat="false" ht="12" hidden="false" customHeight="true" outlineLevel="0" collapsed="false">
      <c r="B356" s="128" t="s">
        <v>1289</v>
      </c>
      <c r="C356" s="145" t="n">
        <v>1210</v>
      </c>
      <c r="D356" s="145" t="n">
        <v>1137</v>
      </c>
    </row>
    <row r="357" customFormat="false" ht="12.75" hidden="false" customHeight="true" outlineLevel="0" collapsed="false">
      <c r="B357" s="132" t="s">
        <v>1290</v>
      </c>
      <c r="C357" s="251" t="n">
        <v>5742</v>
      </c>
      <c r="D357" s="251" t="n">
        <v>7475</v>
      </c>
    </row>
    <row r="359" customFormat="false" ht="12.75" hidden="false" customHeight="true" outlineLevel="0" collapsed="false">
      <c r="B359" s="132" t="s">
        <v>1291</v>
      </c>
      <c r="C359" s="128" t="s">
        <v>1292</v>
      </c>
      <c r="D359" s="128" t="s">
        <v>1293</v>
      </c>
    </row>
    <row r="360" customFormat="false" ht="12" hidden="false" customHeight="true" outlineLevel="0" collapsed="false">
      <c r="B360" s="128" t="s">
        <v>1294</v>
      </c>
      <c r="C360" s="145" t="n">
        <v>10</v>
      </c>
      <c r="D360" s="145" t="n">
        <v>159</v>
      </c>
    </row>
    <row r="361" customFormat="false" ht="12" hidden="false" customHeight="true" outlineLevel="0" collapsed="false">
      <c r="B361" s="128" t="s">
        <v>1295</v>
      </c>
      <c r="C361" s="145" t="n">
        <v>28</v>
      </c>
      <c r="D361" s="145" t="n">
        <v>149</v>
      </c>
    </row>
    <row r="362" customFormat="false" ht="12" hidden="false" customHeight="true" outlineLevel="0" collapsed="false">
      <c r="B362" s="128" t="s">
        <v>1296</v>
      </c>
      <c r="C362" s="145" t="n">
        <v>138</v>
      </c>
      <c r="D362" s="145" t="n">
        <v>2010</v>
      </c>
    </row>
    <row r="364" customFormat="false" ht="12" hidden="false" customHeight="true" outlineLevel="0" collapsed="false">
      <c r="B364" s="128" t="s">
        <v>1297</v>
      </c>
    </row>
    <row r="366" customFormat="false" ht="12.75" hidden="false" customHeight="true" outlineLevel="0" collapsed="false">
      <c r="B366" s="132" t="s">
        <v>1298</v>
      </c>
    </row>
    <row r="367" customFormat="false" ht="12" hidden="false" customHeight="true" outlineLevel="0" collapsed="false">
      <c r="B367" s="128" t="s">
        <v>1299</v>
      </c>
    </row>
    <row r="368" customFormat="false" ht="12" hidden="false" customHeight="true" outlineLevel="0" collapsed="false">
      <c r="B368" s="128" t="s">
        <v>1300</v>
      </c>
    </row>
    <row r="369" customFormat="false" ht="12" hidden="false" customHeight="true" outlineLevel="0" collapsed="false">
      <c r="B369" s="128" t="s">
        <v>1301</v>
      </c>
    </row>
    <row r="371" customFormat="false" ht="12.75" hidden="false" customHeight="true" outlineLevel="0" collapsed="false">
      <c r="B371" s="132" t="s">
        <v>1302</v>
      </c>
    </row>
    <row r="372" customFormat="false" ht="12" hidden="false" customHeight="true" outlineLevel="0" collapsed="false">
      <c r="B372" s="128" t="s">
        <v>1303</v>
      </c>
    </row>
    <row r="373" customFormat="false" ht="12" hidden="false" customHeight="true" outlineLevel="0" collapsed="false">
      <c r="B373" s="128" t="s">
        <v>1304</v>
      </c>
    </row>
    <row r="375" customFormat="false" ht="12" hidden="false" customHeight="true" outlineLevel="0" collapsed="false">
      <c r="B375" s="128" t="s">
        <v>1305</v>
      </c>
    </row>
    <row r="376" customFormat="false" ht="12" hidden="false" customHeight="true" outlineLevel="0" collapsed="false">
      <c r="B376" s="128" t="s">
        <v>1306</v>
      </c>
    </row>
    <row r="377" customFormat="false" ht="12" hidden="false" customHeight="true" outlineLevel="0" collapsed="false">
      <c r="B377" s="128" t="s">
        <v>1307</v>
      </c>
      <c r="C377" s="128" t="s">
        <v>1308</v>
      </c>
      <c r="D377" s="128" t="s">
        <v>1309</v>
      </c>
      <c r="E377" s="128" t="s">
        <v>1310</v>
      </c>
    </row>
    <row r="378" customFormat="false" ht="12.75" hidden="false" customHeight="true" outlineLevel="0" collapsed="false">
      <c r="C378" s="146" t="n">
        <f aca="false">6582.54</f>
        <v>6582.54</v>
      </c>
      <c r="D378" s="145" t="n">
        <v>1296.06</v>
      </c>
      <c r="E378" s="132" t="n">
        <f aca="false">C378-D378</f>
        <v>5286.48</v>
      </c>
    </row>
    <row r="381" customFormat="false" ht="12.75" hidden="false" customHeight="true" outlineLevel="0" collapsed="false">
      <c r="B381" s="132" t="s">
        <v>1311</v>
      </c>
    </row>
    <row r="382" customFormat="false" ht="12.75" hidden="false" customHeight="true" outlineLevel="0" collapsed="false">
      <c r="B382" s="132" t="s">
        <v>1312</v>
      </c>
    </row>
    <row r="383" customFormat="false" ht="12" hidden="false" customHeight="true" outlineLevel="0" collapsed="false">
      <c r="B383" s="128" t="s">
        <v>1313</v>
      </c>
    </row>
    <row r="385" customFormat="false" ht="12.75" hidden="false" customHeight="true" outlineLevel="0" collapsed="false">
      <c r="B385" s="132" t="s">
        <v>1314</v>
      </c>
    </row>
    <row r="386" customFormat="false" ht="12" hidden="false" customHeight="true" outlineLevel="0" collapsed="false">
      <c r="C386" s="128" t="s">
        <v>1315</v>
      </c>
      <c r="D386" s="128" t="s">
        <v>1316</v>
      </c>
      <c r="E386" s="128" t="s">
        <v>1317</v>
      </c>
      <c r="F386" s="128" t="s">
        <v>1318</v>
      </c>
    </row>
    <row r="387" customFormat="false" ht="12" hidden="false" customHeight="true" outlineLevel="0" collapsed="false">
      <c r="B387" s="128" t="s">
        <v>1319</v>
      </c>
      <c r="C387" s="145" t="n">
        <v>25000</v>
      </c>
      <c r="D387" s="145" t="n">
        <v>25000</v>
      </c>
      <c r="F387" s="145" t="n">
        <v>5000</v>
      </c>
    </row>
    <row r="388" customFormat="false" ht="12" hidden="false" customHeight="true" outlineLevel="0" collapsed="false">
      <c r="B388" s="128" t="s">
        <v>1320</v>
      </c>
      <c r="D388" s="145" t="n">
        <v>25000</v>
      </c>
      <c r="E388" s="145" t="n">
        <v>25000</v>
      </c>
      <c r="F388" s="145" t="n">
        <v>13000</v>
      </c>
    </row>
    <row r="389" customFormat="false" ht="12.75" hidden="false" customHeight="true" outlineLevel="0" collapsed="false">
      <c r="B389" s="132" t="s">
        <v>1321</v>
      </c>
      <c r="C389" s="132" t="n">
        <f aca="false">C387+C388</f>
        <v>25000</v>
      </c>
      <c r="D389" s="132" t="n">
        <f aca="false">D387+D388</f>
        <v>50000</v>
      </c>
      <c r="E389" s="132" t="n">
        <f aca="false">E387+E388</f>
        <v>25000</v>
      </c>
    </row>
    <row r="390" customFormat="false" ht="12" hidden="false" customHeight="true" outlineLevel="0" collapsed="false">
      <c r="F390" s="128" t="s">
        <v>1322</v>
      </c>
    </row>
    <row r="391" customFormat="false" ht="12" hidden="false" customHeight="true" outlineLevel="0" collapsed="false">
      <c r="E391" s="128" t="s">
        <v>1323</v>
      </c>
      <c r="F391" s="145" t="n">
        <v>10000</v>
      </c>
    </row>
    <row r="392" customFormat="false" ht="12" hidden="false" customHeight="true" outlineLevel="0" collapsed="false">
      <c r="E392" s="128" t="s">
        <v>1324</v>
      </c>
      <c r="F392" s="145" t="n">
        <v>12000</v>
      </c>
    </row>
    <row r="393" customFormat="false" ht="12.75" hidden="false" customHeight="true" outlineLevel="0" collapsed="false">
      <c r="E393" s="128" t="s">
        <v>1325</v>
      </c>
      <c r="F393" s="147" t="n">
        <f aca="false">F392+F391+F388+F387</f>
        <v>40000</v>
      </c>
    </row>
    <row r="394" customFormat="false" ht="12" hidden="false" customHeight="true" outlineLevel="0" collapsed="false">
      <c r="C394" s="128" t="s">
        <v>1326</v>
      </c>
      <c r="D394" s="128" t="s">
        <v>1327</v>
      </c>
      <c r="E394" s="128" t="s">
        <v>1328</v>
      </c>
      <c r="F394" s="128" t="s">
        <v>1329</v>
      </c>
    </row>
    <row r="395" customFormat="false" ht="12" hidden="false" customHeight="true" outlineLevel="0" collapsed="false">
      <c r="C395" s="128" t="s">
        <v>1330</v>
      </c>
      <c r="I395" s="128" t="s">
        <v>1331</v>
      </c>
      <c r="L395" s="128" t="s">
        <v>1332</v>
      </c>
    </row>
    <row r="397" customFormat="false" ht="12" hidden="false" customHeight="true" outlineLevel="0" collapsed="false">
      <c r="B397" s="128" t="s">
        <v>1333</v>
      </c>
      <c r="C397" s="128" t="s">
        <v>1334</v>
      </c>
    </row>
    <row r="399" customFormat="false" ht="12.75" hidden="false" customHeight="true" outlineLevel="0" collapsed="false">
      <c r="B399" s="132" t="s">
        <v>1335</v>
      </c>
      <c r="C399" s="128" t="s">
        <v>1336</v>
      </c>
    </row>
    <row r="400" customFormat="false" ht="12" hidden="false" customHeight="true" outlineLevel="0" collapsed="false">
      <c r="B400" s="128" t="s">
        <v>1337</v>
      </c>
    </row>
    <row r="401" customFormat="false" ht="12" hidden="false" customHeight="true" outlineLevel="0" collapsed="false">
      <c r="B401" s="128" t="s">
        <v>1338</v>
      </c>
      <c r="K401" s="128" t="s">
        <v>1339</v>
      </c>
    </row>
    <row r="402" customFormat="false" ht="12" hidden="false" customHeight="true" outlineLevel="0" collapsed="false">
      <c r="B402" s="128" t="s">
        <v>1340</v>
      </c>
    </row>
    <row r="403" customFormat="false" ht="12" hidden="false" customHeight="true" outlineLevel="0" collapsed="false">
      <c r="B403" s="128" t="s">
        <v>1341</v>
      </c>
    </row>
    <row r="404" customFormat="false" ht="12" hidden="false" customHeight="true" outlineLevel="0" collapsed="false">
      <c r="B404" s="128" t="s">
        <v>1342</v>
      </c>
    </row>
    <row r="406" customFormat="false" ht="12.75" hidden="false" customHeight="true" outlineLevel="0" collapsed="false">
      <c r="B406" s="132" t="s">
        <v>1343</v>
      </c>
    </row>
    <row r="407" customFormat="false" ht="12" hidden="false" customHeight="true" outlineLevel="0" collapsed="false">
      <c r="B407" s="128" t="s">
        <v>1344</v>
      </c>
    </row>
    <row r="408" customFormat="false" ht="12" hidden="false" customHeight="true" outlineLevel="0" collapsed="false">
      <c r="B408" s="128" t="s">
        <v>1345</v>
      </c>
    </row>
    <row r="409" customFormat="false" ht="12" hidden="false" customHeight="true" outlineLevel="0" collapsed="false">
      <c r="B409" s="128" t="s">
        <v>1346</v>
      </c>
    </row>
    <row r="410" customFormat="false" ht="12" hidden="false" customHeight="true" outlineLevel="0" collapsed="false">
      <c r="B410" s="128" t="s">
        <v>1347</v>
      </c>
    </row>
    <row r="412" customFormat="false" ht="12" hidden="false" customHeight="true" outlineLevel="0" collapsed="false">
      <c r="B412" s="128" t="s">
        <v>1348</v>
      </c>
    </row>
    <row r="414" customFormat="false" ht="12" hidden="false" customHeight="true" outlineLevel="0" collapsed="false">
      <c r="B414" s="128" t="s">
        <v>1349</v>
      </c>
    </row>
    <row r="416" customFormat="false" ht="12" hidden="false" customHeight="true" outlineLevel="0" collapsed="false">
      <c r="B416" s="128" t="s">
        <v>1350</v>
      </c>
    </row>
    <row r="418" customFormat="false" ht="12" hidden="false" customHeight="true" outlineLevel="0" collapsed="false">
      <c r="B418" s="128" t="s">
        <v>1351</v>
      </c>
    </row>
    <row r="420" customFormat="false" ht="12" hidden="false" customHeight="true" outlineLevel="0" collapsed="false">
      <c r="B420" s="128" t="s">
        <v>1352</v>
      </c>
    </row>
    <row r="422" customFormat="false" ht="12" hidden="false" customHeight="true" outlineLevel="0" collapsed="false">
      <c r="B422" s="128" t="s">
        <v>1353</v>
      </c>
    </row>
    <row r="423" customFormat="false" ht="12" hidden="false" customHeight="true" outlineLevel="0" collapsed="false">
      <c r="B423" s="128" t="s">
        <v>1354</v>
      </c>
    </row>
    <row r="425" customFormat="false" ht="12" hidden="false" customHeight="true" outlineLevel="0" collapsed="false">
      <c r="B425" s="128" t="s">
        <v>1355</v>
      </c>
    </row>
    <row r="426" customFormat="false" ht="12" hidden="false" customHeight="true" outlineLevel="0" collapsed="false">
      <c r="B426" s="128" t="s">
        <v>1356</v>
      </c>
    </row>
    <row r="428" customFormat="false" ht="12" hidden="false" customHeight="true" outlineLevel="0" collapsed="false">
      <c r="B428" s="128" t="s">
        <v>1357</v>
      </c>
    </row>
    <row r="429" customFormat="false" ht="12" hidden="false" customHeight="true" outlineLevel="0" collapsed="false">
      <c r="B429" s="128" t="s">
        <v>1358</v>
      </c>
      <c r="C429" s="128" t="s">
        <v>1359</v>
      </c>
    </row>
    <row r="430" customFormat="false" ht="12" hidden="false" customHeight="true" outlineLevel="0" collapsed="false">
      <c r="B430" s="128" t="s">
        <v>1360</v>
      </c>
      <c r="C430" s="145" t="n">
        <v>82000</v>
      </c>
    </row>
    <row r="432" customFormat="false" ht="12" hidden="false" customHeight="true" outlineLevel="0" collapsed="false">
      <c r="B432" s="128" t="s">
        <v>1361</v>
      </c>
    </row>
    <row r="433" customFormat="false" ht="12" hidden="false" customHeight="true" outlineLevel="0" collapsed="false">
      <c r="B433" s="128" t="s">
        <v>1362</v>
      </c>
    </row>
    <row r="435" customFormat="false" ht="12" hidden="false" customHeight="true" outlineLevel="0" collapsed="false">
      <c r="B435" s="128" t="s">
        <v>1363</v>
      </c>
    </row>
    <row r="436" customFormat="false" ht="12" hidden="false" customHeight="true" outlineLevel="0" collapsed="false">
      <c r="B436" s="128" t="s">
        <v>1364</v>
      </c>
    </row>
    <row r="437" customFormat="false" ht="12" hidden="false" customHeight="true" outlineLevel="0" collapsed="false">
      <c r="B437" s="128" t="s">
        <v>1365</v>
      </c>
    </row>
    <row r="439" customFormat="false" ht="12" hidden="false" customHeight="true" outlineLevel="0" collapsed="false">
      <c r="B439" s="128" t="s">
        <v>1366</v>
      </c>
    </row>
    <row r="441" customFormat="false" ht="12" hidden="false" customHeight="true" outlineLevel="0" collapsed="false">
      <c r="B441" s="128" t="s">
        <v>1367</v>
      </c>
    </row>
    <row r="443" customFormat="false" ht="12" hidden="false" customHeight="true" outlineLevel="0" collapsed="false">
      <c r="B443" s="128" t="s">
        <v>1368</v>
      </c>
    </row>
    <row r="444" customFormat="false" ht="12" hidden="false" customHeight="true" outlineLevel="0" collapsed="false">
      <c r="B444" s="128" t="s">
        <v>1369</v>
      </c>
    </row>
    <row r="446" customFormat="false" ht="12" hidden="false" customHeight="true" outlineLevel="0" collapsed="false">
      <c r="B446" s="128" t="s">
        <v>1370</v>
      </c>
    </row>
    <row r="448" customFormat="false" ht="12" hidden="false" customHeight="true" outlineLevel="0" collapsed="false">
      <c r="B448" s="128" t="s">
        <v>1371</v>
      </c>
    </row>
    <row r="450" customFormat="false" ht="12" hidden="false" customHeight="true" outlineLevel="0" collapsed="false">
      <c r="B450" s="128" t="s">
        <v>1372</v>
      </c>
    </row>
    <row r="451" customFormat="false" ht="12" hidden="false" customHeight="true" outlineLevel="0" collapsed="false">
      <c r="B451" s="128" t="s">
        <v>1373</v>
      </c>
    </row>
    <row r="453" customFormat="false" ht="12" hidden="false" customHeight="true" outlineLevel="0" collapsed="false">
      <c r="B453" s="128" t="s">
        <v>1374</v>
      </c>
    </row>
    <row r="454" customFormat="false" ht="12" hidden="false" customHeight="true" outlineLevel="0" collapsed="false">
      <c r="B454" s="128" t="s">
        <v>1375</v>
      </c>
    </row>
    <row r="455" customFormat="false" ht="12" hidden="false" customHeight="true" outlineLevel="0" collapsed="false">
      <c r="B455" s="128" t="s">
        <v>1376</v>
      </c>
    </row>
    <row r="457" customFormat="false" ht="12.75" hidden="false" customHeight="true" outlineLevel="0" collapsed="false">
      <c r="B457" s="132" t="s">
        <v>1377</v>
      </c>
      <c r="C457" s="128" t="s">
        <v>1378</v>
      </c>
    </row>
    <row r="459" customFormat="false" ht="12.75" hidden="false" customHeight="true" outlineLevel="0" collapsed="false">
      <c r="B459" s="132" t="s">
        <v>1379</v>
      </c>
    </row>
    <row r="461" customFormat="false" ht="12" hidden="false" customHeight="true" outlineLevel="0" collapsed="false">
      <c r="B461" s="128" t="s">
        <v>1380</v>
      </c>
    </row>
    <row r="462" customFormat="false" ht="12" hidden="false" customHeight="true" outlineLevel="0" collapsed="false">
      <c r="B462" s="128" t="s">
        <v>1381</v>
      </c>
    </row>
    <row r="463" customFormat="false" ht="12.75" hidden="false" customHeight="true" outlineLevel="0" collapsed="false">
      <c r="B463" s="132" t="s">
        <v>1382</v>
      </c>
    </row>
    <row r="464" customFormat="false" ht="12" hidden="false" customHeight="true" outlineLevel="0" collapsed="false">
      <c r="B464" s="128" t="s">
        <v>1383</v>
      </c>
    </row>
    <row r="465" customFormat="false" ht="12" hidden="false" customHeight="true" outlineLevel="0" collapsed="false">
      <c r="B465" s="128" t="s">
        <v>1384</v>
      </c>
    </row>
    <row r="466" customFormat="false" ht="12" hidden="false" customHeight="true" outlineLevel="0" collapsed="false">
      <c r="B466" s="128" t="s">
        <v>1385</v>
      </c>
    </row>
    <row r="467" customFormat="false" ht="12" hidden="false" customHeight="true" outlineLevel="0" collapsed="false">
      <c r="B467" s="128" t="s">
        <v>1386</v>
      </c>
    </row>
    <row r="468" customFormat="false" ht="12" hidden="false" customHeight="true" outlineLevel="0" collapsed="false">
      <c r="B468" s="128" t="s">
        <v>1387</v>
      </c>
    </row>
    <row r="469" customFormat="false" ht="12" hidden="false" customHeight="true" outlineLevel="0" collapsed="false">
      <c r="B469" s="128" t="s">
        <v>1388</v>
      </c>
    </row>
    <row r="470" customFormat="false" ht="12" hidden="false" customHeight="true" outlineLevel="0" collapsed="false">
      <c r="B470" s="128" t="s">
        <v>1389</v>
      </c>
    </row>
    <row r="471" customFormat="false" ht="12" hidden="false" customHeight="true" outlineLevel="0" collapsed="false">
      <c r="B471" s="128" t="s">
        <v>1390</v>
      </c>
    </row>
    <row r="472" customFormat="false" ht="12" hidden="false" customHeight="true" outlineLevel="0" collapsed="false">
      <c r="B472" s="128" t="s">
        <v>1391</v>
      </c>
    </row>
    <row r="473" customFormat="false" ht="12" hidden="false" customHeight="true" outlineLevel="0" collapsed="false">
      <c r="B473" s="128" t="s">
        <v>1392</v>
      </c>
    </row>
    <row r="474" customFormat="false" ht="12" hidden="false" customHeight="true" outlineLevel="0" collapsed="false">
      <c r="B474" s="128" t="s">
        <v>1393</v>
      </c>
    </row>
    <row r="475" customFormat="false" ht="12" hidden="false" customHeight="true" outlineLevel="0" collapsed="false">
      <c r="B475" s="128" t="s">
        <v>1394</v>
      </c>
    </row>
    <row r="476" customFormat="false" ht="12" hidden="false" customHeight="true" outlineLevel="0" collapsed="false">
      <c r="B476" s="128" t="s">
        <v>1395</v>
      </c>
    </row>
    <row r="477" customFormat="false" ht="12" hidden="false" customHeight="true" outlineLevel="0" collapsed="false">
      <c r="B477" s="128" t="s">
        <v>1396</v>
      </c>
    </row>
    <row r="478" customFormat="false" ht="12" hidden="false" customHeight="true" outlineLevel="0" collapsed="false">
      <c r="B478" s="128" t="s">
        <v>1397</v>
      </c>
    </row>
    <row r="481" customFormat="false" ht="12.75" hidden="false" customHeight="true" outlineLevel="0" collapsed="false">
      <c r="B481" s="132" t="s">
        <v>1398</v>
      </c>
    </row>
    <row r="482" customFormat="false" ht="12" hidden="false" customHeight="true" outlineLevel="0" collapsed="false">
      <c r="B482" s="128" t="s">
        <v>1399</v>
      </c>
    </row>
    <row r="483" customFormat="false" ht="12" hidden="false" customHeight="true" outlineLevel="0" collapsed="false">
      <c r="B483" s="128" t="s">
        <v>1400</v>
      </c>
    </row>
    <row r="484" customFormat="false" ht="12" hidden="false" customHeight="true" outlineLevel="0" collapsed="false">
      <c r="B484" s="128" t="s">
        <v>1401</v>
      </c>
    </row>
    <row r="485" customFormat="false" ht="12" hidden="false" customHeight="true" outlineLevel="0" collapsed="false">
      <c r="B485" s="128" t="s">
        <v>1402</v>
      </c>
    </row>
    <row r="487" customFormat="false" ht="12" hidden="false" customHeight="true" outlineLevel="0" collapsed="false">
      <c r="B487" s="128" t="s">
        <v>1403</v>
      </c>
    </row>
    <row r="488" customFormat="false" ht="12" hidden="false" customHeight="true" outlineLevel="0" collapsed="false">
      <c r="B488" s="128" t="s">
        <v>1404</v>
      </c>
    </row>
    <row r="489" customFormat="false" ht="12" hidden="false" customHeight="true" outlineLevel="0" collapsed="false">
      <c r="B489" s="128" t="s">
        <v>1405</v>
      </c>
    </row>
    <row r="490" customFormat="false" ht="12" hidden="false" customHeight="true" outlineLevel="0" collapsed="false">
      <c r="B490" s="128" t="s">
        <v>1406</v>
      </c>
    </row>
    <row r="491" customFormat="false" ht="12" hidden="false" customHeight="true" outlineLevel="0" collapsed="false">
      <c r="B491" s="128" t="s">
        <v>1407</v>
      </c>
    </row>
    <row r="492" customFormat="false" ht="12" hidden="false" customHeight="true" outlineLevel="0" collapsed="false">
      <c r="B492" s="128" t="s">
        <v>1408</v>
      </c>
    </row>
    <row r="494" customFormat="false" ht="12" hidden="false" customHeight="true" outlineLevel="0" collapsed="false">
      <c r="B494" s="128" t="s">
        <v>1409</v>
      </c>
    </row>
    <row r="495" customFormat="false" ht="12" hidden="false" customHeight="true" outlineLevel="0" collapsed="false">
      <c r="B495" s="128" t="s">
        <v>1410</v>
      </c>
    </row>
    <row r="496" customFormat="false" ht="12" hidden="false" customHeight="true" outlineLevel="0" collapsed="false">
      <c r="B496" s="128" t="s">
        <v>1411</v>
      </c>
    </row>
    <row r="497" customFormat="false" ht="12" hidden="false" customHeight="true" outlineLevel="0" collapsed="false">
      <c r="B497" s="128" t="s">
        <v>1412</v>
      </c>
    </row>
    <row r="498" customFormat="false" ht="12" hidden="false" customHeight="true" outlineLevel="0" collapsed="false">
      <c r="B498" s="128" t="s">
        <v>1413</v>
      </c>
    </row>
    <row r="500" customFormat="false" ht="12" hidden="false" customHeight="true" outlineLevel="0" collapsed="false">
      <c r="B500" s="128" t="s">
        <v>1414</v>
      </c>
    </row>
    <row r="501" customFormat="false" ht="12" hidden="false" customHeight="true" outlineLevel="0" collapsed="false">
      <c r="B501" s="128" t="s">
        <v>1415</v>
      </c>
    </row>
    <row r="502" customFormat="false" ht="12" hidden="false" customHeight="true" outlineLevel="0" collapsed="false">
      <c r="B502" s="128" t="s">
        <v>1416</v>
      </c>
    </row>
    <row r="503" customFormat="false" ht="12" hidden="false" customHeight="true" outlineLevel="0" collapsed="false">
      <c r="B503" s="128" t="s">
        <v>1417</v>
      </c>
    </row>
    <row r="504" customFormat="false" ht="12" hidden="false" customHeight="true" outlineLevel="0" collapsed="false">
      <c r="B504" s="128" t="s">
        <v>1418</v>
      </c>
    </row>
    <row r="505" customFormat="false" ht="12" hidden="false" customHeight="true" outlineLevel="0" collapsed="false">
      <c r="B505" s="128" t="s">
        <v>1419</v>
      </c>
    </row>
    <row r="506" customFormat="false" ht="12" hidden="false" customHeight="true" outlineLevel="0" collapsed="false">
      <c r="B506" s="128" t="s">
        <v>1420</v>
      </c>
    </row>
    <row r="507" customFormat="false" ht="12" hidden="false" customHeight="true" outlineLevel="0" collapsed="false">
      <c r="B507" s="128" t="s">
        <v>1421</v>
      </c>
    </row>
    <row r="508" customFormat="false" ht="12" hidden="false" customHeight="true" outlineLevel="0" collapsed="false">
      <c r="B508" s="128" t="s">
        <v>1422</v>
      </c>
    </row>
    <row r="509" customFormat="false" ht="12" hidden="false" customHeight="true" outlineLevel="0" collapsed="false">
      <c r="B509" s="128" t="s">
        <v>1423</v>
      </c>
    </row>
    <row r="510" customFormat="false" ht="12" hidden="false" customHeight="true" outlineLevel="0" collapsed="false">
      <c r="B510" s="128" t="s">
        <v>1424</v>
      </c>
    </row>
    <row r="511" customFormat="false" ht="12" hidden="false" customHeight="true" outlineLevel="0" collapsed="false">
      <c r="B511" s="128" t="s">
        <v>1425</v>
      </c>
    </row>
    <row r="512" customFormat="false" ht="12" hidden="false" customHeight="true" outlineLevel="0" collapsed="false">
      <c r="B512" s="128" t="s">
        <v>1426</v>
      </c>
    </row>
    <row r="514" customFormat="false" ht="12" hidden="false" customHeight="true" outlineLevel="0" collapsed="false">
      <c r="B514" s="128" t="s">
        <v>1427</v>
      </c>
    </row>
    <row r="515" customFormat="false" ht="12" hidden="false" customHeight="true" outlineLevel="0" collapsed="false">
      <c r="B515" s="128" t="s">
        <v>1428</v>
      </c>
    </row>
    <row r="516" customFormat="false" ht="12" hidden="false" customHeight="true" outlineLevel="0" collapsed="false">
      <c r="B516" s="128" t="s">
        <v>1429</v>
      </c>
    </row>
    <row r="517" customFormat="false" ht="12" hidden="false" customHeight="true" outlineLevel="0" collapsed="false">
      <c r="B517" s="128" t="s">
        <v>1430</v>
      </c>
    </row>
    <row r="518" customFormat="false" ht="12" hidden="false" customHeight="true" outlineLevel="0" collapsed="false">
      <c r="B518" s="128" t="s">
        <v>1431</v>
      </c>
    </row>
    <row r="519" customFormat="false" ht="12" hidden="false" customHeight="true" outlineLevel="0" collapsed="false">
      <c r="B519" s="128" t="s">
        <v>1432</v>
      </c>
    </row>
    <row r="520" customFormat="false" ht="12" hidden="false" customHeight="true" outlineLevel="0" collapsed="false">
      <c r="B520" s="128" t="s">
        <v>1433</v>
      </c>
    </row>
    <row r="521" customFormat="false" ht="12" hidden="false" customHeight="true" outlineLevel="0" collapsed="false">
      <c r="B521" s="128" t="s">
        <v>1434</v>
      </c>
    </row>
    <row r="522" customFormat="false" ht="12" hidden="false" customHeight="true" outlineLevel="0" collapsed="false">
      <c r="B522" s="128" t="s">
        <v>1435</v>
      </c>
    </row>
    <row r="524" customFormat="false" ht="12" hidden="false" customHeight="true" outlineLevel="0" collapsed="false">
      <c r="B524" s="128" t="s">
        <v>1436</v>
      </c>
    </row>
    <row r="525" customFormat="false" ht="12" hidden="false" customHeight="true" outlineLevel="0" collapsed="false">
      <c r="B525" s="128" t="s">
        <v>1437</v>
      </c>
    </row>
    <row r="527" s="339" customFormat="true" ht="12.75" hidden="false" customHeight="true" outlineLevel="0" collapsed="false">
      <c r="B527" s="340" t="s">
        <v>1438</v>
      </c>
    </row>
    <row r="529" customFormat="false" ht="12.75" hidden="false" customHeight="true" outlineLevel="0" collapsed="false">
      <c r="F529" s="132" t="s">
        <v>1439</v>
      </c>
    </row>
    <row r="530" customFormat="false" ht="12" hidden="false" customHeight="true" outlineLevel="0" collapsed="false">
      <c r="F530" s="128" t="s">
        <v>1440</v>
      </c>
    </row>
    <row r="532" customFormat="false" ht="12" hidden="false" customHeight="true" outlineLevel="0" collapsed="false">
      <c r="F532" s="128" t="s">
        <v>1441</v>
      </c>
    </row>
    <row r="534" customFormat="false" ht="12" hidden="false" customHeight="true" outlineLevel="0" collapsed="false">
      <c r="F534" s="128" t="s">
        <v>1442</v>
      </c>
    </row>
    <row r="536" customFormat="false" ht="12" hidden="false" customHeight="true" outlineLevel="0" collapsed="false">
      <c r="F536" s="128" t="s">
        <v>1443</v>
      </c>
    </row>
    <row r="538" customFormat="false" ht="12" hidden="false" customHeight="true" outlineLevel="0" collapsed="false">
      <c r="F538" s="128" t="s">
        <v>1444</v>
      </c>
    </row>
    <row r="540" customFormat="false" ht="12" hidden="false" customHeight="true" outlineLevel="0" collapsed="false">
      <c r="F540" s="128" t="s">
        <v>1445</v>
      </c>
    </row>
    <row r="542" customFormat="false" ht="12" hidden="false" customHeight="true" outlineLevel="0" collapsed="false">
      <c r="F542" s="128" t="s">
        <v>1446</v>
      </c>
    </row>
    <row r="543" customFormat="false" ht="12" hidden="false" customHeight="true" outlineLevel="0" collapsed="false">
      <c r="F543" s="128" t="s">
        <v>1447</v>
      </c>
      <c r="G543" s="165" t="n">
        <v>1313.25</v>
      </c>
    </row>
    <row r="544" customFormat="false" ht="12" hidden="false" customHeight="true" outlineLevel="0" collapsed="false">
      <c r="F544" s="128" t="s">
        <v>1448</v>
      </c>
      <c r="G544" s="165" t="n">
        <v>1812.96</v>
      </c>
    </row>
    <row r="545" customFormat="false" ht="12.75" hidden="false" customHeight="true" outlineLevel="0" collapsed="false">
      <c r="F545" s="128" t="s">
        <v>1449</v>
      </c>
      <c r="G545" s="191" t="n">
        <f aca="false">G544+G543</f>
        <v>3126.21</v>
      </c>
    </row>
    <row r="546" customFormat="false" ht="12" hidden="false" customHeight="true" outlineLevel="0" collapsed="false">
      <c r="F546" s="128" t="s">
        <v>468</v>
      </c>
      <c r="G546" s="341" t="n">
        <v>0.0259</v>
      </c>
    </row>
    <row r="548" customFormat="false" ht="12" hidden="false" customHeight="true" outlineLevel="0" collapsed="false">
      <c r="F548" s="128" t="s">
        <v>1450</v>
      </c>
    </row>
    <row r="550" customFormat="false" ht="12" hidden="false" customHeight="true" outlineLevel="0" collapsed="false">
      <c r="F550" s="128" t="s">
        <v>1451</v>
      </c>
    </row>
    <row r="552" customFormat="false" ht="12" hidden="false" customHeight="true" outlineLevel="0" collapsed="false">
      <c r="F552" s="128" t="s">
        <v>1452</v>
      </c>
    </row>
    <row r="554" customFormat="false" ht="12" hidden="false" customHeight="true" outlineLevel="0" collapsed="false">
      <c r="F554" s="128" t="s">
        <v>1453</v>
      </c>
    </row>
    <row r="555" customFormat="false" ht="12" hidden="false" customHeight="true" outlineLevel="0" collapsed="false">
      <c r="F555" s="128" t="s">
        <v>1454</v>
      </c>
    </row>
    <row r="557" customFormat="false" ht="12" hidden="false" customHeight="true" outlineLevel="0" collapsed="false">
      <c r="F557" s="128" t="s">
        <v>1455</v>
      </c>
    </row>
    <row r="559" customFormat="false" ht="12" hidden="false" customHeight="true" outlineLevel="0" collapsed="false">
      <c r="F559" s="128" t="s">
        <v>1456</v>
      </c>
    </row>
    <row r="560" customFormat="false" ht="12" hidden="false" customHeight="true" outlineLevel="0" collapsed="false">
      <c r="F560" s="128" t="s">
        <v>1457</v>
      </c>
    </row>
    <row r="561" customFormat="false" ht="12" hidden="false" customHeight="true" outlineLevel="0" collapsed="false">
      <c r="F561" s="128" t="s">
        <v>1458</v>
      </c>
    </row>
    <row r="562" customFormat="false" ht="12" hidden="false" customHeight="true" outlineLevel="0" collapsed="false">
      <c r="F562" s="128" t="s">
        <v>1459</v>
      </c>
    </row>
    <row r="563" customFormat="false" ht="12" hidden="false" customHeight="true" outlineLevel="0" collapsed="false">
      <c r="F563" s="128" t="s">
        <v>1460</v>
      </c>
    </row>
    <row r="564" customFormat="false" ht="12" hidden="false" customHeight="true" outlineLevel="0" collapsed="false">
      <c r="F564" s="128" t="s">
        <v>1461</v>
      </c>
    </row>
    <row r="565" customFormat="false" ht="12" hidden="false" customHeight="true" outlineLevel="0" collapsed="false">
      <c r="F565" s="128" t="s">
        <v>1462</v>
      </c>
    </row>
    <row r="567" customFormat="false" ht="12" hidden="false" customHeight="true" outlineLevel="0" collapsed="false">
      <c r="F567" s="128" t="s">
        <v>1463</v>
      </c>
    </row>
    <row r="568" customFormat="false" ht="12" hidden="false" customHeight="true" outlineLevel="0" collapsed="false">
      <c r="F568" s="128" t="s">
        <v>1464</v>
      </c>
    </row>
    <row r="586" s="339" customFormat="true" ht="12.75" hidden="false" customHeight="true" outlineLevel="0" collapsed="false">
      <c r="B586" s="340" t="s">
        <v>1465</v>
      </c>
    </row>
    <row r="587" customFormat="false" ht="12.75" hidden="false" customHeight="true" outlineLevel="0" collapsed="false">
      <c r="F587" s="132" t="s">
        <v>1466</v>
      </c>
      <c r="G587" s="19"/>
      <c r="H587" s="19"/>
      <c r="I587" s="19"/>
      <c r="J587" s="19"/>
      <c r="K587" s="19"/>
      <c r="L587" s="19"/>
      <c r="M587" s="19"/>
      <c r="N587" s="19"/>
      <c r="O587" s="19"/>
    </row>
    <row r="588" customFormat="false" ht="12.75" hidden="false" customHeight="true" outlineLevel="0" collapsed="false">
      <c r="B588" s="128" t="s">
        <v>1467</v>
      </c>
      <c r="F588" s="132" t="s">
        <v>1468</v>
      </c>
      <c r="G588" s="132" t="s">
        <v>1123</v>
      </c>
      <c r="H588" s="132" t="s">
        <v>1124</v>
      </c>
      <c r="I588" s="132" t="s">
        <v>1125</v>
      </c>
      <c r="J588" s="132" t="s">
        <v>1270</v>
      </c>
      <c r="K588" s="132" t="s">
        <v>1469</v>
      </c>
      <c r="L588" s="132" t="s">
        <v>1470</v>
      </c>
      <c r="M588" s="132" t="s">
        <v>1471</v>
      </c>
      <c r="N588" s="132" t="s">
        <v>1472</v>
      </c>
      <c r="O588" s="132" t="s">
        <v>1473</v>
      </c>
    </row>
    <row r="589" customFormat="false" ht="12" hidden="false" customHeight="true" outlineLevel="0" collapsed="false">
      <c r="B589" s="128" t="s">
        <v>1474</v>
      </c>
      <c r="F589" s="342" t="n">
        <v>11860</v>
      </c>
      <c r="G589" s="342" t="n">
        <v>12007</v>
      </c>
      <c r="H589" s="342" t="n">
        <v>12178</v>
      </c>
      <c r="I589" s="342" t="n">
        <v>11845</v>
      </c>
      <c r="J589" s="342" t="n">
        <v>12125</v>
      </c>
      <c r="K589" s="342" t="n">
        <v>13304</v>
      </c>
      <c r="L589" s="342" t="n">
        <v>11938</v>
      </c>
      <c r="M589" s="342" t="n">
        <v>13662</v>
      </c>
      <c r="N589" s="342" t="n">
        <v>15812</v>
      </c>
      <c r="O589" s="342" t="n">
        <v>15734</v>
      </c>
    </row>
    <row r="590" customFormat="false" ht="12" hidden="false" customHeight="true" outlineLevel="0" collapsed="false">
      <c r="B590" s="128" t="s">
        <v>1475</v>
      </c>
      <c r="F590" s="343"/>
    </row>
    <row r="591" customFormat="false" ht="12" hidden="false" customHeight="true" outlineLevel="0" collapsed="false">
      <c r="B591" s="128" t="s">
        <v>1476</v>
      </c>
      <c r="F591" s="344" t="s">
        <v>1477</v>
      </c>
    </row>
    <row r="592" customFormat="false" ht="12" hidden="false" customHeight="true" outlineLevel="0" collapsed="false">
      <c r="F592" s="344" t="s">
        <v>1478</v>
      </c>
    </row>
    <row r="593" customFormat="false" ht="12" hidden="false" customHeight="true" outlineLevel="0" collapsed="false">
      <c r="B593" s="128" t="s">
        <v>1479</v>
      </c>
      <c r="F593" s="343"/>
    </row>
    <row r="594" customFormat="false" ht="12" hidden="false" customHeight="true" outlineLevel="0" collapsed="false">
      <c r="B594" s="128" t="s">
        <v>1480</v>
      </c>
      <c r="F594" s="343"/>
    </row>
    <row r="595" customFormat="false" ht="12" hidden="false" customHeight="true" outlineLevel="0" collapsed="false">
      <c r="B595" s="128" t="s">
        <v>1481</v>
      </c>
      <c r="F595" s="343"/>
    </row>
    <row r="596" customFormat="false" ht="12" hidden="false" customHeight="true" outlineLevel="0" collapsed="false">
      <c r="B596" s="128" t="s">
        <v>1482</v>
      </c>
      <c r="F596" s="343"/>
    </row>
    <row r="597" customFormat="false" ht="12" hidden="false" customHeight="true" outlineLevel="0" collapsed="false">
      <c r="B597" s="128" t="s">
        <v>1483</v>
      </c>
      <c r="F597" s="343"/>
    </row>
    <row r="598" customFormat="false" ht="12" hidden="false" customHeight="true" outlineLevel="0" collapsed="false">
      <c r="F598" s="343"/>
    </row>
    <row r="599" customFormat="false" ht="12" hidden="false" customHeight="true" outlineLevel="0" collapsed="false">
      <c r="F599" s="343"/>
    </row>
    <row r="600" customFormat="false" ht="12" hidden="false" customHeight="true" outlineLevel="0" collapsed="false">
      <c r="B600" s="128" t="s">
        <v>1484</v>
      </c>
    </row>
    <row r="601" customFormat="false" ht="12" hidden="false" customHeight="true" outlineLevel="0" collapsed="false">
      <c r="B601" s="128" t="s">
        <v>1485</v>
      </c>
    </row>
    <row r="602" customFormat="false" ht="12" hidden="false" customHeight="true" outlineLevel="0" collapsed="false">
      <c r="B602" s="128" t="s">
        <v>1486</v>
      </c>
    </row>
    <row r="603" customFormat="false" ht="12" hidden="false" customHeight="true" outlineLevel="0" collapsed="false">
      <c r="B603" s="128" t="s">
        <v>1487</v>
      </c>
    </row>
    <row r="604" customFormat="false" ht="12.75" hidden="false" customHeight="true" outlineLevel="0" collapsed="false">
      <c r="B604" s="19"/>
      <c r="C604" s="19"/>
      <c r="D604" s="19"/>
      <c r="E604" s="19"/>
      <c r="F604" s="19"/>
      <c r="G604" s="19"/>
      <c r="H604" s="19"/>
      <c r="I604" s="19"/>
      <c r="J604" s="19"/>
      <c r="K604" s="19"/>
      <c r="L604" s="19"/>
    </row>
    <row r="605" customFormat="false" ht="12.75" hidden="false" customHeight="true" outlineLevel="0" collapsed="false">
      <c r="A605" s="132" t="s">
        <v>1488</v>
      </c>
      <c r="B605" s="132" t="s">
        <v>1489</v>
      </c>
      <c r="C605" s="19"/>
      <c r="D605" s="19"/>
      <c r="E605" s="19"/>
      <c r="F605" s="132" t="s">
        <v>1490</v>
      </c>
      <c r="G605" s="19"/>
      <c r="H605" s="19"/>
      <c r="I605" s="19"/>
      <c r="J605" s="132" t="s">
        <v>1491</v>
      </c>
      <c r="K605" s="19"/>
      <c r="L605" s="19"/>
    </row>
    <row r="606" customFormat="false" ht="12" hidden="false" customHeight="true" outlineLevel="0" collapsed="false">
      <c r="B606" s="128" t="s">
        <v>1492</v>
      </c>
      <c r="F606" s="128" t="s">
        <v>1493</v>
      </c>
      <c r="J606" s="128" t="s">
        <v>1494</v>
      </c>
    </row>
    <row r="607" customFormat="false" ht="12" hidden="false" customHeight="true" outlineLevel="0" collapsed="false">
      <c r="B607" s="128" t="s">
        <v>1495</v>
      </c>
      <c r="F607" s="128" t="s">
        <v>1496</v>
      </c>
      <c r="J607" s="128" t="s">
        <v>1497</v>
      </c>
    </row>
    <row r="608" customFormat="false" ht="12" hidden="false" customHeight="true" outlineLevel="0" collapsed="false">
      <c r="B608" s="128" t="s">
        <v>1498</v>
      </c>
      <c r="F608" s="128" t="s">
        <v>1499</v>
      </c>
      <c r="J608" s="128" t="s">
        <v>1500</v>
      </c>
    </row>
    <row r="609" customFormat="false" ht="12" hidden="false" customHeight="true" outlineLevel="0" collapsed="false">
      <c r="B609" s="128" t="s">
        <v>1501</v>
      </c>
      <c r="F609" s="128" t="s">
        <v>1502</v>
      </c>
      <c r="J609" s="128" t="s">
        <v>1503</v>
      </c>
    </row>
    <row r="610" customFormat="false" ht="12" hidden="false" customHeight="true" outlineLevel="0" collapsed="false">
      <c r="B610" s="128" t="s">
        <v>1504</v>
      </c>
      <c r="F610" s="128" t="s">
        <v>1505</v>
      </c>
      <c r="J610" s="128" t="s">
        <v>1506</v>
      </c>
    </row>
    <row r="611" customFormat="false" ht="12" hidden="false" customHeight="true" outlineLevel="0" collapsed="false">
      <c r="B611" s="128" t="s">
        <v>1507</v>
      </c>
      <c r="F611" s="128" t="s">
        <v>1508</v>
      </c>
      <c r="J611" s="128" t="s">
        <v>1509</v>
      </c>
    </row>
    <row r="612" customFormat="false" ht="12" hidden="false" customHeight="true" outlineLevel="0" collapsed="false">
      <c r="B612" s="128" t="s">
        <v>1510</v>
      </c>
      <c r="J612" s="128" t="s">
        <v>1511</v>
      </c>
    </row>
    <row r="613" customFormat="false" ht="12" hidden="false" customHeight="true" outlineLevel="0" collapsed="false">
      <c r="J613" s="128" t="s">
        <v>1512</v>
      </c>
    </row>
    <row r="614" customFormat="false" ht="12" hidden="false" customHeight="true" outlineLevel="0" collapsed="false">
      <c r="J614" s="128" t="s">
        <v>1513</v>
      </c>
    </row>
    <row r="615" customFormat="false" ht="12" hidden="false" customHeight="true" outlineLevel="0" collapsed="false">
      <c r="J615" s="128" t="s">
        <v>1514</v>
      </c>
    </row>
    <row r="616" customFormat="false" ht="12" hidden="false" customHeight="true" outlineLevel="0" collapsed="false">
      <c r="J616" s="128" t="s">
        <v>1515</v>
      </c>
    </row>
    <row r="620" customFormat="false" ht="12.75" hidden="false" customHeight="true" outlineLevel="0" collapsed="false">
      <c r="B620" s="132" t="s">
        <v>1516</v>
      </c>
    </row>
    <row r="622" customFormat="false" ht="12" hidden="false" customHeight="true" outlineLevel="0" collapsed="false">
      <c r="B622" s="128" t="s">
        <v>1517</v>
      </c>
    </row>
    <row r="623" customFormat="false" ht="12" hidden="false" customHeight="true" outlineLevel="0" collapsed="false">
      <c r="B623" s="128" t="s">
        <v>1518</v>
      </c>
    </row>
    <row r="624" customFormat="false" ht="12" hidden="false" customHeight="true" outlineLevel="0" collapsed="false">
      <c r="B624" s="128" t="s">
        <v>1519</v>
      </c>
    </row>
    <row r="626" customFormat="false" ht="12" hidden="false" customHeight="true" outlineLevel="0" collapsed="false">
      <c r="B626" s="128" t="s">
        <v>1520</v>
      </c>
    </row>
    <row r="627" customFormat="false" ht="12" hidden="false" customHeight="true" outlineLevel="0" collapsed="false">
      <c r="B627" s="128" t="s">
        <v>1521</v>
      </c>
    </row>
    <row r="628" customFormat="false" ht="12" hidden="false" customHeight="true" outlineLevel="0" collapsed="false">
      <c r="B628" s="128" t="s">
        <v>1522</v>
      </c>
    </row>
    <row r="629" customFormat="false" ht="12" hidden="false" customHeight="true" outlineLevel="0" collapsed="false">
      <c r="B629" s="128" t="s">
        <v>1523</v>
      </c>
    </row>
    <row r="631" customFormat="false" ht="12" hidden="false" customHeight="true" outlineLevel="0" collapsed="false">
      <c r="B631" s="128" t="s">
        <v>1524</v>
      </c>
    </row>
    <row r="632" customFormat="false" ht="12" hidden="false" customHeight="true" outlineLevel="0" collapsed="false">
      <c r="B632" s="128" t="s">
        <v>1525</v>
      </c>
    </row>
    <row r="633" customFormat="false" ht="12" hidden="false" customHeight="true" outlineLevel="0" collapsed="false">
      <c r="B633" s="128" t="s">
        <v>1526</v>
      </c>
    </row>
    <row r="634" customFormat="false" ht="12" hidden="false" customHeight="true" outlineLevel="0" collapsed="false">
      <c r="B634" s="128" t="s">
        <v>1527</v>
      </c>
    </row>
    <row r="635" customFormat="false" ht="12" hidden="false" customHeight="true" outlineLevel="0" collapsed="false">
      <c r="B635" s="128" t="s">
        <v>1528</v>
      </c>
    </row>
    <row r="636" customFormat="false" ht="12" hidden="false" customHeight="true" outlineLevel="0" collapsed="false">
      <c r="B636" s="128" t="s">
        <v>1529</v>
      </c>
    </row>
    <row r="637" customFormat="false" ht="12" hidden="false" customHeight="true" outlineLevel="0" collapsed="false">
      <c r="B637" s="128" t="s">
        <v>1530</v>
      </c>
    </row>
    <row r="638" customFormat="false" ht="12" hidden="false" customHeight="true" outlineLevel="0" collapsed="false">
      <c r="B638" s="128" t="s">
        <v>1531</v>
      </c>
    </row>
    <row r="640" customFormat="false" ht="12" hidden="false" customHeight="true" outlineLevel="0" collapsed="false">
      <c r="B640" s="128" t="s">
        <v>1532</v>
      </c>
    </row>
    <row r="641" customFormat="false" ht="12" hidden="false" customHeight="true" outlineLevel="0" collapsed="false">
      <c r="B641" s="128" t="s">
        <v>1533</v>
      </c>
    </row>
    <row r="642" customFormat="false" ht="12" hidden="false" customHeight="true" outlineLevel="0" collapsed="false">
      <c r="B642" s="128" t="s">
        <v>1534</v>
      </c>
    </row>
    <row r="644" customFormat="false" ht="12" hidden="false" customHeight="true" outlineLevel="0" collapsed="false">
      <c r="B644" s="128" t="s">
        <v>1535</v>
      </c>
    </row>
    <row r="645" customFormat="false" ht="23.25" hidden="false" customHeight="true" outlineLevel="0" collapsed="false">
      <c r="B645" s="345" t="s">
        <v>1536</v>
      </c>
    </row>
    <row r="646" customFormat="false" ht="12" hidden="false" customHeight="true" outlineLevel="0" collapsed="false">
      <c r="B646" s="128" t="s">
        <v>1537</v>
      </c>
    </row>
    <row r="647" customFormat="false" ht="12" hidden="false" customHeight="true" outlineLevel="0" collapsed="false">
      <c r="B647" s="128" t="s">
        <v>1538</v>
      </c>
    </row>
    <row r="649" customFormat="false" ht="12" hidden="false" customHeight="true" outlineLevel="0" collapsed="false">
      <c r="B649" s="128" t="s">
        <v>1539</v>
      </c>
    </row>
    <row r="650" customFormat="false" ht="12" hidden="false" customHeight="true" outlineLevel="0" collapsed="false">
      <c r="B650" s="128" t="s">
        <v>1540</v>
      </c>
    </row>
    <row r="651" customFormat="false" ht="12" hidden="false" customHeight="true" outlineLevel="0" collapsed="false">
      <c r="B651" s="128" t="s">
        <v>1541</v>
      </c>
    </row>
    <row r="652" customFormat="false" ht="12" hidden="false" customHeight="true" outlineLevel="0" collapsed="false">
      <c r="B652" s="128" t="s">
        <v>1542</v>
      </c>
    </row>
    <row r="653" customFormat="false" ht="12" hidden="false" customHeight="true" outlineLevel="0" collapsed="false">
      <c r="B653" s="128" t="s">
        <v>1543</v>
      </c>
    </row>
    <row r="655" customFormat="false" ht="12" hidden="false" customHeight="true" outlineLevel="0" collapsed="false">
      <c r="B655" s="128" t="s">
        <v>1544</v>
      </c>
    </row>
    <row r="656" customFormat="false" ht="12" hidden="false" customHeight="true" outlineLevel="0" collapsed="false">
      <c r="B656" s="128" t="s">
        <v>1545</v>
      </c>
    </row>
    <row r="658" customFormat="false" ht="12.75" hidden="false" customHeight="true" outlineLevel="0" collapsed="false">
      <c r="A658" s="132" t="s">
        <v>1546</v>
      </c>
      <c r="B658" s="128" t="s">
        <v>1547</v>
      </c>
      <c r="F658" s="128" t="s">
        <v>1548</v>
      </c>
    </row>
    <row r="659" customFormat="false" ht="12" hidden="false" customHeight="true" outlineLevel="0" collapsed="false">
      <c r="B659" s="128" t="s">
        <v>1549</v>
      </c>
      <c r="F659" s="128" t="s">
        <v>1550</v>
      </c>
    </row>
    <row r="660" customFormat="false" ht="12" hidden="false" customHeight="true" outlineLevel="0" collapsed="false">
      <c r="B660" s="128" t="s">
        <v>1551</v>
      </c>
      <c r="F660" s="128" t="s">
        <v>1552</v>
      </c>
    </row>
    <row r="661" customFormat="false" ht="12" hidden="false" customHeight="true" outlineLevel="0" collapsed="false">
      <c r="B661" s="128" t="s">
        <v>1553</v>
      </c>
      <c r="F661" s="128" t="s">
        <v>1554</v>
      </c>
    </row>
    <row r="662" customFormat="false" ht="12" hidden="false" customHeight="true" outlineLevel="0" collapsed="false">
      <c r="B662" s="128" t="s">
        <v>1555</v>
      </c>
      <c r="F662" s="128" t="s">
        <v>1556</v>
      </c>
    </row>
    <row r="665" customFormat="false" ht="12" hidden="false" customHeight="true" outlineLevel="0" collapsed="false">
      <c r="B665" s="128" t="s">
        <v>1557</v>
      </c>
    </row>
    <row r="666" customFormat="false" ht="12" hidden="false" customHeight="true" outlineLevel="0" collapsed="false">
      <c r="B666" s="128" t="s">
        <v>1558</v>
      </c>
    </row>
    <row r="667" customFormat="false" ht="12" hidden="false" customHeight="true" outlineLevel="0" collapsed="false">
      <c r="B667" s="128" t="s">
        <v>1559</v>
      </c>
    </row>
    <row r="668" customFormat="false" ht="12" hidden="false" customHeight="true" outlineLevel="0" collapsed="false">
      <c r="B668" s="128" t="s">
        <v>1560</v>
      </c>
    </row>
    <row r="669" customFormat="false" ht="12" hidden="false" customHeight="true" outlineLevel="0" collapsed="false">
      <c r="B669" s="128" t="s">
        <v>1561</v>
      </c>
    </row>
    <row r="670" customFormat="false" ht="12" hidden="false" customHeight="true" outlineLevel="0" collapsed="false">
      <c r="B670" s="128" t="s">
        <v>1562</v>
      </c>
    </row>
    <row r="671" customFormat="false" ht="12" hidden="false" customHeight="true" outlineLevel="0" collapsed="false">
      <c r="B671" s="128" t="s">
        <v>1563</v>
      </c>
    </row>
    <row r="672" customFormat="false" ht="12" hidden="false" customHeight="true" outlineLevel="0" collapsed="false">
      <c r="B672" s="128" t="s">
        <v>1564</v>
      </c>
    </row>
    <row r="674" customFormat="false" ht="12" hidden="false" customHeight="true" outlineLevel="0" collapsed="false">
      <c r="B674" s="128" t="s">
        <v>1565</v>
      </c>
    </row>
    <row r="675" customFormat="false" ht="12" hidden="false" customHeight="true" outlineLevel="0" collapsed="false">
      <c r="B675" s="128" t="s">
        <v>1566</v>
      </c>
    </row>
    <row r="676" customFormat="false" ht="12" hidden="false" customHeight="true" outlineLevel="0" collapsed="false">
      <c r="B676" s="128" t="s">
        <v>1567</v>
      </c>
    </row>
    <row r="677" customFormat="false" ht="12" hidden="false" customHeight="true" outlineLevel="0" collapsed="false">
      <c r="B677" s="128" t="s">
        <v>1568</v>
      </c>
    </row>
    <row r="678" customFormat="false" ht="12" hidden="false" customHeight="true" outlineLevel="0" collapsed="false">
      <c r="B678" s="128" t="s">
        <v>1569</v>
      </c>
    </row>
    <row r="679" customFormat="false" ht="12" hidden="false" customHeight="true" outlineLevel="0" collapsed="false">
      <c r="B679" s="128" t="s">
        <v>1570</v>
      </c>
    </row>
    <row r="681" customFormat="false" ht="12.75" hidden="false" customHeight="true" outlineLevel="0" collapsed="false">
      <c r="A681" s="128" t="s">
        <v>1571</v>
      </c>
      <c r="B681" s="132" t="s">
        <v>1572</v>
      </c>
      <c r="D681" s="128" t="s">
        <v>1573</v>
      </c>
      <c r="I681" s="128" t="s">
        <v>1574</v>
      </c>
    </row>
    <row r="682" customFormat="false" ht="12.75" hidden="false" customHeight="true" outlineLevel="0" collapsed="false">
      <c r="B682" s="19"/>
      <c r="D682" s="128" t="s">
        <v>1575</v>
      </c>
      <c r="I682" s="128" t="s">
        <v>1576</v>
      </c>
    </row>
    <row r="683" customFormat="false" ht="12.75" hidden="false" customHeight="true" outlineLevel="0" collapsed="false">
      <c r="B683" s="19"/>
      <c r="D683" s="128" t="s">
        <v>1577</v>
      </c>
      <c r="I683" s="128" t="s">
        <v>1578</v>
      </c>
    </row>
    <row r="684" customFormat="false" ht="12.75" hidden="false" customHeight="true" outlineLevel="0" collapsed="false">
      <c r="B684" s="19"/>
      <c r="I684" s="128" t="s">
        <v>1579</v>
      </c>
    </row>
    <row r="685" customFormat="false" ht="12.75" hidden="false" customHeight="true" outlineLevel="0" collapsed="false">
      <c r="B685" s="19"/>
    </row>
    <row r="686" customFormat="false" ht="12.75" hidden="false" customHeight="true" outlineLevel="0" collapsed="false">
      <c r="B686" s="19"/>
    </row>
    <row r="687" customFormat="false" ht="12.75" hidden="false" customHeight="true" outlineLevel="0" collapsed="false">
      <c r="B687" s="132" t="s">
        <v>1580</v>
      </c>
      <c r="G687" s="128" t="s">
        <v>1581</v>
      </c>
    </row>
    <row r="688" customFormat="false" ht="12.75" hidden="false" customHeight="true" outlineLevel="0" collapsed="false">
      <c r="B688" s="19"/>
      <c r="G688" s="128" t="s">
        <v>1582</v>
      </c>
    </row>
    <row r="689" customFormat="false" ht="12.75" hidden="false" customHeight="true" outlineLevel="0" collapsed="false">
      <c r="B689" s="19"/>
      <c r="G689" s="128" t="s">
        <v>1583</v>
      </c>
    </row>
    <row r="690" customFormat="false" ht="12.75" hidden="false" customHeight="true" outlineLevel="0" collapsed="false">
      <c r="B690" s="19"/>
      <c r="G690" s="128" t="s">
        <v>1584</v>
      </c>
    </row>
    <row r="691" customFormat="false" ht="12.75" hidden="false" customHeight="true" outlineLevel="0" collapsed="false">
      <c r="B691" s="19"/>
      <c r="H691" s="128" t="s">
        <v>1585</v>
      </c>
    </row>
    <row r="692" customFormat="false" ht="12.75" hidden="false" customHeight="true" outlineLevel="0" collapsed="false">
      <c r="B692" s="132" t="s">
        <v>1586</v>
      </c>
      <c r="E692" s="128" t="s">
        <v>1587</v>
      </c>
    </row>
    <row r="693" customFormat="false" ht="12.75" hidden="false" customHeight="true" outlineLevel="0" collapsed="false">
      <c r="B693" s="19"/>
      <c r="E693" s="128" t="s">
        <v>1588</v>
      </c>
    </row>
    <row r="694" customFormat="false" ht="12.75" hidden="false" customHeight="true" outlineLevel="0" collapsed="false">
      <c r="B694" s="19"/>
      <c r="E694" s="128" t="s">
        <v>1589</v>
      </c>
    </row>
    <row r="696" customFormat="false" ht="12.75" hidden="false" customHeight="true" outlineLevel="0" collapsed="false">
      <c r="B696" s="132" t="s">
        <v>1590</v>
      </c>
      <c r="F696" s="128" t="s">
        <v>1591</v>
      </c>
    </row>
    <row r="698" customFormat="false" ht="12.75" hidden="false" customHeight="true" outlineLevel="0" collapsed="false">
      <c r="B698" s="132" t="s">
        <v>1592</v>
      </c>
      <c r="E698" s="128" t="s">
        <v>1593</v>
      </c>
    </row>
    <row r="699" customFormat="false" ht="12" hidden="false" customHeight="true" outlineLevel="0" collapsed="false">
      <c r="E699" s="128" t="s">
        <v>1594</v>
      </c>
    </row>
    <row r="701" customFormat="false" ht="12.75" hidden="false" customHeight="true" outlineLevel="0" collapsed="false">
      <c r="B701" s="132" t="s">
        <v>1595</v>
      </c>
      <c r="E701" s="128" t="s">
        <v>1596</v>
      </c>
    </row>
    <row r="702" customFormat="false" ht="12.75" hidden="false" customHeight="true" outlineLevel="0" collapsed="false">
      <c r="B702" s="19"/>
      <c r="E702" s="128" t="s">
        <v>1597</v>
      </c>
    </row>
    <row r="703" customFormat="false" ht="12.75" hidden="false" customHeight="true" outlineLevel="0" collapsed="false">
      <c r="B703" s="19"/>
    </row>
    <row r="704" customFormat="false" ht="12.75" hidden="false" customHeight="true" outlineLevel="0" collapsed="false">
      <c r="B704" s="132" t="s">
        <v>1598</v>
      </c>
    </row>
    <row r="705" customFormat="false" ht="12.75" hidden="false" customHeight="true" outlineLevel="0" collapsed="false">
      <c r="B705" s="19"/>
    </row>
    <row r="706" customFormat="false" ht="12.75" hidden="false" customHeight="true" outlineLevel="0" collapsed="false">
      <c r="B706" s="132" t="s">
        <v>1599</v>
      </c>
    </row>
    <row r="708" customFormat="false" ht="12.75" hidden="false" customHeight="true" outlineLevel="0" collapsed="false">
      <c r="A708" s="132" t="s">
        <v>1600</v>
      </c>
      <c r="C708" s="128" t="s">
        <v>1601</v>
      </c>
    </row>
    <row r="709" customFormat="false" ht="12.75" hidden="false" customHeight="true" outlineLevel="0" collapsed="false">
      <c r="C709" s="132" t="s">
        <v>1602</v>
      </c>
    </row>
    <row r="711" customFormat="false" ht="12" hidden="false" customHeight="true" outlineLevel="0" collapsed="false">
      <c r="C711" s="128" t="s">
        <v>1603</v>
      </c>
    </row>
    <row r="712" customFormat="false" ht="12.75" hidden="false" customHeight="true" outlineLevel="0" collapsed="false">
      <c r="C712" s="132" t="s">
        <v>1604</v>
      </c>
    </row>
    <row r="714" customFormat="false" ht="12" hidden="false" customHeight="true" outlineLevel="0" collapsed="false">
      <c r="C714" s="128" t="s">
        <v>1605</v>
      </c>
    </row>
    <row r="715" customFormat="false" ht="12.75" hidden="false" customHeight="true" outlineLevel="0" collapsed="false">
      <c r="C715" s="132" t="s">
        <v>1606</v>
      </c>
    </row>
    <row r="716" customFormat="false" ht="12.75" hidden="false" customHeight="true" outlineLevel="0" collapsed="false">
      <c r="C716" s="132" t="s">
        <v>1607</v>
      </c>
    </row>
    <row r="717" customFormat="false" ht="12.75" hidden="false" customHeight="true" outlineLevel="0" collapsed="false">
      <c r="C717" s="132" t="s">
        <v>1608</v>
      </c>
    </row>
    <row r="719" customFormat="false" ht="12" hidden="false" customHeight="true" outlineLevel="0" collapsed="false">
      <c r="C719" s="128" t="s">
        <v>1609</v>
      </c>
    </row>
    <row r="721" customFormat="false" ht="23.25" hidden="false" customHeight="true" outlineLevel="0" collapsed="false">
      <c r="C721" s="345" t="s">
        <v>1610</v>
      </c>
    </row>
    <row r="722" customFormat="false" ht="12.75" hidden="false" customHeight="true" outlineLevel="0" collapsed="false">
      <c r="C722" s="132" t="s">
        <v>1611</v>
      </c>
    </row>
    <row r="723" customFormat="false" ht="12.75" hidden="false" customHeight="true" outlineLevel="0" collapsed="false">
      <c r="C723" s="132" t="s">
        <v>1612</v>
      </c>
    </row>
    <row r="724" customFormat="false" ht="12.75" hidden="false" customHeight="true" outlineLevel="0" collapsed="false">
      <c r="C724" s="132" t="s">
        <v>1613</v>
      </c>
    </row>
    <row r="725" customFormat="false" ht="12.75" hidden="false" customHeight="true" outlineLevel="0" collapsed="false">
      <c r="C725" s="132" t="s">
        <v>1614</v>
      </c>
    </row>
    <row r="728" customFormat="false" ht="12.75" hidden="false" customHeight="true" outlineLevel="0" collapsed="false">
      <c r="B728" s="132" t="s">
        <v>1615</v>
      </c>
    </row>
    <row r="729" customFormat="false" ht="12" hidden="false" customHeight="true" outlineLevel="0" collapsed="false">
      <c r="B729" s="128" t="s">
        <v>1616</v>
      </c>
    </row>
    <row r="730" customFormat="false" ht="12" hidden="false" customHeight="true" outlineLevel="0" collapsed="false">
      <c r="B730" s="128" t="s">
        <v>1617</v>
      </c>
    </row>
    <row r="731" customFormat="false" ht="12" hidden="false" customHeight="true" outlineLevel="0" collapsed="false">
      <c r="B731" s="128" t="s">
        <v>1618</v>
      </c>
    </row>
    <row r="732" customFormat="false" ht="12" hidden="false" customHeight="true" outlineLevel="0" collapsed="false">
      <c r="B732" s="128" t="s">
        <v>1619</v>
      </c>
    </row>
    <row r="733" customFormat="false" ht="12" hidden="false" customHeight="true" outlineLevel="0" collapsed="false">
      <c r="B733" s="128" t="s">
        <v>1620</v>
      </c>
    </row>
    <row r="736" customFormat="false" ht="12.75" hidden="false" customHeight="true" outlineLevel="0" collapsed="false">
      <c r="B736" s="132" t="s">
        <v>1621</v>
      </c>
    </row>
    <row r="737" customFormat="false" ht="12" hidden="false" customHeight="true" outlineLevel="0" collapsed="false">
      <c r="B737" s="128" t="s">
        <v>1622</v>
      </c>
    </row>
    <row r="738" customFormat="false" ht="12" hidden="false" customHeight="true" outlineLevel="0" collapsed="false">
      <c r="B738" s="128" t="s">
        <v>1623</v>
      </c>
    </row>
    <row r="740" customFormat="false" ht="12.75" hidden="false" customHeight="true" outlineLevel="0" collapsed="false">
      <c r="B740" s="132" t="s">
        <v>1624</v>
      </c>
    </row>
    <row r="741" customFormat="false" ht="12" hidden="false" customHeight="true" outlineLevel="0" collapsed="false">
      <c r="B741" s="128" t="s">
        <v>1625</v>
      </c>
    </row>
    <row r="742" customFormat="false" ht="12" hidden="false" customHeight="true" outlineLevel="0" collapsed="false">
      <c r="B742" s="128" t="s">
        <v>1626</v>
      </c>
    </row>
    <row r="743" customFormat="false" ht="12" hidden="false" customHeight="true" outlineLevel="0" collapsed="false">
      <c r="B743" s="128" t="s">
        <v>1627</v>
      </c>
    </row>
    <row r="744" customFormat="false" ht="12" hidden="false" customHeight="true" outlineLevel="0" collapsed="false">
      <c r="B744" s="128" t="s">
        <v>1628</v>
      </c>
    </row>
    <row r="747" customFormat="false" ht="12.75" hidden="false" customHeight="true" outlineLevel="0" collapsed="false">
      <c r="B747" s="132" t="s">
        <v>1629</v>
      </c>
    </row>
    <row r="748" customFormat="false" ht="12" hidden="false" customHeight="true" outlineLevel="0" collapsed="false">
      <c r="A748" s="128" t="s">
        <v>1630</v>
      </c>
      <c r="B748" s="128" t="s">
        <v>1631</v>
      </c>
    </row>
    <row r="749" customFormat="false" ht="12" hidden="false" customHeight="true" outlineLevel="0" collapsed="false">
      <c r="A749" s="128" t="s">
        <v>1632</v>
      </c>
      <c r="B749" s="128" t="s">
        <v>1633</v>
      </c>
    </row>
    <row r="750" customFormat="false" ht="12" hidden="false" customHeight="true" outlineLevel="0" collapsed="false">
      <c r="B750" s="128" t="s">
        <v>1634</v>
      </c>
    </row>
    <row r="751" customFormat="false" ht="12" hidden="false" customHeight="true" outlineLevel="0" collapsed="false">
      <c r="B751" s="128" t="s">
        <v>1635</v>
      </c>
    </row>
    <row r="753" customFormat="false" ht="12" hidden="false" customHeight="true" outlineLevel="0" collapsed="false">
      <c r="A753" s="128" t="s">
        <v>1636</v>
      </c>
      <c r="B753" s="128" t="s">
        <v>1637</v>
      </c>
    </row>
    <row r="754" customFormat="false" ht="12" hidden="false" customHeight="true" outlineLevel="0" collapsed="false">
      <c r="B754" s="128" t="s">
        <v>1638</v>
      </c>
    </row>
    <row r="755" customFormat="false" ht="12" hidden="false" customHeight="true" outlineLevel="0" collapsed="false">
      <c r="B755" s="128" t="s">
        <v>1639</v>
      </c>
    </row>
    <row r="756" customFormat="false" ht="12" hidden="false" customHeight="true" outlineLevel="0" collapsed="false">
      <c r="B756" s="128" t="s">
        <v>1640</v>
      </c>
    </row>
    <row r="757" customFormat="false" ht="12" hidden="false" customHeight="true" outlineLevel="0" collapsed="false">
      <c r="B757" s="128" t="s">
        <v>1641</v>
      </c>
    </row>
    <row r="758" customFormat="false" ht="12" hidden="false" customHeight="true" outlineLevel="0" collapsed="false">
      <c r="B758" s="128" t="s">
        <v>1642</v>
      </c>
    </row>
    <row r="759" customFormat="false" ht="12" hidden="false" customHeight="true" outlineLevel="0" collapsed="false">
      <c r="B759" s="128" t="s">
        <v>1643</v>
      </c>
    </row>
    <row r="760" customFormat="false" ht="12" hidden="false" customHeight="true" outlineLevel="0" collapsed="false">
      <c r="B760" s="128" t="s">
        <v>1644</v>
      </c>
    </row>
    <row r="762" customFormat="false" ht="12" hidden="false" customHeight="true" outlineLevel="0" collapsed="false">
      <c r="A762" s="128" t="s">
        <v>1645</v>
      </c>
      <c r="B762" s="128" t="s">
        <v>1646</v>
      </c>
    </row>
    <row r="763" customFormat="false" ht="12" hidden="false" customHeight="true" outlineLevel="0" collapsed="false">
      <c r="B763" s="128" t="s">
        <v>1647</v>
      </c>
    </row>
    <row r="764" customFormat="false" ht="12" hidden="false" customHeight="true" outlineLevel="0" collapsed="false">
      <c r="B764" s="128" t="s">
        <v>1648</v>
      </c>
    </row>
    <row r="765" customFormat="false" ht="12" hidden="false" customHeight="true" outlineLevel="0" collapsed="false">
      <c r="B765" s="128" t="s">
        <v>1649</v>
      </c>
    </row>
    <row r="766" customFormat="false" ht="12" hidden="false" customHeight="true" outlineLevel="0" collapsed="false">
      <c r="B766" s="128" t="s">
        <v>1650</v>
      </c>
    </row>
    <row r="767" customFormat="false" ht="12" hidden="false" customHeight="true" outlineLevel="0" collapsed="false">
      <c r="B767" s="128" t="s">
        <v>1651</v>
      </c>
    </row>
    <row r="768" customFormat="false" ht="12" hidden="false" customHeight="true" outlineLevel="0" collapsed="false">
      <c r="B768" s="128" t="s">
        <v>1652</v>
      </c>
    </row>
    <row r="769" customFormat="false" ht="12" hidden="false" customHeight="true" outlineLevel="0" collapsed="false">
      <c r="B769" s="128" t="s">
        <v>1653</v>
      </c>
    </row>
    <row r="770" customFormat="false" ht="12" hidden="false" customHeight="true" outlineLevel="0" collapsed="false">
      <c r="B770" s="128" t="s">
        <v>1654</v>
      </c>
    </row>
    <row r="771" customFormat="false" ht="12" hidden="false" customHeight="true" outlineLevel="0" collapsed="false">
      <c r="B771" s="128" t="s">
        <v>1655</v>
      </c>
    </row>
    <row r="774" customFormat="false" ht="12" hidden="false" customHeight="true" outlineLevel="0" collapsed="false">
      <c r="A774" s="128" t="s">
        <v>1656</v>
      </c>
      <c r="B774" s="128" t="s">
        <v>1657</v>
      </c>
    </row>
    <row r="775" customFormat="false" ht="12" hidden="false" customHeight="true" outlineLevel="0" collapsed="false">
      <c r="B775" s="128" t="s">
        <v>1658</v>
      </c>
    </row>
    <row r="776" customFormat="false" ht="12" hidden="false" customHeight="true" outlineLevel="0" collapsed="false">
      <c r="B776" s="128" t="s">
        <v>1659</v>
      </c>
    </row>
    <row r="777" customFormat="false" ht="12" hidden="false" customHeight="true" outlineLevel="0" collapsed="false">
      <c r="B777" s="128" t="s">
        <v>1660</v>
      </c>
    </row>
    <row r="778" customFormat="false" ht="12" hidden="false" customHeight="true" outlineLevel="0" collapsed="false">
      <c r="B778" s="128" t="s">
        <v>1661</v>
      </c>
    </row>
    <row r="780" customFormat="false" ht="12" hidden="false" customHeight="true" outlineLevel="0" collapsed="false">
      <c r="A780" s="128" t="s">
        <v>1323</v>
      </c>
      <c r="B780" s="128" t="s">
        <v>1662</v>
      </c>
    </row>
    <row r="781" customFormat="false" ht="12" hidden="false" customHeight="true" outlineLevel="0" collapsed="false">
      <c r="B781" s="128" t="s">
        <v>1663</v>
      </c>
    </row>
    <row r="782" customFormat="false" ht="12" hidden="false" customHeight="true" outlineLevel="0" collapsed="false">
      <c r="B782" s="128" t="s">
        <v>1664</v>
      </c>
    </row>
    <row r="783" customFormat="false" ht="12" hidden="false" customHeight="true" outlineLevel="0" collapsed="false">
      <c r="B783" s="128" t="s">
        <v>1665</v>
      </c>
    </row>
    <row r="785" customFormat="false" ht="12" hidden="false" customHeight="true" outlineLevel="0" collapsed="false">
      <c r="A785" s="128" t="s">
        <v>1666</v>
      </c>
      <c r="B785" s="128" t="s">
        <v>1667</v>
      </c>
    </row>
    <row r="786" customFormat="false" ht="12" hidden="false" customHeight="true" outlineLevel="0" collapsed="false">
      <c r="B786" s="128" t="s">
        <v>1668</v>
      </c>
    </row>
    <row r="787" customFormat="false" ht="12" hidden="false" customHeight="true" outlineLevel="0" collapsed="false">
      <c r="B787" s="128" t="s">
        <v>1669</v>
      </c>
    </row>
    <row r="788" customFormat="false" ht="12" hidden="false" customHeight="true" outlineLevel="0" collapsed="false">
      <c r="J788" s="128" t="s">
        <v>1670</v>
      </c>
    </row>
    <row r="789" customFormat="false" ht="12" hidden="false" customHeight="true" outlineLevel="0" collapsed="false">
      <c r="A789" s="128" t="s">
        <v>1671</v>
      </c>
      <c r="B789" s="128" t="s">
        <v>1672</v>
      </c>
      <c r="J789" s="128" t="s">
        <v>1673</v>
      </c>
    </row>
    <row r="790" customFormat="false" ht="12" hidden="false" customHeight="true" outlineLevel="0" collapsed="false">
      <c r="J790" s="128" t="s">
        <v>1674</v>
      </c>
    </row>
    <row r="791" customFormat="false" ht="12" hidden="false" customHeight="true" outlineLevel="0" collapsed="false">
      <c r="J791" s="128" t="s">
        <v>1323</v>
      </c>
    </row>
  </sheetData>
  <mergeCells count="10">
    <mergeCell ref="B113:C113"/>
    <mergeCell ref="B114:B116"/>
    <mergeCell ref="B117:B119"/>
    <mergeCell ref="B120:B122"/>
    <mergeCell ref="B123:B125"/>
    <mergeCell ref="B188:C188"/>
    <mergeCell ref="B189:B191"/>
    <mergeCell ref="B192:B194"/>
    <mergeCell ref="B195:B197"/>
    <mergeCell ref="B198:B200"/>
  </mergeCells>
  <printOptions headings="false" gridLines="true" gridLinesSet="true" horizontalCentered="false" verticalCentered="false"/>
  <pageMargins left="0.75" right="0.75" top="1" bottom="1" header="0.5" footer="0.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2000-06-19T08:39:27Z</dcterms:created>
  <dc:creator>Sharma, Arvind1 [ICG-RSCH]</dc:creator>
  <dc:description/>
  <dc:language>en-US</dc:language>
  <cp:lastModifiedBy/>
  <cp:lastPrinted>2020-02-12T14:43:55Z</cp:lastPrinted>
  <dcterms:modified xsi:type="dcterms:W3CDTF">2026-09-16T08:48:54Z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ID">
    <vt:lpwstr>30454750</vt:lpwstr>
  </property>
  <property fmtid="{D5CDD505-2E9C-101B-9397-08002B2CF9AE}" pid="3" name="DisclaimerVersion">
    <vt:lpwstr>1.0.33</vt:lpwstr>
  </property>
  <property fmtid="{D5CDD505-2E9C-101B-9397-08002B2CF9AE}" pid="4" name="DisclosureVersion">
    <vt:lpwstr>1.0.77</vt:lpwstr>
  </property>
  <property fmtid="{D5CDD505-2E9C-101B-9397-08002B2CF9AE}" pid="5" name="MSIP_Label_0133068c-5f3b-4062-adca-9b17e9c90306_ActionId">
    <vt:lpwstr>6822bb8e-1888-48e5-a4b9-6931d20e29a9</vt:lpwstr>
  </property>
  <property fmtid="{D5CDD505-2E9C-101B-9397-08002B2CF9AE}" pid="6" name="MSIP_Label_0133068c-5f3b-4062-adca-9b17e9c90306_ContentBits">
    <vt:lpwstr>0</vt:lpwstr>
  </property>
  <property fmtid="{D5CDD505-2E9C-101B-9397-08002B2CF9AE}" pid="7" name="MSIP_Label_0133068c-5f3b-4062-adca-9b17e9c90306_Enabled">
    <vt:lpwstr>true</vt:lpwstr>
  </property>
  <property fmtid="{D5CDD505-2E9C-101B-9397-08002B2CF9AE}" pid="8" name="MSIP_Label_0133068c-5f3b-4062-adca-9b17e9c90306_Method">
    <vt:lpwstr>Privileged</vt:lpwstr>
  </property>
  <property fmtid="{D5CDD505-2E9C-101B-9397-08002B2CF9AE}" pid="9" name="MSIP_Label_0133068c-5f3b-4062-adca-9b17e9c90306_Name">
    <vt:lpwstr>Confidential</vt:lpwstr>
  </property>
  <property fmtid="{D5CDD505-2E9C-101B-9397-08002B2CF9AE}" pid="10" name="MSIP_Label_0133068c-5f3b-4062-adca-9b17e9c90306_SetDate">
    <vt:lpwstr>2021-10-05T14:02:56Z</vt:lpwstr>
  </property>
  <property fmtid="{D5CDD505-2E9C-101B-9397-08002B2CF9AE}" pid="11" name="MSIP_Label_0133068c-5f3b-4062-adca-9b17e9c90306_SiteId">
    <vt:lpwstr>1771ae17-e764-4e0f-a476-d4184d79a5d9</vt:lpwstr>
  </property>
  <property fmtid="{D5CDD505-2E9C-101B-9397-08002B2CF9AE}" pid="12" name="Owner">
    <vt:lpwstr>E6XYB6412478</vt:lpwstr>
  </property>
  <property fmtid="{D5CDD505-2E9C-101B-9397-08002B2CF9AE}" pid="13" name="RefreshDate">
    <vt:filetime>2026-08-13T18:30:00Z</vt:filetime>
  </property>
  <property fmtid="{D5CDD505-2E9C-101B-9397-08002B2CF9AE}" pid="14" name="RightsWATCHMark">
    <vt:lpwstr>1|CITI-GLOBAL-Public|{00000000-0000-0000-0000-000000000000}</vt:lpwstr>
  </property>
  <property fmtid="{D5CDD505-2E9C-101B-9397-08002B2CF9AE}" pid="15" name="Type">
    <vt:lpwstr>Company</vt:lpwstr>
  </property>
</Properties>
</file>