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trol Panel" sheetId="2" state="visible" r:id="rId4"/>
    <sheet name="Assumptions" sheetId="3" state="visible" r:id="rId5"/>
    <sheet name="Investment Build" sheetId="4" state="visible" r:id="rId6"/>
    <sheet name="Unit Economics" sheetId="5" state="visible" r:id="rId7"/>
    <sheet name="Programme Returns" sheetId="6" state="visible" r:id="rId8"/>
    <sheet name="Platform Sharing" sheetId="7" state="visible" r:id="rId9"/>
    <sheet name="Sensitivities" sheetId="8" state="visible" r:id="rId10"/>
    <sheet name="Real-World Platforms" sheetId="9" state="visible" r:id="rId11"/>
    <sheet name="Sources" sheetId="10" state="visible" r:id="rId12"/>
  </sheets>
  <definedNames>
    <definedName function="false" hidden="false" localSheetId="2" name="_xlnm.Print_Titles" vbProcedure="false">Assumptions!$1:$7</definedName>
    <definedName function="false" hidden="false" localSheetId="8" name="_xlnm.Print_Titles" vbProcedure="false">'Real-World Platforms'!$1:$5</definedName>
    <definedName function="false" hidden="false" localSheetId="9" name="_xlnm.Print_Titles" vbProcedure="false">Sources!$1:$5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<sst xmlns="http://schemas.openxmlformats.org/spreadsheetml/2006/main" count="1015" uniqueCount="624">
  <si>
    <t xml:space="preserve">VEHICLE PLATFORM ECONOMICS  |  Cars vs two-wheelers, ICE vs EV</t>
  </si>
  <si>
    <t xml:space="preserve">Investment-research model. India-centred, with global benchmarks. All figures in INR unless stated.</t>
  </si>
  <si>
    <t xml:space="preserve">WHAT THIS MODEL DOES</t>
  </si>
  <si>
    <t xml:space="preserve">Sizes the one-time cost of creating a vehicle platform, the incremental cost of each model placed on it, and the volume and margin needed to earn that money back. It runs the same logic across four segments - car ICE, car BEV, two-wheeler ICE, two-wheeler BEV - so the four are directly comparable.</t>
  </si>
  <si>
    <t xml:space="preserve">Everything is driven off one dropdown on the Control Panel. Twelve headline levers sit beside it; the full assumption library sits on the Assumptions tab, with every line tagged Reported or Estimate.</t>
  </si>
  <si>
    <t xml:space="preserve">HOW TO DRIVE IT</t>
  </si>
  <si>
    <t xml:space="preserve">1. Control Panel - pick the segment, then set overrides in the yellow Override column. Blank means 'use the segment default'.</t>
  </si>
  <si>
    <t xml:space="preserve">2. Investment Build - the cost stack: platform engineering, per-model top hats, capacity capex. Development investment and plant capex are deliberately kept apart, because the first is sunk against the platform and the second is fungible across it.</t>
  </si>
  <si>
    <t xml:space="preserve">3. Unit Economics - the per-vehicle P&amp;L at start of production, from net realisation down to fully-loaded programme EBIT.</t>
  </si>
  <si>
    <t xml:space="preserve">4. Programme Returns - a 20-year lifecycle cash flow with break-even volume, payback year, NPV and IRR.</t>
  </si>
  <si>
    <t xml:space="preserve">5. Platform Sharing - the same programme run at one to eight models, showing what sharing is actually worth.</t>
  </si>
  <si>
    <t xml:space="preserve">6. Sensitivities - three grids across model count, volume and margin.</t>
  </si>
  <si>
    <t xml:space="preserve">7. Real-World Platforms - disclosed figures for MQB, CMF-A, INGLO, HEARTECT, Ola Gen 3, Ather, Royal Enfield and others.</t>
  </si>
  <si>
    <t xml:space="preserve">8. Sources - every reported number with its citation.</t>
  </si>
  <si>
    <t xml:space="preserve">WHAT THE MODEL SAYS AT ITS DEFAULT SETTINGS</t>
  </si>
  <si>
    <t xml:space="preserve">Cars, ICE, four models on one platform: INR 3,400cr of development investment and INR 6,800cr of attributed plant, INR 10,200cr of invested capital in total. Contribution margin 24.9%, cash break-even in year 7, IRR c.29%. The programme needs c.18% of its lifetime output just to repay the capital.</t>
  </si>
  <si>
    <t xml:space="preserve">Cars, BEV, three models: INR 4,100cr of development - c.20% more than ICE, concentrated in the powertrain and the E/E and software stack - on roughly a third of the volume. Break-even rises to c.37% of lifetime output and the IRR falls below the cost of capital. On these assumptions a sub-scale BEV car platform does not clear its hurdle. That is the central finding, and it is why BEV platform strategy is a volume argument before it is a technology argument.</t>
  </si>
  <si>
    <t xml:space="preserve">Two-wheelers, ICE, four models: INR 605cr of development and INR 1,800cr of invested capital - roughly a fifth of the car equivalent - against break-even at under 10% of lifetime output. This is the structural reason Indian two-wheeler OEMs earn returns on capital that car makers cannot approach.</t>
  </si>
  <si>
    <t xml:space="preserve">Two-wheelers, BEV, three models: development rises c.20% versus ICE but contribution margin falls from 28% to 19% and SG&amp;A intensity rises, so the programme earns c.4% against a 14% cost of capital. The barrier to entry has moved off the engineering line and onto the volume and distribution lines - which is precisely why the segment has attracted so many entrants and produced so little profit.</t>
  </si>
  <si>
    <t xml:space="preserve">Plant capacity is the larger number for cars and dwarfs engineering. At c.INR 340,000 per unit of annual capacity a 400,000 unit line costs c.INR 13,600cr gross. For two-wheelers the same line costs c.INR 25,000 per unit. That c.13x gap, against an ASP gap of c.10x, is the whole return-on-capital story between the two industries.</t>
  </si>
  <si>
    <t xml:space="preserve">THE FOUR CONCLUSIONS THE MODEL SUPPORTS</t>
  </si>
  <si>
    <t xml:space="preserve">1. Model count matters more than volume per model, below scale. Going from one model to four cuts development cost per unit by c.53%; doubling volume per model cuts it by 50% but is far harder to achieve commercially. Below c.50,000 units per model, adding a nameplate rescues a programme that adding volume cannot.</t>
  </si>
  <si>
    <t xml:space="preserve">2. The returns to sharing decay fast. The second model is worth c.24% of a standalone programme's cost, the eighth adds only c.1.5pp more. Platform strategies that promise savings from the ninth and tenth nameplate are selling very little.</t>
  </si>
  <si>
    <t xml:space="preserve">3. A platform is a bet, not a saving. At one model a modular architecture costs c.18% more than a dedicated one. The saving only exists if the models actually arrive.</t>
  </si>
  <si>
    <t xml:space="preserve">4. EV shifts cost from fixed to variable. A higher share of an EV's cost sits in the battery and in bought-in power electronics, so EV economics are less sensitive to model count and far more sensitive to volume, battery price and distribution cost. Platform sharing is a weaker lever in EV than it was in ICE - and correspondingly, the entry barrier it used to represent is weaker too.</t>
  </si>
  <si>
    <t xml:space="preserve">COLOUR AND TAGGING CONVENTIONS</t>
  </si>
  <si>
    <t xml:space="preserve">Blue text on yellow fill = an input or lever you can edit.   Black text = a formula on that sheet.   Green text = a link to another sheet.</t>
  </si>
  <si>
    <t xml:space="preserve">On the Assumptions tab: 'Reported' means the figure was disclosed by a company, regulator or industry survey and is cited on the Sources tab. 'Estimate' means it is a Bernstein estimate, triangulated where possible against disclosed programme totals. 'LEVER' means it is overridable on the Control Panel. The Real-World Platforms tab contains no estimates at all - only disclosures and arithmetic on disclosures.</t>
  </si>
  <si>
    <t xml:space="preserve">WHAT THE MODEL DELIBERATELY DOES NOT DO</t>
  </si>
  <si>
    <t xml:space="preserve">No dealer margin, GST or on-road price build - everything is ex-factory net realisation, which is what the OEM P&amp;L sees.</t>
  </si>
  <si>
    <t xml:space="preserve">No working capital in the returns, because Indian OEMs typically run it negative and including it would flatter the programme.</t>
  </si>
  <si>
    <t xml:space="preserve">No residual value on the plant at end of lifecycle, and no terminal value on the platform. Both are conservative.</t>
  </si>
  <si>
    <t xml:space="preserve">No PLI or subsidy benefit. Add it as a lever on net realisation if you want it - Ola cites c.INR 40,000-45,000 per vehicle.</t>
  </si>
  <si>
    <t xml:space="preserve">CONTROL PANEL  |  Vehicle Platform Economics</t>
  </si>
  <si>
    <t xml:space="preserve">Pick a segment, then flex the twelve headline levers. Leave an override blank to use the segment default.</t>
  </si>
  <si>
    <t xml:space="preserve">SEGMENT</t>
  </si>
  <si>
    <t xml:space="preserve">Vehicle type / powertrain</t>
  </si>
  <si>
    <t xml:space="preserve">Car - ICE</t>
  </si>
  <si>
    <t xml:space="preserve">&lt;-- dropdown. Everything downstream re-prices off this cell.</t>
  </si>
  <si>
    <t xml:space="preserve">HEADLINE LEVERS  (blank override = segment default)</t>
  </si>
  <si>
    <t xml:space="preserve">Lever</t>
  </si>
  <si>
    <t xml:space="preserve">Unit</t>
  </si>
  <si>
    <t xml:space="preserve">Segment default</t>
  </si>
  <si>
    <t xml:space="preserve">Override</t>
  </si>
  <si>
    <t xml:space="preserve">In use</t>
  </si>
  <si>
    <t xml:space="preserve">Number of models on the platform</t>
  </si>
  <si>
    <t xml:space="preserve">#</t>
  </si>
  <si>
    <t xml:space="preserve">Peak annual volume per model</t>
  </si>
  <si>
    <t xml:space="preserve">units</t>
  </si>
  <si>
    <t xml:space="preserve">Platform lifecycle (production years)</t>
  </si>
  <si>
    <t xml:space="preserve">years</t>
  </si>
  <si>
    <t xml:space="preserve">Net realisation per unit (ex-factory)</t>
  </si>
  <si>
    <t xml:space="preserve">INR</t>
  </si>
  <si>
    <t xml:space="preserve">Non-battery BOM</t>
  </si>
  <si>
    <t xml:space="preserve">% of NR</t>
  </si>
  <si>
    <t xml:space="preserve">Fixed manufacturing overhead</t>
  </si>
  <si>
    <t xml:space="preserve">INR cr p.a.</t>
  </si>
  <si>
    <t xml:space="preserve">Platform engineering scaling factor</t>
  </si>
  <si>
    <t xml:space="preserve">x</t>
  </si>
  <si>
    <t xml:space="preserve">Top-hat scaling factor</t>
  </si>
  <si>
    <t xml:space="preserve">Incremental platform re-engineering per added model</t>
  </si>
  <si>
    <t xml:space="preserve">% of plat. eng.</t>
  </si>
  <si>
    <t xml:space="preserve">Capacity capex attributable to platform</t>
  </si>
  <si>
    <t xml:space="preserve">%</t>
  </si>
  <si>
    <t xml:space="preserve">Annual change in net realisation</t>
  </si>
  <si>
    <t xml:space="preserve">WACC</t>
  </si>
  <si>
    <t xml:space="preserve">PROGRAMME OUTPUT  (live)</t>
  </si>
  <si>
    <t xml:space="preserve">Total platform-level investment</t>
  </si>
  <si>
    <t xml:space="preserve">INR cr</t>
  </si>
  <si>
    <t xml:space="preserve">Total top-hat investment (all models)</t>
  </si>
  <si>
    <t xml:space="preserve">TOTAL DEVELOPMENT INVESTMENT</t>
  </si>
  <si>
    <t xml:space="preserve">Capacity capex attributed to platform</t>
  </si>
  <si>
    <t xml:space="preserve">TOTAL INVESTED CAPITAL</t>
  </si>
  <si>
    <t xml:space="preserve">Lifetime platform volume</t>
  </si>
  <si>
    <t xml:space="preserve">Development investment per unit</t>
  </si>
  <si>
    <t xml:space="preserve">Contribution margin at SOP</t>
  </si>
  <si>
    <t xml:space="preserve">Contribution per unit at SOP</t>
  </si>
  <si>
    <t xml:space="preserve">Break-even volume - development investment only</t>
  </si>
  <si>
    <t xml:space="preserve">cum. units</t>
  </si>
  <si>
    <t xml:space="preserve">Break-even volume - total invested capital</t>
  </si>
  <si>
    <t xml:space="preserve">Break-even as % of lifetime volume</t>
  </si>
  <si>
    <t xml:space="preserve">Cash break-even year (from start of development)</t>
  </si>
  <si>
    <t xml:space="preserve">year</t>
  </si>
  <si>
    <t xml:space="preserve">Lifetime revenue</t>
  </si>
  <si>
    <t xml:space="preserve">Lifetime EBITDA</t>
  </si>
  <si>
    <t xml:space="preserve">Lifetime EBIT margin</t>
  </si>
  <si>
    <t xml:space="preserve">Programme NPV</t>
  </si>
  <si>
    <t xml:space="preserve">Programme IRR</t>
  </si>
  <si>
    <t xml:space="preserve">Peak cash outflow</t>
  </si>
  <si>
    <t xml:space="preserve">COLOUR LEGEND</t>
  </si>
  <si>
    <t xml:space="preserve">Blue text on yellow fill</t>
  </si>
  <si>
    <t xml:space="preserve">Input / lever - edit these</t>
  </si>
  <si>
    <t xml:space="preserve">Black text</t>
  </si>
  <si>
    <t xml:space="preserve">Formula calculated on this sheet</t>
  </si>
  <si>
    <t xml:space="preserve">Green text</t>
  </si>
  <si>
    <t xml:space="preserve">Link to another sheet</t>
  </si>
  <si>
    <t xml:space="preserve">ASSUMPTIONS  |  Vehicle Platform Economics</t>
  </si>
  <si>
    <t xml:space="preserve">All four segments held side by side. Column K ('In use') is what every other sheet reads. Blue = hardcoded input. Override on the Control Panel, not here, for the twelve headline levers.</t>
  </si>
  <si>
    <t xml:space="preserve">Active segment</t>
  </si>
  <si>
    <t xml:space="preserve">Active column index</t>
  </si>
  <si>
    <t xml:space="preserve">Line item</t>
  </si>
  <si>
    <t xml:space="preserve">Car - BEV</t>
  </si>
  <si>
    <t xml:space="preserve">2W - ICE</t>
  </si>
  <si>
    <t xml:space="preserve">2W - BEV</t>
  </si>
  <si>
    <t xml:space="preserve">Basis</t>
  </si>
  <si>
    <t xml:space="preserve">Source / cross-check</t>
  </si>
  <si>
    <t xml:space="preserve">A.  PLATFORM DEVELOPMENT INVESTMENT  (one-time, INR cr)</t>
  </si>
  <si>
    <t xml:space="preserve">Concept, styling &amp; platform design</t>
  </si>
  <si>
    <t xml:space="preserve">Estimate</t>
  </si>
  <si>
    <t xml:space="preserve">Scaled from disclosed programme totals; no OEM discloses this line separately</t>
  </si>
  <si>
    <t xml:space="preserve">Body / chassis architecture engineering</t>
  </si>
  <si>
    <t xml:space="preserve">BEV skateboard carries higher structural content (battery-in-floor)</t>
  </si>
  <si>
    <t xml:space="preserve">Powertrain development (ICE: engine + transmission family; EV: e-drive, pack, BMS, thermal)</t>
  </si>
  <si>
    <t xml:space="preserve">Cross-check: Renault CMF-A total EUR400m covered platform + new engine + new gearbox + 300k plant</t>
  </si>
  <si>
    <t xml:space="preserve">E/E architecture, electronics &amp; software</t>
  </si>
  <si>
    <t xml:space="preserve">Largest ICE-to-EV step-up. Ola cites ~INR 2,000cr for the whole Gen-3 architecture incl. cell/motor integration</t>
  </si>
  <si>
    <t xml:space="preserve">Prototyping, testing &amp; validation (crash, durability, NVH)</t>
  </si>
  <si>
    <t xml:space="preserve">Homologation &amp; regulatory certification</t>
  </si>
  <si>
    <t xml:space="preserve">Supplier development &amp; common-part tooling</t>
  </si>
  <si>
    <t xml:space="preserve">Contingency &amp; programme management</t>
  </si>
  <si>
    <t xml:space="preserve">% of above</t>
  </si>
  <si>
    <t xml:space="preserve">LEVER</t>
  </si>
  <si>
    <t xml:space="preserve">Control Panel override. Set 1.5x for a global-scalable architecture, 0.7x for a derivative platform</t>
  </si>
  <si>
    <t xml:space="preserve">B.  PER-MODEL 'TOP HAT' INVESTMENT  (INR cr per model)</t>
  </si>
  <si>
    <t xml:space="preserve">Model styling &amp; upper-body engineering</t>
  </si>
  <si>
    <t xml:space="preserve">Model-specific tooling (stamping dies, moulds, jigs)</t>
  </si>
  <si>
    <t xml:space="preserve">Single biggest top-hat item; scales with body-panel count, not with volume</t>
  </si>
  <si>
    <t xml:space="preserve">Model-specific validation &amp; homologation</t>
  </si>
  <si>
    <t xml:space="preserve">Launch, marketing &amp; network readiness</t>
  </si>
  <si>
    <t xml:space="preserve">Model-specific line &amp; fixture changes</t>
  </si>
  <si>
    <t xml:space="preserve">Control Panel override. Cross-check: new Swift (2011) cost INR 550cr incl. supplier spend</t>
  </si>
  <si>
    <t xml:space="preserve">C.  PLATFORM SHARING PARAMETERS</t>
  </si>
  <si>
    <t xml:space="preserve">% of platform eng.</t>
  </si>
  <si>
    <t xml:space="preserve">Ola: further Gen-3 products need 'limited incremental R&amp;D'</t>
  </si>
  <si>
    <t xml:space="preserve">Dedicated architecture cost if the model were built standalone</t>
  </si>
  <si>
    <t xml:space="preserve">% of modular platform eng.</t>
  </si>
  <si>
    <t xml:space="preserve">A standalone architecture is cheaper than a scalable modular one, but only modestly</t>
  </si>
  <si>
    <t xml:space="preserve">BOM benefit per doubling of platform component volume</t>
  </si>
  <si>
    <t xml:space="preserve">% of BOM</t>
  </si>
  <si>
    <t xml:space="preserve">VW targeted c.20% component cost saving from MQB; treated here as a per-doubling learning rate</t>
  </si>
  <si>
    <t xml:space="preserve">Number of models on platform</t>
  </si>
  <si>
    <t xml:space="preserve">HEARTECT underpins 8-9 Maruti models; INGLO has 3 launched</t>
  </si>
  <si>
    <t xml:space="preserve">Mid-cycle facelift cost</t>
  </si>
  <si>
    <t xml:space="preserve">% of top hat</t>
  </si>
  <si>
    <t xml:space="preserve">D.  CAPACITY / PLANT INVESTMENT</t>
  </si>
  <si>
    <t xml:space="preserve">Capacity capex per unit of annual capacity</t>
  </si>
  <si>
    <t xml:space="preserve">Reported (derived)</t>
  </si>
  <si>
    <t xml:space="preserve">Cars: Toyota Bidadi INR 3,300cr/100k; Maruti Khoraj INR 35,000cr/1.0m; Tata-JLR Ranipet INR 9,000cr/250k. 2W: RE Cheyyar INR 958cr/540k; Bajaj CTL Akurdi INR 750cr/500k; RE Andhra (greenfield) INR 2,500cr/450k</t>
  </si>
  <si>
    <t xml:space="preserve">Annual capacity built for this platform</t>
  </si>
  <si>
    <t xml:space="preserve">Defaults are set just above the default model count x peak volume. Cut this below that product and capacity becomes the binding constraint on programme volume - which is exactly what happens in practice</t>
  </si>
  <si>
    <t xml:space="preserve">Share of capacity capex attributable to this platform</t>
  </si>
  <si>
    <t xml:space="preserve">Brownfield / shared lines carry a low attribution; a dedicated BEV plant carries a high one</t>
  </si>
  <si>
    <t xml:space="preserve">E.  PER-UNIT ECONOMICS  (at start of production)</t>
  </si>
  <si>
    <t xml:space="preserve">Net realisation (ex-factory, ex-GST)</t>
  </si>
  <si>
    <t xml:space="preserve">INR/unit</t>
  </si>
  <si>
    <t xml:space="preserve">Non-battery bill of materials</t>
  </si>
  <si>
    <t xml:space="preserve">Battery pack size</t>
  </si>
  <si>
    <t xml:space="preserve">kWh</t>
  </si>
  <si>
    <t xml:space="preserve">Battery pack cost</t>
  </si>
  <si>
    <t xml:space="preserve">INR/kWh</t>
  </si>
  <si>
    <t xml:space="preserve">Reported (BNEF)</t>
  </si>
  <si>
    <t xml:space="preserve">BNEF 2025 survey: BEV packs USD99/kWh; LFP USD81/kWh; China USD84/kWh. Converted at c.INR 88/USD</t>
  </si>
  <si>
    <t xml:space="preserve">Direct conversion cost (labour, energy, consumables)</t>
  </si>
  <si>
    <t xml:space="preserve">Warranty &amp; after-sales provision</t>
  </si>
  <si>
    <t xml:space="preserve">Freight &amp; variable selling</t>
  </si>
  <si>
    <t xml:space="preserve">Corporate SG&amp;A and brand allocated to programme</t>
  </si>
  <si>
    <t xml:space="preserve">% of revenue</t>
  </si>
  <si>
    <t xml:space="preserve">EV 2W carries the highest load: D2C network build plus brand from zero</t>
  </si>
  <si>
    <t xml:space="preserve">F.  PROGRAMME &amp; VOLUME</t>
  </si>
  <si>
    <t xml:space="preserve">EV lifecycles assumed shorter: faster cell/electronics obsolescence</t>
  </si>
  <si>
    <t xml:space="preserve">Development period before start of production</t>
  </si>
  <si>
    <t xml:space="preserve">VW MQB took c.4 years; Ather took 4 years to first product</t>
  </si>
  <si>
    <t xml:space="preserve">Annual change in non-battery BOM cost</t>
  </si>
  <si>
    <t xml:space="preserve">Annual change in battery pack cost</t>
  </si>
  <si>
    <t xml:space="preserve">BNEF: pack prices -8% in 2025; -93% since 2010. -5% p.a. is a deliberately conservative forward rate</t>
  </si>
  <si>
    <t xml:space="preserve">G.  FINANCIAL</t>
  </si>
  <si>
    <t xml:space="preserve">WACC (discount rate)</t>
  </si>
  <si>
    <t xml:space="preserve">Effective tax rate</t>
  </si>
  <si>
    <t xml:space="preserve">Reported</t>
  </si>
  <si>
    <t xml:space="preserve">India statutory concessional rate</t>
  </si>
  <si>
    <t xml:space="preserve">Amortisation life of capitalised development</t>
  </si>
  <si>
    <t xml:space="preserve">Depreciation life of capacity capex</t>
  </si>
  <si>
    <t xml:space="preserve">Working capital as % of revenue</t>
  </si>
  <si>
    <t xml:space="preserve">Indian OEMs typically run negative working capital</t>
  </si>
  <si>
    <t xml:space="preserve">H.  VOLUME RAMP PROFILE  (% of peak annual volume, by production year)</t>
  </si>
  <si>
    <t xml:space="preserve">Production year</t>
  </si>
  <si>
    <t xml:space="preserve">% of peak volume</t>
  </si>
  <si>
    <t xml:space="preserve">Sum of ramp factors within lifecycle</t>
  </si>
  <si>
    <t xml:space="preserve">Note: 'Reported' = figure disclosed by a company, regulator or industry survey (see Sources tab). 'Estimate' = Bernstein estimate, triangulated against disclosed programme totals. 'LEVER' = overridable on the Control Panel.</t>
  </si>
  <si>
    <t xml:space="preserve">INVESTMENT BUILD  |  What it costs to create a platform and put models on it</t>
  </si>
  <si>
    <t xml:space="preserve">Development investment is platform-specific and sunk. Capacity capex is fungible across platforms and is shown separately.</t>
  </si>
  <si>
    <t xml:space="preserve">Value</t>
  </si>
  <si>
    <t xml:space="preserve">% of eng.</t>
  </si>
  <si>
    <t xml:space="preserve">A.  PLATFORM ENGINEERING  (one-time, independent of model count)</t>
  </si>
  <si>
    <t xml:space="preserve">Powertrain development</t>
  </si>
  <si>
    <t xml:space="preserve">Prototyping, testing &amp; validation</t>
  </si>
  <si>
    <t xml:space="preserve">Sub-total, core engineering</t>
  </si>
  <si>
    <t xml:space="preserve">PLATFORM ENGINEERING INVESTMENT (base architecture)</t>
  </si>
  <si>
    <t xml:space="preserve">Incremental platform re-engineering for models 2..N</t>
  </si>
  <si>
    <t xml:space="preserve">TOTAL PLATFORM-LEVEL INVESTMENT</t>
  </si>
  <si>
    <t xml:space="preserve">B.  PER-MODEL 'TOP HAT' INVESTMENT</t>
  </si>
  <si>
    <t xml:space="preserve">INR cr / model</t>
  </si>
  <si>
    <t xml:space="preserve">Model-specific tooling (dies, moulds, jigs)</t>
  </si>
  <si>
    <t xml:space="preserve">TOP-HAT INVESTMENT PER MODEL</t>
  </si>
  <si>
    <t xml:space="preserve">TOTAL TOP-HAT INVESTMENT (all models)</t>
  </si>
  <si>
    <t xml:space="preserve">C.  TOTAL DEVELOPMENT INVESTMENT</t>
  </si>
  <si>
    <t xml:space="preserve">TOTAL DEVELOPMENT INVESTMENT  (platform + all top hats)</t>
  </si>
  <si>
    <t xml:space="preserve">of which platform-level</t>
  </si>
  <si>
    <t xml:space="preserve">D.  CAPACITY / PLANT INVESTMENT  (shown separately: fungible across platforms)</t>
  </si>
  <si>
    <t xml:space="preserve">Gross capacity capex</t>
  </si>
  <si>
    <t xml:space="preserve">Share attributable to this platform</t>
  </si>
  <si>
    <t xml:space="preserve">CAPACITY CAPEX ATTRIBUTED TO PLATFORM</t>
  </si>
  <si>
    <t xml:space="preserve">E.  TOTAL INVESTED CAPITAL</t>
  </si>
  <si>
    <t xml:space="preserve">TOTAL INVESTED CAPITAL  (development + attributed capacity)</t>
  </si>
  <si>
    <t xml:space="preserve">F.  INVESTMENT PER UNIT OF LIFETIME VOLUME</t>
  </si>
  <si>
    <t xml:space="preserve">Total invested capital per unit</t>
  </si>
  <si>
    <t xml:space="preserve">Development investment as % of one unit's net realisation</t>
  </si>
  <si>
    <t xml:space="preserve">UNIT ECONOMICS  |  Per-vehicle profit-and-loss at start of production</t>
  </si>
  <si>
    <t xml:space="preserve">Contribution margin is what services the platform investment. Everything below the contribution line is fixed or sunk.</t>
  </si>
  <si>
    <t xml:space="preserve">INR / unit</t>
  </si>
  <si>
    <t xml:space="preserve">REVENUE AND VARIABLE COST</t>
  </si>
  <si>
    <t xml:space="preserve">Battery pack   (pack size x pack cost)</t>
  </si>
  <si>
    <t xml:space="preserve">BOM before platform scale benefit</t>
  </si>
  <si>
    <t xml:space="preserve">Platform scale benefit on BOM</t>
  </si>
  <si>
    <t xml:space="preserve">Total bill of materials</t>
  </si>
  <si>
    <t xml:space="preserve">Total variable cost</t>
  </si>
  <si>
    <t xml:space="preserve">Annual programme volume at plateau</t>
  </si>
  <si>
    <t xml:space="preserve">CONTRIBUTION</t>
  </si>
  <si>
    <t xml:space="preserve">CONTRIBUTION PER UNIT</t>
  </si>
  <si>
    <t xml:space="preserve">Contribution margin</t>
  </si>
  <si>
    <t xml:space="preserve">FIXED AND SUNK COSTS SPREAD OVER THE UNIT</t>
  </si>
  <si>
    <t xml:space="preserve">Corporate SG&amp;A &amp; brand allocated to programme</t>
  </si>
  <si>
    <t xml:space="preserve">Amortisation of development investment</t>
  </si>
  <si>
    <t xml:space="preserve">over lifetime volume</t>
  </si>
  <si>
    <t xml:space="preserve">Depreciation of attributed capacity capex</t>
  </si>
  <si>
    <t xml:space="preserve">PROGRAMME EBIT PER UNIT (fully loaded)</t>
  </si>
  <si>
    <t xml:space="preserve">Programme EBIT margin (fully loaded)</t>
  </si>
  <si>
    <t xml:space="preserve">Memo: development + capacity burden as % of net realisation</t>
  </si>
  <si>
    <t xml:space="preserve">Memo: units required to cover one year of fixed manufacturing overhead</t>
  </si>
  <si>
    <t xml:space="preserve">Memo: BOM saving from running components across all models on the platform</t>
  </si>
  <si>
    <t xml:space="preserve">The platform scale benefit on row 12 is the third and least-modelled effect of sharing: common components run at N times the volume of a single-model programme, so unit BOM falls. It is applied here at the active model count, and it flows through to the Programme Returns cash flow, so the three sheets tie.</t>
  </si>
  <si>
    <t xml:space="preserve">PROGRAMME RETURNS  |  Full-lifecycle cash flow, break-even and IRR</t>
  </si>
  <si>
    <t xml:space="preserve">Year 1 is the first year of development spend. Production starts once the development period is complete.</t>
  </si>
  <si>
    <t xml:space="preserve">PROGRAMME SUMMARY</t>
  </si>
  <si>
    <t xml:space="preserve">Total development investment</t>
  </si>
  <si>
    <t xml:space="preserve">Capacity capex attributed</t>
  </si>
  <si>
    <t xml:space="preserve">Total invested capital</t>
  </si>
  <si>
    <t xml:space="preserve">Number of models</t>
  </si>
  <si>
    <t xml:space="preserve">Peak annual programme volume</t>
  </si>
  <si>
    <t xml:space="preserve">Break-even volume - development only</t>
  </si>
  <si>
    <t xml:space="preserve">LIFECYCLE CASH FLOW  (INR cr unless stated)</t>
  </si>
  <si>
    <t xml:space="preserve">Year from start of development</t>
  </si>
  <si>
    <t xml:space="preserve">Development year</t>
  </si>
  <si>
    <t xml:space="preserve">Programme volume</t>
  </si>
  <si>
    <t xml:space="preserve">Cumulative volume</t>
  </si>
  <si>
    <t xml:space="preserve">Net realisation per unit</t>
  </si>
  <si>
    <t xml:space="preserve">Revenue</t>
  </si>
  <si>
    <t xml:space="preserve">Non-battery BOM per unit (after platform scale benefit)</t>
  </si>
  <si>
    <t xml:space="preserve">Battery pack per unit (after platform scale benefit)</t>
  </si>
  <si>
    <t xml:space="preserve">Conversion, warranty &amp; variable selling per unit</t>
  </si>
  <si>
    <t xml:space="preserve">Contribution per unit</t>
  </si>
  <si>
    <t xml:space="preserve">Contribution</t>
  </si>
  <si>
    <t xml:space="preserve">Corporate SG&amp;A allocated</t>
  </si>
  <si>
    <t xml:space="preserve">EBITDA</t>
  </si>
  <si>
    <t xml:space="preserve">Depreciation of capacity capex</t>
  </si>
  <si>
    <t xml:space="preserve">EBIT</t>
  </si>
  <si>
    <t xml:space="preserve">Tax</t>
  </si>
  <si>
    <t xml:space="preserve">Helper: year if cumulative FCF positive</t>
  </si>
  <si>
    <t xml:space="preserve">NOPAT</t>
  </si>
  <si>
    <t xml:space="preserve">Add back D&amp;A</t>
  </si>
  <si>
    <t xml:space="preserve">Development capex</t>
  </si>
  <si>
    <t xml:space="preserve">Capacity capex</t>
  </si>
  <si>
    <t xml:space="preserve">Free cash flow</t>
  </si>
  <si>
    <t xml:space="preserve">Cumulative free cash flow</t>
  </si>
  <si>
    <t xml:space="preserve">Discount factor</t>
  </si>
  <si>
    <t xml:space="preserve">PV of free cash flow</t>
  </si>
  <si>
    <t xml:space="preserve">Note: development capex is spread evenly across the development period; capacity capex across its final two years. Working capital is excluded from the cash flow because Indian OEMs typically run it negative, which would flatter the programme.</t>
  </si>
  <si>
    <t xml:space="preserve">PLATFORM SHARING  |  What changes as you put more models on one architecture</t>
  </si>
  <si>
    <t xml:space="preserve">Shared route: one platform, N top hats. Standalone route: N dedicated architectures. Same models, same volumes.</t>
  </si>
  <si>
    <t xml:space="preserve">Platform engineering (base architecture)</t>
  </si>
  <si>
    <t xml:space="preserve">Top-hat investment (N models)</t>
  </si>
  <si>
    <t xml:space="preserve">SHARED ROUTE - total development investment</t>
  </si>
  <si>
    <t xml:space="preserve">STANDALONE ROUTE - N dedicated architectures</t>
  </si>
  <si>
    <t xml:space="preserve">Investment saved by sharing</t>
  </si>
  <si>
    <t xml:space="preserve">Saving as % of standalone</t>
  </si>
  <si>
    <t xml:space="preserve">Lifetime volume</t>
  </si>
  <si>
    <t xml:space="preserve">Development investment per unit - SHARED</t>
  </si>
  <si>
    <t xml:space="preserve">Development investment per unit - STANDALONE</t>
  </si>
  <si>
    <t xml:space="preserve">Development burden per unit, % of net realisation - SHARED</t>
  </si>
  <si>
    <t xml:space="preserve">Component-volume doublings vs a single-model platform</t>
  </si>
  <si>
    <t xml:space="preserve">BOM benefit from platform scale</t>
  </si>
  <si>
    <t xml:space="preserve">Contribution per unit after scale benefit</t>
  </si>
  <si>
    <t xml:space="preserve">Contribution margin after scale benefit</t>
  </si>
  <si>
    <t xml:space="preserve">Break-even volume on development investment</t>
  </si>
  <si>
    <t xml:space="preserve">Break-even (development only) as % of lifetime volume</t>
  </si>
  <si>
    <t xml:space="preserve">Fully-loaded EBIT margin at plateau volume</t>
  </si>
  <si>
    <t xml:space="preserve">How to read this</t>
  </si>
  <si>
    <t xml:space="preserve">Three separate effects compound as model count rises. One: the platform engineering bill is paid once, not N times. Two: that bill is spread over N times the volume, so development cost per unit collapses. Three: common components run at N times the volume, so BOM falls and contribution per unit rises. The third effect is the one most models miss, and it is why break-even volume per model falls faster than investment per model.</t>
  </si>
  <si>
    <t xml:space="preserve">The saving at N=1 is negative, and that is not an error. A modular, scalable architecture is deliberately over-engineered for flexibility it does not yet use, so it costs more than a dedicated single-model architecture would. Platform strategy is a bet on model count. Make one model and you have simply paid a premium for optionality; make three or more and the bet pays.</t>
  </si>
  <si>
    <t xml:space="preserve">SENSITIVITIES  |  Model count, volume and margin</t>
  </si>
  <si>
    <t xml:space="preserve">All grids recompute off the active segment. Row and column headers in blue are editable.</t>
  </si>
  <si>
    <t xml:space="preserve">GRID 1  |  Development investment per unit (INR)  -  rows: models on platform, columns: peak volume per model</t>
  </si>
  <si>
    <t xml:space="preserve">Peak volume per model (units) -&gt;</t>
  </si>
  <si>
    <t xml:space="preserve">Models on platform</t>
  </si>
  <si>
    <t xml:space="preserve">Grid 1: total development investment (platform + N top hats) divided by lifetime platform volume. Reading down a column shows the return to model count; reading across a row shows the return to volume. The first added model is worth far more than the eighth.</t>
  </si>
  <si>
    <t xml:space="preserve">GRID 2  |  Break-even volume PER MODEL on development investment (units)  -  rows: contribution margin, columns: models on platform</t>
  </si>
  <si>
    <t xml:space="preserve">Models on platform -&gt;</t>
  </si>
  <si>
    <t xml:space="preserve">Grid 2: units each individual model must sell to repay the whole platform's development bill. It falls with model count because the platform is paid for once, and falls with margin because each unit repays more.</t>
  </si>
  <si>
    <t xml:space="preserve">GRID 3  |  Fully-loaded programme EBIT margin  -  rows: models on platform, columns: peak volume per model</t>
  </si>
  <si>
    <t xml:space="preserve">Grid 3 excludes capacity depreciation, so it measures the return on the platform decision itself rather than on the plant. Negative cells are programmes that never earn back their engineering at that volume. Note the shape: below roughly 50,000 units per model, adding models rescues the economics far more than adding volume does.</t>
  </si>
  <si>
    <t xml:space="preserve">REAL-WORLD PLATFORMS  |  Disclosed and derived figures for actual architectures</t>
  </si>
  <si>
    <t xml:space="preserve">Green 'Reported' rows are company or survey disclosures. Grey 'Derived' figures are arithmetic on reported numbers. No estimates are introduced on this sheet.</t>
  </si>
  <si>
    <t xml:space="preserve">OEM</t>
  </si>
  <si>
    <t xml:space="preserve">Platform / programme</t>
  </si>
  <si>
    <t xml:space="preserve">Region</t>
  </si>
  <si>
    <t xml:space="preserve">Type</t>
  </si>
  <si>
    <t xml:space="preserve">Disclosed investment</t>
  </si>
  <si>
    <t xml:space="preserve">What the figure covers</t>
  </si>
  <si>
    <t xml:space="preserve">Volume reference</t>
  </si>
  <si>
    <t xml:space="preserve">--- PASSENGER CARS: GLOBAL ---</t>
  </si>
  <si>
    <t xml:space="preserve">Volkswagen Group</t>
  </si>
  <si>
    <t xml:space="preserve">MQB (Modularer Querbaukasten)</t>
  </si>
  <si>
    <t xml:space="preserve">Global</t>
  </si>
  <si>
    <t xml:space="preserve">ICE / multi-energy</t>
  </si>
  <si>
    <t xml:space="preserve">c.USD 8bn (platform + cars); c.EUR 50bn cited for the wider modular toolkit incl. plant conversion</t>
  </si>
  <si>
    <t xml:space="preserve">The gap between the two figures is the point: architecture engineering vs total capital deployed to make plants MQB-capable</t>
  </si>
  <si>
    <t xml:space="preserve">Golf, A3, Leon, Octavia, Tiguan, Passat and 30+ others</t>
  </si>
  <si>
    <t xml:space="preserve">45m+ vehicles produced to 2023</t>
  </si>
  <si>
    <t xml:space="preserve">MQB - claimed benefit</t>
  </si>
  <si>
    <t xml:space="preserve">ICE</t>
  </si>
  <si>
    <t xml:space="preserve">Morgan Stanley estimated up to USD 19bn p.a. of savings by 2019</t>
  </si>
  <si>
    <t xml:space="preserve">VW targeted c.20% component cost saving and c.20% production time reduction</t>
  </si>
  <si>
    <t xml:space="preserve">n/a</t>
  </si>
  <si>
    <t xml:space="preserve">Reported (third-party)</t>
  </si>
  <si>
    <t xml:space="preserve">Renault-Nissan Alliance</t>
  </si>
  <si>
    <t xml:space="preserve">CMF-A (Kwid / redi-GO)</t>
  </si>
  <si>
    <t xml:space="preserve">India</t>
  </si>
  <si>
    <t xml:space="preserve">EUR 400m (c.USD 450m) total</t>
  </si>
  <si>
    <t xml:space="preserve">Programme chief G. Detourbet: covered a wholly new modular platform, a new engine, a new gearbox AND a 300,000 unit/yr plant</t>
  </si>
  <si>
    <t xml:space="preserve">Kwid, redi-GO, Triber, Magnite (CMF-A+)</t>
  </si>
  <si>
    <t xml:space="preserve">c.319k units global output forecast 2019</t>
  </si>
  <si>
    <t xml:space="preserve">Kwid - India programme</t>
  </si>
  <si>
    <t xml:space="preserve">INR 2,000-3,000cr cited for design, development and manufacturing</t>
  </si>
  <si>
    <t xml:space="preserve">Wide public range; the EUR 400m figure above is the more precise disclosure</t>
  </si>
  <si>
    <t xml:space="preserve">Kwid family</t>
  </si>
  <si>
    <t xml:space="preserve">98% localisation at launch</t>
  </si>
  <si>
    <t xml:space="preserve">Ford</t>
  </si>
  <si>
    <t xml:space="preserve">Universal EV Platform</t>
  </si>
  <si>
    <t xml:space="preserve">US</t>
  </si>
  <si>
    <t xml:space="preserve">BEV</t>
  </si>
  <si>
    <t xml:space="preserve">USD 5bn</t>
  </si>
  <si>
    <t xml:space="preserve">Covers the platform AND the Universal EV Production System</t>
  </si>
  <si>
    <t xml:space="preserve">Affordable EV family</t>
  </si>
  <si>
    <t xml:space="preserve">Renault-Nissan-Mitsubishi</t>
  </si>
  <si>
    <t xml:space="preserve">5 common EV platforms</t>
  </si>
  <si>
    <t xml:space="preserve">EUR 23bn over 5 years</t>
  </si>
  <si>
    <t xml:space="preserve">Whole EV and connected-vehicle roadmap, not one platform</t>
  </si>
  <si>
    <t xml:space="preserve">35 new EVs by 2030; 90% on 5 platforms</t>
  </si>
  <si>
    <t xml:space="preserve">CMF-EV targeted 1.5m units p.a.; CMF-BEV c.250k p.a.</t>
  </si>
  <si>
    <t xml:space="preserve">Hyundai Motor Group</t>
  </si>
  <si>
    <t xml:space="preserve">E-GMP</t>
  </si>
  <si>
    <t xml:space="preserve">Not separately disclosed</t>
  </si>
  <si>
    <t xml:space="preserve">Group announced KRW 109.4tn (c.USD 85bn) over 10 years to 2032, incl. the IMA successor to E-GMP</t>
  </si>
  <si>
    <t xml:space="preserve">Ioniq 5, Ioniq 6, EV6, EV9 and others</t>
  </si>
  <si>
    <t xml:space="preserve">Reported (group level)</t>
  </si>
  <si>
    <t xml:space="preserve">--- PASSENGER CARS: INDIA ---</t>
  </si>
  <si>
    <t xml:space="preserve">Mahindra &amp; Mahindra</t>
  </si>
  <si>
    <t xml:space="preserve">INGLO</t>
  </si>
  <si>
    <t xml:space="preserve">INR 4,500cr</t>
  </si>
  <si>
    <t xml:space="preserve">Company disclosure: powertrain development, TWO product top hats, software and tech, AND manufacturing capacity. Part of the INR 16,000cr F22-F27 cycle</t>
  </si>
  <si>
    <t xml:space="preserve">BE 6, XEV 9e, XEV 9S</t>
  </si>
  <si>
    <t xml:space="preserve">Capacity target 120k units p.a. by FY26 on INR 6,500cr</t>
  </si>
  <si>
    <t xml:space="preserve">Dedicated BEV plant, Pune</t>
  </si>
  <si>
    <t xml:space="preserve">INR 10,000cr over 7-8 years</t>
  </si>
  <si>
    <t xml:space="preserve">Plant only</t>
  </si>
  <si>
    <t xml:space="preserve">Born Electric range</t>
  </si>
  <si>
    <t xml:space="preserve">200,000 EV units p.a. design capacity</t>
  </si>
  <si>
    <t xml:space="preserve">Tata Motors</t>
  </si>
  <si>
    <t xml:space="preserve">ALFA / OMEGA / acti.ev</t>
  </si>
  <si>
    <t xml:space="preserve">ICE + BEV</t>
  </si>
  <si>
    <t xml:space="preserve">INR 35,000cr over 5 years (PV + EV, all-in)</t>
  </si>
  <si>
    <t xml:space="preserve">Not platform-specific. Company is consolidating c.6 platforms to 2-3. Avinya uses JLR EMA under licence rather than in-house build</t>
  </si>
  <si>
    <t xml:space="preserve">Altroz, Punch, Nexon (ALFA); Harrier, Safari (OMEGA)</t>
  </si>
  <si>
    <t xml:space="preserve">Tata Motors / JLR</t>
  </si>
  <si>
    <t xml:space="preserve">Ranipet plant (EMA + Tata EVs)</t>
  </si>
  <si>
    <t xml:space="preserve">INR 9,000cr</t>
  </si>
  <si>
    <t xml:space="preserve">Greenfield plant; MoU to first vehicle in 17 months</t>
  </si>
  <si>
    <t xml:space="preserve">EMA-based JLR and Tata EVs</t>
  </si>
  <si>
    <t xml:space="preserve">250,000 units p.a. at full capacity</t>
  </si>
  <si>
    <t xml:space="preserve">Maruti Suzuki</t>
  </si>
  <si>
    <t xml:space="preserve">HEARTECT</t>
  </si>
  <si>
    <t xml:space="preserve">Not disclosed</t>
  </si>
  <si>
    <t xml:space="preserve">The clearest Indian example of platform leverage: one architecture, 8-9 nameplates</t>
  </si>
  <si>
    <t xml:space="preserve">Swift, Dzire, Baleno, WagonR, Ignis, S-Presso, Ertiga, XL6, Fronx</t>
  </si>
  <si>
    <t xml:space="preserve">India's highest-volume car architecture</t>
  </si>
  <si>
    <t xml:space="preserve">Reported (model count)</t>
  </si>
  <si>
    <t xml:space="preserve">Swift (2011 generation)</t>
  </si>
  <si>
    <t xml:space="preserve">INR 550cr</t>
  </si>
  <si>
    <t xml:space="preserve">Management disclosure: invested by Maruti AND its suppliers to develop the new car, at 95% localisation. A useful anchor for what a single India top hat costs</t>
  </si>
  <si>
    <t xml:space="preserve">One nameplate</t>
  </si>
  <si>
    <t xml:space="preserve">Khoraj plant, Gujarat</t>
  </si>
  <si>
    <t xml:space="preserve">c.INR 35,000cr</t>
  </si>
  <si>
    <t xml:space="preserve">Four units of 250k each; production from FY29</t>
  </si>
  <si>
    <t xml:space="preserve">1,000,000 units p.a.</t>
  </si>
  <si>
    <t xml:space="preserve">Toyota Kirloskar</t>
  </si>
  <si>
    <t xml:space="preserve">Bidadi third plant</t>
  </si>
  <si>
    <t xml:space="preserve">ICE / hybrid</t>
  </si>
  <si>
    <t xml:space="preserve">INR 3,300cr</t>
  </si>
  <si>
    <t xml:space="preserve">100,000 units p.a. added</t>
  </si>
  <si>
    <t xml:space="preserve">JSW MG Motor</t>
  </si>
  <si>
    <t xml:space="preserve">Capacity expansion</t>
  </si>
  <si>
    <t xml:space="preserve">BEV + hybrid</t>
  </si>
  <si>
    <t xml:space="preserve">USD 330-440m (INR 3,000-4,000cr)</t>
  </si>
  <si>
    <t xml:space="preserve">to c.300,000 units p.a.</t>
  </si>
  <si>
    <t xml:space="preserve">--- TWO-WHEELERS: INDIA ---</t>
  </si>
  <si>
    <t xml:space="preserve">Ola Electric</t>
  </si>
  <si>
    <t xml:space="preserve">Gen 3 architecture</t>
  </si>
  <si>
    <t xml:space="preserve">c.INR 2,000cr</t>
  </si>
  <si>
    <t xml:space="preserve">Company disclosure: the platform R&amp;D bill, now 'stabilised into a mature Gen3 architecture'. Management states further products on it require 'limited incremental R&amp;D' - the sharing argument in the company's own words</t>
  </si>
  <si>
    <t xml:space="preserve">S1 X, S1 X+, S1 Pro, S1 Pro+, Roadster X, Roadster X+</t>
  </si>
  <si>
    <t xml:space="preserve">Gen 3 delivered c.11% cost reduction vs Gen 2</t>
  </si>
  <si>
    <t xml:space="preserve">Auto segment break-even</t>
  </si>
  <si>
    <t xml:space="preserve">At a steady-state opex of c.INR 250-300cr per quarter, management guides EBITDA break-even at c.15,000 units per month (down from an earlier c.25,000 and c.50,000)</t>
  </si>
  <si>
    <t xml:space="preserve">c.180,000 units p.a. break-even run-rate</t>
  </si>
  <si>
    <t xml:space="preserve">Ather Energy</t>
  </si>
  <si>
    <t xml:space="preserve">450 and Rizta platforms</t>
  </si>
  <si>
    <t xml:space="preserve">R&amp;D: INR 101cr FY22, INR 192cr FY23, INR 237cr FY24, INR 340-350cr FY25, INR 210cr H1FY26</t>
  </si>
  <si>
    <t xml:space="preserve">Cumulative R&amp;D of roughly INR 1,100cr has funded two scooter platforms plus the Atherstack software and Ather Grid. R&amp;D was 15% of revenue in 9M FY25; 46% of headcount sits in R&amp;D</t>
  </si>
  <si>
    <t xml:space="preserve">Ather 450 line, Rizta line</t>
  </si>
  <si>
    <t xml:space="preserve">303 patents filed, 201 designs registered</t>
  </si>
  <si>
    <t xml:space="preserve">Bajaj Auto</t>
  </si>
  <si>
    <t xml:space="preserve">Chetak Technology, Akurdi</t>
  </si>
  <si>
    <t xml:space="preserve">c.INR 750cr including vendor partners</t>
  </si>
  <si>
    <t xml:space="preserve">Dedicated EV plant co-located with an R&amp;D centre</t>
  </si>
  <si>
    <t xml:space="preserve">Chetak family</t>
  </si>
  <si>
    <t xml:space="preserve">500,000 units p.a. capacity</t>
  </si>
  <si>
    <t xml:space="preserve">Royal Enfield (Eicher)</t>
  </si>
  <si>
    <t xml:space="preserve">FY27 capex plan</t>
  </si>
  <si>
    <t xml:space="preserve">INR 2,200cr for FY27</t>
  </si>
  <si>
    <t xml:space="preserve">c.INR 1,000cr to capacity, the remaining c.INR 1,200cr to new product development and EV programmes. Useful as an annual product-development run-rate for a c.1.2m unit premium 2W business</t>
  </si>
  <si>
    <t xml:space="preserve">J-platform (Classic, Meteor, Hunter, Bullet); 650 twins</t>
  </si>
  <si>
    <t xml:space="preserve">12.27 lakh motorcycles sold FY26</t>
  </si>
  <si>
    <t xml:space="preserve">Cheyyar brownfield expansion</t>
  </si>
  <si>
    <t xml:space="preserve">INR 958cr</t>
  </si>
  <si>
    <t xml:space="preserve">Brownfield capacity only: 14.6 lakh to 20 lakh units p.a.</t>
  </si>
  <si>
    <t xml:space="preserve">+540,000 units p.a.</t>
  </si>
  <si>
    <t xml:space="preserve">Tada greenfield plant, Andhra Pradesh</t>
  </si>
  <si>
    <t xml:space="preserve">INR 2,500cr (INR 1,225cr phase 1)</t>
  </si>
  <si>
    <t xml:space="preserve">Greenfield plant - note the per-unit cost is c.3x the brownfield figure above</t>
  </si>
  <si>
    <t xml:space="preserve">+450,000 units p.a. by FY30</t>
  </si>
  <si>
    <t xml:space="preserve">Hero MotoCorp</t>
  </si>
  <si>
    <t xml:space="preserve">Harley-Davidson X440 platform</t>
  </si>
  <si>
    <t xml:space="preserve">Sharing across brands: the Hero Mavrick 440 is built on the Harley-Davidson X440 platform, and a larger XPulse is being developed on it</t>
  </si>
  <si>
    <t xml:space="preserve">X440, Mavrick 440, XPulse (in development)</t>
  </si>
  <si>
    <t xml:space="preserve">Reported (product fact)</t>
  </si>
  <si>
    <t xml:space="preserve">In-house electric motorcycle platform</t>
  </si>
  <si>
    <t xml:space="preserve">Announced Q2 FY26: an all-new in-house platform spanning entry commuter to high-performance, leveraging Chetak Technology</t>
  </si>
  <si>
    <t xml:space="preserve">Pipeline</t>
  </si>
  <si>
    <t xml:space="preserve">Reported (announcement)</t>
  </si>
  <si>
    <t xml:space="preserve">--- DERIVED BENCHMARKS ---</t>
  </si>
  <si>
    <t xml:space="preserve">Cars, India</t>
  </si>
  <si>
    <t xml:space="preserve">Both</t>
  </si>
  <si>
    <t xml:space="preserve">INR 330,000 - 360,000 per unit</t>
  </si>
  <si>
    <t xml:space="preserve">Toyota Bidadi INR 3,300cr / 100k = INR 330,000. Maruti Khoraj INR 35,000cr / 1.0m = INR 350,000. Tata-JLR Ranipet INR 9,000cr / 250k = INR 360,000</t>
  </si>
  <si>
    <t xml:space="preserve">Derived</t>
  </si>
  <si>
    <t xml:space="preserve">2W, India</t>
  </si>
  <si>
    <t xml:space="preserve">INR 15,000 - 56,000 per unit</t>
  </si>
  <si>
    <t xml:space="preserve">Bajaj CTL Akurdi INR 750cr / 500k = INR 15,000. RE Cheyyar (brownfield) INR 958cr / 540k = INR 17,700. RE Tada (greenfield) INR 2,500cr / 450k = INR 55,600</t>
  </si>
  <si>
    <t xml:space="preserve">Cars vs 2W</t>
  </si>
  <si>
    <t xml:space="preserve">Capacity intensity ratio</t>
  </si>
  <si>
    <t xml:space="preserve">c.13x</t>
  </si>
  <si>
    <t xml:space="preserve">A car plant costs roughly thirteen times a two-wheeler plant per unit of annual capacity. The ASP ratio is closer to 10x, so cars are the more capital-intensive of the two even after adjusting for price</t>
  </si>
  <si>
    <t xml:space="preserve">Global benchmark</t>
  </si>
  <si>
    <t xml:space="preserve">New vehicle programme cost</t>
  </si>
  <si>
    <t xml:space="preserve">From c.USD 1bn</t>
  </si>
  <si>
    <t xml:space="preserve">IHS: a new model programme starts around USD 1bn in developed markets; a new plant can add another USD 1-2bn. The CMF-A figure above shows what an India-led, cost-targeted programme achieves against that benchmark</t>
  </si>
  <si>
    <t xml:space="preserve">BEV battery pack price</t>
  </si>
  <si>
    <t xml:space="preserve">USD 99/kWh (BEV packs, 2025)</t>
  </si>
  <si>
    <t xml:space="preserve">BNEF 2025 survey. All-segment average USD 108/kWh, -8% y/y. LFP packs USD 81/kWh. China USD 84/kWh; North America +44% and Europe +56% versus China</t>
  </si>
  <si>
    <t xml:space="preserve">EV vs ICE production cost</t>
  </si>
  <si>
    <t xml:space="preserve">EVs c.45% more expensive to build</t>
  </si>
  <si>
    <t xml:space="preserve">Oliver Wyman: for a C-segment car, ICE total build cost c.EUR 13,900. EVs save on assembly and drivetrain but the powertrain + e-drive + battery cluster is c.EUR 1,500 more, and E/E is c.EUR 2,000 more</t>
  </si>
  <si>
    <t xml:space="preserve">SOURCES  |  Every reported figure used in this model</t>
  </si>
  <si>
    <t xml:space="preserve">Data point</t>
  </si>
  <si>
    <t xml:space="preserve">Figure as reported</t>
  </si>
  <si>
    <t xml:space="preserve">Publisher / source</t>
  </si>
  <si>
    <t xml:space="preserve">URL</t>
  </si>
  <si>
    <t xml:space="preserve">VW MQB development cost</t>
  </si>
  <si>
    <t xml:space="preserve">c.USD 8bn spent developing the platform and the cars using it</t>
  </si>
  <si>
    <t xml:space="preserve">HandWiki / Jalopnik summary</t>
  </si>
  <si>
    <t xml:space="preserve">https://handwiki.org/wiki/Engineering:Volkswagen_Group_MQB_platform</t>
  </si>
  <si>
    <t xml:space="preserve">VW modular toolkit total outlay</t>
  </si>
  <si>
    <t xml:space="preserve">c.EUR 50bn cited by M. Winterkorn across four years, incl. plant preparation</t>
  </si>
  <si>
    <t xml:space="preserve">Autocar UK</t>
  </si>
  <si>
    <t xml:space="preserve">https://www.autocar.co.uk/car-news/industry/vw-could-sell-50bn-mqb-platform</t>
  </si>
  <si>
    <t xml:space="preserve">MQB savings estimate</t>
  </si>
  <si>
    <t xml:space="preserve">Morgan Stanley: up to USD 19bn p.a. of savings by 2019; c.20% component cost target</t>
  </si>
  <si>
    <t xml:space="preserve">Automotive Manufacturing Solutions</t>
  </si>
  <si>
    <t xml:space="preserve">https://www.automotivemanufacturingsolutions.com/strategy/vws-platforms-to-perform/541419</t>
  </si>
  <si>
    <t xml:space="preserve">MQB cumulative output</t>
  </si>
  <si>
    <t xml:space="preserve">45m+ vehicles produced on MQB to 2023</t>
  </si>
  <si>
    <t xml:space="preserve">Grokipedia (compiled)</t>
  </si>
  <si>
    <t xml:space="preserve">https://grokipedia.com/page/Volkswagen_Group_MQB_platform</t>
  </si>
  <si>
    <t xml:space="preserve">CMF-A programme cost</t>
  </si>
  <si>
    <t xml:space="preserve">EUR 400m total for a new modular platform, new engine, new gearbox and a 300k unit/yr plant (G. Detourbet)</t>
  </si>
  <si>
    <t xml:space="preserve">Forbes</t>
  </si>
  <si>
    <t xml:space="preserve">https://www.forbes.com/sites/bertelschmitt/2017/05/22/how-can-a-4100-renault-kwid-make-a-profit-the-answer-is-here/</t>
  </si>
  <si>
    <t xml:space="preserve">Kwid India investment</t>
  </si>
  <si>
    <t xml:space="preserve">c.INR 2,000cr development investment cited at unveiling</t>
  </si>
  <si>
    <t xml:space="preserve">Business Today</t>
  </si>
  <si>
    <t xml:space="preserve">https://www.businesstoday.in/sectors/auto/renault-unveils-kwid-in-india-priced-up-to-rs-four-lakh/story/219575.html</t>
  </si>
  <si>
    <t xml:space="preserve">Renault-Nissan India capacity cost</t>
  </si>
  <si>
    <t xml:space="preserve">INR 15-20bn to add 300,000 units of annual capacity</t>
  </si>
  <si>
    <t xml:space="preserve">S&amp;P Global AutoTechInsight</t>
  </si>
  <si>
    <t xml:space="preserve">https://autotechinsight.spglobal.com/news/20252/renault-nissan-plans-to-add-300000-units-of-capacity-in-india-for-new-entry-level-cars-</t>
  </si>
  <si>
    <t xml:space="preserve">Alliance EV roadmap</t>
  </si>
  <si>
    <t xml:space="preserve">EUR 23bn over five years; 35 EVs by 2030; 90% on five common platforms</t>
  </si>
  <si>
    <t xml:space="preserve">https://autotechinsight.spglobal.com/news/5264233/renault-nissan-mitsubishi-announce-a-shared-2030-roadmap-plan-to-invest-usd2571-billion</t>
  </si>
  <si>
    <t xml:space="preserve">Hyundai Motor Group investment</t>
  </si>
  <si>
    <t xml:space="preserve">KRW 109.4tn (USD 85bn+) over ten years to 2032, incl. the IMA successor to E-GMP</t>
  </si>
  <si>
    <t xml:space="preserve">https://autotechinsight.spglobal.com/news/5271176/hyundai-motor-group-to-invest-over-85-billion-on-new-technologies-by-2032</t>
  </si>
  <si>
    <t xml:space="preserve">Ford Universal EV Platform</t>
  </si>
  <si>
    <t xml:space="preserve">USD 5bn for the platform and the Universal EV Production System</t>
  </si>
  <si>
    <t xml:space="preserve">Engineer Live</t>
  </si>
  <si>
    <t xml:space="preserve">https://www.engineerlive.com/content/global-race-reinvent-electric-vehicle-powertrain-technologies</t>
  </si>
  <si>
    <t xml:space="preserve">M&amp;M INGLO investment</t>
  </si>
  <si>
    <t xml:space="preserve">INR 4,500cr covering powertrain development, two product top hats, software and tech, and manufacturing capacity; part of the INR 16,000cr F22-F27 cycle</t>
  </si>
  <si>
    <t xml:space="preserve">Mahindra press release</t>
  </si>
  <si>
    <t xml:space="preserve">https://www.mahindra.com/news-room/press-release/en/Mahindra-launches-BE-6e-and-XEV-9e</t>
  </si>
  <si>
    <t xml:space="preserve">M&amp;M EV capacity plan</t>
  </si>
  <si>
    <t xml:space="preserve">INR 6,500cr investment; capacity to 120,000 units p.a. by FY26 (XEV 9S launch)</t>
  </si>
  <si>
    <t xml:space="preserve">ScanX / company disclosure</t>
  </si>
  <si>
    <t xml:space="preserve">https://scanx.trade/stock-market-news/stocks/mahindra-unveils-xev9s-india-s-first-electric-7-seater-suv-starting-at-19-95-lakh/25764461</t>
  </si>
  <si>
    <t xml:space="preserve">M&amp;M dedicated EV plant</t>
  </si>
  <si>
    <t xml:space="preserve">INR 10,000cr over 7-8 years for a Pune EV plant</t>
  </si>
  <si>
    <t xml:space="preserve">Deccan Herald / Reuters</t>
  </si>
  <si>
    <t xml:space="preserve">https://www.deccanherald.com/business/mahindra-to-invest-rs-10000-crore-to-set-up-ev-plant-1171614</t>
  </si>
  <si>
    <t xml:space="preserve">Tata Motors platform plan</t>
  </si>
  <si>
    <t xml:space="preserve">INR 35,000cr over five years for PV and EV; consolidation from c.6 platforms to 2-3; Avinya on licensed JLR EMA</t>
  </si>
  <si>
    <t xml:space="preserve">MotorBeam / company commentary</t>
  </si>
  <si>
    <t xml:space="preserve">https://www.motorbeam.com/tata-motors-platform-consolidation-ev-expansion/</t>
  </si>
  <si>
    <t xml:space="preserve">Tata-JLR Ranipet plant</t>
  </si>
  <si>
    <t xml:space="preserve">INR 9,000cr greenfield plant; 250,000 units p.a.; MoU to first vehicle in 17 months</t>
  </si>
  <si>
    <t xml:space="preserve">IMARC Engineering</t>
  </si>
  <si>
    <t xml:space="preserve">https://www.imarcengineering.com/news/ev-manufacturing-in-india</t>
  </si>
  <si>
    <t xml:space="preserve">Maruti HEARTECT model count</t>
  </si>
  <si>
    <t xml:space="preserve">Platform underpins 8-9 Maruti Suzuki nameplates</t>
  </si>
  <si>
    <t xml:space="preserve">Maruti Suzuki Arena World</t>
  </si>
  <si>
    <t xml:space="preserve">https://www.marutisuzuki.com/arenaworld/articles/what-makes-the-heartect-platform-safer-and-better</t>
  </si>
  <si>
    <t xml:space="preserve">Maruti Swift development cost</t>
  </si>
  <si>
    <t xml:space="preserve">INR 550cr invested by Maruti and its suppliers to develop the new Swift, at 95% localisation</t>
  </si>
  <si>
    <t xml:space="preserve">Business Standard</t>
  </si>
  <si>
    <t xml:space="preserve">https://www.business-standard.com/amp/article/markets/analysts-corner-111081900129_1.html</t>
  </si>
  <si>
    <t xml:space="preserve">Maruti Khoraj plant</t>
  </si>
  <si>
    <t xml:space="preserve">c.INR 35,000cr; four units of 250k each; 1.0m units p.a.; production from FY29</t>
  </si>
  <si>
    <t xml:space="preserve">NewsOnAir / A2Z Taxcorp</t>
  </si>
  <si>
    <t xml:space="preserve">https://www.newsonair.gov.in/gujarat-govt-maruti-suzuki-exchange-investment-letter-for-new-manufacturing-plant-in-khoraj</t>
  </si>
  <si>
    <t xml:space="preserve">Toyota Bidadi third plant</t>
  </si>
  <si>
    <t xml:space="preserve">INR 3,300cr for 100,000 units p.a. of added capacity</t>
  </si>
  <si>
    <t xml:space="preserve">Deccan Herald</t>
  </si>
  <si>
    <t xml:space="preserve">https://www.deccanherald.com/india/karnataka/bengaluru/toyota-to-invest-rs-3-300-crore-for-new-plant-in-bidadi-2780130</t>
  </si>
  <si>
    <t xml:space="preserve">JSW MG capacity expansion</t>
  </si>
  <si>
    <t xml:space="preserve">USD 330-440m (INR 3,000-4,000cr) to take capacity to c.300,000 units p.a.</t>
  </si>
  <si>
    <t xml:space="preserve">IBEF</t>
  </si>
  <si>
    <t xml:space="preserve">https://www.ibef.org/industry/india-automobiles</t>
  </si>
  <si>
    <t xml:space="preserve">India PV capacity cycle</t>
  </si>
  <si>
    <t xml:space="preserve">Industry lining up c.INR 1 lakh crore to take PV capacity from c.5.5m to c.9m units</t>
  </si>
  <si>
    <t xml:space="preserve">A2Z Taxcorp (industry report)</t>
  </si>
  <si>
    <t xml:space="preserve">https://a2ztaxcorp.net/carmakers-line-up-rs-1-lakh-crore-expansion-plan-as-gst-tailwinds-drive-65-capacity-surge/</t>
  </si>
  <si>
    <t xml:space="preserve">Ola Gen 3 platform investment</t>
  </si>
  <si>
    <t xml:space="preserve">c.INR 2,000cr platform R&amp;D 'stabilised into a mature Gen3 architecture'; further products need 'limited incremental R&amp;D'</t>
  </si>
  <si>
    <t xml:space="preserve">Ola Electric Q3 FY26 shareholder letter</t>
  </si>
  <si>
    <t xml:space="preserve">https://cdn.olaelectric.com/sites/evdp/pages/investor/financials/fy26/Ola_Electric_Mobility_Limited_Q3_FY26_Shareholders_Letter_v2.pdf</t>
  </si>
  <si>
    <t xml:space="preserve">Ola break-even</t>
  </si>
  <si>
    <t xml:space="preserve">EBITDA break-even at c.15,000 units/month at a steady-state opex of INR 250-300cr per quarter</t>
  </si>
  <si>
    <t xml:space="preserve">Ola Gen 3 vs Gen 2</t>
  </si>
  <si>
    <t xml:space="preserve">20% higher peak power, 20% more range, 11% cost reduction</t>
  </si>
  <si>
    <t xml:space="preserve">Ola Electric Q4 FY25 press release</t>
  </si>
  <si>
    <t xml:space="preserve">https://cdn.olaelectric.com/sites/evdp/pages/investor/financials/q4/Ola_Electric_Mobility_Limited_Press_Release_Q4_FY25.pdf</t>
  </si>
  <si>
    <t xml:space="preserve">Ather R&amp;D spend</t>
  </si>
  <si>
    <t xml:space="preserve">INR 101cr FY22, INR 191.6cr FY23, INR 236.5cr FY24; INR 238.8cr in 9M FY25 (15% of revenue); 46% of headcount in R&amp;D</t>
  </si>
  <si>
    <t xml:space="preserve">Axis Capital IPO note</t>
  </si>
  <si>
    <t xml:space="preserve">https://www.chittorgarh.net/reports/ipo_notes/atherenergyiponoteaxiscapital.pdf</t>
  </si>
  <si>
    <t xml:space="preserve">Ather R&amp;D, later years</t>
  </si>
  <si>
    <t xml:space="preserve">INR 340-350cr in FY25; INR 210cr in H1 FY26</t>
  </si>
  <si>
    <t xml:space="preserve">Multibagg market note</t>
  </si>
  <si>
    <t xml:space="preserve">https://www.multibagg.ai/market-pulse/articles/ather-energy-rdi-loans-pli-cmq4is9yydwtus50jdsc3vo15</t>
  </si>
  <si>
    <t xml:space="preserve">Bajaj Chetak Technology plant</t>
  </si>
  <si>
    <t xml:space="preserve">c.INR 750cr including vendor partners; 500,000 units p.a. capacity at Akurdi</t>
  </si>
  <si>
    <t xml:space="preserve">Bajaj Auto press release</t>
  </si>
  <si>
    <t xml:space="preserve">https://www.bajajauto.com/corporate/media-centre/press-releases/press-release---10th-june-chetak-event_english-2</t>
  </si>
  <si>
    <t xml:space="preserve">Royal Enfield FY27 capex</t>
  </si>
  <si>
    <t xml:space="preserve">INR 2,200cr, of which c.INR 1,000cr capacity and the balance new product development and EV</t>
  </si>
  <si>
    <t xml:space="preserve">Autocar Professional</t>
  </si>
  <si>
    <t xml:space="preserve">https://www.autocarpro.in/news/eicher-motors-lines-up-rs-2200-crore-capex-for-royal-enfield-as-demand-remains-strong-132755</t>
  </si>
  <si>
    <t xml:space="preserve">Royal Enfield Cheyyar expansion</t>
  </si>
  <si>
    <t xml:space="preserve">INR 958cr brownfield expansion, 14.6 lakh to 20 lakh units p.a.</t>
  </si>
  <si>
    <t xml:space="preserve">https://www.autocarpro.in/news/eicher-motors-approves-rs-958-crore-capacity-expansion-for-royal-enfield-131111</t>
  </si>
  <si>
    <t xml:space="preserve">Royal Enfield Tada plant</t>
  </si>
  <si>
    <t xml:space="preserve">INR 2,500cr (INR 1,225cr phase 1) greenfield; +4.5 lakh units by FY30</t>
  </si>
  <si>
    <t xml:space="preserve">Whalesbook</t>
  </si>
  <si>
    <t xml:space="preserve">https://www.whalesbook.com/news/English/auto/Eicher-Motors-Expands-Royal-Enfield-Sets-Up-New-Hub-in-Andhra/6a8810f384d2dd5c12df46ff</t>
  </si>
  <si>
    <t xml:space="preserve">Hero platform sharing</t>
  </si>
  <si>
    <t xml:space="preserve">Mavrick 440 built on the Harley-Davidson X440 platform; larger XPulse in development on the same base</t>
  </si>
  <si>
    <t xml:space="preserve">ZigWheels</t>
  </si>
  <si>
    <t xml:space="preserve">https://www.zigwheels.com/hero-bikes/</t>
  </si>
  <si>
    <t xml:space="preserve">Bajaj electric motorcycle platform</t>
  </si>
  <si>
    <t xml:space="preserve">All-new in-house e-motorcycle platform spanning entry commuter to high performance, leveraging Chetak Technology</t>
  </si>
  <si>
    <t xml:space="preserve">Autocar India</t>
  </si>
  <si>
    <t xml:space="preserve">https://www.autocarindia.com/bike-news/bajaj-to-enter-electric-motorcycle-space-with-new-homegrown-platform-438414</t>
  </si>
  <si>
    <t xml:space="preserve">Battery pack prices</t>
  </si>
  <si>
    <t xml:space="preserve">BEV packs USD 99/kWh in 2025; all-segment average USD 108/kWh (-8% y/y); LFP USD 81/kWh; China USD 84/kWh</t>
  </si>
  <si>
    <t xml:space="preserve">BloombergNEF 2025 Battery Price Survey</t>
  </si>
  <si>
    <t xml:space="preserve">https://about.bnef.com/insights/clean-transport/lithium-ion-battery-pack-prices-fall-to-108-per-kilowatt-hour-despite-rising-metal-prices-bloombergnef/</t>
  </si>
  <si>
    <t xml:space="preserve">New vehicle programme cost benchmark</t>
  </si>
  <si>
    <t xml:space="preserve">A new vehicle programme starts around USD 1bn; retooling or a new plant can add USD 1-2bn (IHS)</t>
  </si>
  <si>
    <t xml:space="preserve">Autoblog / IHS</t>
  </si>
  <si>
    <t xml:space="preserve">https://www.autoblog.com/features/why-does-it-cost-so-much-for-automakers-to-develop-new-models</t>
  </si>
  <si>
    <t xml:space="preserve">EV vs ICE build cost</t>
  </si>
  <si>
    <t xml:space="preserve">EVs c.45% more expensive to build than ICE for a C-segment car; powertrain+e-drive+battery cluster EUR 6,700 vs EUR 5,200</t>
  </si>
  <si>
    <t xml:space="preserve">Oliver Wyman via InsideEVs</t>
  </si>
  <si>
    <t xml:space="preserve">https://insideevs.com/news/444542/evs-45-percent-more-expensive-make-ice/</t>
  </si>
  <si>
    <t xml:space="preserve">India auto PLI</t>
  </si>
  <si>
    <t xml:space="preserve">Auto PLI allocation doubled to INR 5,940cr in Union Budget 2026-27; INR 1,350cr disbursed Dec-2025</t>
  </si>
</sst>
</file>

<file path=xl/styles.xml><?xml version="1.0" encoding="utf-8"?>
<styleSheet xmlns="http://schemas.openxmlformats.org/spreadsheetml/2006/main">
  <numFmts count="9">
    <numFmt numFmtId="164" formatCode="General"/>
    <numFmt numFmtId="165" formatCode="#,##0;\(#,##0\);\-"/>
    <numFmt numFmtId="166" formatCode="0.0"/>
    <numFmt numFmtId="167" formatCode="0.0%;\(0.0%\);\-"/>
    <numFmt numFmtId="168" formatCode="0.00\x"/>
    <numFmt numFmtId="169" formatCode="0;;\-"/>
    <numFmt numFmtId="170" formatCode="0.00"/>
    <numFmt numFmtId="171" formatCode="0;;&quot;n/a&quot;"/>
    <numFmt numFmtId="172" formatCode="0.000"/>
  </numFmts>
  <fonts count="3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1F3864"/>
      <name val="Arial"/>
      <family val="0"/>
      <charset val="1"/>
    </font>
    <font>
      <sz val="10"/>
      <color rgb="FF262626"/>
      <name val="Arial"/>
      <family val="0"/>
      <charset val="1"/>
    </font>
    <font>
      <b val="true"/>
      <sz val="10"/>
      <color rgb="FF000000"/>
      <name val="Arial"/>
      <family val="0"/>
      <charset val="1"/>
    </font>
    <font>
      <b val="true"/>
      <sz val="11"/>
      <color rgb="FF0000FF"/>
      <name val="Arial"/>
      <family val="0"/>
      <charset val="1"/>
    </font>
    <font>
      <b val="true"/>
      <sz val="10"/>
      <color rgb="FF1F3864"/>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sz val="10"/>
      <color rgb="FF0000FF"/>
      <name val="Arial"/>
      <family val="0"/>
      <charset val="1"/>
    </font>
    <font>
      <b val="true"/>
      <sz val="10"/>
      <color rgb="FF008000"/>
      <name val="Arial"/>
      <family val="0"/>
      <charset val="1"/>
    </font>
    <font>
      <b val="true"/>
      <sz val="9"/>
      <color rgb="FF0000FF"/>
      <name val="Arial"/>
      <family val="0"/>
      <charset val="1"/>
    </font>
    <font>
      <b val="true"/>
      <sz val="9"/>
      <color rgb="FF000000"/>
      <name val="Arial"/>
      <family val="0"/>
      <charset val="1"/>
    </font>
    <font>
      <b val="true"/>
      <sz val="9"/>
      <color rgb="FF008000"/>
      <name val="Arial"/>
      <family val="0"/>
      <charset val="1"/>
    </font>
    <font>
      <b val="true"/>
      <sz val="10"/>
      <name val="Arial"/>
      <family val="0"/>
      <charset val="1"/>
    </font>
    <font>
      <sz val="9"/>
      <color rgb="FF000000"/>
      <name val="Arial"/>
      <family val="0"/>
      <charset val="1"/>
    </font>
    <font>
      <sz val="9"/>
      <color rgb="FF0000FF"/>
      <name val="Arial"/>
      <family val="0"/>
      <charset val="1"/>
    </font>
    <font>
      <i val="true"/>
      <sz val="9"/>
      <color rgb="FF808080"/>
      <name val="Arial"/>
      <family val="0"/>
      <charset val="1"/>
    </font>
    <font>
      <i val="true"/>
      <sz val="8"/>
      <color rgb="FF808080"/>
      <name val="Arial"/>
      <family val="0"/>
      <charset val="1"/>
    </font>
    <font>
      <i val="true"/>
      <sz val="9"/>
      <color rgb="FFC00000"/>
      <name val="Arial"/>
      <family val="0"/>
      <charset val="1"/>
    </font>
    <font>
      <sz val="9"/>
      <color rgb="FF008000"/>
      <name val="Arial"/>
      <family val="0"/>
      <charset val="1"/>
    </font>
    <font>
      <i val="true"/>
      <sz val="9"/>
      <color rgb="FF006100"/>
      <name val="Arial"/>
      <family val="0"/>
      <charset val="1"/>
    </font>
    <font>
      <i val="true"/>
      <sz val="9"/>
      <color rgb="FF000000"/>
      <name val="Arial"/>
      <family val="0"/>
      <charset val="1"/>
    </font>
    <font>
      <i val="true"/>
      <sz val="8"/>
      <color rgb="FF595959"/>
      <name val="Arial"/>
      <family val="0"/>
      <charset val="1"/>
    </font>
    <font>
      <b val="true"/>
      <sz val="11"/>
      <color rgb="FF008000"/>
      <name val="Arial"/>
      <family val="0"/>
      <charset val="1"/>
    </font>
    <font>
      <b val="true"/>
      <sz val="9"/>
      <color rgb="FFFFFFFF"/>
      <name val="Arial"/>
      <family val="0"/>
      <charset val="1"/>
    </font>
    <font>
      <sz val="9"/>
      <color rgb="FF808080"/>
      <name val="Arial"/>
      <family val="0"/>
      <charset val="1"/>
    </font>
    <font>
      <b val="true"/>
      <sz val="11"/>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404040"/>
      <name val="Arial"/>
      <family val="0"/>
      <charset val="1"/>
    </font>
    <font>
      <sz val="8"/>
      <color rgb="FF0563C1"/>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2F3"/>
        <bgColor rgb="FFD9D9D9"/>
      </patternFill>
    </fill>
    <fill>
      <patternFill patternType="solid">
        <fgColor rgb="FFFFF2CC"/>
        <bgColor rgb="FFF2F2F2"/>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14" fillId="3"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7" fontId="14"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14"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7" fontId="15" fillId="5"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5" fontId="21" fillId="3"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7" fontId="21" fillId="3"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8" fontId="25" fillId="3"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7" fontId="25" fillId="3" borderId="0" xfId="0" applyFont="true" applyBorder="false" applyAlignment="false" applyProtection="false">
      <alignment horizontal="general" vertical="bottom" textRotation="0" wrapText="false" indent="0" shrinkToFit="false"/>
      <protection locked="true" hidden="false"/>
    </xf>
    <xf numFmtId="165" fontId="25" fillId="3"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6" fontId="21" fillId="3"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6" fontId="25"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7" fontId="21"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5" fontId="32" fillId="3"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7" fontId="32" fillId="3"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4" fontId="28" fillId="6" borderId="0" xfId="0" applyFont="true" applyBorder="false" applyAlignment="false" applyProtection="false">
      <alignment horizontal="general" vertical="bottom" textRotation="0" wrapText="false" indent="0" shrinkToFit="false"/>
      <protection locked="true" hidden="false"/>
    </xf>
    <xf numFmtId="165" fontId="17" fillId="6"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28" fillId="5" borderId="0" xfId="0" applyFont="true" applyBorder="false" applyAlignment="false" applyProtection="false">
      <alignment horizontal="general" vertical="bottom" textRotation="0" wrapText="false" indent="0" shrinkToFit="false"/>
      <protection locked="true" hidden="false"/>
    </xf>
    <xf numFmtId="165" fontId="17" fillId="5"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5" fontId="17" fillId="4" borderId="0" xfId="0" applyFont="true" applyBorder="false" applyAlignment="true" applyProtection="false">
      <alignment horizontal="center" vertical="bottom"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67" fontId="16" fillId="4" borderId="0" xfId="0" applyFont="true" applyBorder="false" applyAlignment="true" applyProtection="false">
      <alignment horizontal="center" vertical="bottom" textRotation="0" wrapText="false" indent="0" shrinkToFit="false"/>
      <protection locked="true" hidden="false"/>
    </xf>
    <xf numFmtId="167" fontId="20"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4" fontId="3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4F81BD"/>
      <rgbColor rgb="FF006100"/>
      <rgbColor rgb="FF40404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the platform engineering money goes</a:t>
            </a:r>
          </a:p>
        </c:rich>
      </c:tx>
      <c:overlay val="0"/>
      <c:spPr>
        <a:noFill/>
        <a:ln w="0">
          <a:noFill/>
        </a:ln>
      </c:spPr>
    </c:title>
    <c:autoTitleDeleted val="0"/>
    <c:plotArea>
      <c:barChart>
        <c:barDir val="bar"/>
        <c:grouping val="clustered"/>
        <c:varyColors val="0"/>
        <c:ser>
          <c:idx val="0"/>
          <c:order val="0"/>
          <c:tx>
            <c:strRef>
              <c:f>"Platform engineering (INR cr)"</c:f>
              <c:strCache>
                <c:ptCount val="1"/>
                <c:pt idx="0">
                  <c:v>Platform engineering (INR cr)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'Investment Build'!$A$8:$A$14</c:f>
              <c:strCache>
                <c:ptCount val="7"/>
                <c:pt idx="0">
                  <c:v>Concept, styling &amp; platform design</c:v>
                </c:pt>
                <c:pt idx="1">
                  <c:v>Body / chassis architecture engineering</c:v>
                </c:pt>
                <c:pt idx="2">
                  <c:v>Powertrain development</c:v>
                </c:pt>
                <c:pt idx="3">
                  <c:v>E/E architecture, electronics &amp; software</c:v>
                </c:pt>
                <c:pt idx="4">
                  <c:v>Prototyping, testing &amp; validation</c:v>
                </c:pt>
                <c:pt idx="5">
                  <c:v>Homologation &amp; regulatory certification</c:v>
                </c:pt>
                <c:pt idx="6">
                  <c:v>Supplier development &amp; common-part tooling</c:v>
                </c:pt>
              </c:strCache>
            </c:strRef>
          </c:cat>
          <c:val>
            <c:numRef>
              <c:f>'Investment Build'!$D$8:$D$14</c:f>
              <c:numCache>
                <c:formatCode>#,##0;\(#,##0\);\-</c:formatCode>
                <c:ptCount val="7"/>
                <c:pt idx="0">
                  <c:v>120</c:v>
                </c:pt>
                <c:pt idx="1">
                  <c:v>250</c:v>
                </c:pt>
                <c:pt idx="2">
                  <c:v>350</c:v>
                </c:pt>
                <c:pt idx="3">
                  <c:v>150</c:v>
                </c:pt>
                <c:pt idx="4">
                  <c:v>180</c:v>
                </c:pt>
                <c:pt idx="5">
                  <c:v>40</c:v>
                </c:pt>
                <c:pt idx="6">
                  <c:v>200</c:v>
                </c:pt>
              </c:numCache>
            </c:numRef>
          </c:val>
        </c:ser>
        <c:gapWidth val="150"/>
        <c:overlap val="0"/>
        <c:axId val="60367592"/>
        <c:axId val="24080050"/>
      </c:barChart>
      <c:catAx>
        <c:axId val="603675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80050"/>
        <c:crosses val="autoZero"/>
        <c:auto val="1"/>
        <c:lblAlgn val="ctr"/>
        <c:lblOffset val="100"/>
        <c:noMultiLvlLbl val="0"/>
      </c:catAx>
      <c:valAx>
        <c:axId val="24080050"/>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INR cr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3675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Per-unit economics at start of production</a:t>
            </a:r>
          </a:p>
        </c:rich>
      </c:tx>
      <c:overlay val="0"/>
      <c:spPr>
        <a:noFill/>
        <a:ln w="0">
          <a:noFill/>
        </a:ln>
      </c:spPr>
    </c:title>
    <c:autoTitleDeleted val="0"/>
    <c:plotArea>
      <c:barChart>
        <c:barDir val="col"/>
        <c:grouping val="clustered"/>
        <c:varyColors val="0"/>
        <c:ser>
          <c:idx val="0"/>
          <c:order val="0"/>
          <c:tx>
            <c:strRef>
              <c:f>"Variable cost (INR/unit)"</c:f>
              <c:strCache>
                <c:ptCount val="1"/>
                <c:pt idx="0">
                  <c:v>Variable cost (INR/unit)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'Unit Economics'!$A$13:$A$16</c:f>
              <c:strCache>
                <c:ptCount val="4"/>
                <c:pt idx="0">
                  <c:v>Total bill of materials</c:v>
                </c:pt>
                <c:pt idx="1">
                  <c:v>Direct conversion cost (labour, energy, consumables)</c:v>
                </c:pt>
                <c:pt idx="2">
                  <c:v>Warranty &amp; after-sales provision</c:v>
                </c:pt>
                <c:pt idx="3">
                  <c:v>Freight &amp; variable selling</c:v>
                </c:pt>
              </c:strCache>
            </c:strRef>
          </c:cat>
          <c:val>
            <c:numRef>
              <c:f>'Unit Economics'!$D$13:$D$16</c:f>
              <c:numCache>
                <c:formatCode>#,##0;\(#,##0\);\-</c:formatCode>
                <c:ptCount val="4"/>
                <c:pt idx="0">
                  <c:v>-455700</c:v>
                </c:pt>
                <c:pt idx="1">
                  <c:v>-42000</c:v>
                </c:pt>
                <c:pt idx="2">
                  <c:v>-10500</c:v>
                </c:pt>
                <c:pt idx="3">
                  <c:v>-17500</c:v>
                </c:pt>
              </c:numCache>
            </c:numRef>
          </c:val>
        </c:ser>
        <c:gapWidth val="150"/>
        <c:overlap val="0"/>
        <c:axId val="32325766"/>
        <c:axId val="31049693"/>
      </c:barChart>
      <c:catAx>
        <c:axId val="323257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049693"/>
        <c:crosses val="autoZero"/>
        <c:auto val="1"/>
        <c:lblAlgn val="ctr"/>
        <c:lblOffset val="100"/>
        <c:noMultiLvlLbl val="0"/>
      </c:catAx>
      <c:valAx>
        <c:axId val="310496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per unit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257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free cash flow across the platform lifecycle</a:t>
            </a:r>
          </a:p>
        </c:rich>
      </c:tx>
      <c:overlay val="0"/>
      <c:spPr>
        <a:noFill/>
        <a:ln w="0">
          <a:noFill/>
        </a:ln>
      </c:spPr>
    </c:title>
    <c:autoTitleDeleted val="0"/>
    <c:plotArea>
      <c:lineChart>
        <c:grouping val="standard"/>
        <c:varyColors val="0"/>
        <c:ser>
          <c:idx val="0"/>
          <c:order val="0"/>
          <c:tx>
            <c:strRef>
              <c:f>"Cumulative FCF"</c:f>
              <c:strCache>
                <c:ptCount val="1"/>
                <c:pt idx="0">
                  <c:v>Cumulative FCF</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'Programme Returns'!$C$27:$V$27</c:f>
              <c:multiLvlStrCache>
                <c:ptCount val="1"/>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'Programme Returns'!$C$54:$V$54</c:f>
              <c:numCache>
                <c:formatCode>#,##0;\(#,##0\);\-</c:formatCode>
                <c:ptCount val="20"/>
                <c:pt idx="0">
                  <c:v>-856.892</c:v>
                </c:pt>
                <c:pt idx="1">
                  <c:v>-1713.784</c:v>
                </c:pt>
                <c:pt idx="2">
                  <c:v>-5970.676</c:v>
                </c:pt>
                <c:pt idx="3">
                  <c:v>-10227.568</c:v>
                </c:pt>
                <c:pt idx="4">
                  <c:v>-7841.246008</c:v>
                </c:pt>
                <c:pt idx="5">
                  <c:v>-4145.745992</c:v>
                </c:pt>
                <c:pt idx="6">
                  <c:v>536.874065600005</c:v>
                </c:pt>
                <c:pt idx="7">
                  <c:v>5534.72857134401</c:v>
                </c:pt>
                <c:pt idx="8">
                  <c:v>10848.2972263986</c:v>
                </c:pt>
                <c:pt idx="9">
                  <c:v>16478.0912553751</c:v>
                </c:pt>
                <c:pt idx="10">
                  <c:v>21939.7771497458</c:v>
                </c:pt>
                <c:pt idx="11">
                  <c:v>26928.0226580952</c:v>
                </c:pt>
                <c:pt idx="12">
                  <c:v>31058.2219596592</c:v>
                </c:pt>
                <c:pt idx="13">
                  <c:v>34343.27775609</c:v>
                </c:pt>
                <c:pt idx="14">
                  <c:v>34343.27775609</c:v>
                </c:pt>
                <c:pt idx="15">
                  <c:v>34343.27775609</c:v>
                </c:pt>
                <c:pt idx="16">
                  <c:v>34343.27775609</c:v>
                </c:pt>
                <c:pt idx="17">
                  <c:v>34343.27775609</c:v>
                </c:pt>
                <c:pt idx="18">
                  <c:v>34343.27775609</c:v>
                </c:pt>
                <c:pt idx="19">
                  <c:v>34343.27775609</c:v>
                </c:pt>
              </c:numCache>
            </c:numRef>
          </c:val>
          <c:smooth val="0"/>
        </c:ser>
        <c:hiLowLines>
          <c:spPr>
            <a:ln w="0">
              <a:noFill/>
            </a:ln>
          </c:spPr>
        </c:hiLowLines>
        <c:marker val="0"/>
        <c:axId val="80724562"/>
        <c:axId val="55039403"/>
      </c:lineChart>
      <c:catAx>
        <c:axId val="807245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 from start of development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039403"/>
        <c:crosses val="autoZero"/>
        <c:auto val="1"/>
        <c:lblAlgn val="ctr"/>
        <c:lblOffset val="100"/>
        <c:noMultiLvlLbl val="0"/>
      </c:catAx>
      <c:valAx>
        <c:axId val="5503940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cr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7245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Programme volume by year</a:t>
            </a:r>
          </a:p>
        </c:rich>
      </c:tx>
      <c:overlay val="0"/>
      <c:spPr>
        <a:noFill/>
        <a:ln w="0">
          <a:noFill/>
        </a:ln>
      </c:spPr>
    </c:title>
    <c:autoTitleDeleted val="0"/>
    <c:plotArea>
      <c:barChart>
        <c:barDir val="col"/>
        <c:grouping val="clustered"/>
        <c:varyColors val="0"/>
        <c:ser>
          <c:idx val="0"/>
          <c:order val="0"/>
          <c:tx>
            <c:strRef>
              <c:f>"Programme volume"</c:f>
              <c:strCache>
                <c:ptCount val="1"/>
                <c:pt idx="0">
                  <c:v>Programme volume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'Programme Returns'!$C$27:$V$27</c:f>
              <c:multiLvlStrCache>
                <c:ptCount val="1"/>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'Programme Returns'!$C$30:$V$30</c:f>
              <c:numCache>
                <c:formatCode>#,##0;\(#,##0\);\-</c:formatCode>
                <c:ptCount val="20"/>
                <c:pt idx="0">
                  <c:v>0</c:v>
                </c:pt>
                <c:pt idx="1">
                  <c:v>0</c:v>
                </c:pt>
                <c:pt idx="2">
                  <c:v>0</c:v>
                </c:pt>
                <c:pt idx="3">
                  <c:v>0</c:v>
                </c:pt>
                <c:pt idx="4">
                  <c:v>240000</c:v>
                </c:pt>
                <c:pt idx="5">
                  <c:v>340000</c:v>
                </c:pt>
                <c:pt idx="6">
                  <c:v>400000</c:v>
                </c:pt>
                <c:pt idx="7">
                  <c:v>400000</c:v>
                </c:pt>
                <c:pt idx="8">
                  <c:v>400000</c:v>
                </c:pt>
                <c:pt idx="9">
                  <c:v>400000</c:v>
                </c:pt>
                <c:pt idx="10">
                  <c:v>368000</c:v>
                </c:pt>
                <c:pt idx="11">
                  <c:v>320000</c:v>
                </c:pt>
                <c:pt idx="12">
                  <c:v>260000</c:v>
                </c:pt>
                <c:pt idx="13">
                  <c:v>200000</c:v>
                </c:pt>
                <c:pt idx="14">
                  <c:v>0</c:v>
                </c:pt>
                <c:pt idx="15">
                  <c:v>0</c:v>
                </c:pt>
                <c:pt idx="16">
                  <c:v>0</c:v>
                </c:pt>
                <c:pt idx="17">
                  <c:v>0</c:v>
                </c:pt>
                <c:pt idx="18">
                  <c:v>0</c:v>
                </c:pt>
                <c:pt idx="19">
                  <c:v>0</c:v>
                </c:pt>
              </c:numCache>
            </c:numRef>
          </c:val>
        </c:ser>
        <c:gapWidth val="150"/>
        <c:overlap val="0"/>
        <c:axId val="16861216"/>
        <c:axId val="48363487"/>
      </c:barChart>
      <c:catAx>
        <c:axId val="1686121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 from start of development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363487"/>
        <c:crosses val="autoZero"/>
        <c:auto val="1"/>
        <c:lblAlgn val="ctr"/>
        <c:lblOffset val="100"/>
        <c:noMultiLvlLbl val="0"/>
      </c:catAx>
      <c:valAx>
        <c:axId val="483634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612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Development investment per unit vs number of models on platform</a:t>
            </a:r>
          </a:p>
        </c:rich>
      </c:tx>
      <c:overlay val="0"/>
      <c:spPr>
        <a:noFill/>
        <a:ln w="0">
          <a:noFill/>
        </a:ln>
      </c:spPr>
    </c:title>
    <c:autoTitleDeleted val="0"/>
    <c:plotArea>
      <c:lineChart>
        <c:grouping val="standard"/>
        <c:varyColors val="0"/>
        <c:ser>
          <c:idx val="0"/>
          <c:order val="0"/>
          <c:tx>
            <c:strRef>
              <c:f>"Shared platform"</c:f>
              <c:strCache>
                <c:ptCount val="1"/>
                <c:pt idx="0">
                  <c:v>Shared platform</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'Platform Sharing'!$C$6:$J$6</c:f>
              <c:multiLvlStrCache>
                <c:ptCount val="1"/>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'Platform Sharing'!$C$16:$J$16</c:f>
              <c:numCache>
                <c:formatCode>#,##0;\(#,##0\);\-</c:formatCode>
                <c:ptCount val="8"/>
                <c:pt idx="0">
                  <c:v>21853.3653846154</c:v>
                </c:pt>
                <c:pt idx="1">
                  <c:v>14150.5769230769</c:v>
                </c:pt>
                <c:pt idx="2">
                  <c:v>11582.9807692308</c:v>
                </c:pt>
                <c:pt idx="3">
                  <c:v>10299.1826923077</c:v>
                </c:pt>
                <c:pt idx="4">
                  <c:v>9528.90384615385</c:v>
                </c:pt>
                <c:pt idx="5">
                  <c:v>9015.38461538461</c:v>
                </c:pt>
                <c:pt idx="6">
                  <c:v>8648.58516483517</c:v>
                </c:pt>
                <c:pt idx="7">
                  <c:v>8373.48557692308</c:v>
                </c:pt>
              </c:numCache>
            </c:numRef>
          </c:val>
          <c:smooth val="0"/>
        </c:ser>
        <c:ser>
          <c:idx val="1"/>
          <c:order val="1"/>
          <c:tx>
            <c:strRef>
              <c:f>"Standalone architectures"</c:f>
              <c:strCache>
                <c:ptCount val="1"/>
                <c:pt idx="0">
                  <c:v>Standalone architectures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'Platform Sharing'!$C$6:$J$6</c:f>
              <c:multiLvlStrCache>
                <c:ptCount val="1"/>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'Platform Sharing'!$C$17:$J$17</c:f>
              <c:numCache>
                <c:formatCode>#,##0;\(#,##0\);\-</c:formatCode>
                <c:ptCount val="8"/>
                <c:pt idx="0">
                  <c:v>18504.3269230769</c:v>
                </c:pt>
                <c:pt idx="1">
                  <c:v>18504.3269230769</c:v>
                </c:pt>
                <c:pt idx="2">
                  <c:v>18504.3269230769</c:v>
                </c:pt>
                <c:pt idx="3">
                  <c:v>18504.3269230769</c:v>
                </c:pt>
                <c:pt idx="4">
                  <c:v>18504.3269230769</c:v>
                </c:pt>
                <c:pt idx="5">
                  <c:v>18504.3269230769</c:v>
                </c:pt>
                <c:pt idx="6">
                  <c:v>18504.3269230769</c:v>
                </c:pt>
                <c:pt idx="7">
                  <c:v>18504.3269230769</c:v>
                </c:pt>
              </c:numCache>
            </c:numRef>
          </c:val>
          <c:smooth val="0"/>
        </c:ser>
        <c:hiLowLines>
          <c:spPr>
            <a:ln w="0">
              <a:noFill/>
            </a:ln>
          </c:spPr>
        </c:hiLowLines>
        <c:marker val="0"/>
        <c:axId val="67377366"/>
        <c:axId val="6273290"/>
      </c:lineChart>
      <c:catAx>
        <c:axId val="6737736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Models on platform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73290"/>
        <c:crosses val="autoZero"/>
        <c:auto val="1"/>
        <c:lblAlgn val="ctr"/>
        <c:lblOffset val="100"/>
        <c:noMultiLvlLbl val="0"/>
      </c:catAx>
      <c:valAx>
        <c:axId val="62732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per unit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773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volume as % of lifetime platform volume</a:t>
            </a:r>
          </a:p>
        </c:rich>
      </c:tx>
      <c:overlay val="0"/>
      <c:spPr>
        <a:noFill/>
        <a:ln w="0">
          <a:noFill/>
        </a:ln>
      </c:spPr>
    </c:title>
    <c:autoTitleDeleted val="0"/>
    <c:plotArea>
      <c:barChart>
        <c:barDir val="col"/>
        <c:grouping val="clustered"/>
        <c:varyColors val="0"/>
        <c:ser>
          <c:idx val="0"/>
          <c:order val="0"/>
          <c:tx>
            <c:strRef>
              <c:f>"Break-even as % of lifetime volume"</c:f>
              <c:strCache>
                <c:ptCount val="1"/>
                <c:pt idx="0">
                  <c:v>Break-even as % of lifetime volume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'Platform Sharing'!$C$6:$J$6</c:f>
              <c:multiLvlStrCache>
                <c:ptCount val="1"/>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'Platform Sharing'!$C$26:$J$26</c:f>
              <c:numCache>
                <c:formatCode>0.0%;\(0.0%\);\-</c:formatCode>
                <c:ptCount val="8"/>
                <c:pt idx="0">
                  <c:v>0.156095467032967</c:v>
                </c:pt>
                <c:pt idx="1">
                  <c:v>0.0900450329180841</c:v>
                </c:pt>
                <c:pt idx="2">
                  <c:v>0.0692836152437912</c:v>
                </c:pt>
                <c:pt idx="3">
                  <c:v>0.0590888278388278</c:v>
                </c:pt>
                <c:pt idx="4">
                  <c:v>0.0529910316642956</c:v>
                </c:pt>
                <c:pt idx="5">
                  <c:v>0.0489083793790372</c:v>
                </c:pt>
                <c:pt idx="6">
                  <c:v>0.0459673810301037</c:v>
                </c:pt>
                <c:pt idx="7">
                  <c:v>0.0437371928802459</c:v>
                </c:pt>
              </c:numCache>
            </c:numRef>
          </c:val>
        </c:ser>
        <c:gapWidth val="150"/>
        <c:overlap val="0"/>
        <c:axId val="39183256"/>
        <c:axId val="33128398"/>
      </c:barChart>
      <c:catAx>
        <c:axId val="391832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Models on platform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128398"/>
        <c:crosses val="autoZero"/>
        <c:auto val="1"/>
        <c:lblAlgn val="ctr"/>
        <c:lblOffset val="100"/>
        <c:noMultiLvlLbl val="0"/>
      </c:catAx>
      <c:valAx>
        <c:axId val="331283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lifetime volume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1832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6</xdr:row>
      <xdr:rowOff>0</xdr:rowOff>
    </xdr:from>
    <xdr:to>
      <xdr:col>17</xdr:col>
      <xdr:colOff>4680</xdr:colOff>
      <xdr:row>22</xdr:row>
      <xdr:rowOff>11880</xdr:rowOff>
    </xdr:to>
    <xdr:graphicFrame>
      <xdr:nvGraphicFramePr>
        <xdr:cNvPr id="0" name="Chart 1"/>
        <xdr:cNvGraphicFramePr/>
      </xdr:nvGraphicFramePr>
      <xdr:xfrm>
        <a:off x="8294400" y="12574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6</xdr:row>
      <xdr:rowOff>0</xdr:rowOff>
    </xdr:from>
    <xdr:to>
      <xdr:col>16</xdr:col>
      <xdr:colOff>4680</xdr:colOff>
      <xdr:row>22</xdr:row>
      <xdr:rowOff>11880</xdr:rowOff>
    </xdr:to>
    <xdr:graphicFrame>
      <xdr:nvGraphicFramePr>
        <xdr:cNvPr id="1" name="Chart 1"/>
        <xdr:cNvGraphicFramePr/>
      </xdr:nvGraphicFramePr>
      <xdr:xfrm>
        <a:off x="8553600" y="12574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59</xdr:row>
      <xdr:rowOff>0</xdr:rowOff>
    </xdr:from>
    <xdr:to>
      <xdr:col>4</xdr:col>
      <xdr:colOff>621720</xdr:colOff>
      <xdr:row>75</xdr:row>
      <xdr:rowOff>11520</xdr:rowOff>
    </xdr:to>
    <xdr:graphicFrame>
      <xdr:nvGraphicFramePr>
        <xdr:cNvPr id="2" name="Chart 1"/>
        <xdr:cNvGraphicFramePr/>
      </xdr:nvGraphicFramePr>
      <xdr:xfrm>
        <a:off x="0" y="113536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77</xdr:row>
      <xdr:rowOff>0</xdr:rowOff>
    </xdr:from>
    <xdr:to>
      <xdr:col>4</xdr:col>
      <xdr:colOff>621720</xdr:colOff>
      <xdr:row>93</xdr:row>
      <xdr:rowOff>11520</xdr:rowOff>
    </xdr:to>
    <xdr:graphicFrame>
      <xdr:nvGraphicFramePr>
        <xdr:cNvPr id="3" name="Chart 2"/>
        <xdr:cNvGraphicFramePr/>
      </xdr:nvGraphicFramePr>
      <xdr:xfrm>
        <a:off x="0" y="1478268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0</xdr:rowOff>
    </xdr:from>
    <xdr:to>
      <xdr:col>3</xdr:col>
      <xdr:colOff>762840</xdr:colOff>
      <xdr:row>53</xdr:row>
      <xdr:rowOff>11880</xdr:rowOff>
    </xdr:to>
    <xdr:graphicFrame>
      <xdr:nvGraphicFramePr>
        <xdr:cNvPr id="4" name="Chart 1"/>
        <xdr:cNvGraphicFramePr/>
      </xdr:nvGraphicFramePr>
      <xdr:xfrm>
        <a:off x="0" y="716292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55</xdr:row>
      <xdr:rowOff>0</xdr:rowOff>
    </xdr:from>
    <xdr:to>
      <xdr:col>3</xdr:col>
      <xdr:colOff>762840</xdr:colOff>
      <xdr:row>71</xdr:row>
      <xdr:rowOff>11880</xdr:rowOff>
    </xdr:to>
    <xdr:graphicFrame>
      <xdr:nvGraphicFramePr>
        <xdr:cNvPr id="5" name="Chart 2"/>
        <xdr:cNvGraphicFramePr/>
      </xdr:nvGraphicFramePr>
      <xdr:xfrm>
        <a:off x="0" y="1059192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8" min="2" style="0" width="3"/>
  </cols>
  <sheetData>
    <row r="1" customFormat="false" ht="24" hidden="false" customHeight="true" outlineLevel="0" collapsed="false">
      <c r="A1" s="1" t="s">
        <v>0</v>
      </c>
      <c r="B1" s="2"/>
      <c r="C1" s="2"/>
      <c r="D1" s="2"/>
      <c r="E1" s="2"/>
      <c r="F1" s="2"/>
      <c r="G1" s="2"/>
      <c r="H1" s="2"/>
    </row>
    <row r="2" customFormat="false" ht="15" hidden="false" customHeight="false" outlineLevel="0" collapsed="false">
      <c r="A2" s="3" t="s">
        <v>1</v>
      </c>
    </row>
    <row r="4" customFormat="false" ht="19.5" hidden="false" customHeight="true" outlineLevel="0" collapsed="false">
      <c r="A4" s="4" t="s">
        <v>2</v>
      </c>
    </row>
    <row r="5" customFormat="false" ht="45.75" hidden="false" customHeight="true" outlineLevel="0" collapsed="false">
      <c r="A5" s="5" t="s">
        <v>3</v>
      </c>
      <c r="B5" s="5"/>
      <c r="C5" s="5"/>
      <c r="D5" s="5"/>
      <c r="E5" s="5"/>
      <c r="F5" s="5"/>
      <c r="G5" s="5"/>
      <c r="H5" s="5"/>
    </row>
    <row r="6" customFormat="false" ht="31.5" hidden="false" customHeight="true" outlineLevel="0" collapsed="false">
      <c r="A6" s="5" t="s">
        <v>4</v>
      </c>
      <c r="B6" s="5"/>
      <c r="C6" s="5"/>
      <c r="D6" s="5"/>
      <c r="E6" s="5"/>
      <c r="F6" s="5"/>
      <c r="G6" s="5"/>
      <c r="H6" s="5"/>
    </row>
    <row r="8" customFormat="false" ht="19.5" hidden="false" customHeight="true" outlineLevel="0" collapsed="false">
      <c r="A8" s="4" t="s">
        <v>5</v>
      </c>
    </row>
    <row r="9" customFormat="false" ht="18" hidden="false" customHeight="true" outlineLevel="0" collapsed="false">
      <c r="A9" s="5" t="s">
        <v>6</v>
      </c>
      <c r="B9" s="5"/>
      <c r="C9" s="5"/>
      <c r="D9" s="5"/>
      <c r="E9" s="5"/>
      <c r="F9" s="5"/>
      <c r="G9" s="5"/>
      <c r="H9" s="5"/>
    </row>
    <row r="10" customFormat="false" ht="31.5" hidden="false" customHeight="true" outlineLevel="0" collapsed="false">
      <c r="A10" s="5" t="s">
        <v>7</v>
      </c>
      <c r="B10" s="5"/>
      <c r="C10" s="5"/>
      <c r="D10" s="5"/>
      <c r="E10" s="5"/>
      <c r="F10" s="5"/>
      <c r="G10" s="5"/>
      <c r="H10" s="5"/>
    </row>
    <row r="11" customFormat="false" ht="18" hidden="false" customHeight="true" outlineLevel="0" collapsed="false">
      <c r="A11" s="5" t="s">
        <v>8</v>
      </c>
      <c r="B11" s="5"/>
      <c r="C11" s="5"/>
      <c r="D11" s="5"/>
      <c r="E11" s="5"/>
      <c r="F11" s="5"/>
      <c r="G11" s="5"/>
      <c r="H11" s="5"/>
    </row>
    <row r="12" customFormat="false" ht="18" hidden="false" customHeight="true" outlineLevel="0" collapsed="false">
      <c r="A12" s="5" t="s">
        <v>9</v>
      </c>
      <c r="B12" s="5"/>
      <c r="C12" s="5"/>
      <c r="D12" s="5"/>
      <c r="E12" s="5"/>
      <c r="F12" s="5"/>
      <c r="G12" s="5"/>
      <c r="H12" s="5"/>
    </row>
    <row r="13" customFormat="false" ht="18" hidden="false" customHeight="true" outlineLevel="0" collapsed="false">
      <c r="A13" s="5" t="s">
        <v>10</v>
      </c>
      <c r="B13" s="5"/>
      <c r="C13" s="5"/>
      <c r="D13" s="5"/>
      <c r="E13" s="5"/>
      <c r="F13" s="5"/>
      <c r="G13" s="5"/>
      <c r="H13" s="5"/>
    </row>
    <row r="14" customFormat="false" ht="18" hidden="false" customHeight="true" outlineLevel="0" collapsed="false">
      <c r="A14" s="5" t="s">
        <v>11</v>
      </c>
      <c r="B14" s="5"/>
      <c r="C14" s="5"/>
      <c r="D14" s="5"/>
      <c r="E14" s="5"/>
      <c r="F14" s="5"/>
      <c r="G14" s="5"/>
      <c r="H14" s="5"/>
    </row>
    <row r="15" customFormat="false" ht="18" hidden="false" customHeight="true" outlineLevel="0" collapsed="false">
      <c r="A15" s="5" t="s">
        <v>12</v>
      </c>
      <c r="B15" s="5"/>
      <c r="C15" s="5"/>
      <c r="D15" s="5"/>
      <c r="E15" s="5"/>
      <c r="F15" s="5"/>
      <c r="G15" s="5"/>
      <c r="H15" s="5"/>
    </row>
    <row r="16" customFormat="false" ht="18" hidden="false" customHeight="true" outlineLevel="0" collapsed="false">
      <c r="A16" s="5" t="s">
        <v>13</v>
      </c>
      <c r="B16" s="5"/>
      <c r="C16" s="5"/>
      <c r="D16" s="5"/>
      <c r="E16" s="5"/>
      <c r="F16" s="5"/>
      <c r="G16" s="5"/>
      <c r="H16" s="5"/>
    </row>
    <row r="18" customFormat="false" ht="19.5" hidden="false" customHeight="true" outlineLevel="0" collapsed="false">
      <c r="A18" s="4" t="s">
        <v>14</v>
      </c>
    </row>
    <row r="19" customFormat="false" ht="45.75" hidden="false" customHeight="true" outlineLevel="0" collapsed="false">
      <c r="A19" s="5" t="s">
        <v>15</v>
      </c>
      <c r="B19" s="5"/>
      <c r="C19" s="5"/>
      <c r="D19" s="5"/>
      <c r="E19" s="5"/>
      <c r="F19" s="5"/>
      <c r="G19" s="5"/>
      <c r="H19" s="5"/>
    </row>
    <row r="20" customFormat="false" ht="60" hidden="false" customHeight="true" outlineLevel="0" collapsed="false">
      <c r="A20" s="5" t="s">
        <v>16</v>
      </c>
      <c r="B20" s="5"/>
      <c r="C20" s="5"/>
      <c r="D20" s="5"/>
      <c r="E20" s="5"/>
      <c r="F20" s="5"/>
      <c r="G20" s="5"/>
      <c r="H20" s="5"/>
    </row>
    <row r="21" customFormat="false" ht="45.75" hidden="false" customHeight="true" outlineLevel="0" collapsed="false">
      <c r="A21" s="5" t="s">
        <v>17</v>
      </c>
      <c r="B21" s="5"/>
      <c r="C21" s="5"/>
      <c r="D21" s="5"/>
      <c r="E21" s="5"/>
      <c r="F21" s="5"/>
      <c r="G21" s="5"/>
      <c r="H21" s="5"/>
    </row>
    <row r="22" customFormat="false" ht="45.75" hidden="false" customHeight="true" outlineLevel="0" collapsed="false">
      <c r="A22" s="5" t="s">
        <v>18</v>
      </c>
      <c r="B22" s="5"/>
      <c r="C22" s="5"/>
      <c r="D22" s="5"/>
      <c r="E22" s="5"/>
      <c r="F22" s="5"/>
      <c r="G22" s="5"/>
      <c r="H22" s="5"/>
    </row>
    <row r="23" customFormat="false" ht="45.75" hidden="false" customHeight="true" outlineLevel="0" collapsed="false">
      <c r="A23" s="5" t="s">
        <v>19</v>
      </c>
      <c r="B23" s="5"/>
      <c r="C23" s="5"/>
      <c r="D23" s="5"/>
      <c r="E23" s="5"/>
      <c r="F23" s="5"/>
      <c r="G23" s="5"/>
      <c r="H23" s="5"/>
    </row>
    <row r="25" customFormat="false" ht="19.5" hidden="false" customHeight="true" outlineLevel="0" collapsed="false">
      <c r="A25" s="4" t="s">
        <v>20</v>
      </c>
    </row>
    <row r="26" customFormat="false" ht="45.75" hidden="false" customHeight="true" outlineLevel="0" collapsed="false">
      <c r="A26" s="5" t="s">
        <v>21</v>
      </c>
      <c r="B26" s="5"/>
      <c r="C26" s="5"/>
      <c r="D26" s="5"/>
      <c r="E26" s="5"/>
      <c r="F26" s="5"/>
      <c r="G26" s="5"/>
      <c r="H26" s="5"/>
    </row>
    <row r="27" customFormat="false" ht="31.5" hidden="false" customHeight="true" outlineLevel="0" collapsed="false">
      <c r="A27" s="5" t="s">
        <v>22</v>
      </c>
      <c r="B27" s="5"/>
      <c r="C27" s="5"/>
      <c r="D27" s="5"/>
      <c r="E27" s="5"/>
      <c r="F27" s="5"/>
      <c r="G27" s="5"/>
      <c r="H27" s="5"/>
    </row>
    <row r="28" customFormat="false" ht="31.5" hidden="false" customHeight="true" outlineLevel="0" collapsed="false">
      <c r="A28" s="5" t="s">
        <v>23</v>
      </c>
      <c r="B28" s="5"/>
      <c r="C28" s="5"/>
      <c r="D28" s="5"/>
      <c r="E28" s="5"/>
      <c r="F28" s="5"/>
      <c r="G28" s="5"/>
      <c r="H28" s="5"/>
    </row>
    <row r="29" customFormat="false" ht="45.75" hidden="false" customHeight="true" outlineLevel="0" collapsed="false">
      <c r="A29" s="5" t="s">
        <v>24</v>
      </c>
      <c r="B29" s="5"/>
      <c r="C29" s="5"/>
      <c r="D29" s="5"/>
      <c r="E29" s="5"/>
      <c r="F29" s="5"/>
      <c r="G29" s="5"/>
      <c r="H29" s="5"/>
    </row>
    <row r="31" customFormat="false" ht="19.5" hidden="false" customHeight="true" outlineLevel="0" collapsed="false">
      <c r="A31" s="4" t="s">
        <v>25</v>
      </c>
    </row>
    <row r="32" customFormat="false" ht="18" hidden="false" customHeight="true" outlineLevel="0" collapsed="false">
      <c r="A32" s="5" t="s">
        <v>26</v>
      </c>
      <c r="B32" s="5"/>
      <c r="C32" s="5"/>
      <c r="D32" s="5"/>
      <c r="E32" s="5"/>
      <c r="F32" s="5"/>
      <c r="G32" s="5"/>
      <c r="H32" s="5"/>
    </row>
    <row r="33" customFormat="false" ht="45.75" hidden="false" customHeight="true" outlineLevel="0" collapsed="false">
      <c r="A33" s="5" t="s">
        <v>27</v>
      </c>
      <c r="B33" s="5"/>
      <c r="C33" s="5"/>
      <c r="D33" s="5"/>
      <c r="E33" s="5"/>
      <c r="F33" s="5"/>
      <c r="G33" s="5"/>
      <c r="H33" s="5"/>
    </row>
    <row r="35" customFormat="false" ht="19.5" hidden="false" customHeight="true" outlineLevel="0" collapsed="false">
      <c r="A35" s="4" t="s">
        <v>28</v>
      </c>
    </row>
    <row r="36" customFormat="false" ht="18" hidden="false" customHeight="true" outlineLevel="0" collapsed="false">
      <c r="A36" s="5" t="s">
        <v>29</v>
      </c>
      <c r="B36" s="5"/>
      <c r="C36" s="5"/>
      <c r="D36" s="5"/>
      <c r="E36" s="5"/>
      <c r="F36" s="5"/>
      <c r="G36" s="5"/>
      <c r="H36" s="5"/>
    </row>
    <row r="37" customFormat="false" ht="18" hidden="false" customHeight="true" outlineLevel="0" collapsed="false">
      <c r="A37" s="5" t="s">
        <v>30</v>
      </c>
      <c r="B37" s="5"/>
      <c r="C37" s="5"/>
      <c r="D37" s="5"/>
      <c r="E37" s="5"/>
      <c r="F37" s="5"/>
      <c r="G37" s="5"/>
      <c r="H37" s="5"/>
    </row>
    <row r="38" customFormat="false" ht="18" hidden="false" customHeight="true" outlineLevel="0" collapsed="false">
      <c r="A38" s="5" t="s">
        <v>31</v>
      </c>
      <c r="B38" s="5"/>
      <c r="C38" s="5"/>
      <c r="D38" s="5"/>
      <c r="E38" s="5"/>
      <c r="F38" s="5"/>
      <c r="G38" s="5"/>
      <c r="H38" s="5"/>
    </row>
    <row r="39" customFormat="false" ht="18" hidden="false" customHeight="true" outlineLevel="0" collapsed="false">
      <c r="A39" s="5" t="s">
        <v>32</v>
      </c>
      <c r="B39" s="5"/>
      <c r="C39" s="5"/>
      <c r="D39" s="5"/>
      <c r="E39" s="5"/>
      <c r="F39" s="5"/>
      <c r="G39" s="5"/>
      <c r="H39" s="5"/>
    </row>
  </sheetData>
  <mergeCells count="25">
    <mergeCell ref="A5:H5"/>
    <mergeCell ref="A6:H6"/>
    <mergeCell ref="A9:H9"/>
    <mergeCell ref="A10:H10"/>
    <mergeCell ref="A11:H11"/>
    <mergeCell ref="A12:H12"/>
    <mergeCell ref="A13:H13"/>
    <mergeCell ref="A14:H14"/>
    <mergeCell ref="A15:H15"/>
    <mergeCell ref="A16:H16"/>
    <mergeCell ref="A19:H19"/>
    <mergeCell ref="A20:H20"/>
    <mergeCell ref="A21:H21"/>
    <mergeCell ref="A22:H22"/>
    <mergeCell ref="A23:H23"/>
    <mergeCell ref="A26:H26"/>
    <mergeCell ref="A27:H27"/>
    <mergeCell ref="A28:H28"/>
    <mergeCell ref="A29:H29"/>
    <mergeCell ref="A32:H32"/>
    <mergeCell ref="A33:H33"/>
    <mergeCell ref="A36:H36"/>
    <mergeCell ref="A37:H37"/>
    <mergeCell ref="A38:H38"/>
    <mergeCell ref="A39:H39"/>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3" min="3" style="0" width="16"/>
    <col collapsed="false" customWidth="true" hidden="false" outlineLevel="0" max="4" min="4" style="0" width="14"/>
    <col collapsed="false" customWidth="true" hidden="false" outlineLevel="0" max="5" min="5" style="0" width="16"/>
  </cols>
  <sheetData>
    <row r="1" customFormat="false" ht="24" hidden="false" customHeight="true" outlineLevel="0" collapsed="false">
      <c r="A1" s="1" t="s">
        <v>33</v>
      </c>
      <c r="B1" s="2"/>
      <c r="C1" s="2"/>
      <c r="D1" s="2"/>
      <c r="E1" s="2"/>
      <c r="F1" s="2"/>
      <c r="G1" s="2"/>
      <c r="H1" s="2"/>
    </row>
    <row r="2" customFormat="false" ht="15" hidden="false" customHeight="false" outlineLevel="0" collapsed="false">
      <c r="A2" s="3" t="s">
        <v>34</v>
      </c>
    </row>
    <row r="5" customFormat="false" ht="15" hidden="false" customHeight="false" outlineLevel="0" collapsed="false">
      <c r="A5" s="4" t="s">
        <v>35</v>
      </c>
    </row>
    <row r="6" customFormat="false" ht="15" hidden="false" customHeight="false" outlineLevel="0" collapsed="false">
      <c r="A6" s="6" t="s">
        <v>36</v>
      </c>
      <c r="C6" s="7" t="s">
        <v>37</v>
      </c>
      <c r="E6" s="3" t="s">
        <v>38</v>
      </c>
    </row>
    <row r="8" customFormat="false" ht="15" hidden="false" customHeight="false" outlineLevel="0" collapsed="false">
      <c r="A8" s="8" t="s">
        <v>39</v>
      </c>
      <c r="B8" s="9"/>
      <c r="C8" s="9"/>
      <c r="D8" s="9"/>
      <c r="E8" s="9"/>
      <c r="F8" s="9"/>
      <c r="G8" s="9"/>
      <c r="H8" s="9"/>
    </row>
    <row r="9" customFormat="false" ht="25.5" hidden="false" customHeight="true" outlineLevel="0" collapsed="false">
      <c r="A9" s="10" t="s">
        <v>40</v>
      </c>
      <c r="B9" s="10" t="s">
        <v>41</v>
      </c>
      <c r="C9" s="10" t="s">
        <v>42</v>
      </c>
      <c r="D9" s="10" t="s">
        <v>43</v>
      </c>
      <c r="E9" s="10" t="s">
        <v>44</v>
      </c>
    </row>
    <row r="10" customFormat="false" ht="15" hidden="false" customHeight="false" outlineLevel="0" collapsed="false">
      <c r="A10" s="11" t="s">
        <v>45</v>
      </c>
      <c r="B10" s="12" t="s">
        <v>46</v>
      </c>
      <c r="C10" s="13" t="n">
        <f aca="false">Assumptions!$I$29</f>
        <v>4</v>
      </c>
      <c r="D10" s="14"/>
      <c r="E10" s="15" t="n">
        <f aca="false">Assumptions!$K$29</f>
        <v>4</v>
      </c>
    </row>
    <row r="11" customFormat="false" ht="15" hidden="false" customHeight="false" outlineLevel="0" collapsed="false">
      <c r="A11" s="11" t="s">
        <v>47</v>
      </c>
      <c r="B11" s="12" t="s">
        <v>48</v>
      </c>
      <c r="C11" s="13" t="n">
        <f aca="false">Assumptions!$I$46</f>
        <v>100000</v>
      </c>
      <c r="D11" s="14"/>
      <c r="E11" s="15" t="n">
        <f aca="false">Assumptions!$K$46</f>
        <v>100000</v>
      </c>
    </row>
    <row r="12" customFormat="false" ht="15" hidden="false" customHeight="false" outlineLevel="0" collapsed="false">
      <c r="A12" s="11" t="s">
        <v>49</v>
      </c>
      <c r="B12" s="12" t="s">
        <v>50</v>
      </c>
      <c r="C12" s="16" t="n">
        <f aca="false">Assumptions!$I$47</f>
        <v>10</v>
      </c>
      <c r="D12" s="17"/>
      <c r="E12" s="18" t="n">
        <f aca="false">Assumptions!$K$47</f>
        <v>10</v>
      </c>
    </row>
    <row r="13" customFormat="false" ht="15" hidden="false" customHeight="false" outlineLevel="0" collapsed="false">
      <c r="A13" s="11" t="s">
        <v>51</v>
      </c>
      <c r="B13" s="12" t="s">
        <v>52</v>
      </c>
      <c r="C13" s="13" t="n">
        <f aca="false">Assumptions!$I$36</f>
        <v>700000</v>
      </c>
      <c r="D13" s="14"/>
      <c r="E13" s="15" t="n">
        <f aca="false">Assumptions!$K$36</f>
        <v>700000</v>
      </c>
    </row>
    <row r="14" customFormat="false" ht="15" hidden="false" customHeight="false" outlineLevel="0" collapsed="false">
      <c r="A14" s="11" t="s">
        <v>53</v>
      </c>
      <c r="B14" s="12" t="s">
        <v>54</v>
      </c>
      <c r="C14" s="19" t="n">
        <f aca="false">Assumptions!$I$37</f>
        <v>0.7</v>
      </c>
      <c r="D14" s="20"/>
      <c r="E14" s="21" t="n">
        <f aca="false">Assumptions!$K$37</f>
        <v>0.7</v>
      </c>
    </row>
    <row r="15" customFormat="false" ht="15" hidden="false" customHeight="false" outlineLevel="0" collapsed="false">
      <c r="A15" s="11" t="s">
        <v>55</v>
      </c>
      <c r="B15" s="12" t="s">
        <v>56</v>
      </c>
      <c r="C15" s="13" t="n">
        <f aca="false">Assumptions!$I$43</f>
        <v>450</v>
      </c>
      <c r="D15" s="14"/>
      <c r="E15" s="15" t="n">
        <f aca="false">Assumptions!$K$43</f>
        <v>450</v>
      </c>
    </row>
    <row r="16" customFormat="false" ht="15" hidden="false" customHeight="false" outlineLevel="0" collapsed="false">
      <c r="A16" s="11" t="s">
        <v>57</v>
      </c>
      <c r="B16" s="12" t="s">
        <v>58</v>
      </c>
      <c r="C16" s="22" t="n">
        <f aca="false">Assumptions!$I$17</f>
        <v>1</v>
      </c>
      <c r="D16" s="23"/>
      <c r="E16" s="24" t="n">
        <f aca="false">Assumptions!$K$17</f>
        <v>1</v>
      </c>
    </row>
    <row r="17" customFormat="false" ht="15" hidden="false" customHeight="false" outlineLevel="0" collapsed="false">
      <c r="A17" s="11" t="s">
        <v>59</v>
      </c>
      <c r="B17" s="12" t="s">
        <v>58</v>
      </c>
      <c r="C17" s="22" t="n">
        <f aca="false">Assumptions!$I$24</f>
        <v>1</v>
      </c>
      <c r="D17" s="23"/>
      <c r="E17" s="24" t="n">
        <f aca="false">Assumptions!$K$24</f>
        <v>1</v>
      </c>
    </row>
    <row r="18" customFormat="false" ht="15" hidden="false" customHeight="false" outlineLevel="0" collapsed="false">
      <c r="A18" s="11" t="s">
        <v>60</v>
      </c>
      <c r="B18" s="12" t="s">
        <v>61</v>
      </c>
      <c r="C18" s="19" t="n">
        <f aca="false">Assumptions!$I$26</f>
        <v>0.08</v>
      </c>
      <c r="D18" s="20"/>
      <c r="E18" s="21" t="n">
        <f aca="false">Assumptions!$K$26</f>
        <v>0.08</v>
      </c>
    </row>
    <row r="19" customFormat="false" ht="15" hidden="false" customHeight="false" outlineLevel="0" collapsed="false">
      <c r="A19" s="11" t="s">
        <v>62</v>
      </c>
      <c r="B19" s="12" t="s">
        <v>63</v>
      </c>
      <c r="C19" s="19" t="n">
        <f aca="false">Assumptions!$I$34</f>
        <v>0.5</v>
      </c>
      <c r="D19" s="20"/>
      <c r="E19" s="21" t="n">
        <f aca="false">Assumptions!$K$34</f>
        <v>0.5</v>
      </c>
    </row>
    <row r="20" customFormat="false" ht="15" hidden="false" customHeight="false" outlineLevel="0" collapsed="false">
      <c r="A20" s="11" t="s">
        <v>64</v>
      </c>
      <c r="B20" s="12" t="s">
        <v>63</v>
      </c>
      <c r="C20" s="19" t="n">
        <f aca="false">Assumptions!$I$49</f>
        <v>0.01</v>
      </c>
      <c r="D20" s="20"/>
      <c r="E20" s="21" t="n">
        <f aca="false">Assumptions!$K$49</f>
        <v>0.01</v>
      </c>
    </row>
    <row r="21" customFormat="false" ht="15" hidden="false" customHeight="false" outlineLevel="0" collapsed="false">
      <c r="A21" s="11" t="s">
        <v>65</v>
      </c>
      <c r="B21" s="12" t="s">
        <v>63</v>
      </c>
      <c r="C21" s="19" t="n">
        <f aca="false">Assumptions!$I$53</f>
        <v>0.11</v>
      </c>
      <c r="D21" s="20"/>
      <c r="E21" s="21" t="n">
        <f aca="false">Assumptions!$K$53</f>
        <v>0.11</v>
      </c>
    </row>
    <row r="24" customFormat="false" ht="15" hidden="false" customHeight="false" outlineLevel="0" collapsed="false">
      <c r="A24" s="8" t="s">
        <v>66</v>
      </c>
      <c r="B24" s="9"/>
      <c r="C24" s="9"/>
      <c r="D24" s="9"/>
      <c r="E24" s="9"/>
      <c r="F24" s="9"/>
      <c r="G24" s="9"/>
      <c r="H24" s="9"/>
    </row>
    <row r="25" customFormat="false" ht="15" hidden="false" customHeight="false" outlineLevel="0" collapsed="false">
      <c r="A25" s="11" t="s">
        <v>67</v>
      </c>
      <c r="B25" s="12" t="s">
        <v>68</v>
      </c>
      <c r="C25" s="13" t="n">
        <f aca="false">'Investment Build'!$D$20</f>
        <v>1727.568</v>
      </c>
    </row>
    <row r="26" customFormat="false" ht="15" hidden="false" customHeight="false" outlineLevel="0" collapsed="false">
      <c r="A26" s="11" t="s">
        <v>69</v>
      </c>
      <c r="B26" s="12" t="s">
        <v>68</v>
      </c>
      <c r="C26" s="13" t="n">
        <f aca="false">'Investment Build'!$D$31</f>
        <v>1700</v>
      </c>
    </row>
    <row r="27" customFormat="false" ht="15" hidden="false" customHeight="false" outlineLevel="0" collapsed="false">
      <c r="A27" s="25" t="s">
        <v>70</v>
      </c>
      <c r="B27" s="26" t="s">
        <v>68</v>
      </c>
      <c r="C27" s="27" t="n">
        <f aca="false">'Investment Build'!$D$33</f>
        <v>3427.568</v>
      </c>
    </row>
    <row r="28" customFormat="false" ht="15" hidden="false" customHeight="false" outlineLevel="0" collapsed="false">
      <c r="A28" s="11" t="s">
        <v>71</v>
      </c>
      <c r="B28" s="12" t="s">
        <v>68</v>
      </c>
      <c r="C28" s="13" t="n">
        <f aca="false">'Investment Build'!$D$41</f>
        <v>6800</v>
      </c>
    </row>
    <row r="29" customFormat="false" ht="15" hidden="false" customHeight="false" outlineLevel="0" collapsed="false">
      <c r="A29" s="25" t="s">
        <v>72</v>
      </c>
      <c r="B29" s="26" t="s">
        <v>68</v>
      </c>
      <c r="C29" s="27" t="n">
        <f aca="false">'Investment Build'!$D$43</f>
        <v>10227.568</v>
      </c>
    </row>
    <row r="31" customFormat="false" ht="15" hidden="false" customHeight="false" outlineLevel="0" collapsed="false">
      <c r="A31" s="11" t="s">
        <v>73</v>
      </c>
      <c r="B31" s="12" t="s">
        <v>48</v>
      </c>
      <c r="C31" s="13" t="n">
        <f aca="false">'Programme Returns'!$D$12</f>
        <v>3328000</v>
      </c>
    </row>
    <row r="32" customFormat="false" ht="15" hidden="false" customHeight="false" outlineLevel="0" collapsed="false">
      <c r="A32" s="11" t="s">
        <v>74</v>
      </c>
      <c r="B32" s="12" t="s">
        <v>52</v>
      </c>
      <c r="C32" s="13" t="n">
        <f aca="false">'Investment Build'!$D$46</f>
        <v>10299.1826923077</v>
      </c>
    </row>
    <row r="33" customFormat="false" ht="15" hidden="false" customHeight="false" outlineLevel="0" collapsed="false">
      <c r="A33" s="11" t="s">
        <v>75</v>
      </c>
      <c r="B33" s="12" t="s">
        <v>54</v>
      </c>
      <c r="C33" s="19" t="n">
        <f aca="false">'Unit Economics'!$D$22</f>
        <v>0.249</v>
      </c>
    </row>
    <row r="34" customFormat="false" ht="15" hidden="false" customHeight="false" outlineLevel="0" collapsed="false">
      <c r="A34" s="11" t="s">
        <v>76</v>
      </c>
      <c r="B34" s="12" t="s">
        <v>52</v>
      </c>
      <c r="C34" s="13" t="n">
        <f aca="false">'Unit Economics'!$D$21</f>
        <v>174300</v>
      </c>
    </row>
    <row r="36" customFormat="false" ht="15" hidden="false" customHeight="false" outlineLevel="0" collapsed="false">
      <c r="A36" s="11" t="s">
        <v>77</v>
      </c>
      <c r="B36" s="12" t="s">
        <v>78</v>
      </c>
      <c r="C36" s="13" t="n">
        <f aca="false">'Programme Returns'!$D$15</f>
        <v>196647.619047619</v>
      </c>
    </row>
    <row r="37" customFormat="false" ht="15" hidden="false" customHeight="false" outlineLevel="0" collapsed="false">
      <c r="A37" s="11" t="s">
        <v>79</v>
      </c>
      <c r="B37" s="12" t="s">
        <v>78</v>
      </c>
      <c r="C37" s="13" t="n">
        <f aca="false">'Programme Returns'!$D$16</f>
        <v>586779.575444636</v>
      </c>
    </row>
    <row r="38" customFormat="false" ht="15" hidden="false" customHeight="false" outlineLevel="0" collapsed="false">
      <c r="A38" s="11" t="s">
        <v>80</v>
      </c>
      <c r="B38" s="12" t="s">
        <v>63</v>
      </c>
      <c r="C38" s="19" t="n">
        <f aca="false">'Programme Returns'!$D$17</f>
        <v>0.176315978198508</v>
      </c>
    </row>
    <row r="39" customFormat="false" ht="15" hidden="false" customHeight="false" outlineLevel="0" collapsed="false">
      <c r="A39" s="11" t="s">
        <v>81</v>
      </c>
      <c r="B39" s="12" t="s">
        <v>82</v>
      </c>
      <c r="C39" s="28" t="n">
        <f aca="false">'Programme Returns'!$D$18</f>
        <v>7</v>
      </c>
    </row>
    <row r="41" customFormat="false" ht="15" hidden="false" customHeight="false" outlineLevel="0" collapsed="false">
      <c r="A41" s="11" t="s">
        <v>83</v>
      </c>
      <c r="B41" s="12" t="s">
        <v>68</v>
      </c>
      <c r="C41" s="13" t="n">
        <f aca="false">'Programme Returns'!$D$19</f>
        <v>243194.598509491</v>
      </c>
    </row>
    <row r="42" customFormat="false" ht="15" hidden="false" customHeight="false" outlineLevel="0" collapsed="false">
      <c r="A42" s="11" t="s">
        <v>84</v>
      </c>
      <c r="B42" s="12" t="s">
        <v>68</v>
      </c>
      <c r="C42" s="13" t="n">
        <f aca="false">'Programme Returns'!$D$20</f>
        <v>56904.6772995855</v>
      </c>
    </row>
    <row r="43" customFormat="false" ht="15" hidden="false" customHeight="false" outlineLevel="0" collapsed="false">
      <c r="A43" s="11" t="s">
        <v>85</v>
      </c>
      <c r="B43" s="12" t="s">
        <v>63</v>
      </c>
      <c r="C43" s="19" t="n">
        <f aca="false">'Programme Returns'!$D$21</f>
        <v>0.201253548665235</v>
      </c>
    </row>
    <row r="44" customFormat="false" ht="15" hidden="false" customHeight="false" outlineLevel="0" collapsed="false">
      <c r="A44" s="25" t="s">
        <v>86</v>
      </c>
      <c r="B44" s="26" t="s">
        <v>68</v>
      </c>
      <c r="C44" s="27" t="n">
        <f aca="false">'Programme Returns'!$D$22</f>
        <v>9476.2379398032</v>
      </c>
    </row>
    <row r="45" customFormat="false" ht="15" hidden="false" customHeight="false" outlineLevel="0" collapsed="false">
      <c r="A45" s="25" t="s">
        <v>87</v>
      </c>
      <c r="B45" s="26" t="s">
        <v>63</v>
      </c>
      <c r="C45" s="29" t="n">
        <f aca="false">'Programme Returns'!$D$23</f>
        <v>0.289927041438477</v>
      </c>
    </row>
    <row r="46" customFormat="false" ht="15" hidden="false" customHeight="false" outlineLevel="0" collapsed="false">
      <c r="A46" s="11" t="s">
        <v>88</v>
      </c>
      <c r="B46" s="12" t="s">
        <v>68</v>
      </c>
      <c r="C46" s="13" t="n">
        <f aca="false">'Programme Returns'!$D$24</f>
        <v>-10227.568</v>
      </c>
    </row>
    <row r="48" customFormat="false" ht="15" hidden="false" customHeight="false" outlineLevel="0" collapsed="false">
      <c r="A48" s="30" t="s">
        <v>89</v>
      </c>
    </row>
    <row r="49" customFormat="false" ht="15" hidden="false" customHeight="false" outlineLevel="0" collapsed="false">
      <c r="A49" s="31" t="s">
        <v>90</v>
      </c>
      <c r="C49" s="3" t="s">
        <v>91</v>
      </c>
    </row>
    <row r="50" customFormat="false" ht="15" hidden="false" customHeight="false" outlineLevel="0" collapsed="false">
      <c r="A50" s="32" t="s">
        <v>92</v>
      </c>
      <c r="C50" s="3" t="s">
        <v>93</v>
      </c>
    </row>
    <row r="51" customFormat="false" ht="15" hidden="false" customHeight="false" outlineLevel="0" collapsed="false">
      <c r="A51" s="33" t="s">
        <v>94</v>
      </c>
      <c r="C51" s="3" t="s">
        <v>95</v>
      </c>
    </row>
  </sheetData>
  <dataValidations count="1">
    <dataValidation allowBlank="false" errorStyle="stop" operator="between" showDropDown="false" showErrorMessage="false" showInputMessage="false" sqref="C6" type="list">
      <formula1>"Car - ICE,Car - BEV,2W - ICE,2W - BEV"</formula1>
      <formula2>0</formula2>
    </dataValidation>
  </dataValidation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5"/>
    <col collapsed="false" customWidth="true" hidden="false" outlineLevel="0" max="6" min="3" style="0" width="13"/>
    <col collapsed="false" customWidth="true" hidden="false" outlineLevel="0" max="7" min="7" style="0" width="17"/>
    <col collapsed="false" customWidth="true" hidden="false" outlineLevel="0" max="8" min="8" style="0" width="46"/>
    <col collapsed="false" customWidth="true" hidden="false" outlineLevel="0" max="9" min="9" style="0" width="14"/>
    <col collapsed="false" customWidth="true" hidden="false" outlineLevel="0" max="10" min="10" style="0" width="12"/>
    <col collapsed="false" customWidth="true" hidden="false" outlineLevel="0" max="11" min="11" style="0" width="14"/>
  </cols>
  <sheetData>
    <row r="1" customFormat="false" ht="24" hidden="false" customHeight="true" outlineLevel="0" collapsed="false">
      <c r="A1" s="1" t="s">
        <v>96</v>
      </c>
      <c r="B1" s="2"/>
      <c r="C1" s="2"/>
      <c r="D1" s="2"/>
      <c r="E1" s="2"/>
      <c r="F1" s="2"/>
      <c r="G1" s="2"/>
      <c r="H1" s="2"/>
      <c r="I1" s="2"/>
      <c r="J1" s="2"/>
      <c r="K1" s="2"/>
    </row>
    <row r="2" customFormat="false" ht="15" hidden="false" customHeight="false" outlineLevel="0" collapsed="false">
      <c r="A2" s="3" t="s">
        <v>97</v>
      </c>
    </row>
    <row r="4" customFormat="false" ht="15" hidden="false" customHeight="false" outlineLevel="0" collapsed="false">
      <c r="A4" s="34" t="s">
        <v>98</v>
      </c>
      <c r="B4" s="35" t="str">
        <f aca="false">'Control Panel'!$C$6</f>
        <v>Car - ICE</v>
      </c>
      <c r="D4" s="3" t="s">
        <v>99</v>
      </c>
      <c r="E4" s="34" t="n">
        <f aca="false">MATCH($B$4,$C$7:$F$7,0)</f>
        <v>1</v>
      </c>
    </row>
    <row r="7" customFormat="false" ht="30" hidden="false" customHeight="true" outlineLevel="0" collapsed="false">
      <c r="A7" s="36" t="s">
        <v>100</v>
      </c>
      <c r="B7" s="36" t="s">
        <v>41</v>
      </c>
      <c r="C7" s="36" t="s">
        <v>37</v>
      </c>
      <c r="D7" s="36" t="s">
        <v>101</v>
      </c>
      <c r="E7" s="36" t="s">
        <v>102</v>
      </c>
      <c r="F7" s="36" t="s">
        <v>103</v>
      </c>
      <c r="G7" s="36" t="s">
        <v>104</v>
      </c>
      <c r="H7" s="36" t="s">
        <v>105</v>
      </c>
      <c r="I7" s="36" t="s">
        <v>42</v>
      </c>
      <c r="J7" s="36" t="s">
        <v>43</v>
      </c>
      <c r="K7" s="36" t="s">
        <v>44</v>
      </c>
    </row>
    <row r="8" customFormat="false" ht="15" hidden="false" customHeight="false" outlineLevel="0" collapsed="false">
      <c r="A8" s="8" t="s">
        <v>106</v>
      </c>
      <c r="B8" s="9"/>
      <c r="C8" s="9"/>
      <c r="D8" s="9"/>
      <c r="E8" s="9"/>
      <c r="F8" s="9"/>
      <c r="G8" s="9"/>
      <c r="H8" s="9"/>
      <c r="I8" s="9"/>
      <c r="J8" s="9"/>
      <c r="K8" s="9"/>
    </row>
    <row r="9" customFormat="false" ht="19.4" hidden="false" customHeight="false" outlineLevel="0" collapsed="false">
      <c r="A9" s="37" t="s">
        <v>107</v>
      </c>
      <c r="B9" s="3" t="s">
        <v>68</v>
      </c>
      <c r="C9" s="38" t="n">
        <v>120</v>
      </c>
      <c r="D9" s="38" t="n">
        <v>130</v>
      </c>
      <c r="E9" s="38" t="n">
        <v>15</v>
      </c>
      <c r="F9" s="38" t="n">
        <v>18</v>
      </c>
      <c r="G9" s="39" t="s">
        <v>108</v>
      </c>
      <c r="H9" s="40" t="s">
        <v>109</v>
      </c>
      <c r="I9" s="41" t="n">
        <f aca="false">IFERROR(INDEX(C9:F9,$E$4),0)</f>
        <v>120</v>
      </c>
      <c r="J9" s="42"/>
      <c r="K9" s="43" t="n">
        <f aca="false">IF(J9="",I9,J9)</f>
        <v>120</v>
      </c>
    </row>
    <row r="10" customFormat="false" ht="15" hidden="false" customHeight="false" outlineLevel="0" collapsed="false">
      <c r="A10" s="37" t="s">
        <v>110</v>
      </c>
      <c r="B10" s="3" t="s">
        <v>68</v>
      </c>
      <c r="C10" s="38" t="n">
        <v>250</v>
      </c>
      <c r="D10" s="38" t="n">
        <v>320</v>
      </c>
      <c r="E10" s="38" t="n">
        <v>35</v>
      </c>
      <c r="F10" s="38" t="n">
        <v>40</v>
      </c>
      <c r="G10" s="39" t="s">
        <v>108</v>
      </c>
      <c r="H10" s="40" t="s">
        <v>111</v>
      </c>
      <c r="I10" s="41" t="n">
        <f aca="false">IFERROR(INDEX(C10:F10,$E$4),0)</f>
        <v>250</v>
      </c>
      <c r="J10" s="42"/>
      <c r="K10" s="43" t="n">
        <f aca="false">IF(J10="",I10,J10)</f>
        <v>250</v>
      </c>
    </row>
    <row r="11" customFormat="false" ht="22.35" hidden="false" customHeight="false" outlineLevel="0" collapsed="false">
      <c r="A11" s="37" t="s">
        <v>112</v>
      </c>
      <c r="B11" s="3" t="s">
        <v>68</v>
      </c>
      <c r="C11" s="38" t="n">
        <v>350</v>
      </c>
      <c r="D11" s="38" t="n">
        <v>550</v>
      </c>
      <c r="E11" s="38" t="n">
        <v>90</v>
      </c>
      <c r="F11" s="38" t="n">
        <v>130</v>
      </c>
      <c r="G11" s="39" t="s">
        <v>108</v>
      </c>
      <c r="H11" s="40" t="s">
        <v>113</v>
      </c>
      <c r="I11" s="41" t="n">
        <f aca="false">IFERROR(INDEX(C11:F11,$E$4),0)</f>
        <v>350</v>
      </c>
      <c r="J11" s="42"/>
      <c r="K11" s="43" t="n">
        <f aca="false">IF(J11="",I11,J11)</f>
        <v>350</v>
      </c>
    </row>
    <row r="12" customFormat="false" ht="19.4" hidden="false" customHeight="false" outlineLevel="0" collapsed="false">
      <c r="A12" s="37" t="s">
        <v>114</v>
      </c>
      <c r="B12" s="3" t="s">
        <v>68</v>
      </c>
      <c r="C12" s="38" t="n">
        <v>150</v>
      </c>
      <c r="D12" s="38" t="n">
        <v>400</v>
      </c>
      <c r="E12" s="38" t="n">
        <v>20</v>
      </c>
      <c r="F12" s="38" t="n">
        <v>90</v>
      </c>
      <c r="G12" s="39" t="s">
        <v>108</v>
      </c>
      <c r="H12" s="40" t="s">
        <v>115</v>
      </c>
      <c r="I12" s="41" t="n">
        <f aca="false">IFERROR(INDEX(C12:F12,$E$4),0)</f>
        <v>150</v>
      </c>
      <c r="J12" s="42"/>
      <c r="K12" s="43" t="n">
        <f aca="false">IF(J12="",I12,J12)</f>
        <v>150</v>
      </c>
    </row>
    <row r="13" customFormat="false" ht="15" hidden="false" customHeight="false" outlineLevel="0" collapsed="false">
      <c r="A13" s="37" t="s">
        <v>116</v>
      </c>
      <c r="B13" s="3" t="s">
        <v>68</v>
      </c>
      <c r="C13" s="38" t="n">
        <v>180</v>
      </c>
      <c r="D13" s="38" t="n">
        <v>220</v>
      </c>
      <c r="E13" s="38" t="n">
        <v>40</v>
      </c>
      <c r="F13" s="38" t="n">
        <v>45</v>
      </c>
      <c r="G13" s="39" t="s">
        <v>108</v>
      </c>
      <c r="H13" s="40"/>
      <c r="I13" s="41" t="n">
        <f aca="false">IFERROR(INDEX(C13:F13,$E$4),0)</f>
        <v>180</v>
      </c>
      <c r="J13" s="42"/>
      <c r="K13" s="43" t="n">
        <f aca="false">IF(J13="",I13,J13)</f>
        <v>180</v>
      </c>
    </row>
    <row r="14" customFormat="false" ht="15" hidden="false" customHeight="false" outlineLevel="0" collapsed="false">
      <c r="A14" s="37" t="s">
        <v>117</v>
      </c>
      <c r="B14" s="3" t="s">
        <v>68</v>
      </c>
      <c r="C14" s="38" t="n">
        <v>40</v>
      </c>
      <c r="D14" s="38" t="n">
        <v>45</v>
      </c>
      <c r="E14" s="38" t="n">
        <v>10</v>
      </c>
      <c r="F14" s="38" t="n">
        <v>10</v>
      </c>
      <c r="G14" s="39" t="s">
        <v>108</v>
      </c>
      <c r="H14" s="40"/>
      <c r="I14" s="41" t="n">
        <f aca="false">IFERROR(INDEX(C14:F14,$E$4),0)</f>
        <v>40</v>
      </c>
      <c r="J14" s="42"/>
      <c r="K14" s="43" t="n">
        <f aca="false">IF(J14="",I14,J14)</f>
        <v>40</v>
      </c>
    </row>
    <row r="15" customFormat="false" ht="15" hidden="false" customHeight="false" outlineLevel="0" collapsed="false">
      <c r="A15" s="37" t="s">
        <v>118</v>
      </c>
      <c r="B15" s="3" t="s">
        <v>68</v>
      </c>
      <c r="C15" s="38" t="n">
        <v>200</v>
      </c>
      <c r="D15" s="38" t="n">
        <v>280</v>
      </c>
      <c r="E15" s="38" t="n">
        <v>45</v>
      </c>
      <c r="F15" s="38" t="n">
        <v>55</v>
      </c>
      <c r="G15" s="39" t="s">
        <v>108</v>
      </c>
      <c r="H15" s="40"/>
      <c r="I15" s="41" t="n">
        <f aca="false">IFERROR(INDEX(C15:F15,$E$4),0)</f>
        <v>200</v>
      </c>
      <c r="J15" s="42"/>
      <c r="K15" s="43" t="n">
        <f aca="false">IF(J15="",I15,J15)</f>
        <v>200</v>
      </c>
    </row>
    <row r="16" customFormat="false" ht="15" hidden="false" customHeight="false" outlineLevel="0" collapsed="false">
      <c r="A16" s="37" t="s">
        <v>119</v>
      </c>
      <c r="B16" s="3" t="s">
        <v>120</v>
      </c>
      <c r="C16" s="44" t="n">
        <v>0.08</v>
      </c>
      <c r="D16" s="44" t="n">
        <v>0.1</v>
      </c>
      <c r="E16" s="44" t="n">
        <v>0.08</v>
      </c>
      <c r="F16" s="44" t="n">
        <v>0.1</v>
      </c>
      <c r="G16" s="39" t="s">
        <v>108</v>
      </c>
      <c r="H16" s="40"/>
      <c r="I16" s="45" t="n">
        <f aca="false">IFERROR(INDEX(C16:F16,$E$4),0)</f>
        <v>0.08</v>
      </c>
      <c r="J16" s="46"/>
      <c r="K16" s="47" t="n">
        <f aca="false">IF(J16="",I16,J16)</f>
        <v>0.08</v>
      </c>
    </row>
    <row r="17" customFormat="false" ht="19.4" hidden="false" customHeight="false" outlineLevel="0" collapsed="false">
      <c r="A17" s="37" t="s">
        <v>57</v>
      </c>
      <c r="B17" s="3" t="s">
        <v>58</v>
      </c>
      <c r="C17" s="48" t="n">
        <v>1</v>
      </c>
      <c r="D17" s="48" t="n">
        <v>1</v>
      </c>
      <c r="E17" s="48" t="n">
        <v>1</v>
      </c>
      <c r="F17" s="48" t="n">
        <v>1</v>
      </c>
      <c r="G17" s="49" t="s">
        <v>121</v>
      </c>
      <c r="H17" s="40" t="s">
        <v>122</v>
      </c>
      <c r="I17" s="50" t="n">
        <f aca="false">IFERROR(INDEX(C17:F17,$E$4),0)</f>
        <v>1</v>
      </c>
      <c r="J17" s="51" t="str">
        <f aca="false">IF('Control Panel'!$D$16="","",'Control Panel'!$D$16)</f>
        <v/>
      </c>
      <c r="K17" s="52" t="n">
        <f aca="false">IF(J17="",I17,J17)</f>
        <v>1</v>
      </c>
    </row>
    <row r="18" customFormat="false" ht="15" hidden="false" customHeight="false" outlineLevel="0" collapsed="false">
      <c r="A18" s="8" t="s">
        <v>123</v>
      </c>
      <c r="B18" s="9"/>
      <c r="C18" s="9"/>
      <c r="D18" s="9"/>
      <c r="E18" s="9"/>
      <c r="F18" s="9"/>
      <c r="G18" s="9"/>
      <c r="H18" s="9"/>
      <c r="I18" s="9"/>
      <c r="J18" s="9"/>
      <c r="K18" s="9"/>
    </row>
    <row r="19" customFormat="false" ht="15" hidden="false" customHeight="false" outlineLevel="0" collapsed="false">
      <c r="A19" s="37" t="s">
        <v>124</v>
      </c>
      <c r="B19" s="3" t="s">
        <v>68</v>
      </c>
      <c r="C19" s="38" t="n">
        <v>90</v>
      </c>
      <c r="D19" s="38" t="n">
        <v>110</v>
      </c>
      <c r="E19" s="38" t="n">
        <v>12</v>
      </c>
      <c r="F19" s="38" t="n">
        <v>14</v>
      </c>
      <c r="G19" s="39" t="s">
        <v>108</v>
      </c>
      <c r="H19" s="40"/>
      <c r="I19" s="41" t="n">
        <f aca="false">IFERROR(INDEX(C19:F19,$E$4),0)</f>
        <v>90</v>
      </c>
      <c r="J19" s="42"/>
      <c r="K19" s="43" t="n">
        <f aca="false">IF(J19="",I19,J19)</f>
        <v>90</v>
      </c>
    </row>
    <row r="20" customFormat="false" ht="19.4" hidden="false" customHeight="false" outlineLevel="0" collapsed="false">
      <c r="A20" s="37" t="s">
        <v>125</v>
      </c>
      <c r="B20" s="3" t="s">
        <v>68</v>
      </c>
      <c r="C20" s="38" t="n">
        <v>180</v>
      </c>
      <c r="D20" s="38" t="n">
        <v>200</v>
      </c>
      <c r="E20" s="38" t="n">
        <v>22</v>
      </c>
      <c r="F20" s="38" t="n">
        <v>24</v>
      </c>
      <c r="G20" s="39" t="s">
        <v>108</v>
      </c>
      <c r="H20" s="40" t="s">
        <v>126</v>
      </c>
      <c r="I20" s="41" t="n">
        <f aca="false">IFERROR(INDEX(C20:F20,$E$4),0)</f>
        <v>180</v>
      </c>
      <c r="J20" s="42"/>
      <c r="K20" s="43" t="n">
        <f aca="false">IF(J20="",I20,J20)</f>
        <v>180</v>
      </c>
    </row>
    <row r="21" customFormat="false" ht="15" hidden="false" customHeight="false" outlineLevel="0" collapsed="false">
      <c r="A21" s="37" t="s">
        <v>127</v>
      </c>
      <c r="B21" s="3" t="s">
        <v>68</v>
      </c>
      <c r="C21" s="38" t="n">
        <v>55</v>
      </c>
      <c r="D21" s="38" t="n">
        <v>65</v>
      </c>
      <c r="E21" s="38" t="n">
        <v>8</v>
      </c>
      <c r="F21" s="38" t="n">
        <v>9</v>
      </c>
      <c r="G21" s="39" t="s">
        <v>108</v>
      </c>
      <c r="H21" s="40"/>
      <c r="I21" s="41" t="n">
        <f aca="false">IFERROR(INDEX(C21:F21,$E$4),0)</f>
        <v>55</v>
      </c>
      <c r="J21" s="42"/>
      <c r="K21" s="43" t="n">
        <f aca="false">IF(J21="",I21,J21)</f>
        <v>55</v>
      </c>
    </row>
    <row r="22" customFormat="false" ht="15" hidden="false" customHeight="false" outlineLevel="0" collapsed="false">
      <c r="A22" s="37" t="s">
        <v>128</v>
      </c>
      <c r="B22" s="3" t="s">
        <v>68</v>
      </c>
      <c r="C22" s="38" t="n">
        <v>60</v>
      </c>
      <c r="D22" s="38" t="n">
        <v>90</v>
      </c>
      <c r="E22" s="38" t="n">
        <v>20</v>
      </c>
      <c r="F22" s="38" t="n">
        <v>26</v>
      </c>
      <c r="G22" s="39" t="s">
        <v>108</v>
      </c>
      <c r="H22" s="40"/>
      <c r="I22" s="41" t="n">
        <f aca="false">IFERROR(INDEX(C22:F22,$E$4),0)</f>
        <v>60</v>
      </c>
      <c r="J22" s="42"/>
      <c r="K22" s="43" t="n">
        <f aca="false">IF(J22="",I22,J22)</f>
        <v>60</v>
      </c>
    </row>
    <row r="23" customFormat="false" ht="15" hidden="false" customHeight="false" outlineLevel="0" collapsed="false">
      <c r="A23" s="37" t="s">
        <v>129</v>
      </c>
      <c r="B23" s="3" t="s">
        <v>68</v>
      </c>
      <c r="C23" s="38" t="n">
        <v>40</v>
      </c>
      <c r="D23" s="38" t="n">
        <v>50</v>
      </c>
      <c r="E23" s="38" t="n">
        <v>6</v>
      </c>
      <c r="F23" s="38" t="n">
        <v>8</v>
      </c>
      <c r="G23" s="39" t="s">
        <v>108</v>
      </c>
      <c r="H23" s="40"/>
      <c r="I23" s="41" t="n">
        <f aca="false">IFERROR(INDEX(C23:F23,$E$4),0)</f>
        <v>40</v>
      </c>
      <c r="J23" s="42"/>
      <c r="K23" s="43" t="n">
        <f aca="false">IF(J23="",I23,J23)</f>
        <v>40</v>
      </c>
    </row>
    <row r="24" customFormat="false" ht="19.4" hidden="false" customHeight="false" outlineLevel="0" collapsed="false">
      <c r="A24" s="37" t="s">
        <v>59</v>
      </c>
      <c r="B24" s="3" t="s">
        <v>58</v>
      </c>
      <c r="C24" s="48" t="n">
        <v>1</v>
      </c>
      <c r="D24" s="48" t="n">
        <v>1</v>
      </c>
      <c r="E24" s="48" t="n">
        <v>1</v>
      </c>
      <c r="F24" s="48" t="n">
        <v>1</v>
      </c>
      <c r="G24" s="49" t="s">
        <v>121</v>
      </c>
      <c r="H24" s="40" t="s">
        <v>130</v>
      </c>
      <c r="I24" s="50" t="n">
        <f aca="false">IFERROR(INDEX(C24:F24,$E$4),0)</f>
        <v>1</v>
      </c>
      <c r="J24" s="51" t="str">
        <f aca="false">IF('Control Panel'!$D$17="","",'Control Panel'!$D$17)</f>
        <v/>
      </c>
      <c r="K24" s="52" t="n">
        <f aca="false">IF(J24="",I24,J24)</f>
        <v>1</v>
      </c>
    </row>
    <row r="25" customFormat="false" ht="15" hidden="false" customHeight="false" outlineLevel="0" collapsed="false">
      <c r="A25" s="8" t="s">
        <v>131</v>
      </c>
      <c r="B25" s="9"/>
      <c r="C25" s="9"/>
      <c r="D25" s="9"/>
      <c r="E25" s="9"/>
      <c r="F25" s="9"/>
      <c r="G25" s="9"/>
      <c r="H25" s="9"/>
      <c r="I25" s="9"/>
      <c r="J25" s="9"/>
      <c r="K25" s="9"/>
    </row>
    <row r="26" customFormat="false" ht="15" hidden="false" customHeight="false" outlineLevel="0" collapsed="false">
      <c r="A26" s="37" t="s">
        <v>60</v>
      </c>
      <c r="B26" s="3" t="s">
        <v>132</v>
      </c>
      <c r="C26" s="44" t="n">
        <v>0.08</v>
      </c>
      <c r="D26" s="44" t="n">
        <v>0.09</v>
      </c>
      <c r="E26" s="44" t="n">
        <v>0.07</v>
      </c>
      <c r="F26" s="44" t="n">
        <v>0.08</v>
      </c>
      <c r="G26" s="49" t="s">
        <v>121</v>
      </c>
      <c r="H26" s="40" t="s">
        <v>133</v>
      </c>
      <c r="I26" s="45" t="n">
        <f aca="false">IFERROR(INDEX(C26:F26,$E$4),0)</f>
        <v>0.08</v>
      </c>
      <c r="J26" s="53" t="str">
        <f aca="false">IF('Control Panel'!$D$18="","",'Control Panel'!$D$18)</f>
        <v/>
      </c>
      <c r="K26" s="47" t="n">
        <f aca="false">IF(J26="",I26,J26)</f>
        <v>0.08</v>
      </c>
    </row>
    <row r="27" customFormat="false" ht="19.4" hidden="false" customHeight="false" outlineLevel="0" collapsed="false">
      <c r="A27" s="37" t="s">
        <v>134</v>
      </c>
      <c r="B27" s="3" t="s">
        <v>135</v>
      </c>
      <c r="C27" s="44" t="n">
        <v>0.8</v>
      </c>
      <c r="D27" s="44" t="n">
        <v>0.82</v>
      </c>
      <c r="E27" s="44" t="n">
        <v>0.78</v>
      </c>
      <c r="F27" s="44" t="n">
        <v>0.8</v>
      </c>
      <c r="G27" s="39" t="s">
        <v>108</v>
      </c>
      <c r="H27" s="40" t="s">
        <v>136</v>
      </c>
      <c r="I27" s="45" t="n">
        <f aca="false">IFERROR(INDEX(C27:F27,$E$4),0)</f>
        <v>0.8</v>
      </c>
      <c r="J27" s="46"/>
      <c r="K27" s="47" t="n">
        <f aca="false">IF(J27="",I27,J27)</f>
        <v>0.8</v>
      </c>
    </row>
    <row r="28" customFormat="false" ht="19.4" hidden="false" customHeight="false" outlineLevel="0" collapsed="false">
      <c r="A28" s="37" t="s">
        <v>137</v>
      </c>
      <c r="B28" s="3" t="s">
        <v>138</v>
      </c>
      <c r="C28" s="44" t="n">
        <v>0.035</v>
      </c>
      <c r="D28" s="44" t="n">
        <v>0.03</v>
      </c>
      <c r="E28" s="44" t="n">
        <v>0.03</v>
      </c>
      <c r="F28" s="44" t="n">
        <v>0.025</v>
      </c>
      <c r="G28" s="39" t="s">
        <v>108</v>
      </c>
      <c r="H28" s="40" t="s">
        <v>139</v>
      </c>
      <c r="I28" s="45" t="n">
        <f aca="false">IFERROR(INDEX(C28:F28,$E$4),0)</f>
        <v>0.035</v>
      </c>
      <c r="J28" s="46"/>
      <c r="K28" s="47" t="n">
        <f aca="false">IF(J28="",I28,J28)</f>
        <v>0.035</v>
      </c>
    </row>
    <row r="29" customFormat="false" ht="15" hidden="false" customHeight="false" outlineLevel="0" collapsed="false">
      <c r="A29" s="37" t="s">
        <v>140</v>
      </c>
      <c r="B29" s="3" t="s">
        <v>46</v>
      </c>
      <c r="C29" s="38" t="n">
        <v>4</v>
      </c>
      <c r="D29" s="38" t="n">
        <v>3</v>
      </c>
      <c r="E29" s="38" t="n">
        <v>4</v>
      </c>
      <c r="F29" s="38" t="n">
        <v>3</v>
      </c>
      <c r="G29" s="49" t="s">
        <v>121</v>
      </c>
      <c r="H29" s="40" t="s">
        <v>141</v>
      </c>
      <c r="I29" s="41" t="n">
        <f aca="false">IFERROR(INDEX(C29:F29,$E$4),0)</f>
        <v>4</v>
      </c>
      <c r="J29" s="54" t="str">
        <f aca="false">IF('Control Panel'!$D$10="","",'Control Panel'!$D$10)</f>
        <v/>
      </c>
      <c r="K29" s="43" t="n">
        <f aca="false">IF(J29="",I29,J29)</f>
        <v>4</v>
      </c>
    </row>
    <row r="30" customFormat="false" ht="15" hidden="false" customHeight="false" outlineLevel="0" collapsed="false">
      <c r="A30" s="37" t="s">
        <v>142</v>
      </c>
      <c r="B30" s="3" t="s">
        <v>143</v>
      </c>
      <c r="C30" s="44" t="n">
        <v>0.25</v>
      </c>
      <c r="D30" s="44" t="n">
        <v>0.25</v>
      </c>
      <c r="E30" s="44" t="n">
        <v>0.2</v>
      </c>
      <c r="F30" s="44" t="n">
        <v>0.2</v>
      </c>
      <c r="G30" s="39" t="s">
        <v>108</v>
      </c>
      <c r="H30" s="40"/>
      <c r="I30" s="45" t="n">
        <f aca="false">IFERROR(INDEX(C30:F30,$E$4),0)</f>
        <v>0.25</v>
      </c>
      <c r="J30" s="46"/>
      <c r="K30" s="47" t="n">
        <f aca="false">IF(J30="",I30,J30)</f>
        <v>0.25</v>
      </c>
    </row>
    <row r="31" customFormat="false" ht="15" hidden="false" customHeight="false" outlineLevel="0" collapsed="false">
      <c r="A31" s="8" t="s">
        <v>144</v>
      </c>
      <c r="B31" s="9"/>
      <c r="C31" s="9"/>
      <c r="D31" s="9"/>
      <c r="E31" s="9"/>
      <c r="F31" s="9"/>
      <c r="G31" s="9"/>
      <c r="H31" s="9"/>
      <c r="I31" s="9"/>
      <c r="J31" s="9"/>
      <c r="K31" s="9"/>
    </row>
    <row r="32" customFormat="false" ht="37.3" hidden="false" customHeight="false" outlineLevel="0" collapsed="false">
      <c r="A32" s="37" t="s">
        <v>145</v>
      </c>
      <c r="B32" s="3" t="s">
        <v>52</v>
      </c>
      <c r="C32" s="38" t="n">
        <v>340000</v>
      </c>
      <c r="D32" s="38" t="n">
        <v>450000</v>
      </c>
      <c r="E32" s="38" t="n">
        <v>25000</v>
      </c>
      <c r="F32" s="38" t="n">
        <v>30000</v>
      </c>
      <c r="G32" s="55" t="s">
        <v>146</v>
      </c>
      <c r="H32" s="40" t="s">
        <v>147</v>
      </c>
      <c r="I32" s="41" t="n">
        <f aca="false">IFERROR(INDEX(C32:F32,$E$4),0)</f>
        <v>340000</v>
      </c>
      <c r="J32" s="42"/>
      <c r="K32" s="43" t="n">
        <f aca="false">IF(J32="",I32,J32)</f>
        <v>340000</v>
      </c>
    </row>
    <row r="33" customFormat="false" ht="37.3" hidden="false" customHeight="false" outlineLevel="0" collapsed="false">
      <c r="A33" s="37" t="s">
        <v>148</v>
      </c>
      <c r="B33" s="3" t="s">
        <v>48</v>
      </c>
      <c r="C33" s="38" t="n">
        <v>400000</v>
      </c>
      <c r="D33" s="38" t="n">
        <v>150000</v>
      </c>
      <c r="E33" s="38" t="n">
        <v>1200000</v>
      </c>
      <c r="F33" s="38" t="n">
        <v>500000</v>
      </c>
      <c r="G33" s="39" t="s">
        <v>108</v>
      </c>
      <c r="H33" s="40" t="s">
        <v>149</v>
      </c>
      <c r="I33" s="41" t="n">
        <f aca="false">IFERROR(INDEX(C33:F33,$E$4),0)</f>
        <v>400000</v>
      </c>
      <c r="J33" s="42"/>
      <c r="K33" s="43" t="n">
        <f aca="false">IF(J33="",I33,J33)</f>
        <v>400000</v>
      </c>
    </row>
    <row r="34" customFormat="false" ht="19.4" hidden="false" customHeight="false" outlineLevel="0" collapsed="false">
      <c r="A34" s="37" t="s">
        <v>150</v>
      </c>
      <c r="B34" s="3" t="s">
        <v>63</v>
      </c>
      <c r="C34" s="44" t="n">
        <v>0.5</v>
      </c>
      <c r="D34" s="44" t="n">
        <v>0.8</v>
      </c>
      <c r="E34" s="44" t="n">
        <v>0.4</v>
      </c>
      <c r="F34" s="44" t="n">
        <v>0.7</v>
      </c>
      <c r="G34" s="49" t="s">
        <v>121</v>
      </c>
      <c r="H34" s="40" t="s">
        <v>151</v>
      </c>
      <c r="I34" s="45" t="n">
        <f aca="false">IFERROR(INDEX(C34:F34,$E$4),0)</f>
        <v>0.5</v>
      </c>
      <c r="J34" s="53" t="str">
        <f aca="false">IF('Control Panel'!$D$19="","",'Control Panel'!$D$19)</f>
        <v/>
      </c>
      <c r="K34" s="47" t="n">
        <f aca="false">IF(J34="",I34,J34)</f>
        <v>0.5</v>
      </c>
    </row>
    <row r="35" customFormat="false" ht="15" hidden="false" customHeight="false" outlineLevel="0" collapsed="false">
      <c r="A35" s="8" t="s">
        <v>152</v>
      </c>
      <c r="B35" s="9"/>
      <c r="C35" s="9"/>
      <c r="D35" s="9"/>
      <c r="E35" s="9"/>
      <c r="F35" s="9"/>
      <c r="G35" s="9"/>
      <c r="H35" s="9"/>
      <c r="I35" s="9"/>
      <c r="J35" s="9"/>
      <c r="K35" s="9"/>
    </row>
    <row r="36" customFormat="false" ht="15" hidden="false" customHeight="false" outlineLevel="0" collapsed="false">
      <c r="A36" s="37" t="s">
        <v>153</v>
      </c>
      <c r="B36" s="3" t="s">
        <v>154</v>
      </c>
      <c r="C36" s="38" t="n">
        <v>700000</v>
      </c>
      <c r="D36" s="38" t="n">
        <v>1500000</v>
      </c>
      <c r="E36" s="38" t="n">
        <v>68000</v>
      </c>
      <c r="F36" s="38" t="n">
        <v>105000</v>
      </c>
      <c r="G36" s="49" t="s">
        <v>121</v>
      </c>
      <c r="H36" s="40"/>
      <c r="I36" s="41" t="n">
        <f aca="false">IFERROR(INDEX(C36:F36,$E$4),0)</f>
        <v>700000</v>
      </c>
      <c r="J36" s="54" t="str">
        <f aca="false">IF('Control Panel'!$D$13="","",'Control Panel'!$D$13)</f>
        <v/>
      </c>
      <c r="K36" s="43" t="n">
        <f aca="false">IF(J36="",I36,J36)</f>
        <v>700000</v>
      </c>
    </row>
    <row r="37" customFormat="false" ht="15" hidden="false" customHeight="false" outlineLevel="0" collapsed="false">
      <c r="A37" s="37" t="s">
        <v>155</v>
      </c>
      <c r="B37" s="3" t="s">
        <v>54</v>
      </c>
      <c r="C37" s="44" t="n">
        <v>0.7</v>
      </c>
      <c r="D37" s="44" t="n">
        <v>0.47</v>
      </c>
      <c r="E37" s="44" t="n">
        <v>0.68</v>
      </c>
      <c r="F37" s="44" t="n">
        <v>0.49</v>
      </c>
      <c r="G37" s="49" t="s">
        <v>121</v>
      </c>
      <c r="H37" s="40"/>
      <c r="I37" s="45" t="n">
        <f aca="false">IFERROR(INDEX(C37:F37,$E$4),0)</f>
        <v>0.7</v>
      </c>
      <c r="J37" s="53" t="str">
        <f aca="false">IF('Control Panel'!$D$14="","",'Control Panel'!$D$14)</f>
        <v/>
      </c>
      <c r="K37" s="47" t="n">
        <f aca="false">IF(J37="",I37,J37)</f>
        <v>0.7</v>
      </c>
    </row>
    <row r="38" customFormat="false" ht="15" hidden="false" customHeight="false" outlineLevel="0" collapsed="false">
      <c r="A38" s="37" t="s">
        <v>156</v>
      </c>
      <c r="B38" s="3" t="s">
        <v>157</v>
      </c>
      <c r="C38" s="56" t="n">
        <v>0</v>
      </c>
      <c r="D38" s="56" t="n">
        <v>50</v>
      </c>
      <c r="E38" s="56" t="n">
        <v>0</v>
      </c>
      <c r="F38" s="56" t="n">
        <v>3</v>
      </c>
      <c r="G38" s="39" t="s">
        <v>108</v>
      </c>
      <c r="H38" s="40"/>
      <c r="I38" s="57" t="n">
        <f aca="false">IFERROR(INDEX(C38:F38,$E$4),0)</f>
        <v>0</v>
      </c>
      <c r="J38" s="58"/>
      <c r="K38" s="59" t="n">
        <f aca="false">IF(J38="",I38,J38)</f>
        <v>0</v>
      </c>
    </row>
    <row r="39" customFormat="false" ht="19.4" hidden="false" customHeight="false" outlineLevel="0" collapsed="false">
      <c r="A39" s="37" t="s">
        <v>158</v>
      </c>
      <c r="B39" s="3" t="s">
        <v>159</v>
      </c>
      <c r="C39" s="38" t="n">
        <v>0</v>
      </c>
      <c r="D39" s="38" t="n">
        <v>8700</v>
      </c>
      <c r="E39" s="38" t="n">
        <v>0</v>
      </c>
      <c r="F39" s="38" t="n">
        <v>8700</v>
      </c>
      <c r="G39" s="55" t="s">
        <v>160</v>
      </c>
      <c r="H39" s="40" t="s">
        <v>161</v>
      </c>
      <c r="I39" s="41" t="n">
        <f aca="false">IFERROR(INDEX(C39:F39,$E$4),0)</f>
        <v>0</v>
      </c>
      <c r="J39" s="42"/>
      <c r="K39" s="43" t="n">
        <f aca="false">IF(J39="",I39,J39)</f>
        <v>0</v>
      </c>
    </row>
    <row r="40" customFormat="false" ht="15" hidden="false" customHeight="false" outlineLevel="0" collapsed="false">
      <c r="A40" s="37" t="s">
        <v>162</v>
      </c>
      <c r="B40" s="3" t="s">
        <v>54</v>
      </c>
      <c r="C40" s="44" t="n">
        <v>0.06</v>
      </c>
      <c r="D40" s="44" t="n">
        <v>0.055</v>
      </c>
      <c r="E40" s="44" t="n">
        <v>0.05</v>
      </c>
      <c r="F40" s="44" t="n">
        <v>0.05</v>
      </c>
      <c r="G40" s="39" t="s">
        <v>108</v>
      </c>
      <c r="H40" s="40"/>
      <c r="I40" s="45" t="n">
        <f aca="false">IFERROR(INDEX(C40:F40,$E$4),0)</f>
        <v>0.06</v>
      </c>
      <c r="J40" s="46"/>
      <c r="K40" s="47" t="n">
        <f aca="false">IF(J40="",I40,J40)</f>
        <v>0.06</v>
      </c>
    </row>
    <row r="41" customFormat="false" ht="15" hidden="false" customHeight="false" outlineLevel="0" collapsed="false">
      <c r="A41" s="37" t="s">
        <v>163</v>
      </c>
      <c r="B41" s="3" t="s">
        <v>54</v>
      </c>
      <c r="C41" s="44" t="n">
        <v>0.015</v>
      </c>
      <c r="D41" s="44" t="n">
        <v>0.02</v>
      </c>
      <c r="E41" s="44" t="n">
        <v>0.01</v>
      </c>
      <c r="F41" s="44" t="n">
        <v>0.02</v>
      </c>
      <c r="G41" s="39" t="s">
        <v>108</v>
      </c>
      <c r="H41" s="40"/>
      <c r="I41" s="45" t="n">
        <f aca="false">IFERROR(INDEX(C41:F41,$E$4),0)</f>
        <v>0.015</v>
      </c>
      <c r="J41" s="46"/>
      <c r="K41" s="47" t="n">
        <f aca="false">IF(J41="",I41,J41)</f>
        <v>0.015</v>
      </c>
    </row>
    <row r="42" customFormat="false" ht="15" hidden="false" customHeight="false" outlineLevel="0" collapsed="false">
      <c r="A42" s="37" t="s">
        <v>164</v>
      </c>
      <c r="B42" s="3" t="s">
        <v>54</v>
      </c>
      <c r="C42" s="44" t="n">
        <v>0.025</v>
      </c>
      <c r="D42" s="44" t="n">
        <v>0.025</v>
      </c>
      <c r="E42" s="44" t="n">
        <v>0.02</v>
      </c>
      <c r="F42" s="44" t="n">
        <v>0.03</v>
      </c>
      <c r="G42" s="39" t="s">
        <v>108</v>
      </c>
      <c r="H42" s="40"/>
      <c r="I42" s="45" t="n">
        <f aca="false">IFERROR(INDEX(C42:F42,$E$4),0)</f>
        <v>0.025</v>
      </c>
      <c r="J42" s="46"/>
      <c r="K42" s="47" t="n">
        <f aca="false">IF(J42="",I42,J42)</f>
        <v>0.025</v>
      </c>
    </row>
    <row r="43" customFormat="false" ht="15" hidden="false" customHeight="false" outlineLevel="0" collapsed="false">
      <c r="A43" s="37" t="s">
        <v>55</v>
      </c>
      <c r="B43" s="3" t="s">
        <v>56</v>
      </c>
      <c r="C43" s="38" t="n">
        <v>450</v>
      </c>
      <c r="D43" s="38" t="n">
        <v>300</v>
      </c>
      <c r="E43" s="38" t="n">
        <v>180</v>
      </c>
      <c r="F43" s="38" t="n">
        <v>200</v>
      </c>
      <c r="G43" s="49" t="s">
        <v>121</v>
      </c>
      <c r="H43" s="40"/>
      <c r="I43" s="41" t="n">
        <f aca="false">IFERROR(INDEX(C43:F43,$E$4),0)</f>
        <v>450</v>
      </c>
      <c r="J43" s="54" t="str">
        <f aca="false">IF('Control Panel'!$D$15="","",'Control Panel'!$D$15)</f>
        <v/>
      </c>
      <c r="K43" s="43" t="n">
        <f aca="false">IF(J43="",I43,J43)</f>
        <v>450</v>
      </c>
    </row>
    <row r="44" customFormat="false" ht="19.4" hidden="false" customHeight="false" outlineLevel="0" collapsed="false">
      <c r="A44" s="37" t="s">
        <v>165</v>
      </c>
      <c r="B44" s="3" t="s">
        <v>166</v>
      </c>
      <c r="C44" s="44" t="n">
        <v>0.05</v>
      </c>
      <c r="D44" s="44" t="n">
        <v>0.06</v>
      </c>
      <c r="E44" s="44" t="n">
        <v>0.06</v>
      </c>
      <c r="F44" s="44" t="n">
        <v>0.09</v>
      </c>
      <c r="G44" s="39" t="s">
        <v>108</v>
      </c>
      <c r="H44" s="40" t="s">
        <v>167</v>
      </c>
      <c r="I44" s="45" t="n">
        <f aca="false">IFERROR(INDEX(C44:F44,$E$4),0)</f>
        <v>0.05</v>
      </c>
      <c r="J44" s="46"/>
      <c r="K44" s="47" t="n">
        <f aca="false">IF(J44="",I44,J44)</f>
        <v>0.05</v>
      </c>
    </row>
    <row r="45" customFormat="false" ht="15" hidden="false" customHeight="false" outlineLevel="0" collapsed="false">
      <c r="A45" s="8" t="s">
        <v>168</v>
      </c>
      <c r="B45" s="9"/>
      <c r="C45" s="9"/>
      <c r="D45" s="9"/>
      <c r="E45" s="9"/>
      <c r="F45" s="9"/>
      <c r="G45" s="9"/>
      <c r="H45" s="9"/>
      <c r="I45" s="9"/>
      <c r="J45" s="9"/>
      <c r="K45" s="9"/>
    </row>
    <row r="46" customFormat="false" ht="15" hidden="false" customHeight="false" outlineLevel="0" collapsed="false">
      <c r="A46" s="37" t="s">
        <v>47</v>
      </c>
      <c r="B46" s="3" t="s">
        <v>48</v>
      </c>
      <c r="C46" s="38" t="n">
        <v>100000</v>
      </c>
      <c r="D46" s="38" t="n">
        <v>45000</v>
      </c>
      <c r="E46" s="38" t="n">
        <v>300000</v>
      </c>
      <c r="F46" s="38" t="n">
        <v>150000</v>
      </c>
      <c r="G46" s="49" t="s">
        <v>121</v>
      </c>
      <c r="H46" s="40"/>
      <c r="I46" s="41" t="n">
        <f aca="false">IFERROR(INDEX(C46:F46,$E$4),0)</f>
        <v>100000</v>
      </c>
      <c r="J46" s="54" t="str">
        <f aca="false">IF('Control Panel'!$D$11="","",'Control Panel'!$D$11)</f>
        <v/>
      </c>
      <c r="K46" s="43" t="n">
        <f aca="false">IF(J46="",I46,J46)</f>
        <v>100000</v>
      </c>
    </row>
    <row r="47" customFormat="false" ht="15" hidden="false" customHeight="false" outlineLevel="0" collapsed="false">
      <c r="A47" s="37" t="s">
        <v>49</v>
      </c>
      <c r="B47" s="3" t="s">
        <v>50</v>
      </c>
      <c r="C47" s="56" t="n">
        <v>10</v>
      </c>
      <c r="D47" s="56" t="n">
        <v>8</v>
      </c>
      <c r="E47" s="56" t="n">
        <v>10</v>
      </c>
      <c r="F47" s="56" t="n">
        <v>7</v>
      </c>
      <c r="G47" s="49" t="s">
        <v>121</v>
      </c>
      <c r="H47" s="40" t="s">
        <v>169</v>
      </c>
      <c r="I47" s="57" t="n">
        <f aca="false">IFERROR(INDEX(C47:F47,$E$4),0)</f>
        <v>10</v>
      </c>
      <c r="J47" s="60" t="str">
        <f aca="false">IF('Control Panel'!$D$12="","",'Control Panel'!$D$12)</f>
        <v/>
      </c>
      <c r="K47" s="59" t="n">
        <f aca="false">IF(J47="",I47,J47)</f>
        <v>10</v>
      </c>
    </row>
    <row r="48" customFormat="false" ht="15" hidden="false" customHeight="false" outlineLevel="0" collapsed="false">
      <c r="A48" s="37" t="s">
        <v>170</v>
      </c>
      <c r="B48" s="3" t="s">
        <v>50</v>
      </c>
      <c r="C48" s="56" t="n">
        <v>4</v>
      </c>
      <c r="D48" s="56" t="n">
        <v>3.5</v>
      </c>
      <c r="E48" s="56" t="n">
        <v>2.5</v>
      </c>
      <c r="F48" s="56" t="n">
        <v>2.5</v>
      </c>
      <c r="G48" s="39" t="s">
        <v>108</v>
      </c>
      <c r="H48" s="40" t="s">
        <v>171</v>
      </c>
      <c r="I48" s="57" t="n">
        <f aca="false">IFERROR(INDEX(C48:F48,$E$4),0)</f>
        <v>4</v>
      </c>
      <c r="J48" s="58"/>
      <c r="K48" s="59" t="n">
        <f aca="false">IF(J48="",I48,J48)</f>
        <v>4</v>
      </c>
    </row>
    <row r="49" customFormat="false" ht="15" hidden="false" customHeight="false" outlineLevel="0" collapsed="false">
      <c r="A49" s="37" t="s">
        <v>64</v>
      </c>
      <c r="B49" s="3" t="s">
        <v>63</v>
      </c>
      <c r="C49" s="44" t="n">
        <v>0.01</v>
      </c>
      <c r="D49" s="44" t="n">
        <v>-0.015</v>
      </c>
      <c r="E49" s="44" t="n">
        <v>0.015</v>
      </c>
      <c r="F49" s="44" t="n">
        <v>-0.01</v>
      </c>
      <c r="G49" s="49" t="s">
        <v>121</v>
      </c>
      <c r="H49" s="40"/>
      <c r="I49" s="45" t="n">
        <f aca="false">IFERROR(INDEX(C49:F49,$E$4),0)</f>
        <v>0.01</v>
      </c>
      <c r="J49" s="53" t="str">
        <f aca="false">IF('Control Panel'!$D$20="","",'Control Panel'!$D$20)</f>
        <v/>
      </c>
      <c r="K49" s="47" t="n">
        <f aca="false">IF(J49="",I49,J49)</f>
        <v>0.01</v>
      </c>
    </row>
    <row r="50" customFormat="false" ht="15" hidden="false" customHeight="false" outlineLevel="0" collapsed="false">
      <c r="A50" s="37" t="s">
        <v>172</v>
      </c>
      <c r="B50" s="3" t="s">
        <v>63</v>
      </c>
      <c r="C50" s="44" t="n">
        <v>-0.01</v>
      </c>
      <c r="D50" s="44" t="n">
        <v>-0.02</v>
      </c>
      <c r="E50" s="44" t="n">
        <v>-0.01</v>
      </c>
      <c r="F50" s="44" t="n">
        <v>-0.015</v>
      </c>
      <c r="G50" s="39" t="s">
        <v>108</v>
      </c>
      <c r="H50" s="40"/>
      <c r="I50" s="45" t="n">
        <f aca="false">IFERROR(INDEX(C50:F50,$E$4),0)</f>
        <v>-0.01</v>
      </c>
      <c r="J50" s="46"/>
      <c r="K50" s="47" t="n">
        <f aca="false">IF(J50="",I50,J50)</f>
        <v>-0.01</v>
      </c>
    </row>
    <row r="51" customFormat="false" ht="19.4" hidden="false" customHeight="false" outlineLevel="0" collapsed="false">
      <c r="A51" s="37" t="s">
        <v>173</v>
      </c>
      <c r="B51" s="3" t="s">
        <v>63</v>
      </c>
      <c r="C51" s="44" t="n">
        <v>0</v>
      </c>
      <c r="D51" s="44" t="n">
        <v>-0.05</v>
      </c>
      <c r="E51" s="44" t="n">
        <v>0</v>
      </c>
      <c r="F51" s="44" t="n">
        <v>-0.05</v>
      </c>
      <c r="G51" s="39" t="s">
        <v>108</v>
      </c>
      <c r="H51" s="40" t="s">
        <v>174</v>
      </c>
      <c r="I51" s="45" t="n">
        <f aca="false">IFERROR(INDEX(C51:F51,$E$4),0)</f>
        <v>0</v>
      </c>
      <c r="J51" s="46"/>
      <c r="K51" s="47" t="n">
        <f aca="false">IF(J51="",I51,J51)</f>
        <v>0</v>
      </c>
    </row>
    <row r="52" customFormat="false" ht="15" hidden="false" customHeight="false" outlineLevel="0" collapsed="false">
      <c r="A52" s="8" t="s">
        <v>175</v>
      </c>
      <c r="B52" s="9"/>
      <c r="C52" s="9"/>
      <c r="D52" s="9"/>
      <c r="E52" s="9"/>
      <c r="F52" s="9"/>
      <c r="G52" s="9"/>
      <c r="H52" s="9"/>
      <c r="I52" s="9"/>
      <c r="J52" s="9"/>
      <c r="K52" s="9"/>
    </row>
    <row r="53" customFormat="false" ht="15" hidden="false" customHeight="false" outlineLevel="0" collapsed="false">
      <c r="A53" s="37" t="s">
        <v>176</v>
      </c>
      <c r="B53" s="3" t="s">
        <v>63</v>
      </c>
      <c r="C53" s="44" t="n">
        <v>0.11</v>
      </c>
      <c r="D53" s="44" t="n">
        <v>0.125</v>
      </c>
      <c r="E53" s="44" t="n">
        <v>0.11</v>
      </c>
      <c r="F53" s="44" t="n">
        <v>0.14</v>
      </c>
      <c r="G53" s="49" t="s">
        <v>121</v>
      </c>
      <c r="H53" s="40"/>
      <c r="I53" s="45" t="n">
        <f aca="false">IFERROR(INDEX(C53:F53,$E$4),0)</f>
        <v>0.11</v>
      </c>
      <c r="J53" s="53" t="str">
        <f aca="false">IF('Control Panel'!$D$21="","",'Control Panel'!$D$21)</f>
        <v/>
      </c>
      <c r="K53" s="47" t="n">
        <f aca="false">IF(J53="",I53,J53)</f>
        <v>0.11</v>
      </c>
    </row>
    <row r="54" customFormat="false" ht="15" hidden="false" customHeight="false" outlineLevel="0" collapsed="false">
      <c r="A54" s="37" t="s">
        <v>177</v>
      </c>
      <c r="B54" s="3" t="s">
        <v>63</v>
      </c>
      <c r="C54" s="44" t="n">
        <v>0.252</v>
      </c>
      <c r="D54" s="44" t="n">
        <v>0.252</v>
      </c>
      <c r="E54" s="44" t="n">
        <v>0.252</v>
      </c>
      <c r="F54" s="44" t="n">
        <v>0.252</v>
      </c>
      <c r="G54" s="55" t="s">
        <v>178</v>
      </c>
      <c r="H54" s="40" t="s">
        <v>179</v>
      </c>
      <c r="I54" s="45" t="n">
        <f aca="false">IFERROR(INDEX(C54:F54,$E$4),0)</f>
        <v>0.252</v>
      </c>
      <c r="J54" s="46"/>
      <c r="K54" s="47" t="n">
        <f aca="false">IF(J54="",I54,J54)</f>
        <v>0.252</v>
      </c>
    </row>
    <row r="55" customFormat="false" ht="15" hidden="false" customHeight="false" outlineLevel="0" collapsed="false">
      <c r="A55" s="37" t="s">
        <v>180</v>
      </c>
      <c r="B55" s="3" t="s">
        <v>50</v>
      </c>
      <c r="C55" s="56" t="n">
        <v>8</v>
      </c>
      <c r="D55" s="56" t="n">
        <v>7</v>
      </c>
      <c r="E55" s="56" t="n">
        <v>8</v>
      </c>
      <c r="F55" s="56" t="n">
        <v>6</v>
      </c>
      <c r="G55" s="39" t="s">
        <v>108</v>
      </c>
      <c r="H55" s="40"/>
      <c r="I55" s="57" t="n">
        <f aca="false">IFERROR(INDEX(C55:F55,$E$4),0)</f>
        <v>8</v>
      </c>
      <c r="J55" s="58"/>
      <c r="K55" s="59" t="n">
        <f aca="false">IF(J55="",I55,J55)</f>
        <v>8</v>
      </c>
    </row>
    <row r="56" customFormat="false" ht="15" hidden="false" customHeight="false" outlineLevel="0" collapsed="false">
      <c r="A56" s="37" t="s">
        <v>181</v>
      </c>
      <c r="B56" s="3" t="s">
        <v>50</v>
      </c>
      <c r="C56" s="56" t="n">
        <v>15</v>
      </c>
      <c r="D56" s="56" t="n">
        <v>15</v>
      </c>
      <c r="E56" s="56" t="n">
        <v>15</v>
      </c>
      <c r="F56" s="56" t="n">
        <v>15</v>
      </c>
      <c r="G56" s="39" t="s">
        <v>108</v>
      </c>
      <c r="H56" s="40"/>
      <c r="I56" s="57" t="n">
        <f aca="false">IFERROR(INDEX(C56:F56,$E$4),0)</f>
        <v>15</v>
      </c>
      <c r="J56" s="58"/>
      <c r="K56" s="59" t="n">
        <f aca="false">IF(J56="",I56,J56)</f>
        <v>15</v>
      </c>
    </row>
    <row r="57" customFormat="false" ht="15" hidden="false" customHeight="false" outlineLevel="0" collapsed="false">
      <c r="A57" s="37" t="s">
        <v>182</v>
      </c>
      <c r="B57" s="3" t="s">
        <v>63</v>
      </c>
      <c r="C57" s="44" t="n">
        <v>-0.03</v>
      </c>
      <c r="D57" s="44" t="n">
        <v>-0.01</v>
      </c>
      <c r="E57" s="44" t="n">
        <v>-0.04</v>
      </c>
      <c r="F57" s="44" t="n">
        <v>0</v>
      </c>
      <c r="G57" s="39" t="s">
        <v>108</v>
      </c>
      <c r="H57" s="40" t="s">
        <v>183</v>
      </c>
      <c r="I57" s="45" t="n">
        <f aca="false">IFERROR(INDEX(C57:F57,$E$4),0)</f>
        <v>-0.03</v>
      </c>
      <c r="J57" s="46"/>
      <c r="K57" s="47" t="n">
        <f aca="false">IF(J57="",I57,J57)</f>
        <v>-0.03</v>
      </c>
    </row>
    <row r="59" customFormat="false" ht="15" hidden="false" customHeight="false" outlineLevel="0" collapsed="false">
      <c r="A59" s="8" t="s">
        <v>184</v>
      </c>
      <c r="B59" s="9"/>
      <c r="C59" s="9"/>
      <c r="D59" s="9"/>
      <c r="E59" s="9"/>
      <c r="F59" s="9"/>
      <c r="G59" s="9"/>
      <c r="H59" s="9"/>
      <c r="I59" s="9"/>
      <c r="J59" s="9"/>
      <c r="K59" s="9"/>
    </row>
    <row r="60" customFormat="false" ht="15" hidden="false" customHeight="false" outlineLevel="0" collapsed="false">
      <c r="A60" s="32" t="s">
        <v>185</v>
      </c>
      <c r="C60" s="61" t="n">
        <v>1</v>
      </c>
      <c r="D60" s="61" t="n">
        <v>2</v>
      </c>
      <c r="E60" s="61" t="n">
        <v>3</v>
      </c>
      <c r="F60" s="61" t="n">
        <v>4</v>
      </c>
      <c r="G60" s="61" t="n">
        <v>5</v>
      </c>
      <c r="H60" s="61" t="n">
        <v>6</v>
      </c>
      <c r="I60" s="61" t="n">
        <v>7</v>
      </c>
      <c r="J60" s="61" t="n">
        <v>8</v>
      </c>
      <c r="K60" s="61" t="n">
        <v>9</v>
      </c>
      <c r="L60" s="61" t="n">
        <v>10</v>
      </c>
      <c r="M60" s="61" t="n">
        <v>11</v>
      </c>
      <c r="N60" s="61" t="n">
        <v>12</v>
      </c>
      <c r="O60" s="61" t="n">
        <v>13</v>
      </c>
      <c r="P60" s="61" t="n">
        <v>14</v>
      </c>
      <c r="Q60" s="61" t="n">
        <v>15</v>
      </c>
    </row>
    <row r="61" customFormat="false" ht="15" hidden="false" customHeight="false" outlineLevel="0" collapsed="false">
      <c r="A61" s="32" t="s">
        <v>186</v>
      </c>
      <c r="C61" s="62" t="n">
        <v>0.6</v>
      </c>
      <c r="D61" s="62" t="n">
        <v>0.85</v>
      </c>
      <c r="E61" s="62" t="n">
        <v>1</v>
      </c>
      <c r="F61" s="62" t="n">
        <v>1</v>
      </c>
      <c r="G61" s="62" t="n">
        <v>1</v>
      </c>
      <c r="H61" s="62" t="n">
        <v>1</v>
      </c>
      <c r="I61" s="62" t="n">
        <v>0.92</v>
      </c>
      <c r="J61" s="62" t="n">
        <v>0.8</v>
      </c>
      <c r="K61" s="62" t="n">
        <v>0.65</v>
      </c>
      <c r="L61" s="62" t="n">
        <v>0.5</v>
      </c>
      <c r="M61" s="62" t="n">
        <v>0.38</v>
      </c>
      <c r="N61" s="62" t="n">
        <v>0.28</v>
      </c>
      <c r="O61" s="62" t="n">
        <v>0.2</v>
      </c>
      <c r="P61" s="62" t="n">
        <v>0.15</v>
      </c>
      <c r="Q61" s="62" t="n">
        <v>0.1</v>
      </c>
    </row>
    <row r="62" customFormat="false" ht="15" hidden="false" customHeight="false" outlineLevel="0" collapsed="false">
      <c r="A62" s="63" t="s">
        <v>187</v>
      </c>
      <c r="K62" s="64" t="n">
        <f aca="false">SUMPRODUCT((C60:Q60&lt;=K47)*C61:Q61)</f>
        <v>8.32</v>
      </c>
    </row>
    <row r="64" customFormat="false" ht="15" hidden="false" customHeight="false" outlineLevel="0" collapsed="false">
      <c r="A64" s="65" t="s">
        <v>188</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5"/>
    <col collapsed="false" customWidth="true" hidden="false" outlineLevel="0" max="3" min="3" style="0" width="12"/>
    <col collapsed="false" customWidth="true" hidden="false" outlineLevel="0" max="4" min="4" style="0" width="16"/>
    <col collapsed="false" customWidth="true" hidden="false" outlineLevel="0" max="5" min="5" style="0" width="12"/>
    <col collapsed="false" customWidth="true" hidden="false" outlineLevel="0" max="6" min="6" style="0" width="2"/>
  </cols>
  <sheetData>
    <row r="1" customFormat="false" ht="24" hidden="false" customHeight="true" outlineLevel="0" collapsed="false">
      <c r="A1" s="1" t="s">
        <v>189</v>
      </c>
      <c r="B1" s="2"/>
      <c r="C1" s="2"/>
      <c r="D1" s="2"/>
      <c r="E1" s="2"/>
      <c r="F1" s="2"/>
      <c r="G1" s="2"/>
    </row>
    <row r="2" customFormat="false" ht="15" hidden="false" customHeight="false" outlineLevel="0" collapsed="false">
      <c r="A2" s="3" t="s">
        <v>190</v>
      </c>
    </row>
    <row r="4" customFormat="false" ht="15" hidden="false" customHeight="false" outlineLevel="0" collapsed="false">
      <c r="A4" s="6" t="s">
        <v>98</v>
      </c>
      <c r="C4" s="66" t="str">
        <f aca="false">'Control Panel'!$C$6</f>
        <v>Car - ICE</v>
      </c>
    </row>
    <row r="6" customFormat="false" ht="15" hidden="false" customHeight="false" outlineLevel="0" collapsed="false">
      <c r="A6" s="67" t="s">
        <v>100</v>
      </c>
      <c r="B6" s="67" t="s">
        <v>41</v>
      </c>
      <c r="C6" s="2"/>
      <c r="D6" s="67" t="s">
        <v>191</v>
      </c>
      <c r="E6" s="68" t="s">
        <v>192</v>
      </c>
    </row>
    <row r="7" customFormat="false" ht="15" hidden="false" customHeight="false" outlineLevel="0" collapsed="false">
      <c r="A7" s="8" t="s">
        <v>193</v>
      </c>
      <c r="B7" s="9"/>
      <c r="C7" s="9"/>
      <c r="D7" s="9"/>
      <c r="E7" s="9"/>
      <c r="F7" s="9"/>
      <c r="G7" s="9"/>
    </row>
    <row r="8" customFormat="false" ht="15" hidden="false" customHeight="false" outlineLevel="0" collapsed="false">
      <c r="A8" s="69" t="s">
        <v>107</v>
      </c>
      <c r="B8" s="3" t="s">
        <v>68</v>
      </c>
      <c r="D8" s="70" t="n">
        <f aca="false">Assumptions!$K$9</f>
        <v>120</v>
      </c>
      <c r="E8" s="71" t="n">
        <f aca="false">IFERROR(D8/$D$14,0)</f>
        <v>0.6</v>
      </c>
    </row>
    <row r="9" customFormat="false" ht="15" hidden="false" customHeight="false" outlineLevel="0" collapsed="false">
      <c r="A9" s="69" t="s">
        <v>110</v>
      </c>
      <c r="B9" s="3" t="s">
        <v>68</v>
      </c>
      <c r="D9" s="70" t="n">
        <f aca="false">Assumptions!$K$10</f>
        <v>250</v>
      </c>
      <c r="E9" s="71" t="n">
        <f aca="false">IFERROR(D9/$D$14,0)</f>
        <v>1.25</v>
      </c>
    </row>
    <row r="10" customFormat="false" ht="15" hidden="false" customHeight="false" outlineLevel="0" collapsed="false">
      <c r="A10" s="69" t="s">
        <v>194</v>
      </c>
      <c r="B10" s="3" t="s">
        <v>68</v>
      </c>
      <c r="D10" s="70" t="n">
        <f aca="false">Assumptions!$K$11</f>
        <v>350</v>
      </c>
      <c r="E10" s="71" t="n">
        <f aca="false">IFERROR(D10/$D$14,0)</f>
        <v>1.75</v>
      </c>
    </row>
    <row r="11" customFormat="false" ht="15" hidden="false" customHeight="false" outlineLevel="0" collapsed="false">
      <c r="A11" s="69" t="s">
        <v>114</v>
      </c>
      <c r="B11" s="3" t="s">
        <v>68</v>
      </c>
      <c r="D11" s="70" t="n">
        <f aca="false">Assumptions!$K$12</f>
        <v>150</v>
      </c>
      <c r="E11" s="71" t="n">
        <f aca="false">IFERROR(D11/$D$14,0)</f>
        <v>0.75</v>
      </c>
    </row>
    <row r="12" customFormat="false" ht="15" hidden="false" customHeight="false" outlineLevel="0" collapsed="false">
      <c r="A12" s="69" t="s">
        <v>195</v>
      </c>
      <c r="B12" s="3" t="s">
        <v>68</v>
      </c>
      <c r="D12" s="70" t="n">
        <f aca="false">Assumptions!$K$13</f>
        <v>180</v>
      </c>
      <c r="E12" s="71" t="n">
        <f aca="false">IFERROR(D12/$D$14,0)</f>
        <v>0.9</v>
      </c>
    </row>
    <row r="13" customFormat="false" ht="15" hidden="false" customHeight="false" outlineLevel="0" collapsed="false">
      <c r="A13" s="69" t="s">
        <v>117</v>
      </c>
      <c r="B13" s="3" t="s">
        <v>68</v>
      </c>
      <c r="D13" s="70" t="n">
        <f aca="false">Assumptions!$K$14</f>
        <v>40</v>
      </c>
      <c r="E13" s="71" t="n">
        <f aca="false">IFERROR(D13/$D$14,0)</f>
        <v>0.2</v>
      </c>
    </row>
    <row r="14" customFormat="false" ht="15" hidden="false" customHeight="false" outlineLevel="0" collapsed="false">
      <c r="A14" s="69" t="s">
        <v>118</v>
      </c>
      <c r="B14" s="3" t="s">
        <v>68</v>
      </c>
      <c r="D14" s="70" t="n">
        <f aca="false">Assumptions!$K$15</f>
        <v>200</v>
      </c>
      <c r="E14" s="71" t="n">
        <f aca="false">IFERROR(D14/$D$14,0)</f>
        <v>1</v>
      </c>
    </row>
    <row r="15" customFormat="false" ht="15" hidden="false" customHeight="false" outlineLevel="0" collapsed="false">
      <c r="A15" s="6" t="s">
        <v>196</v>
      </c>
      <c r="B15" s="3" t="s">
        <v>68</v>
      </c>
      <c r="D15" s="72" t="n">
        <f aca="false">SUM(D8:D14)</f>
        <v>1290</v>
      </c>
    </row>
    <row r="16" customFormat="false" ht="15" hidden="false" customHeight="false" outlineLevel="0" collapsed="false">
      <c r="A16" s="69" t="s">
        <v>119</v>
      </c>
      <c r="B16" s="3" t="s">
        <v>120</v>
      </c>
      <c r="C16" s="73" t="n">
        <f aca="false">Assumptions!$K$16</f>
        <v>0.08</v>
      </c>
      <c r="D16" s="74" t="n">
        <f aca="false">D15*C16</f>
        <v>103.2</v>
      </c>
    </row>
    <row r="17" customFormat="false" ht="15" hidden="false" customHeight="false" outlineLevel="0" collapsed="false">
      <c r="A17" s="69" t="s">
        <v>57</v>
      </c>
      <c r="B17" s="3" t="s">
        <v>58</v>
      </c>
      <c r="C17" s="75" t="n">
        <f aca="false">Assumptions!$K$17</f>
        <v>1</v>
      </c>
    </row>
    <row r="18" customFormat="false" ht="15" hidden="false" customHeight="false" outlineLevel="0" collapsed="false">
      <c r="A18" s="76" t="s">
        <v>197</v>
      </c>
      <c r="B18" s="77" t="s">
        <v>68</v>
      </c>
      <c r="C18" s="78"/>
      <c r="D18" s="79" t="n">
        <f aca="false">(D15+D16)*C17</f>
        <v>1393.2</v>
      </c>
      <c r="E18" s="78"/>
    </row>
    <row r="19" customFormat="false" ht="15" hidden="false" customHeight="false" outlineLevel="0" collapsed="false">
      <c r="A19" s="69" t="s">
        <v>198</v>
      </c>
      <c r="B19" s="3" t="s">
        <v>68</v>
      </c>
      <c r="C19" s="73" t="n">
        <f aca="false">Assumptions!$K$26</f>
        <v>0.08</v>
      </c>
      <c r="D19" s="74" t="n">
        <f aca="false">D18*C19*MAX(0,Assumptions!$K$29-1)</f>
        <v>334.368</v>
      </c>
    </row>
    <row r="20" customFormat="false" ht="15" hidden="false" customHeight="false" outlineLevel="0" collapsed="false">
      <c r="A20" s="76" t="s">
        <v>199</v>
      </c>
      <c r="B20" s="77" t="s">
        <v>68</v>
      </c>
      <c r="C20" s="78"/>
      <c r="D20" s="79" t="n">
        <f aca="false">D18+D19</f>
        <v>1727.568</v>
      </c>
      <c r="E20" s="78"/>
    </row>
    <row r="22" customFormat="false" ht="15" hidden="false" customHeight="false" outlineLevel="0" collapsed="false">
      <c r="A22" s="8" t="s">
        <v>200</v>
      </c>
      <c r="B22" s="9"/>
      <c r="C22" s="9"/>
      <c r="D22" s="9"/>
      <c r="E22" s="9"/>
      <c r="F22" s="9"/>
      <c r="G22" s="9"/>
    </row>
    <row r="23" customFormat="false" ht="15" hidden="false" customHeight="false" outlineLevel="0" collapsed="false">
      <c r="A23" s="69" t="s">
        <v>124</v>
      </c>
      <c r="B23" s="3" t="s">
        <v>201</v>
      </c>
      <c r="D23" s="70" t="n">
        <f aca="false">Assumptions!$K$19</f>
        <v>90</v>
      </c>
    </row>
    <row r="24" customFormat="false" ht="15" hidden="false" customHeight="false" outlineLevel="0" collapsed="false">
      <c r="A24" s="69" t="s">
        <v>202</v>
      </c>
      <c r="B24" s="3" t="s">
        <v>201</v>
      </c>
      <c r="D24" s="70" t="n">
        <f aca="false">Assumptions!$K$20</f>
        <v>180</v>
      </c>
    </row>
    <row r="25" customFormat="false" ht="15" hidden="false" customHeight="false" outlineLevel="0" collapsed="false">
      <c r="A25" s="69" t="s">
        <v>127</v>
      </c>
      <c r="B25" s="3" t="s">
        <v>201</v>
      </c>
      <c r="D25" s="70" t="n">
        <f aca="false">Assumptions!$K$21</f>
        <v>55</v>
      </c>
    </row>
    <row r="26" customFormat="false" ht="15" hidden="false" customHeight="false" outlineLevel="0" collapsed="false">
      <c r="A26" s="69" t="s">
        <v>128</v>
      </c>
      <c r="B26" s="3" t="s">
        <v>201</v>
      </c>
      <c r="D26" s="70" t="n">
        <f aca="false">Assumptions!$K$22</f>
        <v>60</v>
      </c>
    </row>
    <row r="27" customFormat="false" ht="15" hidden="false" customHeight="false" outlineLevel="0" collapsed="false">
      <c r="A27" s="69" t="s">
        <v>129</v>
      </c>
      <c r="B27" s="3" t="s">
        <v>201</v>
      </c>
      <c r="D27" s="70" t="n">
        <f aca="false">Assumptions!$K$23</f>
        <v>40</v>
      </c>
    </row>
    <row r="28" customFormat="false" ht="15" hidden="false" customHeight="false" outlineLevel="0" collapsed="false">
      <c r="A28" s="69" t="s">
        <v>59</v>
      </c>
      <c r="B28" s="3" t="s">
        <v>58</v>
      </c>
      <c r="C28" s="75" t="n">
        <f aca="false">Assumptions!$K$24</f>
        <v>1</v>
      </c>
    </row>
    <row r="29" customFormat="false" ht="15" hidden="false" customHeight="false" outlineLevel="0" collapsed="false">
      <c r="A29" s="76" t="s">
        <v>203</v>
      </c>
      <c r="B29" s="77" t="s">
        <v>68</v>
      </c>
      <c r="C29" s="78"/>
      <c r="D29" s="79" t="n">
        <f aca="false">SUM(D23:D27)*C28</f>
        <v>425</v>
      </c>
      <c r="E29" s="78"/>
    </row>
    <row r="30" customFormat="false" ht="15" hidden="false" customHeight="false" outlineLevel="0" collapsed="false">
      <c r="A30" s="69" t="s">
        <v>140</v>
      </c>
      <c r="B30" s="3" t="s">
        <v>46</v>
      </c>
      <c r="D30" s="70" t="n">
        <f aca="false">Assumptions!$K$29</f>
        <v>4</v>
      </c>
    </row>
    <row r="31" customFormat="false" ht="15" hidden="false" customHeight="false" outlineLevel="0" collapsed="false">
      <c r="A31" s="76" t="s">
        <v>204</v>
      </c>
      <c r="B31" s="77" t="s">
        <v>68</v>
      </c>
      <c r="C31" s="78"/>
      <c r="D31" s="79" t="n">
        <f aca="false">D29*D30</f>
        <v>1700</v>
      </c>
      <c r="E31" s="78"/>
    </row>
    <row r="32" customFormat="false" ht="15" hidden="false" customHeight="false" outlineLevel="0" collapsed="false">
      <c r="A32" s="8" t="s">
        <v>205</v>
      </c>
      <c r="B32" s="9"/>
      <c r="C32" s="9"/>
      <c r="D32" s="9"/>
      <c r="E32" s="9"/>
      <c r="F32" s="9"/>
      <c r="G32" s="9"/>
    </row>
    <row r="33" customFormat="false" ht="15" hidden="false" customHeight="false" outlineLevel="0" collapsed="false">
      <c r="A33" s="80" t="s">
        <v>206</v>
      </c>
      <c r="B33" s="81" t="s">
        <v>68</v>
      </c>
      <c r="C33" s="82"/>
      <c r="D33" s="83" t="n">
        <f aca="false">D20+D31</f>
        <v>3427.568</v>
      </c>
      <c r="E33" s="82"/>
    </row>
    <row r="34" customFormat="false" ht="15" hidden="false" customHeight="false" outlineLevel="0" collapsed="false">
      <c r="A34" s="3" t="s">
        <v>207</v>
      </c>
      <c r="D34" s="71" t="n">
        <f aca="false">IFERROR(D20/D33,0)</f>
        <v>0.504021510295346</v>
      </c>
    </row>
    <row r="36" customFormat="false" ht="15" hidden="false" customHeight="false" outlineLevel="0" collapsed="false">
      <c r="A36" s="8" t="s">
        <v>208</v>
      </c>
      <c r="B36" s="9"/>
      <c r="C36" s="9"/>
      <c r="D36" s="9"/>
      <c r="E36" s="9"/>
      <c r="F36" s="9"/>
      <c r="G36" s="9"/>
    </row>
    <row r="37" customFormat="false" ht="15" hidden="false" customHeight="false" outlineLevel="0" collapsed="false">
      <c r="A37" s="69" t="s">
        <v>145</v>
      </c>
      <c r="B37" s="3" t="s">
        <v>52</v>
      </c>
      <c r="D37" s="70" t="n">
        <f aca="false">Assumptions!$K$32</f>
        <v>340000</v>
      </c>
    </row>
    <row r="38" customFormat="false" ht="15" hidden="false" customHeight="false" outlineLevel="0" collapsed="false">
      <c r="A38" s="69" t="s">
        <v>148</v>
      </c>
      <c r="B38" s="3" t="s">
        <v>48</v>
      </c>
      <c r="D38" s="70" t="n">
        <f aca="false">Assumptions!$K$33</f>
        <v>400000</v>
      </c>
    </row>
    <row r="39" customFormat="false" ht="15" hidden="false" customHeight="false" outlineLevel="0" collapsed="false">
      <c r="A39" s="69" t="s">
        <v>209</v>
      </c>
      <c r="B39" s="3" t="s">
        <v>68</v>
      </c>
      <c r="D39" s="74" t="n">
        <f aca="false">D37*D38/10000000</f>
        <v>13600</v>
      </c>
    </row>
    <row r="40" customFormat="false" ht="15" hidden="false" customHeight="false" outlineLevel="0" collapsed="false">
      <c r="A40" s="69" t="s">
        <v>210</v>
      </c>
      <c r="B40" s="3" t="s">
        <v>63</v>
      </c>
      <c r="D40" s="73" t="n">
        <f aca="false">Assumptions!$K$34</f>
        <v>0.5</v>
      </c>
    </row>
    <row r="41" customFormat="false" ht="15" hidden="false" customHeight="false" outlineLevel="0" collapsed="false">
      <c r="A41" s="76" t="s">
        <v>211</v>
      </c>
      <c r="B41" s="77" t="s">
        <v>68</v>
      </c>
      <c r="C41" s="78"/>
      <c r="D41" s="79" t="n">
        <f aca="false">D39*D40</f>
        <v>6800</v>
      </c>
      <c r="E41" s="78"/>
    </row>
    <row r="42" customFormat="false" ht="15" hidden="false" customHeight="false" outlineLevel="0" collapsed="false">
      <c r="A42" s="8" t="s">
        <v>212</v>
      </c>
      <c r="B42" s="9"/>
      <c r="C42" s="9"/>
      <c r="D42" s="9"/>
      <c r="E42" s="9"/>
      <c r="F42" s="9"/>
      <c r="G42" s="9"/>
    </row>
    <row r="43" customFormat="false" ht="15" hidden="false" customHeight="false" outlineLevel="0" collapsed="false">
      <c r="A43" s="80" t="s">
        <v>213</v>
      </c>
      <c r="B43" s="81" t="s">
        <v>68</v>
      </c>
      <c r="C43" s="82"/>
      <c r="D43" s="83" t="n">
        <f aca="false">D33+D41</f>
        <v>10227.568</v>
      </c>
      <c r="E43" s="82"/>
    </row>
    <row r="44" customFormat="false" ht="15" hidden="false" customHeight="false" outlineLevel="0" collapsed="false">
      <c r="A44" s="8" t="s">
        <v>214</v>
      </c>
      <c r="B44" s="9"/>
      <c r="C44" s="9"/>
      <c r="D44" s="9"/>
      <c r="E44" s="9"/>
      <c r="F44" s="9"/>
      <c r="G44" s="9"/>
    </row>
    <row r="45" customFormat="false" ht="15" hidden="false" customHeight="false" outlineLevel="0" collapsed="false">
      <c r="A45" s="69" t="s">
        <v>73</v>
      </c>
      <c r="B45" s="3" t="s">
        <v>48</v>
      </c>
      <c r="D45" s="70" t="n">
        <f aca="false">'Programme Returns'!$D$12</f>
        <v>3328000</v>
      </c>
    </row>
    <row r="46" customFormat="false" ht="15" hidden="false" customHeight="false" outlineLevel="0" collapsed="false">
      <c r="A46" s="76" t="s">
        <v>74</v>
      </c>
      <c r="B46" s="77" t="s">
        <v>52</v>
      </c>
      <c r="C46" s="78"/>
      <c r="D46" s="79" t="n">
        <f aca="false">IFERROR(D33*10000000/D45,0)</f>
        <v>10299.1826923077</v>
      </c>
      <c r="E46" s="78"/>
    </row>
    <row r="47" customFormat="false" ht="15" hidden="false" customHeight="false" outlineLevel="0" collapsed="false">
      <c r="A47" s="76" t="s">
        <v>215</v>
      </c>
      <c r="B47" s="77" t="s">
        <v>52</v>
      </c>
      <c r="C47" s="78"/>
      <c r="D47" s="79" t="n">
        <f aca="false">IFERROR(D43*10000000/D45,0)</f>
        <v>30731.875</v>
      </c>
      <c r="E47" s="78"/>
    </row>
    <row r="48" customFormat="false" ht="15" hidden="false" customHeight="false" outlineLevel="0" collapsed="false">
      <c r="A48" s="69" t="s">
        <v>216</v>
      </c>
      <c r="B48" s="3" t="s">
        <v>63</v>
      </c>
      <c r="D48" s="84" t="n">
        <f aca="false">IFERROR(D46/Assumptions!$K$36,0)</f>
        <v>0.0147131181318681</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16"/>
  </cols>
  <sheetData>
    <row r="1" customFormat="false" ht="24" hidden="false" customHeight="true" outlineLevel="0" collapsed="false">
      <c r="A1" s="1" t="s">
        <v>217</v>
      </c>
      <c r="B1" s="2"/>
      <c r="C1" s="2"/>
      <c r="D1" s="2"/>
      <c r="E1" s="2"/>
      <c r="F1" s="2"/>
      <c r="G1" s="2"/>
    </row>
    <row r="2" customFormat="false" ht="15" hidden="false" customHeight="false" outlineLevel="0" collapsed="false">
      <c r="A2" s="3" t="s">
        <v>218</v>
      </c>
    </row>
    <row r="4" customFormat="false" ht="15" hidden="false" customHeight="false" outlineLevel="0" collapsed="false">
      <c r="A4" s="6" t="s">
        <v>98</v>
      </c>
      <c r="C4" s="66" t="str">
        <f aca="false">'Control Panel'!$C$6</f>
        <v>Car - ICE</v>
      </c>
    </row>
    <row r="6" customFormat="false" ht="15" hidden="false" customHeight="false" outlineLevel="0" collapsed="false">
      <c r="A6" s="85" t="s">
        <v>100</v>
      </c>
      <c r="B6" s="85" t="s">
        <v>41</v>
      </c>
      <c r="C6" s="85" t="s">
        <v>54</v>
      </c>
      <c r="D6" s="85" t="s">
        <v>219</v>
      </c>
    </row>
    <row r="7" customFormat="false" ht="15" hidden="false" customHeight="false" outlineLevel="0" collapsed="false">
      <c r="A7" s="8" t="s">
        <v>220</v>
      </c>
      <c r="B7" s="9"/>
      <c r="C7" s="9"/>
      <c r="D7" s="9"/>
      <c r="E7" s="9"/>
      <c r="F7" s="9"/>
      <c r="G7" s="9"/>
    </row>
    <row r="8" customFormat="false" ht="15" hidden="false" customHeight="false" outlineLevel="0" collapsed="false">
      <c r="A8" s="6" t="s">
        <v>153</v>
      </c>
      <c r="B8" s="3" t="s">
        <v>154</v>
      </c>
      <c r="C8" s="84" t="n">
        <v>1</v>
      </c>
      <c r="D8" s="86" t="n">
        <f aca="false">Assumptions!$K$36</f>
        <v>700000</v>
      </c>
    </row>
    <row r="9" customFormat="false" ht="15" hidden="false" customHeight="false" outlineLevel="0" collapsed="false">
      <c r="A9" s="69" t="s">
        <v>155</v>
      </c>
      <c r="C9" s="73" t="n">
        <f aca="false">Assumptions!$K$37</f>
        <v>0.7</v>
      </c>
      <c r="D9" s="74" t="n">
        <f aca="false">-C9*$D$8</f>
        <v>-490000</v>
      </c>
    </row>
    <row r="10" customFormat="false" ht="15" hidden="false" customHeight="false" outlineLevel="0" collapsed="false">
      <c r="A10" s="69" t="s">
        <v>221</v>
      </c>
      <c r="B10" s="3" t="str">
        <f aca="false">Assumptions!$K$38&amp;" kWh @ INR "&amp;TEXT(Assumptions!$K$39,"#,##0")&amp;"/kWh"</f>
        <v>0 kWh @ INR 0/kWh</v>
      </c>
      <c r="C10" s="84" t="n">
        <f aca="false">IFERROR(-D10/$D$8,0)</f>
        <v>0</v>
      </c>
      <c r="D10" s="74" t="n">
        <f aca="false">-Assumptions!$K$38*Assumptions!$K$39</f>
        <v>-0</v>
      </c>
    </row>
    <row r="11" customFormat="false" ht="15" hidden="false" customHeight="false" outlineLevel="0" collapsed="false">
      <c r="A11" s="69" t="s">
        <v>222</v>
      </c>
      <c r="C11" s="84" t="n">
        <f aca="false">IFERROR(-D11/$D$8,0)</f>
        <v>0.7</v>
      </c>
      <c r="D11" s="74" t="n">
        <f aca="false">D9+D10</f>
        <v>-490000</v>
      </c>
    </row>
    <row r="12" customFormat="false" ht="15" hidden="false" customHeight="false" outlineLevel="0" collapsed="false">
      <c r="A12" s="69" t="s">
        <v>223</v>
      </c>
      <c r="B12" s="3" t="str">
        <f aca="false">"LOG("&amp;Assumptions!$K$29&amp;",2) doublings x "&amp;TEXT(Assumptions!$K$28,"0.0%")</f>
        <v>LOG(4,2) doublings x 3.5%</v>
      </c>
      <c r="C12" s="84" t="n">
        <f aca="false">LOG(MAX(Assumptions!$K$29,1),2)*Assumptions!$K$28</f>
        <v>0.07</v>
      </c>
      <c r="D12" s="74" t="n">
        <f aca="false">-D11*C12</f>
        <v>34300</v>
      </c>
    </row>
    <row r="13" customFormat="false" ht="15" hidden="false" customHeight="false" outlineLevel="0" collapsed="false">
      <c r="A13" s="6" t="s">
        <v>224</v>
      </c>
      <c r="C13" s="87" t="n">
        <f aca="false">IFERROR(-D13/$D$8,0)</f>
        <v>0.651</v>
      </c>
      <c r="D13" s="72" t="n">
        <f aca="false">D11+D12</f>
        <v>-455700</v>
      </c>
    </row>
    <row r="14" customFormat="false" ht="15" hidden="false" customHeight="false" outlineLevel="0" collapsed="false">
      <c r="A14" s="69" t="s">
        <v>162</v>
      </c>
      <c r="C14" s="73" t="n">
        <f aca="false">Assumptions!$K$40</f>
        <v>0.06</v>
      </c>
      <c r="D14" s="74" t="n">
        <f aca="false">-C14*$D$8</f>
        <v>-42000</v>
      </c>
    </row>
    <row r="15" customFormat="false" ht="15" hidden="false" customHeight="false" outlineLevel="0" collapsed="false">
      <c r="A15" s="69" t="s">
        <v>163</v>
      </c>
      <c r="C15" s="73" t="n">
        <f aca="false">Assumptions!$K$41</f>
        <v>0.015</v>
      </c>
      <c r="D15" s="74" t="n">
        <f aca="false">-C15*$D$8</f>
        <v>-10500</v>
      </c>
    </row>
    <row r="16" customFormat="false" ht="15" hidden="false" customHeight="false" outlineLevel="0" collapsed="false">
      <c r="A16" s="69" t="s">
        <v>164</v>
      </c>
      <c r="C16" s="73" t="n">
        <f aca="false">Assumptions!$K$42</f>
        <v>0.025</v>
      </c>
      <c r="D16" s="74" t="n">
        <f aca="false">-C16*$D$8</f>
        <v>-17500</v>
      </c>
    </row>
    <row r="17" customFormat="false" ht="15" hidden="false" customHeight="false" outlineLevel="0" collapsed="false">
      <c r="A17" s="6" t="s">
        <v>225</v>
      </c>
      <c r="C17" s="87" t="n">
        <f aca="false">IFERROR(-D17/$D$8,0)</f>
        <v>0.751</v>
      </c>
      <c r="D17" s="88" t="n">
        <f aca="false">D13+D14+D15+D16</f>
        <v>-525700</v>
      </c>
    </row>
    <row r="19" customFormat="false" ht="15" hidden="false" customHeight="false" outlineLevel="0" collapsed="false">
      <c r="A19" s="69" t="s">
        <v>226</v>
      </c>
      <c r="B19" s="3" t="s">
        <v>48</v>
      </c>
      <c r="D19" s="74" t="n">
        <f aca="false">MIN(Assumptions!$K$29*Assumptions!$K$46,Assumptions!$K$33)</f>
        <v>400000</v>
      </c>
    </row>
    <row r="20" customFormat="false" ht="15" hidden="false" customHeight="false" outlineLevel="0" collapsed="false">
      <c r="A20" s="8" t="s">
        <v>227</v>
      </c>
      <c r="B20" s="9"/>
      <c r="C20" s="9"/>
      <c r="D20" s="9"/>
      <c r="E20" s="9"/>
      <c r="F20" s="9"/>
      <c r="G20" s="9"/>
    </row>
    <row r="21" customFormat="false" ht="15" hidden="false" customHeight="false" outlineLevel="0" collapsed="false">
      <c r="A21" s="80" t="s">
        <v>228</v>
      </c>
      <c r="B21" s="81" t="s">
        <v>154</v>
      </c>
      <c r="C21" s="82"/>
      <c r="D21" s="83" t="n">
        <f aca="false">D8+D17</f>
        <v>174300</v>
      </c>
    </row>
    <row r="22" customFormat="false" ht="15" hidden="false" customHeight="false" outlineLevel="0" collapsed="false">
      <c r="A22" s="80" t="s">
        <v>229</v>
      </c>
      <c r="B22" s="81" t="s">
        <v>54</v>
      </c>
      <c r="C22" s="82"/>
      <c r="D22" s="89" t="n">
        <f aca="false">IFERROR(D21/D8,0)</f>
        <v>0.249</v>
      </c>
    </row>
    <row r="24" customFormat="false" ht="15" hidden="false" customHeight="false" outlineLevel="0" collapsed="false">
      <c r="A24" s="8" t="s">
        <v>230</v>
      </c>
      <c r="B24" s="9"/>
      <c r="C24" s="9"/>
      <c r="D24" s="9"/>
      <c r="E24" s="9"/>
      <c r="F24" s="9"/>
      <c r="G24" s="9"/>
    </row>
    <row r="25" customFormat="false" ht="15" hidden="false" customHeight="false" outlineLevel="0" collapsed="false">
      <c r="A25" s="69" t="s">
        <v>55</v>
      </c>
      <c r="B25" s="3" t="s">
        <v>56</v>
      </c>
      <c r="C25" s="84" t="n">
        <f aca="false">IFERROR(-D25/$D$8,0)</f>
        <v>0.0160714285714286</v>
      </c>
      <c r="D25" s="74" t="n">
        <f aca="false">IFERROR(-Assumptions!$K$43*10000000/$D$19,0)</f>
        <v>-11250</v>
      </c>
    </row>
    <row r="26" customFormat="false" ht="15" hidden="false" customHeight="false" outlineLevel="0" collapsed="false">
      <c r="A26" s="69" t="s">
        <v>231</v>
      </c>
      <c r="C26" s="73" t="n">
        <f aca="false">-Assumptions!$K$44</f>
        <v>-0.05</v>
      </c>
      <c r="D26" s="74" t="n">
        <f aca="false">C26*$D$8</f>
        <v>-35000</v>
      </c>
    </row>
    <row r="27" customFormat="false" ht="15" hidden="false" customHeight="false" outlineLevel="0" collapsed="false">
      <c r="A27" s="69" t="s">
        <v>232</v>
      </c>
      <c r="B27" s="3" t="s">
        <v>233</v>
      </c>
      <c r="C27" s="84" t="n">
        <f aca="false">IFERROR(-D27/$D$8,0)</f>
        <v>0.0147131181318681</v>
      </c>
      <c r="D27" s="74" t="n">
        <f aca="false">-'Investment Build'!$D$46</f>
        <v>-10299.1826923077</v>
      </c>
    </row>
    <row r="28" customFormat="false" ht="15" hidden="false" customHeight="false" outlineLevel="0" collapsed="false">
      <c r="A28" s="69" t="s">
        <v>234</v>
      </c>
      <c r="B28" s="3" t="s">
        <v>233</v>
      </c>
      <c r="C28" s="84" t="n">
        <f aca="false">IFERROR(-D28/$D$8,0)</f>
        <v>0.0291895604395604</v>
      </c>
      <c r="D28" s="74" t="n">
        <f aca="false">-IFERROR('Investment Build'!$D$41*10000000/'Programme Returns'!$D$12,0)</f>
        <v>-20432.6923076923</v>
      </c>
    </row>
    <row r="30" customFormat="false" ht="15" hidden="false" customHeight="false" outlineLevel="0" collapsed="false">
      <c r="A30" s="80" t="s">
        <v>235</v>
      </c>
      <c r="B30" s="81" t="s">
        <v>154</v>
      </c>
      <c r="C30" s="82"/>
      <c r="D30" s="83" t="n">
        <f aca="false">D21+D25+D26+D27+D28</f>
        <v>97318.125</v>
      </c>
    </row>
    <row r="31" customFormat="false" ht="15" hidden="false" customHeight="false" outlineLevel="0" collapsed="false">
      <c r="A31" s="80" t="s">
        <v>236</v>
      </c>
      <c r="B31" s="81" t="s">
        <v>54</v>
      </c>
      <c r="C31" s="82"/>
      <c r="D31" s="89" t="n">
        <f aca="false">IFERROR(D30/D8,0)</f>
        <v>0.139025892857143</v>
      </c>
    </row>
    <row r="33" customFormat="false" ht="15" hidden="false" customHeight="false" outlineLevel="0" collapsed="false">
      <c r="A33" s="63" t="s">
        <v>237</v>
      </c>
      <c r="D33" s="71" t="n">
        <f aca="false">IFERROR(-(D27+D28)/D8,0)</f>
        <v>0.0439026785714286</v>
      </c>
    </row>
    <row r="34" customFormat="false" ht="15" hidden="false" customHeight="false" outlineLevel="0" collapsed="false">
      <c r="A34" s="63" t="s">
        <v>238</v>
      </c>
      <c r="D34" s="90" t="n">
        <f aca="false">IFERROR(Assumptions!$K$43*10000000/D21,0)</f>
        <v>25817.5559380379</v>
      </c>
    </row>
    <row r="35" customFormat="false" ht="15" hidden="false" customHeight="false" outlineLevel="0" collapsed="false">
      <c r="A35" s="63" t="s">
        <v>239</v>
      </c>
      <c r="D35" s="90" t="n">
        <f aca="false">-D12</f>
        <v>-34300</v>
      </c>
    </row>
    <row r="37" customFormat="false" ht="15" hidden="false" customHeight="true" outlineLevel="0" collapsed="false">
      <c r="A37" s="91" t="s">
        <v>240</v>
      </c>
      <c r="B37" s="91"/>
      <c r="C37" s="91"/>
      <c r="D37" s="91"/>
      <c r="E37" s="91"/>
    </row>
    <row r="38" customFormat="false" ht="15" hidden="false" customHeight="false" outlineLevel="0" collapsed="false">
      <c r="A38" s="91"/>
      <c r="B38" s="91"/>
      <c r="C38" s="91"/>
      <c r="D38" s="91"/>
      <c r="E38" s="91"/>
    </row>
    <row r="39" customFormat="false" ht="15" hidden="false" customHeight="false" outlineLevel="0" collapsed="false">
      <c r="A39" s="91"/>
      <c r="B39" s="91"/>
      <c r="C39" s="91"/>
      <c r="D39" s="91"/>
      <c r="E39" s="91"/>
    </row>
  </sheetData>
  <mergeCells count="1">
    <mergeCell ref="A37:E39"/>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7" topLeftCell="C28" activePane="bottomRight" state="frozen"/>
      <selection pane="topLeft" activeCell="A1" activeCellId="0" sqref="A1"/>
      <selection pane="topRight" activeCell="C1" activeCellId="0" sqref="C1"/>
      <selection pane="bottomLeft" activeCell="A28" activeCellId="0" sqref="A28"/>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22" min="3" style="0" width="10"/>
  </cols>
  <sheetData>
    <row r="1" customFormat="false" ht="24" hidden="false" customHeight="true" outlineLevel="0" collapsed="false">
      <c r="A1" s="1" t="s">
        <v>241</v>
      </c>
      <c r="B1" s="2"/>
      <c r="C1" s="2"/>
      <c r="D1" s="2"/>
      <c r="E1" s="2"/>
      <c r="F1" s="2"/>
      <c r="G1" s="2"/>
      <c r="H1" s="2"/>
      <c r="I1" s="2"/>
      <c r="J1" s="2"/>
      <c r="K1" s="2"/>
      <c r="L1" s="2"/>
      <c r="M1" s="2"/>
      <c r="N1" s="2"/>
      <c r="O1" s="2"/>
      <c r="P1" s="2"/>
      <c r="Q1" s="2"/>
      <c r="R1" s="2"/>
      <c r="S1" s="2"/>
      <c r="T1" s="2"/>
    </row>
    <row r="2" customFormat="false" ht="15" hidden="false" customHeight="false" outlineLevel="0" collapsed="false">
      <c r="A2" s="3" t="s">
        <v>242</v>
      </c>
    </row>
    <row r="4" customFormat="false" ht="15" hidden="false" customHeight="false" outlineLevel="0" collapsed="false">
      <c r="A4" s="6" t="s">
        <v>98</v>
      </c>
      <c r="C4" s="66" t="str">
        <f aca="false">'Control Panel'!$C$6</f>
        <v>Car - ICE</v>
      </c>
    </row>
    <row r="6" customFormat="false" ht="15" hidden="false" customHeight="false" outlineLevel="0" collapsed="false">
      <c r="A6" s="8" t="s">
        <v>243</v>
      </c>
      <c r="B6" s="9"/>
      <c r="C6" s="9"/>
      <c r="D6" s="9"/>
    </row>
    <row r="7" customFormat="false" ht="15" hidden="false" customHeight="false" outlineLevel="0" collapsed="false">
      <c r="A7" s="11" t="s">
        <v>244</v>
      </c>
      <c r="B7" s="12" t="s">
        <v>68</v>
      </c>
      <c r="C7" s="11"/>
      <c r="D7" s="92" t="n">
        <f aca="false">'Investment Build'!$D$33</f>
        <v>3427.568</v>
      </c>
    </row>
    <row r="8" customFormat="false" ht="15" hidden="false" customHeight="false" outlineLevel="0" collapsed="false">
      <c r="A8" s="11" t="s">
        <v>245</v>
      </c>
      <c r="B8" s="12" t="s">
        <v>68</v>
      </c>
      <c r="C8" s="11"/>
      <c r="D8" s="92" t="n">
        <f aca="false">'Investment Build'!$D$41</f>
        <v>6800</v>
      </c>
    </row>
    <row r="9" customFormat="false" ht="15" hidden="false" customHeight="false" outlineLevel="0" collapsed="false">
      <c r="A9" s="25" t="s">
        <v>246</v>
      </c>
      <c r="B9" s="26" t="s">
        <v>68</v>
      </c>
      <c r="C9" s="93"/>
      <c r="D9" s="94" t="n">
        <f aca="false">'Investment Build'!$D$43</f>
        <v>10227.568</v>
      </c>
    </row>
    <row r="10" customFormat="false" ht="15" hidden="false" customHeight="false" outlineLevel="0" collapsed="false">
      <c r="A10" s="11" t="s">
        <v>247</v>
      </c>
      <c r="B10" s="12" t="s">
        <v>46</v>
      </c>
      <c r="C10" s="11"/>
      <c r="D10" s="92" t="n">
        <f aca="false">Assumptions!$K$29</f>
        <v>4</v>
      </c>
    </row>
    <row r="11" customFormat="false" ht="15" hidden="false" customHeight="false" outlineLevel="0" collapsed="false">
      <c r="A11" s="11" t="s">
        <v>248</v>
      </c>
      <c r="B11" s="12" t="s">
        <v>48</v>
      </c>
      <c r="C11" s="11"/>
      <c r="D11" s="92" t="n">
        <f aca="false">MAX(C30:V30)</f>
        <v>400000</v>
      </c>
    </row>
    <row r="12" customFormat="false" ht="15" hidden="false" customHeight="false" outlineLevel="0" collapsed="false">
      <c r="A12" s="11" t="s">
        <v>73</v>
      </c>
      <c r="B12" s="12" t="s">
        <v>48</v>
      </c>
      <c r="C12" s="11"/>
      <c r="D12" s="92" t="n">
        <f aca="false">SUM(C30:V30)</f>
        <v>3328000</v>
      </c>
    </row>
    <row r="13" customFormat="false" ht="15" hidden="false" customHeight="false" outlineLevel="0" collapsed="false">
      <c r="A13" s="11" t="s">
        <v>76</v>
      </c>
      <c r="B13" s="12" t="s">
        <v>52</v>
      </c>
      <c r="C13" s="11"/>
      <c r="D13" s="92" t="n">
        <f aca="false">'Unit Economics'!$D$21</f>
        <v>174300</v>
      </c>
    </row>
    <row r="14" customFormat="false" ht="15" hidden="false" customHeight="false" outlineLevel="0" collapsed="false">
      <c r="A14" s="11" t="s">
        <v>75</v>
      </c>
      <c r="B14" s="12" t="s">
        <v>63</v>
      </c>
      <c r="C14" s="11"/>
      <c r="D14" s="95" t="n">
        <f aca="false">'Unit Economics'!$D$22</f>
        <v>0.249</v>
      </c>
    </row>
    <row r="15" customFormat="false" ht="15" hidden="false" customHeight="false" outlineLevel="0" collapsed="false">
      <c r="A15" s="11" t="s">
        <v>249</v>
      </c>
      <c r="B15" s="12" t="s">
        <v>78</v>
      </c>
      <c r="C15" s="11"/>
      <c r="D15" s="92" t="n">
        <f aca="false">IFERROR($D$7*10000000/$D$13,0)</f>
        <v>196647.619047619</v>
      </c>
    </row>
    <row r="16" customFormat="false" ht="15" hidden="false" customHeight="false" outlineLevel="0" collapsed="false">
      <c r="A16" s="25" t="s">
        <v>79</v>
      </c>
      <c r="B16" s="26" t="s">
        <v>78</v>
      </c>
      <c r="C16" s="93"/>
      <c r="D16" s="94" t="n">
        <f aca="false">IFERROR($D$9*10000000/$D$13,0)</f>
        <v>586779.575444636</v>
      </c>
    </row>
    <row r="17" customFormat="false" ht="15" hidden="false" customHeight="false" outlineLevel="0" collapsed="false">
      <c r="A17" s="11" t="s">
        <v>80</v>
      </c>
      <c r="B17" s="12" t="s">
        <v>63</v>
      </c>
      <c r="C17" s="11"/>
      <c r="D17" s="95" t="n">
        <f aca="false">IFERROR($D$16/$D$12,0)</f>
        <v>0.176315978198508</v>
      </c>
    </row>
    <row r="18" customFormat="false" ht="15" hidden="false" customHeight="false" outlineLevel="0" collapsed="false">
      <c r="A18" s="11" t="s">
        <v>81</v>
      </c>
      <c r="B18" s="12" t="s">
        <v>82</v>
      </c>
      <c r="C18" s="11"/>
      <c r="D18" s="96" t="n">
        <f aca="false">IF(MIN(C48:V48)&gt;900,0,MIN(C48:V48))</f>
        <v>7</v>
      </c>
    </row>
    <row r="19" customFormat="false" ht="15" hidden="false" customHeight="false" outlineLevel="0" collapsed="false">
      <c r="A19" s="11" t="s">
        <v>83</v>
      </c>
      <c r="B19" s="12" t="s">
        <v>68</v>
      </c>
      <c r="C19" s="11"/>
      <c r="D19" s="92" t="n">
        <f aca="false">SUM(C33:V33)</f>
        <v>243194.598509491</v>
      </c>
    </row>
    <row r="20" customFormat="false" ht="15" hidden="false" customHeight="false" outlineLevel="0" collapsed="false">
      <c r="A20" s="11" t="s">
        <v>84</v>
      </c>
      <c r="B20" s="12" t="s">
        <v>68</v>
      </c>
      <c r="C20" s="11"/>
      <c r="D20" s="92" t="n">
        <f aca="false">SUM(C43:V43)</f>
        <v>56904.6772995855</v>
      </c>
    </row>
    <row r="21" customFormat="false" ht="15" hidden="false" customHeight="false" outlineLevel="0" collapsed="false">
      <c r="A21" s="11" t="s">
        <v>85</v>
      </c>
      <c r="B21" s="12" t="s">
        <v>63</v>
      </c>
      <c r="C21" s="11"/>
      <c r="D21" s="95" t="n">
        <f aca="false">IFERROR(SUM(C46:V46)/SUM(C33:V33),0)</f>
        <v>0.201253548665235</v>
      </c>
    </row>
    <row r="22" customFormat="false" ht="15" hidden="false" customHeight="false" outlineLevel="0" collapsed="false">
      <c r="A22" s="25" t="s">
        <v>86</v>
      </c>
      <c r="B22" s="26" t="s">
        <v>68</v>
      </c>
      <c r="C22" s="93"/>
      <c r="D22" s="94" t="n">
        <f aca="false">NPV(Assumptions!$K$53,C53:V53)</f>
        <v>9476.2379398032</v>
      </c>
    </row>
    <row r="23" customFormat="false" ht="15" hidden="false" customHeight="false" outlineLevel="0" collapsed="false">
      <c r="A23" s="25" t="s">
        <v>87</v>
      </c>
      <c r="B23" s="26" t="s">
        <v>63</v>
      </c>
      <c r="C23" s="93"/>
      <c r="D23" s="97" t="n">
        <f aca="false">IFERROR(IRR(C53:V53),0)</f>
        <v>0.289927041438477</v>
      </c>
    </row>
    <row r="24" customFormat="false" ht="15" hidden="false" customHeight="false" outlineLevel="0" collapsed="false">
      <c r="A24" s="11" t="s">
        <v>88</v>
      </c>
      <c r="B24" s="12" t="s">
        <v>68</v>
      </c>
      <c r="C24" s="11"/>
      <c r="D24" s="92" t="n">
        <f aca="false">MIN(C54:V54)</f>
        <v>-10227.568</v>
      </c>
    </row>
    <row r="26" customFormat="false" ht="15" hidden="false" customHeight="false" outlineLevel="0" collapsed="false">
      <c r="A26" s="8" t="s">
        <v>250</v>
      </c>
      <c r="B26" s="9"/>
      <c r="C26" s="9"/>
      <c r="D26" s="9"/>
      <c r="E26" s="9"/>
      <c r="F26" s="9"/>
      <c r="G26" s="9"/>
      <c r="H26" s="9"/>
      <c r="I26" s="9"/>
      <c r="J26" s="9"/>
      <c r="K26" s="9"/>
      <c r="L26" s="9"/>
      <c r="M26" s="9"/>
      <c r="N26" s="9"/>
      <c r="O26" s="9"/>
      <c r="P26" s="9"/>
      <c r="Q26" s="9"/>
      <c r="R26" s="9"/>
      <c r="S26" s="9"/>
      <c r="T26" s="9"/>
      <c r="U26" s="9"/>
      <c r="V26" s="9"/>
    </row>
    <row r="27" customFormat="false" ht="15" hidden="false" customHeight="false" outlineLevel="0" collapsed="false">
      <c r="A27" s="32" t="s">
        <v>251</v>
      </c>
      <c r="C27" s="98" t="n">
        <v>1</v>
      </c>
      <c r="D27" s="98" t="n">
        <v>2</v>
      </c>
      <c r="E27" s="98" t="n">
        <v>3</v>
      </c>
      <c r="F27" s="98" t="n">
        <v>4</v>
      </c>
      <c r="G27" s="98" t="n">
        <v>5</v>
      </c>
      <c r="H27" s="98" t="n">
        <v>6</v>
      </c>
      <c r="I27" s="98" t="n">
        <v>7</v>
      </c>
      <c r="J27" s="98" t="n">
        <v>8</v>
      </c>
      <c r="K27" s="98" t="n">
        <v>9</v>
      </c>
      <c r="L27" s="98" t="n">
        <v>10</v>
      </c>
      <c r="M27" s="98" t="n">
        <v>11</v>
      </c>
      <c r="N27" s="98" t="n">
        <v>12</v>
      </c>
      <c r="O27" s="98" t="n">
        <v>13</v>
      </c>
      <c r="P27" s="98" t="n">
        <v>14</v>
      </c>
      <c r="Q27" s="98" t="n">
        <v>15</v>
      </c>
      <c r="R27" s="98" t="n">
        <v>16</v>
      </c>
      <c r="S27" s="98" t="n">
        <v>17</v>
      </c>
      <c r="T27" s="98" t="n">
        <v>18</v>
      </c>
      <c r="U27" s="98" t="n">
        <v>19</v>
      </c>
      <c r="V27" s="98" t="n">
        <v>20</v>
      </c>
    </row>
    <row r="28" customFormat="false" ht="15" hidden="false" customHeight="false" outlineLevel="0" collapsed="false">
      <c r="A28" s="99" t="s">
        <v>252</v>
      </c>
      <c r="B28" s="65" t="s">
        <v>46</v>
      </c>
      <c r="C28" s="100" t="n">
        <f aca="false">IF(C$27&lt;=ROUNDUP(Assumptions!$K$48,0),C$27,0)</f>
        <v>1</v>
      </c>
      <c r="D28" s="100" t="n">
        <f aca="false">IF(D$27&lt;=ROUNDUP(Assumptions!$K$48,0),D$27,0)</f>
        <v>2</v>
      </c>
      <c r="E28" s="100" t="n">
        <f aca="false">IF(E$27&lt;=ROUNDUP(Assumptions!$K$48,0),E$27,0)</f>
        <v>3</v>
      </c>
      <c r="F28" s="100" t="n">
        <f aca="false">IF(F$27&lt;=ROUNDUP(Assumptions!$K$48,0),F$27,0)</f>
        <v>4</v>
      </c>
      <c r="G28" s="100" t="n">
        <f aca="false">IF(G$27&lt;=ROUNDUP(Assumptions!$K$48,0),G$27,0)</f>
        <v>0</v>
      </c>
      <c r="H28" s="100" t="n">
        <f aca="false">IF(H$27&lt;=ROUNDUP(Assumptions!$K$48,0),H$27,0)</f>
        <v>0</v>
      </c>
      <c r="I28" s="100" t="n">
        <f aca="false">IF(I$27&lt;=ROUNDUP(Assumptions!$K$48,0),I$27,0)</f>
        <v>0</v>
      </c>
      <c r="J28" s="100" t="n">
        <f aca="false">IF(J$27&lt;=ROUNDUP(Assumptions!$K$48,0),J$27,0)</f>
        <v>0</v>
      </c>
      <c r="K28" s="100" t="n">
        <f aca="false">IF(K$27&lt;=ROUNDUP(Assumptions!$K$48,0),K$27,0)</f>
        <v>0</v>
      </c>
      <c r="L28" s="100" t="n">
        <f aca="false">IF(L$27&lt;=ROUNDUP(Assumptions!$K$48,0),L$27,0)</f>
        <v>0</v>
      </c>
      <c r="M28" s="100" t="n">
        <f aca="false">IF(M$27&lt;=ROUNDUP(Assumptions!$K$48,0),M$27,0)</f>
        <v>0</v>
      </c>
      <c r="N28" s="100" t="n">
        <f aca="false">IF(N$27&lt;=ROUNDUP(Assumptions!$K$48,0),N$27,0)</f>
        <v>0</v>
      </c>
      <c r="O28" s="100" t="n">
        <f aca="false">IF(O$27&lt;=ROUNDUP(Assumptions!$K$48,0),O$27,0)</f>
        <v>0</v>
      </c>
      <c r="P28" s="100" t="n">
        <f aca="false">IF(P$27&lt;=ROUNDUP(Assumptions!$K$48,0),P$27,0)</f>
        <v>0</v>
      </c>
      <c r="Q28" s="100" t="n">
        <f aca="false">IF(Q$27&lt;=ROUNDUP(Assumptions!$K$48,0),Q$27,0)</f>
        <v>0</v>
      </c>
      <c r="R28" s="100" t="n">
        <f aca="false">IF(R$27&lt;=ROUNDUP(Assumptions!$K$48,0),R$27,0)</f>
        <v>0</v>
      </c>
      <c r="S28" s="100" t="n">
        <f aca="false">IF(S$27&lt;=ROUNDUP(Assumptions!$K$48,0),S$27,0)</f>
        <v>0</v>
      </c>
      <c r="T28" s="100" t="n">
        <f aca="false">IF(T$27&lt;=ROUNDUP(Assumptions!$K$48,0),T$27,0)</f>
        <v>0</v>
      </c>
      <c r="U28" s="100" t="n">
        <f aca="false">IF(U$27&lt;=ROUNDUP(Assumptions!$K$48,0),U$27,0)</f>
        <v>0</v>
      </c>
      <c r="V28" s="100" t="n">
        <f aca="false">IF(V$27&lt;=ROUNDUP(Assumptions!$K$48,0),V$27,0)</f>
        <v>0</v>
      </c>
    </row>
    <row r="29" customFormat="false" ht="15" hidden="false" customHeight="false" outlineLevel="0" collapsed="false">
      <c r="A29" s="99" t="s">
        <v>185</v>
      </c>
      <c r="B29" s="65" t="s">
        <v>46</v>
      </c>
      <c r="C29" s="100" t="n">
        <f aca="false">IF(C$27&gt;ROUNDUP(Assumptions!$K$48,0),MIN(C$27-ROUNDUP(Assumptions!$K$48,0),999),0)</f>
        <v>0</v>
      </c>
      <c r="D29" s="100" t="n">
        <f aca="false">IF(D$27&gt;ROUNDUP(Assumptions!$K$48,0),MIN(D$27-ROUNDUP(Assumptions!$K$48,0),999),0)</f>
        <v>0</v>
      </c>
      <c r="E29" s="100" t="n">
        <f aca="false">IF(E$27&gt;ROUNDUP(Assumptions!$K$48,0),MIN(E$27-ROUNDUP(Assumptions!$K$48,0),999),0)</f>
        <v>0</v>
      </c>
      <c r="F29" s="100" t="n">
        <f aca="false">IF(F$27&gt;ROUNDUP(Assumptions!$K$48,0),MIN(F$27-ROUNDUP(Assumptions!$K$48,0),999),0)</f>
        <v>0</v>
      </c>
      <c r="G29" s="100" t="n">
        <f aca="false">IF(G$27&gt;ROUNDUP(Assumptions!$K$48,0),MIN(G$27-ROUNDUP(Assumptions!$K$48,0),999),0)</f>
        <v>1</v>
      </c>
      <c r="H29" s="100" t="n">
        <f aca="false">IF(H$27&gt;ROUNDUP(Assumptions!$K$48,0),MIN(H$27-ROUNDUP(Assumptions!$K$48,0),999),0)</f>
        <v>2</v>
      </c>
      <c r="I29" s="100" t="n">
        <f aca="false">IF(I$27&gt;ROUNDUP(Assumptions!$K$48,0),MIN(I$27-ROUNDUP(Assumptions!$K$48,0),999),0)</f>
        <v>3</v>
      </c>
      <c r="J29" s="100" t="n">
        <f aca="false">IF(J$27&gt;ROUNDUP(Assumptions!$K$48,0),MIN(J$27-ROUNDUP(Assumptions!$K$48,0),999),0)</f>
        <v>4</v>
      </c>
      <c r="K29" s="100" t="n">
        <f aca="false">IF(K$27&gt;ROUNDUP(Assumptions!$K$48,0),MIN(K$27-ROUNDUP(Assumptions!$K$48,0),999),0)</f>
        <v>5</v>
      </c>
      <c r="L29" s="100" t="n">
        <f aca="false">IF(L$27&gt;ROUNDUP(Assumptions!$K$48,0),MIN(L$27-ROUNDUP(Assumptions!$K$48,0),999),0)</f>
        <v>6</v>
      </c>
      <c r="M29" s="100" t="n">
        <f aca="false">IF(M$27&gt;ROUNDUP(Assumptions!$K$48,0),MIN(M$27-ROUNDUP(Assumptions!$K$48,0),999),0)</f>
        <v>7</v>
      </c>
      <c r="N29" s="100" t="n">
        <f aca="false">IF(N$27&gt;ROUNDUP(Assumptions!$K$48,0),MIN(N$27-ROUNDUP(Assumptions!$K$48,0),999),0)</f>
        <v>8</v>
      </c>
      <c r="O29" s="100" t="n">
        <f aca="false">IF(O$27&gt;ROUNDUP(Assumptions!$K$48,0),MIN(O$27-ROUNDUP(Assumptions!$K$48,0),999),0)</f>
        <v>9</v>
      </c>
      <c r="P29" s="100" t="n">
        <f aca="false">IF(P$27&gt;ROUNDUP(Assumptions!$K$48,0),MIN(P$27-ROUNDUP(Assumptions!$K$48,0),999),0)</f>
        <v>10</v>
      </c>
      <c r="Q29" s="100" t="n">
        <f aca="false">IF(Q$27&gt;ROUNDUP(Assumptions!$K$48,0),MIN(Q$27-ROUNDUP(Assumptions!$K$48,0),999),0)</f>
        <v>11</v>
      </c>
      <c r="R29" s="100" t="n">
        <f aca="false">IF(R$27&gt;ROUNDUP(Assumptions!$K$48,0),MIN(R$27-ROUNDUP(Assumptions!$K$48,0),999),0)</f>
        <v>12</v>
      </c>
      <c r="S29" s="100" t="n">
        <f aca="false">IF(S$27&gt;ROUNDUP(Assumptions!$K$48,0),MIN(S$27-ROUNDUP(Assumptions!$K$48,0),999),0)</f>
        <v>13</v>
      </c>
      <c r="T29" s="100" t="n">
        <f aca="false">IF(T$27&gt;ROUNDUP(Assumptions!$K$48,0),MIN(T$27-ROUNDUP(Assumptions!$K$48,0),999),0)</f>
        <v>14</v>
      </c>
      <c r="U29" s="100" t="n">
        <f aca="false">IF(U$27&gt;ROUNDUP(Assumptions!$K$48,0),MIN(U$27-ROUNDUP(Assumptions!$K$48,0),999),0)</f>
        <v>15</v>
      </c>
      <c r="V29" s="100" t="n">
        <f aca="false">IF(V$27&gt;ROUNDUP(Assumptions!$K$48,0),MIN(V$27-ROUNDUP(Assumptions!$K$48,0),999),0)</f>
        <v>16</v>
      </c>
    </row>
    <row r="30" customFormat="false" ht="15" hidden="false" customHeight="false" outlineLevel="0" collapsed="false">
      <c r="A30" s="32" t="s">
        <v>253</v>
      </c>
      <c r="B30" s="65" t="s">
        <v>48</v>
      </c>
      <c r="C30" s="43" t="n">
        <f aca="false">IF(OR(C29=0,C29&gt;Assumptions!$K$47),0,MIN(Assumptions!$K$29*Assumptions!$K$46*INDEX(Assumptions!$C$61:$Q$61,MIN(C29,15)),Assumptions!$K$33))</f>
        <v>0</v>
      </c>
      <c r="D30" s="43" t="n">
        <f aca="false">IF(OR(D29=0,D29&gt;Assumptions!$K$47),0,MIN(Assumptions!$K$29*Assumptions!$K$46*INDEX(Assumptions!$C$61:$Q$61,MIN(D29,15)),Assumptions!$K$33))</f>
        <v>0</v>
      </c>
      <c r="E30" s="43" t="n">
        <f aca="false">IF(OR(E29=0,E29&gt;Assumptions!$K$47),0,MIN(Assumptions!$K$29*Assumptions!$K$46*INDEX(Assumptions!$C$61:$Q$61,MIN(E29,15)),Assumptions!$K$33))</f>
        <v>0</v>
      </c>
      <c r="F30" s="43" t="n">
        <f aca="false">IF(OR(F29=0,F29&gt;Assumptions!$K$47),0,MIN(Assumptions!$K$29*Assumptions!$K$46*INDEX(Assumptions!$C$61:$Q$61,MIN(F29,15)),Assumptions!$K$33))</f>
        <v>0</v>
      </c>
      <c r="G30" s="43" t="n">
        <f aca="false">IF(OR(G29=0,G29&gt;Assumptions!$K$47),0,MIN(Assumptions!$K$29*Assumptions!$K$46*INDEX(Assumptions!$C$61:$Q$61,MIN(G29,15)),Assumptions!$K$33))</f>
        <v>240000</v>
      </c>
      <c r="H30" s="43" t="n">
        <f aca="false">IF(OR(H29=0,H29&gt;Assumptions!$K$47),0,MIN(Assumptions!$K$29*Assumptions!$K$46*INDEX(Assumptions!$C$61:$Q$61,MIN(H29,15)),Assumptions!$K$33))</f>
        <v>340000</v>
      </c>
      <c r="I30" s="43" t="n">
        <f aca="false">IF(OR(I29=0,I29&gt;Assumptions!$K$47),0,MIN(Assumptions!$K$29*Assumptions!$K$46*INDEX(Assumptions!$C$61:$Q$61,MIN(I29,15)),Assumptions!$K$33))</f>
        <v>400000</v>
      </c>
      <c r="J30" s="43" t="n">
        <f aca="false">IF(OR(J29=0,J29&gt;Assumptions!$K$47),0,MIN(Assumptions!$K$29*Assumptions!$K$46*INDEX(Assumptions!$C$61:$Q$61,MIN(J29,15)),Assumptions!$K$33))</f>
        <v>400000</v>
      </c>
      <c r="K30" s="43" t="n">
        <f aca="false">IF(OR(K29=0,K29&gt;Assumptions!$K$47),0,MIN(Assumptions!$K$29*Assumptions!$K$46*INDEX(Assumptions!$C$61:$Q$61,MIN(K29,15)),Assumptions!$K$33))</f>
        <v>400000</v>
      </c>
      <c r="L30" s="43" t="n">
        <f aca="false">IF(OR(L29=0,L29&gt;Assumptions!$K$47),0,MIN(Assumptions!$K$29*Assumptions!$K$46*INDEX(Assumptions!$C$61:$Q$61,MIN(L29,15)),Assumptions!$K$33))</f>
        <v>400000</v>
      </c>
      <c r="M30" s="43" t="n">
        <f aca="false">IF(OR(M29=0,M29&gt;Assumptions!$K$47),0,MIN(Assumptions!$K$29*Assumptions!$K$46*INDEX(Assumptions!$C$61:$Q$61,MIN(M29,15)),Assumptions!$K$33))</f>
        <v>368000</v>
      </c>
      <c r="N30" s="43" t="n">
        <f aca="false">IF(OR(N29=0,N29&gt;Assumptions!$K$47),0,MIN(Assumptions!$K$29*Assumptions!$K$46*INDEX(Assumptions!$C$61:$Q$61,MIN(N29,15)),Assumptions!$K$33))</f>
        <v>320000</v>
      </c>
      <c r="O30" s="43" t="n">
        <f aca="false">IF(OR(O29=0,O29&gt;Assumptions!$K$47),0,MIN(Assumptions!$K$29*Assumptions!$K$46*INDEX(Assumptions!$C$61:$Q$61,MIN(O29,15)),Assumptions!$K$33))</f>
        <v>260000</v>
      </c>
      <c r="P30" s="43" t="n">
        <f aca="false">IF(OR(P29=0,P29&gt;Assumptions!$K$47),0,MIN(Assumptions!$K$29*Assumptions!$K$46*INDEX(Assumptions!$C$61:$Q$61,MIN(P29,15)),Assumptions!$K$33))</f>
        <v>200000</v>
      </c>
      <c r="Q30" s="43" t="n">
        <f aca="false">IF(OR(Q29=0,Q29&gt;Assumptions!$K$47),0,MIN(Assumptions!$K$29*Assumptions!$K$46*INDEX(Assumptions!$C$61:$Q$61,MIN(Q29,15)),Assumptions!$K$33))</f>
        <v>0</v>
      </c>
      <c r="R30" s="43" t="n">
        <f aca="false">IF(OR(R29=0,R29&gt;Assumptions!$K$47),0,MIN(Assumptions!$K$29*Assumptions!$K$46*INDEX(Assumptions!$C$61:$Q$61,MIN(R29,15)),Assumptions!$K$33))</f>
        <v>0</v>
      </c>
      <c r="S30" s="43" t="n">
        <f aca="false">IF(OR(S29=0,S29&gt;Assumptions!$K$47),0,MIN(Assumptions!$K$29*Assumptions!$K$46*INDEX(Assumptions!$C$61:$Q$61,MIN(S29,15)),Assumptions!$K$33))</f>
        <v>0</v>
      </c>
      <c r="T30" s="43" t="n">
        <f aca="false">IF(OR(T29=0,T29&gt;Assumptions!$K$47),0,MIN(Assumptions!$K$29*Assumptions!$K$46*INDEX(Assumptions!$C$61:$Q$61,MIN(T29,15)),Assumptions!$K$33))</f>
        <v>0</v>
      </c>
      <c r="U30" s="43" t="n">
        <f aca="false">IF(OR(U29=0,U29&gt;Assumptions!$K$47),0,MIN(Assumptions!$K$29*Assumptions!$K$46*INDEX(Assumptions!$C$61:$Q$61,MIN(U29,15)),Assumptions!$K$33))</f>
        <v>0</v>
      </c>
      <c r="V30" s="43" t="n">
        <f aca="false">IF(OR(V29=0,V29&gt;Assumptions!$K$47),0,MIN(Assumptions!$K$29*Assumptions!$K$46*INDEX(Assumptions!$C$61:$Q$61,MIN(V29,15)),Assumptions!$K$33))</f>
        <v>0</v>
      </c>
    </row>
    <row r="31" customFormat="false" ht="15" hidden="false" customHeight="false" outlineLevel="0" collapsed="false">
      <c r="A31" s="99" t="s">
        <v>254</v>
      </c>
      <c r="B31" s="65" t="s">
        <v>48</v>
      </c>
      <c r="C31" s="41" t="n">
        <f aca="false">C30</f>
        <v>0</v>
      </c>
      <c r="D31" s="41" t="n">
        <f aca="false">C31+D30</f>
        <v>0</v>
      </c>
      <c r="E31" s="41" t="n">
        <f aca="false">D31+E30</f>
        <v>0</v>
      </c>
      <c r="F31" s="41" t="n">
        <f aca="false">E31+F30</f>
        <v>0</v>
      </c>
      <c r="G31" s="41" t="n">
        <f aca="false">F31+G30</f>
        <v>240000</v>
      </c>
      <c r="H31" s="41" t="n">
        <f aca="false">G31+H30</f>
        <v>580000</v>
      </c>
      <c r="I31" s="41" t="n">
        <f aca="false">H31+I30</f>
        <v>980000</v>
      </c>
      <c r="J31" s="41" t="n">
        <f aca="false">I31+J30</f>
        <v>1380000</v>
      </c>
      <c r="K31" s="41" t="n">
        <f aca="false">J31+K30</f>
        <v>1780000</v>
      </c>
      <c r="L31" s="41" t="n">
        <f aca="false">K31+L30</f>
        <v>2180000</v>
      </c>
      <c r="M31" s="41" t="n">
        <f aca="false">L31+M30</f>
        <v>2548000</v>
      </c>
      <c r="N31" s="41" t="n">
        <f aca="false">M31+N30</f>
        <v>2868000</v>
      </c>
      <c r="O31" s="41" t="n">
        <f aca="false">N31+O30</f>
        <v>3128000</v>
      </c>
      <c r="P31" s="41" t="n">
        <f aca="false">O31+P30</f>
        <v>3328000</v>
      </c>
      <c r="Q31" s="41" t="n">
        <f aca="false">P31+Q30</f>
        <v>3328000</v>
      </c>
      <c r="R31" s="41" t="n">
        <f aca="false">Q31+R30</f>
        <v>3328000</v>
      </c>
      <c r="S31" s="41" t="n">
        <f aca="false">R31+S30</f>
        <v>3328000</v>
      </c>
      <c r="T31" s="41" t="n">
        <f aca="false">S31+T30</f>
        <v>3328000</v>
      </c>
      <c r="U31" s="41" t="n">
        <f aca="false">T31+U30</f>
        <v>3328000</v>
      </c>
      <c r="V31" s="41" t="n">
        <f aca="false">U31+V30</f>
        <v>3328000</v>
      </c>
    </row>
    <row r="32" customFormat="false" ht="15" hidden="false" customHeight="false" outlineLevel="0" collapsed="false">
      <c r="A32" s="99" t="s">
        <v>255</v>
      </c>
      <c r="B32" s="65" t="s">
        <v>52</v>
      </c>
      <c r="C32" s="41" t="n">
        <f aca="false">IF(C30=0,0,Assumptions!$K$36*(1+Assumptions!$K$49)^(C29-1))</f>
        <v>0</v>
      </c>
      <c r="D32" s="41" t="n">
        <f aca="false">IF(D30=0,0,Assumptions!$K$36*(1+Assumptions!$K$49)^(D29-1))</f>
        <v>0</v>
      </c>
      <c r="E32" s="41" t="n">
        <f aca="false">IF(E30=0,0,Assumptions!$K$36*(1+Assumptions!$K$49)^(E29-1))</f>
        <v>0</v>
      </c>
      <c r="F32" s="41" t="n">
        <f aca="false">IF(F30=0,0,Assumptions!$K$36*(1+Assumptions!$K$49)^(F29-1))</f>
        <v>0</v>
      </c>
      <c r="G32" s="41" t="n">
        <f aca="false">IF(G30=0,0,Assumptions!$K$36*(1+Assumptions!$K$49)^(G29-1))</f>
        <v>700000</v>
      </c>
      <c r="H32" s="41" t="n">
        <f aca="false">IF(H30=0,0,Assumptions!$K$36*(1+Assumptions!$K$49)^(H29-1))</f>
        <v>707000</v>
      </c>
      <c r="I32" s="41" t="n">
        <f aca="false">IF(I30=0,0,Assumptions!$K$36*(1+Assumptions!$K$49)^(I29-1))</f>
        <v>714070</v>
      </c>
      <c r="J32" s="41" t="n">
        <f aca="false">IF(J30=0,0,Assumptions!$K$36*(1+Assumptions!$K$49)^(J29-1))</f>
        <v>721210.7</v>
      </c>
      <c r="K32" s="41" t="n">
        <f aca="false">IF(K30=0,0,Assumptions!$K$36*(1+Assumptions!$K$49)^(K29-1))</f>
        <v>728422.807</v>
      </c>
      <c r="L32" s="41" t="n">
        <f aca="false">IF(L30=0,0,Assumptions!$K$36*(1+Assumptions!$K$49)^(L29-1))</f>
        <v>735707.03507</v>
      </c>
      <c r="M32" s="41" t="n">
        <f aca="false">IF(M30=0,0,Assumptions!$K$36*(1+Assumptions!$K$49)^(M29-1))</f>
        <v>743064.1054207</v>
      </c>
      <c r="N32" s="41" t="n">
        <f aca="false">IF(N30=0,0,Assumptions!$K$36*(1+Assumptions!$K$49)^(N29-1))</f>
        <v>750494.746474907</v>
      </c>
      <c r="O32" s="41" t="n">
        <f aca="false">IF(O30=0,0,Assumptions!$K$36*(1+Assumptions!$K$49)^(O29-1))</f>
        <v>757999.693939656</v>
      </c>
      <c r="P32" s="41" t="n">
        <f aca="false">IF(P30=0,0,Assumptions!$K$36*(1+Assumptions!$K$49)^(P29-1))</f>
        <v>765579.690879053</v>
      </c>
      <c r="Q32" s="41" t="n">
        <f aca="false">IF(Q30=0,0,Assumptions!$K$36*(1+Assumptions!$K$49)^(Q29-1))</f>
        <v>0</v>
      </c>
      <c r="R32" s="41" t="n">
        <f aca="false">IF(R30=0,0,Assumptions!$K$36*(1+Assumptions!$K$49)^(R29-1))</f>
        <v>0</v>
      </c>
      <c r="S32" s="41" t="n">
        <f aca="false">IF(S30=0,0,Assumptions!$K$36*(1+Assumptions!$K$49)^(S29-1))</f>
        <v>0</v>
      </c>
      <c r="T32" s="41" t="n">
        <f aca="false">IF(T30=0,0,Assumptions!$K$36*(1+Assumptions!$K$49)^(T29-1))</f>
        <v>0</v>
      </c>
      <c r="U32" s="41" t="n">
        <f aca="false">IF(U30=0,0,Assumptions!$K$36*(1+Assumptions!$K$49)^(U29-1))</f>
        <v>0</v>
      </c>
      <c r="V32" s="41" t="n">
        <f aca="false">IF(V30=0,0,Assumptions!$K$36*(1+Assumptions!$K$49)^(V29-1))</f>
        <v>0</v>
      </c>
    </row>
    <row r="33" customFormat="false" ht="15" hidden="false" customHeight="false" outlineLevel="0" collapsed="false">
      <c r="A33" s="32" t="s">
        <v>256</v>
      </c>
      <c r="B33" s="65" t="s">
        <v>68</v>
      </c>
      <c r="C33" s="43" t="n">
        <f aca="false">C30*C32/10000000</f>
        <v>0</v>
      </c>
      <c r="D33" s="43" t="n">
        <f aca="false">D30*D32/10000000</f>
        <v>0</v>
      </c>
      <c r="E33" s="43" t="n">
        <f aca="false">E30*E32/10000000</f>
        <v>0</v>
      </c>
      <c r="F33" s="43" t="n">
        <f aca="false">F30*F32/10000000</f>
        <v>0</v>
      </c>
      <c r="G33" s="43" t="n">
        <f aca="false">G30*G32/10000000</f>
        <v>16800</v>
      </c>
      <c r="H33" s="43" t="n">
        <f aca="false">H30*H32/10000000</f>
        <v>24038</v>
      </c>
      <c r="I33" s="43" t="n">
        <f aca="false">I30*I32/10000000</f>
        <v>28562.8</v>
      </c>
      <c r="J33" s="43" t="n">
        <f aca="false">J30*J32/10000000</f>
        <v>28848.428</v>
      </c>
      <c r="K33" s="43" t="n">
        <f aca="false">K30*K32/10000000</f>
        <v>29136.91228</v>
      </c>
      <c r="L33" s="43" t="n">
        <f aca="false">L30*L32/10000000</f>
        <v>29428.2814028</v>
      </c>
      <c r="M33" s="43" t="n">
        <f aca="false">M30*M32/10000000</f>
        <v>27344.7590794818</v>
      </c>
      <c r="N33" s="43" t="n">
        <f aca="false">N30*N32/10000000</f>
        <v>24015.831887197</v>
      </c>
      <c r="O33" s="43" t="n">
        <f aca="false">O30*O32/10000000</f>
        <v>19707.9920424311</v>
      </c>
      <c r="P33" s="43" t="n">
        <f aca="false">P30*P32/10000000</f>
        <v>15311.5938175811</v>
      </c>
      <c r="Q33" s="43" t="n">
        <f aca="false">Q30*Q32/10000000</f>
        <v>0</v>
      </c>
      <c r="R33" s="43" t="n">
        <f aca="false">R30*R32/10000000</f>
        <v>0</v>
      </c>
      <c r="S33" s="43" t="n">
        <f aca="false">S30*S32/10000000</f>
        <v>0</v>
      </c>
      <c r="T33" s="43" t="n">
        <f aca="false">T30*T32/10000000</f>
        <v>0</v>
      </c>
      <c r="U33" s="43" t="n">
        <f aca="false">U30*U32/10000000</f>
        <v>0</v>
      </c>
      <c r="V33" s="43" t="n">
        <f aca="false">V30*V32/10000000</f>
        <v>0</v>
      </c>
    </row>
    <row r="34" customFormat="false" ht="15" hidden="false" customHeight="false" outlineLevel="0" collapsed="false">
      <c r="A34" s="99" t="s">
        <v>257</v>
      </c>
      <c r="B34" s="65" t="s">
        <v>52</v>
      </c>
      <c r="C34" s="41" t="n">
        <f aca="false">IF(C30=0,0,Assumptions!$K$36*Assumptions!$K$37*(1-LOG(MAX(Assumptions!$K$29,1),2)*Assumptions!$K$28)*(1+Assumptions!$K$50)^(C29-1))</f>
        <v>0</v>
      </c>
      <c r="D34" s="41" t="n">
        <f aca="false">IF(D30=0,0,Assumptions!$K$36*Assumptions!$K$37*(1-LOG(MAX(Assumptions!$K$29,1),2)*Assumptions!$K$28)*(1+Assumptions!$K$50)^(D29-1))</f>
        <v>0</v>
      </c>
      <c r="E34" s="41" t="n">
        <f aca="false">IF(E30=0,0,Assumptions!$K$36*Assumptions!$K$37*(1-LOG(MAX(Assumptions!$K$29,1),2)*Assumptions!$K$28)*(1+Assumptions!$K$50)^(E29-1))</f>
        <v>0</v>
      </c>
      <c r="F34" s="41" t="n">
        <f aca="false">IF(F30=0,0,Assumptions!$K$36*Assumptions!$K$37*(1-LOG(MAX(Assumptions!$K$29,1),2)*Assumptions!$K$28)*(1+Assumptions!$K$50)^(F29-1))</f>
        <v>0</v>
      </c>
      <c r="G34" s="41" t="n">
        <f aca="false">IF(G30=0,0,Assumptions!$K$36*Assumptions!$K$37*(1-LOG(MAX(Assumptions!$K$29,1),2)*Assumptions!$K$28)*(1+Assumptions!$K$50)^(G29-1))</f>
        <v>455700</v>
      </c>
      <c r="H34" s="41" t="n">
        <f aca="false">IF(H30=0,0,Assumptions!$K$36*Assumptions!$K$37*(1-LOG(MAX(Assumptions!$K$29,1),2)*Assumptions!$K$28)*(1+Assumptions!$K$50)^(H29-1))</f>
        <v>451143</v>
      </c>
      <c r="I34" s="41" t="n">
        <f aca="false">IF(I30=0,0,Assumptions!$K$36*Assumptions!$K$37*(1-LOG(MAX(Assumptions!$K$29,1),2)*Assumptions!$K$28)*(1+Assumptions!$K$50)^(I29-1))</f>
        <v>446631.57</v>
      </c>
      <c r="J34" s="41" t="n">
        <f aca="false">IF(J30=0,0,Assumptions!$K$36*Assumptions!$K$37*(1-LOG(MAX(Assumptions!$K$29,1),2)*Assumptions!$K$28)*(1+Assumptions!$K$50)^(J29-1))</f>
        <v>442165.2543</v>
      </c>
      <c r="K34" s="41" t="n">
        <f aca="false">IF(K30=0,0,Assumptions!$K$36*Assumptions!$K$37*(1-LOG(MAX(Assumptions!$K$29,1),2)*Assumptions!$K$28)*(1+Assumptions!$K$50)^(K29-1))</f>
        <v>437743.601757</v>
      </c>
      <c r="L34" s="41" t="n">
        <f aca="false">IF(L30=0,0,Assumptions!$K$36*Assumptions!$K$37*(1-LOG(MAX(Assumptions!$K$29,1),2)*Assumptions!$K$28)*(1+Assumptions!$K$50)^(L29-1))</f>
        <v>433366.16573943</v>
      </c>
      <c r="M34" s="41" t="n">
        <f aca="false">IF(M30=0,0,Assumptions!$K$36*Assumptions!$K$37*(1-LOG(MAX(Assumptions!$K$29,1),2)*Assumptions!$K$28)*(1+Assumptions!$K$50)^(M29-1))</f>
        <v>429032.504082036</v>
      </c>
      <c r="N34" s="41" t="n">
        <f aca="false">IF(N30=0,0,Assumptions!$K$36*Assumptions!$K$37*(1-LOG(MAX(Assumptions!$K$29,1),2)*Assumptions!$K$28)*(1+Assumptions!$K$50)^(N29-1))</f>
        <v>424742.179041215</v>
      </c>
      <c r="O34" s="41" t="n">
        <f aca="false">IF(O30=0,0,Assumptions!$K$36*Assumptions!$K$37*(1-LOG(MAX(Assumptions!$K$29,1),2)*Assumptions!$K$28)*(1+Assumptions!$K$50)^(O29-1))</f>
        <v>420494.757250803</v>
      </c>
      <c r="P34" s="41" t="n">
        <f aca="false">IF(P30=0,0,Assumptions!$K$36*Assumptions!$K$37*(1-LOG(MAX(Assumptions!$K$29,1),2)*Assumptions!$K$28)*(1+Assumptions!$K$50)^(P29-1))</f>
        <v>416289.809678295</v>
      </c>
      <c r="Q34" s="41" t="n">
        <f aca="false">IF(Q30=0,0,Assumptions!$K$36*Assumptions!$K$37*(1-LOG(MAX(Assumptions!$K$29,1),2)*Assumptions!$K$28)*(1+Assumptions!$K$50)^(Q29-1))</f>
        <v>0</v>
      </c>
      <c r="R34" s="41" t="n">
        <f aca="false">IF(R30=0,0,Assumptions!$K$36*Assumptions!$K$37*(1-LOG(MAX(Assumptions!$K$29,1),2)*Assumptions!$K$28)*(1+Assumptions!$K$50)^(R29-1))</f>
        <v>0</v>
      </c>
      <c r="S34" s="41" t="n">
        <f aca="false">IF(S30=0,0,Assumptions!$K$36*Assumptions!$K$37*(1-LOG(MAX(Assumptions!$K$29,1),2)*Assumptions!$K$28)*(1+Assumptions!$K$50)^(S29-1))</f>
        <v>0</v>
      </c>
      <c r="T34" s="41" t="n">
        <f aca="false">IF(T30=0,0,Assumptions!$K$36*Assumptions!$K$37*(1-LOG(MAX(Assumptions!$K$29,1),2)*Assumptions!$K$28)*(1+Assumptions!$K$50)^(T29-1))</f>
        <v>0</v>
      </c>
      <c r="U34" s="41" t="n">
        <f aca="false">IF(U30=0,0,Assumptions!$K$36*Assumptions!$K$37*(1-LOG(MAX(Assumptions!$K$29,1),2)*Assumptions!$K$28)*(1+Assumptions!$K$50)^(U29-1))</f>
        <v>0</v>
      </c>
      <c r="V34" s="41" t="n">
        <f aca="false">IF(V30=0,0,Assumptions!$K$36*Assumptions!$K$37*(1-LOG(MAX(Assumptions!$K$29,1),2)*Assumptions!$K$28)*(1+Assumptions!$K$50)^(V29-1))</f>
        <v>0</v>
      </c>
    </row>
    <row r="35" customFormat="false" ht="15" hidden="false" customHeight="false" outlineLevel="0" collapsed="false">
      <c r="A35" s="99" t="s">
        <v>258</v>
      </c>
      <c r="B35" s="65" t="s">
        <v>52</v>
      </c>
      <c r="C35" s="41" t="n">
        <f aca="false">IF(C30=0,0,Assumptions!$K$38*Assumptions!$K$39*(1-LOG(MAX(Assumptions!$K$29,1),2)*Assumptions!$K$28)*(1+Assumptions!$K$51)^(C29-1))</f>
        <v>0</v>
      </c>
      <c r="D35" s="41" t="n">
        <f aca="false">IF(D30=0,0,Assumptions!$K$38*Assumptions!$K$39*(1-LOG(MAX(Assumptions!$K$29,1),2)*Assumptions!$K$28)*(1+Assumptions!$K$51)^(D29-1))</f>
        <v>0</v>
      </c>
      <c r="E35" s="41" t="n">
        <f aca="false">IF(E30=0,0,Assumptions!$K$38*Assumptions!$K$39*(1-LOG(MAX(Assumptions!$K$29,1),2)*Assumptions!$K$28)*(1+Assumptions!$K$51)^(E29-1))</f>
        <v>0</v>
      </c>
      <c r="F35" s="41" t="n">
        <f aca="false">IF(F30=0,0,Assumptions!$K$38*Assumptions!$K$39*(1-LOG(MAX(Assumptions!$K$29,1),2)*Assumptions!$K$28)*(1+Assumptions!$K$51)^(F29-1))</f>
        <v>0</v>
      </c>
      <c r="G35" s="41" t="n">
        <f aca="false">IF(G30=0,0,Assumptions!$K$38*Assumptions!$K$39*(1-LOG(MAX(Assumptions!$K$29,1),2)*Assumptions!$K$28)*(1+Assumptions!$K$51)^(G29-1))</f>
        <v>0</v>
      </c>
      <c r="H35" s="41" t="n">
        <f aca="false">IF(H30=0,0,Assumptions!$K$38*Assumptions!$K$39*(1-LOG(MAX(Assumptions!$K$29,1),2)*Assumptions!$K$28)*(1+Assumptions!$K$51)^(H29-1))</f>
        <v>0</v>
      </c>
      <c r="I35" s="41" t="n">
        <f aca="false">IF(I30=0,0,Assumptions!$K$38*Assumptions!$K$39*(1-LOG(MAX(Assumptions!$K$29,1),2)*Assumptions!$K$28)*(1+Assumptions!$K$51)^(I29-1))</f>
        <v>0</v>
      </c>
      <c r="J35" s="41" t="n">
        <f aca="false">IF(J30=0,0,Assumptions!$K$38*Assumptions!$K$39*(1-LOG(MAX(Assumptions!$K$29,1),2)*Assumptions!$K$28)*(1+Assumptions!$K$51)^(J29-1))</f>
        <v>0</v>
      </c>
      <c r="K35" s="41" t="n">
        <f aca="false">IF(K30=0,0,Assumptions!$K$38*Assumptions!$K$39*(1-LOG(MAX(Assumptions!$K$29,1),2)*Assumptions!$K$28)*(1+Assumptions!$K$51)^(K29-1))</f>
        <v>0</v>
      </c>
      <c r="L35" s="41" t="n">
        <f aca="false">IF(L30=0,0,Assumptions!$K$38*Assumptions!$K$39*(1-LOG(MAX(Assumptions!$K$29,1),2)*Assumptions!$K$28)*(1+Assumptions!$K$51)^(L29-1))</f>
        <v>0</v>
      </c>
      <c r="M35" s="41" t="n">
        <f aca="false">IF(M30=0,0,Assumptions!$K$38*Assumptions!$K$39*(1-LOG(MAX(Assumptions!$K$29,1),2)*Assumptions!$K$28)*(1+Assumptions!$K$51)^(M29-1))</f>
        <v>0</v>
      </c>
      <c r="N35" s="41" t="n">
        <f aca="false">IF(N30=0,0,Assumptions!$K$38*Assumptions!$K$39*(1-LOG(MAX(Assumptions!$K$29,1),2)*Assumptions!$K$28)*(1+Assumptions!$K$51)^(N29-1))</f>
        <v>0</v>
      </c>
      <c r="O35" s="41" t="n">
        <f aca="false">IF(O30=0,0,Assumptions!$K$38*Assumptions!$K$39*(1-LOG(MAX(Assumptions!$K$29,1),2)*Assumptions!$K$28)*(1+Assumptions!$K$51)^(O29-1))</f>
        <v>0</v>
      </c>
      <c r="P35" s="41" t="n">
        <f aca="false">IF(P30=0,0,Assumptions!$K$38*Assumptions!$K$39*(1-LOG(MAX(Assumptions!$K$29,1),2)*Assumptions!$K$28)*(1+Assumptions!$K$51)^(P29-1))</f>
        <v>0</v>
      </c>
      <c r="Q35" s="41" t="n">
        <f aca="false">IF(Q30=0,0,Assumptions!$K$38*Assumptions!$K$39*(1-LOG(MAX(Assumptions!$K$29,1),2)*Assumptions!$K$28)*(1+Assumptions!$K$51)^(Q29-1))</f>
        <v>0</v>
      </c>
      <c r="R35" s="41" t="n">
        <f aca="false">IF(R30=0,0,Assumptions!$K$38*Assumptions!$K$39*(1-LOG(MAX(Assumptions!$K$29,1),2)*Assumptions!$K$28)*(1+Assumptions!$K$51)^(R29-1))</f>
        <v>0</v>
      </c>
      <c r="S35" s="41" t="n">
        <f aca="false">IF(S30=0,0,Assumptions!$K$38*Assumptions!$K$39*(1-LOG(MAX(Assumptions!$K$29,1),2)*Assumptions!$K$28)*(1+Assumptions!$K$51)^(S29-1))</f>
        <v>0</v>
      </c>
      <c r="T35" s="41" t="n">
        <f aca="false">IF(T30=0,0,Assumptions!$K$38*Assumptions!$K$39*(1-LOG(MAX(Assumptions!$K$29,1),2)*Assumptions!$K$28)*(1+Assumptions!$K$51)^(T29-1))</f>
        <v>0</v>
      </c>
      <c r="U35" s="41" t="n">
        <f aca="false">IF(U30=0,0,Assumptions!$K$38*Assumptions!$K$39*(1-LOG(MAX(Assumptions!$K$29,1),2)*Assumptions!$K$28)*(1+Assumptions!$K$51)^(U29-1))</f>
        <v>0</v>
      </c>
      <c r="V35" s="41" t="n">
        <f aca="false">IF(V30=0,0,Assumptions!$K$38*Assumptions!$K$39*(1-LOG(MAX(Assumptions!$K$29,1),2)*Assumptions!$K$28)*(1+Assumptions!$K$51)^(V29-1))</f>
        <v>0</v>
      </c>
    </row>
    <row r="36" customFormat="false" ht="15" hidden="false" customHeight="false" outlineLevel="0" collapsed="false">
      <c r="A36" s="99" t="s">
        <v>259</v>
      </c>
      <c r="B36" s="65" t="s">
        <v>52</v>
      </c>
      <c r="C36" s="41" t="n">
        <f aca="false">IF(C30=0,0,C32*(Assumptions!$K$40+Assumptions!$K$41+Assumptions!$K$42))</f>
        <v>0</v>
      </c>
      <c r="D36" s="41" t="n">
        <f aca="false">IF(D30=0,0,D32*(Assumptions!$K$40+Assumptions!$K$41+Assumptions!$K$42))</f>
        <v>0</v>
      </c>
      <c r="E36" s="41" t="n">
        <f aca="false">IF(E30=0,0,E32*(Assumptions!$K$40+Assumptions!$K$41+Assumptions!$K$42))</f>
        <v>0</v>
      </c>
      <c r="F36" s="41" t="n">
        <f aca="false">IF(F30=0,0,F32*(Assumptions!$K$40+Assumptions!$K$41+Assumptions!$K$42))</f>
        <v>0</v>
      </c>
      <c r="G36" s="41" t="n">
        <f aca="false">IF(G30=0,0,G32*(Assumptions!$K$40+Assumptions!$K$41+Assumptions!$K$42))</f>
        <v>70000</v>
      </c>
      <c r="H36" s="41" t="n">
        <f aca="false">IF(H30=0,0,H32*(Assumptions!$K$40+Assumptions!$K$41+Assumptions!$K$42))</f>
        <v>70700</v>
      </c>
      <c r="I36" s="41" t="n">
        <f aca="false">IF(I30=0,0,I32*(Assumptions!$K$40+Assumptions!$K$41+Assumptions!$K$42))</f>
        <v>71407</v>
      </c>
      <c r="J36" s="41" t="n">
        <f aca="false">IF(J30=0,0,J32*(Assumptions!$K$40+Assumptions!$K$41+Assumptions!$K$42))</f>
        <v>72121.07</v>
      </c>
      <c r="K36" s="41" t="n">
        <f aca="false">IF(K30=0,0,K32*(Assumptions!$K$40+Assumptions!$K$41+Assumptions!$K$42))</f>
        <v>72842.2807</v>
      </c>
      <c r="L36" s="41" t="n">
        <f aca="false">IF(L30=0,0,L32*(Assumptions!$K$40+Assumptions!$K$41+Assumptions!$K$42))</f>
        <v>73570.703507</v>
      </c>
      <c r="M36" s="41" t="n">
        <f aca="false">IF(M30=0,0,M32*(Assumptions!$K$40+Assumptions!$K$41+Assumptions!$K$42))</f>
        <v>74306.41054207</v>
      </c>
      <c r="N36" s="41" t="n">
        <f aca="false">IF(N30=0,0,N32*(Assumptions!$K$40+Assumptions!$K$41+Assumptions!$K$42))</f>
        <v>75049.4746474907</v>
      </c>
      <c r="O36" s="41" t="n">
        <f aca="false">IF(O30=0,0,O32*(Assumptions!$K$40+Assumptions!$K$41+Assumptions!$K$42))</f>
        <v>75799.9693939656</v>
      </c>
      <c r="P36" s="41" t="n">
        <f aca="false">IF(P30=0,0,P32*(Assumptions!$K$40+Assumptions!$K$41+Assumptions!$K$42))</f>
        <v>76557.9690879053</v>
      </c>
      <c r="Q36" s="41" t="n">
        <f aca="false">IF(Q30=0,0,Q32*(Assumptions!$K$40+Assumptions!$K$41+Assumptions!$K$42))</f>
        <v>0</v>
      </c>
      <c r="R36" s="41" t="n">
        <f aca="false">IF(R30=0,0,R32*(Assumptions!$K$40+Assumptions!$K$41+Assumptions!$K$42))</f>
        <v>0</v>
      </c>
      <c r="S36" s="41" t="n">
        <f aca="false">IF(S30=0,0,S32*(Assumptions!$K$40+Assumptions!$K$41+Assumptions!$K$42))</f>
        <v>0</v>
      </c>
      <c r="T36" s="41" t="n">
        <f aca="false">IF(T30=0,0,T32*(Assumptions!$K$40+Assumptions!$K$41+Assumptions!$K$42))</f>
        <v>0</v>
      </c>
      <c r="U36" s="41" t="n">
        <f aca="false">IF(U30=0,0,U32*(Assumptions!$K$40+Assumptions!$K$41+Assumptions!$K$42))</f>
        <v>0</v>
      </c>
      <c r="V36" s="41" t="n">
        <f aca="false">IF(V30=0,0,V32*(Assumptions!$K$40+Assumptions!$K$41+Assumptions!$K$42))</f>
        <v>0</v>
      </c>
    </row>
    <row r="37" customFormat="false" ht="15" hidden="false" customHeight="false" outlineLevel="0" collapsed="false">
      <c r="A37" s="32" t="s">
        <v>260</v>
      </c>
      <c r="B37" s="65" t="s">
        <v>52</v>
      </c>
      <c r="C37" s="43" t="n">
        <f aca="false">C32-C34-C35-C36</f>
        <v>0</v>
      </c>
      <c r="D37" s="43" t="n">
        <f aca="false">D32-D34-D35-D36</f>
        <v>0</v>
      </c>
      <c r="E37" s="43" t="n">
        <f aca="false">E32-E34-E35-E36</f>
        <v>0</v>
      </c>
      <c r="F37" s="43" t="n">
        <f aca="false">F32-F34-F35-F36</f>
        <v>0</v>
      </c>
      <c r="G37" s="43" t="n">
        <f aca="false">G32-G34-G35-G36</f>
        <v>174300</v>
      </c>
      <c r="H37" s="43" t="n">
        <f aca="false">H32-H34-H35-H36</f>
        <v>185157</v>
      </c>
      <c r="I37" s="43" t="n">
        <f aca="false">I32-I34-I35-I36</f>
        <v>196031.43</v>
      </c>
      <c r="J37" s="43" t="n">
        <f aca="false">J32-J34-J35-J36</f>
        <v>206924.3757</v>
      </c>
      <c r="K37" s="43" t="n">
        <f aca="false">K32-K34-K35-K36</f>
        <v>217836.924543</v>
      </c>
      <c r="L37" s="43" t="n">
        <f aca="false">L32-L34-L35-L36</f>
        <v>228770.16582357</v>
      </c>
      <c r="M37" s="43" t="n">
        <f aca="false">M32-M34-M35-M36</f>
        <v>239725.190796594</v>
      </c>
      <c r="N37" s="43" t="n">
        <f aca="false">N32-N34-N35-N36</f>
        <v>250703.092786201</v>
      </c>
      <c r="O37" s="43" t="n">
        <f aca="false">O32-O34-O35-O36</f>
        <v>261704.967294887</v>
      </c>
      <c r="P37" s="43" t="n">
        <f aca="false">P32-P34-P35-P36</f>
        <v>272731.912112852</v>
      </c>
      <c r="Q37" s="43" t="n">
        <f aca="false">Q32-Q34-Q35-Q36</f>
        <v>0</v>
      </c>
      <c r="R37" s="43" t="n">
        <f aca="false">R32-R34-R35-R36</f>
        <v>0</v>
      </c>
      <c r="S37" s="43" t="n">
        <f aca="false">S32-S34-S35-S36</f>
        <v>0</v>
      </c>
      <c r="T37" s="43" t="n">
        <f aca="false">T32-T34-T35-T36</f>
        <v>0</v>
      </c>
      <c r="U37" s="43" t="n">
        <f aca="false">U32-U34-U35-U36</f>
        <v>0</v>
      </c>
      <c r="V37" s="43" t="n">
        <f aca="false">V32-V34-V35-V36</f>
        <v>0</v>
      </c>
    </row>
    <row r="38" customFormat="false" ht="15" hidden="false" customHeight="false" outlineLevel="0" collapsed="false">
      <c r="A38" s="99" t="s">
        <v>229</v>
      </c>
      <c r="B38" s="65" t="s">
        <v>63</v>
      </c>
      <c r="C38" s="45" t="n">
        <f aca="false">IFERROR(C37/C32,0)</f>
        <v>0</v>
      </c>
      <c r="D38" s="45" t="n">
        <f aca="false">IFERROR(D37/D32,0)</f>
        <v>0</v>
      </c>
      <c r="E38" s="45" t="n">
        <f aca="false">IFERROR(E37/E32,0)</f>
        <v>0</v>
      </c>
      <c r="F38" s="45" t="n">
        <f aca="false">IFERROR(F37/F32,0)</f>
        <v>0</v>
      </c>
      <c r="G38" s="45" t="n">
        <f aca="false">IFERROR(G37/G32,0)</f>
        <v>0.249</v>
      </c>
      <c r="H38" s="45" t="n">
        <f aca="false">IFERROR(H37/H32,0)</f>
        <v>0.261891089108911</v>
      </c>
      <c r="I38" s="45" t="n">
        <f aca="false">IFERROR(I37/I32,0)</f>
        <v>0.274526909126556</v>
      </c>
      <c r="J38" s="45" t="n">
        <f aca="false">IFERROR(J37/J32,0)</f>
        <v>0.286912514886427</v>
      </c>
      <c r="K38" s="45" t="n">
        <f aca="false">IFERROR(K37/K32,0)</f>
        <v>0.299052861126299</v>
      </c>
      <c r="L38" s="45" t="n">
        <f aca="false">IFERROR(L37/L32,0)</f>
        <v>0.310952804470333</v>
      </c>
      <c r="M38" s="45" t="n">
        <f aca="false">IFERROR(M37/M32,0)</f>
        <v>0.322617105371911</v>
      </c>
      <c r="N38" s="45" t="n">
        <f aca="false">IFERROR(N37/N32,0)</f>
        <v>0.334050430018011</v>
      </c>
      <c r="O38" s="45" t="n">
        <f aca="false">IFERROR(O37/O32,0)</f>
        <v>0.345257352195873</v>
      </c>
      <c r="P38" s="45" t="n">
        <f aca="false">IFERROR(P37/P32,0)</f>
        <v>0.356242355122687</v>
      </c>
      <c r="Q38" s="45" t="n">
        <f aca="false">IFERROR(Q37/Q32,0)</f>
        <v>0</v>
      </c>
      <c r="R38" s="45" t="n">
        <f aca="false">IFERROR(R37/R32,0)</f>
        <v>0</v>
      </c>
      <c r="S38" s="45" t="n">
        <f aca="false">IFERROR(S37/S32,0)</f>
        <v>0</v>
      </c>
      <c r="T38" s="45" t="n">
        <f aca="false">IFERROR(T37/T32,0)</f>
        <v>0</v>
      </c>
      <c r="U38" s="45" t="n">
        <f aca="false">IFERROR(U37/U32,0)</f>
        <v>0</v>
      </c>
      <c r="V38" s="45" t="n">
        <f aca="false">IFERROR(V37/V32,0)</f>
        <v>0</v>
      </c>
    </row>
    <row r="39" customFormat="false" ht="15" hidden="false" customHeight="false" outlineLevel="0" collapsed="false">
      <c r="A39" s="32" t="s">
        <v>261</v>
      </c>
      <c r="B39" s="65" t="s">
        <v>68</v>
      </c>
      <c r="C39" s="43" t="n">
        <f aca="false">C30*C37/10000000</f>
        <v>0</v>
      </c>
      <c r="D39" s="43" t="n">
        <f aca="false">D30*D37/10000000</f>
        <v>0</v>
      </c>
      <c r="E39" s="43" t="n">
        <f aca="false">E30*E37/10000000</f>
        <v>0</v>
      </c>
      <c r="F39" s="43" t="n">
        <f aca="false">F30*F37/10000000</f>
        <v>0</v>
      </c>
      <c r="G39" s="43" t="n">
        <f aca="false">G30*G37/10000000</f>
        <v>4183.2</v>
      </c>
      <c r="H39" s="43" t="n">
        <f aca="false">H30*H37/10000000</f>
        <v>6295.338</v>
      </c>
      <c r="I39" s="43" t="n">
        <f aca="false">I30*I37/10000000</f>
        <v>7841.2572</v>
      </c>
      <c r="J39" s="43" t="n">
        <f aca="false">J30*J37/10000000</f>
        <v>8276.975028</v>
      </c>
      <c r="K39" s="43" t="n">
        <f aca="false">K30*K37/10000000</f>
        <v>8713.47698172001</v>
      </c>
      <c r="L39" s="43" t="n">
        <f aca="false">L30*L37/10000000</f>
        <v>9150.80663294281</v>
      </c>
      <c r="M39" s="43" t="n">
        <f aca="false">M30*M37/10000000</f>
        <v>8821.88702131468</v>
      </c>
      <c r="N39" s="43" t="n">
        <f aca="false">N30*N37/10000000</f>
        <v>8022.49896915843</v>
      </c>
      <c r="O39" s="43" t="n">
        <f aca="false">O30*O37/10000000</f>
        <v>6804.32914966707</v>
      </c>
      <c r="P39" s="43" t="n">
        <f aca="false">P30*P37/10000000</f>
        <v>5454.63824225705</v>
      </c>
      <c r="Q39" s="43" t="n">
        <f aca="false">Q30*Q37/10000000</f>
        <v>0</v>
      </c>
      <c r="R39" s="43" t="n">
        <f aca="false">R30*R37/10000000</f>
        <v>0</v>
      </c>
      <c r="S39" s="43" t="n">
        <f aca="false">S30*S37/10000000</f>
        <v>0</v>
      </c>
      <c r="T39" s="43" t="n">
        <f aca="false">T30*T37/10000000</f>
        <v>0</v>
      </c>
      <c r="U39" s="43" t="n">
        <f aca="false">U30*U37/10000000</f>
        <v>0</v>
      </c>
      <c r="V39" s="43" t="n">
        <f aca="false">V30*V37/10000000</f>
        <v>0</v>
      </c>
    </row>
    <row r="40" customFormat="false" ht="15" hidden="false" customHeight="false" outlineLevel="0" collapsed="false">
      <c r="A40" s="99" t="s">
        <v>55</v>
      </c>
      <c r="B40" s="65" t="s">
        <v>68</v>
      </c>
      <c r="C40" s="41" t="n">
        <f aca="false">IF(C30=0,0,-Assumptions!$K$43)</f>
        <v>0</v>
      </c>
      <c r="D40" s="41" t="n">
        <f aca="false">IF(D30=0,0,-Assumptions!$K$43)</f>
        <v>0</v>
      </c>
      <c r="E40" s="41" t="n">
        <f aca="false">IF(E30=0,0,-Assumptions!$K$43)</f>
        <v>0</v>
      </c>
      <c r="F40" s="41" t="n">
        <f aca="false">IF(F30=0,0,-Assumptions!$K$43)</f>
        <v>0</v>
      </c>
      <c r="G40" s="41" t="n">
        <f aca="false">IF(G30=0,0,-Assumptions!$K$43)</f>
        <v>-450</v>
      </c>
      <c r="H40" s="41" t="n">
        <f aca="false">IF(H30=0,0,-Assumptions!$K$43)</f>
        <v>-450</v>
      </c>
      <c r="I40" s="41" t="n">
        <f aca="false">IF(I30=0,0,-Assumptions!$K$43)</f>
        <v>-450</v>
      </c>
      <c r="J40" s="41" t="n">
        <f aca="false">IF(J30=0,0,-Assumptions!$K$43)</f>
        <v>-450</v>
      </c>
      <c r="K40" s="41" t="n">
        <f aca="false">IF(K30=0,0,-Assumptions!$K$43)</f>
        <v>-450</v>
      </c>
      <c r="L40" s="41" t="n">
        <f aca="false">IF(L30=0,0,-Assumptions!$K$43)</f>
        <v>-450</v>
      </c>
      <c r="M40" s="41" t="n">
        <f aca="false">IF(M30=0,0,-Assumptions!$K$43)</f>
        <v>-450</v>
      </c>
      <c r="N40" s="41" t="n">
        <f aca="false">IF(N30=0,0,-Assumptions!$K$43)</f>
        <v>-450</v>
      </c>
      <c r="O40" s="41" t="n">
        <f aca="false">IF(O30=0,0,-Assumptions!$K$43)</f>
        <v>-450</v>
      </c>
      <c r="P40" s="41" t="n">
        <f aca="false">IF(P30=0,0,-Assumptions!$K$43)</f>
        <v>-450</v>
      </c>
      <c r="Q40" s="41" t="n">
        <f aca="false">IF(Q30=0,0,-Assumptions!$K$43)</f>
        <v>0</v>
      </c>
      <c r="R40" s="41" t="n">
        <f aca="false">IF(R30=0,0,-Assumptions!$K$43)</f>
        <v>0</v>
      </c>
      <c r="S40" s="41" t="n">
        <f aca="false">IF(S30=0,0,-Assumptions!$K$43)</f>
        <v>0</v>
      </c>
      <c r="T40" s="41" t="n">
        <f aca="false">IF(T30=0,0,-Assumptions!$K$43)</f>
        <v>0</v>
      </c>
      <c r="U40" s="41" t="n">
        <f aca="false">IF(U30=0,0,-Assumptions!$K$43)</f>
        <v>0</v>
      </c>
      <c r="V40" s="41" t="n">
        <f aca="false">IF(V30=0,0,-Assumptions!$K$43)</f>
        <v>0</v>
      </c>
    </row>
    <row r="41" customFormat="false" ht="15" hidden="false" customHeight="false" outlineLevel="0" collapsed="false">
      <c r="A41" s="99" t="s">
        <v>262</v>
      </c>
      <c r="B41" s="65" t="s">
        <v>68</v>
      </c>
      <c r="C41" s="41" t="n">
        <f aca="false">-C33*Assumptions!$K$44</f>
        <v>-0</v>
      </c>
      <c r="D41" s="41" t="n">
        <f aca="false">-D33*Assumptions!$K$44</f>
        <v>-0</v>
      </c>
      <c r="E41" s="41" t="n">
        <f aca="false">-E33*Assumptions!$K$44</f>
        <v>-0</v>
      </c>
      <c r="F41" s="41" t="n">
        <f aca="false">-F33*Assumptions!$K$44</f>
        <v>-0</v>
      </c>
      <c r="G41" s="41" t="n">
        <f aca="false">-G33*Assumptions!$K$44</f>
        <v>-840</v>
      </c>
      <c r="H41" s="41" t="n">
        <f aca="false">-H33*Assumptions!$K$44</f>
        <v>-1201.9</v>
      </c>
      <c r="I41" s="41" t="n">
        <f aca="false">-I33*Assumptions!$K$44</f>
        <v>-1428.14</v>
      </c>
      <c r="J41" s="41" t="n">
        <f aca="false">-J33*Assumptions!$K$44</f>
        <v>-1442.4214</v>
      </c>
      <c r="K41" s="41" t="n">
        <f aca="false">-K33*Assumptions!$K$44</f>
        <v>-1456.845614</v>
      </c>
      <c r="L41" s="41" t="n">
        <f aca="false">-L33*Assumptions!$K$44</f>
        <v>-1471.41407014</v>
      </c>
      <c r="M41" s="41" t="n">
        <f aca="false">-M33*Assumptions!$K$44</f>
        <v>-1367.23795397409</v>
      </c>
      <c r="N41" s="41" t="n">
        <f aca="false">-N33*Assumptions!$K$44</f>
        <v>-1200.79159435985</v>
      </c>
      <c r="O41" s="41" t="n">
        <f aca="false">-O33*Assumptions!$K$44</f>
        <v>-985.399602121553</v>
      </c>
      <c r="P41" s="41" t="n">
        <f aca="false">-P33*Assumptions!$K$44</f>
        <v>-765.579690879053</v>
      </c>
      <c r="Q41" s="41" t="n">
        <f aca="false">-Q33*Assumptions!$K$44</f>
        <v>-0</v>
      </c>
      <c r="R41" s="41" t="n">
        <f aca="false">-R33*Assumptions!$K$44</f>
        <v>-0</v>
      </c>
      <c r="S41" s="41" t="n">
        <f aca="false">-S33*Assumptions!$K$44</f>
        <v>-0</v>
      </c>
      <c r="T41" s="41" t="n">
        <f aca="false">-T33*Assumptions!$K$44</f>
        <v>-0</v>
      </c>
      <c r="U41" s="41" t="n">
        <f aca="false">-U33*Assumptions!$K$44</f>
        <v>-0</v>
      </c>
      <c r="V41" s="41" t="n">
        <f aca="false">-V33*Assumptions!$K$44</f>
        <v>-0</v>
      </c>
    </row>
    <row r="42" customFormat="false" ht="15" hidden="false" customHeight="false" outlineLevel="0" collapsed="false">
      <c r="A42" s="99"/>
      <c r="B42" s="65"/>
      <c r="C42" s="41"/>
      <c r="D42" s="41"/>
      <c r="E42" s="41"/>
      <c r="F42" s="41"/>
      <c r="G42" s="41"/>
      <c r="H42" s="41"/>
      <c r="I42" s="41"/>
      <c r="J42" s="41"/>
      <c r="K42" s="41"/>
      <c r="L42" s="41"/>
      <c r="M42" s="41"/>
      <c r="N42" s="41"/>
      <c r="O42" s="41"/>
      <c r="P42" s="41"/>
      <c r="Q42" s="41"/>
      <c r="R42" s="41"/>
      <c r="S42" s="41"/>
      <c r="T42" s="41"/>
      <c r="U42" s="41"/>
      <c r="V42" s="41"/>
    </row>
    <row r="43" customFormat="false" ht="15" hidden="false" customHeight="false" outlineLevel="0" collapsed="false">
      <c r="A43" s="101" t="s">
        <v>263</v>
      </c>
      <c r="B43" s="102" t="s">
        <v>68</v>
      </c>
      <c r="C43" s="103" t="n">
        <f aca="false">C39+C40+C41</f>
        <v>0</v>
      </c>
      <c r="D43" s="103" t="n">
        <f aca="false">D39+D40+D41</f>
        <v>0</v>
      </c>
      <c r="E43" s="103" t="n">
        <f aca="false">E39+E40+E41</f>
        <v>0</v>
      </c>
      <c r="F43" s="103" t="n">
        <f aca="false">F39+F40+F41</f>
        <v>0</v>
      </c>
      <c r="G43" s="103" t="n">
        <f aca="false">G39+G40+G41</f>
        <v>2893.2</v>
      </c>
      <c r="H43" s="103" t="n">
        <f aca="false">H39+H40+H41</f>
        <v>4643.438</v>
      </c>
      <c r="I43" s="103" t="n">
        <f aca="false">I39+I40+I41</f>
        <v>5963.1172</v>
      </c>
      <c r="J43" s="103" t="n">
        <f aca="false">J39+J40+J41</f>
        <v>6384.553628</v>
      </c>
      <c r="K43" s="103" t="n">
        <f aca="false">K39+K40+K41</f>
        <v>6806.63136772001</v>
      </c>
      <c r="L43" s="103" t="n">
        <f aca="false">L39+L40+L41</f>
        <v>7229.39256280281</v>
      </c>
      <c r="M43" s="103" t="n">
        <f aca="false">M39+M40+M41</f>
        <v>7004.64906734059</v>
      </c>
      <c r="N43" s="103" t="n">
        <f aca="false">N39+N40+N41</f>
        <v>6371.70737479858</v>
      </c>
      <c r="O43" s="103" t="n">
        <f aca="false">O39+O40+O41</f>
        <v>5368.92954754552</v>
      </c>
      <c r="P43" s="103" t="n">
        <f aca="false">P39+P40+P41</f>
        <v>4239.05855137799</v>
      </c>
      <c r="Q43" s="103" t="n">
        <f aca="false">Q39+Q40+Q41</f>
        <v>0</v>
      </c>
      <c r="R43" s="103" t="n">
        <f aca="false">R39+R40+R41</f>
        <v>0</v>
      </c>
      <c r="S43" s="103" t="n">
        <f aca="false">S39+S40+S41</f>
        <v>0</v>
      </c>
      <c r="T43" s="103" t="n">
        <f aca="false">T39+T40+T41</f>
        <v>0</v>
      </c>
      <c r="U43" s="103" t="n">
        <f aca="false">U39+U40+U41</f>
        <v>0</v>
      </c>
      <c r="V43" s="103" t="n">
        <f aca="false">V39+V40+V41</f>
        <v>0</v>
      </c>
    </row>
    <row r="44" customFormat="false" ht="15" hidden="false" customHeight="false" outlineLevel="0" collapsed="false">
      <c r="A44" s="99" t="s">
        <v>232</v>
      </c>
      <c r="B44" s="65" t="s">
        <v>68</v>
      </c>
      <c r="C44" s="41" t="n">
        <f aca="false">IF(AND(C29&gt;=1,C29&lt;=Assumptions!$K$55,C29&lt;=Assumptions!$K$47),-$D$7/Assumptions!$K$55,0)</f>
        <v>0</v>
      </c>
      <c r="D44" s="41" t="n">
        <f aca="false">IF(AND(D29&gt;=1,D29&lt;=Assumptions!$K$55,D29&lt;=Assumptions!$K$47),-$D$7/Assumptions!$K$55,0)</f>
        <v>0</v>
      </c>
      <c r="E44" s="41" t="n">
        <f aca="false">IF(AND(E29&gt;=1,E29&lt;=Assumptions!$K$55,E29&lt;=Assumptions!$K$47),-$D$7/Assumptions!$K$55,0)</f>
        <v>0</v>
      </c>
      <c r="F44" s="41" t="n">
        <f aca="false">IF(AND(F29&gt;=1,F29&lt;=Assumptions!$K$55,F29&lt;=Assumptions!$K$47),-$D$7/Assumptions!$K$55,0)</f>
        <v>0</v>
      </c>
      <c r="G44" s="41" t="n">
        <f aca="false">IF(AND(G29&gt;=1,G29&lt;=Assumptions!$K$55,G29&lt;=Assumptions!$K$47),-$D$7/Assumptions!$K$55,0)</f>
        <v>-428.446</v>
      </c>
      <c r="H44" s="41" t="n">
        <f aca="false">IF(AND(H29&gt;=1,H29&lt;=Assumptions!$K$55,H29&lt;=Assumptions!$K$47),-$D$7/Assumptions!$K$55,0)</f>
        <v>-428.446</v>
      </c>
      <c r="I44" s="41" t="n">
        <f aca="false">IF(AND(I29&gt;=1,I29&lt;=Assumptions!$K$55,I29&lt;=Assumptions!$K$47),-$D$7/Assumptions!$K$55,0)</f>
        <v>-428.446</v>
      </c>
      <c r="J44" s="41" t="n">
        <f aca="false">IF(AND(J29&gt;=1,J29&lt;=Assumptions!$K$55,J29&lt;=Assumptions!$K$47),-$D$7/Assumptions!$K$55,0)</f>
        <v>-428.446</v>
      </c>
      <c r="K44" s="41" t="n">
        <f aca="false">IF(AND(K29&gt;=1,K29&lt;=Assumptions!$K$55,K29&lt;=Assumptions!$K$47),-$D$7/Assumptions!$K$55,0)</f>
        <v>-428.446</v>
      </c>
      <c r="L44" s="41" t="n">
        <f aca="false">IF(AND(L29&gt;=1,L29&lt;=Assumptions!$K$55,L29&lt;=Assumptions!$K$47),-$D$7/Assumptions!$K$55,0)</f>
        <v>-428.446</v>
      </c>
      <c r="M44" s="41" t="n">
        <f aca="false">IF(AND(M29&gt;=1,M29&lt;=Assumptions!$K$55,M29&lt;=Assumptions!$K$47),-$D$7/Assumptions!$K$55,0)</f>
        <v>-428.446</v>
      </c>
      <c r="N44" s="41" t="n">
        <f aca="false">IF(AND(N29&gt;=1,N29&lt;=Assumptions!$K$55,N29&lt;=Assumptions!$K$47),-$D$7/Assumptions!$K$55,0)</f>
        <v>-428.446</v>
      </c>
      <c r="O44" s="41" t="n">
        <f aca="false">IF(AND(O29&gt;=1,O29&lt;=Assumptions!$K$55,O29&lt;=Assumptions!$K$47),-$D$7/Assumptions!$K$55,0)</f>
        <v>0</v>
      </c>
      <c r="P44" s="41" t="n">
        <f aca="false">IF(AND(P29&gt;=1,P29&lt;=Assumptions!$K$55,P29&lt;=Assumptions!$K$47),-$D$7/Assumptions!$K$55,0)</f>
        <v>0</v>
      </c>
      <c r="Q44" s="41" t="n">
        <f aca="false">IF(AND(Q29&gt;=1,Q29&lt;=Assumptions!$K$55,Q29&lt;=Assumptions!$K$47),-$D$7/Assumptions!$K$55,0)</f>
        <v>0</v>
      </c>
      <c r="R44" s="41" t="n">
        <f aca="false">IF(AND(R29&gt;=1,R29&lt;=Assumptions!$K$55,R29&lt;=Assumptions!$K$47),-$D$7/Assumptions!$K$55,0)</f>
        <v>0</v>
      </c>
      <c r="S44" s="41" t="n">
        <f aca="false">IF(AND(S29&gt;=1,S29&lt;=Assumptions!$K$55,S29&lt;=Assumptions!$K$47),-$D$7/Assumptions!$K$55,0)</f>
        <v>0</v>
      </c>
      <c r="T44" s="41" t="n">
        <f aca="false">IF(AND(T29&gt;=1,T29&lt;=Assumptions!$K$55,T29&lt;=Assumptions!$K$47),-$D$7/Assumptions!$K$55,0)</f>
        <v>0</v>
      </c>
      <c r="U44" s="41" t="n">
        <f aca="false">IF(AND(U29&gt;=1,U29&lt;=Assumptions!$K$55,U29&lt;=Assumptions!$K$47),-$D$7/Assumptions!$K$55,0)</f>
        <v>0</v>
      </c>
      <c r="V44" s="41" t="n">
        <f aca="false">IF(AND(V29&gt;=1,V29&lt;=Assumptions!$K$55,V29&lt;=Assumptions!$K$47),-$D$7/Assumptions!$K$55,0)</f>
        <v>0</v>
      </c>
    </row>
    <row r="45" customFormat="false" ht="15" hidden="false" customHeight="false" outlineLevel="0" collapsed="false">
      <c r="A45" s="99" t="s">
        <v>264</v>
      </c>
      <c r="B45" s="65" t="s">
        <v>68</v>
      </c>
      <c r="C45" s="41" t="n">
        <f aca="false">IF(AND(C29&gt;=1,C29&lt;=Assumptions!$K$56,C29&lt;=Assumptions!$K$47),-$D$8/Assumptions!$K$56,0)</f>
        <v>0</v>
      </c>
      <c r="D45" s="41" t="n">
        <f aca="false">IF(AND(D29&gt;=1,D29&lt;=Assumptions!$K$56,D29&lt;=Assumptions!$K$47),-$D$8/Assumptions!$K$56,0)</f>
        <v>0</v>
      </c>
      <c r="E45" s="41" t="n">
        <f aca="false">IF(AND(E29&gt;=1,E29&lt;=Assumptions!$K$56,E29&lt;=Assumptions!$K$47),-$D$8/Assumptions!$K$56,0)</f>
        <v>0</v>
      </c>
      <c r="F45" s="41" t="n">
        <f aca="false">IF(AND(F29&gt;=1,F29&lt;=Assumptions!$K$56,F29&lt;=Assumptions!$K$47),-$D$8/Assumptions!$K$56,0)</f>
        <v>0</v>
      </c>
      <c r="G45" s="41" t="n">
        <f aca="false">IF(AND(G29&gt;=1,G29&lt;=Assumptions!$K$56,G29&lt;=Assumptions!$K$47),-$D$8/Assumptions!$K$56,0)</f>
        <v>-453.333333333333</v>
      </c>
      <c r="H45" s="41" t="n">
        <f aca="false">IF(AND(H29&gt;=1,H29&lt;=Assumptions!$K$56,H29&lt;=Assumptions!$K$47),-$D$8/Assumptions!$K$56,0)</f>
        <v>-453.333333333333</v>
      </c>
      <c r="I45" s="41" t="n">
        <f aca="false">IF(AND(I29&gt;=1,I29&lt;=Assumptions!$K$56,I29&lt;=Assumptions!$K$47),-$D$8/Assumptions!$K$56,0)</f>
        <v>-453.333333333333</v>
      </c>
      <c r="J45" s="41" t="n">
        <f aca="false">IF(AND(J29&gt;=1,J29&lt;=Assumptions!$K$56,J29&lt;=Assumptions!$K$47),-$D$8/Assumptions!$K$56,0)</f>
        <v>-453.333333333333</v>
      </c>
      <c r="K45" s="41" t="n">
        <f aca="false">IF(AND(K29&gt;=1,K29&lt;=Assumptions!$K$56,K29&lt;=Assumptions!$K$47),-$D$8/Assumptions!$K$56,0)</f>
        <v>-453.333333333333</v>
      </c>
      <c r="L45" s="41" t="n">
        <f aca="false">IF(AND(L29&gt;=1,L29&lt;=Assumptions!$K$56,L29&lt;=Assumptions!$K$47),-$D$8/Assumptions!$K$56,0)</f>
        <v>-453.333333333333</v>
      </c>
      <c r="M45" s="41" t="n">
        <f aca="false">IF(AND(M29&gt;=1,M29&lt;=Assumptions!$K$56,M29&lt;=Assumptions!$K$47),-$D$8/Assumptions!$K$56,0)</f>
        <v>-453.333333333333</v>
      </c>
      <c r="N45" s="41" t="n">
        <f aca="false">IF(AND(N29&gt;=1,N29&lt;=Assumptions!$K$56,N29&lt;=Assumptions!$K$47),-$D$8/Assumptions!$K$56,0)</f>
        <v>-453.333333333333</v>
      </c>
      <c r="O45" s="41" t="n">
        <f aca="false">IF(AND(O29&gt;=1,O29&lt;=Assumptions!$K$56,O29&lt;=Assumptions!$K$47),-$D$8/Assumptions!$K$56,0)</f>
        <v>-453.333333333333</v>
      </c>
      <c r="P45" s="41" t="n">
        <f aca="false">IF(AND(P29&gt;=1,P29&lt;=Assumptions!$K$56,P29&lt;=Assumptions!$K$47),-$D$8/Assumptions!$K$56,0)</f>
        <v>-453.333333333333</v>
      </c>
      <c r="Q45" s="41" t="n">
        <f aca="false">IF(AND(Q29&gt;=1,Q29&lt;=Assumptions!$K$56,Q29&lt;=Assumptions!$K$47),-$D$8/Assumptions!$K$56,0)</f>
        <v>0</v>
      </c>
      <c r="R45" s="41" t="n">
        <f aca="false">IF(AND(R29&gt;=1,R29&lt;=Assumptions!$K$56,R29&lt;=Assumptions!$K$47),-$D$8/Assumptions!$K$56,0)</f>
        <v>0</v>
      </c>
      <c r="S45" s="41" t="n">
        <f aca="false">IF(AND(S29&gt;=1,S29&lt;=Assumptions!$K$56,S29&lt;=Assumptions!$K$47),-$D$8/Assumptions!$K$56,0)</f>
        <v>0</v>
      </c>
      <c r="T45" s="41" t="n">
        <f aca="false">IF(AND(T29&gt;=1,T29&lt;=Assumptions!$K$56,T29&lt;=Assumptions!$K$47),-$D$8/Assumptions!$K$56,0)</f>
        <v>0</v>
      </c>
      <c r="U45" s="41" t="n">
        <f aca="false">IF(AND(U29&gt;=1,U29&lt;=Assumptions!$K$56,U29&lt;=Assumptions!$K$47),-$D$8/Assumptions!$K$56,0)</f>
        <v>0</v>
      </c>
      <c r="V45" s="41" t="n">
        <f aca="false">IF(AND(V29&gt;=1,V29&lt;=Assumptions!$K$56,V29&lt;=Assumptions!$K$47),-$D$8/Assumptions!$K$56,0)</f>
        <v>0</v>
      </c>
    </row>
    <row r="46" customFormat="false" ht="15" hidden="false" customHeight="false" outlineLevel="0" collapsed="false">
      <c r="A46" s="101" t="s">
        <v>265</v>
      </c>
      <c r="B46" s="102" t="s">
        <v>68</v>
      </c>
      <c r="C46" s="103" t="n">
        <f aca="false">C43+C44+C45</f>
        <v>0</v>
      </c>
      <c r="D46" s="103" t="n">
        <f aca="false">D43+D44+D45</f>
        <v>0</v>
      </c>
      <c r="E46" s="103" t="n">
        <f aca="false">E43+E44+E45</f>
        <v>0</v>
      </c>
      <c r="F46" s="103" t="n">
        <f aca="false">F43+F44+F45</f>
        <v>0</v>
      </c>
      <c r="G46" s="103" t="n">
        <f aca="false">G43+G44+G45</f>
        <v>2011.42066666667</v>
      </c>
      <c r="H46" s="103" t="n">
        <f aca="false">H43+H44+H45</f>
        <v>3761.65866666667</v>
      </c>
      <c r="I46" s="103" t="n">
        <f aca="false">I43+I44+I45</f>
        <v>5081.33786666667</v>
      </c>
      <c r="J46" s="103" t="n">
        <f aca="false">J43+J44+J45</f>
        <v>5502.77429466667</v>
      </c>
      <c r="K46" s="103" t="n">
        <f aca="false">K43+K44+K45</f>
        <v>5924.85203438667</v>
      </c>
      <c r="L46" s="103" t="n">
        <f aca="false">L43+L44+L45</f>
        <v>6347.61322946948</v>
      </c>
      <c r="M46" s="103" t="n">
        <f aca="false">M43+M44+M45</f>
        <v>6122.86973400725</v>
      </c>
      <c r="N46" s="103" t="n">
        <f aca="false">N43+N44+N45</f>
        <v>5489.92804146525</v>
      </c>
      <c r="O46" s="103" t="n">
        <f aca="false">O43+O44+O45</f>
        <v>4915.59621421219</v>
      </c>
      <c r="P46" s="103" t="n">
        <f aca="false">P43+P44+P45</f>
        <v>3785.72521804466</v>
      </c>
      <c r="Q46" s="103" t="n">
        <f aca="false">Q43+Q44+Q45</f>
        <v>0</v>
      </c>
      <c r="R46" s="103" t="n">
        <f aca="false">R43+R44+R45</f>
        <v>0</v>
      </c>
      <c r="S46" s="103" t="n">
        <f aca="false">S43+S44+S45</f>
        <v>0</v>
      </c>
      <c r="T46" s="103" t="n">
        <f aca="false">T43+T44+T45</f>
        <v>0</v>
      </c>
      <c r="U46" s="103" t="n">
        <f aca="false">U43+U44+U45</f>
        <v>0</v>
      </c>
      <c r="V46" s="103" t="n">
        <f aca="false">V43+V44+V45</f>
        <v>0</v>
      </c>
    </row>
    <row r="47" customFormat="false" ht="15" hidden="false" customHeight="false" outlineLevel="0" collapsed="false">
      <c r="A47" s="99" t="s">
        <v>266</v>
      </c>
      <c r="B47" s="65" t="s">
        <v>68</v>
      </c>
      <c r="C47" s="41" t="n">
        <f aca="false">-MAX(0,C46)*Assumptions!$K$54</f>
        <v>-0</v>
      </c>
      <c r="D47" s="41" t="n">
        <f aca="false">-MAX(0,D46)*Assumptions!$K$54</f>
        <v>-0</v>
      </c>
      <c r="E47" s="41" t="n">
        <f aca="false">-MAX(0,E46)*Assumptions!$K$54</f>
        <v>-0</v>
      </c>
      <c r="F47" s="41" t="n">
        <f aca="false">-MAX(0,F46)*Assumptions!$K$54</f>
        <v>-0</v>
      </c>
      <c r="G47" s="41" t="n">
        <f aca="false">-MAX(0,G46)*Assumptions!$K$54</f>
        <v>-506.878008000001</v>
      </c>
      <c r="H47" s="41" t="n">
        <f aca="false">-MAX(0,H46)*Assumptions!$K$54</f>
        <v>-947.937984000001</v>
      </c>
      <c r="I47" s="41" t="n">
        <f aca="false">-MAX(0,I46)*Assumptions!$K$54</f>
        <v>-1280.4971424</v>
      </c>
      <c r="J47" s="41" t="n">
        <f aca="false">-MAX(0,J46)*Assumptions!$K$54</f>
        <v>-1386.699122256</v>
      </c>
      <c r="K47" s="41" t="n">
        <f aca="false">-MAX(0,K46)*Assumptions!$K$54</f>
        <v>-1493.06271266544</v>
      </c>
      <c r="L47" s="41" t="n">
        <f aca="false">-MAX(0,L46)*Assumptions!$K$54</f>
        <v>-1599.59853382631</v>
      </c>
      <c r="M47" s="41" t="n">
        <f aca="false">-MAX(0,M46)*Assumptions!$K$54</f>
        <v>-1542.96317296983</v>
      </c>
      <c r="N47" s="41" t="n">
        <f aca="false">-MAX(0,N46)*Assumptions!$K$54</f>
        <v>-1383.46186644924</v>
      </c>
      <c r="O47" s="41" t="n">
        <f aca="false">-MAX(0,O46)*Assumptions!$K$54</f>
        <v>-1238.73024598147</v>
      </c>
      <c r="P47" s="41" t="n">
        <f aca="false">-MAX(0,P46)*Assumptions!$K$54</f>
        <v>-954.002754947255</v>
      </c>
      <c r="Q47" s="41" t="n">
        <f aca="false">-MAX(0,Q46)*Assumptions!$K$54</f>
        <v>-0</v>
      </c>
      <c r="R47" s="41" t="n">
        <f aca="false">-MAX(0,R46)*Assumptions!$K$54</f>
        <v>-0</v>
      </c>
      <c r="S47" s="41" t="n">
        <f aca="false">-MAX(0,S46)*Assumptions!$K$54</f>
        <v>-0</v>
      </c>
      <c r="T47" s="41" t="n">
        <f aca="false">-MAX(0,T46)*Assumptions!$K$54</f>
        <v>-0</v>
      </c>
      <c r="U47" s="41" t="n">
        <f aca="false">-MAX(0,U46)*Assumptions!$K$54</f>
        <v>-0</v>
      </c>
      <c r="V47" s="41" t="n">
        <f aca="false">-MAX(0,V46)*Assumptions!$K$54</f>
        <v>-0</v>
      </c>
    </row>
    <row r="48" customFormat="false" ht="15" hidden="false" customHeight="false" outlineLevel="0" collapsed="false">
      <c r="A48" s="63" t="s">
        <v>267</v>
      </c>
      <c r="B48" s="65" t="s">
        <v>46</v>
      </c>
      <c r="C48" s="100" t="n">
        <f aca="false">IF(AND(C54&gt;0,C30&gt;0),C27,999)</f>
        <v>999</v>
      </c>
      <c r="D48" s="100" t="n">
        <f aca="false">IF(AND(D54&gt;0,D30&gt;0),D27,999)</f>
        <v>999</v>
      </c>
      <c r="E48" s="100" t="n">
        <f aca="false">IF(AND(E54&gt;0,E30&gt;0),E27,999)</f>
        <v>999</v>
      </c>
      <c r="F48" s="100" t="n">
        <f aca="false">IF(AND(F54&gt;0,F30&gt;0),F27,999)</f>
        <v>999</v>
      </c>
      <c r="G48" s="100" t="n">
        <f aca="false">IF(AND(G54&gt;0,G30&gt;0),G27,999)</f>
        <v>999</v>
      </c>
      <c r="H48" s="100" t="n">
        <f aca="false">IF(AND(H54&gt;0,H30&gt;0),H27,999)</f>
        <v>999</v>
      </c>
      <c r="I48" s="100" t="n">
        <f aca="false">IF(AND(I54&gt;0,I30&gt;0),I27,999)</f>
        <v>7</v>
      </c>
      <c r="J48" s="100" t="n">
        <f aca="false">IF(AND(J54&gt;0,J30&gt;0),J27,999)</f>
        <v>8</v>
      </c>
      <c r="K48" s="100" t="n">
        <f aca="false">IF(AND(K54&gt;0,K30&gt;0),K27,999)</f>
        <v>9</v>
      </c>
      <c r="L48" s="100" t="n">
        <f aca="false">IF(AND(L54&gt;0,L30&gt;0),L27,999)</f>
        <v>10</v>
      </c>
      <c r="M48" s="100" t="n">
        <f aca="false">IF(AND(M54&gt;0,M30&gt;0),M27,999)</f>
        <v>11</v>
      </c>
      <c r="N48" s="100" t="n">
        <f aca="false">IF(AND(N54&gt;0,N30&gt;0),N27,999)</f>
        <v>12</v>
      </c>
      <c r="O48" s="100" t="n">
        <f aca="false">IF(AND(O54&gt;0,O30&gt;0),O27,999)</f>
        <v>13</v>
      </c>
      <c r="P48" s="100" t="n">
        <f aca="false">IF(AND(P54&gt;0,P30&gt;0),P27,999)</f>
        <v>14</v>
      </c>
      <c r="Q48" s="100" t="n">
        <f aca="false">IF(AND(Q54&gt;0,Q30&gt;0),Q27,999)</f>
        <v>999</v>
      </c>
      <c r="R48" s="100" t="n">
        <f aca="false">IF(AND(R54&gt;0,R30&gt;0),R27,999)</f>
        <v>999</v>
      </c>
      <c r="S48" s="100" t="n">
        <f aca="false">IF(AND(S54&gt;0,S30&gt;0),S27,999)</f>
        <v>999</v>
      </c>
      <c r="T48" s="100" t="n">
        <f aca="false">IF(AND(T54&gt;0,T30&gt;0),T27,999)</f>
        <v>999</v>
      </c>
      <c r="U48" s="100" t="n">
        <f aca="false">IF(AND(U54&gt;0,U30&gt;0),U27,999)</f>
        <v>999</v>
      </c>
      <c r="V48" s="100" t="n">
        <f aca="false">IF(AND(V54&gt;0,V30&gt;0),V27,999)</f>
        <v>999</v>
      </c>
    </row>
    <row r="49" customFormat="false" ht="15" hidden="false" customHeight="false" outlineLevel="0" collapsed="false">
      <c r="A49" s="99" t="s">
        <v>268</v>
      </c>
      <c r="B49" s="65" t="s">
        <v>68</v>
      </c>
      <c r="C49" s="41" t="n">
        <f aca="false">C46+C47</f>
        <v>0</v>
      </c>
      <c r="D49" s="41" t="n">
        <f aca="false">D46+D47</f>
        <v>0</v>
      </c>
      <c r="E49" s="41" t="n">
        <f aca="false">E46+E47</f>
        <v>0</v>
      </c>
      <c r="F49" s="41" t="n">
        <f aca="false">F46+F47</f>
        <v>0</v>
      </c>
      <c r="G49" s="41" t="n">
        <f aca="false">G46+G47</f>
        <v>1504.54265866667</v>
      </c>
      <c r="H49" s="41" t="n">
        <f aca="false">H46+H47</f>
        <v>2813.72068266667</v>
      </c>
      <c r="I49" s="41" t="n">
        <f aca="false">I46+I47</f>
        <v>3800.84072426667</v>
      </c>
      <c r="J49" s="41" t="n">
        <f aca="false">J46+J47</f>
        <v>4116.07517241067</v>
      </c>
      <c r="K49" s="41" t="n">
        <f aca="false">K46+K47</f>
        <v>4431.78932172123</v>
      </c>
      <c r="L49" s="41" t="n">
        <f aca="false">L46+L47</f>
        <v>4748.01469564317</v>
      </c>
      <c r="M49" s="41" t="n">
        <f aca="false">M46+M47</f>
        <v>4579.90656103743</v>
      </c>
      <c r="N49" s="41" t="n">
        <f aca="false">N46+N47</f>
        <v>4106.46617501601</v>
      </c>
      <c r="O49" s="41" t="n">
        <f aca="false">O46+O47</f>
        <v>3676.86596823072</v>
      </c>
      <c r="P49" s="41" t="n">
        <f aca="false">P46+P47</f>
        <v>2831.72246309741</v>
      </c>
      <c r="Q49" s="41" t="n">
        <f aca="false">Q46+Q47</f>
        <v>0</v>
      </c>
      <c r="R49" s="41" t="n">
        <f aca="false">R46+R47</f>
        <v>0</v>
      </c>
      <c r="S49" s="41" t="n">
        <f aca="false">S46+S47</f>
        <v>0</v>
      </c>
      <c r="T49" s="41" t="n">
        <f aca="false">T46+T47</f>
        <v>0</v>
      </c>
      <c r="U49" s="41" t="n">
        <f aca="false">U46+U47</f>
        <v>0</v>
      </c>
      <c r="V49" s="41" t="n">
        <f aca="false">V46+V47</f>
        <v>0</v>
      </c>
    </row>
    <row r="50" customFormat="false" ht="15" hidden="false" customHeight="false" outlineLevel="0" collapsed="false">
      <c r="A50" s="99" t="s">
        <v>269</v>
      </c>
      <c r="B50" s="65" t="s">
        <v>68</v>
      </c>
      <c r="C50" s="41" t="n">
        <f aca="false">-C44-C45</f>
        <v>-0</v>
      </c>
      <c r="D50" s="41" t="n">
        <f aca="false">-D44-D45</f>
        <v>-0</v>
      </c>
      <c r="E50" s="41" t="n">
        <f aca="false">-E44-E45</f>
        <v>-0</v>
      </c>
      <c r="F50" s="41" t="n">
        <f aca="false">-F44-F45</f>
        <v>-0</v>
      </c>
      <c r="G50" s="41" t="n">
        <f aca="false">-G44-G45</f>
        <v>881.779333333333</v>
      </c>
      <c r="H50" s="41" t="n">
        <f aca="false">-H44-H45</f>
        <v>881.779333333333</v>
      </c>
      <c r="I50" s="41" t="n">
        <f aca="false">-I44-I45</f>
        <v>881.779333333333</v>
      </c>
      <c r="J50" s="41" t="n">
        <f aca="false">-J44-J45</f>
        <v>881.779333333333</v>
      </c>
      <c r="K50" s="41" t="n">
        <f aca="false">-K44-K45</f>
        <v>881.779333333333</v>
      </c>
      <c r="L50" s="41" t="n">
        <f aca="false">-L44-L45</f>
        <v>881.779333333333</v>
      </c>
      <c r="M50" s="41" t="n">
        <f aca="false">-M44-M45</f>
        <v>881.779333333333</v>
      </c>
      <c r="N50" s="41" t="n">
        <f aca="false">-N44-N45</f>
        <v>881.779333333333</v>
      </c>
      <c r="O50" s="41" t="n">
        <f aca="false">-O44-O45</f>
        <v>453.333333333333</v>
      </c>
      <c r="P50" s="41" t="n">
        <f aca="false">-P44-P45</f>
        <v>453.333333333333</v>
      </c>
      <c r="Q50" s="41" t="n">
        <f aca="false">-Q44-Q45</f>
        <v>-0</v>
      </c>
      <c r="R50" s="41" t="n">
        <f aca="false">-R44-R45</f>
        <v>-0</v>
      </c>
      <c r="S50" s="41" t="n">
        <f aca="false">-S44-S45</f>
        <v>-0</v>
      </c>
      <c r="T50" s="41" t="n">
        <f aca="false">-T44-T45</f>
        <v>-0</v>
      </c>
      <c r="U50" s="41" t="n">
        <f aca="false">-U44-U45</f>
        <v>-0</v>
      </c>
      <c r="V50" s="41" t="n">
        <f aca="false">-V44-V45</f>
        <v>-0</v>
      </c>
    </row>
    <row r="51" customFormat="false" ht="15" hidden="false" customHeight="false" outlineLevel="0" collapsed="false">
      <c r="A51" s="99" t="s">
        <v>270</v>
      </c>
      <c r="B51" s="65" t="s">
        <v>68</v>
      </c>
      <c r="C51" s="41" t="n">
        <f aca="false">IF(C28&gt;0,-$D$7/ROUNDUP(Assumptions!$K$48,0),0)</f>
        <v>-856.892</v>
      </c>
      <c r="D51" s="41" t="n">
        <f aca="false">IF(D28&gt;0,-$D$7/ROUNDUP(Assumptions!$K$48,0),0)</f>
        <v>-856.892</v>
      </c>
      <c r="E51" s="41" t="n">
        <f aca="false">IF(E28&gt;0,-$D$7/ROUNDUP(Assumptions!$K$48,0),0)</f>
        <v>-856.892</v>
      </c>
      <c r="F51" s="41" t="n">
        <f aca="false">IF(F28&gt;0,-$D$7/ROUNDUP(Assumptions!$K$48,0),0)</f>
        <v>-856.892</v>
      </c>
      <c r="G51" s="41" t="n">
        <f aca="false">IF(G28&gt;0,-$D$7/ROUNDUP(Assumptions!$K$48,0),0)</f>
        <v>0</v>
      </c>
      <c r="H51" s="41" t="n">
        <f aca="false">IF(H28&gt;0,-$D$7/ROUNDUP(Assumptions!$K$48,0),0)</f>
        <v>0</v>
      </c>
      <c r="I51" s="41" t="n">
        <f aca="false">IF(I28&gt;0,-$D$7/ROUNDUP(Assumptions!$K$48,0),0)</f>
        <v>0</v>
      </c>
      <c r="J51" s="41" t="n">
        <f aca="false">IF(J28&gt;0,-$D$7/ROUNDUP(Assumptions!$K$48,0),0)</f>
        <v>0</v>
      </c>
      <c r="K51" s="41" t="n">
        <f aca="false">IF(K28&gt;0,-$D$7/ROUNDUP(Assumptions!$K$48,0),0)</f>
        <v>0</v>
      </c>
      <c r="L51" s="41" t="n">
        <f aca="false">IF(L28&gt;0,-$D$7/ROUNDUP(Assumptions!$K$48,0),0)</f>
        <v>0</v>
      </c>
      <c r="M51" s="41" t="n">
        <f aca="false">IF(M28&gt;0,-$D$7/ROUNDUP(Assumptions!$K$48,0),0)</f>
        <v>0</v>
      </c>
      <c r="N51" s="41" t="n">
        <f aca="false">IF(N28&gt;0,-$D$7/ROUNDUP(Assumptions!$K$48,0),0)</f>
        <v>0</v>
      </c>
      <c r="O51" s="41" t="n">
        <f aca="false">IF(O28&gt;0,-$D$7/ROUNDUP(Assumptions!$K$48,0),0)</f>
        <v>0</v>
      </c>
      <c r="P51" s="41" t="n">
        <f aca="false">IF(P28&gt;0,-$D$7/ROUNDUP(Assumptions!$K$48,0),0)</f>
        <v>0</v>
      </c>
      <c r="Q51" s="41" t="n">
        <f aca="false">IF(Q28&gt;0,-$D$7/ROUNDUP(Assumptions!$K$48,0),0)</f>
        <v>0</v>
      </c>
      <c r="R51" s="41" t="n">
        <f aca="false">IF(R28&gt;0,-$D$7/ROUNDUP(Assumptions!$K$48,0),0)</f>
        <v>0</v>
      </c>
      <c r="S51" s="41" t="n">
        <f aca="false">IF(S28&gt;0,-$D$7/ROUNDUP(Assumptions!$K$48,0),0)</f>
        <v>0</v>
      </c>
      <c r="T51" s="41" t="n">
        <f aca="false">IF(T28&gt;0,-$D$7/ROUNDUP(Assumptions!$K$48,0),0)</f>
        <v>0</v>
      </c>
      <c r="U51" s="41" t="n">
        <f aca="false">IF(U28&gt;0,-$D$7/ROUNDUP(Assumptions!$K$48,0),0)</f>
        <v>0</v>
      </c>
      <c r="V51" s="41" t="n">
        <f aca="false">IF(V28&gt;0,-$D$7/ROUNDUP(Assumptions!$K$48,0),0)</f>
        <v>0</v>
      </c>
    </row>
    <row r="52" customFormat="false" ht="15" hidden="false" customHeight="false" outlineLevel="0" collapsed="false">
      <c r="A52" s="99" t="s">
        <v>271</v>
      </c>
      <c r="B52" s="65" t="s">
        <v>68</v>
      </c>
      <c r="C52" s="41" t="n">
        <f aca="false">IF(AND(C28&gt;0,C28&gt;ROUNDUP(Assumptions!$K$48,0)-MIN(2,ROUNDUP(Assumptions!$K$48,0))),-$D$8/MIN(2,ROUNDUP(Assumptions!$K$48,0)),0)</f>
        <v>0</v>
      </c>
      <c r="D52" s="41" t="n">
        <f aca="false">IF(AND(D28&gt;0,D28&gt;ROUNDUP(Assumptions!$K$48,0)-MIN(2,ROUNDUP(Assumptions!$K$48,0))),-$D$8/MIN(2,ROUNDUP(Assumptions!$K$48,0)),0)</f>
        <v>0</v>
      </c>
      <c r="E52" s="41" t="n">
        <f aca="false">IF(AND(E28&gt;0,E28&gt;ROUNDUP(Assumptions!$K$48,0)-MIN(2,ROUNDUP(Assumptions!$K$48,0))),-$D$8/MIN(2,ROUNDUP(Assumptions!$K$48,0)),0)</f>
        <v>-3400</v>
      </c>
      <c r="F52" s="41" t="n">
        <f aca="false">IF(AND(F28&gt;0,F28&gt;ROUNDUP(Assumptions!$K$48,0)-MIN(2,ROUNDUP(Assumptions!$K$48,0))),-$D$8/MIN(2,ROUNDUP(Assumptions!$K$48,0)),0)</f>
        <v>-3400</v>
      </c>
      <c r="G52" s="41" t="n">
        <f aca="false">IF(AND(G28&gt;0,G28&gt;ROUNDUP(Assumptions!$K$48,0)-MIN(2,ROUNDUP(Assumptions!$K$48,0))),-$D$8/MIN(2,ROUNDUP(Assumptions!$K$48,0)),0)</f>
        <v>0</v>
      </c>
      <c r="H52" s="41" t="n">
        <f aca="false">IF(AND(H28&gt;0,H28&gt;ROUNDUP(Assumptions!$K$48,0)-MIN(2,ROUNDUP(Assumptions!$K$48,0))),-$D$8/MIN(2,ROUNDUP(Assumptions!$K$48,0)),0)</f>
        <v>0</v>
      </c>
      <c r="I52" s="41" t="n">
        <f aca="false">IF(AND(I28&gt;0,I28&gt;ROUNDUP(Assumptions!$K$48,0)-MIN(2,ROUNDUP(Assumptions!$K$48,0))),-$D$8/MIN(2,ROUNDUP(Assumptions!$K$48,0)),0)</f>
        <v>0</v>
      </c>
      <c r="J52" s="41" t="n">
        <f aca="false">IF(AND(J28&gt;0,J28&gt;ROUNDUP(Assumptions!$K$48,0)-MIN(2,ROUNDUP(Assumptions!$K$48,0))),-$D$8/MIN(2,ROUNDUP(Assumptions!$K$48,0)),0)</f>
        <v>0</v>
      </c>
      <c r="K52" s="41" t="n">
        <f aca="false">IF(AND(K28&gt;0,K28&gt;ROUNDUP(Assumptions!$K$48,0)-MIN(2,ROUNDUP(Assumptions!$K$48,0))),-$D$8/MIN(2,ROUNDUP(Assumptions!$K$48,0)),0)</f>
        <v>0</v>
      </c>
      <c r="L52" s="41" t="n">
        <f aca="false">IF(AND(L28&gt;0,L28&gt;ROUNDUP(Assumptions!$K$48,0)-MIN(2,ROUNDUP(Assumptions!$K$48,0))),-$D$8/MIN(2,ROUNDUP(Assumptions!$K$48,0)),0)</f>
        <v>0</v>
      </c>
      <c r="M52" s="41" t="n">
        <f aca="false">IF(AND(M28&gt;0,M28&gt;ROUNDUP(Assumptions!$K$48,0)-MIN(2,ROUNDUP(Assumptions!$K$48,0))),-$D$8/MIN(2,ROUNDUP(Assumptions!$K$48,0)),0)</f>
        <v>0</v>
      </c>
      <c r="N52" s="41" t="n">
        <f aca="false">IF(AND(N28&gt;0,N28&gt;ROUNDUP(Assumptions!$K$48,0)-MIN(2,ROUNDUP(Assumptions!$K$48,0))),-$D$8/MIN(2,ROUNDUP(Assumptions!$K$48,0)),0)</f>
        <v>0</v>
      </c>
      <c r="O52" s="41" t="n">
        <f aca="false">IF(AND(O28&gt;0,O28&gt;ROUNDUP(Assumptions!$K$48,0)-MIN(2,ROUNDUP(Assumptions!$K$48,0))),-$D$8/MIN(2,ROUNDUP(Assumptions!$K$48,0)),0)</f>
        <v>0</v>
      </c>
      <c r="P52" s="41" t="n">
        <f aca="false">IF(AND(P28&gt;0,P28&gt;ROUNDUP(Assumptions!$K$48,0)-MIN(2,ROUNDUP(Assumptions!$K$48,0))),-$D$8/MIN(2,ROUNDUP(Assumptions!$K$48,0)),0)</f>
        <v>0</v>
      </c>
      <c r="Q52" s="41" t="n">
        <f aca="false">IF(AND(Q28&gt;0,Q28&gt;ROUNDUP(Assumptions!$K$48,0)-MIN(2,ROUNDUP(Assumptions!$K$48,0))),-$D$8/MIN(2,ROUNDUP(Assumptions!$K$48,0)),0)</f>
        <v>0</v>
      </c>
      <c r="R52" s="41" t="n">
        <f aca="false">IF(AND(R28&gt;0,R28&gt;ROUNDUP(Assumptions!$K$48,0)-MIN(2,ROUNDUP(Assumptions!$K$48,0))),-$D$8/MIN(2,ROUNDUP(Assumptions!$K$48,0)),0)</f>
        <v>0</v>
      </c>
      <c r="S52" s="41" t="n">
        <f aca="false">IF(AND(S28&gt;0,S28&gt;ROUNDUP(Assumptions!$K$48,0)-MIN(2,ROUNDUP(Assumptions!$K$48,0))),-$D$8/MIN(2,ROUNDUP(Assumptions!$K$48,0)),0)</f>
        <v>0</v>
      </c>
      <c r="T52" s="41" t="n">
        <f aca="false">IF(AND(T28&gt;0,T28&gt;ROUNDUP(Assumptions!$K$48,0)-MIN(2,ROUNDUP(Assumptions!$K$48,0))),-$D$8/MIN(2,ROUNDUP(Assumptions!$K$48,0)),0)</f>
        <v>0</v>
      </c>
      <c r="U52" s="41" t="n">
        <f aca="false">IF(AND(U28&gt;0,U28&gt;ROUNDUP(Assumptions!$K$48,0)-MIN(2,ROUNDUP(Assumptions!$K$48,0))),-$D$8/MIN(2,ROUNDUP(Assumptions!$K$48,0)),0)</f>
        <v>0</v>
      </c>
      <c r="V52" s="41" t="n">
        <f aca="false">IF(AND(V28&gt;0,V28&gt;ROUNDUP(Assumptions!$K$48,0)-MIN(2,ROUNDUP(Assumptions!$K$48,0))),-$D$8/MIN(2,ROUNDUP(Assumptions!$K$48,0)),0)</f>
        <v>0</v>
      </c>
    </row>
    <row r="53" customFormat="false" ht="15" hidden="false" customHeight="false" outlineLevel="0" collapsed="false">
      <c r="A53" s="104" t="s">
        <v>272</v>
      </c>
      <c r="B53" s="105" t="s">
        <v>68</v>
      </c>
      <c r="C53" s="106" t="n">
        <f aca="false">C49+C50+C51+C52</f>
        <v>-856.892</v>
      </c>
      <c r="D53" s="106" t="n">
        <f aca="false">D49+D50+D51+D52</f>
        <v>-856.892</v>
      </c>
      <c r="E53" s="106" t="n">
        <f aca="false">E49+E50+E51+E52</f>
        <v>-4256.892</v>
      </c>
      <c r="F53" s="106" t="n">
        <f aca="false">F49+F50+F51+F52</f>
        <v>-4256.892</v>
      </c>
      <c r="G53" s="106" t="n">
        <f aca="false">G49+G50+G51+G52</f>
        <v>2386.321992</v>
      </c>
      <c r="H53" s="106" t="n">
        <f aca="false">H49+H50+H51+H52</f>
        <v>3695.500016</v>
      </c>
      <c r="I53" s="106" t="n">
        <f aca="false">I49+I50+I51+I52</f>
        <v>4682.6200576</v>
      </c>
      <c r="J53" s="106" t="n">
        <f aca="false">J49+J50+J51+J52</f>
        <v>4997.854505744</v>
      </c>
      <c r="K53" s="106" t="n">
        <f aca="false">K49+K50+K51+K52</f>
        <v>5313.56865505456</v>
      </c>
      <c r="L53" s="106" t="n">
        <f aca="false">L49+L50+L51+L52</f>
        <v>5629.7940289765</v>
      </c>
      <c r="M53" s="106" t="n">
        <f aca="false">M49+M50+M51+M52</f>
        <v>5461.68589437076</v>
      </c>
      <c r="N53" s="106" t="n">
        <f aca="false">N49+N50+N51+N52</f>
        <v>4988.24550834934</v>
      </c>
      <c r="O53" s="106" t="n">
        <f aca="false">O49+O50+O51+O52</f>
        <v>4130.19930156405</v>
      </c>
      <c r="P53" s="106" t="n">
        <f aca="false">P49+P50+P51+P52</f>
        <v>3285.05579643074</v>
      </c>
      <c r="Q53" s="106" t="n">
        <f aca="false">Q49+Q50+Q51+Q52</f>
        <v>0</v>
      </c>
      <c r="R53" s="106" t="n">
        <f aca="false">R49+R50+R51+R52</f>
        <v>0</v>
      </c>
      <c r="S53" s="106" t="n">
        <f aca="false">S49+S50+S51+S52</f>
        <v>0</v>
      </c>
      <c r="T53" s="106" t="n">
        <f aca="false">T49+T50+T51+T52</f>
        <v>0</v>
      </c>
      <c r="U53" s="106" t="n">
        <f aca="false">U49+U50+U51+U52</f>
        <v>0</v>
      </c>
      <c r="V53" s="106" t="n">
        <f aca="false">V49+V50+V51+V52</f>
        <v>0</v>
      </c>
    </row>
    <row r="54" customFormat="false" ht="15" hidden="false" customHeight="false" outlineLevel="0" collapsed="false">
      <c r="A54" s="32" t="s">
        <v>273</v>
      </c>
      <c r="B54" s="65" t="s">
        <v>68</v>
      </c>
      <c r="C54" s="43" t="n">
        <f aca="false">C53</f>
        <v>-856.892</v>
      </c>
      <c r="D54" s="43" t="n">
        <f aca="false">C54+D53</f>
        <v>-1713.784</v>
      </c>
      <c r="E54" s="43" t="n">
        <f aca="false">D54+E53</f>
        <v>-5970.676</v>
      </c>
      <c r="F54" s="43" t="n">
        <f aca="false">E54+F53</f>
        <v>-10227.568</v>
      </c>
      <c r="G54" s="43" t="n">
        <f aca="false">F54+G53</f>
        <v>-7841.246008</v>
      </c>
      <c r="H54" s="43" t="n">
        <f aca="false">G54+H53</f>
        <v>-4145.745992</v>
      </c>
      <c r="I54" s="43" t="n">
        <f aca="false">H54+I53</f>
        <v>536.874065600005</v>
      </c>
      <c r="J54" s="43" t="n">
        <f aca="false">I54+J53</f>
        <v>5534.72857134401</v>
      </c>
      <c r="K54" s="43" t="n">
        <f aca="false">J54+K53</f>
        <v>10848.2972263986</v>
      </c>
      <c r="L54" s="43" t="n">
        <f aca="false">K54+L53</f>
        <v>16478.0912553751</v>
      </c>
      <c r="M54" s="43" t="n">
        <f aca="false">L54+M53</f>
        <v>21939.7771497458</v>
      </c>
      <c r="N54" s="43" t="n">
        <f aca="false">M54+N53</f>
        <v>26928.0226580952</v>
      </c>
      <c r="O54" s="43" t="n">
        <f aca="false">N54+O53</f>
        <v>31058.2219596592</v>
      </c>
      <c r="P54" s="43" t="n">
        <f aca="false">O54+P53</f>
        <v>34343.27775609</v>
      </c>
      <c r="Q54" s="43" t="n">
        <f aca="false">P54+Q53</f>
        <v>34343.27775609</v>
      </c>
      <c r="R54" s="43" t="n">
        <f aca="false">Q54+R53</f>
        <v>34343.27775609</v>
      </c>
      <c r="S54" s="43" t="n">
        <f aca="false">R54+S53</f>
        <v>34343.27775609</v>
      </c>
      <c r="T54" s="43" t="n">
        <f aca="false">S54+T53</f>
        <v>34343.27775609</v>
      </c>
      <c r="U54" s="43" t="n">
        <f aca="false">T54+U53</f>
        <v>34343.27775609</v>
      </c>
      <c r="V54" s="43" t="n">
        <f aca="false">U54+V53</f>
        <v>34343.27775609</v>
      </c>
    </row>
    <row r="55" customFormat="false" ht="15" hidden="false" customHeight="false" outlineLevel="0" collapsed="false">
      <c r="A55" s="99" t="s">
        <v>274</v>
      </c>
      <c r="B55" s="65" t="s">
        <v>58</v>
      </c>
      <c r="C55" s="107" t="n">
        <f aca="false">1/(1+Assumptions!$K$53)^C27</f>
        <v>0.900900900900901</v>
      </c>
      <c r="D55" s="107" t="n">
        <f aca="false">1/(1+Assumptions!$K$53)^D27</f>
        <v>0.811622433244055</v>
      </c>
      <c r="E55" s="107" t="n">
        <f aca="false">1/(1+Assumptions!$K$53)^E27</f>
        <v>0.73119138130095</v>
      </c>
      <c r="F55" s="107" t="n">
        <f aca="false">1/(1+Assumptions!$K$53)^F27</f>
        <v>0.658730974145</v>
      </c>
      <c r="G55" s="107" t="n">
        <f aca="false">1/(1+Assumptions!$K$53)^G27</f>
        <v>0.593451328058559</v>
      </c>
      <c r="H55" s="107" t="n">
        <f aca="false">1/(1+Assumptions!$K$53)^H27</f>
        <v>0.534640836088791</v>
      </c>
      <c r="I55" s="107" t="n">
        <f aca="false">1/(1+Assumptions!$K$53)^I27</f>
        <v>0.481658410890803</v>
      </c>
      <c r="J55" s="107" t="n">
        <f aca="false">1/(1+Assumptions!$K$53)^J27</f>
        <v>0.433926496298021</v>
      </c>
      <c r="K55" s="107" t="n">
        <f aca="false">1/(1+Assumptions!$K$53)^K27</f>
        <v>0.390924771439658</v>
      </c>
      <c r="L55" s="107" t="n">
        <f aca="false">1/(1+Assumptions!$K$53)^L27</f>
        <v>0.352184478774467</v>
      </c>
      <c r="M55" s="107" t="n">
        <f aca="false">1/(1+Assumptions!$K$53)^M27</f>
        <v>0.317283314211231</v>
      </c>
      <c r="N55" s="107" t="n">
        <f aca="false">1/(1+Assumptions!$K$53)^N27</f>
        <v>0.285840823613722</v>
      </c>
      <c r="O55" s="107" t="n">
        <f aca="false">1/(1+Assumptions!$K$53)^O27</f>
        <v>0.257514255507858</v>
      </c>
      <c r="P55" s="107" t="n">
        <f aca="false">1/(1+Assumptions!$K$53)^P27</f>
        <v>0.231994824781854</v>
      </c>
      <c r="Q55" s="107" t="n">
        <f aca="false">1/(1+Assumptions!$K$53)^Q27</f>
        <v>0.209004346650319</v>
      </c>
      <c r="R55" s="107" t="n">
        <f aca="false">1/(1+Assumptions!$K$53)^R27</f>
        <v>0.188292204189476</v>
      </c>
      <c r="S55" s="107" t="n">
        <f aca="false">1/(1+Assumptions!$K$53)^S27</f>
        <v>0.169632616386915</v>
      </c>
      <c r="T55" s="107" t="n">
        <f aca="false">1/(1+Assumptions!$K$53)^T27</f>
        <v>0.152822176925149</v>
      </c>
      <c r="U55" s="107" t="n">
        <f aca="false">1/(1+Assumptions!$K$53)^U27</f>
        <v>0.137677636869504</v>
      </c>
      <c r="V55" s="107" t="n">
        <f aca="false">1/(1+Assumptions!$K$53)^V27</f>
        <v>0.124033907089643</v>
      </c>
    </row>
    <row r="56" customFormat="false" ht="15" hidden="false" customHeight="false" outlineLevel="0" collapsed="false">
      <c r="A56" s="99" t="s">
        <v>275</v>
      </c>
      <c r="B56" s="65" t="s">
        <v>68</v>
      </c>
      <c r="C56" s="41" t="n">
        <f aca="false">C53*C55</f>
        <v>-771.974774774775</v>
      </c>
      <c r="D56" s="41" t="n">
        <f aca="false">D53*D55</f>
        <v>-695.472770067365</v>
      </c>
      <c r="E56" s="41" t="n">
        <f aca="false">E53*E55</f>
        <v>-3112.60274152896</v>
      </c>
      <c r="F56" s="41" t="n">
        <f aca="false">F53*F55</f>
        <v>-2804.14661399006</v>
      </c>
      <c r="G56" s="41" t="n">
        <f aca="false">G53*G55</f>
        <v>1416.16595532775</v>
      </c>
      <c r="H56" s="41" t="n">
        <f aca="false">H53*H55</f>
        <v>1975.76521832038</v>
      </c>
      <c r="I56" s="41" t="n">
        <f aca="false">I53*I55</f>
        <v>2255.42333574902</v>
      </c>
      <c r="J56" s="41" t="n">
        <f aca="false">J53*J55</f>
        <v>2168.70149468477</v>
      </c>
      <c r="K56" s="41" t="n">
        <f aca="false">K53*K55</f>
        <v>2077.20561200614</v>
      </c>
      <c r="L56" s="41" t="n">
        <f aca="false">L53*L55</f>
        <v>1982.7260757027</v>
      </c>
      <c r="M56" s="41" t="n">
        <f aca="false">M53*M55</f>
        <v>1732.90180174669</v>
      </c>
      <c r="N56" s="41" t="n">
        <f aca="false">N53*N55</f>
        <v>1425.84420449402</v>
      </c>
      <c r="O56" s="41" t="n">
        <f aca="false">O53*O55</f>
        <v>1063.58519824134</v>
      </c>
      <c r="P56" s="41" t="n">
        <f aca="false">P53*P55</f>
        <v>762.115943891562</v>
      </c>
      <c r="Q56" s="41" t="n">
        <f aca="false">Q53*Q55</f>
        <v>0</v>
      </c>
      <c r="R56" s="41" t="n">
        <f aca="false">R53*R55</f>
        <v>0</v>
      </c>
      <c r="S56" s="41" t="n">
        <f aca="false">S53*S55</f>
        <v>0</v>
      </c>
      <c r="T56" s="41" t="n">
        <f aca="false">T53*T55</f>
        <v>0</v>
      </c>
      <c r="U56" s="41" t="n">
        <f aca="false">U53*U55</f>
        <v>0</v>
      </c>
      <c r="V56" s="41" t="n">
        <f aca="false">V53*V55</f>
        <v>0</v>
      </c>
    </row>
    <row r="58" customFormat="false" ht="15" hidden="false" customHeight="false" outlineLevel="0" collapsed="false">
      <c r="A58" s="65" t="s">
        <v>276</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0" min="2" style="0" width="13"/>
  </cols>
  <sheetData>
    <row r="1" customFormat="false" ht="24" hidden="false" customHeight="true" outlineLevel="0" collapsed="false">
      <c r="A1" s="1" t="s">
        <v>277</v>
      </c>
      <c r="B1" s="2"/>
      <c r="C1" s="2"/>
      <c r="D1" s="2"/>
      <c r="E1" s="2"/>
      <c r="F1" s="2"/>
      <c r="G1" s="2"/>
      <c r="H1" s="2"/>
      <c r="I1" s="2"/>
      <c r="J1" s="2"/>
      <c r="K1" s="2"/>
      <c r="L1" s="2"/>
    </row>
    <row r="2" customFormat="false" ht="15" hidden="false" customHeight="false" outlineLevel="0" collapsed="false">
      <c r="A2" s="3" t="s">
        <v>278</v>
      </c>
    </row>
    <row r="4" customFormat="false" ht="15" hidden="false" customHeight="false" outlineLevel="0" collapsed="false">
      <c r="A4" s="6" t="s">
        <v>98</v>
      </c>
      <c r="C4" s="66" t="str">
        <f aca="false">'Control Panel'!$C$6</f>
        <v>Car - ICE</v>
      </c>
    </row>
    <row r="6" customFormat="false" ht="15" hidden="false" customHeight="false" outlineLevel="0" collapsed="false">
      <c r="A6" s="6" t="s">
        <v>45</v>
      </c>
      <c r="C6" s="108" t="n">
        <v>1</v>
      </c>
      <c r="D6" s="108" t="n">
        <v>2</v>
      </c>
      <c r="E6" s="108" t="n">
        <v>3</v>
      </c>
      <c r="F6" s="108" t="n">
        <v>4</v>
      </c>
      <c r="G6" s="108" t="n">
        <v>5</v>
      </c>
      <c r="H6" s="108" t="n">
        <v>6</v>
      </c>
      <c r="I6" s="108" t="n">
        <v>7</v>
      </c>
      <c r="J6" s="108" t="n">
        <v>8</v>
      </c>
    </row>
    <row r="7" customFormat="false" ht="15" hidden="false" customHeight="false" outlineLevel="0" collapsed="false">
      <c r="A7" s="69" t="s">
        <v>279</v>
      </c>
      <c r="B7" s="65" t="s">
        <v>68</v>
      </c>
      <c r="C7" s="74" t="n">
        <f aca="false">'Investment Build'!$D$18</f>
        <v>1393.2</v>
      </c>
      <c r="D7" s="74" t="n">
        <f aca="false">'Investment Build'!$D$18</f>
        <v>1393.2</v>
      </c>
      <c r="E7" s="74" t="n">
        <f aca="false">'Investment Build'!$D$18</f>
        <v>1393.2</v>
      </c>
      <c r="F7" s="74" t="n">
        <f aca="false">'Investment Build'!$D$18</f>
        <v>1393.2</v>
      </c>
      <c r="G7" s="74" t="n">
        <f aca="false">'Investment Build'!$D$18</f>
        <v>1393.2</v>
      </c>
      <c r="H7" s="74" t="n">
        <f aca="false">'Investment Build'!$D$18</f>
        <v>1393.2</v>
      </c>
      <c r="I7" s="74" t="n">
        <f aca="false">'Investment Build'!$D$18</f>
        <v>1393.2</v>
      </c>
      <c r="J7" s="74" t="n">
        <f aca="false">'Investment Build'!$D$18</f>
        <v>1393.2</v>
      </c>
    </row>
    <row r="8" customFormat="false" ht="15" hidden="false" customHeight="false" outlineLevel="0" collapsed="false">
      <c r="A8" s="69" t="s">
        <v>198</v>
      </c>
      <c r="B8" s="65" t="s">
        <v>68</v>
      </c>
      <c r="C8" s="74" t="n">
        <f aca="false">'Investment Build'!$D$18*Assumptions!$K$26*0</f>
        <v>0</v>
      </c>
      <c r="D8" s="74" t="n">
        <f aca="false">'Investment Build'!$D$18*Assumptions!$K$26*1</f>
        <v>111.456</v>
      </c>
      <c r="E8" s="74" t="n">
        <f aca="false">'Investment Build'!$D$18*Assumptions!$K$26*2</f>
        <v>222.912</v>
      </c>
      <c r="F8" s="74" t="n">
        <f aca="false">'Investment Build'!$D$18*Assumptions!$K$26*3</f>
        <v>334.368</v>
      </c>
      <c r="G8" s="74" t="n">
        <f aca="false">'Investment Build'!$D$18*Assumptions!$K$26*4</f>
        <v>445.824</v>
      </c>
      <c r="H8" s="74" t="n">
        <f aca="false">'Investment Build'!$D$18*Assumptions!$K$26*5</f>
        <v>557.28</v>
      </c>
      <c r="I8" s="74" t="n">
        <f aca="false">'Investment Build'!$D$18*Assumptions!$K$26*6</f>
        <v>668.736</v>
      </c>
      <c r="J8" s="74" t="n">
        <f aca="false">'Investment Build'!$D$18*Assumptions!$K$26*7</f>
        <v>780.192</v>
      </c>
    </row>
    <row r="9" customFormat="false" ht="15" hidden="false" customHeight="false" outlineLevel="0" collapsed="false">
      <c r="A9" s="69" t="s">
        <v>280</v>
      </c>
      <c r="B9" s="65" t="s">
        <v>68</v>
      </c>
      <c r="C9" s="74" t="n">
        <f aca="false">'Investment Build'!$D$29*1</f>
        <v>425</v>
      </c>
      <c r="D9" s="74" t="n">
        <f aca="false">'Investment Build'!$D$29*2</f>
        <v>850</v>
      </c>
      <c r="E9" s="74" t="n">
        <f aca="false">'Investment Build'!$D$29*3</f>
        <v>1275</v>
      </c>
      <c r="F9" s="74" t="n">
        <f aca="false">'Investment Build'!$D$29*4</f>
        <v>1700</v>
      </c>
      <c r="G9" s="74" t="n">
        <f aca="false">'Investment Build'!$D$29*5</f>
        <v>2125</v>
      </c>
      <c r="H9" s="74" t="n">
        <f aca="false">'Investment Build'!$D$29*6</f>
        <v>2550</v>
      </c>
      <c r="I9" s="74" t="n">
        <f aca="false">'Investment Build'!$D$29*7</f>
        <v>2975</v>
      </c>
      <c r="J9" s="74" t="n">
        <f aca="false">'Investment Build'!$D$29*8</f>
        <v>3400</v>
      </c>
    </row>
    <row r="10" customFormat="false" ht="15" hidden="false" customHeight="false" outlineLevel="0" collapsed="false">
      <c r="A10" s="76" t="s">
        <v>281</v>
      </c>
      <c r="B10" s="105" t="s">
        <v>68</v>
      </c>
      <c r="C10" s="79" t="n">
        <f aca="false">C7+C8+C9</f>
        <v>1818.2</v>
      </c>
      <c r="D10" s="79" t="n">
        <f aca="false">D7+D8+D9</f>
        <v>2354.656</v>
      </c>
      <c r="E10" s="79" t="n">
        <f aca="false">E7+E8+E9</f>
        <v>2891.112</v>
      </c>
      <c r="F10" s="79" t="n">
        <f aca="false">F7+F8+F9</f>
        <v>3427.568</v>
      </c>
      <c r="G10" s="79" t="n">
        <f aca="false">G7+G8+G9</f>
        <v>3964.024</v>
      </c>
      <c r="H10" s="79" t="n">
        <f aca="false">H7+H8+H9</f>
        <v>4500.48</v>
      </c>
      <c r="I10" s="79" t="n">
        <f aca="false">I7+I8+I9</f>
        <v>5036.936</v>
      </c>
      <c r="J10" s="79" t="n">
        <f aca="false">J7+J8+J9</f>
        <v>5573.392</v>
      </c>
    </row>
    <row r="11" customFormat="false" ht="15" hidden="false" customHeight="false" outlineLevel="0" collapsed="false">
      <c r="A11" s="76" t="s">
        <v>282</v>
      </c>
      <c r="B11" s="105" t="s">
        <v>68</v>
      </c>
      <c r="C11" s="79" t="n">
        <f aca="false">(1)*('Investment Build'!$D$18*Assumptions!$K$27+'Investment Build'!$D$29)</f>
        <v>1539.56</v>
      </c>
      <c r="D11" s="79" t="n">
        <f aca="false">(2)*('Investment Build'!$D$18*Assumptions!$K$27+'Investment Build'!$D$29)</f>
        <v>3079.12</v>
      </c>
      <c r="E11" s="79" t="n">
        <f aca="false">(3)*('Investment Build'!$D$18*Assumptions!$K$27+'Investment Build'!$D$29)</f>
        <v>4618.68</v>
      </c>
      <c r="F11" s="79" t="n">
        <f aca="false">(4)*('Investment Build'!$D$18*Assumptions!$K$27+'Investment Build'!$D$29)</f>
        <v>6158.24</v>
      </c>
      <c r="G11" s="79" t="n">
        <f aca="false">(5)*('Investment Build'!$D$18*Assumptions!$K$27+'Investment Build'!$D$29)</f>
        <v>7697.8</v>
      </c>
      <c r="H11" s="79" t="n">
        <f aca="false">(6)*('Investment Build'!$D$18*Assumptions!$K$27+'Investment Build'!$D$29)</f>
        <v>9237.36</v>
      </c>
      <c r="I11" s="79" t="n">
        <f aca="false">(7)*('Investment Build'!$D$18*Assumptions!$K$27+'Investment Build'!$D$29)</f>
        <v>10776.92</v>
      </c>
      <c r="J11" s="79" t="n">
        <f aca="false">(8)*('Investment Build'!$D$18*Assumptions!$K$27+'Investment Build'!$D$29)</f>
        <v>12316.48</v>
      </c>
    </row>
    <row r="12" customFormat="false" ht="15" hidden="false" customHeight="false" outlineLevel="0" collapsed="false">
      <c r="A12" s="76" t="s">
        <v>283</v>
      </c>
      <c r="B12" s="105" t="s">
        <v>68</v>
      </c>
      <c r="C12" s="79" t="n">
        <f aca="false">C11-C10</f>
        <v>-278.64</v>
      </c>
      <c r="D12" s="79" t="n">
        <f aca="false">D11-D10</f>
        <v>724.464</v>
      </c>
      <c r="E12" s="79" t="n">
        <f aca="false">E11-E10</f>
        <v>1727.568</v>
      </c>
      <c r="F12" s="79" t="n">
        <f aca="false">F11-F10</f>
        <v>2730.672</v>
      </c>
      <c r="G12" s="79" t="n">
        <f aca="false">G11-G10</f>
        <v>3733.776</v>
      </c>
      <c r="H12" s="79" t="n">
        <f aca="false">H11-H10</f>
        <v>4736.88</v>
      </c>
      <c r="I12" s="79" t="n">
        <f aca="false">I11-I10</f>
        <v>5739.984</v>
      </c>
      <c r="J12" s="79" t="n">
        <f aca="false">J11-J10</f>
        <v>6743.088</v>
      </c>
    </row>
    <row r="13" customFormat="false" ht="15" hidden="false" customHeight="false" outlineLevel="0" collapsed="false">
      <c r="A13" s="76" t="s">
        <v>284</v>
      </c>
      <c r="B13" s="105" t="s">
        <v>63</v>
      </c>
      <c r="C13" s="109" t="n">
        <f aca="false">IFERROR(C12/C11,0)</f>
        <v>-0.180986775442334</v>
      </c>
      <c r="D13" s="109" t="n">
        <f aca="false">IFERROR(D12/D11,0)</f>
        <v>0.235282808075035</v>
      </c>
      <c r="E13" s="109" t="n">
        <f aca="false">IFERROR(E12/E11,0)</f>
        <v>0.374039335914157</v>
      </c>
      <c r="F13" s="109" t="n">
        <f aca="false">IFERROR(F12/F11,0)</f>
        <v>0.443417599833719</v>
      </c>
      <c r="G13" s="109" t="n">
        <f aca="false">IFERROR(G12/G11,0)</f>
        <v>0.485044558185456</v>
      </c>
      <c r="H13" s="109" t="n">
        <f aca="false">IFERROR(H12/H11,0)</f>
        <v>0.51279586375328</v>
      </c>
      <c r="I13" s="109" t="n">
        <f aca="false">IFERROR(I12/I11,0)</f>
        <v>0.532618224873155</v>
      </c>
      <c r="J13" s="109" t="n">
        <f aca="false">IFERROR(J12/J11,0)</f>
        <v>0.547484995713061</v>
      </c>
    </row>
    <row r="14" customFormat="false" ht="15" hidden="false" customHeight="false" outlineLevel="0" collapsed="false">
      <c r="A14" s="69"/>
      <c r="B14" s="65"/>
      <c r="C14" s="74"/>
      <c r="D14" s="74"/>
      <c r="E14" s="74"/>
      <c r="F14" s="74"/>
      <c r="G14" s="74"/>
      <c r="H14" s="74"/>
      <c r="I14" s="74"/>
      <c r="J14" s="74"/>
    </row>
    <row r="15" customFormat="false" ht="15" hidden="false" customHeight="false" outlineLevel="0" collapsed="false">
      <c r="A15" s="69" t="s">
        <v>285</v>
      </c>
      <c r="B15" s="65" t="s">
        <v>48</v>
      </c>
      <c r="C15" s="74" t="n">
        <f aca="false">1*Assumptions!$K$46*Assumptions!$K$62</f>
        <v>832000</v>
      </c>
      <c r="D15" s="74" t="n">
        <f aca="false">2*Assumptions!$K$46*Assumptions!$K$62</f>
        <v>1664000</v>
      </c>
      <c r="E15" s="74" t="n">
        <f aca="false">3*Assumptions!$K$46*Assumptions!$K$62</f>
        <v>2496000</v>
      </c>
      <c r="F15" s="74" t="n">
        <f aca="false">4*Assumptions!$K$46*Assumptions!$K$62</f>
        <v>3328000</v>
      </c>
      <c r="G15" s="74" t="n">
        <f aca="false">5*Assumptions!$K$46*Assumptions!$K$62</f>
        <v>4160000</v>
      </c>
      <c r="H15" s="74" t="n">
        <f aca="false">6*Assumptions!$K$46*Assumptions!$K$62</f>
        <v>4992000</v>
      </c>
      <c r="I15" s="74" t="n">
        <f aca="false">7*Assumptions!$K$46*Assumptions!$K$62</f>
        <v>5824000</v>
      </c>
      <c r="J15" s="74" t="n">
        <f aca="false">8*Assumptions!$K$46*Assumptions!$K$62</f>
        <v>6656000</v>
      </c>
    </row>
    <row r="16" customFormat="false" ht="15" hidden="false" customHeight="false" outlineLevel="0" collapsed="false">
      <c r="A16" s="69" t="s">
        <v>286</v>
      </c>
      <c r="B16" s="65" t="s">
        <v>52</v>
      </c>
      <c r="C16" s="74" t="n">
        <f aca="false">IFERROR(C10*10000000/C15,0)</f>
        <v>21853.3653846154</v>
      </c>
      <c r="D16" s="74" t="n">
        <f aca="false">IFERROR(D10*10000000/D15,0)</f>
        <v>14150.5769230769</v>
      </c>
      <c r="E16" s="74" t="n">
        <f aca="false">IFERROR(E10*10000000/E15,0)</f>
        <v>11582.9807692308</v>
      </c>
      <c r="F16" s="74" t="n">
        <f aca="false">IFERROR(F10*10000000/F15,0)</f>
        <v>10299.1826923077</v>
      </c>
      <c r="G16" s="74" t="n">
        <f aca="false">IFERROR(G10*10000000/G15,0)</f>
        <v>9528.90384615385</v>
      </c>
      <c r="H16" s="74" t="n">
        <f aca="false">IFERROR(H10*10000000/H15,0)</f>
        <v>9015.38461538461</v>
      </c>
      <c r="I16" s="74" t="n">
        <f aca="false">IFERROR(I10*10000000/I15,0)</f>
        <v>8648.58516483517</v>
      </c>
      <c r="J16" s="74" t="n">
        <f aca="false">IFERROR(J10*10000000/J15,0)</f>
        <v>8373.48557692308</v>
      </c>
    </row>
    <row r="17" customFormat="false" ht="15" hidden="false" customHeight="false" outlineLevel="0" collapsed="false">
      <c r="A17" s="69" t="s">
        <v>287</v>
      </c>
      <c r="B17" s="65" t="s">
        <v>52</v>
      </c>
      <c r="C17" s="74" t="n">
        <f aca="false">IFERROR(C11*10000000/C15,0)</f>
        <v>18504.3269230769</v>
      </c>
      <c r="D17" s="74" t="n">
        <f aca="false">IFERROR(D11*10000000/D15,0)</f>
        <v>18504.3269230769</v>
      </c>
      <c r="E17" s="74" t="n">
        <f aca="false">IFERROR(E11*10000000/E15,0)</f>
        <v>18504.3269230769</v>
      </c>
      <c r="F17" s="74" t="n">
        <f aca="false">IFERROR(F11*10000000/F15,0)</f>
        <v>18504.3269230769</v>
      </c>
      <c r="G17" s="74" t="n">
        <f aca="false">IFERROR(G11*10000000/G15,0)</f>
        <v>18504.3269230769</v>
      </c>
      <c r="H17" s="74" t="n">
        <f aca="false">IFERROR(H11*10000000/H15,0)</f>
        <v>18504.3269230769</v>
      </c>
      <c r="I17" s="74" t="n">
        <f aca="false">IFERROR(I11*10000000/I15,0)</f>
        <v>18504.3269230769</v>
      </c>
      <c r="J17" s="74" t="n">
        <f aca="false">IFERROR(J11*10000000/J15,0)</f>
        <v>18504.3269230769</v>
      </c>
    </row>
    <row r="18" customFormat="false" ht="15" hidden="false" customHeight="false" outlineLevel="0" collapsed="false">
      <c r="A18" s="69" t="s">
        <v>288</v>
      </c>
      <c r="B18" s="65" t="s">
        <v>63</v>
      </c>
      <c r="C18" s="84" t="n">
        <f aca="false">IFERROR(C16/Assumptions!$K$36,0)</f>
        <v>0.0312190934065934</v>
      </c>
      <c r="D18" s="84" t="n">
        <f aca="false">IFERROR(D16/Assumptions!$K$36,0)</f>
        <v>0.0202151098901099</v>
      </c>
      <c r="E18" s="84" t="n">
        <f aca="false">IFERROR(E16/Assumptions!$K$36,0)</f>
        <v>0.0165471153846154</v>
      </c>
      <c r="F18" s="84" t="n">
        <f aca="false">IFERROR(F16/Assumptions!$K$36,0)</f>
        <v>0.0147131181318681</v>
      </c>
      <c r="G18" s="84" t="n">
        <f aca="false">IFERROR(G16/Assumptions!$K$36,0)</f>
        <v>0.0136127197802198</v>
      </c>
      <c r="H18" s="84" t="n">
        <f aca="false">IFERROR(H16/Assumptions!$K$36,0)</f>
        <v>0.0128791208791209</v>
      </c>
      <c r="I18" s="84" t="n">
        <f aca="false">IFERROR(I16/Assumptions!$K$36,0)</f>
        <v>0.0123551216640502</v>
      </c>
      <c r="J18" s="84" t="n">
        <f aca="false">IFERROR(J16/Assumptions!$K$36,0)</f>
        <v>0.0119621222527473</v>
      </c>
    </row>
    <row r="19" customFormat="false" ht="15" hidden="false" customHeight="false" outlineLevel="0" collapsed="false">
      <c r="A19" s="69"/>
      <c r="B19" s="65"/>
      <c r="C19" s="74"/>
      <c r="D19" s="74"/>
      <c r="E19" s="74"/>
      <c r="F19" s="74"/>
      <c r="G19" s="74"/>
      <c r="H19" s="74"/>
      <c r="I19" s="74"/>
      <c r="J19" s="74"/>
    </row>
    <row r="20" customFormat="false" ht="15" hidden="false" customHeight="false" outlineLevel="0" collapsed="false">
      <c r="A20" s="69" t="s">
        <v>289</v>
      </c>
      <c r="B20" s="65" t="s">
        <v>58</v>
      </c>
      <c r="C20" s="110" t="n">
        <f aca="false">LOG(1,2)</f>
        <v>0</v>
      </c>
      <c r="D20" s="110" t="n">
        <f aca="false">LOG(2,2)</f>
        <v>1</v>
      </c>
      <c r="E20" s="110" t="n">
        <f aca="false">LOG(3,2)</f>
        <v>1.58496250072116</v>
      </c>
      <c r="F20" s="110" t="n">
        <f aca="false">LOG(4,2)</f>
        <v>2</v>
      </c>
      <c r="G20" s="110" t="n">
        <f aca="false">LOG(5,2)</f>
        <v>2.32192809488736</v>
      </c>
      <c r="H20" s="110" t="n">
        <f aca="false">LOG(6,2)</f>
        <v>2.58496250072116</v>
      </c>
      <c r="I20" s="110" t="n">
        <f aca="false">LOG(7,2)</f>
        <v>2.8073549220576</v>
      </c>
      <c r="J20" s="110" t="n">
        <f aca="false">LOG(8,2)</f>
        <v>3</v>
      </c>
    </row>
    <row r="21" customFormat="false" ht="15" hidden="false" customHeight="false" outlineLevel="0" collapsed="false">
      <c r="A21" s="69" t="s">
        <v>290</v>
      </c>
      <c r="B21" s="65" t="s">
        <v>138</v>
      </c>
      <c r="C21" s="84" t="n">
        <f aca="false">C20*Assumptions!$K$28</f>
        <v>0</v>
      </c>
      <c r="D21" s="84" t="n">
        <f aca="false">D20*Assumptions!$K$28</f>
        <v>0.035</v>
      </c>
      <c r="E21" s="84" t="n">
        <f aca="false">E20*Assumptions!$K$28</f>
        <v>0.0554736875252405</v>
      </c>
      <c r="F21" s="84" t="n">
        <f aca="false">F20*Assumptions!$K$28</f>
        <v>0.07</v>
      </c>
      <c r="G21" s="84" t="n">
        <f aca="false">G20*Assumptions!$K$28</f>
        <v>0.0812674833210577</v>
      </c>
      <c r="H21" s="84" t="n">
        <f aca="false">H20*Assumptions!$K$28</f>
        <v>0.0904736875252405</v>
      </c>
      <c r="I21" s="84" t="n">
        <f aca="false">I20*Assumptions!$K$28</f>
        <v>0.0982574222720162</v>
      </c>
      <c r="J21" s="84" t="n">
        <f aca="false">J20*Assumptions!$K$28</f>
        <v>0.105</v>
      </c>
    </row>
    <row r="22" customFormat="false" ht="15" hidden="false" customHeight="false" outlineLevel="0" collapsed="false">
      <c r="A22" s="69" t="s">
        <v>291</v>
      </c>
      <c r="B22" s="65" t="s">
        <v>52</v>
      </c>
      <c r="C22" s="74" t="n">
        <f aca="false">Assumptions!$K$36-(Assumptions!$K$36*Assumptions!$K$37+Assumptions!$K$38*Assumptions!$K$39)*(1-C21)-Assumptions!$K$36*(Assumptions!$K$40+Assumptions!$K$41+Assumptions!$K$42)</f>
        <v>140000</v>
      </c>
      <c r="D22" s="74" t="n">
        <f aca="false">Assumptions!$K$36-(Assumptions!$K$36*Assumptions!$K$37+Assumptions!$K$38*Assumptions!$K$39)*(1-D21)-Assumptions!$K$36*(Assumptions!$K$40+Assumptions!$K$41+Assumptions!$K$42)</f>
        <v>157150</v>
      </c>
      <c r="E22" s="74" t="n">
        <f aca="false">Assumptions!$K$36-(Assumptions!$K$36*Assumptions!$K$37+Assumptions!$K$38*Assumptions!$K$39)*(1-E21)-Assumptions!$K$36*(Assumptions!$K$40+Assumptions!$K$41+Assumptions!$K$42)</f>
        <v>167182.106887368</v>
      </c>
      <c r="F22" s="74" t="n">
        <f aca="false">Assumptions!$K$36-(Assumptions!$K$36*Assumptions!$K$37+Assumptions!$K$38*Assumptions!$K$39)*(1-F21)-Assumptions!$K$36*(Assumptions!$K$40+Assumptions!$K$41+Assumptions!$K$42)</f>
        <v>174300</v>
      </c>
      <c r="G22" s="74" t="n">
        <f aca="false">Assumptions!$K$36-(Assumptions!$K$36*Assumptions!$K$37+Assumptions!$K$38*Assumptions!$K$39)*(1-G21)-Assumptions!$K$36*(Assumptions!$K$40+Assumptions!$K$41+Assumptions!$K$42)</f>
        <v>179821.066827318</v>
      </c>
      <c r="H22" s="74" t="n">
        <f aca="false">Assumptions!$K$36-(Assumptions!$K$36*Assumptions!$K$37+Assumptions!$K$38*Assumptions!$K$39)*(1-H21)-Assumptions!$K$36*(Assumptions!$K$40+Assumptions!$K$41+Assumptions!$K$42)</f>
        <v>184332.106887368</v>
      </c>
      <c r="I22" s="74" t="n">
        <f aca="false">Assumptions!$K$36-(Assumptions!$K$36*Assumptions!$K$37+Assumptions!$K$38*Assumptions!$K$39)*(1-I21)-Assumptions!$K$36*(Assumptions!$K$40+Assumptions!$K$41+Assumptions!$K$42)</f>
        <v>188146.136913288</v>
      </c>
      <c r="J22" s="74" t="n">
        <f aca="false">Assumptions!$K$36-(Assumptions!$K$36*Assumptions!$K$37+Assumptions!$K$38*Assumptions!$K$39)*(1-J21)-Assumptions!$K$36*(Assumptions!$K$40+Assumptions!$K$41+Assumptions!$K$42)</f>
        <v>191450</v>
      </c>
    </row>
    <row r="23" customFormat="false" ht="15" hidden="false" customHeight="false" outlineLevel="0" collapsed="false">
      <c r="A23" s="69" t="s">
        <v>292</v>
      </c>
      <c r="B23" s="65" t="s">
        <v>63</v>
      </c>
      <c r="C23" s="84" t="n">
        <f aca="false">IFERROR(C22/Assumptions!$K$36,0)</f>
        <v>0.2</v>
      </c>
      <c r="D23" s="84" t="n">
        <f aca="false">IFERROR(D22/Assumptions!$K$36,0)</f>
        <v>0.2245</v>
      </c>
      <c r="E23" s="84" t="n">
        <f aca="false">IFERROR(E22/Assumptions!$K$36,0)</f>
        <v>0.238831581267668</v>
      </c>
      <c r="F23" s="84" t="n">
        <f aca="false">IFERROR(F22/Assumptions!$K$36,0)</f>
        <v>0.249</v>
      </c>
      <c r="G23" s="84" t="n">
        <f aca="false">IFERROR(G22/Assumptions!$K$36,0)</f>
        <v>0.256887238324741</v>
      </c>
      <c r="H23" s="84" t="n">
        <f aca="false">IFERROR(H22/Assumptions!$K$36,0)</f>
        <v>0.263331581267668</v>
      </c>
      <c r="I23" s="84" t="n">
        <f aca="false">IFERROR(I22/Assumptions!$K$36,0)</f>
        <v>0.268780195590411</v>
      </c>
      <c r="J23" s="84" t="n">
        <f aca="false">IFERROR(J22/Assumptions!$K$36,0)</f>
        <v>0.2735</v>
      </c>
    </row>
    <row r="24" customFormat="false" ht="15" hidden="false" customHeight="false" outlineLevel="0" collapsed="false">
      <c r="A24" s="69"/>
      <c r="B24" s="65"/>
      <c r="C24" s="74"/>
      <c r="D24" s="74"/>
      <c r="E24" s="74"/>
      <c r="F24" s="74"/>
      <c r="G24" s="74"/>
      <c r="H24" s="74"/>
      <c r="I24" s="74"/>
      <c r="J24" s="74"/>
    </row>
    <row r="25" customFormat="false" ht="15" hidden="false" customHeight="false" outlineLevel="0" collapsed="false">
      <c r="A25" s="6" t="s">
        <v>293</v>
      </c>
      <c r="B25" s="65" t="s">
        <v>78</v>
      </c>
      <c r="C25" s="72" t="n">
        <f aca="false">IFERROR(C10*10000000/C22,0)</f>
        <v>129871.428571429</v>
      </c>
      <c r="D25" s="72" t="n">
        <f aca="false">IFERROR(D10*10000000/D22,0)</f>
        <v>149834.934775692</v>
      </c>
      <c r="E25" s="72" t="n">
        <f aca="false">IFERROR(E10*10000000/E22,0)</f>
        <v>172931.903648503</v>
      </c>
      <c r="F25" s="72" t="n">
        <f aca="false">IFERROR(F10*10000000/F22,0)</f>
        <v>196647.619047619</v>
      </c>
      <c r="G25" s="72" t="n">
        <f aca="false">IFERROR(G10*10000000/G22,0)</f>
        <v>220442.69172347</v>
      </c>
      <c r="H25" s="72" t="n">
        <f aca="false">IFERROR(H10*10000000/H22,0)</f>
        <v>244150.629860153</v>
      </c>
      <c r="I25" s="72" t="n">
        <f aca="false">IFERROR(I10*10000000/I22,0)</f>
        <v>267714.027119324</v>
      </c>
      <c r="J25" s="72" t="n">
        <f aca="false">IFERROR(J10*10000000/J22,0)</f>
        <v>291114.755810917</v>
      </c>
    </row>
    <row r="26" customFormat="false" ht="15" hidden="false" customHeight="false" outlineLevel="0" collapsed="false">
      <c r="A26" s="6" t="s">
        <v>294</v>
      </c>
      <c r="B26" s="65" t="s">
        <v>63</v>
      </c>
      <c r="C26" s="87" t="n">
        <f aca="false">IFERROR(C25/C15,0)</f>
        <v>0.156095467032967</v>
      </c>
      <c r="D26" s="87" t="n">
        <f aca="false">IFERROR(D25/D15,0)</f>
        <v>0.0900450329180841</v>
      </c>
      <c r="E26" s="87" t="n">
        <f aca="false">IFERROR(E25/E15,0)</f>
        <v>0.0692836152437912</v>
      </c>
      <c r="F26" s="87" t="n">
        <f aca="false">IFERROR(F25/F15,0)</f>
        <v>0.0590888278388278</v>
      </c>
      <c r="G26" s="87" t="n">
        <f aca="false">IFERROR(G25/G15,0)</f>
        <v>0.0529910316642956</v>
      </c>
      <c r="H26" s="87" t="n">
        <f aca="false">IFERROR(H25/H15,0)</f>
        <v>0.0489083793790372</v>
      </c>
      <c r="I26" s="87" t="n">
        <f aca="false">IFERROR(I25/I15,0)</f>
        <v>0.0459673810301037</v>
      </c>
      <c r="J26" s="87" t="n">
        <f aca="false">IFERROR(J25/J15,0)</f>
        <v>0.0437371928802459</v>
      </c>
    </row>
    <row r="27" customFormat="false" ht="15" hidden="false" customHeight="false" outlineLevel="0" collapsed="false">
      <c r="A27" s="69" t="s">
        <v>295</v>
      </c>
      <c r="B27" s="65" t="s">
        <v>63</v>
      </c>
      <c r="C27" s="84" t="n">
        <f aca="false">IFERROR((C22-Assumptions!$K$44*Assumptions!$K$36-Assumptions!$K$43*10000000/MIN(1*Assumptions!$K$46,Assumptions!$K$33)-C16)/Assumptions!$K$36,0)</f>
        <v>0.0544951923076924</v>
      </c>
      <c r="D27" s="84" t="n">
        <f aca="false">IFERROR((D22-Assumptions!$K$44*Assumptions!$K$36-Assumptions!$K$43*10000000/MIN(2*Assumptions!$K$46,Assumptions!$K$33)-D16)/Assumptions!$K$36,0)</f>
        <v>0.122142032967033</v>
      </c>
      <c r="E27" s="84" t="n">
        <f aca="false">IFERROR((E22-Assumptions!$K$44*Assumptions!$K$36-Assumptions!$K$43*10000000/MIN(3*Assumptions!$K$46,Assumptions!$K$33)-E16)/Assumptions!$K$36,0)</f>
        <v>0.150855894454482</v>
      </c>
      <c r="F27" s="84" t="n">
        <f aca="false">IFERROR((F22-Assumptions!$K$44*Assumptions!$K$36-Assumptions!$K$43*10000000/MIN(4*Assumptions!$K$46,Assumptions!$K$33)-F16)/Assumptions!$K$36,0)</f>
        <v>0.168215453296703</v>
      </c>
      <c r="G27" s="84" t="n">
        <f aca="false">IFERROR((G22-Assumptions!$K$44*Assumptions!$K$36-Assumptions!$K$43*10000000/MIN(5*Assumptions!$K$46,Assumptions!$K$33)-G16)/Assumptions!$K$36,0)</f>
        <v>0.177203089973092</v>
      </c>
      <c r="H27" s="84" t="n">
        <f aca="false">IFERROR((H22-Assumptions!$K$44*Assumptions!$K$36-Assumptions!$K$43*10000000/MIN(6*Assumptions!$K$46,Assumptions!$K$33)-H16)/Assumptions!$K$36,0)</f>
        <v>0.184381031817119</v>
      </c>
      <c r="I27" s="84" t="n">
        <f aca="false">IFERROR((I22-Assumptions!$K$44*Assumptions!$K$36-Assumptions!$K$43*10000000/MIN(7*Assumptions!$K$46,Assumptions!$K$33)-I16)/Assumptions!$K$36,0)</f>
        <v>0.190353645354933</v>
      </c>
      <c r="J27" s="84" t="n">
        <f aca="false">IFERROR((J22-Assumptions!$K$44*Assumptions!$K$36-Assumptions!$K$43*10000000/MIN(8*Assumptions!$K$46,Assumptions!$K$33)-J16)/Assumptions!$K$36,0)</f>
        <v>0.195466449175824</v>
      </c>
    </row>
    <row r="29" customFormat="false" ht="15" hidden="false" customHeight="false" outlineLevel="0" collapsed="false">
      <c r="A29" s="30" t="s">
        <v>296</v>
      </c>
    </row>
    <row r="30" customFormat="false" ht="15" hidden="false" customHeight="true" outlineLevel="0" collapsed="false">
      <c r="A30" s="111" t="s">
        <v>297</v>
      </c>
      <c r="B30" s="111"/>
      <c r="C30" s="111"/>
      <c r="D30" s="111"/>
      <c r="E30" s="111"/>
      <c r="F30" s="111"/>
      <c r="G30" s="111"/>
      <c r="H30" s="111"/>
      <c r="I30" s="111"/>
      <c r="J30" s="111"/>
      <c r="K30" s="111"/>
    </row>
    <row r="31" customFormat="false" ht="15" hidden="false" customHeight="false" outlineLevel="0" collapsed="false">
      <c r="A31" s="111"/>
      <c r="B31" s="111"/>
      <c r="C31" s="111"/>
      <c r="D31" s="111"/>
      <c r="E31" s="111"/>
      <c r="F31" s="111"/>
      <c r="G31" s="111"/>
      <c r="H31" s="111"/>
      <c r="I31" s="111"/>
      <c r="J31" s="111"/>
      <c r="K31" s="111"/>
    </row>
    <row r="32" customFormat="false" ht="15" hidden="false" customHeight="false" outlineLevel="0" collapsed="false">
      <c r="A32" s="111"/>
      <c r="B32" s="111"/>
      <c r="C32" s="111"/>
      <c r="D32" s="111"/>
      <c r="E32" s="111"/>
      <c r="F32" s="111"/>
      <c r="G32" s="111"/>
      <c r="H32" s="111"/>
      <c r="I32" s="111"/>
      <c r="J32" s="111"/>
      <c r="K32" s="111"/>
    </row>
    <row r="33" customFormat="false" ht="15" hidden="false" customHeight="false" outlineLevel="0" collapsed="false">
      <c r="A33" s="111"/>
      <c r="B33" s="111"/>
      <c r="C33" s="111"/>
      <c r="D33" s="111"/>
      <c r="E33" s="111"/>
      <c r="F33" s="111"/>
      <c r="G33" s="111"/>
      <c r="H33" s="111"/>
      <c r="I33" s="111"/>
      <c r="J33" s="111"/>
      <c r="K33" s="111"/>
    </row>
    <row r="34" customFormat="false" ht="15" hidden="false" customHeight="true" outlineLevel="0" collapsed="false">
      <c r="A34" s="112" t="s">
        <v>298</v>
      </c>
      <c r="B34" s="112"/>
      <c r="C34" s="112"/>
      <c r="D34" s="112"/>
      <c r="E34" s="112"/>
      <c r="F34" s="112"/>
      <c r="G34" s="112"/>
      <c r="H34" s="112"/>
      <c r="I34" s="112"/>
      <c r="J34" s="112"/>
      <c r="K34" s="112"/>
    </row>
    <row r="35" customFormat="false" ht="15" hidden="false" customHeight="false" outlineLevel="0" collapsed="false">
      <c r="A35" s="112"/>
      <c r="B35" s="112"/>
      <c r="C35" s="112"/>
      <c r="D35" s="112"/>
      <c r="E35" s="112"/>
      <c r="F35" s="112"/>
      <c r="G35" s="112"/>
      <c r="H35" s="112"/>
      <c r="I35" s="112"/>
      <c r="J35" s="112"/>
      <c r="K35" s="112"/>
    </row>
  </sheetData>
  <mergeCells count="2">
    <mergeCell ref="A30:K33"/>
    <mergeCell ref="A34:K35"/>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8" min="3" style="0" width="15"/>
  </cols>
  <sheetData>
    <row r="1" customFormat="false" ht="24" hidden="false" customHeight="true" outlineLevel="0" collapsed="false">
      <c r="A1" s="1" t="s">
        <v>299</v>
      </c>
      <c r="B1" s="2"/>
      <c r="C1" s="2"/>
      <c r="D1" s="2"/>
      <c r="E1" s="2"/>
      <c r="F1" s="2"/>
      <c r="G1" s="2"/>
      <c r="H1" s="2"/>
      <c r="I1" s="2"/>
      <c r="J1" s="2"/>
    </row>
    <row r="2" customFormat="false" ht="15" hidden="false" customHeight="false" outlineLevel="0" collapsed="false">
      <c r="A2" s="3" t="s">
        <v>300</v>
      </c>
    </row>
    <row r="4" customFormat="false" ht="15" hidden="false" customHeight="false" outlineLevel="0" collapsed="false">
      <c r="A4" s="6" t="s">
        <v>98</v>
      </c>
      <c r="C4" s="66" t="str">
        <f aca="false">'Control Panel'!$C$6</f>
        <v>Car - ICE</v>
      </c>
    </row>
    <row r="6" customFormat="false" ht="15" hidden="false" customHeight="false" outlineLevel="0" collapsed="false">
      <c r="A6" s="8" t="s">
        <v>301</v>
      </c>
      <c r="B6" s="9"/>
      <c r="C6" s="9"/>
      <c r="D6" s="9"/>
      <c r="E6" s="9"/>
      <c r="F6" s="9"/>
      <c r="G6" s="9"/>
      <c r="H6" s="9"/>
      <c r="I6" s="9"/>
      <c r="J6" s="9"/>
    </row>
    <row r="7" customFormat="false" ht="15" hidden="false" customHeight="false" outlineLevel="0" collapsed="false">
      <c r="A7" s="32" t="s">
        <v>302</v>
      </c>
      <c r="C7" s="113" t="n">
        <f aca="false">Assumptions!$K$46*0.25</f>
        <v>25000</v>
      </c>
      <c r="D7" s="113" t="n">
        <f aca="false">Assumptions!$K$46*0.5</f>
        <v>50000</v>
      </c>
      <c r="E7" s="113" t="n">
        <f aca="false">Assumptions!$K$46*0.75</f>
        <v>75000</v>
      </c>
      <c r="F7" s="113" t="n">
        <f aca="false">Assumptions!$K$46*1</f>
        <v>100000</v>
      </c>
      <c r="G7" s="113" t="n">
        <f aca="false">Assumptions!$K$46*1.5</f>
        <v>150000</v>
      </c>
      <c r="H7" s="113" t="n">
        <f aca="false">Assumptions!$K$46*2</f>
        <v>200000</v>
      </c>
    </row>
    <row r="8" customFormat="false" ht="15" hidden="false" customHeight="false" outlineLevel="0" collapsed="false">
      <c r="A8" s="32" t="s">
        <v>303</v>
      </c>
      <c r="B8" s="98" t="n">
        <v>1</v>
      </c>
      <c r="C8" s="114" t="n">
        <f aca="false">IFERROR(('Investment Build'!$D$18*(1+Assumptions!$K$26*0)+'Investment Build'!$D$29*1)*10000000/(1*C$7*Assumptions!$K$62),0)</f>
        <v>87413.4615384615</v>
      </c>
      <c r="D8" s="114" t="n">
        <f aca="false">IFERROR(('Investment Build'!$D$18*(1+Assumptions!$K$26*0)+'Investment Build'!$D$29*1)*10000000/(1*D$7*Assumptions!$K$62),0)</f>
        <v>43706.7307692308</v>
      </c>
      <c r="E8" s="114" t="n">
        <f aca="false">IFERROR(('Investment Build'!$D$18*(1+Assumptions!$K$26*0)+'Investment Build'!$D$29*1)*10000000/(1*E$7*Assumptions!$K$62),0)</f>
        <v>29137.8205128205</v>
      </c>
      <c r="F8" s="114" t="n">
        <f aca="false">IFERROR(('Investment Build'!$D$18*(1+Assumptions!$K$26*0)+'Investment Build'!$D$29*1)*10000000/(1*F$7*Assumptions!$K$62),0)</f>
        <v>21853.3653846154</v>
      </c>
      <c r="G8" s="114" t="n">
        <f aca="false">IFERROR(('Investment Build'!$D$18*(1+Assumptions!$K$26*0)+'Investment Build'!$D$29*1)*10000000/(1*G$7*Assumptions!$K$62),0)</f>
        <v>14568.9102564103</v>
      </c>
      <c r="H8" s="114" t="n">
        <f aca="false">IFERROR(('Investment Build'!$D$18*(1+Assumptions!$K$26*0)+'Investment Build'!$D$29*1)*10000000/(1*H$7*Assumptions!$K$62),0)</f>
        <v>10926.6826923077</v>
      </c>
    </row>
    <row r="9" customFormat="false" ht="15" hidden="false" customHeight="false" outlineLevel="0" collapsed="false">
      <c r="B9" s="98" t="n">
        <v>2</v>
      </c>
      <c r="C9" s="114" t="n">
        <f aca="false">IFERROR(('Investment Build'!$D$18*(1+Assumptions!$K$26*1)+'Investment Build'!$D$29*2)*10000000/(2*C$7*Assumptions!$K$62),0)</f>
        <v>56602.3076923077</v>
      </c>
      <c r="D9" s="114" t="n">
        <f aca="false">IFERROR(('Investment Build'!$D$18*(1+Assumptions!$K$26*1)+'Investment Build'!$D$29*2)*10000000/(2*D$7*Assumptions!$K$62),0)</f>
        <v>28301.1538461538</v>
      </c>
      <c r="E9" s="114" t="n">
        <f aca="false">IFERROR(('Investment Build'!$D$18*(1+Assumptions!$K$26*1)+'Investment Build'!$D$29*2)*10000000/(2*E$7*Assumptions!$K$62),0)</f>
        <v>18867.4358974359</v>
      </c>
      <c r="F9" s="114" t="n">
        <f aca="false">IFERROR(('Investment Build'!$D$18*(1+Assumptions!$K$26*1)+'Investment Build'!$D$29*2)*10000000/(2*F$7*Assumptions!$K$62),0)</f>
        <v>14150.5769230769</v>
      </c>
      <c r="G9" s="114" t="n">
        <f aca="false">IFERROR(('Investment Build'!$D$18*(1+Assumptions!$K$26*1)+'Investment Build'!$D$29*2)*10000000/(2*G$7*Assumptions!$K$62),0)</f>
        <v>9433.71794871795</v>
      </c>
      <c r="H9" s="114" t="n">
        <f aca="false">IFERROR(('Investment Build'!$D$18*(1+Assumptions!$K$26*1)+'Investment Build'!$D$29*2)*10000000/(2*H$7*Assumptions!$K$62),0)</f>
        <v>7075.28846153846</v>
      </c>
    </row>
    <row r="10" customFormat="false" ht="15" hidden="false" customHeight="false" outlineLevel="0" collapsed="false">
      <c r="B10" s="98" t="n">
        <v>3</v>
      </c>
      <c r="C10" s="114" t="n">
        <f aca="false">IFERROR(('Investment Build'!$D$18*(1+Assumptions!$K$26*2)+'Investment Build'!$D$29*3)*10000000/(3*C$7*Assumptions!$K$62),0)</f>
        <v>46331.9230769231</v>
      </c>
      <c r="D10" s="114" t="n">
        <f aca="false">IFERROR(('Investment Build'!$D$18*(1+Assumptions!$K$26*2)+'Investment Build'!$D$29*3)*10000000/(3*D$7*Assumptions!$K$62),0)</f>
        <v>23165.9615384615</v>
      </c>
      <c r="E10" s="114" t="n">
        <f aca="false">IFERROR(('Investment Build'!$D$18*(1+Assumptions!$K$26*2)+'Investment Build'!$D$29*3)*10000000/(3*E$7*Assumptions!$K$62),0)</f>
        <v>15443.9743589744</v>
      </c>
      <c r="F10" s="114" t="n">
        <f aca="false">IFERROR(('Investment Build'!$D$18*(1+Assumptions!$K$26*2)+'Investment Build'!$D$29*3)*10000000/(3*F$7*Assumptions!$K$62),0)</f>
        <v>11582.9807692308</v>
      </c>
      <c r="G10" s="114" t="n">
        <f aca="false">IFERROR(('Investment Build'!$D$18*(1+Assumptions!$K$26*2)+'Investment Build'!$D$29*3)*10000000/(3*G$7*Assumptions!$K$62),0)</f>
        <v>7721.98717948718</v>
      </c>
      <c r="H10" s="114" t="n">
        <f aca="false">IFERROR(('Investment Build'!$D$18*(1+Assumptions!$K$26*2)+'Investment Build'!$D$29*3)*10000000/(3*H$7*Assumptions!$K$62),0)</f>
        <v>5791.49038461539</v>
      </c>
    </row>
    <row r="11" customFormat="false" ht="15" hidden="false" customHeight="false" outlineLevel="0" collapsed="false">
      <c r="B11" s="98" t="n">
        <v>4</v>
      </c>
      <c r="C11" s="114" t="n">
        <f aca="false">IFERROR(('Investment Build'!$D$18*(1+Assumptions!$K$26*3)+'Investment Build'!$D$29*4)*10000000/(4*C$7*Assumptions!$K$62),0)</f>
        <v>41196.7307692308</v>
      </c>
      <c r="D11" s="114" t="n">
        <f aca="false">IFERROR(('Investment Build'!$D$18*(1+Assumptions!$K$26*3)+'Investment Build'!$D$29*4)*10000000/(4*D$7*Assumptions!$K$62),0)</f>
        <v>20598.3653846154</v>
      </c>
      <c r="E11" s="114" t="n">
        <f aca="false">IFERROR(('Investment Build'!$D$18*(1+Assumptions!$K$26*3)+'Investment Build'!$D$29*4)*10000000/(4*E$7*Assumptions!$K$62),0)</f>
        <v>13732.2435897436</v>
      </c>
      <c r="F11" s="114" t="n">
        <f aca="false">IFERROR(('Investment Build'!$D$18*(1+Assumptions!$K$26*3)+'Investment Build'!$D$29*4)*10000000/(4*F$7*Assumptions!$K$62),0)</f>
        <v>10299.1826923077</v>
      </c>
      <c r="G11" s="114" t="n">
        <f aca="false">IFERROR(('Investment Build'!$D$18*(1+Assumptions!$K$26*3)+'Investment Build'!$D$29*4)*10000000/(4*G$7*Assumptions!$K$62),0)</f>
        <v>6866.1217948718</v>
      </c>
      <c r="H11" s="114" t="n">
        <f aca="false">IFERROR(('Investment Build'!$D$18*(1+Assumptions!$K$26*3)+'Investment Build'!$D$29*4)*10000000/(4*H$7*Assumptions!$K$62),0)</f>
        <v>5149.59134615385</v>
      </c>
    </row>
    <row r="12" customFormat="false" ht="15" hidden="false" customHeight="false" outlineLevel="0" collapsed="false">
      <c r="B12" s="98" t="n">
        <v>5</v>
      </c>
      <c r="C12" s="114" t="n">
        <f aca="false">IFERROR(('Investment Build'!$D$18*(1+Assumptions!$K$26*4)+'Investment Build'!$D$29*5)*10000000/(5*C$7*Assumptions!$K$62),0)</f>
        <v>38115.6153846154</v>
      </c>
      <c r="D12" s="114" t="n">
        <f aca="false">IFERROR(('Investment Build'!$D$18*(1+Assumptions!$K$26*4)+'Investment Build'!$D$29*5)*10000000/(5*D$7*Assumptions!$K$62),0)</f>
        <v>19057.8076923077</v>
      </c>
      <c r="E12" s="114" t="n">
        <f aca="false">IFERROR(('Investment Build'!$D$18*(1+Assumptions!$K$26*4)+'Investment Build'!$D$29*5)*10000000/(5*E$7*Assumptions!$K$62),0)</f>
        <v>12705.2051282051</v>
      </c>
      <c r="F12" s="114" t="n">
        <f aca="false">IFERROR(('Investment Build'!$D$18*(1+Assumptions!$K$26*4)+'Investment Build'!$D$29*5)*10000000/(5*F$7*Assumptions!$K$62),0)</f>
        <v>9528.90384615385</v>
      </c>
      <c r="G12" s="114" t="n">
        <f aca="false">IFERROR(('Investment Build'!$D$18*(1+Assumptions!$K$26*4)+'Investment Build'!$D$29*5)*10000000/(5*G$7*Assumptions!$K$62),0)</f>
        <v>6352.60256410256</v>
      </c>
      <c r="H12" s="114" t="n">
        <f aca="false">IFERROR(('Investment Build'!$D$18*(1+Assumptions!$K$26*4)+'Investment Build'!$D$29*5)*10000000/(5*H$7*Assumptions!$K$62),0)</f>
        <v>4764.45192307692</v>
      </c>
    </row>
    <row r="13" customFormat="false" ht="15" hidden="false" customHeight="false" outlineLevel="0" collapsed="false">
      <c r="B13" s="98" t="n">
        <v>6</v>
      </c>
      <c r="C13" s="114" t="n">
        <f aca="false">IFERROR(('Investment Build'!$D$18*(1+Assumptions!$K$26*5)+'Investment Build'!$D$29*6)*10000000/(6*C$7*Assumptions!$K$62),0)</f>
        <v>36061.5384615385</v>
      </c>
      <c r="D13" s="114" t="n">
        <f aca="false">IFERROR(('Investment Build'!$D$18*(1+Assumptions!$K$26*5)+'Investment Build'!$D$29*6)*10000000/(6*D$7*Assumptions!$K$62),0)</f>
        <v>18030.7692307692</v>
      </c>
      <c r="E13" s="114" t="n">
        <f aca="false">IFERROR(('Investment Build'!$D$18*(1+Assumptions!$K$26*5)+'Investment Build'!$D$29*6)*10000000/(6*E$7*Assumptions!$K$62),0)</f>
        <v>12020.5128205128</v>
      </c>
      <c r="F13" s="114" t="n">
        <f aca="false">IFERROR(('Investment Build'!$D$18*(1+Assumptions!$K$26*5)+'Investment Build'!$D$29*6)*10000000/(6*F$7*Assumptions!$K$62),0)</f>
        <v>9015.38461538461</v>
      </c>
      <c r="G13" s="114" t="n">
        <f aca="false">IFERROR(('Investment Build'!$D$18*(1+Assumptions!$K$26*5)+'Investment Build'!$D$29*6)*10000000/(6*G$7*Assumptions!$K$62),0)</f>
        <v>6010.25641025641</v>
      </c>
      <c r="H13" s="114" t="n">
        <f aca="false">IFERROR(('Investment Build'!$D$18*(1+Assumptions!$K$26*5)+'Investment Build'!$D$29*6)*10000000/(6*H$7*Assumptions!$K$62),0)</f>
        <v>4507.69230769231</v>
      </c>
    </row>
    <row r="14" customFormat="false" ht="15" hidden="false" customHeight="false" outlineLevel="0" collapsed="false">
      <c r="B14" s="98" t="n">
        <v>7</v>
      </c>
      <c r="C14" s="114" t="n">
        <f aca="false">IFERROR(('Investment Build'!$D$18*(1+Assumptions!$K$26*6)+'Investment Build'!$D$29*7)*10000000/(7*C$7*Assumptions!$K$62),0)</f>
        <v>34594.3406593407</v>
      </c>
      <c r="D14" s="114" t="n">
        <f aca="false">IFERROR(('Investment Build'!$D$18*(1+Assumptions!$K$26*6)+'Investment Build'!$D$29*7)*10000000/(7*D$7*Assumptions!$K$62),0)</f>
        <v>17297.1703296703</v>
      </c>
      <c r="E14" s="114" t="n">
        <f aca="false">IFERROR(('Investment Build'!$D$18*(1+Assumptions!$K$26*6)+'Investment Build'!$D$29*7)*10000000/(7*E$7*Assumptions!$K$62),0)</f>
        <v>11531.4468864469</v>
      </c>
      <c r="F14" s="114" t="n">
        <f aca="false">IFERROR(('Investment Build'!$D$18*(1+Assumptions!$K$26*6)+'Investment Build'!$D$29*7)*10000000/(7*F$7*Assumptions!$K$62),0)</f>
        <v>8648.58516483517</v>
      </c>
      <c r="G14" s="114" t="n">
        <f aca="false">IFERROR(('Investment Build'!$D$18*(1+Assumptions!$K$26*6)+'Investment Build'!$D$29*7)*10000000/(7*G$7*Assumptions!$K$62),0)</f>
        <v>5765.72344322344</v>
      </c>
      <c r="H14" s="114" t="n">
        <f aca="false">IFERROR(('Investment Build'!$D$18*(1+Assumptions!$K$26*6)+'Investment Build'!$D$29*7)*10000000/(7*H$7*Assumptions!$K$62),0)</f>
        <v>4324.29258241758</v>
      </c>
    </row>
    <row r="15" customFormat="false" ht="15" hidden="false" customHeight="false" outlineLevel="0" collapsed="false">
      <c r="B15" s="98" t="n">
        <v>8</v>
      </c>
      <c r="C15" s="114" t="n">
        <f aca="false">IFERROR(('Investment Build'!$D$18*(1+Assumptions!$K$26*7)+'Investment Build'!$D$29*8)*10000000/(8*C$7*Assumptions!$K$62),0)</f>
        <v>33493.9423076923</v>
      </c>
      <c r="D15" s="114" t="n">
        <f aca="false">IFERROR(('Investment Build'!$D$18*(1+Assumptions!$K$26*7)+'Investment Build'!$D$29*8)*10000000/(8*D$7*Assumptions!$K$62),0)</f>
        <v>16746.9711538462</v>
      </c>
      <c r="E15" s="114" t="n">
        <f aca="false">IFERROR(('Investment Build'!$D$18*(1+Assumptions!$K$26*7)+'Investment Build'!$D$29*8)*10000000/(8*E$7*Assumptions!$K$62),0)</f>
        <v>11164.6474358974</v>
      </c>
      <c r="F15" s="114" t="n">
        <f aca="false">IFERROR(('Investment Build'!$D$18*(1+Assumptions!$K$26*7)+'Investment Build'!$D$29*8)*10000000/(8*F$7*Assumptions!$K$62),0)</f>
        <v>8373.48557692308</v>
      </c>
      <c r="G15" s="114" t="n">
        <f aca="false">IFERROR(('Investment Build'!$D$18*(1+Assumptions!$K$26*7)+'Investment Build'!$D$29*8)*10000000/(8*G$7*Assumptions!$K$62),0)</f>
        <v>5582.32371794872</v>
      </c>
      <c r="H15" s="114" t="n">
        <f aca="false">IFERROR(('Investment Build'!$D$18*(1+Assumptions!$K$26*7)+'Investment Build'!$D$29*8)*10000000/(8*H$7*Assumptions!$K$62),0)</f>
        <v>4186.74278846154</v>
      </c>
    </row>
    <row r="16" customFormat="false" ht="15" hidden="false" customHeight="true" outlineLevel="0" collapsed="false">
      <c r="A16" s="91" t="s">
        <v>304</v>
      </c>
      <c r="B16" s="91"/>
      <c r="C16" s="91"/>
      <c r="D16" s="91"/>
      <c r="E16" s="91"/>
      <c r="F16" s="91"/>
      <c r="G16" s="91"/>
      <c r="H16" s="91"/>
    </row>
    <row r="17" customFormat="false" ht="15" hidden="false" customHeight="false" outlineLevel="0" collapsed="false">
      <c r="A17" s="91"/>
      <c r="B17" s="91"/>
      <c r="C17" s="91"/>
      <c r="D17" s="91"/>
      <c r="E17" s="91"/>
      <c r="F17" s="91"/>
      <c r="G17" s="91"/>
      <c r="H17" s="91"/>
    </row>
    <row r="18" customFormat="false" ht="15" hidden="false" customHeight="false" outlineLevel="0" collapsed="false">
      <c r="A18" s="8" t="s">
        <v>305</v>
      </c>
      <c r="B18" s="9"/>
      <c r="C18" s="9"/>
      <c r="D18" s="9"/>
      <c r="E18" s="9"/>
      <c r="F18" s="9"/>
      <c r="G18" s="9"/>
      <c r="H18" s="9"/>
      <c r="I18" s="9"/>
      <c r="J18" s="9"/>
    </row>
    <row r="19" customFormat="false" ht="15" hidden="false" customHeight="false" outlineLevel="0" collapsed="false">
      <c r="A19" s="32" t="s">
        <v>306</v>
      </c>
      <c r="C19" s="98" t="n">
        <v>1</v>
      </c>
      <c r="D19" s="98" t="n">
        <v>2</v>
      </c>
      <c r="E19" s="98" t="n">
        <v>3</v>
      </c>
      <c r="F19" s="98" t="n">
        <v>4</v>
      </c>
      <c r="G19" s="98" t="n">
        <v>5</v>
      </c>
      <c r="H19" s="98" t="n">
        <v>6</v>
      </c>
    </row>
    <row r="20" customFormat="false" ht="15" hidden="false" customHeight="false" outlineLevel="0" collapsed="false">
      <c r="A20" s="32" t="s">
        <v>229</v>
      </c>
      <c r="B20" s="115" t="n">
        <v>0.1</v>
      </c>
      <c r="C20" s="114" t="n">
        <f aca="false">IFERROR(('Investment Build'!$D$18*(1+Assumptions!$K$26*0)+'Investment Build'!$D$29*1)*10000000/($B20*Assumptions!$K$36*1),0)</f>
        <v>259742.857142857</v>
      </c>
      <c r="D20" s="114" t="n">
        <f aca="false">IFERROR(('Investment Build'!$D$18*(1+Assumptions!$K$26*1)+'Investment Build'!$D$29*2)*10000000/($B20*Assumptions!$K$36*2),0)</f>
        <v>168189.714285714</v>
      </c>
      <c r="E20" s="114" t="n">
        <f aca="false">IFERROR(('Investment Build'!$D$18*(1+Assumptions!$K$26*2)+'Investment Build'!$D$29*3)*10000000/($B20*Assumptions!$K$36*3),0)</f>
        <v>137672</v>
      </c>
      <c r="F20" s="114" t="n">
        <f aca="false">IFERROR(('Investment Build'!$D$18*(1+Assumptions!$K$26*3)+'Investment Build'!$D$29*4)*10000000/($B20*Assumptions!$K$36*4),0)</f>
        <v>122413.142857143</v>
      </c>
      <c r="G20" s="114" t="n">
        <f aca="false">IFERROR(('Investment Build'!$D$18*(1+Assumptions!$K$26*4)+'Investment Build'!$D$29*5)*10000000/($B20*Assumptions!$K$36*5),0)</f>
        <v>113257.828571429</v>
      </c>
      <c r="H20" s="114" t="n">
        <f aca="false">IFERROR(('Investment Build'!$D$18*(1+Assumptions!$K$26*5)+'Investment Build'!$D$29*6)*10000000/($B20*Assumptions!$K$36*6),0)</f>
        <v>107154.285714286</v>
      </c>
    </row>
    <row r="21" customFormat="false" ht="15" hidden="false" customHeight="false" outlineLevel="0" collapsed="false">
      <c r="B21" s="115" t="n">
        <v>0.14</v>
      </c>
      <c r="C21" s="114" t="n">
        <f aca="false">IFERROR(('Investment Build'!$D$18*(1+Assumptions!$K$26*0)+'Investment Build'!$D$29*1)*10000000/($B21*Assumptions!$K$36*1),0)</f>
        <v>185530.612244898</v>
      </c>
      <c r="D21" s="114" t="n">
        <f aca="false">IFERROR(('Investment Build'!$D$18*(1+Assumptions!$K$26*1)+'Investment Build'!$D$29*2)*10000000/($B21*Assumptions!$K$36*2),0)</f>
        <v>120135.510204082</v>
      </c>
      <c r="E21" s="114" t="n">
        <f aca="false">IFERROR(('Investment Build'!$D$18*(1+Assumptions!$K$26*2)+'Investment Build'!$D$29*3)*10000000/($B21*Assumptions!$K$36*3),0)</f>
        <v>98337.1428571428</v>
      </c>
      <c r="F21" s="114" t="n">
        <f aca="false">IFERROR(('Investment Build'!$D$18*(1+Assumptions!$K$26*3)+'Investment Build'!$D$29*4)*10000000/($B21*Assumptions!$K$36*4),0)</f>
        <v>87437.9591836735</v>
      </c>
      <c r="G21" s="114" t="n">
        <f aca="false">IFERROR(('Investment Build'!$D$18*(1+Assumptions!$K$26*4)+'Investment Build'!$D$29*5)*10000000/($B21*Assumptions!$K$36*5),0)</f>
        <v>80898.4489795918</v>
      </c>
      <c r="H21" s="114" t="n">
        <f aca="false">IFERROR(('Investment Build'!$D$18*(1+Assumptions!$K$26*5)+'Investment Build'!$D$29*6)*10000000/($B21*Assumptions!$K$36*6),0)</f>
        <v>76538.7755102041</v>
      </c>
    </row>
    <row r="22" customFormat="false" ht="15" hidden="false" customHeight="false" outlineLevel="0" collapsed="false">
      <c r="B22" s="115" t="n">
        <v>0.18</v>
      </c>
      <c r="C22" s="114" t="n">
        <f aca="false">IFERROR(('Investment Build'!$D$18*(1+Assumptions!$K$26*0)+'Investment Build'!$D$29*1)*10000000/($B22*Assumptions!$K$36*1),0)</f>
        <v>144301.587301587</v>
      </c>
      <c r="D22" s="114" t="n">
        <f aca="false">IFERROR(('Investment Build'!$D$18*(1+Assumptions!$K$26*1)+'Investment Build'!$D$29*2)*10000000/($B22*Assumptions!$K$36*2),0)</f>
        <v>93438.7301587302</v>
      </c>
      <c r="E22" s="114" t="n">
        <f aca="false">IFERROR(('Investment Build'!$D$18*(1+Assumptions!$K$26*2)+'Investment Build'!$D$29*3)*10000000/($B22*Assumptions!$K$36*3),0)</f>
        <v>76484.4444444444</v>
      </c>
      <c r="F22" s="114" t="n">
        <f aca="false">IFERROR(('Investment Build'!$D$18*(1+Assumptions!$K$26*3)+'Investment Build'!$D$29*4)*10000000/($B22*Assumptions!$K$36*4),0)</f>
        <v>68007.3015873016</v>
      </c>
      <c r="G22" s="114" t="n">
        <f aca="false">IFERROR(('Investment Build'!$D$18*(1+Assumptions!$K$26*4)+'Investment Build'!$D$29*5)*10000000/($B22*Assumptions!$K$36*5),0)</f>
        <v>62921.0158730159</v>
      </c>
      <c r="H22" s="114" t="n">
        <f aca="false">IFERROR(('Investment Build'!$D$18*(1+Assumptions!$K$26*5)+'Investment Build'!$D$29*6)*10000000/($B22*Assumptions!$K$36*6),0)</f>
        <v>59530.1587301587</v>
      </c>
    </row>
    <row r="23" customFormat="false" ht="15" hidden="false" customHeight="false" outlineLevel="0" collapsed="false">
      <c r="B23" s="115" t="n">
        <v>0.22</v>
      </c>
      <c r="C23" s="114" t="n">
        <f aca="false">IFERROR(('Investment Build'!$D$18*(1+Assumptions!$K$26*0)+'Investment Build'!$D$29*1)*10000000/($B23*Assumptions!$K$36*1),0)</f>
        <v>118064.935064935</v>
      </c>
      <c r="D23" s="114" t="n">
        <f aca="false">IFERROR(('Investment Build'!$D$18*(1+Assumptions!$K$26*1)+'Investment Build'!$D$29*2)*10000000/($B23*Assumptions!$K$36*2),0)</f>
        <v>76449.8701298701</v>
      </c>
      <c r="E23" s="114" t="n">
        <f aca="false">IFERROR(('Investment Build'!$D$18*(1+Assumptions!$K$26*2)+'Investment Build'!$D$29*3)*10000000/($B23*Assumptions!$K$36*3),0)</f>
        <v>62578.1818181818</v>
      </c>
      <c r="F23" s="114" t="n">
        <f aca="false">IFERROR(('Investment Build'!$D$18*(1+Assumptions!$K$26*3)+'Investment Build'!$D$29*4)*10000000/($B23*Assumptions!$K$36*4),0)</f>
        <v>55642.3376623377</v>
      </c>
      <c r="G23" s="114" t="n">
        <f aca="false">IFERROR(('Investment Build'!$D$18*(1+Assumptions!$K$26*4)+'Investment Build'!$D$29*5)*10000000/($B23*Assumptions!$K$36*5),0)</f>
        <v>51480.8311688312</v>
      </c>
      <c r="H23" s="114" t="n">
        <f aca="false">IFERROR(('Investment Build'!$D$18*(1+Assumptions!$K$26*5)+'Investment Build'!$D$29*6)*10000000/($B23*Assumptions!$K$36*6),0)</f>
        <v>48706.4935064935</v>
      </c>
    </row>
    <row r="24" customFormat="false" ht="15" hidden="false" customHeight="false" outlineLevel="0" collapsed="false">
      <c r="B24" s="115" t="n">
        <v>0.26</v>
      </c>
      <c r="C24" s="114" t="n">
        <f aca="false">IFERROR(('Investment Build'!$D$18*(1+Assumptions!$K$26*0)+'Investment Build'!$D$29*1)*10000000/($B24*Assumptions!$K$36*1),0)</f>
        <v>99901.0989010989</v>
      </c>
      <c r="D24" s="114" t="n">
        <f aca="false">IFERROR(('Investment Build'!$D$18*(1+Assumptions!$K$26*1)+'Investment Build'!$D$29*2)*10000000/($B24*Assumptions!$K$36*2),0)</f>
        <v>64688.3516483517</v>
      </c>
      <c r="E24" s="114" t="n">
        <f aca="false">IFERROR(('Investment Build'!$D$18*(1+Assumptions!$K$26*2)+'Investment Build'!$D$29*3)*10000000/($B24*Assumptions!$K$36*3),0)</f>
        <v>52950.7692307692</v>
      </c>
      <c r="F24" s="114" t="n">
        <f aca="false">IFERROR(('Investment Build'!$D$18*(1+Assumptions!$K$26*3)+'Investment Build'!$D$29*4)*10000000/($B24*Assumptions!$K$36*4),0)</f>
        <v>47081.978021978</v>
      </c>
      <c r="G24" s="114" t="n">
        <f aca="false">IFERROR(('Investment Build'!$D$18*(1+Assumptions!$K$26*4)+'Investment Build'!$D$29*5)*10000000/($B24*Assumptions!$K$36*5),0)</f>
        <v>43560.7032967033</v>
      </c>
      <c r="H24" s="114" t="n">
        <f aca="false">IFERROR(('Investment Build'!$D$18*(1+Assumptions!$K$26*5)+'Investment Build'!$D$29*6)*10000000/($B24*Assumptions!$K$36*6),0)</f>
        <v>41213.1868131868</v>
      </c>
    </row>
    <row r="25" customFormat="false" ht="15" hidden="false" customHeight="false" outlineLevel="0" collapsed="false">
      <c r="B25" s="115" t="n">
        <v>0.3</v>
      </c>
      <c r="C25" s="114" t="n">
        <f aca="false">IFERROR(('Investment Build'!$D$18*(1+Assumptions!$K$26*0)+'Investment Build'!$D$29*1)*10000000/($B25*Assumptions!$K$36*1),0)</f>
        <v>86580.9523809524</v>
      </c>
      <c r="D25" s="114" t="n">
        <f aca="false">IFERROR(('Investment Build'!$D$18*(1+Assumptions!$K$26*1)+'Investment Build'!$D$29*2)*10000000/($B25*Assumptions!$K$36*2),0)</f>
        <v>56063.2380952381</v>
      </c>
      <c r="E25" s="114" t="n">
        <f aca="false">IFERROR(('Investment Build'!$D$18*(1+Assumptions!$K$26*2)+'Investment Build'!$D$29*3)*10000000/($B25*Assumptions!$K$36*3),0)</f>
        <v>45890.6666666667</v>
      </c>
      <c r="F25" s="114" t="n">
        <f aca="false">IFERROR(('Investment Build'!$D$18*(1+Assumptions!$K$26*3)+'Investment Build'!$D$29*4)*10000000/($B25*Assumptions!$K$36*4),0)</f>
        <v>40804.380952381</v>
      </c>
      <c r="G25" s="114" t="n">
        <f aca="false">IFERROR(('Investment Build'!$D$18*(1+Assumptions!$K$26*4)+'Investment Build'!$D$29*5)*10000000/($B25*Assumptions!$K$36*5),0)</f>
        <v>37752.6095238095</v>
      </c>
      <c r="H25" s="114" t="n">
        <f aca="false">IFERROR(('Investment Build'!$D$18*(1+Assumptions!$K$26*5)+'Investment Build'!$D$29*6)*10000000/($B25*Assumptions!$K$36*6),0)</f>
        <v>35718.0952380952</v>
      </c>
    </row>
    <row r="26" customFormat="false" ht="15" hidden="false" customHeight="true" outlineLevel="0" collapsed="false">
      <c r="A26" s="91" t="s">
        <v>307</v>
      </c>
      <c r="B26" s="91"/>
      <c r="C26" s="91"/>
      <c r="D26" s="91"/>
      <c r="E26" s="91"/>
      <c r="F26" s="91"/>
      <c r="G26" s="91"/>
      <c r="H26" s="91"/>
    </row>
    <row r="27" customFormat="false" ht="15" hidden="false" customHeight="false" outlineLevel="0" collapsed="false">
      <c r="A27" s="91"/>
      <c r="B27" s="91"/>
      <c r="C27" s="91"/>
      <c r="D27" s="91"/>
      <c r="E27" s="91"/>
      <c r="F27" s="91"/>
      <c r="G27" s="91"/>
      <c r="H27" s="91"/>
    </row>
    <row r="29" customFormat="false" ht="15" hidden="false" customHeight="false" outlineLevel="0" collapsed="false">
      <c r="A29" s="8" t="s">
        <v>308</v>
      </c>
      <c r="B29" s="9"/>
      <c r="C29" s="9"/>
      <c r="D29" s="9"/>
      <c r="E29" s="9"/>
      <c r="F29" s="9"/>
      <c r="G29" s="9"/>
      <c r="H29" s="9"/>
      <c r="I29" s="9"/>
      <c r="J29" s="9"/>
    </row>
    <row r="30" customFormat="false" ht="15" hidden="false" customHeight="false" outlineLevel="0" collapsed="false">
      <c r="A30" s="32" t="s">
        <v>302</v>
      </c>
      <c r="C30" s="113" t="n">
        <f aca="false">Assumptions!$K$46*0.25</f>
        <v>25000</v>
      </c>
      <c r="D30" s="113" t="n">
        <f aca="false">Assumptions!$K$46*0.5</f>
        <v>50000</v>
      </c>
      <c r="E30" s="113" t="n">
        <f aca="false">Assumptions!$K$46*0.75</f>
        <v>75000</v>
      </c>
      <c r="F30" s="113" t="n">
        <f aca="false">Assumptions!$K$46*1</f>
        <v>100000</v>
      </c>
      <c r="G30" s="113" t="n">
        <f aca="false">Assumptions!$K$46*1.5</f>
        <v>150000</v>
      </c>
      <c r="H30" s="113" t="n">
        <f aca="false">Assumptions!$K$46*2</f>
        <v>200000</v>
      </c>
    </row>
    <row r="31" customFormat="false" ht="15" hidden="false" customHeight="false" outlineLevel="0" collapsed="false">
      <c r="A31" s="32" t="s">
        <v>303</v>
      </c>
      <c r="B31" s="98" t="n">
        <v>1</v>
      </c>
      <c r="C31" s="116" t="n">
        <f aca="false">IFERROR(((Assumptions!$K$36-(Assumptions!$K$36*Assumptions!$K$37+Assumptions!$K$38*Assumptions!$K$39)*(1-LOG(1,2)*Assumptions!$K$28)-Assumptions!$K$36*(Assumptions!$K$40+Assumptions!$K$41+Assumptions!$K$42))-(Assumptions!$K$43*10000000/MIN(1*C$30,Assumptions!$K$33))-(Assumptions!$K$44*Assumptions!$K$36)-(('Investment Build'!$D$18*(1+Assumptions!$K$26*0)+'Investment Build'!$D$29*1)*10000000/(1*C$30*Assumptions!$K$62)))/Assumptions!$K$36,0)</f>
        <v>-0.232019230769231</v>
      </c>
      <c r="D31" s="116" t="n">
        <f aca="false">IFERROR(((Assumptions!$K$36-(Assumptions!$K$36*Assumptions!$K$37+Assumptions!$K$38*Assumptions!$K$39)*(1-LOG(1,2)*Assumptions!$K$28)-Assumptions!$K$36*(Assumptions!$K$40+Assumptions!$K$41+Assumptions!$K$42))-(Assumptions!$K$43*10000000/MIN(1*D$30,Assumptions!$K$33))-(Assumptions!$K$44*Assumptions!$K$36)-(('Investment Build'!$D$18*(1+Assumptions!$K$26*0)+'Investment Build'!$D$29*1)*10000000/(1*D$30*Assumptions!$K$62)))/Assumptions!$K$36,0)</f>
        <v>-0.0410096153846153</v>
      </c>
      <c r="E31" s="116" t="n">
        <f aca="false">IFERROR(((Assumptions!$K$36-(Assumptions!$K$36*Assumptions!$K$37+Assumptions!$K$38*Assumptions!$K$39)*(1-LOG(1,2)*Assumptions!$K$28)-Assumptions!$K$36*(Assumptions!$K$40+Assumptions!$K$41+Assumptions!$K$42))-(Assumptions!$K$43*10000000/MIN(1*E$30,Assumptions!$K$33))-(Assumptions!$K$44*Assumptions!$K$36)-(('Investment Build'!$D$18*(1+Assumptions!$K$26*0)+'Investment Build'!$D$29*1)*10000000/(1*E$30*Assumptions!$K$62)))/Assumptions!$K$36,0)</f>
        <v>0.0226602564102565</v>
      </c>
      <c r="F31" s="116" t="n">
        <f aca="false">IFERROR(((Assumptions!$K$36-(Assumptions!$K$36*Assumptions!$K$37+Assumptions!$K$38*Assumptions!$K$39)*(1-LOG(1,2)*Assumptions!$K$28)-Assumptions!$K$36*(Assumptions!$K$40+Assumptions!$K$41+Assumptions!$K$42))-(Assumptions!$K$43*10000000/MIN(1*F$30,Assumptions!$K$33))-(Assumptions!$K$44*Assumptions!$K$36)-(('Investment Build'!$D$18*(1+Assumptions!$K$26*0)+'Investment Build'!$D$29*1)*10000000/(1*F$30*Assumptions!$K$62)))/Assumptions!$K$36,0)</f>
        <v>0.0544951923076924</v>
      </c>
      <c r="G31" s="116" t="n">
        <f aca="false">IFERROR(((Assumptions!$K$36-(Assumptions!$K$36*Assumptions!$K$37+Assumptions!$K$38*Assumptions!$K$39)*(1-LOG(1,2)*Assumptions!$K$28)-Assumptions!$K$36*(Assumptions!$K$40+Assumptions!$K$41+Assumptions!$K$42))-(Assumptions!$K$43*10000000/MIN(1*G$30,Assumptions!$K$33))-(Assumptions!$K$44*Assumptions!$K$36)-(('Investment Build'!$D$18*(1+Assumptions!$K$26*0)+'Investment Build'!$D$29*1)*10000000/(1*G$30*Assumptions!$K$62)))/Assumptions!$K$36,0)</f>
        <v>0.0863301282051283</v>
      </c>
      <c r="H31" s="116" t="n">
        <f aca="false">IFERROR(((Assumptions!$K$36-(Assumptions!$K$36*Assumptions!$K$37+Assumptions!$K$38*Assumptions!$K$39)*(1-LOG(1,2)*Assumptions!$K$28)-Assumptions!$K$36*(Assumptions!$K$40+Assumptions!$K$41+Assumptions!$K$42))-(Assumptions!$K$43*10000000/MIN(1*H$30,Assumptions!$K$33))-(Assumptions!$K$44*Assumptions!$K$36)-(('Investment Build'!$D$18*(1+Assumptions!$K$26*0)+'Investment Build'!$D$29*1)*10000000/(1*H$30*Assumptions!$K$62)))/Assumptions!$K$36,0)</f>
        <v>0.102247596153846</v>
      </c>
    </row>
    <row r="32" customFormat="false" ht="15" hidden="false" customHeight="false" outlineLevel="0" collapsed="false">
      <c r="B32" s="98" t="n">
        <v>2</v>
      </c>
      <c r="C32" s="116" t="n">
        <f aca="false">IFERROR(((Assumptions!$K$36-(Assumptions!$K$36*Assumptions!$K$37+Assumptions!$K$38*Assumptions!$K$39)*(1-LOG(2,2)*Assumptions!$K$28)-Assumptions!$K$36*(Assumptions!$K$40+Assumptions!$K$41+Assumptions!$K$42))-(Assumptions!$K$43*10000000/MIN(2*C$30,Assumptions!$K$33))-(Assumptions!$K$44*Assumptions!$K$36)-(('Investment Build'!$D$18*(1+Assumptions!$K$26*1)+'Investment Build'!$D$29*2)*10000000/(2*C$30*Assumptions!$K$62)))/Assumptions!$K$36,0)</f>
        <v>-0.0349318681318681</v>
      </c>
      <c r="D32" s="116" t="n">
        <f aca="false">IFERROR(((Assumptions!$K$36-(Assumptions!$K$36*Assumptions!$K$37+Assumptions!$K$38*Assumptions!$K$39)*(1-LOG(2,2)*Assumptions!$K$28)-Assumptions!$K$36*(Assumptions!$K$40+Assumptions!$K$41+Assumptions!$K$42))-(Assumptions!$K$43*10000000/MIN(2*D$30,Assumptions!$K$33))-(Assumptions!$K$44*Assumptions!$K$36)-(('Investment Build'!$D$18*(1+Assumptions!$K$26*1)+'Investment Build'!$D$29*2)*10000000/(2*D$30*Assumptions!$K$62)))/Assumptions!$K$36,0)</f>
        <v>0.069784065934066</v>
      </c>
      <c r="E32" s="116" t="n">
        <f aca="false">IFERROR(((Assumptions!$K$36-(Assumptions!$K$36*Assumptions!$K$37+Assumptions!$K$38*Assumptions!$K$39)*(1-LOG(2,2)*Assumptions!$K$28)-Assumptions!$K$36*(Assumptions!$K$40+Assumptions!$K$41+Assumptions!$K$42))-(Assumptions!$K$43*10000000/MIN(2*E$30,Assumptions!$K$33))-(Assumptions!$K$44*Assumptions!$K$36)-(('Investment Build'!$D$18*(1+Assumptions!$K$26*1)+'Investment Build'!$D$29*2)*10000000/(2*E$30*Assumptions!$K$62)))/Assumptions!$K$36,0)</f>
        <v>0.104689377289377</v>
      </c>
      <c r="F32" s="116" t="n">
        <f aca="false">IFERROR(((Assumptions!$K$36-(Assumptions!$K$36*Assumptions!$K$37+Assumptions!$K$38*Assumptions!$K$39)*(1-LOG(2,2)*Assumptions!$K$28)-Assumptions!$K$36*(Assumptions!$K$40+Assumptions!$K$41+Assumptions!$K$42))-(Assumptions!$K$43*10000000/MIN(2*F$30,Assumptions!$K$33))-(Assumptions!$K$44*Assumptions!$K$36)-(('Investment Build'!$D$18*(1+Assumptions!$K$26*1)+'Investment Build'!$D$29*2)*10000000/(2*F$30*Assumptions!$K$62)))/Assumptions!$K$36,0)</f>
        <v>0.122142032967033</v>
      </c>
      <c r="G32" s="116" t="n">
        <f aca="false">IFERROR(((Assumptions!$K$36-(Assumptions!$K$36*Assumptions!$K$37+Assumptions!$K$38*Assumptions!$K$39)*(1-LOG(2,2)*Assumptions!$K$28)-Assumptions!$K$36*(Assumptions!$K$40+Assumptions!$K$41+Assumptions!$K$42))-(Assumptions!$K$43*10000000/MIN(2*G$30,Assumptions!$K$33))-(Assumptions!$K$44*Assumptions!$K$36)-(('Investment Build'!$D$18*(1+Assumptions!$K$26*1)+'Investment Build'!$D$29*2)*10000000/(2*G$30*Assumptions!$K$62)))/Assumptions!$K$36,0)</f>
        <v>0.139594688644689</v>
      </c>
      <c r="H32" s="116" t="n">
        <f aca="false">IFERROR(((Assumptions!$K$36-(Assumptions!$K$36*Assumptions!$K$37+Assumptions!$K$38*Assumptions!$K$39)*(1-LOG(2,2)*Assumptions!$K$28)-Assumptions!$K$36*(Assumptions!$K$40+Assumptions!$K$41+Assumptions!$K$42))-(Assumptions!$K$43*10000000/MIN(2*H$30,Assumptions!$K$33))-(Assumptions!$K$44*Assumptions!$K$36)-(('Investment Build'!$D$18*(1+Assumptions!$K$26*1)+'Investment Build'!$D$29*2)*10000000/(2*H$30*Assumptions!$K$62)))/Assumptions!$K$36,0)</f>
        <v>0.148321016483517</v>
      </c>
    </row>
    <row r="33" customFormat="false" ht="15" hidden="false" customHeight="false" outlineLevel="0" collapsed="false">
      <c r="B33" s="98" t="n">
        <v>3</v>
      </c>
      <c r="C33" s="116" t="n">
        <f aca="false">IFERROR(((Assumptions!$K$36-(Assumptions!$K$36*Assumptions!$K$37+Assumptions!$K$38*Assumptions!$K$39)*(1-LOG(3,2)*Assumptions!$K$28)-Assumptions!$K$36*(Assumptions!$K$40+Assumptions!$K$41+Assumptions!$K$42))-(Assumptions!$K$43*10000000/MIN(3*C$30,Assumptions!$K$33))-(Assumptions!$K$44*Assumptions!$K$36)-(('Investment Build'!$D$18*(1+Assumptions!$K$26*2)+'Investment Build'!$D$29*3)*10000000/(3*C$30*Assumptions!$K$62)))/Assumptions!$K$36,0)</f>
        <v>0.0369288340149212</v>
      </c>
      <c r="D33" s="116" t="n">
        <f aca="false">IFERROR(((Assumptions!$K$36-(Assumptions!$K$36*Assumptions!$K$37+Assumptions!$K$38*Assumptions!$K$39)*(1-LOG(3,2)*Assumptions!$K$28)-Assumptions!$K$36*(Assumptions!$K$40+Assumptions!$K$41+Assumptions!$K$42))-(Assumptions!$K$43*10000000/MIN(3*D$30,Assumptions!$K$33))-(Assumptions!$K$44*Assumptions!$K$36)-(('Investment Build'!$D$18*(1+Assumptions!$K$26*2)+'Investment Build'!$D$29*3)*10000000/(3*D$30*Assumptions!$K$62)))/Assumptions!$K$36,0)</f>
        <v>0.112880207641295</v>
      </c>
      <c r="E33" s="116" t="n">
        <f aca="false">IFERROR(((Assumptions!$K$36-(Assumptions!$K$36*Assumptions!$K$37+Assumptions!$K$38*Assumptions!$K$39)*(1-LOG(3,2)*Assumptions!$K$28)-Assumptions!$K$36*(Assumptions!$K$40+Assumptions!$K$41+Assumptions!$K$42))-(Assumptions!$K$43*10000000/MIN(3*E$30,Assumptions!$K$33))-(Assumptions!$K$44*Assumptions!$K$36)-(('Investment Build'!$D$18*(1+Assumptions!$K$26*2)+'Investment Build'!$D$29*3)*10000000/(3*E$30*Assumptions!$K$62)))/Assumptions!$K$36,0)</f>
        <v>0.138197332183419</v>
      </c>
      <c r="F33" s="116" t="n">
        <f aca="false">IFERROR(((Assumptions!$K$36-(Assumptions!$K$36*Assumptions!$K$37+Assumptions!$K$38*Assumptions!$K$39)*(1-LOG(3,2)*Assumptions!$K$28)-Assumptions!$K$36*(Assumptions!$K$40+Assumptions!$K$41+Assumptions!$K$42))-(Assumptions!$K$43*10000000/MIN(3*F$30,Assumptions!$K$33))-(Assumptions!$K$44*Assumptions!$K$36)-(('Investment Build'!$D$18*(1+Assumptions!$K$26*2)+'Investment Build'!$D$29*3)*10000000/(3*F$30*Assumptions!$K$62)))/Assumptions!$K$36,0)</f>
        <v>0.150855894454482</v>
      </c>
      <c r="G33" s="116" t="n">
        <f aca="false">IFERROR(((Assumptions!$K$36-(Assumptions!$K$36*Assumptions!$K$37+Assumptions!$K$38*Assumptions!$K$39)*(1-LOG(3,2)*Assumptions!$K$28)-Assumptions!$K$36*(Assumptions!$K$40+Assumptions!$K$41+Assumptions!$K$42))-(Assumptions!$K$43*10000000/MIN(3*G$30,Assumptions!$K$33))-(Assumptions!$K$44*Assumptions!$K$36)-(('Investment Build'!$D$18*(1+Assumptions!$K$26*2)+'Investment Build'!$D$29*3)*10000000/(3*G$30*Assumptions!$K$62)))/Assumptions!$K$36,0)</f>
        <v>0.16172874243983</v>
      </c>
      <c r="H33" s="116" t="n">
        <f aca="false">IFERROR(((Assumptions!$K$36-(Assumptions!$K$36*Assumptions!$K$37+Assumptions!$K$38*Assumptions!$K$39)*(1-LOG(3,2)*Assumptions!$K$28)-Assumptions!$K$36*(Assumptions!$K$40+Assumptions!$K$41+Assumptions!$K$42))-(Assumptions!$K$43*10000000/MIN(3*H$30,Assumptions!$K$33))-(Assumptions!$K$44*Assumptions!$K$36)-(('Investment Build'!$D$18*(1+Assumptions!$K$26*2)+'Investment Build'!$D$29*3)*10000000/(3*H$30*Assumptions!$K$62)))/Assumptions!$K$36,0)</f>
        <v>0.164486595003932</v>
      </c>
    </row>
    <row r="34" customFormat="false" ht="15" hidden="false" customHeight="false" outlineLevel="0" collapsed="false">
      <c r="B34" s="98" t="n">
        <v>4</v>
      </c>
      <c r="C34" s="116" t="n">
        <f aca="false">IFERROR(((Assumptions!$K$36-(Assumptions!$K$36*Assumptions!$K$37+Assumptions!$K$38*Assumptions!$K$39)*(1-LOG(4,2)*Assumptions!$K$28)-Assumptions!$K$36*(Assumptions!$K$40+Assumptions!$K$41+Assumptions!$K$42))-(Assumptions!$K$43*10000000/MIN(4*C$30,Assumptions!$K$33))-(Assumptions!$K$44*Assumptions!$K$36)-(('Investment Build'!$D$18*(1+Assumptions!$K$26*3)+'Investment Build'!$D$29*4)*10000000/(4*C$30*Assumptions!$K$62)))/Assumptions!$K$36,0)</f>
        <v>0.0758618131868133</v>
      </c>
      <c r="D34" s="116" t="n">
        <f aca="false">IFERROR(((Assumptions!$K$36-(Assumptions!$K$36*Assumptions!$K$37+Assumptions!$K$38*Assumptions!$K$39)*(1-LOG(4,2)*Assumptions!$K$28)-Assumptions!$K$36*(Assumptions!$K$40+Assumptions!$K$41+Assumptions!$K$42))-(Assumptions!$K$43*10000000/MIN(4*D$30,Assumptions!$K$33))-(Assumptions!$K$44*Assumptions!$K$36)-(('Investment Build'!$D$18*(1+Assumptions!$K$26*3)+'Investment Build'!$D$29*4)*10000000/(4*D$30*Assumptions!$K$62)))/Assumptions!$K$36,0)</f>
        <v>0.137430906593407</v>
      </c>
      <c r="E34" s="116" t="n">
        <f aca="false">IFERROR(((Assumptions!$K$36-(Assumptions!$K$36*Assumptions!$K$37+Assumptions!$K$38*Assumptions!$K$39)*(1-LOG(4,2)*Assumptions!$K$28)-Assumptions!$K$36*(Assumptions!$K$40+Assumptions!$K$41+Assumptions!$K$42))-(Assumptions!$K$43*10000000/MIN(4*E$30,Assumptions!$K$33))-(Assumptions!$K$44*Assumptions!$K$36)-(('Investment Build'!$D$18*(1+Assumptions!$K$26*3)+'Investment Build'!$D$29*4)*10000000/(4*E$30*Assumptions!$K$62)))/Assumptions!$K$36,0)</f>
        <v>0.157953937728938</v>
      </c>
      <c r="F34" s="116" t="n">
        <f aca="false">IFERROR(((Assumptions!$K$36-(Assumptions!$K$36*Assumptions!$K$37+Assumptions!$K$38*Assumptions!$K$39)*(1-LOG(4,2)*Assumptions!$K$28)-Assumptions!$K$36*(Assumptions!$K$40+Assumptions!$K$41+Assumptions!$K$42))-(Assumptions!$K$43*10000000/MIN(4*F$30,Assumptions!$K$33))-(Assumptions!$K$44*Assumptions!$K$36)-(('Investment Build'!$D$18*(1+Assumptions!$K$26*3)+'Investment Build'!$D$29*4)*10000000/(4*F$30*Assumptions!$K$62)))/Assumptions!$K$36,0)</f>
        <v>0.168215453296703</v>
      </c>
      <c r="G34" s="116" t="n">
        <f aca="false">IFERROR(((Assumptions!$K$36-(Assumptions!$K$36*Assumptions!$K$37+Assumptions!$K$38*Assumptions!$K$39)*(1-LOG(4,2)*Assumptions!$K$28)-Assumptions!$K$36*(Assumptions!$K$40+Assumptions!$K$41+Assumptions!$K$42))-(Assumptions!$K$43*10000000/MIN(4*G$30,Assumptions!$K$33))-(Assumptions!$K$44*Assumptions!$K$36)-(('Investment Build'!$D$18*(1+Assumptions!$K$26*3)+'Investment Build'!$D$29*4)*10000000/(4*G$30*Assumptions!$K$62)))/Assumptions!$K$36,0)</f>
        <v>0.173119826007326</v>
      </c>
      <c r="H34" s="116" t="n">
        <f aca="false">IFERROR(((Assumptions!$K$36-(Assumptions!$K$36*Assumptions!$K$37+Assumptions!$K$38*Assumptions!$K$39)*(1-LOG(4,2)*Assumptions!$K$28)-Assumptions!$K$36*(Assumptions!$K$40+Assumptions!$K$41+Assumptions!$K$42))-(Assumptions!$K$43*10000000/MIN(4*H$30,Assumptions!$K$33))-(Assumptions!$K$44*Assumptions!$K$36)-(('Investment Build'!$D$18*(1+Assumptions!$K$26*3)+'Investment Build'!$D$29*4)*10000000/(4*H$30*Assumptions!$K$62)))/Assumptions!$K$36,0)</f>
        <v>0.175572012362637</v>
      </c>
    </row>
    <row r="35" customFormat="false" ht="15" hidden="false" customHeight="false" outlineLevel="0" collapsed="false">
      <c r="B35" s="98" t="n">
        <v>5</v>
      </c>
      <c r="C35" s="116" t="n">
        <f aca="false">IFERROR(((Assumptions!$K$36-(Assumptions!$K$36*Assumptions!$K$37+Assumptions!$K$38*Assumptions!$K$39)*(1-LOG(5,2)*Assumptions!$K$28)-Assumptions!$K$36*(Assumptions!$K$40+Assumptions!$K$41+Assumptions!$K$42))-(Assumptions!$K$43*10000000/MIN(5*C$30,Assumptions!$K$33))-(Assumptions!$K$44*Assumptions!$K$36)-(('Investment Build'!$D$18*(1+Assumptions!$K$26*4)+'Investment Build'!$D$29*5)*10000000/(5*C$30*Assumptions!$K$62)))/Assumptions!$K$36,0)</f>
        <v>0.10100778777529</v>
      </c>
      <c r="D35" s="116" t="n">
        <f aca="false">IFERROR(((Assumptions!$K$36-(Assumptions!$K$36*Assumptions!$K$37+Assumptions!$K$38*Assumptions!$K$39)*(1-LOG(5,2)*Assumptions!$K$28)-Assumptions!$K$36*(Assumptions!$K$40+Assumptions!$K$41+Assumptions!$K$42))-(Assumptions!$K$43*10000000/MIN(5*D$30,Assumptions!$K$33))-(Assumptions!$K$44*Assumptions!$K$36)-(('Investment Build'!$D$18*(1+Assumptions!$K$26*4)+'Investment Build'!$D$29*5)*10000000/(5*D$30*Assumptions!$K$62)))/Assumptions!$K$36,0)</f>
        <v>0.153947513050015</v>
      </c>
      <c r="E35" s="116" t="n">
        <f aca="false">IFERROR(((Assumptions!$K$36-(Assumptions!$K$36*Assumptions!$K$37+Assumptions!$K$38*Assumptions!$K$39)*(1-LOG(5,2)*Assumptions!$K$28)-Assumptions!$K$36*(Assumptions!$K$40+Assumptions!$K$41+Assumptions!$K$42))-(Assumptions!$K$43*10000000/MIN(5*E$30,Assumptions!$K$33))-(Assumptions!$K$44*Assumptions!$K$36)-(('Investment Build'!$D$18*(1+Assumptions!$K$26*4)+'Investment Build'!$D$29*5)*10000000/(5*E$30*Assumptions!$K$62)))/Assumptions!$K$36,0)</f>
        <v>0.17159408814159</v>
      </c>
      <c r="F35" s="116" t="n">
        <f aca="false">IFERROR(((Assumptions!$K$36-(Assumptions!$K$36*Assumptions!$K$37+Assumptions!$K$38*Assumptions!$K$39)*(1-LOG(5,2)*Assumptions!$K$28)-Assumptions!$K$36*(Assumptions!$K$40+Assumptions!$K$41+Assumptions!$K$42))-(Assumptions!$K$43*10000000/MIN(5*F$30,Assumptions!$K$33))-(Assumptions!$K$44*Assumptions!$K$36)-(('Investment Build'!$D$18*(1+Assumptions!$K$26*4)+'Investment Build'!$D$29*5)*10000000/(5*F$30*Assumptions!$K$62)))/Assumptions!$K$36,0)</f>
        <v>0.177203089973092</v>
      </c>
      <c r="G35" s="116" t="n">
        <f aca="false">IFERROR(((Assumptions!$K$36-(Assumptions!$K$36*Assumptions!$K$37+Assumptions!$K$38*Assumptions!$K$39)*(1-LOG(5,2)*Assumptions!$K$28)-Assumptions!$K$36*(Assumptions!$K$40+Assumptions!$K$41+Assumptions!$K$42))-(Assumptions!$K$43*10000000/MIN(5*G$30,Assumptions!$K$33))-(Assumptions!$K$44*Assumptions!$K$36)-(('Investment Build'!$D$18*(1+Assumptions!$K$26*4)+'Investment Build'!$D$29*5)*10000000/(5*G$30*Assumptions!$K$62)))/Assumptions!$K$36,0)</f>
        <v>0.181740663233165</v>
      </c>
      <c r="H35" s="116" t="n">
        <f aca="false">IFERROR(((Assumptions!$K$36-(Assumptions!$K$36*Assumptions!$K$37+Assumptions!$K$38*Assumptions!$K$39)*(1-LOG(5,2)*Assumptions!$K$28)-Assumptions!$K$36*(Assumptions!$K$40+Assumptions!$K$41+Assumptions!$K$42))-(Assumptions!$K$43*10000000/MIN(5*H$30,Assumptions!$K$33))-(Assumptions!$K$44*Assumptions!$K$36)-(('Investment Build'!$D$18*(1+Assumptions!$K$26*4)+'Investment Build'!$D$29*5)*10000000/(5*H$30*Assumptions!$K$62)))/Assumptions!$K$36,0)</f>
        <v>0.184009449863202</v>
      </c>
    </row>
    <row r="36" customFormat="false" ht="15" hidden="false" customHeight="false" outlineLevel="0" collapsed="false">
      <c r="B36" s="98" t="n">
        <v>6</v>
      </c>
      <c r="C36" s="116" t="n">
        <f aca="false">IFERROR(((Assumptions!$K$36-(Assumptions!$K$36*Assumptions!$K$37+Assumptions!$K$38*Assumptions!$K$39)*(1-LOG(6,2)*Assumptions!$K$28)-Assumptions!$K$36*(Assumptions!$K$40+Assumptions!$K$41+Assumptions!$K$42))-(Assumptions!$K$43*10000000/MIN(6*C$30,Assumptions!$K$33))-(Assumptions!$K$44*Assumptions!$K$36)-(('Investment Build'!$D$18*(1+Assumptions!$K$26*5)+'Investment Build'!$D$29*6)*10000000/(6*C$30*Assumptions!$K$62)))/Assumptions!$K$36,0)</f>
        <v>0.118957954894042</v>
      </c>
      <c r="D36" s="116" t="n">
        <f aca="false">IFERROR(((Assumptions!$K$36-(Assumptions!$K$36*Assumptions!$K$37+Assumptions!$K$38*Assumptions!$K$39)*(1-LOG(6,2)*Assumptions!$K$28)-Assumptions!$K$36*(Assumptions!$K$40+Assumptions!$K$41+Assumptions!$K$42))-(Assumptions!$K$43*10000000/MIN(6*D$30,Assumptions!$K$33))-(Assumptions!$K$44*Assumptions!$K$36)-(('Investment Build'!$D$18*(1+Assumptions!$K$26*5)+'Investment Build'!$D$29*6)*10000000/(6*D$30*Assumptions!$K$62)))/Assumptions!$K$36,0)</f>
        <v>0.166144768080855</v>
      </c>
      <c r="E36" s="116" t="n">
        <f aca="false">IFERROR(((Assumptions!$K$36-(Assumptions!$K$36*Assumptions!$K$37+Assumptions!$K$38*Assumptions!$K$39)*(1-LOG(6,2)*Assumptions!$K$28)-Assumptions!$K$36*(Assumptions!$K$40+Assumptions!$K$41+Assumptions!$K$42))-(Assumptions!$K$43*10000000/MIN(6*E$30,Assumptions!$K$33))-(Assumptions!$K$44*Assumptions!$K$36)-(('Investment Build'!$D$18*(1+Assumptions!$K$26*5)+'Investment Build'!$D$29*6)*10000000/(6*E$30*Assumptions!$K$62)))/Assumptions!$K$36,0)</f>
        <v>0.180087991524079</v>
      </c>
      <c r="F36" s="116" t="n">
        <f aca="false">IFERROR(((Assumptions!$K$36-(Assumptions!$K$36*Assumptions!$K$37+Assumptions!$K$38*Assumptions!$K$39)*(1-LOG(6,2)*Assumptions!$K$28)-Assumptions!$K$36*(Assumptions!$K$40+Assumptions!$K$41+Assumptions!$K$42))-(Assumptions!$K$43*10000000/MIN(6*F$30,Assumptions!$K$33))-(Assumptions!$K$44*Assumptions!$K$36)-(('Investment Build'!$D$18*(1+Assumptions!$K$26*5)+'Investment Build'!$D$29*6)*10000000/(6*F$30*Assumptions!$K$62)))/Assumptions!$K$36,0)</f>
        <v>0.184381031817119</v>
      </c>
      <c r="G36" s="116" t="n">
        <f aca="false">IFERROR(((Assumptions!$K$36-(Assumptions!$K$36*Assumptions!$K$37+Assumptions!$K$38*Assumptions!$K$39)*(1-LOG(6,2)*Assumptions!$K$28)-Assumptions!$K$36*(Assumptions!$K$40+Assumptions!$K$41+Assumptions!$K$42))-(Assumptions!$K$43*10000000/MIN(6*G$30,Assumptions!$K$33))-(Assumptions!$K$44*Assumptions!$K$36)-(('Investment Build'!$D$18*(1+Assumptions!$K$26*5)+'Investment Build'!$D$29*6)*10000000/(6*G$30*Assumptions!$K$62)))/Assumptions!$K$36,0)</f>
        <v>0.188674072110159</v>
      </c>
      <c r="H36" s="116" t="n">
        <f aca="false">IFERROR(((Assumptions!$K$36-(Assumptions!$K$36*Assumptions!$K$37+Assumptions!$K$38*Assumptions!$K$39)*(1-LOG(6,2)*Assumptions!$K$28)-Assumptions!$K$36*(Assumptions!$K$40+Assumptions!$K$41+Assumptions!$K$42))-(Assumptions!$K$43*10000000/MIN(6*H$30,Assumptions!$K$33))-(Assumptions!$K$44*Assumptions!$K$36)-(('Investment Build'!$D$18*(1+Assumptions!$K$26*5)+'Investment Build'!$D$29*6)*10000000/(6*H$30*Assumptions!$K$62)))/Assumptions!$K$36,0)</f>
        <v>0.190820592256679</v>
      </c>
    </row>
    <row r="37" customFormat="false" ht="15" hidden="false" customHeight="false" outlineLevel="0" collapsed="false">
      <c r="B37" s="98" t="n">
        <v>7</v>
      </c>
      <c r="C37" s="116" t="n">
        <f aca="false">IFERROR(((Assumptions!$K$36-(Assumptions!$K$36*Assumptions!$K$37+Assumptions!$K$38*Assumptions!$K$39)*(1-LOG(7,2)*Assumptions!$K$28)-Assumptions!$K$36*(Assumptions!$K$40+Assumptions!$K$41+Assumptions!$K$42))-(Assumptions!$K$43*10000000/MIN(7*C$30,Assumptions!$K$33))-(Assumptions!$K$44*Assumptions!$K$36)-(('Investment Build'!$D$18*(1+Assumptions!$K$26*6)+'Investment Build'!$D$29*7)*10000000/(7*C$30*Assumptions!$K$62)))/Assumptions!$K$36,0)</f>
        <v>0.132625015056659</v>
      </c>
      <c r="D37" s="116" t="n">
        <f aca="false">IFERROR(((Assumptions!$K$36-(Assumptions!$K$36*Assumptions!$K$37+Assumptions!$K$38*Assumptions!$K$39)*(1-LOG(7,2)*Assumptions!$K$28)-Assumptions!$K$36*(Assumptions!$K$40+Assumptions!$K$41+Assumptions!$K$42))-(Assumptions!$K$43*10000000/MIN(7*D$30,Assumptions!$K$33))-(Assumptions!$K$44*Assumptions!$K$36)-(('Investment Build'!$D$18*(1+Assumptions!$K$26*6)+'Investment Build'!$D$29*7)*10000000/(7*D$30*Assumptions!$K$62)))/Assumptions!$K$36,0)</f>
        <v>0.175702605323535</v>
      </c>
      <c r="E37" s="116" t="n">
        <f aca="false">IFERROR(((Assumptions!$K$36-(Assumptions!$K$36*Assumptions!$K$37+Assumptions!$K$38*Assumptions!$K$39)*(1-LOG(7,2)*Assumptions!$K$28)-Assumptions!$K$36*(Assumptions!$K$40+Assumptions!$K$41+Assumptions!$K$42))-(Assumptions!$K$43*10000000/MIN(7*E$30,Assumptions!$K$33))-(Assumptions!$K$44*Assumptions!$K$36)-(('Investment Build'!$D$18*(1+Assumptions!$K$26*6)+'Investment Build'!$D$29*7)*10000000/(7*E$30*Assumptions!$K$62)))/Assumptions!$K$36,0)</f>
        <v>0.186235271466916</v>
      </c>
      <c r="F37" s="116" t="n">
        <f aca="false">IFERROR(((Assumptions!$K$36-(Assumptions!$K$36*Assumptions!$K$37+Assumptions!$K$38*Assumptions!$K$39)*(1-LOG(7,2)*Assumptions!$K$28)-Assumptions!$K$36*(Assumptions!$K$40+Assumptions!$K$41+Assumptions!$K$42))-(Assumptions!$K$43*10000000/MIN(7*F$30,Assumptions!$K$33))-(Assumptions!$K$44*Assumptions!$K$36)-(('Investment Build'!$D$18*(1+Assumptions!$K$26*6)+'Investment Build'!$D$29*7)*10000000/(7*F$30*Assumptions!$K$62)))/Assumptions!$K$36,0)</f>
        <v>0.190353645354933</v>
      </c>
      <c r="G37" s="116" t="n">
        <f aca="false">IFERROR(((Assumptions!$K$36-(Assumptions!$K$36*Assumptions!$K$37+Assumptions!$K$38*Assumptions!$K$39)*(1-LOG(7,2)*Assumptions!$K$28)-Assumptions!$K$36*(Assumptions!$K$40+Assumptions!$K$41+Assumptions!$K$42))-(Assumptions!$K$43*10000000/MIN(7*G$30,Assumptions!$K$33))-(Assumptions!$K$44*Assumptions!$K$36)-(('Investment Build'!$D$18*(1+Assumptions!$K$26*6)+'Investment Build'!$D$29*7)*10000000/(7*G$30*Assumptions!$K$62)))/Assumptions!$K$36,0)</f>
        <v>0.194472019242949</v>
      </c>
      <c r="H37" s="116" t="n">
        <f aca="false">IFERROR(((Assumptions!$K$36-(Assumptions!$K$36*Assumptions!$K$37+Assumptions!$K$38*Assumptions!$K$39)*(1-LOG(7,2)*Assumptions!$K$28)-Assumptions!$K$36*(Assumptions!$K$40+Assumptions!$K$41+Assumptions!$K$42))-(Assumptions!$K$43*10000000/MIN(7*H$30,Assumptions!$K$33))-(Assumptions!$K$44*Assumptions!$K$36)-(('Investment Build'!$D$18*(1+Assumptions!$K$26*6)+'Investment Build'!$D$29*7)*10000000/(7*H$30*Assumptions!$K$62)))/Assumptions!$K$36,0)</f>
        <v>0.196531206186958</v>
      </c>
    </row>
    <row r="38" customFormat="false" ht="15" hidden="false" customHeight="false" outlineLevel="0" collapsed="false">
      <c r="B38" s="98" t="n">
        <v>8</v>
      </c>
      <c r="C38" s="116" t="n">
        <f aca="false">IFERROR(((Assumptions!$K$36-(Assumptions!$K$36*Assumptions!$K$37+Assumptions!$K$38*Assumptions!$K$39)*(1-LOG(8,2)*Assumptions!$K$28)-Assumptions!$K$36*(Assumptions!$K$40+Assumptions!$K$41+Assumptions!$K$42))-(Assumptions!$K$43*10000000/MIN(8*C$30,Assumptions!$K$33))-(Assumptions!$K$44*Assumptions!$K$36)-(('Investment Build'!$D$18*(1+Assumptions!$K$26*7)+'Investment Build'!$D$29*8)*10000000/(8*C$30*Assumptions!$K$62)))/Assumptions!$K$36,0)</f>
        <v>0.143508653846154</v>
      </c>
      <c r="D38" s="116" t="n">
        <f aca="false">IFERROR(((Assumptions!$K$36-(Assumptions!$K$36*Assumptions!$K$37+Assumptions!$K$38*Assumptions!$K$39)*(1-LOG(8,2)*Assumptions!$K$28)-Assumptions!$K$36*(Assumptions!$K$40+Assumptions!$K$41+Assumptions!$K$42))-(Assumptions!$K$43*10000000/MIN(8*D$30,Assumptions!$K$33))-(Assumptions!$K$44*Assumptions!$K$36)-(('Investment Build'!$D$18*(1+Assumptions!$K$26*7)+'Investment Build'!$D$29*8)*10000000/(8*D$30*Assumptions!$K$62)))/Assumptions!$K$36,0)</f>
        <v>0.183504326923077</v>
      </c>
      <c r="E38" s="116" t="n">
        <f aca="false">IFERROR(((Assumptions!$K$36-(Assumptions!$K$36*Assumptions!$K$37+Assumptions!$K$38*Assumptions!$K$39)*(1-LOG(8,2)*Assumptions!$K$28)-Assumptions!$K$36*(Assumptions!$K$40+Assumptions!$K$41+Assumptions!$K$42))-(Assumptions!$K$43*10000000/MIN(8*E$30,Assumptions!$K$33))-(Assumptions!$K$44*Assumptions!$K$36)-(('Investment Build'!$D$18*(1+Assumptions!$K$26*7)+'Investment Build'!$D$29*8)*10000000/(8*E$30*Assumptions!$K$62)))/Assumptions!$K$36,0)</f>
        <v>0.191479075091575</v>
      </c>
      <c r="F38" s="116" t="n">
        <f aca="false">IFERROR(((Assumptions!$K$36-(Assumptions!$K$36*Assumptions!$K$37+Assumptions!$K$38*Assumptions!$K$39)*(1-LOG(8,2)*Assumptions!$K$28)-Assumptions!$K$36*(Assumptions!$K$40+Assumptions!$K$41+Assumptions!$K$42))-(Assumptions!$K$43*10000000/MIN(8*F$30,Assumptions!$K$33))-(Assumptions!$K$44*Assumptions!$K$36)-(('Investment Build'!$D$18*(1+Assumptions!$K$26*7)+'Investment Build'!$D$29*8)*10000000/(8*F$30*Assumptions!$K$62)))/Assumptions!$K$36,0)</f>
        <v>0.195466449175824</v>
      </c>
      <c r="G38" s="116" t="n">
        <f aca="false">IFERROR(((Assumptions!$K$36-(Assumptions!$K$36*Assumptions!$K$37+Assumptions!$K$38*Assumptions!$K$39)*(1-LOG(8,2)*Assumptions!$K$28)-Assumptions!$K$36*(Assumptions!$K$40+Assumptions!$K$41+Assumptions!$K$42))-(Assumptions!$K$43*10000000/MIN(8*G$30,Assumptions!$K$33))-(Assumptions!$K$44*Assumptions!$K$36)-(('Investment Build'!$D$18*(1+Assumptions!$K$26*7)+'Investment Build'!$D$29*8)*10000000/(8*G$30*Assumptions!$K$62)))/Assumptions!$K$36,0)</f>
        <v>0.199453823260073</v>
      </c>
      <c r="H38" s="116" t="n">
        <f aca="false">IFERROR(((Assumptions!$K$36-(Assumptions!$K$36*Assumptions!$K$37+Assumptions!$K$38*Assumptions!$K$39)*(1-LOG(8,2)*Assumptions!$K$28)-Assumptions!$K$36*(Assumptions!$K$40+Assumptions!$K$41+Assumptions!$K$42))-(Assumptions!$K$43*10000000/MIN(8*H$30,Assumptions!$K$33))-(Assumptions!$K$44*Assumptions!$K$36)-(('Investment Build'!$D$18*(1+Assumptions!$K$26*7)+'Investment Build'!$D$29*8)*10000000/(8*H$30*Assumptions!$K$62)))/Assumptions!$K$36,0)</f>
        <v>0.201447510302198</v>
      </c>
    </row>
    <row r="40" customFormat="false" ht="15" hidden="false" customHeight="true" outlineLevel="0" collapsed="false">
      <c r="A40" s="91" t="s">
        <v>309</v>
      </c>
      <c r="B40" s="91"/>
      <c r="C40" s="91"/>
      <c r="D40" s="91"/>
      <c r="E40" s="91"/>
      <c r="F40" s="91"/>
      <c r="G40" s="91"/>
      <c r="H40" s="91"/>
    </row>
    <row r="41" customFormat="false" ht="15" hidden="false" customHeight="false" outlineLevel="0" collapsed="false">
      <c r="A41" s="91"/>
      <c r="B41" s="91"/>
      <c r="C41" s="91"/>
      <c r="D41" s="91"/>
      <c r="E41" s="91"/>
      <c r="F41" s="91"/>
      <c r="G41" s="91"/>
      <c r="H41" s="91"/>
    </row>
  </sheetData>
  <mergeCells count="3">
    <mergeCell ref="A16:H17"/>
    <mergeCell ref="A26:H27"/>
    <mergeCell ref="A40:H41"/>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0"/>
    <col collapsed="false" customWidth="true" hidden="false" outlineLevel="0" max="4" min="4" style="0" width="14"/>
    <col collapsed="false" customWidth="true" hidden="false" outlineLevel="0" max="5" min="5" style="0" width="30"/>
    <col collapsed="false" customWidth="true" hidden="false" outlineLevel="0" max="6" min="6" style="0" width="52"/>
    <col collapsed="false" customWidth="true" hidden="false" outlineLevel="0" max="7" min="7" style="0" width="30"/>
    <col collapsed="false" customWidth="true" hidden="false" outlineLevel="0" max="8" min="8" style="0" width="26"/>
    <col collapsed="false" customWidth="true" hidden="false" outlineLevel="0" max="9" min="9" style="0" width="16"/>
  </cols>
  <sheetData>
    <row r="1" customFormat="false" ht="24" hidden="false" customHeight="true" outlineLevel="0" collapsed="false">
      <c r="A1" s="1" t="s">
        <v>310</v>
      </c>
      <c r="B1" s="2"/>
      <c r="C1" s="2"/>
      <c r="D1" s="2"/>
      <c r="E1" s="2"/>
      <c r="F1" s="2"/>
      <c r="G1" s="2"/>
      <c r="H1" s="2"/>
      <c r="I1" s="2"/>
      <c r="J1" s="2"/>
    </row>
    <row r="2" customFormat="false" ht="15" hidden="false" customHeight="false" outlineLevel="0" collapsed="false">
      <c r="A2" s="3" t="s">
        <v>311</v>
      </c>
    </row>
    <row r="5" customFormat="false" ht="31.5" hidden="false" customHeight="true" outlineLevel="0" collapsed="false">
      <c r="A5" s="36" t="s">
        <v>312</v>
      </c>
      <c r="B5" s="36" t="s">
        <v>313</v>
      </c>
      <c r="C5" s="36" t="s">
        <v>314</v>
      </c>
      <c r="D5" s="36" t="s">
        <v>315</v>
      </c>
      <c r="E5" s="36" t="s">
        <v>316</v>
      </c>
      <c r="F5" s="36" t="s">
        <v>317</v>
      </c>
      <c r="G5" s="36" t="s">
        <v>303</v>
      </c>
      <c r="H5" s="36" t="s">
        <v>318</v>
      </c>
      <c r="I5" s="36" t="s">
        <v>104</v>
      </c>
    </row>
    <row r="6" customFormat="false" ht="15" hidden="false" customHeight="false" outlineLevel="0" collapsed="false">
      <c r="A6" s="8" t="s">
        <v>319</v>
      </c>
      <c r="B6" s="9"/>
      <c r="C6" s="9"/>
      <c r="D6" s="9"/>
      <c r="E6" s="9"/>
      <c r="F6" s="9"/>
      <c r="G6" s="9"/>
      <c r="H6" s="9"/>
      <c r="I6" s="9"/>
    </row>
    <row r="7" customFormat="false" ht="45.75" hidden="false" customHeight="true" outlineLevel="0" collapsed="false">
      <c r="A7" s="117" t="s">
        <v>320</v>
      </c>
      <c r="B7" s="117" t="s">
        <v>321</v>
      </c>
      <c r="C7" s="118" t="s">
        <v>322</v>
      </c>
      <c r="D7" s="118" t="s">
        <v>323</v>
      </c>
      <c r="E7" s="118" t="s">
        <v>324</v>
      </c>
      <c r="F7" s="118" t="s">
        <v>325</v>
      </c>
      <c r="G7" s="118" t="s">
        <v>326</v>
      </c>
      <c r="H7" s="118" t="s">
        <v>327</v>
      </c>
      <c r="I7" s="119" t="s">
        <v>178</v>
      </c>
    </row>
    <row r="8" customFormat="false" ht="45.75" hidden="false" customHeight="true" outlineLevel="0" collapsed="false">
      <c r="A8" s="117" t="s">
        <v>320</v>
      </c>
      <c r="B8" s="117" t="s">
        <v>328</v>
      </c>
      <c r="C8" s="118" t="s">
        <v>322</v>
      </c>
      <c r="D8" s="118" t="s">
        <v>329</v>
      </c>
      <c r="E8" s="118" t="s">
        <v>330</v>
      </c>
      <c r="F8" s="118" t="s">
        <v>331</v>
      </c>
      <c r="G8" s="118" t="s">
        <v>332</v>
      </c>
      <c r="H8" s="118" t="s">
        <v>332</v>
      </c>
      <c r="I8" s="119" t="s">
        <v>333</v>
      </c>
    </row>
    <row r="9" customFormat="false" ht="45.75" hidden="false" customHeight="true" outlineLevel="0" collapsed="false">
      <c r="A9" s="117" t="s">
        <v>334</v>
      </c>
      <c r="B9" s="117" t="s">
        <v>335</v>
      </c>
      <c r="C9" s="118" t="s">
        <v>336</v>
      </c>
      <c r="D9" s="118" t="s">
        <v>329</v>
      </c>
      <c r="E9" s="118" t="s">
        <v>337</v>
      </c>
      <c r="F9" s="118" t="s">
        <v>338</v>
      </c>
      <c r="G9" s="118" t="s">
        <v>339</v>
      </c>
      <c r="H9" s="118" t="s">
        <v>340</v>
      </c>
      <c r="I9" s="119" t="s">
        <v>178</v>
      </c>
    </row>
    <row r="10" customFormat="false" ht="45.75" hidden="false" customHeight="true" outlineLevel="0" collapsed="false">
      <c r="A10" s="117" t="s">
        <v>334</v>
      </c>
      <c r="B10" s="117" t="s">
        <v>341</v>
      </c>
      <c r="C10" s="118" t="s">
        <v>336</v>
      </c>
      <c r="D10" s="118" t="s">
        <v>329</v>
      </c>
      <c r="E10" s="118" t="s">
        <v>342</v>
      </c>
      <c r="F10" s="118" t="s">
        <v>343</v>
      </c>
      <c r="G10" s="118" t="s">
        <v>344</v>
      </c>
      <c r="H10" s="118" t="s">
        <v>345</v>
      </c>
      <c r="I10" s="119" t="s">
        <v>178</v>
      </c>
    </row>
    <row r="11" customFormat="false" ht="45.75" hidden="false" customHeight="true" outlineLevel="0" collapsed="false">
      <c r="A11" s="117" t="s">
        <v>346</v>
      </c>
      <c r="B11" s="117" t="s">
        <v>347</v>
      </c>
      <c r="C11" s="118" t="s">
        <v>348</v>
      </c>
      <c r="D11" s="118" t="s">
        <v>349</v>
      </c>
      <c r="E11" s="118" t="s">
        <v>350</v>
      </c>
      <c r="F11" s="118" t="s">
        <v>351</v>
      </c>
      <c r="G11" s="118" t="s">
        <v>352</v>
      </c>
      <c r="H11" s="118" t="s">
        <v>332</v>
      </c>
      <c r="I11" s="119" t="s">
        <v>178</v>
      </c>
    </row>
    <row r="12" customFormat="false" ht="45.75" hidden="false" customHeight="true" outlineLevel="0" collapsed="false">
      <c r="A12" s="117" t="s">
        <v>353</v>
      </c>
      <c r="B12" s="117" t="s">
        <v>354</v>
      </c>
      <c r="C12" s="118" t="s">
        <v>322</v>
      </c>
      <c r="D12" s="118" t="s">
        <v>349</v>
      </c>
      <c r="E12" s="118" t="s">
        <v>355</v>
      </c>
      <c r="F12" s="118" t="s">
        <v>356</v>
      </c>
      <c r="G12" s="118" t="s">
        <v>357</v>
      </c>
      <c r="H12" s="118" t="s">
        <v>358</v>
      </c>
      <c r="I12" s="119" t="s">
        <v>178</v>
      </c>
    </row>
    <row r="13" customFormat="false" ht="45.75" hidden="false" customHeight="true" outlineLevel="0" collapsed="false">
      <c r="A13" s="117" t="s">
        <v>359</v>
      </c>
      <c r="B13" s="117" t="s">
        <v>360</v>
      </c>
      <c r="C13" s="118" t="s">
        <v>322</v>
      </c>
      <c r="D13" s="118" t="s">
        <v>349</v>
      </c>
      <c r="E13" s="118" t="s">
        <v>361</v>
      </c>
      <c r="F13" s="118" t="s">
        <v>362</v>
      </c>
      <c r="G13" s="118" t="s">
        <v>363</v>
      </c>
      <c r="H13" s="118" t="s">
        <v>332</v>
      </c>
      <c r="I13" s="119" t="s">
        <v>364</v>
      </c>
    </row>
    <row r="14" customFormat="false" ht="15" hidden="false" customHeight="false" outlineLevel="0" collapsed="false">
      <c r="A14" s="8" t="s">
        <v>365</v>
      </c>
      <c r="B14" s="9"/>
      <c r="C14" s="9"/>
      <c r="D14" s="9"/>
      <c r="E14" s="9"/>
      <c r="F14" s="9"/>
      <c r="G14" s="9"/>
      <c r="H14" s="9"/>
      <c r="I14" s="9"/>
    </row>
    <row r="15" customFormat="false" ht="45.75" hidden="false" customHeight="true" outlineLevel="0" collapsed="false">
      <c r="A15" s="117" t="s">
        <v>366</v>
      </c>
      <c r="B15" s="117" t="s">
        <v>367</v>
      </c>
      <c r="C15" s="118" t="s">
        <v>336</v>
      </c>
      <c r="D15" s="118" t="s">
        <v>349</v>
      </c>
      <c r="E15" s="118" t="s">
        <v>368</v>
      </c>
      <c r="F15" s="118" t="s">
        <v>369</v>
      </c>
      <c r="G15" s="118" t="s">
        <v>370</v>
      </c>
      <c r="H15" s="118" t="s">
        <v>371</v>
      </c>
      <c r="I15" s="119" t="s">
        <v>178</v>
      </c>
    </row>
    <row r="16" customFormat="false" ht="45.75" hidden="false" customHeight="true" outlineLevel="0" collapsed="false">
      <c r="A16" s="117" t="s">
        <v>366</v>
      </c>
      <c r="B16" s="117" t="s">
        <v>372</v>
      </c>
      <c r="C16" s="118" t="s">
        <v>336</v>
      </c>
      <c r="D16" s="118" t="s">
        <v>349</v>
      </c>
      <c r="E16" s="118" t="s">
        <v>373</v>
      </c>
      <c r="F16" s="118" t="s">
        <v>374</v>
      </c>
      <c r="G16" s="118" t="s">
        <v>375</v>
      </c>
      <c r="H16" s="118" t="s">
        <v>376</v>
      </c>
      <c r="I16" s="119" t="s">
        <v>178</v>
      </c>
    </row>
    <row r="17" customFormat="false" ht="45.75" hidden="false" customHeight="true" outlineLevel="0" collapsed="false">
      <c r="A17" s="117" t="s">
        <v>377</v>
      </c>
      <c r="B17" s="117" t="s">
        <v>378</v>
      </c>
      <c r="C17" s="118" t="s">
        <v>336</v>
      </c>
      <c r="D17" s="118" t="s">
        <v>379</v>
      </c>
      <c r="E17" s="118" t="s">
        <v>380</v>
      </c>
      <c r="F17" s="118" t="s">
        <v>381</v>
      </c>
      <c r="G17" s="118" t="s">
        <v>382</v>
      </c>
      <c r="H17" s="118" t="s">
        <v>332</v>
      </c>
      <c r="I17" s="119" t="s">
        <v>178</v>
      </c>
    </row>
    <row r="18" customFormat="false" ht="45.75" hidden="false" customHeight="true" outlineLevel="0" collapsed="false">
      <c r="A18" s="117" t="s">
        <v>383</v>
      </c>
      <c r="B18" s="117" t="s">
        <v>384</v>
      </c>
      <c r="C18" s="118" t="s">
        <v>336</v>
      </c>
      <c r="D18" s="118" t="s">
        <v>349</v>
      </c>
      <c r="E18" s="118" t="s">
        <v>385</v>
      </c>
      <c r="F18" s="118" t="s">
        <v>386</v>
      </c>
      <c r="G18" s="118" t="s">
        <v>387</v>
      </c>
      <c r="H18" s="118" t="s">
        <v>388</v>
      </c>
      <c r="I18" s="119" t="s">
        <v>178</v>
      </c>
    </row>
    <row r="19" customFormat="false" ht="45.75" hidden="false" customHeight="true" outlineLevel="0" collapsed="false">
      <c r="A19" s="117" t="s">
        <v>389</v>
      </c>
      <c r="B19" s="117" t="s">
        <v>390</v>
      </c>
      <c r="C19" s="118" t="s">
        <v>336</v>
      </c>
      <c r="D19" s="118" t="s">
        <v>329</v>
      </c>
      <c r="E19" s="118" t="s">
        <v>391</v>
      </c>
      <c r="F19" s="118" t="s">
        <v>392</v>
      </c>
      <c r="G19" s="118" t="s">
        <v>393</v>
      </c>
      <c r="H19" s="118" t="s">
        <v>394</v>
      </c>
      <c r="I19" s="119" t="s">
        <v>395</v>
      </c>
    </row>
    <row r="20" customFormat="false" ht="45.75" hidden="false" customHeight="true" outlineLevel="0" collapsed="false">
      <c r="A20" s="117" t="s">
        <v>389</v>
      </c>
      <c r="B20" s="117" t="s">
        <v>396</v>
      </c>
      <c r="C20" s="118" t="s">
        <v>336</v>
      </c>
      <c r="D20" s="118" t="s">
        <v>329</v>
      </c>
      <c r="E20" s="118" t="s">
        <v>397</v>
      </c>
      <c r="F20" s="118" t="s">
        <v>398</v>
      </c>
      <c r="G20" s="118" t="s">
        <v>399</v>
      </c>
      <c r="H20" s="118" t="s">
        <v>332</v>
      </c>
      <c r="I20" s="119" t="s">
        <v>178</v>
      </c>
    </row>
    <row r="21" customFormat="false" ht="45.75" hidden="false" customHeight="true" outlineLevel="0" collapsed="false">
      <c r="A21" s="117" t="s">
        <v>389</v>
      </c>
      <c r="B21" s="117" t="s">
        <v>400</v>
      </c>
      <c r="C21" s="118" t="s">
        <v>336</v>
      </c>
      <c r="D21" s="118" t="s">
        <v>379</v>
      </c>
      <c r="E21" s="118" t="s">
        <v>401</v>
      </c>
      <c r="F21" s="118" t="s">
        <v>402</v>
      </c>
      <c r="G21" s="118" t="s">
        <v>332</v>
      </c>
      <c r="H21" s="118" t="s">
        <v>403</v>
      </c>
      <c r="I21" s="119" t="s">
        <v>178</v>
      </c>
    </row>
    <row r="22" customFormat="false" ht="45.75" hidden="false" customHeight="true" outlineLevel="0" collapsed="false">
      <c r="A22" s="117" t="s">
        <v>404</v>
      </c>
      <c r="B22" s="117" t="s">
        <v>405</v>
      </c>
      <c r="C22" s="118" t="s">
        <v>336</v>
      </c>
      <c r="D22" s="118" t="s">
        <v>406</v>
      </c>
      <c r="E22" s="118" t="s">
        <v>407</v>
      </c>
      <c r="F22" s="118" t="s">
        <v>374</v>
      </c>
      <c r="G22" s="118" t="s">
        <v>332</v>
      </c>
      <c r="H22" s="118" t="s">
        <v>408</v>
      </c>
      <c r="I22" s="119" t="s">
        <v>178</v>
      </c>
    </row>
    <row r="23" customFormat="false" ht="45.75" hidden="false" customHeight="true" outlineLevel="0" collapsed="false">
      <c r="A23" s="117" t="s">
        <v>409</v>
      </c>
      <c r="B23" s="117" t="s">
        <v>410</v>
      </c>
      <c r="C23" s="118" t="s">
        <v>336</v>
      </c>
      <c r="D23" s="118" t="s">
        <v>411</v>
      </c>
      <c r="E23" s="118" t="s">
        <v>412</v>
      </c>
      <c r="F23" s="118" t="s">
        <v>374</v>
      </c>
      <c r="G23" s="118" t="s">
        <v>332</v>
      </c>
      <c r="H23" s="118" t="s">
        <v>413</v>
      </c>
      <c r="I23" s="119" t="s">
        <v>178</v>
      </c>
    </row>
    <row r="24" customFormat="false" ht="15" hidden="false" customHeight="false" outlineLevel="0" collapsed="false">
      <c r="A24" s="8" t="s">
        <v>414</v>
      </c>
      <c r="B24" s="9"/>
      <c r="C24" s="9"/>
      <c r="D24" s="9"/>
      <c r="E24" s="9"/>
      <c r="F24" s="9"/>
      <c r="G24" s="9"/>
      <c r="H24" s="9"/>
      <c r="I24" s="9"/>
    </row>
    <row r="25" customFormat="false" ht="45.75" hidden="false" customHeight="true" outlineLevel="0" collapsed="false">
      <c r="A25" s="117" t="s">
        <v>415</v>
      </c>
      <c r="B25" s="117" t="s">
        <v>416</v>
      </c>
      <c r="C25" s="118" t="s">
        <v>336</v>
      </c>
      <c r="D25" s="118" t="s">
        <v>349</v>
      </c>
      <c r="E25" s="118" t="s">
        <v>417</v>
      </c>
      <c r="F25" s="118" t="s">
        <v>418</v>
      </c>
      <c r="G25" s="118" t="s">
        <v>419</v>
      </c>
      <c r="H25" s="118" t="s">
        <v>420</v>
      </c>
      <c r="I25" s="119" t="s">
        <v>178</v>
      </c>
    </row>
    <row r="26" customFormat="false" ht="45.75" hidden="false" customHeight="true" outlineLevel="0" collapsed="false">
      <c r="A26" s="117" t="s">
        <v>415</v>
      </c>
      <c r="B26" s="117" t="s">
        <v>421</v>
      </c>
      <c r="C26" s="118" t="s">
        <v>336</v>
      </c>
      <c r="D26" s="118" t="s">
        <v>349</v>
      </c>
      <c r="E26" s="118" t="s">
        <v>332</v>
      </c>
      <c r="F26" s="118" t="s">
        <v>422</v>
      </c>
      <c r="G26" s="118" t="s">
        <v>332</v>
      </c>
      <c r="H26" s="118" t="s">
        <v>423</v>
      </c>
      <c r="I26" s="119" t="s">
        <v>178</v>
      </c>
    </row>
    <row r="27" customFormat="false" ht="45.75" hidden="false" customHeight="true" outlineLevel="0" collapsed="false">
      <c r="A27" s="117" t="s">
        <v>424</v>
      </c>
      <c r="B27" s="117" t="s">
        <v>425</v>
      </c>
      <c r="C27" s="118" t="s">
        <v>336</v>
      </c>
      <c r="D27" s="118" t="s">
        <v>349</v>
      </c>
      <c r="E27" s="118" t="s">
        <v>426</v>
      </c>
      <c r="F27" s="118" t="s">
        <v>427</v>
      </c>
      <c r="G27" s="118" t="s">
        <v>428</v>
      </c>
      <c r="H27" s="118" t="s">
        <v>429</v>
      </c>
      <c r="I27" s="119" t="s">
        <v>178</v>
      </c>
    </row>
    <row r="28" customFormat="false" ht="45.75" hidden="false" customHeight="true" outlineLevel="0" collapsed="false">
      <c r="A28" s="117" t="s">
        <v>430</v>
      </c>
      <c r="B28" s="117" t="s">
        <v>431</v>
      </c>
      <c r="C28" s="118" t="s">
        <v>336</v>
      </c>
      <c r="D28" s="118" t="s">
        <v>349</v>
      </c>
      <c r="E28" s="118" t="s">
        <v>432</v>
      </c>
      <c r="F28" s="118" t="s">
        <v>433</v>
      </c>
      <c r="G28" s="118" t="s">
        <v>434</v>
      </c>
      <c r="H28" s="118" t="s">
        <v>435</v>
      </c>
      <c r="I28" s="119" t="s">
        <v>178</v>
      </c>
    </row>
    <row r="29" customFormat="false" ht="45.75" hidden="false" customHeight="true" outlineLevel="0" collapsed="false">
      <c r="A29" s="117" t="s">
        <v>436</v>
      </c>
      <c r="B29" s="117" t="s">
        <v>437</v>
      </c>
      <c r="C29" s="118" t="s">
        <v>336</v>
      </c>
      <c r="D29" s="118" t="s">
        <v>379</v>
      </c>
      <c r="E29" s="118" t="s">
        <v>438</v>
      </c>
      <c r="F29" s="118" t="s">
        <v>439</v>
      </c>
      <c r="G29" s="118" t="s">
        <v>440</v>
      </c>
      <c r="H29" s="118" t="s">
        <v>441</v>
      </c>
      <c r="I29" s="119" t="s">
        <v>178</v>
      </c>
    </row>
    <row r="30" customFormat="false" ht="45.75" hidden="false" customHeight="true" outlineLevel="0" collapsed="false">
      <c r="A30" s="117" t="s">
        <v>436</v>
      </c>
      <c r="B30" s="117" t="s">
        <v>442</v>
      </c>
      <c r="C30" s="118" t="s">
        <v>336</v>
      </c>
      <c r="D30" s="118" t="s">
        <v>329</v>
      </c>
      <c r="E30" s="118" t="s">
        <v>443</v>
      </c>
      <c r="F30" s="118" t="s">
        <v>444</v>
      </c>
      <c r="G30" s="118" t="s">
        <v>332</v>
      </c>
      <c r="H30" s="118" t="s">
        <v>445</v>
      </c>
      <c r="I30" s="119" t="s">
        <v>178</v>
      </c>
    </row>
    <row r="31" customFormat="false" ht="45.75" hidden="false" customHeight="true" outlineLevel="0" collapsed="false">
      <c r="A31" s="117" t="s">
        <v>436</v>
      </c>
      <c r="B31" s="117" t="s">
        <v>446</v>
      </c>
      <c r="C31" s="118" t="s">
        <v>336</v>
      </c>
      <c r="D31" s="118" t="s">
        <v>329</v>
      </c>
      <c r="E31" s="118" t="s">
        <v>447</v>
      </c>
      <c r="F31" s="118" t="s">
        <v>448</v>
      </c>
      <c r="G31" s="118" t="s">
        <v>332</v>
      </c>
      <c r="H31" s="118" t="s">
        <v>449</v>
      </c>
      <c r="I31" s="119" t="s">
        <v>178</v>
      </c>
    </row>
    <row r="32" customFormat="false" ht="45.75" hidden="false" customHeight="true" outlineLevel="0" collapsed="false">
      <c r="A32" s="117" t="s">
        <v>450</v>
      </c>
      <c r="B32" s="117" t="s">
        <v>451</v>
      </c>
      <c r="C32" s="118" t="s">
        <v>336</v>
      </c>
      <c r="D32" s="118" t="s">
        <v>329</v>
      </c>
      <c r="E32" s="118" t="s">
        <v>391</v>
      </c>
      <c r="F32" s="118" t="s">
        <v>452</v>
      </c>
      <c r="G32" s="118" t="s">
        <v>453</v>
      </c>
      <c r="H32" s="118" t="s">
        <v>332</v>
      </c>
      <c r="I32" s="119" t="s">
        <v>454</v>
      </c>
    </row>
    <row r="33" customFormat="false" ht="45.75" hidden="false" customHeight="true" outlineLevel="0" collapsed="false">
      <c r="A33" s="117" t="s">
        <v>430</v>
      </c>
      <c r="B33" s="117" t="s">
        <v>455</v>
      </c>
      <c r="C33" s="118" t="s">
        <v>336</v>
      </c>
      <c r="D33" s="118" t="s">
        <v>349</v>
      </c>
      <c r="E33" s="118" t="s">
        <v>391</v>
      </c>
      <c r="F33" s="118" t="s">
        <v>456</v>
      </c>
      <c r="G33" s="118" t="s">
        <v>457</v>
      </c>
      <c r="H33" s="118" t="s">
        <v>332</v>
      </c>
      <c r="I33" s="119" t="s">
        <v>458</v>
      </c>
    </row>
    <row r="34" customFormat="false" ht="15" hidden="false" customHeight="false" outlineLevel="0" collapsed="false">
      <c r="A34" s="8" t="s">
        <v>459</v>
      </c>
      <c r="B34" s="9"/>
      <c r="C34" s="9"/>
      <c r="D34" s="9"/>
      <c r="E34" s="9"/>
      <c r="F34" s="9"/>
      <c r="G34" s="9"/>
      <c r="H34" s="9"/>
      <c r="I34" s="9"/>
    </row>
    <row r="35" customFormat="false" ht="45.75" hidden="false" customHeight="true" outlineLevel="0" collapsed="false">
      <c r="A35" s="117" t="s">
        <v>460</v>
      </c>
      <c r="B35" s="117" t="s">
        <v>145</v>
      </c>
      <c r="C35" s="118" t="s">
        <v>336</v>
      </c>
      <c r="D35" s="118" t="s">
        <v>461</v>
      </c>
      <c r="E35" s="118" t="s">
        <v>462</v>
      </c>
      <c r="F35" s="118" t="s">
        <v>463</v>
      </c>
      <c r="G35" s="118" t="s">
        <v>332</v>
      </c>
      <c r="H35" s="118" t="s">
        <v>332</v>
      </c>
      <c r="I35" s="120" t="s">
        <v>464</v>
      </c>
    </row>
    <row r="36" customFormat="false" ht="45.75" hidden="false" customHeight="true" outlineLevel="0" collapsed="false">
      <c r="A36" s="117" t="s">
        <v>465</v>
      </c>
      <c r="B36" s="117" t="s">
        <v>145</v>
      </c>
      <c r="C36" s="118" t="s">
        <v>336</v>
      </c>
      <c r="D36" s="118" t="s">
        <v>461</v>
      </c>
      <c r="E36" s="118" t="s">
        <v>466</v>
      </c>
      <c r="F36" s="118" t="s">
        <v>467</v>
      </c>
      <c r="G36" s="118" t="s">
        <v>332</v>
      </c>
      <c r="H36" s="118" t="s">
        <v>332</v>
      </c>
      <c r="I36" s="120" t="s">
        <v>464</v>
      </c>
    </row>
    <row r="37" customFormat="false" ht="45.75" hidden="false" customHeight="true" outlineLevel="0" collapsed="false">
      <c r="A37" s="117" t="s">
        <v>468</v>
      </c>
      <c r="B37" s="117" t="s">
        <v>469</v>
      </c>
      <c r="C37" s="118" t="s">
        <v>336</v>
      </c>
      <c r="D37" s="118" t="s">
        <v>461</v>
      </c>
      <c r="E37" s="118" t="s">
        <v>470</v>
      </c>
      <c r="F37" s="118" t="s">
        <v>471</v>
      </c>
      <c r="G37" s="118" t="s">
        <v>332</v>
      </c>
      <c r="H37" s="118" t="s">
        <v>332</v>
      </c>
      <c r="I37" s="120" t="s">
        <v>464</v>
      </c>
    </row>
    <row r="38" customFormat="false" ht="45.75" hidden="false" customHeight="true" outlineLevel="0" collapsed="false">
      <c r="A38" s="117" t="s">
        <v>472</v>
      </c>
      <c r="B38" s="117" t="s">
        <v>473</v>
      </c>
      <c r="C38" s="118" t="s">
        <v>322</v>
      </c>
      <c r="D38" s="118" t="s">
        <v>329</v>
      </c>
      <c r="E38" s="118" t="s">
        <v>474</v>
      </c>
      <c r="F38" s="118" t="s">
        <v>475</v>
      </c>
      <c r="G38" s="118" t="s">
        <v>332</v>
      </c>
      <c r="H38" s="118" t="s">
        <v>332</v>
      </c>
      <c r="I38" s="119" t="s">
        <v>333</v>
      </c>
    </row>
    <row r="39" customFormat="false" ht="45.75" hidden="false" customHeight="true" outlineLevel="0" collapsed="false">
      <c r="A39" s="117" t="s">
        <v>472</v>
      </c>
      <c r="B39" s="117" t="s">
        <v>476</v>
      </c>
      <c r="C39" s="118" t="s">
        <v>322</v>
      </c>
      <c r="D39" s="118" t="s">
        <v>349</v>
      </c>
      <c r="E39" s="118" t="s">
        <v>477</v>
      </c>
      <c r="F39" s="118" t="s">
        <v>478</v>
      </c>
      <c r="G39" s="118" t="s">
        <v>332</v>
      </c>
      <c r="H39" s="118" t="s">
        <v>332</v>
      </c>
      <c r="I39" s="119" t="s">
        <v>160</v>
      </c>
    </row>
    <row r="40" customFormat="false" ht="45.75" hidden="false" customHeight="true" outlineLevel="0" collapsed="false">
      <c r="A40" s="117" t="s">
        <v>472</v>
      </c>
      <c r="B40" s="117" t="s">
        <v>479</v>
      </c>
      <c r="C40" s="118" t="s">
        <v>322</v>
      </c>
      <c r="D40" s="118" t="s">
        <v>461</v>
      </c>
      <c r="E40" s="118" t="s">
        <v>480</v>
      </c>
      <c r="F40" s="118" t="s">
        <v>481</v>
      </c>
      <c r="G40" s="118" t="s">
        <v>332</v>
      </c>
      <c r="H40" s="118" t="s">
        <v>332</v>
      </c>
      <c r="I40" s="119" t="s">
        <v>333</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62"/>
    <col collapsed="false" customWidth="true" hidden="false" outlineLevel="0" max="4" min="4" style="0" width="28"/>
    <col collapsed="false" customWidth="true" hidden="false" outlineLevel="0" max="5" min="5" style="0" width="58"/>
  </cols>
  <sheetData>
    <row r="1" customFormat="false" ht="24" hidden="false" customHeight="true" outlineLevel="0" collapsed="false">
      <c r="A1" s="1" t="s">
        <v>482</v>
      </c>
      <c r="B1" s="2"/>
      <c r="C1" s="2"/>
      <c r="D1" s="2"/>
      <c r="E1" s="2"/>
    </row>
    <row r="4" customFormat="false" ht="15" hidden="false" customHeight="false" outlineLevel="0" collapsed="false">
      <c r="A4" s="36" t="s">
        <v>46</v>
      </c>
      <c r="B4" s="36" t="s">
        <v>483</v>
      </c>
      <c r="C4" s="36" t="s">
        <v>484</v>
      </c>
      <c r="D4" s="36" t="s">
        <v>485</v>
      </c>
      <c r="E4" s="36" t="s">
        <v>486</v>
      </c>
    </row>
    <row r="5" customFormat="false" ht="42" hidden="false" customHeight="true" outlineLevel="0" collapsed="false">
      <c r="A5" s="121" t="n">
        <v>1</v>
      </c>
      <c r="B5" s="117" t="s">
        <v>487</v>
      </c>
      <c r="C5" s="118" t="s">
        <v>488</v>
      </c>
      <c r="D5" s="122" t="s">
        <v>489</v>
      </c>
      <c r="E5" s="123" t="s">
        <v>490</v>
      </c>
    </row>
    <row r="6" customFormat="false" ht="42" hidden="false" customHeight="true" outlineLevel="0" collapsed="false">
      <c r="A6" s="121" t="n">
        <v>2</v>
      </c>
      <c r="B6" s="117" t="s">
        <v>491</v>
      </c>
      <c r="C6" s="118" t="s">
        <v>492</v>
      </c>
      <c r="D6" s="122" t="s">
        <v>493</v>
      </c>
      <c r="E6" s="123" t="s">
        <v>494</v>
      </c>
    </row>
    <row r="7" customFormat="false" ht="42" hidden="false" customHeight="true" outlineLevel="0" collapsed="false">
      <c r="A7" s="121" t="n">
        <v>3</v>
      </c>
      <c r="B7" s="117" t="s">
        <v>495</v>
      </c>
      <c r="C7" s="118" t="s">
        <v>496</v>
      </c>
      <c r="D7" s="122" t="s">
        <v>497</v>
      </c>
      <c r="E7" s="123" t="s">
        <v>498</v>
      </c>
    </row>
    <row r="8" customFormat="false" ht="42" hidden="false" customHeight="true" outlineLevel="0" collapsed="false">
      <c r="A8" s="121" t="n">
        <v>4</v>
      </c>
      <c r="B8" s="117" t="s">
        <v>499</v>
      </c>
      <c r="C8" s="118" t="s">
        <v>500</v>
      </c>
      <c r="D8" s="122" t="s">
        <v>501</v>
      </c>
      <c r="E8" s="123" t="s">
        <v>502</v>
      </c>
    </row>
    <row r="9" customFormat="false" ht="42" hidden="false" customHeight="true" outlineLevel="0" collapsed="false">
      <c r="A9" s="121" t="n">
        <v>5</v>
      </c>
      <c r="B9" s="117" t="s">
        <v>503</v>
      </c>
      <c r="C9" s="118" t="s">
        <v>504</v>
      </c>
      <c r="D9" s="122" t="s">
        <v>505</v>
      </c>
      <c r="E9" s="123" t="s">
        <v>506</v>
      </c>
    </row>
    <row r="10" customFormat="false" ht="42" hidden="false" customHeight="true" outlineLevel="0" collapsed="false">
      <c r="A10" s="121" t="n">
        <v>6</v>
      </c>
      <c r="B10" s="117" t="s">
        <v>507</v>
      </c>
      <c r="C10" s="118" t="s">
        <v>508</v>
      </c>
      <c r="D10" s="122" t="s">
        <v>509</v>
      </c>
      <c r="E10" s="123" t="s">
        <v>510</v>
      </c>
    </row>
    <row r="11" customFormat="false" ht="42" hidden="false" customHeight="true" outlineLevel="0" collapsed="false">
      <c r="A11" s="121" t="n">
        <v>7</v>
      </c>
      <c r="B11" s="117" t="s">
        <v>511</v>
      </c>
      <c r="C11" s="118" t="s">
        <v>512</v>
      </c>
      <c r="D11" s="122" t="s">
        <v>513</v>
      </c>
      <c r="E11" s="123" t="s">
        <v>514</v>
      </c>
    </row>
    <row r="12" customFormat="false" ht="42" hidden="false" customHeight="true" outlineLevel="0" collapsed="false">
      <c r="A12" s="121" t="n">
        <v>8</v>
      </c>
      <c r="B12" s="117" t="s">
        <v>515</v>
      </c>
      <c r="C12" s="118" t="s">
        <v>516</v>
      </c>
      <c r="D12" s="122" t="s">
        <v>513</v>
      </c>
      <c r="E12" s="123" t="s">
        <v>517</v>
      </c>
    </row>
    <row r="13" customFormat="false" ht="42" hidden="false" customHeight="true" outlineLevel="0" collapsed="false">
      <c r="A13" s="121" t="n">
        <v>9</v>
      </c>
      <c r="B13" s="117" t="s">
        <v>518</v>
      </c>
      <c r="C13" s="118" t="s">
        <v>519</v>
      </c>
      <c r="D13" s="122" t="s">
        <v>513</v>
      </c>
      <c r="E13" s="123" t="s">
        <v>520</v>
      </c>
    </row>
    <row r="14" customFormat="false" ht="42" hidden="false" customHeight="true" outlineLevel="0" collapsed="false">
      <c r="A14" s="121" t="n">
        <v>10</v>
      </c>
      <c r="B14" s="117" t="s">
        <v>521</v>
      </c>
      <c r="C14" s="118" t="s">
        <v>522</v>
      </c>
      <c r="D14" s="122" t="s">
        <v>523</v>
      </c>
      <c r="E14" s="123" t="s">
        <v>524</v>
      </c>
    </row>
    <row r="15" customFormat="false" ht="42" hidden="false" customHeight="true" outlineLevel="0" collapsed="false">
      <c r="A15" s="121" t="n">
        <v>11</v>
      </c>
      <c r="B15" s="117" t="s">
        <v>525</v>
      </c>
      <c r="C15" s="118" t="s">
        <v>526</v>
      </c>
      <c r="D15" s="122" t="s">
        <v>527</v>
      </c>
      <c r="E15" s="123" t="s">
        <v>528</v>
      </c>
    </row>
    <row r="16" customFormat="false" ht="42" hidden="false" customHeight="true" outlineLevel="0" collapsed="false">
      <c r="A16" s="121" t="n">
        <v>12</v>
      </c>
      <c r="B16" s="117" t="s">
        <v>529</v>
      </c>
      <c r="C16" s="118" t="s">
        <v>530</v>
      </c>
      <c r="D16" s="122" t="s">
        <v>531</v>
      </c>
      <c r="E16" s="123" t="s">
        <v>532</v>
      </c>
    </row>
    <row r="17" customFormat="false" ht="42" hidden="false" customHeight="true" outlineLevel="0" collapsed="false">
      <c r="A17" s="121" t="n">
        <v>13</v>
      </c>
      <c r="B17" s="117" t="s">
        <v>533</v>
      </c>
      <c r="C17" s="118" t="s">
        <v>534</v>
      </c>
      <c r="D17" s="122" t="s">
        <v>535</v>
      </c>
      <c r="E17" s="123" t="s">
        <v>536</v>
      </c>
    </row>
    <row r="18" customFormat="false" ht="42" hidden="false" customHeight="true" outlineLevel="0" collapsed="false">
      <c r="A18" s="121" t="n">
        <v>14</v>
      </c>
      <c r="B18" s="117" t="s">
        <v>537</v>
      </c>
      <c r="C18" s="118" t="s">
        <v>538</v>
      </c>
      <c r="D18" s="122" t="s">
        <v>539</v>
      </c>
      <c r="E18" s="123" t="s">
        <v>540</v>
      </c>
    </row>
    <row r="19" customFormat="false" ht="42" hidden="false" customHeight="true" outlineLevel="0" collapsed="false">
      <c r="A19" s="121" t="n">
        <v>15</v>
      </c>
      <c r="B19" s="117" t="s">
        <v>541</v>
      </c>
      <c r="C19" s="118" t="s">
        <v>542</v>
      </c>
      <c r="D19" s="122" t="s">
        <v>543</v>
      </c>
      <c r="E19" s="123" t="s">
        <v>544</v>
      </c>
    </row>
    <row r="20" customFormat="false" ht="42" hidden="false" customHeight="true" outlineLevel="0" collapsed="false">
      <c r="A20" s="121" t="n">
        <v>16</v>
      </c>
      <c r="B20" s="117" t="s">
        <v>545</v>
      </c>
      <c r="C20" s="118" t="s">
        <v>546</v>
      </c>
      <c r="D20" s="122" t="s">
        <v>547</v>
      </c>
      <c r="E20" s="123" t="s">
        <v>548</v>
      </c>
    </row>
    <row r="21" customFormat="false" ht="42" hidden="false" customHeight="true" outlineLevel="0" collapsed="false">
      <c r="A21" s="121" t="n">
        <v>17</v>
      </c>
      <c r="B21" s="117" t="s">
        <v>549</v>
      </c>
      <c r="C21" s="118" t="s">
        <v>550</v>
      </c>
      <c r="D21" s="122" t="s">
        <v>551</v>
      </c>
      <c r="E21" s="123" t="s">
        <v>552</v>
      </c>
    </row>
    <row r="22" customFormat="false" ht="42" hidden="false" customHeight="true" outlineLevel="0" collapsed="false">
      <c r="A22" s="121" t="n">
        <v>18</v>
      </c>
      <c r="B22" s="117" t="s">
        <v>553</v>
      </c>
      <c r="C22" s="118" t="s">
        <v>554</v>
      </c>
      <c r="D22" s="122" t="s">
        <v>555</v>
      </c>
      <c r="E22" s="123" t="s">
        <v>556</v>
      </c>
    </row>
    <row r="23" customFormat="false" ht="42" hidden="false" customHeight="true" outlineLevel="0" collapsed="false">
      <c r="A23" s="121" t="n">
        <v>19</v>
      </c>
      <c r="B23" s="117" t="s">
        <v>557</v>
      </c>
      <c r="C23" s="118" t="s">
        <v>558</v>
      </c>
      <c r="D23" s="122" t="s">
        <v>559</v>
      </c>
      <c r="E23" s="123" t="s">
        <v>560</v>
      </c>
    </row>
    <row r="24" customFormat="false" ht="42" hidden="false" customHeight="true" outlineLevel="0" collapsed="false">
      <c r="A24" s="121" t="n">
        <v>20</v>
      </c>
      <c r="B24" s="117" t="s">
        <v>561</v>
      </c>
      <c r="C24" s="118" t="s">
        <v>562</v>
      </c>
      <c r="D24" s="122" t="s">
        <v>563</v>
      </c>
      <c r="E24" s="123" t="s">
        <v>564</v>
      </c>
    </row>
    <row r="25" customFormat="false" ht="42" hidden="false" customHeight="true" outlineLevel="0" collapsed="false">
      <c r="A25" s="121" t="n">
        <v>21</v>
      </c>
      <c r="B25" s="117" t="s">
        <v>565</v>
      </c>
      <c r="C25" s="118" t="s">
        <v>566</v>
      </c>
      <c r="D25" s="122" t="s">
        <v>567</v>
      </c>
      <c r="E25" s="123" t="s">
        <v>568</v>
      </c>
    </row>
    <row r="26" customFormat="false" ht="42" hidden="false" customHeight="true" outlineLevel="0" collapsed="false">
      <c r="A26" s="121" t="n">
        <v>22</v>
      </c>
      <c r="B26" s="117" t="s">
        <v>569</v>
      </c>
      <c r="C26" s="118" t="s">
        <v>570</v>
      </c>
      <c r="D26" s="122" t="s">
        <v>571</v>
      </c>
      <c r="E26" s="123" t="s">
        <v>572</v>
      </c>
    </row>
    <row r="27" customFormat="false" ht="42" hidden="false" customHeight="true" outlineLevel="0" collapsed="false">
      <c r="A27" s="121" t="n">
        <v>23</v>
      </c>
      <c r="B27" s="117" t="s">
        <v>573</v>
      </c>
      <c r="C27" s="118" t="s">
        <v>574</v>
      </c>
      <c r="D27" s="122" t="s">
        <v>571</v>
      </c>
      <c r="E27" s="123" t="s">
        <v>572</v>
      </c>
    </row>
    <row r="28" customFormat="false" ht="42" hidden="false" customHeight="true" outlineLevel="0" collapsed="false">
      <c r="A28" s="121" t="n">
        <v>24</v>
      </c>
      <c r="B28" s="117" t="s">
        <v>575</v>
      </c>
      <c r="C28" s="118" t="s">
        <v>576</v>
      </c>
      <c r="D28" s="122" t="s">
        <v>577</v>
      </c>
      <c r="E28" s="123" t="s">
        <v>578</v>
      </c>
    </row>
    <row r="29" customFormat="false" ht="42" hidden="false" customHeight="true" outlineLevel="0" collapsed="false">
      <c r="A29" s="121" t="n">
        <v>25</v>
      </c>
      <c r="B29" s="117" t="s">
        <v>579</v>
      </c>
      <c r="C29" s="118" t="s">
        <v>580</v>
      </c>
      <c r="D29" s="122" t="s">
        <v>581</v>
      </c>
      <c r="E29" s="123" t="s">
        <v>582</v>
      </c>
    </row>
    <row r="30" customFormat="false" ht="42" hidden="false" customHeight="true" outlineLevel="0" collapsed="false">
      <c r="A30" s="121" t="n">
        <v>26</v>
      </c>
      <c r="B30" s="117" t="s">
        <v>583</v>
      </c>
      <c r="C30" s="118" t="s">
        <v>584</v>
      </c>
      <c r="D30" s="122" t="s">
        <v>585</v>
      </c>
      <c r="E30" s="123" t="s">
        <v>586</v>
      </c>
    </row>
    <row r="31" customFormat="false" ht="42" hidden="false" customHeight="true" outlineLevel="0" collapsed="false">
      <c r="A31" s="121" t="n">
        <v>27</v>
      </c>
      <c r="B31" s="117" t="s">
        <v>587</v>
      </c>
      <c r="C31" s="118" t="s">
        <v>588</v>
      </c>
      <c r="D31" s="122" t="s">
        <v>589</v>
      </c>
      <c r="E31" s="123" t="s">
        <v>590</v>
      </c>
    </row>
    <row r="32" customFormat="false" ht="42" hidden="false" customHeight="true" outlineLevel="0" collapsed="false">
      <c r="A32" s="121" t="n">
        <v>28</v>
      </c>
      <c r="B32" s="117" t="s">
        <v>591</v>
      </c>
      <c r="C32" s="118" t="s">
        <v>592</v>
      </c>
      <c r="D32" s="122" t="s">
        <v>593</v>
      </c>
      <c r="E32" s="123" t="s">
        <v>594</v>
      </c>
    </row>
    <row r="33" customFormat="false" ht="42" hidden="false" customHeight="true" outlineLevel="0" collapsed="false">
      <c r="A33" s="121" t="n">
        <v>29</v>
      </c>
      <c r="B33" s="117" t="s">
        <v>595</v>
      </c>
      <c r="C33" s="118" t="s">
        <v>596</v>
      </c>
      <c r="D33" s="122" t="s">
        <v>593</v>
      </c>
      <c r="E33" s="123" t="s">
        <v>597</v>
      </c>
    </row>
    <row r="34" customFormat="false" ht="42" hidden="false" customHeight="true" outlineLevel="0" collapsed="false">
      <c r="A34" s="121" t="n">
        <v>30</v>
      </c>
      <c r="B34" s="117" t="s">
        <v>598</v>
      </c>
      <c r="C34" s="118" t="s">
        <v>599</v>
      </c>
      <c r="D34" s="122" t="s">
        <v>600</v>
      </c>
      <c r="E34" s="123" t="s">
        <v>601</v>
      </c>
    </row>
    <row r="35" customFormat="false" ht="42" hidden="false" customHeight="true" outlineLevel="0" collapsed="false">
      <c r="A35" s="121" t="n">
        <v>31</v>
      </c>
      <c r="B35" s="117" t="s">
        <v>602</v>
      </c>
      <c r="C35" s="118" t="s">
        <v>603</v>
      </c>
      <c r="D35" s="122" t="s">
        <v>604</v>
      </c>
      <c r="E35" s="123" t="s">
        <v>605</v>
      </c>
    </row>
    <row r="36" customFormat="false" ht="42" hidden="false" customHeight="true" outlineLevel="0" collapsed="false">
      <c r="A36" s="121" t="n">
        <v>32</v>
      </c>
      <c r="B36" s="117" t="s">
        <v>606</v>
      </c>
      <c r="C36" s="118" t="s">
        <v>607</v>
      </c>
      <c r="D36" s="122" t="s">
        <v>608</v>
      </c>
      <c r="E36" s="123" t="s">
        <v>609</v>
      </c>
    </row>
    <row r="37" customFormat="false" ht="42" hidden="false" customHeight="true" outlineLevel="0" collapsed="false">
      <c r="A37" s="121" t="n">
        <v>33</v>
      </c>
      <c r="B37" s="117" t="s">
        <v>610</v>
      </c>
      <c r="C37" s="118" t="s">
        <v>611</v>
      </c>
      <c r="D37" s="122" t="s">
        <v>612</v>
      </c>
      <c r="E37" s="123" t="s">
        <v>613</v>
      </c>
    </row>
    <row r="38" customFormat="false" ht="42" hidden="false" customHeight="true" outlineLevel="0" collapsed="false">
      <c r="A38" s="121" t="n">
        <v>34</v>
      </c>
      <c r="B38" s="117" t="s">
        <v>614</v>
      </c>
      <c r="C38" s="118" t="s">
        <v>615</v>
      </c>
      <c r="D38" s="122" t="s">
        <v>616</v>
      </c>
      <c r="E38" s="123" t="s">
        <v>617</v>
      </c>
    </row>
    <row r="39" customFormat="false" ht="42" hidden="false" customHeight="true" outlineLevel="0" collapsed="false">
      <c r="A39" s="121" t="n">
        <v>35</v>
      </c>
      <c r="B39" s="117" t="s">
        <v>618</v>
      </c>
      <c r="C39" s="118" t="s">
        <v>619</v>
      </c>
      <c r="D39" s="122" t="s">
        <v>620</v>
      </c>
      <c r="E39" s="123" t="s">
        <v>621</v>
      </c>
    </row>
    <row r="40" customFormat="false" ht="42" hidden="false" customHeight="true" outlineLevel="0" collapsed="false">
      <c r="A40" s="121" t="n">
        <v>36</v>
      </c>
      <c r="B40" s="117" t="s">
        <v>622</v>
      </c>
      <c r="C40" s="118" t="s">
        <v>623</v>
      </c>
      <c r="D40" s="122" t="s">
        <v>563</v>
      </c>
      <c r="E40" s="123" t="s">
        <v>564</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2026-08-28T12:52:59Z</dcterms:created>
  <dc:creator>openpyxl</dc:creator>
  <dc:description/>
  <dc:language>en-US</dc:language>
  <cp:lastModifiedBy/>
  <dcterms:modified xsi:type="dcterms:W3CDTF">2026-08-28T12:53:00Z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