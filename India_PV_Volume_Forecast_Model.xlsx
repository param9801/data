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ec7e97424e24f22" /></Relationships>
</file>

<file path=xl/workbook.xml><?xml version="1.0" encoding="utf-8"?>
<x:workbook xmlns:x="http://schemas.openxmlformats.org/spreadsheetml/2006/main">
  <x:sheets>
    <x:sheet xmlns:r="http://schemas.openxmlformats.org/officeDocument/2006/relationships" name="Summary" sheetId="1" r:id="R4697b24dbf7b4a63"/>
    <x:sheet xmlns:r="http://schemas.openxmlformats.org/officeDocument/2006/relationships" name="Assumptions" sheetId="2" r:id="R2e6ec91b0cd74630"/>
    <x:sheet xmlns:r="http://schemas.openxmlformats.org/officeDocument/2006/relationships" name="Forecast" sheetId="3" r:id="Rf111caa2d2b447ed"/>
    <x:sheet xmlns:r="http://schemas.openxmlformats.org/officeDocument/2006/relationships" name="Demand Debt" sheetId="4" r:id="R5e71a6bf37794496"/>
    <x:sheet xmlns:r="http://schemas.openxmlformats.org/officeDocument/2006/relationships" name="Supply" sheetId="5" r:id="R61f8ac04006642b1"/>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
    <x:numFmt numFmtId="201" formatCode="0.0%"/>
    <x:numFmt numFmtId="202" formatCode="0.00x"/>
    <x:numFmt numFmtId="203" formatCode="0"/>
    <x:numFmt numFmtId="204" formatCode="0.0000x"/>
    <x:numFmt numFmtId="205" formatCode="mmm-yy"/>
    <x:numFmt numFmtId="206" formatCode="#,##0;(#,##0);-"/>
  </x:numFmts>
  <x:fonts count="11">
    <x:font>
      <x:sz val="11"/>
      <x:name val="Carlito"/>
    </x:font>
    <x:font>
      <x:sz val="10"/>
      <x:color rgb="FF222222"/>
      <x:name val="Arial"/>
    </x:font>
    <x:font>
      <x:b/>
      <x:sz val="15"/>
      <x:color rgb="FF17365D"/>
      <x:name val="Arial"/>
    </x:font>
    <x:font>
      <x:i/>
      <x:sz val="10"/>
      <x:color rgb="FF666666"/>
      <x:name val="Arial"/>
    </x:font>
    <x:font>
      <x:b/>
      <x:sz val="10"/>
      <x:color rgb="FF17365D"/>
      <x:name val="Arial"/>
    </x:font>
    <x:font>
      <x:sz val="10"/>
      <x:color rgb="FF0000FF"/>
      <x:name val="Arial"/>
    </x:font>
    <x:font>
      <x:b/>
      <x:sz val="10"/>
      <x:color rgb="FFFFFFFF"/>
      <x:name val="Arial"/>
    </x:font>
    <x:font>
      <x:sz val="10"/>
      <x:color rgb="FF008000"/>
      <x:name val="Arial"/>
    </x:font>
    <x:font>
      <x:sz val="9"/>
      <x:color rgb="FF666666"/>
      <x:name val="Arial"/>
    </x:font>
    <x:font>
      <x:sz val="8"/>
      <x:color rgb="FF666666"/>
      <x:name val="Arial"/>
    </x:font>
    <x:font>
      <x:i/>
      <x:sz val="10"/>
      <x:color rgb="FF17365D"/>
      <x:name val="Arial"/>
    </x:font>
  </x:fonts>
  <x:fills count="8">
    <x:fill>
      <x:patternFill patternType="none"/>
    </x:fill>
    <x:fill>
      <x:patternFill patternType="gray125"/>
    </x:fill>
    <x:fill>
      <x:patternFill patternType="solid">
        <x:fgColor rgb="FFD9EAF7"/>
      </x:patternFill>
    </x:fill>
    <x:fill>
      <x:patternFill patternType="solid">
        <x:fgColor rgb="FFFFF2CC"/>
      </x:patternFill>
    </x:fill>
    <x:fill>
      <x:patternFill patternType="solid">
        <x:fgColor rgb="FF17365D"/>
      </x:patternFill>
    </x:fill>
    <x:fill>
      <x:patternFill patternType="solid">
        <x:fgColor rgb="FFE2F0D9"/>
      </x:patternFill>
    </x:fill>
    <x:fill>
      <x:patternFill patternType="solid">
        <x:fgColor rgb="FFEAF2F8"/>
      </x:patternFill>
    </x:fill>
    <x:fill>
      <x:patternFill patternType="solid">
        <x:fgColor rgb="FFFFFFFF"/>
      </x:patternFill>
    </x:fill>
  </x:fills>
  <x:borders count="7">
    <x:border/>
    <x:border>
      <x:bottom style="thin">
        <x:color rgb="FF17365D"/>
      </x:bottom>
    </x:border>
    <x:border>
      <x:bottom style="thin">
        <x:color rgb="FF9EADBA"/>
      </x:bottom>
    </x:border>
    <x:border>
      <x:right style="thin">
        <x:color rgb="FFFFFFFF"/>
      </x:right>
      <x:bottom style="thin">
        <x:color rgb="FF17365D"/>
      </x:bottom>
    </x:border>
    <x:border>
      <x:left style="thin">
        <x:color rgb="FFFFFFFF"/>
      </x:left>
      <x:bottom style="thin">
        <x:color rgb="FF17365D"/>
      </x:bottom>
    </x:border>
    <x:border>
      <x:left style="thin">
        <x:color rgb="FFFFFFFF"/>
      </x:left>
      <x:right style="thin">
        <x:color rgb="FFFFFFFF"/>
      </x:right>
      <x:bottom style="thin">
        <x:color rgb="FF17365D"/>
      </x:bottom>
    </x:border>
    <x:border>
      <x:top style="thin">
        <x:color rgb="FF17365D"/>
      </x:top>
      <x:bottom style="double">
        <x:color rgb="FF17365D"/>
      </x:bottom>
    </x:border>
  </x:borders>
  <x:cellStyleXfs count="1">
    <x:xf numFmtId="0" fontId="0" fillId="0" borderId="0"/>
  </x:cellStyleXfs>
  <x:cellXfs count="10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2" xfId="0" applyNumberFormat="1" applyFont="1" applyFill="1" applyBorder="1" applyAlignment="1">
      <x:alignment vertical="center"/>
    </x:xf>
    <x:xf numFmtId="200" fontId="1" fillId="0" borderId="0" xfId="0" applyNumberFormat="1" applyFont="1" applyFill="1" applyBorder="1" applyAlignment="1">
      <x:alignment vertical="center"/>
    </x:xf>
    <x:xf numFmtId="200" fontId="5"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201" fontId="1" fillId="3" borderId="0" xfId="0" applyNumberFormat="1" applyFont="1" applyFill="1" applyBorder="1" applyAlignment="1">
      <x:alignment vertical="center"/>
    </x:xf>
    <x:xf numFmtId="202" fontId="1" fillId="3" borderId="0" xfId="0" applyNumberFormat="1" applyFont="1" applyFill="1" applyBorder="1" applyAlignment="1">
      <x:alignment vertical="center"/>
    </x:xf>
    <x:xf numFmtId="201" fontId="5" fillId="3" borderId="0" xfId="0" applyNumberFormat="1" applyFont="1" applyFill="1" applyBorder="1" applyAlignment="1">
      <x:alignment vertical="center"/>
    </x:xf>
    <x:xf numFmtId="202" fontId="5" fillId="3" borderId="0" xfId="0" applyNumberFormat="1" applyFont="1" applyFill="1" applyBorder="1" applyAlignment="1">
      <x:alignment vertical="center"/>
    </x:xf>
    <x:xf numFmtId="203" fontId="1" fillId="0" borderId="0" xfId="0" applyNumberFormat="1" applyFont="1" applyFill="1" applyBorder="1" applyAlignment="1">
      <x:alignment vertical="center"/>
    </x:xf>
    <x:xf numFmtId="200" fontId="1" fillId="3" borderId="0" xfId="0" applyNumberFormat="1" applyFont="1" applyFill="1" applyBorder="1" applyAlignment="1">
      <x:alignment vertical="center"/>
    </x:xf>
    <x:xf numFmtId="203" fontId="1" fillId="3" borderId="0" xfId="0" applyNumberFormat="1" applyFont="1" applyFill="1" applyBorder="1" applyAlignment="1">
      <x:alignment vertical="center"/>
    </x:xf>
    <x:xf numFmtId="200" fontId="5" fillId="3" borderId="0" xfId="0" applyNumberFormat="1" applyFont="1" applyFill="1" applyBorder="1" applyAlignment="1">
      <x:alignment vertical="center"/>
    </x:xf>
    <x:xf numFmtId="203" fontId="5" fillId="3" borderId="0" xfId="0" applyNumberFormat="1" applyFont="1" applyFill="1" applyBorder="1" applyAlignment="1">
      <x:alignment vertical="center"/>
    </x:xf>
    <x:xf numFmtId="0" fontId="1" fillId="4" borderId="0" xfId="0" applyNumberFormat="1" applyFont="1" applyFill="1" applyBorder="1" applyAlignment="1">
      <x:alignment vertical="center"/>
    </x:xf>
    <x:xf numFmtId="0" fontId="6" fillId="4" borderId="0" xfId="0" applyNumberFormat="1" applyFont="1" applyFill="1" applyBorder="1" applyAlignment="1">
      <x:alignment vertical="center"/>
    </x:xf>
    <x:xf numFmtId="0" fontId="6" fillId="4" borderId="3" xfId="0" applyNumberFormat="1" applyFont="1" applyFill="1" applyBorder="1" applyAlignment="1">
      <x:alignment vertical="center"/>
    </x:xf>
    <x:xf numFmtId="0" fontId="6" fillId="4" borderId="4" xfId="0" applyNumberFormat="1" applyFont="1" applyFill="1" applyBorder="1" applyAlignment="1">
      <x:alignment vertical="center"/>
    </x:xf>
    <x:xf numFmtId="0" fontId="6" fillId="4" borderId="3" xfId="0" applyNumberFormat="1" applyFont="1" applyFill="1" applyBorder="1" applyAlignment="1">
      <x:alignment vertical="center" wrapText="1"/>
    </x:xf>
    <x:xf numFmtId="0" fontId="6" fillId="4" borderId="4" xfId="0" applyNumberFormat="1" applyFont="1" applyFill="1" applyBorder="1" applyAlignment="1">
      <x:alignment vertical="center" wrapText="1"/>
    </x:xf>
    <x:xf numFmtId="0" fontId="6" fillId="4" borderId="3" xfId="0" applyNumberFormat="1" applyFont="1" applyFill="1" applyBorder="1" applyAlignment="1">
      <x:alignment horizontal="center" vertical="center" wrapText="1"/>
    </x:xf>
    <x:xf numFmtId="0" fontId="6" fillId="4" borderId="4" xfId="0" applyNumberFormat="1" applyFont="1" applyFill="1" applyBorder="1" applyAlignment="1">
      <x:alignment horizontal="center" vertical="center" wrapText="1"/>
    </x:xf>
    <x:xf numFmtId="204" fontId="1" fillId="0" borderId="0" xfId="0" applyNumberFormat="1" applyFont="1" applyFill="1" applyBorder="1" applyAlignment="1">
      <x:alignment vertical="center"/>
    </x:xf>
    <x:xf numFmtId="204" fontId="7"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8" fillId="0" borderId="0" xfId="0" applyNumberFormat="1" applyFont="1" applyFill="1" applyBorder="1" applyAlignment="1">
      <x:alignment vertical="center" wrapText="1"/>
    </x:xf>
    <x:xf numFmtId="0" fontId="6" fillId="4" borderId="5" xfId="0" applyNumberFormat="1" applyFont="1" applyFill="1" applyBorder="1" applyAlignment="1">
      <x:alignment vertical="center"/>
    </x:xf>
    <x:xf numFmtId="0" fontId="6" fillId="4" borderId="5" xfId="0" applyNumberFormat="1" applyFont="1" applyFill="1" applyBorder="1" applyAlignment="1">
      <x:alignment vertical="center" wrapText="1"/>
    </x:xf>
    <x:xf numFmtId="0" fontId="6" fillId="4" borderId="5" xfId="0" applyNumberFormat="1" applyFont="1" applyFill="1" applyBorder="1" applyAlignment="1">
      <x:alignment horizontal="center" vertical="center" wrapText="1"/>
    </x:xf>
    <x:xf numFmtId="0" fontId="9" fillId="0" borderId="0" xfId="0" applyNumberFormat="1" applyFont="1" applyFill="1" applyBorder="1" applyAlignment="1">
      <x:alignment vertical="center"/>
    </x:xf>
    <x:xf numFmtId="0" fontId="9" fillId="0" borderId="0" xfId="0" applyNumberFormat="1" applyFont="1" applyFill="1" applyBorder="1" applyAlignment="1">
      <x:alignment vertical="center" wrapText="1"/>
    </x:xf>
    <x:xf numFmtId="0" fontId="1" fillId="3" borderId="0" xfId="0" applyNumberFormat="1" applyFont="1" applyFill="1" applyBorder="1" applyAlignment="1">
      <x:alignment vertical="center"/>
    </x:xf>
    <x:xf numFmtId="0" fontId="5" fillId="3" borderId="0" xfId="0" applyNumberFormat="1" applyFont="1" applyFill="1" applyBorder="1" applyAlignment="1">
      <x:alignment vertical="center"/>
    </x:xf>
    <x:xf numFmtId="0" fontId="4" fillId="0" borderId="0" xfId="0" applyNumberFormat="1" applyFont="1" applyFill="1" applyBorder="1" applyAlignment="1">
      <x:alignment vertical="center"/>
    </x:xf>
    <x:xf numFmtId="200" fontId="4" fillId="0" borderId="0" xfId="0" applyNumberFormat="1" applyFont="1" applyFill="1" applyBorder="1" applyAlignment="1">
      <x:alignment vertical="center"/>
    </x:xf>
    <x:xf numFmtId="205" fontId="1" fillId="0" borderId="0" xfId="0" applyNumberFormat="1" applyFont="1" applyFill="1" applyBorder="1" applyAlignment="1">
      <x:alignment vertical="center"/>
    </x:xf>
    <x:xf numFmtId="200" fontId="7" fillId="0" borderId="0" xfId="0" applyNumberFormat="1" applyFont="1" applyFill="1" applyBorder="1" applyAlignment="1">
      <x:alignment vertical="center"/>
    </x:xf>
    <x:xf numFmtId="206" fontId="1" fillId="0" borderId="0" xfId="0" applyNumberFormat="1" applyFont="1" applyFill="1" applyBorder="1" applyAlignment="1">
      <x:alignment vertical="center"/>
    </x:xf>
    <x:xf numFmtId="206" fontId="5" fillId="0" borderId="0" xfId="0" applyNumberFormat="1" applyFont="1" applyFill="1" applyBorder="1" applyAlignment="1">
      <x:alignment vertical="center"/>
    </x:xf>
    <x:xf numFmtId="206" fontId="7" fillId="0" borderId="0" xfId="0" applyNumberFormat="1" applyFont="1" applyFill="1" applyBorder="1" applyAlignment="1">
      <x:alignment vertical="center"/>
    </x:xf>
    <x:xf numFmtId="201" fontId="7" fillId="0" borderId="0" xfId="0" applyNumberFormat="1" applyFont="1" applyFill="1" applyBorder="1" applyAlignment="1">
      <x:alignment vertical="center"/>
    </x:xf>
    <x:xf numFmtId="203" fontId="7" fillId="0" borderId="0" xfId="0" applyNumberFormat="1" applyFont="1" applyFill="1" applyBorder="1" applyAlignment="1">
      <x:alignment vertical="center"/>
    </x:xf>
    <x:xf numFmtId="206" fontId="4" fillId="0" borderId="0" xfId="0" applyNumberFormat="1" applyFont="1" applyFill="1" applyBorder="1" applyAlignment="1">
      <x:alignment vertical="center"/>
    </x:xf>
    <x:xf numFmtId="0" fontId="3" fillId="0" borderId="0" xfId="0" applyNumberFormat="1" applyFont="1" applyFill="1" applyBorder="1" applyAlignment="1">
      <x:alignment vertical="center" wrapText="1"/>
    </x:xf>
    <x:xf numFmtId="0" fontId="1" fillId="5" borderId="0" xfId="0" applyNumberFormat="1" applyFont="1" applyFill="1" applyBorder="1" applyAlignment="1">
      <x:alignment vertical="center"/>
    </x:xf>
    <x:xf numFmtId="0" fontId="4" fillId="5" borderId="0" xfId="0" applyNumberFormat="1" applyFont="1" applyFill="1" applyBorder="1" applyAlignment="1">
      <x:alignment vertical="center"/>
    </x:xf>
    <x:xf numFmtId="0" fontId="4" fillId="5" borderId="6" xfId="0" applyNumberFormat="1" applyFont="1" applyFill="1" applyBorder="1" applyAlignment="1">
      <x:alignment vertical="center"/>
    </x:xf>
    <x:xf numFmtId="206" fontId="4" fillId="2" borderId="2" xfId="0" applyNumberFormat="1" applyFont="1" applyFill="1" applyBorder="1" applyAlignment="1">
      <x:alignment vertical="center"/>
    </x:xf>
    <x:xf numFmtId="206" fontId="4" fillId="5" borderId="6" xfId="0" applyNumberFormat="1" applyFont="1" applyFill="1" applyBorder="1" applyAlignment="1">
      <x:alignment vertical="center"/>
    </x:xf>
    <x:xf numFmtId="0" fontId="10" fillId="0" borderId="0" xfId="0" applyNumberFormat="1" applyFont="1" applyFill="1" applyBorder="1" applyAlignment="1">
      <x:alignment vertical="center"/>
    </x:xf>
    <x:xf numFmtId="201" fontId="10" fillId="0" borderId="0" xfId="0" applyNumberFormat="1" applyFont="1" applyFill="1" applyBorder="1" applyAlignment="1">
      <x:alignment vertical="center"/>
    </x:xf>
    <x:xf numFmtId="206" fontId="1" fillId="5" borderId="0" xfId="0" applyNumberFormat="1" applyFont="1" applyFill="1" applyBorder="1" applyAlignment="1">
      <x:alignment vertical="center"/>
    </x:xf>
    <x:xf numFmtId="206" fontId="1" fillId="6" borderId="0" xfId="0" applyNumberFormat="1" applyFont="1" applyFill="1" applyBorder="1" applyAlignment="1">
      <x:alignment vertical="center"/>
    </x:xf>
    <x:xf numFmtId="201" fontId="1" fillId="6" borderId="0" xfId="0" applyNumberFormat="1" applyFont="1" applyFill="1" applyBorder="1" applyAlignment="1">
      <x:alignment vertical="center"/>
    </x:xf>
    <x:xf numFmtId="206" fontId="4" fillId="5" borderId="0" xfId="0" applyNumberFormat="1" applyFont="1" applyFill="1" applyBorder="1" applyAlignment="1">
      <x:alignment vertical="center"/>
    </x:xf>
    <x:xf numFmtId="206" fontId="4" fillId="6" borderId="0" xfId="0" applyNumberFormat="1" applyFont="1" applyFill="1" applyBorder="1" applyAlignment="1">
      <x:alignment vertical="center"/>
    </x:xf>
    <x:xf numFmtId="201" fontId="4" fillId="6" borderId="0" xfId="0" applyNumberFormat="1" applyFont="1" applyFill="1" applyBorder="1" applyAlignment="1">
      <x:alignment vertical="center"/>
    </x:xf>
    <x:xf numFmtId="200" fontId="9" fillId="0" borderId="0" xfId="0" applyNumberFormat="1" applyFont="1" applyFill="1" applyBorder="1" applyAlignment="1">
      <x:alignment vertical="center"/>
    </x:xf>
    <x:xf numFmtId="201" fontId="9" fillId="0" borderId="0" xfId="0" applyNumberFormat="1" applyFont="1" applyFill="1" applyBorder="1" applyAlignment="1">
      <x:alignment vertical="center"/>
    </x:xf>
    <x:xf numFmtId="200" fontId="9" fillId="7" borderId="0" xfId="0" applyNumberFormat="1" applyFont="1" applyFill="1" applyBorder="1" applyAlignment="1">
      <x:alignment vertical="center"/>
    </x:xf>
    <x:xf numFmtId="201" fontId="9" fillId="7" borderId="0" xfId="0" applyNumberFormat="1" applyFont="1" applyFill="1" applyBorder="1" applyAlignment="1">
      <x:alignment vertical="center"/>
    </x:xf>
    <x:xf numFmtId="0" fontId="6" fillId="4" borderId="5" xfId="0" applyNumberFormat="1" applyFont="1" applyFill="1" applyBorder="1" applyAlignment="1">
      <x:alignment horizontal="right" vertical="center" wrapText="1"/>
    </x:xf>
    <x:xf numFmtId="0" fontId="6" fillId="4" borderId="4" xfId="0" applyNumberFormat="1" applyFont="1" applyFill="1" applyBorder="1" applyAlignment="1">
      <x:alignment horizontal="right" vertical="center" wrapText="1"/>
    </x:xf>
    <x:xf numFmtId="206" fontId="4" fillId="0" borderId="0" xfId="0" applyNumberFormat="1" applyFont="1" applyFill="1" applyBorder="1" applyAlignment="1">
      <x:alignment horizontal="right" vertical="center"/>
    </x:xf>
    <x:xf numFmtId="201" fontId="10" fillId="0" borderId="0" xfId="0" applyNumberFormat="1" applyFont="1" applyFill="1" applyBorder="1" applyAlignment="1">
      <x:alignment horizontal="right" vertical="center"/>
    </x:xf>
    <x:xf numFmtId="206" fontId="1" fillId="0" borderId="0" xfId="0" applyNumberFormat="1" applyFont="1" applyFill="1" applyBorder="1" applyAlignment="1">
      <x:alignment horizontal="right" vertical="center"/>
    </x:xf>
    <x:xf numFmtId="0" fontId="1" fillId="0" borderId="0" xfId="0" applyNumberFormat="1" applyFont="1" applyFill="1" applyBorder="1" applyAlignment="1">
      <x:alignment horizontal="right" vertical="center"/>
    </x:xf>
    <x:xf numFmtId="0" fontId="4" fillId="2" borderId="2" xfId="0" applyNumberFormat="1" applyFont="1" applyFill="1" applyBorder="1" applyAlignment="1">
      <x:alignment horizontal="right" vertical="center"/>
    </x:xf>
    <x:xf numFmtId="206" fontId="4" fillId="5" borderId="0" xfId="0" applyNumberFormat="1" applyFont="1" applyFill="1" applyBorder="1" applyAlignment="1">
      <x:alignment horizontal="right" vertical="center"/>
    </x:xf>
    <x:xf numFmtId="0" fontId="6" fillId="4" borderId="3" xfId="0" applyNumberFormat="1" applyFont="1" applyFill="1" applyBorder="1" applyAlignment="1">
      <x:alignment horizontal="right" vertical="center" wrapText="1"/>
    </x:xf>
    <x:xf numFmtId="0" fontId="9" fillId="0" borderId="0" xfId="0" applyNumberFormat="1" applyFont="1" applyFill="1" applyBorder="1" applyAlignment="1">
      <x:alignment horizontal="right" vertical="center" wrapText="1"/>
    </x:xf>
    <x:xf numFmtId="206" fontId="4" fillId="6" borderId="0" xfId="0" applyNumberFormat="1" applyFont="1" applyFill="1" applyBorder="1" applyAlignment="1">
      <x:alignment horizontal="right" vertical="center"/>
    </x:xf>
    <x:xf numFmtId="201" fontId="4" fillId="6" borderId="0" xfId="0" applyNumberFormat="1" applyFont="1" applyFill="1" applyBorder="1" applyAlignment="1">
      <x:alignment horizontal="right" vertical="center"/>
    </x:xf>
    <x:xf numFmtId="200" fontId="5" fillId="0" borderId="0" xfId="0" applyNumberFormat="1" applyFont="1" applyFill="1" applyBorder="1" applyAlignment="1">
      <x:alignment horizontal="right" vertical="center"/>
    </x:xf>
    <x:xf numFmtId="201" fontId="5" fillId="3" borderId="0" xfId="0" applyNumberFormat="1" applyFont="1" applyFill="1" applyBorder="1" applyAlignment="1">
      <x:alignment horizontal="right" vertical="center"/>
    </x:xf>
    <x:xf numFmtId="202" fontId="5" fillId="3" borderId="0" xfId="0" applyNumberFormat="1" applyFont="1" applyFill="1" applyBorder="1" applyAlignment="1">
      <x:alignment horizontal="right" vertical="center"/>
    </x:xf>
    <x:xf numFmtId="200" fontId="5" fillId="3" borderId="0" xfId="0" applyNumberFormat="1" applyFont="1" applyFill="1" applyBorder="1" applyAlignment="1">
      <x:alignment horizontal="right" vertical="center"/>
    </x:xf>
    <x:xf numFmtId="203" fontId="5" fillId="3" borderId="0" xfId="0" applyNumberFormat="1" applyFont="1" applyFill="1" applyBorder="1" applyAlignment="1">
      <x:alignment horizontal="right" vertical="center"/>
    </x:xf>
    <x:xf numFmtId="204" fontId="7" fillId="0" borderId="0" xfId="0" applyNumberFormat="1" applyFont="1" applyFill="1" applyBorder="1" applyAlignment="1">
      <x:alignment horizontal="right" vertical="center"/>
    </x:xf>
    <x:xf numFmtId="200" fontId="4" fillId="0" borderId="0" xfId="0" applyNumberFormat="1" applyFont="1" applyFill="1" applyBorder="1" applyAlignment="1">
      <x:alignment horizontal="right" vertical="center"/>
    </x:xf>
    <x:xf numFmtId="200" fontId="7" fillId="0" borderId="0" xfId="0" applyNumberFormat="1" applyFont="1" applyFill="1" applyBorder="1" applyAlignment="1">
      <x:alignment horizontal="right" vertical="center"/>
    </x:xf>
    <x:xf numFmtId="206" fontId="5" fillId="0" borderId="0" xfId="0" applyNumberFormat="1" applyFont="1" applyFill="1" applyBorder="1" applyAlignment="1">
      <x:alignment horizontal="right" vertical="center"/>
    </x:xf>
    <x:xf numFmtId="201" fontId="1" fillId="0" borderId="0" xfId="0" applyNumberFormat="1" applyFont="1" applyFill="1" applyBorder="1" applyAlignment="1">
      <x:alignment horizontal="right" vertical="center"/>
    </x:xf>
    <x:xf numFmtId="203" fontId="1" fillId="0" borderId="0" xfId="0" applyNumberFormat="1" applyFont="1" applyFill="1" applyBorder="1" applyAlignment="1">
      <x:alignment horizontal="right" vertical="center"/>
    </x:xf>
    <x:xf numFmtId="206" fontId="7" fillId="0" borderId="0" xfId="0" applyNumberFormat="1" applyFont="1" applyFill="1" applyBorder="1" applyAlignment="1">
      <x:alignment horizontal="right" vertical="center"/>
    </x:xf>
    <x:xf numFmtId="204" fontId="1" fillId="0" borderId="0" xfId="0" applyNumberFormat="1" applyFont="1" applyFill="1" applyBorder="1" applyAlignment="1">
      <x:alignment horizontal="right" vertical="center"/>
    </x:xf>
    <x:xf numFmtId="201" fontId="7" fillId="0" borderId="0" xfId="0" applyNumberFormat="1" applyFont="1" applyFill="1" applyBorder="1" applyAlignment="1">
      <x:alignment horizontal="right" vertical="center"/>
    </x:xf>
    <x:xf numFmtId="203" fontId="7" fillId="0" borderId="0" xfId="0" applyNumberFormat="1" applyFont="1" applyFill="1" applyBorder="1" applyAlignment="1">
      <x:alignment horizontal="right" vertical="center"/>
    </x:xf>
    <x:xf numFmtId="205" fontId="1" fillId="0" borderId="0" xfId="0" applyNumberFormat="1" applyFont="1" applyFill="1" applyBorder="1" applyAlignment="1">
      <x:alignment horizontal="center" vertical="center"/>
    </x:xf>
    <x:xf numFmtId="0" fontId="1" fillId="0" borderId="0" xfId="0" applyNumberFormat="1" applyFont="1" applyFill="1" applyBorder="1" applyAlignment="1">
      <x:alignment horizontal="center" vertical="center"/>
    </x:xf>
    <x:xf numFmtId="206" fontId="4" fillId="2" borderId="2" xfId="0" applyNumberFormat="1" applyFont="1" applyFill="1" applyBorder="1" applyAlignment="1">
      <x:alignment horizontal="right" vertical="center"/>
    </x:xf>
    <x:xf numFmtId="206" fontId="4" fillId="5" borderId="6" xfId="0" applyNumberFormat="1" applyFont="1" applyFill="1" applyBorder="1" applyAlignment="1">
      <x:alignment horizontal="right" vertical="center"/>
    </x:xf>
  </x:cellXfs>
  <x:cellStyles count="1">
    <x:cellStyle name="Normal" xfId="0"/>
  </x:cellStyles>
  <x:dxfs count="3">
    <x:dxf>
      <x:font>
        <x:color rgb="FF17365D"/>
      </x:font>
      <x:fill>
        <x:patternFill patternType="solid">
          <x:bgColor rgb="FFEAF2F8"/>
        </x:patternFill>
      </x:fill>
    </x:dxf>
    <x:dxf>
      <x:font>
        <x:b/>
        <x:color rgb="FF17365D"/>
      </x:font>
      <x:fill>
        <x:patternFill patternType="solid">
          <x:bgColor rgb="FFFFF2CC"/>
        </x:patternFill>
      </x:fill>
    </x:dxf>
    <x:dxf>
      <x:font>
        <x:b/>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95bc4936c614f1a" /><Relationship Type="http://schemas.openxmlformats.org/officeDocument/2006/relationships/theme" Target="/xl/theme/theme1.xml" Id="R6288db5185344e8e" /><Relationship Type="http://schemas.openxmlformats.org/officeDocument/2006/relationships/sharedStrings" Target="/xl/sharedStrings.xml" Id="Rb5047c7bf1654531" /><Relationship Type="http://schemas.openxmlformats.org/officeDocument/2006/relationships/worksheet" Target="/xl/worksheets/sheet1.xml" Id="R4697b24dbf7b4a63" /><Relationship Type="http://schemas.openxmlformats.org/officeDocument/2006/relationships/worksheet" Target="/xl/worksheets/sheet2.xml" Id="R2e6ec91b0cd74630" /><Relationship Type="http://schemas.openxmlformats.org/officeDocument/2006/relationships/worksheet" Target="/xl/worksheets/sheet3.xml" Id="Rf111caa2d2b447ed" /><Relationship Type="http://schemas.openxmlformats.org/officeDocument/2006/relationships/worksheet" Target="/xl/worksheets/sheet4.xml" Id="R5e71a6bf37794496" /><Relationship Type="http://schemas.openxmlformats.org/officeDocument/2006/relationships/worksheet" Target="/xl/worksheets/sheet5.xml" Id="R61f8ac04006642b1" /></Relationships>
</file>

<file path=xl/drawings/_rels/drawing1.xml.rels>&#65279;<?xml version="1.0" encoding="utf-8"?><Relationships xmlns="http://schemas.openxmlformats.org/package/2006/relationships"><Relationship Type="http://schemas.openxmlformats.org/officeDocument/2006/relationships/chart" Target="/xl/drawings/charts/chart1.xml" Id="R239908da1a7e4ca1" /><Relationship Type="http://schemas.openxmlformats.org/officeDocument/2006/relationships/chart" Target="/xl/drawings/charts/chart2.xml" Id="R7e48a3b15059426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Monthly PV retail and underlying baseline</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lineChart>
        <c:grouping val="standard"/>
        <c:varyColors val="0"/>
        <c:ser>
          <c:idx val="0"/>
          <c:order val="0"/>
          <c:tx>
            <c:v>PV retail</c:v>
          </c:tx>
          <c:spPr>
            <a:ln xmlns:a="http://schemas.openxmlformats.org/drawingml/2006/main" w="19050">
              <a:solidFill>
                <a:srgbClr val="4472C4"/>
              </a:solidFill>
              <a:prstDash val="solid"/>
            </a:ln>
          </c:spPr>
          <c:marker>
            <c:symbol val="none"/>
          </c:marker>
          <c:cat>
            <c:strRef>
              <c:f>'Summary'!$S$7:$S$42</c:f>
              <c:strCache>
                <c:ptCount val="0"/>
              </c:strCache>
            </c:strRef>
          </c:cat>
          <c:val>
            <c:numRef>
              <c:f>'Summary'!$T$7:$T$42</c:f>
              <c:numCache>
                <c:formatCode>0,"k"</c:formatCode>
                <c:ptCount val="0"/>
              </c:numCache>
            </c:numRef>
          </c:val>
          <c:smooth val="0"/>
        </c:ser>
        <c:ser>
          <c:idx val="1"/>
          <c:order val="1"/>
          <c:tx>
            <c:v>Underlying baseline</c:v>
          </c:tx>
          <c:spPr>
            <a:ln xmlns:a="http://schemas.openxmlformats.org/drawingml/2006/main" w="19050">
              <a:solidFill>
                <a:srgbClr val="A5A5A5"/>
              </a:solidFill>
              <a:prstDash val="dash"/>
            </a:ln>
          </c:spPr>
          <c:marker>
            <c:symbol val="none"/>
          </c:marker>
          <c:cat>
            <c:strRef>
              <c:f>'Summary'!$S$7:$S$42</c:f>
              <c:strCache>
                <c:ptCount val="0"/>
              </c:strCache>
            </c:strRef>
          </c:cat>
          <c:val>
            <c:numRef>
              <c:f>'Summary'!$U$7:$U$42</c:f>
              <c:numCache>
                <c:formatCode>0,"k"</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ickLblSkip val="3"/>
        <c:txPr>
          <a:bodyPr xmlns:a="http://schemas.openxmlformats.org/drawingml/2006/main" anchorCtr="1"/>
          <a:lstStyle xmlns:a="http://schemas.openxmlformats.org/drawingml/2006/main"/>
          <a:p xmlns:a="http://schemas.openxmlformats.org/drawingml/2006/main">
            <a:pPr>
              <a:defRPr sz="60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quot;k&quot;" sourceLinked="0"/>
        <c:majorTickMark val="none"/>
        <c:minorTickMark val="none"/>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PV volume growth by fiscal year</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Retail growth</c:v>
          </c:tx>
          <c:cat>
            <c:strRef>
              <c:f>'Summary'!$S$46:$S$48</c:f>
              <c:strCache>
                <c:ptCount val="0"/>
              </c:strCache>
            </c:strRef>
          </c:cat>
          <c:val>
            <c:numRef>
              <c:f>'Summary'!$T$46:$T$48</c:f>
              <c:numCache>
                <c:formatCode>0%</c:formatCode>
                <c:ptCount val="0"/>
              </c:numCache>
            </c:numRef>
          </c:val>
        </c:ser>
        <c:ser>
          <c:idx val="1"/>
          <c:order val="1"/>
          <c:tx>
            <c:v>Wholesale growth</c:v>
          </c:tx>
          <c:cat>
            <c:strRef>
              <c:f>'Summary'!$S$46:$S$48</c:f>
              <c:strCache>
                <c:ptCount val="0"/>
              </c:strCache>
            </c:strRef>
          </c:cat>
          <c:val>
            <c:numRef>
              <c:f>'Summary'!$U$46:$U$48</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0</xdr:colOff>
      <xdr:row>5</xdr:row>
      <xdr:rowOff>0</xdr:rowOff>
    </xdr:from>
    <xdr:to>
      <xdr:col>17</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39908da1a7e4ca1"/>
        </a:graphicData>
      </a:graphic>
    </xdr:graphicFrame>
    <xdr:clientData/>
  </xdr:twoCellAnchor>
  <xdr:twoCellAnchor>
    <xdr:from>
      <xdr:col>8</xdr:col>
      <xdr:colOff>0</xdr:colOff>
      <xdr:row>21</xdr:row>
      <xdr:rowOff>0</xdr:rowOff>
    </xdr:from>
    <xdr:to>
      <xdr:col>17</xdr:col>
      <xdr:colOff>0</xdr:colOff>
      <xdr:row>35</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e48a3b150594269"/>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7c713f1f4bf64678" /></Relationships>
</file>

<file path=xl/worksheets/sheet1.xml><?xml version="1.0" encoding="utf-8"?>
<x:worksheet xmlns:x="http://schemas.openxmlformats.org/spreadsheetml/2006/main">
  <x:sheetPr>
    <x:tabColor rgb="FF17365D"/>
  </x:sheetPr>
  <x:sheetViews>
    <x:sheetView showGridLines="0" workbookViewId="0"/>
  </x:sheetViews>
  <x:sheetFormatPr defaultRowHeight="15"/>
  <x:cols>
    <x:col min="1" max="1" width="2" hidden="0" customWidth="1"/>
    <x:col min="2" max="2" width="2" hidden="0" customWidth="1"/>
    <x:col min="3" max="3" width="38" hidden="0" customWidth="1"/>
    <x:col min="4" max="4" width="14" hidden="0" customWidth="1"/>
    <x:col min="5" max="5" width="14" hidden="0" customWidth="1"/>
    <x:col min="6" max="6" width="14" hidden="0" customWidth="1"/>
    <x:col min="7" max="7" width="28" hidden="0" customWidth="1"/>
    <x:col min="8" max="8" width="3"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x:c r="A2" s="2"/>
      <x:c r="B2" s="2"/>
      <x:c r="C2" s="3" t="str">
        <x:v>India passenger vehicles: volume forecast</x:v>
      </x:c>
      <x:c r="D2" s="2"/>
      <x:c r="E2" s="2"/>
      <x:c r="F2" s="2"/>
      <x:c r="G2" s="2"/>
      <x:c r="H2" s="2"/>
      <x:c r="I2" s="2"/>
      <x:c r="J2" s="2"/>
      <x:c r="K2" s="2"/>
      <x:c r="L2" s="2"/>
      <x:c r="M2" s="2"/>
      <x:c r="N2" s="2"/>
      <x:c r="O2" s="2"/>
      <x:c r="P2" s="2"/>
      <x:c r="Q2" s="2"/>
      <x:c r="R2" s="2"/>
      <x:c r="S2" s="2"/>
      <x:c r="T2" s="2"/>
      <x:c r="U2" s="2"/>
      <x:c r="V2" s="2"/>
      <x:c r="W2" s="2"/>
      <x:c r="X2" s="2"/>
      <x:c r="Y2" s="2"/>
      <x:c r="Z2" s="2"/>
    </x:row>
    <x:row r="3">
      <x:c r="A3" s="2"/>
      <x:c r="B3" s="2"/>
      <x:c r="C3" s="4"/>
      <x:c r="D3" s="4"/>
      <x:c r="E3" s="4"/>
      <x:c r="F3" s="4"/>
      <x:c r="G3" s="4"/>
      <x:c r="H3" s="4"/>
      <x:c r="I3" s="4"/>
      <x:c r="J3" s="4"/>
      <x:c r="K3" s="4"/>
      <x:c r="L3" s="4"/>
      <x:c r="M3" s="4"/>
      <x:c r="N3" s="4"/>
      <x:c r="O3" s="4"/>
      <x:c r="P3" s="4"/>
      <x:c r="Q3" s="4"/>
      <x:c r="R3" s="2"/>
      <x:c r="S3" s="2"/>
      <x:c r="T3" s="2"/>
      <x:c r="U3" s="2"/>
      <x:c r="V3" s="2"/>
      <x:c r="W3" s="2"/>
      <x:c r="X3" s="2"/>
      <x:c r="Y3" s="2"/>
      <x:c r="Z3" s="2"/>
    </x:row>
    <x:row r="4">
      <x:c r="A4" s="2"/>
      <x:c r="B4" s="2"/>
      <x:c r="C4" s="5" t="str">
        <x:v>Central estimate | Public data through August 2026 | Units in vehicles</x:v>
      </x:c>
      <x:c r="D4" s="2"/>
      <x:c r="E4" s="2"/>
      <x:c r="F4" s="2"/>
      <x:c r="G4" s="2"/>
      <x:c r="H4" s="2"/>
      <x:c r="I4" s="2"/>
      <x:c r="J4" s="2"/>
      <x:c r="K4" s="2"/>
      <x:c r="L4" s="2"/>
      <x:c r="M4" s="2"/>
      <x:c r="N4" s="2"/>
      <x:c r="O4" s="2"/>
      <x:c r="P4" s="2"/>
      <x:c r="Q4" s="2"/>
      <x:c r="R4" s="2"/>
      <x:c r="S4" s="2"/>
      <x:c r="T4" s="2"/>
      <x:c r="U4" s="2"/>
      <x:c r="V4" s="2"/>
      <x:c r="W4" s="2"/>
      <x:c r="X4" s="2"/>
      <x:c r="Y4" s="2"/>
      <x:c r="Z4" s="2"/>
    </x:row>
    <x:row r="5">
      <x:c r="A5" s="2"/>
      <x:c r="B5" s="2"/>
      <x:c r="C5" s="2"/>
      <x:c r="D5" s="2"/>
      <x:c r="E5" s="2"/>
      <x:c r="F5" s="2"/>
      <x:c r="G5" s="2"/>
      <x:c r="H5" s="2"/>
      <x:c r="I5" s="2"/>
      <x:c r="J5" s="2"/>
      <x:c r="K5" s="2"/>
      <x:c r="L5" s="2"/>
      <x:c r="M5" s="2"/>
      <x:c r="N5" s="2"/>
      <x:c r="O5" s="2"/>
      <x:c r="P5" s="2"/>
      <x:c r="Q5" s="2"/>
      <x:c r="R5" s="2"/>
      <x:c r="S5" s="2"/>
      <x:c r="T5" s="2"/>
      <x:c r="U5" s="2"/>
      <x:c r="V5" s="2"/>
      <x:c r="W5" s="2"/>
      <x:c r="X5" s="2"/>
      <x:c r="Y5" s="2"/>
      <x:c r="Z5" s="2"/>
    </x:row>
    <x:row r="6">
      <x:c r="A6" s="2"/>
      <x:c r="B6" s="2"/>
      <x:c r="C6" s="8" t="str">
        <x:v>Annual volume outlook</x:v>
      </x:c>
      <x:c r="D6" s="8"/>
      <x:c r="E6" s="8"/>
      <x:c r="F6" s="8"/>
      <x:c r="G6" s="8"/>
      <x:c r="H6" s="2"/>
      <x:c r="I6" s="2"/>
      <x:c r="J6" s="2"/>
      <x:c r="K6" s="2"/>
      <x:c r="L6" s="2"/>
      <x:c r="M6" s="2"/>
      <x:c r="N6" s="2"/>
      <x:c r="O6" s="2"/>
      <x:c r="P6" s="2"/>
      <x:c r="Q6" s="2"/>
      <x:c r="R6" s="2"/>
      <x:c r="S6" s="67" t="str">
        <x:v>Month</x:v>
      </x:c>
      <x:c r="T6" s="67" t="str">
        <x:v>PV retail</x:v>
      </x:c>
      <x:c r="U6" s="67" t="str">
        <x:v>Underlying baseline</x:v>
      </x:c>
      <x:c r="V6" s="2"/>
      <x:c r="W6" s="2"/>
      <x:c r="X6" s="2"/>
      <x:c r="Y6" s="2"/>
      <x:c r="Z6" s="2"/>
    </x:row>
    <x:row r="7">
      <x:c r="A7" s="2"/>
      <x:c r="B7" s="2"/>
      <x:c r="C7" s="28" t="str">
        <x:v>Metric</x:v>
      </x:c>
      <x:c r="D7" s="69" t="str">
        <x:v>FY25A</x:v>
      </x:c>
      <x:c r="E7" s="69" t="str">
        <x:v>FY26A</x:v>
      </x:c>
      <x:c r="F7" s="69" t="str">
        <x:v>FY27E</x:v>
      </x:c>
      <x:c r="G7" s="70" t="str">
        <x:v>FY28E</x:v>
      </x:c>
      <x:c r="H7" s="2"/>
      <x:c r="I7" s="2"/>
      <x:c r="J7" s="2"/>
      <x:c r="K7" s="2"/>
      <x:c r="L7" s="2"/>
      <x:c r="M7" s="2"/>
      <x:c r="N7" s="2"/>
      <x:c r="O7" s="2"/>
      <x:c r="P7" s="2"/>
      <x:c r="Q7" s="2"/>
      <x:c r="R7" s="2"/>
      <x:c r="S7" s="67" t="str">
        <x:f>TEXT(Forecast!C7,"mmm-yy")</x:f>
        <x:v>Apr-25</x:v>
      </x:c>
      <x:c r="T7" s="67" t="n">
        <x:f>Forecast!S7</x:f>
        <x:v>364108.9129163795</x:v>
      </x:c>
      <x:c r="U7" s="67" t="n">
        <x:f>Forecast!J7</x:f>
        <x:v>0</x:v>
      </x:c>
      <x:c r="V7" s="2"/>
      <x:c r="W7" s="2"/>
      <x:c r="X7" s="2"/>
      <x:c r="Y7" s="2"/>
      <x:c r="Z7" s="2"/>
    </x:row>
    <x:row r="8">
      <x:c r="A8" s="2"/>
      <x:c r="B8" s="2"/>
      <x:c r="C8" s="41" t="str">
        <x:v>PV retail volume</x:v>
      </x:c>
      <x:c r="D8" s="71" t="n">
        <x:f>Assumptions!$D$7</x:f>
        <x:v>4163927</x:v>
      </x:c>
      <x:c r="E8" s="71" t="n">
        <x:f>SUM(Forecast!$S$7:$S$18)</x:f>
        <x:v>4705056</x:v>
      </x:c>
      <x:c r="F8" s="71" t="n">
        <x:f>SUM(Forecast!$S$19:$S$30)</x:f>
        <x:v>5243625.243273423</x:v>
      </x:c>
      <x:c r="G8" s="71" t="n">
        <x:f>SUM(Forecast!$S$31:$S$42)</x:f>
        <x:v>5363082.141380143</x:v>
      </x:c>
      <x:c r="H8" s="2"/>
      <x:c r="I8" s="2"/>
      <x:c r="J8" s="2"/>
      <x:c r="K8" s="2"/>
      <x:c r="L8" s="2"/>
      <x:c r="M8" s="2"/>
      <x:c r="N8" s="2"/>
      <x:c r="O8" s="2"/>
      <x:c r="P8" s="2"/>
      <x:c r="Q8" s="2"/>
      <x:c r="R8" s="2"/>
      <x:c r="S8" s="67" t="str">
        <x:f>TEXT(Forecast!C8,"mmm-yy")</x:f>
        <x:v>May-25</x:v>
      </x:c>
      <x:c r="T8" s="67" t="n">
        <x:f>Forecast!S8</x:f>
        <x:v>327628.6155823046</x:v>
      </x:c>
      <x:c r="U8" s="67" t="n">
        <x:f>Forecast!J8</x:f>
        <x:v>0</x:v>
      </x:c>
      <x:c r="V8" s="2"/>
      <x:c r="W8" s="2"/>
      <x:c r="X8" s="2"/>
      <x:c r="Y8" s="2"/>
      <x:c r="Z8" s="2"/>
    </x:row>
    <x:row r="9">
      <x:c r="A9" s="2"/>
      <x:c r="B9" s="2"/>
      <x:c r="C9" s="57" t="str">
        <x:v>Retail growth</x:v>
      </x:c>
      <x:c r="D9" s="72"/>
      <x:c r="E9" s="72" t="n">
        <x:f>E8/D8-1</x:f>
        <x:v>0.12995640893800497</x:v>
      </x:c>
      <x:c r="F9" s="72" t="n">
        <x:f>F8/E8-1</x:f>
        <x:v>0.11446606443651741</x:v>
      </x:c>
      <x:c r="G9" s="72" t="n">
        <x:f>G8/F8-1</x:f>
        <x:v>0.022781356898066152</x:v>
      </x:c>
      <x:c r="H9" s="2"/>
      <x:c r="I9" s="2"/>
      <x:c r="J9" s="2"/>
      <x:c r="K9" s="2"/>
      <x:c r="L9" s="2"/>
      <x:c r="M9" s="2"/>
      <x:c r="N9" s="2"/>
      <x:c r="O9" s="2"/>
      <x:c r="P9" s="2"/>
      <x:c r="Q9" s="2"/>
      <x:c r="R9" s="2"/>
      <x:c r="S9" s="67" t="str">
        <x:f>TEXT(Forecast!C9,"mmm-yy")</x:f>
        <x:v>Jun-25</x:v>
      </x:c>
      <x:c r="T9" s="67" t="n">
        <x:f>Forecast!S9</x:f>
        <x:v>330356.7143601745</x:v>
      </x:c>
      <x:c r="U9" s="67" t="n">
        <x:f>Forecast!J9</x:f>
        <x:v>0</x:v>
      </x:c>
      <x:c r="V9" s="2"/>
      <x:c r="W9" s="2"/>
      <x:c r="X9" s="2"/>
      <x:c r="Y9" s="2"/>
      <x:c r="Z9" s="2"/>
    </x:row>
    <x:row r="10">
      <x:c r="A10" s="2"/>
      <x:c r="B10" s="2"/>
      <x:c r="C10" s="41" t="str">
        <x:v>PV wholesale volume</x:v>
      </x:c>
      <x:c r="D10" s="71" t="n">
        <x:f>Assumptions!$D$10</x:f>
        <x:v>4301848</x:v>
      </x:c>
      <x:c r="E10" s="71" t="n">
        <x:f>Assumptions!$D$11</x:f>
        <x:v>4643439</x:v>
      </x:c>
      <x:c r="F10" s="71" t="n">
        <x:f>SUM(Forecast!$V$19:$V$30)</x:f>
        <x:v>5174278.784829299</x:v>
      </x:c>
      <x:c r="G10" s="71" t="n">
        <x:f>SUM(Forecast!$V$31:$V$42)</x:f>
        <x:v>5372542.365223751</x:v>
      </x:c>
      <x:c r="H10" s="2"/>
      <x:c r="I10" s="2"/>
      <x:c r="J10" s="2"/>
      <x:c r="K10" s="2"/>
      <x:c r="L10" s="2"/>
      <x:c r="M10" s="2"/>
      <x:c r="N10" s="2"/>
      <x:c r="O10" s="2"/>
      <x:c r="P10" s="2"/>
      <x:c r="Q10" s="2"/>
      <x:c r="R10" s="2"/>
      <x:c r="S10" s="67" t="str">
        <x:f>TEXT(Forecast!C10,"mmm-yy")</x:f>
        <x:v>Jul-25</x:v>
      </x:c>
      <x:c r="T10" s="67" t="n">
        <x:f>Forecast!S10</x:f>
        <x:v>350715.1514900286</x:v>
      </x:c>
      <x:c r="U10" s="67" t="n">
        <x:f>Forecast!J10</x:f>
        <x:v>0</x:v>
      </x:c>
      <x:c r="V10" s="2"/>
      <x:c r="W10" s="2"/>
      <x:c r="X10" s="2"/>
      <x:c r="Y10" s="2"/>
      <x:c r="Z10" s="2"/>
    </x:row>
    <x:row r="11">
      <x:c r="A11" s="2"/>
      <x:c r="B11" s="2"/>
      <x:c r="C11" s="57" t="str">
        <x:v>Wholesale growth</x:v>
      </x:c>
      <x:c r="D11" s="72"/>
      <x:c r="E11" s="72" t="n">
        <x:f>E10/D10-1</x:f>
        <x:v>0.07940564148245133</x:v>
      </x:c>
      <x:c r="F11" s="72" t="n">
        <x:f>F10/E10-1</x:f>
        <x:v>0.11432039590254095</x:v>
      </x:c>
      <x:c r="G11" s="72" t="n">
        <x:f>G10/F10-1</x:f>
        <x:v>0.038317143053008706</x:v>
      </x:c>
      <x:c r="H11" s="2"/>
      <x:c r="I11" s="2"/>
      <x:c r="J11" s="2"/>
      <x:c r="K11" s="2"/>
      <x:c r="L11" s="2"/>
      <x:c r="M11" s="2"/>
      <x:c r="N11" s="2"/>
      <x:c r="O11" s="2"/>
      <x:c r="P11" s="2"/>
      <x:c r="Q11" s="2"/>
      <x:c r="R11" s="2"/>
      <x:c r="S11" s="67" t="str">
        <x:f>TEXT(Forecast!C11,"mmm-yy")</x:f>
        <x:v>Aug-25</x:v>
      </x:c>
      <x:c r="T11" s="67" t="n">
        <x:f>Forecast!S11</x:f>
        <x:v>347499.6056511128</x:v>
      </x:c>
      <x:c r="U11" s="67" t="n">
        <x:f>Forecast!J11</x:f>
        <x:v>0</x:v>
      </x:c>
      <x:c r="V11" s="2"/>
      <x:c r="W11" s="2"/>
      <x:c r="X11" s="2"/>
      <x:c r="Y11" s="2"/>
      <x:c r="Z11" s="2"/>
    </x:row>
    <x:row r="12">
      <x:c r="A12" s="2"/>
      <x:c r="B12" s="2"/>
      <x:c r="C12" s="2" t="str">
        <x:v>H1 retail volume</x:v>
      </x:c>
      <x:c r="D12" s="73"/>
      <x:c r="E12" s="73" t="n">
        <x:f>SUM(Forecast!$S$7:$S$12)</x:f>
        <x:v>2016368.9888085478</x:v>
      </x:c>
      <x:c r="F12" s="73" t="n">
        <x:f>SUM(Forecast!$S$19:$S$24)</x:f>
        <x:v>2552264.9999999995</x:v>
      </x:c>
      <x:c r="G12" s="73" t="n">
        <x:f>SUM(Forecast!$S$31:$S$36)</x:f>
        <x:v>2607794.8591351514</x:v>
      </x:c>
      <x:c r="H12" s="2"/>
      <x:c r="I12" s="2"/>
      <x:c r="J12" s="2"/>
      <x:c r="K12" s="2"/>
      <x:c r="L12" s="2"/>
      <x:c r="M12" s="2"/>
      <x:c r="N12" s="2"/>
      <x:c r="O12" s="2"/>
      <x:c r="P12" s="2"/>
      <x:c r="Q12" s="2"/>
      <x:c r="R12" s="2"/>
      <x:c r="S12" s="67" t="str">
        <x:f>TEXT(Forecast!C12,"mmm-yy")</x:f>
        <x:v>Sep-25</x:v>
      </x:c>
      <x:c r="T12" s="67" t="n">
        <x:f>Forecast!S12</x:f>
        <x:v>296059.98880854785</x:v>
      </x:c>
      <x:c r="U12" s="67" t="n">
        <x:f>Forecast!J12</x:f>
        <x:v>0</x:v>
      </x:c>
      <x:c r="V12" s="2"/>
      <x:c r="W12" s="2"/>
      <x:c r="X12" s="2"/>
      <x:c r="Y12" s="2"/>
      <x:c r="Z12" s="2"/>
    </x:row>
    <x:row r="13">
      <x:c r="A13" s="2"/>
      <x:c r="B13" s="2"/>
      <x:c r="C13" s="57" t="str">
        <x:v>H1 retail growth</x:v>
      </x:c>
      <x:c r="D13" s="72"/>
      <x:c r="E13" s="72"/>
      <x:c r="F13" s="72" t="n">
        <x:f>F12/E12-1</x:f>
        <x:v>0.2657727896857347</x:v>
      </x:c>
      <x:c r="G13" s="72" t="n">
        <x:f>G12/F12-1</x:f>
        <x:v>0.021757089931943474</x:v>
      </x:c>
      <x:c r="H13" s="2"/>
      <x:c r="I13" s="2"/>
      <x:c r="J13" s="2"/>
      <x:c r="K13" s="2"/>
      <x:c r="L13" s="2"/>
      <x:c r="M13" s="2"/>
      <x:c r="N13" s="2"/>
      <x:c r="O13" s="2"/>
      <x:c r="P13" s="2"/>
      <x:c r="Q13" s="2"/>
      <x:c r="R13" s="2"/>
      <x:c r="S13" s="67" t="str">
        <x:f>TEXT(Forecast!C13,"mmm-yy")</x:f>
        <x:v>Oct-25</x:v>
      </x:c>
      <x:c r="T13" s="67" t="n">
        <x:f>Forecast!S13</x:f>
        <x:v>551212.196794547</x:v>
      </x:c>
      <x:c r="U13" s="67" t="n">
        <x:f>Forecast!J13</x:f>
        <x:v>0</x:v>
      </x:c>
      <x:c r="V13" s="2"/>
      <x:c r="W13" s="2"/>
      <x:c r="X13" s="2"/>
      <x:c r="Y13" s="2"/>
      <x:c r="Z13" s="2"/>
    </x:row>
    <x:row r="14">
      <x:c r="A14" s="2"/>
      <x:c r="B14" s="2"/>
      <x:c r="C14" s="2" t="str">
        <x:v>H2 retail volume</x:v>
      </x:c>
      <x:c r="D14" s="73"/>
      <x:c r="E14" s="73" t="n">
        <x:f>SUM(Forecast!$S$13:$S$18)</x:f>
        <x:v>2688687.011191452</x:v>
      </x:c>
      <x:c r="F14" s="73" t="n">
        <x:f>SUM(Forecast!$S$25:$S$30)</x:f>
        <x:v>2691360.243273423</x:v>
      </x:c>
      <x:c r="G14" s="73" t="n">
        <x:f>SUM(Forecast!$S$37:$S$42)</x:f>
        <x:v>2755287.282244991</x:v>
      </x:c>
      <x:c r="H14" s="2"/>
      <x:c r="I14" s="2"/>
      <x:c r="J14" s="2"/>
      <x:c r="K14" s="2"/>
      <x:c r="L14" s="2"/>
      <x:c r="M14" s="2"/>
      <x:c r="N14" s="2"/>
      <x:c r="O14" s="2"/>
      <x:c r="P14" s="2"/>
      <x:c r="Q14" s="2"/>
      <x:c r="R14" s="2"/>
      <x:c r="S14" s="67" t="str">
        <x:f>TEXT(Forecast!C14,"mmm-yy")</x:f>
        <x:v>Nov-25</x:v>
      </x:c>
      <x:c r="T14" s="67" t="n">
        <x:f>Forecast!S14</x:f>
        <x:v>387268.566342744</x:v>
      </x:c>
      <x:c r="U14" s="67" t="n">
        <x:f>Forecast!J14</x:f>
        <x:v>0</x:v>
      </x:c>
      <x:c r="V14" s="2"/>
      <x:c r="W14" s="2"/>
      <x:c r="X14" s="2"/>
      <x:c r="Y14" s="2"/>
      <x:c r="Z14" s="2"/>
    </x:row>
    <x:row r="15">
      <x:c r="A15" s="2"/>
      <x:c r="B15" s="2"/>
      <x:c r="C15" s="57" t="str">
        <x:v>H2 retail growth</x:v>
      </x:c>
      <x:c r="D15" s="72"/>
      <x:c r="E15" s="72"/>
      <x:c r="F15" s="72" t="n">
        <x:f>F14/E14-1</x:f>
        <x:v>0.0009942518674892487</x:v>
      </x:c>
      <x:c r="G15" s="72" t="n">
        <x:f>G14/F14-1</x:f>
        <x:v>0.02375268756062754</x:v>
      </x:c>
      <x:c r="H15" s="2"/>
      <x:c r="I15" s="2"/>
      <x:c r="J15" s="2"/>
      <x:c r="K15" s="2"/>
      <x:c r="L15" s="2"/>
      <x:c r="M15" s="2"/>
      <x:c r="N15" s="2"/>
      <x:c r="O15" s="2"/>
      <x:c r="P15" s="2"/>
      <x:c r="Q15" s="2"/>
      <x:c r="R15" s="2"/>
      <x:c r="S15" s="67" t="str">
        <x:f>TEXT(Forecast!C15,"mmm-yy")</x:f>
        <x:v>Dec-25</x:v>
      </x:c>
      <x:c r="T15" s="67" t="n">
        <x:f>Forecast!S15</x:f>
        <x:v>416723.3552710358</x:v>
      </x:c>
      <x:c r="U15" s="67" t="n">
        <x:f>Forecast!J15</x:f>
        <x:v>0</x:v>
      </x:c>
      <x:c r="V15" s="2"/>
      <x:c r="W15" s="2"/>
      <x:c r="X15" s="2"/>
      <x:c r="Y15" s="2"/>
      <x:c r="Z15" s="2"/>
    </x:row>
    <x:row r="16">
      <x:c r="A16" s="2"/>
      <x:c r="B16" s="2"/>
      <x:c r="C16" s="2"/>
      <x:c r="D16" s="74"/>
      <x:c r="E16" s="74"/>
      <x:c r="F16" s="74"/>
      <x:c r="G16" s="74"/>
      <x:c r="H16" s="2"/>
      <x:c r="I16" s="2"/>
      <x:c r="J16" s="2"/>
      <x:c r="K16" s="2"/>
      <x:c r="L16" s="2"/>
      <x:c r="M16" s="2"/>
      <x:c r="N16" s="2"/>
      <x:c r="O16" s="2"/>
      <x:c r="P16" s="2"/>
      <x:c r="Q16" s="2"/>
      <x:c r="R16" s="2"/>
      <x:c r="S16" s="67" t="str">
        <x:f>TEXT(Forecast!C16,"mmm-yy")</x:f>
        <x:v>Jan-26</x:v>
      </x:c>
      <x:c r="T16" s="67" t="n">
        <x:f>Forecast!S16</x:f>
        <x:v>507799.41394556256</x:v>
      </x:c>
      <x:c r="U16" s="67" t="n">
        <x:f>Forecast!J16</x:f>
        <x:v>0</x:v>
      </x:c>
      <x:c r="V16" s="2"/>
      <x:c r="W16" s="2"/>
      <x:c r="X16" s="2"/>
      <x:c r="Y16" s="2"/>
      <x:c r="Z16" s="2"/>
    </x:row>
    <x:row r="17">
      <x:c r="A17" s="2"/>
      <x:c r="B17" s="2"/>
      <x:c r="C17" s="2"/>
      <x:c r="D17" s="74"/>
      <x:c r="E17" s="74"/>
      <x:c r="F17" s="74"/>
      <x:c r="G17" s="74"/>
      <x:c r="H17" s="2"/>
      <x:c r="I17" s="2"/>
      <x:c r="J17" s="2"/>
      <x:c r="K17" s="2"/>
      <x:c r="L17" s="2"/>
      <x:c r="M17" s="2"/>
      <x:c r="N17" s="2"/>
      <x:c r="O17" s="2"/>
      <x:c r="P17" s="2"/>
      <x:c r="Q17" s="2"/>
      <x:c r="R17" s="2"/>
      <x:c r="S17" s="67" t="str">
        <x:f>TEXT(Forecast!C17,"mmm-yy")</x:f>
        <x:v>Feb-26</x:v>
      </x:c>
      <x:c r="T17" s="67" t="n">
        <x:f>Forecast!S17</x:f>
        <x:v>390404.51637267997</x:v>
      </x:c>
      <x:c r="U17" s="67" t="n">
        <x:f>Forecast!J17</x:f>
        <x:v>0</x:v>
      </x:c>
      <x:c r="V17" s="2"/>
      <x:c r="W17" s="2"/>
      <x:c r="X17" s="2"/>
      <x:c r="Y17" s="2"/>
      <x:c r="Z17" s="2"/>
    </x:row>
    <x:row r="18">
      <x:c r="A18" s="2"/>
      <x:c r="B18" s="2"/>
      <x:c r="C18" s="8" t="str">
        <x:v>Forecast constraints and demand-debt balance</x:v>
      </x:c>
      <x:c r="D18" s="75"/>
      <x:c r="E18" s="75"/>
      <x:c r="F18" s="75"/>
      <x:c r="G18" s="75"/>
      <x:c r="H18" s="2"/>
      <x:c r="I18" s="2"/>
      <x:c r="J18" s="2"/>
      <x:c r="K18" s="2"/>
      <x:c r="L18" s="2"/>
      <x:c r="M18" s="2"/>
      <x:c r="N18" s="2"/>
      <x:c r="O18" s="2"/>
      <x:c r="P18" s="2"/>
      <x:c r="Q18" s="2"/>
      <x:c r="R18" s="2"/>
      <x:c r="S18" s="67" t="str">
        <x:f>TEXT(Forecast!C18,"mmm-yy")</x:f>
        <x:v>Mar-26</x:v>
      </x:c>
      <x:c r="T18" s="67" t="n">
        <x:f>Forecast!S18</x:f>
        <x:v>435278.96246488276</x:v>
      </x:c>
      <x:c r="U18" s="67" t="n">
        <x:f>Forecast!J18</x:f>
        <x:v>0</x:v>
      </x:c>
      <x:c r="V18" s="2"/>
      <x:c r="W18" s="2"/>
      <x:c r="X18" s="2"/>
      <x:c r="Y18" s="2"/>
      <x:c r="Z18" s="2"/>
    </x:row>
    <x:row r="19">
      <x:c r="A19" s="2"/>
      <x:c r="B19" s="2"/>
      <x:c r="C19" s="2" t="str">
        <x:v>Opening demand debt at 30 September 2026</x:v>
      </x:c>
      <x:c r="D19" s="76" t="n">
        <x:f>'Demand Debt'!$D$26</x:f>
        <x:v>350401.34725279483</x:v>
      </x:c>
      <x:c r="E19" s="74"/>
      <x:c r="F19" s="77" t="str">
        <x:v>Reading the model</x:v>
      </x:c>
      <x:c r="G19" s="70"/>
      <x:c r="H19" s="2"/>
      <x:c r="I19" s="2"/>
      <x:c r="J19" s="2"/>
      <x:c r="K19" s="2"/>
      <x:c r="L19" s="2"/>
      <x:c r="M19" s="2"/>
      <x:c r="N19" s="2"/>
      <x:c r="O19" s="2"/>
      <x:c r="P19" s="2"/>
      <x:c r="Q19" s="2"/>
      <x:c r="R19" s="2"/>
      <x:c r="S19" s="67" t="str">
        <x:f>TEXT(Forecast!C19,"mmm-yy")</x:f>
        <x:v>Apr-26</x:v>
      </x:c>
      <x:c r="T19" s="67" t="n">
        <x:f>Forecast!S19</x:f>
        <x:v>419839.35256590013</x:v>
      </x:c>
      <x:c r="U19" s="67" t="n">
        <x:f>Forecast!J19</x:f>
        <x:v>0</x:v>
      </x:c>
      <x:c r="V19" s="2"/>
      <x:c r="W19" s="2"/>
      <x:c r="X19" s="2"/>
      <x:c r="Y19" s="2"/>
      <x:c r="Z19" s="2"/>
    </x:row>
    <x:row r="20" ht="45" customHeight="1">
      <x:c r="A20" s="2"/>
      <x:c r="B20" s="2"/>
      <x:c r="C20" s="2" t="str">
        <x:v>Demand debt repaid in FY27 H2</x:v>
      </x:c>
      <x:c r="D20" s="76" t="n">
        <x:f>D19*Assumptions!$D$23</x:f>
        <x:v>87600.33681319871</x:v>
      </x:c>
      <x:c r="E20" s="74"/>
      <x:c r="F20" s="74" t="str">
        <x:v>FY27</x:v>
      </x:c>
      <x:c r="G20" s="78" t="str">
        <x:v>Strong H1 growth is already banked; the H2 comparison is the cleaner read on underlying demand.</x:v>
      </x:c>
      <x:c r="H20" s="2"/>
      <x:c r="I20" s="2"/>
      <x:c r="J20" s="2"/>
      <x:c r="K20" s="2"/>
      <x:c r="L20" s="2"/>
      <x:c r="M20" s="2"/>
      <x:c r="N20" s="2"/>
      <x:c r="O20" s="2"/>
      <x:c r="P20" s="2"/>
      <x:c r="Q20" s="2"/>
      <x:c r="R20" s="2"/>
      <x:c r="S20" s="67" t="str">
        <x:f>TEXT(Forecast!C20,"mmm-yy")</x:f>
        <x:v>May-26</x:v>
      </x:c>
      <x:c r="T20" s="67" t="n">
        <x:f>Forecast!S20</x:f>
        <x:v>414929.34857521893</x:v>
      </x:c>
      <x:c r="U20" s="67" t="n">
        <x:f>Forecast!J20</x:f>
        <x:v>0</x:v>
      </x:c>
      <x:c r="V20" s="2"/>
      <x:c r="W20" s="2"/>
      <x:c r="X20" s="2"/>
      <x:c r="Y20" s="2"/>
      <x:c r="Z20" s="2"/>
    </x:row>
    <x:row r="21" ht="45" customHeight="1">
      <x:c r="A21" s="2"/>
      <x:c r="B21" s="2"/>
      <x:c r="C21" s="2" t="str">
        <x:v>Demand debt repaid in FY28</x:v>
      </x:c>
      <x:c r="D21" s="76" t="n">
        <x:f>D19*(1-Assumptions!$D$23)*Assumptions!$D$24</x:f>
        <x:v>197100.7578296971</x:v>
      </x:c>
      <x:c r="E21" s="74"/>
      <x:c r="F21" s="74" t="str">
        <x:v>FY28</x:v>
      </x:c>
      <x:c r="G21" s="78" t="str">
        <x:v>Growth is reduced by the fading affordability benefit and repayment of demand brought forward.</x:v>
      </x:c>
      <x:c r="H21" s="2"/>
      <x:c r="I21" s="2"/>
      <x:c r="J21" s="2"/>
      <x:c r="K21" s="2"/>
      <x:c r="L21" s="2"/>
      <x:c r="M21" s="2"/>
      <x:c r="N21" s="2"/>
      <x:c r="O21" s="2"/>
      <x:c r="P21" s="2"/>
      <x:c r="Q21" s="2"/>
      <x:c r="R21" s="2"/>
      <x:c r="S21" s="67" t="str">
        <x:f>TEXT(Forecast!C21,"mmm-yy")</x:f>
        <x:v>Jun-26</x:v>
      </x:c>
      <x:c r="T21" s="67" t="n">
        <x:f>Forecast!S21</x:f>
        <x:v>423444.55700742046</x:v>
      </x:c>
      <x:c r="U21" s="67" t="n">
        <x:f>Forecast!J21</x:f>
        <x:v>0</x:v>
      </x:c>
      <x:c r="V21" s="2"/>
      <x:c r="W21" s="2"/>
      <x:c r="X21" s="2"/>
      <x:c r="Y21" s="2"/>
      <x:c r="Z21" s="2"/>
    </x:row>
    <x:row r="22" ht="45" customHeight="1">
      <x:c r="A22" s="2"/>
      <x:c r="B22" s="2"/>
      <x:c r="C22" s="2" t="str">
        <x:v>FY27 maximum retail under supply ceiling</x:v>
      </x:c>
      <x:c r="D22" s="79" t="n">
        <x:f>SUM(Forecast!$S$19:$S$24)+SUM(Forecast!$R$25:$R$30)</x:f>
        <x:v>5561089.912303373</x:v>
      </x:c>
      <x:c r="E22" s="74"/>
      <x:c r="F22" s="74" t="str">
        <x:v>Supply</x:v>
      </x:c>
      <x:c r="G22" s="78" t="str">
        <x:v>The industry ceiling is above the central forecast. Demand, not aggregate capacity, is the binding constraint in the base case.</x:v>
      </x:c>
      <x:c r="H22" s="2"/>
      <x:c r="I22" s="2"/>
      <x:c r="J22" s="2"/>
      <x:c r="K22" s="2"/>
      <x:c r="L22" s="2"/>
      <x:c r="M22" s="2"/>
      <x:c r="N22" s="2"/>
      <x:c r="O22" s="2"/>
      <x:c r="P22" s="2"/>
      <x:c r="Q22" s="2"/>
      <x:c r="R22" s="2"/>
      <x:c r="S22" s="67" t="str">
        <x:f>TEXT(Forecast!C22,"mmm-yy")</x:f>
        <x:v>Jul-26</x:v>
      </x:c>
      <x:c r="T22" s="67" t="n">
        <x:f>Forecast!S22</x:f>
        <x:v>429321.30821541045</x:v>
      </x:c>
      <x:c r="U22" s="67" t="n">
        <x:f>Forecast!J22</x:f>
        <x:v>0</x:v>
      </x:c>
      <x:c r="V22" s="2"/>
      <x:c r="W22" s="2"/>
      <x:c r="X22" s="2"/>
      <x:c r="Y22" s="2"/>
      <x:c r="Z22" s="2"/>
    </x:row>
    <x:row r="23" ht="45" customHeight="1">
      <x:c r="A23" s="2"/>
      <x:c r="B23" s="2"/>
      <x:c r="C23" s="2" t="str">
        <x:v>FY27 maximum retail growth</x:v>
      </x:c>
      <x:c r="D23" s="80" t="n">
        <x:f>D22/E8-1</x:f>
        <x:v>0.18193915488006374</x:v>
      </x:c>
      <x:c r="E23" s="74"/>
      <x:c r="F23" s="74" t="str">
        <x:v>Retail vs wholesale</x:v>
      </x:c>
      <x:c r="G23" s="78" t="str">
        <x:v>Inventory normalisation makes wholesale growth differ from retail growth.</x:v>
      </x:c>
      <x:c r="H23" s="2"/>
      <x:c r="I23" s="2"/>
      <x:c r="J23" s="2"/>
      <x:c r="K23" s="2"/>
      <x:c r="L23" s="2"/>
      <x:c r="M23" s="2"/>
      <x:c r="N23" s="2"/>
      <x:c r="O23" s="2"/>
      <x:c r="P23" s="2"/>
      <x:c r="Q23" s="2"/>
      <x:c r="R23" s="2"/>
      <x:c r="S23" s="67" t="str">
        <x:f>TEXT(Forecast!C23,"mmm-yy")</x:f>
        <x:v>Aug-26</x:v>
      </x:c>
      <x:c r="T23" s="67" t="n">
        <x:f>Forecast!S23</x:f>
        <x:v>414730.43363604986</x:v>
      </x:c>
      <x:c r="U23" s="67" t="n">
        <x:f>Forecast!J23</x:f>
        <x:v>0</x:v>
      </x:c>
      <x:c r="V23" s="2"/>
      <x:c r="W23" s="2"/>
      <x:c r="X23" s="2"/>
      <x:c r="Y23" s="2"/>
      <x:c r="Z23" s="2"/>
    </x:row>
    <x:row r="24" ht="45" customHeight="1">
      <x:c r="A24" s="2"/>
      <x:c r="B24" s="2"/>
      <x:c r="C24" s="2" t="str">
        <x:v>FY28 maximum retail under supply ceiling</x:v>
      </x:c>
      <x:c r="D24" s="79" t="n">
        <x:f>SUM(Forecast!$R$31:$R$42)</x:f>
        <x:v>6184180.917988548</x:v>
      </x:c>
      <x:c r="E24" s="74"/>
      <x:c r="F24" s="74" t="str">
        <x:v>Update</x:v>
      </x:c>
      <x:c r="G24" s="78" t="str">
        <x:v>Replace September estimate and assumptions as new Vahan, pricing and inventory data arrive.</x:v>
      </x:c>
      <x:c r="H24" s="2"/>
      <x:c r="I24" s="2"/>
      <x:c r="J24" s="2"/>
      <x:c r="K24" s="2"/>
      <x:c r="L24" s="2"/>
      <x:c r="M24" s="2"/>
      <x:c r="N24" s="2"/>
      <x:c r="O24" s="2"/>
      <x:c r="P24" s="2"/>
      <x:c r="Q24" s="2"/>
      <x:c r="R24" s="2"/>
      <x:c r="S24" s="67" t="str">
        <x:f>TEXT(Forecast!C24,"mmm-yy")</x:f>
        <x:v>Sep-26</x:v>
      </x:c>
      <x:c r="T24" s="67" t="n">
        <x:f>Forecast!S24</x:f>
        <x:v>450000</x:v>
      </x:c>
      <x:c r="U24" s="67" t="n">
        <x:f>Forecast!J24</x:f>
        <x:v>450000</x:v>
      </x:c>
      <x:c r="V24" s="2"/>
      <x:c r="W24" s="2"/>
      <x:c r="X24" s="2"/>
      <x:c r="Y24" s="2"/>
      <x:c r="Z24" s="2"/>
    </x:row>
    <x:row r="25">
      <x:c r="A25" s="2"/>
      <x:c r="B25" s="2"/>
      <x:c r="C25" s="2"/>
      <x:c r="D25" s="2"/>
      <x:c r="E25" s="2"/>
      <x:c r="F25" s="2"/>
      <x:c r="G25" s="2"/>
      <x:c r="H25" s="2"/>
      <x:c r="I25" s="2"/>
      <x:c r="J25" s="2"/>
      <x:c r="K25" s="2"/>
      <x:c r="L25" s="2"/>
      <x:c r="M25" s="2"/>
      <x:c r="N25" s="2"/>
      <x:c r="O25" s="2"/>
      <x:c r="P25" s="2"/>
      <x:c r="Q25" s="2"/>
      <x:c r="R25" s="2"/>
      <x:c r="S25" s="67" t="str">
        <x:f>TEXT(Forecast!C25,"mmm-yy")</x:f>
        <x:v>Oct-26</x:v>
      </x:c>
      <x:c r="T25" s="67" t="n">
        <x:f>Forecast!S25</x:f>
        <x:v>474695.5770174761</x:v>
      </x:c>
      <x:c r="U25" s="67" t="n">
        <x:f>Forecast!J25</x:f>
        <x:v>501327.4929846406</x:v>
      </x:c>
      <x:c r="V25" s="2"/>
      <x:c r="W25" s="2"/>
      <x:c r="X25" s="2"/>
      <x:c r="Y25" s="2"/>
      <x:c r="Z25" s="2"/>
    </x:row>
    <x:row r="26">
      <x:c r="A26" s="2"/>
      <x:c r="B26" s="2"/>
      <x:c r="C26" s="2"/>
      <x:c r="D26" s="2"/>
      <x:c r="E26" s="2"/>
      <x:c r="F26" s="2"/>
      <x:c r="G26" s="2"/>
      <x:c r="H26" s="2"/>
      <x:c r="I26" s="2"/>
      <x:c r="J26" s="2"/>
      <x:c r="K26" s="2"/>
      <x:c r="L26" s="2"/>
      <x:c r="M26" s="2"/>
      <x:c r="N26" s="2"/>
      <x:c r="O26" s="2"/>
      <x:c r="P26" s="2"/>
      <x:c r="Q26" s="2"/>
      <x:c r="R26" s="2"/>
      <x:c r="S26" s="67" t="str">
        <x:f>TEXT(Forecast!C26,"mmm-yy")</x:f>
        <x:v>Nov-26</x:v>
      </x:c>
      <x:c r="T26" s="67" t="n">
        <x:f>Forecast!S26</x:f>
        <x:v>476178.5412709935</x:v>
      </x:c>
      <x:c r="U26" s="67" t="n">
        <x:f>Forecast!J26</x:f>
        <x:v>502846.9235722609</x:v>
      </x:c>
      <x:c r="V26" s="2"/>
      <x:c r="W26" s="2"/>
      <x:c r="X26" s="2"/>
      <x:c r="Y26" s="2"/>
      <x:c r="Z26" s="2"/>
    </x:row>
    <x:row r="27">
      <x:c r="A27" s="2"/>
      <x:c r="B27" s="2"/>
      <x:c r="C27" s="2"/>
      <x:c r="D27" s="2"/>
      <x:c r="E27" s="2"/>
      <x:c r="F27" s="2"/>
      <x:c r="G27" s="2"/>
      <x:c r="H27" s="2"/>
      <x:c r="I27" s="2"/>
      <x:c r="J27" s="2"/>
      <x:c r="K27" s="2"/>
      <x:c r="L27" s="2"/>
      <x:c r="M27" s="2"/>
      <x:c r="N27" s="2"/>
      <x:c r="O27" s="2"/>
      <x:c r="P27" s="2"/>
      <x:c r="Q27" s="2"/>
      <x:c r="R27" s="2"/>
      <x:c r="S27" s="67" t="str">
        <x:f>TEXT(Forecast!C27,"mmm-yy")</x:f>
        <x:v>Dec-26</x:v>
      </x:c>
      <x:c r="T27" s="67" t="n">
        <x:f>Forecast!S27</x:f>
        <x:v>420592.478241115</x:v>
      </x:c>
      <x:c r="U27" s="67" t="n">
        <x:f>Forecast!J27</x:f>
        <x:v>445893.99014000833</x:v>
      </x:c>
      <x:c r="V27" s="2"/>
      <x:c r="W27" s="2"/>
      <x:c r="X27" s="2"/>
      <x:c r="Y27" s="2"/>
      <x:c r="Z27" s="2"/>
    </x:row>
    <x:row r="28">
      <x:c r="A28" s="2"/>
      <x:c r="B28" s="2"/>
      <x:c r="C28" s="2"/>
      <x:c r="D28" s="2"/>
      <x:c r="E28" s="2"/>
      <x:c r="F28" s="2"/>
      <x:c r="G28" s="2"/>
      <x:c r="H28" s="2"/>
      <x:c r="I28" s="2"/>
      <x:c r="J28" s="2"/>
      <x:c r="K28" s="2"/>
      <x:c r="L28" s="2"/>
      <x:c r="M28" s="2"/>
      <x:c r="N28" s="2"/>
      <x:c r="O28" s="2"/>
      <x:c r="P28" s="2"/>
      <x:c r="Q28" s="2"/>
      <x:c r="R28" s="2"/>
      <x:c r="S28" s="67" t="str">
        <x:f>TEXT(Forecast!C28,"mmm-yy")</x:f>
        <x:v>Jan-27</x:v>
      </x:c>
      <x:c r="T28" s="67" t="n">
        <x:f>Forecast!S28</x:f>
        <x:v>486815.98839526135</x:v>
      </x:c>
      <x:c r="U28" s="67" t="n">
        <x:f>Forecast!J28</x:f>
        <x:v>543345.3729217519</x:v>
      </x:c>
      <x:c r="V28" s="2"/>
      <x:c r="W28" s="2"/>
      <x:c r="X28" s="2"/>
      <x:c r="Y28" s="2"/>
      <x:c r="Z28" s="2"/>
    </x:row>
    <x:row r="29">
      <x:c r="A29" s="2"/>
      <x:c r="B29" s="2"/>
      <x:c r="C29" s="2"/>
      <x:c r="D29" s="2"/>
      <x:c r="E29" s="2"/>
      <x:c r="F29" s="2"/>
      <x:c r="G29" s="2"/>
      <x:c r="H29" s="2"/>
      <x:c r="I29" s="2"/>
      <x:c r="J29" s="2"/>
      <x:c r="K29" s="2"/>
      <x:c r="L29" s="2"/>
      <x:c r="M29" s="2"/>
      <x:c r="N29" s="2"/>
      <x:c r="O29" s="2"/>
      <x:c r="P29" s="2"/>
      <x:c r="Q29" s="2"/>
      <x:c r="R29" s="2"/>
      <x:c r="S29" s="67" t="str">
        <x:f>TEXT(Forecast!C29,"mmm-yy")</x:f>
        <x:v>Feb-27</x:v>
      </x:c>
      <x:c r="T29" s="67" t="n">
        <x:f>Forecast!S29</x:f>
        <x:v>393107.188402784</x:v>
      </x:c>
      <x:c r="U29" s="67" t="n">
        <x:f>Forecast!J29</x:f>
        <x:v>417732.83251876757</x:v>
      </x:c>
      <x:c r="V29" s="2"/>
      <x:c r="W29" s="2"/>
      <x:c r="X29" s="2"/>
      <x:c r="Y29" s="2"/>
      <x:c r="Z29" s="2"/>
    </x:row>
    <x:row r="30">
      <x:c r="A30" s="2"/>
      <x:c r="B30" s="2"/>
      <x:c r="C30" s="2"/>
      <x:c r="D30" s="2"/>
      <x:c r="E30" s="2"/>
      <x:c r="F30" s="2"/>
      <x:c r="G30" s="2"/>
      <x:c r="H30" s="2"/>
      <x:c r="I30" s="2"/>
      <x:c r="J30" s="2"/>
      <x:c r="K30" s="2"/>
      <x:c r="L30" s="2"/>
      <x:c r="M30" s="2"/>
      <x:c r="N30" s="2"/>
      <x:c r="O30" s="2"/>
      <x:c r="P30" s="2"/>
      <x:c r="Q30" s="2"/>
      <x:c r="R30" s="2"/>
      <x:c r="S30" s="67" t="str">
        <x:f>TEXT(Forecast!C30,"mmm-yy")</x:f>
        <x:v>Mar-27</x:v>
      </x:c>
      <x:c r="T30" s="67" t="n">
        <x:f>Forecast!S30</x:f>
        <x:v>439970.4699457933</x:v>
      </x:c>
      <x:c r="U30" s="67" t="n">
        <x:f>Forecast!J30</x:f>
        <x:v>465748.4898374246</x:v>
      </x:c>
      <x:c r="V30" s="2"/>
      <x:c r="W30" s="2"/>
      <x:c r="X30" s="2"/>
      <x:c r="Y30" s="2"/>
      <x:c r="Z30" s="2"/>
    </x:row>
    <x:row r="31">
      <x:c r="A31" s="2"/>
      <x:c r="B31" s="2"/>
      <x:c r="C31" s="2"/>
      <x:c r="D31" s="2"/>
      <x:c r="E31" s="2"/>
      <x:c r="F31" s="2"/>
      <x:c r="G31" s="2"/>
      <x:c r="H31" s="2"/>
      <x:c r="I31" s="2"/>
      <x:c r="J31" s="2"/>
      <x:c r="K31" s="2"/>
      <x:c r="L31" s="2"/>
      <x:c r="M31" s="2"/>
      <x:c r="N31" s="2"/>
      <x:c r="O31" s="2"/>
      <x:c r="P31" s="2"/>
      <x:c r="Q31" s="2"/>
      <x:c r="R31" s="2"/>
      <x:c r="S31" s="67" t="str">
        <x:f>TEXT(Forecast!C31,"mmm-yy")</x:f>
        <x:v>Apr-27</x:v>
      </x:c>
      <x:c r="T31" s="67" t="n">
        <x:f>Forecast!S31</x:f>
        <x:v>428759.9911278288</x:v>
      </x:c>
      <x:c r="U31" s="67" t="n">
        <x:f>Forecast!J31</x:f>
        <x:v>449228.1072455132</x:v>
      </x:c>
      <x:c r="V31" s="2"/>
      <x:c r="W31" s="2"/>
      <x:c r="X31" s="2"/>
      <x:c r="Y31" s="2"/>
      <x:c r="Z31" s="2"/>
    </x:row>
    <x:row r="32">
      <x:c r="A32" s="2"/>
      <x:c r="B32" s="2"/>
      <x:c r="C32" s="2"/>
      <x:c r="D32" s="2"/>
      <x:c r="E32" s="2"/>
      <x:c r="F32" s="2"/>
      <x:c r="G32" s="2"/>
      <x:c r="H32" s="2"/>
      <x:c r="I32" s="2"/>
      <x:c r="J32" s="2"/>
      <x:c r="K32" s="2"/>
      <x:c r="L32" s="2"/>
      <x:c r="M32" s="2"/>
      <x:c r="N32" s="2"/>
      <x:c r="O32" s="2"/>
      <x:c r="P32" s="2"/>
      <x:c r="Q32" s="2"/>
      <x:c r="R32" s="2"/>
      <x:c r="S32" s="67" t="str">
        <x:f>TEXT(Forecast!C32,"mmm-yy")</x:f>
        <x:v>May-27</x:v>
      </x:c>
      <x:c r="T32" s="67" t="n">
        <x:f>Forecast!S32</x:f>
        <x:v>423553.57019623014</x:v>
      </x:c>
      <x:c r="U32" s="67" t="n">
        <x:f>Forecast!J32</x:f>
        <x:v>443974.40297548426</x:v>
      </x:c>
      <x:c r="V32" s="2"/>
      <x:c r="W32" s="2"/>
      <x:c r="X32" s="2"/>
      <x:c r="Y32" s="2"/>
      <x:c r="Z32" s="2"/>
    </x:row>
    <x:row r="33">
      <x:c r="A33" s="2"/>
      <x:c r="B33" s="2"/>
      <x:c r="C33" s="2"/>
      <x:c r="D33" s="2"/>
      <x:c r="E33" s="2"/>
      <x:c r="F33" s="2"/>
      <x:c r="G33" s="2"/>
      <x:c r="H33" s="2"/>
      <x:c r="I33" s="2"/>
      <x:c r="J33" s="2"/>
      <x:c r="K33" s="2"/>
      <x:c r="L33" s="2"/>
      <x:c r="M33" s="2"/>
      <x:c r="N33" s="2"/>
      <x:c r="O33" s="2"/>
      <x:c r="P33" s="2"/>
      <x:c r="Q33" s="2"/>
      <x:c r="R33" s="2"/>
      <x:c r="S33" s="67" t="str">
        <x:f>TEXT(Forecast!C33,"mmm-yy")</x:f>
        <x:v>Jun-27</x:v>
      </x:c>
      <x:c r="T33" s="67" t="n">
        <x:f>Forecast!S33</x:f>
        <x:v>432582.8417614837</x:v>
      </x:c>
      <x:c r="U33" s="67" t="n">
        <x:f>Forecast!J33</x:f>
        <x:v>453085.6759979399</x:v>
      </x:c>
      <x:c r="V33" s="2"/>
      <x:c r="W33" s="2"/>
      <x:c r="X33" s="2"/>
      <x:c r="Y33" s="2"/>
      <x:c r="Z33" s="2"/>
    </x:row>
    <x:row r="34">
      <x:c r="A34" s="2"/>
      <x:c r="B34" s="2"/>
      <x:c r="C34" s="2"/>
      <x:c r="D34" s="2"/>
      <x:c r="E34" s="2"/>
      <x:c r="F34" s="2"/>
      <x:c r="G34" s="2"/>
      <x:c r="H34" s="2"/>
      <x:c r="I34" s="2"/>
      <x:c r="J34" s="2"/>
      <x:c r="K34" s="2"/>
      <x:c r="L34" s="2"/>
      <x:c r="M34" s="2"/>
      <x:c r="N34" s="2"/>
      <x:c r="O34" s="2"/>
      <x:c r="P34" s="2"/>
      <x:c r="Q34" s="2"/>
      <x:c r="R34" s="2"/>
      <x:c r="S34" s="67" t="str">
        <x:f>TEXT(Forecast!C34,"mmm-yy")</x:f>
        <x:v>Jul-27</x:v>
      </x:c>
      <x:c r="T34" s="67" t="n">
        <x:f>Forecast!S34</x:f>
        <x:v>438814.3724399</x:v>
      </x:c>
      <x:c r="U34" s="67" t="n">
        <x:f>Forecast!J34</x:f>
        <x:v>459373.7997904892</x:v>
      </x:c>
      <x:c r="V34" s="2"/>
      <x:c r="W34" s="2"/>
      <x:c r="X34" s="2"/>
      <x:c r="Y34" s="2"/>
      <x:c r="Z34" s="2"/>
    </x:row>
    <x:row r="35">
      <x:c r="A35" s="2"/>
      <x:c r="B35" s="2"/>
      <x:c r="C35" s="2"/>
      <x:c r="D35" s="2"/>
      <x:c r="E35" s="2"/>
      <x:c r="F35" s="2"/>
      <x:c r="G35" s="2"/>
      <x:c r="H35" s="2"/>
      <x:c r="I35" s="2"/>
      <x:c r="J35" s="2"/>
      <x:c r="K35" s="2"/>
      <x:c r="L35" s="2"/>
      <x:c r="M35" s="2"/>
      <x:c r="N35" s="2"/>
      <x:c r="O35" s="2"/>
      <x:c r="P35" s="2"/>
      <x:c r="Q35" s="2"/>
      <x:c r="R35" s="2"/>
      <x:c r="S35" s="67" t="str">
        <x:f>TEXT(Forecast!C35,"mmm-yy")</x:f>
        <x:v>Aug-27</x:v>
      </x:c>
      <x:c r="T35" s="67" t="n">
        <x:f>Forecast!S35</x:f>
        <x:v>423342.64676218346</x:v>
      </x:c>
      <x:c r="U35" s="67" t="n">
        <x:f>Forecast!J35</x:f>
        <x:v>443761.5639905734</x:v>
      </x:c>
      <x:c r="V35" s="2"/>
      <x:c r="W35" s="2"/>
      <x:c r="X35" s="2"/>
      <x:c r="Y35" s="2"/>
      <x:c r="Z35" s="2"/>
    </x:row>
    <x:row r="36">
      <x:c r="A36" s="2"/>
      <x:c r="B36" s="2"/>
      <x:c r="C36" s="2"/>
      <x:c r="D36" s="2"/>
      <x:c r="E36" s="2"/>
      <x:c r="F36" s="2"/>
      <x:c r="G36" s="2"/>
      <x:c r="H36" s="2"/>
      <x:c r="I36" s="2"/>
      <x:c r="J36" s="2"/>
      <x:c r="K36" s="2"/>
      <x:c r="L36" s="2"/>
      <x:c r="M36" s="2"/>
      <x:c r="N36" s="2"/>
      <x:c r="O36" s="2"/>
      <x:c r="P36" s="2"/>
      <x:c r="Q36" s="2"/>
      <x:c r="R36" s="2"/>
      <x:c r="S36" s="67" t="str">
        <x:f>TEXT(Forecast!C36,"mmm-yy")</x:f>
        <x:v>Sep-27</x:v>
      </x:c>
      <x:c r="T36" s="67" t="n">
        <x:f>Forecast!S36</x:f>
        <x:v>460741.43684752524</x:v>
      </x:c>
      <x:c r="U36" s="67" t="n">
        <x:f>Forecast!J36</x:f>
        <x:v>481500</x:v>
      </x:c>
      <x:c r="V36" s="2"/>
      <x:c r="W36" s="2"/>
      <x:c r="X36" s="2"/>
      <x:c r="Y36" s="2"/>
      <x:c r="Z36" s="2"/>
    </x:row>
    <x:row r="37">
      <x:c r="A37" s="2"/>
      <x:c r="B37" s="2"/>
      <x:c r="C37" s="2"/>
      <x:c r="D37" s="2"/>
      <x:c r="E37" s="2"/>
      <x:c r="F37" s="2"/>
      <x:c r="G37" s="2"/>
      <x:c r="H37" s="2"/>
      <x:c r="I37" s="2"/>
      <x:c r="J37" s="2"/>
      <x:c r="K37" s="2"/>
      <x:c r="L37" s="2"/>
      <x:c r="M37" s="2"/>
      <x:c r="N37" s="2"/>
      <x:c r="O37" s="2"/>
      <x:c r="P37" s="2"/>
      <x:c r="Q37" s="2"/>
      <x:c r="R37" s="2"/>
      <x:c r="S37" s="67" t="str">
        <x:f>TEXT(Forecast!C37,"mmm-yy")</x:f>
        <x:v>Oct-27</x:v>
      </x:c>
      <x:c r="T37" s="67" t="n">
        <x:f>Forecast!S37</x:f>
        <x:v>486927.8858495464</x:v>
      </x:c>
      <x:c r="U37" s="67" t="n">
        <x:f>Forecast!J37</x:f>
        <x:v>507924.26740869944</x:v>
      </x:c>
      <x:c r="V37" s="2"/>
      <x:c r="W37" s="2"/>
      <x:c r="X37" s="2"/>
      <x:c r="Y37" s="2"/>
      <x:c r="Z37" s="2"/>
    </x:row>
    <x:row r="38">
      <x:c r="A38" s="2"/>
      <x:c r="B38" s="2"/>
      <x:c r="C38" s="2"/>
      <x:c r="D38" s="2"/>
      <x:c r="E38" s="2"/>
      <x:c r="F38" s="2"/>
      <x:c r="G38" s="2"/>
      <x:c r="H38" s="2"/>
      <x:c r="I38" s="2"/>
      <x:c r="J38" s="2"/>
      <x:c r="K38" s="2"/>
      <x:c r="L38" s="2"/>
      <x:c r="M38" s="2"/>
      <x:c r="N38" s="2"/>
      <x:c r="O38" s="2"/>
      <x:c r="P38" s="2"/>
      <x:c r="Q38" s="2"/>
      <x:c r="R38" s="2"/>
      <x:c r="S38" s="67" t="str">
        <x:f>TEXT(Forecast!C38,"mmm-yy")</x:f>
        <x:v>Nov-27</x:v>
      </x:c>
      <x:c r="T38" s="67" t="n">
        <x:f>Forecast!S38</x:f>
        <x:v>488500.3766550486</x:v>
      </x:c>
      <x:c r="U38" s="67" t="n">
        <x:f>Forecast!J38</x:f>
        <x:v>509511.039159963</x:v>
      </x:c>
      <x:c r="V38" s="2"/>
      <x:c r="W38" s="2"/>
      <x:c r="X38" s="2"/>
      <x:c r="Y38" s="2"/>
      <x:c r="Z38" s="2"/>
    </x:row>
    <x:row r="39">
      <x:c r="A39" s="2"/>
      <x:c r="B39" s="2"/>
      <x:c r="C39" s="2"/>
      <x:c r="D39" s="2"/>
      <x:c r="E39" s="2"/>
      <x:c r="F39" s="2"/>
      <x:c r="G39" s="2"/>
      <x:c r="H39" s="2"/>
      <x:c r="I39" s="2"/>
      <x:c r="J39" s="2"/>
      <x:c r="K39" s="2"/>
      <x:c r="L39" s="2"/>
      <x:c r="M39" s="2"/>
      <x:c r="N39" s="2"/>
      <x:c r="O39" s="2"/>
      <x:c r="P39" s="2"/>
      <x:c r="Q39" s="2"/>
      <x:c r="R39" s="2"/>
      <x:c r="S39" s="67" t="str">
        <x:f>TEXT(Forecast!C39,"mmm-yy")</x:f>
        <x:v>Dec-27</x:v>
      </x:c>
      <x:c r="T39" s="67" t="n">
        <x:f>Forecast!S39</x:f>
        <x:v>429558.5830000564</x:v>
      </x:c>
      <x:c r="U39" s="67" t="n">
        <x:f>Forecast!J39</x:f>
        <x:v>450033.95171799307</x:v>
      </x:c>
      <x:c r="V39" s="2"/>
      <x:c r="W39" s="2"/>
      <x:c r="X39" s="2"/>
      <x:c r="Y39" s="2"/>
      <x:c r="Z39" s="2"/>
    </x:row>
    <x:row r="40">
      <x:c r="A40" s="2"/>
      <x:c r="B40" s="2"/>
      <x:c r="C40" s="2"/>
      <x:c r="D40" s="2"/>
      <x:c r="E40" s="2"/>
      <x:c r="F40" s="2"/>
      <x:c r="G40" s="2"/>
      <x:c r="H40" s="2"/>
      <x:c r="I40" s="2"/>
      <x:c r="J40" s="2"/>
      <x:c r="K40" s="2"/>
      <x:c r="L40" s="2"/>
      <x:c r="M40" s="2"/>
      <x:c r="N40" s="2"/>
      <x:c r="O40" s="2"/>
      <x:c r="P40" s="2"/>
      <x:c r="Q40" s="2"/>
      <x:c r="R40" s="2"/>
      <x:c r="S40" s="67" t="str">
        <x:f>TEXT(Forecast!C40,"mmm-yy")</x:f>
        <x:v>Jan-28</x:v>
      </x:c>
      <x:c r="T40" s="67" t="n">
        <x:f>Forecast!S40</x:f>
        <x:v>499780.0064622085</x:v>
      </x:c>
      <x:c r="U40" s="67" t="n">
        <x:f>Forecast!J40</x:f>
        <x:v>520893.10758292966</x:v>
      </x:c>
      <x:c r="V40" s="2"/>
      <x:c r="W40" s="2"/>
      <x:c r="X40" s="2"/>
      <x:c r="Y40" s="2"/>
      <x:c r="Z40" s="2"/>
    </x:row>
    <x:row r="41">
      <x:c r="A41" s="2"/>
      <x:c r="B41" s="2"/>
      <x:c r="C41" s="2"/>
      <x:c r="D41" s="2"/>
      <x:c r="E41" s="2"/>
      <x:c r="F41" s="2"/>
      <x:c r="G41" s="2"/>
      <x:c r="H41" s="2"/>
      <x:c r="I41" s="2"/>
      <x:c r="J41" s="2"/>
      <x:c r="K41" s="2"/>
      <x:c r="L41" s="2"/>
      <x:c r="M41" s="2"/>
      <x:c r="N41" s="2"/>
      <x:c r="O41" s="2"/>
      <x:c r="P41" s="2"/>
      <x:c r="Q41" s="2"/>
      <x:c r="R41" s="2"/>
      <x:c r="S41" s="67" t="str">
        <x:f>TEXT(Forecast!C41,"mmm-yy")</x:f>
        <x:v>Feb-28</x:v>
      </x:c>
      <x:c r="T41" s="67" t="n">
        <x:f>Forecast!S41</x:f>
        <x:v>400414.0062141853</x:v>
      </x:c>
      <x:c r="U41" s="67" t="n">
        <x:f>Forecast!J41</x:f>
        <x:v>420624.6915909789</x:v>
      </x:c>
      <x:c r="V41" s="2"/>
      <x:c r="W41" s="2"/>
      <x:c r="X41" s="2"/>
      <x:c r="Y41" s="2"/>
      <x:c r="Z41" s="2"/>
    </x:row>
    <x:row r="42">
      <x:c r="A42" s="2"/>
      <x:c r="B42" s="2"/>
      <x:c r="C42" s="2"/>
      <x:c r="D42" s="2"/>
      <x:c r="E42" s="2"/>
      <x:c r="F42" s="2"/>
      <x:c r="G42" s="2"/>
      <x:c r="H42" s="2"/>
      <x:c r="I42" s="2"/>
      <x:c r="J42" s="2"/>
      <x:c r="K42" s="2"/>
      <x:c r="L42" s="2"/>
      <x:c r="M42" s="2"/>
      <x:c r="N42" s="2"/>
      <x:c r="O42" s="2"/>
      <x:c r="P42" s="2"/>
      <x:c r="Q42" s="2"/>
      <x:c r="R42" s="2"/>
      <x:c r="S42" s="67" t="str">
        <x:f>TEXT(Forecast!C42,"mmm-yy")</x:f>
        <x:v>Mar-28</x:v>
      </x:c>
      <x:c r="T42" s="67" t="n">
        <x:f>Forecast!S42</x:f>
        <x:v>450106.4240639461</x:v>
      </x:c>
      <x:c r="U42" s="67" t="n">
        <x:f>Forecast!J42</x:f>
        <x:v>470768.40284199885</x:v>
      </x:c>
      <x:c r="V42" s="2"/>
      <x:c r="W42" s="2"/>
      <x:c r="X42" s="2"/>
      <x:c r="Y42" s="2"/>
      <x:c r="Z42" s="2"/>
    </x:row>
    <x:row r="43">
      <x:c r="A43" s="2"/>
      <x:c r="B43" s="2"/>
      <x:c r="C43" s="2"/>
      <x:c r="D43" s="2"/>
      <x:c r="E43" s="2"/>
      <x:c r="F43" s="2"/>
      <x:c r="G43" s="2"/>
      <x:c r="H43" s="2"/>
      <x:c r="I43" s="2"/>
      <x:c r="J43" s="2"/>
      <x:c r="K43" s="2"/>
      <x:c r="L43" s="2"/>
      <x:c r="M43" s="2"/>
      <x:c r="N43" s="2"/>
      <x:c r="O43" s="2"/>
      <x:c r="P43" s="2"/>
      <x:c r="Q43" s="2"/>
      <x:c r="R43" s="2"/>
      <x:c r="S43" s="67"/>
      <x:c r="T43" s="67"/>
      <x:c r="U43" s="67"/>
      <x:c r="V43" s="2"/>
      <x:c r="W43" s="2"/>
      <x:c r="X43" s="2"/>
      <x:c r="Y43" s="2"/>
      <x:c r="Z43" s="2"/>
    </x:row>
    <x:row r="44">
      <x:c r="A44" s="2"/>
      <x:c r="B44" s="2"/>
      <x:c r="C44" s="2"/>
      <x:c r="D44" s="2"/>
      <x:c r="E44" s="2"/>
      <x:c r="F44" s="2"/>
      <x:c r="G44" s="2"/>
      <x:c r="H44" s="2"/>
      <x:c r="I44" s="2"/>
      <x:c r="J44" s="2"/>
      <x:c r="K44" s="2"/>
      <x:c r="L44" s="2"/>
      <x:c r="M44" s="2"/>
      <x:c r="N44" s="2"/>
      <x:c r="O44" s="2"/>
      <x:c r="P44" s="2"/>
      <x:c r="Q44" s="2"/>
      <x:c r="R44" s="2"/>
      <x:c r="S44" s="67"/>
      <x:c r="T44" s="67"/>
      <x:c r="U44" s="67"/>
      <x:c r="V44" s="2"/>
      <x:c r="W44" s="2"/>
      <x:c r="X44" s="2"/>
      <x:c r="Y44" s="2"/>
      <x:c r="Z44" s="2"/>
    </x:row>
    <x:row r="45">
      <x:c r="A45" s="2"/>
      <x:c r="B45" s="2"/>
      <x:c r="C45" s="2"/>
      <x:c r="D45" s="2"/>
      <x:c r="E45" s="2"/>
      <x:c r="F45" s="2"/>
      <x:c r="G45" s="2"/>
      <x:c r="H45" s="2"/>
      <x:c r="I45" s="2"/>
      <x:c r="J45" s="2"/>
      <x:c r="K45" s="2"/>
      <x:c r="L45" s="2"/>
      <x:c r="M45" s="2"/>
      <x:c r="N45" s="2"/>
      <x:c r="O45" s="2"/>
      <x:c r="P45" s="2"/>
      <x:c r="Q45" s="2"/>
      <x:c r="R45" s="2"/>
      <x:c r="S45" s="67" t="str">
        <x:v>Fiscal year</x:v>
      </x:c>
      <x:c r="T45" s="67" t="str">
        <x:v>Retail growth</x:v>
      </x:c>
      <x:c r="U45" s="67" t="str">
        <x:v>Wholesale growth</x:v>
      </x:c>
      <x:c r="V45" s="2"/>
      <x:c r="W45" s="2"/>
      <x:c r="X45" s="2"/>
      <x:c r="Y45" s="2"/>
      <x:c r="Z45" s="2"/>
    </x:row>
    <x:row r="46">
      <x:c r="A46" s="2"/>
      <x:c r="B46" s="2"/>
      <x:c r="C46" s="2"/>
      <x:c r="D46" s="2"/>
      <x:c r="E46" s="2"/>
      <x:c r="F46" s="2"/>
      <x:c r="G46" s="2"/>
      <x:c r="H46" s="2"/>
      <x:c r="I46" s="2"/>
      <x:c r="J46" s="2"/>
      <x:c r="K46" s="2"/>
      <x:c r="L46" s="2"/>
      <x:c r="M46" s="2"/>
      <x:c r="N46" s="2"/>
      <x:c r="O46" s="2"/>
      <x:c r="P46" s="2"/>
      <x:c r="Q46" s="2"/>
      <x:c r="R46" s="2"/>
      <x:c r="S46" s="67" t="str">
        <x:f>E7</x:f>
        <x:v>FY26A</x:v>
      </x:c>
      <x:c r="T46" s="68" t="n">
        <x:f>E9</x:f>
        <x:v>0.12995640893800497</x:v>
      </x:c>
      <x:c r="U46" s="68" t="n">
        <x:f>E11</x:f>
        <x:v>0.07940564148245133</x:v>
      </x:c>
      <x:c r="V46" s="2"/>
      <x:c r="W46" s="2"/>
      <x:c r="X46" s="2"/>
      <x:c r="Y46" s="2"/>
      <x:c r="Z46" s="2"/>
    </x:row>
    <x:row r="47">
      <x:c r="A47" s="2"/>
      <x:c r="B47" s="2"/>
      <x:c r="C47" s="2"/>
      <x:c r="D47" s="2"/>
      <x:c r="E47" s="2"/>
      <x:c r="F47" s="2"/>
      <x:c r="G47" s="2"/>
      <x:c r="H47" s="2"/>
      <x:c r="I47" s="2"/>
      <x:c r="J47" s="2"/>
      <x:c r="K47" s="2"/>
      <x:c r="L47" s="2"/>
      <x:c r="M47" s="2"/>
      <x:c r="N47" s="2"/>
      <x:c r="O47" s="2"/>
      <x:c r="P47" s="2"/>
      <x:c r="Q47" s="2"/>
      <x:c r="R47" s="2"/>
      <x:c r="S47" s="67" t="str">
        <x:f>F7</x:f>
        <x:v>FY27E</x:v>
      </x:c>
      <x:c r="T47" s="68" t="n">
        <x:f>F9</x:f>
        <x:v>0.11446606443651741</x:v>
      </x:c>
      <x:c r="U47" s="68" t="n">
        <x:f>F11</x:f>
        <x:v>0.11432039590254095</x:v>
      </x:c>
      <x:c r="V47" s="2"/>
      <x:c r="W47" s="2"/>
      <x:c r="X47" s="2"/>
      <x:c r="Y47" s="2"/>
      <x:c r="Z47" s="2"/>
    </x:row>
    <x:row r="48">
      <x:c r="A48" s="2"/>
      <x:c r="B48" s="2"/>
      <x:c r="C48" s="2"/>
      <x:c r="D48" s="2"/>
      <x:c r="E48" s="2"/>
      <x:c r="F48" s="2"/>
      <x:c r="G48" s="2"/>
      <x:c r="H48" s="2"/>
      <x:c r="I48" s="2"/>
      <x:c r="J48" s="2"/>
      <x:c r="K48" s="2"/>
      <x:c r="L48" s="2"/>
      <x:c r="M48" s="2"/>
      <x:c r="N48" s="2"/>
      <x:c r="O48" s="2"/>
      <x:c r="P48" s="2"/>
      <x:c r="Q48" s="2"/>
      <x:c r="R48" s="2"/>
      <x:c r="S48" s="67" t="str">
        <x:f>G7</x:f>
        <x:v>FY28E</x:v>
      </x:c>
      <x:c r="T48" s="68" t="n">
        <x:f>G9</x:f>
        <x:v>0.022781356898066152</x:v>
      </x:c>
      <x:c r="U48" s="68" t="n">
        <x:f>G11</x:f>
        <x:v>0.038317143053008706</x:v>
      </x:c>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sheetData>
  <x:pageMargins left="0.7" right="0.7" top="0.75" bottom="0.75" header="0.3" footer="0.3"/>
  <x:drawing xmlns:r="http://schemas.openxmlformats.org/officeDocument/2006/relationships" r:id="R7c713f1f4bf64678"/>
</x:worksheet>
</file>

<file path=xl/worksheets/sheet2.xml><?xml version="1.0" encoding="utf-8"?>
<x:worksheet xmlns:x="http://schemas.openxmlformats.org/spreadsheetml/2006/main">
  <x:sheetPr>
    <x:tabColor rgb="FF4472C4"/>
  </x:sheetPr>
  <x:sheetViews>
    <x:sheetView showGridLines="0" workbookViewId="0">
      <x:pane ySplit="4" topLeftCell="A5" activePane="bottomLeft" state="frozen"/>
    </x:sheetView>
  </x:sheetViews>
  <x:sheetFormatPr defaultRowHeight="15"/>
  <x:cols>
    <x:col min="1" max="1" width="2" hidden="0" customWidth="1"/>
    <x:col min="2" max="2" width="2" hidden="0" customWidth="1"/>
    <x:col min="3" max="3" width="42" hidden="0" customWidth="1"/>
    <x:col min="4" max="4" width="86" hidden="0" customWidth="1"/>
    <x:col min="5" max="5" width="2" hidden="0" customWidth="1"/>
    <x:col min="6" max="6" width="2" hidden="0" customWidth="1"/>
    <x:col min="7" max="7" width="2" hidden="0" customWidth="1"/>
    <x:col min="8" max="8" width="2" hidden="0" customWidth="1"/>
    <x:col min="9" max="9" width="2" hidden="0" customWidth="1"/>
    <x:col min="10" max="10" width="2"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x:c r="A2" s="2"/>
      <x:c r="B2" s="2"/>
      <x:c r="C2" s="3" t="str">
        <x:v>India passenger vehicle volume forecast: assumptions</x:v>
      </x:c>
      <x:c r="D2" s="2"/>
      <x:c r="E2" s="2"/>
      <x:c r="F2" s="2"/>
      <x:c r="G2" s="2"/>
      <x:c r="H2" s="2"/>
      <x:c r="I2" s="2"/>
      <x:c r="J2" s="2"/>
      <x:c r="K2" s="2"/>
      <x:c r="L2" s="2"/>
      <x:c r="M2" s="2"/>
      <x:c r="N2" s="2"/>
      <x:c r="O2" s="2"/>
      <x:c r="P2" s="2"/>
      <x:c r="Q2" s="2"/>
      <x:c r="R2" s="2"/>
      <x:c r="S2" s="2"/>
      <x:c r="T2" s="2"/>
      <x:c r="U2" s="2"/>
      <x:c r="V2" s="2"/>
      <x:c r="W2" s="2"/>
      <x:c r="X2" s="2"/>
      <x:c r="Y2" s="2"/>
      <x:c r="Z2" s="2"/>
    </x:row>
    <x:row r="3">
      <x:c r="A3" s="2"/>
      <x:c r="B3" s="2"/>
      <x:c r="C3" s="4"/>
      <x:c r="D3" s="4"/>
      <x:c r="E3" s="4"/>
      <x:c r="F3" s="4"/>
      <x:c r="G3" s="4"/>
      <x:c r="H3" s="4"/>
      <x:c r="I3" s="4"/>
      <x:c r="J3" s="4"/>
      <x:c r="K3" s="2"/>
      <x:c r="L3" s="2"/>
      <x:c r="M3" s="2"/>
      <x:c r="N3" s="2"/>
      <x:c r="O3" s="2"/>
      <x:c r="P3" s="2"/>
      <x:c r="Q3" s="2"/>
      <x:c r="R3" s="2"/>
      <x:c r="S3" s="2"/>
      <x:c r="T3" s="2"/>
      <x:c r="U3" s="2"/>
      <x:c r="V3" s="2"/>
      <x:c r="W3" s="2"/>
      <x:c r="X3" s="2"/>
      <x:c r="Y3" s="2"/>
      <x:c r="Z3" s="2"/>
    </x:row>
    <x:row r="4">
      <x:c r="A4" s="2"/>
      <x:c r="B4" s="2"/>
      <x:c r="C4" s="5" t="str">
        <x:v>As of 31 August 2026. Yellow cells are editable inputs.</x:v>
      </x:c>
      <x:c r="D4" s="2"/>
      <x:c r="E4" s="2"/>
      <x:c r="F4" s="2"/>
      <x:c r="G4" s="2"/>
      <x:c r="H4" s="2"/>
      <x:c r="I4" s="2"/>
      <x:c r="J4" s="2"/>
      <x:c r="K4" s="2"/>
      <x:c r="L4" s="2"/>
      <x:c r="M4" s="2"/>
      <x:c r="N4" s="2"/>
      <x:c r="O4" s="2"/>
      <x:c r="P4" s="2"/>
      <x:c r="Q4" s="2"/>
      <x:c r="R4" s="2"/>
      <x:c r="S4" s="2"/>
      <x:c r="T4" s="2"/>
      <x:c r="U4" s="2"/>
      <x:c r="V4" s="2"/>
      <x:c r="W4" s="2"/>
      <x:c r="X4" s="2"/>
      <x:c r="Y4" s="2"/>
      <x:c r="Z4" s="2"/>
    </x:row>
    <x:row r="5">
      <x:c r="A5" s="2"/>
      <x:c r="B5" s="2"/>
      <x:c r="C5" s="2"/>
      <x:c r="D5" s="2"/>
      <x:c r="E5" s="2"/>
      <x:c r="F5" s="2"/>
      <x:c r="G5" s="2"/>
      <x:c r="H5" s="2"/>
      <x:c r="I5" s="2"/>
      <x:c r="J5" s="2"/>
      <x:c r="K5" s="2"/>
      <x:c r="L5" s="2"/>
      <x:c r="M5" s="2"/>
      <x:c r="N5" s="2"/>
      <x:c r="O5" s="2"/>
      <x:c r="P5" s="2"/>
      <x:c r="Q5" s="2"/>
      <x:c r="R5" s="2"/>
      <x:c r="S5" s="2"/>
      <x:c r="T5" s="2"/>
      <x:c r="U5" s="2"/>
      <x:c r="V5" s="2"/>
      <x:c r="W5" s="2"/>
      <x:c r="X5" s="2"/>
      <x:c r="Y5" s="2"/>
      <x:c r="Z5" s="2"/>
    </x:row>
    <x:row r="6">
      <x:c r="A6" s="2"/>
      <x:c r="B6" s="2"/>
      <x:c r="C6" s="8" t="str">
        <x:v>Historical controls (units)</x:v>
      </x:c>
      <x:c r="D6" s="8"/>
      <x:c r="E6" s="8"/>
      <x:c r="F6" s="8"/>
      <x:c r="G6" s="2"/>
      <x:c r="H6" s="2"/>
      <x:c r="I6" s="2"/>
      <x:c r="J6" s="2"/>
      <x:c r="K6" s="2"/>
      <x:c r="L6" s="2"/>
      <x:c r="M6" s="2"/>
      <x:c r="N6" s="2"/>
      <x:c r="O6" s="2"/>
      <x:c r="P6" s="2"/>
      <x:c r="Q6" s="2"/>
      <x:c r="R6" s="2"/>
      <x:c r="S6" s="2"/>
      <x:c r="T6" s="2"/>
      <x:c r="U6" s="2"/>
      <x:c r="V6" s="2"/>
      <x:c r="W6" s="2"/>
      <x:c r="X6" s="2"/>
      <x:c r="Y6" s="2"/>
      <x:c r="Z6" s="2"/>
    </x:row>
    <x:row r="7">
      <x:c r="A7" s="2"/>
      <x:c r="B7" s="2"/>
      <x:c r="C7" s="2" t="str">
        <x:v>FY25 PV retail actual</x:v>
      </x:c>
      <x:c r="D7" s="81" t="n">
        <x:v>4163927</x:v>
      </x:c>
      <x:c r="E7" s="2"/>
      <x:c r="F7" s="2"/>
      <x:c r="G7" s="2"/>
      <x:c r="H7" s="2"/>
      <x:c r="I7" s="2"/>
      <x:c r="J7" s="2"/>
      <x:c r="K7" s="2"/>
      <x:c r="L7" s="2"/>
      <x:c r="M7" s="2"/>
      <x:c r="N7" s="2"/>
      <x:c r="O7" s="2"/>
      <x:c r="P7" s="2"/>
      <x:c r="Q7" s="2"/>
      <x:c r="R7" s="2"/>
      <x:c r="S7" s="2"/>
      <x:c r="T7" s="2"/>
      <x:c r="U7" s="2"/>
      <x:c r="V7" s="2"/>
      <x:c r="W7" s="2"/>
      <x:c r="X7" s="2"/>
      <x:c r="Y7" s="2"/>
      <x:c r="Z7" s="2"/>
    </x:row>
    <x:row r="8">
      <x:c r="A8" s="2"/>
      <x:c r="B8" s="2"/>
      <x:c r="C8" s="2" t="str">
        <x:v>FY26 PV retail actual</x:v>
      </x:c>
      <x:c r="D8" s="81" t="n">
        <x:v>4705056</x:v>
      </x:c>
      <x:c r="E8" s="2"/>
      <x:c r="F8" s="2"/>
      <x:c r="G8" s="2"/>
      <x:c r="H8" s="2"/>
      <x:c r="I8" s="2"/>
      <x:c r="J8" s="2"/>
      <x:c r="K8" s="2"/>
      <x:c r="L8" s="2"/>
      <x:c r="M8" s="2"/>
      <x:c r="N8" s="2"/>
      <x:c r="O8" s="2"/>
      <x:c r="P8" s="2"/>
      <x:c r="Q8" s="2"/>
      <x:c r="R8" s="2"/>
      <x:c r="S8" s="2"/>
      <x:c r="T8" s="2"/>
      <x:c r="U8" s="2"/>
      <x:c r="V8" s="2"/>
      <x:c r="W8" s="2"/>
      <x:c r="X8" s="2"/>
      <x:c r="Y8" s="2"/>
      <x:c r="Z8" s="2"/>
    </x:row>
    <x:row r="9">
      <x:c r="A9" s="2"/>
      <x:c r="B9" s="2"/>
      <x:c r="C9" s="2" t="str">
        <x:v>FY27 PV retail actual: Apr-Aug</x:v>
      </x:c>
      <x:c r="D9" s="81" t="n">
        <x:v>2102265</x:v>
      </x:c>
      <x:c r="E9" s="2"/>
      <x:c r="F9" s="2"/>
      <x:c r="G9" s="2"/>
      <x:c r="H9" s="2"/>
      <x:c r="I9" s="2"/>
      <x:c r="J9" s="2"/>
      <x:c r="K9" s="2"/>
      <x:c r="L9" s="2"/>
      <x:c r="M9" s="2"/>
      <x:c r="N9" s="2"/>
      <x:c r="O9" s="2"/>
      <x:c r="P9" s="2"/>
      <x:c r="Q9" s="2"/>
      <x:c r="R9" s="2"/>
      <x:c r="S9" s="2"/>
      <x:c r="T9" s="2"/>
      <x:c r="U9" s="2"/>
      <x:c r="V9" s="2"/>
      <x:c r="W9" s="2"/>
      <x:c r="X9" s="2"/>
      <x:c r="Y9" s="2"/>
      <x:c r="Z9" s="2"/>
    </x:row>
    <x:row r="10">
      <x:c r="A10" s="2"/>
      <x:c r="B10" s="2"/>
      <x:c r="C10" s="2" t="str">
        <x:v>FY25 PV wholesale actual</x:v>
      </x:c>
      <x:c r="D10" s="81" t="n">
        <x:v>4301848</x:v>
      </x:c>
      <x:c r="E10" s="2"/>
      <x:c r="F10" s="2"/>
      <x:c r="G10" s="2"/>
      <x:c r="H10" s="2"/>
      <x:c r="I10" s="2"/>
      <x:c r="J10" s="2"/>
      <x:c r="K10" s="2"/>
      <x:c r="L10" s="2"/>
      <x:c r="M10" s="2"/>
      <x:c r="N10" s="2"/>
      <x:c r="O10" s="2"/>
      <x:c r="P10" s="2"/>
      <x:c r="Q10" s="2"/>
      <x:c r="R10" s="2"/>
      <x:c r="S10" s="2"/>
      <x:c r="T10" s="2"/>
      <x:c r="U10" s="2"/>
      <x:c r="V10" s="2"/>
      <x:c r="W10" s="2"/>
      <x:c r="X10" s="2"/>
      <x:c r="Y10" s="2"/>
      <x:c r="Z10" s="2"/>
    </x:row>
    <x:row r="11">
      <x:c r="A11" s="2"/>
      <x:c r="B11" s="2"/>
      <x:c r="C11" s="2" t="str">
        <x:v>FY26 PV wholesale actual</x:v>
      </x:c>
      <x:c r="D11" s="81" t="n">
        <x:v>4643439</x:v>
      </x:c>
      <x:c r="E11" s="2"/>
      <x:c r="F11" s="2"/>
      <x:c r="G11" s="2"/>
      <x:c r="H11" s="2"/>
      <x:c r="I11" s="2"/>
      <x:c r="J11" s="2"/>
      <x:c r="K11" s="2"/>
      <x:c r="L11" s="2"/>
      <x:c r="M11" s="2"/>
      <x:c r="N11" s="2"/>
      <x:c r="O11" s="2"/>
      <x:c r="P11" s="2"/>
      <x:c r="Q11" s="2"/>
      <x:c r="R11" s="2"/>
      <x:c r="S11" s="2"/>
      <x:c r="T11" s="2"/>
      <x:c r="U11" s="2"/>
      <x:c r="V11" s="2"/>
      <x:c r="W11" s="2"/>
      <x:c r="X11" s="2"/>
      <x:c r="Y11" s="2"/>
      <x:c r="Z11" s="2"/>
    </x:row>
    <x:row r="12">
      <x:c r="A12" s="2"/>
      <x:c r="B12" s="2"/>
      <x:c r="C12" s="2"/>
      <x:c r="D12" s="74"/>
      <x:c r="E12" s="2"/>
      <x:c r="F12" s="2"/>
      <x:c r="G12" s="2"/>
      <x:c r="H12" s="2"/>
      <x:c r="I12" s="2"/>
      <x:c r="J12" s="2"/>
      <x:c r="K12" s="2"/>
      <x:c r="L12" s="2"/>
      <x:c r="M12" s="2"/>
      <x:c r="N12" s="2"/>
      <x:c r="O12" s="2"/>
      <x:c r="P12" s="2"/>
      <x:c r="Q12" s="2"/>
      <x:c r="R12" s="2"/>
      <x:c r="S12" s="2"/>
      <x:c r="T12" s="2"/>
      <x:c r="U12" s="2"/>
      <x:c r="V12" s="2"/>
      <x:c r="W12" s="2"/>
      <x:c r="X12" s="2"/>
      <x:c r="Y12" s="2"/>
      <x:c r="Z12" s="2"/>
    </x:row>
    <x:row r="13">
      <x:c r="A13" s="2"/>
      <x:c r="B13" s="2"/>
      <x:c r="C13" s="8" t="str">
        <x:v>Demand and affordability drivers</x:v>
      </x:c>
      <x:c r="D13" s="75"/>
      <x:c r="E13" s="8"/>
      <x:c r="F13" s="8"/>
      <x:c r="G13" s="2"/>
      <x:c r="H13" s="2"/>
      <x:c r="I13" s="2"/>
      <x:c r="J13" s="2"/>
      <x:c r="K13" s="2"/>
      <x:c r="L13" s="2"/>
      <x:c r="M13" s="2"/>
      <x:c r="N13" s="2"/>
      <x:c r="O13" s="2"/>
      <x:c r="P13" s="2"/>
      <x:c r="Q13" s="2"/>
      <x:c r="R13" s="2"/>
      <x:c r="S13" s="2"/>
      <x:c r="T13" s="2"/>
      <x:c r="U13" s="2"/>
      <x:c r="V13" s="2"/>
      <x:c r="W13" s="2"/>
      <x:c r="X13" s="2"/>
      <x:c r="Y13" s="2"/>
      <x:c r="Z13" s="2"/>
    </x:row>
    <x:row r="14">
      <x:c r="A14" s="2"/>
      <x:c r="B14" s="2"/>
      <x:c r="C14" s="2" t="str">
        <x:v>FY26 no-GST counterfactual growth</x:v>
      </x:c>
      <x:c r="D14" s="82" t="n">
        <x:v>0.05</x:v>
      </x:c>
      <x:c r="E14" s="2"/>
      <x:c r="F14" s="2"/>
      <x:c r="G14" s="2"/>
      <x:c r="H14" s="2"/>
      <x:c r="I14" s="2"/>
      <x:c r="J14" s="2"/>
      <x:c r="K14" s="2"/>
      <x:c r="L14" s="2"/>
      <x:c r="M14" s="2"/>
      <x:c r="N14" s="2"/>
      <x:c r="O14" s="2"/>
      <x:c r="P14" s="2"/>
      <x:c r="Q14" s="2"/>
      <x:c r="R14" s="2"/>
      <x:c r="S14" s="2"/>
      <x:c r="T14" s="2"/>
      <x:c r="U14" s="2"/>
      <x:c r="V14" s="2"/>
      <x:c r="W14" s="2"/>
      <x:c r="X14" s="2"/>
      <x:c r="Y14" s="2"/>
      <x:c r="Z14" s="2"/>
    </x:row>
    <x:row r="15">
      <x:c r="A15" s="2"/>
      <x:c r="B15" s="2"/>
      <x:c r="C15" s="2" t="str">
        <x:v>FY27 underlying demand growth</x:v>
      </x:c>
      <x:c r="D15" s="82" t="n">
        <x:v>0.07</x:v>
      </x:c>
      <x:c r="E15" s="2"/>
      <x:c r="F15" s="2"/>
      <x:c r="G15" s="2"/>
      <x:c r="H15" s="2"/>
      <x:c r="I15" s="2"/>
      <x:c r="J15" s="2"/>
      <x:c r="K15" s="2"/>
      <x:c r="L15" s="2"/>
      <x:c r="M15" s="2"/>
      <x:c r="N15" s="2"/>
      <x:c r="O15" s="2"/>
      <x:c r="P15" s="2"/>
      <x:c r="Q15" s="2"/>
      <x:c r="R15" s="2"/>
      <x:c r="S15" s="2"/>
      <x:c r="T15" s="2"/>
      <x:c r="U15" s="2"/>
      <x:c r="V15" s="2"/>
      <x:c r="W15" s="2"/>
      <x:c r="X15" s="2"/>
      <x:c r="Y15" s="2"/>
      <x:c r="Z15" s="2"/>
    </x:row>
    <x:row r="16">
      <x:c r="A16" s="2"/>
      <x:c r="B16" s="2"/>
      <x:c r="C16" s="2" t="str">
        <x:v>FY28 underlying demand growth</x:v>
      </x:c>
      <x:c r="D16" s="82" t="n">
        <x:v>0.07</x:v>
      </x:c>
      <x:c r="E16" s="2"/>
      <x:c r="F16" s="2"/>
      <x:c r="G16" s="2"/>
      <x:c r="H16" s="2"/>
      <x:c r="I16" s="2"/>
      <x:c r="J16" s="2"/>
      <x:c r="K16" s="2"/>
      <x:c r="L16" s="2"/>
      <x:c r="M16" s="2"/>
      <x:c r="N16" s="2"/>
      <x:c r="O16" s="2"/>
      <x:c r="P16" s="2"/>
      <x:c r="Q16" s="2"/>
      <x:c r="R16" s="2"/>
      <x:c r="S16" s="2"/>
      <x:c r="T16" s="2"/>
      <x:c r="U16" s="2"/>
      <x:c r="V16" s="2"/>
      <x:c r="W16" s="2"/>
      <x:c r="X16" s="2"/>
      <x:c r="Y16" s="2"/>
      <x:c r="Z16" s="2"/>
    </x:row>
    <x:row r="17">
      <x:c r="A17" s="2"/>
      <x:c r="B17" s="2"/>
      <x:c r="C17" s="2" t="str">
        <x:v>Initial weighted consumer price benefit</x:v>
      </x:c>
      <x:c r="D17" s="82" t="n">
        <x:v>0.075</x:v>
      </x:c>
      <x:c r="E17" s="2"/>
      <x:c r="F17" s="2"/>
      <x:c r="G17" s="2"/>
      <x:c r="H17" s="2"/>
      <x:c r="I17" s="2"/>
      <x:c r="J17" s="2"/>
      <x:c r="K17" s="2"/>
      <x:c r="L17" s="2"/>
      <x:c r="M17" s="2"/>
      <x:c r="N17" s="2"/>
      <x:c r="O17" s="2"/>
      <x:c r="P17" s="2"/>
      <x:c r="Q17" s="2"/>
      <x:c r="R17" s="2"/>
      <x:c r="S17" s="2"/>
      <x:c r="T17" s="2"/>
      <x:c r="U17" s="2"/>
      <x:c r="V17" s="2"/>
      <x:c r="W17" s="2"/>
      <x:c r="X17" s="2"/>
      <x:c r="Y17" s="2"/>
      <x:c r="Z17" s="2"/>
    </x:row>
    <x:row r="18">
      <x:c r="A18" s="2"/>
      <x:c r="B18" s="2"/>
      <x:c r="C18" s="2" t="str">
        <x:v>Residual consumer price benefit: FY27</x:v>
      </x:c>
      <x:c r="D18" s="82" t="n">
        <x:v>0.035</x:v>
      </x:c>
      <x:c r="E18" s="2"/>
      <x:c r="F18" s="2"/>
      <x:c r="G18" s="2"/>
      <x:c r="H18" s="2"/>
      <x:c r="I18" s="2"/>
      <x:c r="J18" s="2"/>
      <x:c r="K18" s="2"/>
      <x:c r="L18" s="2"/>
      <x:c r="M18" s="2"/>
      <x:c r="N18" s="2"/>
      <x:c r="O18" s="2"/>
      <x:c r="P18" s="2"/>
      <x:c r="Q18" s="2"/>
      <x:c r="R18" s="2"/>
      <x:c r="S18" s="2"/>
      <x:c r="T18" s="2"/>
      <x:c r="U18" s="2"/>
      <x:c r="V18" s="2"/>
      <x:c r="W18" s="2"/>
      <x:c r="X18" s="2"/>
      <x:c r="Y18" s="2"/>
      <x:c r="Z18" s="2"/>
    </x:row>
    <x:row r="19">
      <x:c r="A19" s="2"/>
      <x:c r="B19" s="2"/>
      <x:c r="C19" s="2" t="str">
        <x:v>Residual consumer price benefit: FY28</x:v>
      </x:c>
      <x:c r="D19" s="82" t="n">
        <x:v>0.02</x:v>
      </x:c>
      <x:c r="E19" s="2"/>
      <x:c r="F19" s="2"/>
      <x:c r="G19" s="2"/>
      <x:c r="H19" s="2"/>
      <x:c r="I19" s="2"/>
      <x:c r="J19" s="2"/>
      <x:c r="K19" s="2"/>
      <x:c r="L19" s="2"/>
      <x:c r="M19" s="2"/>
      <x:c r="N19" s="2"/>
      <x:c r="O19" s="2"/>
      <x:c r="P19" s="2"/>
      <x:c r="Q19" s="2"/>
      <x:c r="R19" s="2"/>
      <x:c r="S19" s="2"/>
      <x:c r="T19" s="2"/>
      <x:c r="U19" s="2"/>
      <x:c r="V19" s="2"/>
      <x:c r="W19" s="2"/>
      <x:c r="X19" s="2"/>
      <x:c r="Y19" s="2"/>
      <x:c r="Z19" s="2"/>
    </x:row>
    <x:row r="20">
      <x:c r="A20" s="2"/>
      <x:c r="B20" s="2"/>
      <x:c r="C20" s="2" t="str">
        <x:v>GST-exposed share of PV market</x:v>
      </x:c>
      <x:c r="D20" s="82" t="n">
        <x:v>0.75</x:v>
      </x:c>
      <x:c r="E20" s="2"/>
      <x:c r="F20" s="2"/>
      <x:c r="G20" s="2"/>
      <x:c r="H20" s="2"/>
      <x:c r="I20" s="2"/>
      <x:c r="J20" s="2"/>
      <x:c r="K20" s="2"/>
      <x:c r="L20" s="2"/>
      <x:c r="M20" s="2"/>
      <x:c r="N20" s="2"/>
      <x:c r="O20" s="2"/>
      <x:c r="P20" s="2"/>
      <x:c r="Q20" s="2"/>
      <x:c r="R20" s="2"/>
      <x:c r="S20" s="2"/>
      <x:c r="T20" s="2"/>
      <x:c r="U20" s="2"/>
      <x:c r="V20" s="2"/>
      <x:c r="W20" s="2"/>
      <x:c r="X20" s="2"/>
      <x:c r="Y20" s="2"/>
      <x:c r="Z20" s="2"/>
    </x:row>
    <x:row r="21">
      <x:c r="A21" s="2"/>
      <x:c r="B21" s="2"/>
      <x:c r="C21" s="2" t="str">
        <x:v>Volume elasticity to consumer price</x:v>
      </x:c>
      <x:c r="D21" s="83" t="n">
        <x:v>0.8</x:v>
      </x:c>
      <x:c r="E21" s="2"/>
      <x:c r="F21" s="2"/>
      <x:c r="G21" s="2"/>
      <x:c r="H21" s="2"/>
      <x:c r="I21" s="2"/>
      <x:c r="J21" s="2"/>
      <x:c r="K21" s="2"/>
      <x:c r="L21" s="2"/>
      <x:c r="M21" s="2"/>
      <x:c r="N21" s="2"/>
      <x:c r="O21" s="2"/>
      <x:c r="P21" s="2"/>
      <x:c r="Q21" s="2"/>
      <x:c r="R21" s="2"/>
      <x:c r="S21" s="2"/>
      <x:c r="T21" s="2"/>
      <x:c r="U21" s="2"/>
      <x:c r="V21" s="2"/>
      <x:c r="W21" s="2"/>
      <x:c r="X21" s="2"/>
      <x:c r="Y21" s="2"/>
      <x:c r="Z21" s="2"/>
    </x:row>
    <x:row r="22">
      <x:c r="A22" s="2"/>
      <x:c r="B22" s="2"/>
      <x:c r="C22" s="2" t="str">
        <x:v>Residual excess classified as borrowed</x:v>
      </x:c>
      <x:c r="D22" s="82" t="n">
        <x:v>0.6</x:v>
      </x:c>
      <x:c r="E22" s="2"/>
      <x:c r="F22" s="2"/>
      <x:c r="G22" s="2"/>
      <x:c r="H22" s="2"/>
      <x:c r="I22" s="2"/>
      <x:c r="J22" s="2"/>
      <x:c r="K22" s="2"/>
      <x:c r="L22" s="2"/>
      <x:c r="M22" s="2"/>
      <x:c r="N22" s="2"/>
      <x:c r="O22" s="2"/>
      <x:c r="P22" s="2"/>
      <x:c r="Q22" s="2"/>
      <x:c r="R22" s="2"/>
      <x:c r="S22" s="2"/>
      <x:c r="T22" s="2"/>
      <x:c r="U22" s="2"/>
      <x:c r="V22" s="2"/>
      <x:c r="W22" s="2"/>
      <x:c r="X22" s="2"/>
      <x:c r="Y22" s="2"/>
      <x:c r="Z22" s="2"/>
    </x:row>
    <x:row r="23">
      <x:c r="A23" s="2"/>
      <x:c r="B23" s="2"/>
      <x:c r="C23" s="2" t="str">
        <x:v>Opening debt repaid in Oct-Mar FY27</x:v>
      </x:c>
      <x:c r="D23" s="82" t="n">
        <x:v>0.25</x:v>
      </x:c>
      <x:c r="E23" s="2"/>
      <x:c r="F23" s="2"/>
      <x:c r="G23" s="2"/>
      <x:c r="H23" s="2"/>
      <x:c r="I23" s="2"/>
      <x:c r="J23" s="2"/>
      <x:c r="K23" s="2"/>
      <x:c r="L23" s="2"/>
      <x:c r="M23" s="2"/>
      <x:c r="N23" s="2"/>
      <x:c r="O23" s="2"/>
      <x:c r="P23" s="2"/>
      <x:c r="Q23" s="2"/>
      <x:c r="R23" s="2"/>
      <x:c r="S23" s="2"/>
      <x:c r="T23" s="2"/>
      <x:c r="U23" s="2"/>
      <x:c r="V23" s="2"/>
      <x:c r="W23" s="2"/>
      <x:c r="X23" s="2"/>
      <x:c r="Y23" s="2"/>
      <x:c r="Z23" s="2"/>
    </x:row>
    <x:row r="24">
      <x:c r="A24" s="2"/>
      <x:c r="B24" s="2"/>
      <x:c r="C24" s="2" t="str">
        <x:v>Remaining debt repaid during FY28</x:v>
      </x:c>
      <x:c r="D24" s="82" t="n">
        <x:v>0.75</x:v>
      </x:c>
      <x:c r="E24" s="2"/>
      <x:c r="F24" s="2"/>
      <x:c r="G24" s="2"/>
      <x:c r="H24" s="2"/>
      <x:c r="I24" s="2"/>
      <x:c r="J24" s="2"/>
      <x:c r="K24" s="2"/>
      <x:c r="L24" s="2"/>
      <x:c r="M24" s="2"/>
      <x:c r="N24" s="2"/>
      <x:c r="O24" s="2"/>
      <x:c r="P24" s="2"/>
      <x:c r="Q24" s="2"/>
      <x:c r="R24" s="2"/>
      <x:c r="S24" s="2"/>
      <x:c r="T24" s="2"/>
      <x:c r="U24" s="2"/>
      <x:c r="V24" s="2"/>
      <x:c r="W24" s="2"/>
      <x:c r="X24" s="2"/>
      <x:c r="Y24" s="2"/>
      <x:c r="Z24" s="2"/>
    </x:row>
    <x:row r="25">
      <x:c r="A25" s="2"/>
      <x:c r="B25" s="2"/>
      <x:c r="C25" s="2"/>
      <x:c r="D25" s="74"/>
      <x:c r="E25" s="2"/>
      <x:c r="F25" s="2"/>
      <x:c r="G25" s="2"/>
      <x:c r="H25" s="2"/>
      <x:c r="I25" s="2"/>
      <x:c r="J25" s="2"/>
      <x:c r="K25" s="2"/>
      <x:c r="L25" s="2"/>
      <x:c r="M25" s="2"/>
      <x:c r="N25" s="2"/>
      <x:c r="O25" s="2"/>
      <x:c r="P25" s="2"/>
      <x:c r="Q25" s="2"/>
      <x:c r="R25" s="2"/>
      <x:c r="S25" s="2"/>
      <x:c r="T25" s="2"/>
      <x:c r="U25" s="2"/>
      <x:c r="V25" s="2"/>
      <x:c r="W25" s="2"/>
      <x:c r="X25" s="2"/>
      <x:c r="Y25" s="2"/>
      <x:c r="Z25" s="2"/>
    </x:row>
    <x:row r="26">
      <x:c r="A26" s="2"/>
      <x:c r="B26" s="2"/>
      <x:c r="C26" s="8" t="str">
        <x:v>Calendar and channel assumptions</x:v>
      </x:c>
      <x:c r="D26" s="75"/>
      <x:c r="E26" s="8"/>
      <x:c r="F26" s="8"/>
      <x:c r="G26" s="2"/>
      <x:c r="H26" s="2"/>
      <x:c r="I26" s="2"/>
      <x:c r="J26" s="2"/>
      <x:c r="K26" s="2"/>
      <x:c r="L26" s="2"/>
      <x:c r="M26" s="2"/>
      <x:c r="N26" s="2"/>
      <x:c r="O26" s="2"/>
      <x:c r="P26" s="2"/>
      <x:c r="Q26" s="2"/>
      <x:c r="R26" s="2"/>
      <x:c r="S26" s="2"/>
      <x:c r="T26" s="2"/>
      <x:c r="U26" s="2"/>
      <x:c r="V26" s="2"/>
      <x:c r="W26" s="2"/>
      <x:c r="X26" s="2"/>
      <x:c r="Y26" s="2"/>
      <x:c r="Z26" s="2"/>
    </x:row>
    <x:row r="27">
      <x:c r="A27" s="2"/>
      <x:c r="B27" s="2"/>
      <x:c r="C27" s="2" t="str">
        <x:v>September 2026 PV retail estimate</x:v>
      </x:c>
      <x:c r="D27" s="84" t="n">
        <x:v>450000</x:v>
      </x:c>
      <x:c r="E27" s="2"/>
      <x:c r="F27" s="2"/>
      <x:c r="G27" s="2"/>
      <x:c r="H27" s="2"/>
      <x:c r="I27" s="2"/>
      <x:c r="J27" s="2"/>
      <x:c r="K27" s="2"/>
      <x:c r="L27" s="2"/>
      <x:c r="M27" s="2"/>
      <x:c r="N27" s="2"/>
      <x:c r="O27" s="2"/>
      <x:c r="P27" s="2"/>
      <x:c r="Q27" s="2"/>
      <x:c r="R27" s="2"/>
      <x:c r="S27" s="2"/>
      <x:c r="T27" s="2"/>
      <x:c r="U27" s="2"/>
      <x:c r="V27" s="2"/>
      <x:c r="W27" s="2"/>
      <x:c r="X27" s="2"/>
      <x:c r="Y27" s="2"/>
      <x:c r="Z27" s="2"/>
    </x:row>
    <x:row r="28">
      <x:c r="A28" s="2"/>
      <x:c r="B28" s="2"/>
      <x:c r="C28" s="2" t="str">
        <x:v>October 2025 volume shifted to November 2026</x:v>
      </x:c>
      <x:c r="D28" s="82" t="n">
        <x:v>0.15</x:v>
      </x:c>
      <x:c r="E28" s="2"/>
      <x:c r="F28" s="2"/>
      <x:c r="G28" s="2"/>
      <x:c r="H28" s="2"/>
      <x:c r="I28" s="2"/>
      <x:c r="J28" s="2"/>
      <x:c r="K28" s="2"/>
      <x:c r="L28" s="2"/>
      <x:c r="M28" s="2"/>
      <x:c r="N28" s="2"/>
      <x:c r="O28" s="2"/>
      <x:c r="P28" s="2"/>
      <x:c r="Q28" s="2"/>
      <x:c r="R28" s="2"/>
      <x:c r="S28" s="2"/>
      <x:c r="T28" s="2"/>
      <x:c r="U28" s="2"/>
      <x:c r="V28" s="2"/>
      <x:c r="W28" s="2"/>
      <x:c r="X28" s="2"/>
      <x:c r="Y28" s="2"/>
      <x:c r="Z28" s="2"/>
    </x:row>
    <x:row r="29">
      <x:c r="A29" s="2"/>
      <x:c r="B29" s="2"/>
      <x:c r="C29" s="2" t="str">
        <x:v>PV inventory days: August 2026</x:v>
      </x:c>
      <x:c r="D29" s="85" t="n">
        <x:v>39</x:v>
      </x:c>
      <x:c r="E29" s="2"/>
      <x:c r="F29" s="2"/>
      <x:c r="G29" s="2"/>
      <x:c r="H29" s="2"/>
      <x:c r="I29" s="2"/>
      <x:c r="J29" s="2"/>
      <x:c r="K29" s="2"/>
      <x:c r="L29" s="2"/>
      <x:c r="M29" s="2"/>
      <x:c r="N29" s="2"/>
      <x:c r="O29" s="2"/>
      <x:c r="P29" s="2"/>
      <x:c r="Q29" s="2"/>
      <x:c r="R29" s="2"/>
      <x:c r="S29" s="2"/>
      <x:c r="T29" s="2"/>
      <x:c r="U29" s="2"/>
      <x:c r="V29" s="2"/>
      <x:c r="W29" s="2"/>
      <x:c r="X29" s="2"/>
      <x:c r="Y29" s="2"/>
      <x:c r="Z29" s="2"/>
    </x:row>
    <x:row r="30">
      <x:c r="A30" s="2"/>
      <x:c r="B30" s="2"/>
      <x:c r="C30" s="2" t="str">
        <x:v>PV inventory days: September 2026</x:v>
      </x:c>
      <x:c r="D30" s="85" t="n">
        <x:v>40</x:v>
      </x:c>
      <x:c r="E30" s="2"/>
      <x:c r="F30" s="2"/>
      <x:c r="G30" s="2"/>
      <x:c r="H30" s="2"/>
      <x:c r="I30" s="2"/>
      <x:c r="J30" s="2"/>
      <x:c r="K30" s="2"/>
      <x:c r="L30" s="2"/>
      <x:c r="M30" s="2"/>
      <x:c r="N30" s="2"/>
      <x:c r="O30" s="2"/>
      <x:c r="P30" s="2"/>
      <x:c r="Q30" s="2"/>
      <x:c r="R30" s="2"/>
      <x:c r="S30" s="2"/>
      <x:c r="T30" s="2"/>
      <x:c r="U30" s="2"/>
      <x:c r="V30" s="2"/>
      <x:c r="W30" s="2"/>
      <x:c r="X30" s="2"/>
      <x:c r="Y30" s="2"/>
      <x:c r="Z30" s="2"/>
    </x:row>
    <x:row r="31">
      <x:c r="A31" s="2"/>
      <x:c r="B31" s="2"/>
      <x:c r="C31" s="2" t="str">
        <x:v>PV inventory days: March 2027</x:v>
      </x:c>
      <x:c r="D31" s="85" t="n">
        <x:v>28</x:v>
      </x:c>
      <x:c r="E31" s="2"/>
      <x:c r="F31" s="2"/>
      <x:c r="G31" s="2"/>
      <x:c r="H31" s="2"/>
      <x:c r="I31" s="2"/>
      <x:c r="J31" s="2"/>
      <x:c r="K31" s="2"/>
      <x:c r="L31" s="2"/>
      <x:c r="M31" s="2"/>
      <x:c r="N31" s="2"/>
      <x:c r="O31" s="2"/>
      <x:c r="P31" s="2"/>
      <x:c r="Q31" s="2"/>
      <x:c r="R31" s="2"/>
      <x:c r="S31" s="2"/>
      <x:c r="T31" s="2"/>
      <x:c r="U31" s="2"/>
      <x:c r="V31" s="2"/>
      <x:c r="W31" s="2"/>
      <x:c r="X31" s="2"/>
      <x:c r="Y31" s="2"/>
      <x:c r="Z31" s="2"/>
    </x:row>
    <x:row r="32">
      <x:c r="A32" s="2"/>
      <x:c r="B32" s="2"/>
      <x:c r="C32" s="2" t="str">
        <x:v>PV inventory days: FY28</x:v>
      </x:c>
      <x:c r="D32" s="85" t="n">
        <x:v>28</x:v>
      </x:c>
      <x:c r="E32" s="2"/>
      <x:c r="F32" s="2"/>
      <x:c r="G32" s="2"/>
      <x:c r="H32" s="2"/>
      <x:c r="I32" s="2"/>
      <x:c r="J32" s="2"/>
      <x:c r="K32" s="2"/>
      <x:c r="L32" s="2"/>
      <x:c r="M32" s="2"/>
      <x:c r="N32" s="2"/>
      <x:c r="O32" s="2"/>
      <x:c r="P32" s="2"/>
      <x:c r="Q32" s="2"/>
      <x:c r="R32" s="2"/>
      <x:c r="S32" s="2"/>
      <x:c r="T32" s="2"/>
      <x:c r="U32" s="2"/>
      <x:c r="V32" s="2"/>
      <x:c r="W32" s="2"/>
      <x:c r="X32" s="2"/>
      <x:c r="Y32" s="2"/>
      <x:c r="Z32" s="2"/>
    </x:row>
    <x:row r="33">
      <x:c r="A33" s="2"/>
      <x:c r="B33" s="2"/>
      <x:c r="C33" s="2" t="str">
        <x:v>Days used to translate inventory</x:v>
      </x:c>
      <x:c r="D33" s="85" t="n">
        <x:v>30</x:v>
      </x:c>
      <x:c r="E33" s="2"/>
      <x:c r="F33" s="2"/>
      <x:c r="G33" s="2"/>
      <x:c r="H33" s="2"/>
      <x:c r="I33" s="2"/>
      <x:c r="J33" s="2"/>
      <x:c r="K33" s="2"/>
      <x:c r="L33" s="2"/>
      <x:c r="M33" s="2"/>
      <x:c r="N33" s="2"/>
      <x:c r="O33" s="2"/>
      <x:c r="P33" s="2"/>
      <x:c r="Q33" s="2"/>
      <x:c r="R33" s="2"/>
      <x:c r="S33" s="2"/>
      <x:c r="T33" s="2"/>
      <x:c r="U33" s="2"/>
      <x:c r="V33" s="2"/>
      <x:c r="W33" s="2"/>
      <x:c r="X33" s="2"/>
      <x:c r="Y33" s="2"/>
      <x:c r="Z33" s="2"/>
    </x:row>
    <x:row r="34">
      <x:c r="A34" s="2"/>
      <x:c r="B34" s="2"/>
      <x:c r="C34" s="2"/>
      <x:c r="D34" s="74"/>
      <x:c r="E34" s="2"/>
      <x:c r="F34" s="2"/>
      <x:c r="G34" s="2"/>
      <x:c r="H34" s="2"/>
      <x:c r="I34" s="2"/>
      <x:c r="J34" s="2"/>
      <x:c r="K34" s="2"/>
      <x:c r="L34" s="2"/>
      <x:c r="M34" s="2"/>
      <x:c r="N34" s="2"/>
      <x:c r="O34" s="2"/>
      <x:c r="P34" s="2"/>
      <x:c r="Q34" s="2"/>
      <x:c r="R34" s="2"/>
      <x:c r="S34" s="2"/>
      <x:c r="T34" s="2"/>
      <x:c r="U34" s="2"/>
      <x:c r="V34" s="2"/>
      <x:c r="W34" s="2"/>
      <x:c r="X34" s="2"/>
      <x:c r="Y34" s="2"/>
      <x:c r="Z34" s="2"/>
    </x:row>
    <x:row r="35">
      <x:c r="A35" s="2"/>
      <x:c r="B35" s="2"/>
      <x:c r="C35" s="2"/>
      <x:c r="D35" s="74"/>
      <x:c r="E35" s="2"/>
      <x:c r="F35" s="2"/>
      <x:c r="G35" s="2"/>
      <x:c r="H35" s="2"/>
      <x:c r="I35" s="2"/>
      <x:c r="J35" s="2"/>
      <x:c r="K35" s="2"/>
      <x:c r="L35" s="2"/>
      <x:c r="M35" s="2"/>
      <x:c r="N35" s="2"/>
      <x:c r="O35" s="2"/>
      <x:c r="P35" s="2"/>
      <x:c r="Q35" s="2"/>
      <x:c r="R35" s="2"/>
      <x:c r="S35" s="2"/>
      <x:c r="T35" s="2"/>
      <x:c r="U35" s="2"/>
      <x:c r="V35" s="2"/>
      <x:c r="W35" s="2"/>
      <x:c r="X35" s="2"/>
      <x:c r="Y35" s="2"/>
      <x:c r="Z35" s="2"/>
    </x:row>
    <x:row r="36">
      <x:c r="A36" s="2"/>
      <x:c r="B36" s="2"/>
      <x:c r="C36" s="8" t="str">
        <x:v>Monthly-series reconciliation</x:v>
      </x:c>
      <x:c r="D36" s="75"/>
      <x:c r="E36" s="8"/>
      <x:c r="F36" s="8"/>
      <x:c r="G36" s="2"/>
      <x:c r="H36" s="2"/>
      <x:c r="I36" s="2"/>
      <x:c r="J36" s="2"/>
      <x:c r="K36" s="2"/>
      <x:c r="L36" s="2"/>
      <x:c r="M36" s="2"/>
      <x:c r="N36" s="2"/>
      <x:c r="O36" s="2"/>
      <x:c r="P36" s="2"/>
      <x:c r="Q36" s="2"/>
      <x:c r="R36" s="2"/>
      <x:c r="S36" s="2"/>
      <x:c r="T36" s="2"/>
      <x:c r="U36" s="2"/>
      <x:c r="V36" s="2"/>
      <x:c r="W36" s="2"/>
      <x:c r="X36" s="2"/>
      <x:c r="Y36" s="2"/>
      <x:c r="Z36" s="2"/>
    </x:row>
    <x:row r="37">
      <x:c r="A37" s="2"/>
      <x:c r="B37" s="2"/>
      <x:c r="C37" s="28" t="str">
        <x:v>Control</x:v>
      </x:c>
      <x:c r="D37" s="70" t="str">
        <x:v>Factor</x:v>
      </x:c>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t="str">
        <x:v>FY26 Apr-Aug to latest FADA YTD</x:v>
      </x:c>
      <x:c r="D38" s="86" t="n">
        <x:f>$D$9/SUM(Forecast!$F$19:$F$23)</x:f>
        <x:v>1.0306473532076448</x:v>
      </x:c>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t="str">
        <x:v>FY26 Sep-Mar to latest FADA annual</x:v>
      </x:c>
      <x:c r="D39" s="86" t="n">
        <x:f>1720309/SUM(Forecast!$F$7:$F$11)</x:f>
        <x:v>1.002977491863932</x:v>
      </x:c>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t="str">
        <x:v>FY27 Apr-Aug to latest FADA YTD</x:v>
      </x:c>
      <x:c r="D40" s="86" t="n">
        <x:f>($D$8-1720309)/SUM(Forecast!$F$12:$F$18)</x:f>
        <x:v>0.9889467139501681</x:v>
      </x:c>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8" t="str">
        <x:v>Model notes and sources</x:v>
      </x:c>
      <x:c r="D43" s="8"/>
      <x:c r="E43" s="8"/>
      <x:c r="F43" s="8"/>
      <x:c r="G43" s="8"/>
      <x:c r="H43" s="8"/>
      <x:c r="I43" s="8"/>
      <x:c r="J43" s="8"/>
      <x:c r="K43" s="2"/>
      <x:c r="L43" s="2"/>
      <x:c r="M43" s="2"/>
      <x:c r="N43" s="2"/>
      <x:c r="O43" s="2"/>
      <x:c r="P43" s="2"/>
      <x:c r="Q43" s="2"/>
      <x:c r="R43" s="2"/>
      <x:c r="S43" s="2"/>
      <x:c r="T43" s="2"/>
      <x:c r="U43" s="2"/>
      <x:c r="V43" s="2"/>
      <x:c r="W43" s="2"/>
      <x:c r="X43" s="2"/>
      <x:c r="Y43" s="2"/>
      <x:c r="Z43" s="2"/>
    </x:row>
    <x:row r="44" ht="48" customHeight="1">
      <x:c r="A44" s="2"/>
      <x:c r="B44" s="2"/>
      <x:c r="C44" s="2" t="str">
        <x:v>Method</x:v>
      </x:c>
      <x:c r="D44" s="33" t="str">
        <x:v>Monthly retail is the demand measure. Forecast wholesale equals retail plus the change in dealer inventory. The retail series is reconciled to FADA's latest annual and YTD controls because historical registrations are revised as RTO coverage and backfills change.</x:v>
      </x:c>
      <x:c r="E44" s="2"/>
      <x:c r="F44" s="2"/>
      <x:c r="G44" s="2"/>
      <x:c r="H44" s="2"/>
      <x:c r="I44" s="2"/>
      <x:c r="J44" s="2"/>
      <x:c r="K44" s="2"/>
      <x:c r="L44" s="2"/>
      <x:c r="M44" s="2"/>
      <x:c r="N44" s="2"/>
      <x:c r="O44" s="2"/>
      <x:c r="P44" s="2"/>
      <x:c r="Q44" s="2"/>
      <x:c r="R44" s="2"/>
      <x:c r="S44" s="2"/>
      <x:c r="T44" s="2"/>
      <x:c r="U44" s="2"/>
      <x:c r="V44" s="2"/>
      <x:c r="W44" s="2"/>
      <x:c r="X44" s="2"/>
      <x:c r="Y44" s="2"/>
      <x:c r="Z44" s="2"/>
    </x:row>
    <x:row r="45" ht="48" customHeight="1">
      <x:c r="A45" s="2"/>
      <x:c r="B45" s="2"/>
      <x:c r="C45" s="2" t="str">
        <x:v>Demand debt</x:v>
      </x:c>
      <x:c r="D45" s="33" t="str">
        <x:v>The residual above the no-GST counterfactual and estimated permanent price-elasticity uplift is not directly observable. The editable borrowed-demand share determines how much is repaid in later periods.</x:v>
      </x:c>
      <x:c r="E45" s="2"/>
      <x:c r="F45" s="2"/>
      <x:c r="G45" s="2"/>
      <x:c r="H45" s="2"/>
      <x:c r="I45" s="2"/>
      <x:c r="J45" s="2"/>
      <x:c r="K45" s="2"/>
      <x:c r="L45" s="2"/>
      <x:c r="M45" s="2"/>
      <x:c r="N45" s="2"/>
      <x:c r="O45" s="2"/>
      <x:c r="P45" s="2"/>
      <x:c r="Q45" s="2"/>
      <x:c r="R45" s="2"/>
      <x:c r="S45" s="2"/>
      <x:c r="T45" s="2"/>
      <x:c r="U45" s="2"/>
      <x:c r="V45" s="2"/>
      <x:c r="W45" s="2"/>
      <x:c r="X45" s="2"/>
      <x:c r="Y45" s="2"/>
      <x:c r="Z45" s="2"/>
    </x:row>
    <x:row r="46" ht="48" customHeight="1">
      <x:c r="A46" s="2"/>
      <x:c r="B46" s="2"/>
      <x:c r="C46" s="2" t="str">
        <x:v>Supply</x:v>
      </x:c>
      <x:c r="D46" s="33" t="str">
        <x:v>The supply ceiling is an attainable domestic wholesale run-rate, not announced nameplate capacity. OEM assumptions are editable on the Supply tab.</x:v>
      </x:c>
      <x:c r="E46" s="2"/>
      <x:c r="F46" s="2"/>
      <x:c r="G46" s="2"/>
      <x:c r="H46" s="2"/>
      <x:c r="I46" s="2"/>
      <x:c r="J46" s="2"/>
      <x:c r="K46" s="2"/>
      <x:c r="L46" s="2"/>
      <x:c r="M46" s="2"/>
      <x:c r="N46" s="2"/>
      <x:c r="O46" s="2"/>
      <x:c r="P46" s="2"/>
      <x:c r="Q46" s="2"/>
      <x:c r="R46" s="2"/>
      <x:c r="S46" s="2"/>
      <x:c r="T46" s="2"/>
      <x:c r="U46" s="2"/>
      <x:c r="V46" s="2"/>
      <x:c r="W46" s="2"/>
      <x:c r="X46" s="2"/>
      <x:c r="Y46" s="2"/>
      <x:c r="Z46" s="2"/>
    </x:row>
    <x:row r="47" ht="48" customHeight="1">
      <x:c r="A47" s="2"/>
      <x:c r="B47" s="2"/>
      <x:c r="C47" s="2" t="str">
        <x:v>Use</x:v>
      </x:c>
      <x:c r="D47" s="33" t="str">
        <x:v>Replace the public FADA monthly series with Bernstein/Vahan registrations if available; the model logic and outputs will update automatically.</x:v>
      </x:c>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8" t="str">
        <x:v>Source</x:v>
      </x:c>
      <x:c r="D49" s="36" t="str">
        <x:v>Scope / URL</x:v>
      </x:c>
      <x:c r="E49" s="36"/>
      <x:c r="F49" s="36"/>
      <x:c r="G49" s="36"/>
      <x:c r="H49" s="36"/>
      <x:c r="I49" s="36"/>
      <x:c r="J49" s="29"/>
      <x:c r="K49" s="2"/>
      <x:c r="L49" s="2"/>
      <x:c r="M49" s="2"/>
      <x:c r="N49" s="2"/>
      <x:c r="O49" s="2"/>
      <x:c r="P49" s="2"/>
      <x:c r="Q49" s="2"/>
      <x:c r="R49" s="2"/>
      <x:c r="S49" s="2"/>
      <x:c r="T49" s="2"/>
      <x:c r="U49" s="2"/>
      <x:c r="V49" s="2"/>
      <x:c r="W49" s="2"/>
      <x:c r="X49" s="2"/>
      <x:c r="Y49" s="2"/>
      <x:c r="Z49" s="2"/>
    </x:row>
    <x:row r="50" ht="42" customHeight="1">
      <x:c r="A50" s="2"/>
      <x:c r="B50" s="2"/>
      <x:c r="C50" s="2" t="str">
        <x:v>FADA FY26 and March 2026 retail</x:v>
      </x:c>
      <x:c r="D50" s="38" t="str">
        <x:v>https://fada.in/images/press-release/169d329fc83770FADA%20releases%20FY%202026%20and%20March%202026%20Vehicle%20Retail%20Data.pdf</x:v>
      </x:c>
      <x:c r="E50" s="2"/>
      <x:c r="F50" s="2"/>
      <x:c r="G50" s="2"/>
      <x:c r="H50" s="2"/>
      <x:c r="I50" s="2"/>
      <x:c r="J50" s="2"/>
      <x:c r="K50" s="2"/>
      <x:c r="L50" s="2"/>
      <x:c r="M50" s="2"/>
      <x:c r="N50" s="2"/>
      <x:c r="O50" s="2"/>
      <x:c r="P50" s="2"/>
      <x:c r="Q50" s="2"/>
      <x:c r="R50" s="2"/>
      <x:c r="S50" s="2"/>
      <x:c r="T50" s="2"/>
      <x:c r="U50" s="2"/>
      <x:c r="V50" s="2"/>
      <x:c r="W50" s="2"/>
      <x:c r="X50" s="2"/>
      <x:c r="Y50" s="2"/>
      <x:c r="Z50" s="2"/>
    </x:row>
    <x:row r="51" ht="42" customHeight="1">
      <x:c r="A51" s="2"/>
      <x:c r="B51" s="2"/>
      <x:c r="C51" s="2" t="str">
        <x:v>FADA August 2026 retail and inventory</x:v>
      </x:c>
      <x:c r="D51" s="38" t="str">
        <x:v>https://fada.in/images/press-release/16a9e2ff1d6502FADA%20Releases%20August%202026%20Vehicle%20Retail%20Data.pdf</x:v>
      </x:c>
      <x:c r="E51" s="2"/>
      <x:c r="F51" s="2"/>
      <x:c r="G51" s="2"/>
      <x:c r="H51" s="2"/>
      <x:c r="I51" s="2"/>
      <x:c r="J51" s="2"/>
      <x:c r="K51" s="2"/>
      <x:c r="L51" s="2"/>
      <x:c r="M51" s="2"/>
      <x:c r="N51" s="2"/>
      <x:c r="O51" s="2"/>
      <x:c r="P51" s="2"/>
      <x:c r="Q51" s="2"/>
      <x:c r="R51" s="2"/>
      <x:c r="S51" s="2"/>
      <x:c r="T51" s="2"/>
      <x:c r="U51" s="2"/>
      <x:c r="V51" s="2"/>
      <x:c r="W51" s="2"/>
      <x:c r="X51" s="2"/>
      <x:c r="Y51" s="2"/>
      <x:c r="Z51" s="2"/>
    </x:row>
    <x:row r="52" ht="42" customHeight="1">
      <x:c r="A52" s="2"/>
      <x:c r="B52" s="2"/>
      <x:c r="C52" s="2" t="str">
        <x:v>FADA July 2026 retail</x:v>
      </x:c>
      <x:c r="D52" s="38" t="str">
        <x:v>https://fada.in/images/press-release/16a7445b80cd73FADA%20Releases%20July%202026%20Vehicle%20Retail%20Data.pdf</x:v>
      </x:c>
      <x:c r="E52" s="2"/>
      <x:c r="F52" s="2"/>
      <x:c r="G52" s="2"/>
      <x:c r="H52" s="2"/>
      <x:c r="I52" s="2"/>
      <x:c r="J52" s="2"/>
      <x:c r="K52" s="2"/>
      <x:c r="L52" s="2"/>
      <x:c r="M52" s="2"/>
      <x:c r="N52" s="2"/>
      <x:c r="O52" s="2"/>
      <x:c r="P52" s="2"/>
      <x:c r="Q52" s="2"/>
      <x:c r="R52" s="2"/>
      <x:c r="S52" s="2"/>
      <x:c r="T52" s="2"/>
      <x:c r="U52" s="2"/>
      <x:c r="V52" s="2"/>
      <x:c r="W52" s="2"/>
      <x:c r="X52" s="2"/>
      <x:c r="Y52" s="2"/>
      <x:c r="Z52" s="2"/>
    </x:row>
    <x:row r="53" ht="42" customHeight="1">
      <x:c r="A53" s="2"/>
      <x:c r="B53" s="2"/>
      <x:c r="C53" s="2" t="str">
        <x:v>SIAM FY26 domestic wholesale</x:v>
      </x:c>
      <x:c r="D53" s="38" t="str">
        <x:v>https://www.siam.in/news-%26-updates/press-releases/auto-industry-performance-of-q4-jan--march-2026-fy-2025-26/605</x:v>
      </x:c>
      <x:c r="E53" s="2"/>
      <x:c r="F53" s="2"/>
      <x:c r="G53" s="2"/>
      <x:c r="H53" s="2"/>
      <x:c r="I53" s="2"/>
      <x:c r="J53" s="2"/>
      <x:c r="K53" s="2"/>
      <x:c r="L53" s="2"/>
      <x:c r="M53" s="2"/>
      <x:c r="N53" s="2"/>
      <x:c r="O53" s="2"/>
      <x:c r="P53" s="2"/>
      <x:c r="Q53" s="2"/>
      <x:c r="R53" s="2"/>
      <x:c r="S53" s="2"/>
      <x:c r="T53" s="2"/>
      <x:c r="U53" s="2"/>
      <x:c r="V53" s="2"/>
      <x:c r="W53" s="2"/>
      <x:c r="X53" s="2"/>
      <x:c r="Y53" s="2"/>
      <x:c r="Z53" s="2"/>
    </x:row>
    <x:row r="54" ht="42" customHeight="1">
      <x:c r="A54" s="2"/>
      <x:c r="B54" s="2"/>
      <x:c r="C54" s="2" t="str">
        <x:v>SIAM FY27 monthly wholesale</x:v>
      </x:c>
      <x:c r="D54" s="38" t="str">
        <x:v>https://www.siam.in/news-%26-updates/press-releases</x:v>
      </x:c>
      <x:c r="E54" s="2"/>
      <x:c r="F54" s="2"/>
      <x:c r="G54" s="2"/>
      <x:c r="H54" s="2"/>
      <x:c r="I54" s="2"/>
      <x:c r="J54" s="2"/>
      <x:c r="K54" s="2"/>
      <x:c r="L54" s="2"/>
      <x:c r="M54" s="2"/>
      <x:c r="N54" s="2"/>
      <x:c r="O54" s="2"/>
      <x:c r="P54" s="2"/>
      <x:c r="Q54" s="2"/>
      <x:c r="R54" s="2"/>
      <x:c r="S54" s="2"/>
      <x:c r="T54" s="2"/>
      <x:c r="U54" s="2"/>
      <x:c r="V54" s="2"/>
      <x:c r="W54" s="2"/>
      <x:c r="X54" s="2"/>
      <x:c r="Y54" s="2"/>
      <x:c r="Z54" s="2"/>
    </x:row>
    <x:row r="55" ht="42" customHeight="1">
      <x:c r="A55" s="2"/>
      <x:c r="B55" s="2"/>
      <x:c r="C55" s="2" t="str">
        <x:v>GST Council decision and effective date</x:v>
      </x:c>
      <x:c r="D55" s="38" t="str">
        <x:v>https://www.pib.gov.in/PressReleasePage.aspx?PRID=2163555</x:v>
      </x:c>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5" ySplit="6" topLeftCell="F7" activePane="bottomRight" state="frozen"/>
    </x:sheetView>
  </x:sheetViews>
  <x:sheetFormatPr defaultRowHeight="15"/>
  <x:cols>
    <x:col min="1" max="1" width="2" hidden="0" customWidth="1"/>
    <x:col min="2" max="2" width="2" hidden="0" customWidth="1"/>
    <x:col min="3" max="3" width="12" hidden="0" customWidth="1"/>
    <x:col min="4" max="4" width="9" hidden="0" customWidth="1"/>
    <x:col min="5" max="5" width="11"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x:c r="A2" s="2"/>
      <x:c r="B2" s="2"/>
      <x:c r="C2" s="3" t="str">
        <x:v>Monthly passenger vehicle forecast</x:v>
      </x:c>
      <x:c r="D2" s="2"/>
      <x:c r="E2" s="2"/>
      <x:c r="F2" s="2"/>
      <x:c r="G2" s="2"/>
      <x:c r="H2" s="2"/>
      <x:c r="I2" s="2"/>
      <x:c r="J2" s="2"/>
      <x:c r="K2" s="2"/>
      <x:c r="L2" s="2"/>
      <x:c r="M2" s="2"/>
      <x:c r="N2" s="2"/>
      <x:c r="O2" s="2"/>
      <x:c r="P2" s="2"/>
      <x:c r="Q2" s="2"/>
      <x:c r="R2" s="2"/>
      <x:c r="S2" s="2"/>
      <x:c r="T2" s="2"/>
      <x:c r="U2" s="2"/>
      <x:c r="V2" s="2"/>
      <x:c r="W2" s="2"/>
      <x:c r="X2" s="2"/>
      <x:c r="Y2" s="2"/>
      <x:c r="Z2" s="2"/>
    </x:row>
    <x:row r="3">
      <x:c r="A3" s="2"/>
      <x:c r="B3" s="2"/>
      <x:c r="C3" s="4"/>
      <x:c r="D3" s="4"/>
      <x:c r="E3" s="4"/>
      <x:c r="F3" s="4"/>
      <x:c r="G3" s="4"/>
      <x:c r="H3" s="4"/>
      <x:c r="I3" s="4"/>
      <x:c r="J3" s="4"/>
      <x:c r="K3" s="4"/>
      <x:c r="L3" s="4"/>
      <x:c r="M3" s="4"/>
      <x:c r="N3" s="4"/>
      <x:c r="O3" s="4"/>
      <x:c r="P3" s="4"/>
      <x:c r="Q3" s="4"/>
      <x:c r="R3" s="4"/>
      <x:c r="S3" s="4"/>
      <x:c r="T3" s="4"/>
      <x:c r="U3" s="4"/>
      <x:c r="V3" s="4"/>
      <x:c r="W3" s="4"/>
      <x:c r="X3" s="4"/>
      <x:c r="Y3" s="4"/>
      <x:c r="Z3" s="4"/>
    </x:row>
    <x:row r="4">
      <x:c r="A4" s="2"/>
      <x:c r="B4" s="2"/>
      <x:c r="C4" s="5" t="str">
        <x:v>Retail is the demand measure. Wholesale is reported separately after the change in dealer inventory. Units are vehicles.</x:v>
      </x:c>
      <x:c r="D4" s="5"/>
      <x:c r="E4" s="5"/>
      <x:c r="F4" s="5"/>
      <x:c r="G4" s="5"/>
      <x:c r="H4" s="5"/>
      <x:c r="I4" s="5"/>
      <x:c r="J4" s="5"/>
      <x:c r="K4" s="5"/>
      <x:c r="L4" s="5"/>
      <x:c r="M4" s="5"/>
      <x:c r="N4" s="5"/>
      <x:c r="O4" s="5"/>
      <x:c r="P4" s="5"/>
      <x:c r="Q4" s="5"/>
      <x:c r="R4" s="5"/>
      <x:c r="S4" s="5"/>
      <x:c r="T4" s="5"/>
      <x:c r="U4" s="5"/>
      <x:c r="V4" s="5"/>
      <x:c r="W4" s="5"/>
      <x:c r="X4" s="5"/>
      <x:c r="Y4" s="5"/>
      <x:c r="Z4" s="5"/>
    </x:row>
    <x:row r="5">
      <x:c r="A5" s="2"/>
      <x:c r="B5" s="2"/>
      <x:c r="C5" s="2"/>
      <x:c r="D5" s="2"/>
      <x:c r="E5" s="2"/>
      <x:c r="F5" s="2"/>
      <x:c r="G5" s="2"/>
      <x:c r="H5" s="2"/>
      <x:c r="I5" s="2"/>
      <x:c r="J5" s="2"/>
      <x:c r="K5" s="2"/>
      <x:c r="L5" s="2"/>
      <x:c r="M5" s="2"/>
      <x:c r="N5" s="2"/>
      <x:c r="O5" s="2"/>
      <x:c r="P5" s="2"/>
      <x:c r="Q5" s="2"/>
      <x:c r="R5" s="2"/>
      <x:c r="S5" s="2"/>
      <x:c r="T5" s="2"/>
      <x:c r="U5" s="2"/>
      <x:c r="V5" s="2"/>
      <x:c r="W5" s="2"/>
      <x:c r="X5" s="2"/>
      <x:c r="Y5" s="2"/>
      <x:c r="Z5" s="2"/>
    </x:row>
    <x:row r="6" ht="36" customHeight="1">
      <x:c r="A6" s="2"/>
      <x:c r="B6" s="2"/>
      <x:c r="C6" s="28" t="str">
        <x:v>Month</x:v>
      </x:c>
      <x:c r="D6" s="36" t="str">
        <x:v>FY</x:v>
      </x:c>
      <x:c r="E6" s="36" t="str">
        <x:v>Status</x:v>
      </x:c>
      <x:c r="F6" s="36" t="str">
        <x:v>Published retail</x:v>
      </x:c>
      <x:c r="G6" s="36" t="str">
        <x:v>Reconciliation factor</x:v>
      </x:c>
      <x:c r="H6" s="36" t="str">
        <x:v>Actual retail</x:v>
      </x:c>
      <x:c r="I6" s="36" t="str">
        <x:v>Prior-year retail</x:v>
      </x:c>
      <x:c r="J6" s="36" t="str">
        <x:v>Underlying baseline</x:v>
      </x:c>
      <x:c r="K6" s="36" t="str">
        <x:v>Prior price benefit</x:v>
      </x:c>
      <x:c r="L6" s="36" t="str">
        <x:v>Current price benefit</x:v>
      </x:c>
      <x:c r="M6" s="36" t="str">
        <x:v>Affordability adjustment</x:v>
      </x:c>
      <x:c r="N6" s="36" t="str">
        <x:v>Demand-debt repayment</x:v>
      </x:c>
      <x:c r="O6" s="36" t="str">
        <x:v>Unconstrained retail</x:v>
      </x:c>
      <x:c r="P6" s="36" t="str">
        <x:v>Opening inventory</x:v>
      </x:c>
      <x:c r="Q6" s="36" t="str">
        <x:v>Ending inventory days</x:v>
      </x:c>
      <x:c r="R6" s="36" t="str">
        <x:v>Retail supply ceiling</x:v>
      </x:c>
      <x:c r="S6" s="36" t="str">
        <x:v>Final PV retail</x:v>
      </x:c>
      <x:c r="T6" s="36" t="str">
        <x:v>Ending inventory</x:v>
      </x:c>
      <x:c r="U6" s="36" t="str">
        <x:v>Published wholesale</x:v>
      </x:c>
      <x:c r="V6" s="36" t="str">
        <x:v>PV wholesale</x:v>
      </x:c>
      <x:c r="W6" s="36" t="str">
        <x:v>YoY growth</x:v>
      </x:c>
      <x:c r="X6" s="36" t="str">
        <x:v>2-year CAGR</x:v>
      </x:c>
      <x:c r="Y6" s="29" t="str">
        <x:v>Supply headroom</x:v>
      </x:c>
      <x:c r="Z6" s="2"/>
    </x:row>
    <x:row r="7">
      <x:c r="A7" s="2"/>
      <x:c r="B7" s="2"/>
      <x:c r="C7" s="96" t="n">
        <x:v>45748</x:v>
      </x:c>
      <x:c r="D7" s="97" t="str">
        <x:v>FY:26</x:v>
      </x:c>
      <x:c r="E7" s="97" t="str">
        <x:v>Actual</x:v>
      </x:c>
      <x:c r="F7" s="89" t="n">
        <x:v>363028</x:v>
      </x:c>
      <x:c r="G7" s="86" t="n">
        <x:f>Assumptions!$D$39</x:f>
        <x:v>1.002977491863932</x:v>
      </x:c>
      <x:c r="H7" s="73" t="n">
        <x:f>F7*G7</x:f>
        <x:v>364108.9129163795</x:v>
      </x:c>
      <x:c r="I7" s="73"/>
      <x:c r="J7" s="73"/>
      <x:c r="K7" s="90"/>
      <x:c r="L7" s="90"/>
      <x:c r="M7" s="73"/>
      <x:c r="N7" s="73"/>
      <x:c r="O7" s="73"/>
      <x:c r="P7" s="73"/>
      <x:c r="Q7" s="91"/>
      <x:c r="R7" s="73"/>
      <x:c r="S7" s="71" t="n">
        <x:f>H7</x:f>
        <x:v>364108.9129163795</x:v>
      </x:c>
      <x:c r="T7" s="73"/>
      <x:c r="U7" s="73"/>
      <x:c r="V7" s="73"/>
      <x:c r="W7" s="90"/>
      <x:c r="X7" s="90"/>
      <x:c r="Y7" s="90"/>
      <x:c r="Z7" s="2"/>
    </x:row>
    <x:row r="8">
      <x:c r="A8" s="2"/>
      <x:c r="B8" s="2"/>
      <x:c r="C8" s="96" t="n">
        <x:v>45778</x:v>
      </x:c>
      <x:c r="D8" s="97" t="str">
        <x:v>FY:26</x:v>
      </x:c>
      <x:c r="E8" s="97" t="str">
        <x:v>Actual</x:v>
      </x:c>
      <x:c r="F8" s="89" t="n">
        <x:v>326656</x:v>
      </x:c>
      <x:c r="G8" s="86" t="n">
        <x:f>Assumptions!$D$39</x:f>
        <x:v>1.002977491863932</x:v>
      </x:c>
      <x:c r="H8" s="73" t="n">
        <x:f>F8*G8</x:f>
        <x:v>327628.6155823046</x:v>
      </x:c>
      <x:c r="I8" s="73"/>
      <x:c r="J8" s="73"/>
      <x:c r="K8" s="90"/>
      <x:c r="L8" s="90"/>
      <x:c r="M8" s="73"/>
      <x:c r="N8" s="73"/>
      <x:c r="O8" s="73"/>
      <x:c r="P8" s="73"/>
      <x:c r="Q8" s="91"/>
      <x:c r="R8" s="73"/>
      <x:c r="S8" s="71" t="n">
        <x:f>H8</x:f>
        <x:v>327628.6155823046</x:v>
      </x:c>
      <x:c r="T8" s="73"/>
      <x:c r="U8" s="73"/>
      <x:c r="V8" s="73"/>
      <x:c r="W8" s="90"/>
      <x:c r="X8" s="90"/>
      <x:c r="Y8" s="90"/>
      <x:c r="Z8" s="2"/>
    </x:row>
    <x:row r="9">
      <x:c r="A9" s="2"/>
      <x:c r="B9" s="2"/>
      <x:c r="C9" s="96" t="n">
        <x:v>45809</x:v>
      </x:c>
      <x:c r="D9" s="97" t="str">
        <x:v>FY:26</x:v>
      </x:c>
      <x:c r="E9" s="97" t="str">
        <x:v>Actual</x:v>
      </x:c>
      <x:c r="F9" s="89" t="n">
        <x:v>329376</x:v>
      </x:c>
      <x:c r="G9" s="86" t="n">
        <x:f>Assumptions!$D$39</x:f>
        <x:v>1.002977491863932</x:v>
      </x:c>
      <x:c r="H9" s="73" t="n">
        <x:f>F9*G9</x:f>
        <x:v>330356.7143601745</x:v>
      </x:c>
      <x:c r="I9" s="73"/>
      <x:c r="J9" s="73"/>
      <x:c r="K9" s="90"/>
      <x:c r="L9" s="90"/>
      <x:c r="M9" s="73"/>
      <x:c r="N9" s="73"/>
      <x:c r="O9" s="73"/>
      <x:c r="P9" s="73"/>
      <x:c r="Q9" s="91"/>
      <x:c r="R9" s="73"/>
      <x:c r="S9" s="71" t="n">
        <x:f>H9</x:f>
        <x:v>330356.7143601745</x:v>
      </x:c>
      <x:c r="T9" s="73"/>
      <x:c r="U9" s="73"/>
      <x:c r="V9" s="73"/>
      <x:c r="W9" s="90"/>
      <x:c r="X9" s="90"/>
      <x:c r="Y9" s="90"/>
      <x:c r="Z9" s="2"/>
    </x:row>
    <x:row r="10">
      <x:c r="A10" s="2"/>
      <x:c r="B10" s="2"/>
      <x:c r="C10" s="96" t="n">
        <x:v>45839</x:v>
      </x:c>
      <x:c r="D10" s="97" t="str">
        <x:v>FY:26</x:v>
      </x:c>
      <x:c r="E10" s="97" t="str">
        <x:v>Actual</x:v>
      </x:c>
      <x:c r="F10" s="89" t="n">
        <x:v>349674</x:v>
      </x:c>
      <x:c r="G10" s="86" t="n">
        <x:f>Assumptions!$D$39</x:f>
        <x:v>1.002977491863932</x:v>
      </x:c>
      <x:c r="H10" s="73" t="n">
        <x:f>F10*G10</x:f>
        <x:v>350715.1514900286</x:v>
      </x:c>
      <x:c r="I10" s="73"/>
      <x:c r="J10" s="73"/>
      <x:c r="K10" s="90"/>
      <x:c r="L10" s="90"/>
      <x:c r="M10" s="73"/>
      <x:c r="N10" s="73"/>
      <x:c r="O10" s="73"/>
      <x:c r="P10" s="73"/>
      <x:c r="Q10" s="91"/>
      <x:c r="R10" s="73"/>
      <x:c r="S10" s="71" t="n">
        <x:f>H10</x:f>
        <x:v>350715.1514900286</x:v>
      </x:c>
      <x:c r="T10" s="73"/>
      <x:c r="U10" s="73"/>
      <x:c r="V10" s="73"/>
      <x:c r="W10" s="90"/>
      <x:c r="X10" s="90"/>
      <x:c r="Y10" s="90"/>
      <x:c r="Z10" s="2"/>
    </x:row>
    <x:row r="11">
      <x:c r="A11" s="2"/>
      <x:c r="B11" s="2"/>
      <x:c r="C11" s="96" t="n">
        <x:v>45870</x:v>
      </x:c>
      <x:c r="D11" s="97" t="str">
        <x:v>FY:26</x:v>
      </x:c>
      <x:c r="E11" s="97" t="str">
        <x:v>Actual</x:v>
      </x:c>
      <x:c r="F11" s="89" t="n">
        <x:v>346468</x:v>
      </x:c>
      <x:c r="G11" s="86" t="n">
        <x:f>Assumptions!$D$39</x:f>
        <x:v>1.002977491863932</x:v>
      </x:c>
      <x:c r="H11" s="73" t="n">
        <x:f>F11*G11</x:f>
        <x:v>347499.6056511128</x:v>
      </x:c>
      <x:c r="I11" s="73"/>
      <x:c r="J11" s="73"/>
      <x:c r="K11" s="90"/>
      <x:c r="L11" s="90"/>
      <x:c r="M11" s="73"/>
      <x:c r="N11" s="73"/>
      <x:c r="O11" s="73"/>
      <x:c r="P11" s="73"/>
      <x:c r="Q11" s="91"/>
      <x:c r="R11" s="73"/>
      <x:c r="S11" s="71" t="n">
        <x:f>H11</x:f>
        <x:v>347499.6056511128</x:v>
      </x:c>
      <x:c r="T11" s="73"/>
      <x:c r="U11" s="73"/>
      <x:c r="V11" s="73"/>
      <x:c r="W11" s="90"/>
      <x:c r="X11" s="90"/>
      <x:c r="Y11" s="90"/>
      <x:c r="Z11" s="2"/>
    </x:row>
    <x:row r="12">
      <x:c r="A12" s="2"/>
      <x:c r="B12" s="2"/>
      <x:c r="C12" s="96" t="n">
        <x:v>45901</x:v>
      </x:c>
      <x:c r="D12" s="97" t="str">
        <x:v>FY:26</x:v>
      </x:c>
      <x:c r="E12" s="97" t="str">
        <x:v>Actual</x:v>
      </x:c>
      <x:c r="F12" s="89" t="n">
        <x:v>299369</x:v>
      </x:c>
      <x:c r="G12" s="86" t="n">
        <x:f>Assumptions!$D$40</x:f>
        <x:v>0.9889467139501681</x:v>
      </x:c>
      <x:c r="H12" s="73" t="n">
        <x:f>F12*G12</x:f>
        <x:v>296059.98880854785</x:v>
      </x:c>
      <x:c r="I12" s="73"/>
      <x:c r="J12" s="73"/>
      <x:c r="K12" s="90"/>
      <x:c r="L12" s="90"/>
      <x:c r="M12" s="73"/>
      <x:c r="N12" s="73"/>
      <x:c r="O12" s="73"/>
      <x:c r="P12" s="73"/>
      <x:c r="Q12" s="91"/>
      <x:c r="R12" s="73"/>
      <x:c r="S12" s="71" t="n">
        <x:f>H12</x:f>
        <x:v>296059.98880854785</x:v>
      </x:c>
      <x:c r="T12" s="73"/>
      <x:c r="U12" s="73"/>
      <x:c r="V12" s="73"/>
      <x:c r="W12" s="90"/>
      <x:c r="X12" s="90"/>
      <x:c r="Y12" s="90"/>
      <x:c r="Z12" s="2"/>
    </x:row>
    <x:row r="13">
      <x:c r="A13" s="2"/>
      <x:c r="B13" s="2"/>
      <x:c r="C13" s="96" t="n">
        <x:v>45931</x:v>
      </x:c>
      <x:c r="D13" s="97" t="str">
        <x:v>FY:26</x:v>
      </x:c>
      <x:c r="E13" s="97" t="str">
        <x:v>Actual</x:v>
      </x:c>
      <x:c r="F13" s="89" t="n">
        <x:v>557373</x:v>
      </x:c>
      <x:c r="G13" s="86" t="n">
        <x:f>Assumptions!$D$40</x:f>
        <x:v>0.9889467139501681</x:v>
      </x:c>
      <x:c r="H13" s="73" t="n">
        <x:f>F13*G13</x:f>
        <x:v>551212.196794547</x:v>
      </x:c>
      <x:c r="I13" s="73"/>
      <x:c r="J13" s="73"/>
      <x:c r="K13" s="90"/>
      <x:c r="L13" s="90"/>
      <x:c r="M13" s="73"/>
      <x:c r="N13" s="73"/>
      <x:c r="O13" s="73"/>
      <x:c r="P13" s="73"/>
      <x:c r="Q13" s="91"/>
      <x:c r="R13" s="73"/>
      <x:c r="S13" s="71" t="n">
        <x:f>H13</x:f>
        <x:v>551212.196794547</x:v>
      </x:c>
      <x:c r="T13" s="73"/>
      <x:c r="U13" s="73"/>
      <x:c r="V13" s="73"/>
      <x:c r="W13" s="90"/>
      <x:c r="X13" s="90"/>
      <x:c r="Y13" s="90"/>
      <x:c r="Z13" s="2"/>
    </x:row>
    <x:row r="14">
      <x:c r="A14" s="2"/>
      <x:c r="B14" s="2"/>
      <x:c r="C14" s="96" t="n">
        <x:v>45962</x:v>
      </x:c>
      <x:c r="D14" s="97" t="str">
        <x:v>FY:26</x:v>
      </x:c>
      <x:c r="E14" s="97" t="str">
        <x:v>Actual</x:v>
      </x:c>
      <x:c r="F14" s="89" t="n">
        <x:v>391597</x:v>
      </x:c>
      <x:c r="G14" s="86" t="n">
        <x:f>Assumptions!$D$40</x:f>
        <x:v>0.9889467139501681</x:v>
      </x:c>
      <x:c r="H14" s="73" t="n">
        <x:f>F14*G14</x:f>
        <x:v>387268.566342744</x:v>
      </x:c>
      <x:c r="I14" s="73"/>
      <x:c r="J14" s="73"/>
      <x:c r="K14" s="90"/>
      <x:c r="L14" s="90"/>
      <x:c r="M14" s="73"/>
      <x:c r="N14" s="73"/>
      <x:c r="O14" s="73"/>
      <x:c r="P14" s="73"/>
      <x:c r="Q14" s="91"/>
      <x:c r="R14" s="73"/>
      <x:c r="S14" s="71" t="n">
        <x:f>H14</x:f>
        <x:v>387268.566342744</x:v>
      </x:c>
      <x:c r="T14" s="73"/>
      <x:c r="U14" s="73"/>
      <x:c r="V14" s="73"/>
      <x:c r="W14" s="90"/>
      <x:c r="X14" s="90"/>
      <x:c r="Y14" s="90"/>
      <x:c r="Z14" s="2"/>
    </x:row>
    <x:row r="15">
      <x:c r="A15" s="2"/>
      <x:c r="B15" s="2"/>
      <x:c r="C15" s="96" t="n">
        <x:v>45992</x:v>
      </x:c>
      <x:c r="D15" s="97" t="str">
        <x:v>FY:26</x:v>
      </x:c>
      <x:c r="E15" s="97" t="str">
        <x:v>Actual</x:v>
      </x:c>
      <x:c r="F15" s="89" t="n">
        <x:v>421381</x:v>
      </x:c>
      <x:c r="G15" s="86" t="n">
        <x:f>Assumptions!$D$40</x:f>
        <x:v>0.9889467139501681</x:v>
      </x:c>
      <x:c r="H15" s="73" t="n">
        <x:f>F15*G15</x:f>
        <x:v>416723.3552710358</x:v>
      </x:c>
      <x:c r="I15" s="73"/>
      <x:c r="J15" s="73"/>
      <x:c r="K15" s="90"/>
      <x:c r="L15" s="90"/>
      <x:c r="M15" s="73"/>
      <x:c r="N15" s="73"/>
      <x:c r="O15" s="73"/>
      <x:c r="P15" s="73"/>
      <x:c r="Q15" s="91"/>
      <x:c r="R15" s="73"/>
      <x:c r="S15" s="71" t="n">
        <x:f>H15</x:f>
        <x:v>416723.3552710358</x:v>
      </x:c>
      <x:c r="T15" s="73"/>
      <x:c r="U15" s="73"/>
      <x:c r="V15" s="73"/>
      <x:c r="W15" s="90"/>
      <x:c r="X15" s="90"/>
      <x:c r="Y15" s="90"/>
      <x:c r="Z15" s="2"/>
    </x:row>
    <x:row r="16">
      <x:c r="A16" s="2"/>
      <x:c r="B16" s="2"/>
      <x:c r="C16" s="96" t="n">
        <x:v>46023</x:v>
      </x:c>
      <x:c r="D16" s="97" t="str">
        <x:v>FY:26</x:v>
      </x:c>
      <x:c r="E16" s="97" t="str">
        <x:v>Actual</x:v>
      </x:c>
      <x:c r="F16" s="89" t="n">
        <x:v>513475</x:v>
      </x:c>
      <x:c r="G16" s="86" t="n">
        <x:f>Assumptions!$D$40</x:f>
        <x:v>0.9889467139501681</x:v>
      </x:c>
      <x:c r="H16" s="73" t="n">
        <x:f>F16*G16</x:f>
        <x:v>507799.41394556256</x:v>
      </x:c>
      <x:c r="I16" s="73"/>
      <x:c r="J16" s="73"/>
      <x:c r="K16" s="90"/>
      <x:c r="L16" s="90"/>
      <x:c r="M16" s="73"/>
      <x:c r="N16" s="73"/>
      <x:c r="O16" s="73"/>
      <x:c r="P16" s="73"/>
      <x:c r="Q16" s="91"/>
      <x:c r="R16" s="73"/>
      <x:c r="S16" s="71" t="n">
        <x:f>H16</x:f>
        <x:v>507799.41394556256</x:v>
      </x:c>
      <x:c r="T16" s="73"/>
      <x:c r="U16" s="73"/>
      <x:c r="V16" s="73"/>
      <x:c r="W16" s="90"/>
      <x:c r="X16" s="90"/>
      <x:c r="Y16" s="90"/>
      <x:c r="Z16" s="2"/>
    </x:row>
    <x:row r="17">
      <x:c r="A17" s="2"/>
      <x:c r="B17" s="2"/>
      <x:c r="C17" s="96" t="n">
        <x:v>46054</x:v>
      </x:c>
      <x:c r="D17" s="97" t="str">
        <x:v>FY:26</x:v>
      </x:c>
      <x:c r="E17" s="97" t="str">
        <x:v>Actual</x:v>
      </x:c>
      <x:c r="F17" s="89" t="n">
        <x:v>394768</x:v>
      </x:c>
      <x:c r="G17" s="86" t="n">
        <x:f>Assumptions!$D$40</x:f>
        <x:v>0.9889467139501681</x:v>
      </x:c>
      <x:c r="H17" s="73" t="n">
        <x:f>F17*G17</x:f>
        <x:v>390404.51637267997</x:v>
      </x:c>
      <x:c r="I17" s="73"/>
      <x:c r="J17" s="73"/>
      <x:c r="K17" s="90"/>
      <x:c r="L17" s="90"/>
      <x:c r="M17" s="73"/>
      <x:c r="N17" s="73"/>
      <x:c r="O17" s="73"/>
      <x:c r="P17" s="73"/>
      <x:c r="Q17" s="91"/>
      <x:c r="R17" s="73"/>
      <x:c r="S17" s="71" t="n">
        <x:f>H17</x:f>
        <x:v>390404.51637267997</x:v>
      </x:c>
      <x:c r="T17" s="73"/>
      <x:c r="U17" s="73"/>
      <x:c r="V17" s="73"/>
      <x:c r="W17" s="90"/>
      <x:c r="X17" s="90"/>
      <x:c r="Y17" s="90"/>
      <x:c r="Z17" s="2"/>
    </x:row>
    <x:row r="18">
      <x:c r="A18" s="2"/>
      <x:c r="B18" s="2"/>
      <x:c r="C18" s="96" t="n">
        <x:v>46082</x:v>
      </x:c>
      <x:c r="D18" s="97" t="str">
        <x:v>FY:26</x:v>
      </x:c>
      <x:c r="E18" s="97" t="str">
        <x:v>Actual</x:v>
      </x:c>
      <x:c r="F18" s="89" t="n">
        <x:v>440144</x:v>
      </x:c>
      <x:c r="G18" s="86" t="n">
        <x:f>Assumptions!$D$40</x:f>
        <x:v>0.9889467139501681</x:v>
      </x:c>
      <x:c r="H18" s="73" t="n">
        <x:f>F18*G18</x:f>
        <x:v>435278.96246488276</x:v>
      </x:c>
      <x:c r="I18" s="73"/>
      <x:c r="J18" s="73"/>
      <x:c r="K18" s="90"/>
      <x:c r="L18" s="90"/>
      <x:c r="M18" s="73"/>
      <x:c r="N18" s="73"/>
      <x:c r="O18" s="73"/>
      <x:c r="P18" s="73"/>
      <x:c r="Q18" s="91"/>
      <x:c r="R18" s="73"/>
      <x:c r="S18" s="71" t="n">
        <x:f>H18</x:f>
        <x:v>435278.96246488276</x:v>
      </x:c>
      <x:c r="T18" s="73"/>
      <x:c r="U18" s="73"/>
      <x:c r="V18" s="73"/>
      <x:c r="W18" s="90"/>
      <x:c r="X18" s="90"/>
      <x:c r="Y18" s="90"/>
      <x:c r="Z18" s="2"/>
    </x:row>
    <x:row r="19">
      <x:c r="A19" s="2"/>
      <x:c r="B19" s="2"/>
      <x:c r="C19" s="96" t="n">
        <x:v>46113</x:v>
      </x:c>
      <x:c r="D19" s="97" t="str">
        <x:v>FY:27</x:v>
      </x:c>
      <x:c r="E19" s="97" t="str">
        <x:v>Actual</x:v>
      </x:c>
      <x:c r="F19" s="89" t="n">
        <x:v>407355</x:v>
      </x:c>
      <x:c r="G19" s="86" t="n">
        <x:f>Assumptions!$D$38</x:f>
        <x:v>1.0306473532076448</x:v>
      </x:c>
      <x:c r="H19" s="73" t="n">
        <x:f>F19*G19</x:f>
        <x:v>419839.35256590013</x:v>
      </x:c>
      <x:c r="I19" s="92" t="n">
        <x:f>S7</x:f>
        <x:v>364108.9129163795</x:v>
      </x:c>
      <x:c r="J19" s="73"/>
      <x:c r="K19" s="90"/>
      <x:c r="L19" s="90"/>
      <x:c r="M19" s="73"/>
      <x:c r="N19" s="73"/>
      <x:c r="O19" s="73"/>
      <x:c r="P19" s="73"/>
      <x:c r="Q19" s="91"/>
      <x:c r="R19" s="73"/>
      <x:c r="S19" s="71" t="n">
        <x:f>H19</x:f>
        <x:v>419839.35256590013</x:v>
      </x:c>
      <x:c r="T19" s="73"/>
      <x:c r="U19" s="89" t="n">
        <x:v>437312</x:v>
      </x:c>
      <x:c r="V19" s="73" t="n">
        <x:f>U19</x:f>
        <x:v>437312</x:v>
      </x:c>
      <x:c r="W19" s="90" t="n">
        <x:f>S19/I19-1</x:f>
        <x:v>0.15305980620781878</x:v>
      </x:c>
      <x:c r="X19" s="90"/>
      <x:c r="Y19" s="90"/>
      <x:c r="Z19" s="2"/>
    </x:row>
    <x:row r="20">
      <x:c r="A20" s="2"/>
      <x:c r="B20" s="2"/>
      <x:c r="C20" s="96" t="n">
        <x:v>46143</x:v>
      </x:c>
      <x:c r="D20" s="97" t="str">
        <x:v>FY:27</x:v>
      </x:c>
      <x:c r="E20" s="97" t="str">
        <x:v>Actual</x:v>
      </x:c>
      <x:c r="F20" s="89" t="n">
        <x:v>402591</x:v>
      </x:c>
      <x:c r="G20" s="86" t="n">
        <x:f>Assumptions!$D$38</x:f>
        <x:v>1.0306473532076448</x:v>
      </x:c>
      <x:c r="H20" s="73" t="n">
        <x:f>F20*G20</x:f>
        <x:v>414929.34857521893</x:v>
      </x:c>
      <x:c r="I20" s="92" t="n">
        <x:f>S8</x:f>
        <x:v>327628.6155823046</x:v>
      </x:c>
      <x:c r="J20" s="73"/>
      <x:c r="K20" s="90"/>
      <x:c r="L20" s="90"/>
      <x:c r="M20" s="73"/>
      <x:c r="N20" s="73"/>
      <x:c r="O20" s="73"/>
      <x:c r="P20" s="73"/>
      <x:c r="Q20" s="91"/>
      <x:c r="R20" s="73"/>
      <x:c r="S20" s="71" t="n">
        <x:f>H20</x:f>
        <x:v>414929.34857521893</x:v>
      </x:c>
      <x:c r="T20" s="73"/>
      <x:c r="U20" s="89" t="n">
        <x:v>438854</x:v>
      </x:c>
      <x:c r="V20" s="73" t="n">
        <x:f>U20</x:f>
        <x:v>438854</x:v>
      </x:c>
      <x:c r="W20" s="90" t="n">
        <x:f>S20/I20-1</x:f>
        <x:v>0.26646247867498385</x:v>
      </x:c>
      <x:c r="X20" s="90"/>
      <x:c r="Y20" s="90"/>
      <x:c r="Z20" s="2"/>
    </x:row>
    <x:row r="21">
      <x:c r="A21" s="2"/>
      <x:c r="B21" s="2"/>
      <x:c r="C21" s="96" t="n">
        <x:v>46174</x:v>
      </x:c>
      <x:c r="D21" s="97" t="str">
        <x:v>FY:27</x:v>
      </x:c>
      <x:c r="E21" s="97" t="str">
        <x:v>Actual</x:v>
      </x:c>
      <x:c r="F21" s="89" t="n">
        <x:v>410853</x:v>
      </x:c>
      <x:c r="G21" s="86" t="n">
        <x:f>Assumptions!$D$38</x:f>
        <x:v>1.0306473532076448</x:v>
      </x:c>
      <x:c r="H21" s="73" t="n">
        <x:f>F21*G21</x:f>
        <x:v>423444.55700742046</x:v>
      </x:c>
      <x:c r="I21" s="92" t="n">
        <x:f>S9</x:f>
        <x:v>330356.7143601745</x:v>
      </x:c>
      <x:c r="J21" s="73"/>
      <x:c r="K21" s="90"/>
      <x:c r="L21" s="90"/>
      <x:c r="M21" s="73"/>
      <x:c r="N21" s="73"/>
      <x:c r="O21" s="73"/>
      <x:c r="P21" s="73"/>
      <x:c r="Q21" s="91"/>
      <x:c r="R21" s="73"/>
      <x:c r="S21" s="71" t="n">
        <x:f>H21</x:f>
        <x:v>423444.55700742046</x:v>
      </x:c>
      <x:c r="T21" s="73"/>
      <x:c r="U21" s="89" t="n">
        <x:v>388144</x:v>
      </x:c>
      <x:c r="V21" s="73" t="n">
        <x:f>U21</x:f>
        <x:v>388144</x:v>
      </x:c>
      <x:c r="W21" s="90" t="n">
        <x:f>S21/I21-1</x:f>
        <x:v>0.28177978106949</x:v>
      </x:c>
      <x:c r="X21" s="90"/>
      <x:c r="Y21" s="90"/>
      <x:c r="Z21" s="2"/>
    </x:row>
    <x:row r="22">
      <x:c r="A22" s="2"/>
      <x:c r="B22" s="2"/>
      <x:c r="C22" s="96" t="n">
        <x:v>46204</x:v>
      </x:c>
      <x:c r="D22" s="97" t="str">
        <x:v>FY:27</x:v>
      </x:c>
      <x:c r="E22" s="97" t="str">
        <x:v>Actual</x:v>
      </x:c>
      <x:c r="F22" s="89" t="n">
        <x:v>416555</x:v>
      </x:c>
      <x:c r="G22" s="86" t="n">
        <x:f>Assumptions!$D$38</x:f>
        <x:v>1.0306473532076448</x:v>
      </x:c>
      <x:c r="H22" s="73" t="n">
        <x:f>F22*G22</x:f>
        <x:v>429321.30821541045</x:v>
      </x:c>
      <x:c r="I22" s="92" t="n">
        <x:f>S10</x:f>
        <x:v>350715.1514900286</x:v>
      </x:c>
      <x:c r="J22" s="73"/>
      <x:c r="K22" s="90"/>
      <x:c r="L22" s="90"/>
      <x:c r="M22" s="73"/>
      <x:c r="N22" s="73"/>
      <x:c r="O22" s="73"/>
      <x:c r="P22" s="73"/>
      <x:c r="Q22" s="91"/>
      <x:c r="R22" s="73"/>
      <x:c r="S22" s="71" t="n">
        <x:f>H22</x:f>
        <x:v>429321.30821541045</x:v>
      </x:c>
      <x:c r="T22" s="73"/>
      <x:c r="U22" s="89" t="n">
        <x:v>457810</x:v>
      </x:c>
      <x:c r="V22" s="73" t="n">
        <x:f>U22</x:f>
        <x:v>457810</x:v>
      </x:c>
      <x:c r="W22" s="90" t="n">
        <x:f>S22/I22-1</x:f>
        <x:v>0.2241310544794548</x:v>
      </x:c>
      <x:c r="X22" s="90"/>
      <x:c r="Y22" s="90"/>
      <x:c r="Z22" s="2"/>
    </x:row>
    <x:row r="23">
      <x:c r="A23" s="2"/>
      <x:c r="B23" s="2"/>
      <x:c r="C23" s="96" t="n">
        <x:v>46235</x:v>
      </x:c>
      <x:c r="D23" s="97" t="str">
        <x:v>FY:27</x:v>
      </x:c>
      <x:c r="E23" s="97" t="str">
        <x:v>Actual</x:v>
      </x:c>
      <x:c r="F23" s="89" t="n">
        <x:v>402398</x:v>
      </x:c>
      <x:c r="G23" s="86" t="n">
        <x:f>Assumptions!$D$38</x:f>
        <x:v>1.0306473532076448</x:v>
      </x:c>
      <x:c r="H23" s="73" t="n">
        <x:f>F23*G23</x:f>
        <x:v>414730.43363604986</x:v>
      </x:c>
      <x:c r="I23" s="92" t="n">
        <x:f>S11</x:f>
        <x:v>347499.6056511128</x:v>
      </x:c>
      <x:c r="J23" s="73"/>
      <x:c r="K23" s="90"/>
      <x:c r="L23" s="90"/>
      <x:c r="M23" s="73"/>
      <x:c r="N23" s="73"/>
      <x:c r="O23" s="73"/>
      <x:c r="P23" s="73"/>
      <x:c r="Q23" s="91"/>
      <x:c r="R23" s="73"/>
      <x:c r="S23" s="71" t="n">
        <x:f>H23</x:f>
        <x:v>414730.43363604986</x:v>
      </x:c>
      <x:c r="T23" s="73"/>
      <x:c r="U23" s="89" t="n">
        <x:v>439309</x:v>
      </x:c>
      <x:c r="V23" s="73" t="n">
        <x:f>U23</x:f>
        <x:v>439309</x:v>
      </x:c>
      <x:c r="W23" s="90" t="n">
        <x:f>S23/I23-1</x:f>
        <x:v>0.1934702281430396</x:v>
      </x:c>
      <x:c r="X23" s="90"/>
      <x:c r="Y23" s="90"/>
      <x:c r="Z23" s="2"/>
    </x:row>
    <x:row r="24">
      <x:c r="A24" s="2"/>
      <x:c r="B24" s="2"/>
      <x:c r="C24" s="96" t="n">
        <x:v>46266</x:v>
      </x:c>
      <x:c r="D24" s="97" t="str">
        <x:v>FY:27</x:v>
      </x:c>
      <x:c r="E24" s="97" t="str">
        <x:v>Estimate</x:v>
      </x:c>
      <x:c r="F24" s="73"/>
      <x:c r="G24" s="93"/>
      <x:c r="H24" s="73"/>
      <x:c r="I24" s="92" t="n">
        <x:f>S12</x:f>
        <x:v>296059.98880854785</x:v>
      </x:c>
      <x:c r="J24" s="92" t="n">
        <x:f>Assumptions!$D$27</x:f>
        <x:v>450000</x:v>
      </x:c>
      <x:c r="K24" s="94" t="n">
        <x:v>0</x:v>
      </x:c>
      <x:c r="L24" s="94" t="n">
        <x:v>0</x:v>
      </x:c>
      <x:c r="M24" s="92" t="n">
        <x:v>0</x:v>
      </x:c>
      <x:c r="N24" s="92" t="n">
        <x:v>0</x:v>
      </x:c>
      <x:c r="O24" s="92" t="n">
        <x:f>J24+M24-N24</x:f>
        <x:v>450000</x:v>
      </x:c>
      <x:c r="P24" s="92" t="n">
        <x:f>S23/Assumptions!$D$33*Assumptions!$D$29</x:f>
        <x:v>539149.5637268648</x:v>
      </x:c>
      <x:c r="Q24" s="95" t="n">
        <x:f>Supply!D18</x:f>
        <x:v>40</x:v>
      </x:c>
      <x:c r="R24" s="92" t="n">
        <x:f>(Supply!E18+P24)/(1+Q24/Assumptions!$D$33)</x:f>
        <x:v>456064.09874008497</x:v>
      </x:c>
      <x:c r="S24" s="71" t="n">
        <x:f>MIN(O24,R24)</x:f>
        <x:v>450000</x:v>
      </x:c>
      <x:c r="T24" s="92" t="n">
        <x:f>S24/Assumptions!$D$33*Q24</x:f>
        <x:v>600000</x:v>
      </x:c>
      <x:c r="U24" s="92"/>
      <x:c r="V24" s="92" t="n">
        <x:f>S24+T24-P24</x:f>
        <x:v>510850.43627313524</x:v>
      </x:c>
      <x:c r="W24" s="90" t="n">
        <x:f>S24/I24-1</x:f>
        <x:v>0.5199622272869842</x:v>
      </x:c>
      <x:c r="X24" s="90"/>
      <x:c r="Y24" s="90" t="n">
        <x:f>R24/S24-1</x:f>
        <x:v>0.013475774977966593</x:v>
      </x:c>
      <x:c r="Z24" s="2"/>
    </x:row>
    <x:row r="25">
      <x:c r="A25" s="2"/>
      <x:c r="B25" s="2"/>
      <x:c r="C25" s="96" t="n">
        <x:v>46296</x:v>
      </x:c>
      <x:c r="D25" s="97" t="str">
        <x:v>FY:27</x:v>
      </x:c>
      <x:c r="E25" s="97" t="str">
        <x:v>Forecast</x:v>
      </x:c>
      <x:c r="F25" s="73"/>
      <x:c r="G25" s="93"/>
      <x:c r="H25" s="73"/>
      <x:c r="I25" s="92" t="n">
        <x:f>S13</x:f>
        <x:v>551212.196794547</x:v>
      </x:c>
      <x:c r="J25" s="92" t="n">
        <x:f>I25*(1+Assumptions!$D$15)*(1-Assumptions!$D$28)</x:f>
        <x:v>501327.4929846406</x:v>
      </x:c>
      <x:c r="K25" s="94" t="n">
        <x:f>Assumptions!$D$17</x:f>
        <x:v>0.075</x:v>
      </x:c>
      <x:c r="L25" s="94" t="n">
        <x:f>Assumptions!$D$18</x:f>
        <x:v>0.035</x:v>
      </x:c>
      <x:c r="M25" s="92" t="n">
        <x:f>J25*Assumptions!$D$20*Assumptions!$D$21*(L25-K25)</x:f>
        <x:v>-12031.859831631373</x:v>
      </x:c>
      <x:c r="N25" s="92" t="n">
        <x:f>'Demand Debt'!$D$26*Assumptions!$D$23/6</x:f>
        <x:v>14600.056135533117</x:v>
      </x:c>
      <x:c r="O25" s="92" t="n">
        <x:f>J25+M25-N25</x:f>
        <x:v>474695.5770174761</x:v>
      </x:c>
      <x:c r="P25" s="92" t="n">
        <x:f>T24</x:f>
        <x:v>600000</x:v>
      </x:c>
      <x:c r="Q25" s="95" t="n">
        <x:f>Supply!D19</x:f>
        <x:v>37</x:v>
      </x:c>
      <x:c r="R25" s="92" t="n">
        <x:f>(Supply!E19+P25)/(1+Q25/Assumptions!$D$33)</x:f>
        <x:v>503731.3432835821</x:v>
      </x:c>
      <x:c r="S25" s="71" t="n">
        <x:f>MIN(O25,R25)</x:f>
        <x:v>474695.5770174761</x:v>
      </x:c>
      <x:c r="T25" s="92" t="n">
        <x:f>S25/Assumptions!$D$33*Q25</x:f>
        <x:v>585457.8783215538</x:v>
      </x:c>
      <x:c r="U25" s="92"/>
      <x:c r="V25" s="92" t="n">
        <x:f>S25+T25-P25</x:f>
        <x:v>460153.4553390299</x:v>
      </x:c>
      <x:c r="W25" s="90" t="n">
        <x:f>S25/I25-1</x:f>
        <x:v>-0.1388151790218658</x:v>
      </x:c>
      <x:c r="X25" s="90"/>
      <x:c r="Y25" s="90" t="n">
        <x:f>R25/S25-1</x:f>
        <x:v>0.06116713041342914</x:v>
      </x:c>
      <x:c r="Z25" s="2"/>
    </x:row>
    <x:row r="26">
      <x:c r="A26" s="2"/>
      <x:c r="B26" s="2"/>
      <x:c r="C26" s="96" t="n">
        <x:v>46327</x:v>
      </x:c>
      <x:c r="D26" s="97" t="str">
        <x:v>FY:27</x:v>
      </x:c>
      <x:c r="E26" s="97" t="str">
        <x:v>Forecast</x:v>
      </x:c>
      <x:c r="F26" s="73"/>
      <x:c r="G26" s="93"/>
      <x:c r="H26" s="73"/>
      <x:c r="I26" s="92" t="n">
        <x:f>S14</x:f>
        <x:v>387268.566342744</x:v>
      </x:c>
      <x:c r="J26" s="92" t="n">
        <x:f>I26*(1+Assumptions!$D$15)+S13*(1+Assumptions!$D$15)*Assumptions!$D$28</x:f>
        <x:v>502846.9235722609</x:v>
      </x:c>
      <x:c r="K26" s="94" t="n">
        <x:f>Assumptions!$D$17</x:f>
        <x:v>0.075</x:v>
      </x:c>
      <x:c r="L26" s="94" t="n">
        <x:f>Assumptions!$D$18</x:f>
        <x:v>0.035</x:v>
      </x:c>
      <x:c r="M26" s="92" t="n">
        <x:f>J26*Assumptions!$D$20*Assumptions!$D$21*(L26-K26)</x:f>
        <x:v>-12068.32616573426</x:v>
      </x:c>
      <x:c r="N26" s="92" t="n">
        <x:f>'Demand Debt'!$D$26*Assumptions!$D$23/6</x:f>
        <x:v>14600.056135533117</x:v>
      </x:c>
      <x:c r="O26" s="92" t="n">
        <x:f>J26+M26-N26</x:f>
        <x:v>476178.5412709935</x:v>
      </x:c>
      <x:c r="P26" s="92" t="n">
        <x:f>T25</x:f>
        <x:v>585457.8783215538</x:v>
      </x:c>
      <x:c r="Q26" s="95" t="n">
        <x:f>Supply!D20</x:f>
        <x:v>34</x:v>
      </x:c>
      <x:c r="R26" s="92" t="n">
        <x:f>(Supply!E20+P26)/(1+Q26/Assumptions!$D$33)</x:f>
        <x:v>520527.1304632283</x:v>
      </x:c>
      <x:c r="S26" s="71" t="n">
        <x:f>MIN(O26,R26)</x:f>
        <x:v>476178.5412709935</x:v>
      </x:c>
      <x:c r="T26" s="92" t="n">
        <x:f>S26/Assumptions!$D$33*Q26</x:f>
        <x:v>539669.0134404593</x:v>
      </x:c>
      <x:c r="U26" s="92"/>
      <x:c r="V26" s="92" t="n">
        <x:f>S26+T26-P26</x:f>
        <x:v>430389.6763898989</x:v>
      </x:c>
      <x:c r="W26" s="90" t="n">
        <x:f>S26/I26-1</x:f>
        <x:v>0.22958221414118474</x:v>
      </x:c>
      <x:c r="X26" s="90"/>
      <x:c r="Y26" s="90" t="n">
        <x:f>R26/S26-1</x:f>
        <x:v>0.09313437156126714</x:v>
      </x:c>
      <x:c r="Z26" s="2"/>
    </x:row>
    <x:row r="27">
      <x:c r="A27" s="2"/>
      <x:c r="B27" s="2"/>
      <x:c r="C27" s="96" t="n">
        <x:v>46357</x:v>
      </x:c>
      <x:c r="D27" s="97" t="str">
        <x:v>FY:27</x:v>
      </x:c>
      <x:c r="E27" s="97" t="str">
        <x:v>Forecast</x:v>
      </x:c>
      <x:c r="F27" s="73"/>
      <x:c r="G27" s="93"/>
      <x:c r="H27" s="73"/>
      <x:c r="I27" s="92" t="n">
        <x:f>S15</x:f>
        <x:v>416723.3552710358</x:v>
      </x:c>
      <x:c r="J27" s="92" t="n">
        <x:f>I27*(1+Assumptions!$D$15)</x:f>
        <x:v>445893.99014000833</x:v>
      </x:c>
      <x:c r="K27" s="94" t="n">
        <x:f>Assumptions!$D$17</x:f>
        <x:v>0.075</x:v>
      </x:c>
      <x:c r="L27" s="94" t="n">
        <x:f>Assumptions!$D$18</x:f>
        <x:v>0.035</x:v>
      </x:c>
      <x:c r="M27" s="92" t="n">
        <x:f>J27*Assumptions!$D$20*Assumptions!$D$21*(L27-K27)</x:f>
        <x:v>-10701.4557633602</x:v>
      </x:c>
      <x:c r="N27" s="92" t="n">
        <x:f>'Demand Debt'!$D$26*Assumptions!$D$23/6</x:f>
        <x:v>14600.056135533117</x:v>
      </x:c>
      <x:c r="O27" s="92" t="n">
        <x:f>J27+M27-N27</x:f>
        <x:v>420592.478241115</x:v>
      </x:c>
      <x:c r="P27" s="92" t="n">
        <x:f>T26</x:f>
        <x:v>539669.0134404593</x:v>
      </x:c>
      <x:c r="Q27" s="95" t="n">
        <x:f>Supply!D21</x:f>
        <x:v>32</x:v>
      </x:c>
      <x:c r="R27" s="92" t="n">
        <x:f>(Supply!E21+P27)/(1+Q27/Assumptions!$D$33)</x:f>
        <x:v>515162.4258582868</x:v>
      </x:c>
      <x:c r="S27" s="71" t="n">
        <x:f>MIN(O27,R27)</x:f>
        <x:v>420592.478241115</x:v>
      </x:c>
      <x:c r="T27" s="92" t="n">
        <x:f>S27/Assumptions!$D$33*Q27</x:f>
        <x:v>448631.97679052263</x:v>
      </x:c>
      <x:c r="U27" s="92"/>
      <x:c r="V27" s="92" t="n">
        <x:f>S27+T27-P27</x:f>
        <x:v>329555.4415911783</x:v>
      </x:c>
      <x:c r="W27" s="90" t="n">
        <x:f>S27/I27-1</x:f>
        <x:v>0.009284631929407317</x:v>
      </x:c>
      <x:c r="X27" s="90"/>
      <x:c r="Y27" s="90" t="n">
        <x:f>R27/S27-1</x:f>
        <x:v>0.22484935539659667</x:v>
      </x:c>
      <x:c r="Z27" s="2"/>
    </x:row>
    <x:row r="28">
      <x:c r="A28" s="2"/>
      <x:c r="B28" s="2"/>
      <x:c r="C28" s="96" t="n">
        <x:v>46388</x:v>
      </x:c>
      <x:c r="D28" s="97" t="str">
        <x:v>FY:27</x:v>
      </x:c>
      <x:c r="E28" s="97" t="str">
        <x:v>Forecast</x:v>
      </x:c>
      <x:c r="F28" s="73"/>
      <x:c r="G28" s="93"/>
      <x:c r="H28" s="73"/>
      <x:c r="I28" s="92" t="n">
        <x:f>S16</x:f>
        <x:v>507799.41394556256</x:v>
      </x:c>
      <x:c r="J28" s="92" t="n">
        <x:f>I28*(1+Assumptions!$D$15)</x:f>
        <x:v>543345.3729217519</x:v>
      </x:c>
      <x:c r="K28" s="94" t="n">
        <x:f>Assumptions!$D$17</x:f>
        <x:v>0.075</x:v>
      </x:c>
      <x:c r="L28" s="94" t="n">
        <x:f>Assumptions!$D$18</x:f>
        <x:v>0.035</x:v>
      </x:c>
      <x:c r="M28" s="92" t="n">
        <x:f>J28*Assumptions!$D$20*Assumptions!$D$21*(L28-K28)</x:f>
        <x:v>-13040.288950122045</x:v>
      </x:c>
      <x:c r="N28" s="92" t="n">
        <x:f>'Demand Debt'!$D$26*Assumptions!$D$23/6</x:f>
        <x:v>14600.056135533117</x:v>
      </x:c>
      <x:c r="O28" s="92" t="n">
        <x:f>J28+M28-N28</x:f>
        <x:v>515705.0278360967</x:v>
      </x:c>
      <x:c r="P28" s="92" t="n">
        <x:f>T27</x:f>
        <x:v>448631.97679052263</x:v>
      </x:c>
      <x:c r="Q28" s="95" t="n">
        <x:f>Supply!D22</x:f>
        <x:v>30</x:v>
      </x:c>
      <x:c r="R28" s="92" t="n">
        <x:f>(Supply!E22+P28)/(1+Q28/Assumptions!$D$33)</x:f>
        <x:v>486815.98839526135</x:v>
      </x:c>
      <x:c r="S28" s="71" t="n">
        <x:f>MIN(O28,R28)</x:f>
        <x:v>486815.98839526135</x:v>
      </x:c>
      <x:c r="T28" s="92" t="n">
        <x:f>S28/Assumptions!$D$33*Q28</x:f>
        <x:v>486815.98839526135</x:v>
      </x:c>
      <x:c r="U28" s="92"/>
      <x:c r="V28" s="92" t="n">
        <x:f>S28+T28-P28</x:f>
        <x:v>525000</x:v>
      </x:c>
      <x:c r="W28" s="90" t="n">
        <x:f>S28/I28-1</x:f>
        <x:v>-0.04132227209019723</x:v>
      </x:c>
      <x:c r="X28" s="90"/>
      <x:c r="Y28" s="90" t="n">
        <x:f>R28/S28-1</x:f>
        <x:v>0</x:v>
      </x:c>
      <x:c r="Z28" s="2"/>
    </x:row>
    <x:row r="29">
      <x:c r="A29" s="2"/>
      <x:c r="B29" s="2"/>
      <x:c r="C29" s="96" t="n">
        <x:v>46419</x:v>
      </x:c>
      <x:c r="D29" s="97" t="str">
        <x:v>FY:27</x:v>
      </x:c>
      <x:c r="E29" s="97" t="str">
        <x:v>Forecast</x:v>
      </x:c>
      <x:c r="F29" s="73"/>
      <x:c r="G29" s="93"/>
      <x:c r="H29" s="73"/>
      <x:c r="I29" s="92" t="n">
        <x:f>S17</x:f>
        <x:v>390404.51637267997</x:v>
      </x:c>
      <x:c r="J29" s="92" t="n">
        <x:f>I29*(1+Assumptions!$D$15)</x:f>
        <x:v>417732.83251876757</x:v>
      </x:c>
      <x:c r="K29" s="94" t="n">
        <x:f>Assumptions!$D$17</x:f>
        <x:v>0.075</x:v>
      </x:c>
      <x:c r="L29" s="94" t="n">
        <x:f>Assumptions!$D$18</x:f>
        <x:v>0.035</x:v>
      </x:c>
      <x:c r="M29" s="92" t="n">
        <x:f>J29*Assumptions!$D$20*Assumptions!$D$21*(L29-K29)</x:f>
        <x:v>-10025.58798045042</x:v>
      </x:c>
      <x:c r="N29" s="92" t="n">
        <x:f>'Demand Debt'!$D$26*Assumptions!$D$23/6</x:f>
        <x:v>14600.056135533117</x:v>
      </x:c>
      <x:c r="O29" s="92" t="n">
        <x:f>J29+M29-N29</x:f>
        <x:v>393107.188402784</x:v>
      </x:c>
      <x:c r="P29" s="92" t="n">
        <x:f>T28</x:f>
        <x:v>486815.98839526135</x:v>
      </x:c>
      <x:c r="Q29" s="95" t="n">
        <x:f>Supply!D23</x:f>
        <x:v>29</x:v>
      </x:c>
      <x:c r="R29" s="92" t="n">
        <x:f>(Supply!E23+P29)/(1+Q29/Assumptions!$D$33)</x:f>
        <x:v>514482.70596369216</x:v>
      </x:c>
      <x:c r="S29" s="71" t="n">
        <x:f>MIN(O29,R29)</x:f>
        <x:v>393107.188402784</x:v>
      </x:c>
      <x:c r="T29" s="92" t="n">
        <x:f>S29/Assumptions!$D$33*Q29</x:f>
        <x:v>380003.61545602453</x:v>
      </x:c>
      <x:c r="U29" s="92"/>
      <x:c r="V29" s="92" t="n">
        <x:f>S29+T29-P29</x:f>
        <x:v>286294.81546354713</x:v>
      </x:c>
      <x:c r="W29" s="90" t="n">
        <x:f>S29/I29-1</x:f>
        <x:v>0.006922747859617662</x:v>
      </x:c>
      <x:c r="X29" s="90"/>
      <x:c r="Y29" s="90" t="n">
        <x:f>R29/S29-1</x:f>
        <x:v>0.3087593438676701</x:v>
      </x:c>
      <x:c r="Z29" s="2"/>
    </x:row>
    <x:row r="30">
      <x:c r="A30" s="2"/>
      <x:c r="B30" s="2"/>
      <x:c r="C30" s="96" t="n">
        <x:v>46447</x:v>
      </x:c>
      <x:c r="D30" s="97" t="str">
        <x:v>FY:27</x:v>
      </x:c>
      <x:c r="E30" s="97" t="str">
        <x:v>Forecast</x:v>
      </x:c>
      <x:c r="F30" s="73"/>
      <x:c r="G30" s="93"/>
      <x:c r="H30" s="73"/>
      <x:c r="I30" s="92" t="n">
        <x:f>S18</x:f>
        <x:v>435278.96246488276</x:v>
      </x:c>
      <x:c r="J30" s="92" t="n">
        <x:f>I30*(1+Assumptions!$D$15)</x:f>
        <x:v>465748.4898374246</x:v>
      </x:c>
      <x:c r="K30" s="94" t="n">
        <x:f>Assumptions!$D$17</x:f>
        <x:v>0.075</x:v>
      </x:c>
      <x:c r="L30" s="94" t="n">
        <x:f>Assumptions!$D$18</x:f>
        <x:v>0.035</x:v>
      </x:c>
      <x:c r="M30" s="92" t="n">
        <x:f>J30*Assumptions!$D$20*Assumptions!$D$21*(L30-K30)</x:f>
        <x:v>-11177.963756098188</x:v>
      </x:c>
      <x:c r="N30" s="92" t="n">
        <x:f>'Demand Debt'!$D$26*Assumptions!$D$23/6</x:f>
        <x:v>14600.056135533117</x:v>
      </x:c>
      <x:c r="O30" s="92" t="n">
        <x:f>J30+M30-N30</x:f>
        <x:v>439970.4699457933</x:v>
      </x:c>
      <x:c r="P30" s="92" t="n">
        <x:f>T29</x:f>
        <x:v>380003.61545602453</x:v>
      </x:c>
      <x:c r="Q30" s="95" t="n">
        <x:f>Supply!D24</x:f>
        <x:v>28</x:v>
      </x:c>
      <x:c r="R30" s="92" t="n">
        <x:f>(Supply!E24+P30)/(1+Q30/Assumptions!$D$33)</x:f>
        <x:v>468105.31833932304</x:v>
      </x:c>
      <x:c r="S30" s="71" t="n">
        <x:f>MIN(O30,R30)</x:f>
        <x:v>439970.4699457933</x:v>
      </x:c>
      <x:c r="T30" s="92" t="n">
        <x:f>S30/Assumptions!$D$33*Q30</x:f>
        <x:v>410639.1052827404</x:v>
      </x:c>
      <x:c r="U30" s="92"/>
      <x:c r="V30" s="92" t="n">
        <x:f>S30+T30-P30</x:f>
        <x:v>470605.9597725092</x:v>
      </x:c>
      <x:c r="W30" s="90" t="n">
        <x:f>S30/I30-1</x:f>
        <x:v>0.010778162708217298</x:v>
      </x:c>
      <x:c r="X30" s="90"/>
      <x:c r="Y30" s="90" t="n">
        <x:f>R30/S30-1</x:f>
        <x:v>0.06394712899026178</x:v>
      </x:c>
      <x:c r="Z30" s="2"/>
    </x:row>
    <x:row r="31">
      <x:c r="A31" s="2"/>
      <x:c r="B31" s="2"/>
      <x:c r="C31" s="96" t="n">
        <x:v>46478</x:v>
      </x:c>
      <x:c r="D31" s="97" t="str">
        <x:v>FY:28</x:v>
      </x:c>
      <x:c r="E31" s="97" t="str">
        <x:v>Forecast</x:v>
      </x:c>
      <x:c r="F31" s="73"/>
      <x:c r="G31" s="93"/>
      <x:c r="H31" s="73"/>
      <x:c r="I31" s="92" t="n">
        <x:f>S19</x:f>
        <x:v>419839.35256590013</x:v>
      </x:c>
      <x:c r="J31" s="92" t="n">
        <x:f>I31*(1+Assumptions!$D$16)</x:f>
        <x:v>449228.1072455132</x:v>
      </x:c>
      <x:c r="K31" s="94" t="n">
        <x:f>Assumptions!$D$18</x:f>
        <x:v>0.035</x:v>
      </x:c>
      <x:c r="L31" s="94" t="n">
        <x:f>Assumptions!$D$19</x:f>
        <x:v>0.02</x:v>
      </x:c>
      <x:c r="M31" s="92" t="n">
        <x:f>J31*Assumptions!$D$20*Assumptions!$D$21*(L31-K31)</x:f>
        <x:v>-4043.052965209619</x:v>
      </x:c>
      <x:c r="N31" s="92" t="n">
        <x:f>'Demand Debt'!$D$26*(1-Assumptions!$D$23)*Assumptions!$D$24/12</x:f>
        <x:v>16425.06315247476</x:v>
      </x:c>
      <x:c r="O31" s="92" t="n">
        <x:f>J31+M31-N31</x:f>
        <x:v>428759.9911278288</x:v>
      </x:c>
      <x:c r="P31" s="92" t="n">
        <x:f>T30</x:f>
        <x:v>410639.1052827404</x:v>
      </x:c>
      <x:c r="Q31" s="95" t="n">
        <x:f>Supply!D25</x:f>
        <x:v>28</x:v>
      </x:c>
      <x:c r="R31" s="92" t="n">
        <x:f>(Supply!E25+P31)/(1+Q31/Assumptions!$D$33)</x:f>
        <x:v>512399.53721521056</x:v>
      </x:c>
      <x:c r="S31" s="71" t="n">
        <x:f>MIN(O31,R31)</x:f>
        <x:v>428759.9911278288</x:v>
      </x:c>
      <x:c r="T31" s="92" t="n">
        <x:f>S31/Assumptions!$D$33*Q31</x:f>
        <x:v>400175.99171930685</x:v>
      </x:c>
      <x:c r="U31" s="92"/>
      <x:c r="V31" s="92" t="n">
        <x:f>S31+T31-P31</x:f>
        <x:v>418296.87756439525</x:v>
      </x:c>
      <x:c r="W31" s="90" t="n">
        <x:f>S31/I31-1</x:f>
        <x:v>0.02124774275543495</x:v>
      </x:c>
      <x:c r="X31" s="90" t="n">
        <x:f>SQRT(S31/S7)-1</x:f>
        <x:v>0.0851542398902354</x:v>
      </x:c>
      <x:c r="Y31" s="90" t="n">
        <x:f>R31/S31-1</x:f>
        <x:v>0.19507311273930372</x:v>
      </x:c>
      <x:c r="Z31" s="2"/>
    </x:row>
    <x:row r="32">
      <x:c r="A32" s="2"/>
      <x:c r="B32" s="2"/>
      <x:c r="C32" s="96" t="n">
        <x:v>46508</x:v>
      </x:c>
      <x:c r="D32" s="97" t="str">
        <x:v>FY:28</x:v>
      </x:c>
      <x:c r="E32" s="97" t="str">
        <x:v>Forecast</x:v>
      </x:c>
      <x:c r="F32" s="73"/>
      <x:c r="G32" s="93"/>
      <x:c r="H32" s="73"/>
      <x:c r="I32" s="92" t="n">
        <x:f>S20</x:f>
        <x:v>414929.34857521893</x:v>
      </x:c>
      <x:c r="J32" s="92" t="n">
        <x:f>I32*(1+Assumptions!$D$16)</x:f>
        <x:v>443974.40297548426</x:v>
      </x:c>
      <x:c r="K32" s="94" t="n">
        <x:f>Assumptions!$D$18</x:f>
        <x:v>0.035</x:v>
      </x:c>
      <x:c r="L32" s="94" t="n">
        <x:f>Assumptions!$D$19</x:f>
        <x:v>0.02</x:v>
      </x:c>
      <x:c r="M32" s="92" t="n">
        <x:f>J32*Assumptions!$D$20*Assumptions!$D$21*(L32-K32)</x:f>
        <x:v>-3995.769626779359</x:v>
      </x:c>
      <x:c r="N32" s="92" t="n">
        <x:f>'Demand Debt'!$D$26*(1-Assumptions!$D$23)*Assumptions!$D$24/12</x:f>
        <x:v>16425.06315247476</x:v>
      </x:c>
      <x:c r="O32" s="92" t="n">
        <x:f>J32+M32-N32</x:f>
        <x:v>423553.57019623014</x:v>
      </x:c>
      <x:c r="P32" s="92" t="n">
        <x:f>T31</x:f>
        <x:v>400175.99171930685</x:v>
      </x:c>
      <x:c r="Q32" s="95" t="n">
        <x:f>Supply!D26</x:f>
        <x:v>28</x:v>
      </x:c>
      <x:c r="R32" s="92" t="n">
        <x:f>(Supply!E26+P32)/(1+Q32/Assumptions!$D$33)</x:f>
        <x:v>506987.58192377945</x:v>
      </x:c>
      <x:c r="S32" s="71" t="n">
        <x:f>MIN(O32,R32)</x:f>
        <x:v>423553.57019623014</x:v>
      </x:c>
      <x:c r="T32" s="92" t="n">
        <x:f>S32/Assumptions!$D$33*Q32</x:f>
        <x:v>395316.6655164815</x:v>
      </x:c>
      <x:c r="U32" s="92"/>
      <x:c r="V32" s="92" t="n">
        <x:f>S32+T32-P32</x:f>
        <x:v>418694.24399340485</x:v>
      </x:c>
      <x:c r="W32" s="90" t="n">
        <x:f>S32/I32-1</x:f>
        <x:v>0.02078479541306244</x:v>
      </x:c>
      <x:c r="X32" s="90" t="n">
        <x:f>SQRT(S32/S8)-1</x:f>
        <x:v>0.13700731844283376</x:v>
      </x:c>
      <x:c r="Y32" s="90" t="n">
        <x:f>R32/S32-1</x:f>
        <x:v>0.19698573592212854</x:v>
      </x:c>
      <x:c r="Z32" s="2"/>
    </x:row>
    <x:row r="33">
      <x:c r="A33" s="2"/>
      <x:c r="B33" s="2"/>
      <x:c r="C33" s="96" t="n">
        <x:v>46539</x:v>
      </x:c>
      <x:c r="D33" s="97" t="str">
        <x:v>FY:28</x:v>
      </x:c>
      <x:c r="E33" s="97" t="str">
        <x:v>Forecast</x:v>
      </x:c>
      <x:c r="F33" s="73"/>
      <x:c r="G33" s="93"/>
      <x:c r="H33" s="73"/>
      <x:c r="I33" s="92" t="n">
        <x:f>S21</x:f>
        <x:v>423444.55700742046</x:v>
      </x:c>
      <x:c r="J33" s="92" t="n">
        <x:f>I33*(1+Assumptions!$D$16)</x:f>
        <x:v>453085.6759979399</x:v>
      </x:c>
      <x:c r="K33" s="94" t="n">
        <x:f>Assumptions!$D$18</x:f>
        <x:v>0.035</x:v>
      </x:c>
      <x:c r="L33" s="94" t="n">
        <x:f>Assumptions!$D$19</x:f>
        <x:v>0.02</x:v>
      </x:c>
      <x:c r="M33" s="92" t="n">
        <x:f>J33*Assumptions!$D$20*Assumptions!$D$21*(L33-K33)</x:f>
        <x:v>-4077.7710839814604</x:v>
      </x:c>
      <x:c r="N33" s="92" t="n">
        <x:f>'Demand Debt'!$D$26*(1-Assumptions!$D$23)*Assumptions!$D$24/12</x:f>
        <x:v>16425.06315247476</x:v>
      </x:c>
      <x:c r="O33" s="92" t="n">
        <x:f>J33+M33-N33</x:f>
        <x:v>432582.8417614837</x:v>
      </x:c>
      <x:c r="P33" s="92" t="n">
        <x:f>T32</x:f>
        <x:v>395316.6655164815</x:v>
      </x:c>
      <x:c r="Q33" s="95" t="n">
        <x:f>Supply!D27</x:f>
        <x:v>28</x:v>
      </x:c>
      <x:c r="R33" s="92" t="n">
        <x:f>(Supply!E27+P33)/(1+Q33/Assumptions!$D$33)</x:f>
        <x:v>504474.1373361111</x:v>
      </x:c>
      <x:c r="S33" s="71" t="n">
        <x:f>MIN(O33,R33)</x:f>
        <x:v>432582.8417614837</x:v>
      </x:c>
      <x:c r="T33" s="92" t="n">
        <x:f>S33/Assumptions!$D$33*Q33</x:f>
        <x:v>403743.98564405146</x:v>
      </x:c>
      <x:c r="U33" s="92"/>
      <x:c r="V33" s="92" t="n">
        <x:f>S33+T33-P33</x:f>
        <x:v>441010.16188905365</x:v>
      </x:c>
      <x:c r="W33" s="90" t="n">
        <x:f>S33/I33-1</x:f>
        <x:v>0.02158082942108308</x:v>
      </x:c>
      <x:c r="X33" s="90" t="n">
        <x:f>SQRT(S33/S9)-1</x:f>
        <x:v>0.14430837272133235</x:v>
      </x:c>
      <x:c r="Y33" s="90" t="n">
        <x:f>R33/S33-1</x:f>
        <x:v>0.16619081626512267</x:v>
      </x:c>
      <x:c r="Z33" s="2"/>
    </x:row>
    <x:row r="34">
      <x:c r="A34" s="2"/>
      <x:c r="B34" s="2"/>
      <x:c r="C34" s="96" t="n">
        <x:v>46569</x:v>
      </x:c>
      <x:c r="D34" s="97" t="str">
        <x:v>FY:28</x:v>
      </x:c>
      <x:c r="E34" s="97" t="str">
        <x:v>Forecast</x:v>
      </x:c>
      <x:c r="F34" s="73"/>
      <x:c r="G34" s="93"/>
      <x:c r="H34" s="73"/>
      <x:c r="I34" s="92" t="n">
        <x:f>S22</x:f>
        <x:v>429321.30821541045</x:v>
      </x:c>
      <x:c r="J34" s="92" t="n">
        <x:f>I34*(1+Assumptions!$D$16)</x:f>
        <x:v>459373.7997904892</x:v>
      </x:c>
      <x:c r="K34" s="94" t="n">
        <x:f>Assumptions!$D$18</x:f>
        <x:v>0.035</x:v>
      </x:c>
      <x:c r="L34" s="94" t="n">
        <x:f>Assumptions!$D$19</x:f>
        <x:v>0.02</x:v>
      </x:c>
      <x:c r="M34" s="92" t="n">
        <x:f>J34*Assumptions!$D$20*Assumptions!$D$21*(L34-K34)</x:f>
        <x:v>-4134.364198114404</x:v>
      </x:c>
      <x:c r="N34" s="92" t="n">
        <x:f>'Demand Debt'!$D$26*(1-Assumptions!$D$23)*Assumptions!$D$24/12</x:f>
        <x:v>16425.06315247476</x:v>
      </x:c>
      <x:c r="O34" s="92" t="n">
        <x:f>J34+M34-N34</x:f>
        <x:v>438814.3724399</x:v>
      </x:c>
      <x:c r="P34" s="92" t="n">
        <x:f>T33</x:f>
        <x:v>403743.98564405146</x:v>
      </x:c>
      <x:c r="Q34" s="95" t="n">
        <x:f>Supply!D28</x:f>
        <x:v>28</x:v>
      </x:c>
      <x:c r="R34" s="92" t="n">
        <x:f>(Supply!E28+P34)/(1+Q34/Assumptions!$D$33)</x:f>
        <x:v>508833.09602278523</x:v>
      </x:c>
      <x:c r="S34" s="71" t="n">
        <x:f>MIN(O34,R34)</x:f>
        <x:v>438814.3724399</x:v>
      </x:c>
      <x:c r="T34" s="92" t="n">
        <x:f>S34/Assumptions!$D$33*Q34</x:f>
        <x:v>409560.0809439067</x:v>
      </x:c>
      <x:c r="U34" s="92"/>
      <x:c r="V34" s="92" t="n">
        <x:f>S34+T34-P34</x:f>
        <x:v>444630.4677397552</x:v>
      </x:c>
      <x:c r="W34" s="90" t="n">
        <x:f>S34/I34-1</x:f>
        <x:v>0.022111793761064424</x:v>
      </x:c>
      <x:c r="X34" s="90" t="n">
        <x:f>SQRT(S34/S10)-1</x:f>
        <x:v>0.11856997451774065</x:v>
      </x:c>
      <x:c r="Y34" s="90" t="n">
        <x:f>R34/S34-1</x:f>
        <x:v>0.15956342358060516</x:v>
      </x:c>
      <x:c r="Z34" s="2"/>
    </x:row>
    <x:row r="35">
      <x:c r="A35" s="2"/>
      <x:c r="B35" s="2"/>
      <x:c r="C35" s="96" t="n">
        <x:v>46600</x:v>
      </x:c>
      <x:c r="D35" s="97" t="str">
        <x:v>FY:28</x:v>
      </x:c>
      <x:c r="E35" s="97" t="str">
        <x:v>Forecast</x:v>
      </x:c>
      <x:c r="F35" s="73"/>
      <x:c r="G35" s="93"/>
      <x:c r="H35" s="73"/>
      <x:c r="I35" s="92" t="n">
        <x:f>S23</x:f>
        <x:v>414730.43363604986</x:v>
      </x:c>
      <x:c r="J35" s="92" t="n">
        <x:f>I35*(1+Assumptions!$D$16)</x:f>
        <x:v>443761.5639905734</x:v>
      </x:c>
      <x:c r="K35" s="94" t="n">
        <x:f>Assumptions!$D$18</x:f>
        <x:v>0.035</x:v>
      </x:c>
      <x:c r="L35" s="94" t="n">
        <x:f>Assumptions!$D$19</x:f>
        <x:v>0.02</x:v>
      </x:c>
      <x:c r="M35" s="92" t="n">
        <x:f>J35*Assumptions!$D$20*Assumptions!$D$21*(L35-K35)</x:f>
        <x:v>-3993.8540759151615</x:v>
      </x:c>
      <x:c r="N35" s="92" t="n">
        <x:f>'Demand Debt'!$D$26*(1-Assumptions!$D$23)*Assumptions!$D$24/12</x:f>
        <x:v>16425.06315247476</x:v>
      </x:c>
      <x:c r="O35" s="92" t="n">
        <x:f>J35+M35-N35</x:f>
        <x:v>423342.64676218346</x:v>
      </x:c>
      <x:c r="P35" s="92" t="n">
        <x:f>T34</x:f>
        <x:v>409560.0809439067</x:v>
      </x:c>
      <x:c r="Q35" s="95" t="n">
        <x:f>Supply!D29</x:f>
        <x:v>28</x:v>
      </x:c>
      <x:c r="R35" s="92" t="n">
        <x:f>(Supply!E29+P35)/(1+Q35/Assumptions!$D$33)</x:f>
        <x:v>511841.42117788276</x:v>
      </x:c>
      <x:c r="S35" s="71" t="n">
        <x:f>MIN(O35,R35)</x:f>
        <x:v>423342.64676218346</x:v>
      </x:c>
      <x:c r="T35" s="92" t="n">
        <x:f>S35/Assumptions!$D$33*Q35</x:f>
        <x:v>395119.8036447046</x:v>
      </x:c>
      <x:c r="U35" s="92"/>
      <x:c r="V35" s="92" t="n">
        <x:f>S35+T35-P35</x:f>
        <x:v>408902.36946298135</x:v>
      </x:c>
      <x:c r="W35" s="90" t="n">
        <x:f>S35/I35-1</x:f>
        <x:v>0.02076580937315864</x:v>
      </x:c>
      <x:c r="X35" s="90" t="n">
        <x:f>SQRT(S35/S11)-1</x:f>
        <x:v>0.10374526200260448</x:v>
      </x:c>
      <x:c r="Y35" s="90" t="n">
        <x:f>R35/S35-1</x:f>
        <x:v>0.20904762393431686</x:v>
      </x:c>
      <x:c r="Z35" s="2"/>
    </x:row>
    <x:row r="36">
      <x:c r="A36" s="2"/>
      <x:c r="B36" s="2"/>
      <x:c r="C36" s="96" t="n">
        <x:v>46631</x:v>
      </x:c>
      <x:c r="D36" s="97" t="str">
        <x:v>FY:28</x:v>
      </x:c>
      <x:c r="E36" s="97" t="str">
        <x:v>Forecast</x:v>
      </x:c>
      <x:c r="F36" s="73"/>
      <x:c r="G36" s="93"/>
      <x:c r="H36" s="73"/>
      <x:c r="I36" s="92" t="n">
        <x:f>S24</x:f>
        <x:v>450000</x:v>
      </x:c>
      <x:c r="J36" s="92" t="n">
        <x:f>I36*(1+Assumptions!$D$16)</x:f>
        <x:v>481500</x:v>
      </x:c>
      <x:c r="K36" s="94" t="n">
        <x:f>Assumptions!$D$18</x:f>
        <x:v>0.035</x:v>
      </x:c>
      <x:c r="L36" s="94" t="n">
        <x:f>Assumptions!$D$19</x:f>
        <x:v>0.02</x:v>
      </x:c>
      <x:c r="M36" s="92" t="n">
        <x:f>J36*Assumptions!$D$20*Assumptions!$D$21*(L36-K36)</x:f>
        <x:v>-4333.500000000001</x:v>
      </x:c>
      <x:c r="N36" s="92" t="n">
        <x:f>'Demand Debt'!$D$26*(1-Assumptions!$D$23)*Assumptions!$D$24/12</x:f>
        <x:v>16425.06315247476</x:v>
      </x:c>
      <x:c r="O36" s="92" t="n">
        <x:f>J36+M36-N36</x:f>
        <x:v>460741.43684752524</x:v>
      </x:c>
      <x:c r="P36" s="92" t="n">
        <x:f>T35</x:f>
        <x:v>395119.8036447046</x:v>
      </x:c>
      <x:c r="Q36" s="95" t="n">
        <x:f>Supply!D30</x:f>
        <x:v>28</x:v>
      </x:c>
      <x:c r="R36" s="92" t="n">
        <x:f>(Supply!E30+P36)/(1+Q36/Assumptions!$D$33)</x:f>
        <x:v>504372.31223001966</x:v>
      </x:c>
      <x:c r="S36" s="71" t="n">
        <x:f>MIN(O36,R36)</x:f>
        <x:v>460741.43684752524</x:v>
      </x:c>
      <x:c r="T36" s="92" t="n">
        <x:f>S36/Assumptions!$D$33*Q36</x:f>
        <x:v>430025.3410576902</x:v>
      </x:c>
      <x:c r="U36" s="92"/>
      <x:c r="V36" s="92" t="n">
        <x:f>S36+T36-P36</x:f>
        <x:v>495646.97426051093</x:v>
      </x:c>
      <x:c r="W36" s="90" t="n">
        <x:f>S36/I36-1</x:f>
        <x:v>0.02386985966116728</x:v>
      </x:c>
      <x:c r="X36" s="90" t="n">
        <x:f>SQRT(S36/S12)-1</x:f>
        <x:v>0.24749489471604647</x:v>
      </x:c>
      <x:c r="Y36" s="90" t="n">
        <x:f>R36/S36-1</x:f>
        <x:v>0.09469709449409325</x:v>
      </x:c>
      <x:c r="Z36" s="2"/>
    </x:row>
    <x:row r="37">
      <x:c r="A37" s="2"/>
      <x:c r="B37" s="2"/>
      <x:c r="C37" s="96" t="n">
        <x:v>46661</x:v>
      </x:c>
      <x:c r="D37" s="97" t="str">
        <x:v>FY:28</x:v>
      </x:c>
      <x:c r="E37" s="97" t="str">
        <x:v>Forecast</x:v>
      </x:c>
      <x:c r="F37" s="73"/>
      <x:c r="G37" s="93"/>
      <x:c r="H37" s="73"/>
      <x:c r="I37" s="92" t="n">
        <x:f>S25</x:f>
        <x:v>474695.5770174761</x:v>
      </x:c>
      <x:c r="J37" s="92" t="n">
        <x:f>I37*(1+Assumptions!$D$16)</x:f>
        <x:v>507924.26740869944</x:v>
      </x:c>
      <x:c r="K37" s="94" t="n">
        <x:f>Assumptions!$D$18</x:f>
        <x:v>0.035</x:v>
      </x:c>
      <x:c r="L37" s="94" t="n">
        <x:f>Assumptions!$D$19</x:f>
        <x:v>0.02</x:v>
      </x:c>
      <x:c r="M37" s="92" t="n">
        <x:f>J37*Assumptions!$D$20*Assumptions!$D$21*(L37-K37)</x:f>
        <x:v>-4571.318406678296</x:v>
      </x:c>
      <x:c r="N37" s="92" t="n">
        <x:f>'Demand Debt'!$D$26*(1-Assumptions!$D$23)*Assumptions!$D$24/12</x:f>
        <x:v>16425.06315247476</x:v>
      </x:c>
      <x:c r="O37" s="92" t="n">
        <x:f>J37+M37-N37</x:f>
        <x:v>486927.8858495464</x:v>
      </x:c>
      <x:c r="P37" s="92" t="n">
        <x:f>T36</x:f>
        <x:v>430025.3410576902</x:v>
      </x:c>
      <x:c r="Q37" s="95" t="n">
        <x:f>Supply!D31</x:f>
        <x:v>28</x:v>
      </x:c>
      <x:c r="R37" s="92" t="n">
        <x:f>(Supply!E31+P37)/(1+Q37/Assumptions!$D$33)</x:f>
        <x:v>522426.90054708114</x:v>
      </x:c>
      <x:c r="S37" s="71" t="n">
        <x:f>MIN(O37,R37)</x:f>
        <x:v>486927.8858495464</x:v>
      </x:c>
      <x:c r="T37" s="92" t="n">
        <x:f>S37/Assumptions!$D$33*Q37</x:f>
        <x:v>454466.02679290995</x:v>
      </x:c>
      <x:c r="U37" s="92"/>
      <x:c r="V37" s="92" t="n">
        <x:f>S37+T37-P37</x:f>
        <x:v>511368.57158476615</x:v>
      </x:c>
      <x:c r="W37" s="90" t="n">
        <x:f>S37/I37-1</x:f>
        <x:v>0.02576874406314511</x:v>
      </x:c>
      <x:c r="X37" s="90" t="n">
        <x:f>SQRT(S37/S13)-1</x:f>
        <x:v>-0.060118905275254875</x:v>
      </x:c>
      <x:c r="Y37" s="90" t="n">
        <x:f>R37/S37-1</x:f>
        <x:v>0.07290404950950657</x:v>
      </x:c>
      <x:c r="Z37" s="2"/>
    </x:row>
    <x:row r="38">
      <x:c r="A38" s="2"/>
      <x:c r="B38" s="2"/>
      <x:c r="C38" s="96" t="n">
        <x:v>46692</x:v>
      </x:c>
      <x:c r="D38" s="97" t="str">
        <x:v>FY:28</x:v>
      </x:c>
      <x:c r="E38" s="97" t="str">
        <x:v>Forecast</x:v>
      </x:c>
      <x:c r="F38" s="73"/>
      <x:c r="G38" s="93"/>
      <x:c r="H38" s="73"/>
      <x:c r="I38" s="92" t="n">
        <x:f>S26</x:f>
        <x:v>476178.5412709935</x:v>
      </x:c>
      <x:c r="J38" s="92" t="n">
        <x:f>I38*(1+Assumptions!$D$16)</x:f>
        <x:v>509511.039159963</x:v>
      </x:c>
      <x:c r="K38" s="94" t="n">
        <x:f>Assumptions!$D$18</x:f>
        <x:v>0.035</x:v>
      </x:c>
      <x:c r="L38" s="94" t="n">
        <x:f>Assumptions!$D$19</x:f>
        <x:v>0.02</x:v>
      </x:c>
      <x:c r="M38" s="92" t="n">
        <x:f>J38*Assumptions!$D$20*Assumptions!$D$21*(L38-K38)</x:f>
        <x:v>-4585.599352439668</x:v>
      </x:c>
      <x:c r="N38" s="92" t="n">
        <x:f>'Demand Debt'!$D$26*(1-Assumptions!$D$23)*Assumptions!$D$24/12</x:f>
        <x:v>16425.06315247476</x:v>
      </x:c>
      <x:c r="O38" s="92" t="n">
        <x:f>J38+M38-N38</x:f>
        <x:v>488500.3766550486</x:v>
      </x:c>
      <x:c r="P38" s="92" t="n">
        <x:f>T37</x:f>
        <x:v>454466.02679290995</x:v>
      </x:c>
      <x:c r="Q38" s="95" t="n">
        <x:f>Supply!D32</x:f>
        <x:v>28</x:v>
      </x:c>
      <x:c r="R38" s="92" t="n">
        <x:f>(Supply!E32+P38)/(1+Q38/Assumptions!$D$33)</x:f>
        <x:v>535068.6345480569</x:v>
      </x:c>
      <x:c r="S38" s="71" t="n">
        <x:f>MIN(O38,R38)</x:f>
        <x:v>488500.3766550486</x:v>
      </x:c>
      <x:c r="T38" s="92" t="n">
        <x:f>S38/Assumptions!$D$33*Q38</x:f>
        <x:v>455933.68487804534</x:v>
      </x:c>
      <x:c r="U38" s="92"/>
      <x:c r="V38" s="92" t="n">
        <x:f>S38+T38-P38</x:f>
        <x:v>489968.03474018397</x:v>
      </x:c>
      <x:c r="W38" s="90" t="n">
        <x:f>S38/I38-1</x:f>
        <x:v>0.0258765028578698</x:v>
      </x:c>
      <x:c r="X38" s="90" t="n">
        <x:f>SQRT(S38/S14)-1</x:f>
        <x:v>0.12312043068381362</x:v>
      </x:c>
      <x:c r="Y38" s="90" t="n">
        <x:f>R38/S38-1</x:f>
        <x:v>0.09532901123204707</x:v>
      </x:c>
      <x:c r="Z38" s="2"/>
    </x:row>
    <x:row r="39">
      <x:c r="A39" s="2"/>
      <x:c r="B39" s="2"/>
      <x:c r="C39" s="96" t="n">
        <x:v>46722</x:v>
      </x:c>
      <x:c r="D39" s="97" t="str">
        <x:v>FY:28</x:v>
      </x:c>
      <x:c r="E39" s="97" t="str">
        <x:v>Forecast</x:v>
      </x:c>
      <x:c r="F39" s="73"/>
      <x:c r="G39" s="93"/>
      <x:c r="H39" s="73"/>
      <x:c r="I39" s="92" t="n">
        <x:f>S27</x:f>
        <x:v>420592.478241115</x:v>
      </x:c>
      <x:c r="J39" s="92" t="n">
        <x:f>I39*(1+Assumptions!$D$16)</x:f>
        <x:v>450033.95171799307</x:v>
      </x:c>
      <x:c r="K39" s="94" t="n">
        <x:f>Assumptions!$D$18</x:f>
        <x:v>0.035</x:v>
      </x:c>
      <x:c r="L39" s="94" t="n">
        <x:f>Assumptions!$D$19</x:f>
        <x:v>0.02</x:v>
      </x:c>
      <x:c r="M39" s="92" t="n">
        <x:f>J39*Assumptions!$D$20*Assumptions!$D$21*(L39-K39)</x:f>
        <x:v>-4050.3055654619384</x:v>
      </x:c>
      <x:c r="N39" s="92" t="n">
        <x:f>'Demand Debt'!$D$26*(1-Assumptions!$D$23)*Assumptions!$D$24/12</x:f>
        <x:v>16425.06315247476</x:v>
      </x:c>
      <x:c r="O39" s="92" t="n">
        <x:f>J39+M39-N39</x:f>
        <x:v>429558.5830000564</x:v>
      </x:c>
      <x:c r="P39" s="92" t="n">
        <x:f>T38</x:f>
        <x:v>455933.68487804534</x:v>
      </x:c>
      <x:c r="Q39" s="95" t="n">
        <x:f>Supply!D33</x:f>
        <x:v>28</x:v>
      </x:c>
      <x:c r="R39" s="92" t="n">
        <x:f>(Supply!E33+P39)/(1+Q39/Assumptions!$D$33)</x:f>
        <x:v>535827.7680403683</x:v>
      </x:c>
      <x:c r="S39" s="71" t="n">
        <x:f>MIN(O39,R39)</x:f>
        <x:v>429558.5830000564</x:v>
      </x:c>
      <x:c r="T39" s="92" t="n">
        <x:f>S39/Assumptions!$D$33*Q39</x:f>
        <x:v>400921.3441333859</x:v>
      </x:c>
      <x:c r="U39" s="92"/>
      <x:c r="V39" s="92" t="n">
        <x:f>S39+T39-P39</x:f>
        <x:v>374546.242255397</x:v>
      </x:c>
      <x:c r="W39" s="90" t="n">
        <x:f>S39/I39-1</x:f>
        <x:v>0.021317796258356614</x:v>
      </x:c>
      <x:c r="X39" s="90" t="n">
        <x:f>SQRT(S39/S15)-1</x:f>
        <x:v>0.015283387079473965</x:v>
      </x:c>
      <x:c r="Y39" s="90" t="n">
        <x:f>R39/S39-1</x:f>
        <x:v>0.2473915997630014</x:v>
      </x:c>
      <x:c r="Z39" s="2"/>
    </x:row>
    <x:row r="40">
      <x:c r="A40" s="2"/>
      <x:c r="B40" s="2"/>
      <x:c r="C40" s="96" t="n">
        <x:v>46753</x:v>
      </x:c>
      <x:c r="D40" s="97" t="str">
        <x:v>FY:28</x:v>
      </x:c>
      <x:c r="E40" s="97" t="str">
        <x:v>Forecast</x:v>
      </x:c>
      <x:c r="F40" s="73"/>
      <x:c r="G40" s="93"/>
      <x:c r="H40" s="73"/>
      <x:c r="I40" s="92" t="n">
        <x:f>S28</x:f>
        <x:v>486815.98839526135</x:v>
      </x:c>
      <x:c r="J40" s="92" t="n">
        <x:f>I40*(1+Assumptions!$D$16)</x:f>
        <x:v>520893.10758292966</x:v>
      </x:c>
      <x:c r="K40" s="94" t="n">
        <x:f>Assumptions!$D$18</x:f>
        <x:v>0.035</x:v>
      </x:c>
      <x:c r="L40" s="94" t="n">
        <x:f>Assumptions!$D$19</x:f>
        <x:v>0.02</x:v>
      </x:c>
      <x:c r="M40" s="92" t="n">
        <x:f>J40*Assumptions!$D$20*Assumptions!$D$21*(L40-K40)</x:f>
        <x:v>-4688.037968246369</x:v>
      </x:c>
      <x:c r="N40" s="92" t="n">
        <x:f>'Demand Debt'!$D$26*(1-Assumptions!$D$23)*Assumptions!$D$24/12</x:f>
        <x:v>16425.06315247476</x:v>
      </x:c>
      <x:c r="O40" s="92" t="n">
        <x:f>J40+M40-N40</x:f>
        <x:v>499780.0064622085</x:v>
      </x:c>
      <x:c r="P40" s="92" t="n">
        <x:f>T39</x:f>
        <x:v>400921.3441333859</x:v>
      </x:c>
      <x:c r="Q40" s="95" t="n">
        <x:f>Supply!D34</x:f>
        <x:v>28</x:v>
      </x:c>
      <x:c r="R40" s="92" t="n">
        <x:f>(Supply!E34+P40)/(1+Q40/Assumptions!$D$33)</x:f>
        <x:v>507373.10903451</x:v>
      </x:c>
      <x:c r="S40" s="71" t="n">
        <x:f>MIN(O40,R40)</x:f>
        <x:v>499780.0064622085</x:v>
      </x:c>
      <x:c r="T40" s="92" t="n">
        <x:f>S40/Assumptions!$D$33*Q40</x:f>
        <x:v>466461.33936472796</x:v>
      </x:c>
      <x:c r="U40" s="92"/>
      <x:c r="V40" s="92" t="n">
        <x:f>S40+T40-P40</x:f>
        <x:v>565320.0016935505</x:v>
      </x:c>
      <x:c r="W40" s="90" t="n">
        <x:f>S40/I40-1</x:f>
        <x:v>0.0266302224577335</x:v>
      </x:c>
      <x:c r="X40" s="90" t="n">
        <x:f>SQRT(S40/S16)-1</x:f>
        <x:v>-0.00792765935678097</x:v>
      </x:c>
      <x:c r="Y40" s="90" t="n">
        <x:f>R40/S40-1</x:f>
        <x:v>0.01519288981976441</x:v>
      </x:c>
      <x:c r="Z40" s="2"/>
    </x:row>
    <x:row r="41">
      <x:c r="A41" s="2"/>
      <x:c r="B41" s="2"/>
      <x:c r="C41" s="96" t="n">
        <x:v>46784</x:v>
      </x:c>
      <x:c r="D41" s="97" t="str">
        <x:v>FY:28</x:v>
      </x:c>
      <x:c r="E41" s="97" t="str">
        <x:v>Forecast</x:v>
      </x:c>
      <x:c r="F41" s="73"/>
      <x:c r="G41" s="93"/>
      <x:c r="H41" s="73"/>
      <x:c r="I41" s="92" t="n">
        <x:f>S29</x:f>
        <x:v>393107.188402784</x:v>
      </x:c>
      <x:c r="J41" s="92" t="n">
        <x:f>I41*(1+Assumptions!$D$16)</x:f>
        <x:v>420624.6915909789</x:v>
      </x:c>
      <x:c r="K41" s="94" t="n">
        <x:f>Assumptions!$D$18</x:f>
        <x:v>0.035</x:v>
      </x:c>
      <x:c r="L41" s="94" t="n">
        <x:f>Assumptions!$D$19</x:f>
        <x:v>0.02</x:v>
      </x:c>
      <x:c r="M41" s="92" t="n">
        <x:f>J41*Assumptions!$D$20*Assumptions!$D$21*(L41-K41)</x:f>
        <x:v>-3785.6222243188113</x:v>
      </x:c>
      <x:c r="N41" s="92" t="n">
        <x:f>'Demand Debt'!$D$26*(1-Assumptions!$D$23)*Assumptions!$D$24/12</x:f>
        <x:v>16425.06315247476</x:v>
      </x:c>
      <x:c r="O41" s="92" t="n">
        <x:f>J41+M41-N41</x:f>
        <x:v>400414.0062141853</x:v>
      </x:c>
      <x:c r="P41" s="92" t="n">
        <x:f>T40</x:f>
        <x:v>466461.33936472796</x:v>
      </x:c>
      <x:c r="Q41" s="95" t="n">
        <x:f>Supply!D35</x:f>
        <x:v>28</x:v>
      </x:c>
      <x:c r="R41" s="92" t="n">
        <x:f>(Supply!E35+P41)/(1+Q41/Assumptions!$D$33)</x:f>
        <x:v>541273.1065679627</x:v>
      </x:c>
      <x:c r="S41" s="71" t="n">
        <x:f>MIN(O41,R41)</x:f>
        <x:v>400414.0062141853</x:v>
      </x:c>
      <x:c r="T41" s="92" t="n">
        <x:f>S41/Assumptions!$D$33*Q41</x:f>
        <x:v>373719.7391332396</x:v>
      </x:c>
      <x:c r="U41" s="92"/>
      <x:c r="V41" s="92" t="n">
        <x:f>S41+T41-P41</x:f>
        <x:v>307672.4059826969</x:v>
      </x:c>
      <x:c r="W41" s="90" t="n">
        <x:f>S41/I41-1</x:f>
        <x:v>0.018587342147288854</x:v>
      </x:c>
      <x:c r="X41" s="90" t="n">
        <x:f>SQRT(S41/S17)-1</x:f>
        <x:v>0.01273825122287775</x:v>
      </x:c>
      <x:c r="Y41" s="90" t="n">
        <x:f>R41/S41-1</x:f>
        <x:v>0.35178364934225215</x:v>
      </x:c>
      <x:c r="Z41" s="2"/>
    </x:row>
    <x:row r="42">
      <x:c r="A42" s="2"/>
      <x:c r="B42" s="2"/>
      <x:c r="C42" s="96" t="n">
        <x:v>46813</x:v>
      </x:c>
      <x:c r="D42" s="97" t="str">
        <x:v>FY:28</x:v>
      </x:c>
      <x:c r="E42" s="97" t="str">
        <x:v>Forecast</x:v>
      </x:c>
      <x:c r="F42" s="73"/>
      <x:c r="G42" s="93"/>
      <x:c r="H42" s="73"/>
      <x:c r="I42" s="92" t="n">
        <x:f>S30</x:f>
        <x:v>439970.4699457933</x:v>
      </x:c>
      <x:c r="J42" s="92" t="n">
        <x:f>I42*(1+Assumptions!$D$16)</x:f>
        <x:v>470768.40284199885</x:v>
      </x:c>
      <x:c r="K42" s="94" t="n">
        <x:f>Assumptions!$D$18</x:f>
        <x:v>0.035</x:v>
      </x:c>
      <x:c r="L42" s="94" t="n">
        <x:f>Assumptions!$D$19</x:f>
        <x:v>0.02</x:v>
      </x:c>
      <x:c r="M42" s="92" t="n">
        <x:f>J42*Assumptions!$D$20*Assumptions!$D$21*(L42-K42)</x:f>
        <x:v>-4236.915625577991</x:v>
      </x:c>
      <x:c r="N42" s="92" t="n">
        <x:f>'Demand Debt'!$D$26*(1-Assumptions!$D$23)*Assumptions!$D$24/12</x:f>
        <x:v>16425.06315247476</x:v>
      </x:c>
      <x:c r="O42" s="92" t="n">
        <x:f>J42+M42-N42</x:f>
        <x:v>450106.4240639461</x:v>
      </x:c>
      <x:c r="P42" s="92" t="n">
        <x:f>T41</x:f>
        <x:v>373719.7391332396</x:v>
      </x:c>
      <x:c r="Q42" s="95" t="n">
        <x:f>Supply!D36</x:f>
        <x:v>28</x:v>
      </x:c>
      <x:c r="R42" s="92" t="n">
        <x:f>(Supply!E36+P42)/(1+Q42/Assumptions!$D$33)</x:f>
        <x:v>493303.3133447791</x:v>
      </x:c>
      <x:c r="S42" s="71" t="n">
        <x:f>MIN(O42,R42)</x:f>
        <x:v>450106.4240639461</x:v>
      </x:c>
      <x:c r="T42" s="92" t="n">
        <x:f>S42/Assumptions!$D$33*Q42</x:f>
        <x:v>420099.3291263497</x:v>
      </x:c>
      <x:c r="U42" s="92"/>
      <x:c r="V42" s="92" t="n">
        <x:f>S42+T42-P42</x:f>
        <x:v>496486.01405705616</x:v>
      </x:c>
      <x:c r="W42" s="90" t="n">
        <x:f>S42/I42-1</x:f>
        <x:v>0.023037805513178355</x:v>
      </x:c>
      <x:c r="X42" s="90" t="n">
        <x:f>SQRT(S42/S18)-1</x:f>
        <x:v>0.016889508962333988</x:v>
      </x:c>
      <x:c r="Y42" s="90" t="n">
        <x:f>R42/S42-1</x:f>
        <x:v>0.09597039049301825</x:v>
      </x:c>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sheetData>
  <x:conditionalFormatting sqref="E7:E42">
    <x:cfRule type="containsText" dxfId="0" priority="1" operator="containsText" text="Forecast"/>
    <x:cfRule type="containsText" dxfId="1" priority="2" operator="containsText" text="Estimate"/>
  </x:conditionalFormatting>
  <x:conditionalFormatting sqref="Y24:Y42">
    <x:cfRule type="cellIs" dxfId="2" priority="3" operator="lessThan">
      <x:formula>0.03</x:formula>
    </x:cfRule>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 hidden="0" customWidth="1"/>
    <x:col min="2" max="2" width="2" hidden="0" customWidth="1"/>
    <x:col min="3" max="3" width="42" hidden="0" customWidth="1"/>
    <x:col min="4" max="4" width="18" hidden="0" customWidth="1"/>
    <x:col min="5" max="5" width="4" hidden="0" customWidth="1"/>
    <x:col min="6" max="6" width="20" hidden="0" customWidth="1"/>
    <x:col min="7" max="7" width="46" hidden="0" customWidth="1"/>
    <x:col min="8" max="8" width="2"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x:c r="A2" s="2"/>
      <x:c r="B2" s="2"/>
      <x:c r="C2" s="3" t="str">
        <x:v>Demand-debt calculation</x:v>
      </x:c>
      <x:c r="D2" s="2"/>
      <x:c r="E2" s="2"/>
      <x:c r="F2" s="2"/>
      <x:c r="G2" s="2"/>
      <x:c r="H2" s="2"/>
      <x:c r="I2" s="2"/>
      <x:c r="J2" s="2"/>
      <x:c r="K2" s="2"/>
      <x:c r="L2" s="2"/>
      <x:c r="M2" s="2"/>
      <x:c r="N2" s="2"/>
      <x:c r="O2" s="2"/>
      <x:c r="P2" s="2"/>
      <x:c r="Q2" s="2"/>
      <x:c r="R2" s="2"/>
      <x:c r="S2" s="2"/>
      <x:c r="T2" s="2"/>
      <x:c r="U2" s="2"/>
      <x:c r="V2" s="2"/>
      <x:c r="W2" s="2"/>
      <x:c r="X2" s="2"/>
      <x:c r="Y2" s="2"/>
      <x:c r="Z2" s="2"/>
    </x:row>
    <x:row r="3">
      <x:c r="A3" s="2"/>
      <x:c r="B3" s="2"/>
      <x:c r="C3" s="4"/>
      <x:c r="D3" s="4"/>
      <x:c r="E3" s="4"/>
      <x:c r="F3" s="4"/>
      <x:c r="G3" s="4"/>
      <x:c r="H3" s="4"/>
      <x:c r="I3" s="2"/>
      <x:c r="J3" s="2"/>
      <x:c r="K3" s="2"/>
      <x:c r="L3" s="2"/>
      <x:c r="M3" s="2"/>
      <x:c r="N3" s="2"/>
      <x:c r="O3" s="2"/>
      <x:c r="P3" s="2"/>
      <x:c r="Q3" s="2"/>
      <x:c r="R3" s="2"/>
      <x:c r="S3" s="2"/>
      <x:c r="T3" s="2"/>
      <x:c r="U3" s="2"/>
      <x:c r="V3" s="2"/>
      <x:c r="W3" s="2"/>
      <x:c r="X3" s="2"/>
      <x:c r="Y3" s="2"/>
      <x:c r="Z3" s="2"/>
    </x:row>
    <x:row r="4" ht="45" customHeight="1">
      <x:c r="A4" s="2"/>
      <x:c r="B4" s="2"/>
      <x:c r="C4" s="51" t="str">
        <x:v>A positive balance represents post-GST volumes above the no-GST counterfactual and estimated permanent affordability uplift. Only the assumed borrowed share is carried into the forecast.</x:v>
      </x:c>
      <x:c r="D4" s="51"/>
      <x:c r="E4" s="51"/>
      <x:c r="F4" s="51"/>
      <x:c r="G4" s="51"/>
      <x:c r="H4" s="51"/>
      <x:c r="I4" s="2"/>
      <x:c r="J4" s="2"/>
      <x:c r="K4" s="2"/>
      <x:c r="L4" s="2"/>
      <x:c r="M4" s="2"/>
      <x:c r="N4" s="2"/>
      <x:c r="O4" s="2"/>
      <x:c r="P4" s="2"/>
      <x:c r="Q4" s="2"/>
      <x:c r="R4" s="2"/>
      <x:c r="S4" s="2"/>
      <x:c r="T4" s="2"/>
      <x:c r="U4" s="2"/>
      <x:c r="V4" s="2"/>
      <x:c r="W4" s="2"/>
      <x:c r="X4" s="2"/>
      <x:c r="Y4" s="2"/>
      <x:c r="Z4" s="2"/>
    </x:row>
    <x:row r="5">
      <x:c r="A5" s="2"/>
      <x:c r="B5" s="2"/>
      <x:c r="C5" s="2"/>
      <x:c r="D5" s="2"/>
      <x:c r="E5" s="2"/>
      <x:c r="F5" s="2"/>
      <x:c r="G5" s="2"/>
      <x:c r="H5" s="2"/>
      <x:c r="I5" s="2"/>
      <x:c r="J5" s="2"/>
      <x:c r="K5" s="2"/>
      <x:c r="L5" s="2"/>
      <x:c r="M5" s="2"/>
      <x:c r="N5" s="2"/>
      <x:c r="O5" s="2"/>
      <x:c r="P5" s="2"/>
      <x:c r="Q5" s="2"/>
      <x:c r="R5" s="2"/>
      <x:c r="S5" s="2"/>
      <x:c r="T5" s="2"/>
      <x:c r="U5" s="2"/>
      <x:c r="V5" s="2"/>
      <x:c r="W5" s="2"/>
      <x:c r="X5" s="2"/>
      <x:c r="Y5" s="2"/>
      <x:c r="Z5" s="2"/>
    </x:row>
    <x:row r="6">
      <x:c r="A6" s="2"/>
      <x:c r="B6" s="2"/>
      <x:c r="C6" s="8" t="str">
        <x:v>FY26 post-GST excess volume</x:v>
      </x:c>
      <x:c r="D6" s="8"/>
      <x:c r="E6" s="8"/>
      <x:c r="F6" s="8"/>
      <x:c r="G6" s="2"/>
      <x:c r="H6" s="2"/>
      <x:c r="I6" s="2"/>
      <x:c r="J6" s="2"/>
      <x:c r="K6" s="2"/>
      <x:c r="L6" s="2"/>
      <x:c r="M6" s="2"/>
      <x:c r="N6" s="2"/>
      <x:c r="O6" s="2"/>
      <x:c r="P6" s="2"/>
      <x:c r="Q6" s="2"/>
      <x:c r="R6" s="2"/>
      <x:c r="S6" s="2"/>
      <x:c r="T6" s="2"/>
      <x:c r="U6" s="2"/>
      <x:c r="V6" s="2"/>
      <x:c r="W6" s="2"/>
      <x:c r="X6" s="2"/>
      <x:c r="Y6" s="2"/>
      <x:c r="Z6" s="2"/>
    </x:row>
    <x:row r="7">
      <x:c r="A7" s="2"/>
      <x:c r="B7" s="2"/>
      <x:c r="C7" s="2" t="str">
        <x:v>FY25 PV retail actual</x:v>
      </x:c>
      <x:c r="D7" s="92" t="n">
        <x:f>Assumptions!$D$7</x:f>
        <x:v>4163927</x:v>
      </x:c>
      <x:c r="E7" s="2"/>
      <x:c r="F7" s="28" t="str">
        <x:v>Interpretation</x:v>
      </x:c>
      <x:c r="G7" s="36"/>
      <x:c r="H7" s="29"/>
      <x:c r="I7" s="2"/>
      <x:c r="J7" s="2"/>
      <x:c r="K7" s="2"/>
      <x:c r="L7" s="2"/>
      <x:c r="M7" s="2"/>
      <x:c r="N7" s="2"/>
      <x:c r="O7" s="2"/>
      <x:c r="P7" s="2"/>
      <x:c r="Q7" s="2"/>
      <x:c r="R7" s="2"/>
      <x:c r="S7" s="2"/>
      <x:c r="T7" s="2"/>
      <x:c r="U7" s="2"/>
      <x:c r="V7" s="2"/>
      <x:c r="W7" s="2"/>
      <x:c r="X7" s="2"/>
      <x:c r="Y7" s="2"/>
      <x:c r="Z7" s="2"/>
    </x:row>
    <x:row r="8" ht="34" customHeight="1">
      <x:c r="A8" s="2"/>
      <x:c r="B8" s="2"/>
      <x:c r="C8" s="2" t="str">
        <x:v>FY26 no-GST growth</x:v>
      </x:c>
      <x:c r="D8" s="94" t="n">
        <x:f>Assumptions!$D$14</x:f>
        <x:v>0.05</x:v>
      </x:c>
      <x:c r="E8" s="2"/>
      <x:c r="F8" s="2" t="str">
        <x:v>Gross excess</x:v>
      </x:c>
      <x:c r="G8" s="33" t="str">
        <x:v>Actual retail less the no-GST counterfactual.</x:v>
      </x:c>
      <x:c r="H8" s="33"/>
      <x:c r="I8" s="2"/>
      <x:c r="J8" s="2"/>
      <x:c r="K8" s="2"/>
      <x:c r="L8" s="2"/>
      <x:c r="M8" s="2"/>
      <x:c r="N8" s="2"/>
      <x:c r="O8" s="2"/>
      <x:c r="P8" s="2"/>
      <x:c r="Q8" s="2"/>
      <x:c r="R8" s="2"/>
      <x:c r="S8" s="2"/>
      <x:c r="T8" s="2"/>
      <x:c r="U8" s="2"/>
      <x:c r="V8" s="2"/>
      <x:c r="W8" s="2"/>
      <x:c r="X8" s="2"/>
      <x:c r="Y8" s="2"/>
      <x:c r="Z8" s="2"/>
    </x:row>
    <x:row r="9" ht="34" customHeight="1">
      <x:c r="A9" s="2"/>
      <x:c r="B9" s="2"/>
      <x:c r="C9" s="2" t="str">
        <x:v>FY26 no-GST volume</x:v>
      </x:c>
      <x:c r="D9" s="92" t="n">
        <x:f>D7*(1+D8)</x:f>
        <x:v>4372123.350000001</x:v>
      </x:c>
      <x:c r="E9" s="2"/>
      <x:c r="F9" s="2" t="str">
        <x:v>Permanent uplift</x:v>
      </x:c>
      <x:c r="G9" s="33" t="str">
        <x:v>Estimated price-elasticity response to the remaining consumer price benefit.</x:v>
      </x:c>
      <x:c r="H9" s="33"/>
      <x:c r="I9" s="2"/>
      <x:c r="J9" s="2"/>
      <x:c r="K9" s="2"/>
      <x:c r="L9" s="2"/>
      <x:c r="M9" s="2"/>
      <x:c r="N9" s="2"/>
      <x:c r="O9" s="2"/>
      <x:c r="P9" s="2"/>
      <x:c r="Q9" s="2"/>
      <x:c r="R9" s="2"/>
      <x:c r="S9" s="2"/>
      <x:c r="T9" s="2"/>
      <x:c r="U9" s="2"/>
      <x:c r="V9" s="2"/>
      <x:c r="W9" s="2"/>
      <x:c r="X9" s="2"/>
      <x:c r="Y9" s="2"/>
      <x:c r="Z9" s="2"/>
    </x:row>
    <x:row r="10" ht="34" customHeight="1">
      <x:c r="A10" s="2"/>
      <x:c r="B10" s="2"/>
      <x:c r="C10" s="2" t="str">
        <x:v>FY26 PV retail actual</x:v>
      </x:c>
      <x:c r="D10" s="92" t="n">
        <x:f>Assumptions!$D$8</x:f>
        <x:v>4705056</x:v>
      </x:c>
      <x:c r="E10" s="2"/>
      <x:c r="F10" s="2" t="str">
        <x:v>Residual excess</x:v>
      </x:c>
      <x:c r="G10" s="33" t="str">
        <x:v>Volume not explained by the baseline or permanent price response.</x:v>
      </x:c>
      <x:c r="H10" s="33"/>
      <x:c r="I10" s="2"/>
      <x:c r="J10" s="2"/>
      <x:c r="K10" s="2"/>
      <x:c r="L10" s="2"/>
      <x:c r="M10" s="2"/>
      <x:c r="N10" s="2"/>
      <x:c r="O10" s="2"/>
      <x:c r="P10" s="2"/>
      <x:c r="Q10" s="2"/>
      <x:c r="R10" s="2"/>
      <x:c r="S10" s="2"/>
      <x:c r="T10" s="2"/>
      <x:c r="U10" s="2"/>
      <x:c r="V10" s="2"/>
      <x:c r="W10" s="2"/>
      <x:c r="X10" s="2"/>
      <x:c r="Y10" s="2"/>
      <x:c r="Z10" s="2"/>
    </x:row>
    <x:row r="11" ht="34" customHeight="1">
      <x:c r="A11" s="2"/>
      <x:c r="B11" s="2"/>
      <x:c r="C11" s="2" t="str">
        <x:v>Gross excess volume</x:v>
      </x:c>
      <x:c r="D11" s="73" t="n">
        <x:f>D10-D9</x:f>
        <x:v>332932.64999999944</x:v>
      </x:c>
      <x:c r="E11" s="2"/>
      <x:c r="F11" s="2" t="str">
        <x:v>Demand debt</x:v>
      </x:c>
      <x:c r="G11" s="33" t="str">
        <x:v>The assumed portion of residual excess brought forward from later periods.</x:v>
      </x:c>
      <x:c r="H11" s="33"/>
      <x:c r="I11" s="2"/>
      <x:c r="J11" s="2"/>
      <x:c r="K11" s="2"/>
      <x:c r="L11" s="2"/>
      <x:c r="M11" s="2"/>
      <x:c r="N11" s="2"/>
      <x:c r="O11" s="2"/>
      <x:c r="P11" s="2"/>
      <x:c r="Q11" s="2"/>
      <x:c r="R11" s="2"/>
      <x:c r="S11" s="2"/>
      <x:c r="T11" s="2"/>
      <x:c r="U11" s="2"/>
      <x:c r="V11" s="2"/>
      <x:c r="W11" s="2"/>
      <x:c r="X11" s="2"/>
      <x:c r="Y11" s="2"/>
      <x:c r="Z11" s="2"/>
    </x:row>
    <x:row r="12" ht="34" customHeight="1">
      <x:c r="A12" s="2"/>
      <x:c r="B12" s="2"/>
      <x:c r="C12" s="2" t="str">
        <x:v>Average FY26 consumer price benefit</x:v>
      </x:c>
      <x:c r="D12" s="94" t="n">
        <x:f>Assumptions!$D$17*6/12</x:f>
        <x:v>0.0375</x:v>
      </x:c>
      <x:c r="E12" s="2"/>
      <x:c r="F12" s="2" t="str">
        <x:v>Repayment</x:v>
      </x:c>
      <x:c r="G12" s="33" t="str">
        <x:v>Subtracted from forecast demand over Oct-Mar FY27 and FY28.</x:v>
      </x:c>
      <x:c r="H12" s="33"/>
      <x:c r="I12" s="2"/>
      <x:c r="J12" s="2"/>
      <x:c r="K12" s="2"/>
      <x:c r="L12" s="2"/>
      <x:c r="M12" s="2"/>
      <x:c r="N12" s="2"/>
      <x:c r="O12" s="2"/>
      <x:c r="P12" s="2"/>
      <x:c r="Q12" s="2"/>
      <x:c r="R12" s="2"/>
      <x:c r="S12" s="2"/>
      <x:c r="T12" s="2"/>
      <x:c r="U12" s="2"/>
      <x:c r="V12" s="2"/>
      <x:c r="W12" s="2"/>
      <x:c r="X12" s="2"/>
      <x:c r="Y12" s="2"/>
      <x:c r="Z12" s="2"/>
    </x:row>
    <x:row r="13" ht="34" customHeight="1">
      <x:c r="A13" s="2"/>
      <x:c r="B13" s="2"/>
      <x:c r="C13" s="2" t="str">
        <x:v>Estimated permanent affordability uplift</x:v>
      </x:c>
      <x:c r="D13" s="92" t="n">
        <x:f>D9*Assumptions!$D$20*Assumptions!$D$21*D12</x:f>
        <x:v>98372.77537500001</x:v>
      </x:c>
      <x:c r="E13" s="2"/>
      <x:c r="F13" s="2" t="str">
        <x:v>Caveat</x:v>
      </x:c>
      <x:c r="G13" s="33" t="str">
        <x:v>Buyer cohorts and vehicle-age data would improve the borrowed-demand estimate.</x:v>
      </x:c>
      <x:c r="H13" s="33"/>
      <x:c r="I13" s="2"/>
      <x:c r="J13" s="2"/>
      <x:c r="K13" s="2"/>
      <x:c r="L13" s="2"/>
      <x:c r="M13" s="2"/>
      <x:c r="N13" s="2"/>
      <x:c r="O13" s="2"/>
      <x:c r="P13" s="2"/>
      <x:c r="Q13" s="2"/>
      <x:c r="R13" s="2"/>
      <x:c r="S13" s="2"/>
      <x:c r="T13" s="2"/>
      <x:c r="U13" s="2"/>
      <x:c r="V13" s="2"/>
      <x:c r="W13" s="2"/>
      <x:c r="X13" s="2"/>
      <x:c r="Y13" s="2"/>
      <x:c r="Z13" s="2"/>
    </x:row>
    <x:row r="14">
      <x:c r="A14" s="2"/>
      <x:c r="B14" s="2"/>
      <x:c r="C14" s="2" t="str">
        <x:v>Residual excess volume</x:v>
      </x:c>
      <x:c r="D14" s="92" t="n">
        <x:f>MAX(0,D11-D13)</x:f>
        <x:v>234559.87462499941</x:v>
      </x:c>
      <x:c r="E14" s="2"/>
      <x:c r="F14" s="2"/>
      <x:c r="G14" s="2"/>
      <x:c r="H14" s="2"/>
      <x:c r="I14" s="2"/>
      <x:c r="J14" s="2"/>
      <x:c r="K14" s="2"/>
      <x:c r="L14" s="2"/>
      <x:c r="M14" s="2"/>
      <x:c r="N14" s="2"/>
      <x:c r="O14" s="2"/>
      <x:c r="P14" s="2"/>
      <x:c r="Q14" s="2"/>
      <x:c r="R14" s="2"/>
      <x:c r="S14" s="2"/>
      <x:c r="T14" s="2"/>
      <x:c r="U14" s="2"/>
      <x:c r="V14" s="2"/>
      <x:c r="W14" s="2"/>
      <x:c r="X14" s="2"/>
      <x:c r="Y14" s="2"/>
      <x:c r="Z14" s="2"/>
    </x:row>
    <x:row r="15">
      <x:c r="A15" s="2"/>
      <x:c r="B15" s="2"/>
      <x:c r="C15" s="2" t="str">
        <x:v>Share classified as borrowed</x:v>
      </x:c>
      <x:c r="D15" s="94" t="n">
        <x:f>Assumptions!$D$22</x:f>
        <x:v>0.6</x:v>
      </x:c>
      <x:c r="E15" s="2"/>
      <x:c r="F15" s="2"/>
      <x:c r="G15" s="2"/>
      <x:c r="H15" s="2"/>
      <x:c r="I15" s="2"/>
      <x:c r="J15" s="2"/>
      <x:c r="K15" s="2"/>
      <x:c r="L15" s="2"/>
      <x:c r="M15" s="2"/>
      <x:c r="N15" s="2"/>
      <x:c r="O15" s="2"/>
      <x:c r="P15" s="2"/>
      <x:c r="Q15" s="2"/>
      <x:c r="R15" s="2"/>
      <x:c r="S15" s="2"/>
      <x:c r="T15" s="2"/>
      <x:c r="U15" s="2"/>
      <x:c r="V15" s="2"/>
      <x:c r="W15" s="2"/>
      <x:c r="X15" s="2"/>
      <x:c r="Y15" s="2"/>
      <x:c r="Z15" s="2"/>
    </x:row>
    <x:row r="16">
      <x:c r="A16" s="2"/>
      <x:c r="B16" s="2"/>
      <x:c r="C16" s="2" t="str">
        <x:v>FY26 demand debt</x:v>
      </x:c>
      <x:c r="D16" s="73" t="n">
        <x:f>D14*D15</x:f>
        <x:v>140735.92477499964</x:v>
      </x:c>
      <x:c r="E16" s="2"/>
      <x:c r="F16" s="2"/>
      <x:c r="G16" s="2"/>
      <x:c r="H16" s="2"/>
      <x:c r="I16" s="2"/>
      <x:c r="J16" s="2"/>
      <x:c r="K16" s="2"/>
      <x:c r="L16" s="2"/>
      <x:c r="M16" s="2"/>
      <x:c r="N16" s="2"/>
      <x:c r="O16" s="2"/>
      <x:c r="P16" s="2"/>
      <x:c r="Q16" s="2"/>
      <x:c r="R16" s="2"/>
      <x:c r="S16" s="2"/>
      <x:c r="T16" s="2"/>
      <x:c r="U16" s="2"/>
      <x:c r="V16" s="2"/>
      <x:c r="W16" s="2"/>
      <x:c r="X16" s="2"/>
      <x:c r="Y16" s="2"/>
      <x:c r="Z16" s="2"/>
    </x:row>
    <x:row r="17">
      <x:c r="A17" s="2"/>
      <x:c r="B17" s="2"/>
      <x:c r="C17" s="2"/>
      <x:c r="D17" s="73"/>
      <x:c r="E17" s="2"/>
      <x:c r="F17" s="2"/>
      <x:c r="G17" s="2"/>
      <x:c r="H17" s="2"/>
      <x:c r="I17" s="2"/>
      <x:c r="J17" s="2"/>
      <x:c r="K17" s="2"/>
      <x:c r="L17" s="2"/>
      <x:c r="M17" s="2"/>
      <x:c r="N17" s="2"/>
      <x:c r="O17" s="2"/>
      <x:c r="P17" s="2"/>
      <x:c r="Q17" s="2"/>
      <x:c r="R17" s="2"/>
      <x:c r="S17" s="2"/>
      <x:c r="T17" s="2"/>
      <x:c r="U17" s="2"/>
      <x:c r="V17" s="2"/>
      <x:c r="W17" s="2"/>
      <x:c r="X17" s="2"/>
      <x:c r="Y17" s="2"/>
      <x:c r="Z17" s="2"/>
    </x:row>
    <x:row r="18">
      <x:c r="A18" s="2"/>
      <x:c r="B18" s="2"/>
      <x:c r="C18" s="8" t="str">
        <x:v>FY27 H1 excess volume</x:v>
      </x:c>
      <x:c r="D18" s="98"/>
      <x:c r="E18" s="8"/>
      <x:c r="F18" s="8"/>
      <x:c r="G18" s="2"/>
      <x:c r="H18" s="2"/>
      <x:c r="I18" s="2"/>
      <x:c r="J18" s="2"/>
      <x:c r="K18" s="2"/>
      <x:c r="L18" s="2"/>
      <x:c r="M18" s="2"/>
      <x:c r="N18" s="2"/>
      <x:c r="O18" s="2"/>
      <x:c r="P18" s="2"/>
      <x:c r="Q18" s="2"/>
      <x:c r="R18" s="2"/>
      <x:c r="S18" s="2"/>
      <x:c r="T18" s="2"/>
      <x:c r="U18" s="2"/>
      <x:c r="V18" s="2"/>
      <x:c r="W18" s="2"/>
      <x:c r="X18" s="2"/>
      <x:c r="Y18" s="2"/>
      <x:c r="Z18" s="2"/>
    </x:row>
    <x:row r="19">
      <x:c r="A19" s="2"/>
      <x:c r="B19" s="2"/>
      <x:c r="C19" s="2" t="str">
        <x:v>FY26 H1 PV retail</x:v>
      </x:c>
      <x:c r="D19" s="92" t="n">
        <x:f>SUM(Forecast!$S$7:$S$12)</x:f>
        <x:v>2016368.9888085478</x:v>
      </x:c>
      <x:c r="E19" s="2"/>
      <x:c r="F19" s="2"/>
      <x:c r="G19" s="2"/>
      <x:c r="H19" s="2"/>
      <x:c r="I19" s="2"/>
      <x:c r="J19" s="2"/>
      <x:c r="K19" s="2"/>
      <x:c r="L19" s="2"/>
      <x:c r="M19" s="2"/>
      <x:c r="N19" s="2"/>
      <x:c r="O19" s="2"/>
      <x:c r="P19" s="2"/>
      <x:c r="Q19" s="2"/>
      <x:c r="R19" s="2"/>
      <x:c r="S19" s="2"/>
      <x:c r="T19" s="2"/>
      <x:c r="U19" s="2"/>
      <x:c r="V19" s="2"/>
      <x:c r="W19" s="2"/>
      <x:c r="X19" s="2"/>
      <x:c r="Y19" s="2"/>
      <x:c r="Z19" s="2"/>
    </x:row>
    <x:row r="20">
      <x:c r="A20" s="2"/>
      <x:c r="B20" s="2"/>
      <x:c r="C20" s="2" t="str">
        <x:v>FY27 H1 no-GST volume</x:v>
      </x:c>
      <x:c r="D20" s="92" t="n">
        <x:f>D19*(1+Assumptions!$D$15)</x:f>
        <x:v>2157514.818025146</x:v>
      </x:c>
      <x:c r="E20" s="2"/>
      <x:c r="F20" s="2"/>
      <x:c r="G20" s="2"/>
      <x:c r="H20" s="2"/>
      <x:c r="I20" s="2"/>
      <x:c r="J20" s="2"/>
      <x:c r="K20" s="2"/>
      <x:c r="L20" s="2"/>
      <x:c r="M20" s="2"/>
      <x:c r="N20" s="2"/>
      <x:c r="O20" s="2"/>
      <x:c r="P20" s="2"/>
      <x:c r="Q20" s="2"/>
      <x:c r="R20" s="2"/>
      <x:c r="S20" s="2"/>
      <x:c r="T20" s="2"/>
      <x:c r="U20" s="2"/>
      <x:c r="V20" s="2"/>
      <x:c r="W20" s="2"/>
      <x:c r="X20" s="2"/>
      <x:c r="Y20" s="2"/>
      <x:c r="Z20" s="2"/>
    </x:row>
    <x:row r="21">
      <x:c r="A21" s="2"/>
      <x:c r="B21" s="2"/>
      <x:c r="C21" s="2" t="str">
        <x:v>FY27 H1 actual / estimate</x:v>
      </x:c>
      <x:c r="D21" s="92" t="n">
        <x:f>SUM(Forecast!$S$19:$S$24)</x:f>
        <x:v>2552264.9999999995</x:v>
      </x:c>
      <x:c r="E21" s="2"/>
      <x:c r="F21" s="2"/>
      <x:c r="G21" s="2"/>
      <x:c r="H21" s="2"/>
      <x:c r="I21" s="2"/>
      <x:c r="J21" s="2"/>
      <x:c r="K21" s="2"/>
      <x:c r="L21" s="2"/>
      <x:c r="M21" s="2"/>
      <x:c r="N21" s="2"/>
      <x:c r="O21" s="2"/>
      <x:c r="P21" s="2"/>
      <x:c r="Q21" s="2"/>
      <x:c r="R21" s="2"/>
      <x:c r="S21" s="2"/>
      <x:c r="T21" s="2"/>
      <x:c r="U21" s="2"/>
      <x:c r="V21" s="2"/>
      <x:c r="W21" s="2"/>
      <x:c r="X21" s="2"/>
      <x:c r="Y21" s="2"/>
      <x:c r="Z21" s="2"/>
    </x:row>
    <x:row r="22">
      <x:c r="A22" s="2"/>
      <x:c r="B22" s="2"/>
      <x:c r="C22" s="2" t="str">
        <x:v>Gross excess volume</x:v>
      </x:c>
      <x:c r="D22" s="92" t="n">
        <x:f>D21-D20</x:f>
        <x:v>394750.1819748534</x:v>
      </x:c>
      <x:c r="E22" s="2"/>
      <x:c r="F22" s="2"/>
      <x:c r="G22" s="2"/>
      <x:c r="H22" s="2"/>
      <x:c r="I22" s="2"/>
      <x:c r="J22" s="2"/>
      <x:c r="K22" s="2"/>
      <x:c r="L22" s="2"/>
      <x:c r="M22" s="2"/>
      <x:c r="N22" s="2"/>
      <x:c r="O22" s="2"/>
      <x:c r="P22" s="2"/>
      <x:c r="Q22" s="2"/>
      <x:c r="R22" s="2"/>
      <x:c r="S22" s="2"/>
      <x:c r="T22" s="2"/>
      <x:c r="U22" s="2"/>
      <x:c r="V22" s="2"/>
      <x:c r="W22" s="2"/>
      <x:c r="X22" s="2"/>
      <x:c r="Y22" s="2"/>
      <x:c r="Z22" s="2"/>
    </x:row>
    <x:row r="23">
      <x:c r="A23" s="2"/>
      <x:c r="B23" s="2"/>
      <x:c r="C23" s="2" t="str">
        <x:v>Estimated permanent affordability uplift</x:v>
      </x:c>
      <x:c r="D23" s="92" t="n">
        <x:f>D20*Assumptions!$D$20*Assumptions!$D$21*Assumptions!$D$18</x:f>
        <x:v>45307.81117852808</x:v>
      </x:c>
      <x:c r="E23" s="2"/>
      <x:c r="F23" s="2"/>
      <x:c r="G23" s="2"/>
      <x:c r="H23" s="2"/>
      <x:c r="I23" s="2"/>
      <x:c r="J23" s="2"/>
      <x:c r="K23" s="2"/>
      <x:c r="L23" s="2"/>
      <x:c r="M23" s="2"/>
      <x:c r="N23" s="2"/>
      <x:c r="O23" s="2"/>
      <x:c r="P23" s="2"/>
      <x:c r="Q23" s="2"/>
      <x:c r="R23" s="2"/>
      <x:c r="S23" s="2"/>
      <x:c r="T23" s="2"/>
      <x:c r="U23" s="2"/>
      <x:c r="V23" s="2"/>
      <x:c r="W23" s="2"/>
      <x:c r="X23" s="2"/>
      <x:c r="Y23" s="2"/>
      <x:c r="Z23" s="2"/>
    </x:row>
    <x:row r="24">
      <x:c r="A24" s="2"/>
      <x:c r="B24" s="2"/>
      <x:c r="C24" s="2" t="str">
        <x:v>Residual excess volume</x:v>
      </x:c>
      <x:c r="D24" s="92" t="n">
        <x:f>MAX(0,D22-D23)</x:f>
        <x:v>349442.3707963253</x:v>
      </x:c>
      <x:c r="E24" s="2"/>
      <x:c r="F24" s="2"/>
      <x:c r="G24" s="2"/>
      <x:c r="H24" s="2"/>
      <x:c r="I24" s="2"/>
      <x:c r="J24" s="2"/>
      <x:c r="K24" s="2"/>
      <x:c r="L24" s="2"/>
      <x:c r="M24" s="2"/>
      <x:c r="N24" s="2"/>
      <x:c r="O24" s="2"/>
      <x:c r="P24" s="2"/>
      <x:c r="Q24" s="2"/>
      <x:c r="R24" s="2"/>
      <x:c r="S24" s="2"/>
      <x:c r="T24" s="2"/>
      <x:c r="U24" s="2"/>
      <x:c r="V24" s="2"/>
      <x:c r="W24" s="2"/>
      <x:c r="X24" s="2"/>
      <x:c r="Y24" s="2"/>
      <x:c r="Z24" s="2"/>
    </x:row>
    <x:row r="25">
      <x:c r="A25" s="2"/>
      <x:c r="B25" s="2"/>
      <x:c r="C25" s="2" t="str">
        <x:v>FY27 H1 new demand debt</x:v>
      </x:c>
      <x:c r="D25" s="92" t="n">
        <x:f>D24*Assumptions!$D$22</x:f>
        <x:v>209665.4224777952</x:v>
      </x:c>
      <x:c r="E25" s="2"/>
      <x:c r="F25" s="2"/>
      <x:c r="G25" s="2"/>
      <x:c r="H25" s="2"/>
      <x:c r="I25" s="2"/>
      <x:c r="J25" s="2"/>
      <x:c r="K25" s="2"/>
      <x:c r="L25" s="2"/>
      <x:c r="M25" s="2"/>
      <x:c r="N25" s="2"/>
      <x:c r="O25" s="2"/>
      <x:c r="P25" s="2"/>
      <x:c r="Q25" s="2"/>
      <x:c r="R25" s="2"/>
      <x:c r="S25" s="2"/>
      <x:c r="T25" s="2"/>
      <x:c r="U25" s="2"/>
      <x:c r="V25" s="2"/>
      <x:c r="W25" s="2"/>
      <x:c r="X25" s="2"/>
      <x:c r="Y25" s="2"/>
      <x:c r="Z25" s="2"/>
    </x:row>
    <x:row r="26">
      <x:c r="A26" s="2"/>
      <x:c r="B26" s="2"/>
      <x:c r="C26" s="54" t="str">
        <x:v>Opening demand debt at 30 September 2026</x:v>
      </x:c>
      <x:c r="D26" s="99" t="n">
        <x:f>D16+D25</x:f>
        <x:v>350401.34725279483</x:v>
      </x:c>
      <x:c r="E26" s="2"/>
      <x:c r="F26" s="2"/>
      <x:c r="G26" s="2"/>
      <x:c r="H26" s="2"/>
      <x:c r="I26" s="2"/>
      <x:c r="J26" s="2"/>
      <x:c r="K26" s="2"/>
      <x:c r="L26" s="2"/>
      <x:c r="M26" s="2"/>
      <x:c r="N26" s="2"/>
      <x:c r="O26" s="2"/>
      <x:c r="P26" s="2"/>
      <x:c r="Q26" s="2"/>
      <x:c r="R26" s="2"/>
      <x:c r="S26" s="2"/>
      <x:c r="T26" s="2"/>
      <x:c r="U26" s="2"/>
      <x:c r="V26" s="2"/>
      <x:c r="W26" s="2"/>
      <x:c r="X26" s="2"/>
      <x:c r="Y26" s="2"/>
      <x:c r="Z26" s="2"/>
    </x:row>
    <x:row r="27">
      <x:c r="A27" s="2"/>
      <x:c r="B27" s="2"/>
      <x:c r="C27" s="2"/>
      <x:c r="D27" s="2"/>
      <x:c r="E27" s="2"/>
      <x:c r="F27" s="2"/>
      <x:c r="G27" s="2"/>
      <x:c r="H27" s="2"/>
      <x:c r="I27" s="2"/>
      <x:c r="J27" s="2"/>
      <x:c r="K27" s="2"/>
      <x:c r="L27" s="2"/>
      <x:c r="M27" s="2"/>
      <x:c r="N27" s="2"/>
      <x:c r="O27" s="2"/>
      <x:c r="P27" s="2"/>
      <x:c r="Q27" s="2"/>
      <x:c r="R27" s="2"/>
      <x:c r="S27" s="2"/>
      <x:c r="T27" s="2"/>
      <x:c r="U27" s="2"/>
      <x:c r="V27" s="2"/>
      <x:c r="W27" s="2"/>
      <x:c r="X27" s="2"/>
      <x:c r="Y27" s="2"/>
      <x:c r="Z27" s="2"/>
    </x:row>
    <x:row r="28">
      <x:c r="A28" s="2"/>
      <x:c r="B28" s="2"/>
      <x:c r="C28" s="2"/>
      <x:c r="D28" s="2"/>
      <x:c r="E28" s="2"/>
      <x:c r="F28" s="2"/>
      <x:c r="G28" s="2"/>
      <x:c r="H28" s="2"/>
      <x:c r="I28" s="2"/>
      <x:c r="J28" s="2"/>
      <x:c r="K28" s="2"/>
      <x:c r="L28" s="2"/>
      <x:c r="M28" s="2"/>
      <x:c r="N28" s="2"/>
      <x:c r="O28" s="2"/>
      <x:c r="P28" s="2"/>
      <x:c r="Q28" s="2"/>
      <x:c r="R28" s="2"/>
      <x:c r="S28" s="2"/>
      <x:c r="T28" s="2"/>
      <x:c r="U28" s="2"/>
      <x:c r="V28" s="2"/>
      <x:c r="W28" s="2"/>
      <x:c r="X28" s="2"/>
      <x:c r="Y28" s="2"/>
      <x:c r="Z28" s="2"/>
    </x:row>
    <x:row r="29">
      <x:c r="A29" s="2"/>
      <x:c r="B29" s="2"/>
      <x:c r="C29" s="2"/>
      <x:c r="D29" s="2"/>
      <x:c r="E29" s="2"/>
      <x:c r="F29" s="2"/>
      <x:c r="G29" s="2"/>
      <x:c r="H29" s="2"/>
      <x:c r="I29" s="2"/>
      <x:c r="J29" s="2"/>
      <x:c r="K29" s="2"/>
      <x:c r="L29" s="2"/>
      <x:c r="M29" s="2"/>
      <x:c r="N29" s="2"/>
      <x:c r="O29" s="2"/>
      <x:c r="P29" s="2"/>
      <x:c r="Q29" s="2"/>
      <x:c r="R29" s="2"/>
      <x:c r="S29" s="2"/>
      <x:c r="T29" s="2"/>
      <x:c r="U29" s="2"/>
      <x:c r="V29" s="2"/>
      <x:c r="W29" s="2"/>
      <x:c r="X29" s="2"/>
      <x:c r="Y29" s="2"/>
      <x:c r="Z29" s="2"/>
    </x:row>
    <x:row r="30">
      <x:c r="A30" s="2"/>
      <x:c r="B30" s="2"/>
      <x:c r="C30" s="2"/>
      <x:c r="D30" s="2"/>
      <x:c r="E30" s="2"/>
      <x:c r="F30" s="2"/>
      <x:c r="G30" s="2"/>
      <x:c r="H30" s="2"/>
      <x:c r="I30" s="2"/>
      <x:c r="J30" s="2"/>
      <x:c r="K30" s="2"/>
      <x:c r="L30" s="2"/>
      <x:c r="M30" s="2"/>
      <x:c r="N30" s="2"/>
      <x:c r="O30" s="2"/>
      <x:c r="P30" s="2"/>
      <x:c r="Q30" s="2"/>
      <x:c r="R30" s="2"/>
      <x:c r="S30" s="2"/>
      <x:c r="T30" s="2"/>
      <x:c r="U30" s="2"/>
      <x:c r="V30" s="2"/>
      <x:c r="W30" s="2"/>
      <x:c r="X30" s="2"/>
      <x:c r="Y30" s="2"/>
      <x:c r="Z30" s="2"/>
    </x:row>
    <x:row r="31">
      <x:c r="A31" s="2"/>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2" hidden="0" customWidth="1"/>
    <x:col min="2" max="2" width="2" hidden="0" customWidth="1"/>
    <x:col min="3" max="3" width="20" hidden="0" customWidth="1"/>
    <x:col min="4" max="4" width="18" hidden="0" customWidth="1"/>
    <x:col min="5" max="5" width="18" hidden="0" customWidth="1"/>
    <x:col min="6" max="6" width="54"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x:c r="A2" s="2"/>
      <x:c r="B2" s="2"/>
      <x:c r="C2" s="3" t="str">
        <x:v>Passenger vehicle supply ceiling</x:v>
      </x:c>
      <x:c r="D2" s="2"/>
      <x:c r="E2" s="2"/>
      <x:c r="F2" s="2"/>
      <x:c r="G2" s="2"/>
      <x:c r="H2" s="2"/>
      <x:c r="I2" s="2"/>
      <x:c r="J2" s="2"/>
      <x:c r="K2" s="2"/>
      <x:c r="L2" s="2"/>
      <x:c r="M2" s="2"/>
      <x:c r="N2" s="2"/>
      <x:c r="O2" s="2"/>
      <x:c r="P2" s="2"/>
      <x:c r="Q2" s="2"/>
      <x:c r="R2" s="2"/>
      <x:c r="S2" s="2"/>
      <x:c r="T2" s="2"/>
      <x:c r="U2" s="2"/>
      <x:c r="V2" s="2"/>
      <x:c r="W2" s="2"/>
      <x:c r="X2" s="2"/>
      <x:c r="Y2" s="2"/>
      <x:c r="Z2" s="2"/>
    </x:row>
    <x:row r="3">
      <x:c r="A3" s="2"/>
      <x:c r="B3" s="2"/>
      <x:c r="C3" s="4"/>
      <x:c r="D3" s="4"/>
      <x:c r="E3" s="4"/>
      <x:c r="F3" s="4"/>
      <x:c r="G3" s="4"/>
      <x:c r="H3" s="4"/>
      <x:c r="I3" s="4"/>
      <x:c r="J3" s="4"/>
      <x:c r="K3" s="4"/>
      <x:c r="L3" s="2"/>
      <x:c r="M3" s="2"/>
      <x:c r="N3" s="2"/>
      <x:c r="O3" s="2"/>
      <x:c r="P3" s="2"/>
      <x:c r="Q3" s="2"/>
      <x:c r="R3" s="2"/>
      <x:c r="S3" s="2"/>
      <x:c r="T3" s="2"/>
      <x:c r="U3" s="2"/>
      <x:c r="V3" s="2"/>
      <x:c r="W3" s="2"/>
      <x:c r="X3" s="2"/>
      <x:c r="Y3" s="2"/>
      <x:c r="Z3" s="2"/>
    </x:row>
    <x:row r="4">
      <x:c r="A4" s="2"/>
      <x:c r="B4" s="2"/>
      <x:c r="C4" s="5" t="str">
        <x:v>Working assumptions for attainable domestic wholesale. These are editable and are not intended to represent official nameplate capacity.</x:v>
      </x:c>
      <x:c r="D4" s="5"/>
      <x:c r="E4" s="5"/>
      <x:c r="F4" s="5"/>
      <x:c r="G4" s="5"/>
      <x:c r="H4" s="5"/>
      <x:c r="I4" s="5"/>
      <x:c r="J4" s="5"/>
      <x:c r="K4" s="5"/>
      <x:c r="L4" s="2"/>
      <x:c r="M4" s="2"/>
      <x:c r="N4" s="2"/>
      <x:c r="O4" s="2"/>
      <x:c r="P4" s="2"/>
      <x:c r="Q4" s="2"/>
      <x:c r="R4" s="2"/>
      <x:c r="S4" s="2"/>
      <x:c r="T4" s="2"/>
      <x:c r="U4" s="2"/>
      <x:c r="V4" s="2"/>
      <x:c r="W4" s="2"/>
      <x:c r="X4" s="2"/>
      <x:c r="Y4" s="2"/>
      <x:c r="Z4" s="2"/>
    </x:row>
    <x:row r="5">
      <x:c r="A5" s="2"/>
      <x:c r="B5" s="2"/>
      <x:c r="C5" s="2"/>
      <x:c r="D5" s="2"/>
      <x:c r="E5" s="2"/>
      <x:c r="F5" s="2"/>
      <x:c r="G5" s="2"/>
      <x:c r="H5" s="2"/>
      <x:c r="I5" s="2"/>
      <x:c r="J5" s="2"/>
      <x:c r="K5" s="2"/>
      <x:c r="L5" s="2"/>
      <x:c r="M5" s="2"/>
      <x:c r="N5" s="2"/>
      <x:c r="O5" s="2"/>
      <x:c r="P5" s="2"/>
      <x:c r="Q5" s="2"/>
      <x:c r="R5" s="2"/>
      <x:c r="S5" s="2"/>
      <x:c r="T5" s="2"/>
      <x:c r="U5" s="2"/>
      <x:c r="V5" s="2"/>
      <x:c r="W5" s="2"/>
      <x:c r="X5" s="2"/>
      <x:c r="Y5" s="2"/>
      <x:c r="Z5" s="2"/>
    </x:row>
    <x:row r="6">
      <x:c r="A6" s="2"/>
      <x:c r="B6" s="2"/>
      <x:c r="C6" s="8" t="str">
        <x:v>OEM contribution to attainable domestic wholesale (units per month)</x:v>
      </x:c>
      <x:c r="D6" s="8"/>
      <x:c r="E6" s="8"/>
      <x:c r="F6" s="8"/>
      <x:c r="G6" s="8"/>
      <x:c r="H6" s="2"/>
      <x:c r="I6" s="2"/>
      <x:c r="J6" s="2"/>
      <x:c r="K6" s="2"/>
      <x:c r="L6" s="2"/>
      <x:c r="M6" s="2"/>
      <x:c r="N6" s="2"/>
      <x:c r="O6" s="2"/>
      <x:c r="P6" s="2"/>
      <x:c r="Q6" s="2"/>
      <x:c r="R6" s="2"/>
      <x:c r="S6" s="2"/>
      <x:c r="T6" s="2"/>
      <x:c r="U6" s="2"/>
      <x:c r="V6" s="2"/>
      <x:c r="W6" s="2"/>
      <x:c r="X6" s="2"/>
      <x:c r="Y6" s="2"/>
      <x:c r="Z6" s="2"/>
    </x:row>
    <x:row r="7">
      <x:c r="A7" s="2"/>
      <x:c r="B7" s="2"/>
      <x:c r="C7" s="28" t="str">
        <x:v>OEM / group</x:v>
      </x:c>
      <x:c r="D7" s="36" t="str">
        <x:v>FY27 H2</x:v>
      </x:c>
      <x:c r="E7" s="36" t="str">
        <x:v>FY28</x:v>
      </x:c>
      <x:c r="F7" s="29" t="str">
        <x:v>Working logic</x:v>
      </x:c>
      <x:c r="G7" s="2"/>
      <x:c r="H7" s="2"/>
      <x:c r="I7" s="2"/>
      <x:c r="J7" s="2"/>
      <x:c r="K7" s="2"/>
      <x:c r="L7" s="2"/>
      <x:c r="M7" s="2"/>
      <x:c r="N7" s="2"/>
      <x:c r="O7" s="2"/>
      <x:c r="P7" s="2"/>
      <x:c r="Q7" s="2"/>
      <x:c r="R7" s="2"/>
      <x:c r="S7" s="2"/>
      <x:c r="T7" s="2"/>
      <x:c r="U7" s="2"/>
      <x:c r="V7" s="2"/>
      <x:c r="W7" s="2"/>
      <x:c r="X7" s="2"/>
      <x:c r="Y7" s="2"/>
      <x:c r="Z7" s="2"/>
    </x:row>
    <x:row r="8">
      <x:c r="A8" s="2"/>
      <x:c r="B8" s="2"/>
      <x:c r="C8" s="2" t="str">
        <x:v>Maruti Suzuki</x:v>
      </x:c>
      <x:c r="D8" s="84" t="n">
        <x:v>190000</x:v>
      </x:c>
      <x:c r="E8" s="84" t="n">
        <x:v>210000</x:v>
      </x:c>
      <x:c r="F8" s="2" t="str">
        <x:v>Existing plants plus phased debottlenecking / Kharkhoda ramp</x:v>
      </x:c>
      <x:c r="G8" s="2"/>
      <x:c r="H8" s="2"/>
      <x:c r="I8" s="2"/>
      <x:c r="J8" s="2"/>
      <x:c r="K8" s="2"/>
      <x:c r="L8" s="2"/>
      <x:c r="M8" s="2"/>
      <x:c r="N8" s="2"/>
      <x:c r="O8" s="2"/>
      <x:c r="P8" s="2"/>
      <x:c r="Q8" s="2"/>
      <x:c r="R8" s="2"/>
      <x:c r="S8" s="2"/>
      <x:c r="T8" s="2"/>
      <x:c r="U8" s="2"/>
      <x:c r="V8" s="2"/>
      <x:c r="W8" s="2"/>
      <x:c r="X8" s="2"/>
      <x:c r="Y8" s="2"/>
      <x:c r="Z8" s="2"/>
    </x:row>
    <x:row r="9">
      <x:c r="A9" s="2"/>
      <x:c r="B9" s="2"/>
      <x:c r="C9" s="2" t="str">
        <x:v>M&amp;M</x:v>
      </x:c>
      <x:c r="D9" s="84" t="n">
        <x:v>65000</x:v>
      </x:c>
      <x:c r="E9" s="84" t="n">
        <x:v>75000</x:v>
      </x:c>
      <x:c r="F9" s="2" t="str">
        <x:v>SUV capacity additions and ramp</x:v>
      </x:c>
      <x:c r="G9" s="2"/>
      <x:c r="H9" s="2"/>
      <x:c r="I9" s="2"/>
      <x:c r="J9" s="2"/>
      <x:c r="K9" s="2"/>
      <x:c r="L9" s="2"/>
      <x:c r="M9" s="2"/>
      <x:c r="N9" s="2"/>
      <x:c r="O9" s="2"/>
      <x:c r="P9" s="2"/>
      <x:c r="Q9" s="2"/>
      <x:c r="R9" s="2"/>
      <x:c r="S9" s="2"/>
      <x:c r="T9" s="2"/>
      <x:c r="U9" s="2"/>
      <x:c r="V9" s="2"/>
      <x:c r="W9" s="2"/>
      <x:c r="X9" s="2"/>
      <x:c r="Y9" s="2"/>
      <x:c r="Z9" s="2"/>
    </x:row>
    <x:row r="10">
      <x:c r="A10" s="2"/>
      <x:c r="B10" s="2"/>
      <x:c r="C10" s="2" t="str">
        <x:v>Hyundai</x:v>
      </x:c>
      <x:c r="D10" s="84" t="n">
        <x:v>70000</x:v>
      </x:c>
      <x:c r="E10" s="84" t="n">
        <x:v>80000</x:v>
      </x:c>
      <x:c r="F10" s="2" t="str">
        <x:v>Chennai plus Talegaon ramp</x:v>
      </x:c>
      <x:c r="G10" s="2"/>
      <x:c r="H10" s="2"/>
      <x:c r="I10" s="2"/>
      <x:c r="J10" s="2"/>
      <x:c r="K10" s="2"/>
      <x:c r="L10" s="2"/>
      <x:c r="M10" s="2"/>
      <x:c r="N10" s="2"/>
      <x:c r="O10" s="2"/>
      <x:c r="P10" s="2"/>
      <x:c r="Q10" s="2"/>
      <x:c r="R10" s="2"/>
      <x:c r="S10" s="2"/>
      <x:c r="T10" s="2"/>
      <x:c r="U10" s="2"/>
      <x:c r="V10" s="2"/>
      <x:c r="W10" s="2"/>
      <x:c r="X10" s="2"/>
      <x:c r="Y10" s="2"/>
      <x:c r="Z10" s="2"/>
    </x:row>
    <x:row r="11">
      <x:c r="A11" s="2"/>
      <x:c r="B11" s="2"/>
      <x:c r="C11" s="2" t="str">
        <x:v>Tata Motors PV</x:v>
      </x:c>
      <x:c r="D11" s="84" t="n">
        <x:v>60000</x:v>
      </x:c>
      <x:c r="E11" s="84" t="n">
        <x:v>70000</x:v>
      </x:c>
      <x:c r="F11" s="2" t="str">
        <x:v>Pune and Sanand network</x:v>
      </x:c>
      <x:c r="G11" s="2"/>
      <x:c r="H11" s="2"/>
      <x:c r="I11" s="2"/>
      <x:c r="J11" s="2"/>
      <x:c r="K11" s="2"/>
      <x:c r="L11" s="2"/>
      <x:c r="M11" s="2"/>
      <x:c r="N11" s="2"/>
      <x:c r="O11" s="2"/>
      <x:c r="P11" s="2"/>
      <x:c r="Q11" s="2"/>
      <x:c r="R11" s="2"/>
      <x:c r="S11" s="2"/>
      <x:c r="T11" s="2"/>
      <x:c r="U11" s="2"/>
      <x:c r="V11" s="2"/>
      <x:c r="W11" s="2"/>
      <x:c r="X11" s="2"/>
      <x:c r="Y11" s="2"/>
      <x:c r="Z11" s="2"/>
    </x:row>
    <x:row r="12">
      <x:c r="A12" s="2"/>
      <x:c r="B12" s="2"/>
      <x:c r="C12" s="2" t="str">
        <x:v>Other OEMs</x:v>
      </x:c>
      <x:c r="D12" s="84" t="n">
        <x:v>140000</x:v>
      </x:c>
      <x:c r="E12" s="84" t="n">
        <x:v>145000</x:v>
      </x:c>
      <x:c r="F12" s="2" t="str">
        <x:v>Toyota, Kia, VW-Skoda, MG, Honda and others</x:v>
      </x:c>
      <x:c r="G12" s="2"/>
      <x:c r="H12" s="2"/>
      <x:c r="I12" s="2"/>
      <x:c r="J12" s="2"/>
      <x:c r="K12" s="2"/>
      <x:c r="L12" s="2"/>
      <x:c r="M12" s="2"/>
      <x:c r="N12" s="2"/>
      <x:c r="O12" s="2"/>
      <x:c r="P12" s="2"/>
      <x:c r="Q12" s="2"/>
      <x:c r="R12" s="2"/>
      <x:c r="S12" s="2"/>
      <x:c r="T12" s="2"/>
      <x:c r="U12" s="2"/>
      <x:c r="V12" s="2"/>
      <x:c r="W12" s="2"/>
      <x:c r="X12" s="2"/>
      <x:c r="Y12" s="2"/>
      <x:c r="Z12" s="2"/>
    </x:row>
    <x:row r="13">
      <x:c r="A13" s="2"/>
      <x:c r="B13" s="2"/>
      <x:c r="C13" s="41" t="str">
        <x:v>Industry ceiling</x:v>
      </x:c>
      <x:c r="D13" s="87" t="n">
        <x:f>SUM(D8:D12)</x:f>
        <x:v>525000</x:v>
      </x:c>
      <x:c r="E13" s="87" t="n">
        <x:f>SUM(E8:E12)</x:f>
        <x:v>580000</x:v>
      </x:c>
      <x:c r="F13" s="41" t="str">
        <x:v>Sum of OEM assumptions</x:v>
      </x:c>
      <x:c r="G13" s="2"/>
      <x:c r="H13" s="2"/>
      <x:c r="I13" s="2"/>
      <x:c r="J13" s="2"/>
      <x:c r="K13" s="2"/>
      <x:c r="L13" s="2"/>
      <x:c r="M13" s="2"/>
      <x:c r="N13" s="2"/>
      <x:c r="O13" s="2"/>
      <x:c r="P13" s="2"/>
      <x:c r="Q13" s="2"/>
      <x:c r="R13" s="2"/>
      <x:c r="S13" s="2"/>
      <x:c r="T13" s="2"/>
      <x:c r="U13" s="2"/>
      <x:c r="V13" s="2"/>
      <x:c r="W13" s="2"/>
      <x:c r="X13" s="2"/>
      <x:c r="Y13" s="2"/>
      <x:c r="Z13" s="2"/>
    </x:row>
    <x:row r="14">
      <x:c r="A14" s="2"/>
      <x:c r="B14" s="2"/>
      <x:c r="C14" s="2"/>
      <x:c r="D14" s="74"/>
      <x:c r="E14" s="74"/>
      <x:c r="F14" s="2"/>
      <x:c r="G14" s="2"/>
      <x:c r="H14" s="2"/>
      <x:c r="I14" s="2"/>
      <x:c r="J14" s="2"/>
      <x:c r="K14" s="2"/>
      <x:c r="L14" s="2"/>
      <x:c r="M14" s="2"/>
      <x:c r="N14" s="2"/>
      <x:c r="O14" s="2"/>
      <x:c r="P14" s="2"/>
      <x:c r="Q14" s="2"/>
      <x:c r="R14" s="2"/>
      <x:c r="S14" s="2"/>
      <x:c r="T14" s="2"/>
      <x:c r="U14" s="2"/>
      <x:c r="V14" s="2"/>
      <x:c r="W14" s="2"/>
      <x:c r="X14" s="2"/>
      <x:c r="Y14" s="2"/>
      <x:c r="Z14" s="2"/>
    </x:row>
    <x:row r="15">
      <x:c r="A15" s="2"/>
      <x:c r="B15" s="2"/>
      <x:c r="C15" s="2"/>
      <x:c r="D15" s="74"/>
      <x:c r="E15" s="74"/>
      <x:c r="F15" s="2"/>
      <x:c r="G15" s="2"/>
      <x:c r="H15" s="2"/>
      <x:c r="I15" s="2"/>
      <x:c r="J15" s="2"/>
      <x:c r="K15" s="2"/>
      <x:c r="L15" s="2"/>
      <x:c r="M15" s="2"/>
      <x:c r="N15" s="2"/>
      <x:c r="O15" s="2"/>
      <x:c r="P15" s="2"/>
      <x:c r="Q15" s="2"/>
      <x:c r="R15" s="2"/>
      <x:c r="S15" s="2"/>
      <x:c r="T15" s="2"/>
      <x:c r="U15" s="2"/>
      <x:c r="V15" s="2"/>
      <x:c r="W15" s="2"/>
      <x:c r="X15" s="2"/>
      <x:c r="Y15" s="2"/>
      <x:c r="Z15" s="2"/>
    </x:row>
    <x:row r="16">
      <x:c r="A16" s="2"/>
      <x:c r="B16" s="2"/>
      <x:c r="C16" s="8" t="str">
        <x:v>Monthly channel and supply schedule</x:v>
      </x:c>
      <x:c r="D16" s="75"/>
      <x:c r="E16" s="75"/>
      <x:c r="F16" s="8"/>
      <x:c r="G16" s="8"/>
      <x:c r="H16" s="2"/>
      <x:c r="I16" s="2"/>
      <x:c r="J16" s="2"/>
      <x:c r="K16" s="2"/>
      <x:c r="L16" s="2"/>
      <x:c r="M16" s="2"/>
      <x:c r="N16" s="2"/>
      <x:c r="O16" s="2"/>
      <x:c r="P16" s="2"/>
      <x:c r="Q16" s="2"/>
      <x:c r="R16" s="2"/>
      <x:c r="S16" s="2"/>
      <x:c r="T16" s="2"/>
      <x:c r="U16" s="2"/>
      <x:c r="V16" s="2"/>
      <x:c r="W16" s="2"/>
      <x:c r="X16" s="2"/>
      <x:c r="Y16" s="2"/>
      <x:c r="Z16" s="2"/>
    </x:row>
    <x:row r="17">
      <x:c r="A17" s="2"/>
      <x:c r="B17" s="2"/>
      <x:c r="C17" s="28" t="str">
        <x:v>Month</x:v>
      </x:c>
      <x:c r="D17" s="69" t="str">
        <x:v>Ending inventory days</x:v>
      </x:c>
      <x:c r="E17" s="69" t="str">
        <x:v>Wholesale ceiling</x:v>
      </x:c>
      <x:c r="F17" s="29" t="str">
        <x:v>Comment</x:v>
      </x:c>
      <x:c r="G17" s="2"/>
      <x:c r="H17" s="2"/>
      <x:c r="I17" s="2"/>
      <x:c r="J17" s="2"/>
      <x:c r="K17" s="2"/>
      <x:c r="L17" s="2"/>
      <x:c r="M17" s="2"/>
      <x:c r="N17" s="2"/>
      <x:c r="O17" s="2"/>
      <x:c r="P17" s="2"/>
      <x:c r="Q17" s="2"/>
      <x:c r="R17" s="2"/>
      <x:c r="S17" s="2"/>
      <x:c r="T17" s="2"/>
      <x:c r="U17" s="2"/>
      <x:c r="V17" s="2"/>
      <x:c r="W17" s="2"/>
      <x:c r="X17" s="2"/>
      <x:c r="Y17" s="2"/>
      <x:c r="Z17" s="2"/>
    </x:row>
    <x:row r="18">
      <x:c r="A18" s="2"/>
      <x:c r="B18" s="2"/>
      <x:c r="C18" s="43" t="n">
        <x:v>46266</x:v>
      </x:c>
      <x:c r="D18" s="85" t="n">
        <x:v>40</x:v>
      </x:c>
      <x:c r="E18" s="88" t="n">
        <x:f>$D$13</x:f>
        <x:v>525000</x:v>
      </x:c>
      <x:c r="F18" s="2" t="str">
        <x:v>Festive stocking peak</x:v>
      </x:c>
      <x:c r="G18" s="2"/>
      <x:c r="H18" s="2"/>
      <x:c r="I18" s="2"/>
      <x:c r="J18" s="2"/>
      <x:c r="K18" s="2"/>
      <x:c r="L18" s="2"/>
      <x:c r="M18" s="2"/>
      <x:c r="N18" s="2"/>
      <x:c r="O18" s="2"/>
      <x:c r="P18" s="2"/>
      <x:c r="Q18" s="2"/>
      <x:c r="R18" s="2"/>
      <x:c r="S18" s="2"/>
      <x:c r="T18" s="2"/>
      <x:c r="U18" s="2"/>
      <x:c r="V18" s="2"/>
      <x:c r="W18" s="2"/>
      <x:c r="X18" s="2"/>
      <x:c r="Y18" s="2"/>
      <x:c r="Z18" s="2"/>
    </x:row>
    <x:row r="19">
      <x:c r="A19" s="2"/>
      <x:c r="B19" s="2"/>
      <x:c r="C19" s="43" t="n">
        <x:v>46296</x:v>
      </x:c>
      <x:c r="D19" s="85" t="n">
        <x:v>37</x:v>
      </x:c>
      <x:c r="E19" s="88" t="n">
        <x:f>$D$13</x:f>
        <x:v>525000</x:v>
      </x:c>
      <x:c r="F19" s="2" t="str"/>
      <x:c r="G19" s="2"/>
      <x:c r="H19" s="2"/>
      <x:c r="I19" s="2"/>
      <x:c r="J19" s="2"/>
      <x:c r="K19" s="2"/>
      <x:c r="L19" s="2"/>
      <x:c r="M19" s="2"/>
      <x:c r="N19" s="2"/>
      <x:c r="O19" s="2"/>
      <x:c r="P19" s="2"/>
      <x:c r="Q19" s="2"/>
      <x:c r="R19" s="2"/>
      <x:c r="S19" s="2"/>
      <x:c r="T19" s="2"/>
      <x:c r="U19" s="2"/>
      <x:c r="V19" s="2"/>
      <x:c r="W19" s="2"/>
      <x:c r="X19" s="2"/>
      <x:c r="Y19" s="2"/>
      <x:c r="Z19" s="2"/>
    </x:row>
    <x:row r="20">
      <x:c r="A20" s="2"/>
      <x:c r="B20" s="2"/>
      <x:c r="C20" s="43" t="n">
        <x:v>46327</x:v>
      </x:c>
      <x:c r="D20" s="85" t="n">
        <x:v>34</x:v>
      </x:c>
      <x:c r="E20" s="88" t="n">
        <x:f>$D$13</x:f>
        <x:v>525000</x:v>
      </x:c>
      <x:c r="F20" s="2" t="str"/>
      <x:c r="G20" s="2"/>
      <x:c r="H20" s="2"/>
      <x:c r="I20" s="2"/>
      <x:c r="J20" s="2"/>
      <x:c r="K20" s="2"/>
      <x:c r="L20" s="2"/>
      <x:c r="M20" s="2"/>
      <x:c r="N20" s="2"/>
      <x:c r="O20" s="2"/>
      <x:c r="P20" s="2"/>
      <x:c r="Q20" s="2"/>
      <x:c r="R20" s="2"/>
      <x:c r="S20" s="2"/>
      <x:c r="T20" s="2"/>
      <x:c r="U20" s="2"/>
      <x:c r="V20" s="2"/>
      <x:c r="W20" s="2"/>
      <x:c r="X20" s="2"/>
      <x:c r="Y20" s="2"/>
      <x:c r="Z20" s="2"/>
    </x:row>
    <x:row r="21">
      <x:c r="A21" s="2"/>
      <x:c r="B21" s="2"/>
      <x:c r="C21" s="43" t="n">
        <x:v>46357</x:v>
      </x:c>
      <x:c r="D21" s="85" t="n">
        <x:v>32</x:v>
      </x:c>
      <x:c r="E21" s="88" t="n">
        <x:f>$D$13</x:f>
        <x:v>525000</x:v>
      </x:c>
      <x:c r="F21" s="2" t="str"/>
      <x:c r="G21" s="2"/>
      <x:c r="H21" s="2"/>
      <x:c r="I21" s="2"/>
      <x:c r="J21" s="2"/>
      <x:c r="K21" s="2"/>
      <x:c r="L21" s="2"/>
      <x:c r="M21" s="2"/>
      <x:c r="N21" s="2"/>
      <x:c r="O21" s="2"/>
      <x:c r="P21" s="2"/>
      <x:c r="Q21" s="2"/>
      <x:c r="R21" s="2"/>
      <x:c r="S21" s="2"/>
      <x:c r="T21" s="2"/>
      <x:c r="U21" s="2"/>
      <x:c r="V21" s="2"/>
      <x:c r="W21" s="2"/>
      <x:c r="X21" s="2"/>
      <x:c r="Y21" s="2"/>
      <x:c r="Z21" s="2"/>
    </x:row>
    <x:row r="22">
      <x:c r="A22" s="2"/>
      <x:c r="B22" s="2"/>
      <x:c r="C22" s="43" t="n">
        <x:v>46388</x:v>
      </x:c>
      <x:c r="D22" s="85" t="n">
        <x:v>30</x:v>
      </x:c>
      <x:c r="E22" s="88" t="n">
        <x:f>$D$13</x:f>
        <x:v>525000</x:v>
      </x:c>
      <x:c r="F22" s="2" t="str"/>
      <x:c r="G22" s="2"/>
      <x:c r="H22" s="2"/>
      <x:c r="I22" s="2"/>
      <x:c r="J22" s="2"/>
      <x:c r="K22" s="2"/>
      <x:c r="L22" s="2"/>
      <x:c r="M22" s="2"/>
      <x:c r="N22" s="2"/>
      <x:c r="O22" s="2"/>
      <x:c r="P22" s="2"/>
      <x:c r="Q22" s="2"/>
      <x:c r="R22" s="2"/>
      <x:c r="S22" s="2"/>
      <x:c r="T22" s="2"/>
      <x:c r="U22" s="2"/>
      <x:c r="V22" s="2"/>
      <x:c r="W22" s="2"/>
      <x:c r="X22" s="2"/>
      <x:c r="Y22" s="2"/>
      <x:c r="Z22" s="2"/>
    </x:row>
    <x:row r="23">
      <x:c r="A23" s="2"/>
      <x:c r="B23" s="2"/>
      <x:c r="C23" s="43" t="n">
        <x:v>46419</x:v>
      </x:c>
      <x:c r="D23" s="85" t="n">
        <x:v>29</x:v>
      </x:c>
      <x:c r="E23" s="88" t="n">
        <x:f>$D$13</x:f>
        <x:v>525000</x:v>
      </x:c>
      <x:c r="F23" s="2" t="str"/>
      <x:c r="G23" s="2"/>
      <x:c r="H23" s="2"/>
      <x:c r="I23" s="2"/>
      <x:c r="J23" s="2"/>
      <x:c r="K23" s="2"/>
      <x:c r="L23" s="2"/>
      <x:c r="M23" s="2"/>
      <x:c r="N23" s="2"/>
      <x:c r="O23" s="2"/>
      <x:c r="P23" s="2"/>
      <x:c r="Q23" s="2"/>
      <x:c r="R23" s="2"/>
      <x:c r="S23" s="2"/>
      <x:c r="T23" s="2"/>
      <x:c r="U23" s="2"/>
      <x:c r="V23" s="2"/>
      <x:c r="W23" s="2"/>
      <x:c r="X23" s="2"/>
      <x:c r="Y23" s="2"/>
      <x:c r="Z23" s="2"/>
    </x:row>
    <x:row r="24">
      <x:c r="A24" s="2"/>
      <x:c r="B24" s="2"/>
      <x:c r="C24" s="43" t="n">
        <x:v>46447</x:v>
      </x:c>
      <x:c r="D24" s="85" t="n">
        <x:v>28</x:v>
      </x:c>
      <x:c r="E24" s="88" t="n">
        <x:f>$D$13</x:f>
        <x:v>525000</x:v>
      </x:c>
      <x:c r="F24" s="2" t="str">
        <x:v>Channel normalisation by March</x:v>
      </x:c>
      <x:c r="G24" s="2"/>
      <x:c r="H24" s="2"/>
      <x:c r="I24" s="2"/>
      <x:c r="J24" s="2"/>
      <x:c r="K24" s="2"/>
      <x:c r="L24" s="2"/>
      <x:c r="M24" s="2"/>
      <x:c r="N24" s="2"/>
      <x:c r="O24" s="2"/>
      <x:c r="P24" s="2"/>
      <x:c r="Q24" s="2"/>
      <x:c r="R24" s="2"/>
      <x:c r="S24" s="2"/>
      <x:c r="T24" s="2"/>
      <x:c r="U24" s="2"/>
      <x:c r="V24" s="2"/>
      <x:c r="W24" s="2"/>
      <x:c r="X24" s="2"/>
      <x:c r="Y24" s="2"/>
      <x:c r="Z24" s="2"/>
    </x:row>
    <x:row r="25">
      <x:c r="A25" s="2"/>
      <x:c r="B25" s="2"/>
      <x:c r="C25" s="43" t="n">
        <x:v>46478</x:v>
      </x:c>
      <x:c r="D25" s="85" t="n">
        <x:v>28</x:v>
      </x:c>
      <x:c r="E25" s="88" t="n">
        <x:f>$E$13</x:f>
        <x:v>580000</x:v>
      </x:c>
      <x:c r="F25" s="2" t="str"/>
      <x:c r="G25" s="2"/>
      <x:c r="H25" s="2"/>
      <x:c r="I25" s="2"/>
      <x:c r="J25" s="2"/>
      <x:c r="K25" s="2"/>
      <x:c r="L25" s="2"/>
      <x:c r="M25" s="2"/>
      <x:c r="N25" s="2"/>
      <x:c r="O25" s="2"/>
      <x:c r="P25" s="2"/>
      <x:c r="Q25" s="2"/>
      <x:c r="R25" s="2"/>
      <x:c r="S25" s="2"/>
      <x:c r="T25" s="2"/>
      <x:c r="U25" s="2"/>
      <x:c r="V25" s="2"/>
      <x:c r="W25" s="2"/>
      <x:c r="X25" s="2"/>
      <x:c r="Y25" s="2"/>
      <x:c r="Z25" s="2"/>
    </x:row>
    <x:row r="26">
      <x:c r="A26" s="2"/>
      <x:c r="B26" s="2"/>
      <x:c r="C26" s="43" t="n">
        <x:v>46508</x:v>
      </x:c>
      <x:c r="D26" s="85" t="n">
        <x:v>28</x:v>
      </x:c>
      <x:c r="E26" s="88" t="n">
        <x:f>$E$13</x:f>
        <x:v>580000</x:v>
      </x:c>
      <x:c r="F26" s="2" t="str"/>
      <x:c r="G26" s="2"/>
      <x:c r="H26" s="2"/>
      <x:c r="I26" s="2"/>
      <x:c r="J26" s="2"/>
      <x:c r="K26" s="2"/>
      <x:c r="L26" s="2"/>
      <x:c r="M26" s="2"/>
      <x:c r="N26" s="2"/>
      <x:c r="O26" s="2"/>
      <x:c r="P26" s="2"/>
      <x:c r="Q26" s="2"/>
      <x:c r="R26" s="2"/>
      <x:c r="S26" s="2"/>
      <x:c r="T26" s="2"/>
      <x:c r="U26" s="2"/>
      <x:c r="V26" s="2"/>
      <x:c r="W26" s="2"/>
      <x:c r="X26" s="2"/>
      <x:c r="Y26" s="2"/>
      <x:c r="Z26" s="2"/>
    </x:row>
    <x:row r="27">
      <x:c r="A27" s="2"/>
      <x:c r="B27" s="2"/>
      <x:c r="C27" s="43" t="n">
        <x:v>46539</x:v>
      </x:c>
      <x:c r="D27" s="85" t="n">
        <x:v>28</x:v>
      </x:c>
      <x:c r="E27" s="88" t="n">
        <x:f>$E$13</x:f>
        <x:v>580000</x:v>
      </x:c>
      <x:c r="F27" s="2" t="str"/>
      <x:c r="G27" s="2"/>
      <x:c r="H27" s="2"/>
      <x:c r="I27" s="2"/>
      <x:c r="J27" s="2"/>
      <x:c r="K27" s="2"/>
      <x:c r="L27" s="2"/>
      <x:c r="M27" s="2"/>
      <x:c r="N27" s="2"/>
      <x:c r="O27" s="2"/>
      <x:c r="P27" s="2"/>
      <x:c r="Q27" s="2"/>
      <x:c r="R27" s="2"/>
      <x:c r="S27" s="2"/>
      <x:c r="T27" s="2"/>
      <x:c r="U27" s="2"/>
      <x:c r="V27" s="2"/>
      <x:c r="W27" s="2"/>
      <x:c r="X27" s="2"/>
      <x:c r="Y27" s="2"/>
      <x:c r="Z27" s="2"/>
    </x:row>
    <x:row r="28">
      <x:c r="A28" s="2"/>
      <x:c r="B28" s="2"/>
      <x:c r="C28" s="43" t="n">
        <x:v>46569</x:v>
      </x:c>
      <x:c r="D28" s="85" t="n">
        <x:v>28</x:v>
      </x:c>
      <x:c r="E28" s="88" t="n">
        <x:f>$E$13</x:f>
        <x:v>580000</x:v>
      </x:c>
      <x:c r="F28" s="2" t="str"/>
      <x:c r="G28" s="2"/>
      <x:c r="H28" s="2"/>
      <x:c r="I28" s="2"/>
      <x:c r="J28" s="2"/>
      <x:c r="K28" s="2"/>
      <x:c r="L28" s="2"/>
      <x:c r="M28" s="2"/>
      <x:c r="N28" s="2"/>
      <x:c r="O28" s="2"/>
      <x:c r="P28" s="2"/>
      <x:c r="Q28" s="2"/>
      <x:c r="R28" s="2"/>
      <x:c r="S28" s="2"/>
      <x:c r="T28" s="2"/>
      <x:c r="U28" s="2"/>
      <x:c r="V28" s="2"/>
      <x:c r="W28" s="2"/>
      <x:c r="X28" s="2"/>
      <x:c r="Y28" s="2"/>
      <x:c r="Z28" s="2"/>
    </x:row>
    <x:row r="29">
      <x:c r="A29" s="2"/>
      <x:c r="B29" s="2"/>
      <x:c r="C29" s="43" t="n">
        <x:v>46600</x:v>
      </x:c>
      <x:c r="D29" s="85" t="n">
        <x:v>28</x:v>
      </x:c>
      <x:c r="E29" s="88" t="n">
        <x:f>$E$13</x:f>
        <x:v>580000</x:v>
      </x:c>
      <x:c r="F29" s="2" t="str"/>
      <x:c r="G29" s="2"/>
      <x:c r="H29" s="2"/>
      <x:c r="I29" s="2"/>
      <x:c r="J29" s="2"/>
      <x:c r="K29" s="2"/>
      <x:c r="L29" s="2"/>
      <x:c r="M29" s="2"/>
      <x:c r="N29" s="2"/>
      <x:c r="O29" s="2"/>
      <x:c r="P29" s="2"/>
      <x:c r="Q29" s="2"/>
      <x:c r="R29" s="2"/>
      <x:c r="S29" s="2"/>
      <x:c r="T29" s="2"/>
      <x:c r="U29" s="2"/>
      <x:c r="V29" s="2"/>
      <x:c r="W29" s="2"/>
      <x:c r="X29" s="2"/>
      <x:c r="Y29" s="2"/>
      <x:c r="Z29" s="2"/>
    </x:row>
    <x:row r="30">
      <x:c r="A30" s="2"/>
      <x:c r="B30" s="2"/>
      <x:c r="C30" s="43" t="n">
        <x:v>46631</x:v>
      </x:c>
      <x:c r="D30" s="85" t="n">
        <x:v>28</x:v>
      </x:c>
      <x:c r="E30" s="88" t="n">
        <x:f>$E$13</x:f>
        <x:v>580000</x:v>
      </x:c>
      <x:c r="F30" s="2" t="str"/>
      <x:c r="G30" s="2"/>
      <x:c r="H30" s="2"/>
      <x:c r="I30" s="2"/>
      <x:c r="J30" s="2"/>
      <x:c r="K30" s="2"/>
      <x:c r="L30" s="2"/>
      <x:c r="M30" s="2"/>
      <x:c r="N30" s="2"/>
      <x:c r="O30" s="2"/>
      <x:c r="P30" s="2"/>
      <x:c r="Q30" s="2"/>
      <x:c r="R30" s="2"/>
      <x:c r="S30" s="2"/>
      <x:c r="T30" s="2"/>
      <x:c r="U30" s="2"/>
      <x:c r="V30" s="2"/>
      <x:c r="W30" s="2"/>
      <x:c r="X30" s="2"/>
      <x:c r="Y30" s="2"/>
      <x:c r="Z30" s="2"/>
    </x:row>
    <x:row r="31">
      <x:c r="A31" s="2"/>
      <x:c r="B31" s="2"/>
      <x:c r="C31" s="43" t="n">
        <x:v>46661</x:v>
      </x:c>
      <x:c r="D31" s="85" t="n">
        <x:v>28</x:v>
      </x:c>
      <x:c r="E31" s="88" t="n">
        <x:f>$E$13</x:f>
        <x:v>580000</x:v>
      </x:c>
      <x:c r="F31" s="2" t="str"/>
      <x:c r="G31" s="2"/>
      <x:c r="H31" s="2"/>
      <x:c r="I31" s="2"/>
      <x:c r="J31" s="2"/>
      <x:c r="K31" s="2"/>
      <x:c r="L31" s="2"/>
      <x:c r="M31" s="2"/>
      <x:c r="N31" s="2"/>
      <x:c r="O31" s="2"/>
      <x:c r="P31" s="2"/>
      <x:c r="Q31" s="2"/>
      <x:c r="R31" s="2"/>
      <x:c r="S31" s="2"/>
      <x:c r="T31" s="2"/>
      <x:c r="U31" s="2"/>
      <x:c r="V31" s="2"/>
      <x:c r="W31" s="2"/>
      <x:c r="X31" s="2"/>
      <x:c r="Y31" s="2"/>
      <x:c r="Z31" s="2"/>
    </x:row>
    <x:row r="32">
      <x:c r="A32" s="2"/>
      <x:c r="B32" s="2"/>
      <x:c r="C32" s="43" t="n">
        <x:v>46692</x:v>
      </x:c>
      <x:c r="D32" s="85" t="n">
        <x:v>28</x:v>
      </x:c>
      <x:c r="E32" s="88" t="n">
        <x:f>$E$13</x:f>
        <x:v>580000</x:v>
      </x:c>
      <x:c r="F32" s="2" t="str"/>
      <x:c r="G32" s="2"/>
      <x:c r="H32" s="2"/>
      <x:c r="I32" s="2"/>
      <x:c r="J32" s="2"/>
      <x:c r="K32" s="2"/>
      <x:c r="L32" s="2"/>
      <x:c r="M32" s="2"/>
      <x:c r="N32" s="2"/>
      <x:c r="O32" s="2"/>
      <x:c r="P32" s="2"/>
      <x:c r="Q32" s="2"/>
      <x:c r="R32" s="2"/>
      <x:c r="S32" s="2"/>
      <x:c r="T32" s="2"/>
      <x:c r="U32" s="2"/>
      <x:c r="V32" s="2"/>
      <x:c r="W32" s="2"/>
      <x:c r="X32" s="2"/>
      <x:c r="Y32" s="2"/>
      <x:c r="Z32" s="2"/>
    </x:row>
    <x:row r="33">
      <x:c r="A33" s="2"/>
      <x:c r="B33" s="2"/>
      <x:c r="C33" s="43" t="n">
        <x:v>46722</x:v>
      </x:c>
      <x:c r="D33" s="85" t="n">
        <x:v>28</x:v>
      </x:c>
      <x:c r="E33" s="88" t="n">
        <x:f>$E$13</x:f>
        <x:v>580000</x:v>
      </x:c>
      <x:c r="F33" s="2" t="str"/>
      <x:c r="G33" s="2"/>
      <x:c r="H33" s="2"/>
      <x:c r="I33" s="2"/>
      <x:c r="J33" s="2"/>
      <x:c r="K33" s="2"/>
      <x:c r="L33" s="2"/>
      <x:c r="M33" s="2"/>
      <x:c r="N33" s="2"/>
      <x:c r="O33" s="2"/>
      <x:c r="P33" s="2"/>
      <x:c r="Q33" s="2"/>
      <x:c r="R33" s="2"/>
      <x:c r="S33" s="2"/>
      <x:c r="T33" s="2"/>
      <x:c r="U33" s="2"/>
      <x:c r="V33" s="2"/>
      <x:c r="W33" s="2"/>
      <x:c r="X33" s="2"/>
      <x:c r="Y33" s="2"/>
      <x:c r="Z33" s="2"/>
    </x:row>
    <x:row r="34">
      <x:c r="A34" s="2"/>
      <x:c r="B34" s="2"/>
      <x:c r="C34" s="43" t="n">
        <x:v>46753</x:v>
      </x:c>
      <x:c r="D34" s="85" t="n">
        <x:v>28</x:v>
      </x:c>
      <x:c r="E34" s="88" t="n">
        <x:f>$E$13</x:f>
        <x:v>580000</x:v>
      </x:c>
      <x:c r="F34" s="2" t="str"/>
      <x:c r="G34" s="2"/>
      <x:c r="H34" s="2"/>
      <x:c r="I34" s="2"/>
      <x:c r="J34" s="2"/>
      <x:c r="K34" s="2"/>
      <x:c r="L34" s="2"/>
      <x:c r="M34" s="2"/>
      <x:c r="N34" s="2"/>
      <x:c r="O34" s="2"/>
      <x:c r="P34" s="2"/>
      <x:c r="Q34" s="2"/>
      <x:c r="R34" s="2"/>
      <x:c r="S34" s="2"/>
      <x:c r="T34" s="2"/>
      <x:c r="U34" s="2"/>
      <x:c r="V34" s="2"/>
      <x:c r="W34" s="2"/>
      <x:c r="X34" s="2"/>
      <x:c r="Y34" s="2"/>
      <x:c r="Z34" s="2"/>
    </x:row>
    <x:row r="35">
      <x:c r="A35" s="2"/>
      <x:c r="B35" s="2"/>
      <x:c r="C35" s="43" t="n">
        <x:v>46784</x:v>
      </x:c>
      <x:c r="D35" s="85" t="n">
        <x:v>28</x:v>
      </x:c>
      <x:c r="E35" s="88" t="n">
        <x:f>$E$13</x:f>
        <x:v>580000</x:v>
      </x:c>
      <x:c r="F35" s="2" t="str"/>
      <x:c r="G35" s="2"/>
      <x:c r="H35" s="2"/>
      <x:c r="I35" s="2"/>
      <x:c r="J35" s="2"/>
      <x:c r="K35" s="2"/>
      <x:c r="L35" s="2"/>
      <x:c r="M35" s="2"/>
      <x:c r="N35" s="2"/>
      <x:c r="O35" s="2"/>
      <x:c r="P35" s="2"/>
      <x:c r="Q35" s="2"/>
      <x:c r="R35" s="2"/>
      <x:c r="S35" s="2"/>
      <x:c r="T35" s="2"/>
      <x:c r="U35" s="2"/>
      <x:c r="V35" s="2"/>
      <x:c r="W35" s="2"/>
      <x:c r="X35" s="2"/>
      <x:c r="Y35" s="2"/>
      <x:c r="Z35" s="2"/>
    </x:row>
    <x:row r="36">
      <x:c r="A36" s="2"/>
      <x:c r="B36" s="2"/>
      <x:c r="C36" s="43" t="n">
        <x:v>46813</x:v>
      </x:c>
      <x:c r="D36" s="85" t="n">
        <x:v>28</x:v>
      </x:c>
      <x:c r="E36" s="88" t="n">
        <x:f>$E$13</x:f>
        <x:v>580000</x:v>
      </x:c>
      <x:c r="F36" s="2" t="str"/>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sheetData>
  <x:pageMargins left="0.7" right="0.7" top="0.75" bottom="0.75" header="0.3" footer="0.3"/>
</x:worksheet>
</file>