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comments5.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 ME" sheetId="1" state="visible" r:id="rId3"/>
    <sheet name="Issues" sheetId="2" state="visible" r:id="rId4"/>
    <sheet name="Industry launches and cap" sheetId="3" state="hidden" r:id="rId5"/>
    <sheet name="Est vs Act" sheetId="4" state="visible" r:id="rId6"/>
    <sheet name="Main Model" sheetId="5" state="visible" r:id="rId7"/>
    <sheet name="New Qrtrly - Ind AS" sheetId="6" state="visible" r:id="rId8"/>
    <sheet name="New Qrtrly" sheetId="7" state="visible" r:id="rId9"/>
    <sheet name="mcTempChartDataSheet" sheetId="8" state="hidden" r:id="rId10"/>
    <sheet name="DCF" sheetId="9" state="hidden" r:id="rId11"/>
    <sheet name="Comments" sheetId="10" state="hidden" r:id="rId12"/>
  </sheets>
  <definedNames>
    <definedName function="false" hidden="false" localSheetId="4" name="_xlnm.Print_Area" vbProcedure="false">'Main Model'!$A$3:$X$1042</definedName>
    <definedName function="false" hidden="false" localSheetId="6" name="_xlnm.Print_Area" vbProcedure="false">'New Qrtrly'!$A$1:$O$75</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A82" authorId="0">
      <text>
        <r>
          <rPr>
            <sz val="10"/>
            <rFont val="Arial"/>
            <family val="2"/>
          </rPr>
          <t xml:space="preserve">jd57062:
on net sales</t>
        </r>
      </text>
    </comment>
    <comment ref="A381" authorId="0">
      <text>
        <r>
          <rPr>
            <sz val="10"/>
            <rFont val="Arial"/>
            <family val="2"/>
          </rPr>
          <t xml:space="preserve">as20950:
for Ex Dost FY12 onwards</t>
        </r>
      </text>
    </comment>
    <comment ref="A386" authorId="0">
      <text>
        <r>
          <rPr>
            <sz val="10"/>
            <rFont val="Arial"/>
            <family val="2"/>
          </rPr>
          <t xml:space="preserve">as20950:
Assume all Dost</t>
        </r>
      </text>
    </comment>
    <comment ref="A387" authorId="0">
      <text>
        <r>
          <rPr>
            <sz val="10"/>
            <rFont val="Arial"/>
            <family val="2"/>
          </rPr>
          <t xml:space="preserve">as20950:
Assume all Dost</t>
        </r>
      </text>
    </comment>
    <comment ref="A420" authorId="0">
      <text>
        <r>
          <rPr>
            <sz val="10"/>
            <rFont val="Arial"/>
            <family val="2"/>
          </rPr>
          <t xml:space="preserve">as20950:
Revenue from services and others are in the Other Income to tally with the years before FY12</t>
        </r>
      </text>
    </comment>
    <comment ref="A802" authorId="0">
      <text>
        <r>
          <rPr>
            <sz val="10"/>
            <rFont val="Arial"/>
            <family val="2"/>
          </rPr>
          <t xml:space="preserve">as20950:
part of current liabilities in new format…it is called short term borrowings</t>
        </r>
      </text>
    </comment>
    <comment ref="A808" authorId="0">
      <text>
        <r>
          <rPr>
            <sz val="10"/>
            <rFont val="Arial"/>
            <family val="2"/>
          </rPr>
          <t xml:space="preserve">Sharma, Arvind1 [ICG-RSCH]:
Interest free
sales tax loans</t>
        </r>
      </text>
    </comment>
    <comment ref="A970" authorId="0">
      <text>
        <r>
          <rPr>
            <sz val="10"/>
            <rFont val="Arial"/>
            <family val="2"/>
          </rPr>
          <t xml:space="preserve">Jamshed Dadabhoy:
indicates the extent of the other income</t>
        </r>
      </text>
    </comment>
    <comment ref="A975" authorId="0">
      <text>
        <r>
          <rPr>
            <sz val="10"/>
            <rFont val="Arial"/>
            <family val="2"/>
          </rPr>
          <t xml:space="preserve">Jamshed Dadabhoy:
normal PAT, not pre exceptional PAT</t>
        </r>
      </text>
    </comment>
    <comment ref="B84" authorId="0">
      <text>
        <r>
          <rPr>
            <sz val="10"/>
            <rFont val="Arial"/>
            <family val="2"/>
          </rPr>
          <t xml:space="preserve">as20950:
</t>
        </r>
      </text>
    </comment>
    <comment ref="B89" authorId="0">
      <text>
        <r>
          <rPr>
            <sz val="10"/>
            <rFont val="Arial"/>
            <family val="2"/>
          </rPr>
          <t xml:space="preserve">as20950:
</t>
        </r>
      </text>
    </comment>
    <comment ref="C84" authorId="0">
      <text>
        <r>
          <rPr>
            <sz val="10"/>
            <rFont val="Arial"/>
            <family val="2"/>
          </rPr>
          <t xml:space="preserve">as20950:
</t>
        </r>
      </text>
    </comment>
    <comment ref="C89" authorId="0">
      <text>
        <r>
          <rPr>
            <sz val="10"/>
            <rFont val="Arial"/>
            <family val="2"/>
          </rPr>
          <t xml:space="preserve">as20950:
</t>
        </r>
      </text>
    </comment>
    <comment ref="D84" authorId="0">
      <text>
        <r>
          <rPr>
            <sz val="10"/>
            <rFont val="Arial"/>
            <family val="2"/>
          </rPr>
          <t xml:space="preserve">as20950:
</t>
        </r>
      </text>
    </comment>
    <comment ref="D89" authorId="0">
      <text>
        <r>
          <rPr>
            <sz val="10"/>
            <rFont val="Arial"/>
            <family val="2"/>
          </rPr>
          <t xml:space="preserve">as20950:
</t>
        </r>
      </text>
    </comment>
    <comment ref="E84" authorId="0">
      <text>
        <r>
          <rPr>
            <sz val="10"/>
            <rFont val="Arial"/>
            <family val="2"/>
          </rPr>
          <t xml:space="preserve">as20950:
</t>
        </r>
      </text>
    </comment>
    <comment ref="E89" authorId="0">
      <text>
        <r>
          <rPr>
            <sz val="10"/>
            <rFont val="Arial"/>
            <family val="2"/>
          </rPr>
          <t xml:space="preserve">as20950:
</t>
        </r>
      </text>
    </comment>
    <comment ref="F84" authorId="0">
      <text>
        <r>
          <rPr>
            <sz val="10"/>
            <rFont val="Arial"/>
            <family val="2"/>
          </rPr>
          <t xml:space="preserve">as20950:
</t>
        </r>
      </text>
    </comment>
    <comment ref="F89" authorId="0">
      <text>
        <r>
          <rPr>
            <sz val="10"/>
            <rFont val="Arial"/>
            <family val="2"/>
          </rPr>
          <t xml:space="preserve">as20950:
</t>
        </r>
      </text>
    </comment>
    <comment ref="G84" authorId="0">
      <text>
        <r>
          <rPr>
            <sz val="10"/>
            <rFont val="Arial"/>
            <family val="2"/>
          </rPr>
          <t xml:space="preserve">as20950:
</t>
        </r>
      </text>
    </comment>
    <comment ref="G89" authorId="0">
      <text>
        <r>
          <rPr>
            <sz val="10"/>
            <rFont val="Arial"/>
            <family val="2"/>
          </rPr>
          <t xml:space="preserve">as20950:
</t>
        </r>
      </text>
    </comment>
    <comment ref="H84" authorId="0">
      <text>
        <r>
          <rPr>
            <sz val="10"/>
            <rFont val="Arial"/>
            <family val="2"/>
          </rPr>
          <t xml:space="preserve">as20950:
</t>
        </r>
      </text>
    </comment>
    <comment ref="H89" authorId="0">
      <text>
        <r>
          <rPr>
            <sz val="10"/>
            <rFont val="Arial"/>
            <family val="2"/>
          </rPr>
          <t xml:space="preserve">as20950:
</t>
        </r>
      </text>
    </comment>
    <comment ref="H369" authorId="0">
      <text>
        <r>
          <rPr>
            <sz val="10"/>
            <rFont val="Arial"/>
            <family val="2"/>
          </rPr>
          <t xml:space="preserve">Jamshed Dadabhoy:
does not tally with AR nos - these nos are from his sales volumes
</t>
        </r>
      </text>
    </comment>
    <comment ref="I84" authorId="0">
      <text>
        <r>
          <rPr>
            <sz val="10"/>
            <rFont val="Arial"/>
            <family val="2"/>
          </rPr>
          <t xml:space="preserve">as20950:
</t>
        </r>
      </text>
    </comment>
    <comment ref="I89" authorId="0">
      <text>
        <r>
          <rPr>
            <sz val="10"/>
            <rFont val="Arial"/>
            <family val="2"/>
          </rPr>
          <t xml:space="preserve">as20950:
</t>
        </r>
      </text>
    </comment>
    <comment ref="J84" authorId="0">
      <text>
        <r>
          <rPr>
            <sz val="10"/>
            <rFont val="Arial"/>
            <family val="2"/>
          </rPr>
          <t xml:space="preserve">as20950:
</t>
        </r>
      </text>
    </comment>
    <comment ref="J89" authorId="0">
      <text>
        <r>
          <rPr>
            <sz val="10"/>
            <rFont val="Arial"/>
            <family val="2"/>
          </rPr>
          <t xml:space="preserve">as20950:
</t>
        </r>
      </text>
    </comment>
    <comment ref="J677" authorId="0">
      <text>
        <r>
          <rPr>
            <sz val="10"/>
            <rFont val="Arial"/>
            <family val="2"/>
          </rPr>
          <t xml:space="preserve">Jamshed Dadabhoy:
2.5 is the int capitalised</t>
        </r>
      </text>
    </comment>
    <comment ref="K84" authorId="0">
      <text>
        <r>
          <rPr>
            <sz val="10"/>
            <rFont val="Arial"/>
            <family val="2"/>
          </rPr>
          <t xml:space="preserve">as20950:
</t>
        </r>
      </text>
    </comment>
    <comment ref="K89" authorId="0">
      <text>
        <r>
          <rPr>
            <sz val="10"/>
            <rFont val="Arial"/>
            <family val="2"/>
          </rPr>
          <t xml:space="preserve">as20950:
</t>
        </r>
      </text>
    </comment>
    <comment ref="K367" authorId="0">
      <text>
        <r>
          <rPr>
            <sz val="10"/>
            <rFont val="Arial"/>
            <family val="2"/>
          </rPr>
          <t xml:space="preserve">Jamshed Dadabhoy:
issue with currency risk in egypt - deferral of consignments</t>
        </r>
      </text>
    </comment>
    <comment ref="K677" authorId="0">
      <text>
        <r>
          <rPr>
            <sz val="10"/>
            <rFont val="Arial"/>
            <family val="2"/>
          </rPr>
          <t xml:space="preserve">Jamshed Dadabhoy:
17.96 is the int capitalised</t>
        </r>
      </text>
    </comment>
    <comment ref="L84" authorId="0">
      <text>
        <r>
          <rPr>
            <sz val="10"/>
            <rFont val="Arial"/>
            <family val="2"/>
          </rPr>
          <t xml:space="preserve">as20950:
</t>
        </r>
      </text>
    </comment>
    <comment ref="L89" authorId="0">
      <text>
        <r>
          <rPr>
            <sz val="10"/>
            <rFont val="Arial"/>
            <family val="2"/>
          </rPr>
          <t xml:space="preserve">as20950:
</t>
        </r>
      </text>
    </comment>
    <comment ref="L584" authorId="0">
      <text>
        <r>
          <rPr>
            <sz val="10"/>
            <rFont val="Arial"/>
            <family val="2"/>
          </rPr>
          <t xml:space="preserve">Jamshed Dadabhoy:
includes excise duty on movt of F Goods</t>
        </r>
      </text>
    </comment>
    <comment ref="M84" authorId="0">
      <text>
        <r>
          <rPr>
            <sz val="10"/>
            <rFont val="Arial"/>
            <family val="2"/>
          </rPr>
          <t xml:space="preserve">as20950:
</t>
        </r>
      </text>
    </comment>
    <comment ref="M89" authorId="0">
      <text>
        <r>
          <rPr>
            <sz val="10"/>
            <rFont val="Arial"/>
            <family val="2"/>
          </rPr>
          <t xml:space="preserve">as20950:
</t>
        </r>
      </text>
    </comment>
    <comment ref="M453" authorId="0">
      <text>
        <r>
          <rPr>
            <sz val="10"/>
            <rFont val="Arial"/>
            <family val="2"/>
          </rPr>
          <t xml:space="preserve">Jamshed Dadabhoy:
tallies with quarterlies</t>
        </r>
      </text>
    </comment>
    <comment ref="N84" authorId="0">
      <text>
        <r>
          <rPr>
            <sz val="10"/>
            <rFont val="Arial"/>
            <family val="2"/>
          </rPr>
          <t xml:space="preserve">as20950:
</t>
        </r>
      </text>
    </comment>
    <comment ref="N89" authorId="0">
      <text>
        <r>
          <rPr>
            <sz val="10"/>
            <rFont val="Arial"/>
            <family val="2"/>
          </rPr>
          <t xml:space="preserve">as20950:
</t>
        </r>
      </text>
    </comment>
    <comment ref="N276" authorId="0">
      <text>
        <r>
          <rPr>
            <sz val="10"/>
            <rFont val="Arial"/>
            <family val="2"/>
          </rPr>
          <t xml:space="preserve">Jamshed Dadabhoy:
effective cap utiln would be abt 90% since these capacities come on stream in 2nd half</t>
        </r>
      </text>
    </comment>
    <comment ref="N365" authorId="0">
      <text>
        <r>
          <rPr>
            <sz val="10"/>
            <rFont val="Arial"/>
            <family val="2"/>
          </rPr>
          <t xml:space="preserve">James Dadabhoy:
strike screwed the poor bugger</t>
        </r>
      </text>
    </comment>
    <comment ref="N416" authorId="0">
      <text>
        <r>
          <rPr>
            <sz val="10"/>
            <rFont val="Arial"/>
            <family val="2"/>
          </rPr>
          <t xml:space="preserve">Jamshed Dadabhoy:
9% volume increase, 13% increase in realisations</t>
        </r>
      </text>
    </comment>
    <comment ref="N465" authorId="0">
      <text>
        <r>
          <rPr>
            <sz val="10"/>
            <rFont val="Arial"/>
            <family val="2"/>
          </rPr>
          <t xml:space="preserve">Jamshed:
represents the interest earned on B/Rs, deposits and cash discounts earned</t>
        </r>
      </text>
    </comment>
    <comment ref="N472" authorId="0">
      <text>
        <r>
          <rPr>
            <sz val="10"/>
            <rFont val="Arial"/>
            <family val="2"/>
          </rPr>
          <t xml:space="preserve">Jamshed Dadabhoy:
profit on sale of indus ind stake, refer to comments</t>
        </r>
      </text>
    </comment>
    <comment ref="N692" authorId="0">
      <text>
        <r>
          <rPr>
            <sz val="10"/>
            <rFont val="Arial"/>
            <family val="2"/>
          </rPr>
          <t xml:space="preserve">Jamshed:
268 is the profit on sale of partial stake in Indust ind - refer to comments sheet for computations. 186m is the deferred tax write back effected in 4Q when the tax rates were changed from 36.7% to 33.7% - the tax provision has been accordingly adjusted to include the 9mfy05 DTL provision </t>
        </r>
      </text>
    </comment>
    <comment ref="N991" authorId="0">
      <text>
        <r>
          <rPr>
            <sz val="10"/>
            <rFont val="Arial"/>
            <family val="2"/>
          </rPr>
          <t xml:space="preserve">Jamshed:
hard coded - 895 is the provision for tax for the current year - given the changes in tax provisioning, no. has been hard coded</t>
        </r>
      </text>
    </comment>
    <comment ref="O84" authorId="0">
      <text>
        <r>
          <rPr>
            <sz val="10"/>
            <rFont val="Arial"/>
            <family val="2"/>
          </rPr>
          <t xml:space="preserve">as20950:
</t>
        </r>
      </text>
    </comment>
    <comment ref="O89" authorId="0">
      <text>
        <r>
          <rPr>
            <sz val="10"/>
            <rFont val="Arial"/>
            <family val="2"/>
          </rPr>
          <t xml:space="preserve">as20950:
</t>
        </r>
      </text>
    </comment>
    <comment ref="O299" authorId="0">
      <text>
        <r>
          <rPr>
            <sz val="10"/>
            <rFont val="Arial"/>
            <family val="2"/>
          </rPr>
          <t xml:space="preserve">jd57062:
at 61095, growth for the rest of the year (Jan - Mar) is almost 8.2% - possible? Maybe - last minute sales push, export sales - will result in strong base into apr-oct 2006, but v benign from nov 06</t>
        </r>
      </text>
    </comment>
    <comment ref="O365" authorId="0">
      <text>
        <r>
          <rPr>
            <sz val="10"/>
            <rFont val="Arial"/>
            <family val="2"/>
          </rPr>
          <t xml:space="preserve">James Dadabhoy:
fy05 should have been ~ 54000 units - co. has done 58 this yr - aided by the fact that tamo had problems - else might have grown at ~ 1%</t>
        </r>
      </text>
    </comment>
    <comment ref="O381" authorId="0">
      <text>
        <r>
          <rPr>
            <sz val="10"/>
            <rFont val="Arial"/>
            <family val="2"/>
          </rPr>
          <t xml:space="preserve">Jamshed:
huge - more like 6% for euro norms, say 3% for price hike and 3% for change in mix?</t>
        </r>
      </text>
    </comment>
    <comment ref="O402" authorId="0">
      <text>
        <r>
          <rPr>
            <sz val="10"/>
            <rFont val="Arial"/>
            <family val="2"/>
          </rPr>
          <t xml:space="preserve">Jamshed:
is a function of what types sold - looks like a pretty vast product range </t>
        </r>
      </text>
    </comment>
    <comment ref="O464" authorId="0">
      <text>
        <r>
          <rPr>
            <sz val="10"/>
            <rFont val="Arial"/>
            <family val="2"/>
          </rPr>
          <t xml:space="preserve">Jamshed:
see int schedule - pg 60 of the AR</t>
        </r>
      </text>
    </comment>
    <comment ref="O472" authorId="0">
      <text>
        <r>
          <rPr>
            <sz val="10"/>
            <rFont val="Arial"/>
            <family val="2"/>
          </rPr>
          <t xml:space="preserve">Jamshed:
don’t include the sale in ductron here - include it in the exceptional income</t>
        </r>
      </text>
    </comment>
    <comment ref="O692" authorId="0">
      <text>
        <r>
          <rPr>
            <sz val="10"/>
            <rFont val="Arial"/>
            <family val="2"/>
          </rPr>
          <t xml:space="preserve">Jamshed Dadabhoy:
310m is the gain on sale of ductron </t>
        </r>
      </text>
    </comment>
    <comment ref="O707" authorId="0">
      <text>
        <r>
          <rPr>
            <sz val="10"/>
            <rFont val="Arial"/>
            <family val="2"/>
          </rPr>
          <t xml:space="preserve">Jamshed:
the 240 is the post tax impact of the sale of ductron - so this is subtracted. Then for the VRS expense, the post - tax amt is added back</t>
        </r>
      </text>
    </comment>
    <comment ref="O773" authorId="0">
      <text>
        <r>
          <rPr>
            <sz val="10"/>
            <rFont val="Arial"/>
            <family val="2"/>
          </rPr>
          <t xml:space="preserve">Sharma, Arvind1 [ICG-RSCH]:
FCCNs converted</t>
        </r>
      </text>
    </comment>
    <comment ref="O825" authorId="0">
      <text>
        <r>
          <rPr>
            <sz val="10"/>
            <rFont val="Arial"/>
            <family val="2"/>
          </rPr>
          <t xml:space="preserve">Jamshed:
9 cr is net block value of ductron</t>
        </r>
      </text>
    </comment>
    <comment ref="O864" authorId="0">
      <text>
        <r>
          <rPr>
            <sz val="10"/>
            <rFont val="Arial"/>
            <family val="2"/>
          </rPr>
          <t xml:space="preserve">Jamshed:
22cr reduction in advances to ductron</t>
        </r>
      </text>
    </comment>
    <comment ref="P84" authorId="0">
      <text>
        <r>
          <rPr>
            <sz val="10"/>
            <rFont val="Arial"/>
            <family val="2"/>
          </rPr>
          <t xml:space="preserve">as20950:
</t>
        </r>
      </text>
    </comment>
    <comment ref="P89" authorId="0">
      <text>
        <r>
          <rPr>
            <sz val="10"/>
            <rFont val="Arial"/>
            <family val="2"/>
          </rPr>
          <t xml:space="preserve">as20950:
</t>
        </r>
      </text>
    </comment>
    <comment ref="P416" authorId="0">
      <text>
        <r>
          <rPr>
            <sz val="10"/>
            <rFont val="Arial"/>
            <family val="2"/>
          </rPr>
          <t xml:space="preserve">JD57062:
we had 20% growth!!! - substantially lower offtake by VFJ</t>
        </r>
      </text>
    </comment>
    <comment ref="P471" authorId="0">
      <text>
        <r>
          <rPr>
            <sz val="10"/>
            <rFont val="Arial"/>
            <family val="2"/>
          </rPr>
          <t xml:space="preserve">jd57062:
cash discount earned</t>
        </r>
      </text>
    </comment>
    <comment ref="P605" authorId="0">
      <text>
        <r>
          <rPr>
            <sz val="10"/>
            <rFont val="Arial"/>
            <family val="2"/>
          </rPr>
          <t xml:space="preserve">jd57062:
adjustment against reserves - for convenience have kept it here...</t>
        </r>
      </text>
    </comment>
    <comment ref="P677" authorId="0">
      <text>
        <r>
          <rPr>
            <sz val="10"/>
            <rFont val="Arial"/>
            <family val="2"/>
          </rPr>
          <t xml:space="preserve">jd57062:
29.83 is the interest cost that is capitalised</t>
        </r>
      </text>
    </comment>
    <comment ref="P773" authorId="0">
      <text>
        <r>
          <rPr>
            <sz val="10"/>
            <rFont val="Arial"/>
            <family val="2"/>
          </rPr>
          <t xml:space="preserve">Sharma, Arvind1 [ICG-RSCH]:
FCCNs converted</t>
        </r>
      </text>
    </comment>
    <comment ref="P798" authorId="0">
      <text>
        <r>
          <rPr>
            <sz val="10"/>
            <rFont val="Arial"/>
            <family val="2"/>
          </rPr>
          <t xml:space="preserve">jd57062:
most of the FCCB converted</t>
        </r>
      </text>
    </comment>
    <comment ref="P800" authorId="0">
      <text>
        <r>
          <rPr>
            <sz val="10"/>
            <rFont val="Arial"/>
            <family val="2"/>
          </rPr>
          <t xml:space="preserve">jd57062:
the amt subtracted is the value of the convertible</t>
        </r>
      </text>
    </comment>
    <comment ref="Q84" authorId="0">
      <text>
        <r>
          <rPr>
            <sz val="10"/>
            <rFont val="Arial"/>
            <family val="2"/>
          </rPr>
          <t xml:space="preserve">as20950:
</t>
        </r>
      </text>
    </comment>
    <comment ref="Q89" authorId="0">
      <text>
        <r>
          <rPr>
            <sz val="10"/>
            <rFont val="Arial"/>
            <family val="2"/>
          </rPr>
          <t xml:space="preserve">as20950:
</t>
        </r>
      </text>
    </comment>
    <comment ref="Q273" authorId="0">
      <text>
        <r>
          <rPr>
            <sz val="10"/>
            <rFont val="Arial"/>
            <family val="2"/>
          </rPr>
          <t xml:space="preserve">Jamshed:
refer to comments - for the split</t>
        </r>
      </text>
    </comment>
    <comment ref="Q381" authorId="0">
      <text>
        <r>
          <rPr>
            <sz val="10"/>
            <rFont val="Arial"/>
            <family val="2"/>
          </rPr>
          <t xml:space="preserve">HG51295:
boosted by 4.5% price hike in FY08</t>
        </r>
      </text>
    </comment>
    <comment ref="Q488" authorId="0">
      <text>
        <r>
          <rPr>
            <sz val="10"/>
            <rFont val="Arial"/>
            <family val="2"/>
          </rPr>
          <t xml:space="preserve">HG51295:
we were at 0%</t>
        </r>
      </text>
    </comment>
    <comment ref="Q536" authorId="0">
      <text>
        <r>
          <rPr>
            <sz val="10"/>
            <rFont val="Arial"/>
            <family val="2"/>
          </rPr>
          <t xml:space="preserve">HG51295:
we were at 3.4%</t>
        </r>
      </text>
    </comment>
    <comment ref="Q594" authorId="0">
      <text>
        <r>
          <rPr>
            <sz val="10"/>
            <rFont val="Arial"/>
            <family val="2"/>
          </rPr>
          <t xml:space="preserve">jd57062:
3cr cost savings because of use of wind power..</t>
        </r>
      </text>
    </comment>
    <comment ref="Q677" authorId="0">
      <text>
        <r>
          <rPr>
            <sz val="10"/>
            <rFont val="Arial"/>
            <family val="2"/>
          </rPr>
          <t xml:space="preserve">HG51295:
73.18 is in the interest that is capitalised</t>
        </r>
      </text>
    </comment>
    <comment ref="Q794" authorId="0">
      <text>
        <r>
          <rPr>
            <sz val="10"/>
            <rFont val="Arial"/>
            <family val="2"/>
          </rPr>
          <t xml:space="preserve">jd57062:
ECB of 200m USD</t>
        </r>
      </text>
    </comment>
    <comment ref="Q824" authorId="0">
      <text>
        <r>
          <rPr>
            <sz val="10"/>
            <rFont val="Arial"/>
            <family val="2"/>
          </rPr>
          <t xml:space="preserve">jd57062:
will be back ended...capitalisation will 
probably come in at 4Q </t>
        </r>
      </text>
    </comment>
    <comment ref="R84" authorId="0">
      <text>
        <r>
          <rPr>
            <sz val="10"/>
            <rFont val="Arial"/>
            <family val="2"/>
          </rPr>
          <t xml:space="preserve">as20950:
</t>
        </r>
      </text>
    </comment>
    <comment ref="R89" authorId="0">
      <text>
        <r>
          <rPr>
            <sz val="10"/>
            <rFont val="Arial"/>
            <family val="2"/>
          </rPr>
          <t xml:space="preserve">as20950:
</t>
        </r>
      </text>
    </comment>
    <comment ref="R426" authorId="0">
      <text>
        <r>
          <rPr>
            <sz val="10"/>
            <rFont val="Arial"/>
            <family val="2"/>
          </rPr>
          <t xml:space="preserve">Sharma, Arvind1 [ICG-RSCH]:
We changed classification in FY14.
Rev from services moved to top line from other income mainly to tally with the qrtrlies and also in line with what we do for maruti</t>
        </r>
      </text>
    </comment>
    <comment ref="R692" authorId="0">
      <text>
        <r>
          <rPr>
            <sz val="10"/>
            <rFont val="Arial"/>
            <family val="2"/>
          </rPr>
          <t xml:space="preserve">HG51295:
455 mn sale of indusind shares and 135 mn vrs expense </t>
        </r>
      </text>
    </comment>
    <comment ref="R825" authorId="0">
      <text>
        <r>
          <rPr>
            <sz val="10"/>
            <rFont val="Arial"/>
            <family val="2"/>
          </rPr>
          <t xml:space="preserve">jd57062:
instead of subtracting the fx loss from networth, the co. has added it to gross block!!
The 1364cr is basically revaluation of land and bldgs...</t>
        </r>
      </text>
    </comment>
    <comment ref="S84" authorId="0">
      <text>
        <r>
          <rPr>
            <sz val="10"/>
            <rFont val="Arial"/>
            <family val="2"/>
          </rPr>
          <t xml:space="preserve">as20950:
</t>
        </r>
      </text>
    </comment>
    <comment ref="S89" authorId="0">
      <text>
        <r>
          <rPr>
            <sz val="10"/>
            <rFont val="Arial"/>
            <family val="2"/>
          </rPr>
          <t xml:space="preserve">as20950:
</t>
        </r>
      </text>
    </comment>
    <comment ref="S331" authorId="0">
      <text>
        <r>
          <rPr>
            <sz val="10"/>
            <rFont val="Arial"/>
            <family val="2"/>
          </rPr>
          <t xml:space="preserve">jd57062:
v. disappointing - we expected 20% growth based on mgmt guidance...</t>
        </r>
      </text>
    </comment>
    <comment ref="S335" authorId="0">
      <text>
        <r>
          <rPr>
            <sz val="10"/>
            <rFont val="Arial"/>
            <family val="2"/>
          </rPr>
          <t xml:space="preserve">jd57062:
again - v. disappointing - we expected around 4k...</t>
        </r>
      </text>
    </comment>
    <comment ref="S339" authorId="0">
      <text>
        <r>
          <rPr>
            <sz val="10"/>
            <rFont val="Arial"/>
            <family val="2"/>
          </rPr>
          <t xml:space="preserve">jd57062:
ahead of expectations because of 4Q pull - we expected 20% growth - around 37k units</t>
        </r>
      </text>
    </comment>
    <comment ref="S416" authorId="0">
      <text>
        <r>
          <rPr>
            <sz val="10"/>
            <rFont val="Arial"/>
            <family val="2"/>
          </rPr>
          <t xml:space="preserve">jd57062:
VFJ = 818cr</t>
        </r>
      </text>
    </comment>
    <comment ref="S426" authorId="0">
      <text>
        <r>
          <rPr>
            <sz val="10"/>
            <rFont val="Arial"/>
            <family val="2"/>
          </rPr>
          <t xml:space="preserve">Sharma, Arvind1 [ICG-RSCH]:
We changed classification in FY14.
Rev from services moved to top line from other income mainly to tally with the qrtrlies and also in line with what we do for maruti</t>
        </r>
      </text>
    </comment>
    <comment ref="S464" authorId="0">
      <text>
        <r>
          <rPr>
            <sz val="10"/>
            <rFont val="Arial"/>
            <family val="2"/>
          </rPr>
          <t xml:space="preserve">as20950:
Interest earned on bill receivables etc. This is broadly the financial income which is included in the netting of financial expensing in the Annual Report</t>
        </r>
      </text>
    </comment>
    <comment ref="S471" authorId="0">
      <text>
        <r>
          <rPr>
            <sz val="10"/>
            <rFont val="Arial"/>
            <family val="2"/>
          </rPr>
          <t xml:space="preserve">as20950:
27.74 is the cash discounts earned ( netted in financial income in Reported Financials)</t>
        </r>
      </text>
    </comment>
    <comment ref="S692" authorId="0">
      <text>
        <r>
          <rPr>
            <sz val="10"/>
            <rFont val="Arial"/>
            <family val="2"/>
          </rPr>
          <t xml:space="preserve">as20950:
VRS Compensation ammortised</t>
        </r>
      </text>
    </comment>
    <comment ref="T84" authorId="0">
      <text>
        <r>
          <rPr>
            <sz val="10"/>
            <rFont val="Arial"/>
            <family val="2"/>
          </rPr>
          <t xml:space="preserve">as20950:
Bonus share on Aug 2011
Bonus share in July 2025</t>
        </r>
      </text>
    </comment>
    <comment ref="T89" authorId="0">
      <text>
        <r>
          <rPr>
            <sz val="10"/>
            <rFont val="Arial"/>
            <family val="2"/>
          </rPr>
          <t xml:space="preserve">as20950:
</t>
        </r>
      </text>
    </comment>
    <comment ref="T279" authorId="0">
      <text>
        <r>
          <rPr>
            <sz val="10"/>
            <rFont val="Arial"/>
            <family val="2"/>
          </rPr>
          <t xml:space="preserve">jd57062:
from Uttaranchal </t>
        </r>
      </text>
    </comment>
    <comment ref="T281" authorId="0">
      <text>
        <r>
          <rPr>
            <sz val="10"/>
            <rFont val="Arial"/>
            <family val="2"/>
          </rPr>
          <t xml:space="preserve">jd57062:
impacted by telecom tower sales, also capacity diverted for CVs..</t>
        </r>
      </text>
    </comment>
    <comment ref="T331" authorId="0">
      <text>
        <r>
          <rPr>
            <sz val="10"/>
            <rFont val="Arial"/>
            <family val="2"/>
          </rPr>
          <t xml:space="preserve">as20950:
Actuals</t>
        </r>
      </text>
    </comment>
    <comment ref="T335" authorId="0">
      <text>
        <r>
          <rPr>
            <sz val="10"/>
            <rFont val="Arial"/>
            <family val="2"/>
          </rPr>
          <t xml:space="preserve">as20950:
Actuals</t>
        </r>
      </text>
    </comment>
    <comment ref="T338" authorId="0">
      <text>
        <r>
          <rPr>
            <sz val="10"/>
            <rFont val="Arial"/>
            <family val="2"/>
          </rPr>
          <t xml:space="preserve">as20950:
Uptick in Sri Lank and Bangladesh</t>
        </r>
      </text>
    </comment>
    <comment ref="T339" authorId="0">
      <text>
        <r>
          <rPr>
            <sz val="10"/>
            <rFont val="Arial"/>
            <family val="2"/>
          </rPr>
          <t xml:space="preserve">as20950:
Actuals</t>
        </r>
      </text>
    </comment>
    <comment ref="T343" authorId="0">
      <text>
        <r>
          <rPr>
            <sz val="10"/>
            <rFont val="Arial"/>
            <family val="2"/>
          </rPr>
          <t xml:space="preserve">as20950:
Actuals</t>
        </r>
      </text>
    </comment>
    <comment ref="T357" authorId="0">
      <text>
        <r>
          <rPr>
            <sz val="10"/>
            <rFont val="Arial"/>
            <family val="2"/>
          </rPr>
          <t xml:space="preserve">as20950:
Actuals</t>
        </r>
      </text>
    </comment>
    <comment ref="T361" authorId="0">
      <text>
        <r>
          <rPr>
            <sz val="10"/>
            <rFont val="Arial"/>
            <family val="2"/>
          </rPr>
          <t xml:space="preserve">as20950:
Actuals</t>
        </r>
      </text>
    </comment>
    <comment ref="T367" authorId="0">
      <text>
        <r>
          <rPr>
            <sz val="10"/>
            <rFont val="Arial"/>
            <family val="2"/>
          </rPr>
          <t xml:space="preserve">jd57062:
helped by Sri Lanka war ending...</t>
        </r>
      </text>
    </comment>
    <comment ref="T381" authorId="0">
      <text>
        <r>
          <rPr>
            <sz val="10"/>
            <rFont val="Arial"/>
            <family val="2"/>
          </rPr>
          <t xml:space="preserve">jd57062:
obviously some mix shift as well…mgmt says increased vehicle prices by 89k / vehicle </t>
        </r>
      </text>
    </comment>
    <comment ref="T416" authorId="0">
      <text>
        <r>
          <rPr>
            <sz val="10"/>
            <rFont val="Arial"/>
            <family val="2"/>
          </rPr>
          <t xml:space="preserve">jd57062:
VFJ = 973cr</t>
        </r>
      </text>
    </comment>
    <comment ref="T426" authorId="0">
      <text>
        <r>
          <rPr>
            <sz val="10"/>
            <rFont val="Arial"/>
            <family val="2"/>
          </rPr>
          <t xml:space="preserve">Sharma, Arvind1 [ICG-RSCH]:
We changed classification in FY14.
Rev from services moved to top line from other income mainly to tally with the qrtrlies and also in line with what we do for maruti</t>
        </r>
      </text>
    </comment>
    <comment ref="T550" authorId="0">
      <text>
        <r>
          <rPr>
            <sz val="10"/>
            <rFont val="Arial"/>
            <family val="2"/>
          </rPr>
          <t xml:space="preserve">as20950:
from AR FY12…just for reference</t>
        </r>
      </text>
    </comment>
    <comment ref="T570" authorId="0">
      <text>
        <r>
          <rPr>
            <sz val="10"/>
            <rFont val="Arial"/>
            <family val="2"/>
          </rPr>
          <t xml:space="preserve">jd57062:
around 30,000 is the increase for euro norms. Then we have another 30k </t>
        </r>
      </text>
    </comment>
    <comment ref="T576" authorId="0">
      <text>
        <r>
          <rPr>
            <sz val="10"/>
            <rFont val="Arial"/>
            <family val="2"/>
          </rPr>
          <t xml:space="preserve">jd57062:
this is the ratio, of excise as % of sales, levied at the rate of 10% (assume govt rolls back) on all products, exept the Uchhal tax free products</t>
        </r>
      </text>
    </comment>
    <comment ref="T603" authorId="0">
      <text>
        <r>
          <rPr>
            <sz val="10"/>
            <rFont val="Arial"/>
            <family val="2"/>
          </rPr>
          <t xml:space="preserve">as20950:
Ex gratia of 50cr…see exceptionals comment</t>
        </r>
      </text>
    </comment>
    <comment ref="T692" authorId="0">
      <text>
        <r>
          <rPr>
            <sz val="10"/>
            <rFont val="Arial"/>
            <family val="2"/>
          </rPr>
          <t xml:space="preserve">jd57062:
26cr one time payment - done in 3Q FY11
Overalll 50 cr of ex gratia payment should be treated as one-off as per mgmt</t>
        </r>
      </text>
    </comment>
    <comment ref="T837" authorId="0">
      <text>
        <r>
          <rPr>
            <sz val="10"/>
            <rFont val="Arial"/>
            <family val="2"/>
          </rPr>
          <t xml:space="preserve">jd57062:
Main areas of increase of investments are as follows: 
Ashok Leyland Nissan Vehicles = 132cr 
Hinduja Leyland Finance = 102cr 
Nissan Ashok Leyland Powertrain = 41cr 
Ashley Holdings = 139cr
Ashley Investments = 140cr
Avia Ashok Leyland = 130cr 
Optare = 50cr
Albonair GmBH = 59cr </t>
        </r>
      </text>
    </comment>
    <comment ref="T880" authorId="0">
      <text>
        <r>
          <rPr>
            <sz val="10"/>
            <rFont val="Arial"/>
            <family val="2"/>
          </rPr>
          <t xml:space="preserve">as20950:
Product warranties- 114cr
Employee benefits - 66.5cr</t>
        </r>
      </text>
    </comment>
    <comment ref="U57" authorId="0">
      <text>
        <r>
          <rPr>
            <sz val="10"/>
            <rFont val="Arial"/>
            <family val="2"/>
          </rPr>
          <t xml:space="preserve">as20950:
56,59.766mn as per ARFY12</t>
        </r>
      </text>
    </comment>
    <comment ref="U84" authorId="0">
      <text>
        <r>
          <rPr>
            <sz val="10"/>
            <rFont val="Arial"/>
            <family val="2"/>
          </rPr>
          <t xml:space="preserve">Sharma, Arvind1 [ICG-RSCH]:
Bonus share on 17 July 2025</t>
        </r>
      </text>
    </comment>
    <comment ref="U279" authorId="0">
      <text>
        <r>
          <rPr>
            <sz val="10"/>
            <rFont val="Arial"/>
            <family val="2"/>
          </rPr>
          <t xml:space="preserve">jd57062:
from Uttaranchal</t>
        </r>
      </text>
    </comment>
    <comment ref="U331" authorId="0">
      <text>
        <r>
          <rPr>
            <sz val="10"/>
            <rFont val="Arial"/>
            <family val="2"/>
          </rPr>
          <t xml:space="preserve">as20950:
actuals from Annual Report</t>
        </r>
      </text>
    </comment>
    <comment ref="U335" authorId="0">
      <text>
        <r>
          <rPr>
            <sz val="10"/>
            <rFont val="Arial"/>
            <family val="2"/>
          </rPr>
          <t xml:space="preserve">as20950:
actuals</t>
        </r>
      </text>
    </comment>
    <comment ref="U339" authorId="0">
      <text>
        <r>
          <rPr>
            <sz val="10"/>
            <rFont val="Arial"/>
            <family val="2"/>
          </rPr>
          <t xml:space="preserve">as20950:
actuals from Annual Report</t>
        </r>
      </text>
    </comment>
    <comment ref="U357" authorId="0">
      <text>
        <r>
          <rPr>
            <sz val="10"/>
            <rFont val="Arial"/>
            <family val="2"/>
          </rPr>
          <t xml:space="preserve">as20950:
Almost all dost slightly different from SIAM as total nos varied
We assume it is due to LCV discrepancy only</t>
        </r>
      </text>
    </comment>
    <comment ref="U369" authorId="0">
      <text>
        <r>
          <rPr>
            <sz val="10"/>
            <rFont val="Arial"/>
            <family val="2"/>
          </rPr>
          <t xml:space="preserve">as20950:
Annual report says 101990
The march sales communique had 102009</t>
        </r>
      </text>
    </comment>
    <comment ref="U387" authorId="0">
      <text>
        <r>
          <rPr>
            <sz val="10"/>
            <rFont val="Arial"/>
            <family val="2"/>
          </rPr>
          <t xml:space="preserve">as20950:
1634.806 was taken after FY1 3 annual report. In FY12 AR, it was combined with spare parts and others.
We retrospectively change it (the sum remains the same i.e. sum of SPARE PARTS AND OTHERS and TRADED VEHICLES for FY12 in FY13AR was same as SPARE PARTS AND OTHERS in ARFY12</t>
        </r>
      </text>
    </comment>
    <comment ref="U388" authorId="0">
      <text>
        <r>
          <rPr>
            <sz val="10"/>
            <rFont val="Arial"/>
            <family val="2"/>
          </rPr>
          <t xml:space="preserve">as20950:
It’s an aberration since it was the first year of sale</t>
        </r>
      </text>
    </comment>
    <comment ref="U416" authorId="0">
      <text>
        <r>
          <rPr>
            <sz val="10"/>
            <rFont val="Arial"/>
            <family val="2"/>
          </rPr>
          <t xml:space="preserve">as20950:
1341cr to VFJ</t>
        </r>
      </text>
    </comment>
    <comment ref="U426" authorId="0">
      <text>
        <r>
          <rPr>
            <sz val="10"/>
            <rFont val="Arial"/>
            <family val="2"/>
          </rPr>
          <t xml:space="preserve">Sharma, Arvind1 [ICG-RSCH]:
We changed classification in FY14.
Rev from services moved to top line from other income mainly to tally with the qrtrlies and also in line with what we do for maruti</t>
        </r>
      </text>
    </comment>
    <comment ref="U464" authorId="0">
      <text>
        <r>
          <rPr>
            <sz val="10"/>
            <rFont val="Arial"/>
            <family val="2"/>
          </rPr>
          <t xml:space="preserve">as20950:
Interest earned on bill receivables etc. This is broadly the financial income which is included in the netting of financial expensing in the Annual Report</t>
        </r>
      </text>
    </comment>
    <comment ref="U471" authorId="0">
      <text>
        <r>
          <rPr>
            <sz val="10"/>
            <rFont val="Arial"/>
            <family val="2"/>
          </rPr>
          <t xml:space="preserve">as20950:
 11.56cr of others given in operating rev in Annual report
44.49crs of cash disc earned
95cr of misc</t>
        </r>
      </text>
    </comment>
    <comment ref="U511" authorId="0">
      <text>
        <r>
          <rPr>
            <sz val="10"/>
            <rFont val="Arial"/>
            <family val="2"/>
          </rPr>
          <t xml:space="preserve">as20950:
From FY12 onwards, we had plates, sheets, bars, steel tubes and angles in one line and cosumption norms / /quantities etc were not given</t>
        </r>
      </text>
    </comment>
    <comment ref="U529" authorId="0">
      <text>
        <r>
          <rPr>
            <sz val="10"/>
            <rFont val="Arial"/>
            <family val="2"/>
          </rPr>
          <t xml:space="preserve">as20950:
company stopped giving the details on quantities of raw materials from Fy12 onwards. We thus take only assumptions even for actuals</t>
        </r>
      </text>
    </comment>
    <comment ref="U607" authorId="0">
      <text>
        <r>
          <rPr>
            <sz val="10"/>
            <rFont val="Arial"/>
            <family val="2"/>
          </rPr>
          <t xml:space="preserve">as20950:
we take capitalised expenses separately with other capitalised expenses</t>
        </r>
      </text>
    </comment>
    <comment ref="U611" authorId="0">
      <text>
        <r>
          <rPr>
            <sz val="10"/>
            <rFont val="Arial"/>
            <family val="2"/>
          </rPr>
          <t xml:space="preserve">as20950:
338.36crs of S&amp;D
164.8crs of service and product warranties
232.2 crs of packing and forwarding charges</t>
        </r>
      </text>
    </comment>
    <comment ref="U643" authorId="0">
      <text>
        <r>
          <rPr>
            <sz val="10"/>
            <rFont val="Arial"/>
            <family val="2"/>
          </rPr>
          <t xml:space="preserve">as20950:
We club all capitalised expnses except Interest cost capitalised in one place as FY12 onwards, individually capitalised expenses were given separately
22.56mn of raw mat capitalised
157.98nm of employee expense capitalised
70.36mn of other exp capitalised
This tallies with the previous years' numbers</t>
        </r>
      </text>
    </comment>
    <comment ref="U689" authorId="0">
      <text>
        <r>
          <rPr>
            <sz val="10"/>
            <rFont val="Arial"/>
            <family val="2"/>
          </rPr>
          <t xml:space="preserve">as20950:
299.89crs of depreciation on tangible assets
65.35crs of impairment on intangible assets
Less 12.4crs of transfer from revaluarion reserve</t>
        </r>
      </text>
    </comment>
    <comment ref="U692" authorId="0">
      <text>
        <r>
          <rPr>
            <sz val="10"/>
            <rFont val="Arial"/>
            <family val="2"/>
          </rPr>
          <t xml:space="preserve">as20950:
profit on sale of investment</t>
        </r>
      </text>
    </comment>
    <comment ref="U773" authorId="0">
      <text>
        <r>
          <rPr>
            <sz val="10"/>
            <rFont val="Arial"/>
            <family val="2"/>
          </rPr>
          <t xml:space="preserve">as20950:
bonus share issue ex 3 Aug 2011</t>
        </r>
      </text>
    </comment>
    <comment ref="U776" authorId="0">
      <text>
        <r>
          <rPr>
            <sz val="10"/>
            <rFont val="Arial"/>
            <family val="2"/>
          </rPr>
          <t xml:space="preserve">as20950:
133crs for the bonus shares and 11.2 crs for expense incurred for issue of debentures</t>
        </r>
      </text>
    </comment>
    <comment ref="U800" authorId="0">
      <text>
        <r>
          <rPr>
            <sz val="10"/>
            <rFont val="Arial"/>
            <family val="2"/>
          </rPr>
          <t xml:space="preserve">as20950:
12549.167mn is the ECB from banks. FY11 ECB was 11371.7mn</t>
        </r>
      </text>
    </comment>
    <comment ref="U802" authorId="0">
      <text>
        <r>
          <rPr>
            <sz val="10"/>
            <rFont val="Arial"/>
            <family val="2"/>
          </rPr>
          <t xml:space="preserve">as20950:
part of current liabilities in new format…it is called short term borrowings</t>
        </r>
      </text>
    </comment>
    <comment ref="U803" authorId="0">
      <text>
        <r>
          <rPr>
            <sz val="10"/>
            <rFont val="Arial"/>
            <family val="2"/>
          </rPr>
          <t xml:space="preserve">as20950:
12549.167mn is the ECB from banks. FY11 ECB was 11371.7mn</t>
        </r>
      </text>
    </comment>
    <comment ref="U810" authorId="0">
      <text>
        <r>
          <rPr>
            <sz val="10"/>
            <rFont val="Arial"/>
            <family val="2"/>
          </rPr>
          <t xml:space="preserve">as20950:
this was given in current liabilit in Annual report FY12…we take it on debt side</t>
        </r>
      </text>
    </comment>
    <comment ref="U816" authorId="0">
      <text>
        <r>
          <rPr>
            <sz val="10"/>
            <rFont val="Arial"/>
            <family val="2"/>
          </rPr>
          <t xml:space="preserve">as20950:
was part of current liability in FY12, We stick to old format to maintain uniformity and esp since it is not such a big number</t>
        </r>
      </text>
    </comment>
    <comment ref="U837" authorId="0">
      <text>
        <r>
          <rPr>
            <sz val="10"/>
            <rFont val="Arial"/>
            <family val="2"/>
          </rPr>
          <t xml:space="preserve">as20950:
Main areas of increase of investments are as follows: 
24.2126cr in Hinduja Foundries
Ashok Leyland Nissan Vehicles = 24.2cr 
Defiance technologies 23.4cr
Optare = 58.4cr
Albonair GmbH = 59.6cr
Nissan Ashok Leyland Powertrain = 73.5cr 
Ashok Leyland Nissan Vehicles Ltd = 207cr
Ashley Holdings = 319cr
Ashley Investments = 322.6cr
Ashok Leyland John Deere Construction Equipment Company
Private Limited = 60.86cr
 SOLD STAKE OF 109CR BV IN INDUS IND - ALSO AVIA STAKE BV OF 131CR WAS TRANSFERRED TO GROUP CO. </t>
        </r>
      </text>
    </comment>
    <comment ref="U838" authorId="0">
      <text>
        <r>
          <rPr>
            <sz val="10"/>
            <rFont val="Arial"/>
            <family val="2"/>
          </rPr>
          <t xml:space="preserve">jd57062:
THE STAKES ARE AS FOLLOWS - 
ASHLEY HOLDINGS - 319.87CR
ASHLEY INVESTMENTS - 322.65 CR 
INDUS IND BANK - 151.4 CR</t>
        </r>
      </text>
    </comment>
    <comment ref="U845" authorId="0">
      <text>
        <r>
          <rPr>
            <sz val="10"/>
            <rFont val="Arial"/>
            <family val="2"/>
          </rPr>
          <t xml:space="preserve">jd57062:
MAJOR ITEMS - 
CAPITAL ADVANCES - 142CR 
MAT CREDIT - 226CR 
SHARE CAPITAL ADVANCE (??) - 50CR </t>
        </r>
      </text>
    </comment>
    <comment ref="U851" authorId="0">
      <text>
        <r>
          <rPr>
            <sz val="10"/>
            <rFont val="Arial"/>
            <family val="2"/>
          </rPr>
          <t xml:space="preserve">as20950:
from FY12 onwards, stores, spares and consumable tools were clubbed together</t>
        </r>
      </text>
    </comment>
    <comment ref="U855" authorId="0">
      <text>
        <r>
          <rPr>
            <sz val="10"/>
            <rFont val="Arial"/>
            <family val="2"/>
          </rPr>
          <t xml:space="preserve">as20950:
engines 21 mn
LCVs 4mn
Spare parts and auto comps 1626mn </t>
        </r>
      </text>
    </comment>
    <comment ref="U859" authorId="0">
      <text>
        <r>
          <rPr>
            <sz val="10"/>
            <rFont val="Arial"/>
            <family val="2"/>
          </rPr>
          <t xml:space="preserve">jd57062:
248CR DUE MORE THAN 6 MTHS</t>
        </r>
      </text>
    </comment>
    <comment ref="U863" authorId="0">
      <text>
        <r>
          <rPr>
            <sz val="10"/>
            <rFont val="Arial"/>
            <family val="2"/>
          </rPr>
          <t xml:space="preserve">as20950:
short term loans and advances</t>
        </r>
      </text>
    </comment>
    <comment ref="U874" authorId="0">
      <text>
        <r>
          <rPr>
            <sz val="10"/>
            <rFont val="Arial"/>
            <family val="2"/>
          </rPr>
          <t xml:space="preserve">as20950:
includes acceptances from FY12 onwards</t>
        </r>
      </text>
    </comment>
    <comment ref="U875" authorId="0">
      <text>
        <r>
          <rPr>
            <sz val="10"/>
            <rFont val="Arial"/>
            <family val="2"/>
          </rPr>
          <t xml:space="preserve">as20950:
Deferred liabilty, in current liabilties from FY12, is in liabilities side
7027.922 was given as current portion of long term debt. We take it in liabilities side</t>
        </r>
      </text>
    </comment>
    <comment ref="U880" authorId="0">
      <text>
        <r>
          <rPr>
            <sz val="10"/>
            <rFont val="Arial"/>
            <family val="2"/>
          </rPr>
          <t xml:space="preserve">as20950:
Provision for employee benefits
i. Compensated absences - 11.97crs
ii. Post retirement benefits - 86lakhs
iii. Post retirement medical benefits - 51lakhs
Others
i. Product warranties - 97.8cr</t>
        </r>
      </text>
    </comment>
    <comment ref="V10" authorId="0">
      <text>
        <r>
          <rPr>
            <sz val="10"/>
            <rFont val="Arial"/>
            <family val="2"/>
          </rPr>
          <t xml:space="preserve">as20950:
114611 according to Annual Report FY13
114612 according to March end communique.
We make suitabe adjustemnts mainly in MHCVs</t>
        </r>
      </text>
    </comment>
    <comment ref="V25" authorId="0">
      <text>
        <r>
          <rPr>
            <sz val="10"/>
            <rFont val="Arial"/>
            <family val="2"/>
          </rPr>
          <t xml:space="preserve">as20950:
91231.3 is sum of parts of 4Qs</t>
        </r>
      </text>
    </comment>
    <comment ref="V47" authorId="0">
      <text>
        <r>
          <rPr>
            <sz val="10"/>
            <rFont val="Arial"/>
            <family val="2"/>
          </rPr>
          <t xml:space="preserve">as20950:
Tallies with the sum of 4Qs. Could be slightly different from cos as they do regroup numbers on a quarterly basis</t>
        </r>
      </text>
    </comment>
    <comment ref="V57" authorId="0">
      <text>
        <r>
          <rPr>
            <sz val="10"/>
            <rFont val="Arial"/>
            <family val="2"/>
          </rPr>
          <t xml:space="preserve">as20950:
4337.067 mn as per sum of 4Qs of FY13 as on 13 May 2013</t>
        </r>
      </text>
    </comment>
    <comment ref="V59" authorId="0">
      <text>
        <r>
          <rPr>
            <sz val="10"/>
            <rFont val="Arial"/>
            <family val="2"/>
          </rPr>
          <t xml:space="preserve">as20950:
1430.88mn as per sum of 4Qs of FY13 as on 13 May 2013</t>
        </r>
      </text>
    </comment>
    <comment ref="V84" authorId="0">
      <text>
        <r>
          <rPr>
            <sz val="10"/>
            <rFont val="Arial"/>
            <family val="2"/>
          </rPr>
          <t xml:space="preserve">Sharma, Arvind1 [ICG-RSCH]:
Bonus share on 17 July 2025</t>
        </r>
      </text>
    </comment>
    <comment ref="V331" authorId="0">
      <text>
        <r>
          <rPr>
            <sz val="10"/>
            <rFont val="Arial"/>
            <family val="2"/>
          </rPr>
          <t xml:space="preserve">as20950:
Add 40 to tally with Annual Report</t>
        </r>
      </text>
    </comment>
    <comment ref="V335" authorId="0">
      <text>
        <r>
          <rPr>
            <sz val="10"/>
            <rFont val="Arial"/>
            <family val="2"/>
          </rPr>
          <t xml:space="preserve">as20950:
Subtract 40 to tally with Annual Report</t>
        </r>
      </text>
    </comment>
    <comment ref="V339" authorId="0">
      <text>
        <r>
          <rPr>
            <sz val="10"/>
            <rFont val="Arial"/>
            <family val="2"/>
          </rPr>
          <t xml:space="preserve">as20950:
Added 82 to tally with Annual Report</t>
        </r>
      </text>
    </comment>
    <comment ref="V343" authorId="0">
      <text>
        <r>
          <rPr>
            <sz val="10"/>
            <rFont val="Arial"/>
            <family val="2"/>
          </rPr>
          <t xml:space="preserve">as20950:
Subtracted 83 to tally with Annual Report</t>
        </r>
      </text>
    </comment>
    <comment ref="V350" authorId="0">
      <text>
        <r>
          <rPr>
            <sz val="10"/>
            <rFont val="Arial"/>
            <family val="2"/>
          </rPr>
          <t xml:space="preserve">as20950:
28% of overall said in 4Q con call. 34917 number from SIAM dost domestic </t>
        </r>
      </text>
    </comment>
    <comment ref="V351" authorId="0">
      <text>
        <r>
          <rPr>
            <sz val="10"/>
            <rFont val="Arial"/>
            <family val="2"/>
          </rPr>
          <t xml:space="preserve">as20950:
17k in 9mFY13 as per 3Q13 con call
assume 1.5k every month for Jan, Feb, March
Total Dost sales 34917 as per March end communique</t>
        </r>
      </text>
    </comment>
    <comment ref="V352" authorId="0">
      <text>
        <r>
          <rPr>
            <sz val="10"/>
            <rFont val="Arial"/>
            <family val="2"/>
          </rPr>
          <t xml:space="preserve">as20950:
34917 as per March end communique</t>
        </r>
      </text>
    </comment>
    <comment ref="V369" authorId="0">
      <text>
        <r>
          <rPr>
            <sz val="10"/>
            <rFont val="Arial"/>
            <family val="2"/>
          </rPr>
          <t xml:space="preserve">as20950:
114611 according to FY13 Annual Report
114612 according to March end communique.
We make suitabe adjustemnts mainly in MHCVs</t>
        </r>
      </text>
    </comment>
    <comment ref="V398" authorId="0">
      <text>
        <r>
          <rPr>
            <sz val="10"/>
            <rFont val="Arial"/>
            <family val="2"/>
          </rPr>
          <t xml:space="preserve">as20950:
403crs given in 4Q13 con call</t>
        </r>
      </text>
    </comment>
    <comment ref="V421" authorId="0">
      <text>
        <r>
          <rPr>
            <sz val="10"/>
            <rFont val="Arial"/>
            <family val="2"/>
          </rPr>
          <t xml:space="preserve">jd57062:
THIS IS THE CONTRACT MFG INCOME EARNED ON MFG OF ALL DOSTS...</t>
        </r>
      </text>
    </comment>
    <comment ref="V426" authorId="0">
      <text>
        <r>
          <rPr>
            <sz val="10"/>
            <rFont val="Arial"/>
            <family val="2"/>
          </rPr>
          <t xml:space="preserve">Sharma, Arvind1 [ICG-RSCH]:
We changed classification in FY14.
Rev from services moved to top line from other income mainly to tally with the qrtrlies and also in line with what we do for maruti</t>
        </r>
      </text>
    </comment>
    <comment ref="V427" authorId="0">
      <text>
        <r>
          <rPr>
            <sz val="10"/>
            <rFont val="Arial"/>
            <family val="2"/>
          </rPr>
          <t xml:space="preserve">Sharma, Arvind1 [ICG-RSCH]:
17.418 is other income given in Other operating income in Annual Report FY13</t>
        </r>
      </text>
    </comment>
    <comment ref="V464" authorId="0">
      <text>
        <r>
          <rPr>
            <sz val="10"/>
            <rFont val="Arial"/>
            <family val="2"/>
          </rPr>
          <t xml:space="preserve">as20950:
Others, including bills discounting</t>
        </r>
      </text>
    </comment>
    <comment ref="V471" authorId="0">
      <text>
        <r>
          <rPr>
            <sz val="10"/>
            <rFont val="Arial"/>
            <family val="2"/>
          </rPr>
          <t xml:space="preserve">as20950:
40.446mn is cash discount earned
133.282 is Others</t>
        </r>
      </text>
    </comment>
    <comment ref="V511" authorId="0">
      <text>
        <r>
          <rPr>
            <sz val="10"/>
            <rFont val="Arial"/>
            <family val="2"/>
          </rPr>
          <t xml:space="preserve">as20950:
some change in grouping but no significant impact</t>
        </r>
      </text>
    </comment>
    <comment ref="V529" authorId="0">
      <text>
        <r>
          <rPr>
            <sz val="10"/>
            <rFont val="Arial"/>
            <family val="2"/>
          </rPr>
          <t xml:space="preserve">as20950:
Assume negative mix with higher LCVs to have some impact on costs too</t>
        </r>
      </text>
    </comment>
    <comment ref="V538" authorId="0">
      <text>
        <r>
          <rPr>
            <sz val="10"/>
            <rFont val="Arial"/>
            <family val="2"/>
          </rPr>
          <t xml:space="preserve">as20950:
Mix shift</t>
        </r>
      </text>
    </comment>
    <comment ref="V607" authorId="0">
      <text>
        <r>
          <rPr>
            <sz val="10"/>
            <rFont val="Arial"/>
            <family val="2"/>
          </rPr>
          <t xml:space="preserve">as20950:
we take capitalised expenses separately with other capitalised expenses</t>
        </r>
      </text>
    </comment>
    <comment ref="V611" authorId="0">
      <text>
        <r>
          <rPr>
            <sz val="10"/>
            <rFont val="Arial"/>
            <family val="2"/>
          </rPr>
          <t xml:space="preserve">as20950:
353.7crs of S&amp;D
213.68crcrs of service and product warranties
303.6 crs of packing and forwarding charges</t>
        </r>
      </text>
    </comment>
    <comment ref="V612" authorId="0">
      <text>
        <r>
          <rPr>
            <sz val="10"/>
            <rFont val="Arial"/>
            <family val="2"/>
          </rPr>
          <t xml:space="preserve">as20950:
Mainly due to higher freight charges </t>
        </r>
      </text>
    </comment>
    <comment ref="V627" authorId="0">
      <text>
        <r>
          <rPr>
            <sz val="10"/>
            <rFont val="Arial"/>
            <family val="2"/>
          </rPr>
          <t xml:space="preserve">as20950:
Annual maintenance contract</t>
        </r>
      </text>
    </comment>
    <comment ref="V643" authorId="0">
      <text>
        <r>
          <rPr>
            <sz val="10"/>
            <rFont val="Arial"/>
            <family val="2"/>
          </rPr>
          <t xml:space="preserve">as20950:
We club all capitalised expnses except Interest cost capitalised in one place as FY12 onwards, individually capitalised expenses were given separately
3.033mn of raw mat capitalised
112.244 mn of employee expense capitalised
89.784mn of other exp capitalised
This tallies with the previous years' numbers</t>
        </r>
      </text>
    </comment>
    <comment ref="V689" authorId="0">
      <text>
        <r>
          <rPr>
            <sz val="10"/>
            <rFont val="Arial"/>
            <family val="2"/>
          </rPr>
          <t xml:space="preserve">as20950:
299.89crs of depreciation on tangible assets
65.35crs of impairment on intangible assets
Less 12.4crs of transfer from revaluarion reserve</t>
        </r>
      </text>
    </comment>
    <comment ref="V692" authorId="0">
      <text>
        <r>
          <rPr>
            <sz val="10"/>
            <rFont val="Arial"/>
            <family val="2"/>
          </rPr>
          <t xml:space="preserve">as20950:
Mainly profit on divestment. We should ideally take it in other income 
1563 was exceptional income in 3Q13 
1344mn was in 4Q
</t>
        </r>
      </text>
    </comment>
    <comment ref="V701" authorId="0">
      <text>
        <r>
          <rPr>
            <sz val="10"/>
            <rFont val="Arial"/>
            <family val="2"/>
          </rPr>
          <t xml:space="preserve">as20950:
370 was the sum of 4Qs</t>
        </r>
      </text>
    </comment>
    <comment ref="V702" authorId="0">
      <text>
        <r>
          <rPr>
            <sz val="10"/>
            <rFont val="Arial"/>
            <family val="2"/>
          </rPr>
          <t xml:space="preserve">as20950:
slightly chnaged formula due to very high exceptionals, which are purely due to disinvestment</t>
        </r>
      </text>
    </comment>
    <comment ref="V704" authorId="0">
      <text>
        <r>
          <rPr>
            <sz val="10"/>
            <rFont val="Arial"/>
            <family val="2"/>
          </rPr>
          <t xml:space="preserve">as20950:
4337.067 tallies with sum of 4Qs recurring PAT</t>
        </r>
      </text>
    </comment>
    <comment ref="V707" authorId="0">
      <text>
        <r>
          <rPr>
            <sz val="10"/>
            <rFont val="Arial"/>
            <family val="2"/>
          </rPr>
          <t xml:space="preserve">as20950:
1430.88 tallies with sum of 4Qs recurring PAT</t>
        </r>
      </text>
    </comment>
    <comment ref="V714" authorId="0">
      <text>
        <r>
          <rPr>
            <sz val="10"/>
            <rFont val="Arial"/>
            <family val="2"/>
          </rPr>
          <t xml:space="preserve">as20950:
60p dividend announced in 4Q13</t>
        </r>
      </text>
    </comment>
    <comment ref="V803" authorId="0">
      <text>
        <r>
          <rPr>
            <sz val="10"/>
            <rFont val="Arial"/>
            <family val="2"/>
          </rPr>
          <t xml:space="preserve">as20950:
Makes sense
Mgmt had said 4100 crs by Fy13 end</t>
        </r>
      </text>
    </comment>
    <comment ref="V805" authorId="0">
      <text>
        <r>
          <rPr>
            <sz val="10"/>
            <rFont val="Arial"/>
            <family val="2"/>
          </rPr>
          <t xml:space="preserve">as20950:
AL13</t>
        </r>
      </text>
    </comment>
    <comment ref="V806" authorId="0">
      <text>
        <r>
          <rPr>
            <sz val="10"/>
            <rFont val="Arial"/>
            <family val="2"/>
          </rPr>
          <t xml:space="preserve">as20950:
1/3rd of TL1 of 100crs
1/3rd of TL2 of 150crs
1/3rd of TL3 of 200crs
1/3rd of TL4 of 150 crs
1/3rd of TL5 of 150 crs
16.67crs of TL6..ends in FY14</t>
        </r>
      </text>
    </comment>
    <comment ref="V815" authorId="0">
      <text>
        <r>
          <rPr>
            <sz val="10"/>
            <rFont val="Arial"/>
            <family val="2"/>
          </rPr>
          <t xml:space="preserve">as20950:
17.785 is other long term liability - (Income received in advance)</t>
        </r>
      </text>
    </comment>
    <comment ref="V849" authorId="0">
      <text>
        <r>
          <rPr>
            <sz val="10"/>
            <rFont val="Arial"/>
            <family val="2"/>
          </rPr>
          <t xml:space="preserve">as20950:
we would intuitively think that inventory should increase. But inventory actually came down</t>
        </r>
      </text>
    </comment>
    <comment ref="V855" authorId="0">
      <text>
        <r>
          <rPr>
            <sz val="10"/>
            <rFont val="Arial"/>
            <family val="2"/>
          </rPr>
          <t xml:space="preserve">as20950:
engines 65.665 mn
LCVs 85.392mn
Spare parts and auto comps 2158.779mn </t>
        </r>
      </text>
    </comment>
    <comment ref="V869" authorId="0">
      <text>
        <r>
          <rPr>
            <sz val="10"/>
            <rFont val="Arial"/>
            <family val="2"/>
          </rPr>
          <t xml:space="preserve">as20950:
761.775 as per 4Q Balance sheet</t>
        </r>
      </text>
    </comment>
    <comment ref="V874" authorId="0">
      <text>
        <r>
          <rPr>
            <sz val="10"/>
            <rFont val="Arial"/>
            <family val="2"/>
          </rPr>
          <t xml:space="preserve">as20950:
This seems very low esp when one sees the creditor days falling from 80 to 73. Some reclassification</t>
        </r>
      </text>
    </comment>
    <comment ref="V880" authorId="0">
      <text>
        <r>
          <rPr>
            <sz val="10"/>
            <rFont val="Arial"/>
            <family val="2"/>
          </rPr>
          <t xml:space="preserve">as20950:
Provision for employee benefits
i. Compensated absences - 13.18crs
ii. Post retirement benefits - 86.37lakhs
iii. Post retirement medical benefits - 41.22lakhs
Others
i. Product warranties - 107.45cr</t>
        </r>
      </text>
    </comment>
    <comment ref="V886" authorId="0">
      <text>
        <r>
          <rPr>
            <sz val="10"/>
            <rFont val="Arial"/>
            <family val="2"/>
          </rPr>
          <t xml:space="preserve">as20950:
-9.635 is Foreign Currecny Monetory Item Translation Difference
</t>
        </r>
      </text>
    </comment>
    <comment ref="W10" authorId="0">
      <text>
        <r>
          <rPr>
            <sz val="10"/>
            <rFont val="Arial"/>
            <family val="2"/>
          </rPr>
          <t xml:space="preserve">Sharma, Arvind1 [ICG-RSCH]:
89342 as per website
89337 as per annual report…we use AR FY14 nos.</t>
        </r>
      </text>
    </comment>
    <comment ref="W47" authorId="0">
      <text>
        <r>
          <rPr>
            <sz val="10"/>
            <rFont val="Arial"/>
            <family val="2"/>
          </rPr>
          <t xml:space="preserve">Sharma, Arvind1 [ICG-RSCH]:
Matches with 1666 as the sum of qrtrlies as well</t>
        </r>
      </text>
    </comment>
    <comment ref="W84" authorId="0">
      <text>
        <r>
          <rPr>
            <sz val="10"/>
            <rFont val="Arial"/>
            <family val="2"/>
          </rPr>
          <t xml:space="preserve">Sharma, Arvind1 [ICG-RSCH]:
Bonus share on 17 July 2025</t>
        </r>
      </text>
    </comment>
    <comment ref="W331" authorId="0">
      <text>
        <r>
          <rPr>
            <sz val="10"/>
            <rFont val="Arial"/>
            <family val="2"/>
          </rPr>
          <t xml:space="preserve">Sharma, Arvind1 [ICG-RSCH]:
as per SIAM it was 14951</t>
        </r>
      </text>
    </comment>
    <comment ref="W335" authorId="0">
      <text>
        <r>
          <rPr>
            <sz val="10"/>
            <rFont val="Arial"/>
            <family val="2"/>
          </rPr>
          <t xml:space="preserve">Sharma, Arvind1 [ICG-RSCH]:
as per SIAM was 4377</t>
        </r>
      </text>
    </comment>
    <comment ref="W339" authorId="0">
      <text>
        <r>
          <rPr>
            <sz val="10"/>
            <rFont val="Arial"/>
            <family val="2"/>
          </rPr>
          <t xml:space="preserve">Sharma, Arvind1 [ICG-RSCH]:
as per SIAM was 36876</t>
        </r>
      </text>
    </comment>
    <comment ref="W343" authorId="0">
      <text>
        <r>
          <rPr>
            <sz val="10"/>
            <rFont val="Arial"/>
            <family val="2"/>
          </rPr>
          <t xml:space="preserve">Sharma, Arvind1 [ICG-RSCH]:
as per SIAM was 4100</t>
        </r>
      </text>
    </comment>
    <comment ref="W352" authorId="0">
      <text>
        <r>
          <rPr>
            <sz val="10"/>
            <rFont val="Arial"/>
            <family val="2"/>
          </rPr>
          <t xml:space="preserve">Sharma, Arvind1 [ICG-RSCH]:
from SIAM March sheet</t>
        </r>
      </text>
    </comment>
    <comment ref="W354" authorId="0">
      <text>
        <r>
          <rPr>
            <sz val="10"/>
            <rFont val="Arial"/>
            <family val="2"/>
          </rPr>
          <t xml:space="preserve">Sharma, Arvind1 [ICG-RSCH]:
Include Stile too as LCV
+3 for error check</t>
        </r>
      </text>
    </comment>
    <comment ref="W369" authorId="0">
      <text>
        <r>
          <rPr>
            <sz val="10"/>
            <rFont val="Arial"/>
            <family val="2"/>
          </rPr>
          <t xml:space="preserve">Sharma, Arvind1 [ICG-RSCH]:
was 88509 as per SIAM but 89342 as per March communique
Difference primaril as SIAM assumes Stile as UV and ALL counts it as LCV
89337 as per annual report</t>
        </r>
      </text>
    </comment>
    <comment ref="W399" authorId="0">
      <text>
        <r>
          <rPr>
            <sz val="10"/>
            <rFont val="Arial"/>
            <family val="2"/>
          </rPr>
          <t xml:space="preserve">Sharma, Arvind1 [ICG-RSCH]:
17441 given in ARFY14 - Pg 22/141</t>
        </r>
      </text>
    </comment>
    <comment ref="W421" authorId="0">
      <text>
        <r>
          <rPr>
            <sz val="10"/>
            <rFont val="Arial"/>
            <family val="2"/>
          </rPr>
          <t xml:space="preserve">jd57062:
THIS IS THE CONTRACT MFG INCOME EARNED ON MFG OF ALL DOSTS...</t>
        </r>
      </text>
    </comment>
    <comment ref="W426" authorId="0">
      <text>
        <r>
          <rPr>
            <sz val="10"/>
            <rFont val="Arial"/>
            <family val="2"/>
          </rPr>
          <t xml:space="preserve">Sharma, Arvind1 [ICG-RSCH]:
We changed classification in FY14.
Rev from services moved to top line from other income mainly to tally with the qrtrlies and also in line with what we do for maruti</t>
        </r>
      </text>
    </comment>
    <comment ref="W436" authorId="0">
      <text>
        <r>
          <rPr>
            <sz val="10"/>
            <rFont val="Arial"/>
            <family val="2"/>
          </rPr>
          <t xml:space="preserve">Sharma, Arvind1 [ICG-RSCH]:
tallies with 105608.453 given in ARFY14</t>
        </r>
      </text>
    </comment>
    <comment ref="W464" authorId="0">
      <text>
        <r>
          <rPr>
            <sz val="10"/>
            <rFont val="Arial"/>
            <family val="2"/>
          </rPr>
          <t xml:space="preserve">as20950:
Others, including bills discounting</t>
        </r>
      </text>
    </comment>
    <comment ref="W529" authorId="0">
      <text>
        <r>
          <rPr>
            <sz val="10"/>
            <rFont val="Arial"/>
            <family val="2"/>
          </rPr>
          <t xml:space="preserve">as20950:
Assume negative mix with higher LCVs to have some impact on costs too</t>
        </r>
      </text>
    </comment>
    <comment ref="W607" authorId="0">
      <text>
        <r>
          <rPr>
            <sz val="10"/>
            <rFont val="Arial"/>
            <family val="2"/>
          </rPr>
          <t xml:space="preserve">as20950:
we take capitalised expenses separately with other capitalised expenses</t>
        </r>
      </text>
    </comment>
    <comment ref="W611" authorId="0">
      <text>
        <r>
          <rPr>
            <sz val="10"/>
            <rFont val="Arial"/>
            <family val="2"/>
          </rPr>
          <t xml:space="preserve">as20950:
265.54crs of S&amp;D
133.36crcrs of service and product warranties
308.23 crs of packing and forwarding charges
Service and product warranties dropped quiet a bit</t>
        </r>
      </text>
    </comment>
    <comment ref="W627" authorId="0">
      <text>
        <r>
          <rPr>
            <sz val="10"/>
            <rFont val="Arial"/>
            <family val="2"/>
          </rPr>
          <t xml:space="preserve">as20950:
Annual maintenance contract</t>
        </r>
      </text>
    </comment>
    <comment ref="W643" authorId="0">
      <text>
        <r>
          <rPr>
            <sz val="10"/>
            <rFont val="Arial"/>
            <family val="2"/>
          </rPr>
          <t xml:space="preserve">as20950:
We club all capitalised expnses except Interest cost capitalised in one place as FY12 onwards, individually capitalised expenses were given separately
3.797mn of raw mat capitalised
46.382 mn of employee expense capitalised
147.568mn of other exp capitalised
</t>
        </r>
      </text>
    </comment>
    <comment ref="W689" authorId="0">
      <text>
        <r>
          <rPr>
            <sz val="10"/>
            <rFont val="Arial"/>
            <family val="2"/>
          </rPr>
          <t xml:space="preserve">as20950:
299.89crs of depreciation on tangible assets
65.35crs of impairment on intangible assets
Less 12.4crs of transfer from revaluarion reserve</t>
        </r>
      </text>
    </comment>
    <comment ref="W692" authorId="0">
      <text>
        <r>
          <rPr>
            <sz val="10"/>
            <rFont val="Arial"/>
            <family val="2"/>
          </rPr>
          <t xml:space="preserve">as20950:
Mainly profit on divestment. We should ideally take it in other income 
MAIN contributors:
301cr on sale sof IndusInd shares
193.27cr of profit on sale of immovable property </t>
        </r>
      </text>
    </comment>
    <comment ref="W702" authorId="0">
      <text>
        <r>
          <rPr>
            <sz val="10"/>
            <rFont val="Arial"/>
            <family val="2"/>
          </rPr>
          <t xml:space="preserve">as20950:
slightly chnaged formula due to very high exceptionals, which are purely due to disinvestment</t>
        </r>
      </text>
    </comment>
    <comment ref="W707" authorId="0">
      <text>
        <r>
          <rPr>
            <sz val="10"/>
            <rFont val="Arial"/>
            <family val="2"/>
          </rPr>
          <t xml:space="preserve">as20950:
4762.78 tallies with sum of 4Qs recurring PAT</t>
        </r>
      </text>
    </comment>
    <comment ref="W714" authorId="0">
      <text>
        <r>
          <rPr>
            <sz val="10"/>
            <rFont val="Arial"/>
            <family val="2"/>
          </rPr>
          <t xml:space="preserve">Sharma, Arvind1 [ICG-RSCH]:
No dividend in FY14 </t>
        </r>
      </text>
    </comment>
    <comment ref="W775" authorId="0">
      <text>
        <r>
          <rPr>
            <sz val="10"/>
            <rFont val="Arial"/>
            <family val="2"/>
          </rPr>
          <t xml:space="preserve">Sharma, Arvind1 [ICG-RSCH]:
Post amalgamation of 
Ashley Services Limited (ASL) (engaged in trading in commodites, providing technical and management
support).</t>
        </r>
      </text>
    </comment>
    <comment ref="W776" authorId="0">
      <text>
        <r>
          <rPr>
            <sz val="10"/>
            <rFont val="Arial"/>
            <family val="2"/>
          </rPr>
          <t xml:space="preserve">Sharma, Arvind1 [ICG-RSCH]:
11.733 on account of Expenses incurred on issue of Debentures</t>
        </r>
      </text>
    </comment>
    <comment ref="W805" authorId="0">
      <text>
        <r>
          <rPr>
            <sz val="10"/>
            <rFont val="Arial"/>
            <family val="2"/>
          </rPr>
          <t xml:space="preserve">as20950:
70crs of AL14 and 45crs of AL16</t>
        </r>
      </text>
    </comment>
    <comment ref="W806" authorId="0">
      <text>
        <r>
          <rPr>
            <sz val="10"/>
            <rFont val="Arial"/>
            <family val="2"/>
          </rPr>
          <t xml:space="preserve">as20950:
1/3rd of TL1 of 100crs
1/3rd of TL2 of 150crs
1/3rd of TL3 of 200crs
1/3rd of TL4 of 150 crs
1/3rd of TL5 of 150 crs</t>
        </r>
      </text>
    </comment>
    <comment ref="W815" authorId="0">
      <text>
        <r>
          <rPr>
            <sz val="10"/>
            <rFont val="Arial"/>
            <family val="2"/>
          </rPr>
          <t xml:space="preserve">as20950:
23.7mn is other long term liability</t>
        </r>
      </text>
    </comment>
    <comment ref="W837" authorId="0">
      <text>
        <r>
          <rPr>
            <sz val="10"/>
            <rFont val="Arial"/>
            <family val="2"/>
          </rPr>
          <t xml:space="preserve">Sharma, Arvind1 [ICG-RSCH]:
We do not take individual given large number of subs. Also we adj for provision for dimunition in value of investments instead of taking it separately 
Hind Found Ltd: was 24 cr in FY13. Got  no change to24 cr in FY14
Albonair: was 4 cr in FY13. Got decrease to0 cr in FY14
Defiance techn: was 23 cr in FY13. Got increased to82 cr in FY14
Hind leyland finance ltd: was 31 cr in FY13. Got increased to778 cr in FY14
Ashok Leyland Nissan vehicles: was 254 cr in FY13. Got increased to373 cr in FY14
Optare: was 58 cr in FY13. Got increased to150 cr in FY14
</t>
        </r>
      </text>
    </comment>
    <comment ref="W838" authorId="0">
      <text>
        <r>
          <rPr>
            <sz val="10"/>
            <rFont val="Arial"/>
            <family val="2"/>
          </rPr>
          <t xml:space="preserve">Sharma, Arvind1 [ICG-RSCH]:
384.3748crs of current investments given in ARFY14…there was no current inv in FY13
Current inv mainly consist of ~361.6cr of stake in Albonair</t>
        </r>
      </text>
    </comment>
    <comment ref="W855" authorId="0">
      <text>
        <r>
          <rPr>
            <sz val="10"/>
            <rFont val="Arial"/>
            <family val="2"/>
          </rPr>
          <t xml:space="preserve">as20950:
engines 2.858 mn
LCVs 103.745mn
Spare parts and auto comps 1556.567mn </t>
        </r>
      </text>
    </comment>
    <comment ref="W886" authorId="0">
      <text>
        <r>
          <rPr>
            <sz val="10"/>
            <rFont val="Arial"/>
            <family val="2"/>
          </rPr>
          <t xml:space="preserve">as20950:
--59.289 is Foreign Currecny Monetory Item Translation Difference
</t>
        </r>
      </text>
    </comment>
    <comment ref="X10" authorId="0">
      <text>
        <r>
          <rPr>
            <sz val="10"/>
            <rFont val="Arial"/>
            <family val="2"/>
          </rPr>
          <t xml:space="preserve">Sharma, Arvind1 [ICG-RSCH]:
104,902 as per website for FY15</t>
        </r>
      </text>
    </comment>
    <comment ref="X41" authorId="0">
      <text>
        <r>
          <rPr>
            <sz val="10"/>
            <rFont val="Arial"/>
            <family val="2"/>
          </rPr>
          <t xml:space="preserve">Sharma, Arvind1 [ICG-RSCH]:
We remove expense capitalised as a single head and allocate all expenses under respective heads</t>
        </r>
      </text>
    </comment>
    <comment ref="X47" authorId="0">
      <text>
        <r>
          <rPr>
            <sz val="10"/>
            <rFont val="Arial"/>
            <family val="2"/>
          </rPr>
          <t xml:space="preserve">Sharma, Arvind1 [ICG-RSCH]:
Doesn’t match with sum of qrtrlis as there appears to be some regrouping in 4Q</t>
        </r>
      </text>
    </comment>
    <comment ref="X84" authorId="0">
      <text>
        <r>
          <rPr>
            <sz val="10"/>
            <rFont val="Arial"/>
            <family val="2"/>
          </rPr>
          <t xml:space="preserve">Sharma, Arvind1 [ICG-RSCH]:
Bonus share on 17 July 2025</t>
        </r>
      </text>
    </comment>
    <comment ref="X331" authorId="0">
      <text>
        <r>
          <rPr>
            <sz val="10"/>
            <rFont val="Arial"/>
            <family val="2"/>
          </rPr>
          <t xml:space="preserve">Sharma, Arvind1 [ICG-RSCH]:
13151 according to SIAM as well as ARFY15 Pg 28/156</t>
        </r>
      </text>
    </comment>
    <comment ref="X335" authorId="0">
      <text>
        <r>
          <rPr>
            <sz val="10"/>
            <rFont val="Arial"/>
            <family val="2"/>
          </rPr>
          <t xml:space="preserve">Sharma, Arvind1 [ICG-RSCH]:
as per SIAM was 7571 which when added to goods exports tallies with ARFY15 nos if 11,218 units exports</t>
        </r>
      </text>
    </comment>
    <comment ref="X339" authorId="0">
      <text>
        <r>
          <rPr>
            <sz val="10"/>
            <rFont val="Arial"/>
            <family val="2"/>
          </rPr>
          <t xml:space="preserve">Sharma, Arvind1 [ICG-RSCH]:
53291 according to SIAM as well as ARFY15 Pg 28/156</t>
        </r>
      </text>
    </comment>
    <comment ref="X343" authorId="0">
      <text>
        <r>
          <rPr>
            <sz val="10"/>
            <rFont val="Arial"/>
            <family val="2"/>
          </rPr>
          <t xml:space="preserve">Sharma, Arvind1 [ICG-RSCH]:
as per SIAM was 3647 which when added to pax exports tallies with ARFY15 nos if 11,218 units exports</t>
        </r>
      </text>
    </comment>
    <comment ref="X347" authorId="0">
      <text>
        <r>
          <rPr>
            <sz val="10"/>
            <rFont val="Arial"/>
            <family val="2"/>
          </rPr>
          <t xml:space="preserve">Sharma, Arvind1 [ICG-RSCH]:
77660 as per companies volume release as well</t>
        </r>
      </text>
    </comment>
    <comment ref="X352" authorId="0">
      <text>
        <r>
          <rPr>
            <sz val="10"/>
            <rFont val="Arial"/>
            <family val="2"/>
          </rPr>
          <t xml:space="preserve">Sharma, Arvind1 [ICG-RSCH]:
24414 Dost from SIAM</t>
        </r>
      </text>
    </comment>
    <comment ref="X354" authorId="0">
      <text>
        <r>
          <rPr>
            <sz val="10"/>
            <rFont val="Arial"/>
            <family val="2"/>
          </rPr>
          <t xml:space="preserve">Sharma, Arvind1 [ICG-RSCH]:
-4 for error check</t>
        </r>
      </text>
    </comment>
    <comment ref="X369" authorId="0">
      <text>
        <r>
          <rPr>
            <sz val="10"/>
            <rFont val="Arial"/>
            <family val="2"/>
          </rPr>
          <t xml:space="preserve">Sharma, Arvind1 [ICG-RSCH]:
104916 as per SIAM
104902 as per March nos on Website as well as ARFY15
</t>
        </r>
      </text>
    </comment>
    <comment ref="X399" authorId="0">
      <text>
        <r>
          <rPr>
            <sz val="10"/>
            <rFont val="Arial"/>
            <family val="2"/>
          </rPr>
          <t xml:space="preserve">Sharma, Arvind1 [ICG-RSCH]:
Pg 7/156 ARFY15</t>
        </r>
      </text>
    </comment>
    <comment ref="X421" authorId="0">
      <text>
        <r>
          <rPr>
            <sz val="10"/>
            <rFont val="Arial"/>
            <family val="2"/>
          </rPr>
          <t xml:space="preserve">jd57062:
THIS IS THE CONTRACT MFG INCOME EARNED ON MFG OF ALL DOSTS...</t>
        </r>
      </text>
    </comment>
    <comment ref="X436" authorId="0">
      <text>
        <r>
          <rPr>
            <sz val="10"/>
            <rFont val="Arial"/>
            <family val="2"/>
          </rPr>
          <t xml:space="preserve">Sharma, Arvind1 [ICG-RSCH]:
tallies with 144859.335 given in ARFY15</t>
        </r>
      </text>
    </comment>
    <comment ref="X471" authorId="0">
      <text>
        <r>
          <rPr>
            <sz val="10"/>
            <rFont val="Arial"/>
            <family val="2"/>
          </rPr>
          <t xml:space="preserve">Sharma, Arvind1 [ICG-RSCH]:
Mainly
20.14cr of cash discont earned
29.77cr of forex gain</t>
        </r>
      </text>
    </comment>
    <comment ref="X472" authorId="0">
      <text>
        <r>
          <rPr>
            <sz val="10"/>
            <rFont val="Arial"/>
            <family val="2"/>
          </rPr>
          <t xml:space="preserve">Sharma, Arvind1 [ICG-RSCH]:
29.517mn profit on sale of current investment
29.121 mn of profit on sale of fixed assets</t>
        </r>
      </text>
    </comment>
    <comment ref="X551" authorId="0">
      <text>
        <r>
          <rPr>
            <sz val="10"/>
            <rFont val="Arial"/>
            <family val="2"/>
          </rPr>
          <t xml:space="preserve">as20950:
assume all outside  TN dost are purchased from Nissan JV </t>
        </r>
      </text>
    </comment>
    <comment ref="X643" authorId="0">
      <text>
        <r>
          <rPr>
            <sz val="10"/>
            <rFont val="Arial"/>
            <family val="2"/>
          </rPr>
          <t xml:space="preserve">Sharma, Arvind1 [ICG-RSCH]:
We only take other expenses capoitalised. The rest are taken under the various heads</t>
        </r>
      </text>
    </comment>
    <comment ref="X689" authorId="0">
      <text>
        <r>
          <rPr>
            <sz val="10"/>
            <rFont val="Arial"/>
            <family val="2"/>
          </rPr>
          <t xml:space="preserve">as20950:
352.9983crs of depreciation on tangible assets
75.2002crs of impairment on intangible assets
Less 11.86crs of transfer from revaluarion reserve</t>
        </r>
      </text>
    </comment>
    <comment ref="X692" authorId="0">
      <text>
        <r>
          <rPr>
            <sz val="10"/>
            <rFont val="Arial"/>
            <family val="2"/>
          </rPr>
          <t xml:space="preserve">Sharma, Arvind1 [ICG-RSCH]:
165.3mn from profit from divestment of wind mill business
2.755mn from profit on sale of current investments in Avia Ashok Leyland Motors
3083.237mn profit on sale of immovable property
(2241.947) dimunution in the value of investments
</t>
        </r>
      </text>
    </comment>
    <comment ref="X773" authorId="0">
      <text>
        <r>
          <rPr>
            <sz val="10"/>
            <rFont val="Arial"/>
            <family val="2"/>
          </rPr>
          <t xml:space="preserve">Sharma, Arvind1 [ICG-RSCH]:
2845.88mn
QIP of 185.2mn shares on 4 July 2015. Price Rs 36 (1+35 sh premium)
2845.88=+2660.68+185.2*1</t>
        </r>
      </text>
    </comment>
    <comment ref="X776" authorId="0">
      <text>
        <r>
          <rPr>
            <sz val="10"/>
            <rFont val="Arial"/>
            <family val="2"/>
          </rPr>
          <t xml:space="preserve">Sharma, Arvind1 [ICG-RSCH]:
QIP of 185.2mn shares on 4 July 2015. Price Rs 36 (1+35 sh premium)
Rs148.24 is the share issue expense</t>
        </r>
      </text>
    </comment>
    <comment ref="X805" authorId="0">
      <text>
        <r>
          <rPr>
            <sz val="10"/>
            <rFont val="Arial"/>
            <family val="2"/>
          </rPr>
          <t xml:space="preserve">as20950:
70crs of AL15 and 45crs of AL16
150crs of AL19 200crs of AL17</t>
        </r>
      </text>
    </comment>
    <comment ref="X806" authorId="0">
      <text>
        <r>
          <rPr>
            <sz val="10"/>
            <rFont val="Arial"/>
            <family val="2"/>
          </rPr>
          <t xml:space="preserve">as20950:
1/3rd of TL1 of 100crs
1/3rd of TL2 of 150crs</t>
        </r>
      </text>
    </comment>
    <comment ref="X837" authorId="0">
      <text>
        <r>
          <rPr>
            <sz val="10"/>
            <rFont val="Arial"/>
            <family val="2"/>
          </rPr>
          <t xml:space="preserve">Sharma, Arvind1 [ICG-RSCH]:
Add all Non current investments</t>
        </r>
      </text>
    </comment>
    <comment ref="X838" authorId="0">
      <text>
        <r>
          <rPr>
            <sz val="10"/>
            <rFont val="Arial"/>
            <family val="2"/>
          </rPr>
          <t xml:space="preserve">Sharma, Arvind1 [ICG-RSCH]:
21.148cr of equity shares of Albonair India Pvt Ltd
387.3cr of equity shares of Albonair GMBH</t>
        </r>
      </text>
    </comment>
    <comment ref="X855" authorId="0">
      <text>
        <r>
          <rPr>
            <sz val="10"/>
            <rFont val="Arial"/>
            <family val="2"/>
          </rPr>
          <t xml:space="preserve">as20950:
LCVs 156.337mn
Spare parts and auto comps 1848.846mn </t>
        </r>
      </text>
    </comment>
    <comment ref="X886" authorId="0">
      <text>
        <r>
          <rPr>
            <sz val="10"/>
            <rFont val="Arial"/>
            <family val="2"/>
          </rPr>
          <t xml:space="preserve">as20950:
142.485 is Foreign Currecny Monetory Item Translation Difference
</t>
        </r>
      </text>
    </comment>
    <comment ref="Y84" authorId="0">
      <text>
        <r>
          <rPr>
            <sz val="10"/>
            <rFont val="Arial"/>
            <family val="2"/>
          </rPr>
          <t xml:space="preserve">Sharma, Arvind1 [ICG-RSCH]:
Bonus share on 17 July 2025</t>
        </r>
      </text>
    </comment>
    <comment ref="Y331" authorId="0">
      <text>
        <r>
          <rPr>
            <sz val="10"/>
            <rFont val="Arial"/>
            <family val="2"/>
          </rPr>
          <t xml:space="preserve">Sharma, Arvind1 [ICG-RSCH]:
19586 as per SIAM</t>
        </r>
      </text>
    </comment>
    <comment ref="Y335" authorId="0">
      <text>
        <r>
          <rPr>
            <sz val="10"/>
            <rFont val="Arial"/>
            <family val="2"/>
          </rPr>
          <t xml:space="preserve">Sharma, Arvind1 [ICG-RSCH]:
6135  as per SIAM</t>
        </r>
      </text>
    </comment>
    <comment ref="Y339" authorId="0">
      <text>
        <r>
          <rPr>
            <sz val="10"/>
            <rFont val="Arial"/>
            <family val="2"/>
          </rPr>
          <t xml:space="preserve">Sharma, Arvind1 [ICG-RSCH]:
79223  as per SIAM</t>
        </r>
      </text>
    </comment>
    <comment ref="Y343" authorId="0">
      <text>
        <r>
          <rPr>
            <sz val="10"/>
            <rFont val="Arial"/>
            <family val="2"/>
          </rPr>
          <t xml:space="preserve">Sharma, Arvind1 [ICG-RSCH]:
4811  as per SIAM</t>
        </r>
      </text>
    </comment>
    <comment ref="Y347" authorId="0">
      <text>
        <r>
          <rPr>
            <sz val="10"/>
            <rFont val="Arial"/>
            <family val="2"/>
          </rPr>
          <t xml:space="preserve">Sharma, Arvind1 [ICG-RSCH]:
109755 as per SIAM
109762 as per Ashok Leyland sales update</t>
        </r>
      </text>
    </comment>
    <comment ref="Y369" authorId="0">
      <text>
        <r>
          <rPr>
            <sz val="10"/>
            <rFont val="Arial"/>
            <family val="2"/>
          </rPr>
          <t xml:space="preserve">Sharma, Arvind1 [ICG-RSCH]:
140457 as per ALL Press release…also includes 96 export Uvs and 1 domestic UV
140457 as per ARFY16 (Pg 8/171)</t>
        </r>
      </text>
    </comment>
    <comment ref="Y399" authorId="0">
      <text>
        <r>
          <rPr>
            <sz val="10"/>
            <rFont val="Arial"/>
            <family val="2"/>
          </rPr>
          <t xml:space="preserve">Sharma, Arvind1 [ICG-RSCH]:
15551 in ARFY16 pg 8/171</t>
        </r>
      </text>
    </comment>
    <comment ref="Y436" authorId="0">
      <text>
        <r>
          <rPr>
            <sz val="10"/>
            <rFont val="Arial"/>
            <family val="2"/>
          </rPr>
          <t xml:space="preserve">Sharma, Arvind1 [ICG-RSCH]:
tallies with 198772.523 given in ARFY16</t>
        </r>
      </text>
    </comment>
    <comment ref="Y551" authorId="0">
      <text>
        <r>
          <rPr>
            <sz val="10"/>
            <rFont val="Arial"/>
            <family val="2"/>
          </rPr>
          <t xml:space="preserve">as20950:
assume all outside  TN dost are purchased from Nissan JV </t>
        </r>
      </text>
    </comment>
    <comment ref="Y627" authorId="0">
      <text>
        <r>
          <rPr>
            <sz val="10"/>
            <rFont val="Arial"/>
            <family val="2"/>
          </rPr>
          <t xml:space="preserve">Sharma, Arvind1 [ICG-RSCH]:
Annual Maintenance Contract</t>
        </r>
      </text>
    </comment>
    <comment ref="Y692" authorId="0">
      <text>
        <r>
          <rPr>
            <sz val="10"/>
            <rFont val="Arial"/>
            <family val="2"/>
          </rPr>
          <t xml:space="preserve">Sharma, Arvind1 [ICG-RSCH]:
2322.856: Loss on John Deere
1958.763 Loss on AL Nissan
1498.944 Optare loss
1067.814: Albonair loss</t>
        </r>
      </text>
    </comment>
    <comment ref="Y837" authorId="0">
      <text>
        <r>
          <rPr>
            <sz val="10"/>
            <rFont val="Arial"/>
            <family val="2"/>
          </rPr>
          <t xml:space="preserve">Sharma, Arvind1 [ICG-RSCH]:
Add all Non current investments</t>
        </r>
      </text>
    </comment>
    <comment ref="Z10" authorId="0">
      <text>
        <r>
          <rPr>
            <sz val="10"/>
            <rFont val="Arial"/>
            <family val="2"/>
          </rPr>
          <t xml:space="preserve">Sharma, Arvind1 [ICG-RSCH]:
As per 4Q press release
MHCV: 113,296
LCV:      31,770
Total : 145,066</t>
        </r>
      </text>
    </comment>
    <comment ref="Z54" authorId="0">
      <text>
        <r>
          <rPr>
            <sz val="10"/>
            <rFont val="Arial"/>
            <family val="2"/>
          </rPr>
          <t xml:space="preserve">Sharma, Arvind1 [ICG-RSCH]:
1742.949: Impariment reversal in value of investment in subs and JVs - in the Nissan JV
-2441.408- impariment loss allowance on laons to a sub
-28100: Provision fo obligation relating to a sub
As per 4QFY17 con call 
Impaired 526 crs of entire loans to Optare (guarantees)
Took 25% impairment in Albonaire (too 25% last year as well)
Took impairment of 296 cr in FY17 in LCV JV…this was reversed in FY18
324crs is the tax gain from amalgamation fo Hind Foundaries. We take as an exceptional instead of taking it in tax
</t>
        </r>
      </text>
    </comment>
    <comment ref="Z56" authorId="0">
      <text>
        <r>
          <rPr>
            <sz val="10"/>
            <rFont val="Arial"/>
            <family val="2"/>
          </rPr>
          <t xml:space="preserve">Sharma, Arvind1 [ICG-RSCH]:
See comments below. We take the tax credit from the HFL merger as an exception</t>
        </r>
      </text>
    </comment>
    <comment ref="Z84" authorId="0">
      <text>
        <r>
          <rPr>
            <sz val="10"/>
            <rFont val="Arial"/>
            <family val="2"/>
          </rPr>
          <t xml:space="preserve">Sharma, Arvind1 [ICG-RSCH]:
Bonus share on 17 July 2025</t>
        </r>
      </text>
    </comment>
    <comment ref="Z93" authorId="0">
      <text>
        <r>
          <rPr>
            <sz val="10"/>
            <rFont val="Arial"/>
            <family val="2"/>
          </rPr>
          <t xml:space="preserve">Dadabhoy, Jamshed [ICG-RSCH]:
average</t>
        </r>
      </text>
    </comment>
    <comment ref="Z331" authorId="0">
      <text>
        <r>
          <rPr>
            <sz val="10"/>
            <rFont val="Arial"/>
            <family val="2"/>
          </rPr>
          <t xml:space="preserve">Sharma, Arvind1 [ICG-RSCH]:
17725 as per SIAM</t>
        </r>
      </text>
    </comment>
    <comment ref="Z335" authorId="0">
      <text>
        <r>
          <rPr>
            <sz val="10"/>
            <rFont val="Arial"/>
            <family val="2"/>
          </rPr>
          <t xml:space="preserve">Sharma, Arvind1 [ICG-RSCH]:
17725 as per SIAM</t>
        </r>
      </text>
    </comment>
    <comment ref="Z339" authorId="0">
      <text>
        <r>
          <rPr>
            <sz val="10"/>
            <rFont val="Arial"/>
            <family val="2"/>
          </rPr>
          <t xml:space="preserve">Sharma, Arvind1 [ICG-RSCH]:
84588 as per SIAM</t>
        </r>
      </text>
    </comment>
    <comment ref="Z343" authorId="0">
      <text>
        <r>
          <rPr>
            <sz val="10"/>
            <rFont val="Arial"/>
            <family val="2"/>
          </rPr>
          <t xml:space="preserve">Sharma, Arvind1 [ICG-RSCH]:
6102 as per SIAM</t>
        </r>
      </text>
    </comment>
    <comment ref="Z347" authorId="0">
      <text>
        <r>
          <rPr>
            <sz val="10"/>
            <rFont val="Arial"/>
            <family val="2"/>
          </rPr>
          <t xml:space="preserve">Sharma, Arvind1 [ICG-RSCH]:
113292 as per SIAM
113296 as per Ashok Leyland sales update</t>
        </r>
      </text>
    </comment>
    <comment ref="Z369" authorId="0">
      <text>
        <r>
          <rPr>
            <sz val="10"/>
            <rFont val="Arial"/>
            <family val="2"/>
          </rPr>
          <t xml:space="preserve">Sharma, Arvind1 [ICG-RSCH]:
145066 as per company sales release</t>
        </r>
      </text>
    </comment>
    <comment ref="Z551" authorId="0">
      <text>
        <r>
          <rPr>
            <sz val="10"/>
            <rFont val="Arial"/>
            <family val="2"/>
          </rPr>
          <t xml:space="preserve">as20950:
assume all outside  TN dost are purchased from Nissan JV </t>
        </r>
      </text>
    </comment>
    <comment ref="Z627" authorId="0">
      <text>
        <r>
          <rPr>
            <sz val="10"/>
            <rFont val="Arial"/>
            <family val="2"/>
          </rPr>
          <t xml:space="preserve">Sharma, Arvind1 [ICG-RSCH]:
Annual Maintenance Contract</t>
        </r>
      </text>
    </comment>
    <comment ref="Z692" authorId="0">
      <text>
        <r>
          <rPr>
            <sz val="10"/>
            <rFont val="Arial"/>
            <family val="2"/>
          </rPr>
          <t xml:space="preserve">Sharma, Arvind1 [ICG-RSCH]:
1958.763 Gain on AL Nissan
1139.467: Albonair loss
Optaer provision: 2810.00</t>
        </r>
      </text>
    </comment>
    <comment ref="Z701" authorId="0">
      <text>
        <r>
          <rPr>
            <sz val="10"/>
            <rFont val="Arial"/>
            <family val="2"/>
          </rPr>
          <t xml:space="preserve">Sharma, Arvind1 [ICG-RSCH]:
Tax saving from merger of HFL added 324crs to the PAT
We add that back and put it as an exceptional</t>
        </r>
      </text>
    </comment>
    <comment ref="Z838" authorId="0">
      <text>
        <r>
          <rPr>
            <sz val="10"/>
            <rFont val="Arial"/>
            <family val="2"/>
          </rPr>
          <t xml:space="preserve">Sharma, Arvind1 [ICG-RSCH]:
Mutual funds</t>
        </r>
      </text>
    </comment>
    <comment ref="Z845" authorId="0">
      <text>
        <r>
          <rPr>
            <sz val="10"/>
            <rFont val="Arial"/>
            <family val="2"/>
          </rPr>
          <t xml:space="preserve">Sharma, Arvind1 [ICG-RSCH]:
Loans gone down for Subs/JVs..impaired</t>
        </r>
      </text>
    </comment>
    <comment ref="Z846" authorId="0">
      <text>
        <r>
          <rPr>
            <sz val="10"/>
            <rFont val="Arial"/>
            <family val="2"/>
          </rPr>
          <t xml:space="preserve">Sharma, Arvind1 [ICG-RSCH]:
123crs is the asset held for sale and 15lakhs is liabilities associated with it </t>
        </r>
      </text>
    </comment>
    <comment ref="Z879" authorId="0">
      <text>
        <r>
          <rPr>
            <sz val="10"/>
            <rFont val="Arial"/>
            <family val="2"/>
          </rPr>
          <t xml:space="preserve">Sharma, Arvind1 [ICG-RSCH]:
As per IndAS shifted to Equity</t>
        </r>
      </text>
    </comment>
    <comment ref="Z962" authorId="0">
      <text>
        <r>
          <rPr>
            <sz val="10"/>
            <rFont val="Arial"/>
            <family val="2"/>
          </rPr>
          <t xml:space="preserve">Sharma, Arvind1 [ICG-RSCH]:
Slightly higher due to Bsii-BSIV we think</t>
        </r>
      </text>
    </comment>
    <comment ref="AA84" authorId="0">
      <text>
        <r>
          <rPr>
            <sz val="10"/>
            <rFont val="Arial"/>
            <family val="2"/>
          </rPr>
          <t xml:space="preserve">Sharma, Arvind1 [ICG-RSCH]:
Bonus share on 17 July 2025</t>
        </r>
      </text>
    </comment>
    <comment ref="AA331" authorId="0">
      <text>
        <r>
          <rPr>
            <sz val="10"/>
            <rFont val="Arial"/>
            <family val="2"/>
          </rPr>
          <t xml:space="preserve">Sharma, Arvind1 [ICG-RSCH]:
13708 as per SIAM</t>
        </r>
      </text>
    </comment>
    <comment ref="AA335" authorId="0">
      <text>
        <r>
          <rPr>
            <sz val="10"/>
            <rFont val="Arial"/>
            <family val="2"/>
          </rPr>
          <t xml:space="preserve">Sharma, Arvind1 [ICG-RSCH]:
6512 as per SIAM</t>
        </r>
      </text>
    </comment>
    <comment ref="AA339" authorId="0">
      <text>
        <r>
          <rPr>
            <sz val="10"/>
            <rFont val="Arial"/>
            <family val="2"/>
          </rPr>
          <t xml:space="preserve">Sharma, Arvind1 [ICG-RSCH]:
102826 as per SIAM</t>
        </r>
      </text>
    </comment>
    <comment ref="AA343" authorId="0">
      <text>
        <r>
          <rPr>
            <sz val="10"/>
            <rFont val="Arial"/>
            <family val="2"/>
          </rPr>
          <t xml:space="preserve">Sharma, Arvind1 [ICG-RSCH]:
8386 as per SIAM</t>
        </r>
      </text>
    </comment>
    <comment ref="AA347" authorId="0">
      <text>
        <r>
          <rPr>
            <sz val="10"/>
            <rFont val="Arial"/>
            <family val="2"/>
          </rPr>
          <t xml:space="preserve">Sharma, Arvind1 [ICG-RSCH]:
131432  as per SIAM
1131432 as per Ashok Leyland March sales update also </t>
        </r>
      </text>
    </comment>
    <comment ref="AA369" authorId="0">
      <text>
        <r>
          <rPr>
            <sz val="10"/>
            <rFont val="Arial"/>
            <family val="2"/>
          </rPr>
          <t xml:space="preserve">Sharma, Arvind1 [ICG-RSCH]:
174873 as per company march release as well as ARFY18 Pg 9/220</t>
        </r>
      </text>
    </comment>
    <comment ref="AA627" authorId="0">
      <text>
        <r>
          <rPr>
            <sz val="10"/>
            <rFont val="Arial"/>
            <family val="2"/>
          </rPr>
          <t xml:space="preserve">Sharma, Arvind1 [ICG-RSCH]:
Annual Maintenance Contract</t>
        </r>
      </text>
    </comment>
    <comment ref="AA692" authorId="0">
      <text>
        <r>
          <rPr>
            <sz val="10"/>
            <rFont val="Arial"/>
            <family val="2"/>
          </rPr>
          <t xml:space="preserve">Sharma, Arvind1 [ICG-RSCH]:
Impairment loss allowance on loans (inc interest) to sub</t>
        </r>
      </text>
    </comment>
    <comment ref="AA838" authorId="0">
      <text>
        <r>
          <rPr>
            <sz val="10"/>
            <rFont val="Arial"/>
            <family val="2"/>
          </rPr>
          <t xml:space="preserve">Sharma, Arvind1 [ICG-RSCH]:
Mutual funds</t>
        </r>
      </text>
    </comment>
    <comment ref="AB10" authorId="0">
      <text>
        <r>
          <rPr>
            <sz val="10"/>
            <rFont val="Arial"/>
            <family val="2"/>
          </rPr>
          <t xml:space="preserve">Sharma, Arvind1 [ICG-RSCH]:
197366 as per 4QFY19 press release</t>
        </r>
      </text>
    </comment>
    <comment ref="AB84" authorId="0">
      <text>
        <r>
          <rPr>
            <sz val="10"/>
            <rFont val="Arial"/>
            <family val="2"/>
          </rPr>
          <t xml:space="preserve">Sharma, Arvind1 [ICG-RSCH]:
Bonus share on 17 July 2025</t>
        </r>
      </text>
    </comment>
    <comment ref="AB331" authorId="0">
      <text>
        <r>
          <rPr>
            <sz val="10"/>
            <rFont val="Arial"/>
            <family val="2"/>
          </rPr>
          <t xml:space="preserve">Sharma, Arvind1 [ICG-RSCH]:
16323 as per Mar'19 release</t>
        </r>
      </text>
    </comment>
    <comment ref="AB335" authorId="0">
      <text>
        <r>
          <rPr>
            <sz val="10"/>
            <rFont val="Arial"/>
            <family val="2"/>
          </rPr>
          <t xml:space="preserve">Sharma, Arvind1 [ICG-RSCH]:
3548 as per Mar'19 release</t>
        </r>
      </text>
    </comment>
    <comment ref="AB339" authorId="0">
      <text>
        <r>
          <rPr>
            <sz val="10"/>
            <rFont val="Arial"/>
            <family val="2"/>
          </rPr>
          <t xml:space="preserve">Sharma, Arvind1 [ICG-RSCH]:
115613 as per Mar'19 release</t>
        </r>
      </text>
    </comment>
    <comment ref="AB343" authorId="0">
      <text>
        <r>
          <rPr>
            <sz val="10"/>
            <rFont val="Arial"/>
            <family val="2"/>
          </rPr>
          <t xml:space="preserve">Sharma, Arvind1 [ICG-RSCH]:
7374 as per Mar'19 release</t>
        </r>
      </text>
    </comment>
    <comment ref="AB347" authorId="0">
      <text>
        <r>
          <rPr>
            <sz val="10"/>
            <rFont val="Arial"/>
            <family val="2"/>
          </rPr>
          <t xml:space="preserve">Sharma, Arvind1 [ICG-RSCH]:
142848 as per Mar'19 release</t>
        </r>
      </text>
    </comment>
    <comment ref="AB357" authorId="0">
      <text>
        <r>
          <rPr>
            <sz val="10"/>
            <rFont val="Arial"/>
            <family val="2"/>
          </rPr>
          <t xml:space="preserve">Sharma, Arvind1 [ICG-RSCH]:
53129 as per Mar'19 release</t>
        </r>
      </text>
    </comment>
    <comment ref="AB361" authorId="0">
      <text>
        <r>
          <rPr>
            <sz val="10"/>
            <rFont val="Arial"/>
            <family val="2"/>
          </rPr>
          <t xml:space="preserve">Sharma, Arvind1 [ICG-RSCH]:
1379 as per Mar'19 release</t>
        </r>
      </text>
    </comment>
    <comment ref="AB365" authorId="0">
      <text>
        <r>
          <rPr>
            <sz val="10"/>
            <rFont val="Arial"/>
            <family val="2"/>
          </rPr>
          <t xml:space="preserve">Sharma, Arvind1 [ICG-RSCH]:
185065 as per Mar'19 release</t>
        </r>
      </text>
    </comment>
    <comment ref="AB367" authorId="0">
      <text>
        <r>
          <rPr>
            <sz val="10"/>
            <rFont val="Arial"/>
            <family val="2"/>
          </rPr>
          <t xml:space="preserve">Sharma, Arvind1 [ICG-RSCH]:
12301 as per Mar'19 release</t>
        </r>
      </text>
    </comment>
    <comment ref="AB369" authorId="0">
      <text>
        <r>
          <rPr>
            <sz val="10"/>
            <rFont val="Arial"/>
            <family val="2"/>
          </rPr>
          <t xml:space="preserve">Sharma, Arvind1 [ICG-RSCH]:
197366 as per Mar'19 release</t>
        </r>
      </text>
    </comment>
    <comment ref="AB378" authorId="0">
      <text>
        <r>
          <rPr>
            <sz val="10"/>
            <rFont val="Arial"/>
            <family val="2"/>
          </rPr>
          <t xml:space="preserve">Sharma, Arvind1 [ICG-RSCH]:
LCV merged so formula changed</t>
        </r>
      </text>
    </comment>
    <comment ref="AB386" authorId="0">
      <text>
        <r>
          <rPr>
            <sz val="10"/>
            <rFont val="Arial"/>
            <family val="2"/>
          </rPr>
          <t xml:space="preserve">Sharma, Arvind1 [ICG-RSCH]:
Merged in FY19…so no point diffrentiating </t>
        </r>
      </text>
    </comment>
    <comment ref="AB387" authorId="0">
      <text>
        <r>
          <rPr>
            <sz val="10"/>
            <rFont val="Arial"/>
            <family val="2"/>
          </rPr>
          <t xml:space="preserve">Sharma, Arvind1 [ICG-RSCH]:
Merged in FY19…so no point diffrentiating </t>
        </r>
      </text>
    </comment>
    <comment ref="AB388" authorId="0">
      <text>
        <r>
          <rPr>
            <sz val="10"/>
            <rFont val="Arial"/>
            <family val="2"/>
          </rPr>
          <t xml:space="preserve">Sharma, Arvind1 [ICG-RSCH]:
Merged in FY19…so no point diffrentiating </t>
        </r>
      </text>
    </comment>
    <comment ref="AB389" authorId="0">
      <text>
        <r>
          <rPr>
            <sz val="10"/>
            <rFont val="Arial"/>
            <family val="2"/>
          </rPr>
          <t xml:space="preserve">Sharma, Arvind1 [ICG-RSCH]:
Merged in FY19…so no point diffrentiating </t>
        </r>
      </text>
    </comment>
    <comment ref="AB421" authorId="0">
      <text>
        <r>
          <rPr>
            <sz val="10"/>
            <rFont val="Arial"/>
            <family val="2"/>
          </rPr>
          <t xml:space="preserve">Sharma, Arvind1 [ICG-RSCH]:
contract manufacturing income goes after merger of LCV subs</t>
        </r>
      </text>
    </comment>
    <comment ref="AB692" authorId="0">
      <text>
        <r>
          <rPr>
            <sz val="10"/>
            <rFont val="Arial"/>
            <family val="2"/>
          </rPr>
          <t xml:space="preserve">Sharma, Arvind1 [ICG-RSCH]:
3.77cr+18.06cr: Impairment loss allowance on loans (inc interest) to sub+ loan given to subs
15.94cr: loss on sales of properties
17.08cr: oblogation due to discountued LCV operations
</t>
        </r>
      </text>
    </comment>
    <comment ref="AB701" authorId="0">
      <text>
        <r>
          <rPr>
            <sz val="10"/>
            <rFont val="Arial"/>
            <family val="2"/>
          </rPr>
          <t xml:space="preserve">Dadabhoy, Jamshed [ICG-RSCH]:
tax shield of c250cr on account of merger of LCV business...</t>
        </r>
      </text>
    </comment>
    <comment ref="AB825" authorId="0">
      <text>
        <r>
          <rPr>
            <sz val="10"/>
            <rFont val="Arial"/>
            <family val="2"/>
          </rPr>
          <t xml:space="preserve">Sharma, Arvind1 [ICG-RSCH]:
Merger of LCV subs adds to the gross block</t>
        </r>
      </text>
    </comment>
    <comment ref="AB875" authorId="0">
      <text>
        <r>
          <rPr>
            <sz val="10"/>
            <rFont val="Arial"/>
            <family val="2"/>
          </rPr>
          <t xml:space="preserve">Dadabhoy, Jamshed [ICG-RSCH]:
refund liabilities of 267cr</t>
        </r>
      </text>
    </comment>
    <comment ref="AC10" authorId="0">
      <text>
        <r>
          <rPr>
            <sz val="10"/>
            <rFont val="Arial"/>
            <family val="2"/>
          </rPr>
          <t xml:space="preserve">Sharma, Arvind1 [ICG-RSCH]:
125253 as per Mar'20 sales release</t>
        </r>
      </text>
    </comment>
    <comment ref="AC84" authorId="0">
      <text>
        <r>
          <rPr>
            <sz val="10"/>
            <rFont val="Arial"/>
            <family val="2"/>
          </rPr>
          <t xml:space="preserve">Sharma, Arvind1 [ICG-RSCH]:
Bonus share on 17 July 2025</t>
        </r>
      </text>
    </comment>
    <comment ref="AC290" authorId="0">
      <text>
        <r>
          <rPr>
            <sz val="10"/>
            <rFont val="Arial"/>
            <family val="2"/>
          </rPr>
          <t xml:space="preserve">Sharma, Arvind1 [ICG-RSCH]:
125200 as per FY20 Annual report</t>
        </r>
      </text>
    </comment>
    <comment ref="AC299" authorId="0">
      <text>
        <r>
          <rPr>
            <sz val="10"/>
            <rFont val="Arial"/>
            <family val="2"/>
          </rPr>
          <t xml:space="preserve">Sharma, Arvind1 [ICG-RSCH]:
125200 as per FY20 Annual report</t>
        </r>
      </text>
    </comment>
    <comment ref="AC331" authorId="0">
      <text>
        <r>
          <rPr>
            <sz val="10"/>
            <rFont val="Arial"/>
            <family val="2"/>
          </rPr>
          <t xml:space="preserve">Sharma, Arvind1 [ICG-RSCH]:
+14 to comply with Mar'20 press release</t>
        </r>
      </text>
    </comment>
    <comment ref="AC339" authorId="0">
      <text>
        <r>
          <rPr>
            <sz val="10"/>
            <rFont val="Arial"/>
            <family val="2"/>
          </rPr>
          <t xml:space="preserve">Sharma, Arvind1 [ICG-RSCH]:
-1 to comply with Mar'20 press release</t>
        </r>
      </text>
    </comment>
    <comment ref="AC369" authorId="0">
      <text>
        <r>
          <rPr>
            <sz val="10"/>
            <rFont val="Arial"/>
            <family val="2"/>
          </rPr>
          <t xml:space="preserve">Sharma, Arvind1 [ICG-RSCH]:
125253 as per Mar'20 sales release</t>
        </r>
      </text>
    </comment>
    <comment ref="AC378" authorId="0">
      <text>
        <r>
          <rPr>
            <sz val="10"/>
            <rFont val="Arial"/>
            <family val="2"/>
          </rPr>
          <t xml:space="preserve">Sharma, Arvind1 [ICG-RSCH]:
125253 as per Mar'20 sales release</t>
        </r>
      </text>
    </comment>
    <comment ref="AC386" authorId="0">
      <text>
        <r>
          <rPr>
            <sz val="10"/>
            <rFont val="Arial"/>
            <family val="2"/>
          </rPr>
          <t xml:space="preserve">Sharma, Arvind1 [ICG-RSCH]:
Merged in FY19…so no point diffrentiating </t>
        </r>
      </text>
    </comment>
    <comment ref="AC387" authorId="0">
      <text>
        <r>
          <rPr>
            <sz val="10"/>
            <rFont val="Arial"/>
            <family val="2"/>
          </rPr>
          <t xml:space="preserve">Sharma, Arvind1 [ICG-RSCH]:
Merged in FY19…so no point diffrentiating </t>
        </r>
      </text>
    </comment>
    <comment ref="AC388" authorId="0">
      <text>
        <r>
          <rPr>
            <sz val="10"/>
            <rFont val="Arial"/>
            <family val="2"/>
          </rPr>
          <t xml:space="preserve">Sharma, Arvind1 [ICG-RSCH]:
Merged in FY19…so no point diffrentiating </t>
        </r>
      </text>
    </comment>
    <comment ref="AC389" authorId="0">
      <text>
        <r>
          <rPr>
            <sz val="10"/>
            <rFont val="Arial"/>
            <family val="2"/>
          </rPr>
          <t xml:space="preserve">Sharma, Arvind1 [ICG-RSCH]:
Merged in FY19…so no point diffrentiating </t>
        </r>
      </text>
    </comment>
    <comment ref="AC421" authorId="0">
      <text>
        <r>
          <rPr>
            <sz val="10"/>
            <rFont val="Arial"/>
            <family val="2"/>
          </rPr>
          <t xml:space="preserve">Sharma, Arvind1 [ICG-RSCH]:
contract manufacturing income goes after merger of LCV subs</t>
        </r>
      </text>
    </comment>
    <comment ref="AC692" authorId="0">
      <text>
        <r>
          <rPr>
            <sz val="10"/>
            <rFont val="Arial"/>
            <family val="2"/>
          </rPr>
          <t xml:space="preserve">Sharma, Arvind1 [ICG-RSCH]:
Mainly impairement loss in LCVs business 100crs and VRS 45.59crs</t>
        </r>
      </text>
    </comment>
    <comment ref="AC803" authorId="0">
      <text>
        <r>
          <rPr>
            <sz val="10"/>
            <rFont val="Arial"/>
            <family val="2"/>
          </rPr>
          <t xml:space="preserve">Sharma, Arvind1 [ICG-RSCH]:
mgmt noted that debt was 3100crs as of FY20 end</t>
        </r>
      </text>
    </comment>
    <comment ref="AC829" authorId="0">
      <text>
        <r>
          <rPr>
            <sz val="10"/>
            <rFont val="Arial"/>
            <family val="2"/>
          </rPr>
          <t xml:space="preserve">Sharma, Arvind1 [ICG-RSCH]:
seems to be Phoenix</t>
        </r>
      </text>
    </comment>
    <comment ref="AC869" authorId="0">
      <text>
        <r>
          <rPr>
            <sz val="10"/>
            <rFont val="Arial"/>
            <family val="2"/>
          </rPr>
          <t xml:space="preserve">Sharma, Arvind1 [ICG-RSCH]:
Intercompany deposits</t>
        </r>
      </text>
    </comment>
    <comment ref="AD10" authorId="0">
      <text>
        <r>
          <rPr>
            <sz val="10"/>
            <rFont val="Arial"/>
            <family val="2"/>
          </rPr>
          <t xml:space="preserve">Sharma, Arvind1 [ICG-RSCH]:
100,715  as per mar'21 press release</t>
        </r>
      </text>
    </comment>
    <comment ref="AD84" authorId="0">
      <text>
        <r>
          <rPr>
            <sz val="10"/>
            <rFont val="Arial"/>
            <family val="2"/>
          </rPr>
          <t xml:space="preserve">Sharma, Arvind1 [ICG-RSCH]:
Bonus share on 17 July 2025</t>
        </r>
      </text>
    </comment>
    <comment ref="AD357" authorId="0">
      <text>
        <r>
          <rPr>
            <sz val="10"/>
            <rFont val="Arial"/>
            <family val="2"/>
          </rPr>
          <t xml:space="preserve">Sharma, Arvind1 [ICG-RSCH]:
New model</t>
        </r>
      </text>
    </comment>
    <comment ref="AD369" authorId="0">
      <text>
        <r>
          <rPr>
            <sz val="10"/>
            <rFont val="Arial"/>
            <family val="2"/>
          </rPr>
          <t xml:space="preserve">Sharma, Arvind1 [ICG-RSCH]:
100,715  as per mar'21 press release</t>
        </r>
      </text>
    </comment>
    <comment ref="AD386" authorId="0">
      <text>
        <r>
          <rPr>
            <sz val="10"/>
            <rFont val="Arial"/>
            <family val="2"/>
          </rPr>
          <t xml:space="preserve">Sharma, Arvind1 [ICG-RSCH]:
Merged in FY19…so no point diffrentiating </t>
        </r>
      </text>
    </comment>
    <comment ref="AD387" authorId="0">
      <text>
        <r>
          <rPr>
            <sz val="10"/>
            <rFont val="Arial"/>
            <family val="2"/>
          </rPr>
          <t xml:space="preserve">Sharma, Arvind1 [ICG-RSCH]:
Merged in FY19…so no point diffrentiating </t>
        </r>
      </text>
    </comment>
    <comment ref="AD388" authorId="0">
      <text>
        <r>
          <rPr>
            <sz val="10"/>
            <rFont val="Arial"/>
            <family val="2"/>
          </rPr>
          <t xml:space="preserve">Sharma, Arvind1 [ICG-RSCH]:
Merged in FY19…so no point diffrentiating </t>
        </r>
      </text>
    </comment>
    <comment ref="AD389" authorId="0">
      <text>
        <r>
          <rPr>
            <sz val="10"/>
            <rFont val="Arial"/>
            <family val="2"/>
          </rPr>
          <t xml:space="preserve">Sharma, Arvind1 [ICG-RSCH]:
Merged in FY19…so no point diffrentiating </t>
        </r>
      </text>
    </comment>
    <comment ref="AD421" authorId="0">
      <text>
        <r>
          <rPr>
            <sz val="10"/>
            <rFont val="Arial"/>
            <family val="2"/>
          </rPr>
          <t xml:space="preserve">Sharma, Arvind1 [ICG-RSCH]:
contract manufacturing income goes after merger of LCV subs</t>
        </r>
      </text>
    </comment>
    <comment ref="AD692" authorId="0">
      <text>
        <r>
          <rPr>
            <sz val="10"/>
            <rFont val="Arial"/>
            <family val="2"/>
          </rPr>
          <t xml:space="preserve">Sharma, Arvind1 [ICG-RSCH]:
VRS+ reversal gains on LCV business </t>
        </r>
      </text>
    </comment>
    <comment ref="AD734" authorId="0">
      <text>
        <r>
          <rPr>
            <sz val="10"/>
            <rFont val="Arial"/>
            <family val="2"/>
          </rPr>
          <t xml:space="preserve">Sharma, Arvind1 [ICG-RSCH]:
Phoenix will start getting deprciated</t>
        </r>
      </text>
    </comment>
    <comment ref="AD837" authorId="0">
      <text>
        <r>
          <rPr>
            <sz val="10"/>
            <rFont val="Arial"/>
            <family val="2"/>
          </rPr>
          <t xml:space="preserve">Sharma, Arvind1 [ICG-RSCH]:
Rs1200 incremental investment in HLFL</t>
        </r>
      </text>
    </comment>
    <comment ref="AE10" authorId="0">
      <text>
        <r>
          <rPr>
            <sz val="10"/>
            <rFont val="Arial"/>
            <family val="2"/>
          </rPr>
          <t xml:space="preserve">Sharma, Arvind1 [ICG-RSCH]:
128326 as per Mar'22 press release</t>
        </r>
      </text>
    </comment>
    <comment ref="AE84" authorId="0">
      <text>
        <r>
          <rPr>
            <sz val="10"/>
            <rFont val="Arial"/>
            <family val="2"/>
          </rPr>
          <t xml:space="preserve">Sharma, Arvind1 [ICG-RSCH]:
Bonus share on 17 July 2025</t>
        </r>
      </text>
    </comment>
    <comment ref="AE115" authorId="0">
      <text>
        <r>
          <rPr>
            <sz val="10"/>
            <rFont val="Arial"/>
            <family val="2"/>
          </rPr>
          <t xml:space="preserve">Sharma, Arvind1 [ICG-RSCH]:
12780.8mn net cash as per ARFY23 Pg 146</t>
        </r>
      </text>
    </comment>
    <comment ref="AE369" authorId="0">
      <text>
        <r>
          <rPr>
            <sz val="10"/>
            <rFont val="Arial"/>
            <family val="2"/>
          </rPr>
          <t xml:space="preserve">Sharma, Arvind1 [ICG-RSCH]:
128326 as per Mar'21 press release</t>
        </r>
      </text>
    </comment>
    <comment ref="AE386" authorId="0">
      <text>
        <r>
          <rPr>
            <sz val="10"/>
            <rFont val="Arial"/>
            <family val="2"/>
          </rPr>
          <t xml:space="preserve">Sharma, Arvind1 [ICG-RSCH]:
Merged in FY19…so no point diffrentiating </t>
        </r>
      </text>
    </comment>
    <comment ref="AE387" authorId="0">
      <text>
        <r>
          <rPr>
            <sz val="10"/>
            <rFont val="Arial"/>
            <family val="2"/>
          </rPr>
          <t xml:space="preserve">Sharma, Arvind1 [ICG-RSCH]:
Merged in FY19…so no point diffrentiating </t>
        </r>
      </text>
    </comment>
    <comment ref="AE388" authorId="0">
      <text>
        <r>
          <rPr>
            <sz val="10"/>
            <rFont val="Arial"/>
            <family val="2"/>
          </rPr>
          <t xml:space="preserve">Sharma, Arvind1 [ICG-RSCH]:
Merged in FY19…so no point diffrentiating </t>
        </r>
      </text>
    </comment>
    <comment ref="AE389" authorId="0">
      <text>
        <r>
          <rPr>
            <sz val="10"/>
            <rFont val="Arial"/>
            <family val="2"/>
          </rPr>
          <t xml:space="preserve">Sharma, Arvind1 [ICG-RSCH]:
Merged in FY19…so no point diffrentiating </t>
        </r>
      </text>
    </comment>
    <comment ref="AE421" authorId="0">
      <text>
        <r>
          <rPr>
            <sz val="10"/>
            <rFont val="Arial"/>
            <family val="2"/>
          </rPr>
          <t xml:space="preserve">Sharma, Arvind1 [ICG-RSCH]:
contract manufacturing income goes after merger of LCV subs</t>
        </r>
      </text>
    </comment>
    <comment ref="AE538" authorId="0">
      <text>
        <r>
          <rPr>
            <sz val="10"/>
            <rFont val="Arial"/>
            <family val="2"/>
          </rPr>
          <t xml:space="preserve">Sharma, Arvind1 [ICG-RSCH]:
Commodity tailwinds and may be new models AVTR and Phoenix have slightly better GMs</t>
        </r>
      </text>
    </comment>
    <comment ref="AE692" authorId="0">
      <text>
        <r>
          <rPr>
            <sz val="10"/>
            <rFont val="Arial"/>
            <family val="2"/>
          </rPr>
          <t xml:space="preserve">Sharma, Arvind1 [ICG-RSCH]:
See quarterly results, esp 4QFY22…lots of revaluation etc</t>
        </r>
      </text>
    </comment>
    <comment ref="AE803" authorId="0">
      <text>
        <r>
          <rPr>
            <sz val="10"/>
            <rFont val="Arial"/>
            <family val="2"/>
          </rPr>
          <t xml:space="preserve">Sharma, Arvind1 [ICG-RSCH]:
Inlcudes lease liabilities</t>
        </r>
      </text>
    </comment>
    <comment ref="AE869" authorId="0">
      <text>
        <r>
          <rPr>
            <sz val="10"/>
            <rFont val="Arial"/>
            <family val="2"/>
          </rPr>
          <t xml:space="preserve">Sharma, Arvind1 [ICG-RSCH]:
636.3mn are asstes held for sale</t>
        </r>
      </text>
    </comment>
    <comment ref="AE875" authorId="0">
      <text>
        <r>
          <rPr>
            <sz val="10"/>
            <rFont val="Arial"/>
            <family val="2"/>
          </rPr>
          <t xml:space="preserve">Sharma, Arvind1 [ICG-RSCH]:
117.8mn are liabilities against assets held for sale</t>
        </r>
      </text>
    </comment>
    <comment ref="AF10" authorId="0">
      <text>
        <r>
          <rPr>
            <sz val="10"/>
            <rFont val="Arial"/>
            <family val="2"/>
          </rPr>
          <t xml:space="preserve">Sharma, Arvind1 [ICG-RSCH]:
192205 as per Mar'23 press release</t>
        </r>
      </text>
    </comment>
    <comment ref="AF84" authorId="0">
      <text>
        <r>
          <rPr>
            <sz val="10"/>
            <rFont val="Arial"/>
            <family val="2"/>
          </rPr>
          <t xml:space="preserve">Sharma, Arvind1 [ICG-RSCH]:
Bonus share on 17 July 2025</t>
        </r>
      </text>
    </comment>
    <comment ref="AF115" authorId="0">
      <text>
        <r>
          <rPr>
            <sz val="10"/>
            <rFont val="Arial"/>
            <family val="2"/>
          </rPr>
          <t xml:space="preserve">Sharma, Arvind1 [ICG-RSCH]:
473.9mn net cash as per ARFY23 Pg 146</t>
        </r>
      </text>
    </comment>
    <comment ref="AF369" authorId="0">
      <text>
        <r>
          <rPr>
            <sz val="10"/>
            <rFont val="Arial"/>
            <family val="2"/>
          </rPr>
          <t xml:space="preserve">Sharma, Arvind1 [ICG-RSCH]:
192205 as per Mar'23 volumes release as well</t>
        </r>
      </text>
    </comment>
    <comment ref="AF386" authorId="0">
      <text>
        <r>
          <rPr>
            <sz val="10"/>
            <rFont val="Arial"/>
            <family val="2"/>
          </rPr>
          <t xml:space="preserve">Sharma, Arvind1 [ICG-RSCH]:
Merged in FY19…so no point diffrentiating </t>
        </r>
      </text>
    </comment>
    <comment ref="AF387" authorId="0">
      <text>
        <r>
          <rPr>
            <sz val="10"/>
            <rFont val="Arial"/>
            <family val="2"/>
          </rPr>
          <t xml:space="preserve">Sharma, Arvind1 [ICG-RSCH]:
Merged in FY19…so no point diffrentiating </t>
        </r>
      </text>
    </comment>
    <comment ref="AF388" authorId="0">
      <text>
        <r>
          <rPr>
            <sz val="10"/>
            <rFont val="Arial"/>
            <family val="2"/>
          </rPr>
          <t xml:space="preserve">Sharma, Arvind1 [ICG-RSCH]:
Merged in FY19…so no point diffrentiating </t>
        </r>
      </text>
    </comment>
    <comment ref="AF389" authorId="0">
      <text>
        <r>
          <rPr>
            <sz val="10"/>
            <rFont val="Arial"/>
            <family val="2"/>
          </rPr>
          <t xml:space="preserve">Sharma, Arvind1 [ICG-RSCH]:
Merged in FY19…so no point diffrentiating </t>
        </r>
      </text>
    </comment>
    <comment ref="AF421" authorId="0">
      <text>
        <r>
          <rPr>
            <sz val="10"/>
            <rFont val="Arial"/>
            <family val="2"/>
          </rPr>
          <t xml:space="preserve">Sharma, Arvind1 [ICG-RSCH]:
contract manufacturing income goes after merger of LCV subs</t>
        </r>
      </text>
    </comment>
    <comment ref="AF692" authorId="0">
      <text>
        <r>
          <rPr>
            <sz val="10"/>
            <rFont val="Arial"/>
            <family val="2"/>
          </rPr>
          <t xml:space="preserve">Sharma, Arvind1 [ICG-RSCH]:
Impairment (loss) ! reversal in the value of equity instruments in subsidiaries (net) - 16.42cr
(Gain) ! Loss on fair valuation of investment +65.67cr
Obligation relating to discontinued products of LCV division (net of reversal) +14.9cr
Voluntary retirement scheme -4.98crs
Profit (net) in relation to EV and related interest and expenses including reversal/(provision) for onerous contracts relating to EMAAS business (net) +25.44crs
</t>
        </r>
      </text>
    </comment>
    <comment ref="AF803" authorId="0">
      <text>
        <r>
          <rPr>
            <sz val="10"/>
            <rFont val="Arial"/>
            <family val="2"/>
          </rPr>
          <t xml:space="preserve">Sharma, Arvind1 [ICG-RSCH]:
Inlcudes lease liabilities</t>
        </r>
      </text>
    </comment>
    <comment ref="AF869" authorId="0">
      <text>
        <r>
          <rPr>
            <sz val="10"/>
            <rFont val="Arial"/>
            <family val="2"/>
          </rPr>
          <t xml:space="preserve">Sharma, Arvind1 [ICG-RSCH]:
719.2mn are asstes held for sale</t>
        </r>
      </text>
    </comment>
    <comment ref="AF875" authorId="0">
      <text>
        <r>
          <rPr>
            <sz val="10"/>
            <rFont val="Arial"/>
            <family val="2"/>
          </rPr>
          <t xml:space="preserve">Sharma, Arvind1 [ICG-RSCH]:
108.7mn are liabilities against assets held for sale</t>
        </r>
      </text>
    </comment>
    <comment ref="AG10" authorId="0">
      <text>
        <r>
          <rPr>
            <sz val="10"/>
            <rFont val="Arial"/>
            <family val="2"/>
          </rPr>
          <t xml:space="preserve">Sharma, Arvind1 [ICG-RSCH]:
194683 as per Mar'24 release</t>
        </r>
      </text>
    </comment>
    <comment ref="AG84" authorId="0">
      <text>
        <r>
          <rPr>
            <sz val="10"/>
            <rFont val="Arial"/>
            <family val="2"/>
          </rPr>
          <t xml:space="preserve">Sharma, Arvind1 [ICG-RSCH]:
Bonus share on 17 July 2025</t>
        </r>
      </text>
    </comment>
    <comment ref="AG369" authorId="0">
      <text>
        <r>
          <rPr>
            <sz val="10"/>
            <rFont val="Arial"/>
            <family val="2"/>
          </rPr>
          <t xml:space="preserve">Sharma, Arvind1 [ICG-RSCH]:
194683 as per Mar'24 press release</t>
        </r>
      </text>
    </comment>
    <comment ref="AG386" authorId="0">
      <text>
        <r>
          <rPr>
            <sz val="10"/>
            <rFont val="Arial"/>
            <family val="2"/>
          </rPr>
          <t xml:space="preserve">Sharma, Arvind1 [ICG-RSCH]:
Merged in FY19…so no point diffrentiating </t>
        </r>
      </text>
    </comment>
    <comment ref="AG387" authorId="0">
      <text>
        <r>
          <rPr>
            <sz val="10"/>
            <rFont val="Arial"/>
            <family val="2"/>
          </rPr>
          <t xml:space="preserve">Sharma, Arvind1 [ICG-RSCH]:
Merged in FY19…so no point diffrentiating </t>
        </r>
      </text>
    </comment>
    <comment ref="AG388" authorId="0">
      <text>
        <r>
          <rPr>
            <sz val="10"/>
            <rFont val="Arial"/>
            <family val="2"/>
          </rPr>
          <t xml:space="preserve">Sharma, Arvind1 [ICG-RSCH]:
Merged in FY19…so no point diffrentiating </t>
        </r>
      </text>
    </comment>
    <comment ref="AG389" authorId="0">
      <text>
        <r>
          <rPr>
            <sz val="10"/>
            <rFont val="Arial"/>
            <family val="2"/>
          </rPr>
          <t xml:space="preserve">Sharma, Arvind1 [ICG-RSCH]:
Merged in FY19…so no point diffrentiating </t>
        </r>
      </text>
    </comment>
    <comment ref="AG421" authorId="0">
      <text>
        <r>
          <rPr>
            <sz val="10"/>
            <rFont val="Arial"/>
            <family val="2"/>
          </rPr>
          <t xml:space="preserve">Sharma, Arvind1 [ICG-RSCH]:
contract manufacturing income goes after merger of LCV subs</t>
        </r>
      </text>
    </comment>
    <comment ref="AG692" authorId="0">
      <text>
        <r>
          <rPr>
            <sz val="10"/>
            <rFont val="Arial"/>
            <family val="2"/>
          </rPr>
          <t xml:space="preserve">Sharma, Arvind1 [ICG-RSCH]:
Mainly LCV division related writeoffs . Some offset by obligations relating to discontinued products of the LCV division</t>
        </r>
      </text>
    </comment>
    <comment ref="AG803" authorId="0">
      <text>
        <r>
          <rPr>
            <sz val="10"/>
            <rFont val="Arial"/>
            <family val="2"/>
          </rPr>
          <t xml:space="preserve">Sharma, Arvind1 [ICG-RSCH]:
Inlcudes lease liabilities</t>
        </r>
      </text>
    </comment>
    <comment ref="AG869" authorId="0">
      <text>
        <r>
          <rPr>
            <sz val="10"/>
            <rFont val="Arial"/>
            <family val="2"/>
          </rPr>
          <t xml:space="preserve">Sharma, Arvind1 [ICG-RSCH]:
660.2mn are asstes held for sale</t>
        </r>
      </text>
    </comment>
    <comment ref="AG875" authorId="0">
      <text>
        <r>
          <rPr>
            <sz val="10"/>
            <rFont val="Arial"/>
            <family val="2"/>
          </rPr>
          <t xml:space="preserve">Sharma, Arvind1 [ICG-RSCH]:
168.3mn are liabilities against assets held for sale</t>
        </r>
      </text>
    </comment>
    <comment ref="AH10" authorId="0">
      <text>
        <r>
          <rPr>
            <sz val="10"/>
            <rFont val="Arial"/>
            <family val="2"/>
          </rPr>
          <t xml:space="preserve">Sharma, Arvind1 [ICG-RSCH]:
195097 as per Mar'25 press release 
But 4Q had 195093. So we just cut 4 from MHCV buses as spoken by mgmt </t>
        </r>
      </text>
    </comment>
    <comment ref="AH84" authorId="0">
      <text>
        <r>
          <rPr>
            <sz val="10"/>
            <rFont val="Arial"/>
            <family val="2"/>
          </rPr>
          <t xml:space="preserve">Sharma, Arvind1 [ICG-RSCH]:
Bonus share on 17 July 2025</t>
        </r>
      </text>
    </comment>
    <comment ref="AH115" authorId="0">
      <text>
        <r>
          <rPr>
            <sz val="10"/>
            <rFont val="Arial"/>
            <family val="2"/>
          </rPr>
          <t xml:space="preserve">Sharma, Arvind1 [ICG-RSCH]:
4242cr net cash as per 4QFY25 press release also</t>
        </r>
      </text>
    </comment>
    <comment ref="AH331" authorId="0">
      <text>
        <r>
          <rPr>
            <sz val="10"/>
            <rFont val="Arial"/>
            <family val="2"/>
          </rPr>
          <t xml:space="preserve">Sharma, Arvind1 [ICG-RSCH]:
195097 as per Mar'25 press release 
But 4Q had 195093. So we just cut 4 from MHCV buses as spoken by mgmt </t>
        </r>
      </text>
    </comment>
    <comment ref="AH369" authorId="0">
      <text>
        <r>
          <rPr>
            <sz val="10"/>
            <rFont val="Arial"/>
            <family val="2"/>
          </rPr>
          <t xml:space="preserve">Sharma, Arvind1 [ICG-RSCH]:
195097 as per Mar'25 press release 
But 4Q had 195093. So we just cut 4 from MHCV buses as spoken by mgmt </t>
        </r>
      </text>
    </comment>
    <comment ref="AH386" authorId="0">
      <text>
        <r>
          <rPr>
            <sz val="10"/>
            <rFont val="Arial"/>
            <family val="2"/>
          </rPr>
          <t xml:space="preserve">Sharma, Arvind1 [ICG-RSCH]:
Merged in FY19…so no point diffrentiating </t>
        </r>
      </text>
    </comment>
    <comment ref="AH387" authorId="0">
      <text>
        <r>
          <rPr>
            <sz val="10"/>
            <rFont val="Arial"/>
            <family val="2"/>
          </rPr>
          <t xml:space="preserve">Sharma, Arvind1 [ICG-RSCH]:
Merged in FY19…so no point diffrentiating </t>
        </r>
      </text>
    </comment>
    <comment ref="AH388" authorId="0">
      <text>
        <r>
          <rPr>
            <sz val="10"/>
            <rFont val="Arial"/>
            <family val="2"/>
          </rPr>
          <t xml:space="preserve">Sharma, Arvind1 [ICG-RSCH]:
Merged in FY19…so no point diffrentiating </t>
        </r>
      </text>
    </comment>
    <comment ref="AH389" authorId="0">
      <text>
        <r>
          <rPr>
            <sz val="10"/>
            <rFont val="Arial"/>
            <family val="2"/>
          </rPr>
          <t xml:space="preserve">Sharma, Arvind1 [ICG-RSCH]:
Merged in FY19…so no point diffrentiating </t>
        </r>
      </text>
    </comment>
    <comment ref="AH421" authorId="0">
      <text>
        <r>
          <rPr>
            <sz val="10"/>
            <rFont val="Arial"/>
            <family val="2"/>
          </rPr>
          <t xml:space="preserve">Sharma, Arvind1 [ICG-RSCH]:
contract manufacturing income goes after merger of LCV subs</t>
        </r>
      </text>
    </comment>
    <comment ref="AH692" authorId="0">
      <text>
        <r>
          <rPr>
            <sz val="10"/>
            <rFont val="Arial"/>
            <family val="2"/>
          </rPr>
          <t xml:space="preserve">Sharma, Arvind1 [ICG-RSCH]:
Gain  on fair valuation of investment in fellow subsidiary (Hinduja Energy (India) Limited (HElL)): Rs120.53cr
Write off on intangibles: Rs13.6cr
Impairement loss in value o fequity investment in a sub: Rs3.2cr
</t>
        </r>
      </text>
    </comment>
    <comment ref="AH803" authorId="0">
      <text>
        <r>
          <rPr>
            <sz val="10"/>
            <rFont val="Arial"/>
            <family val="2"/>
          </rPr>
          <t xml:space="preserve">Sharma, Arvind1 [ICG-RSCH]:
Inlcudes lease liabilities</t>
        </r>
      </text>
    </comment>
    <comment ref="AI10" authorId="0">
      <text>
        <r>
          <rPr>
            <sz val="10"/>
            <rFont val="Arial"/>
            <family val="2"/>
          </rPr>
          <t xml:space="preserve">Sharma, Arvind1 [ICG-RSCH]:
220437 as per 4QFY26 con call as well</t>
        </r>
      </text>
    </comment>
    <comment ref="AI59" authorId="0">
      <text>
        <r>
          <rPr>
            <sz val="10"/>
            <rFont val="Arial"/>
            <family val="2"/>
          </rPr>
          <t xml:space="preserve">Sharma, Arvind1 [ICG-RSCH]:
mgmt said 3914crs</t>
        </r>
      </text>
    </comment>
    <comment ref="AI115" authorId="0">
      <text>
        <r>
          <rPr>
            <sz val="10"/>
            <rFont val="Arial"/>
            <family val="2"/>
          </rPr>
          <t xml:space="preserve">Sharma, Arvind1 [ICG-RSCH]:
5899crs as per4QFY26 con call - broadly ball park</t>
        </r>
      </text>
    </comment>
    <comment ref="AI137" authorId="0">
      <text>
        <r>
          <rPr>
            <sz val="10"/>
            <rFont val="Arial"/>
            <family val="2"/>
          </rPr>
          <t xml:space="preserve">Sharma, Arvind1 [ICG-RSCH]:
DPD 3.5</t>
        </r>
      </text>
    </comment>
    <comment ref="AI386" authorId="0">
      <text>
        <r>
          <rPr>
            <sz val="10"/>
            <rFont val="Arial"/>
            <family val="2"/>
          </rPr>
          <t xml:space="preserve">Sharma, Arvind1 [ICG-RSCH]:
Merged in FY19…so no point diffrentiating </t>
        </r>
      </text>
    </comment>
    <comment ref="AI387" authorId="0">
      <text>
        <r>
          <rPr>
            <sz val="10"/>
            <rFont val="Arial"/>
            <family val="2"/>
          </rPr>
          <t xml:space="preserve">Sharma, Arvind1 [ICG-RSCH]:
Merged in FY19…so no point diffrentiating </t>
        </r>
      </text>
    </comment>
    <comment ref="AI388" authorId="0">
      <text>
        <r>
          <rPr>
            <sz val="10"/>
            <rFont val="Arial"/>
            <family val="2"/>
          </rPr>
          <t xml:space="preserve">Sharma, Arvind1 [ICG-RSCH]:
Merged in FY19…so no point diffrentiating </t>
        </r>
      </text>
    </comment>
    <comment ref="AI389" authorId="0">
      <text>
        <r>
          <rPr>
            <sz val="10"/>
            <rFont val="Arial"/>
            <family val="2"/>
          </rPr>
          <t xml:space="preserve">Sharma, Arvind1 [ICG-RSCH]:
Merged in FY19…so no point diffrentiating </t>
        </r>
      </text>
    </comment>
    <comment ref="AI398" authorId="0">
      <text>
        <r>
          <rPr>
            <sz val="10"/>
            <rFont val="Arial"/>
            <family val="2"/>
          </rPr>
          <t xml:space="preserve">Sharma, Arvind1 [ICG-RSCH]:
1400crs as per 4QFY26 con call</t>
        </r>
      </text>
    </comment>
    <comment ref="AI416" authorId="0">
      <text>
        <r>
          <rPr>
            <sz val="10"/>
            <rFont val="Arial"/>
            <family val="2"/>
          </rPr>
          <t xml:space="preserve">Sharma, Arvind1 [ICG-RSCH]:
3800crs as per 4q call for spares, but it also includes others- </t>
        </r>
      </text>
    </comment>
    <comment ref="AI421" authorId="0">
      <text>
        <r>
          <rPr>
            <sz val="10"/>
            <rFont val="Arial"/>
            <family val="2"/>
          </rPr>
          <t xml:space="preserve">Sharma, Arvind1 [ICG-RSCH]:
contract manufacturing income goes after merger of LCV subs</t>
        </r>
      </text>
    </comment>
    <comment ref="AI692" authorId="0">
      <text>
        <r>
          <rPr>
            <sz val="10"/>
            <rFont val="Arial"/>
            <family val="2"/>
          </rPr>
          <t xml:space="preserve">Sharma, Arvind1 [ICG-RSCH]:
Provision for Litigation expenses</t>
        </r>
      </text>
    </comment>
    <comment ref="AI702" authorId="0">
      <text>
        <r>
          <rPr>
            <sz val="10"/>
            <rFont val="Arial"/>
            <family val="2"/>
          </rPr>
          <t xml:space="preserve">Sharma, Arvind1 [ICG-RSCH]:
mgmt said 35% in FY24 abd 25% in FY25 and FY28</t>
        </r>
      </text>
    </comment>
    <comment ref="AI707" authorId="0">
      <text>
        <r>
          <rPr>
            <sz val="10"/>
            <rFont val="Arial"/>
            <family val="2"/>
          </rPr>
          <t xml:space="preserve">Sharma, Arvind1 [ICG-RSCH]:
mgmt said 3914crs</t>
        </r>
      </text>
    </comment>
    <comment ref="AI773" authorId="0">
      <text>
        <r>
          <rPr>
            <sz val="10"/>
            <rFont val="Arial"/>
            <family val="2"/>
          </rPr>
          <t xml:space="preserve">Sharma, Arvind1 [ICG-RSCH]:
Bonus share alloted as on 17 July 2025</t>
        </r>
      </text>
    </comment>
    <comment ref="AI776" authorId="0">
      <text>
        <r>
          <rPr>
            <sz val="10"/>
            <rFont val="Arial"/>
            <family val="2"/>
          </rPr>
          <t xml:space="preserve">Sharma, Arvind1 [ICG-RSCH]:
Bonus share alloted as on 17 July 2025</t>
        </r>
      </text>
    </comment>
    <comment ref="AI824" authorId="0">
      <text>
        <r>
          <rPr>
            <sz val="10"/>
            <rFont val="Arial"/>
            <family val="2"/>
          </rPr>
          <t xml:space="preserve">Sharma, Arvind1 [ICG-RSCH]:
1050crs capex highlghted in 4QFY26</t>
        </r>
      </text>
    </comment>
    <comment ref="AJ338" authorId="0">
      <text>
        <r>
          <rPr>
            <sz val="10"/>
            <rFont val="Arial"/>
            <family val="2"/>
          </rPr>
          <t xml:space="preserve">Sharma, Arvind1 [ICG-RSCH]:
Middle east impact</t>
        </r>
      </text>
    </comment>
    <comment ref="AJ386" authorId="0">
      <text>
        <r>
          <rPr>
            <sz val="10"/>
            <rFont val="Arial"/>
            <family val="2"/>
          </rPr>
          <t xml:space="preserve">Sharma, Arvind1 [ICG-RSCH]:
Merged in FY19…so no point diffrentiating </t>
        </r>
      </text>
    </comment>
    <comment ref="AJ387" authorId="0">
      <text>
        <r>
          <rPr>
            <sz val="10"/>
            <rFont val="Arial"/>
            <family val="2"/>
          </rPr>
          <t xml:space="preserve">Sharma, Arvind1 [ICG-RSCH]:
Merged in FY19…so no point diffrentiating </t>
        </r>
      </text>
    </comment>
    <comment ref="AJ388" authorId="0">
      <text>
        <r>
          <rPr>
            <sz val="10"/>
            <rFont val="Arial"/>
            <family val="2"/>
          </rPr>
          <t xml:space="preserve">Sharma, Arvind1 [ICG-RSCH]:
Merged in FY19…so no point diffrentiating </t>
        </r>
      </text>
    </comment>
    <comment ref="AJ389" authorId="0">
      <text>
        <r>
          <rPr>
            <sz val="10"/>
            <rFont val="Arial"/>
            <family val="2"/>
          </rPr>
          <t xml:space="preserve">Sharma, Arvind1 [ICG-RSCH]:
Merged in FY19…so no point diffrentiating </t>
        </r>
      </text>
    </comment>
    <comment ref="AJ421" authorId="0">
      <text>
        <r>
          <rPr>
            <sz val="10"/>
            <rFont val="Arial"/>
            <family val="2"/>
          </rPr>
          <t xml:space="preserve">Sharma, Arvind1 [ICG-RSCH]:
contract manufacturing income goes after merger of LCV subs</t>
        </r>
      </text>
    </comment>
    <comment ref="AJ702" authorId="0">
      <text>
        <r>
          <rPr>
            <sz val="10"/>
            <rFont val="Arial"/>
            <family val="2"/>
          </rPr>
          <t xml:space="preserve">Sharma, Arvind1 [ICG-RSCH]:
mgmt said 35% in FY24 abd 25% in FY25 and FY28</t>
        </r>
      </text>
    </comment>
    <comment ref="AJ824" authorId="0">
      <text>
        <r>
          <rPr>
            <sz val="10"/>
            <rFont val="Arial"/>
            <family val="2"/>
          </rPr>
          <t xml:space="preserve">Sharma, Arvind1 [ICG-RSCH]:
750-1000crs in FY27 as per 4Q con call</t>
        </r>
      </text>
    </comment>
    <comment ref="AJ837" authorId="0">
      <text>
        <r>
          <rPr>
            <sz val="10"/>
            <rFont val="Arial"/>
            <family val="2"/>
          </rPr>
          <t xml:space="preserve">Sharma, Arvind1 [ICG-RSCH]:
Board of Directors at their meeting held on 14 Aug 2026 approved the
following investments,
- Investments up to a sum not exceeding GBP 25 million (approximately to ₹325 Crore) in Optare Plc. UK, subsidiary, as equity in one or more tranches.
- Investments up to a sum not exceeding ₹500 Crore (Rupees Five Hundred Crores) in equity shares of Hinduja Housing Finance Limited, a step-down subsidiary of the Company, by way of secondary purchase of shares from Hinduja Leyland Finance Limited, a material subsidiary, in one or more tranches.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86" authorId="0">
      <text>
        <r>
          <rPr>
            <sz val="10"/>
            <rFont val="Arial"/>
            <family val="2"/>
          </rPr>
          <t xml:space="preserve">Jamshed Dadabhoy:
reporting from SIAM v bad - the cumulative data is inconsistent with the monthly data - my data for FY05 matches Q for Q for all 3Qs, but cumulative does not tally - going with data based on SIAM monthlies</t>
        </r>
      </text>
    </comment>
    <comment ref="B27" authorId="0">
      <text>
        <r>
          <rPr>
            <sz val="10"/>
            <rFont val="Arial"/>
            <family val="2"/>
          </rPr>
          <t xml:space="preserve">hg51295:
26.19 million of forex loss</t>
        </r>
      </text>
    </comment>
    <comment ref="B40" authorId="0">
      <text>
        <r>
          <rPr>
            <sz val="10"/>
            <rFont val="Arial"/>
            <family val="2"/>
          </rPr>
          <t xml:space="preserve">hg51295:
adjusted for the tax impact on the foreign exchange gain</t>
        </r>
      </text>
    </comment>
    <comment ref="D25" authorId="0">
      <text>
        <r>
          <rPr>
            <sz val="10"/>
            <rFont val="Arial"/>
            <family val="2"/>
          </rPr>
          <t xml:space="preserve">jd57062:
overall, 22cr above expectations</t>
        </r>
      </text>
    </comment>
    <comment ref="D26" authorId="0">
      <text>
        <r>
          <rPr>
            <sz val="10"/>
            <rFont val="Arial"/>
            <family val="2"/>
          </rPr>
          <t xml:space="preserve">jd57062:
7cr below forecasts</t>
        </r>
      </text>
    </comment>
    <comment ref="D27" authorId="0">
      <text>
        <r>
          <rPr>
            <sz val="10"/>
            <rFont val="Arial"/>
            <family val="2"/>
          </rPr>
          <t xml:space="preserve">jd57062:
in line - we had 155cr</t>
        </r>
      </text>
    </comment>
    <comment ref="D31" authorId="0">
      <text>
        <r>
          <rPr>
            <sz val="10"/>
            <rFont val="Arial"/>
            <family val="2"/>
          </rPr>
          <t xml:space="preserve">jd57062:
26% above expectations</t>
        </r>
      </text>
    </comment>
    <comment ref="D42" authorId="0">
      <text>
        <r>
          <rPr>
            <sz val="10"/>
            <rFont val="Arial"/>
            <family val="2"/>
          </rPr>
          <t xml:space="preserve">jd57062:
item is net of tax</t>
        </r>
      </text>
    </comment>
    <comment ref="D49" authorId="0">
      <text>
        <r>
          <rPr>
            <sz val="10"/>
            <rFont val="Arial"/>
            <family val="2"/>
          </rPr>
          <t xml:space="preserve">jd57062:
190bps above expectations</t>
        </r>
      </text>
    </comment>
    <comment ref="D66" authorId="0">
      <text>
        <r>
          <rPr>
            <sz val="10"/>
            <rFont val="Arial"/>
            <family val="2"/>
          </rPr>
          <t xml:space="preserve">jd57062:
110bps below expectations</t>
        </r>
      </text>
    </comment>
    <comment ref="F27" authorId="0">
      <text>
        <r>
          <rPr>
            <sz val="10"/>
            <rFont val="Arial"/>
            <family val="2"/>
          </rPr>
          <t xml:space="preserve">hg51295:
196.84 million of forex gain</t>
        </r>
      </text>
    </comment>
    <comment ref="G27" authorId="0">
      <text>
        <r>
          <rPr>
            <sz val="10"/>
            <rFont val="Arial"/>
            <family val="2"/>
          </rPr>
          <t xml:space="preserve">jd57062:
grossed up for purchase of trading goods to render comparable..
...power down 3cr because of wind power...only in 2Q...
</t>
        </r>
      </text>
    </comment>
    <comment ref="H27" authorId="0">
      <text>
        <r>
          <rPr>
            <sz val="10"/>
            <rFont val="Arial"/>
            <family val="2"/>
          </rPr>
          <t xml:space="preserve">hg51295:
includes forex loss of 32.95 million
</t>
        </r>
      </text>
    </comment>
    <comment ref="H39" authorId="0">
      <text>
        <r>
          <rPr>
            <sz val="10"/>
            <rFont val="Arial"/>
            <family val="2"/>
          </rPr>
          <t xml:space="preserve">hg51295:
12.77 million expense related to VRS</t>
        </r>
      </text>
    </comment>
    <comment ref="H42" authorId="0">
      <text>
        <r>
          <rPr>
            <sz val="10"/>
            <rFont val="Arial"/>
            <family val="2"/>
          </rPr>
          <t xml:space="preserve">jd57062:
items are net of tax - provided by co. </t>
        </r>
      </text>
    </comment>
    <comment ref="J27" authorId="0">
      <text>
        <r>
          <rPr>
            <sz val="10"/>
            <rFont val="Arial"/>
            <family val="2"/>
          </rPr>
          <t xml:space="preserve">HG51295:
includes net exchange loss of 339.099 million</t>
        </r>
      </text>
    </comment>
    <comment ref="S15" authorId="0">
      <text>
        <r>
          <rPr>
            <sz val="10"/>
            <rFont val="Arial"/>
            <family val="2"/>
          </rPr>
          <t xml:space="preserve">as20950:
1530 from Sparess</t>
        </r>
      </text>
    </comment>
    <comment ref="T15" authorId="0">
      <text>
        <r>
          <rPr>
            <sz val="10"/>
            <rFont val="Arial"/>
            <family val="2"/>
          </rPr>
          <t xml:space="preserve">as20950:
assume 20crs of kits sales…mgt did not give any number</t>
        </r>
      </text>
    </comment>
    <comment ref="T26" authorId="0">
      <text>
        <r>
          <rPr>
            <sz val="10"/>
            <rFont val="Arial"/>
            <family val="2"/>
          </rPr>
          <t xml:space="preserve">as20950:
26crs of ex-gratia payment</t>
        </r>
      </text>
    </comment>
    <comment ref="Y5" authorId="0">
      <text>
        <r>
          <rPr>
            <sz val="10"/>
            <rFont val="Arial"/>
            <family val="2"/>
          </rPr>
          <t xml:space="preserve">AS20950:
we get 2700 by subtracting 4Q nos from full year numbers given in March 2012 press release</t>
        </r>
      </text>
    </comment>
    <comment ref="Z5" authorId="0">
      <text>
        <r>
          <rPr>
            <sz val="10"/>
            <rFont val="Arial"/>
            <family val="2"/>
          </rPr>
          <t xml:space="preserve">as20950:
only dost</t>
        </r>
      </text>
    </comment>
    <comment ref="AA26" authorId="0">
      <text>
        <r>
          <rPr>
            <sz val="10"/>
            <rFont val="Arial"/>
            <family val="2"/>
          </rPr>
          <t xml:space="preserve">jd57062:
1Q spikes due to seaonality...</t>
        </r>
      </text>
    </comment>
    <comment ref="AB16" authorId="0">
      <text>
        <r>
          <rPr>
            <sz val="10"/>
            <rFont val="Arial"/>
            <family val="2"/>
          </rPr>
          <t xml:space="preserve">jd57062:
net of excise duty / trade discounts...</t>
        </r>
      </text>
    </comment>
    <comment ref="AB49" authorId="0">
      <text>
        <r>
          <rPr>
            <sz val="10"/>
            <rFont val="Arial"/>
            <family val="2"/>
          </rPr>
          <t xml:space="preserve">jd57062:
mix on exports (DD bus, falcon), 
exchange rate, 
controlled op costs...</t>
        </r>
      </text>
    </comment>
    <comment ref="AC38" authorId="0">
      <text>
        <r>
          <rPr>
            <sz val="10"/>
            <rFont val="Arial"/>
            <family val="2"/>
          </rPr>
          <t xml:space="preserve">as20950:
Reflects profit on sale of shares in IndusInd Bank and ICICI Bank held by the company (Rs 750mn)+profit on sale of part stake in Hinduja Finance to own finance companies</t>
        </r>
      </text>
    </comment>
    <comment ref="AE39" authorId="0">
      <text>
        <r>
          <rPr>
            <sz val="10"/>
            <rFont val="Arial"/>
            <family val="2"/>
          </rPr>
          <t xml:space="preserve">as20950:
diminution in the value of long term investments Rs. 651.16 Lakhs</t>
        </r>
      </text>
    </comment>
    <comment ref="AF38" authorId="0">
      <text>
        <r>
          <rPr>
            <sz val="10"/>
            <rFont val="Arial"/>
            <family val="2"/>
          </rPr>
          <t xml:space="preserve">Sharma, Arvind1 [ICG-RSCH]:
Profit on sale of certain long term investments (Net)</t>
        </r>
      </text>
    </comment>
    <comment ref="AF39" authorId="0">
      <text>
        <r>
          <rPr>
            <sz val="10"/>
            <rFont val="Arial"/>
            <family val="2"/>
          </rPr>
          <t xml:space="preserve">Sharma, Arvind1 [ICG-RSCH]:
Diminution in value of certain long term Investments</t>
        </r>
      </text>
    </comment>
    <comment ref="AG38" authorId="0">
      <text>
        <r>
          <rPr>
            <sz val="10"/>
            <rFont val="Arial"/>
            <family val="2"/>
          </rPr>
          <t xml:space="preserve">Sharma, Arvind1 [ICG-RSCH]:
Profit on sale of certain long term investments (Net)+dimunition in value of long term investment (15mn)+ profit on sale of immmovable property (341.152mn)</t>
        </r>
      </text>
    </comment>
    <comment ref="AG39" authorId="0">
      <text>
        <r>
          <rPr>
            <sz val="10"/>
            <rFont val="Arial"/>
            <family val="2"/>
          </rPr>
          <t xml:space="preserve">Sharma, Arvind1 [ICG-RSCH]:
Voluntary retirement scheme compensation</t>
        </r>
      </text>
    </comment>
    <comment ref="AJ38" authorId="0">
      <text>
        <r>
          <rPr>
            <sz val="10"/>
            <rFont val="Arial"/>
            <family val="2"/>
          </rPr>
          <t xml:space="preserve">Sharma, Arvind1 [ICG-RSCH]:
Profit on sale of immovable property</t>
        </r>
      </text>
    </comment>
    <comment ref="AL39" authorId="0">
      <text>
        <r>
          <rPr>
            <sz val="10"/>
            <rFont val="Arial"/>
            <family val="2"/>
          </rPr>
          <t xml:space="preserve">Sharma, Arvind1 [ICG-RSCH]:
165.3mn from profit from divestment of wind mill business
2.755mn from profit on sale of current investments
1993.509mn profit on sale of immovable property
(2241.947) dimunution in the value of investments
Net result is a loss of 80.369mn </t>
        </r>
      </text>
    </comment>
    <comment ref="AQ39" authorId="0">
      <text>
        <r>
          <rPr>
            <sz val="10"/>
            <rFont val="Arial"/>
            <family val="2"/>
          </rPr>
          <t xml:space="preserve">Sharma, Arvind1 [ICG-RSCH]:
15.1mn loss on sale of immovable properties
50mn dimunitionin Long term investments of JVs/subs</t>
        </r>
      </text>
    </comment>
    <comment ref="AS38" authorId="0">
      <text>
        <r>
          <rPr>
            <sz val="10"/>
            <rFont val="Arial"/>
            <family val="2"/>
          </rPr>
          <t xml:space="preserve">Sharma, Arvind1 [ICG-RSCH]:
Net profit on sale of long term investment</t>
        </r>
      </text>
    </comment>
    <comment ref="AS39" authorId="0">
      <text>
        <r>
          <rPr>
            <sz val="10"/>
            <rFont val="Arial"/>
            <family val="2"/>
          </rPr>
          <t xml:space="preserve">Sharma, Arvind1 [ICG-RSCH]:
Dimunition in the value of investments</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C394" authorId="0">
      <text>
        <r>
          <rPr>
            <sz val="10"/>
            <rFont val="Arial"/>
            <family val="2"/>
          </rPr>
          <t xml:space="preserve">jd57062:
uttaranchal -200-300cr
expansion at ennore - gearbox zand engine
prod devpt - 100-200cr - capital expn - 150% deduction - at least 100cr on prod devpt</t>
        </r>
      </text>
    </comment>
    <comment ref="G53" authorId="0">
      <text>
        <r>
          <rPr>
            <sz val="10"/>
            <rFont val="Arial"/>
            <family val="2"/>
          </rPr>
          <t xml:space="preserve">Jamshed:
only MHCVs</t>
        </r>
      </text>
    </comment>
  </commentList>
</comments>
</file>

<file path=xl/sharedStrings.xml><?xml version="1.0" encoding="utf-8"?>
<sst xmlns="http://schemas.openxmlformats.org/spreadsheetml/2006/main" count="2562" uniqueCount="1668">
  <si>
    <t xml:space="preserve">Ashok Leyland model — clean-up READ ME</t>
  </si>
  <si>
    <t xml:space="preserve">Structure, formatting and audit conventions. No number in this workbook was changed.</t>
  </si>
  <si>
    <t xml:space="preserve">COLOUR CODE</t>
  </si>
  <si>
    <t xml:space="preserve">1,234</t>
  </si>
  <si>
    <t xml:space="preserve">Blue — Hardcoded input. Typed number. Change these freely.</t>
  </si>
  <si>
    <t xml:space="preserve">Blue on amber — Formula built only from hardcoded numbers, e.g. =8835+8903+12146. An input in disguise.</t>
  </si>
  <si>
    <t xml:space="preserve">Black — Formula referencing cells on the same sheet. Do not overtype.</t>
  </si>
  <si>
    <t xml:space="preserve">Black on amber — Formula with a hardcoded plug inside it, e.g. =+C41-1722.094 or =+AH20*0.21. Undocumented assumption — audit these first.</t>
  </si>
  <si>
    <t xml:space="preserve">Green — Link to another sheet in this workbook.</t>
  </si>
  <si>
    <t xml:space="preserve">Red on amber — Broken formula returning #REF!. Source has been deleted.</t>
  </si>
  <si>
    <t xml:space="preserve">CELL COUNTS BY TYPE</t>
  </si>
  <si>
    <t xml:space="preserve">Sheet</t>
  </si>
  <si>
    <t xml:space="preserve">Main Model</t>
  </si>
  <si>
    <t xml:space="preserve">New Qrtrly - Ind AS</t>
  </si>
  <si>
    <t xml:space="preserve">New Qrtrly</t>
  </si>
  <si>
    <t xml:space="preserve">DCF</t>
  </si>
  <si>
    <t xml:space="preserve">Comments</t>
  </si>
  <si>
    <t xml:space="preserve">Hardcoded inputs</t>
  </si>
  <si>
    <t xml:space="preserve">Formulas made only of hardcodes</t>
  </si>
  <si>
    <t xml:space="preserve">Clean formulas</t>
  </si>
  <si>
    <t xml:space="preserve">Formulas with a hardcoded plug</t>
  </si>
  <si>
    <t xml:space="preserve">Cross-sheet links</t>
  </si>
  <si>
    <t xml:space="preserve">Broken (#REF!)</t>
  </si>
  <si>
    <t xml:space="preserve">Text</t>
  </si>
  <si>
    <t xml:space="preserve">WHAT CHANGED</t>
  </si>
  <si>
    <t xml:space="preserve">Quarters vs years</t>
  </si>
  <si>
    <t xml:space="preserve">On "New Qrtrly - Ind AS" the annual columns (FY16, FY17, FY26E) no longer sit inside the run of quarters. They are in their own ANNUAL block to the right.</t>
  </si>
  <si>
    <t xml:space="preserve">Estimates vs actuals</t>
  </si>
  <si>
    <t xml:space="preserve">The interleaved E / A pairs are split into two blocks: QUARTERLY — ACTUALS (49 columns) and QUARTERLY — BSe ESTIMATES (30 columns), each in date order. The side-by-side comparison you lose is rebuilt live on the "Est vs Act" tab.</t>
  </si>
  <si>
    <t xml:space="preserve">Workings</t>
  </si>
  <si>
    <t xml:space="preserve">Unheaded scratch columns (old CE, CF, CH, CI, CJ, CK) are parked in a WORKINGS / CHECKS block at the far right instead of trailing the estimates.</t>
  </si>
  <si>
    <t xml:space="preserve">Blank rows</t>
  </si>
  <si>
    <t xml:space="preserve">All blank rows removed. Content is now grouped under 15 titled section bands.</t>
  </si>
  <si>
    <t xml:space="preserve">Duplicate labels</t>
  </si>
  <si>
    <t xml:space="preserve">8 empty legacy label rows deleted (pre-Ind-AS margin and cost-ratio lines that were superseded by the rows below them). Listed on the Issues tab.</t>
  </si>
  <si>
    <t xml:space="preserve">Orphan rows</t>
  </si>
  <si>
    <t xml:space="preserve">Four unlabelled rows that carried live formulas are grouped under ORPHAN CALC ROWS. Nothing references them.</t>
  </si>
  <si>
    <t xml:space="preserve">Headers</t>
  </si>
  <si>
    <t xml:space="preserve">Two-row header: fiscal year over period, frozen. A small grey row records each column's original letter, so anything can be traced back to the source file.</t>
  </si>
  <si>
    <t xml:space="preserve">Number formats</t>
  </si>
  <si>
    <t xml:space="preserve">One consistent format per row, derived from the values in that row. Rows formatted as % but holding non-percentage values were reformatted — flagged on the Issues tab.</t>
  </si>
  <si>
    <t xml:space="preserve">Formulas</t>
  </si>
  <si>
    <t xml:space="preserve">All 3,207 formulas on the restructured sheet were re-pointed to the new addresses. Every one of the 9,416 data cells was checked against the original: zero differences. The other sheets were not moved at all — 277,641 cells checked, zero differences.</t>
  </si>
  <si>
    <t xml:space="preserve">Not changed</t>
  </si>
  <si>
    <t xml:space="preserve">No value, no formula logic, no estimate. The 738 pre-existing formula errors were left exactly as they were rather than silently patched — they are itemised on the Issues tab.</t>
  </si>
  <si>
    <t xml:space="preserve">TABS</t>
  </si>
  <si>
    <t xml:space="preserve">READ ME</t>
  </si>
  <si>
    <t xml:space="preserve">This page.</t>
  </si>
  <si>
    <t xml:space="preserve">Issues</t>
  </si>
  <si>
    <t xml:space="preserve">Everything found that needs your judgement, not mine.</t>
  </si>
  <si>
    <t xml:space="preserve">Restructured quarterly model. The live sheet.</t>
  </si>
  <si>
    <t xml:space="preserve">Est vs Act</t>
  </si>
  <si>
    <t xml:space="preserve">Reported vs BSe by quarter. All links, no typed numbers.</t>
  </si>
  <si>
    <t xml:space="preserve">Annual model FY1993-FY2029E. Colour-coded only; nothing moved.</t>
  </si>
  <si>
    <t xml:space="preserve">Legacy pre-Ind-AS quarterly sheet, FY07 onward. Colour-coded only.</t>
  </si>
  <si>
    <t xml:space="preserve">DCF, Comments, Industry launches and cap</t>
  </si>
  <si>
    <t xml:space="preserve">Untouched apart from colour coding.</t>
  </si>
  <si>
    <t xml:space="preserve">Issues found — for your call, not mine</t>
  </si>
  <si>
    <t xml:space="preserve">Nothing below was changed in the workbook. Each is preserved exactly as it was in the source file.</t>
  </si>
  <si>
    <t xml:space="preserve">Where</t>
  </si>
  <si>
    <t xml:space="preserve">What</t>
  </si>
  <si>
    <t xml:space="preserve">New Qrtrly - Ind AS (restructured)</t>
  </si>
  <si>
    <t xml:space="preserve">row 4: "H / MCVs"</t>
  </si>
  <si>
    <t xml:space="preserve">Row mixes magnitudes — it holds both sub-1 ratios and figures in the thousands, so it is carrying two different quantities on one line. Shown to 2dp so both are readable; values unchanged.</t>
  </si>
  <si>
    <t xml:space="preserve">row 5: "LCVs"</t>
  </si>
  <si>
    <t xml:space="preserve">row 6: "Total CVs"</t>
  </si>
  <si>
    <t xml:space="preserve">row 7: "Product mix (%)"</t>
  </si>
  <si>
    <t xml:space="preserve">row 11: "H / MCVs"</t>
  </si>
  <si>
    <t xml:space="preserve">row 17: "Discounts"</t>
  </si>
  <si>
    <t xml:space="preserve">row 22: "Net sales"</t>
  </si>
  <si>
    <t xml:space="preserve">row 31: "EBITDA"</t>
  </si>
  <si>
    <t xml:space="preserve">row 38: "Exceptional income"</t>
  </si>
  <si>
    <t xml:space="preserve">row 42: "PAT (pre exceptionals)"</t>
  </si>
  <si>
    <t xml:space="preserve">row 46: ""</t>
  </si>
  <si>
    <t xml:space="preserve">row 151 — "(unlabelled)"</t>
  </si>
  <si>
    <t xml:space="preserve">19 cells return #REF!. These are "change vs prior version" rows whose other side points at a deleted/external source. Delete the rows or re-point them.</t>
  </si>
  <si>
    <t xml:space="preserve">row 152 — "(unlabelled)"</t>
  </si>
  <si>
    <t xml:space="preserve">25 cells return #REF!. These are "change vs prior version" rows whose other side points at a deleted/external source. Delete the rows or re-point them.</t>
  </si>
  <si>
    <t xml:space="preserve">row 153 — "(unlabelled)"</t>
  </si>
  <si>
    <t xml:space="preserve">row 155 — "Sales"</t>
  </si>
  <si>
    <t xml:space="preserve">row 156 — "EBITDA"</t>
  </si>
  <si>
    <t xml:space="preserve">29 cells return #REF!. These are "change vs prior version" rows whose other side points at a deleted/external source. Delete the rows or re-point them.</t>
  </si>
  <si>
    <t xml:space="preserve">row 157 — "PAT"</t>
  </si>
  <si>
    <t xml:space="preserve">row 158 — "Rec PAT"</t>
  </si>
  <si>
    <t xml:space="preserve">row 159 — "EPS"</t>
  </si>
  <si>
    <t xml:space="preserve">row 1045 — "Sales"</t>
  </si>
  <si>
    <t xml:space="preserve">27 cells return #REF!. These are "change vs prior version" rows whose other side points at a deleted/external source. Delete the rows or re-point them.</t>
  </si>
  <si>
    <t xml:space="preserve">row 1046 — "EBITDA"</t>
  </si>
  <si>
    <t xml:space="preserve">row 1047 — "PAT"</t>
  </si>
  <si>
    <t xml:space="preserve">row 1048 — "Reported PAT"</t>
  </si>
  <si>
    <t xml:space="preserve">rows 1-2 (above the FY header in row 3)</t>
  </si>
  <si>
    <t xml:space="preserve">Loose scratch calculations sit above the header row (e.g. =+Z35+Z38-Z41-23279.2), with hardcoded plugs. Not referenced by the model — move to a workings block or delete.</t>
  </si>
  <si>
    <t xml:space="preserve">cols AM-AR, rows 1-5</t>
  </si>
  <si>
    <t xml:space="preserve">Target-price working (multiple, EBITDA, debt, TP, CMP 181.3, old TP 165) is parked in the header band with no labels of its own. Give it a titled block.</t>
  </si>
  <si>
    <t xml:space="preserve">W142</t>
  </si>
  <si>
    <t xml:space="preserve">Divide-by-zero error in this cell (pre-existing).</t>
  </si>
  <si>
    <t xml:space="preserve">various cells</t>
  </si>
  <si>
    <t xml:space="preserve">54 cells return #DIV/0! (pre-existing; carried over unchanged).</t>
  </si>
  <si>
    <t xml:space="preserve">3 cells return #DIV/0! (pre-existing; carried over unchanged).</t>
  </si>
  <si>
    <t xml:space="preserve">5 cells return #REF! (pre-existing; carried over unchanged).</t>
  </si>
  <si>
    <t xml:space="preserve">319 cells return #DIV/0! (pre-existing; carried over unchanged).</t>
  </si>
  <si>
    <t xml:space="preserve">Rows removed</t>
  </si>
  <si>
    <t xml:space="preserve">8 empty duplicate label rows deleted: EBITDA (%), EBIT (%), EBDT (%), Net profit margins (%), Excise / sales, Raw materials / sales, Staff costs / sales, Other expenses / sales. Each was a legacy pre-Ind-AS line with no data; the live version of each sits below it. "Profit Margins", "Cost ratios", "Goods CVs (domestic)" and "%" became section headers.</t>
  </si>
  <si>
    <t xml:space="preserve">Row labels vs formula contents</t>
  </si>
  <si>
    <t xml:space="preserve">Several rows in the mix block have been repurposed without relabelling — the label no longer describes the calculation. Values are preserved exactly; the labels are the problem. Rows now under "MIX &amp; GROWTH RATIOS": "H / MCVs" holds LCV/total share; "LCVs" holds a sum of two quarters; "Market share (%)" holds a x0.21 assumption; the second "H / MCVs" holds YoY growth. Also "Spare parts+Kits (Rs m)" holds material cost per vehicle, "Discounts" holds YoY realisation growth, and "Cost ratios" holds material cost per vehicle.</t>
  </si>
  <si>
    <t xml:space="preserve">"Average Realisations (Rs m)" and the PER VEHICLE block</t>
  </si>
  <si>
    <t xml:space="preserve">Labelled Rs m but the formula (=Net sales / Total CVs x 1,000,000) returns rupees per vehicle. Same for Material Cost / Vehicle, Gross Contribution / Vehicle and EBITDA / Vehicle. Values are right, the unit in the label is not.</t>
  </si>
  <si>
    <t xml:space="preserve">Orphan calc rows</t>
  </si>
  <si>
    <t xml:space="preserve">Four rows carried live formulas with no label at all in the source (old rows 30, 43, 46, 81). Nothing references them. Grouped under "ORPHAN CALC ROWS" — safe to delete once checked.</t>
  </si>
  <si>
    <t xml:space="preserve">Old cols CE, CH, CI, CJ, CK</t>
  </si>
  <si>
    <t xml:space="preserve">Unheaded scratch columns duplicating the FY26E build. Moved to the WORKINGS / CHECKS block.</t>
  </si>
  <si>
    <t xml:space="preserve">Old col CF (4QFY26E)</t>
  </si>
  <si>
    <t xml:space="preserve">Duplicate header — a second "4QFY26E" derived as FY26E less three quarters. Kept in WORKINGS, not in the estimates block, so the estimate row is not double-counted.</t>
  </si>
  <si>
    <t xml:space="preserve">All sheets</t>
  </si>
  <si>
    <t xml:space="preserve">Amber-shaded cells</t>
  </si>
  <si>
    <t xml:space="preserve">Formula contains a hardcoded number that is not a unit conversion — e.g. =+C41-1722.094, =+AH20*0.21, =H22*91%*88%/H6*1000000. Each is an undocumented assumption or plug. Count in this workbook: see the READ ME tab.</t>
  </si>
  <si>
    <t xml:space="preserve">Daimler Trucks - </t>
  </si>
  <si>
    <t xml:space="preserve">Still a niche player – BUT – has strong market shares in certain segments – eg – 30% market share in the Kerala construction market (small). Has 8-9% market share in Mumbai – which accounts for around 8-9% of overall CV sales. </t>
  </si>
  <si>
    <t xml:space="preserve">40% of all trucks bought are through Bharat Benz Financial services </t>
  </si>
  <si>
    <t xml:space="preserve">Daimler trucks – launched 3 new models – 914 Rigid, 1214 construction and 1217 tipper. Will launch 6 more models end of 2013 – taking its overall tally to 12. Will launch overall 17 trucks – will have 110 dealers by that time </t>
  </si>
  <si>
    <t xml:space="preserve">Ashok Leyland — reported vs BSe estimate</t>
  </si>
  <si>
    <t xml:space="preserve">Rebuilt from the restructured quarterly sheet. Every figure is a live link — nothing is typed. This replaces the side-by-side E/A columns that used to be interleaved.</t>
  </si>
  <si>
    <t xml:space="preserve">Quarter</t>
  </si>
  <si>
    <t xml:space="preserve">Total CVs (nos.)</t>
  </si>
  <si>
    <t xml:space="preserve">Net sales (INR m)</t>
  </si>
  <si>
    <t xml:space="preserve">EBITDA (INR m)</t>
  </si>
  <si>
    <t xml:space="preserve">EBITDA margin (%)</t>
  </si>
  <si>
    <t xml:space="preserve">PAT pre-except. (INR m)</t>
  </si>
  <si>
    <t xml:space="preserve">BSe</t>
  </si>
  <si>
    <t xml:space="preserve">Act</t>
  </si>
  <si>
    <t xml:space="preserve">Var</t>
  </si>
  <si>
    <t xml:space="preserve">4QFY19</t>
  </si>
  <si>
    <t xml:space="preserve">1QFY20</t>
  </si>
  <si>
    <t xml:space="preserve">2QFY20</t>
  </si>
  <si>
    <t xml:space="preserve">3QFY20</t>
  </si>
  <si>
    <t xml:space="preserve">4QFY20</t>
  </si>
  <si>
    <t xml:space="preserve">1QFY21</t>
  </si>
  <si>
    <t xml:space="preserve">2QFY21</t>
  </si>
  <si>
    <t xml:space="preserve">3QFY21</t>
  </si>
  <si>
    <t xml:space="preserve">4QFY21</t>
  </si>
  <si>
    <t xml:space="preserve">1QFY22</t>
  </si>
  <si>
    <t xml:space="preserve">2QFY22</t>
  </si>
  <si>
    <t xml:space="preserve">3QFY22</t>
  </si>
  <si>
    <t xml:space="preserve">4QFY22</t>
  </si>
  <si>
    <t xml:space="preserve">1QFY23</t>
  </si>
  <si>
    <t xml:space="preserve">2QFY23</t>
  </si>
  <si>
    <t xml:space="preserve">3QFY23</t>
  </si>
  <si>
    <t xml:space="preserve">4QFY23</t>
  </si>
  <si>
    <t xml:space="preserve">1QFY24</t>
  </si>
  <si>
    <t xml:space="preserve">2QFY24</t>
  </si>
  <si>
    <t xml:space="preserve">3QFY24</t>
  </si>
  <si>
    <t xml:space="preserve">4QFY24</t>
  </si>
  <si>
    <t xml:space="preserve">1QFY25</t>
  </si>
  <si>
    <t xml:space="preserve">2QFY25</t>
  </si>
  <si>
    <t xml:space="preserve">3QFY25</t>
  </si>
  <si>
    <t xml:space="preserve">4QFY25</t>
  </si>
  <si>
    <t xml:space="preserve">1QFY26</t>
  </si>
  <si>
    <t xml:space="preserve">2QFY26</t>
  </si>
  <si>
    <t xml:space="preserve">3QFY26</t>
  </si>
  <si>
    <t xml:space="preserve">4QFY26</t>
  </si>
  <si>
    <t xml:space="preserve">1QFY27</t>
  </si>
  <si>
    <t xml:space="preserve">Multiple</t>
  </si>
  <si>
    <t xml:space="preserve">EBITDA</t>
  </si>
  <si>
    <t xml:space="preserve">Debt</t>
  </si>
  <si>
    <t xml:space="preserve">TP</t>
  </si>
  <si>
    <t xml:space="preserve">FY 1993</t>
  </si>
  <si>
    <t xml:space="preserve">FY 1994</t>
  </si>
  <si>
    <t xml:space="preserve">FY 1995</t>
  </si>
  <si>
    <t xml:space="preserve">FY 1996 </t>
  </si>
  <si>
    <t xml:space="preserve">FY 1997</t>
  </si>
  <si>
    <t xml:space="preserve">FY 1998</t>
  </si>
  <si>
    <t xml:space="preserve">FY 1999</t>
  </si>
  <si>
    <t xml:space="preserve">FY2000</t>
  </si>
  <si>
    <t xml:space="preserve">FY2001</t>
  </si>
  <si>
    <t xml:space="preserve">FY2002</t>
  </si>
  <si>
    <t xml:space="preserve">FY2003</t>
  </si>
  <si>
    <t xml:space="preserve">FY2004</t>
  </si>
  <si>
    <t xml:space="preserve">FY2005</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</si>
  <si>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</si>
  <si>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</si>
  <si>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</si>
  <si>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</si>
  <si>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</si>
  <si>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</si>
  <si>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</si>
  <si>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</si>
  <si>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</si>
  <si>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</si>
  <si>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</si>
  <si>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</si>
  <si>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</si>
  <si>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</si>
  <si>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</si>
  <si>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</si>
  <si>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</si>
  <si>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</si>
  <si>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</si>
  <si>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</si>
  <si>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</si>
  <si>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FY2027E</t>
  </si>
  <si>
    <t xml:space="preserve">FY2028E</t>
  </si>
  <si>
    <t xml:space="preserve">FY2029E</t>
  </si>
  <si>
    <t xml:space="preserve">CMP</t>
  </si>
  <si>
    <t xml:space="preserve">Summary</t>
  </si>
  <si>
    <t xml:space="preserve">Old TP</t>
  </si>
  <si>
    <t xml:space="preserve">Income Statement</t>
  </si>
  <si>
    <t xml:space="preserve">(Rs m)</t>
  </si>
  <si>
    <t xml:space="preserve">FY 1996</t>
  </si>
  <si>
    <t xml:space="preserve">FY 1997 </t>
  </si>
  <si>
    <t xml:space="preserve">FY 1998 </t>
  </si>
  <si>
    <t xml:space="preserve">FY 1999 </t>
  </si>
  <si>
    <t xml:space="preserve">FY 2003</t>
  </si>
  <si>
    <t xml:space="preserve">FY 2005</t>
  </si>
  <si>
    <t xml:space="preserve">FY 2006</t>
  </si>
  <si>
    <t xml:space="preserve">FY 2007</t>
  </si>
  <si>
    <t xml:space="preserve">Volumes (Nos)</t>
  </si>
  <si>
    <t xml:space="preserve">% change YoY</t>
  </si>
  <si>
    <t xml:space="preserve">Sales &amp; operational income</t>
  </si>
  <si>
    <t xml:space="preserve">Excise</t>
  </si>
  <si>
    <t xml:space="preserve">% of sales</t>
  </si>
  <si>
    <t xml:space="preserve">Base</t>
  </si>
  <si>
    <t xml:space="preserve">FY19</t>
  </si>
  <si>
    <t xml:space="preserve">FY20</t>
  </si>
  <si>
    <t xml:space="preserve">FY21</t>
  </si>
  <si>
    <t xml:space="preserve">FY22</t>
  </si>
  <si>
    <t xml:space="preserve">FY23</t>
  </si>
  <si>
    <t xml:space="preserve">FY24</t>
  </si>
  <si>
    <t xml:space="preserve">FY25</t>
  </si>
  <si>
    <t xml:space="preserve">FY26</t>
  </si>
  <si>
    <t xml:space="preserve">FY27</t>
  </si>
  <si>
    <t xml:space="preserve">FY28</t>
  </si>
  <si>
    <t xml:space="preserve">Net revenue</t>
  </si>
  <si>
    <t xml:space="preserve">Volumes</t>
  </si>
  <si>
    <t xml:space="preserve">% Chg YoY</t>
  </si>
  <si>
    <t xml:space="preserve">ASP</t>
  </si>
  <si>
    <t xml:space="preserve">Revenue / vehicle</t>
  </si>
  <si>
    <t xml:space="preserve">Revenue</t>
  </si>
  <si>
    <t xml:space="preserve">Raw material expenses</t>
  </si>
  <si>
    <t xml:space="preserve">EBITDA Margin</t>
  </si>
  <si>
    <t xml:space="preserve">Non operating items</t>
  </si>
  <si>
    <t xml:space="preserve">Mat cost / vehicle</t>
  </si>
  <si>
    <t xml:space="preserve">PBT</t>
  </si>
  <si>
    <t xml:space="preserve">Tax</t>
  </si>
  <si>
    <t xml:space="preserve">Gross profit / unit</t>
  </si>
  <si>
    <t xml:space="preserve">PAT</t>
  </si>
  <si>
    <t xml:space="preserve">Net debt</t>
  </si>
  <si>
    <t xml:space="preserve">Manpower costs</t>
  </si>
  <si>
    <t xml:space="preserve">Other variable expenses</t>
  </si>
  <si>
    <t xml:space="preserve">Bull</t>
  </si>
  <si>
    <t xml:space="preserve">Other fixed expenses</t>
  </si>
  <si>
    <t xml:space="preserve">Expenses capitalised</t>
  </si>
  <si>
    <t xml:space="preserve">Cost of sales</t>
  </si>
  <si>
    <t xml:space="preserve">Interest</t>
  </si>
  <si>
    <t xml:space="preserve">Other income</t>
  </si>
  <si>
    <t xml:space="preserve">EBDT</t>
  </si>
  <si>
    <t xml:space="preserve">Bear</t>
  </si>
  <si>
    <t xml:space="preserve">Forex gains/(losses) on swap contracts</t>
  </si>
  <si>
    <t xml:space="preserve">Depreciation</t>
  </si>
  <si>
    <t xml:space="preserve">Exceptionals (losses)/gains</t>
  </si>
  <si>
    <t xml:space="preserve">Tax </t>
  </si>
  <si>
    <t xml:space="preserve">PAT (pre exceptionals) </t>
  </si>
  <si>
    <t xml:space="preserve">EBDIT</t>
  </si>
  <si>
    <t xml:space="preserve">EBIT</t>
  </si>
  <si>
    <t xml:space="preserve">EBITwOI</t>
  </si>
  <si>
    <t xml:space="preserve">Cash profit</t>
  </si>
  <si>
    <t xml:space="preserve">FY2013E</t>
  </si>
  <si>
    <t xml:space="preserve">FY2014E</t>
  </si>
  <si>
    <t xml:space="preserve">FY2015E</t>
  </si>
  <si>
    <t xml:space="preserve">Profit Margins</t>
  </si>
  <si>
    <t xml:space="preserve">OPM (%)</t>
  </si>
  <si>
    <t xml:space="preserve">Higher volumes and ASPs drive stronger EBITDA growth </t>
  </si>
  <si>
    <t xml:space="preserve">EBITDA Margins (%)</t>
  </si>
  <si>
    <t xml:space="preserve">Higher target multiple</t>
  </si>
  <si>
    <t xml:space="preserve">Other income / EBDIT (%)</t>
  </si>
  <si>
    <t xml:space="preserve">Lower target multiple</t>
  </si>
  <si>
    <t xml:space="preserve">Other income / PAT (%)</t>
  </si>
  <si>
    <t xml:space="preserve">Lower volumes and ASPs result in weaker EBITDA growth </t>
  </si>
  <si>
    <t xml:space="preserve">EBITwOI/Sales</t>
  </si>
  <si>
    <t xml:space="preserve">EBITwOI/ Net Sales</t>
  </si>
  <si>
    <t xml:space="preserve">Interest cover (X)</t>
  </si>
  <si>
    <t xml:space="preserve">EBDT (%)</t>
  </si>
  <si>
    <t xml:space="preserve">Pre tax margins (%)</t>
  </si>
  <si>
    <t xml:space="preserve">Tax / PBT (%)</t>
  </si>
  <si>
    <t xml:space="preserve">Net profit margins (%)</t>
  </si>
  <si>
    <t xml:space="preserve">Equity (m shares)</t>
  </si>
  <si>
    <t xml:space="preserve">EPS (Rs)</t>
  </si>
  <si>
    <t xml:space="preserve">CEPS (Rs)</t>
  </si>
  <si>
    <t xml:space="preserve">Equity FD (m shares)</t>
  </si>
  <si>
    <t xml:space="preserve">EPS FD (Rs)</t>
  </si>
  <si>
    <t xml:space="preserve">CEPS FD (Rs)</t>
  </si>
  <si>
    <t xml:space="preserve">Book value FD (Rs)</t>
  </si>
  <si>
    <t xml:space="preserve">Market price (Rs)</t>
  </si>
  <si>
    <t xml:space="preserve">Valuation</t>
  </si>
  <si>
    <t xml:space="preserve">P / E  (x)</t>
  </si>
  <si>
    <t xml:space="preserve">Earnings growth (%)</t>
  </si>
  <si>
    <t xml:space="preserve">Earnings growth / P/E (x)</t>
  </si>
  <si>
    <t xml:space="preserve">Earnings yield </t>
  </si>
  <si>
    <t xml:space="preserve">Price / cash flow / share (x)</t>
  </si>
  <si>
    <t xml:space="preserve">Cash earnings growth (%)</t>
  </si>
  <si>
    <t xml:space="preserve">CEPS growth / CEPS</t>
  </si>
  <si>
    <t xml:space="preserve">Price / book value / share (x)</t>
  </si>
  <si>
    <t xml:space="preserve">Mcap</t>
  </si>
  <si>
    <t xml:space="preserve">Mkt cap / sales (x)</t>
  </si>
  <si>
    <t xml:space="preserve">MKt cap / net sales (x)</t>
  </si>
  <si>
    <t xml:space="preserve">Sales / share (x)</t>
  </si>
  <si>
    <t xml:space="preserve">FY2016E</t>
  </si>
  <si>
    <t xml:space="preserve">FY2017E</t>
  </si>
  <si>
    <t xml:space="preserve">Net Debt</t>
  </si>
  <si>
    <t xml:space="preserve">Enterprise value (Rs m)</t>
  </si>
  <si>
    <t xml:space="preserve">Enterprise value / share (x)</t>
  </si>
  <si>
    <t xml:space="preserve">EV / EBITDA (x)</t>
  </si>
  <si>
    <t xml:space="preserve">EV / cash flow (x)</t>
  </si>
  <si>
    <t xml:space="preserve">EV / Sales</t>
  </si>
  <si>
    <t xml:space="preserve">EV / Net sales</t>
  </si>
  <si>
    <t xml:space="preserve">EV / EBIT</t>
  </si>
  <si>
    <t xml:space="preserve">GDR Valuation</t>
  </si>
  <si>
    <t xml:space="preserve">GDR price (US $)</t>
  </si>
  <si>
    <t xml:space="preserve">Equivalent local price (Rs)</t>
  </si>
  <si>
    <t xml:space="preserve">Premium / Discount (%)</t>
  </si>
  <si>
    <t xml:space="preserve">Share holders returns :</t>
  </si>
  <si>
    <t xml:space="preserve">Payouts </t>
  </si>
  <si>
    <t xml:space="preserve">DPS (Rs)</t>
  </si>
  <si>
    <t xml:space="preserve">DPS (FD) (Rs)</t>
  </si>
  <si>
    <t xml:space="preserve">Payout (%)</t>
  </si>
  <si>
    <t xml:space="preserve">Dividend Yield (%)</t>
  </si>
  <si>
    <t xml:space="preserve">Dividend cover (x)</t>
  </si>
  <si>
    <t xml:space="preserve">Plowback ratio (x)</t>
  </si>
  <si>
    <t xml:space="preserve">Capital History</t>
  </si>
  <si>
    <t xml:space="preserve">Shares in </t>
  </si>
  <si>
    <t xml:space="preserve">Year</t>
  </si>
  <si>
    <t xml:space="preserve">issue (m)</t>
  </si>
  <si>
    <t xml:space="preserve">March 31, </t>
  </si>
  <si>
    <t xml:space="preserve">Sales</t>
  </si>
  <si>
    <t xml:space="preserve">Rec PAT</t>
  </si>
  <si>
    <t xml:space="preserve">EPS</t>
  </si>
  <si>
    <t xml:space="preserve">For the new band chart format</t>
  </si>
  <si>
    <t xml:space="preserve">EPS </t>
  </si>
  <si>
    <t xml:space="preserve">BVPS</t>
  </si>
  <si>
    <t xml:space="preserve">EBITDA / sh</t>
  </si>
  <si>
    <t xml:space="preserve">Net debt / sh</t>
  </si>
  <si>
    <t xml:space="preserve">Sales / sh</t>
  </si>
  <si>
    <t xml:space="preserve">SOURCES OF FUNDS</t>
  </si>
  <si>
    <t xml:space="preserve">Share capital</t>
  </si>
  <si>
    <t xml:space="preserve">Reserves &amp; surplus</t>
  </si>
  <si>
    <t xml:space="preserve">Share holders funds</t>
  </si>
  <si>
    <t xml:space="preserve">Total loan funds</t>
  </si>
  <si>
    <t xml:space="preserve">Deferred Tax Liability </t>
  </si>
  <si>
    <t xml:space="preserve">Other long term liability</t>
  </si>
  <si>
    <t xml:space="preserve">Deferred Liability</t>
  </si>
  <si>
    <t xml:space="preserve">Long term provisions</t>
  </si>
  <si>
    <t xml:space="preserve">Total Sources of Funds</t>
  </si>
  <si>
    <t xml:space="preserve">APPLICATIONS OF FUNDS</t>
  </si>
  <si>
    <t xml:space="preserve">Gross block </t>
  </si>
  <si>
    <t xml:space="preserve">Less : Depreciation</t>
  </si>
  <si>
    <t xml:space="preserve">Net block</t>
  </si>
  <si>
    <t xml:space="preserve">Capital work in progress</t>
  </si>
  <si>
    <t xml:space="preserve">Intangible assets</t>
  </si>
  <si>
    <t xml:space="preserve">Intangible assets under deployment</t>
  </si>
  <si>
    <t xml:space="preserve">RoU Assets</t>
  </si>
  <si>
    <t xml:space="preserve">Total Fixed assets</t>
  </si>
  <si>
    <t xml:space="preserve">Investments</t>
  </si>
  <si>
    <t xml:space="preserve">Long term loans and advance</t>
  </si>
  <si>
    <t xml:space="preserve">Other non current assets</t>
  </si>
  <si>
    <t xml:space="preserve">Current assets :</t>
  </si>
  <si>
    <t xml:space="preserve">Inventories</t>
  </si>
  <si>
    <t xml:space="preserve">Sundry debtors</t>
  </si>
  <si>
    <t xml:space="preserve">Cash &amp; Bank Balances</t>
  </si>
  <si>
    <t xml:space="preserve">Loans &amp; advances</t>
  </si>
  <si>
    <t xml:space="preserve">Other current assets</t>
  </si>
  <si>
    <t xml:space="preserve">Total current assets</t>
  </si>
  <si>
    <t xml:space="preserve">Current liabilities :</t>
  </si>
  <si>
    <t xml:space="preserve">Acceptances</t>
  </si>
  <si>
    <t xml:space="preserve">Sundry Creditors</t>
  </si>
  <si>
    <t xml:space="preserve">Others</t>
  </si>
  <si>
    <t xml:space="preserve">Provisions :</t>
  </si>
  <si>
    <t xml:space="preserve">Total current liabilities &amp; provisions</t>
  </si>
  <si>
    <t xml:space="preserve">Net current assets</t>
  </si>
  <si>
    <t xml:space="preserve">Miscellaneous / other non current assets</t>
  </si>
  <si>
    <t xml:space="preserve">Total Application of Funds </t>
  </si>
  <si>
    <t xml:space="preserve">Conversion of debentures</t>
  </si>
  <si>
    <t xml:space="preserve">GDR issue 10,771,908 @</t>
  </si>
  <si>
    <t xml:space="preserve">US$ 12.79 aggregating </t>
  </si>
  <si>
    <t xml:space="preserve">US$138 m.</t>
  </si>
  <si>
    <t xml:space="preserve">Validation series - all values must be 0</t>
  </si>
  <si>
    <t xml:space="preserve">Net sales</t>
  </si>
  <si>
    <t xml:space="preserve">Cost of sales (excluding excise)</t>
  </si>
  <si>
    <t xml:space="preserve">Operating Profit</t>
  </si>
  <si>
    <t xml:space="preserve">Production</t>
  </si>
  <si>
    <t xml:space="preserve">4 wheel vehicles</t>
  </si>
  <si>
    <t xml:space="preserve">Installed capacity * (Nos.)</t>
  </si>
  <si>
    <t xml:space="preserve">Production (Nos.)#</t>
  </si>
  <si>
    <t xml:space="preserve">Increase in production (%)</t>
  </si>
  <si>
    <t xml:space="preserve">Capacity utilization (%)</t>
  </si>
  <si>
    <t xml:space="preserve">Increase in capacity (%)</t>
  </si>
  <si>
    <t xml:space="preserve">Engines</t>
  </si>
  <si>
    <t xml:space="preserve">Notes</t>
  </si>
  <si>
    <t xml:space="preserve">Capacities are year end capacities</t>
  </si>
  <si>
    <t xml:space="preserve">Engines include those used for industrial and marine appliactions</t>
  </si>
  <si>
    <t xml:space="preserve">Total volumes (Nos.)</t>
  </si>
  <si>
    <t xml:space="preserve">Vehicles sold (Nos)</t>
  </si>
  <si>
    <t xml:space="preserve">H / MCVs</t>
  </si>
  <si>
    <t xml:space="preserve">% growth</t>
  </si>
  <si>
    <t xml:space="preserve">LCVs</t>
  </si>
  <si>
    <t xml:space="preserve">Total 4 wheelers</t>
  </si>
  <si>
    <t xml:space="preserve">Product mix (% of total nos. sold)</t>
  </si>
  <si>
    <t xml:space="preserve">Market share (%)</t>
  </si>
  <si>
    <t xml:space="preserve">FY 2000</t>
  </si>
  <si>
    <t xml:space="preserve">Freight / Goods</t>
  </si>
  <si>
    <t xml:space="preserve">Passenger</t>
  </si>
  <si>
    <t xml:space="preserve">Sales turnover breakup</t>
  </si>
  <si>
    <t xml:space="preserve">Avg. realization</t>
  </si>
  <si>
    <t xml:space="preserve">Value</t>
  </si>
  <si>
    <t xml:space="preserve">4q08</t>
  </si>
  <si>
    <t xml:space="preserve">1q09</t>
  </si>
  <si>
    <t xml:space="preserve">2q09</t>
  </si>
  <si>
    <t xml:space="preserve">3q09</t>
  </si>
  <si>
    <t xml:space="preserve">4qfy09</t>
  </si>
  <si>
    <t xml:space="preserve">1q10</t>
  </si>
  <si>
    <t xml:space="preserve">2q10</t>
  </si>
  <si>
    <t xml:space="preserve">3q10</t>
  </si>
  <si>
    <t xml:space="preserve">Total</t>
  </si>
  <si>
    <t xml:space="preserve">Sales volumes break up</t>
  </si>
  <si>
    <t xml:space="preserve">MDV Passenger Domestic</t>
  </si>
  <si>
    <t xml:space="preserve">% of MDV sales</t>
  </si>
  <si>
    <t xml:space="preserve">% of total sales</t>
  </si>
  <si>
    <t xml:space="preserve">yoy growth</t>
  </si>
  <si>
    <t xml:space="preserve">MDV Passenger Exports</t>
  </si>
  <si>
    <t xml:space="preserve">MDV Goods Domestic </t>
  </si>
  <si>
    <t xml:space="preserve">FY13</t>
  </si>
  <si>
    <t xml:space="preserve">MDV Goods Exports</t>
  </si>
  <si>
    <t xml:space="preserve">Contract manufacturing income (only within TN)</t>
  </si>
  <si>
    <t xml:space="preserve">Other operating income</t>
  </si>
  <si>
    <t xml:space="preserve">Traded engine expense- non TN (in parent COGS)</t>
  </si>
  <si>
    <t xml:space="preserve">Traded LCV expense- non TN (in parent COGS)</t>
  </si>
  <si>
    <t xml:space="preserve">TOTAL MHCV</t>
  </si>
  <si>
    <t xml:space="preserve">CV sales - Non TN(in parent income)</t>
  </si>
  <si>
    <t xml:space="preserve">Dost in TN</t>
  </si>
  <si>
    <t xml:space="preserve">All Dosts are made by ALL - for which it earns a contract mfg income- row 418</t>
  </si>
  <si>
    <t xml:space="preserve">Dost outside TN</t>
  </si>
  <si>
    <t xml:space="preserve">Then all Dosts are transferred to JV - </t>
  </si>
  <si>
    <t xml:space="preserve">Purchase of raw materials and components ( net of CENVAT / VAT)</t>
  </si>
  <si>
    <t xml:space="preserve">Total Dost</t>
  </si>
  <si>
    <t xml:space="preserve">Dosts sold inside TN - get contract mfg JV (row 418)</t>
  </si>
  <si>
    <t xml:space="preserve">Other Operating Income</t>
  </si>
  <si>
    <t xml:space="preserve">Dosts sold outside TN - reflected in purchase of goods, and also in sales</t>
  </si>
  <si>
    <t xml:space="preserve">Other LCVs</t>
  </si>
  <si>
    <t xml:space="preserve">LCV Domestic</t>
  </si>
  <si>
    <t xml:space="preserve">% of LCV sales</t>
  </si>
  <si>
    <t xml:space="preserve">LCV Exports</t>
  </si>
  <si>
    <t xml:space="preserve">Total Domestic</t>
  </si>
  <si>
    <t xml:space="preserve">Total Exports</t>
  </si>
  <si>
    <t xml:space="preserve">Validation</t>
  </si>
  <si>
    <t xml:space="preserve">Exports % of total</t>
  </si>
  <si>
    <t xml:space="preserve">Vehicles</t>
  </si>
  <si>
    <t xml:space="preserve">Value (Rs m)</t>
  </si>
  <si>
    <t xml:space="preserve">Nos.</t>
  </si>
  <si>
    <t xml:space="preserve">Avg. Realization (Rs / vehicle)</t>
  </si>
  <si>
    <t xml:space="preserve">Volume growth yoy (%)</t>
  </si>
  <si>
    <t xml:space="preserve">Selling price increase (%)</t>
  </si>
  <si>
    <t xml:space="preserve">Growth yoy (%)</t>
  </si>
  <si>
    <t xml:space="preserve">% of total turnover</t>
  </si>
  <si>
    <t xml:space="preserve">Dost </t>
  </si>
  <si>
    <t xml:space="preserve">Volume</t>
  </si>
  <si>
    <t xml:space="preserve">Blended realisation</t>
  </si>
  <si>
    <t xml:space="preserve">Avg. Realization (Rs / engine)</t>
  </si>
  <si>
    <t xml:space="preserve">Ferrous castings</t>
  </si>
  <si>
    <t xml:space="preserve">Avg. Realization (Rs / MT)</t>
  </si>
  <si>
    <t xml:space="preserve">Spare parts and others</t>
  </si>
  <si>
    <t xml:space="preserve">Contract manufacturing</t>
  </si>
  <si>
    <t xml:space="preserve">                   Per vehicle</t>
  </si>
  <si>
    <t xml:space="preserve">Grant income</t>
  </si>
  <si>
    <t xml:space="preserve">Export Incentives</t>
  </si>
  <si>
    <t xml:space="preserve">Scrap Sales</t>
  </si>
  <si>
    <t xml:space="preserve">Revenue from services</t>
  </si>
  <si>
    <t xml:space="preserve">Misc</t>
  </si>
  <si>
    <t xml:space="preserve">Total turnover (Rs m)</t>
  </si>
  <si>
    <t xml:space="preserve">Less : Commission and rebate</t>
  </si>
  <si>
    <t xml:space="preserve">% of sales turnover</t>
  </si>
  <si>
    <t xml:space="preserve">Total income (Rs m)</t>
  </si>
  <si>
    <t xml:space="preserve">EBITDA calculations</t>
  </si>
  <si>
    <t xml:space="preserve">Value of exports (FOB)</t>
  </si>
  <si>
    <t xml:space="preserve">% change yoy</t>
  </si>
  <si>
    <t xml:space="preserve">% of gross sales</t>
  </si>
  <si>
    <t xml:space="preserve">Commission / discount per truck</t>
  </si>
  <si>
    <t xml:space="preserve">Other Income</t>
  </si>
  <si>
    <t xml:space="preserve">FY2012E</t>
  </si>
  <si>
    <t xml:space="preserve">Dividends</t>
  </si>
  <si>
    <t xml:space="preserve">   Trade</t>
  </si>
  <si>
    <t xml:space="preserve">   Others</t>
  </si>
  <si>
    <t xml:space="preserve">   Others (includes interest received)</t>
  </si>
  <si>
    <t xml:space="preserve">Interest Recd (% of cash balances) </t>
  </si>
  <si>
    <t xml:space="preserve">Lease rentals </t>
  </si>
  <si>
    <t xml:space="preserve">Rent received</t>
  </si>
  <si>
    <t xml:space="preserve">Miscellaneous income</t>
  </si>
  <si>
    <t xml:space="preserve">Profit on sale of investments / assets</t>
  </si>
  <si>
    <t xml:space="preserve">Net gain / (loss) arising on financial asset mandatorily measured at FVTPL</t>
  </si>
  <si>
    <t xml:space="preserve">% change</t>
  </si>
  <si>
    <t xml:space="preserve">Total income</t>
  </si>
  <si>
    <t xml:space="preserve">Costing</t>
  </si>
  <si>
    <t xml:space="preserve">MATERIALS</t>
  </si>
  <si>
    <t xml:space="preserve">Plates, sheets and angles</t>
  </si>
  <si>
    <t xml:space="preserve">Quantity (MT)</t>
  </si>
  <si>
    <t xml:space="preserve">Rate (Rs / MT)</t>
  </si>
  <si>
    <t xml:space="preserve">% increase</t>
  </si>
  <si>
    <t xml:space="preserve">Consumption norm</t>
  </si>
  <si>
    <t xml:space="preserve">% of raw material expenses</t>
  </si>
  <si>
    <t xml:space="preserve">Bars</t>
  </si>
  <si>
    <t xml:space="preserve">Steel tubes</t>
  </si>
  <si>
    <t xml:space="preserve">Quantity (Meters)</t>
  </si>
  <si>
    <t xml:space="preserve">Rate (Rs / Meter)</t>
  </si>
  <si>
    <t xml:space="preserve">Plates, sheets, bars, steel tubes and angles</t>
  </si>
  <si>
    <t xml:space="preserve">Pig iron, steel scrap and alloys</t>
  </si>
  <si>
    <t xml:space="preserve">Tyres, tubes &amp; flaps</t>
  </si>
  <si>
    <t xml:space="preserve">Quantity (Nos.)</t>
  </si>
  <si>
    <t xml:space="preserve">Rate (Rs / Nos.)</t>
  </si>
  <si>
    <t xml:space="preserve">Finished &amp; other items</t>
  </si>
  <si>
    <t xml:space="preserve">Components / vehicle (Rs)</t>
  </si>
  <si>
    <t xml:space="preserve">Forgings and castings</t>
  </si>
  <si>
    <t xml:space="preserve">Purchase of products for sale</t>
  </si>
  <si>
    <t xml:space="preserve">Traded engines</t>
  </si>
  <si>
    <t xml:space="preserve">Per vehicle</t>
  </si>
  <si>
    <t xml:space="preserve">Spare parts and auto comps</t>
  </si>
  <si>
    <t xml:space="preserve">Changes in stock &amp; scrap sales</t>
  </si>
  <si>
    <t xml:space="preserve">Less discounts</t>
  </si>
  <si>
    <t xml:space="preserve">RAW MATERIAL EXPENSES</t>
  </si>
  <si>
    <t xml:space="preserve">% of NET sales</t>
  </si>
  <si>
    <t xml:space="preserve">% growth yoy</t>
  </si>
  <si>
    <t xml:space="preserve">Raw material expenses / unit produced or sold</t>
  </si>
  <si>
    <t xml:space="preserve">EXCISE</t>
  </si>
  <si>
    <t xml:space="preserve">% of total operational income (gross)</t>
  </si>
  <si>
    <t xml:space="preserve">OTHER EXPENSES</t>
  </si>
  <si>
    <t xml:space="preserve">VARIABLE EXPENSES</t>
  </si>
  <si>
    <t xml:space="preserve">Tools &amp; consumable stores </t>
  </si>
  <si>
    <t xml:space="preserve">OTHER  VARIABLE EXPENSES</t>
  </si>
  <si>
    <t xml:space="preserve">TOTAL VARIABLE EXPENSES</t>
  </si>
  <si>
    <t xml:space="preserve">FIXED COSTS</t>
  </si>
  <si>
    <t xml:space="preserve">Power, fuel &amp; water</t>
  </si>
  <si>
    <t xml:space="preserve">Repairs and maintenance</t>
  </si>
  <si>
    <t xml:space="preserve">Employees*</t>
  </si>
  <si>
    <t xml:space="preserve">Salaries</t>
  </si>
  <si>
    <t xml:space="preserve">Statutory contributions</t>
  </si>
  <si>
    <t xml:space="preserve">Welfare</t>
  </si>
  <si>
    <t xml:space="preserve">Employee expense capitalised</t>
  </si>
  <si>
    <t xml:space="preserve">Total employee expenses</t>
  </si>
  <si>
    <t xml:space="preserve">Selling and administration</t>
  </si>
  <si>
    <t xml:space="preserve">Rent, rates &amp; taxes</t>
  </si>
  <si>
    <t xml:space="preserve">Insurance</t>
  </si>
  <si>
    <t xml:space="preserve">R&amp;D bad debts</t>
  </si>
  <si>
    <t xml:space="preserve">Excise Duty in value of finished goods</t>
  </si>
  <si>
    <t xml:space="preserve">TOTAL FIXED EXPENSES</t>
  </si>
  <si>
    <t xml:space="preserve">TOTAL expenses</t>
  </si>
  <si>
    <t xml:space="preserve">Less : expenses transferred</t>
  </si>
  <si>
    <t xml:space="preserve">to capital account</t>
  </si>
  <si>
    <t xml:space="preserve">Less: Transfer to General reserve</t>
  </si>
  <si>
    <t xml:space="preserve">Cost of Sales</t>
  </si>
  <si>
    <t xml:space="preserve">OPERATING PROFIT</t>
  </si>
  <si>
    <t xml:space="preserve">Margin (%)</t>
  </si>
  <si>
    <t xml:space="preserve">SALES VALUE (Rs m)</t>
  </si>
  <si>
    <t xml:space="preserve">net sales</t>
  </si>
  <si>
    <t xml:space="preserve">Mats expenses % of net sales</t>
  </si>
  <si>
    <t xml:space="preserve">components % of net sales</t>
  </si>
  <si>
    <t xml:space="preserve">labor % of net sales</t>
  </si>
  <si>
    <t xml:space="preserve">Capital Cost</t>
  </si>
  <si>
    <t xml:space="preserve">Interest, Depreciation &amp; Tax</t>
  </si>
  <si>
    <t xml:space="preserve">FY2000 </t>
  </si>
  <si>
    <t xml:space="preserve">FY 2008</t>
  </si>
  <si>
    <t xml:space="preserve">FY 2009</t>
  </si>
  <si>
    <t xml:space="preserve">Interest paid</t>
  </si>
  <si>
    <t xml:space="preserve">Wt average cost (%)</t>
  </si>
  <si>
    <t xml:space="preserve">Net interest</t>
  </si>
  <si>
    <t xml:space="preserve">% of average net block</t>
  </si>
  <si>
    <t xml:space="preserve">Exceptionals inc / (exp)</t>
  </si>
  <si>
    <t xml:space="preserve">Extra items &amp; contingencies</t>
  </si>
  <si>
    <t xml:space="preserve">Tax / PBT</t>
  </si>
  <si>
    <t xml:space="preserve">PAT (Pre - Exceptionals) </t>
  </si>
  <si>
    <t xml:space="preserve">Other comprehensive income</t>
  </si>
  <si>
    <t xml:space="preserve">Total comprehensive income</t>
  </si>
  <si>
    <t xml:space="preserve">Payout ratio</t>
  </si>
  <si>
    <t xml:space="preserve">Dividend Tax</t>
  </si>
  <si>
    <t xml:space="preserve">Interim dividend</t>
  </si>
  <si>
    <t xml:space="preserve">Final dividend</t>
  </si>
  <si>
    <t xml:space="preserve">Investment allowance reserve</t>
  </si>
  <si>
    <t xml:space="preserve">(wriiten back)</t>
  </si>
  <si>
    <t xml:space="preserve">Debenture redemption rese.</t>
  </si>
  <si>
    <t xml:space="preserve">General reserve</t>
  </si>
  <si>
    <t xml:space="preserve">Transfer to general reserve</t>
  </si>
  <si>
    <t xml:space="preserve">Depreciation calculation :</t>
  </si>
  <si>
    <t xml:space="preserve">Opening block</t>
  </si>
  <si>
    <t xml:space="preserve">Add : capex for year</t>
  </si>
  <si>
    <t xml:space="preserve">Closing block</t>
  </si>
  <si>
    <t xml:space="preserve">Depreciation rate (%)</t>
  </si>
  <si>
    <t xml:space="preserve">Tax calculation :</t>
  </si>
  <si>
    <t xml:space="preserve">Add book depreciation</t>
  </si>
  <si>
    <t xml:space="preserve">Add Tax deducted at source</t>
  </si>
  <si>
    <t xml:space="preserve">Opening balance</t>
  </si>
  <si>
    <t xml:space="preserve">Add capex</t>
  </si>
  <si>
    <t xml:space="preserve">IT Depreciation</t>
  </si>
  <si>
    <t xml:space="preserve">PBT for tax purposes</t>
  </si>
  <si>
    <t xml:space="preserve">Exports / Sales (%)</t>
  </si>
  <si>
    <t xml:space="preserve">Less : export profits</t>
  </si>
  <si>
    <t xml:space="preserve">Less : Dividends 80 M and other tax free income</t>
  </si>
  <si>
    <t xml:space="preserve">Tax @ 43% / 35% / 33.6</t>
  </si>
  <si>
    <t xml:space="preserve">Core EBDT</t>
  </si>
  <si>
    <t xml:space="preserve">Maintenance capex</t>
  </si>
  <si>
    <t xml:space="preserve">Change in Net Working Capital</t>
  </si>
  <si>
    <t xml:space="preserve">Op.Free cash Flow</t>
  </si>
  <si>
    <t xml:space="preserve">Balance Sheet  </t>
  </si>
  <si>
    <t xml:space="preserve">FY 2010</t>
  </si>
  <si>
    <t xml:space="preserve">FY 2011</t>
  </si>
  <si>
    <t xml:space="preserve">FY 2012E</t>
  </si>
  <si>
    <t xml:space="preserve">Sources of funds :</t>
  </si>
  <si>
    <t xml:space="preserve">16.97m shares already converted </t>
  </si>
  <si>
    <t xml:space="preserve">  Capital &amp; Cap redemption reserve </t>
  </si>
  <si>
    <t xml:space="preserve">  Share premium</t>
  </si>
  <si>
    <t xml:space="preserve">  Revaluation reserve</t>
  </si>
  <si>
    <t xml:space="preserve">  Investment allowance reserve</t>
  </si>
  <si>
    <t xml:space="preserve">  Export turnover &amp; contingency reserve</t>
  </si>
  <si>
    <t xml:space="preserve">  Debenture redemption reserve</t>
  </si>
  <si>
    <t xml:space="preserve">  General reserve</t>
  </si>
  <si>
    <t xml:space="preserve">  Surplus in P&amp;L</t>
  </si>
  <si>
    <t xml:space="preserve">Hedging Reserve</t>
  </si>
  <si>
    <t xml:space="preserve">Shares Pending Allotment</t>
  </si>
  <si>
    <t xml:space="preserve">Foreign currency monetary item translation difference</t>
  </si>
  <si>
    <t xml:space="preserve">Share options outstanding account</t>
  </si>
  <si>
    <t xml:space="preserve">Secured loans </t>
  </si>
  <si>
    <t xml:space="preserve">Debentures</t>
  </si>
  <si>
    <t xml:space="preserve">Term loans</t>
  </si>
  <si>
    <t xml:space="preserve">Bank credit</t>
  </si>
  <si>
    <t xml:space="preserve">Unsecured loans</t>
  </si>
  <si>
    <t xml:space="preserve">   Fixed deposits</t>
  </si>
  <si>
    <t xml:space="preserve">   Loans &amp; advances</t>
  </si>
  <si>
    <t xml:space="preserve">   Deferred liability </t>
  </si>
  <si>
    <t xml:space="preserve">   Unsecured short term borrowings</t>
  </si>
  <si>
    <t xml:space="preserve">Debenture (secured)</t>
  </si>
  <si>
    <t xml:space="preserve">Term Loans (secured)</t>
  </si>
  <si>
    <t xml:space="preserve">ECB (Unsecured)</t>
  </si>
  <si>
    <t xml:space="preserve">IFSTL (unsecured)</t>
  </si>
  <si>
    <t xml:space="preserve">Other loans from fin inst</t>
  </si>
  <si>
    <t xml:space="preserve">Current maturities of long term debt</t>
  </si>
  <si>
    <t xml:space="preserve">Deferred Tax Liability (Net)</t>
  </si>
  <si>
    <t xml:space="preserve">Foreign Currency translation difference / other long term liability</t>
  </si>
  <si>
    <t xml:space="preserve">Other long term liabilities</t>
  </si>
  <si>
    <t xml:space="preserve">Application of funds :</t>
  </si>
  <si>
    <t xml:space="preserve">Intangible assets and goodwill</t>
  </si>
  <si>
    <t xml:space="preserve">Fixed assets</t>
  </si>
  <si>
    <t xml:space="preserve">  Trade</t>
  </si>
  <si>
    <t xml:space="preserve">  Others / Current</t>
  </si>
  <si>
    <t xml:space="preserve">  Others</t>
  </si>
  <si>
    <t xml:space="preserve">Less: Provision for Diminution in value of investments</t>
  </si>
  <si>
    <t xml:space="preserve">Book value of quoted investments</t>
  </si>
  <si>
    <t xml:space="preserve">Mkt value of quoted investments</t>
  </si>
  <si>
    <t xml:space="preserve">Other long term assets</t>
  </si>
  <si>
    <t xml:space="preserve">  Raw materials</t>
  </si>
  <si>
    <t xml:space="preserve">  Stores &amp; spares</t>
  </si>
  <si>
    <t xml:space="preserve">  Consumable tools</t>
  </si>
  <si>
    <t xml:space="preserve">  Work in progress</t>
  </si>
  <si>
    <t xml:space="preserve">  Finished goods</t>
  </si>
  <si>
    <t xml:space="preserve">  Trading goods</t>
  </si>
  <si>
    <t xml:space="preserve">  Property development</t>
  </si>
  <si>
    <t xml:space="preserve">  Carbon Emission Rights</t>
  </si>
  <si>
    <t xml:space="preserve">   Advances and loans</t>
  </si>
  <si>
    <t xml:space="preserve">   Bills of exchange</t>
  </si>
  <si>
    <t xml:space="preserve">   Deposits with govt., etc.</t>
  </si>
  <si>
    <t xml:space="preserve">   Advances recoverable in cash</t>
  </si>
  <si>
    <t xml:space="preserve">  Taxation</t>
  </si>
  <si>
    <t xml:space="preserve">  Dividends</t>
  </si>
  <si>
    <t xml:space="preserve">Total current liabilities</t>
  </si>
  <si>
    <t xml:space="preserve">NWC wo cash and provisions</t>
  </si>
  <si>
    <t xml:space="preserve">Change in NWC</t>
  </si>
  <si>
    <t xml:space="preserve">Balance sheet structure</t>
  </si>
  <si>
    <t xml:space="preserve">(% of total)</t>
  </si>
  <si>
    <t xml:space="preserve">Non core current assets</t>
  </si>
  <si>
    <t xml:space="preserve">Ratios : </t>
  </si>
  <si>
    <t xml:space="preserve">Book value (Rs)</t>
  </si>
  <si>
    <t xml:space="preserve">Book value adjusted (Rs)</t>
  </si>
  <si>
    <t xml:space="preserve">Debt / Equity (x)</t>
  </si>
  <si>
    <t xml:space="preserve">ADD THE CPLTD TO DEBT TO CALCULATE DEBT / EQUITY</t>
  </si>
  <si>
    <t xml:space="preserve">Financial leverage (x)</t>
  </si>
  <si>
    <t xml:space="preserve">Debt assets ratio (x)</t>
  </si>
  <si>
    <t xml:space="preserve">Debt gearing (x)</t>
  </si>
  <si>
    <t xml:space="preserve">Return on equity (x)</t>
  </si>
  <si>
    <t xml:space="preserve">Return on capital employed (x)</t>
  </si>
  <si>
    <t xml:space="preserve">Return on invested capital (x)</t>
  </si>
  <si>
    <t xml:space="preserve">Current ratio (x)</t>
  </si>
  <si>
    <t xml:space="preserve">Quick / Acid test (x)</t>
  </si>
  <si>
    <t xml:space="preserve">net current assets / Rs of sales (x)</t>
  </si>
  <si>
    <t xml:space="preserve">NWC  / Rs of sales (x)</t>
  </si>
  <si>
    <t xml:space="preserve">Increase in wc / Rs inc in sales (x) </t>
  </si>
  <si>
    <t xml:space="preserve">Increase in nwc / Rs inc in sales (x)</t>
  </si>
  <si>
    <t xml:space="preserve">Inventory turnover (x)</t>
  </si>
  <si>
    <t xml:space="preserve">Re do FY93</t>
  </si>
  <si>
    <t xml:space="preserve">Inventory (days)</t>
  </si>
  <si>
    <t xml:space="preserve">Fixed assets turnover (x) </t>
  </si>
  <si>
    <t xml:space="preserve">Total assets turnover (x)</t>
  </si>
  <si>
    <t xml:space="preserve">Finished goods / Sales (%)</t>
  </si>
  <si>
    <t xml:space="preserve">Finished goods inventories (days)</t>
  </si>
  <si>
    <t xml:space="preserve">Raw materials  (%)</t>
  </si>
  <si>
    <t xml:space="preserve">Raw materials (days)</t>
  </si>
  <si>
    <t xml:space="preserve">Receivables / sales (%)</t>
  </si>
  <si>
    <t xml:space="preserve">Collection period (days) </t>
  </si>
  <si>
    <t xml:space="preserve">Payables / purchase (%)</t>
  </si>
  <si>
    <t xml:space="preserve">Average credit received (days)</t>
  </si>
  <si>
    <t xml:space="preserve">Stores, spares &amp; tools inventory</t>
  </si>
  <si>
    <t xml:space="preserve">(% of consumption)</t>
  </si>
  <si>
    <t xml:space="preserve">Du Pont analysis of ROE</t>
  </si>
  <si>
    <t xml:space="preserve">Operating PBDIT / sales</t>
  </si>
  <si>
    <t xml:space="preserve">PBDIT / Operating PBDIT</t>
  </si>
  <si>
    <t xml:space="preserve">Pre tax profits / PBDIT</t>
  </si>
  <si>
    <t xml:space="preserve">Sales / Total income</t>
  </si>
  <si>
    <t xml:space="preserve">Total income / total assets</t>
  </si>
  <si>
    <t xml:space="preserve">Total assets / net worth</t>
  </si>
  <si>
    <t xml:space="preserve">Net profits / pre tax profits</t>
  </si>
  <si>
    <t xml:space="preserve">ROE (year end)</t>
  </si>
  <si>
    <t xml:space="preserve">ROE (average)</t>
  </si>
  <si>
    <t xml:space="preserve">Cash Flow statement</t>
  </si>
  <si>
    <t xml:space="preserve">Working Capital Movement</t>
  </si>
  <si>
    <t xml:space="preserve">Operational Cash Flow</t>
  </si>
  <si>
    <t xml:space="preserve">Interest Paid</t>
  </si>
  <si>
    <t xml:space="preserve">Dividends Paid</t>
  </si>
  <si>
    <t xml:space="preserve">Tax Paid</t>
  </si>
  <si>
    <t xml:space="preserve">Capital Expenditure</t>
  </si>
  <si>
    <t xml:space="preserve">Net Acquisitions/Disposals</t>
  </si>
  <si>
    <t xml:space="preserve">Exceptionals</t>
  </si>
  <si>
    <t xml:space="preserve">Share Issues</t>
  </si>
  <si>
    <t xml:space="preserve">Movement in Net Debt/Net Cash</t>
  </si>
  <si>
    <t xml:space="preserve">validation</t>
  </si>
  <si>
    <t xml:space="preserve">Cash Flow Statement</t>
  </si>
  <si>
    <t xml:space="preserve">Change in DTL</t>
  </si>
  <si>
    <t xml:space="preserve">Add: D&amp;A</t>
  </si>
  <si>
    <t xml:space="preserve">Miscellaneous expenditure written off</t>
  </si>
  <si>
    <t xml:space="preserve">Chg in Debtors</t>
  </si>
  <si>
    <t xml:space="preserve">Chg in Loans &amp; Advances</t>
  </si>
  <si>
    <t xml:space="preserve">Chg in other CA</t>
  </si>
  <si>
    <t xml:space="preserve">Chg in CL</t>
  </si>
  <si>
    <t xml:space="preserve">Chg in Provisions</t>
  </si>
  <si>
    <t xml:space="preserve">Change in Working Capital</t>
  </si>
  <si>
    <t xml:space="preserve">Cash Flow from Operations</t>
  </si>
  <si>
    <t xml:space="preserve">Capex</t>
  </si>
  <si>
    <t xml:space="preserve">Change in Investments/Assets including goodwill</t>
  </si>
  <si>
    <t xml:space="preserve">Cash Flow from Investing Activities</t>
  </si>
  <si>
    <t xml:space="preserve">Change in Debt</t>
  </si>
  <si>
    <t xml:space="preserve">Change in Equity</t>
  </si>
  <si>
    <t xml:space="preserve">Change in Reserves</t>
  </si>
  <si>
    <t xml:space="preserve">Dividend and Dividend Tax</t>
  </si>
  <si>
    <t xml:space="preserve">Change in long term loans and advances and other non current assets</t>
  </si>
  <si>
    <t xml:space="preserve">Change in other long term liabilities and long term provisions</t>
  </si>
  <si>
    <t xml:space="preserve">Cash Flow from Financing Activities</t>
  </si>
  <si>
    <t xml:space="preserve">Extraordinary Items + Tax Adjustments + others</t>
  </si>
  <si>
    <t xml:space="preserve">Increase/(Decrease) in Cash</t>
  </si>
  <si>
    <t xml:space="preserve">Opening Cash and Bank Balance </t>
  </si>
  <si>
    <t xml:space="preserve">Closing Cash and Bank Balance</t>
  </si>
  <si>
    <t xml:space="preserve">Closing cash (calculated)</t>
  </si>
  <si>
    <t xml:space="preserve">Reported PAT</t>
  </si>
  <si>
    <t xml:space="preserve">Ashok Leyland  (AL IN)  —  Quarterly model, Ind AS</t>
  </si>
  <si>
    <t xml:space="preserve">Note: Have used our Q database for volumes   |   Restructured: actuals, estimates and annual columns separated; blank rows removed; colour coding applied. No values changed — see README.</t>
  </si>
  <si>
    <t xml:space="preserve">QUARTERLY — ACTUALS (reported)</t>
  </si>
  <si>
    <t xml:space="preserve">QUARTERLY — BSe ESTIMATES</t>
  </si>
  <si>
    <t xml:space="preserve">ANNUAL</t>
  </si>
  <si>
    <t xml:space="preserve">WORKINGS / CHECKS</t>
  </si>
  <si>
    <t xml:space="preserve">Fiscal year</t>
  </si>
  <si>
    <t xml:space="preserve">FY16</t>
  </si>
  <si>
    <t xml:space="preserve">FY17</t>
  </si>
  <si>
    <t xml:space="preserve">FY18</t>
  </si>
  <si>
    <t xml:space="preserve">FY26E</t>
  </si>
  <si>
    <t xml:space="preserve">Period</t>
  </si>
  <si>
    <t xml:space="preserve">1Q</t>
  </si>
  <si>
    <t xml:space="preserve">2Q</t>
  </si>
  <si>
    <t xml:space="preserve">3Q</t>
  </si>
  <si>
    <t xml:space="preserve">4Q</t>
  </si>
  <si>
    <t xml:space="preserve">3Q rest.</t>
  </si>
  <si>
    <t xml:space="preserve">4Q rest.</t>
  </si>
  <si>
    <t xml:space="preserve">1Q rest.</t>
  </si>
  <si>
    <t xml:space="preserve">2Q rest.</t>
  </si>
  <si>
    <t xml:space="preserve">(CE)</t>
  </si>
  <si>
    <t xml:space="preserve">(CH)</t>
  </si>
  <si>
    <t xml:space="preserve">(CI)</t>
  </si>
  <si>
    <t xml:space="preserve">(CJ)</t>
  </si>
  <si>
    <t xml:space="preserve">(CK)</t>
  </si>
  <si>
    <t xml:space="preserve">Source column</t>
  </si>
  <si>
    <t xml:space="preserve">src B</t>
  </si>
  <si>
    <t xml:space="preserve">src C</t>
  </si>
  <si>
    <t xml:space="preserve">src D</t>
  </si>
  <si>
    <t xml:space="preserve">src E</t>
  </si>
  <si>
    <t xml:space="preserve">src G</t>
  </si>
  <si>
    <t xml:space="preserve">src H</t>
  </si>
  <si>
    <t xml:space="preserve">src I</t>
  </si>
  <si>
    <t xml:space="preserve">src J</t>
  </si>
  <si>
    <t xml:space="preserve">src L</t>
  </si>
  <si>
    <t xml:space="preserve">src M</t>
  </si>
  <si>
    <t xml:space="preserve">src N</t>
  </si>
  <si>
    <t xml:space="preserve">src O</t>
  </si>
  <si>
    <t xml:space="preserve">src P</t>
  </si>
  <si>
    <t xml:space="preserve">src Q</t>
  </si>
  <si>
    <t xml:space="preserve">src R</t>
  </si>
  <si>
    <t xml:space="preserve">src S</t>
  </si>
  <si>
    <t xml:space="preserve">src T</t>
  </si>
  <si>
    <t xml:space="preserve">src U</t>
  </si>
  <si>
    <t xml:space="preserve">src V</t>
  </si>
  <si>
    <t xml:space="preserve">src X</t>
  </si>
  <si>
    <t xml:space="preserve">src Z</t>
  </si>
  <si>
    <t xml:space="preserve">src AB</t>
  </si>
  <si>
    <t xml:space="preserve">src AD</t>
  </si>
  <si>
    <t xml:space="preserve">src AF</t>
  </si>
  <si>
    <t xml:space="preserve">src AH</t>
  </si>
  <si>
    <t xml:space="preserve">src AJ</t>
  </si>
  <si>
    <t xml:space="preserve">src AL</t>
  </si>
  <si>
    <t xml:space="preserve">src AN</t>
  </si>
  <si>
    <t xml:space="preserve">src AP</t>
  </si>
  <si>
    <t xml:space="preserve">src AR</t>
  </si>
  <si>
    <t xml:space="preserve">src AT</t>
  </si>
  <si>
    <t xml:space="preserve">src AV</t>
  </si>
  <si>
    <t xml:space="preserve">src AX</t>
  </si>
  <si>
    <t xml:space="preserve">src AZ</t>
  </si>
  <si>
    <t xml:space="preserve">src BB</t>
  </si>
  <si>
    <t xml:space="preserve">src BD</t>
  </si>
  <si>
    <t xml:space="preserve">src BF</t>
  </si>
  <si>
    <t xml:space="preserve">src BH</t>
  </si>
  <si>
    <t xml:space="preserve">src BJ</t>
  </si>
  <si>
    <t xml:space="preserve">src BL</t>
  </si>
  <si>
    <t xml:space="preserve">src BN</t>
  </si>
  <si>
    <t xml:space="preserve">src BP</t>
  </si>
  <si>
    <t xml:space="preserve">src BR</t>
  </si>
  <si>
    <t xml:space="preserve">src BT</t>
  </si>
  <si>
    <t xml:space="preserve">src BV</t>
  </si>
  <si>
    <t xml:space="preserve">src BX</t>
  </si>
  <si>
    <t xml:space="preserve">src BZ</t>
  </si>
  <si>
    <t xml:space="preserve">src CB</t>
  </si>
  <si>
    <t xml:space="preserve">src CD</t>
  </si>
  <si>
    <t xml:space="preserve">src W</t>
  </si>
  <si>
    <t xml:space="preserve">src Y</t>
  </si>
  <si>
    <t xml:space="preserve">src AA</t>
  </si>
  <si>
    <t xml:space="preserve">src AC</t>
  </si>
  <si>
    <t xml:space="preserve">src AE</t>
  </si>
  <si>
    <t xml:space="preserve">src AG</t>
  </si>
  <si>
    <t xml:space="preserve">src AI</t>
  </si>
  <si>
    <t xml:space="preserve">src AK</t>
  </si>
  <si>
    <t xml:space="preserve">src AM</t>
  </si>
  <si>
    <t xml:space="preserve">src AO</t>
  </si>
  <si>
    <t xml:space="preserve">src AQ</t>
  </si>
  <si>
    <t xml:space="preserve">src AS</t>
  </si>
  <si>
    <t xml:space="preserve">src AU</t>
  </si>
  <si>
    <t xml:space="preserve">src AW</t>
  </si>
  <si>
    <t xml:space="preserve">src AY</t>
  </si>
  <si>
    <t xml:space="preserve">src BA</t>
  </si>
  <si>
    <t xml:space="preserve">src BC</t>
  </si>
  <si>
    <t xml:space="preserve">src BE</t>
  </si>
  <si>
    <t xml:space="preserve">src BG</t>
  </si>
  <si>
    <t xml:space="preserve">src BI</t>
  </si>
  <si>
    <t xml:space="preserve">src BK</t>
  </si>
  <si>
    <t xml:space="preserve">src BM</t>
  </si>
  <si>
    <t xml:space="preserve">src BO</t>
  </si>
  <si>
    <t xml:space="preserve">src BQ</t>
  </si>
  <si>
    <t xml:space="preserve">src BS</t>
  </si>
  <si>
    <t xml:space="preserve">src BU</t>
  </si>
  <si>
    <t xml:space="preserve">src BW</t>
  </si>
  <si>
    <t xml:space="preserve">src BY</t>
  </si>
  <si>
    <t xml:space="preserve">src CA</t>
  </si>
  <si>
    <t xml:space="preserve">src CC</t>
  </si>
  <si>
    <t xml:space="preserve">src F</t>
  </si>
  <si>
    <t xml:space="preserve">src K</t>
  </si>
  <si>
    <t xml:space="preserve">src CG</t>
  </si>
  <si>
    <t xml:space="preserve">src CE</t>
  </si>
  <si>
    <t xml:space="preserve">src CF</t>
  </si>
  <si>
    <t xml:space="preserve">src CH</t>
  </si>
  <si>
    <t xml:space="preserve">src CI</t>
  </si>
  <si>
    <t xml:space="preserve">src CJ</t>
  </si>
  <si>
    <t xml:space="preserve">src CK</t>
  </si>
  <si>
    <t xml:space="preserve">VOLUMES (Nos.)</t>
  </si>
  <si>
    <t xml:space="preserve">Total CVs</t>
  </si>
  <si>
    <t xml:space="preserve">MIX &amp; GROWTH RATIOS</t>
  </si>
  <si>
    <t xml:space="preserve">Product mix (%)</t>
  </si>
  <si>
    <t xml:space="preserve">LCVs and others</t>
  </si>
  <si>
    <t xml:space="preserve">Volumes (Nos.)</t>
  </si>
  <si>
    <t xml:space="preserve">REVENUE BUILD</t>
  </si>
  <si>
    <t xml:space="preserve">Engine Sales (Rs m)</t>
  </si>
  <si>
    <t xml:space="preserve">Spare parts+Kits (Rs m)</t>
  </si>
  <si>
    <t xml:space="preserve">Defence (kits) </t>
  </si>
  <si>
    <t xml:space="preserve">Discounts</t>
  </si>
  <si>
    <t xml:space="preserve">Average Realisations (Rs m)</t>
  </si>
  <si>
    <t xml:space="preserve">(INR m)</t>
  </si>
  <si>
    <t xml:space="preserve">INCOME STATEMENT (INR m)</t>
  </si>
  <si>
    <t xml:space="preserve">Gross Sales</t>
  </si>
  <si>
    <t xml:space="preserve">Less: Excise duty</t>
  </si>
  <si>
    <t xml:space="preserve">Decrease/(Increase) in Stocks</t>
  </si>
  <si>
    <t xml:space="preserve">Raw Materials</t>
  </si>
  <si>
    <t xml:space="preserve">Staff costs</t>
  </si>
  <si>
    <t xml:space="preserve">Other Expenses</t>
  </si>
  <si>
    <t xml:space="preserve">Provision for contingencies</t>
  </si>
  <si>
    <t xml:space="preserve">Total Expenditure </t>
  </si>
  <si>
    <t xml:space="preserve">Forex gain / (losses)</t>
  </si>
  <si>
    <t xml:space="preserve">Depreciation &amp; Amortization</t>
  </si>
  <si>
    <t xml:space="preserve">Exceptional income</t>
  </si>
  <si>
    <t xml:space="preserve">Exceptional expenditure</t>
  </si>
  <si>
    <t xml:space="preserve">PAT (pre exceptionals)</t>
  </si>
  <si>
    <t xml:space="preserve">Total reported comprehensive income</t>
  </si>
  <si>
    <t xml:space="preserve">DERIVED P&amp;L LINES</t>
  </si>
  <si>
    <t xml:space="preserve">EBIT (ex other income)</t>
  </si>
  <si>
    <t xml:space="preserve">PROFIT MARGINS</t>
  </si>
  <si>
    <t xml:space="preserve">EBITDA (%) net sales</t>
  </si>
  <si>
    <t xml:space="preserve">Interest cover (x)</t>
  </si>
  <si>
    <t xml:space="preserve">Net profit margins (%) Net Sales</t>
  </si>
  <si>
    <t xml:space="preserve">COST RATIOS</t>
  </si>
  <si>
    <t xml:space="preserve">Cost ratios</t>
  </si>
  <si>
    <t xml:space="preserve">Raw materials / sales</t>
  </si>
  <si>
    <t xml:space="preserve">Staff costs / sales</t>
  </si>
  <si>
    <t xml:space="preserve">Other expenses / sales</t>
  </si>
  <si>
    <t xml:space="preserve">PER SHARE</t>
  </si>
  <si>
    <t xml:space="preserve">EPS (Rs) reported PAT</t>
  </si>
  <si>
    <t xml:space="preserve">PER VEHICLE (INR)</t>
  </si>
  <si>
    <t xml:space="preserve">Average Realizations</t>
  </si>
  <si>
    <t xml:space="preserve">Material Cost / Vehicle</t>
  </si>
  <si>
    <t xml:space="preserve">Gross Contribution / Vehicle</t>
  </si>
  <si>
    <t xml:space="preserve">EBITDA / Vehicle</t>
  </si>
  <si>
    <t xml:space="preserve">BALANCE SHEET ITEMS (INR m)</t>
  </si>
  <si>
    <t xml:space="preserve">Investment in Optare/Switch</t>
  </si>
  <si>
    <t xml:space="preserve">RESULT vs BSe — COMMENTARY</t>
  </si>
  <si>
    <t xml:space="preserve">2% ahead </t>
  </si>
  <si>
    <t xml:space="preserve">1% ahead</t>
  </si>
  <si>
    <t xml:space="preserve">5% ahead</t>
  </si>
  <si>
    <t xml:space="preserve">4% ahead</t>
  </si>
  <si>
    <t xml:space="preserve">2% behind </t>
  </si>
  <si>
    <t xml:space="preserve">4.8% ahead</t>
  </si>
  <si>
    <t xml:space="preserve">7.9% behind</t>
  </si>
  <si>
    <t xml:space="preserve">2.5% ahead</t>
  </si>
  <si>
    <t xml:space="preserve">17.2% behind</t>
  </si>
  <si>
    <t xml:space="preserve">1.6% behind</t>
  </si>
  <si>
    <t xml:space="preserve">17% ahead</t>
  </si>
  <si>
    <t xml:space="preserve">2% ahead</t>
  </si>
  <si>
    <t xml:space="preserve">30 bps ahead</t>
  </si>
  <si>
    <t xml:space="preserve">90 bps behind</t>
  </si>
  <si>
    <t xml:space="preserve">10 bps ahead</t>
  </si>
  <si>
    <t xml:space="preserve">190 bps behind</t>
  </si>
  <si>
    <t xml:space="preserve">25 bps behind</t>
  </si>
  <si>
    <t xml:space="preserve">120 bps ahead</t>
  </si>
  <si>
    <t xml:space="preserve">44 bps ahead</t>
  </si>
  <si>
    <t xml:space="preserve">3.6% ahead</t>
  </si>
  <si>
    <t xml:space="preserve">13.3% behind</t>
  </si>
  <si>
    <t xml:space="preserve">27.1% ahead</t>
  </si>
  <si>
    <t xml:space="preserve">28.6% behind</t>
  </si>
  <si>
    <t xml:space="preserve">2.3% behind </t>
  </si>
  <si>
    <t xml:space="preserve">19.3% ahead</t>
  </si>
  <si>
    <t xml:space="preserve">9.5%  ahead</t>
  </si>
  <si>
    <t xml:space="preserve">100 bps lower </t>
  </si>
  <si>
    <t xml:space="preserve">325bps higher</t>
  </si>
  <si>
    <t xml:space="preserve">Vitiated by impairments, tax write backs</t>
  </si>
  <si>
    <t xml:space="preserve">250 bps lower </t>
  </si>
  <si>
    <t xml:space="preserve">170bps higher</t>
  </si>
  <si>
    <t xml:space="preserve">160bps higher</t>
  </si>
  <si>
    <t xml:space="preserve">280bps lower</t>
  </si>
  <si>
    <t xml:space="preserve">SEGMENT MIX — GOODS CVs, DOMESTIC (Nos.)</t>
  </si>
  <si>
    <t xml:space="preserve">7.5-12 MT</t>
  </si>
  <si>
    <t xml:space="preserve">12-16.2 MT</t>
  </si>
  <si>
    <t xml:space="preserve">16.2-25 MT</t>
  </si>
  <si>
    <t xml:space="preserve">&gt; 25 MT</t>
  </si>
  <si>
    <t xml:space="preserve">26.4-35.2 TT</t>
  </si>
  <si>
    <t xml:space="preserve">&gt;35.2 TT</t>
  </si>
  <si>
    <t xml:space="preserve">SEGMENT MIX — GOODS CVs, DOMESTIC (%)</t>
  </si>
  <si>
    <t xml:space="preserve">ORPHAN CALC ROWS — unlabelled in source, preserved</t>
  </si>
  <si>
    <t xml:space="preserve">PARKING LOT — blank template rows retained from source</t>
  </si>
  <si>
    <t xml:space="preserve">Pax (domestic)</t>
  </si>
  <si>
    <t xml:space="preserve">7.5-12</t>
  </si>
  <si>
    <t xml:space="preserve">12-16.2</t>
  </si>
  <si>
    <t xml:space="preserve">%</t>
  </si>
  <si>
    <t xml:space="preserve">Industry vols in domestic goods</t>
  </si>
  <si>
    <t xml:space="preserve">ALL mkt sh</t>
  </si>
  <si>
    <t xml:space="preserve">Ashok Leyland</t>
  </si>
  <si>
    <t xml:space="preserve">1QFY07</t>
  </si>
  <si>
    <t xml:space="preserve">2QFY07</t>
  </si>
  <si>
    <t xml:space="preserve">3QFY07</t>
  </si>
  <si>
    <t xml:space="preserve">4QFY07</t>
  </si>
  <si>
    <t xml:space="preserve">1QFY08</t>
  </si>
  <si>
    <t xml:space="preserve">2QFY08</t>
  </si>
  <si>
    <t xml:space="preserve">3QFY08</t>
  </si>
  <si>
    <t xml:space="preserve">4QFY08</t>
  </si>
  <si>
    <t xml:space="preserve">1QFY09</t>
  </si>
  <si>
    <t xml:space="preserve">2QFY09</t>
  </si>
  <si>
    <t xml:space="preserve">3QFY09</t>
  </si>
  <si>
    <t xml:space="preserve">4QFY09</t>
  </si>
  <si>
    <t xml:space="preserve">1QFY10</t>
  </si>
  <si>
    <t xml:space="preserve">2QFY10</t>
  </si>
  <si>
    <t xml:space="preserve">3QFY10</t>
  </si>
  <si>
    <t xml:space="preserve">4QFY10A</t>
  </si>
  <si>
    <t xml:space="preserve">1QFY11A</t>
  </si>
  <si>
    <t xml:space="preserve">2QFY11A</t>
  </si>
  <si>
    <t xml:space="preserve">3QFY11A</t>
  </si>
  <si>
    <t xml:space="preserve">4QFY11A</t>
  </si>
  <si>
    <t xml:space="preserve">FY11</t>
  </si>
  <si>
    <t xml:space="preserve">1QFY12A</t>
  </si>
  <si>
    <t xml:space="preserve">2QFY12A</t>
  </si>
  <si>
    <t xml:space="preserve">3QFY12A</t>
  </si>
  <si>
    <t xml:space="preserve">4QFY12A</t>
  </si>
  <si>
    <t xml:space="preserve">1QFY13A</t>
  </si>
  <si>
    <t xml:space="preserve">2QFY13A</t>
  </si>
  <si>
    <t xml:space="preserve">3QFY13A</t>
  </si>
  <si>
    <t xml:space="preserve">4QFY13A</t>
  </si>
  <si>
    <t xml:space="preserve">1QFY14A</t>
  </si>
  <si>
    <t xml:space="preserve">2QFY14A</t>
  </si>
  <si>
    <t xml:space="preserve">3QFY14A</t>
  </si>
  <si>
    <t xml:space="preserve">4QFY14A</t>
  </si>
  <si>
    <t xml:space="preserve">1QFY15A</t>
  </si>
  <si>
    <t xml:space="preserve">2QFY15A</t>
  </si>
  <si>
    <t xml:space="preserve">3QFY15A</t>
  </si>
  <si>
    <t xml:space="preserve">4QFY15A</t>
  </si>
  <si>
    <t xml:space="preserve">FY15</t>
  </si>
  <si>
    <t xml:space="preserve">1QFY16A</t>
  </si>
  <si>
    <t xml:space="preserve">2QFY16A</t>
  </si>
  <si>
    <t xml:space="preserve">3QFY16E</t>
  </si>
  <si>
    <t xml:space="preserve">3QFY16A</t>
  </si>
  <si>
    <t xml:space="preserve">4QFY16E</t>
  </si>
  <si>
    <t xml:space="preserve">4QFY16A</t>
  </si>
  <si>
    <t xml:space="preserve">1QFY17E</t>
  </si>
  <si>
    <t xml:space="preserve">Note: Have used our Q database for volumes </t>
  </si>
  <si>
    <t xml:space="preserve">Forex</t>
  </si>
  <si>
    <t xml:space="preserve">EBITDA (%)</t>
  </si>
  <si>
    <t xml:space="preserve">EBIT (%)</t>
  </si>
  <si>
    <t xml:space="preserve">Excise / sales</t>
  </si>
  <si>
    <t xml:space="preserve">1) Why interest cost has increased? Debt repayment schedule?</t>
  </si>
  <si>
    <t xml:space="preserve">To understand mix shift better</t>
  </si>
  <si>
    <t xml:space="preserve">Goods CVs (domestic)</t>
  </si>
  <si>
    <t xml:space="preserve">E6XYB6412478</t>
  </si>
  <si>
    <t xml:space="preserve">From Company Annual Report</t>
  </si>
  <si>
    <t xml:space="preserve">From Citi model</t>
  </si>
  <si>
    <t xml:space="preserve">Estimates</t>
  </si>
  <si>
    <t xml:space="preserve">Terminal</t>
  </si>
  <si>
    <t xml:space="preserve">FY14</t>
  </si>
  <si>
    <t xml:space="preserve">FY29</t>
  </si>
  <si>
    <t xml:space="preserve">FY30</t>
  </si>
  <si>
    <t xml:space="preserve">Margin</t>
  </si>
  <si>
    <t xml:space="preserve">Less tax</t>
  </si>
  <si>
    <t xml:space="preserve">(inc)/dec in working capital</t>
  </si>
  <si>
    <t xml:space="preserve">CFO</t>
  </si>
  <si>
    <t xml:space="preserve">Capex (purchase of tangible and intangible assets, netted)</t>
  </si>
  <si>
    <t xml:space="preserve">FCF</t>
  </si>
  <si>
    <t xml:space="preserve">t=</t>
  </si>
  <si>
    <t xml:space="preserve">Discount rate</t>
  </si>
  <si>
    <t xml:space="preserve">PV of CF</t>
  </si>
  <si>
    <t xml:space="preserve">WACC</t>
  </si>
  <si>
    <t xml:space="preserve">Terminal growth rate</t>
  </si>
  <si>
    <t xml:space="preserve">Terminal multiple</t>
  </si>
  <si>
    <t xml:space="preserve">NPV of terminal value</t>
  </si>
  <si>
    <t xml:space="preserve">NPV of cash flows</t>
  </si>
  <si>
    <t xml:space="preserve">Enterprise value</t>
  </si>
  <si>
    <t xml:space="preserve">Less: Net debt/(net cash)</t>
  </si>
  <si>
    <t xml:space="preserve">Equity value</t>
  </si>
  <si>
    <t xml:space="preserve">No of shares</t>
  </si>
  <si>
    <t xml:space="preserve">Value per share (Rs)</t>
  </si>
  <si>
    <t xml:space="preserve">Weighted Average Cost of Capital (%)</t>
  </si>
  <si>
    <t xml:space="preserve">Rf</t>
  </si>
  <si>
    <t xml:space="preserve">MRP</t>
  </si>
  <si>
    <t xml:space="preserve">Beta (Equity)</t>
  </si>
  <si>
    <t xml:space="preserve">Cost of Equity</t>
  </si>
  <si>
    <t xml:space="preserve">Cost of Debt</t>
  </si>
  <si>
    <t xml:space="preserve">Tax Rate </t>
  </si>
  <si>
    <t xml:space="preserve">After-Tax Cost of Debt</t>
  </si>
  <si>
    <t xml:space="preserve">Debt/EV</t>
  </si>
  <si>
    <t xml:space="preserve">Equity/EV</t>
  </si>
  <si>
    <t xml:space="preserve">Ashok Leyland Ltd</t>
  </si>
  <si>
    <t xml:space="preserve">Why the poor ROE and ROCE - ALL does not cover its cost of capital and is a shareholder value destroyer ?</t>
  </si>
  <si>
    <t xml:space="preserve">Is this because of lack of economies fo scale due to multiple locations and small capacities or has capacity been set up at very high costs !</t>
  </si>
  <si>
    <t xml:space="preserve">What steps to change this ? any internal targets ?</t>
  </si>
  <si>
    <t xml:space="preserve">66% of reserves from share premium - even the book value is built up on shareholders inflows </t>
  </si>
  <si>
    <t xml:space="preserve">Debenture repayment schedule</t>
  </si>
  <si>
    <t xml:space="preserve">9A</t>
  </si>
  <si>
    <t xml:space="preserve">Sale of stake in Indus Ind</t>
  </si>
  <si>
    <t xml:space="preserve">Book value / SH</t>
  </si>
  <si>
    <t xml:space="preserve">Total shares (mn)</t>
  </si>
  <si>
    <t xml:space="preserve">Total shares o/s (I Ind) mn</t>
  </si>
  <si>
    <t xml:space="preserve">Max stake ALL can hold</t>
  </si>
  <si>
    <t xml:space="preserve">shares to be sold</t>
  </si>
  <si>
    <t xml:space="preserve">share actually sold</t>
  </si>
  <si>
    <t xml:space="preserve">avg sale price / sh</t>
  </si>
  <si>
    <t xml:space="preserve">profit / sh </t>
  </si>
  <si>
    <t xml:space="preserve">gain on sale</t>
  </si>
  <si>
    <t xml:space="preserve">further shares to be sold</t>
  </si>
  <si>
    <t xml:space="preserve">book vale of residual stake (mn)</t>
  </si>
  <si>
    <t xml:space="preserve">average realisations up by almost 6.6% because of more MAVs sold</t>
  </si>
  <si>
    <t xml:space="preserve">total FCCNs of USD 1000 each</t>
  </si>
  <si>
    <t xml:space="preserve">NEW: </t>
  </si>
  <si>
    <t xml:space="preserve">Conversion at Rs31 / sh</t>
  </si>
  <si>
    <t xml:space="preserve">each FCCN is</t>
  </si>
  <si>
    <t xml:space="preserve">shares of Rs10 each</t>
  </si>
  <si>
    <t xml:space="preserve">m shares additional</t>
  </si>
  <si>
    <t xml:space="preserve">which is</t>
  </si>
  <si>
    <t xml:space="preserve">shares of Rs1 each</t>
  </si>
  <si>
    <t xml:space="preserve">into 100,000 notes</t>
  </si>
  <si>
    <t xml:space="preserve">total shares</t>
  </si>
  <si>
    <t xml:space="preserve">share premium</t>
  </si>
  <si>
    <t xml:space="preserve">or</t>
  </si>
  <si>
    <t xml:space="preserve">mn shares</t>
  </si>
  <si>
    <t xml:space="preserve">MKT SHARE</t>
  </si>
  <si>
    <t xml:space="preserve">FY06 sales expectations</t>
  </si>
  <si>
    <t xml:space="preserve">FY05</t>
  </si>
  <si>
    <t xml:space="preserve">FY06</t>
  </si>
  <si>
    <t xml:space="preserve">YOY GR (%)</t>
  </si>
  <si>
    <t xml:space="preserve">YTD</t>
  </si>
  <si>
    <t xml:space="preserve">fy05</t>
  </si>
  <si>
    <t xml:space="preserve">fY06ytd</t>
  </si>
  <si>
    <t xml:space="preserve">Total </t>
  </si>
  <si>
    <t xml:space="preserve">domestic</t>
  </si>
  <si>
    <t xml:space="preserve">exports</t>
  </si>
  <si>
    <t xml:space="preserve">Total mkt</t>
  </si>
  <si>
    <t xml:space="preserve">apr - June 05</t>
  </si>
  <si>
    <t xml:space="preserve">growth YTD</t>
  </si>
  <si>
    <t xml:space="preserve">rest of year</t>
  </si>
  <si>
    <t xml:space="preserve">growth rest of year</t>
  </si>
  <si>
    <t xml:space="preserve">MHCV</t>
  </si>
  <si>
    <t xml:space="preserve">TAMO</t>
  </si>
  <si>
    <t xml:space="preserve">ALL</t>
  </si>
  <si>
    <t xml:space="preserve">Eicher</t>
  </si>
  <si>
    <t xml:space="preserve">Tatra </t>
  </si>
  <si>
    <t xml:space="preserve">Volvo</t>
  </si>
  <si>
    <t xml:space="preserve">swaraj</t>
  </si>
  <si>
    <t xml:space="preserve">Hind Motors</t>
  </si>
  <si>
    <t xml:space="preserve">Mkt sh</t>
  </si>
  <si>
    <t xml:space="preserve">From the ALL FY06 presentation</t>
  </si>
  <si>
    <t xml:space="preserve">Segment</t>
  </si>
  <si>
    <t xml:space="preserve">2003-04</t>
  </si>
  <si>
    <t xml:space="preserve">2004-05</t>
  </si>
  <si>
    <t xml:space="preserve">2005-06</t>
  </si>
  <si>
    <t xml:space="preserve">TIV</t>
  </si>
  <si>
    <t xml:space="preserve">AL</t>
  </si>
  <si>
    <t xml:space="preserve">MS %</t>
  </si>
  <si>
    <t xml:space="preserve">Haulage</t>
  </si>
  <si>
    <t xml:space="preserve">MAV</t>
  </si>
  <si>
    <t xml:space="preserve">Tractor</t>
  </si>
  <si>
    <t xml:space="preserve">Tipper</t>
  </si>
  <si>
    <t xml:space="preserve">Goods</t>
  </si>
  <si>
    <t xml:space="preserve">Pass Pvt</t>
  </si>
  <si>
    <t xml:space="preserve">Pass STU</t>
  </si>
  <si>
    <t xml:space="preserve">Pass Total</t>
  </si>
  <si>
    <t xml:space="preserve">MDV</t>
  </si>
  <si>
    <t xml:space="preserve">New product launches</t>
  </si>
  <si>
    <t xml:space="preserve">•ICV - 1512 with  H Series engine </t>
  </si>
  <si>
    <t xml:space="preserve">•Semi Forward Control in Tipper and Haulage segments </t>
  </si>
  <si>
    <t xml:space="preserve">•Tractor range - 6x2 / 6x4 with 210-350 hp engine and GTW up to 49T </t>
  </si>
  <si>
    <t xml:space="preserve">•Tipper 8x4 with 350 hp engine </t>
  </si>
  <si>
    <t xml:space="preserve">•InterCentury Luxura bus </t>
  </si>
  <si>
    <t xml:space="preserve">•Branded Buses </t>
  </si>
  <si>
    <t xml:space="preserve">•Defence sector - HMV and other logistics vehicles </t>
  </si>
  <si>
    <t xml:space="preserve">Efficiency improvements</t>
  </si>
  <si>
    <t xml:space="preserve">•Material cost reduction </t>
  </si>
  <si>
    <t xml:space="preserve">–Emphasis on e-sourcing and global sourcing to play a beneficial role   </t>
  </si>
  <si>
    <t xml:space="preserve">–Continued focus on value engineering initiatives to improve margins in all existing / new products </t>
  </si>
  <si>
    <t xml:space="preserve">•Mission Gemba </t>
  </si>
  <si>
    <t xml:space="preserve">–Shop floor-led team initiative with focus on creating value through empowerment and improving resource utilisation </t>
  </si>
  <si>
    <t xml:space="preserve">tgt 300 bps improvement in 2 yrs</t>
  </si>
  <si>
    <t xml:space="preserve">MDV Passenger</t>
  </si>
  <si>
    <t xml:space="preserve">Sales Domestic </t>
  </si>
  <si>
    <t xml:space="preserve">Sales Exports </t>
  </si>
  <si>
    <t xml:space="preserve">MDV Goods</t>
  </si>
  <si>
    <t xml:space="preserve">YTD growth </t>
  </si>
  <si>
    <t xml:space="preserve">computations for fy07 - mdv goods domestic </t>
  </si>
  <si>
    <t xml:space="preserve">rest of fy06 (aug - mar) </t>
  </si>
  <si>
    <t xml:space="preserve">LCV</t>
  </si>
  <si>
    <t xml:space="preserve">rest of fy07</t>
  </si>
  <si>
    <t xml:space="preserve">rest of the year it is -3% growth in HCVs - on my assumption</t>
  </si>
  <si>
    <t xml:space="preserve">Sales Exports</t>
  </si>
  <si>
    <t xml:space="preserve">5299 is the addition that will take the overall vehicle sales to 75k </t>
  </si>
  <si>
    <t xml:space="preserve">on that new basis, rest of the fiscal growth is </t>
  </si>
  <si>
    <t xml:space="preserve">total estimated for fy07</t>
  </si>
  <si>
    <t xml:space="preserve">mthly average for rest of fiscal 2007</t>
  </si>
  <si>
    <t xml:space="preserve">to do for ALL / queries </t>
  </si>
  <si>
    <t xml:space="preserve">1 - library - get all the recent reports </t>
  </si>
  <si>
    <t xml:space="preserve">2 - what is the outlook for vols - 75k or more - if u do say 82k, then what is the outlook for fy08</t>
  </si>
  <si>
    <t xml:space="preserve">3 - when will euro 4 be implemented? </t>
  </si>
  <si>
    <t xml:space="preserve">4 - cost of conversion to euro 4?</t>
  </si>
  <si>
    <t xml:space="preserve">5 - overloading ban - whats the scenario as of now - am hearing that overloading is back</t>
  </si>
  <si>
    <t xml:space="preserve">6 - mats cost schedule - why did plates, sheets and angles suddenly double in quantum terms? Any reclassification in accounts?</t>
  </si>
  <si>
    <t xml:space="preserve">7 - why did s&amp;d go up so much?</t>
  </si>
  <si>
    <t xml:space="preserve">8 - outlook for mats costs in fy07?</t>
  </si>
  <si>
    <t xml:space="preserve">9 - where do u see margins in FY07? Flat or declining?</t>
  </si>
  <si>
    <t xml:space="preserve">10 - any price increases this yr for vehicles? </t>
  </si>
  <si>
    <t xml:space="preserve">11 - engines - read that vols are going to be doubled this fiscal? YTD engine sales?</t>
  </si>
  <si>
    <t xml:space="preserve">12 - how is the spares business going?</t>
  </si>
  <si>
    <t xml:space="preserve">13 - chk rubber prices from Infac</t>
  </si>
  <si>
    <t xml:space="preserve">14 - how much still left in Indus ind bank?</t>
  </si>
  <si>
    <t xml:space="preserve">15 - this spares business of ALL (component sourcing) - will they meet tgts in fy07-09? Margins on this biz?</t>
  </si>
  <si>
    <t xml:space="preserve">16 - when is the FCCB / GDR happening?</t>
  </si>
  <si>
    <t xml:space="preserve">17 - any wage settlements this yr?</t>
  </si>
  <si>
    <t xml:space="preserve">18 - buses - why the dramatic decline in dd thus far in FY07? Some dislocation?</t>
  </si>
  <si>
    <t xml:space="preserve">notes:</t>
  </si>
  <si>
    <t xml:space="preserve">Total R&amp;D as % of total turnover = 1.7%</t>
  </si>
  <si>
    <t xml:space="preserve">forex earnings (FOB value for vehicles, engines etc) = Rs4.513bn</t>
  </si>
  <si>
    <t xml:space="preserve">forex imports = 1.457bn INR</t>
  </si>
  <si>
    <t xml:space="preserve">dividend of Rs1.2 / sh (payout compute) </t>
  </si>
  <si>
    <t xml:space="preserve">Employees = 11845 (slight reduction over FY05) </t>
  </si>
  <si>
    <t xml:space="preserve">Seshasayee on till 2009</t>
  </si>
  <si>
    <t xml:space="preserve">Both GDRs and FCCNs are listed on the London Stock Exchange</t>
  </si>
  <si>
    <t xml:space="preserve">overlaoding ban will warrant significant changes in vehicle design to enhance productivity</t>
  </si>
  <si>
    <t xml:space="preserve">another significant development is the demand for the introduction of low floor city buses, which is expected to playa major role in defining urnam transportation in India.</t>
  </si>
  <si>
    <t xml:space="preserve">capacity = 77,200 units</t>
  </si>
  <si>
    <t xml:space="preserve">water bowsers for the Indian army - probably 600 will be sold in FY07</t>
  </si>
  <si>
    <t xml:space="preserve">components business - include in spares - take 45cr in FY07 (as per mgmt guidance in the PR) - for fy08, take $25m, for FY09 take $50m</t>
  </si>
  <si>
    <t xml:space="preserve">product launches in FY07 </t>
  </si>
  <si>
    <t xml:space="preserve">Newgen cab</t>
  </si>
  <si>
    <t xml:space="preserve">260hp rear engine InterCentury Luxura coach</t>
  </si>
  <si>
    <t xml:space="preserve">&gt;300hp tipper and tractor</t>
  </si>
  <si>
    <t xml:space="preserve">exports of 4879 units in fy06 - up 22% excluding the one - off impact </t>
  </si>
  <si>
    <t xml:space="preserve">exports were 8% of sales in FY06 - tgts 10% in next few yrs</t>
  </si>
  <si>
    <t xml:space="preserve">7261 engines in FY06 - tgting export mkts for these now</t>
  </si>
  <si>
    <t xml:space="preserve">spare parts up 44% - CKD kits to Indian army</t>
  </si>
  <si>
    <t xml:space="preserve">capacity of 100k units by FY08</t>
  </si>
  <si>
    <t xml:space="preserve">STEEL</t>
  </si>
  <si>
    <t xml:space="preserve">Long term elongated cycle - will be periods of excesive volatility - but primarily for commercial grade steel - </t>
  </si>
  <si>
    <t xml:space="preserve">But for auto grade steel - contractual - discounting with downward bias till March or so - post that, global steel moves up - unless major slow down globally - </t>
  </si>
  <si>
    <t xml:space="preserve">Steel - prices will be volatile with a </t>
  </si>
  <si>
    <t xml:space="preserve">BUT- Japanese steel majors have upped earnings estimates - got price hikes for body sheets - 5% hike </t>
  </si>
  <si>
    <t xml:space="preserve">ALUMINUM</t>
  </si>
  <si>
    <t xml:space="preserve">Will remain strong - no roll back on that either - </t>
  </si>
  <si>
    <t xml:space="preserve">Hino to source engine components from Ashok Leyland</t>
  </si>
  <si>
    <t xml:space="preserve">Saturday, 05 August , 2006, 08:27</t>
  </si>
  <si>
    <t xml:space="preserve">Chennai: A team from Hino Motors, Japan, will be here in about a week to finalise a sourcing deal with Ashok Leyland. When the deal happens, it will mark the first step of Ashok Leyland's fledgling auto components group into the Japanese market.</t>
  </si>
  <si>
    <t xml:space="preserve">Hino could be buying a number of auto components from Ashok Leyland, from engine blocks to smaller components such as water pumps, S. Nagarajan, Executive Director, Ashok Leyland, told Business Line on Friday.</t>
  </si>
  <si>
    <t xml:space="preserve">He said Hino was stopping production of some models of engines, but there was a demand for spares for those engines from South East Asia, West Asia and Africa. "It is a big market," Nagarajan said, adding that he was confident of getting a big chunk of the business.</t>
  </si>
  <si>
    <t xml:space="preserve">Hino and Ashok Leyland have been partners for a long time. A number of Ashok Leyland's trucks are fitted with Hino engines - produced by Ashok Leyland under a technology licence from Hino. Only in 2003 did the two companies formalise a tie-up for transfer of technology for high-powered (J series) engines.</t>
  </si>
  <si>
    <t xml:space="preserve">Hence Ashok Leyland is well experienced in manufacturing Hino engines. Producing (or sourcing) components for the engines is therefore not a big deal for the truck manufacturer.</t>
  </si>
  <si>
    <t xml:space="preserve">The auto components group is in its first year of operations. The division was set up with a mandate to grow a components business making use of the manufacturing and vendor development capabilities of Ashok Leyland. The company has said that it targets a turnover of $ 100 million in 2009. In the current year, the division expects a turnover of $ 10 million (Rs 45 crore). Recently, it picked up a Rs 7-crore order for gearbox components from Iran.</t>
  </si>
  <si>
    <t xml:space="preserve">Nagarajan said the division would focus on exporting castings, forgings, gears, machined and press metal parts. It is positioning itself as a one-stop-shop for purchase of components that can work with customers right from the stage of developing prototypes. The division is marketing itself using a `Source with Confidence' catchphrase, drawing attention to a number of factors that could give confidence to the buyer.</t>
  </si>
  <si>
    <t xml:space="preserve">One is Ashok Leyland's long experience in sourcing components. The company buys components worth $ 650 million (Rs 3,000 crore) a year. Secondly, in case a customer wants a prototype to be designed and developed, there is the `design and engineering services' division of Ashok Leyland.</t>
  </si>
  <si>
    <t xml:space="preserve">For production, there are facilities of both Ashok Leyland and group company, Ennore Foundries, which is putting up a state-of-the-art foundry near Chennai.</t>
  </si>
  <si>
    <t xml:space="preserve">Nagarajan expects good demand from the refurbishing industry in US and Europe, which would need a steady supply of components. He said his division could supply components 20 per cent cheaper than the existing vendors of OE in the developed countries, without any let-up in quality.</t>
  </si>
  <si>
    <t xml:space="preserve">CHERIAN</t>
  </si>
  <si>
    <t xml:space="preserve">Main routes - not come off - inter - state not come off - will rise post monsoons - Insurance - 3% will increase to 5% on a 5 lakh car Within states - overloading is rampant - inter - state, it is being implemented - 60-70% 0f the traffic is within the states - 30% of the vehicles are currently being implemented Vehicle population - 3.4m - 22m on national permit - Average age of fleet - national permit - 8 yrs, Intra - state - 18 - 19 yrs, Inter - state - 12-13 yrs</t>
  </si>
  <si>
    <t xml:space="preserve">Auto policy expectations -</t>
  </si>
  <si>
    <t xml:space="preserve">Old vehicles wont be scrapped - not too much of an impact - </t>
  </si>
  <si>
    <t xml:space="preserve">1 - No. of employees (currently)~11500</t>
  </si>
  <si>
    <t xml:space="preserve">2 - what is the outlook for vols for FY07 - realistically - let us say that if ALL achieves 75000 this fiscal, what is the outlook for FY08? - 75k internal target - FY08 thinks 10% </t>
  </si>
  <si>
    <t xml:space="preserve">3 - when will euro 4 be implemented? Apr1 2010</t>
  </si>
  <si>
    <t xml:space="preserve">4 - what might be tentative cost of conversion to euro 4 (in % terms?) - what sort of platform, H series engine - no idea right now? </t>
  </si>
  <si>
    <t xml:space="preserve">5 - overloading ban - whats the scenario as of now - am hearing that overloading is back - Maha, Guj, strict - north - Raj, MP, lax - authorities taking a lenient view within intra - state movement - but doesn’t expect sales to collapse</t>
  </si>
  <si>
    <t xml:space="preserve">6 - materials cost schedule - why did plates, sheets and angles suddenly double in quantum terms? Any reclassification in accounts? NO</t>
  </si>
  <si>
    <t xml:space="preserve">7 - why did sales and distribution costs go up so much? Expect it to remain at FY07 levels</t>
  </si>
  <si>
    <t xml:space="preserve">8 - outlook for materials costs in fy07? Expects it to go up - marginally as % of sakes </t>
  </si>
  <si>
    <t xml:space="preserve">9 - where do u see margins in FY07? Flat or declining? - FLAT</t>
  </si>
  <si>
    <t xml:space="preserve">10 - any further price increases this yr for vehicles? - 2% in July - would like to take, but depends on what TTMT does</t>
  </si>
  <si>
    <t xml:space="preserve">11 - engines - read that vols are going to be doubled this fiscal? - traded engines also - escorts - all genset applications - Could you please tell me 1Q engine sales? - sold ~1740 engines in 1qfy07 (but traded were 50 units) - but will increase 2, 3q </t>
  </si>
  <si>
    <t xml:space="preserve">12 - What is growth outlook for the spares business? will they meet tgts in fy07-09? What are the margins on this biz? Auto comp biz - $8m will be done in Fy07 - lot of time in product validation - </t>
  </si>
  <si>
    <t xml:space="preserve">13 - No. of vendors and dealers that ALL currently has?</t>
  </si>
  <si>
    <t xml:space="preserve">14 - how much equity stake still left in Indus ind bank? - couple of days ago sold some shares - RBI has not extended - </t>
  </si>
  <si>
    <t xml:space="preserve">16 - when is the FCCB / GDR happening? - current financial year - $150m </t>
  </si>
  <si>
    <t xml:space="preserve">17 - any wage settlements this yr? - all over - take 10% this and next yr </t>
  </si>
  <si>
    <t xml:space="preserve">18 - buses - why the dramatic decline in dd thus far in FY07? Some dislocation? - end FY07 would be flat - no decline over last yr - </t>
  </si>
  <si>
    <t xml:space="preserve">Minimum low end bus will be 12 - 13 lakhs - chassis condition only - around 6.5 lakh including excise - excluding ST and others  -  </t>
  </si>
  <si>
    <t xml:space="preserve">Capex - 350cr this yr - next yr 200cr - </t>
  </si>
  <si>
    <t xml:space="preserve">Capacities 77- 100cr - invest for cabin mfg, r and d, hino j series, </t>
  </si>
  <si>
    <t xml:space="preserve">Hope you're doing well. I have the foll. queries on ALL - could I request you to please respond at the earliest? Also could I request you to pls revert on Mr Sridharan's schedule - have fixed the UTI mtg tentatively for Fri, but wanted to reconfirm mr S's availability </t>
  </si>
  <si>
    <t xml:space="preserve">FY07 AR comments</t>
  </si>
  <si>
    <t xml:space="preserve">R&amp;D - total of 1.9% of turnover </t>
  </si>
  <si>
    <t xml:space="preserve">total of Rs 1564.02m </t>
  </si>
  <si>
    <t xml:space="preserve">Avia - says performance of the business has improved since they have taken over. </t>
  </si>
  <si>
    <t xml:space="preserve">FCCB - conversion reset at Rs30 / share</t>
  </si>
  <si>
    <t xml:space="preserve">share holding pattern - 51% is promoter holding; FIIs hold 10.8%</t>
  </si>
  <si>
    <t xml:space="preserve">5400 FCCNs - still to be converted as at 31 Mar </t>
  </si>
  <si>
    <t xml:space="preserve">at the new reset price of Rs30</t>
  </si>
  <si>
    <t xml:space="preserve">m shares</t>
  </si>
  <si>
    <t xml:space="preserve">no. of shares - for full conversion of the FCCNs</t>
  </si>
  <si>
    <t xml:space="preserve">Bus assemby in Ras al R - go onstream in Mar 08</t>
  </si>
  <si>
    <t xml:space="preserve">Uttarakhand facility - 50k units capacity - operational by FY09e</t>
  </si>
  <si>
    <t xml:space="preserve">Capex of Rs6135m </t>
  </si>
  <si>
    <t xml:space="preserve">FY07 annual results PPT</t>
  </si>
  <si>
    <t xml:space="preserve">engines - volumes + 23%</t>
  </si>
  <si>
    <t xml:space="preserve">Leyparts - sales at Rs3288m + 26% y/y</t>
  </si>
  <si>
    <t xml:space="preserve">fully built solutions almost Rs230cr of sales</t>
  </si>
  <si>
    <t xml:space="preserve">2006-07</t>
  </si>
  <si>
    <t xml:space="preserve">% Inc (Dec)</t>
  </si>
  <si>
    <t xml:space="preserve">Domestic Civilian</t>
  </si>
  <si>
    <t xml:space="preserve">   Passenger</t>
  </si>
  <si>
    <t xml:space="preserve">   Goods</t>
  </si>
  <si>
    <t xml:space="preserve">   Total</t>
  </si>
  <si>
    <t xml:space="preserve">Defence</t>
  </si>
  <si>
    <t xml:space="preserve">Exports</t>
  </si>
  <si>
    <t xml:space="preserve">Total vehicles </t>
  </si>
  <si>
    <t xml:space="preserve">Spares incl Defence </t>
  </si>
  <si>
    <t xml:space="preserve">(Rs million)</t>
  </si>
  <si>
    <t xml:space="preserve">Engine development</t>
  </si>
  <si>
    <t xml:space="preserve">Euro 2 compliant engine developed on the popular H6 cylinder platform </t>
  </si>
  <si>
    <t xml:space="preserve">Using a Bosch In-line pump which is less sensitive to fuel quality, less expensive to maintain and hence preferred by the market </t>
  </si>
  <si>
    <t xml:space="preserve">Excellent fuel consumption </t>
  </si>
  <si>
    <t xml:space="preserve">Designed &amp; developed in-house in five months flat </t>
  </si>
  <si>
    <t xml:space="preserve">Product segment</t>
  </si>
  <si>
    <t xml:space="preserve">Tractor Trailers </t>
  </si>
  <si>
    <t xml:space="preserve">Tippers</t>
  </si>
  <si>
    <t xml:space="preserve">On chassis products on MAV / Haulage / ICV / LCV</t>
  </si>
  <si>
    <t xml:space="preserve">TOTAL</t>
  </si>
  <si>
    <t xml:space="preserve">After market support</t>
  </si>
  <si>
    <t xml:space="preserve">Added</t>
  </si>
  <si>
    <t xml:space="preserve">Current</t>
  </si>
  <si>
    <t xml:space="preserve">Dealership outlets</t>
  </si>
  <si>
    <t xml:space="preserve">Authorized Service Centres</t>
  </si>
  <si>
    <t xml:space="preserve">Work bays</t>
  </si>
  <si>
    <t xml:space="preserve">currently 12,000 nos of employees</t>
  </si>
  <si>
    <t xml:space="preserve">RAKIA (Ras al K) </t>
  </si>
  <si>
    <t xml:space="preserve">total investment of 38cr </t>
  </si>
  <si>
    <t xml:space="preserve">capacity of 1000 units pa</t>
  </si>
  <si>
    <t xml:space="preserve">manufacturing to start in Mar08</t>
  </si>
  <si>
    <t xml:space="preserve">South Africa</t>
  </si>
  <si>
    <t xml:space="preserve">vehicle asembly of 1200 units - thinking of setting up plant - costing not yet decided...timing also not decided</t>
  </si>
  <si>
    <t xml:space="preserve">cater to N African mkt</t>
  </si>
  <si>
    <t xml:space="preserve">Imported raw materials = Rs1815.29m </t>
  </si>
  <si>
    <t xml:space="preserve">exports = Rs6292.15m </t>
  </si>
  <si>
    <t xml:space="preserve">F/X exposure</t>
  </si>
  <si>
    <t xml:space="preserve">earned</t>
  </si>
  <si>
    <t xml:space="preserve">spent</t>
  </si>
  <si>
    <t xml:space="preserve">net earned</t>
  </si>
  <si>
    <t xml:space="preserve">Qs</t>
  </si>
  <si>
    <t xml:space="preserve">bus facility in Ras a K - total capex - 34cr total capacity of 1000 unit, will be scaled to 2000, when will it be started? 4q current year, part of ALL - unit;  What is the size of the bus mkt there? More than 2-3000 units in UAE, main players Nissan (exports) Tgt mkts - S Africa, UAE. supply from here now - transfer kits, sell there...no extra benefits because exports are tax free</t>
  </si>
  <si>
    <t xml:space="preserve">Only assembly plant - where will mfr of engines and aggregates happen? - engines, aggregates, etc everything here..</t>
  </si>
  <si>
    <t xml:space="preserve">Plant wise capex</t>
  </si>
  <si>
    <t xml:space="preserve">FY08</t>
  </si>
  <si>
    <t xml:space="preserve">FY09</t>
  </si>
  <si>
    <t xml:space="preserve">FY10</t>
  </si>
  <si>
    <t xml:space="preserve">Capex (Rs m) </t>
  </si>
  <si>
    <t xml:space="preserve">Ennore </t>
  </si>
  <si>
    <t xml:space="preserve">Uttaranchal</t>
  </si>
  <si>
    <t xml:space="preserve">Total units</t>
  </si>
  <si>
    <t xml:space="preserve">Other capex</t>
  </si>
  <si>
    <t xml:space="preserve">R&amp;D </t>
  </si>
  <si>
    <t xml:space="preserve">possible new plant - might be shelved...</t>
  </si>
  <si>
    <t xml:space="preserve">total capex</t>
  </si>
  <si>
    <t xml:space="preserve">1000cr</t>
  </si>
  <si>
    <t xml:space="preserve">1000cr-1200cr</t>
  </si>
  <si>
    <t xml:space="preserve">1000cr - FY10</t>
  </si>
  <si>
    <t xml:space="preserve">include RAK, not AVIA, not DTE, </t>
  </si>
  <si>
    <t xml:space="preserve">FY08 110,000 units, FY09 - uttaranchal - 25000, uchal will be 50k in FY10 </t>
  </si>
  <si>
    <t xml:space="preserve">Total of 160k units in FY10</t>
  </si>
  <si>
    <t xml:space="preserve">another location in S India - maybe TN, or AP</t>
  </si>
  <si>
    <t xml:space="preserve">Funding </t>
  </si>
  <si>
    <t xml:space="preserve">$250m ECB funding - to be raised in next few mths - no FCCB</t>
  </si>
  <si>
    <t xml:space="preserve">Avia</t>
  </si>
  <si>
    <t xml:space="preserve">former owners were VCs - purchased from Daewoo around 3-4 yrs ago...</t>
  </si>
  <si>
    <t xml:space="preserve">total investment outlay -$35m -  total size of plant there - capacity of 20k units, mkt size - export opportunities? - yes, good brand name, How much export to India? - not yet - but plans - can bring cab here, but lots of tooling and devpt; timelines - at least 2 years to turn it around - not much significant investment on capex to take to 20k units; product range - 6-12MT range - might not bring the product into india, but just bring the cab. </t>
  </si>
  <si>
    <t xml:space="preserve">Current output only 1400 units - 100 vehicles per mth. What is the thought on dealership and after sales service network?</t>
  </si>
  <si>
    <t xml:space="preserve">ALL mktg ppl have gone there - exports to East Europe, Germany, etc. </t>
  </si>
  <si>
    <t xml:space="preserve">158cr loan given to Avia - over and above the $35m - part to where is it depicted in the BS? Also, what is total investment in Avia?</t>
  </si>
  <si>
    <t xml:space="preserve">what is the investment stake in Avia? AR says 40% - yes, but that is only in ALL -  effectively own 100% - ALL, Ashley - etc -own - so in ALL's books it is an associate concern</t>
  </si>
  <si>
    <t xml:space="preserve">currently still in advances - may remain in advances, or go into investment block </t>
  </si>
  <si>
    <t xml:space="preserve">New products?</t>
  </si>
  <si>
    <t xml:space="preserve">total outlay - pipeline - 49mt truck launch in 3q07, 2518 tipper (launched), luxury bus - 35-40 seater - launch in 3q; taurus and tusker euro 3 versions, mini bus - stag with CNG; fy09 / 10 - no details as yet </t>
  </si>
  <si>
    <t xml:space="preserve">euro 3 to euro 4 - cost of upgrade (also euro 2 to euro 3) </t>
  </si>
  <si>
    <t xml:space="preserve">what is cost of devpt of euro 4 engine?</t>
  </si>
  <si>
    <t xml:space="preserve">no details - effective cost / vehicle - 50,000 - euro 2 to 3; euro 1 to 2 = 25000</t>
  </si>
  <si>
    <t xml:space="preserve">Deferrred sales tax - which facility - how long till? - for TN, implemented VAT in fy07 - to the extent of sales tax in inputs - around 10-12000 / vehicle. </t>
  </si>
  <si>
    <t xml:space="preserve">anything new on emission norms? - april 1, 2010</t>
  </si>
  <si>
    <t xml:space="preserve">current no. of vendors? - around 300-500 - Rationalisation of vendors? - rationalised from 1500 to 500, will not rationalise beyond; </t>
  </si>
  <si>
    <t xml:space="preserve">DTE acquisition? Component testing co - for autos - can be used as a front, maybe some synergies from Ashley Design, Updates? Cost? $30m, no idea of employees, but the co. is making cash profits; revenue of this co - not known, $30m in FY08e; 100% acquired - but not yet decided if it will be in investment co. or ALL - tax implications -  </t>
  </si>
  <si>
    <t xml:space="preserve">total fund raising - quantum - debt or FCCB or equity?</t>
  </si>
  <si>
    <t xml:space="preserve">industry related - </t>
  </si>
  <si>
    <t xml:space="preserve">2nd hand prices, turnaround times, etc - Aug is "chalta hai" - OK - recovery from Sept - increasing stock levels - 8700 trucks vs. 7000 units of stock - diesel prices - don’t think they will be increased now; operator profitability good, but will defer if they think it can fall more...</t>
  </si>
  <si>
    <t xml:space="preserve">shift to heavier tonnages - how is it happening? - still continues - ALL makes more money on higher tonnages both in absolute Rs terms and % terms</t>
  </si>
  <si>
    <t xml:space="preserve">STUs - practically no margins now - STUs - 50% of bus sales - </t>
  </si>
  <si>
    <t xml:space="preserve">outlook of 100,000 units in Jan 07, now 90k vehicles in FY08e</t>
  </si>
  <si>
    <t xml:space="preserve">exports tgt</t>
  </si>
  <si>
    <t xml:space="preserve">8000 units - Sri Lanka, Gulf, </t>
  </si>
  <si>
    <t xml:space="preserve">domestic </t>
  </si>
  <si>
    <t xml:space="preserve">Material costs: </t>
  </si>
  <si>
    <t xml:space="preserve">pressure continues - e-sourcing, VA and VE - maintian OP - don’t expect 1Q to continue - spare sales, FX - maintain margins with 90k units - ebitda of 10% </t>
  </si>
  <si>
    <t xml:space="preserve">Labor front - no more VRS - add 6-700 at least at uttaranchal - </t>
  </si>
  <si>
    <t xml:space="preserve">currently around 12,000 ppl now </t>
  </si>
  <si>
    <t xml:space="preserve">wage settlement at Bhandara in Nov - around 700ppl </t>
  </si>
  <si>
    <t xml:space="preserve">New players tie up - Hindujas want to hold 51% - share holding is not compromisable. </t>
  </si>
  <si>
    <t xml:space="preserve">LCVs - nothing significant</t>
  </si>
  <si>
    <t xml:space="preserve">Price hikes - 2.5% in June, </t>
  </si>
  <si>
    <t xml:space="preserve">discounts - not v. high - mkt is down, folks asking for discounts </t>
  </si>
  <si>
    <t xml:space="preserve">Eicher - 9% mkt share - not too many discounts - no real price wars - </t>
  </si>
  <si>
    <t xml:space="preserve">Bus mkt - around 10% - TN govt - 1Q order - overall only 10% for full yr </t>
  </si>
  <si>
    <t xml:space="preserve">Mats cost reduction - something in tyres, but not beyond that..steel will continue to go up - </t>
  </si>
  <si>
    <t xml:space="preserve">basic costs - steel, marginal Al, rubber and tires, </t>
  </si>
  <si>
    <t xml:space="preserve">total vehicles in the mkt - </t>
  </si>
  <si>
    <t xml:space="preserve">1/3 is inter state; 2/3 is intra state; overloading is allowed in 2/3rd...</t>
  </si>
  <si>
    <t xml:space="preserve">haulage is being impacted...16 tonners and 25 tonners; not TTs, tippers, </t>
  </si>
  <si>
    <t xml:space="preserve">Alteans</t>
  </si>
  <si>
    <t xml:space="preserve">15 mths timeline, total investment of 120cr - debt - equity of 1/1; by ALL and investment co. ALL holds 25% in the venture - mkts will be auto and telecom parts, cell phone equipment, supply in europe and India. </t>
  </si>
  <si>
    <t xml:space="preserve">FY08 AR highlights</t>
  </si>
  <si>
    <t xml:space="preserve">Gained market share in bus but lost market share in trucks</t>
  </si>
  <si>
    <t xml:space="preserve">New Gen cabin expected to be produced in FY09 will further help gain market share </t>
  </si>
  <si>
    <t xml:space="preserve">exports- sold 7285 units growth of 21%</t>
  </si>
  <si>
    <t xml:space="preserve">12169 engines were sold and spare parts sales were Rs 7236 million (+45% YoY)</t>
  </si>
  <si>
    <t xml:space="preserve">Uttarakhand unit of 50000 units production scheduled before June 2010</t>
  </si>
  <si>
    <t xml:space="preserve">Nissan -AL LCV products to be rolled out in Fy11</t>
  </si>
  <si>
    <t xml:space="preserve">Commencement of Alteams high pressure die casting products expected by end of 2008</t>
  </si>
  <si>
    <t xml:space="preserve">CV units of 700 were sold by Avia</t>
  </si>
  <si>
    <t xml:space="preserve">Production capacity will be increased to 184,000 units in next 2-3 years</t>
  </si>
  <si>
    <t xml:space="preserve">Uttarakhand capacity should be completed by march 2010 to avail of fiscal benefits</t>
  </si>
  <si>
    <t xml:space="preserve">Non cyclical revenues formed about 33% of total revenues by FY08 vs. 24% in FY07</t>
  </si>
  <si>
    <t xml:space="preserve">Factory built gensets formed about 17% of total engine volume</t>
  </si>
  <si>
    <t xml:space="preserve">Average price hike - 4.5% in FY08</t>
  </si>
  <si>
    <t xml:space="preserve">Capex incurred- Rs 6959 million</t>
  </si>
  <si>
    <t xml:space="preserve">ECB tied up with banks- 270 million USD, 90 million have been used </t>
  </si>
  <si>
    <t xml:space="preserve">FCCN issued in April 2004 have been converted except for USD 1 million representing 1% of the total issue size of USD 100 million</t>
  </si>
  <si>
    <t xml:space="preserve">127 million was charged as part of VRS expenses </t>
  </si>
  <si>
    <t xml:space="preserve">By redesign and material elimination savings of rs 314 per chassis has been achieved, annual savings of Rs 250 million</t>
  </si>
  <si>
    <t xml:space="preserve">Notes on ALL - Mar09</t>
  </si>
  <si>
    <t xml:space="preserve">facility at Uttrakhand – even with</t>
  </si>
  <si>
    <t xml:space="preserve">reduction in excise duty, benefit per vehicle at Uttrakhand is Rs60,000-70,000. This</t>
  </si>
  <si>
    <t xml:space="preserve">would give ALL competitive advantage as none of its competitors enjoys such a</t>
  </si>
  <si>
    <t xml:space="preserve">benefit.</t>
  </si>
  <si>
    <t xml:space="preserve">ALL plans to release Rs6bn from WC over Q4FY09, which would help payoff short</t>
  </si>
  <si>
    <t xml:space="preserve">term debts and bring down interest cost. The company plans to reduce gross WC by</t>
  </si>
  <si>
    <t xml:space="preserve">Rs8bn via: i) reduction in fixed-goods inventory by 4,000 units, resulting in cash</t>
  </si>
  <si>
    <t xml:space="preserve">release of ~Rs4bn, ii) reduction in raw material inventory by Rs2bn and iii) reduction in</t>
  </si>
  <si>
    <t xml:space="preserve">debtors by 2bn. However, the company has overdue payments of Rs2bn; hence, net</t>
  </si>
  <si>
    <t xml:space="preserve">reduction in WC would be Rs6bn.</t>
  </si>
  <si>
    <t xml:space="preserve">Savings in capex would accrue from: i) scaling</t>
  </si>
  <si>
    <t xml:space="preserve">down capacity addition from 70,000 to 50,000 at the company’s plant at Uttrakhand,</t>
  </si>
  <si>
    <t xml:space="preserve">resulting in savings of Rs7bn, ii) freeze on gearbox &amp; engine capacity addition at</t>
  </si>
  <si>
    <t xml:space="preserve">Ennore and iii) price negotiations on contracts with softening of commodities. Installed</t>
  </si>
  <si>
    <t xml:space="preserve">capacity would stand at 100,000 units at end-FY09 and 150,000 at end-FY10.</t>
  </si>
  <si>
    <t xml:space="preserve">ALL is aggressively focusing on cost reduction on all fronts: i) Raw materials – In</t>
  </si>
  <si>
    <t xml:space="preserve">H1FY09, the company incurred Rs55,000-60,000 increase in raw materials per</t>
  </si>
  <si>
    <t xml:space="preserve">vehicle. However, since then, commodity prices have softened. The company realised</t>
  </si>
  <si>
    <t xml:space="preserve">25-30% reduction in raw materials in Q4FY09, with FY10 likely to witness full benefit</t>
  </si>
  <si>
    <t xml:space="preserve">of the commodities softening; ii) Reduction in salaries – ALL has reduced 2,000</t>
  </si>
  <si>
    <t xml:space="preserve">casual workers and its manned capacity is 72,000 units at present. Further, it has</t>
  </si>
  <si>
    <t xml:space="preserve">reduced number of working days from six days per week to three. In line with this, the</t>
  </si>
  <si>
    <t xml:space="preserve">company has trimmed bonuses, incentives and leave encashment for workers.</t>
  </si>
  <si>
    <t xml:space="preserve">Executives, too, have witnessed salary cuts. Based on the aforementioned, the</t>
  </si>
  <si>
    <t xml:space="preserve">company’s wage bill in FY09 is expected to be 20% lower vis-à-vis FY08; iii)</t>
  </si>
  <si>
    <t xml:space="preserve">Reduction in admin costs – ALL has sharply cut down on travel, advertisement &amp;</t>
  </si>
  <si>
    <t xml:space="preserve">publicity costs and deferred some repair expenses. It saved Rs200mn in Q3FY09</t>
  </si>
  <si>
    <t xml:space="preserve">through these austere measures and expects similar savings in Q4FY09.</t>
  </si>
  <si>
    <t xml:space="preserve">ALL has plans of a number of launches to enhance its market share. These are: i)</t>
  </si>
  <si>
    <t xml:space="preserve">launch of 40.19 – cost effective for overloading; ii) launch of 25.16 – new superhaulage,</t>
  </si>
  <si>
    <t xml:space="preserve">MAVs with refined H series engine; iii) ongoing development of Neptune</t>
  </si>
  <si>
    <t xml:space="preserve">engine (being co-developed by Prague-based Avia); to be introduced in April ’10</t>
  </si>
  <si>
    <t xml:space="preserve">(compliant with Euro IV norms; could be scaled-up to meet Euro V norms). Neptune</t>
  </si>
  <si>
    <t xml:space="preserve">would be at least 20% more fuel-efficient vis-à-vis existing engine. Neptune would be</t>
  </si>
  <si>
    <t xml:space="preserve">4-cylinder engine with 160HP as against a normal 6-cylinder engine with 160HP; iv)</t>
  </si>
  <si>
    <t xml:space="preserve">modular platform for cabs that would be launched mid ’10; v) Unitruck, along the lines</t>
  </si>
  <si>
    <t xml:space="preserve">of Tata Motors’ World Truck with launch slated in mid ’10.</t>
  </si>
  <si>
    <t xml:space="preserve">Haulage and multi-axle vehicles (MAVs) have begun witnessing slight signs</t>
  </si>
  <si>
    <t xml:space="preserve">of growth. However, growth in tractor trailers (used for exports) remains flat.</t>
  </si>
  <si>
    <t xml:space="preserve">FY11 annual report analysis</t>
  </si>
  <si>
    <t xml:space="preserve">key thoughts…</t>
  </si>
  <si>
    <t xml:space="preserve">1 - mgmt shift - Dharam Hinduja chairman, Sesh exec VC, Vinod Dasari MD, Sumantran on the BoD as well…good team</t>
  </si>
  <si>
    <t xml:space="preserve">2 - plan to be in top 10 global truck mfrs in &gt;7.5MT GVW in 5 years, be in top 5 in buses in &gt;8m category </t>
  </si>
  <si>
    <t xml:space="preserve">3 - R&amp;D - &gt;1000 engineers and growing </t>
  </si>
  <si>
    <t xml:space="preserve">4 - ICVs - upgrade Ecomet range for domestic and export markets </t>
  </si>
  <si>
    <t xml:space="preserve">5 - LCVs - 3-6MT GVW - Dost in 3 MT category, then 6 MT and finally pax minivan. Dost has payload of 1.25 MT</t>
  </si>
  <si>
    <t xml:space="preserve">6 - Pantnagar - eventual full capacity will be 75000 units </t>
  </si>
  <si>
    <t xml:space="preserve">7 - R&amp;D </t>
  </si>
  <si>
    <t xml:space="preserve">capital </t>
  </si>
  <si>
    <t xml:space="preserve">revenue </t>
  </si>
  <si>
    <t xml:space="preserve">total </t>
  </si>
  <si>
    <t xml:space="preserve">7 - dividend - 200% - Rs 2 / sh of FV 1 </t>
  </si>
  <si>
    <t xml:space="preserve">8 - 1:1 bonus issuance..</t>
  </si>
  <si>
    <t xml:space="preserve">9 - U Truck - basically got a good response - sold 1100 units in 6 mths after launch </t>
  </si>
  <si>
    <t xml:space="preserve">9 - dealer outlets - increased from 178 to 205 </t>
  </si>
  <si>
    <t xml:space="preserve">authorised service centers - increased from 138 to 155 </t>
  </si>
  <si>
    <t xml:space="preserve">10 - Hinduja Leyland - financed 5300 ALL vehicles - total disbursement of 1200 cr </t>
  </si>
  <si>
    <t xml:space="preserve">11 - Lots of JVs </t>
  </si>
  <si>
    <t xml:space="preserve">JV with Nissan - Dost, others </t>
  </si>
  <si>
    <t xml:space="preserve">JV with John Deere - backhoe loader - to be launched in 3QFY12 </t>
  </si>
  <si>
    <t xml:space="preserve">JV with Continental AG - innovation center for auto infotronics solutions </t>
  </si>
  <si>
    <t xml:space="preserve">Albonair GmbH - reducing auto emissions</t>
  </si>
  <si>
    <t xml:space="preserve">ALDS (Defence Systems) - supply of defence vehicles for indian / overseas markets </t>
  </si>
  <si>
    <t xml:space="preserve">Ashley Alteams - 50-50 JV with Alteams OY, Finland </t>
  </si>
  <si>
    <t xml:space="preserve">12 - capex </t>
  </si>
  <si>
    <t xml:space="preserve">490cr - devpt of infra, engine, cab, frame and chassis </t>
  </si>
  <si>
    <t xml:space="preserve">FY12 annual report analysis</t>
  </si>
  <si>
    <t xml:space="preserve">Employee nos</t>
  </si>
  <si>
    <t xml:space="preserve">Our presence in the market place has increased</t>
  </si>
  <si>
    <t xml:space="preserve">2002-03</t>
  </si>
  <si>
    <t xml:space="preserve">2007-08</t>
  </si>
  <si>
    <t xml:space="preserve">2008-09</t>
  </si>
  <si>
    <t xml:space="preserve">2009-10</t>
  </si>
  <si>
    <t xml:space="preserve">2010-11#</t>
  </si>
  <si>
    <t xml:space="preserve">2011-12#</t>
  </si>
  <si>
    <t xml:space="preserve">significantly pan-India with more than 400 full-service</t>
  </si>
  <si>
    <t xml:space="preserve">outlets dotting the country. Our network has grown by</t>
  </si>
  <si>
    <t xml:space="preserve">over 15% last year with the addition of 60 new outlets</t>
  </si>
  <si>
    <t xml:space="preserve">Attrition rate of 10.9% was the second lowest in the</t>
  </si>
  <si>
    <t xml:space="preserve">industry, an indicator of happy, engaged employees.</t>
  </si>
  <si>
    <t xml:space="preserve">We want to deliver vehicles to our customers that are</t>
  </si>
  <si>
    <t xml:space="preserve">factory-fresh! So, we have started to literally carry our</t>
  </si>
  <si>
    <t xml:space="preserve">vehicles to our customers on trailers. So when the</t>
  </si>
  <si>
    <t xml:space="preserve">customer receives his order, the vehicle is spotless, dentfree</t>
  </si>
  <si>
    <t xml:space="preserve">with the odometer reading '0'!</t>
  </si>
  <si>
    <t xml:space="preserve">To build our brand, the most significant step we took was</t>
  </si>
  <si>
    <t xml:space="preserve">to sign on the iconic, Indian cricket captain, M. S. Dhoni as</t>
  </si>
  <si>
    <t xml:space="preserve">Brand Ambassador who will be the new face of the</t>
  </si>
  <si>
    <t xml:space="preserve">Company</t>
  </si>
  <si>
    <t xml:space="preserve">Capital</t>
  </si>
  <si>
    <t xml:space="preserve">Share Capital - Issue of Bonus Shares</t>
  </si>
  <si>
    <t xml:space="preserve">Secured Non-Convertible Debentures</t>
  </si>
  <si>
    <t xml:space="preserve">External Commercial Borrowings (ECBs)</t>
  </si>
  <si>
    <t xml:space="preserve">With the approval of the shareholders, your Company</t>
  </si>
  <si>
    <t xml:space="preserve">During the year, your Company issued Secured Nonconvertible</t>
  </si>
  <si>
    <t xml:space="preserve">Your Company contracted ECBs to the tune of Japanese</t>
  </si>
  <si>
    <t xml:space="preserve">issued 133,03,38,317 Equity Shares of Re.1/- each, fully</t>
  </si>
  <si>
    <t xml:space="preserve">Debentures Series AL 16 to the tune of</t>
  </si>
  <si>
    <t xml:space="preserve">Yen equivalent to USD 150 Mn during 2011-12 from banks</t>
  </si>
  <si>
    <t xml:space="preserve">paid-up, as Bonus Shares, in the ratio of 1 (One) Bonus</t>
  </si>
  <si>
    <t xml:space="preserve">Rs.15,000 lakhs repayable at the end of 3rd, 4th and 5th</t>
  </si>
  <si>
    <t xml:space="preserve">for an average tenor of 5 years (door to door of 6 years) on</t>
  </si>
  <si>
    <t xml:space="preserve">Share for every existing 1 (One) Ordinary Share of Re.1/-</t>
  </si>
  <si>
    <t xml:space="preserve">year from the date of issue and fully redeemed Secured</t>
  </si>
  <si>
    <t xml:space="preserve">unsecured basis and drew Japanese Yen equivalent to USD</t>
  </si>
  <si>
    <t xml:space="preserve">each held on August 3, 2011, (being the Record Date fixed</t>
  </si>
  <si>
    <t xml:space="preserve">Non-Convertible Debentures Series AL 12 of Rs. 15,000</t>
  </si>
  <si>
    <t xml:space="preserve">90 Mn during 2011-12. The balance of USD 60 Mn would</t>
  </si>
  <si>
    <t xml:space="preserve">for the purpose) by capitalisation of Securities Premium</t>
  </si>
  <si>
    <t xml:space="preserve">lakhs</t>
  </si>
  <si>
    <t xml:space="preserve">be drawn in the ensuing financial year. The funds drawn</t>
  </si>
  <si>
    <t xml:space="preserve">Account. The Bonus Shares were allotted on August 4, 2011.</t>
  </si>
  <si>
    <t xml:space="preserve">under ECBs were utilized to fund the capital expenditure</t>
  </si>
  <si>
    <t xml:space="preserve">programmes of your Company as per extant RBI guidelines</t>
  </si>
  <si>
    <t xml:space="preserve">and as per the terms of the loan.</t>
  </si>
  <si>
    <t xml:space="preserve">Your Company repaid ECB loan instalments that fell due to</t>
  </si>
  <si>
    <t xml:space="preserve">the tune of USD 36.66 Mn during 2011-12.</t>
  </si>
  <si>
    <t xml:space="preserve">MANAGEMENT DISCUSSION AND ANALYSIS REPORT</t>
  </si>
  <si>
    <t xml:space="preserve">High inflation, rising interest rates,</t>
  </si>
  <si>
    <t xml:space="preserve">spiralling oil prices and dampened business sentiments</t>
  </si>
  <si>
    <t xml:space="preserve">contributed to the slowdown.</t>
  </si>
  <si>
    <t xml:space="preserve">In the previous fiscal, consumption was partly supported</t>
  </si>
  <si>
    <t xml:space="preserve">by a booming rural economy, thanks to schemes such as</t>
  </si>
  <si>
    <t xml:space="preserve">NREGS which saw a rise in the sale of 2-wheelers and other</t>
  </si>
  <si>
    <t xml:space="preserve">similar products.</t>
  </si>
  <si>
    <t xml:space="preserve">The industry recorded 18% growth during 2011-12 to post</t>
  </si>
  <si>
    <t xml:space="preserve">its highest ever volumes of 8,09,532 units. Medium and</t>
  </si>
  <si>
    <t xml:space="preserve">Heavy Commercial Vehicles (M&amp;HCV) grew by 8%, posting</t>
  </si>
  <si>
    <t xml:space="preserve">volumes of 3,48,701, again recording highest ever sales.</t>
  </si>
  <si>
    <t xml:space="preserve">Light Commercial Vehicles (LCV) posted a growth of 27.4%</t>
  </si>
  <si>
    <t xml:space="preserve">and reached volumes of 4,60,831 units. The contribution of</t>
  </si>
  <si>
    <t xml:space="preserve">M&amp;HCV declined to about 43% of the overall CV segment,</t>
  </si>
  <si>
    <t xml:space="preserve">compared to 47% in the previous year.</t>
  </si>
  <si>
    <t xml:space="preserve">The Small Commercial Vehicle segment [trucks less than 3.5 tonnes Gross Vehicle Weight (GVW)] </t>
  </si>
  <si>
    <t xml:space="preserve">within LCVs, which accounts for over 3/4th of the LCV market, is driving growth on the </t>
  </si>
  <si>
    <t xml:space="preserve">back of strong demand for transportation of consumer goods within cities and replacement demand from upper-end three wheelers.</t>
  </si>
  <si>
    <t xml:space="preserve">Reflecting the uncertain economic scenario, multi-axle rigid trucks with capacities greater than 25 tonnes have reported a sales drop of 2% over the previous year. </t>
  </si>
  <si>
    <t xml:space="preserve">These are used to transport a wide range of goods, such as agricultural produce, cement, other materials used in
construction and industrial goods. This drop was due to overall slowdown in industrial, mining and construction activity, and the resultant caution among transporters. </t>
  </si>
  <si>
    <t xml:space="preserve">It was also in part due to the shift to rigid vehicles with higher capacity (8X2), to achieve greater operating efficiencies. Conversely, sales of intermediate commercial trucks, in the 10-12 tonne capacity range, registered a growth rate of 21% during 2011-12. </t>
  </si>
  <si>
    <t xml:space="preserve">Sale of Tippers also grew by 37%, due to substantial fleet replacements as well as the boost given to infrastructure in the second half of the fiscal by the Government.</t>
  </si>
  <si>
    <t xml:space="preserve">Also notable was the slowdown in the Southern Indian</t>
  </si>
  <si>
    <t xml:space="preserve">market. This was due to elections in Tamil Nadu, blanket</t>
  </si>
  <si>
    <t xml:space="preserve">mining ban in Karnataka and continued political uncertainty</t>
  </si>
  <si>
    <t xml:space="preserve">in Andhra Pradesh. Total Industry Volumes in multi-axle</t>
  </si>
  <si>
    <t xml:space="preserve">vehicles reduced by almost 17% in the first 3 quarters</t>
  </si>
  <si>
    <t xml:space="preserve">The Company lost 2.4% market share in the Indian Medium</t>
  </si>
  <si>
    <t xml:space="preserve">and Heavy CV market during FY 2011-12.</t>
  </si>
  <si>
    <t xml:space="preserve">New products</t>
  </si>
  <si>
    <t xml:space="preserve">Lined up several ground-breaking products for core</t>
  </si>
  <si>
    <t xml:space="preserve">Further variants of 'Dost' are in the pipeline. In addition,</t>
  </si>
  <si>
    <t xml:space="preserve">segments in the upcoming fiscal. Three such new products</t>
  </si>
  <si>
    <t xml:space="preserve">your Company also displayed 2 new platforms in the Auto</t>
  </si>
  <si>
    <t xml:space="preserve">were displayed at the Auto Expo 2012 held in Jan' 12 in</t>
  </si>
  <si>
    <t xml:space="preserve">Expo 2012 - the 'Partner' 6T truck and the 'Stile' Multipurpose</t>
  </si>
  <si>
    <t xml:space="preserve">Delhi: the Jan Bus, 10x4 Multi-axle truck and the 8m ICV</t>
  </si>
  <si>
    <t xml:space="preserve">Vehicle - both of which will be launched over the</t>
  </si>
  <si>
    <t xml:space="preserve">bus named 'Solo', all of which will be launched shortly.</t>
  </si>
  <si>
    <t xml:space="preserve">next 2 years</t>
  </si>
  <si>
    <t xml:space="preserve">Your Company's continued investments in Research and</t>
  </si>
  <si>
    <t xml:space="preserve">Development through 2011-12 will also result in several</t>
  </si>
  <si>
    <t xml:space="preserve">launches in the next fiscal. The New Generation Cab</t>
  </si>
  <si>
    <t xml:space="preserve">and the Neptune Engine programmes will see market</t>
  </si>
  <si>
    <t xml:space="preserve">introductions. ICV, the fastest growing segment in the</t>
  </si>
  <si>
    <t xml:space="preserve">M&amp;HCV range, will see the Company come up with a brand</t>
  </si>
  <si>
    <t xml:space="preserve">new product with inputs from AVIA Ashok Leyland Motors</t>
  </si>
  <si>
    <t xml:space="preserve">s.r.o in the Czech Republic.</t>
  </si>
  <si>
    <t xml:space="preserve">Taking advantage of the proliferation of the hub-and-spoke</t>
  </si>
  <si>
    <t xml:space="preserve">model and the strong demand originating from the rural</t>
  </si>
  <si>
    <t xml:space="preserve">segment, the Company entered the Light Commercial</t>
  </si>
  <si>
    <t xml:space="preserve">Vehicle segment with the launch of 'Dost' last year.</t>
  </si>
  <si>
    <t xml:space="preserve">The product has been well accepted by customers, with</t>
  </si>
  <si>
    <t xml:space="preserve">7,593 vehicles having been sold in the last fiscal.</t>
  </si>
  <si>
    <t xml:space="preserve">JVs</t>
  </si>
  <si>
    <t xml:space="preserve">Hinduja Leyland Finance Ltd.</t>
  </si>
  <si>
    <t xml:space="preserve">commenced their operations in March 2010.</t>
  </si>
  <si>
    <t xml:space="preserve">In 2011-12, HLFL continued to grow rapidly. The company</t>
  </si>
  <si>
    <t xml:space="preserve">HLFL now has operations in 440 locations with employee</t>
  </si>
  <si>
    <t xml:space="preserve">made a disbursement of Rs.2,107 Cr., a rise of over 70%</t>
  </si>
  <si>
    <t xml:space="preserve">strength of 1199 (increased from 588 in the year 2010).</t>
  </si>
  <si>
    <t xml:space="preserve">from the previous year, across a wide range of segments,</t>
  </si>
  <si>
    <t xml:space="preserve">including Medium and Heavy Commercial Vehicles, Light Commercial Vehicles and 3-wheelers</t>
  </si>
  <si>
    <t xml:space="preserve">Ashok Leyland John Deere Construction Equipment Company Private Ltd.</t>
  </si>
  <si>
    <t xml:space="preserve">successfully launched its first product, the 435 Backhoe Loader in November 2011. The</t>
  </si>
  <si>
    <t xml:space="preserve">JV Company sold 221 units in 4 months in the current fiscal.</t>
  </si>
  <si>
    <t xml:space="preserve">competitors. The development of the distribution system is in high gear, starting with the Southern market. 18</t>
  </si>
  <si>
    <t xml:space="preserve">dealership nodes have already been rolled out and another 27 planned in the coming year</t>
  </si>
  <si>
    <t xml:space="preserve">.</t>
  </si>
  <si>
    <t xml:space="preserve">Automotive Infotronics Ltd.</t>
  </si>
  <si>
    <t xml:space="preserve">This 50:50 Joint Venture with Continental AG aims to</t>
  </si>
  <si>
    <t xml:space="preserve">become an innovation centre for delivering automotive</t>
  </si>
  <si>
    <t xml:space="preserve">infotronics solutions at value price points</t>
  </si>
  <si>
    <t xml:space="preserve">Ashok Leyland Defence Systems Ltd. (ALDS)</t>
  </si>
  <si>
    <t xml:space="preserve">ALDS, a newly formed associate company, will provide increased focus to address the opportunities in the Indian and overseas defence markets</t>
  </si>
  <si>
    <t xml:space="preserve">Ashley Alteams India Ltd. (AAIL)</t>
  </si>
  <si>
    <t xml:space="preserve">The 50:50 JV partnership between Ashok Leyland and Alteams OY, Finland aims to be a world-class aluminium diecasting manufacturer and </t>
  </si>
  <si>
    <t xml:space="preserve">become a 'partner of choice' for their customers by providing innovative product solutions. AAIL has set up an Electroplating facility which is now ready and under evaluation.</t>
  </si>
  <si>
    <t xml:space="preserve">AVIA Ashok Leyland Motors s.r.o (AALM)</t>
  </si>
  <si>
    <t xml:space="preserve">AVIA Ashok Leyland Motors s.r.o in Prague, has been producing trucks in the total weight class of 6.5 to 12 tonnes.</t>
  </si>
  <si>
    <t xml:space="preserve">In 2011, the Letnany manufacturing plant produced 600 trucks for the markets of Europe, the United States, and Asia</t>
  </si>
  <si>
    <t xml:space="preserve">Defiance Technologies Ltd.</t>
  </si>
  <si>
    <t xml:space="preserve">Profit and loss deep dive in MD&amp;A</t>
  </si>
  <si>
    <t xml:space="preserve">Revenues and price hikes</t>
  </si>
  <si>
    <t xml:space="preserve">Vehicles: Income from vehicles was at Rs.10,961 Cr., a growth of 12% over the previous year level of Rs.9,779 Cr. The increase in revenue was attributable mainly to a 0.3% growth in vehicle sale volumes in 2011- 12 and impact of pricing actions taken during these two years. </t>
  </si>
  <si>
    <t xml:space="preserve">Considering the increase in cost of inputs and operations, your Company revised the prices on four occasions to register an average increase of Rs.54,500/- per vehicle.</t>
  </si>
  <si>
    <t xml:space="preserve">Revenue from engines increased to Rs.318 Cr., a 3% increase over the previous year level of Rs.309 Cr., </t>
  </si>
  <si>
    <t xml:space="preserve">mainly due to pricing action taken in 2011- 12 despite drop in volume by 8%.</t>
  </si>
  <si>
    <t xml:space="preserve">Revenue from services and other operating income: These have increased to Rs.221 Cr. against Rs.139 Cr. in the previous year, registering a growth of 59% </t>
  </si>
  <si>
    <t xml:space="preserve">mainly due to LCV contract manufacturing revenue of Rs.26 Cr., </t>
  </si>
  <si>
    <t xml:space="preserve">higher export incentives due to increased exports sales in 2011-12 by Rs.24 Cr.</t>
  </si>
  <si>
    <t xml:space="preserve">and higher scrap sales and others to the tune of Rs.32 Cr. in 2011-12.</t>
  </si>
  <si>
    <t xml:space="preserve">Other income was lower by Rs.4 Cr., mainly due to lower interest receipts.</t>
  </si>
  <si>
    <t xml:space="preserve">Material Cost: Although cost pressure on all commodities, except rubber, appeared to subside in first quarter of 2011-12, these gained momentum
northwards for the rest of the three quarters leading to a weighted average increase of about 2%, eventually forcing the Company to take pricing actions at appropriate times.</t>
  </si>
  <si>
    <t xml:space="preserve">• Staff Costs: Employee expenses went up significantly in 2011-12 primarily due to increase in executive strength. </t>
  </si>
  <si>
    <t xml:space="preserve">Other expenses were higher by 33% primarily due to higher activity levels at the manufacturing unit at Pantnagar and higher incurrence in power, and fuel consumption to cope with higher power cuts / tariff increases and higher selling overheads and higher R&amp;D expenditure.• </t>
  </si>
  <si>
    <t xml:space="preserve">• Depreciations for the year increased to Rs.353 Cr. compared to Rs. 267 Cr. in the previous year primarily due to full year impact of last year additions.</t>
  </si>
  <si>
    <t xml:space="preserve">Finance costs increased to Rs.255 Cr. during the year from Rs.189 Cr., in the previous year. To part fund the capital expenditure and investment equirements, your Company borrowed Rs.550 Cr. during the year. Interest cost on the fresh loans together with the full year impact of the loans availed by the end of 2010-11 resulted in higher finance costs. In addition, significant increase in working capital during April 2011 to March 2012, led to more short term borrowing which also contributed to higher interest costs.</t>
  </si>
  <si>
    <t xml:space="preserve">Capital Expenditure and Investments</t>
  </si>
  <si>
    <t xml:space="preserve">During the year, your Company incurred Rs 599 Cr. towardscapital expenditure, mainly towards development ofadditional infrastructure and other facilities at Pantnagar</t>
  </si>
  <si>
    <t xml:space="preserve">for setting up integrated manufacturing facilities aswell as for development of manufacturing facilities forLCV at Hosur under joint venture with Nissan Motors,</t>
  </si>
  <si>
    <t xml:space="preserve">Japan. Your Company also incurred capital expendituretowards implementing a new ERP system. The rest of thecapital expenditure was towards capacity optimisation</t>
  </si>
  <si>
    <t xml:space="preserve">programmes in existing plants.During the year, your Company along with the investmentarms have increased their stake to 75.1% (from earlier 26%)</t>
  </si>
  <si>
    <t xml:space="preserve">in Optare plc UK. Your Company also made investments inJoint ventures (JV) for Light Commercial Vehicles (JV withNissan) and for Construction Equipment (JV with John Deere</t>
  </si>
  <si>
    <t xml:space="preserve">Liquidity</t>
  </si>
  <si>
    <t xml:space="preserve">Your Company continued with the 'Cash and Carry' systemof sales during the year which has been effective since May2009. This has enabled your Company to better manage</t>
  </si>
  <si>
    <t xml:space="preserve">the increased liquidity requirements. During the year, yourCompany raised ECB loan of USD 150 Million and placedNCDs to the tune of Rs.150 Cr. to pre-pay high cost NCDs</t>
  </si>
  <si>
    <t xml:space="preserve">The Year Ahead</t>
  </si>
  <si>
    <t xml:space="preserve">Despite the anticipated strong head winds in the economic environment that could impact the demand for commercial vehicles, the market is expected to see reasonable growth</t>
  </si>
  <si>
    <t xml:space="preserve">in Intermediate and Light Commercial Vehicles. Your Company will focus to further consolidate its operations in 2012-13. The successful launch of 'Dost' and</t>
  </si>
  <si>
    <t xml:space="preserve">the Backhoe loader through Joint Ventures in 2011-12 has expanded the range of product offerings. The Pantnagar plant will be ramping up to full capacity. The launch of new</t>
  </si>
  <si>
    <t xml:space="preserve">models in the tractor and tipper segments in the second half of 2011-12 will keep your Company in good stead to meet the demand requirements of next year.</t>
  </si>
  <si>
    <t xml:space="preserve">Chairman's letter…</t>
  </si>
  <si>
    <t xml:space="preserve">Mkts </t>
  </si>
  <si>
    <t xml:space="preserve">South dipped 17% Y/Y..</t>
  </si>
  <si>
    <t xml:space="preserve">Vision </t>
  </si>
  <si>
    <t xml:space="preserve">your Company is pursuing the vision to be, in</t>
  </si>
  <si>
    <t xml:space="preserve">volume terms, among the Top 10 truck manufacturers and</t>
  </si>
  <si>
    <t xml:space="preserve">Top 5 bus players globally.</t>
  </si>
  <si>
    <t xml:space="preserve">New products </t>
  </si>
  <si>
    <t xml:space="preserve">Dost - 1.25MT - 29% mkt sh within 6 mths of launch </t>
  </si>
  <si>
    <t xml:space="preserve">two further new-generation</t>
  </si>
  <si>
    <t xml:space="preserve">LCV platforms, the STiLE</t>
  </si>
  <si>
    <t xml:space="preserve">a multi-frictional van and</t>
  </si>
  <si>
    <t xml:space="preserve">the PARTNER a 6-Tonne</t>
  </si>
  <si>
    <t xml:space="preserve">truck were also unveiled at</t>
  </si>
  <si>
    <t xml:space="preserve">Auto Expo 2012, New Delhi</t>
  </si>
  <si>
    <t xml:space="preserve">signalling the products to follow in the near future.</t>
  </si>
  <si>
    <t xml:space="preserve">Distribution </t>
  </si>
  <si>
    <t xml:space="preserve">15% network expansion - now over 400 touch points</t>
  </si>
  <si>
    <t xml:space="preserve">Under the</t>
  </si>
  <si>
    <t xml:space="preserve">aegis of the loyalty programme MITR, the number of</t>
  </si>
  <si>
    <t xml:space="preserve">locations of 'Leyparts' availability increased to over 20,000.</t>
  </si>
  <si>
    <t xml:space="preserve">Therefore, we plotted all the major highways in</t>
  </si>
  <si>
    <t xml:space="preserve">the country and set up touch points at every 75 kms to live</t>
  </si>
  <si>
    <t xml:space="preserve">up to our TATKAAL promise. This is a programme that was</t>
  </si>
  <si>
    <t xml:space="preserve">first launched by us by which we assure a customer that</t>
  </si>
  <si>
    <t xml:space="preserve">we will reach him within 4 hours on any major highway in</t>
  </si>
  <si>
    <t xml:space="preserve">the country and restore his vehicle within 48 hours.</t>
  </si>
  <si>
    <t xml:space="preserve">Defense </t>
  </si>
  <si>
    <t xml:space="preserve">Building on the</t>
  </si>
  <si>
    <t xml:space="preserve">strength of 70,000 Station vehicles in use, as the Indian</t>
  </si>
  <si>
    <t xml:space="preserve">Army's largest supplier of logistics vehicles, your Company</t>
  </si>
  <si>
    <t xml:space="preserve">is expanding on the Stallion range with the 6x6 and 8x8</t>
  </si>
  <si>
    <t xml:space="preserve">versions.</t>
  </si>
  <si>
    <t xml:space="preserve">The R&amp;D spend for the year was Rs. 349 Cr.</t>
  </si>
  <si>
    <t xml:space="preserve">constituting about 3% of our turnover and an increase of</t>
  </si>
  <si>
    <t xml:space="preserve">almost 20% over last year demonstrating your Company's</t>
  </si>
  <si>
    <t xml:space="preserve">unwavering commitment for Product Development.</t>
  </si>
  <si>
    <t xml:space="preserve">John deere </t>
  </si>
  <si>
    <t xml:space="preserve">Launch</t>
  </si>
  <si>
    <t xml:space="preserve">of the first product the 435 Backhoe Loader under the</t>
  </si>
  <si>
    <t xml:space="preserve">Leyland Deere' brand.</t>
  </si>
  <si>
    <t xml:space="preserve">AR analysis - </t>
  </si>
  <si>
    <t xml:space="preserve">Pantnagar plant </t>
  </si>
  <si>
    <t xml:space="preserve">achieved 4000 units in mar 2012 - so at peak utilisation </t>
  </si>
  <si>
    <t xml:space="preserve">distribution expansion </t>
  </si>
  <si>
    <t xml:space="preserve">shift toward LCVs </t>
  </si>
</sst>
</file>

<file path=xl/styles.xml><?xml version="1.0" encoding="utf-8"?>
<styleSheet xmlns="http://schemas.openxmlformats.org/spreadsheetml/2006/main">
  <numFmts count="160">
    <numFmt numFmtId="164" formatCode="General"/>
    <numFmt numFmtId="165" formatCode="#,##0;\-#,##0;\-"/>
    <numFmt numFmtId="166" formatCode="#,##0%;\-#,##0%;\-"/>
    <numFmt numFmtId="167" formatCode="#,##0.0%;\-#,##0.0%;\-"/>
    <numFmt numFmtId="168" formatCode="#,##0.0\ ;\(#,##0.0\)"/>
    <numFmt numFmtId="169" formatCode="#,##0;\(#,##0\);\-"/>
    <numFmt numFmtId="170" formatCode="#,##0"/>
    <numFmt numFmtId="171" formatCode="0.0"/>
    <numFmt numFmtId="172" formatCode="0.00"/>
    <numFmt numFmtId="173" formatCode="#,##0.0\x"/>
    <numFmt numFmtId="174" formatCode="#,##0.0_);\(#,##0.0\)"/>
    <numFmt numFmtId="175" formatCode="\\#,##0;[RED]&quot;\-&quot;#,##0"/>
    <numFmt numFmtId="176" formatCode="\\#,##0.00;[RED]&quot;\-&quot;#,##0.00"/>
    <numFmt numFmtId="177" formatCode="\ #,##0.0_);\(#,##0.0\);&quot; - &quot;_);@_)"/>
    <numFmt numFmtId="178" formatCode="@"/>
    <numFmt numFmtId="179" formatCode="0.0_)\%;\(0.0&quot;)%&quot;;0.0_)\%;@_)_%"/>
    <numFmt numFmtId="180" formatCode="#,##0.0_)_%;\(#,##0.0\)_%;0.0_)_%;@_)_%"/>
    <numFmt numFmtId="181" formatCode="#,##0_);\(#,##0\)"/>
    <numFmt numFmtId="182" formatCode="#,##0.0_);\(#,##0.0\);#,##0.0_);@_)"/>
    <numFmt numFmtId="183" formatCode="\$_(#,##0.00_);&quot;$(&quot;#,##0.00\)"/>
    <numFmt numFmtId="184" formatCode="\$_(#,##0.00_);&quot;$(&quot;#,##0.00\);\$_(0.00_);@_)"/>
    <numFmt numFmtId="185" formatCode="#,##0.00_);\(#,##0.00\)"/>
    <numFmt numFmtId="186" formatCode="#,##0.00_);\(#,##0.00\);0.00_);@_)"/>
    <numFmt numFmtId="187" formatCode="\€_(#,##0.00_);&quot;€(&quot;#,##0.00\);\€_(0.00_);@_)"/>
    <numFmt numFmtId="188" formatCode="#,##0.0_)\x;\(#,##0.0&quot;)x&quot;"/>
    <numFmt numFmtId="189" formatCode="#,##0_)\x;\(#,##0&quot;)x&quot;;0_)\x;@_)_x"/>
    <numFmt numFmtId="190" formatCode="#,##0.0_)\x;\(#,##0.0&quot;)x&quot;;0.0_)\x;@_)_x"/>
    <numFmt numFmtId="191" formatCode="#,##0.0_)_x;\(#,##0.0\)_x"/>
    <numFmt numFmtId="192" formatCode="#,##0_)_x;\(#,##0\)_x;0_)_x;@_)_x"/>
    <numFmt numFmtId="193" formatCode="#,##0.0_)_x;\(#,##0.0\)_x;0.0_)_x;@_)_x"/>
    <numFmt numFmtId="194" formatCode="0.0_)\%;\(0.0&quot;)%&quot;"/>
    <numFmt numFmtId="195" formatCode="#,##0.0_)_%;\(#,##0.0\)_%"/>
    <numFmt numFmtId="196" formatCode="#,##0.0_);[RED]\(#,##0.0\)"/>
    <numFmt numFmtId="197" formatCode="0"/>
    <numFmt numFmtId="198" formatCode="_(* #,##0_);_(* \(#,##0\);_(* &quot;&quot;_);_(@_)"/>
    <numFmt numFmtId="199" formatCode="0.0%;\(0.0\)%"/>
    <numFmt numFmtId="200" formatCode="dd\-mm"/>
    <numFmt numFmtId="201" formatCode="dd/m/yy"/>
    <numFmt numFmtId="202" formatCode="_(* #,##0.00_);_(* \(#,##0.00\);_(* \-??_);_(@_)"/>
    <numFmt numFmtId="203" formatCode="0.000"/>
    <numFmt numFmtId="204" formatCode="#,##0.0_);[RED]&quot;\\\\\\\\\\\\\(&quot;#,##0.0&quot;\\\\\\\\\\\\\)&quot;;&quot;\\\\\\\\\\\\\-&quot;_)"/>
    <numFmt numFmtId="205" formatCode="#,##0_);[RED]\(#,##0\)"/>
    <numFmt numFmtId="206" formatCode="#,##0&quot;  &quot;"/>
    <numFmt numFmtId="207" formatCode="0.00_);\(0.00\);0.00"/>
    <numFmt numFmtId="208" formatCode="\$#,##0_);[RED]&quot;($&quot;#,##0\)"/>
    <numFmt numFmtId="209" formatCode="0.0_)"/>
    <numFmt numFmtId="210" formatCode="_(\$* #,##0.00_);_(\$* \(#,##0.00\);_(\$* \-??_);_(@_)"/>
    <numFmt numFmtId="211" formatCode="d/mmm/yy"/>
    <numFmt numFmtId="212" formatCode="0.00000"/>
    <numFmt numFmtId="213" formatCode="m/d/yyyy"/>
    <numFmt numFmtId="214" formatCode="yyyy"/>
    <numFmt numFmtId="215" formatCode="00&quot;\\\\\\\\\\\\\-&quot;00"/>
    <numFmt numFmtId="216" formatCode="m"/>
    <numFmt numFmtId="217" formatCode="d\-mmm\-yy"/>
    <numFmt numFmtId="218" formatCode="_(\$* #,##0_);_(\$* \(#,##0\);_(\$* \-_);_(@_)"/>
    <numFmt numFmtId="219" formatCode="_(* #,###.0_);_(* \(#,###.0\);_(* \-?_);_(@_)"/>
    <numFmt numFmtId="220" formatCode="0\ ;\-0\ "/>
    <numFmt numFmtId="221" formatCode="0.00\ ;\-0.00\ "/>
    <numFmt numFmtId="222" formatCode="0.000\ ;\-0.000\ "/>
    <numFmt numFmtId="223" formatCode="_-* #,##0_-;\-* #,##0_-;_-* \-_-;_-@_-"/>
    <numFmt numFmtId="224" formatCode="#,##0.00"/>
    <numFmt numFmtId="225" formatCode="#,##0.000,_);[RED]&quot;\\\\\\\\\\\\\(&quot;#,##0.000,&quot;\\\\\\\\\\\\\)&quot;;;"/>
    <numFmt numFmtId="226" formatCode="0%;[RED]&quot;\\\\\\\\\\\\\(&quot;0%&quot;\\\\\\\\\\\\\)&quot;;;"/>
    <numFmt numFmtId="227" formatCode="#,##0.000,_);[RED]&quot;\\\\\\\\(&quot;#,##0.000,&quot;\\\\\\\\)&quot;;;"/>
    <numFmt numFmtId="228" formatCode="#,##0;\(#,##0\)"/>
    <numFmt numFmtId="229" formatCode="\$#,##0.00_);[RED]&quot;($&quot;#,##0.00\)"/>
    <numFmt numFmtId="230" formatCode="&quot;C$&quot;#,##0.00_);[RED]&quot;(C$&quot;#,##0.00\)"/>
    <numFmt numFmtId="231" formatCode="0.00\p"/>
    <numFmt numFmtId="232" formatCode="_([$€-2]* #,##0.00_);_([$€-2]* \(#,##0.00\);_([$€-2]* \-??_)"/>
    <numFmt numFmtId="233" formatCode="_(\ #,##0.0_%_);_(&quot; (&quot;#,##0.0_%\);_(&quot;  - &quot;_%_);_(@_)"/>
    <numFmt numFmtId="234" formatCode="_(\ #,##0.0%_);_(&quot; (&quot;#,##0.0%\);_(&quot;  - %&quot;_);_(@_)"/>
    <numFmt numFmtId="235" formatCode="#,##0_);\(#,##0\);&quot; - &quot;_);@_)"/>
    <numFmt numFmtId="236" formatCode="\ #,##0.00_);\(#,##0.00\);&quot; - &quot;_);@_)"/>
    <numFmt numFmtId="237" formatCode="\ #,##0.000_);\(#,##0.000\);&quot; - &quot;_);@_)"/>
    <numFmt numFmtId="238" formatCode="d\ mmmm\ yyyy"/>
    <numFmt numFmtId="239" formatCode="#,##0;[RED]\(#,##0\);0"/>
    <numFmt numFmtId="240" formatCode="#,##0.0000\ ;\(#,##0.0000\)"/>
    <numFmt numFmtId="241" formatCode="0.0%_);[RED]\(0.0%\)"/>
    <numFmt numFmtId="242" formatCode="0.0%_);\(0.0%\)"/>
    <numFmt numFmtId="243" formatCode="0.000000"/>
    <numFmt numFmtId="244" formatCode="#,##0.0"/>
    <numFmt numFmtId="245" formatCode="&quot;HK$&quot;#,##0"/>
    <numFmt numFmtId="246" formatCode="&quot;HK$&quot;#,##0.00"/>
    <numFmt numFmtId="247" formatCode="mmyy"/>
    <numFmt numFmtId="248" formatCode="#,##0.0,_);[RED]&quot;\\\\\\\\\\\\\(&quot;#,##0.0,&quot;\\\\\\\\\\\\\)&quot;;0"/>
    <numFmt numFmtId="249" formatCode="#,##0_);[MAGENTA]\(#,##0\)"/>
    <numFmt numFmtId="250" formatCode="0.00_);\(0.00\);0.00_)"/>
    <numFmt numFmtId="251" formatCode="0.0%"/>
    <numFmt numFmtId="252" formatCode="#,##0.0_);[RED]&quot;\\\\\\\\\\\\\(&quot;#,##0.0&quot;\\\\\\\\\\\\\)&quot;;;"/>
    <numFmt numFmtId="253" formatCode="0.0\m"/>
    <numFmt numFmtId="254" formatCode="&quot;FFr&quot;#,##0_);[RED]&quot;(FFr&quot;#,##0\)"/>
    <numFmt numFmtId="255" formatCode="#,##0.0\x_);[RED]\(#,##0.0&quot;x)&quot;"/>
    <numFmt numFmtId="256" formatCode="#,##0.00_);[RED]\(#,##0.00\)"/>
    <numFmt numFmtId="257" formatCode="\$#,##0.0;&quot;-$&quot;#,##0.0"/>
    <numFmt numFmtId="258" formatCode="#,##0.00;\(#,##0.00\)"/>
    <numFmt numFmtId="259" formatCode="0.0\x;\-0.0\x;;"/>
    <numFmt numFmtId="260" formatCode="#,##0.0;\(#,##0.0\)"/>
    <numFmt numFmtId="261" formatCode="0.00_)"/>
    <numFmt numFmtId="262" formatCode="0%"/>
    <numFmt numFmtId="263" formatCode="#,##0_);[RED]&quot;\\\\\\\\\\\\\(&quot;#,##0&quot;\\\\\\\\\\\\\)&quot;;0_)"/>
    <numFmt numFmtId="264" formatCode="#,##0.0_);[RED]&quot;\\\\\\\\\\\\\(&quot;#,##0.0&quot;\\\\\\\\\\\\\)&quot;;0.0"/>
    <numFmt numFmtId="265" formatCode="#,##0.00_);[RED]&quot;\\\\\\\\\\\\\(&quot;#,##0.00&quot;\\\\\\\\\\\\\)&quot;;0.00"/>
    <numFmt numFmtId="266" formatCode="#,##0.000_);[RED]&quot;\\\\\\\\\\\\\(&quot;#,##0.000&quot;\\\\\\\\\\\\\)&quot;;;"/>
    <numFmt numFmtId="267" formatCode="#,##0.000_);[RED]&quot;\\\\\\\\(&quot;#,##0.000&quot;\\\\\\\\)&quot;;;"/>
    <numFmt numFmtId="268" formatCode="#,##0.0,_);[RED]&quot;\\\\\\\\\\\\\(&quot;#,##0.0,&quot;\\\\\\\\\\\\\)&quot;;0.0_)"/>
    <numFmt numFmtId="269" formatCode="#,##0.0\ ;\-#,##0.0\ "/>
    <numFmt numFmtId="270" formatCode="0.0\x_);[RED]\(0.0&quot;x)&quot;"/>
    <numFmt numFmtId="271" formatCode="0.00%_);\(0.00%\)"/>
    <numFmt numFmtId="272" formatCode="\+0.0%;\-0.0%"/>
    <numFmt numFmtId="273" formatCode="0.00%"/>
    <numFmt numFmtId="274" formatCode="0.0%;\(0.0%\)"/>
    <numFmt numFmtId="275" formatCode="0.0%;[RED]&quot;\\\\\\\\\\\\\(&quot;0%&quot;\\\\\\\\\\\\\)&quot;;0"/>
    <numFmt numFmtId="276" formatCode="0.0%;[RED]\(0.0%\)"/>
    <numFmt numFmtId="277" formatCode="0.00\%;\-0.00\%;0.00\%"/>
    <numFmt numFmtId="278" formatCode="[&gt;0.05][RED]&quot;\\\\\\\\\\\\\ &quot;0%;[&lt;-0.05][RED]&quot;\\\\\\\\\\\\\ &quot;0%;0%"/>
    <numFmt numFmtId="279" formatCode="#,##0.000_);[RED]\(#,##0.000\)"/>
    <numFmt numFmtId="280" formatCode="\£#,##0"/>
    <numFmt numFmtId="281" formatCode="0.000%;\(0.000%\)"/>
    <numFmt numFmtId="282" formatCode="0.00\x;\-0.00\x;0.00\x"/>
    <numFmt numFmtId="283" formatCode="#,##0.000_);[RED]&quot;\\\\\\\\\\\\\(&quot;#,##0.000&quot;\\\\\\\\\\\\\)&quot;;&quot;\\\\\\\\\\\\\-&quot;_)"/>
    <numFmt numFmtId="284" formatCode="0.00;[RED]0.00"/>
    <numFmt numFmtId="285" formatCode="##0.00000"/>
    <numFmt numFmtId="286" formatCode="#,##0\ ;[RED]\(#,##0\)"/>
    <numFmt numFmtId="287" formatCode="#,###;\(#,###\);&quot;----&quot;"/>
    <numFmt numFmtId="288" formatCode="_-* #,##0.0_-;\-* #,##0.0_-;_-* \-??_-;_-@_-"/>
    <numFmt numFmtId="289" formatCode="#,##0.000\ ;\(#,##0.000\)"/>
    <numFmt numFmtId="290" formatCode="0.00\x"/>
    <numFmt numFmtId="291" formatCode="mmm\-yy"/>
    <numFmt numFmtId="292" formatCode="#,##0.00\ ;\(#,##0.00\)"/>
    <numFmt numFmtId="293" formatCode="&quot;US$&quot;#,##0"/>
    <numFmt numFmtId="294" formatCode="&quot;US$&quot;#,##0.00"/>
    <numFmt numFmtId="295" formatCode="_-\£* #,##0_-;&quot;-£&quot;* #,##0_-;_-\£* \-_-;_-@_-"/>
    <numFmt numFmtId="296" formatCode="&quot;DM&quot;#,##0.00;[RED]&quot;-DM&quot;#,##0.00"/>
    <numFmt numFmtId="297" formatCode="0\E"/>
    <numFmt numFmtId="298" formatCode="#,##0.0;[RED]\-0.0;0.0"/>
    <numFmt numFmtId="299" formatCode="_(* #,##0_);_(* \(#,##0\);_(* \-_);_(@_)"/>
    <numFmt numFmtId="300" formatCode="#,##0;\(#,##0\);\-"/>
    <numFmt numFmtId="301" formatCode="0.0%;\(0.0%\);\-"/>
    <numFmt numFmtId="302" formatCode="#,##0.0;\(#,##0.0\);\-"/>
    <numFmt numFmtId="303" formatCode="#,##0&quot; bps&quot;;\(#,##0&quot;) bps&quot;;\-"/>
    <numFmt numFmtId="304" formatCode="_(* #,##0_);_(* \(#,##0\);_(* \-??_);_(@_)"/>
    <numFmt numFmtId="305" formatCode="_(* #,##0.000_);_(* \(#,##0.000\);_(* \-??_);_(@_)"/>
    <numFmt numFmtId="306" formatCode="_(* #,##0.0_);_(* \(#,##0.0\);_(* \-??_);_(@_)"/>
    <numFmt numFmtId="307" formatCode="General"/>
    <numFmt numFmtId="308" formatCode="0.000%"/>
    <numFmt numFmtId="309" formatCode="_(* #,##0.0000_);_(* \(#,##0.0000\);_(* \-??_);_(@_)"/>
    <numFmt numFmtId="310" formatCode="_(* #,##0.000000_);_(* \(#,##0.000000\);_(* \-??_);_(@_)"/>
    <numFmt numFmtId="311" formatCode="d\-mmm"/>
    <numFmt numFmtId="312" formatCode="_(* #,##0.00000_);_(* \(#,##0.00000\);_(* \-??_);_(@_)"/>
    <numFmt numFmtId="313" formatCode="0.0000"/>
    <numFmt numFmtId="314" formatCode="_(* #,##0.0000000_);_(* \(#,##0.0000000\);_(* \-??_);_(@_)"/>
    <numFmt numFmtId="315" formatCode="_(* #,##0.0_);_(* \(#,##0.0\);_(* \-?_);_(@_)"/>
    <numFmt numFmtId="316" formatCode="_(* #,##0.0000000_);_(* \(#,##0.0000000\);_(* \-?_);_(@_)"/>
    <numFmt numFmtId="317" formatCode="_(* #,##0.0000000000_);_(* \(#,##0.0000000000\);_(* \-??_);_(@_)"/>
    <numFmt numFmtId="318" formatCode="#,##0.00;\(#,##0.00\);\-"/>
    <numFmt numFmtId="319" formatCode="0.0%;\(0.0%\);\-"/>
    <numFmt numFmtId="320" formatCode="#,##0.0;\(#,##0.0\);\-"/>
    <numFmt numFmtId="321" formatCode="0.0\x"/>
    <numFmt numFmtId="322" formatCode="_-* #,##0.00_-;\-* #,##0.00_-;_-* \-??_-;_-@_-"/>
    <numFmt numFmtId="323" formatCode="_-* #,##0.00000_-;\-* #,##0.00000_-;_-* \-??_-;_-@_-"/>
  </numFmts>
  <fonts count="223">
    <font>
      <sz val="10"/>
      <name val="Arial"/>
      <family val="2"/>
      <charset val="1"/>
    </font>
    <font>
      <sz val="10"/>
      <name val="Arial"/>
      <family val="0"/>
    </font>
    <font>
      <sz val="10"/>
      <name val="Arial"/>
      <family val="0"/>
    </font>
    <font>
      <sz val="10"/>
      <name val="Arial"/>
      <family val="0"/>
    </font>
    <font>
      <b val="true"/>
      <sz val="10"/>
      <name val="MS Sans Serif"/>
      <family val="2"/>
      <charset val="1"/>
    </font>
    <font>
      <sz val="10"/>
      <name val="Courier New"/>
      <family val="3"/>
      <charset val="1"/>
    </font>
    <font>
      <sz val="9"/>
      <name val="Arial"/>
      <family val="2"/>
      <charset val="1"/>
    </font>
    <font>
      <sz val="10"/>
      <color rgb="FF000000"/>
      <name val="MS Sans Serif"/>
      <family val="2"/>
      <charset val="1"/>
    </font>
    <font>
      <i val="true"/>
      <sz val="10"/>
      <color rgb="FF000080"/>
      <name val="Arial Narrow"/>
      <family val="2"/>
      <charset val="1"/>
    </font>
    <font>
      <sz val="8.25"/>
      <name val="Arial"/>
      <family val="2"/>
      <charset val="1"/>
    </font>
    <font>
      <b val="true"/>
      <sz val="10"/>
      <name val="Arial"/>
      <family val="2"/>
      <charset val="1"/>
    </font>
    <font>
      <sz val="8"/>
      <name val="Arial"/>
      <family val="2"/>
      <charset val="1"/>
    </font>
    <font>
      <sz val="11"/>
      <color rgb="FF000000"/>
      <name val="Calibri"/>
      <family val="2"/>
      <charset val="1"/>
    </font>
    <font>
      <sz val="11"/>
      <color rgb="FFFFFFFF"/>
      <name val="Calibri"/>
      <family val="2"/>
      <charset val="1"/>
    </font>
    <font>
      <sz val="11"/>
      <name val="MS P????"/>
      <family val="3"/>
      <charset val="1"/>
    </font>
    <font>
      <sz val="11"/>
      <name val="??"/>
      <family val="1"/>
      <charset val="1"/>
    </font>
    <font>
      <sz val="10"/>
      <name val="Arial Narrow"/>
      <family val="2"/>
      <charset val="1"/>
    </font>
    <font>
      <sz val="10"/>
      <name val="Times New Roman"/>
      <family val="1"/>
      <charset val="1"/>
    </font>
    <font>
      <sz val="12"/>
      <name val="Arial"/>
      <family val="2"/>
      <charset val="1"/>
    </font>
    <font>
      <b val="true"/>
      <sz val="22"/>
      <color rgb="FF000080"/>
      <name val="Arial"/>
      <family val="2"/>
      <charset val="1"/>
    </font>
    <font>
      <sz val="10"/>
      <name val="Arial"/>
      <family val="2"/>
      <charset val="204"/>
    </font>
    <font>
      <b val="true"/>
      <sz val="14"/>
      <color rgb="FF000080"/>
      <name val="Arial"/>
      <family val="2"/>
      <charset val="1"/>
    </font>
    <font>
      <sz val="9"/>
      <color rgb="FF000000"/>
      <name val="Arial"/>
      <family val="2"/>
      <charset val="1"/>
    </font>
    <font>
      <b val="true"/>
      <sz val="10"/>
      <color rgb="FF000080"/>
      <name val="Arial"/>
      <family val="2"/>
      <charset val="1"/>
    </font>
    <font>
      <b val="true"/>
      <u val="single"/>
      <sz val="10"/>
      <color rgb="FF000080"/>
      <name val="Arial"/>
      <family val="2"/>
      <charset val="1"/>
    </font>
    <font>
      <sz val="7"/>
      <color rgb="FFFF00FF"/>
      <name val="Small Fonts"/>
      <family val="2"/>
      <charset val="1"/>
    </font>
    <font>
      <b val="true"/>
      <sz val="6"/>
      <name val="Arial"/>
      <family val="2"/>
      <charset val="1"/>
    </font>
    <font>
      <b val="true"/>
      <sz val="8"/>
      <name val="Arial"/>
      <family val="2"/>
      <charset val="1"/>
    </font>
    <font>
      <i val="true"/>
      <sz val="8"/>
      <name val="Arial"/>
      <family val="2"/>
      <charset val="1"/>
    </font>
    <font>
      <sz val="11"/>
      <color rgb="FFFF0000"/>
      <name val="Calibri"/>
      <family val="2"/>
      <charset val="1"/>
    </font>
    <font>
      <sz val="11"/>
      <color rgb="FF800080"/>
      <name val="Calibri"/>
      <family val="2"/>
      <charset val="1"/>
    </font>
    <font>
      <sz val="8"/>
      <name val="Times New Roman"/>
      <family val="1"/>
      <charset val="1"/>
    </font>
    <font>
      <b val="true"/>
      <sz val="9"/>
      <color rgb="FF000000"/>
      <name val="Arial"/>
      <family val="2"/>
      <charset val="1"/>
    </font>
    <font>
      <sz val="8"/>
      <color rgb="FF0000FF"/>
      <name val="Times New Roman"/>
      <family val="1"/>
      <charset val="1"/>
    </font>
    <font>
      <sz val="11"/>
      <color rgb="FF008000"/>
      <name val="Calibri"/>
      <family val="2"/>
      <charset val="1"/>
    </font>
    <font>
      <b val="true"/>
      <sz val="11"/>
      <color rgb="FFFF9900"/>
      <name val="Calibri"/>
      <family val="2"/>
      <charset val="1"/>
    </font>
    <font>
      <b val="true"/>
      <sz val="8"/>
      <name val="Times New Roman"/>
      <family val="1"/>
      <charset val="1"/>
    </font>
    <font>
      <b val="true"/>
      <sz val="11"/>
      <color rgb="FFFFFFFF"/>
      <name val="Calibri"/>
      <family val="2"/>
      <charset val="1"/>
    </font>
    <font>
      <sz val="11"/>
      <color rgb="FFFF9900"/>
      <name val="Calibri"/>
      <family val="2"/>
      <charset val="1"/>
    </font>
    <font>
      <sz val="10"/>
      <color rgb="FF000080"/>
      <name val="Times New Roman"/>
      <family val="1"/>
      <charset val="1"/>
    </font>
    <font>
      <b val="true"/>
      <sz val="9"/>
      <name val="Arial"/>
      <family val="2"/>
      <charset val="1"/>
    </font>
    <font>
      <sz val="16"/>
      <name val="Arial"/>
      <family val="2"/>
      <charset val="1"/>
    </font>
    <font>
      <b val="true"/>
      <sz val="8"/>
      <name val="Switzerland"/>
      <family val="2"/>
      <charset val="1"/>
    </font>
    <font>
      <sz val="10"/>
      <name val="MS Sans Serif"/>
      <family val="2"/>
      <charset val="1"/>
    </font>
    <font>
      <b val="true"/>
      <sz val="7.5"/>
      <name val="Switzerland"/>
      <family val="2"/>
      <charset val="1"/>
    </font>
    <font>
      <i val="true"/>
      <sz val="12"/>
      <name val="Arial"/>
      <family val="2"/>
      <charset val="1"/>
    </font>
    <font>
      <b val="true"/>
      <i val="true"/>
      <sz val="12"/>
      <color rgb="FF00FF00"/>
      <name val="Geneva"/>
      <family val="2"/>
      <charset val="1"/>
    </font>
    <font>
      <sz val="24"/>
      <name val="MS Sans Serif"/>
      <family val="2"/>
      <charset val="1"/>
    </font>
    <font>
      <i val="true"/>
      <sz val="10"/>
      <color rgb="FF000080"/>
      <name val="MS Sans Serif"/>
      <family val="2"/>
      <charset val="1"/>
    </font>
    <font>
      <sz val="10"/>
      <color rgb="FFFFFF00"/>
      <name val="Arial Narrow"/>
      <family val="2"/>
      <charset val="1"/>
    </font>
    <font>
      <sz val="16"/>
      <color rgb="FF993366"/>
      <name val="Century Schoolbook"/>
      <family val="1"/>
      <charset val="1"/>
    </font>
    <font>
      <b val="true"/>
      <sz val="10"/>
      <color rgb="FF008000"/>
      <name val="Times New Roman"/>
      <family val="1"/>
      <charset val="1"/>
    </font>
    <font>
      <b val="true"/>
      <u val="single"/>
      <sz val="12"/>
      <name val="Geneva"/>
      <family val="2"/>
      <charset val="1"/>
    </font>
    <font>
      <b val="true"/>
      <sz val="12"/>
      <name val="Geneva"/>
      <family val="2"/>
      <charset val="1"/>
    </font>
    <font>
      <u val="double"/>
      <sz val="10"/>
      <name val="Times New Roman"/>
      <family val="1"/>
      <charset val="1"/>
    </font>
    <font>
      <sz val="10"/>
      <color rgb="FF000000"/>
      <name val="Arial"/>
      <family val="2"/>
      <charset val="1"/>
    </font>
    <font>
      <sz val="10"/>
      <name val="MS Sans"/>
      <family val="2"/>
      <charset val="1"/>
    </font>
    <font>
      <b val="true"/>
      <i val="true"/>
      <sz val="14"/>
      <name val="Geneva"/>
      <family val="2"/>
      <charset val="1"/>
    </font>
    <font>
      <sz val="10"/>
      <name val="Times New Roman"/>
      <family val="2"/>
      <charset val="1"/>
    </font>
    <font>
      <sz val="9"/>
      <color rgb="FF0000FF"/>
      <name val="Times New Roman"/>
      <family val="1"/>
      <charset val="1"/>
    </font>
    <font>
      <b val="true"/>
      <sz val="11"/>
      <color rgb="FF003366"/>
      <name val="Calibri"/>
      <family val="2"/>
      <charset val="1"/>
    </font>
    <font>
      <sz val="24"/>
      <color rgb="FFFFFF00"/>
      <name val="SWISS"/>
      <family val="2"/>
      <charset val="1"/>
    </font>
    <font>
      <sz val="11"/>
      <color rgb="FF333399"/>
      <name val="Calibri"/>
      <family val="2"/>
      <charset val="1"/>
    </font>
    <font>
      <i val="true"/>
      <sz val="11"/>
      <color rgb="FF808080"/>
      <name val="Calibri"/>
      <family val="2"/>
      <charset val="1"/>
    </font>
    <font>
      <i val="true"/>
      <sz val="10"/>
      <name val="Arial Narrow"/>
      <family val="2"/>
      <charset val="1"/>
    </font>
    <font>
      <b val="true"/>
      <sz val="10"/>
      <color rgb="FF000080"/>
      <name val="Arial Narrow"/>
      <family val="2"/>
      <charset val="1"/>
    </font>
    <font>
      <sz val="14"/>
      <name val="Arial"/>
      <family val="2"/>
      <charset val="1"/>
    </font>
    <font>
      <b val="true"/>
      <sz val="12"/>
      <color rgb="FF969696"/>
      <name val="Arial"/>
      <family val="2"/>
      <charset val="1"/>
    </font>
    <font>
      <b val="true"/>
      <sz val="14"/>
      <name val="Arial"/>
      <family val="2"/>
      <charset val="1"/>
    </font>
    <font>
      <b val="true"/>
      <sz val="11"/>
      <name val="Times New Roman"/>
      <family val="1"/>
      <charset val="1"/>
    </font>
    <font>
      <b val="true"/>
      <sz val="10"/>
      <name val="Times New Roman"/>
      <family val="1"/>
      <charset val="1"/>
    </font>
    <font>
      <b val="true"/>
      <i val="true"/>
      <sz val="9.5"/>
      <name val="Times New Roman"/>
      <family val="1"/>
      <charset val="1"/>
    </font>
    <font>
      <sz val="10"/>
      <color rgb="FF000080"/>
      <name val="Arial Narrow"/>
      <family val="2"/>
      <charset val="1"/>
    </font>
    <font>
      <b val="true"/>
      <sz val="16"/>
      <name val="Arial"/>
      <family val="2"/>
      <charset val="1"/>
    </font>
    <font>
      <sz val="8"/>
      <color rgb="FF000080"/>
      <name val="Arial Narrow"/>
      <family val="2"/>
      <charset val="1"/>
    </font>
    <font>
      <b val="true"/>
      <sz val="10"/>
      <name val="Arial Narrow"/>
      <family val="2"/>
      <charset val="1"/>
    </font>
    <font>
      <b val="true"/>
      <i val="true"/>
      <sz val="10"/>
      <name val="Arial Narrow"/>
      <family val="2"/>
      <charset val="1"/>
    </font>
    <font>
      <sz val="7"/>
      <name val="Palatino"/>
      <family val="1"/>
      <charset val="1"/>
    </font>
    <font>
      <sz val="10"/>
      <color rgb="FF0000FF"/>
      <name val="Arial"/>
      <family val="2"/>
      <charset val="1"/>
    </font>
    <font>
      <sz val="10"/>
      <color rgb="FF0000FF"/>
      <name val="Times New Roman"/>
      <family val="1"/>
      <charset val="1"/>
    </font>
    <font>
      <b val="true"/>
      <sz val="14"/>
      <name val="SWISS"/>
      <family val="2"/>
      <charset val="1"/>
    </font>
    <font>
      <sz val="9"/>
      <name val="Bembo (DFS)"/>
      <family val="1"/>
      <charset val="1"/>
    </font>
    <font>
      <i val="true"/>
      <sz val="8"/>
      <color rgb="FF008000"/>
      <name val="Times New Roman"/>
      <family val="1"/>
      <charset val="1"/>
    </font>
    <font>
      <b val="true"/>
      <sz val="8"/>
      <color rgb="FFFF0000"/>
      <name val="Arial"/>
      <family val="2"/>
      <charset val="1"/>
    </font>
    <font>
      <b val="true"/>
      <u val="single"/>
      <sz val="14"/>
      <name val="Geneva"/>
      <family val="2"/>
      <charset val="1"/>
    </font>
    <font>
      <b val="true"/>
      <sz val="15"/>
      <color rgb="FF003366"/>
      <name val="Calibri"/>
      <family val="2"/>
      <charset val="1"/>
    </font>
    <font>
      <b val="true"/>
      <sz val="13"/>
      <color rgb="FF003366"/>
      <name val="Calibri"/>
      <family val="2"/>
      <charset val="1"/>
    </font>
    <font>
      <b val="true"/>
      <sz val="14"/>
      <name val="Geneva"/>
      <family val="2"/>
      <charset val="1"/>
    </font>
    <font>
      <b val="true"/>
      <sz val="10"/>
      <color rgb="FF000080"/>
      <name val="MS Sans Serif"/>
      <family val="2"/>
      <charset val="1"/>
    </font>
    <font>
      <b val="true"/>
      <sz val="10"/>
      <color rgb="FF333399"/>
      <name val="Arial Narrow"/>
      <family val="2"/>
      <charset val="1"/>
    </font>
    <font>
      <sz val="10"/>
      <color rgb="FF000000"/>
      <name val="Times New Roman"/>
      <family val="1"/>
      <charset val="1"/>
    </font>
    <font>
      <u val="single"/>
      <sz val="11"/>
      <color theme="10"/>
      <name val="Calibri"/>
      <family val="2"/>
      <charset val="1"/>
    </font>
    <font>
      <b val="true"/>
      <sz val="6"/>
      <color rgb="FF000080"/>
      <name val="Arial"/>
      <family val="2"/>
      <charset val="1"/>
    </font>
    <font>
      <sz val="10"/>
      <color rgb="FF000000"/>
      <name val="Arial Narrow"/>
      <family val="2"/>
      <charset val="1"/>
    </font>
    <font>
      <sz val="8"/>
      <color rgb="FF008000"/>
      <name val="Times New Roman"/>
      <family val="1"/>
      <charset val="1"/>
    </font>
    <font>
      <b val="true"/>
      <sz val="12"/>
      <color rgb="FF000000"/>
      <name val="Geneva"/>
      <family val="2"/>
      <charset val="1"/>
    </font>
    <font>
      <sz val="10"/>
      <color rgb="FF008000"/>
      <name val="Arial"/>
      <family val="2"/>
      <charset val="1"/>
    </font>
    <font>
      <b val="true"/>
      <u val="single"/>
      <sz val="11"/>
      <color rgb="FFFF0000"/>
      <name val="Times New Roman"/>
      <family val="1"/>
      <charset val="1"/>
    </font>
    <font>
      <sz val="8"/>
      <color rgb="FFFF00FF"/>
      <name val="Times New Roman"/>
      <family val="1"/>
      <charset val="1"/>
    </font>
    <font>
      <sz val="11"/>
      <name val="Arial"/>
      <family val="2"/>
      <charset val="1"/>
    </font>
    <font>
      <i val="true"/>
      <sz val="10"/>
      <name val="Arial"/>
      <family val="2"/>
      <charset val="1"/>
    </font>
    <font>
      <sz val="10"/>
      <name val="GillSans Light"/>
      <family val="2"/>
      <charset val="1"/>
    </font>
    <font>
      <u val="single"/>
      <sz val="8"/>
      <color rgb="FF0000FF"/>
      <name val="Tahoma"/>
      <family val="2"/>
      <charset val="1"/>
    </font>
    <font>
      <sz val="8"/>
      <color rgb="FF000080"/>
      <name val="Times New Roman"/>
      <family val="1"/>
      <charset val="1"/>
    </font>
    <font>
      <b val="true"/>
      <sz val="8"/>
      <color rgb="FF000000"/>
      <name val="Arial"/>
      <family val="2"/>
      <charset val="1"/>
    </font>
    <font>
      <b val="true"/>
      <sz val="9"/>
      <color rgb="FFFF00FF"/>
      <name val="Geneva"/>
      <family val="2"/>
      <charset val="1"/>
    </font>
    <font>
      <i val="true"/>
      <sz val="9"/>
      <color rgb="FF000000"/>
      <name val="Arial"/>
      <family val="2"/>
      <charset val="1"/>
    </font>
    <font>
      <sz val="11"/>
      <color rgb="FF993300"/>
      <name val="Calibri"/>
      <family val="2"/>
      <charset val="1"/>
    </font>
    <font>
      <sz val="7"/>
      <name val="Small Fonts"/>
      <family val="2"/>
      <charset val="1"/>
    </font>
    <font>
      <sz val="8"/>
      <color rgb="FF008000"/>
      <name val="Times New Roman"/>
      <family val="2"/>
      <charset val="1"/>
    </font>
    <font>
      <sz val="10"/>
      <name val="Palatino"/>
      <family val="1"/>
      <charset val="1"/>
    </font>
    <font>
      <b val="true"/>
      <i val="true"/>
      <sz val="16"/>
      <name val="Arial"/>
      <family val="2"/>
      <charset val="1"/>
    </font>
    <font>
      <sz val="10"/>
      <color theme="1"/>
      <name val="Arial"/>
      <family val="2"/>
      <charset val="1"/>
    </font>
    <font>
      <sz val="11"/>
      <color theme="1"/>
      <name val="Calibri"/>
      <family val="2"/>
      <charset val="1"/>
    </font>
    <font>
      <sz val="12"/>
      <name val="Geneva"/>
      <family val="2"/>
      <charset val="1"/>
    </font>
    <font>
      <sz val="14"/>
      <color rgb="FF00FFFF"/>
      <name val="Geneva"/>
      <family val="2"/>
      <charset val="1"/>
    </font>
    <font>
      <b val="true"/>
      <sz val="14"/>
      <color rgb="FF00FFFF"/>
      <name val="Geneva"/>
      <family val="2"/>
      <charset val="1"/>
    </font>
    <font>
      <sz val="8"/>
      <color rgb="FF000000"/>
      <name val="Arial"/>
      <family val="2"/>
      <charset val="1"/>
    </font>
    <font>
      <sz val="11"/>
      <name val="Times New Roman"/>
      <family val="1"/>
      <charset val="1"/>
    </font>
    <font>
      <i val="true"/>
      <sz val="6"/>
      <name val="Arial"/>
      <family val="2"/>
      <charset val="1"/>
    </font>
    <font>
      <b val="true"/>
      <sz val="7"/>
      <name val="Arial"/>
      <family val="2"/>
      <charset val="1"/>
    </font>
    <font>
      <sz val="7"/>
      <name val="Arial"/>
      <family val="2"/>
      <charset val="1"/>
    </font>
    <font>
      <sz val="10"/>
      <color rgb="FF800000"/>
      <name val="Helvetica-Black"/>
      <family val="2"/>
      <charset val="1"/>
    </font>
    <font>
      <b val="true"/>
      <sz val="9"/>
      <name val="Frutiger 45 Light"/>
      <family val="2"/>
      <charset val="1"/>
    </font>
    <font>
      <sz val="8"/>
      <color rgb="FFFF00FF"/>
      <name val="Times New Roman"/>
      <family val="2"/>
      <charset val="1"/>
    </font>
    <font>
      <sz val="8.5"/>
      <name val="Arial"/>
      <family val="2"/>
      <charset val="1"/>
    </font>
    <font>
      <sz val="10"/>
      <color rgb="FF008000"/>
      <name val="MS Sans Serif"/>
      <family val="2"/>
      <charset val="1"/>
    </font>
    <font>
      <b val="true"/>
      <sz val="8"/>
      <color rgb="FF000080"/>
      <name val="Times New Roman"/>
      <family val="1"/>
      <charset val="1"/>
    </font>
    <font>
      <b val="true"/>
      <sz val="10"/>
      <color rgb="FFFFFFFF"/>
      <name val="Arial"/>
      <family val="2"/>
      <charset val="1"/>
    </font>
    <font>
      <sz val="8"/>
      <color rgb="FFFF0000"/>
      <name val="Arial"/>
      <family val="2"/>
      <charset val="1"/>
    </font>
    <font>
      <sz val="10"/>
      <color rgb="FF969696"/>
      <name val="Times New Roman"/>
      <family val="1"/>
      <charset val="1"/>
    </font>
    <font>
      <i val="true"/>
      <sz val="14"/>
      <name val="Arial"/>
      <family val="2"/>
      <charset val="1"/>
    </font>
    <font>
      <i val="true"/>
      <sz val="11"/>
      <name val="Arial"/>
      <family val="2"/>
      <charset val="1"/>
    </font>
    <font>
      <b val="true"/>
      <sz val="8"/>
      <color rgb="FF969696"/>
      <name val="Times New Roman"/>
      <family val="1"/>
      <charset val="1"/>
    </font>
    <font>
      <sz val="10"/>
      <name val="Geneva"/>
      <family val="2"/>
      <charset val="1"/>
    </font>
    <font>
      <b val="true"/>
      <sz val="11"/>
      <color rgb="FF333333"/>
      <name val="Calibri"/>
      <family val="2"/>
      <charset val="1"/>
    </font>
    <font>
      <sz val="10"/>
      <color rgb="FF0000FF"/>
      <name val="MS Sans Serif"/>
      <family val="2"/>
      <charset val="1"/>
    </font>
    <font>
      <b val="true"/>
      <sz val="12"/>
      <name val="MS Sans Serif"/>
      <family val="2"/>
      <charset val="1"/>
    </font>
    <font>
      <u val="single"/>
      <sz val="10"/>
      <name val="Times New Roman"/>
      <family val="1"/>
      <charset val="1"/>
    </font>
    <font>
      <i val="true"/>
      <sz val="7"/>
      <name val="Arial"/>
      <family val="2"/>
      <charset val="1"/>
    </font>
    <font>
      <b val="true"/>
      <sz val="12"/>
      <color rgb="FF003366"/>
      <name val="Times New Roman"/>
      <family val="1"/>
      <charset val="1"/>
    </font>
    <font>
      <sz val="7"/>
      <color rgb="FF003366"/>
      <name val="Times New Roman"/>
      <family val="1"/>
      <charset val="1"/>
    </font>
    <font>
      <sz val="12"/>
      <color rgb="FF003366"/>
      <name val="Times New Roman"/>
      <family val="1"/>
      <charset val="1"/>
    </font>
    <font>
      <b val="true"/>
      <sz val="12"/>
      <color rgb="FF333333"/>
      <name val="Times New Roman"/>
      <family val="1"/>
      <charset val="1"/>
    </font>
    <font>
      <b val="true"/>
      <sz val="11"/>
      <color rgb="FF333333"/>
      <name val="Times New Roman"/>
      <family val="1"/>
      <charset val="1"/>
    </font>
    <font>
      <b val="true"/>
      <u val="single"/>
      <sz val="12"/>
      <color rgb="FF003366"/>
      <name val="Times New Roman"/>
      <family val="1"/>
      <charset val="1"/>
    </font>
    <font>
      <b val="true"/>
      <sz val="10"/>
      <name val="GillSans"/>
      <family val="2"/>
      <charset val="1"/>
    </font>
    <font>
      <sz val="10"/>
      <name val="Webdings"/>
      <family val="1"/>
      <charset val="2"/>
    </font>
    <font>
      <b val="true"/>
      <sz val="10"/>
      <color rgb="FF000080"/>
      <name val="Symbol"/>
      <family val="1"/>
      <charset val="2"/>
    </font>
    <font>
      <b val="true"/>
      <sz val="11"/>
      <name val="Switzerland"/>
      <family val="2"/>
      <charset val="1"/>
    </font>
    <font>
      <b val="true"/>
      <sz val="9"/>
      <name val="Palatino"/>
      <family val="1"/>
      <charset val="1"/>
    </font>
    <font>
      <sz val="9"/>
      <color rgb="FF008080"/>
      <name val="Helvetica-Black"/>
      <family val="2"/>
      <charset val="1"/>
    </font>
    <font>
      <b val="true"/>
      <sz val="10"/>
      <name val="lr ¾©"/>
      <family val="1"/>
      <charset val="1"/>
    </font>
    <font>
      <sz val="24"/>
      <color rgb="FFFFFF00"/>
      <name val="Arial"/>
      <family val="2"/>
      <charset val="1"/>
    </font>
    <font>
      <b val="true"/>
      <sz val="18"/>
      <color rgb="FF003366"/>
      <name val="Cambria"/>
      <family val="2"/>
      <charset val="1"/>
    </font>
    <font>
      <b val="true"/>
      <sz val="13"/>
      <color rgb="FF333399"/>
      <name val="Arial"/>
      <family val="2"/>
      <charset val="1"/>
    </font>
    <font>
      <b val="true"/>
      <sz val="10"/>
      <color rgb="FF800000"/>
      <name val="Times New Roman"/>
      <family val="1"/>
      <charset val="1"/>
    </font>
    <font>
      <b val="true"/>
      <sz val="10"/>
      <color rgb="FF800000"/>
      <name val="Arial"/>
      <family val="2"/>
      <charset val="1"/>
    </font>
    <font>
      <b val="true"/>
      <sz val="12"/>
      <color rgb="FF000000"/>
      <name val="Arial"/>
      <family val="2"/>
      <charset val="1"/>
    </font>
    <font>
      <b val="true"/>
      <sz val="10"/>
      <color rgb="FF000000"/>
      <name val="Arial"/>
      <family val="2"/>
      <charset val="1"/>
    </font>
    <font>
      <b val="true"/>
      <i val="true"/>
      <sz val="12"/>
      <color rgb="FFFF0000"/>
      <name val="Arial"/>
      <family val="2"/>
      <charset val="1"/>
    </font>
    <font>
      <b val="true"/>
      <sz val="11"/>
      <color rgb="FF000000"/>
      <name val="Calibri"/>
      <family val="2"/>
      <charset val="1"/>
    </font>
    <font>
      <b val="true"/>
      <i val="true"/>
      <sz val="10"/>
      <color rgb="FF000000"/>
      <name val="Arial"/>
      <family val="2"/>
      <charset val="1"/>
    </font>
    <font>
      <i val="true"/>
      <sz val="8"/>
      <name val="Times New Roman"/>
      <family val="1"/>
      <charset val="1"/>
    </font>
    <font>
      <sz val="8"/>
      <color rgb="FFFF0000"/>
      <name val="Arial Narrow"/>
      <family val="2"/>
      <charset val="1"/>
    </font>
    <font>
      <sz val="8"/>
      <color rgb="FF800000"/>
      <name val="Arial"/>
      <family val="2"/>
      <charset val="1"/>
    </font>
    <font>
      <i val="true"/>
      <sz val="8"/>
      <color rgb="FF000000"/>
      <name val="Tahoma"/>
      <family val="2"/>
      <charset val="1"/>
    </font>
    <font>
      <b val="true"/>
      <sz val="8"/>
      <color rgb="FF000000"/>
      <name val="Wingdings"/>
      <family val="2"/>
      <charset val="2"/>
    </font>
    <font>
      <b val="true"/>
      <sz val="8"/>
      <color rgb="FFFF0000"/>
      <name val="Wingdings"/>
      <family val="2"/>
      <charset val="2"/>
    </font>
    <font>
      <b val="true"/>
      <sz val="8"/>
      <color rgb="FFFFFFFF"/>
      <name val="Wingdings"/>
      <family val="2"/>
      <charset val="2"/>
    </font>
    <font>
      <b val="true"/>
      <u val="single"/>
      <sz val="10"/>
      <name val="Times New Roman"/>
      <family val="2"/>
      <charset val="1"/>
    </font>
    <font>
      <sz val="10"/>
      <name val="Univers"/>
      <family val="2"/>
      <charset val="1"/>
    </font>
    <font>
      <sz val="12"/>
      <name val="‚l‚r ‚oƒSƒVƒbƒN"/>
      <family val="2"/>
      <charset val="128"/>
    </font>
    <font>
      <u val="single"/>
      <sz val="11"/>
      <color rgb="FF0000FF"/>
      <name val="ＭＳ Ｐゴシック"/>
      <family val="3"/>
      <charset val="128"/>
    </font>
    <font>
      <sz val="11"/>
      <name val="ＭＳ Ｐゴシック"/>
      <family val="3"/>
      <charset val="128"/>
    </font>
    <font>
      <b val="true"/>
      <sz val="13"/>
      <color rgb="FF1F3864"/>
      <name val="Arial"/>
      <family val="0"/>
      <charset val="1"/>
    </font>
    <font>
      <i val="true"/>
      <sz val="10"/>
      <color rgb="FF808080"/>
      <name val="Arial"/>
      <family val="0"/>
      <charset val="1"/>
    </font>
    <font>
      <b val="true"/>
      <sz val="10"/>
      <color rgb="FFFFFFFF"/>
      <name val="Arial"/>
      <family val="0"/>
      <charset val="1"/>
    </font>
    <font>
      <sz val="10"/>
      <color rgb="FF0000FF"/>
      <name val="Arial"/>
      <family val="0"/>
      <charset val="1"/>
    </font>
    <font>
      <sz val="10"/>
      <color rgb="FF000000"/>
      <name val="Arial"/>
      <family val="0"/>
      <charset val="1"/>
    </font>
    <font>
      <sz val="10"/>
      <color rgb="FF008000"/>
      <name val="Arial"/>
      <family val="0"/>
      <charset val="1"/>
    </font>
    <font>
      <sz val="10"/>
      <color rgb="FFFF0000"/>
      <name val="Arial"/>
      <family val="0"/>
      <charset val="1"/>
    </font>
    <font>
      <b val="true"/>
      <sz val="10"/>
      <name val="Arial"/>
      <family val="0"/>
      <charset val="1"/>
    </font>
    <font>
      <sz val="10"/>
      <name val="Arial"/>
      <family val="0"/>
      <charset val="1"/>
    </font>
    <font>
      <b val="true"/>
      <sz val="10"/>
      <color rgb="FF000000"/>
      <name val="Arial"/>
      <family val="0"/>
      <charset val="1"/>
    </font>
    <font>
      <b val="true"/>
      <sz val="10"/>
      <color rgb="FF0000FF"/>
      <name val="Arial"/>
      <family val="0"/>
      <charset val="1"/>
    </font>
    <font>
      <b val="true"/>
      <sz val="12"/>
      <color rgb="FF000000"/>
      <name val="Arial"/>
      <family val="0"/>
      <charset val="1"/>
    </font>
    <font>
      <b val="true"/>
      <i val="true"/>
      <sz val="10"/>
      <color rgb="FF000000"/>
      <name val="Arial"/>
      <family val="0"/>
      <charset val="1"/>
    </font>
    <font>
      <i val="true"/>
      <sz val="9"/>
      <name val="Arial"/>
      <family val="2"/>
      <charset val="1"/>
    </font>
    <font>
      <sz val="9"/>
      <color theme="1"/>
      <name val="Arial"/>
      <family val="2"/>
      <charset val="1"/>
    </font>
    <font>
      <sz val="11"/>
      <color rgb="FF000000"/>
      <name val="Arial"/>
      <family val="0"/>
      <charset val="1"/>
    </font>
    <font>
      <sz val="11"/>
      <color rgb="FF0000FF"/>
      <name val="Arial"/>
      <family val="0"/>
      <charset val="1"/>
    </font>
    <font>
      <sz val="10"/>
      <color rgb="FFC0C0C0"/>
      <name val="Arial"/>
      <family val="2"/>
      <charset val="1"/>
    </font>
    <font>
      <i val="true"/>
      <sz val="8"/>
      <color rgb="FFC0C0C0"/>
      <name val="Arial"/>
      <family val="2"/>
      <charset val="1"/>
    </font>
    <font>
      <b val="true"/>
      <sz val="10"/>
      <color theme="1"/>
      <name val="Arial"/>
      <family val="2"/>
      <charset val="1"/>
    </font>
    <font>
      <b val="true"/>
      <u val="single"/>
      <sz val="10"/>
      <name val="Arial"/>
      <family val="2"/>
      <charset val="1"/>
    </font>
    <font>
      <b val="true"/>
      <sz val="9"/>
      <color rgb="FF000000"/>
      <name val="Arial"/>
      <family val="0"/>
      <charset val="1"/>
    </font>
    <font>
      <sz val="10"/>
      <color rgb="FF800000"/>
      <name val="Arial"/>
      <family val="2"/>
      <charset val="1"/>
    </font>
    <font>
      <sz val="10"/>
      <color rgb="FF003366"/>
      <name val="Arial"/>
      <family val="2"/>
      <charset val="1"/>
    </font>
    <font>
      <b val="true"/>
      <sz val="10"/>
      <color rgb="FF003366"/>
      <name val="Arial"/>
      <family val="2"/>
      <charset val="1"/>
    </font>
    <font>
      <i val="true"/>
      <sz val="10"/>
      <color rgb="FF000000"/>
      <name val="Arial"/>
      <family val="2"/>
      <charset val="1"/>
    </font>
    <font>
      <i val="true"/>
      <sz val="8"/>
      <color rgb="FF000000"/>
      <name val="Arial"/>
      <family val="2"/>
      <charset val="1"/>
    </font>
    <font>
      <i val="true"/>
      <sz val="10"/>
      <color theme="1"/>
      <name val="Arial"/>
      <family val="2"/>
      <charset val="1"/>
    </font>
    <font>
      <i val="true"/>
      <sz val="10"/>
      <color theme="0" tint="-0.25"/>
      <name val="Arial"/>
      <family val="2"/>
      <charset val="1"/>
    </font>
    <font>
      <sz val="10"/>
      <color theme="0" tint="-0.25"/>
      <name val="Arial"/>
      <family val="2"/>
      <charset val="1"/>
    </font>
    <font>
      <b val="true"/>
      <i val="true"/>
      <sz val="10"/>
      <name val="Arial"/>
      <family val="2"/>
      <charset val="1"/>
    </font>
    <font>
      <b val="true"/>
      <i val="true"/>
      <sz val="10"/>
      <color rgb="FF0000FF"/>
      <name val="Arial"/>
      <family val="0"/>
      <charset val="1"/>
    </font>
    <font>
      <b val="true"/>
      <sz val="10"/>
      <color rgb="FF0000FF"/>
      <name val="Arial"/>
      <family val="2"/>
      <charset val="1"/>
    </font>
    <font>
      <b val="true"/>
      <i val="true"/>
      <sz val="10"/>
      <color theme="0" tint="-0.25"/>
      <name val="Arial"/>
      <family val="2"/>
      <charset val="1"/>
    </font>
    <font>
      <b val="true"/>
      <sz val="10"/>
      <color theme="0" tint="-0.25"/>
      <name val="Arial"/>
      <family val="2"/>
      <charset val="1"/>
    </font>
    <font>
      <b val="true"/>
      <sz val="10"/>
      <color rgb="FF969696"/>
      <name val="Arial"/>
      <family val="2"/>
      <charset val="1"/>
    </font>
    <font>
      <sz val="10"/>
      <name val="Arial"/>
      <family val="2"/>
    </font>
    <font>
      <sz val="7"/>
      <color rgb="FFA6A6A6"/>
      <name val="Arial"/>
      <family val="0"/>
      <charset val="1"/>
    </font>
    <font>
      <b val="true"/>
      <sz val="10"/>
      <color rgb="FF008000"/>
      <name val="Arial"/>
      <family val="0"/>
      <charset val="1"/>
    </font>
    <font>
      <sz val="10"/>
      <color rgb="FF000000"/>
      <name val="HelveticaNeue Condensed"/>
      <family val="2"/>
    </font>
    <font>
      <sz val="9.2"/>
      <color rgb="FF000000"/>
      <name val="HelveticaNeue Condensed"/>
      <family val="2"/>
    </font>
    <font>
      <sz val="10"/>
      <color rgb="FF000000"/>
      <name val="Calibri"/>
      <family val="2"/>
    </font>
    <font>
      <sz val="10"/>
      <color rgb="FFFFFFFF"/>
      <name val="Arial"/>
      <family val="2"/>
      <charset val="1"/>
    </font>
    <font>
      <b val="true"/>
      <sz val="8"/>
      <color rgb="FF000000"/>
      <name val="Arial"/>
      <family val="0"/>
      <charset val="1"/>
    </font>
    <font>
      <b val="true"/>
      <sz val="11"/>
      <color rgb="FF000000"/>
      <name val="Arial"/>
      <family val="0"/>
      <charset val="1"/>
    </font>
    <font>
      <sz val="10"/>
      <name val="Tahoma"/>
      <family val="2"/>
      <charset val="1"/>
    </font>
    <font>
      <b val="true"/>
      <sz val="8"/>
      <color rgb="FF0000FF"/>
      <name val="Arial"/>
      <family val="0"/>
      <charset val="1"/>
    </font>
    <font>
      <u val="single"/>
      <sz val="10"/>
      <color rgb="FF0000FF"/>
      <name val="Arial"/>
      <family val="2"/>
      <charset val="1"/>
    </font>
  </fonts>
  <fills count="53">
    <fill>
      <patternFill patternType="none"/>
    </fill>
    <fill>
      <patternFill patternType="gray125"/>
    </fill>
    <fill>
      <patternFill patternType="solid">
        <fgColor rgb="FFCCCCFF"/>
        <bgColor rgb="FFC0C0FF"/>
      </patternFill>
    </fill>
    <fill>
      <patternFill patternType="solid">
        <fgColor rgb="FFFF99CC"/>
        <bgColor rgb="FFFF8080"/>
      </patternFill>
    </fill>
    <fill>
      <patternFill patternType="solid">
        <fgColor rgb="FFCCFFCC"/>
        <bgColor rgb="FFCCFFFF"/>
      </patternFill>
    </fill>
    <fill>
      <patternFill patternType="solid">
        <fgColor rgb="FFCC99FF"/>
        <bgColor rgb="FFC0C0FF"/>
      </patternFill>
    </fill>
    <fill>
      <patternFill patternType="solid">
        <fgColor rgb="FFCCFFFF"/>
        <bgColor rgb="FFCCFFCC"/>
      </patternFill>
    </fill>
    <fill>
      <patternFill patternType="solid">
        <fgColor rgb="FFFFCC99"/>
        <bgColor rgb="FFF2DCDB"/>
      </patternFill>
    </fill>
    <fill>
      <patternFill patternType="solid">
        <fgColor rgb="FF99CCFF"/>
        <bgColor rgb="FFC0C0FF"/>
      </patternFill>
    </fill>
    <fill>
      <patternFill patternType="solid">
        <fgColor rgb="FFFF8080"/>
        <bgColor rgb="FFFF99CC"/>
      </patternFill>
    </fill>
    <fill>
      <patternFill patternType="solid">
        <fgColor rgb="FF00FF00"/>
        <bgColor rgb="FF33CCCC"/>
      </patternFill>
    </fill>
    <fill>
      <patternFill patternType="solid">
        <fgColor rgb="FFFFCC00"/>
        <bgColor rgb="FFFFFF00"/>
      </patternFill>
    </fill>
    <fill>
      <patternFill patternType="solid">
        <fgColor rgb="FF0067CB"/>
        <bgColor rgb="FF3474D4"/>
      </patternFill>
    </fill>
    <fill>
      <patternFill patternType="solid">
        <fgColor rgb="FF800080"/>
        <bgColor rgb="FF800000"/>
      </patternFill>
    </fill>
    <fill>
      <patternFill patternType="solid">
        <fgColor rgb="FF33CCCC"/>
        <bgColor rgb="FF00CCFF"/>
      </patternFill>
    </fill>
    <fill>
      <patternFill patternType="solid">
        <fgColor rgb="FFFF9900"/>
        <bgColor rgb="FFFE6902"/>
      </patternFill>
    </fill>
    <fill>
      <patternFill patternType="solid">
        <fgColor rgb="FFFFFF99"/>
        <bgColor rgb="FFFFFFCC"/>
      </patternFill>
    </fill>
    <fill>
      <patternFill patternType="solid">
        <fgColor rgb="FF333399"/>
        <bgColor rgb="FF1F3864"/>
      </patternFill>
    </fill>
    <fill>
      <patternFill patternType="solid">
        <fgColor rgb="FFFF0000"/>
        <bgColor rgb="FF993315"/>
      </patternFill>
    </fill>
    <fill>
      <patternFill patternType="solid">
        <fgColor rgb="FF339966"/>
        <bgColor rgb="FF008080"/>
      </patternFill>
    </fill>
    <fill>
      <patternFill patternType="solid">
        <fgColor rgb="FFFE6902"/>
        <bgColor rgb="FFFF9900"/>
      </patternFill>
    </fill>
    <fill>
      <patternFill patternType="solid">
        <fgColor rgb="FFDCE6F2"/>
        <bgColor rgb="FFDDEBF7"/>
      </patternFill>
    </fill>
    <fill>
      <patternFill patternType="solid">
        <fgColor rgb="FFC0C0C0"/>
        <bgColor rgb="FFBFBFBF"/>
      </patternFill>
    </fill>
    <fill>
      <patternFill patternType="solid">
        <fgColor rgb="FF969696"/>
        <bgColor rgb="FF808080"/>
      </patternFill>
    </fill>
    <fill>
      <patternFill patternType="solid">
        <fgColor rgb="FFFFFFCC"/>
        <bgColor rgb="FFFFF2CC"/>
      </patternFill>
    </fill>
    <fill>
      <patternFill patternType="solid">
        <fgColor rgb="FFC0C0FF"/>
        <bgColor rgb="FFCCCCFF"/>
      </patternFill>
    </fill>
    <fill>
      <patternFill patternType="solid">
        <fgColor rgb="FF800000"/>
        <bgColor rgb="FF993315"/>
      </patternFill>
    </fill>
    <fill>
      <patternFill patternType="solid">
        <fgColor rgb="FFFFFFFF"/>
        <bgColor rgb="FFF2F2F2"/>
      </patternFill>
    </fill>
    <fill>
      <patternFill patternType="solid">
        <fgColor rgb="FF0000FF"/>
        <bgColor rgb="FF000080"/>
      </patternFill>
    </fill>
    <fill>
      <patternFill patternType="darkGray">
        <fgColor rgb="FFFFFFFF"/>
        <bgColor rgb="FFFFFFCC"/>
      </patternFill>
    </fill>
    <fill>
      <patternFill patternType="solid">
        <fgColor rgb="FFFFFF00"/>
        <bgColor rgb="FFFFCC00"/>
      </patternFill>
    </fill>
    <fill>
      <patternFill patternType="solid">
        <fgColor rgb="FF00CCFF"/>
        <bgColor rgb="FF33CCCC"/>
      </patternFill>
    </fill>
    <fill>
      <patternFill patternType="mediumGray">
        <fgColor rgb="FFD9DADB"/>
        <bgColor rgb="FFDCE6F2"/>
      </patternFill>
    </fill>
    <fill>
      <patternFill patternType="solid">
        <fgColor rgb="FF000000"/>
        <bgColor rgb="FF000080"/>
      </patternFill>
    </fill>
    <fill>
      <patternFill patternType="solid">
        <fgColor rgb="FF008080"/>
        <bgColor rgb="FF0067CB"/>
      </patternFill>
    </fill>
    <fill>
      <patternFill patternType="solid">
        <fgColor rgb="FFFFFFCC"/>
        <bgColor rgb="FFFFF2CC"/>
      </patternFill>
    </fill>
    <fill>
      <patternFill patternType="darkGray">
        <fgColor rgb="FFFFFFFF"/>
        <bgColor rgb="FFF2F2F2"/>
      </patternFill>
    </fill>
    <fill>
      <patternFill patternType="solid">
        <fgColor rgb="FFEFEFEF"/>
        <bgColor rgb="FFF2F2F2"/>
      </patternFill>
    </fill>
    <fill>
      <patternFill patternType="solid">
        <fgColor rgb="FF1D331D"/>
        <bgColor rgb="FF333333"/>
      </patternFill>
    </fill>
    <fill>
      <patternFill patternType="solid">
        <fgColor rgb="FF1F3864"/>
        <bgColor rgb="FF003366"/>
      </patternFill>
    </fill>
    <fill>
      <patternFill patternType="solid">
        <fgColor rgb="FFFDE9D9"/>
        <bgColor rgb="FFFFF2CC"/>
      </patternFill>
    </fill>
    <fill>
      <patternFill patternType="solid">
        <fgColor rgb="FFF2F2F2"/>
        <bgColor rgb="FFEFEFEF"/>
      </patternFill>
    </fill>
    <fill>
      <patternFill patternType="solid">
        <fgColor rgb="FF92D050"/>
        <bgColor rgb="FFBFBFBF"/>
      </patternFill>
    </fill>
    <fill>
      <patternFill patternType="solid">
        <fgColor theme="3" tint="0.7999"/>
        <bgColor rgb="FFCCCCFF"/>
      </patternFill>
    </fill>
    <fill>
      <patternFill patternType="solid">
        <fgColor theme="0" tint="-0.15"/>
        <bgColor rgb="FFD7E4BD"/>
      </patternFill>
    </fill>
    <fill>
      <patternFill patternType="solid">
        <fgColor theme="4"/>
        <bgColor rgb="FF3366FF"/>
      </patternFill>
    </fill>
    <fill>
      <patternFill patternType="solid">
        <fgColor rgb="FFDDEBF7"/>
        <bgColor rgb="FFDCE6F2"/>
      </patternFill>
    </fill>
    <fill>
      <patternFill patternType="solid">
        <fgColor rgb="FFFFF2CC"/>
        <bgColor rgb="FFFDE9D9"/>
      </patternFill>
    </fill>
    <fill>
      <patternFill patternType="solid">
        <fgColor rgb="FFE2EFDA"/>
        <bgColor rgb="FFEFEFEF"/>
      </patternFill>
    </fill>
    <fill>
      <patternFill patternType="solid">
        <fgColor theme="6" tint="0.5999"/>
        <bgColor rgb="FFD9DADB"/>
      </patternFill>
    </fill>
    <fill>
      <patternFill patternType="solid">
        <fgColor theme="5" tint="0.7999"/>
        <bgColor rgb="FFFDE9D9"/>
      </patternFill>
    </fill>
    <fill>
      <patternFill patternType="solid">
        <fgColor theme="4" tint="0.7999"/>
        <bgColor rgb="FFDDEBF7"/>
      </patternFill>
    </fill>
    <fill>
      <patternFill patternType="solid">
        <fgColor rgb="FF003366"/>
        <bgColor rgb="FF1F3864"/>
      </patternFill>
    </fill>
  </fills>
  <borders count="64">
    <border diagonalUp="false" diagonalDown="false">
      <left/>
      <right/>
      <top/>
      <bottom/>
      <diagonal/>
    </border>
    <border diagonalUp="false" diagonalDown="false">
      <left/>
      <right/>
      <top style="thin">
        <color rgb="FF000080"/>
      </top>
      <bottom style="thin">
        <color rgb="FF000080"/>
      </bottom>
      <diagonal/>
    </border>
    <border diagonalUp="false" diagonalDown="false">
      <left style="thin"/>
      <right/>
      <top/>
      <bottom/>
      <diagonal/>
    </border>
    <border diagonalUp="false" diagonalDown="false">
      <left/>
      <right/>
      <top/>
      <bottom style="thick">
        <color rgb="FF77808B"/>
      </bottom>
      <diagonal/>
    </border>
    <border diagonalUp="false" diagonalDown="false">
      <left/>
      <right/>
      <top/>
      <bottom style="thin">
        <color rgb="FF000080"/>
      </bottom>
      <diagonal/>
    </border>
    <border diagonalUp="false" diagonalDown="false">
      <left/>
      <right/>
      <top style="hair"/>
      <bottom style="hair"/>
      <diagonal/>
    </border>
    <border diagonalUp="false" diagonalDown="false">
      <left/>
      <right/>
      <top/>
      <bottom style="medium">
        <color rgb="FF000080"/>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77808B"/>
      </left>
      <right style="thin">
        <color rgb="FF77808B"/>
      </right>
      <top style="thin">
        <color rgb="FF77808B"/>
      </top>
      <bottom style="thin">
        <color rgb="FF77808B"/>
      </bottom>
      <diagonal/>
    </border>
    <border diagonalUp="false" diagonalDown="false">
      <left style="double">
        <color rgb="FF1D331D"/>
      </left>
      <right style="double">
        <color rgb="FF1D331D"/>
      </right>
      <top style="double">
        <color rgb="FF1D331D"/>
      </top>
      <bottom style="double">
        <color rgb="FF1D331D"/>
      </bottom>
      <diagonal/>
    </border>
    <border diagonalUp="false" diagonalDown="false">
      <left/>
      <right/>
      <top/>
      <bottom style="double">
        <color rgb="FFFF9900"/>
      </bottom>
      <diagonal/>
    </border>
    <border diagonalUp="false" diagonalDown="false">
      <left style="double"/>
      <right style="double"/>
      <top style="double"/>
      <bottom style="double"/>
      <diagonal/>
    </border>
    <border diagonalUp="false" diagonalDown="false">
      <left style="thin">
        <color rgb="FFC0C0C0"/>
      </left>
      <right style="thin">
        <color rgb="FFC0C0C0"/>
      </right>
      <top style="thin">
        <color rgb="FFC0C0C0"/>
      </top>
      <bottom style="thin">
        <color rgb="FFC0C0C0"/>
      </bottom>
      <diagonal/>
    </border>
    <border diagonalUp="false" diagonalDown="false">
      <left/>
      <right/>
      <top/>
      <bottom style="medium">
        <color rgb="FF993315"/>
      </bottom>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bottom style="dotted"/>
      <diagonal/>
    </border>
    <border diagonalUp="false" diagonalDown="false">
      <left/>
      <right/>
      <top style="thin"/>
      <bottom/>
      <diagonal/>
    </border>
    <border diagonalUp="false" diagonalDown="false">
      <left/>
      <right style="thin"/>
      <top/>
      <bottom/>
      <diagonal/>
    </border>
    <border diagonalUp="false" diagonalDown="false">
      <left style="hair"/>
      <right style="hair"/>
      <top style="hair"/>
      <bottom style="hair"/>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style="double"/>
      <bottom style="thin"/>
      <diagonal/>
    </border>
    <border diagonalUp="false" diagonalDown="false">
      <left/>
      <right/>
      <top/>
      <bottom style="thick">
        <color rgb="FF333399"/>
      </bottom>
      <diagonal/>
    </border>
    <border diagonalUp="false" diagonalDown="false">
      <left/>
      <right/>
      <top/>
      <bottom style="thick">
        <color rgb="FFC0C0C0"/>
      </bottom>
      <diagonal/>
    </border>
    <border diagonalUp="false" diagonalDown="false">
      <left/>
      <right/>
      <top/>
      <bottom style="medium">
        <color rgb="FF0067CB"/>
      </bottom>
      <diagonal/>
    </border>
    <border diagonalUp="false" diagonalDown="false">
      <left/>
      <right/>
      <top/>
      <bottom style="thin"/>
      <diagonal/>
    </border>
    <border diagonalUp="false" diagonalDown="false">
      <left style="thin">
        <color rgb="FFC0C0C0"/>
      </left>
      <right style="thin">
        <color rgb="FFC0C0C0"/>
      </right>
      <top/>
      <bottom style="thin">
        <color rgb="FFC0C0C0"/>
      </bottom>
      <diagonal/>
    </border>
    <border diagonalUp="false" diagonalDown="false">
      <left/>
      <right/>
      <top/>
      <bottom style="medium"/>
      <diagonal/>
    </border>
    <border diagonalUp="false" diagonalDown="false">
      <left/>
      <right/>
      <top style="medium"/>
      <bottom style="medium"/>
      <diagonal/>
    </border>
    <border diagonalUp="false" diagonalDown="false">
      <left style="thin">
        <color rgb="FFC0C0C0"/>
      </left>
      <right style="thin">
        <color rgb="FFC0C0C0"/>
      </right>
      <top style="thin">
        <color rgb="FFC0C0C0"/>
      </top>
      <bottom/>
      <diagonal/>
    </border>
    <border diagonalUp="false" diagonalDown="false">
      <left/>
      <right/>
      <top style="medium"/>
      <bottom/>
      <diagonal/>
    </border>
    <border diagonalUp="false" diagonalDown="false">
      <left/>
      <right/>
      <top style="thin"/>
      <bottom style="medium"/>
      <diagonal/>
    </border>
    <border diagonalUp="false" diagonalDown="false">
      <left style="thin">
        <color rgb="FF1D331D"/>
      </left>
      <right style="thin">
        <color rgb="FF1D331D"/>
      </right>
      <top style="thin">
        <color rgb="FF1D331D"/>
      </top>
      <bottom style="thin">
        <color rgb="FF1D331D"/>
      </bottom>
      <diagonal/>
    </border>
    <border diagonalUp="false" diagonalDown="false">
      <left style="thin">
        <color rgb="FF3366FF"/>
      </left>
      <right style="thin">
        <color rgb="FF3366FF"/>
      </right>
      <top style="thin">
        <color rgb="FF3366FF"/>
      </top>
      <bottom style="thin">
        <color rgb="FF3366FF"/>
      </bottom>
      <diagonal/>
    </border>
    <border diagonalUp="false" diagonalDown="false">
      <left/>
      <right/>
      <top style="medium">
        <color rgb="FF003366"/>
      </top>
      <bottom style="medium">
        <color rgb="FF003366"/>
      </bottom>
      <diagonal/>
    </border>
    <border diagonalUp="false" diagonalDown="false">
      <left/>
      <right/>
      <top style="double">
        <color rgb="FF1D331D"/>
      </top>
      <bottom/>
      <diagonal/>
    </border>
    <border diagonalUp="false" diagonalDown="false">
      <left/>
      <right/>
      <top style="thin"/>
      <bottom style="thin"/>
      <diagonal/>
    </border>
    <border diagonalUp="false" diagonalDown="false">
      <left/>
      <right/>
      <top style="thin"/>
      <bottom style="double"/>
      <diagonal/>
    </border>
    <border diagonalUp="false" diagonalDown="false">
      <left/>
      <right/>
      <top style="thin">
        <color rgb="FFC0C0C0"/>
      </top>
      <bottom style="thin">
        <color rgb="FFC0C0C0"/>
      </bottom>
      <diagonal/>
    </border>
    <border diagonalUp="false" diagonalDown="false">
      <left/>
      <right style="thin">
        <color rgb="FFC0C0C0"/>
      </right>
      <top style="thin">
        <color rgb="FFC0C0C0"/>
      </top>
      <bottom style="thin">
        <color rgb="FFC0C0C0"/>
      </bottom>
      <diagonal/>
    </border>
    <border diagonalUp="false" diagonalDown="false">
      <left style="thin">
        <color rgb="FFC0C0C0"/>
      </left>
      <right/>
      <top style="thin">
        <color rgb="FFC0C0C0"/>
      </top>
      <bottom style="thin">
        <color rgb="FFC0C0C0"/>
      </bottom>
      <diagonal/>
    </border>
    <border diagonalUp="false" diagonalDown="false">
      <left/>
      <right/>
      <top style="double"/>
      <bottom/>
      <diagonal/>
    </border>
    <border diagonalUp="false" diagonalDown="false">
      <left/>
      <right/>
      <top/>
      <bottom style="double"/>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right style="thin"/>
      <top style="thin"/>
      <bottom style="thin"/>
      <diagonal/>
    </border>
    <border diagonalUp="false" diagonalDown="false">
      <left/>
      <right style="thin"/>
      <top style="thin"/>
      <bottom/>
      <diagonal/>
    </border>
    <border diagonalUp="false" diagonalDown="false">
      <left style="thin"/>
      <right style="thin"/>
      <top style="thin"/>
      <bottom style="double"/>
      <diagonal/>
    </border>
    <border diagonalUp="false" diagonalDown="false">
      <left/>
      <right/>
      <top/>
      <bottom style="medium">
        <color rgb="FF333399"/>
      </bottom>
      <diagonal/>
    </border>
    <border diagonalUp="false" diagonalDown="false">
      <left/>
      <right/>
      <top/>
      <bottom style="thick">
        <color rgb="FF000080"/>
      </bottom>
      <diagonal/>
    </border>
    <border diagonalUp="false" diagonalDown="false">
      <left style="thin">
        <color rgb="FFFFFFFF"/>
      </left>
      <right/>
      <top/>
      <bottom style="thin">
        <color rgb="FFFFFFFF"/>
      </bottom>
      <diagonal/>
    </border>
    <border diagonalUp="false" diagonalDown="false">
      <left/>
      <right/>
      <top style="thin">
        <color rgb="FF333399"/>
      </top>
      <bottom style="double">
        <color rgb="FF333399"/>
      </bottom>
      <diagonal/>
    </border>
    <border diagonalUp="false" diagonalDown="false">
      <left style="medium">
        <color rgb="FFFFFFFF"/>
      </left>
      <right style="medium">
        <color rgb="FF33CCCC"/>
      </right>
      <top/>
      <bottom/>
      <diagonal/>
    </border>
    <border diagonalUp="false" diagonalDown="false">
      <left/>
      <right/>
      <top/>
      <bottom style="thin">
        <color rgb="FFBFBFBF"/>
      </bottom>
      <diagonal/>
    </border>
    <border diagonalUp="false" diagonalDown="false">
      <left style="medium"/>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style="medium"/>
      <top/>
      <bottom style="medium"/>
      <diagonal/>
    </border>
    <border diagonalUp="false" diagonalDown="false">
      <left/>
      <right/>
      <top style="thin">
        <color rgb="FFBFBFBF"/>
      </top>
      <bottom/>
      <diagonal/>
    </border>
  </borders>
  <cellStyleXfs count="109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true" applyAlignment="true" applyProtection="true">
      <alignment horizontal="general" vertical="bottom" textRotation="0" wrapText="false" indent="0" shrinkToFit="false"/>
      <protection locked="true" hidden="false"/>
    </xf>
    <xf numFmtId="168" fontId="6"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9" fontId="8" fillId="0" borderId="1" applyFont="true" applyBorder="true" applyAlignment="true" applyProtection="true">
      <alignment horizontal="left" vertical="center" textRotation="0" wrapText="false" indent="0" shrinkToFit="false"/>
      <protection locked="true" hidden="false"/>
    </xf>
    <xf numFmtId="170" fontId="9" fillId="0" borderId="2" applyFont="true" applyBorder="true" applyAlignment="true" applyProtection="true">
      <alignment horizontal="general" vertical="bottom" textRotation="0" wrapText="false" indent="0" shrinkToFit="false"/>
      <protection locked="true" hidden="false"/>
    </xf>
    <xf numFmtId="171" fontId="9" fillId="0" borderId="2" applyFont="true" applyBorder="true" applyAlignment="true" applyProtection="true">
      <alignment horizontal="general" vertical="bottom" textRotation="0" wrapText="false" indent="0" shrinkToFit="false"/>
      <protection locked="true" hidden="false"/>
    </xf>
    <xf numFmtId="172" fontId="9" fillId="0" borderId="2" applyFont="true" applyBorder="true" applyAlignment="true" applyProtection="true">
      <alignment horizontal="general" vertical="bottom" textRotation="0" wrapText="false" indent="0" shrinkToFit="false"/>
      <protection locked="true" hidden="false"/>
    </xf>
    <xf numFmtId="173" fontId="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74" fontId="11" fillId="0" borderId="0" applyFont="true" applyBorder="true" applyAlignment="true" applyProtection="true">
      <alignment horizontal="general" vertical="bottom" textRotation="0" wrapText="false" indent="0" shrinkToFit="false"/>
      <protection locked="true" hidden="false"/>
    </xf>
    <xf numFmtId="174" fontId="11" fillId="0" borderId="0" applyFont="true" applyBorder="true" applyAlignment="true" applyProtection="true">
      <alignment horizontal="general" vertical="bottom" textRotation="0" wrapText="false" indent="0" shrinkToFit="false"/>
      <protection locked="true" hidden="false"/>
    </xf>
    <xf numFmtId="164" fontId="0" fillId="0" borderId="3" applyFont="true" applyBorder="true" applyAlignment="true" applyProtection="true">
      <alignment horizontal="general" vertical="bottom" textRotation="0" wrapText="false" indent="0" shrinkToFit="false"/>
      <protection locked="true" hidden="false"/>
    </xf>
    <xf numFmtId="164" fontId="12" fillId="2" borderId="0" applyFont="true" applyBorder="true" applyAlignment="true" applyProtection="true">
      <alignment horizontal="general" vertical="bottom" textRotation="0" wrapText="false" indent="0" shrinkToFit="false"/>
      <protection locked="true" hidden="false"/>
    </xf>
    <xf numFmtId="164" fontId="12" fillId="2" borderId="0" applyFont="true" applyBorder="true" applyAlignment="true" applyProtection="true">
      <alignment horizontal="general" vertical="bottom" textRotation="0" wrapText="false" indent="0" shrinkToFit="false"/>
      <protection locked="true" hidden="false"/>
    </xf>
    <xf numFmtId="164" fontId="12" fillId="2" borderId="0" applyFont="true" applyBorder="true" applyAlignment="true" applyProtection="true">
      <alignment horizontal="general" vertical="bottom" textRotation="0" wrapText="false" indent="0" shrinkToFit="false"/>
      <protection locked="true" hidden="false"/>
    </xf>
    <xf numFmtId="164" fontId="12" fillId="2" borderId="0" applyFont="true" applyBorder="true" applyAlignment="true" applyProtection="true">
      <alignment horizontal="general" vertical="bottom" textRotation="0" wrapText="false" indent="0" shrinkToFit="false"/>
      <protection locked="true" hidden="false"/>
    </xf>
    <xf numFmtId="164" fontId="12" fillId="2" borderId="0" applyFont="true" applyBorder="true" applyAlignment="true" applyProtection="true">
      <alignment horizontal="general" vertical="bottom" textRotation="0" wrapText="false" indent="0" shrinkToFit="false"/>
      <protection locked="true" hidden="false"/>
    </xf>
    <xf numFmtId="164" fontId="12" fillId="3" borderId="0" applyFont="true" applyBorder="true" applyAlignment="true" applyProtection="true">
      <alignment horizontal="general" vertical="bottom" textRotation="0" wrapText="false" indent="0" shrinkToFit="false"/>
      <protection locked="true" hidden="false"/>
    </xf>
    <xf numFmtId="164" fontId="12" fillId="3" borderId="0" applyFont="true" applyBorder="true" applyAlignment="true" applyProtection="true">
      <alignment horizontal="general" vertical="bottom" textRotation="0" wrapText="false" indent="0" shrinkToFit="false"/>
      <protection locked="true" hidden="false"/>
    </xf>
    <xf numFmtId="164" fontId="12" fillId="3" borderId="0" applyFont="true" applyBorder="true" applyAlignment="true" applyProtection="true">
      <alignment horizontal="general" vertical="bottom" textRotation="0" wrapText="false" indent="0" shrinkToFit="false"/>
      <protection locked="true" hidden="false"/>
    </xf>
    <xf numFmtId="164" fontId="12" fillId="3" borderId="0" applyFont="true" applyBorder="true" applyAlignment="true" applyProtection="true">
      <alignment horizontal="general" vertical="bottom" textRotation="0" wrapText="false" indent="0" shrinkToFit="false"/>
      <protection locked="true" hidden="false"/>
    </xf>
    <xf numFmtId="164" fontId="12" fillId="3" borderId="0" applyFont="true" applyBorder="true" applyAlignment="true" applyProtection="true">
      <alignment horizontal="general" vertical="bottom" textRotation="0" wrapText="false" indent="0" shrinkToFit="false"/>
      <protection locked="true" hidden="false"/>
    </xf>
    <xf numFmtId="164" fontId="12" fillId="4" borderId="0" applyFont="true" applyBorder="true" applyAlignment="true" applyProtection="true">
      <alignment horizontal="general" vertical="bottom" textRotation="0" wrapText="false" indent="0" shrinkToFit="false"/>
      <protection locked="true" hidden="false"/>
    </xf>
    <xf numFmtId="164" fontId="12" fillId="4" borderId="0" applyFont="true" applyBorder="true" applyAlignment="true" applyProtection="true">
      <alignment horizontal="general" vertical="bottom" textRotation="0" wrapText="false" indent="0" shrinkToFit="false"/>
      <protection locked="true" hidden="false"/>
    </xf>
    <xf numFmtId="164" fontId="12" fillId="4" borderId="0" applyFont="true" applyBorder="true" applyAlignment="true" applyProtection="true">
      <alignment horizontal="general" vertical="bottom" textRotation="0" wrapText="false" indent="0" shrinkToFit="false"/>
      <protection locked="true" hidden="false"/>
    </xf>
    <xf numFmtId="164" fontId="12" fillId="4" borderId="0" applyFont="true" applyBorder="true" applyAlignment="true" applyProtection="true">
      <alignment horizontal="general" vertical="bottom" textRotation="0" wrapText="false" indent="0" shrinkToFit="false"/>
      <protection locked="true" hidden="false"/>
    </xf>
    <xf numFmtId="164" fontId="12" fillId="4"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6" borderId="0" applyFont="true" applyBorder="true" applyAlignment="true" applyProtection="true">
      <alignment horizontal="general" vertical="bottom" textRotation="0" wrapText="false" indent="0" shrinkToFit="false"/>
      <protection locked="true" hidden="false"/>
    </xf>
    <xf numFmtId="164" fontId="12" fillId="6" borderId="0" applyFont="true" applyBorder="true" applyAlignment="true" applyProtection="true">
      <alignment horizontal="general" vertical="bottom" textRotation="0" wrapText="false" indent="0" shrinkToFit="false"/>
      <protection locked="true" hidden="false"/>
    </xf>
    <xf numFmtId="164" fontId="12" fillId="6" borderId="0" applyFont="true" applyBorder="true" applyAlignment="true" applyProtection="true">
      <alignment horizontal="general" vertical="bottom" textRotation="0" wrapText="false" indent="0" shrinkToFit="false"/>
      <protection locked="true" hidden="false"/>
    </xf>
    <xf numFmtId="164" fontId="12" fillId="6" borderId="0" applyFont="true" applyBorder="true" applyAlignment="true" applyProtection="true">
      <alignment horizontal="general" vertical="bottom" textRotation="0" wrapText="false" indent="0" shrinkToFit="false"/>
      <protection locked="true" hidden="false"/>
    </xf>
    <xf numFmtId="164" fontId="12" fillId="6" borderId="0" applyFont="true" applyBorder="true" applyAlignment="true" applyProtection="true">
      <alignment horizontal="general" vertical="bottom" textRotation="0" wrapText="false" indent="0" shrinkToFit="false"/>
      <protection locked="true" hidden="false"/>
    </xf>
    <xf numFmtId="164" fontId="12" fillId="7" borderId="0" applyFont="true" applyBorder="true" applyAlignment="true" applyProtection="true">
      <alignment horizontal="general" vertical="bottom" textRotation="0" wrapText="false" indent="0" shrinkToFit="false"/>
      <protection locked="true" hidden="false"/>
    </xf>
    <xf numFmtId="164" fontId="12" fillId="7" borderId="0" applyFont="true" applyBorder="true" applyAlignment="true" applyProtection="true">
      <alignment horizontal="general" vertical="bottom" textRotation="0" wrapText="false" indent="0" shrinkToFit="false"/>
      <protection locked="true" hidden="false"/>
    </xf>
    <xf numFmtId="164" fontId="12" fillId="7" borderId="0" applyFont="true" applyBorder="true" applyAlignment="true" applyProtection="true">
      <alignment horizontal="general" vertical="bottom" textRotation="0" wrapText="false" indent="0" shrinkToFit="false"/>
      <protection locked="true" hidden="false"/>
    </xf>
    <xf numFmtId="164" fontId="12" fillId="7" borderId="0" applyFont="true" applyBorder="true" applyAlignment="true" applyProtection="true">
      <alignment horizontal="general" vertical="bottom" textRotation="0" wrapText="false" indent="0" shrinkToFit="false"/>
      <protection locked="true" hidden="false"/>
    </xf>
    <xf numFmtId="164" fontId="12" fillId="7" borderId="0" applyFont="true" applyBorder="true" applyAlignment="true" applyProtection="true">
      <alignment horizontal="general" vertical="bottom" textRotation="0" wrapText="false" indent="0" shrinkToFit="false"/>
      <protection locked="true" hidden="false"/>
    </xf>
    <xf numFmtId="164" fontId="12" fillId="2" borderId="0" applyFont="true" applyBorder="true" applyAlignment="true" applyProtection="true">
      <alignment horizontal="general" vertical="bottom" textRotation="0" wrapText="false" indent="0" shrinkToFit="false"/>
      <protection locked="true" hidden="false"/>
    </xf>
    <xf numFmtId="164" fontId="12" fillId="3" borderId="0" applyFont="true" applyBorder="true" applyAlignment="true" applyProtection="true">
      <alignment horizontal="general" vertical="bottom" textRotation="0" wrapText="false" indent="0" shrinkToFit="false"/>
      <protection locked="true" hidden="false"/>
    </xf>
    <xf numFmtId="164" fontId="12" fillId="4"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6" borderId="0" applyFont="true" applyBorder="true" applyAlignment="true" applyProtection="true">
      <alignment horizontal="general" vertical="bottom" textRotation="0" wrapText="false" indent="0" shrinkToFit="false"/>
      <protection locked="true" hidden="false"/>
    </xf>
    <xf numFmtId="164" fontId="12" fillId="7" borderId="0" applyFont="true" applyBorder="true" applyAlignment="true" applyProtection="true">
      <alignment horizontal="general" vertical="bottom" textRotation="0" wrapText="false" indent="0" shrinkToFit="false"/>
      <protection locked="true" hidden="false"/>
    </xf>
    <xf numFmtId="164" fontId="12" fillId="2" borderId="0" applyFont="true" applyBorder="true" applyAlignment="true" applyProtection="true">
      <alignment horizontal="general" vertical="bottom" textRotation="0" wrapText="false" indent="0" shrinkToFit="false"/>
      <protection locked="true" hidden="false"/>
    </xf>
    <xf numFmtId="164" fontId="12" fillId="3" borderId="0" applyFont="true" applyBorder="true" applyAlignment="true" applyProtection="true">
      <alignment horizontal="general" vertical="bottom" textRotation="0" wrapText="false" indent="0" shrinkToFit="false"/>
      <protection locked="true" hidden="false"/>
    </xf>
    <xf numFmtId="164" fontId="12" fillId="4"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6" borderId="0" applyFont="true" applyBorder="true" applyAlignment="true" applyProtection="true">
      <alignment horizontal="general" vertical="bottom" textRotation="0" wrapText="false" indent="0" shrinkToFit="false"/>
      <protection locked="true" hidden="false"/>
    </xf>
    <xf numFmtId="164" fontId="12" fillId="7" borderId="0" applyFont="true" applyBorder="true" applyAlignment="true" applyProtection="true">
      <alignment horizontal="general" vertical="bottom" textRotation="0" wrapText="false" indent="0" shrinkToFit="false"/>
      <protection locked="true" hidden="false"/>
    </xf>
    <xf numFmtId="169" fontId="8" fillId="0" borderId="1" applyFont="true" applyBorder="true" applyAlignment="true" applyProtection="true">
      <alignment horizontal="left" vertical="center"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9" borderId="0" applyFont="true" applyBorder="true" applyAlignment="true" applyProtection="true">
      <alignment horizontal="general" vertical="bottom" textRotation="0" wrapText="false" indent="0" shrinkToFit="false"/>
      <protection locked="true" hidden="false"/>
    </xf>
    <xf numFmtId="164" fontId="12" fillId="9" borderId="0" applyFont="true" applyBorder="true" applyAlignment="true" applyProtection="true">
      <alignment horizontal="general" vertical="bottom" textRotation="0" wrapText="false" indent="0" shrinkToFit="false"/>
      <protection locked="true" hidden="false"/>
    </xf>
    <xf numFmtId="164" fontId="12" fillId="9" borderId="0" applyFont="true" applyBorder="true" applyAlignment="true" applyProtection="true">
      <alignment horizontal="general" vertical="bottom" textRotation="0" wrapText="false" indent="0" shrinkToFit="false"/>
      <protection locked="true" hidden="false"/>
    </xf>
    <xf numFmtId="164" fontId="12" fillId="9" borderId="0" applyFont="true" applyBorder="true" applyAlignment="true" applyProtection="true">
      <alignment horizontal="general" vertical="bottom" textRotation="0" wrapText="false" indent="0" shrinkToFit="false"/>
      <protection locked="true" hidden="false"/>
    </xf>
    <xf numFmtId="164" fontId="12" fillId="9" borderId="0" applyFont="true" applyBorder="true" applyAlignment="true" applyProtection="true">
      <alignment horizontal="general" vertical="bottom" textRotation="0" wrapText="false" indent="0" shrinkToFit="false"/>
      <protection locked="true" hidden="false"/>
    </xf>
    <xf numFmtId="164" fontId="12" fillId="10" borderId="0" applyFont="true" applyBorder="true" applyAlignment="true" applyProtection="true">
      <alignment horizontal="general" vertical="bottom" textRotation="0" wrapText="false" indent="0" shrinkToFit="false"/>
      <protection locked="true" hidden="false"/>
    </xf>
    <xf numFmtId="164" fontId="12" fillId="10" borderId="0" applyFont="true" applyBorder="true" applyAlignment="true" applyProtection="true">
      <alignment horizontal="general" vertical="bottom" textRotation="0" wrapText="false" indent="0" shrinkToFit="false"/>
      <protection locked="true" hidden="false"/>
    </xf>
    <xf numFmtId="164" fontId="12" fillId="10" borderId="0" applyFont="true" applyBorder="true" applyAlignment="true" applyProtection="true">
      <alignment horizontal="general" vertical="bottom" textRotation="0" wrapText="false" indent="0" shrinkToFit="false"/>
      <protection locked="true" hidden="false"/>
    </xf>
    <xf numFmtId="164" fontId="12" fillId="10" borderId="0" applyFont="true" applyBorder="true" applyAlignment="true" applyProtection="true">
      <alignment horizontal="general" vertical="bottom" textRotation="0" wrapText="false" indent="0" shrinkToFit="false"/>
      <protection locked="true" hidden="false"/>
    </xf>
    <xf numFmtId="164" fontId="12" fillId="10"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11" borderId="0" applyFont="true" applyBorder="true" applyAlignment="true" applyProtection="true">
      <alignment horizontal="general" vertical="bottom" textRotation="0" wrapText="false" indent="0" shrinkToFit="false"/>
      <protection locked="true" hidden="false"/>
    </xf>
    <xf numFmtId="164" fontId="12" fillId="11" borderId="0" applyFont="true" applyBorder="true" applyAlignment="true" applyProtection="true">
      <alignment horizontal="general" vertical="bottom" textRotation="0" wrapText="false" indent="0" shrinkToFit="false"/>
      <protection locked="true" hidden="false"/>
    </xf>
    <xf numFmtId="164" fontId="12" fillId="11" borderId="0" applyFont="true" applyBorder="true" applyAlignment="true" applyProtection="true">
      <alignment horizontal="general" vertical="bottom" textRotation="0" wrapText="false" indent="0" shrinkToFit="false"/>
      <protection locked="true" hidden="false"/>
    </xf>
    <xf numFmtId="164" fontId="12" fillId="11" borderId="0" applyFont="true" applyBorder="true" applyAlignment="true" applyProtection="true">
      <alignment horizontal="general" vertical="bottom" textRotation="0" wrapText="false" indent="0" shrinkToFit="false"/>
      <protection locked="true" hidden="false"/>
    </xf>
    <xf numFmtId="164" fontId="12" fillId="11"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9" borderId="0" applyFont="true" applyBorder="true" applyAlignment="true" applyProtection="true">
      <alignment horizontal="general" vertical="bottom" textRotation="0" wrapText="false" indent="0" shrinkToFit="false"/>
      <protection locked="true" hidden="false"/>
    </xf>
    <xf numFmtId="164" fontId="12" fillId="10"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11"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9" borderId="0" applyFont="true" applyBorder="true" applyAlignment="true" applyProtection="true">
      <alignment horizontal="general" vertical="bottom" textRotation="0" wrapText="false" indent="0" shrinkToFit="false"/>
      <protection locked="true" hidden="false"/>
    </xf>
    <xf numFmtId="164" fontId="12" fillId="10"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11" borderId="0" applyFont="true" applyBorder="true" applyAlignment="true" applyProtection="true">
      <alignment horizontal="general" vertical="bottom" textRotation="0" wrapText="false" indent="0" shrinkToFit="false"/>
      <protection locked="true" hidden="false"/>
    </xf>
    <xf numFmtId="164" fontId="13" fillId="12" borderId="0" applyFont="true" applyBorder="true" applyAlignment="true" applyProtection="true">
      <alignment horizontal="general" vertical="bottom" textRotation="0" wrapText="false" indent="0" shrinkToFit="false"/>
      <protection locked="true" hidden="false"/>
    </xf>
    <xf numFmtId="164" fontId="13" fillId="12" borderId="0" applyFont="true" applyBorder="true" applyAlignment="true" applyProtection="true">
      <alignment horizontal="general" vertical="bottom" textRotation="0" wrapText="false" indent="0" shrinkToFit="false"/>
      <protection locked="true" hidden="false"/>
    </xf>
    <xf numFmtId="164" fontId="13" fillId="12" borderId="0" applyFont="true" applyBorder="true" applyAlignment="true" applyProtection="true">
      <alignment horizontal="general" vertical="bottom" textRotation="0" wrapText="false" indent="0" shrinkToFit="false"/>
      <protection locked="true" hidden="false"/>
    </xf>
    <xf numFmtId="164" fontId="13" fillId="12" borderId="0" applyFont="true" applyBorder="true" applyAlignment="true" applyProtection="true">
      <alignment horizontal="general" vertical="bottom" textRotation="0" wrapText="false" indent="0" shrinkToFit="false"/>
      <protection locked="true" hidden="false"/>
    </xf>
    <xf numFmtId="164" fontId="13" fillId="12" borderId="0" applyFont="true" applyBorder="true" applyAlignment="true" applyProtection="true">
      <alignment horizontal="general" vertical="bottom" textRotation="0" wrapText="false" indent="0" shrinkToFit="false"/>
      <protection locked="true" hidden="false"/>
    </xf>
    <xf numFmtId="164" fontId="13" fillId="9" borderId="0" applyFont="true" applyBorder="true" applyAlignment="true" applyProtection="true">
      <alignment horizontal="general" vertical="bottom" textRotation="0" wrapText="false" indent="0" shrinkToFit="false"/>
      <protection locked="true" hidden="false"/>
    </xf>
    <xf numFmtId="164" fontId="13" fillId="9" borderId="0" applyFont="true" applyBorder="true" applyAlignment="true" applyProtection="true">
      <alignment horizontal="general" vertical="bottom" textRotation="0" wrapText="false" indent="0" shrinkToFit="false"/>
      <protection locked="true" hidden="false"/>
    </xf>
    <xf numFmtId="164" fontId="13" fillId="9" borderId="0" applyFont="true" applyBorder="true" applyAlignment="true" applyProtection="true">
      <alignment horizontal="general" vertical="bottom" textRotation="0" wrapText="false" indent="0" shrinkToFit="false"/>
      <protection locked="true" hidden="false"/>
    </xf>
    <xf numFmtId="164" fontId="13" fillId="9" borderId="0" applyFont="true" applyBorder="true" applyAlignment="true" applyProtection="true">
      <alignment horizontal="general" vertical="bottom" textRotation="0" wrapText="false" indent="0" shrinkToFit="false"/>
      <protection locked="true" hidden="false"/>
    </xf>
    <xf numFmtId="164" fontId="13" fillId="9" borderId="0" applyFont="true" applyBorder="true" applyAlignment="true" applyProtection="true">
      <alignment horizontal="general" vertical="bottom" textRotation="0" wrapText="false" indent="0" shrinkToFit="false"/>
      <protection locked="true" hidden="false"/>
    </xf>
    <xf numFmtId="164" fontId="13" fillId="10" borderId="0" applyFont="true" applyBorder="true" applyAlignment="true" applyProtection="true">
      <alignment horizontal="general" vertical="bottom" textRotation="0" wrapText="false" indent="0" shrinkToFit="false"/>
      <protection locked="true" hidden="false"/>
    </xf>
    <xf numFmtId="164" fontId="13" fillId="10" borderId="0" applyFont="true" applyBorder="true" applyAlignment="true" applyProtection="true">
      <alignment horizontal="general" vertical="bottom" textRotation="0" wrapText="false" indent="0" shrinkToFit="false"/>
      <protection locked="true" hidden="false"/>
    </xf>
    <xf numFmtId="164" fontId="13" fillId="10" borderId="0" applyFont="true" applyBorder="true" applyAlignment="true" applyProtection="true">
      <alignment horizontal="general" vertical="bottom" textRotation="0" wrapText="false" indent="0" shrinkToFit="false"/>
      <protection locked="true" hidden="false"/>
    </xf>
    <xf numFmtId="164" fontId="13" fillId="10" borderId="0" applyFont="true" applyBorder="true" applyAlignment="true" applyProtection="true">
      <alignment horizontal="general" vertical="bottom" textRotation="0" wrapText="false" indent="0" shrinkToFit="false"/>
      <protection locked="true" hidden="false"/>
    </xf>
    <xf numFmtId="164" fontId="13" fillId="10"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5" borderId="0" applyFont="true" applyBorder="true" applyAlignment="true" applyProtection="true">
      <alignment horizontal="general" vertical="bottom" textRotation="0" wrapText="false" indent="0" shrinkToFit="false"/>
      <protection locked="true" hidden="false"/>
    </xf>
    <xf numFmtId="164" fontId="13" fillId="15" borderId="0" applyFont="true" applyBorder="true" applyAlignment="true" applyProtection="true">
      <alignment horizontal="general" vertical="bottom" textRotation="0" wrapText="false" indent="0" shrinkToFit="false"/>
      <protection locked="true" hidden="false"/>
    </xf>
    <xf numFmtId="164" fontId="13" fillId="15" borderId="0" applyFont="true" applyBorder="true" applyAlignment="true" applyProtection="true">
      <alignment horizontal="general" vertical="bottom" textRotation="0" wrapText="false" indent="0" shrinkToFit="false"/>
      <protection locked="true" hidden="false"/>
    </xf>
    <xf numFmtId="164" fontId="13" fillId="15" borderId="0" applyFont="true" applyBorder="true" applyAlignment="true" applyProtection="true">
      <alignment horizontal="general" vertical="bottom" textRotation="0" wrapText="false" indent="0" shrinkToFit="false"/>
      <protection locked="true" hidden="false"/>
    </xf>
    <xf numFmtId="164" fontId="13" fillId="15" borderId="0" applyFont="true" applyBorder="true" applyAlignment="true" applyProtection="true">
      <alignment horizontal="general" vertical="bottom" textRotation="0" wrapText="false" indent="0" shrinkToFit="false"/>
      <protection locked="true" hidden="false"/>
    </xf>
    <xf numFmtId="164" fontId="13" fillId="12" borderId="0" applyFont="true" applyBorder="true" applyAlignment="true" applyProtection="true">
      <alignment horizontal="general" vertical="bottom" textRotation="0" wrapText="false" indent="0" shrinkToFit="false"/>
      <protection locked="true" hidden="false"/>
    </xf>
    <xf numFmtId="164" fontId="13" fillId="9" borderId="0" applyFont="true" applyBorder="true" applyAlignment="true" applyProtection="true">
      <alignment horizontal="general" vertical="bottom" textRotation="0" wrapText="false" indent="0" shrinkToFit="false"/>
      <protection locked="true" hidden="false"/>
    </xf>
    <xf numFmtId="164" fontId="13" fillId="10"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5" borderId="0" applyFont="true" applyBorder="true" applyAlignment="true" applyProtection="true">
      <alignment horizontal="general" vertical="bottom" textRotation="0" wrapText="false" indent="0" shrinkToFit="false"/>
      <protection locked="true" hidden="false"/>
    </xf>
    <xf numFmtId="164" fontId="13" fillId="12" borderId="0" applyFont="true" applyBorder="true" applyAlignment="true" applyProtection="true">
      <alignment horizontal="general" vertical="bottom" textRotation="0" wrapText="false" indent="0" shrinkToFit="false"/>
      <protection locked="true" hidden="false"/>
    </xf>
    <xf numFmtId="164" fontId="13" fillId="9" borderId="0" applyFont="true" applyBorder="true" applyAlignment="true" applyProtection="true">
      <alignment horizontal="general" vertical="bottom" textRotation="0" wrapText="false" indent="0" shrinkToFit="false"/>
      <protection locked="true" hidden="false"/>
    </xf>
    <xf numFmtId="164" fontId="13" fillId="10"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5" borderId="0" applyFont="true" applyBorder="true" applyAlignment="true" applyProtection="true">
      <alignment horizontal="general" vertical="bottom" textRotation="0" wrapText="false" indent="0" shrinkToFit="false"/>
      <protection locked="true" hidden="false"/>
    </xf>
    <xf numFmtId="175" fontId="14" fillId="0" borderId="0" applyFont="true" applyBorder="true" applyAlignment="true" applyProtection="true">
      <alignment horizontal="general" vertical="bottom" textRotation="0" wrapText="false" indent="0" shrinkToFit="false"/>
      <protection locked="true" hidden="false"/>
    </xf>
    <xf numFmtId="176" fontId="14" fillId="0" borderId="0" applyFont="true" applyBorder="true" applyAlignment="true" applyProtection="true">
      <alignment horizontal="general" vertical="bottom" textRotation="0" wrapText="false" indent="0" shrinkToFit="false"/>
      <protection locked="true" hidden="false"/>
    </xf>
    <xf numFmtId="164" fontId="1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77" fontId="16" fillId="0" borderId="0" applyFont="true" applyBorder="true" applyAlignment="true" applyProtection="true">
      <alignment horizontal="right" vertical="top" textRotation="0" wrapText="false" indent="0" shrinkToFit="false"/>
      <protection locked="true" hidden="false"/>
    </xf>
    <xf numFmtId="178" fontId="17" fillId="0" borderId="4" applyFont="true" applyBorder="true" applyAlignment="true" applyProtection="true">
      <alignment horizontal="center" vertical="top" textRotation="0" wrapText="false" indent="0" shrinkToFit="false"/>
      <protection locked="true" hidden="false"/>
    </xf>
    <xf numFmtId="178" fontId="17" fillId="0" borderId="4" applyFont="true" applyBorder="true" applyAlignment="true" applyProtection="true">
      <alignment horizontal="center" vertical="top" textRotation="0" wrapText="false" indent="0" shrinkToFit="false"/>
      <protection locked="true" hidden="false"/>
    </xf>
    <xf numFmtId="178" fontId="17" fillId="0" borderId="4" applyFont="true" applyBorder="true" applyAlignment="true" applyProtection="true">
      <alignment horizontal="center" vertical="top" textRotation="0" wrapText="false" indent="0" shrinkToFit="false"/>
      <protection locked="true" hidden="false"/>
    </xf>
    <xf numFmtId="178" fontId="17" fillId="0" borderId="4" applyFont="true" applyBorder="true" applyAlignment="true" applyProtection="true">
      <alignment horizontal="center" vertical="top" textRotation="0" wrapText="false" indent="0" shrinkToFit="false"/>
      <protection locked="true" hidden="false"/>
    </xf>
    <xf numFmtId="164" fontId="16" fillId="0" borderId="0" applyFont="true" applyBorder="true" applyAlignment="true" applyProtection="true">
      <alignment horizontal="general" vertical="bottom" textRotation="0" wrapText="false" indent="0" shrinkToFit="false"/>
      <protection locked="true" hidden="false"/>
    </xf>
    <xf numFmtId="179" fontId="0" fillId="0" borderId="0" applyFont="true" applyBorder="true" applyAlignment="true" applyProtection="true">
      <alignment horizontal="general" vertical="bottom" textRotation="0" wrapText="false" indent="0" shrinkToFit="false"/>
      <protection locked="true" hidden="false"/>
    </xf>
    <xf numFmtId="180"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81" fontId="18"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74" fontId="0" fillId="0" borderId="0" applyFont="true" applyBorder="true" applyAlignment="true" applyProtection="true">
      <alignment horizontal="general" vertical="bottom" textRotation="0" wrapText="false" indent="0" shrinkToFit="false"/>
      <protection locked="true" hidden="false"/>
    </xf>
    <xf numFmtId="182" fontId="0" fillId="0" borderId="0" applyFont="true" applyBorder="true" applyAlignment="true" applyProtection="true">
      <alignment horizontal="general" vertical="bottom" textRotation="0" wrapText="false" indent="0" shrinkToFit="false"/>
      <protection locked="true" hidden="false"/>
    </xf>
    <xf numFmtId="174" fontId="0" fillId="0" borderId="0" applyFont="true" applyBorder="true" applyAlignment="true" applyProtection="true">
      <alignment horizontal="general" vertical="bottom" textRotation="0" wrapText="false" indent="0" shrinkToFit="false"/>
      <protection locked="true" hidden="false"/>
    </xf>
    <xf numFmtId="182" fontId="0" fillId="0" borderId="0" applyFont="true" applyBorder="true" applyAlignment="true" applyProtection="true">
      <alignment horizontal="general" vertical="bottom" textRotation="0" wrapText="false" indent="0" shrinkToFit="false"/>
      <protection locked="true" hidden="false"/>
    </xf>
    <xf numFmtId="182" fontId="0" fillId="0" borderId="0" applyFont="true" applyBorder="true" applyAlignment="true" applyProtection="true">
      <alignment horizontal="general" vertical="bottom" textRotation="0" wrapText="false" indent="0" shrinkToFit="false"/>
      <protection locked="true" hidden="false"/>
    </xf>
    <xf numFmtId="182"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83" fontId="0" fillId="0" borderId="0" applyFont="true" applyBorder="true" applyAlignment="true" applyProtection="true">
      <alignment horizontal="general" vertical="bottom" textRotation="0" wrapText="false" indent="0" shrinkToFit="false"/>
      <protection locked="true" hidden="false"/>
    </xf>
    <xf numFmtId="184" fontId="0" fillId="0" borderId="0" applyFont="true" applyBorder="true" applyAlignment="true" applyProtection="true">
      <alignment horizontal="general" vertical="bottom" textRotation="0" wrapText="false" indent="0" shrinkToFit="false"/>
      <protection locked="true" hidden="false"/>
    </xf>
    <xf numFmtId="184" fontId="0" fillId="0" borderId="0" applyFont="true" applyBorder="true" applyAlignment="true" applyProtection="true">
      <alignment horizontal="general" vertical="bottom" textRotation="0" wrapText="false" indent="0" shrinkToFit="false"/>
      <protection locked="true" hidden="false"/>
    </xf>
    <xf numFmtId="184" fontId="0" fillId="0" borderId="0" applyFont="true" applyBorder="true" applyAlignment="true" applyProtection="true">
      <alignment horizontal="general" vertical="bottom" textRotation="0" wrapText="false" indent="0" shrinkToFit="false"/>
      <protection locked="true" hidden="false"/>
    </xf>
    <xf numFmtId="184" fontId="0" fillId="0" borderId="0" applyFont="true" applyBorder="true" applyAlignment="true" applyProtection="true">
      <alignment horizontal="general" vertical="bottom" textRotation="0" wrapText="false" indent="0" shrinkToFit="false"/>
      <protection locked="true" hidden="false"/>
    </xf>
    <xf numFmtId="185" fontId="0" fillId="0" borderId="0" applyFont="true" applyBorder="true" applyAlignment="true" applyProtection="true">
      <alignment horizontal="general" vertical="bottom" textRotation="0" wrapText="false" indent="0" shrinkToFit="false"/>
      <protection locked="true" hidden="false"/>
    </xf>
    <xf numFmtId="186" fontId="0" fillId="0" borderId="0" applyFont="true" applyBorder="true" applyAlignment="true" applyProtection="true">
      <alignment horizontal="general" vertical="bottom" textRotation="0" wrapText="false" indent="0" shrinkToFit="false"/>
      <protection locked="true" hidden="false"/>
    </xf>
    <xf numFmtId="186" fontId="0" fillId="0" borderId="0" applyFont="true" applyBorder="true" applyAlignment="true" applyProtection="true">
      <alignment horizontal="general" vertical="bottom" textRotation="0" wrapText="false" indent="0" shrinkToFit="false"/>
      <protection locked="true" hidden="false"/>
    </xf>
    <xf numFmtId="186" fontId="0" fillId="0" borderId="0" applyFont="true" applyBorder="true" applyAlignment="true" applyProtection="true">
      <alignment horizontal="general" vertical="bottom" textRotation="0" wrapText="false" indent="0" shrinkToFit="false"/>
      <protection locked="true" hidden="false"/>
    </xf>
    <xf numFmtId="186"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87"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0" fillId="16"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88" fontId="0" fillId="0" borderId="0" applyFont="true" applyBorder="true" applyAlignment="true" applyProtection="true">
      <alignment horizontal="general" vertical="bottom" textRotation="0" wrapText="false" indent="0" shrinkToFit="false"/>
      <protection locked="true" hidden="false"/>
    </xf>
    <xf numFmtId="189" fontId="0" fillId="0" borderId="0" applyFont="true" applyBorder="true" applyAlignment="true" applyProtection="true">
      <alignment horizontal="general" vertical="bottom" textRotation="0" wrapText="false" indent="0" shrinkToFit="false"/>
      <protection locked="true" hidden="false"/>
    </xf>
    <xf numFmtId="190" fontId="0" fillId="0" borderId="0" applyFont="true" applyBorder="true" applyAlignment="true" applyProtection="true">
      <alignment horizontal="general" vertical="bottom" textRotation="0" wrapText="false" indent="0" shrinkToFit="false"/>
      <protection locked="true" hidden="false"/>
    </xf>
    <xf numFmtId="189" fontId="0" fillId="0" borderId="0" applyFont="true" applyBorder="true" applyAlignment="true" applyProtection="true">
      <alignment horizontal="general" vertical="bottom" textRotation="0" wrapText="false" indent="0" shrinkToFit="false"/>
      <protection locked="true" hidden="false"/>
    </xf>
    <xf numFmtId="189" fontId="0" fillId="0" borderId="0" applyFont="true" applyBorder="true" applyAlignment="true" applyProtection="true">
      <alignment horizontal="general" vertical="bottom" textRotation="0" wrapText="false" indent="0" shrinkToFit="false"/>
      <protection locked="true" hidden="false"/>
    </xf>
    <xf numFmtId="189" fontId="0" fillId="0" borderId="0" applyFont="true" applyBorder="true" applyAlignment="true" applyProtection="true">
      <alignment horizontal="general" vertical="bottom" textRotation="0" wrapText="false" indent="0" shrinkToFit="false"/>
      <protection locked="true" hidden="false"/>
    </xf>
    <xf numFmtId="191" fontId="0" fillId="0" borderId="0" applyFont="true" applyBorder="true" applyAlignment="true" applyProtection="true">
      <alignment horizontal="general" vertical="bottom" textRotation="0" wrapText="false" indent="0" shrinkToFit="false"/>
      <protection locked="true" hidden="false"/>
    </xf>
    <xf numFmtId="192" fontId="0" fillId="0" borderId="0" applyFont="true" applyBorder="true" applyAlignment="true" applyProtection="true">
      <alignment horizontal="right" vertical="bottom" textRotation="0" wrapText="false" indent="0" shrinkToFit="false"/>
      <protection locked="true" hidden="false"/>
    </xf>
    <xf numFmtId="193" fontId="0" fillId="0" borderId="0" applyFont="true" applyBorder="true" applyAlignment="true" applyProtection="true">
      <alignment horizontal="right" vertical="bottom" textRotation="0" wrapText="false" indent="0" shrinkToFit="false"/>
      <protection locked="true" hidden="false"/>
    </xf>
    <xf numFmtId="192" fontId="0" fillId="0" borderId="0" applyFont="true" applyBorder="true" applyAlignment="true" applyProtection="true">
      <alignment horizontal="right" vertical="bottom" textRotation="0" wrapText="false" indent="0" shrinkToFit="false"/>
      <protection locked="true" hidden="false"/>
    </xf>
    <xf numFmtId="192" fontId="0" fillId="0" borderId="0" applyFont="true" applyBorder="true" applyAlignment="true" applyProtection="true">
      <alignment horizontal="right" vertical="bottom" textRotation="0" wrapText="false" indent="0" shrinkToFit="false"/>
      <protection locked="true" hidden="false"/>
    </xf>
    <xf numFmtId="192" fontId="0" fillId="0" borderId="0" applyFont="true" applyBorder="true" applyAlignment="true" applyProtection="true">
      <alignment horizontal="right" vertical="bottom" textRotation="0" wrapText="false" indent="0" shrinkToFit="false"/>
      <protection locked="true" hidden="false"/>
    </xf>
    <xf numFmtId="164" fontId="20" fillId="0" borderId="0" applyFont="true" applyBorder="true" applyAlignment="true" applyProtection="true">
      <alignment horizontal="general" vertical="bottom" textRotation="0" wrapText="false" indent="0" shrinkToFit="false"/>
      <protection locked="true" hidden="false"/>
    </xf>
    <xf numFmtId="164" fontId="20" fillId="0" borderId="0" applyFont="true" applyBorder="true" applyAlignment="true" applyProtection="true">
      <alignment horizontal="general" vertical="bottom" textRotation="0" wrapText="false" indent="0" shrinkToFit="false"/>
      <protection locked="true" hidden="false"/>
    </xf>
    <xf numFmtId="194" fontId="0" fillId="0" borderId="0" applyFont="true" applyBorder="true" applyAlignment="true" applyProtection="true">
      <alignment horizontal="general" vertical="bottom" textRotation="0" wrapText="false" indent="0" shrinkToFit="false"/>
      <protection locked="true" hidden="false"/>
    </xf>
    <xf numFmtId="195"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21" fillId="0" borderId="0" applyFont="true" applyBorder="true" applyAlignment="true" applyProtection="true">
      <alignment horizontal="general" vertical="top" textRotation="0" wrapText="false" indent="0" shrinkToFit="false"/>
      <protection locked="true" hidden="false"/>
    </xf>
    <xf numFmtId="164" fontId="22" fillId="0" borderId="5" applyFont="true" applyBorder="true" applyAlignment="true" applyProtection="true">
      <alignment horizontal="general" vertical="bottom" textRotation="0" wrapText="false" indent="0" shrinkToFit="false"/>
      <protection locked="true" hidden="false"/>
    </xf>
    <xf numFmtId="164" fontId="23" fillId="0" borderId="6" applyFont="true" applyBorder="true" applyAlignment="true" applyProtection="true">
      <alignment horizontal="center" vertical="bottom" textRotation="0" wrapText="false" indent="0" shrinkToFit="false"/>
      <protection locked="true" hidden="false"/>
    </xf>
    <xf numFmtId="164" fontId="23" fillId="0" borderId="0" applyFont="true" applyBorder="true" applyAlignment="true" applyProtection="true">
      <alignment horizontal="left" vertical="bottom" textRotation="0" wrapText="false" indent="0" shrinkToFit="false"/>
      <protection locked="true" hidden="false"/>
    </xf>
    <xf numFmtId="164" fontId="24" fillId="0" borderId="0" applyFont="true" applyBorder="true" applyAlignment="true" applyProtection="true">
      <alignment horizontal="center"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3" fillId="17" borderId="0" applyFont="true" applyBorder="true" applyAlignment="true" applyProtection="true">
      <alignment horizontal="general" vertical="bottom" textRotation="0" wrapText="false" indent="0" shrinkToFit="false"/>
      <protection locked="true" hidden="false"/>
    </xf>
    <xf numFmtId="164" fontId="13" fillId="17" borderId="0" applyFont="true" applyBorder="true" applyAlignment="true" applyProtection="true">
      <alignment horizontal="general" vertical="bottom" textRotation="0" wrapText="false" indent="0" shrinkToFit="false"/>
      <protection locked="true" hidden="false"/>
    </xf>
    <xf numFmtId="164" fontId="13" fillId="17" borderId="0" applyFont="true" applyBorder="true" applyAlignment="true" applyProtection="true">
      <alignment horizontal="general" vertical="bottom" textRotation="0" wrapText="false" indent="0" shrinkToFit="false"/>
      <protection locked="true" hidden="false"/>
    </xf>
    <xf numFmtId="164" fontId="13" fillId="17" borderId="0" applyFont="true" applyBorder="true" applyAlignment="true" applyProtection="true">
      <alignment horizontal="general" vertical="bottom" textRotation="0" wrapText="false" indent="0" shrinkToFit="false"/>
      <protection locked="true" hidden="false"/>
    </xf>
    <xf numFmtId="164" fontId="13" fillId="17" borderId="0" applyFont="true" applyBorder="true" applyAlignment="true" applyProtection="true">
      <alignment horizontal="general" vertical="bottom" textRotation="0" wrapText="false" indent="0" shrinkToFit="false"/>
      <protection locked="true" hidden="false"/>
    </xf>
    <xf numFmtId="164" fontId="13" fillId="18" borderId="0" applyFont="true" applyBorder="true" applyAlignment="true" applyProtection="true">
      <alignment horizontal="general" vertical="bottom" textRotation="0" wrapText="false" indent="0" shrinkToFit="false"/>
      <protection locked="true" hidden="false"/>
    </xf>
    <xf numFmtId="164" fontId="13" fillId="18" borderId="0" applyFont="true" applyBorder="true" applyAlignment="true" applyProtection="true">
      <alignment horizontal="general" vertical="bottom" textRotation="0" wrapText="false" indent="0" shrinkToFit="false"/>
      <protection locked="true" hidden="false"/>
    </xf>
    <xf numFmtId="164" fontId="13" fillId="18" borderId="0" applyFont="true" applyBorder="true" applyAlignment="true" applyProtection="true">
      <alignment horizontal="general" vertical="bottom" textRotation="0" wrapText="false" indent="0" shrinkToFit="false"/>
      <protection locked="true" hidden="false"/>
    </xf>
    <xf numFmtId="164" fontId="13" fillId="18" borderId="0" applyFont="true" applyBorder="true" applyAlignment="true" applyProtection="true">
      <alignment horizontal="general" vertical="bottom" textRotation="0" wrapText="false" indent="0" shrinkToFit="false"/>
      <protection locked="true" hidden="false"/>
    </xf>
    <xf numFmtId="164" fontId="13" fillId="18" borderId="0" applyFont="true" applyBorder="true" applyAlignment="true" applyProtection="true">
      <alignment horizontal="general" vertical="bottom" textRotation="0" wrapText="false" indent="0" shrinkToFit="false"/>
      <protection locked="true" hidden="false"/>
    </xf>
    <xf numFmtId="164" fontId="13" fillId="19" borderId="0" applyFont="true" applyBorder="true" applyAlignment="true" applyProtection="true">
      <alignment horizontal="general" vertical="bottom" textRotation="0" wrapText="false" indent="0" shrinkToFit="false"/>
      <protection locked="true" hidden="false"/>
    </xf>
    <xf numFmtId="164" fontId="13" fillId="19" borderId="0" applyFont="true" applyBorder="true" applyAlignment="true" applyProtection="true">
      <alignment horizontal="general" vertical="bottom" textRotation="0" wrapText="false" indent="0" shrinkToFit="false"/>
      <protection locked="true" hidden="false"/>
    </xf>
    <xf numFmtId="164" fontId="13" fillId="19" borderId="0" applyFont="true" applyBorder="true" applyAlignment="true" applyProtection="true">
      <alignment horizontal="general" vertical="bottom" textRotation="0" wrapText="false" indent="0" shrinkToFit="false"/>
      <protection locked="true" hidden="false"/>
    </xf>
    <xf numFmtId="164" fontId="13" fillId="19" borderId="0" applyFont="true" applyBorder="true" applyAlignment="true" applyProtection="true">
      <alignment horizontal="general" vertical="bottom" textRotation="0" wrapText="false" indent="0" shrinkToFit="false"/>
      <protection locked="true" hidden="false"/>
    </xf>
    <xf numFmtId="164" fontId="13" fillId="19"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20" borderId="0" applyFont="true" applyBorder="true" applyAlignment="true" applyProtection="true">
      <alignment horizontal="general" vertical="bottom" textRotation="0" wrapText="false" indent="0" shrinkToFit="false"/>
      <protection locked="true" hidden="false"/>
    </xf>
    <xf numFmtId="164" fontId="13" fillId="20" borderId="0" applyFont="true" applyBorder="true" applyAlignment="true" applyProtection="true">
      <alignment horizontal="general" vertical="bottom" textRotation="0" wrapText="false" indent="0" shrinkToFit="false"/>
      <protection locked="true" hidden="false"/>
    </xf>
    <xf numFmtId="164" fontId="13" fillId="20" borderId="0" applyFont="true" applyBorder="true" applyAlignment="true" applyProtection="true">
      <alignment horizontal="general" vertical="bottom" textRotation="0" wrapText="false" indent="0" shrinkToFit="false"/>
      <protection locked="true" hidden="false"/>
    </xf>
    <xf numFmtId="164" fontId="13" fillId="20" borderId="0" applyFont="true" applyBorder="true" applyAlignment="true" applyProtection="true">
      <alignment horizontal="general" vertical="bottom" textRotation="0" wrapText="false" indent="0" shrinkToFit="false"/>
      <protection locked="true" hidden="false"/>
    </xf>
    <xf numFmtId="164" fontId="13" fillId="2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6" fillId="0" borderId="7" applyFont="true" applyBorder="true" applyAlignment="true" applyProtection="true">
      <alignment horizontal="general" vertical="bottom" textRotation="0" wrapText="false" indent="0" shrinkToFit="false"/>
      <protection locked="true" hidden="false"/>
    </xf>
    <xf numFmtId="164" fontId="27" fillId="0" borderId="7" applyFont="true" applyBorder="true" applyAlignment="true" applyProtection="true">
      <alignment horizontal="general" vertical="bottom" textRotation="0" wrapText="false" indent="0" shrinkToFit="false"/>
      <protection locked="true" hidden="false"/>
    </xf>
    <xf numFmtId="164" fontId="27" fillId="0" borderId="7" applyFont="true" applyBorder="true" applyAlignment="true" applyProtection="true">
      <alignment horizontal="general" vertical="bottom" textRotation="0" wrapText="false" indent="0" shrinkToFit="false"/>
      <protection locked="true" hidden="false"/>
    </xf>
    <xf numFmtId="164" fontId="28" fillId="0" borderId="7" applyFont="true" applyBorder="true" applyAlignment="true" applyProtection="true">
      <alignment horizontal="general" vertical="bottom" textRotation="0" wrapText="false" indent="0" shrinkToFit="false"/>
      <protection locked="true" hidden="false"/>
    </xf>
    <xf numFmtId="164" fontId="11" fillId="0" borderId="7" applyFont="true" applyBorder="true" applyAlignment="true" applyProtection="true">
      <alignment horizontal="general" vertical="bottom" textRotation="0" wrapText="false" indent="0" shrinkToFit="false"/>
      <protection locked="tru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30" fillId="3" borderId="0" applyFont="true" applyBorder="true" applyAlignment="true" applyProtection="true">
      <alignment horizontal="general" vertical="bottom" textRotation="0" wrapText="false" indent="0" shrinkToFit="false"/>
      <protection locked="true" hidden="false"/>
    </xf>
    <xf numFmtId="164" fontId="30" fillId="3" borderId="0" applyFont="true" applyBorder="true" applyAlignment="true" applyProtection="true">
      <alignment horizontal="general" vertical="bottom" textRotation="0" wrapText="false" indent="0" shrinkToFit="false"/>
      <protection locked="true" hidden="false"/>
    </xf>
    <xf numFmtId="164" fontId="30" fillId="3" borderId="0" applyFont="true" applyBorder="true" applyAlignment="true" applyProtection="true">
      <alignment horizontal="general" vertical="bottom" textRotation="0" wrapText="false" indent="0" shrinkToFit="false"/>
      <protection locked="true" hidden="false"/>
    </xf>
    <xf numFmtId="164" fontId="30" fillId="3" borderId="0" applyFont="true" applyBorder="true" applyAlignment="true" applyProtection="true">
      <alignment horizontal="general" vertical="bottom" textRotation="0" wrapText="false" indent="0" shrinkToFit="false"/>
      <protection locked="true" hidden="false"/>
    </xf>
    <xf numFmtId="164" fontId="30" fillId="3" borderId="0" applyFont="true" applyBorder="true" applyAlignment="true" applyProtection="true">
      <alignment horizontal="general" vertical="bottom" textRotation="0" wrapText="false" indent="0" shrinkToFit="false"/>
      <protection locked="true" hidden="false"/>
    </xf>
    <xf numFmtId="196" fontId="31" fillId="0" borderId="0" applyFont="true" applyBorder="true" applyAlignment="true" applyProtection="true">
      <alignment horizontal="general" vertical="bottom" textRotation="0" wrapText="false" indent="0" shrinkToFit="false"/>
      <protection locked="true" hidden="false"/>
    </xf>
    <xf numFmtId="197" fontId="32" fillId="21" borderId="0" applyFont="true" applyBorder="true" applyAlignment="true" applyProtection="true">
      <alignment horizontal="left" vertical="bottom" textRotation="0" wrapText="false" indent="0" shrinkToFit="false"/>
      <protection locked="true" hidden="false"/>
    </xf>
    <xf numFmtId="198" fontId="31" fillId="0" borderId="0" applyFont="true" applyBorder="true" applyAlignment="true" applyProtection="true">
      <alignment horizontal="general" vertical="bottom" textRotation="0" wrapText="false" indent="0" shrinkToFit="false"/>
      <protection locked="true" hidden="false"/>
    </xf>
    <xf numFmtId="198" fontId="31" fillId="0" borderId="0" applyFont="true" applyBorder="true" applyAlignment="true" applyProtection="true">
      <alignment horizontal="general" vertical="bottom" textRotation="0" wrapText="false" indent="0" shrinkToFit="false"/>
      <protection locked="true" hidden="false"/>
    </xf>
    <xf numFmtId="164" fontId="33" fillId="0" borderId="0" applyFont="true" applyBorder="true" applyAlignment="true" applyProtection="true">
      <alignment horizontal="general" vertical="bottom" textRotation="0" wrapText="false" indent="0" shrinkToFit="false"/>
      <protection locked="true" hidden="false"/>
    </xf>
    <xf numFmtId="164" fontId="34" fillId="4" borderId="0" applyFont="true" applyBorder="true" applyAlignment="true" applyProtection="true">
      <alignment horizontal="general" vertical="bottom" textRotation="0" wrapText="false" indent="0" shrinkToFit="false"/>
      <protection locked="true" hidden="false"/>
    </xf>
    <xf numFmtId="164" fontId="35" fillId="22" borderId="8" applyFont="true" applyBorder="true" applyAlignment="true" applyProtection="true">
      <alignment horizontal="general" vertical="bottom" textRotation="0" wrapText="false" indent="0" shrinkToFit="false"/>
      <protection locked="true" hidden="false"/>
    </xf>
    <xf numFmtId="164" fontId="35" fillId="22" borderId="8" applyFont="true" applyBorder="true" applyAlignment="true" applyProtection="true">
      <alignment horizontal="general" vertical="bottom" textRotation="0" wrapText="false" indent="0" shrinkToFit="false"/>
      <protection locked="true" hidden="false"/>
    </xf>
    <xf numFmtId="164" fontId="35" fillId="22" borderId="8" applyFont="true" applyBorder="true" applyAlignment="true" applyProtection="true">
      <alignment horizontal="general" vertical="bottom" textRotation="0" wrapText="false" indent="0" shrinkToFit="false"/>
      <protection locked="true" hidden="false"/>
    </xf>
    <xf numFmtId="164" fontId="35" fillId="22" borderId="8" applyFont="true" applyBorder="true" applyAlignment="true" applyProtection="true">
      <alignment horizontal="general" vertical="bottom" textRotation="0" wrapText="false" indent="0" shrinkToFit="false"/>
      <protection locked="true" hidden="false"/>
    </xf>
    <xf numFmtId="164" fontId="35" fillId="22" borderId="8" applyFont="true" applyBorder="true" applyAlignment="true" applyProtection="true">
      <alignment horizontal="general" vertical="bottom" textRotation="0" wrapText="false" indent="0" shrinkToFit="false"/>
      <protection locked="true" hidden="false"/>
    </xf>
    <xf numFmtId="164" fontId="35" fillId="22" borderId="8" applyFont="true" applyBorder="true" applyAlignment="true" applyProtection="true">
      <alignment horizontal="general" vertical="bottom" textRotation="0" wrapText="false" indent="0" shrinkToFit="false"/>
      <protection locked="true" hidden="false"/>
    </xf>
    <xf numFmtId="196" fontId="31" fillId="0" borderId="0" applyFont="true" applyBorder="true" applyAlignment="true" applyProtection="true">
      <alignment horizontal="general" vertical="bottom" textRotation="0" wrapText="false" indent="0" shrinkToFit="false"/>
      <protection locked="true" hidden="false"/>
    </xf>
    <xf numFmtId="196" fontId="36" fillId="0" borderId="0" applyFont="true" applyBorder="true" applyAlignment="true" applyProtection="true">
      <alignment horizontal="general" vertical="bottom" textRotation="0" wrapText="false" indent="0" shrinkToFit="false"/>
      <protection locked="true" hidden="false"/>
    </xf>
    <xf numFmtId="164" fontId="37" fillId="23" borderId="9" applyFont="true" applyBorder="true" applyAlignment="true" applyProtection="true">
      <alignment horizontal="general" vertical="bottom" textRotation="0" wrapText="false" indent="0" shrinkToFit="false"/>
      <protection locked="true" hidden="false"/>
    </xf>
    <xf numFmtId="164" fontId="38" fillId="0" borderId="10" applyFont="true" applyBorder="true" applyAlignment="true" applyProtection="true">
      <alignment horizontal="general" vertical="bottom" textRotation="0" wrapText="false" indent="0" shrinkToFit="false"/>
      <protection locked="true" hidden="false"/>
    </xf>
    <xf numFmtId="164" fontId="38" fillId="0" borderId="10" applyFont="true" applyBorder="true" applyAlignment="true" applyProtection="true">
      <alignment horizontal="general" vertical="bottom" textRotation="0" wrapText="false" indent="0" shrinkToFit="false"/>
      <protection locked="true" hidden="false"/>
    </xf>
    <xf numFmtId="197" fontId="39" fillId="0" borderId="0" applyFont="true" applyBorder="true" applyAlignment="true" applyProtection="true">
      <alignment horizontal="general" vertical="bottom" textRotation="0" wrapText="false" indent="0" shrinkToFit="false"/>
      <protection locked="true" hidden="false"/>
    </xf>
    <xf numFmtId="164" fontId="37" fillId="23" borderId="9" applyFont="true" applyBorder="true" applyAlignment="true" applyProtection="true">
      <alignment horizontal="general" vertical="bottom" textRotation="0" wrapText="false" indent="0" shrinkToFit="false"/>
      <protection locked="true" hidden="false"/>
    </xf>
    <xf numFmtId="164" fontId="37" fillId="23" borderId="9" applyFont="true" applyBorder="true" applyAlignment="true" applyProtection="true">
      <alignment horizontal="general" vertical="bottom" textRotation="0" wrapText="false" indent="0" shrinkToFit="false"/>
      <protection locked="true" hidden="false"/>
    </xf>
    <xf numFmtId="164" fontId="37" fillId="23" borderId="9" applyFont="true" applyBorder="true" applyAlignment="true" applyProtection="true">
      <alignment horizontal="general" vertical="bottom" textRotation="0" wrapText="false" indent="0" shrinkToFit="false"/>
      <protection locked="true" hidden="false"/>
    </xf>
    <xf numFmtId="164" fontId="37" fillId="23" borderId="9" applyFont="true" applyBorder="true" applyAlignment="true" applyProtection="true">
      <alignment horizontal="general" vertical="bottom" textRotation="0" wrapText="false" indent="0" shrinkToFit="false"/>
      <protection locked="true" hidden="false"/>
    </xf>
    <xf numFmtId="164" fontId="37" fillId="23" borderId="9" applyFont="true" applyBorder="true" applyAlignment="true" applyProtection="true">
      <alignment horizontal="general" vertical="bottom" textRotation="0" wrapText="false" indent="0" shrinkToFit="false"/>
      <protection locked="true" hidden="false"/>
    </xf>
    <xf numFmtId="164" fontId="40" fillId="0" borderId="0" applyFont="true" applyBorder="true" applyAlignment="true" applyProtection="true">
      <alignment horizontal="general" vertical="bottom" textRotation="0" wrapText="false" indent="0" shrinkToFit="false"/>
      <protection locked="true" hidden="false"/>
    </xf>
    <xf numFmtId="164" fontId="41" fillId="6" borderId="11" applyFont="true" applyBorder="true" applyAlignment="true" applyProtection="true">
      <alignment horizontal="left" vertical="center" textRotation="0" wrapText="false" indent="0" shrinkToFit="false"/>
      <protection locked="true" hidden="false"/>
    </xf>
    <xf numFmtId="197" fontId="42" fillId="0" borderId="0" applyFont="true" applyBorder="true" applyAlignment="true" applyProtection="true">
      <alignment horizontal="general" vertical="center" textRotation="0" wrapText="false" indent="0" shrinkToFit="false"/>
      <protection locked="true" hidden="false"/>
    </xf>
    <xf numFmtId="164" fontId="43" fillId="0" borderId="0" applyFont="true" applyBorder="true" applyAlignment="true" applyProtection="true">
      <alignment horizontal="center" vertical="bottom" textRotation="0" wrapText="true" indent="0" shrinkToFit="false"/>
      <protection locked="true" hidden="true"/>
    </xf>
    <xf numFmtId="164" fontId="44" fillId="0" borderId="0" applyFont="true" applyBorder="true" applyAlignment="true" applyProtection="true">
      <alignment horizontal="right" vertical="center" textRotation="0" wrapText="false" indent="0" shrinkToFit="false"/>
      <protection locked="true" hidden="false"/>
    </xf>
    <xf numFmtId="199" fontId="18" fillId="0" borderId="0" applyFont="true" applyBorder="true" applyAlignment="true" applyProtection="true">
      <alignment horizontal="general" vertical="bottom" textRotation="0" wrapText="false" indent="0" shrinkToFit="false"/>
      <protection locked="true" hidden="false"/>
    </xf>
    <xf numFmtId="199" fontId="18" fillId="0" borderId="0" applyFont="true" applyBorder="true" applyAlignment="true" applyProtection="true">
      <alignment horizontal="general" vertical="bottom" textRotation="0" wrapText="false" indent="0" shrinkToFit="false"/>
      <protection locked="true" hidden="false"/>
    </xf>
    <xf numFmtId="199" fontId="18" fillId="0" borderId="0" applyFont="true" applyBorder="true" applyAlignment="true" applyProtection="true">
      <alignment horizontal="general" vertical="bottom" textRotation="0" wrapText="false" indent="0" shrinkToFit="false"/>
      <protection locked="true" hidden="false"/>
    </xf>
    <xf numFmtId="199" fontId="18" fillId="0" borderId="0" applyFont="true" applyBorder="true" applyAlignment="true" applyProtection="true">
      <alignment horizontal="general" vertical="bottom" textRotation="0" wrapText="false" indent="0" shrinkToFit="false"/>
      <protection locked="true" hidden="false"/>
    </xf>
    <xf numFmtId="199" fontId="18" fillId="0" borderId="0" applyFont="true" applyBorder="true" applyAlignment="true" applyProtection="true">
      <alignment horizontal="general" vertical="bottom" textRotation="0" wrapText="false" indent="0" shrinkToFit="false"/>
      <protection locked="true" hidden="false"/>
    </xf>
    <xf numFmtId="199" fontId="18" fillId="0" borderId="0" applyFont="true" applyBorder="true" applyAlignment="true" applyProtection="true">
      <alignment horizontal="general" vertical="bottom" textRotation="0" wrapText="false" indent="0" shrinkToFit="false"/>
      <protection locked="true" hidden="false"/>
    </xf>
    <xf numFmtId="199" fontId="18" fillId="0" borderId="0" applyFont="true" applyBorder="true" applyAlignment="true" applyProtection="true">
      <alignment horizontal="general" vertical="bottom" textRotation="0" wrapText="false" indent="0" shrinkToFit="false"/>
      <protection locked="true" hidden="false"/>
    </xf>
    <xf numFmtId="199" fontId="18" fillId="0" borderId="0" applyFont="true" applyBorder="true" applyAlignment="true" applyProtection="true">
      <alignment horizontal="general" vertical="bottom" textRotation="0" wrapText="false" indent="0" shrinkToFit="false"/>
      <protection locked="true" hidden="false"/>
    </xf>
    <xf numFmtId="200" fontId="0" fillId="0" borderId="0" applyFont="true" applyBorder="true" applyAlignment="true" applyProtection="true">
      <alignment horizontal="general" vertical="bottom" textRotation="0" wrapText="false" indent="0" shrinkToFit="false"/>
      <protection locked="true" hidden="false"/>
    </xf>
    <xf numFmtId="201"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196" fontId="6" fillId="0" borderId="0" applyFont="true" applyBorder="true" applyAlignment="true" applyProtection="true">
      <alignment horizontal="right" vertical="bottom" textRotation="0" wrapText="false" indent="0" shrinkToFit="false"/>
      <protection locked="true" hidden="false"/>
    </xf>
    <xf numFmtId="203" fontId="45" fillId="0" borderId="2" applyFont="true" applyBorder="true" applyAlignment="true" applyProtection="true">
      <alignment horizontal="general" vertical="bottom" textRotation="0" wrapText="false" indent="0" shrinkToFit="false"/>
      <protection locked="true" hidden="false"/>
    </xf>
    <xf numFmtId="204" fontId="46" fillId="0" borderId="0" applyFont="true" applyBorder="true" applyAlignment="true" applyProtection="true">
      <alignment horizontal="left" vertical="bottom" textRotation="0" wrapText="false" indent="0" shrinkToFit="false"/>
      <protection locked="true" hidden="false"/>
    </xf>
    <xf numFmtId="164" fontId="0" fillId="24" borderId="12" applyFont="true" applyBorder="true" applyAlignment="true" applyProtection="true">
      <alignment horizontal="general" vertical="bottom" textRotation="0" wrapText="false" indent="0" shrinkToFit="false"/>
      <protection locked="true" hidden="false"/>
    </xf>
    <xf numFmtId="164" fontId="47" fillId="25" borderId="0" applyFont="true" applyBorder="true" applyAlignment="true" applyProtection="true">
      <alignment horizontal="center" vertical="center" textRotation="0" wrapText="true" indent="0" shrinkToFit="false"/>
      <protection locked="true" hidden="false"/>
    </xf>
    <xf numFmtId="196" fontId="48" fillId="0" borderId="0" applyFont="true" applyBorder="true" applyAlignment="true" applyProtection="true">
      <alignment horizontal="general" vertical="bottom" textRotation="0" wrapText="false" indent="0" shrinkToFit="false"/>
      <protection locked="true" hidden="false"/>
    </xf>
    <xf numFmtId="205" fontId="48" fillId="0" borderId="0" applyFont="true" applyBorder="true" applyAlignment="true" applyProtection="true">
      <alignment horizontal="general" vertical="bottom" textRotation="0" wrapText="false" indent="0" shrinkToFit="false"/>
      <protection locked="true" hidden="false"/>
    </xf>
    <xf numFmtId="206" fontId="49" fillId="23" borderId="0" applyFont="true" applyBorder="true" applyAlignment="true" applyProtection="true">
      <alignment horizontal="left" vertical="bottom" textRotation="0" wrapText="false" indent="0" shrinkToFit="false"/>
      <protection locked="true" hidden="false"/>
    </xf>
    <xf numFmtId="164" fontId="50" fillId="26" borderId="13" applyFont="true" applyBorder="true" applyAlignment="true" applyProtection="true">
      <alignment horizontal="general" vertical="center" textRotation="0" wrapText="false" indent="0" shrinkToFit="false"/>
      <protection locked="true" hidden="false"/>
    </xf>
    <xf numFmtId="207" fontId="43" fillId="0" borderId="0" applyFont="true" applyBorder="true" applyAlignment="true" applyProtection="true">
      <alignment horizontal="right" vertical="bottom" textRotation="0" wrapText="false" indent="0" shrinkToFit="false"/>
      <protection locked="false" hidden="false"/>
    </xf>
    <xf numFmtId="208" fontId="33" fillId="0" borderId="14" applyFont="true" applyBorder="true" applyAlignment="true" applyProtection="true">
      <alignment horizontal="general" vertical="bottom" textRotation="0" wrapText="false" indent="0" shrinkToFit="false"/>
      <protection locked="true" hidden="false"/>
    </xf>
    <xf numFmtId="209" fontId="17" fillId="0" borderId="0" applyFont="true" applyBorder="true" applyAlignment="true" applyProtection="true">
      <alignment horizontal="general" vertical="bottom" textRotation="0" wrapText="false" indent="0" shrinkToFit="false"/>
      <protection locked="true" hidden="false"/>
    </xf>
    <xf numFmtId="210" fontId="0" fillId="0" borderId="0" applyFont="true" applyBorder="true" applyAlignment="true" applyProtection="true">
      <alignment horizontal="general" vertical="bottom" textRotation="0" wrapText="false" indent="0" shrinkToFit="false"/>
      <protection locked="true" hidden="false"/>
    </xf>
    <xf numFmtId="210" fontId="0" fillId="0"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general" vertical="bottom" textRotation="0" wrapText="false" indent="0" shrinkToFit="false"/>
      <protection locked="fals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35" fillId="22" borderId="8" applyFont="true" applyBorder="true" applyAlignment="true" applyProtection="true">
      <alignment horizontal="general" vertical="bottom" textRotation="0" wrapText="false" indent="0" shrinkToFit="false"/>
      <protection locked="true" hidden="false"/>
    </xf>
    <xf numFmtId="164" fontId="18" fillId="0" borderId="15" applyFont="true" applyBorder="true" applyAlignment="true" applyProtection="true">
      <alignment horizontal="general" vertical="bottom" textRotation="0" wrapText="false" indent="0" shrinkToFit="false"/>
      <protection locked="true" hidden="false"/>
    </xf>
    <xf numFmtId="164" fontId="0" fillId="22" borderId="16" applyFont="true" applyBorder="true" applyAlignment="true" applyProtection="true">
      <alignment horizontal="general" vertical="bottom" textRotation="0" wrapText="false" indent="0" shrinkToFit="false"/>
      <protection locked="true" hidden="false"/>
    </xf>
    <xf numFmtId="164" fontId="0" fillId="22" borderId="16" applyFont="true" applyBorder="true" applyAlignment="true" applyProtection="true">
      <alignment horizontal="general" vertical="bottom" textRotation="0" wrapText="false" indent="0" shrinkToFit="false"/>
      <protection locked="true" hidden="false"/>
    </xf>
    <xf numFmtId="211" fontId="51" fillId="0" borderId="0" applyFont="true" applyBorder="true" applyAlignment="true" applyProtection="true">
      <alignment horizontal="general" vertical="bottom" textRotation="0" wrapText="false" indent="0" shrinkToFit="false"/>
      <protection locked="true" hidden="false"/>
    </xf>
    <xf numFmtId="212" fontId="17" fillId="0" borderId="0" applyFont="true" applyBorder="true" applyAlignment="true" applyProtection="true">
      <alignment horizontal="general" vertical="bottom" textRotation="0" wrapText="false" indent="0" shrinkToFit="false"/>
      <protection locked="true" hidden="false"/>
    </xf>
    <xf numFmtId="213" fontId="36" fillId="0" borderId="0" applyFont="true" applyBorder="true" applyAlignment="true" applyProtection="true">
      <alignment horizontal="center" vertical="bottom" textRotation="0" wrapText="false" indent="0" shrinkToFit="false"/>
      <protection locked="true" hidden="false"/>
    </xf>
    <xf numFmtId="214" fontId="36" fillId="0" borderId="0" applyFont="true" applyBorder="true" applyAlignment="true" applyProtection="true">
      <alignment horizontal="center" vertical="bottom" textRotation="0" wrapText="false" indent="0" shrinkToFit="false"/>
      <protection locked="true" hidden="false"/>
    </xf>
    <xf numFmtId="215" fontId="52" fillId="0" borderId="0" applyFont="true" applyBorder="true" applyAlignment="true" applyProtection="true">
      <alignment horizontal="right" vertical="bottom" textRotation="0" wrapText="false" indent="0" shrinkToFit="false"/>
      <protection locked="true" hidden="false"/>
    </xf>
    <xf numFmtId="216" fontId="53" fillId="0" borderId="0" applyFont="true" applyBorder="true" applyAlignment="true" applyProtection="true">
      <alignment horizontal="right" vertical="bottom" textRotation="0" wrapText="false" indent="0" shrinkToFit="false"/>
      <protection locked="true" hidden="false"/>
    </xf>
    <xf numFmtId="217" fontId="0" fillId="0" borderId="0" applyFont="true" applyBorder="true" applyAlignment="true" applyProtection="true">
      <alignment horizontal="right" vertical="bottom" textRotation="0" wrapText="false" indent="0" shrinkToFit="false"/>
      <protection locked="true" hidden="false"/>
    </xf>
    <xf numFmtId="213" fontId="36" fillId="0" borderId="0" applyFont="true" applyBorder="true" applyAlignment="true" applyProtection="true">
      <alignment horizontal="general" vertical="bottom" textRotation="0" wrapText="false" indent="0" shrinkToFit="false"/>
      <protection locked="true" hidden="false"/>
    </xf>
    <xf numFmtId="214" fontId="36" fillId="0" borderId="0" applyFont="true" applyBorder="true" applyAlignment="true" applyProtection="true">
      <alignment horizontal="general" vertical="bottom" textRotation="0" wrapText="false" indent="0" shrinkToFit="false"/>
      <protection locked="true" hidden="false"/>
    </xf>
    <xf numFmtId="218" fontId="54" fillId="0" borderId="0" applyFont="true" applyBorder="true" applyAlignment="true" applyProtection="true">
      <alignment horizontal="general" vertical="bottom" textRotation="0" wrapText="false" indent="0" shrinkToFit="false"/>
      <protection locked="true" hidden="false"/>
    </xf>
    <xf numFmtId="219" fontId="54" fillId="0" borderId="0" applyFont="true" applyBorder="true" applyAlignment="true" applyProtection="true">
      <alignment horizontal="general" vertical="bottom" textRotation="0" wrapText="false" indent="0" shrinkToFit="false"/>
      <protection locked="true" hidden="false"/>
    </xf>
    <xf numFmtId="220" fontId="11" fillId="0" borderId="0" applyFont="true" applyBorder="true" applyAlignment="true" applyProtection="true">
      <alignment horizontal="general" vertical="bottom" textRotation="0" wrapText="false" indent="0" shrinkToFit="false"/>
      <protection locked="true" hidden="false"/>
    </xf>
    <xf numFmtId="221" fontId="11" fillId="0" borderId="0" applyFont="true" applyBorder="true" applyAlignment="true" applyProtection="true">
      <alignment horizontal="general" vertical="bottom" textRotation="0" wrapText="false" indent="0" shrinkToFit="false"/>
      <protection locked="true" hidden="false"/>
    </xf>
    <xf numFmtId="222" fontId="11" fillId="0" borderId="0" applyFont="true" applyBorder="true" applyAlignment="true" applyProtection="true">
      <alignment horizontal="general" vertical="bottom" textRotation="0" wrapText="false" indent="0" shrinkToFit="false"/>
      <protection locked="true" hidden="false"/>
    </xf>
    <xf numFmtId="197" fontId="1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5" fillId="27" borderId="0" applyFont="true" applyBorder="true" applyAlignment="true" applyProtection="true">
      <alignment horizontal="general" vertical="top" textRotation="0" wrapText="false" indent="0" shrinkToFit="false"/>
      <protection locked="false" hidden="false"/>
    </xf>
    <xf numFmtId="164" fontId="55" fillId="27" borderId="0" applyFont="true" applyBorder="true" applyAlignment="true" applyProtection="true">
      <alignment horizontal="general" vertical="top" textRotation="0" wrapText="false" indent="0" shrinkToFit="false"/>
      <protection locked="false" hidden="false"/>
    </xf>
    <xf numFmtId="223" fontId="0" fillId="0" borderId="0" applyFont="true" applyBorder="true" applyAlignment="true" applyProtection="true">
      <alignment horizontal="general" vertical="bottom" textRotation="0" wrapText="false" indent="0" shrinkToFit="false"/>
      <protection locked="true" hidden="false"/>
    </xf>
    <xf numFmtId="224" fontId="56" fillId="0" borderId="0" applyFont="true" applyBorder="true" applyAlignment="true" applyProtection="true">
      <alignment horizontal="general" vertical="bottom" textRotation="0" wrapText="false" indent="0" shrinkToFit="false"/>
      <protection locked="true" hidden="false"/>
    </xf>
    <xf numFmtId="225" fontId="57" fillId="0" borderId="0" applyFont="true" applyBorder="true" applyAlignment="true" applyProtection="true">
      <alignment horizontal="right" vertical="bottom" textRotation="0" wrapText="false" indent="0" shrinkToFit="false"/>
      <protection locked="true" hidden="false"/>
    </xf>
    <xf numFmtId="226" fontId="57" fillId="0" borderId="0" applyFont="true" applyBorder="true" applyAlignment="true" applyProtection="true">
      <alignment horizontal="right" vertical="bottom" textRotation="0" wrapText="false" indent="0" shrinkToFit="false"/>
      <protection locked="true" hidden="false"/>
    </xf>
    <xf numFmtId="227" fontId="57" fillId="0" borderId="0" applyFont="true" applyBorder="true" applyAlignment="true" applyProtection="true">
      <alignment horizontal="right" vertical="bottom" textRotation="0" wrapText="false" indent="0" shrinkToFit="false"/>
      <protection locked="true" hidden="false"/>
    </xf>
    <xf numFmtId="228" fontId="58" fillId="0" borderId="0" applyFont="true" applyBorder="true" applyAlignment="true" applyProtection="true">
      <alignment horizontal="general" vertical="bottom" textRotation="0" wrapText="false" indent="0" shrinkToFit="false"/>
      <protection locked="true" hidden="false"/>
    </xf>
    <xf numFmtId="229" fontId="31" fillId="0" borderId="0" applyFont="true" applyBorder="true" applyAlignment="true" applyProtection="true">
      <alignment horizontal="general" vertical="bottom" textRotation="0" wrapText="false" indent="0" shrinkToFit="false"/>
      <protection locked="true" hidden="false"/>
    </xf>
    <xf numFmtId="230" fontId="36" fillId="0" borderId="0" applyFont="true" applyBorder="true" applyAlignment="true" applyProtection="true">
      <alignment horizontal="general" vertical="bottom" textRotation="0" wrapText="false" indent="0" shrinkToFit="false"/>
      <protection locked="true" hidden="false"/>
    </xf>
    <xf numFmtId="208" fontId="31" fillId="0" borderId="0" applyFont="true" applyBorder="true" applyAlignment="true" applyProtection="true">
      <alignment horizontal="general" vertical="bottom" textRotation="0" wrapText="false" indent="0" shrinkToFit="false"/>
      <protection locked="true" hidden="false"/>
    </xf>
    <xf numFmtId="229" fontId="0" fillId="0" borderId="0" applyFont="true" applyBorder="true" applyAlignment="true" applyProtection="true">
      <alignment horizontal="general" vertical="bottom" textRotation="0" wrapText="false" indent="0" shrinkToFit="false"/>
      <protection locked="true" hidden="false"/>
    </xf>
    <xf numFmtId="218" fontId="17" fillId="0" borderId="0" applyFont="true" applyBorder="true" applyAlignment="true" applyProtection="true">
      <alignment horizontal="general" vertical="bottom" textRotation="0" wrapText="false" indent="0" shrinkToFit="false"/>
      <protection locked="true" hidden="false"/>
    </xf>
    <xf numFmtId="218" fontId="17" fillId="0" borderId="0" applyFont="true" applyBorder="true" applyAlignment="true" applyProtection="true">
      <alignment horizontal="general" vertical="bottom" textRotation="0" wrapText="false" indent="0" shrinkToFit="false"/>
      <protection locked="true" hidden="false"/>
    </xf>
    <xf numFmtId="208" fontId="31" fillId="0" borderId="0" applyFont="true" applyBorder="true" applyAlignment="true" applyProtection="true">
      <alignment horizontal="general" vertical="bottom" textRotation="0" wrapText="false" indent="0" shrinkToFit="false"/>
      <protection locked="true" hidden="false"/>
    </xf>
    <xf numFmtId="208" fontId="31" fillId="0" borderId="0" applyFont="true" applyBorder="true" applyAlignment="true" applyProtection="true">
      <alignment horizontal="general" vertical="bottom" textRotation="0" wrapText="false" indent="0" shrinkToFit="false"/>
      <protection locked="true" hidden="false"/>
    </xf>
    <xf numFmtId="164" fontId="17" fillId="0" borderId="17" applyFont="true" applyBorder="true" applyAlignment="true" applyProtection="true">
      <alignment horizontal="general" vertical="bottom" textRotation="0" wrapText="false" indent="0" shrinkToFit="false"/>
      <protection locked="true" hidden="false"/>
    </xf>
    <xf numFmtId="164" fontId="59" fillId="0" borderId="18" applyFont="true" applyBorder="true" applyAlignment="true" applyProtection="true">
      <alignment horizontal="general" vertical="bottom" textRotation="0" wrapText="false" indent="0" shrinkToFit="false"/>
      <protection locked="true" hidden="false"/>
    </xf>
    <xf numFmtId="231" fontId="11" fillId="0" borderId="19" applyFont="true" applyBorder="true" applyAlignment="true" applyProtection="true">
      <alignment horizontal="general" vertical="bottom" textRotation="0" wrapText="false" indent="0" shrinkToFit="false"/>
      <protection locked="true" hidden="false"/>
    </xf>
    <xf numFmtId="164" fontId="5" fillId="0" borderId="15" applyFont="true" applyBorder="true" applyAlignment="true" applyProtection="true">
      <alignment horizontal="general" vertical="bottom" textRotation="0" wrapText="false" indent="0" shrinkToFit="false"/>
      <protection locked="true" hidden="false"/>
    </xf>
    <xf numFmtId="164" fontId="5" fillId="0" borderId="15" applyFont="true" applyBorder="true" applyAlignment="true" applyProtection="true">
      <alignment horizontal="general" vertical="bottom" textRotation="0" wrapText="false" indent="0" shrinkToFit="false"/>
      <protection locked="true" hidden="false"/>
    </xf>
    <xf numFmtId="164" fontId="5" fillId="0" borderId="15" applyFont="true" applyBorder="true" applyAlignment="true" applyProtection="true">
      <alignment horizontal="general" vertical="bottom" textRotation="0" wrapText="false" indent="0" shrinkToFit="false"/>
      <protection locked="true" hidden="false"/>
    </xf>
    <xf numFmtId="164" fontId="5" fillId="0" borderId="15" applyFont="true" applyBorder="true" applyAlignment="true" applyProtection="true">
      <alignment horizontal="general" vertical="bottom" textRotation="0" wrapText="false" indent="0" shrinkToFit="false"/>
      <protection locked="true" hidden="false"/>
    </xf>
    <xf numFmtId="196" fontId="0" fillId="2" borderId="0" applyFont="true" applyBorder="true" applyAlignment="true" applyProtection="true">
      <alignment horizontal="right" vertical="bottom" textRotation="0" wrapText="false" indent="0" shrinkToFit="false"/>
      <protection locked="true" hidden="false"/>
    </xf>
    <xf numFmtId="164" fontId="60" fillId="0" borderId="0" applyFont="true" applyBorder="true" applyAlignment="true" applyProtection="true">
      <alignment horizontal="general" vertical="bottom" textRotation="0" wrapText="false" indent="0" shrinkToFit="false"/>
      <protection locked="true" hidden="false"/>
    </xf>
    <xf numFmtId="164" fontId="61" fillId="28" borderId="0" applyFont="true" applyBorder="true" applyAlignment="true" applyProtection="true">
      <alignment horizontal="general" vertical="bottom" textRotation="0" wrapText="false" indent="0" shrinkToFit="false"/>
      <protection locked="true" hidden="false"/>
    </xf>
    <xf numFmtId="164" fontId="62" fillId="7" borderId="8" applyFont="true" applyBorder="true" applyAlignment="true" applyProtection="true">
      <alignment horizontal="general" vertical="bottom" textRotation="0" wrapText="false" indent="0" shrinkToFit="false"/>
      <protection locked="true" hidden="false"/>
    </xf>
    <xf numFmtId="164" fontId="31" fillId="29" borderId="20" applyFont="true" applyBorder="true" applyAlignment="true" applyProtection="true">
      <alignment horizontal="general" vertical="bottom" textRotation="0" wrapText="false" indent="0" shrinkToFit="false"/>
      <protection locked="false" hidden="false"/>
    </xf>
    <xf numFmtId="164" fontId="62" fillId="7" borderId="8" applyFont="true" applyBorder="true" applyAlignment="true" applyProtection="true">
      <alignment horizontal="general" vertical="bottom" textRotation="0" wrapText="false" indent="0" shrinkToFit="false"/>
      <protection locked="true" hidden="false"/>
    </xf>
    <xf numFmtId="229" fontId="31" fillId="0" borderId="0" applyFont="true" applyBorder="true" applyAlignment="true" applyProtection="true">
      <alignment horizontal="general" vertical="bottom" textRotation="0" wrapText="false" indent="0" shrinkToFit="false"/>
      <protection locked="true" hidden="false"/>
    </xf>
    <xf numFmtId="178" fontId="0" fillId="0" borderId="0" applyFont="true" applyBorder="true" applyAlignment="true" applyProtection="true">
      <alignment horizontal="right" vertical="bottom" textRotation="0" wrapText="false" indent="0" shrinkToFit="false"/>
      <protection locked="true" hidden="false"/>
    </xf>
    <xf numFmtId="178" fontId="0" fillId="0" borderId="0" applyFont="true" applyBorder="true" applyAlignment="true" applyProtection="true">
      <alignment horizontal="right" vertical="bottom" textRotation="0" wrapText="false" indent="0" shrinkToFit="false"/>
      <protection locked="true" hidden="false"/>
    </xf>
    <xf numFmtId="178" fontId="0" fillId="0" borderId="21" applyFont="true" applyBorder="true" applyAlignment="true" applyProtection="true">
      <alignment horizontal="general" vertical="bottom" textRotation="0" wrapText="false" indent="0" shrinkToFit="false"/>
      <protection locked="true" hidden="false"/>
    </xf>
    <xf numFmtId="178" fontId="0" fillId="0" borderId="21" applyFont="true" applyBorder="true" applyAlignment="true" applyProtection="true">
      <alignment horizontal="general" vertical="bottom" textRotation="0" wrapText="false" indent="0" shrinkToFit="false"/>
      <protection locked="true" hidden="false"/>
    </xf>
    <xf numFmtId="232" fontId="0" fillId="0" borderId="0" applyFont="true" applyBorder="true" applyAlignment="true" applyProtection="true">
      <alignment horizontal="general" vertical="bottom" textRotation="0" wrapText="false" indent="0" shrinkToFit="false"/>
      <protection locked="true" hidden="false"/>
    </xf>
    <xf numFmtId="232" fontId="0" fillId="0" borderId="0" applyFont="true" applyBorder="true" applyAlignment="true" applyProtection="true">
      <alignment horizontal="general" vertical="bottom" textRotation="0" wrapText="false" indent="0" shrinkToFit="false"/>
      <protection locked="true" hidden="false"/>
    </xf>
    <xf numFmtId="203" fontId="17" fillId="0" borderId="0" applyFont="true" applyBorder="true" applyAlignment="true" applyProtection="true">
      <alignment horizontal="general" vertical="bottom" textRotation="0" wrapText="false" indent="0" shrinkToFit="false"/>
      <protection locked="true" hidden="false"/>
    </xf>
    <xf numFmtId="164" fontId="63" fillId="0" borderId="0" applyFont="true" applyBorder="true" applyAlignment="true" applyProtection="true">
      <alignment horizontal="general" vertical="bottom" textRotation="0" wrapText="false" indent="0" shrinkToFit="false"/>
      <protection locked="true" hidden="false"/>
    </xf>
    <xf numFmtId="164" fontId="63" fillId="0" borderId="0" applyFont="true" applyBorder="true" applyAlignment="true" applyProtection="true">
      <alignment horizontal="general" vertical="bottom" textRotation="0" wrapText="false" indent="0" shrinkToFit="false"/>
      <protection locked="true" hidden="false"/>
    </xf>
    <xf numFmtId="164" fontId="63" fillId="0" borderId="0" applyFont="true" applyBorder="true" applyAlignment="true" applyProtection="true">
      <alignment horizontal="general" vertical="bottom" textRotation="0" wrapText="false" indent="0" shrinkToFit="false"/>
      <protection locked="true" hidden="false"/>
    </xf>
    <xf numFmtId="164" fontId="63" fillId="0" borderId="0" applyFont="true" applyBorder="true" applyAlignment="true" applyProtection="true">
      <alignment horizontal="general" vertical="bottom" textRotation="0" wrapText="false" indent="0" shrinkToFit="false"/>
      <protection locked="true" hidden="false"/>
    </xf>
    <xf numFmtId="164" fontId="63" fillId="0" borderId="0" applyFont="true" applyBorder="true" applyAlignment="true" applyProtection="true">
      <alignment horizontal="general" vertical="bottom" textRotation="0" wrapText="false" indent="0" shrinkToFit="false"/>
      <protection locked="true" hidden="false"/>
    </xf>
    <xf numFmtId="164" fontId="16" fillId="0" borderId="0" applyFont="true" applyBorder="true" applyAlignment="true" applyProtection="true">
      <alignment horizontal="center" vertical="top" textRotation="0" wrapText="false" indent="0" shrinkToFit="false"/>
      <protection locked="true" hidden="false"/>
    </xf>
    <xf numFmtId="233" fontId="64" fillId="0" borderId="0" applyFont="true" applyBorder="true" applyAlignment="true" applyProtection="true">
      <alignment horizontal="right" vertical="top" textRotation="0" wrapText="false" indent="0" shrinkToFit="false"/>
      <protection locked="true" hidden="false"/>
    </xf>
    <xf numFmtId="234" fontId="16" fillId="0" borderId="0" applyFont="true" applyBorder="true" applyAlignment="true" applyProtection="true">
      <alignment horizontal="right" vertical="top" textRotation="0" wrapText="false" indent="0" shrinkToFit="false"/>
      <protection locked="true" hidden="false"/>
    </xf>
    <xf numFmtId="234" fontId="64" fillId="0" borderId="0" applyFont="true" applyBorder="true" applyAlignment="true" applyProtection="true">
      <alignment horizontal="right" vertical="top" textRotation="0" wrapText="false" indent="0" shrinkToFit="false"/>
      <protection locked="true" hidden="false"/>
    </xf>
    <xf numFmtId="235" fontId="16" fillId="0" borderId="0" applyFont="true" applyBorder="true" applyAlignment="true" applyProtection="true">
      <alignment horizontal="right" vertical="top" textRotation="0" wrapText="false" indent="0" shrinkToFit="false"/>
      <protection locked="true" hidden="false"/>
    </xf>
    <xf numFmtId="164" fontId="16" fillId="0" borderId="0" applyFont="true" applyBorder="true" applyAlignment="true" applyProtection="true">
      <alignment horizontal="general" vertical="bottom" textRotation="0" wrapText="false" indent="0" shrinkToFit="false"/>
      <protection locked="true" hidden="false"/>
    </xf>
    <xf numFmtId="177" fontId="16" fillId="0" borderId="0" applyFont="true" applyBorder="true" applyAlignment="true" applyProtection="true">
      <alignment horizontal="right" vertical="top" textRotation="0" wrapText="false" indent="0" shrinkToFit="false"/>
      <protection locked="true" hidden="false"/>
    </xf>
    <xf numFmtId="236" fontId="16" fillId="0" borderId="0" applyFont="true" applyBorder="true" applyAlignment="true" applyProtection="true">
      <alignment horizontal="right" vertical="top" textRotation="0" wrapText="false" indent="0" shrinkToFit="false"/>
      <protection locked="true" hidden="false"/>
    </xf>
    <xf numFmtId="237" fontId="16" fillId="0" borderId="0" applyFont="true" applyBorder="true" applyAlignment="true" applyProtection="true">
      <alignment horizontal="right" vertical="top" textRotation="0" wrapText="false" indent="0" shrinkToFit="false"/>
      <protection locked="true" hidden="false"/>
    </xf>
    <xf numFmtId="164" fontId="65" fillId="0" borderId="0" applyFont="true" applyBorder="true" applyAlignment="true" applyProtection="true">
      <alignment horizontal="left" vertical="bottom" textRotation="0" wrapText="false" indent="0" shrinkToFit="false"/>
      <protection locked="true" hidden="false"/>
    </xf>
    <xf numFmtId="164" fontId="65" fillId="0" borderId="1" applyFont="true" applyBorder="true" applyAlignment="true" applyProtection="true">
      <alignment horizontal="right" vertical="bottom" textRotation="0" wrapText="true" indent="0" shrinkToFit="false"/>
      <protection locked="true" hidden="false"/>
    </xf>
    <xf numFmtId="169" fontId="8" fillId="0" borderId="1" applyFont="true" applyBorder="true" applyAlignment="true" applyProtection="true">
      <alignment horizontal="left" vertical="bottom" textRotation="0" wrapText="false" indent="0" shrinkToFit="false"/>
      <protection locked="true" hidden="false"/>
    </xf>
    <xf numFmtId="164" fontId="66" fillId="0" borderId="0" applyFont="true" applyBorder="true" applyAlignment="true" applyProtection="true">
      <alignment horizontal="general" vertical="center" textRotation="0" wrapText="false" indent="0" shrinkToFit="false"/>
      <protection locked="true" hidden="false"/>
    </xf>
    <xf numFmtId="238" fontId="66" fillId="0" borderId="0" applyFont="true" applyBorder="true" applyAlignment="true" applyProtection="true">
      <alignment horizontal="left" vertical="center" textRotation="0" wrapText="false" indent="0" shrinkToFit="false"/>
      <protection locked="true" hidden="false"/>
    </xf>
    <xf numFmtId="239" fontId="67" fillId="0" borderId="0" applyFont="true" applyBorder="true" applyAlignment="true" applyProtection="true">
      <alignment horizontal="general" vertical="center" textRotation="0" wrapText="false" indent="0" shrinkToFit="false"/>
      <protection locked="true" hidden="false"/>
    </xf>
    <xf numFmtId="164" fontId="68" fillId="0" borderId="0" applyFont="true" applyBorder="true" applyAlignment="true" applyProtection="true">
      <alignment horizontal="general" vertical="center" textRotation="0" wrapText="false" indent="0" shrinkToFit="false"/>
      <protection locked="true" hidden="false"/>
    </xf>
    <xf numFmtId="169" fontId="8" fillId="0" borderId="1" applyFont="true" applyBorder="true" applyAlignment="true" applyProtection="true">
      <alignment horizontal="left" vertical="bottom" textRotation="0" wrapText="false" indent="0" shrinkToFit="false"/>
      <protection locked="true" hidden="false"/>
    </xf>
    <xf numFmtId="169" fontId="69" fillId="0" borderId="0" applyFont="true" applyBorder="true" applyAlignment="true" applyProtection="true">
      <alignment horizontal="general" vertical="top" textRotation="0" wrapText="false" indent="0" shrinkToFit="false"/>
      <protection locked="true" hidden="false"/>
    </xf>
    <xf numFmtId="169" fontId="70" fillId="0" borderId="0" applyFont="true" applyBorder="true" applyAlignment="true" applyProtection="true">
      <alignment horizontal="general" vertical="top" textRotation="0" wrapText="false" indent="0" shrinkToFit="false"/>
      <protection locked="true" hidden="false"/>
    </xf>
    <xf numFmtId="169" fontId="71" fillId="0" borderId="0" applyFont="true" applyBorder="true" applyAlignment="true" applyProtection="true">
      <alignment horizontal="general" vertical="top" textRotation="0" wrapText="false" indent="0" shrinkToFit="false"/>
      <protection locked="true" hidden="false"/>
    </xf>
    <xf numFmtId="169" fontId="16" fillId="0" borderId="0" applyFont="true" applyBorder="true" applyAlignment="true" applyProtection="true">
      <alignment horizontal="center" vertical="bottom" textRotation="0" wrapText="false" indent="0" shrinkToFit="false"/>
      <protection locked="true" hidden="false"/>
    </xf>
    <xf numFmtId="169" fontId="72" fillId="0" borderId="1" applyFont="true" applyBorder="true" applyAlignment="true" applyProtection="true">
      <alignment horizontal="center" vertical="bottom" textRotation="0" wrapText="false" indent="0" shrinkToFit="false"/>
      <protection locked="true" hidden="false"/>
    </xf>
    <xf numFmtId="223" fontId="16" fillId="0" borderId="1" applyFont="true" applyBorder="true" applyAlignment="true" applyProtection="true">
      <alignment horizontal="right" vertical="top" textRotation="0" wrapText="false" indent="0" shrinkToFit="false"/>
      <protection locked="true" hidden="false"/>
    </xf>
    <xf numFmtId="238" fontId="18" fillId="0" borderId="0" applyFont="true" applyBorder="true" applyAlignment="true" applyProtection="true">
      <alignment horizontal="left" vertical="center" textRotation="0" wrapText="false" indent="0" shrinkToFit="false"/>
      <protection locked="true" hidden="false"/>
    </xf>
    <xf numFmtId="169" fontId="18" fillId="0" borderId="0" applyFont="true" applyBorder="true" applyAlignment="true" applyProtection="true">
      <alignment horizontal="general" vertical="bottom" textRotation="0" wrapText="false" indent="0" shrinkToFit="false"/>
      <protection locked="true" hidden="false"/>
    </xf>
    <xf numFmtId="169" fontId="73" fillId="0" borderId="0" applyFont="true" applyBorder="true" applyAlignment="true" applyProtection="true">
      <alignment horizontal="general" vertical="bottom" textRotation="0" wrapText="false" indent="0" shrinkToFit="false"/>
      <protection locked="true" hidden="false"/>
    </xf>
    <xf numFmtId="169" fontId="21"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74" fillId="0" borderId="0" applyFont="true" applyBorder="true" applyAlignment="true" applyProtection="true">
      <alignment horizontal="left" vertical="top" textRotation="0" wrapText="false" indent="0" shrinkToFit="false"/>
      <protection locked="true" hidden="false"/>
    </xf>
    <xf numFmtId="164" fontId="16" fillId="0" borderId="0" applyFont="true" applyBorder="true" applyAlignment="true" applyProtection="true">
      <alignment horizontal="left" vertical="top" textRotation="0" wrapText="true" indent="0" shrinkToFit="false"/>
      <protection locked="true" hidden="false"/>
    </xf>
    <xf numFmtId="164" fontId="75" fillId="0" borderId="0" applyFont="true" applyBorder="true" applyAlignment="true" applyProtection="true">
      <alignment horizontal="left" vertical="top" textRotation="0" wrapText="true" indent="0" shrinkToFit="false"/>
      <protection locked="true" hidden="false"/>
    </xf>
    <xf numFmtId="164" fontId="76" fillId="0" borderId="0" applyFont="true" applyBorder="true" applyAlignment="true" applyProtection="true">
      <alignment horizontal="left" vertical="top" textRotation="0" wrapText="true" indent="0" shrinkToFit="false"/>
      <protection locked="true" hidden="false"/>
    </xf>
    <xf numFmtId="164" fontId="64" fillId="0" borderId="0" applyFont="true" applyBorder="true" applyAlignment="true" applyProtection="true">
      <alignment horizontal="left" vertical="top" textRotation="0" wrapText="true" indent="0" shrinkToFit="false"/>
      <protection locked="true" hidden="false"/>
    </xf>
    <xf numFmtId="172" fontId="0" fillId="0" borderId="22" applyFont="true" applyBorder="true" applyAlignment="true" applyProtection="true">
      <alignment horizontal="general" vertical="bottom" textRotation="0" wrapText="false" indent="0" shrinkToFit="false"/>
      <protection locked="true" hidden="false"/>
    </xf>
    <xf numFmtId="172" fontId="0" fillId="0" borderId="22" applyFont="true" applyBorder="true" applyAlignment="true" applyProtection="true">
      <alignment horizontal="general" vertical="bottom" textRotation="0" wrapText="false" indent="0" shrinkToFit="false"/>
      <protection locked="true" hidden="false"/>
    </xf>
    <xf numFmtId="174" fontId="17"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77" fillId="0" borderId="0" applyFont="true" applyBorder="true" applyAlignment="true" applyProtection="true">
      <alignment horizontal="left" vertical="bottom" textRotation="0" wrapText="false" indent="0" shrinkToFit="false"/>
      <protection locked="true" hidden="false"/>
    </xf>
    <xf numFmtId="164" fontId="78" fillId="22" borderId="0" applyFont="true" applyBorder="true" applyAlignment="true" applyProtection="true">
      <alignment horizontal="general" vertical="bottom" textRotation="0" wrapText="false" indent="0" shrinkToFit="false"/>
      <protection locked="true" hidden="false"/>
    </xf>
    <xf numFmtId="164" fontId="79" fillId="22" borderId="0" applyFont="true" applyBorder="true" applyAlignment="true" applyProtection="true">
      <alignment horizontal="general" vertical="bottom" textRotation="0" wrapText="false" indent="0" shrinkToFit="false"/>
      <protection locked="true" hidden="false"/>
    </xf>
    <xf numFmtId="164" fontId="80" fillId="0" borderId="23" applyFont="true" applyBorder="true" applyAlignment="true" applyProtection="true">
      <alignment horizontal="general" vertical="bottom" textRotation="0" wrapText="false" indent="0" shrinkToFit="false"/>
      <protection locked="true" hidden="false"/>
    </xf>
    <xf numFmtId="164" fontId="80" fillId="0" borderId="15" applyFont="true" applyBorder="true" applyAlignment="true" applyProtection="true">
      <alignment horizontal="general" vertical="bottom" textRotation="0" wrapText="false" indent="0" shrinkToFit="false"/>
      <protection locked="true" hidden="false"/>
    </xf>
    <xf numFmtId="164" fontId="80" fillId="30" borderId="15" applyFont="true" applyBorder="true" applyAlignment="true" applyProtection="true">
      <alignment horizontal="general" vertical="bottom" textRotation="0" wrapText="false" indent="0" shrinkToFit="false"/>
      <protection locked="true" hidden="false"/>
    </xf>
    <xf numFmtId="196" fontId="43" fillId="0" borderId="18" applyFont="true" applyBorder="true" applyAlignment="true" applyProtection="true">
      <alignment horizontal="general" vertical="bottom" textRotation="0" wrapText="false" indent="0" shrinkToFit="false"/>
      <protection locked="true" hidden="false"/>
    </xf>
    <xf numFmtId="205" fontId="43" fillId="0" borderId="0" applyFont="true" applyBorder="true" applyAlignment="true" applyProtection="true">
      <alignment horizontal="general" vertical="bottom" textRotation="0" wrapText="false" indent="0" shrinkToFit="false"/>
      <protection locked="true" hidden="false"/>
    </xf>
    <xf numFmtId="196" fontId="43" fillId="0" borderId="0" applyFont="true" applyBorder="true" applyAlignment="true" applyProtection="true">
      <alignment horizontal="general" vertical="bottom" textRotation="0" wrapText="false" indent="0" shrinkToFit="false"/>
      <protection locked="true" hidden="false"/>
    </xf>
    <xf numFmtId="240" fontId="27" fillId="0" borderId="0" applyFont="true" applyBorder="true" applyAlignment="true" applyProtection="true">
      <alignment horizontal="general" vertical="bottom" textRotation="0" wrapText="false" indent="0" shrinkToFit="false"/>
      <protection locked="true" hidden="false"/>
    </xf>
    <xf numFmtId="240" fontId="27" fillId="0" borderId="0" applyFont="true" applyBorder="true" applyAlignment="true" applyProtection="true">
      <alignment horizontal="general" vertical="bottom" textRotation="0" wrapText="false" indent="0" shrinkToFit="false"/>
      <protection locked="true" hidden="false"/>
    </xf>
    <xf numFmtId="164" fontId="31" fillId="0" borderId="0" applyFont="true" applyBorder="true" applyAlignment="true" applyProtection="true">
      <alignment horizontal="right" vertical="bottom" textRotation="0" wrapText="false" indent="0" shrinkToFit="false"/>
      <protection locked="true" hidden="false"/>
    </xf>
    <xf numFmtId="164" fontId="31" fillId="0" borderId="0" applyFont="true" applyBorder="true" applyAlignment="true" applyProtection="true">
      <alignment horizontal="right" vertical="bottom" textRotation="0" wrapText="false" indent="0" shrinkToFit="false"/>
      <protection locked="true" hidden="false"/>
    </xf>
    <xf numFmtId="164" fontId="81" fillId="0" borderId="0" applyFont="true" applyBorder="true" applyAlignment="true" applyProtection="true">
      <alignment horizontal="general" vertical="bottom" textRotation="0" wrapText="false" indent="0" shrinkToFit="false"/>
      <protection locked="true" hidden="false"/>
    </xf>
    <xf numFmtId="164" fontId="34" fillId="4" borderId="0" applyFont="true" applyBorder="true" applyAlignment="true" applyProtection="true">
      <alignment horizontal="general" vertical="bottom" textRotation="0" wrapText="false" indent="0" shrinkToFit="false"/>
      <protection locked="true" hidden="false"/>
    </xf>
    <xf numFmtId="164" fontId="34" fillId="4" borderId="0" applyFont="true" applyBorder="true" applyAlignment="true" applyProtection="true">
      <alignment horizontal="general" vertical="bottom" textRotation="0" wrapText="false" indent="0" shrinkToFit="false"/>
      <protection locked="true" hidden="false"/>
    </xf>
    <xf numFmtId="164" fontId="34" fillId="4" borderId="0" applyFont="true" applyBorder="true" applyAlignment="true" applyProtection="true">
      <alignment horizontal="general" vertical="bottom" textRotation="0" wrapText="false" indent="0" shrinkToFit="false"/>
      <protection locked="true" hidden="false"/>
    </xf>
    <xf numFmtId="164" fontId="34" fillId="4" borderId="0" applyFont="true" applyBorder="true" applyAlignment="true" applyProtection="true">
      <alignment horizontal="general" vertical="bottom" textRotation="0" wrapText="false" indent="0" shrinkToFit="false"/>
      <protection locked="true" hidden="false"/>
    </xf>
    <xf numFmtId="164" fontId="34" fillId="4" borderId="0" applyFont="true" applyBorder="true" applyAlignment="true" applyProtection="true">
      <alignment horizontal="general" vertical="bottom" textRotation="0" wrapText="false" indent="0" shrinkToFit="false"/>
      <protection locked="true" hidden="false"/>
    </xf>
    <xf numFmtId="164" fontId="11" fillId="22" borderId="0" applyFont="true" applyBorder="true" applyAlignment="true" applyProtection="true">
      <alignment horizontal="general" vertical="bottom" textRotation="0" wrapText="false" indent="0" shrinkToFit="false"/>
      <protection locked="true" hidden="false"/>
    </xf>
    <xf numFmtId="241" fontId="31" fillId="0" borderId="0" applyFont="true" applyBorder="true" applyAlignment="true" applyProtection="true">
      <alignment horizontal="general" vertical="bottom" textRotation="0" wrapText="false" indent="0" shrinkToFit="false"/>
      <protection locked="true" hidden="false"/>
    </xf>
    <xf numFmtId="242" fontId="82" fillId="0"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general" vertical="bottom" textRotation="0" wrapText="false" indent="0" shrinkToFit="false"/>
      <protection locked="true" hidden="false"/>
    </xf>
    <xf numFmtId="164" fontId="0" fillId="24" borderId="15" applyFont="true" applyBorder="true" applyAlignment="true" applyProtection="true">
      <alignment horizontal="general" vertical="bottom" textRotation="0" wrapText="false" indent="0" shrinkToFit="false"/>
      <protection locked="true" hidden="false"/>
    </xf>
    <xf numFmtId="164" fontId="0" fillId="24" borderId="15" applyFont="true" applyBorder="true" applyAlignment="true" applyProtection="true">
      <alignment horizontal="general" vertical="bottom" textRotation="0" wrapText="false" indent="0" shrinkToFit="false"/>
      <protection locked="true" hidden="false"/>
    </xf>
    <xf numFmtId="164" fontId="27" fillId="24" borderId="15" applyFont="true" applyBorder="true" applyAlignment="true" applyProtection="true">
      <alignment horizontal="general" vertical="bottom" textRotation="0" wrapText="false" indent="0" shrinkToFit="false"/>
      <protection locked="true" hidden="false"/>
    </xf>
    <xf numFmtId="164" fontId="27" fillId="24" borderId="15" applyFont="true" applyBorder="true" applyAlignment="true" applyProtection="true">
      <alignment horizontal="general" vertical="bottom" textRotation="0" wrapText="false" indent="0" shrinkToFit="false"/>
      <protection locked="true" hidden="false"/>
    </xf>
    <xf numFmtId="243" fontId="17" fillId="0" borderId="0" applyFont="true" applyBorder="true" applyAlignment="true" applyProtection="true">
      <alignment horizontal="general" vertical="bottom" textRotation="0" wrapText="false" indent="0" shrinkToFit="false"/>
      <protection locked="true" hidden="false"/>
    </xf>
    <xf numFmtId="181" fontId="18" fillId="0" borderId="0" applyFont="true" applyBorder="true" applyAlignment="true" applyProtection="true">
      <alignment horizontal="general" vertical="bottom" textRotation="0" wrapText="false" indent="0" shrinkToFit="false"/>
      <protection locked="true" hidden="false"/>
    </xf>
    <xf numFmtId="164" fontId="83" fillId="0" borderId="0" applyFont="true" applyBorder="true" applyAlignment="true" applyProtection="true">
      <alignment horizontal="center" vertical="bottom" textRotation="0" wrapText="false" indent="0" shrinkToFit="false"/>
      <protection locked="true" hidden="false"/>
    </xf>
    <xf numFmtId="164" fontId="84" fillId="0" borderId="0" applyFont="true" applyBorder="true" applyAlignment="true" applyProtection="true">
      <alignment horizontal="general" vertical="bottom" textRotation="0" wrapText="false" indent="0" shrinkToFit="false"/>
      <protection locked="true" hidden="false"/>
    </xf>
    <xf numFmtId="164" fontId="85" fillId="0" borderId="24" applyFont="true" applyBorder="true" applyAlignment="true" applyProtection="true">
      <alignment horizontal="general" vertical="bottom" textRotation="0" wrapText="false" indent="0" shrinkToFit="false"/>
      <protection locked="true" hidden="false"/>
    </xf>
    <xf numFmtId="164" fontId="85" fillId="0" borderId="24" applyFont="true" applyBorder="true" applyAlignment="true" applyProtection="true">
      <alignment horizontal="general" vertical="bottom" textRotation="0" wrapText="false" indent="0" shrinkToFit="false"/>
      <protection locked="true" hidden="false"/>
    </xf>
    <xf numFmtId="164" fontId="85" fillId="0" borderId="24" applyFont="true" applyBorder="true" applyAlignment="true" applyProtection="true">
      <alignment horizontal="general" vertical="bottom" textRotation="0" wrapText="false" indent="0" shrinkToFit="false"/>
      <protection locked="true" hidden="false"/>
    </xf>
    <xf numFmtId="164" fontId="85" fillId="0" borderId="24" applyFont="true" applyBorder="true" applyAlignment="true" applyProtection="true">
      <alignment horizontal="general" vertical="bottom" textRotation="0" wrapText="false" indent="0" shrinkToFit="false"/>
      <protection locked="true" hidden="false"/>
    </xf>
    <xf numFmtId="164" fontId="85" fillId="0" borderId="24" applyFont="true" applyBorder="true" applyAlignment="true" applyProtection="true">
      <alignment horizontal="general" vertical="bottom" textRotation="0" wrapText="false" indent="0" shrinkToFit="false"/>
      <protection locked="true" hidden="false"/>
    </xf>
    <xf numFmtId="164" fontId="86" fillId="0" borderId="25" applyFont="true" applyBorder="true" applyAlignment="true" applyProtection="true">
      <alignment horizontal="general" vertical="bottom" textRotation="0" wrapText="false" indent="0" shrinkToFit="false"/>
      <protection locked="true" hidden="false"/>
    </xf>
    <xf numFmtId="164" fontId="86" fillId="0" borderId="25" applyFont="true" applyBorder="true" applyAlignment="true" applyProtection="true">
      <alignment horizontal="general" vertical="bottom" textRotation="0" wrapText="false" indent="0" shrinkToFit="false"/>
      <protection locked="true" hidden="false"/>
    </xf>
    <xf numFmtId="164" fontId="86" fillId="0" borderId="25" applyFont="true" applyBorder="true" applyAlignment="true" applyProtection="true">
      <alignment horizontal="general" vertical="bottom" textRotation="0" wrapText="false" indent="0" shrinkToFit="false"/>
      <protection locked="true" hidden="false"/>
    </xf>
    <xf numFmtId="164" fontId="86" fillId="0" borderId="25" applyFont="true" applyBorder="true" applyAlignment="true" applyProtection="true">
      <alignment horizontal="general" vertical="bottom" textRotation="0" wrapText="false" indent="0" shrinkToFit="false"/>
      <protection locked="true" hidden="false"/>
    </xf>
    <xf numFmtId="164" fontId="86" fillId="0" borderId="25" applyFont="true" applyBorder="true" applyAlignment="true" applyProtection="true">
      <alignment horizontal="general" vertical="bottom" textRotation="0" wrapText="false" indent="0" shrinkToFit="false"/>
      <protection locked="true" hidden="false"/>
    </xf>
    <xf numFmtId="244" fontId="0" fillId="0" borderId="0" applyFont="true" applyBorder="true" applyAlignment="true" applyProtection="true">
      <alignment horizontal="general" vertical="bottom" textRotation="0" wrapText="false" indent="0" shrinkToFit="false"/>
      <protection locked="true" hidden="false"/>
    </xf>
    <xf numFmtId="164" fontId="60" fillId="0" borderId="26" applyFont="true" applyBorder="true" applyAlignment="true" applyProtection="true">
      <alignment horizontal="general" vertical="bottom" textRotation="0" wrapText="false" indent="0" shrinkToFit="false"/>
      <protection locked="true" hidden="false"/>
    </xf>
    <xf numFmtId="164" fontId="60" fillId="0" borderId="26" applyFont="true" applyBorder="true" applyAlignment="true" applyProtection="true">
      <alignment horizontal="general" vertical="bottom" textRotation="0" wrapText="false" indent="0" shrinkToFit="false"/>
      <protection locked="true" hidden="false"/>
    </xf>
    <xf numFmtId="164" fontId="60" fillId="0" borderId="26" applyFont="true" applyBorder="true" applyAlignment="true" applyProtection="true">
      <alignment horizontal="general" vertical="bottom" textRotation="0" wrapText="false" indent="0" shrinkToFit="false"/>
      <protection locked="true" hidden="false"/>
    </xf>
    <xf numFmtId="164" fontId="60" fillId="0" borderId="26" applyFont="true" applyBorder="true" applyAlignment="true" applyProtection="true">
      <alignment horizontal="general" vertical="bottom" textRotation="0" wrapText="false" indent="0" shrinkToFit="false"/>
      <protection locked="true" hidden="false"/>
    </xf>
    <xf numFmtId="164" fontId="60" fillId="0" borderId="26" applyFont="true" applyBorder="true" applyAlignment="true" applyProtection="true">
      <alignment horizontal="general" vertical="bottom" textRotation="0" wrapText="false" indent="0" shrinkToFit="false"/>
      <protection locked="true" hidden="false"/>
    </xf>
    <xf numFmtId="164" fontId="60" fillId="0" borderId="0" applyFont="true" applyBorder="true" applyAlignment="true" applyProtection="true">
      <alignment horizontal="general" vertical="bottom" textRotation="0" wrapText="false" indent="0" shrinkToFit="false"/>
      <protection locked="true" hidden="false"/>
    </xf>
    <xf numFmtId="164" fontId="60" fillId="0" borderId="0" applyFont="true" applyBorder="true" applyAlignment="true" applyProtection="true">
      <alignment horizontal="general" vertical="bottom" textRotation="0" wrapText="false" indent="0" shrinkToFit="false"/>
      <protection locked="true" hidden="false"/>
    </xf>
    <xf numFmtId="164" fontId="60" fillId="0" borderId="0" applyFont="true" applyBorder="true" applyAlignment="true" applyProtection="true">
      <alignment horizontal="general" vertical="bottom" textRotation="0" wrapText="false" indent="0" shrinkToFit="false"/>
      <protection locked="true" hidden="false"/>
    </xf>
    <xf numFmtId="164" fontId="60" fillId="0" borderId="0" applyFont="true" applyBorder="true" applyAlignment="true" applyProtection="true">
      <alignment horizontal="general" vertical="bottom" textRotation="0" wrapText="false" indent="0" shrinkToFit="false"/>
      <protection locked="true" hidden="false"/>
    </xf>
    <xf numFmtId="164" fontId="60" fillId="0" borderId="0" applyFont="true" applyBorder="true" applyAlignment="true" applyProtection="true">
      <alignment horizontal="general" vertical="bottom" textRotation="0" wrapText="false" indent="0" shrinkToFit="false"/>
      <protection locked="true" hidden="false"/>
    </xf>
    <xf numFmtId="164" fontId="84" fillId="0" borderId="0" applyFont="true" applyBorder="true" applyAlignment="true" applyProtection="true">
      <alignment horizontal="general" vertical="bottom" textRotation="0" wrapText="false" indent="0" shrinkToFit="false"/>
      <protection locked="true" hidden="false"/>
    </xf>
    <xf numFmtId="164" fontId="87" fillId="0" borderId="0" applyFont="true" applyBorder="true" applyAlignment="true" applyProtection="true">
      <alignment horizontal="general" vertical="bottom" textRotation="0" wrapText="false" indent="0" shrinkToFit="false"/>
      <protection locked="true" hidden="false"/>
    </xf>
    <xf numFmtId="164" fontId="52" fillId="0" borderId="0" applyFont="true" applyBorder="true" applyAlignment="true" applyProtection="true">
      <alignment horizontal="general" vertical="bottom" textRotation="0" wrapText="false" indent="0" shrinkToFit="false"/>
      <protection locked="true" hidden="false"/>
    </xf>
    <xf numFmtId="164" fontId="53" fillId="0" borderId="0" applyFont="true" applyBorder="true" applyAlignment="true" applyProtection="true">
      <alignment horizontal="general" vertical="bottom" textRotation="0" wrapText="false" indent="0" shrinkToFit="false"/>
      <protection locked="true" hidden="false"/>
    </xf>
    <xf numFmtId="164" fontId="53" fillId="0" borderId="0" applyFont="true" applyBorder="true" applyAlignment="true" applyProtection="true">
      <alignment horizontal="general" vertical="bottom" textRotation="0" wrapText="false" indent="0" shrinkToFit="false"/>
      <protection locked="true" hidden="false"/>
    </xf>
    <xf numFmtId="205" fontId="88" fillId="0" borderId="0" applyFont="true" applyBorder="true" applyAlignment="true" applyProtection="true">
      <alignment horizontal="center" vertical="bottom" textRotation="0" wrapText="false" indent="0" shrinkToFit="false"/>
      <protection locked="true" hidden="false"/>
    </xf>
    <xf numFmtId="205" fontId="88" fillId="0" borderId="0" applyFont="true" applyBorder="true" applyAlignment="true" applyProtection="true">
      <alignment horizontal="left" vertical="bottom" textRotation="0" wrapText="false" indent="0" shrinkToFit="false"/>
      <protection locked="true" hidden="false"/>
    </xf>
    <xf numFmtId="164" fontId="20" fillId="0" borderId="0" applyFont="true" applyBorder="true" applyAlignment="true" applyProtection="true">
      <alignment horizontal="general" vertical="bottom" textRotation="0" wrapText="false" indent="0" shrinkToFit="false"/>
      <protection locked="true" hidden="false"/>
    </xf>
    <xf numFmtId="197" fontId="89" fillId="3" borderId="27" applyFont="true" applyBorder="true" applyAlignment="true" applyProtection="true">
      <alignment horizontal="center" vertical="bottom" textRotation="0" wrapText="false" indent="0" shrinkToFit="false"/>
      <protection locked="true" hidden="false"/>
    </xf>
    <xf numFmtId="164" fontId="90" fillId="4" borderId="0" applyFont="true" applyBorder="true" applyAlignment="true" applyProtection="true">
      <alignment horizontal="general" vertical="bottom" textRotation="0" wrapText="false" indent="0" shrinkToFit="false"/>
      <protection locked="true" hidden="false"/>
    </xf>
    <xf numFmtId="164" fontId="79" fillId="0" borderId="0" applyFont="true" applyBorder="true" applyAlignment="true" applyProtection="true">
      <alignment horizontal="general" vertical="bottom" textRotation="0" wrapText="false" indent="0" shrinkToFit="false"/>
      <protection locked="true" hidden="false"/>
    </xf>
    <xf numFmtId="245" fontId="0" fillId="0" borderId="0" applyFont="true" applyBorder="true" applyAlignment="true" applyProtection="true">
      <alignment horizontal="general" vertical="bottom" textRotation="0" wrapText="false" indent="0" shrinkToFit="false"/>
      <protection locked="true" hidden="false"/>
    </xf>
    <xf numFmtId="246" fontId="0" fillId="0" borderId="0" applyFont="true" applyBorder="true" applyAlignment="true" applyProtection="true">
      <alignment horizontal="general" vertical="bottom" textRotation="0" wrapText="false" indent="0" shrinkToFit="false"/>
      <protection locked="true" hidden="false"/>
    </xf>
    <xf numFmtId="164" fontId="91" fillId="0" borderId="0" applyFont="true" applyBorder="true" applyAlignment="true" applyProtection="true">
      <alignment horizontal="general" vertical="bottom" textRotation="0" wrapText="false" indent="0" shrinkToFit="false"/>
      <protection locked="true" hidden="false"/>
    </xf>
    <xf numFmtId="164" fontId="92" fillId="27" borderId="0" applyFont="true" applyBorder="true" applyAlignment="true" applyProtection="true">
      <alignment horizontal="left" vertical="bottom" textRotation="0" wrapText="false" indent="0" shrinkToFit="false"/>
      <protection locked="false" hidden="false"/>
    </xf>
    <xf numFmtId="206" fontId="93" fillId="8" borderId="0" applyFont="true" applyBorder="true" applyAlignment="true" applyProtection="true">
      <alignment horizontal="general" vertical="bottom" textRotation="0" wrapText="false" indent="0" shrinkToFit="false"/>
      <protection locked="true" hidden="false"/>
    </xf>
    <xf numFmtId="196" fontId="31" fillId="0" borderId="0" applyFont="true" applyBorder="true" applyAlignment="true" applyProtection="true">
      <alignment horizontal="general" vertical="bottom" textRotation="0" wrapText="false" indent="0" shrinkToFit="false"/>
      <protection locked="true" hidden="false"/>
    </xf>
    <xf numFmtId="164" fontId="30" fillId="3" borderId="0" applyFont="true" applyBorder="true" applyAlignment="true" applyProtection="true">
      <alignment horizontal="general" vertical="bottom" textRotation="0" wrapText="false" indent="0" shrinkToFit="false"/>
      <protection locked="true" hidden="false"/>
    </xf>
    <xf numFmtId="247" fontId="17" fillId="0" borderId="0" applyFont="true" applyBorder="true" applyAlignment="true" applyProtection="true">
      <alignment horizontal="general" vertical="bottom" textRotation="0" wrapText="false" indent="0" shrinkToFit="false"/>
      <protection locked="true" hidden="false"/>
    </xf>
    <xf numFmtId="181" fontId="94" fillId="0" borderId="0" applyFont="true" applyBorder="true" applyAlignment="true" applyProtection="true">
      <alignment horizontal="general" vertical="bottom" textRotation="0" wrapText="false" indent="0" shrinkToFit="false"/>
      <protection locked="true" hidden="false"/>
    </xf>
    <xf numFmtId="181" fontId="94" fillId="0" borderId="0" applyFont="true" applyBorder="true" applyAlignment="true" applyProtection="true">
      <alignment horizontal="general" vertical="bottom" textRotation="0" wrapText="false" indent="0" shrinkToFit="false"/>
      <protection locked="true" hidden="false"/>
    </xf>
    <xf numFmtId="181" fontId="94" fillId="0" borderId="0" applyFont="true" applyBorder="true" applyAlignment="true" applyProtection="true">
      <alignment horizontal="general" vertical="bottom" textRotation="0" wrapText="false" indent="0" shrinkToFit="false"/>
      <protection locked="true" hidden="false"/>
    </xf>
    <xf numFmtId="181" fontId="94" fillId="0" borderId="0" applyFont="true" applyBorder="true" applyAlignment="true" applyProtection="true">
      <alignment horizontal="general" vertical="bottom" textRotation="0" wrapText="false" indent="0" shrinkToFit="false"/>
      <protection locked="true" hidden="false"/>
    </xf>
    <xf numFmtId="181" fontId="94" fillId="0" borderId="0" applyFont="true" applyBorder="true" applyAlignment="true" applyProtection="true">
      <alignment horizontal="general" vertical="bottom" textRotation="0" wrapText="false" indent="0" shrinkToFit="false"/>
      <protection locked="true" hidden="false"/>
    </xf>
    <xf numFmtId="164" fontId="11" fillId="24" borderId="15" applyFont="true" applyBorder="true" applyAlignment="true" applyProtection="true">
      <alignment horizontal="general" vertical="bottom" textRotation="0" wrapText="false" indent="0" shrinkToFit="false"/>
      <protection locked="true" hidden="false"/>
    </xf>
    <xf numFmtId="248" fontId="95" fillId="4" borderId="0" applyFont="true" applyBorder="true" applyAlignment="true" applyProtection="true">
      <alignment horizontal="right" vertical="bottom" textRotation="0" wrapText="false" indent="0" shrinkToFit="false"/>
      <protection locked="true" hidden="false"/>
    </xf>
    <xf numFmtId="174" fontId="96" fillId="0" borderId="0" applyFont="true" applyBorder="true" applyAlignment="true" applyProtection="true">
      <alignment horizontal="general" vertical="bottom" textRotation="0" wrapText="false" indent="0" shrinkToFit="false"/>
      <protection locked="true" hidden="false"/>
    </xf>
    <xf numFmtId="164" fontId="97" fillId="0" borderId="0" applyFont="true" applyBorder="true" applyAlignment="true" applyProtection="true">
      <alignment horizontal="general" vertical="bottom" textRotation="0" wrapText="false" indent="0" shrinkToFit="false"/>
      <protection locked="true" hidden="false"/>
    </xf>
    <xf numFmtId="249" fontId="98" fillId="0" borderId="0" applyFont="true" applyBorder="true" applyAlignment="true" applyProtection="true">
      <alignment horizontal="general" vertical="bottom" textRotation="0" wrapText="false" indent="0" shrinkToFit="false"/>
      <protection locked="true" hidden="false"/>
    </xf>
    <xf numFmtId="164" fontId="30" fillId="3"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right" vertical="bottom" textRotation="0" wrapText="false" indent="0" shrinkToFit="false"/>
      <protection locked="false" hidden="false"/>
    </xf>
    <xf numFmtId="250" fontId="43" fillId="0" borderId="0" applyFont="true" applyBorder="true" applyAlignment="true" applyProtection="true">
      <alignment horizontal="right" vertical="bottom" textRotation="0" wrapText="false" indent="0" shrinkToFit="false"/>
      <protection locked="false" hidden="false"/>
    </xf>
    <xf numFmtId="164" fontId="99" fillId="0" borderId="0" applyFont="true" applyBorder="true" applyAlignment="true" applyProtection="true">
      <alignment horizontal="general" vertical="bottom" textRotation="0" wrapText="false" indent="0" shrinkToFit="false"/>
      <protection locked="true" hidden="false"/>
    </xf>
    <xf numFmtId="164" fontId="100" fillId="0" borderId="0" applyFont="true" applyBorder="true" applyAlignment="true" applyProtection="true">
      <alignment horizontal="general" vertical="bottom" textRotation="0" wrapText="false" indent="0" shrinkToFit="false"/>
      <protection locked="true" hidden="false"/>
    </xf>
    <xf numFmtId="164" fontId="10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100" fillId="0" borderId="0" applyFont="true" applyBorder="true" applyAlignment="true" applyProtection="true">
      <alignment horizontal="right" vertical="bottom" textRotation="0" wrapText="false" indent="0" shrinkToFit="false"/>
      <protection locked="true" hidden="false"/>
    </xf>
    <xf numFmtId="164" fontId="100" fillId="0" borderId="0" applyFont="true" applyBorder="true" applyAlignment="true" applyProtection="true">
      <alignment horizontal="right" vertical="bottom" textRotation="0" wrapText="false" indent="0" shrinkToFit="false"/>
      <protection locked="true" hidden="false"/>
    </xf>
    <xf numFmtId="164" fontId="4" fillId="30" borderId="15" applyFont="true" applyBorder="true" applyAlignment="true" applyProtection="true">
      <alignment horizontal="left" vertical="center" textRotation="0" wrapText="true" indent="0" shrinkToFit="false"/>
      <protection locked="true" hidden="false"/>
    </xf>
    <xf numFmtId="164" fontId="101" fillId="0" borderId="0" applyFont="true" applyBorder="true" applyAlignment="true" applyProtection="true">
      <alignment horizontal="left" vertical="center" textRotation="0" wrapText="false" indent="0" shrinkToFit="false"/>
      <protection locked="true" hidden="false"/>
    </xf>
    <xf numFmtId="164" fontId="102" fillId="0" borderId="0" applyFont="true" applyBorder="true" applyAlignment="true" applyProtection="true">
      <alignment horizontal="general" vertical="bottom" textRotation="0" wrapText="false" indent="0" shrinkToFit="false"/>
      <protection locked="false" hidden="false"/>
    </xf>
    <xf numFmtId="164" fontId="68" fillId="30" borderId="15" applyFont="true" applyBorder="true" applyAlignment="true" applyProtection="true">
      <alignment horizontal="general" vertical="bottom" textRotation="0" wrapText="false" indent="0" shrinkToFit="false"/>
      <protection locked="tru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55" fillId="27" borderId="0" applyFont="true" applyBorder="true" applyAlignment="true" applyProtection="true">
      <alignment horizontal="right" vertical="bottom" textRotation="0" wrapText="false" indent="0" shrinkToFit="false"/>
      <protection locked="false" hidden="false"/>
    </xf>
    <xf numFmtId="164" fontId="38" fillId="0" borderId="10" applyFont="true" applyBorder="true" applyAlignment="true" applyProtection="true">
      <alignment horizontal="general" vertical="bottom" textRotation="0" wrapText="false" indent="0" shrinkToFit="false"/>
      <protection locked="true" hidden="false"/>
    </xf>
    <xf numFmtId="164" fontId="38" fillId="0" borderId="10" applyFont="true" applyBorder="true" applyAlignment="true" applyProtection="true">
      <alignment horizontal="general" vertical="bottom" textRotation="0" wrapText="false" indent="0" shrinkToFit="false"/>
      <protection locked="true" hidden="false"/>
    </xf>
    <xf numFmtId="164" fontId="38" fillId="0" borderId="10" applyFont="true" applyBorder="true" applyAlignment="true" applyProtection="true">
      <alignment horizontal="general" vertical="bottom" textRotation="0" wrapText="false" indent="0" shrinkToFit="false"/>
      <protection locked="true" hidden="false"/>
    </xf>
    <xf numFmtId="164" fontId="38" fillId="0" borderId="10" applyFont="true" applyBorder="true" applyAlignment="true" applyProtection="true">
      <alignment horizontal="general" vertical="bottom" textRotation="0" wrapText="false" indent="0" shrinkToFit="false"/>
      <protection locked="true" hidden="false"/>
    </xf>
    <xf numFmtId="164" fontId="38" fillId="0" borderId="10" applyFont="true" applyBorder="true" applyAlignment="true" applyProtection="true">
      <alignment horizontal="general" vertical="bottom" textRotation="0" wrapText="false" indent="0" shrinkToFit="false"/>
      <protection locked="true" hidden="false"/>
    </xf>
    <xf numFmtId="251" fontId="31"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71" fontId="70" fillId="0" borderId="19" applyFont="true" applyBorder="true" applyAlignment="true" applyProtection="true">
      <alignment horizontal="right" vertical="bottom" textRotation="0" wrapText="false" indent="0" shrinkToFit="false"/>
      <protection locked="true" hidden="false"/>
    </xf>
    <xf numFmtId="242" fontId="103" fillId="0" borderId="0" applyFont="true" applyBorder="true" applyAlignment="true" applyProtection="true">
      <alignment horizontal="general" vertical="bottom" textRotation="0" wrapText="false" indent="0" shrinkToFit="false"/>
      <protection locked="true" hidden="false"/>
    </xf>
    <xf numFmtId="241" fontId="31" fillId="0" borderId="0" applyFont="true" applyBorder="true" applyAlignment="true" applyProtection="true">
      <alignment horizontal="general" vertical="bottom" textRotation="0" wrapText="false" indent="0" shrinkToFit="false"/>
      <protection locked="true" hidden="false"/>
    </xf>
    <xf numFmtId="164" fontId="104" fillId="0" borderId="0" applyFont="true" applyBorder="true" applyAlignment="true" applyProtection="true">
      <alignment horizontal="right" vertical="center" textRotation="0" wrapText="false" indent="0" shrinkToFit="false"/>
      <protection locked="true" hidden="false"/>
    </xf>
    <xf numFmtId="205" fontId="0" fillId="4" borderId="28" applyFont="true" applyBorder="true" applyAlignment="true" applyProtection="true">
      <alignment horizontal="right" vertical="bottom" textRotation="0" wrapText="false" indent="0" shrinkToFit="false"/>
      <protection locked="true" hidden="false"/>
    </xf>
    <xf numFmtId="164" fontId="0" fillId="0" borderId="29" applyFont="true" applyBorder="true" applyAlignment="true" applyProtection="true">
      <alignment horizontal="general" vertical="bottom" textRotation="0" wrapText="false" indent="0" shrinkToFit="false"/>
      <protection locked="true" hidden="false"/>
    </xf>
    <xf numFmtId="164" fontId="0" fillId="0" borderId="29" applyFont="true" applyBorder="true" applyAlignment="true" applyProtection="true">
      <alignment horizontal="general" vertical="bottom" textRotation="0" wrapText="false" indent="0" shrinkToFit="false"/>
      <protection locked="true" hidden="false"/>
    </xf>
    <xf numFmtId="164" fontId="0" fillId="0" borderId="30" applyFont="true" applyBorder="true" applyAlignment="true" applyProtection="true">
      <alignment horizontal="general" vertical="bottom" textRotation="0" wrapText="false" indent="0" shrinkToFit="false"/>
      <protection locked="true" hidden="false"/>
    </xf>
    <xf numFmtId="164" fontId="0" fillId="0" borderId="30" applyFont="true" applyBorder="true" applyAlignment="true" applyProtection="true">
      <alignment horizontal="general" vertical="bottom" textRotation="0" wrapText="false" indent="0" shrinkToFit="false"/>
      <protection locked="true" hidden="false"/>
    </xf>
    <xf numFmtId="252" fontId="105" fillId="0" borderId="0" applyFont="true" applyBorder="true" applyAlignment="true" applyProtection="true">
      <alignment horizontal="right" vertical="bottom" textRotation="0" wrapText="false" indent="0" shrinkToFit="false"/>
      <protection locked="true" hidden="false"/>
    </xf>
    <xf numFmtId="164" fontId="104" fillId="27" borderId="0" applyFont="true" applyBorder="true" applyAlignment="true" applyProtection="true">
      <alignment horizontal="right" vertical="bottom" textRotation="0" wrapText="false" indent="0" shrinkToFit="false"/>
      <protection locked="false" hidden="false"/>
    </xf>
    <xf numFmtId="164" fontId="104" fillId="27" borderId="0" applyFont="true" applyBorder="true" applyAlignment="true" applyProtection="true">
      <alignment horizontal="right" vertical="bottom" textRotation="0" wrapText="false" indent="0" shrinkToFit="false"/>
      <protection locked="false" hidden="false"/>
    </xf>
    <xf numFmtId="164" fontId="106" fillId="27" borderId="0" applyFont="true" applyBorder="true" applyAlignment="true" applyProtection="true">
      <alignment horizontal="right" vertical="bottom" textRotation="0" wrapText="false" indent="0" shrinkToFit="false"/>
      <protection locked="false" hidden="false"/>
    </xf>
    <xf numFmtId="205" fontId="43"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53" fontId="11" fillId="0" borderId="19" applyFont="true" applyBorder="true" applyAlignment="true" applyProtection="true">
      <alignment horizontal="general" vertical="bottom" textRotation="0" wrapText="false" indent="0" shrinkToFit="false"/>
      <protection locked="true" hidden="false"/>
    </xf>
    <xf numFmtId="205" fontId="0" fillId="4" borderId="31" applyFont="true" applyBorder="true" applyAlignment="true" applyProtection="true">
      <alignment horizontal="right" vertical="bottom" textRotation="0" wrapText="false" indent="0" shrinkToFit="false"/>
      <protection locked="true" hidden="false"/>
    </xf>
    <xf numFmtId="254" fontId="43" fillId="0" borderId="0" applyFont="true" applyBorder="true" applyAlignment="true" applyProtection="true">
      <alignment horizontal="general" vertical="bottom" textRotation="0" wrapText="false" indent="0" shrinkToFit="false"/>
      <protection locked="true" hidden="false"/>
    </xf>
    <xf numFmtId="210" fontId="0" fillId="0" borderId="0" applyFont="true" applyBorder="true" applyAlignment="true" applyProtection="true">
      <alignment horizontal="general" vertical="bottom" textRotation="0" wrapText="false" indent="0" shrinkToFit="false"/>
      <protection locked="true" hidden="false"/>
    </xf>
    <xf numFmtId="255" fontId="31" fillId="0" borderId="0" applyFont="true" applyBorder="true" applyAlignment="true" applyProtection="true">
      <alignment horizontal="general" vertical="bottom" textRotation="0" wrapText="false" indent="0" shrinkToFit="false"/>
      <protection locked="true" hidden="false"/>
    </xf>
    <xf numFmtId="256" fontId="31" fillId="0" borderId="0" applyFont="true" applyBorder="true" applyAlignment="true" applyProtection="true">
      <alignment horizontal="general" vertical="bottom" textRotation="0" wrapText="false" indent="0" shrinkToFit="false"/>
      <protection locked="true" hidden="false"/>
    </xf>
    <xf numFmtId="255" fontId="31" fillId="0" borderId="0" applyFont="true" applyBorder="true" applyAlignment="true" applyProtection="true">
      <alignment horizontal="general" vertical="bottom" textRotation="0" wrapText="false" indent="0" shrinkToFit="false"/>
      <protection locked="true" hidden="false"/>
    </xf>
    <xf numFmtId="174" fontId="17" fillId="0" borderId="0" applyFont="true" applyBorder="true" applyAlignment="true" applyProtection="true">
      <alignment horizontal="general" vertical="bottom" textRotation="0" wrapText="false" indent="0" shrinkToFit="false"/>
      <protection locked="true" hidden="false"/>
    </xf>
    <xf numFmtId="164" fontId="107" fillId="16" borderId="0" applyFont="true" applyBorder="true" applyAlignment="true" applyProtection="true">
      <alignment horizontal="general" vertical="bottom" textRotation="0" wrapText="false" indent="0" shrinkToFit="false"/>
      <protection locked="true" hidden="false"/>
    </xf>
    <xf numFmtId="164" fontId="107" fillId="16" borderId="0" applyFont="true" applyBorder="true" applyAlignment="true" applyProtection="true">
      <alignment horizontal="general" vertical="bottom" textRotation="0" wrapText="false" indent="0" shrinkToFit="false"/>
      <protection locked="true" hidden="false"/>
    </xf>
    <xf numFmtId="164" fontId="107" fillId="16" borderId="0" applyFont="true" applyBorder="true" applyAlignment="true" applyProtection="true">
      <alignment horizontal="general" vertical="bottom" textRotation="0" wrapText="false" indent="0" shrinkToFit="false"/>
      <protection locked="true" hidden="false"/>
    </xf>
    <xf numFmtId="164" fontId="107" fillId="16" borderId="0" applyFont="true" applyBorder="true" applyAlignment="true" applyProtection="true">
      <alignment horizontal="general" vertical="bottom" textRotation="0" wrapText="false" indent="0" shrinkToFit="false"/>
      <protection locked="true" hidden="false"/>
    </xf>
    <xf numFmtId="164" fontId="107" fillId="16" borderId="0" applyFont="true" applyBorder="true" applyAlignment="true" applyProtection="true">
      <alignment horizontal="general" vertical="bottom" textRotation="0" wrapText="false" indent="0" shrinkToFit="false"/>
      <protection locked="true" hidden="false"/>
    </xf>
    <xf numFmtId="164" fontId="107" fillId="16" borderId="0" applyFont="true" applyBorder="true" applyAlignment="true" applyProtection="true">
      <alignment horizontal="general" vertical="bottom" textRotation="0" wrapText="false" indent="0" shrinkToFit="false"/>
      <protection locked="true" hidden="false"/>
    </xf>
    <xf numFmtId="181" fontId="108" fillId="0" borderId="0" applyFont="true" applyBorder="true" applyAlignment="true" applyProtection="true">
      <alignment horizontal="general" vertical="bottom" textRotation="0" wrapText="false" indent="0" shrinkToFit="false"/>
      <protection locked="true" hidden="false"/>
    </xf>
    <xf numFmtId="244" fontId="17" fillId="0" borderId="0" applyFont="true" applyBorder="true" applyAlignment="true" applyProtection="true">
      <alignment horizontal="general" vertical="bottom" textRotation="0" wrapText="false" indent="0" shrinkToFit="false"/>
      <protection locked="true" hidden="false"/>
    </xf>
    <xf numFmtId="257" fontId="17" fillId="0" borderId="18" applyFont="true" applyBorder="true" applyAlignment="true" applyProtection="true">
      <alignment horizontal="general" vertical="bottom" textRotation="0" wrapText="false" indent="0" shrinkToFit="false"/>
      <protection locked="true" hidden="false"/>
    </xf>
    <xf numFmtId="247" fontId="17" fillId="0" borderId="0" applyFont="true" applyBorder="true" applyAlignment="true" applyProtection="true">
      <alignment horizontal="general" vertical="bottom" textRotation="0" wrapText="false" indent="0" shrinkToFit="false"/>
      <protection locked="true" hidden="false"/>
    </xf>
    <xf numFmtId="181" fontId="33" fillId="0" borderId="0" applyFont="true" applyBorder="true" applyAlignment="true" applyProtection="true">
      <alignment horizontal="general" vertical="bottom" textRotation="0" wrapText="false" indent="0" shrinkToFit="false"/>
      <protection locked="true" hidden="false"/>
    </xf>
    <xf numFmtId="205" fontId="109" fillId="0" borderId="0" applyFont="true" applyBorder="true" applyAlignment="true" applyProtection="true">
      <alignment horizontal="general" vertical="bottom" textRotation="0" wrapText="false" indent="0" shrinkToFit="false"/>
      <protection locked="true" hidden="false"/>
    </xf>
    <xf numFmtId="258" fontId="110" fillId="0" borderId="0" applyFont="true" applyBorder="true" applyAlignment="true" applyProtection="true">
      <alignment horizontal="general" vertical="bottom" textRotation="0" wrapText="false" indent="0" shrinkToFit="false"/>
      <protection locked="true" hidden="false"/>
    </xf>
    <xf numFmtId="259" fontId="17" fillId="0" borderId="0" applyFont="true" applyBorder="true" applyAlignment="true" applyProtection="true">
      <alignment horizontal="right" vertical="bottom" textRotation="0" wrapText="false" indent="0" shrinkToFit="false"/>
      <protection locked="true" hidden="false"/>
    </xf>
    <xf numFmtId="260" fontId="110" fillId="0" borderId="0" applyFont="true" applyBorder="true" applyAlignment="true" applyProtection="true">
      <alignment horizontal="general" vertical="bottom" textRotation="0" wrapText="false" indent="0" shrinkToFit="false"/>
      <protection locked="true" hidden="false"/>
    </xf>
    <xf numFmtId="261" fontId="111"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12"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24" borderId="12" applyFont="true" applyBorder="true" applyAlignment="true" applyProtection="true">
      <alignment horizontal="general" vertical="bottom" textRotation="0" wrapText="false" indent="0" shrinkToFit="false"/>
      <protection locked="true" hidden="false"/>
    </xf>
    <xf numFmtId="164" fontId="0" fillId="24" borderId="12" applyFont="true" applyBorder="true" applyAlignment="true" applyProtection="true">
      <alignment horizontal="general" vertical="bottom" textRotation="0" wrapText="false" indent="0" shrinkToFit="false"/>
      <protection locked="true" hidden="false"/>
    </xf>
    <xf numFmtId="164" fontId="12" fillId="24" borderId="12" applyFont="true" applyBorder="true" applyAlignment="true" applyProtection="true">
      <alignment horizontal="general" vertical="bottom" textRotation="0" wrapText="false" indent="0" shrinkToFit="false"/>
      <protection locked="true" hidden="false"/>
    </xf>
    <xf numFmtId="164" fontId="12" fillId="24" borderId="12" applyFont="true" applyBorder="true" applyAlignment="true" applyProtection="true">
      <alignment horizontal="general" vertical="bottom" textRotation="0" wrapText="false" indent="0" shrinkToFit="false"/>
      <protection locked="true" hidden="false"/>
    </xf>
    <xf numFmtId="164" fontId="12" fillId="24" borderId="12" applyFont="true" applyBorder="true" applyAlignment="true" applyProtection="true">
      <alignment horizontal="general" vertical="bottom" textRotation="0" wrapText="false" indent="0" shrinkToFit="false"/>
      <protection locked="true" hidden="false"/>
    </xf>
    <xf numFmtId="164" fontId="12" fillId="24" borderId="12" applyFont="true" applyBorder="true" applyAlignment="true" applyProtection="true">
      <alignment horizontal="general" vertical="bottom" textRotation="0" wrapText="false" indent="0" shrinkToFit="false"/>
      <protection locked="true" hidden="false"/>
    </xf>
    <xf numFmtId="164" fontId="12" fillId="24" borderId="12" applyFont="true" applyBorder="true" applyAlignment="true" applyProtection="true">
      <alignment horizontal="general" vertical="bottom" textRotation="0" wrapText="false" indent="0" shrinkToFit="false"/>
      <protection locked="true" hidden="false"/>
    </xf>
    <xf numFmtId="164" fontId="100" fillId="0" borderId="21" applyFont="true" applyBorder="true" applyAlignment="true" applyProtection="true">
      <alignment horizontal="general" vertical="bottom" textRotation="0" wrapText="false" indent="0" shrinkToFit="false"/>
      <protection locked="true" hidden="false"/>
    </xf>
    <xf numFmtId="262" fontId="0" fillId="0" borderId="15" applyFont="true" applyBorder="true" applyAlignment="true" applyProtection="true">
      <alignment horizontal="center" vertical="bottom" textRotation="0" wrapText="false" indent="0" shrinkToFit="false"/>
      <protection locked="true" hidden="false"/>
    </xf>
    <xf numFmtId="263" fontId="114" fillId="0" borderId="0" applyFont="true" applyBorder="true" applyAlignment="true" applyProtection="true">
      <alignment horizontal="right" vertical="bottom" textRotation="0" wrapText="false" indent="0" shrinkToFit="false"/>
      <protection locked="true" hidden="false"/>
    </xf>
    <xf numFmtId="264" fontId="114" fillId="0" borderId="0" applyFont="true" applyBorder="true" applyAlignment="true" applyProtection="true">
      <alignment horizontal="right" vertical="bottom" textRotation="0" wrapText="false" indent="0" shrinkToFit="false"/>
      <protection locked="true" hidden="false"/>
    </xf>
    <xf numFmtId="262" fontId="0" fillId="0" borderId="15" applyFont="true" applyBorder="true" applyAlignment="true" applyProtection="true">
      <alignment horizontal="center" vertical="bottom" textRotation="0" wrapText="false" indent="0" shrinkToFit="false"/>
      <protection locked="true" hidden="false"/>
    </xf>
    <xf numFmtId="265" fontId="114" fillId="0" borderId="0" applyFont="true" applyBorder="true" applyAlignment="true" applyProtection="true">
      <alignment horizontal="right" vertical="bottom" textRotation="0" wrapText="false" indent="0" shrinkToFit="false"/>
      <protection locked="true" hidden="false"/>
    </xf>
    <xf numFmtId="262" fontId="0" fillId="0" borderId="15" applyFont="true" applyBorder="true" applyAlignment="true" applyProtection="true">
      <alignment horizontal="center" vertical="bottom" textRotation="0" wrapText="false" indent="0" shrinkToFit="false"/>
      <protection locked="true" hidden="false"/>
    </xf>
    <xf numFmtId="266" fontId="114" fillId="0" borderId="0" applyFont="true" applyBorder="true" applyAlignment="true" applyProtection="true">
      <alignment horizontal="right" vertical="bottom" textRotation="0" wrapText="false" indent="0" shrinkToFit="false"/>
      <protection locked="true" hidden="false"/>
    </xf>
    <xf numFmtId="266" fontId="115" fillId="0" borderId="0" applyFont="true" applyBorder="true" applyAlignment="true" applyProtection="true">
      <alignment horizontal="right" vertical="bottom" textRotation="0" wrapText="false" indent="0" shrinkToFit="false"/>
      <protection locked="true" hidden="false"/>
    </xf>
    <xf numFmtId="267" fontId="114" fillId="0" borderId="0" applyFont="true" applyBorder="true" applyAlignment="true" applyProtection="true">
      <alignment horizontal="right" vertical="bottom" textRotation="0" wrapText="false" indent="0" shrinkToFit="false"/>
      <protection locked="true" hidden="false"/>
    </xf>
    <xf numFmtId="262" fontId="0" fillId="0" borderId="15" applyFont="true" applyBorder="true" applyAlignment="true" applyProtection="true">
      <alignment horizontal="center" vertical="bottom" textRotation="0" wrapText="false" indent="0" shrinkToFit="false"/>
      <protection locked="true" hidden="false"/>
    </xf>
    <xf numFmtId="262" fontId="0" fillId="0" borderId="15" applyFont="true" applyBorder="true" applyAlignment="true" applyProtection="true">
      <alignment horizontal="center" vertical="bottom" textRotation="0" wrapText="false" indent="0" shrinkToFit="false"/>
      <protection locked="true" hidden="false"/>
    </xf>
    <xf numFmtId="225" fontId="116" fillId="0" borderId="0" applyFont="true" applyBorder="true" applyAlignment="true" applyProtection="true">
      <alignment horizontal="right" vertical="bottom" textRotation="0" wrapText="false" indent="0" shrinkToFit="false"/>
      <protection locked="true" hidden="false"/>
    </xf>
    <xf numFmtId="268" fontId="114" fillId="0" borderId="0" applyFont="true" applyBorder="true" applyAlignment="true" applyProtection="true">
      <alignment horizontal="right" vertical="bottom" textRotation="0" wrapText="false" indent="0" shrinkToFit="false"/>
      <protection locked="true" hidden="false"/>
    </xf>
    <xf numFmtId="196" fontId="40" fillId="0" borderId="0" applyFont="true" applyBorder="true" applyAlignment="true" applyProtection="true">
      <alignment horizontal="right" vertical="bottom" textRotation="0" wrapText="false" indent="0" shrinkToFit="false"/>
      <protection locked="true" hidden="false"/>
    </xf>
    <xf numFmtId="168" fontId="0" fillId="0" borderId="21" applyFont="true" applyBorder="true" applyAlignment="true" applyProtection="true">
      <alignment horizontal="general" vertical="bottom" textRotation="0" wrapText="false" indent="0" shrinkToFit="false"/>
      <protection locked="true" hidden="false"/>
    </xf>
    <xf numFmtId="269" fontId="0" fillId="0" borderId="21"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256" fontId="100" fillId="0" borderId="0" applyFont="true" applyBorder="true" applyAlignment="true" applyProtection="true">
      <alignment horizontal="right" vertical="bottom" textRotation="0" wrapText="false" indent="0" shrinkToFit="false"/>
      <protection locked="true" hidden="false"/>
    </xf>
    <xf numFmtId="256" fontId="100" fillId="0" borderId="0" applyFont="true" applyBorder="true" applyAlignment="true" applyProtection="true">
      <alignment horizontal="right" vertical="bottom" textRotation="0" wrapText="false" indent="0" shrinkToFit="false"/>
      <protection locked="true" hidden="false"/>
    </xf>
    <xf numFmtId="205" fontId="0" fillId="0" borderId="0" applyFont="true" applyBorder="true" applyAlignment="true" applyProtection="true">
      <alignment horizontal="general" vertical="bottom" textRotation="0" wrapText="false" indent="0" shrinkToFit="false"/>
      <protection locked="true" hidden="false"/>
    </xf>
    <xf numFmtId="205" fontId="0" fillId="0" borderId="0" applyFont="true" applyBorder="true" applyAlignment="true" applyProtection="true">
      <alignment horizontal="general" vertical="bottom" textRotation="0" wrapText="false" indent="0" shrinkToFit="false"/>
      <protection locked="true" hidden="false"/>
    </xf>
    <xf numFmtId="256" fontId="0" fillId="0" borderId="0" applyFont="true" applyBorder="true" applyAlignment="true" applyProtection="true">
      <alignment horizontal="right" vertical="bottom" textRotation="0" wrapText="false" indent="0" shrinkToFit="false"/>
      <protection locked="true" hidden="false"/>
    </xf>
    <xf numFmtId="256" fontId="0" fillId="0" borderId="0" applyFont="true" applyBorder="true" applyAlignment="true" applyProtection="true">
      <alignment horizontal="right" vertical="bottom" textRotation="0" wrapText="false" indent="0" shrinkToFit="false"/>
      <protection locked="true" hidden="false"/>
    </xf>
    <xf numFmtId="197" fontId="117" fillId="0" borderId="0" applyFont="true" applyBorder="true" applyAlignment="true" applyProtection="true">
      <alignment horizontal="general" vertical="bottom" textRotation="0" wrapText="false" indent="0" shrinkToFit="false"/>
      <protection locked="true" hidden="false"/>
    </xf>
    <xf numFmtId="181" fontId="78" fillId="0" borderId="0" applyFont="true" applyBorder="true" applyAlignment="true" applyProtection="true">
      <alignment horizontal="general" vertical="bottom" textRotation="0" wrapText="false" indent="0" shrinkToFit="false"/>
      <protection locked="true" hidden="false"/>
    </xf>
    <xf numFmtId="181" fontId="78" fillId="0" borderId="0" applyFont="true" applyBorder="true" applyAlignment="true" applyProtection="true">
      <alignment horizontal="general" vertical="bottom" textRotation="0" wrapText="false" indent="0" shrinkToFit="false"/>
      <protection locked="true" hidden="false"/>
    </xf>
    <xf numFmtId="181" fontId="78" fillId="0" borderId="0" applyFont="true" applyBorder="true" applyAlignment="true" applyProtection="true">
      <alignment horizontal="general" vertical="bottom" textRotation="0" wrapText="false" indent="0" shrinkToFit="false"/>
      <protection locked="true" hidden="false"/>
    </xf>
    <xf numFmtId="181" fontId="78" fillId="0" borderId="0" applyFont="true" applyBorder="true" applyAlignment="true" applyProtection="true">
      <alignment horizontal="general" vertical="bottom" textRotation="0" wrapText="false" indent="0" shrinkToFit="false"/>
      <protection locked="true" hidden="false"/>
    </xf>
    <xf numFmtId="181" fontId="78" fillId="0" borderId="0" applyFont="true" applyBorder="true" applyAlignment="true" applyProtection="true">
      <alignment horizontal="general" vertical="bottom" textRotation="0" wrapText="false" indent="0" shrinkToFit="false"/>
      <protection locked="true" hidden="false"/>
    </xf>
    <xf numFmtId="164" fontId="118" fillId="0" borderId="0" applyFont="true" applyBorder="true" applyAlignment="true" applyProtection="true">
      <alignment horizontal="general" vertical="bottom" textRotation="0" wrapText="false" indent="0" shrinkToFit="false"/>
      <protection locked="true" hidden="false"/>
    </xf>
    <xf numFmtId="270" fontId="31" fillId="0" borderId="0" applyFont="true" applyBorder="true" applyAlignment="true" applyProtection="true">
      <alignment horizontal="general" vertical="bottom" textRotation="0" wrapText="false" indent="0" shrinkToFit="false"/>
      <protection locked="true" hidden="false"/>
    </xf>
    <xf numFmtId="164" fontId="119" fillId="0" borderId="0" applyFont="true" applyBorder="true" applyAlignment="true" applyProtection="true">
      <alignment horizontal="general" vertical="bottom" textRotation="0" wrapText="false" indent="0" shrinkToFit="false"/>
      <protection locked="true" hidden="false"/>
    </xf>
    <xf numFmtId="164" fontId="120" fillId="0" borderId="27" applyFont="true" applyBorder="true" applyAlignment="true" applyProtection="true">
      <alignment horizontal="right" vertical="center" textRotation="0" wrapText="false" indent="0" shrinkToFit="false"/>
      <protection locked="false" hidden="false"/>
    </xf>
    <xf numFmtId="164" fontId="121" fillId="0" borderId="0" applyFont="true" applyBorder="true" applyAlignment="true" applyProtection="true">
      <alignment horizontal="left" vertical="center" textRotation="0" wrapText="false" indent="0" shrinkToFit="false"/>
      <protection locked="false" hidden="false"/>
    </xf>
    <xf numFmtId="224" fontId="121" fillId="0" borderId="0" applyFont="true" applyBorder="true" applyAlignment="true" applyProtection="true">
      <alignment horizontal="right" vertical="center" textRotation="0" wrapText="false" indent="0" shrinkToFit="false"/>
      <protection locked="false" hidden="false"/>
    </xf>
    <xf numFmtId="164" fontId="27" fillId="0" borderId="32" applyFont="true" applyBorder="true" applyAlignment="true" applyProtection="true">
      <alignment horizontal="general" vertical="bottom" textRotation="0" wrapText="false" indent="0" shrinkToFit="false"/>
      <protection locked="false" hidden="false"/>
    </xf>
    <xf numFmtId="164" fontId="27" fillId="0" borderId="32" applyFont="true" applyBorder="true" applyAlignment="true" applyProtection="true">
      <alignment horizontal="general" vertical="bottom" textRotation="0" wrapText="false" indent="0" shrinkToFit="false"/>
      <protection locked="false" hidden="false"/>
    </xf>
    <xf numFmtId="197" fontId="122" fillId="0" borderId="0" applyFont="true" applyBorder="true" applyAlignment="true" applyProtection="true">
      <alignment horizontal="right" vertical="center" textRotation="0" wrapText="false" indent="0" shrinkToFit="false"/>
      <protection locked="true" hidden="false"/>
    </xf>
    <xf numFmtId="164" fontId="10" fillId="22" borderId="15" applyFont="true" applyBorder="true" applyAlignment="true" applyProtection="true">
      <alignment horizontal="general" vertical="bottom" textRotation="0" wrapText="false" indent="0" shrinkToFit="false"/>
      <protection locked="true" hidden="false"/>
    </xf>
    <xf numFmtId="164" fontId="10" fillId="22" borderId="15" applyFont="true" applyBorder="true" applyAlignment="true" applyProtection="true">
      <alignment horizontal="general" vertical="bottom" textRotation="0" wrapText="false" indent="0" shrinkToFit="false"/>
      <protection locked="true" hidden="false"/>
    </xf>
    <xf numFmtId="164" fontId="123" fillId="0" borderId="0" applyFont="true" applyBorder="true" applyAlignment="true" applyProtection="true">
      <alignment horizontal="center" vertical="center" textRotation="0" wrapText="false" indent="0" shrinkToFit="false"/>
      <protection locked="true" hidden="false"/>
    </xf>
    <xf numFmtId="271" fontId="11" fillId="0" borderId="0" applyFont="true" applyBorder="true" applyAlignment="true" applyProtection="true">
      <alignment horizontal="general" vertical="bottom" textRotation="0" wrapText="false" indent="0" shrinkToFit="false"/>
      <protection locked="true" hidden="false"/>
    </xf>
    <xf numFmtId="271" fontId="11" fillId="0" borderId="0" applyFont="true" applyBorder="true" applyAlignment="true" applyProtection="true">
      <alignment horizontal="general" vertical="bottom" textRotation="0" wrapText="false" indent="0" shrinkToFit="false"/>
      <protection locked="true" hidden="false"/>
    </xf>
    <xf numFmtId="251" fontId="11" fillId="0" borderId="0" applyFont="true" applyBorder="true" applyAlignment="true" applyProtection="true">
      <alignment horizontal="general" vertical="bottom" textRotation="0" wrapText="false" indent="0" shrinkToFit="false"/>
      <protection locked="true" hidden="false"/>
    </xf>
    <xf numFmtId="272" fontId="11" fillId="0" borderId="0" applyFont="true" applyBorder="true" applyAlignment="true" applyProtection="true">
      <alignment horizontal="general" vertical="bottom" textRotation="0" wrapText="false" indent="0" shrinkToFit="false"/>
      <protection locked="true" hidden="false"/>
    </xf>
    <xf numFmtId="251" fontId="0" fillId="0" borderId="21" applyFont="true" applyBorder="true" applyAlignment="true" applyProtection="true">
      <alignment horizontal="general" vertical="bottom" textRotation="0" wrapText="false" indent="0" shrinkToFit="false"/>
      <protection locked="true" hidden="false"/>
    </xf>
    <xf numFmtId="272" fontId="0" fillId="0" borderId="0" applyFont="true" applyBorder="true" applyAlignment="true" applyProtection="true">
      <alignment horizontal="general" vertical="bottom" textRotation="0" wrapText="false" indent="0" shrinkToFit="false"/>
      <protection locked="true" hidden="false"/>
    </xf>
    <xf numFmtId="273" fontId="11" fillId="0" borderId="0" applyFont="true" applyBorder="true" applyAlignment="true" applyProtection="true">
      <alignment horizontal="general" vertical="bottom" textRotation="0" wrapText="false" indent="0" shrinkToFit="false"/>
      <protection locked="true" hidden="false"/>
    </xf>
    <xf numFmtId="262" fontId="31" fillId="0" borderId="0" applyFont="true" applyBorder="true" applyAlignment="true" applyProtection="true">
      <alignment horizontal="general" vertical="bottom" textRotation="0" wrapText="false" indent="0" shrinkToFit="false"/>
      <protection locked="true" hidden="false"/>
    </xf>
    <xf numFmtId="274" fontId="124" fillId="0" borderId="0" applyFont="true" applyBorder="true" applyAlignment="true" applyProtection="true">
      <alignment horizontal="general" vertical="bottom" textRotation="0" wrapText="false" indent="0" shrinkToFit="false"/>
      <protection locked="true" hidden="false"/>
    </xf>
    <xf numFmtId="275" fontId="114" fillId="0" borderId="0" applyFont="true" applyBorder="true" applyAlignment="true" applyProtection="true">
      <alignment horizontal="right"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18" fillId="0" borderId="0" applyFont="true" applyBorder="true" applyAlignment="true" applyProtection="true">
      <alignment horizontal="general" vertical="bottom" textRotation="0" wrapText="false" indent="0" shrinkToFit="false"/>
      <protection locked="true" hidden="false"/>
    </xf>
    <xf numFmtId="273" fontId="0" fillId="0" borderId="0" applyFont="true" applyBorder="true" applyAlignment="true" applyProtection="true">
      <alignment horizontal="general" vertical="bottom" textRotation="0" wrapText="false" indent="0" shrinkToFit="false"/>
      <protection locked="true" hidden="false"/>
    </xf>
    <xf numFmtId="273" fontId="0" fillId="0" borderId="0" applyFont="true" applyBorder="true" applyAlignment="true" applyProtection="true">
      <alignment horizontal="general" vertical="bottom" textRotation="0" wrapText="false" indent="0" shrinkToFit="false"/>
      <protection locked="true" hidden="false"/>
    </xf>
    <xf numFmtId="276" fontId="48" fillId="0" borderId="0" applyFont="true" applyBorder="true" applyAlignment="true" applyProtection="true">
      <alignment horizontal="general" vertical="bottom" textRotation="0" wrapText="false" indent="0" shrinkToFit="false"/>
      <protection locked="true" hidden="false"/>
    </xf>
    <xf numFmtId="276" fontId="43" fillId="0" borderId="0" applyFont="true" applyBorder="true" applyAlignment="true" applyProtection="true">
      <alignment horizontal="general" vertical="bottom" textRotation="0" wrapText="false" indent="0" shrinkToFit="false"/>
      <protection locked="true" hidden="false"/>
    </xf>
    <xf numFmtId="251" fontId="11" fillId="0" borderId="0" applyFont="true" applyBorder="true" applyAlignment="true" applyProtection="true">
      <alignment horizontal="general" vertical="bottom" textRotation="0" wrapText="false" indent="0" shrinkToFit="false"/>
      <protection locked="true" hidden="false"/>
    </xf>
    <xf numFmtId="262" fontId="125" fillId="0" borderId="0" applyFont="true" applyBorder="true" applyAlignment="true" applyProtection="true">
      <alignment horizontal="right" vertical="bottom" textRotation="0" wrapText="false" indent="0" shrinkToFit="false"/>
      <protection locked="true" hidden="false"/>
    </xf>
    <xf numFmtId="277" fontId="43" fillId="0" borderId="0" applyFont="true" applyBorder="true" applyAlignment="true" applyProtection="true">
      <alignment horizontal="right" vertical="bottom" textRotation="0" wrapText="false" indent="0" shrinkToFit="false"/>
      <protection locked="false" hidden="false"/>
    </xf>
    <xf numFmtId="278" fontId="87" fillId="0" borderId="0" applyFont="true" applyBorder="true" applyAlignment="true" applyProtection="true">
      <alignment horizontal="right" vertical="bottom" textRotation="0" wrapText="false" indent="0" shrinkToFit="false"/>
      <protection locked="true" hidden="false"/>
    </xf>
    <xf numFmtId="241" fontId="31" fillId="0" borderId="0" applyFont="true" applyBorder="true" applyAlignment="true" applyProtection="true">
      <alignment horizontal="general" vertical="bottom" textRotation="0" wrapText="false" indent="0" shrinkToFit="false"/>
      <protection locked="true" hidden="false"/>
    </xf>
    <xf numFmtId="205" fontId="126" fillId="0" borderId="0" applyFont="true" applyBorder="true" applyAlignment="true" applyProtection="true">
      <alignment horizontal="right" vertical="bottom" textRotation="0" wrapText="false" indent="0" shrinkToFit="false"/>
      <protection locked="true" hidden="false"/>
    </xf>
    <xf numFmtId="196" fontId="126" fillId="0" borderId="0" applyFont="true" applyBorder="true" applyAlignment="true" applyProtection="true">
      <alignment horizontal="center" vertical="bottom" textRotation="0" wrapText="false" indent="0" shrinkToFit="false"/>
      <protection locked="true" hidden="false"/>
    </xf>
    <xf numFmtId="279" fontId="31" fillId="0" borderId="0" applyFont="true" applyBorder="true" applyAlignment="true" applyProtection="true">
      <alignment horizontal="general" vertical="bottom" textRotation="0" wrapText="false" indent="0" shrinkToFit="false"/>
      <protection locked="true" hidden="false"/>
    </xf>
    <xf numFmtId="280"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05" fontId="31" fillId="0" borderId="0" applyFont="true" applyBorder="true" applyAlignment="true" applyProtection="true">
      <alignment horizontal="general" vertical="bottom" textRotation="0" wrapText="false" indent="0" shrinkToFit="false"/>
      <protection locked="true" hidden="false"/>
    </xf>
    <xf numFmtId="229" fontId="127" fillId="0" borderId="32" applyFont="true" applyBorder="true" applyAlignment="true" applyProtection="true">
      <alignment horizontal="right" vertical="bottom" textRotation="0" wrapText="false" indent="0" shrinkToFit="false"/>
      <protection locked="true" hidden="false"/>
    </xf>
    <xf numFmtId="164" fontId="128" fillId="18" borderId="0" applyFont="true" applyBorder="true" applyAlignment="true" applyProtection="true">
      <alignment horizontal="general" vertical="bottom" textRotation="0" wrapText="false" indent="0" shrinkToFit="false"/>
      <protection locked="true" hidden="false"/>
    </xf>
    <xf numFmtId="164" fontId="40" fillId="26" borderId="27" applyFont="true" applyBorder="true" applyAlignment="true" applyProtection="true">
      <alignment horizontal="center" vertical="center" textRotation="0" wrapText="false" indent="0" shrinkToFit="false"/>
      <protection locked="true" hidden="false"/>
    </xf>
    <xf numFmtId="281" fontId="0" fillId="0" borderId="0" applyFont="true" applyBorder="true" applyAlignment="true" applyProtection="true">
      <alignment horizontal="right" vertical="bottom" textRotation="0" wrapText="false" indent="0" shrinkToFit="false"/>
      <protection locked="false" hidden="false"/>
    </xf>
    <xf numFmtId="281" fontId="0" fillId="0" borderId="0" applyFont="true" applyBorder="true" applyAlignment="true" applyProtection="true">
      <alignment horizontal="right" vertical="bottom" textRotation="0" wrapText="false" indent="0" shrinkToFit="false"/>
      <protection locked="false" hidden="false"/>
    </xf>
    <xf numFmtId="282" fontId="43" fillId="0" borderId="0" applyFont="true" applyBorder="true" applyAlignment="true" applyProtection="true">
      <alignment horizontal="right" vertical="bottom" textRotation="0" wrapText="false" indent="0" shrinkToFit="false"/>
      <protection locked="false" hidden="false"/>
    </xf>
    <xf numFmtId="164" fontId="129" fillId="0" borderId="2" applyFont="true" applyBorder="true" applyAlignment="true" applyProtection="true">
      <alignment horizontal="general" vertical="bottom" textRotation="0" wrapText="false" indent="0" shrinkToFit="false"/>
      <protection locked="true" hidden="false"/>
    </xf>
    <xf numFmtId="164" fontId="130"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29" applyFont="true" applyBorder="true" applyAlignment="true" applyProtection="true">
      <alignment horizontal="general" vertical="bottom" textRotation="0" wrapText="false" indent="0" shrinkToFit="false"/>
      <protection locked="true" hidden="false"/>
    </xf>
    <xf numFmtId="164" fontId="0" fillId="0" borderId="29"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00" fillId="0" borderId="0" applyFont="true" applyBorder="true" applyAlignment="true" applyProtection="true">
      <alignment horizontal="right" vertical="bottom" textRotation="0" wrapText="false" indent="0" shrinkToFit="false"/>
      <protection locked="true" hidden="false"/>
    </xf>
    <xf numFmtId="164" fontId="100" fillId="0" borderId="0" applyFont="true" applyBorder="true" applyAlignment="true" applyProtection="true">
      <alignment horizontal="right" vertical="bottom" textRotation="0" wrapText="false" indent="0" shrinkToFit="false"/>
      <protection locked="true" hidden="false"/>
    </xf>
    <xf numFmtId="164" fontId="41" fillId="0" borderId="30" applyFont="true" applyBorder="true" applyAlignment="true" applyProtection="true">
      <alignment horizontal="left" vertical="center" textRotation="0" wrapText="false" indent="0" shrinkToFit="false"/>
      <protection locked="true" hidden="false"/>
    </xf>
    <xf numFmtId="164" fontId="131"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32"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right" vertical="bottom" textRotation="0" wrapText="false" indent="0" shrinkToFit="false"/>
      <protection locked="true" hidden="false"/>
    </xf>
    <xf numFmtId="164" fontId="0" fillId="0" borderId="0" applyFont="true" applyBorder="true" applyAlignment="true" applyProtection="true">
      <alignment horizontal="right" vertical="bottom" textRotation="0" wrapText="false" indent="0" shrinkToFit="false"/>
      <protection locked="true" hidden="false"/>
    </xf>
    <xf numFmtId="164" fontId="133" fillId="0" borderId="33" applyFont="true" applyBorder="true" applyAlignment="true" applyProtection="true">
      <alignment horizontal="general" vertical="bottom" textRotation="0" wrapText="false" indent="0" shrinkToFit="false"/>
      <protection locked="false" hidden="false"/>
    </xf>
    <xf numFmtId="164" fontId="101" fillId="0" borderId="0" applyFont="true" applyBorder="true" applyAlignment="true" applyProtection="true">
      <alignment horizontal="right" vertical="center" textRotation="0" wrapText="false" indent="0" shrinkToFit="false"/>
      <protection locked="true" hidden="false"/>
    </xf>
    <xf numFmtId="164" fontId="101" fillId="0" borderId="0" applyFont="true" applyBorder="true" applyAlignment="true" applyProtection="true">
      <alignment horizontal="right" vertical="center" textRotation="0" wrapText="false" indent="0" shrinkToFit="false"/>
      <protection locked="true" hidden="false"/>
    </xf>
    <xf numFmtId="252" fontId="105" fillId="0" borderId="0" applyFont="true" applyBorder="true" applyAlignment="true" applyProtection="true">
      <alignment horizontal="left" vertical="bottom" textRotation="0" wrapText="false" indent="0" shrinkToFit="false"/>
      <protection locked="true" hidden="false"/>
    </xf>
    <xf numFmtId="268" fontId="114" fillId="0" borderId="0" applyFont="true" applyBorder="true" applyAlignment="true" applyProtection="true">
      <alignment horizontal="right" vertical="bottom" textRotation="0" wrapText="false" indent="0" shrinkToFit="false"/>
      <protection locked="true" hidden="false"/>
    </xf>
    <xf numFmtId="283" fontId="114" fillId="0" borderId="0" applyFont="true" applyBorder="true" applyAlignment="true" applyProtection="true">
      <alignment horizontal="right" vertical="bottom" textRotation="0" wrapText="false" indent="0" shrinkToFit="false"/>
      <protection locked="true" hidden="false"/>
    </xf>
    <xf numFmtId="164" fontId="100" fillId="0" borderId="0" applyFont="true" applyBorder="true" applyAlignment="true" applyProtection="true">
      <alignment horizontal="right" vertical="bottom" textRotation="0" wrapText="false" indent="0" shrinkToFit="false"/>
      <protection locked="true" hidden="false"/>
    </xf>
    <xf numFmtId="164" fontId="100" fillId="0" borderId="0" applyFont="true" applyBorder="true" applyAlignment="true" applyProtection="true">
      <alignment horizontal="right" vertical="bottom" textRotation="0" wrapText="false" indent="0" shrinkToFit="false"/>
      <protection locked="true" hidden="false"/>
    </xf>
    <xf numFmtId="164" fontId="134" fillId="0" borderId="0" applyFont="true" applyBorder="true" applyAlignment="true" applyProtection="true">
      <alignment horizontal="general" vertical="bottom" textRotation="0" wrapText="false" indent="0" shrinkToFit="false"/>
      <protection locked="true" hidden="false"/>
    </xf>
    <xf numFmtId="164" fontId="135" fillId="22" borderId="34" applyFont="true" applyBorder="true" applyAlignment="true" applyProtection="true">
      <alignment horizontal="general" vertical="bottom" textRotation="0" wrapText="false" indent="0" shrinkToFit="false"/>
      <protection locked="true" hidden="false"/>
    </xf>
    <xf numFmtId="164" fontId="10" fillId="31" borderId="35" applyFont="true" applyBorder="true" applyAlignment="true" applyProtection="true">
      <alignment horizontal="left" vertical="center" textRotation="0" wrapText="false" indent="1" shrinkToFit="false"/>
      <protection locked="true" hidden="false"/>
    </xf>
    <xf numFmtId="164" fontId="10" fillId="31" borderId="35" applyFont="true" applyBorder="true" applyAlignment="true" applyProtection="true">
      <alignment horizontal="left" vertical="center" textRotation="0" wrapText="false" indent="1" shrinkToFit="false"/>
      <protection locked="true" hidden="false"/>
    </xf>
    <xf numFmtId="284" fontId="55" fillId="6" borderId="35" applyFont="true" applyBorder="true" applyAlignment="true" applyProtection="true">
      <alignment horizontal="right" vertical="center" textRotation="0" wrapText="false" indent="0" shrinkToFit="false"/>
      <protection locked="true" hidden="false"/>
    </xf>
    <xf numFmtId="164" fontId="34" fillId="4" borderId="0" applyFont="true" applyBorder="true" applyAlignment="true" applyProtection="true">
      <alignment horizontal="general" vertical="bottom" textRotation="0" wrapText="false" indent="0" shrinkToFit="false"/>
      <protection locked="true" hidden="false"/>
    </xf>
    <xf numFmtId="164" fontId="17" fillId="0" borderId="0" applyFont="true" applyBorder="true" applyAlignment="true" applyProtection="true">
      <alignment horizontal="left" vertical="center" textRotation="0" wrapText="false" indent="0" shrinkToFit="false"/>
      <protection locked="false" hidden="false"/>
    </xf>
    <xf numFmtId="285" fontId="136" fillId="0" borderId="0" applyFont="true" applyBorder="true" applyAlignment="true" applyProtection="true">
      <alignment horizontal="right" vertical="bottom" textRotation="0" wrapText="false" indent="0" shrinkToFit="false"/>
      <protection locked="true" hidden="true"/>
    </xf>
    <xf numFmtId="164" fontId="137" fillId="25" borderId="15" applyFont="true" applyBorder="true" applyAlignment="true" applyProtection="true">
      <alignment horizontal="center" vertical="center" textRotation="0" wrapText="true" indent="0" shrinkToFit="false"/>
      <protection locked="true" hidden="true"/>
    </xf>
    <xf numFmtId="244" fontId="17" fillId="0" borderId="27" applyFont="true" applyBorder="true" applyAlignment="true" applyProtection="true">
      <alignment horizontal="general" vertical="bottom" textRotation="0" wrapText="false" indent="0" shrinkToFit="false"/>
      <protection locked="true" hidden="false"/>
    </xf>
    <xf numFmtId="196" fontId="31" fillId="0" borderId="27" applyFont="true" applyBorder="true" applyAlignment="true" applyProtection="true">
      <alignment horizontal="general" vertical="bottom" textRotation="0" wrapText="false" indent="0" shrinkToFit="false"/>
      <protection locked="true" hidden="false"/>
    </xf>
    <xf numFmtId="223" fontId="138" fillId="0" borderId="0" applyFont="true" applyBorder="true" applyAlignment="true" applyProtection="true">
      <alignment horizontal="general" vertical="bottom" textRotation="0" wrapText="false" indent="0" shrinkToFit="false"/>
      <protection locked="true" hidden="false"/>
    </xf>
    <xf numFmtId="219" fontId="138" fillId="0" borderId="0" applyFont="true" applyBorder="true" applyAlignment="true" applyProtection="true">
      <alignment horizontal="general" vertical="bottom" textRotation="0" wrapText="false" indent="0" shrinkToFit="false"/>
      <protection locked="true" hidden="false"/>
    </xf>
    <xf numFmtId="164" fontId="135" fillId="22" borderId="34" applyFont="true" applyBorder="true" applyAlignment="true" applyProtection="true">
      <alignment horizontal="general" vertical="bottom" textRotation="0" wrapText="false" indent="0" shrinkToFit="false"/>
      <protection locked="true" hidden="false"/>
    </xf>
    <xf numFmtId="197" fontId="42" fillId="0" borderId="0" applyFont="true" applyBorder="true" applyAlignment="true" applyProtection="true">
      <alignment horizontal="general" vertical="center" textRotation="0" wrapText="false" indent="0" shrinkToFit="false"/>
      <protection locked="true" hidden="false"/>
    </xf>
    <xf numFmtId="164" fontId="139" fillId="0" borderId="0" applyFont="true" applyBorder="true" applyAlignment="true" applyProtection="true">
      <alignment horizontal="general" vertical="bottom" textRotation="0" wrapText="false" indent="0" shrinkToFit="false"/>
      <protection locked="false" hidden="false"/>
    </xf>
    <xf numFmtId="286" fontId="0" fillId="0" borderId="0" applyFont="true" applyBorder="true" applyAlignment="true" applyProtection="true">
      <alignment horizontal="general" vertical="bottom" textRotation="0" wrapText="false" indent="0" shrinkToFit="false"/>
      <protection locked="false" hidden="false"/>
    </xf>
    <xf numFmtId="286" fontId="0" fillId="0" borderId="0" applyFont="true" applyBorder="true" applyAlignment="true" applyProtection="true">
      <alignment horizontal="general" vertical="bottom" textRotation="0" wrapText="false" indent="0" shrinkToFit="false"/>
      <protection locked="false" hidden="false"/>
    </xf>
    <xf numFmtId="164" fontId="137" fillId="0" borderId="15" applyFont="true" applyBorder="true" applyAlignment="true" applyProtection="true">
      <alignment horizontal="center"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137" fillId="0" borderId="15" applyFont="true" applyBorder="true" applyAlignment="true" applyProtection="true">
      <alignment horizontal="center" vertical="bottom" textRotation="0" wrapText="false" indent="0" shrinkToFit="false"/>
      <protection locked="true" hidden="false"/>
    </xf>
    <xf numFmtId="164" fontId="137" fillId="0" borderId="15" applyFont="true" applyBorder="true" applyAlignment="true" applyProtection="true">
      <alignment horizontal="center" vertical="bottom" textRotation="0" wrapText="false" indent="0" shrinkToFit="false"/>
      <protection locked="true" hidden="false"/>
    </xf>
    <xf numFmtId="164" fontId="137" fillId="0" borderId="15" applyFont="true" applyBorder="true" applyAlignment="true" applyProtection="true">
      <alignment horizontal="center" vertical="bottom" textRotation="0" wrapText="false" indent="0" shrinkToFit="false"/>
      <protection locked="true" hidden="false"/>
    </xf>
    <xf numFmtId="164" fontId="137" fillId="0" borderId="15" applyFont="true" applyBorder="true" applyAlignment="true" applyProtection="true">
      <alignment horizontal="center" vertical="bottom"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140" fillId="27" borderId="0" applyFont="true" applyBorder="true" applyAlignment="true" applyProtection="true">
      <alignment horizontal="center" vertical="center" textRotation="0" wrapText="false" indent="0" shrinkToFit="false"/>
      <protection locked="true" hidden="false"/>
    </xf>
    <xf numFmtId="164" fontId="140" fillId="27" borderId="0" applyFont="true" applyBorder="true" applyAlignment="true" applyProtection="true">
      <alignment horizontal="center" vertical="top" textRotation="0" wrapText="false" indent="0" shrinkToFit="false"/>
      <protection locked="true" hidden="false"/>
    </xf>
    <xf numFmtId="164" fontId="140" fillId="27" borderId="36" applyFont="true" applyBorder="true" applyAlignment="true" applyProtection="true">
      <alignment horizontal="left" vertical="center" textRotation="0" wrapText="false" indent="0" shrinkToFit="false"/>
      <protection locked="true" hidden="false"/>
    </xf>
    <xf numFmtId="164" fontId="140" fillId="27" borderId="36" applyFont="true" applyBorder="true" applyAlignment="true" applyProtection="true">
      <alignment horizontal="right" vertical="center" textRotation="0" wrapText="false" indent="0" shrinkToFit="false"/>
      <protection locked="true" hidden="false"/>
    </xf>
    <xf numFmtId="164" fontId="141" fillId="27" borderId="0" applyFont="true" applyBorder="true" applyAlignment="true" applyProtection="true">
      <alignment horizontal="right" vertical="center" textRotation="0" wrapText="true" indent="0" shrinkToFit="false"/>
      <protection locked="true" hidden="false"/>
    </xf>
    <xf numFmtId="164" fontId="142" fillId="27" borderId="0" applyFont="true" applyBorder="true" applyAlignment="true" applyProtection="true">
      <alignment horizontal="left" vertical="center"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287" fontId="143" fillId="27" borderId="37" applyFont="true" applyBorder="true" applyAlignment="true" applyProtection="true">
      <alignment horizontal="right" vertical="center" textRotation="0" wrapText="false" indent="0" shrinkToFit="false"/>
      <protection locked="true" hidden="false"/>
    </xf>
    <xf numFmtId="164" fontId="144" fillId="27" borderId="0" applyFont="true" applyBorder="true" applyAlignment="true" applyProtection="true">
      <alignment horizontal="left" vertical="center"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287" fontId="142" fillId="27" borderId="0" applyFont="true" applyBorder="true" applyAlignment="true" applyProtection="true">
      <alignment horizontal="right" vertical="center" textRotation="0" wrapText="false" indent="0" shrinkToFit="false"/>
      <protection locked="true" hidden="false"/>
    </xf>
    <xf numFmtId="164" fontId="145" fillId="27" borderId="0" applyFont="true" applyBorder="true" applyAlignment="true" applyProtection="true">
      <alignment horizontal="left" vertical="center"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81" fontId="18" fillId="0" borderId="0" applyFont="true" applyBorder="true" applyAlignment="true" applyProtection="true">
      <alignment horizontal="general" vertical="bottom" textRotation="0" wrapText="false" indent="0" shrinkToFit="false"/>
      <protection locked="true" hidden="false"/>
    </xf>
    <xf numFmtId="164" fontId="146" fillId="0" borderId="0" applyFont="true" applyBorder="true" applyAlignment="true" applyProtection="true">
      <alignment horizontal="left" vertical="center" textRotation="0" wrapText="false" indent="0" shrinkToFit="false"/>
      <protection locked="true" hidden="false"/>
    </xf>
    <xf numFmtId="244" fontId="0" fillId="0" borderId="0" applyFont="true" applyBorder="true" applyAlignment="true" applyProtection="true">
      <alignment horizontal="general" vertical="bottom" textRotation="0" wrapText="false" indent="0" shrinkToFit="false"/>
      <protection locked="true" hidden="false"/>
    </xf>
    <xf numFmtId="196" fontId="31" fillId="0" borderId="0" applyFont="true" applyBorder="true" applyAlignment="true" applyProtection="true">
      <alignment horizontal="general" vertical="bottom" textRotation="0" wrapText="false" indent="0" shrinkToFit="false"/>
      <protection locked="true" hidden="false"/>
    </xf>
    <xf numFmtId="164" fontId="0" fillId="0" borderId="38" applyFont="true" applyBorder="true" applyAlignment="true" applyProtection="true">
      <alignment horizontal="general" vertical="bottom" textRotation="0" wrapText="false" indent="0" shrinkToFit="false"/>
      <protection locked="true" hidden="false"/>
    </xf>
    <xf numFmtId="164" fontId="0" fillId="0" borderId="38" applyFont="true" applyBorder="true" applyAlignment="true" applyProtection="true">
      <alignment horizontal="general" vertical="bottom" textRotation="0" wrapText="false" indent="0" shrinkToFit="false"/>
      <protection locked="true" hidden="false"/>
    </xf>
    <xf numFmtId="164" fontId="0" fillId="0" borderId="39" applyFont="true" applyBorder="true" applyAlignment="true" applyProtection="true">
      <alignment horizontal="general" vertical="bottom" textRotation="0" wrapText="false" indent="0" shrinkToFit="false"/>
      <protection locked="true" hidden="false"/>
    </xf>
    <xf numFmtId="164" fontId="0" fillId="0" borderId="39" applyFont="true" applyBorder="true" applyAlignment="true" applyProtection="true">
      <alignment horizontal="general" vertical="bottom" textRotation="0" wrapText="false" indent="0" shrinkToFit="false"/>
      <protection locked="true" hidden="false"/>
    </xf>
    <xf numFmtId="164" fontId="0" fillId="0" borderId="33" applyFont="true" applyBorder="true" applyAlignment="true" applyProtection="true">
      <alignment horizontal="general" vertical="bottom" textRotation="0" wrapText="false" indent="0" shrinkToFit="false"/>
      <protection locked="true" hidden="false"/>
    </xf>
    <xf numFmtId="164" fontId="0" fillId="0" borderId="33" applyFont="true" applyBorder="true" applyAlignment="true" applyProtection="true">
      <alignment horizontal="general" vertical="bottom" textRotation="0" wrapText="false" indent="0" shrinkToFit="false"/>
      <protection locked="true" hidden="false"/>
    </xf>
    <xf numFmtId="164" fontId="146" fillId="0" borderId="38" applyFont="true" applyBorder="true" applyAlignment="true" applyProtection="true">
      <alignment horizontal="right" vertical="center" textRotation="0" wrapText="false" indent="0" shrinkToFit="false"/>
      <protection locked="true" hidden="false"/>
    </xf>
    <xf numFmtId="164" fontId="147" fillId="16" borderId="40" applyFont="true" applyBorder="true" applyAlignment="true" applyProtection="true">
      <alignment horizontal="center" vertical="bottom" textRotation="0" wrapText="false" indent="0" shrinkToFit="false"/>
      <protection locked="true" hidden="false"/>
    </xf>
    <xf numFmtId="164" fontId="147" fillId="16" borderId="41" applyFont="true" applyBorder="true" applyAlignment="true" applyProtection="true">
      <alignment horizontal="center" vertical="bottom" textRotation="0" wrapText="false" indent="0" shrinkToFit="false"/>
      <protection locked="true" hidden="false"/>
    </xf>
    <xf numFmtId="164" fontId="147" fillId="16" borderId="42" applyFont="true" applyBorder="true" applyAlignment="true" applyProtection="true">
      <alignment horizontal="center" vertical="bottom" textRotation="0" wrapText="false" indent="0" shrinkToFit="false"/>
      <protection locked="true" hidden="false"/>
    </xf>
    <xf numFmtId="164" fontId="148" fillId="0" borderId="7" applyFont="true" applyBorder="true" applyAlignment="true" applyProtection="true">
      <alignment horizontal="general" vertical="bottom" textRotation="0" wrapText="false" indent="0" shrinkToFit="false"/>
      <protection locked="true" hidden="false"/>
    </xf>
    <xf numFmtId="164" fontId="0" fillId="32" borderId="43" applyFont="true" applyBorder="true" applyAlignment="true" applyProtection="true">
      <alignment horizontal="general" vertical="bottom" textRotation="0" wrapText="false" indent="0" shrinkToFit="false"/>
      <protection locked="true" hidden="false"/>
    </xf>
    <xf numFmtId="197" fontId="149" fillId="0" borderId="0" applyFont="true" applyBorder="true" applyAlignment="true" applyProtection="true">
      <alignment horizontal="general" vertical="center" textRotation="0" wrapText="false" indent="0" shrinkToFit="false"/>
      <protection locked="true" hidden="false"/>
    </xf>
    <xf numFmtId="164" fontId="18" fillId="0" borderId="15" applyFont="true" applyBorder="true" applyAlignment="true" applyProtection="true">
      <alignment horizontal="general" vertical="bottom" textRotation="0" wrapText="false" indent="0" shrinkToFit="false"/>
      <protection locked="true" hidden="false"/>
    </xf>
    <xf numFmtId="164" fontId="150" fillId="0" borderId="0" applyFont="true" applyBorder="true" applyAlignment="true" applyProtection="true">
      <alignment horizontal="general" vertical="center" textRotation="0" wrapText="false" indent="0" shrinkToFit="false"/>
      <protection locked="true" hidden="false"/>
    </xf>
    <xf numFmtId="288" fontId="17" fillId="0" borderId="27" applyFont="true" applyBorder="true" applyAlignment="true" applyProtection="true">
      <alignment horizontal="right" vertical="center" textRotation="0" wrapText="false" indent="0" shrinkToFit="false"/>
      <protection locked="true" hidden="false"/>
    </xf>
    <xf numFmtId="164" fontId="151" fillId="26" borderId="0" applyFont="true" applyBorder="true" applyAlignment="true" applyProtection="true">
      <alignment horizontal="center" vertical="center" textRotation="0" wrapText="false" indent="0" shrinkToFit="false"/>
      <protection locked="true" hidden="false"/>
    </xf>
    <xf numFmtId="164" fontId="151" fillId="33" borderId="27" applyFont="true" applyBorder="true" applyAlignment="true" applyProtection="true">
      <alignment horizontal="center" vertical="center" textRotation="0" wrapText="false" indent="0" shrinkToFit="false"/>
      <protection locked="true" hidden="false"/>
    </xf>
    <xf numFmtId="164" fontId="27" fillId="0" borderId="27" applyFont="true" applyBorder="true" applyAlignment="true" applyProtection="true">
      <alignment horizontal="right" vertical="center" textRotation="0" wrapText="false" indent="0" shrinkToFit="false"/>
      <protection locked="false" hidden="false"/>
    </xf>
    <xf numFmtId="164" fontId="27" fillId="0" borderId="27" applyFont="true" applyBorder="true" applyAlignment="true" applyProtection="true">
      <alignment horizontal="right" vertical="center" textRotation="0" wrapText="false" indent="0" shrinkToFit="false"/>
      <protection locked="false" hidden="false"/>
    </xf>
    <xf numFmtId="164" fontId="11" fillId="0" borderId="0" applyFont="true" applyBorder="true" applyAlignment="true" applyProtection="true">
      <alignment horizontal="left" vertical="center" textRotation="0" wrapText="false" indent="0" shrinkToFit="false"/>
      <protection locked="true" hidden="false"/>
    </xf>
    <xf numFmtId="164" fontId="121" fillId="0" borderId="0" applyFont="true" applyBorder="true" applyAlignment="true" applyProtection="true">
      <alignment horizontal="general" vertical="bottom" textRotation="0" wrapText="false" indent="0" shrinkToFit="false"/>
      <protection locked="false" hidden="false"/>
    </xf>
    <xf numFmtId="228" fontId="11" fillId="0" borderId="0" applyFont="true" applyBorder="true" applyAlignment="true" applyProtection="true">
      <alignment horizontal="right" vertical="center" textRotation="0" wrapText="false" indent="0" shrinkToFit="false"/>
      <protection locked="true" hidden="false"/>
    </xf>
    <xf numFmtId="244" fontId="11" fillId="0" borderId="0" applyFont="true" applyBorder="true" applyAlignment="true" applyProtection="true">
      <alignment horizontal="right" vertical="center" textRotation="0" wrapText="false" indent="0" shrinkToFit="false"/>
      <protection locked="true" hidden="false"/>
    </xf>
    <xf numFmtId="164" fontId="40" fillId="0" borderId="32" applyFont="true" applyBorder="true" applyAlignment="true" applyProtection="true">
      <alignment horizontal="general" vertical="bottom" textRotation="0" wrapText="false" indent="0" shrinkToFit="false"/>
      <protection locked="false" hidden="false"/>
    </xf>
    <xf numFmtId="164" fontId="77" fillId="0" borderId="2" applyFont="true" applyBorder="true" applyAlignment="true" applyProtection="true">
      <alignment horizontal="left" vertical="top" textRotation="0" wrapText="false" indent="0" shrinkToFit="false"/>
      <protection locked="true" hidden="false"/>
    </xf>
    <xf numFmtId="164" fontId="11" fillId="0" borderId="0" applyFont="true" applyBorder="true" applyAlignment="true" applyProtection="true">
      <alignment horizontal="left" vertical="bottom" textRotation="0" wrapText="false" indent="0" shrinkToFit="false"/>
      <protection locked="true" hidden="false"/>
    </xf>
    <xf numFmtId="164" fontId="11" fillId="0" borderId="0" applyFont="true" applyBorder="true" applyAlignment="true" applyProtection="true">
      <alignment horizontal="right" vertical="bottom" textRotation="0" wrapText="false" indent="0" shrinkToFit="false"/>
      <protection locked="true" hidden="false"/>
    </xf>
    <xf numFmtId="164" fontId="152" fillId="34" borderId="0" applyFont="true" applyBorder="true" applyAlignment="true" applyProtection="true">
      <alignment horizontal="general" vertical="top" textRotation="0" wrapText="true" indent="0" shrinkToFit="false"/>
      <protection locked="true" hidden="false"/>
    </xf>
    <xf numFmtId="164" fontId="63"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63" fillId="0" borderId="0" applyFont="true" applyBorder="true" applyAlignment="true" applyProtection="true">
      <alignment horizontal="general" vertical="bottom" textRotation="0" wrapText="false" indent="0" shrinkToFit="false"/>
      <protection locked="true" hidden="false"/>
    </xf>
    <xf numFmtId="164" fontId="0" fillId="0" borderId="44" applyFont="true" applyBorder="true" applyAlignment="true" applyProtection="true">
      <alignment horizontal="general" vertical="bottom" textRotation="0" wrapText="false" indent="0" shrinkToFit="false"/>
      <protection locked="true" hidden="false"/>
    </xf>
    <xf numFmtId="164" fontId="0" fillId="0" borderId="44" applyFont="true" applyBorder="true" applyAlignment="true" applyProtection="true">
      <alignment horizontal="general" vertical="bottom" textRotation="0" wrapText="false" indent="0" shrinkToFit="false"/>
      <protection locked="true" hidden="false"/>
    </xf>
    <xf numFmtId="164" fontId="0" fillId="0" borderId="45" applyFont="true" applyBorder="true" applyAlignment="true" applyProtection="true">
      <alignment horizontal="general" vertical="bottom" textRotation="0" wrapText="false" indent="0" shrinkToFit="false"/>
      <protection locked="true" hidden="false"/>
    </xf>
    <xf numFmtId="164" fontId="0" fillId="0" borderId="45" applyFont="true" applyBorder="true" applyAlignment="true" applyProtection="true">
      <alignment horizontal="general" vertical="bottom" textRotation="0" wrapText="false" indent="0" shrinkToFit="false"/>
      <protection locked="true" hidden="false"/>
    </xf>
    <xf numFmtId="164" fontId="0" fillId="0" borderId="27" applyFont="true" applyBorder="true" applyAlignment="true" applyProtection="true">
      <alignment horizontal="general" vertical="bottom" textRotation="0" wrapText="false" indent="0" shrinkToFit="false"/>
      <protection locked="true" hidden="false"/>
    </xf>
    <xf numFmtId="164" fontId="0" fillId="0" borderId="27" applyFont="true" applyBorder="true" applyAlignment="true" applyProtection="true">
      <alignment horizontal="general" vertical="bottom" textRotation="0" wrapText="false" indent="0" shrinkToFit="false"/>
      <protection locked="true" hidden="false"/>
    </xf>
    <xf numFmtId="164" fontId="0" fillId="0" borderId="46" applyFont="true" applyBorder="true" applyAlignment="true" applyProtection="true">
      <alignment horizontal="general" vertical="bottom" textRotation="0" wrapText="false" indent="0" shrinkToFit="false"/>
      <protection locked="true" hidden="false"/>
    </xf>
    <xf numFmtId="164" fontId="0" fillId="0" borderId="46" applyFont="true" applyBorder="true" applyAlignment="true" applyProtection="true">
      <alignment horizontal="general" vertical="bottom" textRotation="0" wrapText="false" indent="0" shrinkToFit="false"/>
      <protection locked="true" hidden="false"/>
    </xf>
    <xf numFmtId="164" fontId="0" fillId="0" borderId="15" applyFont="true" applyBorder="true" applyAlignment="true" applyProtection="true">
      <alignment horizontal="general" vertical="bottom" textRotation="0" wrapText="false" indent="0" shrinkToFit="false"/>
      <protection locked="true" hidden="false"/>
    </xf>
    <xf numFmtId="164" fontId="0" fillId="0" borderId="15" applyFont="true" applyBorder="true" applyAlignment="true" applyProtection="true">
      <alignment horizontal="general" vertical="bottom" textRotation="0" wrapText="false" indent="0" shrinkToFit="false"/>
      <protection locked="true" hidden="false"/>
    </xf>
    <xf numFmtId="164" fontId="0" fillId="0" borderId="47" applyFont="true" applyBorder="true" applyAlignment="true" applyProtection="true">
      <alignment horizontal="general" vertical="bottom" textRotation="0" wrapText="false" indent="0" shrinkToFit="false"/>
      <protection locked="true" hidden="false"/>
    </xf>
    <xf numFmtId="164" fontId="0" fillId="0" borderId="47" applyFont="true" applyBorder="true" applyAlignment="true" applyProtection="true">
      <alignment horizontal="general" vertical="bottom" textRotation="0" wrapText="false" indent="0" shrinkToFit="false"/>
      <protection locked="true" hidden="false"/>
    </xf>
    <xf numFmtId="164" fontId="0" fillId="0" borderId="14" applyFont="true" applyBorder="true" applyAlignment="true" applyProtection="true">
      <alignment horizontal="general" vertical="bottom" textRotation="0" wrapText="false" indent="0" shrinkToFit="false"/>
      <protection locked="true" hidden="false"/>
    </xf>
    <xf numFmtId="164" fontId="0" fillId="0" borderId="14" applyFont="true" applyBorder="true" applyAlignment="true" applyProtection="true">
      <alignment horizontal="general" vertical="bottom" textRotation="0" wrapText="false" indent="0" shrinkToFit="false"/>
      <protection locked="true" hidden="false"/>
    </xf>
    <xf numFmtId="164" fontId="0" fillId="0" borderId="48" applyFont="true" applyBorder="true" applyAlignment="true" applyProtection="true">
      <alignment horizontal="general" vertical="bottom" textRotation="0" wrapText="false" indent="0" shrinkToFit="false"/>
      <protection locked="true" hidden="false"/>
    </xf>
    <xf numFmtId="164" fontId="0" fillId="0" borderId="48" applyFont="true" applyBorder="true" applyAlignment="true" applyProtection="true">
      <alignment horizontal="general" vertical="bottom" textRotation="0" wrapText="false" indent="0" shrinkToFit="false"/>
      <protection locked="true" hidden="false"/>
    </xf>
    <xf numFmtId="164" fontId="0" fillId="0" borderId="38" applyFont="true" applyBorder="true" applyAlignment="true" applyProtection="true">
      <alignment horizontal="general" vertical="bottom" textRotation="0" wrapText="false" indent="0" shrinkToFit="false"/>
      <protection locked="true" hidden="false"/>
    </xf>
    <xf numFmtId="164" fontId="0" fillId="0" borderId="38" applyFont="true" applyBorder="true" applyAlignment="true" applyProtection="true">
      <alignment horizontal="general" vertical="bottom" textRotation="0" wrapText="false" indent="0" shrinkToFit="false"/>
      <protection locked="true" hidden="false"/>
    </xf>
    <xf numFmtId="164" fontId="0" fillId="0" borderId="16" applyFont="true" applyBorder="true" applyAlignment="true" applyProtection="true">
      <alignment horizontal="general" vertical="bottom" textRotation="0" wrapText="false" indent="0" shrinkToFit="false"/>
      <protection locked="true" hidden="false"/>
    </xf>
    <xf numFmtId="164" fontId="0" fillId="0" borderId="16" applyFont="true" applyBorder="true" applyAlignment="true" applyProtection="true">
      <alignment horizontal="general" vertical="bottom" textRotation="0" wrapText="false" indent="0" shrinkToFit="false"/>
      <protection locked="true" hidden="false"/>
    </xf>
    <xf numFmtId="164" fontId="0" fillId="0" borderId="49" applyFont="true" applyBorder="true" applyAlignment="true" applyProtection="true">
      <alignment horizontal="general" vertical="bottom" textRotation="0" wrapText="false" indent="0" shrinkToFit="false"/>
      <protection locked="true" hidden="false"/>
    </xf>
    <xf numFmtId="164" fontId="0" fillId="0" borderId="49" applyFont="true" applyBorder="true" applyAlignment="true" applyProtection="true">
      <alignment horizontal="general" vertical="bottom" textRotation="0" wrapText="false" indent="0" shrinkToFit="false"/>
      <protection locked="true" hidden="false"/>
    </xf>
    <xf numFmtId="164" fontId="0" fillId="0" borderId="21" applyFont="true" applyBorder="true" applyAlignment="true" applyProtection="true">
      <alignment horizontal="general" vertical="bottom" textRotation="0" wrapText="false" indent="0" shrinkToFit="false"/>
      <protection locked="true" hidden="false"/>
    </xf>
    <xf numFmtId="164" fontId="0" fillId="0" borderId="21" applyFont="true" applyBorder="true" applyAlignment="true" applyProtection="true">
      <alignment horizontal="general" vertical="bottom" textRotation="0" wrapText="false" indent="0" shrinkToFit="false"/>
      <protection locked="true" hidden="false"/>
    </xf>
    <xf numFmtId="164" fontId="0" fillId="0" borderId="22" applyFont="true" applyBorder="true" applyAlignment="true" applyProtection="true">
      <alignment horizontal="general" vertical="bottom" textRotation="0" wrapText="false" indent="0" shrinkToFit="false"/>
      <protection locked="true" hidden="false"/>
    </xf>
    <xf numFmtId="164" fontId="0" fillId="0" borderId="22" applyFont="true" applyBorder="true" applyAlignment="true" applyProtection="true">
      <alignment horizontal="general" vertical="bottom" textRotation="0" wrapText="false" indent="0" shrinkToFit="false"/>
      <protection locked="true" hidden="false"/>
    </xf>
    <xf numFmtId="164" fontId="0" fillId="0" borderId="39" applyFont="true" applyBorder="true" applyAlignment="true" applyProtection="true">
      <alignment horizontal="general" vertical="bottom" textRotation="0" wrapText="false" indent="0" shrinkToFit="false"/>
      <protection locked="true" hidden="false"/>
    </xf>
    <xf numFmtId="164" fontId="0" fillId="0" borderId="39" applyFont="true" applyBorder="true" applyAlignment="true" applyProtection="true">
      <alignment horizontal="general" vertical="bottom" textRotation="0" wrapText="false" indent="0" shrinkToFit="false"/>
      <protection locked="true" hidden="false"/>
    </xf>
    <xf numFmtId="164" fontId="0" fillId="0" borderId="50" applyFont="true" applyBorder="true" applyAlignment="true" applyProtection="true">
      <alignment horizontal="general" vertical="bottom" textRotation="0" wrapText="false" indent="0" shrinkToFit="false"/>
      <protection locked="true" hidden="false"/>
    </xf>
    <xf numFmtId="164" fontId="0" fillId="0" borderId="50" applyFont="true" applyBorder="true" applyAlignment="true" applyProtection="true">
      <alignment horizontal="general" vertical="bottom" textRotation="0" wrapText="false" indent="0" shrinkToFit="false"/>
      <protection locked="true" hidden="false"/>
    </xf>
    <xf numFmtId="289" fontId="27" fillId="0" borderId="0" applyFont="true" applyBorder="true" applyAlignment="true" applyProtection="true">
      <alignment horizontal="right" vertical="bottom" textRotation="0" wrapText="false" indent="0" shrinkToFit="false"/>
      <protection locked="true" hidden="false"/>
    </xf>
    <xf numFmtId="289" fontId="27" fillId="0" borderId="0" applyFont="true" applyBorder="true" applyAlignment="true" applyProtection="true">
      <alignment horizontal="right" vertical="bottom" textRotation="0" wrapText="false" indent="0" shrinkToFit="false"/>
      <protection locked="true" hidden="false"/>
    </xf>
    <xf numFmtId="197" fontId="36" fillId="0" borderId="38" applyFont="true" applyBorder="true" applyAlignment="true" applyProtection="true">
      <alignment horizontal="right" vertical="bottom" textRotation="0" wrapText="false" indent="0" shrinkToFit="false"/>
      <protection locked="true" hidden="false"/>
    </xf>
    <xf numFmtId="173" fontId="11" fillId="0" borderId="0" applyFont="true" applyBorder="true" applyAlignment="true" applyProtection="true">
      <alignment horizontal="general" vertical="bottom" textRotation="0" wrapText="false" indent="0" shrinkToFit="false"/>
      <protection locked="true" hidden="false"/>
    </xf>
    <xf numFmtId="290" fontId="11" fillId="0" borderId="19"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53" fillId="28" borderId="0" applyFont="true" applyBorder="true" applyAlignment="true" applyProtection="true">
      <alignment horizontal="general" vertical="bottom" textRotation="0" wrapText="false" indent="0" shrinkToFit="false"/>
      <protection locked="true" hidden="false"/>
    </xf>
    <xf numFmtId="164" fontId="154" fillId="0" borderId="0" applyFont="true" applyBorder="true" applyAlignment="true" applyProtection="true">
      <alignment horizontal="general" vertical="bottom" textRotation="0" wrapText="false" indent="0" shrinkToFit="false"/>
      <protection locked="true" hidden="false"/>
    </xf>
    <xf numFmtId="164" fontId="154" fillId="0" borderId="0" applyFont="true" applyBorder="true" applyAlignment="true" applyProtection="true">
      <alignment horizontal="general" vertical="bottom" textRotation="0" wrapText="false" indent="0" shrinkToFit="false"/>
      <protection locked="true" hidden="false"/>
    </xf>
    <xf numFmtId="164" fontId="154" fillId="0" borderId="0" applyFont="true" applyBorder="true" applyAlignment="true" applyProtection="true">
      <alignment horizontal="general" vertical="bottom" textRotation="0" wrapText="false" indent="0" shrinkToFit="false"/>
      <protection locked="true" hidden="false"/>
    </xf>
    <xf numFmtId="164" fontId="154" fillId="0" borderId="0" applyFont="true" applyBorder="true" applyAlignment="true" applyProtection="true">
      <alignment horizontal="general" vertical="bottom" textRotation="0" wrapText="false" indent="0" shrinkToFit="false"/>
      <protection locked="true" hidden="false"/>
    </xf>
    <xf numFmtId="164" fontId="154" fillId="0" borderId="0" applyFont="true" applyBorder="true" applyAlignment="true" applyProtection="true">
      <alignment horizontal="general" vertical="bottom" textRotation="0" wrapText="false" indent="0" shrinkToFit="false"/>
      <protection locked="true" hidden="false"/>
    </xf>
    <xf numFmtId="196" fontId="36" fillId="0" borderId="0" applyFont="true" applyBorder="true" applyAlignment="true" applyProtection="true">
      <alignment horizontal="general" vertical="bottom" textRotation="0" wrapText="false" indent="0" shrinkToFit="false"/>
      <protection locked="true" hidden="false"/>
    </xf>
    <xf numFmtId="164" fontId="155" fillId="26" borderId="51" applyFont="true" applyBorder="true" applyAlignment="true" applyProtection="true">
      <alignment horizontal="left" vertical="center" textRotation="0" wrapText="false" indent="0" shrinkToFit="false"/>
      <protection locked="true" hidden="false"/>
    </xf>
    <xf numFmtId="196" fontId="156" fillId="0" borderId="52" applyFont="true" applyBorder="true" applyAlignment="true" applyProtection="true">
      <alignment horizontal="general" vertical="bottom" textRotation="0" wrapText="false" indent="0" shrinkToFit="false"/>
      <protection locked="true" hidden="false"/>
    </xf>
    <xf numFmtId="164" fontId="127" fillId="0"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general" vertical="bottom" textRotation="0" wrapText="false" indent="0" shrinkToFit="false"/>
      <protection locked="true" hidden="false"/>
    </xf>
    <xf numFmtId="224" fontId="128" fillId="17" borderId="53" applyFont="true" applyBorder="true" applyAlignment="true" applyProtection="true">
      <alignment horizontal="center" vertical="bottom" textRotation="0" wrapText="false" indent="0" shrinkToFit="false"/>
      <protection locked="true" hidden="false"/>
    </xf>
    <xf numFmtId="164" fontId="154" fillId="0" borderId="0" applyFont="true" applyBorder="true" applyAlignment="true" applyProtection="true">
      <alignment horizontal="general" vertical="bottom" textRotation="0" wrapText="false" indent="0" shrinkToFit="false"/>
      <protection locked="true" hidden="false"/>
    </xf>
    <xf numFmtId="164" fontId="157" fillId="35" borderId="0" applyFont="true" applyBorder="true" applyAlignment="true" applyProtection="true">
      <alignment horizontal="center" vertical="bottom" textRotation="0" wrapText="false" indent="0" shrinkToFit="false"/>
      <protection locked="false" hidden="false"/>
    </xf>
    <xf numFmtId="164" fontId="55" fillId="27" borderId="0" applyFont="true" applyBorder="true" applyAlignment="true" applyProtection="true">
      <alignment horizontal="center" vertical="bottom" textRotation="0" wrapText="false" indent="0" shrinkToFit="false"/>
      <protection locked="false" hidden="false"/>
    </xf>
    <xf numFmtId="164" fontId="158" fillId="27" borderId="0" applyFont="true" applyBorder="true" applyAlignment="true" applyProtection="true">
      <alignment horizontal="center" vertical="bottom" textRotation="0" wrapText="false" indent="0" shrinkToFit="false"/>
      <protection locked="false" hidden="false"/>
    </xf>
    <xf numFmtId="164" fontId="158" fillId="27" borderId="0" applyFont="true" applyBorder="true" applyAlignment="true" applyProtection="true">
      <alignment horizontal="center" vertical="bottom" textRotation="0" wrapText="false" indent="0" shrinkToFit="false"/>
      <protection locked="false" hidden="false"/>
    </xf>
    <xf numFmtId="164" fontId="23" fillId="27" borderId="0" applyFont="true" applyBorder="true" applyAlignment="true" applyProtection="true">
      <alignment horizontal="general" vertical="bottom" textRotation="0" wrapText="false" indent="0" shrinkToFit="false"/>
      <protection locked="false" hidden="false"/>
    </xf>
    <xf numFmtId="164" fontId="159" fillId="27" borderId="0" applyFont="true" applyBorder="true" applyAlignment="true" applyProtection="true">
      <alignment horizontal="left" vertical="bottom" textRotation="0" wrapText="false" indent="0" shrinkToFit="false"/>
      <protection locked="false" hidden="false"/>
    </xf>
    <xf numFmtId="164" fontId="160" fillId="27" borderId="0" applyFont="true" applyBorder="true" applyAlignment="true" applyProtection="true">
      <alignment horizontal="general" vertical="bottom" textRotation="0" wrapText="false" indent="0" shrinkToFit="false"/>
      <protection locked="false" hidden="false"/>
    </xf>
    <xf numFmtId="164" fontId="85" fillId="0" borderId="24" applyFont="true" applyBorder="true" applyAlignment="true" applyProtection="true">
      <alignment horizontal="general" vertical="bottom" textRotation="0" wrapText="false" indent="0" shrinkToFit="false"/>
      <protection locked="true" hidden="false"/>
    </xf>
    <xf numFmtId="164" fontId="86" fillId="0" borderId="25" applyFont="true" applyBorder="true" applyAlignment="true" applyProtection="true">
      <alignment horizontal="general" vertical="bottom" textRotation="0" wrapText="false" indent="0" shrinkToFit="false"/>
      <protection locked="true" hidden="false"/>
    </xf>
    <xf numFmtId="164" fontId="60" fillId="0" borderId="26" applyFont="true" applyBorder="true" applyAlignment="true" applyProtection="true">
      <alignment horizontal="general" vertical="bottom" textRotation="0" wrapText="false" indent="0" shrinkToFit="false"/>
      <protection locked="true" hidden="false"/>
    </xf>
    <xf numFmtId="164" fontId="60" fillId="0" borderId="0" applyFont="true" applyBorder="true" applyAlignment="true" applyProtection="true">
      <alignment horizontal="general" vertical="bottom" textRotation="0" wrapText="false" indent="0" shrinkToFit="false"/>
      <protection locked="true" hidden="false"/>
    </xf>
    <xf numFmtId="164" fontId="0" fillId="0" borderId="18" applyFont="true" applyBorder="true" applyAlignment="true" applyProtection="true">
      <alignment horizontal="general" vertical="bottom" textRotation="0" wrapText="false" indent="0" shrinkToFit="false"/>
      <protection locked="true" hidden="false"/>
    </xf>
    <xf numFmtId="164" fontId="0" fillId="0" borderId="18" applyFont="true" applyBorder="true" applyAlignment="true" applyProtection="true">
      <alignment horizontal="general" vertical="bottom" textRotation="0" wrapText="false" indent="0" shrinkToFit="false"/>
      <protection locked="true" hidden="false"/>
    </xf>
    <xf numFmtId="164" fontId="161" fillId="0" borderId="54" applyFont="true" applyBorder="true" applyAlignment="true" applyProtection="true">
      <alignment horizontal="general" vertical="bottom" textRotation="0" wrapText="false" indent="0" shrinkToFit="false"/>
      <protection locked="true" hidden="false"/>
    </xf>
    <xf numFmtId="164" fontId="161" fillId="0" borderId="54" applyFont="true" applyBorder="true" applyAlignment="true" applyProtection="true">
      <alignment horizontal="general" vertical="bottom" textRotation="0" wrapText="false" indent="0" shrinkToFit="false"/>
      <protection locked="true" hidden="false"/>
    </xf>
    <xf numFmtId="164" fontId="161" fillId="0" borderId="54" applyFont="true" applyBorder="true" applyAlignment="true" applyProtection="true">
      <alignment horizontal="general" vertical="bottom" textRotation="0" wrapText="false" indent="0" shrinkToFit="false"/>
      <protection locked="true" hidden="false"/>
    </xf>
    <xf numFmtId="164" fontId="161" fillId="0" borderId="54" applyFont="true" applyBorder="true" applyAlignment="true" applyProtection="true">
      <alignment horizontal="general" vertical="bottom" textRotation="0" wrapText="false" indent="0" shrinkToFit="false"/>
      <protection locked="true" hidden="false"/>
    </xf>
    <xf numFmtId="164" fontId="161" fillId="0" borderId="54" applyFont="true" applyBorder="true" applyAlignment="true" applyProtection="true">
      <alignment horizontal="general" vertical="bottom" textRotation="0" wrapText="false" indent="0" shrinkToFit="false"/>
      <protection locked="true" hidden="false"/>
    </xf>
    <xf numFmtId="164" fontId="159" fillId="27" borderId="0" applyFont="true" applyBorder="true" applyAlignment="true" applyProtection="true">
      <alignment horizontal="general" vertical="bottom" textRotation="0" wrapText="false" indent="0" shrinkToFit="false"/>
      <protection locked="false" hidden="false"/>
    </xf>
    <xf numFmtId="164" fontId="159" fillId="27" borderId="0" applyFont="true" applyBorder="true" applyAlignment="true" applyProtection="true">
      <alignment horizontal="general" vertical="bottom" textRotation="0" wrapText="false" indent="0" shrinkToFit="false"/>
      <protection locked="false" hidden="false"/>
    </xf>
    <xf numFmtId="164" fontId="159" fillId="27" borderId="0" applyFont="true" applyBorder="true" applyAlignment="true" applyProtection="true">
      <alignment horizontal="general" vertical="bottom" textRotation="0" wrapText="false" indent="0" shrinkToFit="false"/>
      <protection locked="false" hidden="false"/>
    </xf>
    <xf numFmtId="164" fontId="32" fillId="27" borderId="0" applyFont="true" applyBorder="true" applyAlignment="true" applyProtection="true">
      <alignment horizontal="general" vertical="bottom" textRotation="0" wrapText="false" indent="0" shrinkToFit="false"/>
      <protection locked="false" hidden="false"/>
    </xf>
    <xf numFmtId="164" fontId="159" fillId="27" borderId="0" applyFont="true" applyBorder="true" applyAlignment="true" applyProtection="true">
      <alignment horizontal="general" vertical="bottom" textRotation="0" wrapText="false" indent="0" shrinkToFit="false"/>
      <protection locked="false" hidden="false"/>
    </xf>
    <xf numFmtId="164" fontId="159" fillId="27" borderId="0" applyFont="true" applyBorder="true" applyAlignment="true" applyProtection="true">
      <alignment horizontal="general" vertical="bottom" textRotation="0" wrapText="false" indent="0" shrinkToFit="false"/>
      <protection locked="false" hidden="false"/>
    </xf>
    <xf numFmtId="164" fontId="159" fillId="27" borderId="0" applyFont="true" applyBorder="true" applyAlignment="true" applyProtection="true">
      <alignment horizontal="general" vertical="bottom" textRotation="0" wrapText="false" indent="0" shrinkToFit="false"/>
      <protection locked="false" hidden="false"/>
    </xf>
    <xf numFmtId="164" fontId="159" fillId="36" borderId="0" applyFont="true" applyBorder="true" applyAlignment="true" applyProtection="true">
      <alignment horizontal="general" vertical="top" textRotation="0" wrapText="false" indent="0" shrinkToFit="false"/>
      <protection locked="false" hidden="false"/>
    </xf>
    <xf numFmtId="164" fontId="162" fillId="37" borderId="0" applyFont="true" applyBorder="true" applyAlignment="true" applyProtection="true">
      <alignment horizontal="general" vertical="bottom" textRotation="0" wrapText="false" indent="0" shrinkToFit="false"/>
      <protection locked="false" hidden="false"/>
    </xf>
    <xf numFmtId="164" fontId="70" fillId="0" borderId="33" applyFont="true" applyBorder="true" applyAlignment="true" applyProtection="true">
      <alignment horizontal="general" vertical="bottom" textRotation="0" wrapText="false" indent="0" shrinkToFit="false"/>
      <protection locked="true" hidden="false"/>
    </xf>
    <xf numFmtId="164" fontId="68" fillId="0" borderId="23" applyFont="true" applyBorder="true" applyAlignment="true" applyProtection="true">
      <alignment horizontal="general" vertical="bottom" textRotation="0" wrapText="false" indent="0" shrinkToFit="false"/>
      <protection locked="true" hidden="false"/>
    </xf>
    <xf numFmtId="164" fontId="68" fillId="0" borderId="15" applyFont="true" applyBorder="true" applyAlignment="true" applyProtection="true">
      <alignment horizontal="general" vertical="bottom" textRotation="0" wrapText="false" indent="0" shrinkToFit="false"/>
      <protection locked="true" hidden="false"/>
    </xf>
    <xf numFmtId="291" fontId="117" fillId="0" borderId="0" applyFont="true" applyBorder="true" applyAlignment="true" applyProtection="true">
      <alignment horizontal="center" vertical="center" textRotation="0" wrapText="false" indent="0" shrinkToFit="false"/>
      <protection locked="true" hidden="false"/>
    </xf>
    <xf numFmtId="164" fontId="104" fillId="0" borderId="0" applyFont="true" applyBorder="true" applyAlignment="true" applyProtection="true">
      <alignment horizontal="left" vertical="center" textRotation="0" wrapText="false" indent="0" shrinkToFit="false"/>
      <protection locked="true" hidden="false"/>
    </xf>
    <xf numFmtId="292" fontId="11" fillId="0" borderId="0" applyFont="true" applyBorder="true" applyAlignment="true" applyProtection="true">
      <alignment horizontal="right" vertical="bottom" textRotation="0" wrapText="false" indent="0" shrinkToFit="false"/>
      <protection locked="true" hidden="false"/>
    </xf>
    <xf numFmtId="164" fontId="154" fillId="0" borderId="0" applyFont="true" applyBorder="true" applyAlignment="true" applyProtection="true">
      <alignment horizontal="general" vertical="bottom" textRotation="0" wrapText="false" indent="0" shrinkToFit="false"/>
      <protection locked="true" hidden="false"/>
    </xf>
    <xf numFmtId="164" fontId="85" fillId="0" borderId="24" applyFont="true" applyBorder="true" applyAlignment="true" applyProtection="true">
      <alignment horizontal="general" vertical="bottom" textRotation="0" wrapText="false" indent="0" shrinkToFit="false"/>
      <protection locked="true" hidden="false"/>
    </xf>
    <xf numFmtId="164" fontId="86" fillId="0" borderId="25" applyFont="true" applyBorder="true" applyAlignment="true" applyProtection="true">
      <alignment horizontal="general" vertical="bottom" textRotation="0" wrapText="false" indent="0" shrinkToFit="false"/>
      <protection locked="true" hidden="false"/>
    </xf>
    <xf numFmtId="164" fontId="60" fillId="0" borderId="26" applyFont="true" applyBorder="true" applyAlignment="true" applyProtection="true">
      <alignment horizontal="general" vertical="bottom" textRotation="0" wrapText="false" indent="0" shrinkToFit="false"/>
      <protection locked="true" hidden="false"/>
    </xf>
    <xf numFmtId="164" fontId="17" fillId="38" borderId="15" applyFont="true" applyBorder="true" applyAlignment="true" applyProtection="true">
      <alignment horizontal="general" vertical="bottom" textRotation="0" wrapText="false" indent="0" shrinkToFit="false"/>
      <protection locked="true" hidden="false"/>
    </xf>
    <xf numFmtId="279" fontId="163" fillId="0" borderId="0" applyFont="true" applyBorder="true" applyAlignment="true" applyProtection="true">
      <alignment horizontal="general" vertical="bottom" textRotation="0" wrapText="false" indent="0" shrinkToFit="false"/>
      <protection locked="true" hidden="false"/>
    </xf>
    <xf numFmtId="164" fontId="164" fillId="0" borderId="0" applyFont="true" applyBorder="true" applyAlignment="true" applyProtection="true">
      <alignment horizontal="general" vertical="top" textRotation="0" wrapText="false" indent="0" shrinkToFit="false"/>
      <protection locked="true" hidden="false"/>
    </xf>
    <xf numFmtId="164" fontId="165" fillId="0" borderId="0" applyFont="true" applyBorder="true" applyAlignment="true" applyProtection="true">
      <alignment horizontal="general" vertical="bottom" textRotation="0" wrapText="false" indent="0" shrinkToFit="false"/>
      <protection locked="true" hidden="false"/>
    </xf>
    <xf numFmtId="293" fontId="0" fillId="0" borderId="0" applyFont="true" applyBorder="true" applyAlignment="true" applyProtection="true">
      <alignment horizontal="general" vertical="bottom" textRotation="0" wrapText="false" indent="0" shrinkToFit="false"/>
      <protection locked="true" hidden="false"/>
    </xf>
    <xf numFmtId="294" fontId="0" fillId="0" borderId="0" applyFont="true" applyBorder="true" applyAlignment="true" applyProtection="true">
      <alignment horizontal="general" vertical="bottom" textRotation="0" wrapText="false" indent="0" shrinkToFit="false"/>
      <protection locked="true" hidden="false"/>
    </xf>
    <xf numFmtId="164" fontId="100" fillId="6" borderId="55" applyFont="true" applyBorder="true" applyAlignment="true" applyProtection="true">
      <alignment horizontal="left" vertical="bottom" textRotation="0" wrapText="false" indent="0" shrinkToFit="false"/>
      <protection locked="true" hidden="false"/>
    </xf>
    <xf numFmtId="164" fontId="100" fillId="6" borderId="55" applyFont="true" applyBorder="true" applyAlignment="true" applyProtection="true">
      <alignment horizontal="left" vertical="bottom" textRotation="0" wrapText="false" indent="0" shrinkToFit="false"/>
      <protection locked="true" hidden="false"/>
    </xf>
    <xf numFmtId="205" fontId="31" fillId="0" borderId="0" applyFont="true" applyBorder="true" applyAlignment="true" applyProtection="true">
      <alignment horizontal="general" vertical="bottom" textRotation="0" wrapText="false" indent="0" shrinkToFit="false"/>
      <protection locked="true" hidden="false"/>
    </xf>
    <xf numFmtId="205" fontId="36" fillId="0" borderId="0" applyFont="true" applyBorder="true" applyAlignment="true" applyProtection="true">
      <alignment horizontal="general" vertical="bottom" textRotation="0" wrapText="false" indent="0" shrinkToFit="false"/>
      <protection locked="true" hidden="false"/>
    </xf>
    <xf numFmtId="205" fontId="31" fillId="0" borderId="0" applyFont="true" applyBorder="true" applyAlignment="true" applyProtection="true">
      <alignment horizontal="general" vertical="bottom" textRotation="0" wrapText="false" indent="0" shrinkToFit="false"/>
      <protection locked="true" hidden="false"/>
    </xf>
    <xf numFmtId="164" fontId="166" fillId="0" borderId="0" applyFont="true" applyBorder="true" applyAlignment="true" applyProtection="true">
      <alignment horizontal="right" vertical="bottom" textRotation="0" wrapText="false" indent="0" shrinkToFit="false"/>
      <protection locked="true" hidden="false"/>
    </xf>
    <xf numFmtId="164" fontId="37" fillId="23" borderId="9"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97" fontId="31" fillId="0" borderId="0" applyFont="true" applyBorder="true" applyAlignment="true" applyProtection="true">
      <alignment horizontal="general" vertical="bottom" textRotation="0" wrapText="false" indent="0" shrinkToFit="false"/>
      <protection locked="true" hidden="false"/>
    </xf>
    <xf numFmtId="164" fontId="167" fillId="0" borderId="7" applyFont="true" applyBorder="true" applyAlignment="true" applyProtection="true">
      <alignment horizontal="general" vertical="bottom" textRotation="0" wrapText="false" indent="0" shrinkToFit="false"/>
      <protection locked="true" hidden="false"/>
    </xf>
    <xf numFmtId="164" fontId="168" fillId="0" borderId="7" applyFont="true" applyBorder="true" applyAlignment="true" applyProtection="true">
      <alignment horizontal="general" vertical="bottom" textRotation="0" wrapText="false" indent="0" shrinkToFit="false"/>
      <protection locked="true" hidden="false"/>
    </xf>
    <xf numFmtId="164" fontId="169" fillId="0" borderId="7" applyFont="true" applyBorder="true" applyAlignment="true" applyProtection="true">
      <alignment horizontal="general" vertical="bottom" textRotation="0" wrapText="false" indent="0" shrinkToFit="false"/>
      <protection locked="true" hidden="false"/>
    </xf>
    <xf numFmtId="295" fontId="0" fillId="0" borderId="0" applyFont="true" applyBorder="true" applyAlignment="true" applyProtection="true">
      <alignment horizontal="general" vertical="bottom" textRotation="0" wrapText="false" indent="0" shrinkToFit="false"/>
      <protection locked="true" hidden="false"/>
    </xf>
    <xf numFmtId="296" fontId="56" fillId="0" borderId="0" applyFont="true" applyBorder="true" applyAlignment="true" applyProtection="true">
      <alignment horizontal="general" vertical="bottom" textRotation="0" wrapText="false" indent="0" shrinkToFit="false"/>
      <protection locked="true" hidden="false"/>
    </xf>
    <xf numFmtId="261" fontId="6"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right" vertical="bottom" textRotation="0" wrapText="false" indent="0" shrinkToFit="false"/>
      <protection locked="true" hidden="false"/>
    </xf>
    <xf numFmtId="164" fontId="10" fillId="0" borderId="0" applyFont="true" applyBorder="true" applyAlignment="true" applyProtection="true">
      <alignment horizontal="right" vertical="bottom" textRotation="0" wrapText="false" indent="0" shrinkToFit="false"/>
      <protection locked="true" hidden="false"/>
    </xf>
    <xf numFmtId="164" fontId="99" fillId="0" borderId="0" applyFont="true" applyBorder="true" applyAlignment="true" applyProtection="true">
      <alignment horizontal="left" vertical="bottom" textRotation="0" wrapText="false" indent="0" shrinkToFit="false"/>
      <protection locked="true" hidden="false"/>
    </xf>
    <xf numFmtId="197" fontId="0" fillId="0" borderId="0" applyFont="true" applyBorder="true" applyAlignment="true" applyProtection="true">
      <alignment horizontal="general" vertical="bottom" textRotation="0" wrapText="false" indent="0" shrinkToFit="false"/>
      <protection locked="true" hidden="false"/>
    </xf>
    <xf numFmtId="297" fontId="0" fillId="0" borderId="0" applyFont="true" applyBorder="true" applyAlignment="true" applyProtection="true">
      <alignment horizontal="general" vertical="bottom" textRotation="0" wrapText="false" indent="0" shrinkToFit="false"/>
      <protection locked="true" hidden="false"/>
    </xf>
    <xf numFmtId="164" fontId="170" fillId="0" borderId="0" applyFont="true" applyBorder="true" applyAlignment="true" applyProtection="true">
      <alignment horizontal="general" vertical="bottom" textRotation="0" wrapText="false" indent="0" shrinkToFit="false"/>
      <protection locked="true" hidden="false"/>
    </xf>
    <xf numFmtId="298" fontId="16" fillId="0" borderId="0" applyFont="true" applyBorder="true" applyAlignment="true" applyProtection="true">
      <alignment horizontal="general" vertical="bottom" textRotation="0" wrapText="false" indent="0" shrinkToFit="false"/>
      <protection locked="fals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3" fillId="17" borderId="0" applyFont="true" applyBorder="true" applyAlignment="true" applyProtection="true">
      <alignment horizontal="general" vertical="bottom" textRotation="0" wrapText="false" indent="0" shrinkToFit="false"/>
      <protection locked="true" hidden="false"/>
    </xf>
    <xf numFmtId="164" fontId="13" fillId="18" borderId="0" applyFont="true" applyBorder="true" applyAlignment="true" applyProtection="true">
      <alignment horizontal="general" vertical="bottom" textRotation="0" wrapText="false" indent="0" shrinkToFit="false"/>
      <protection locked="true" hidden="false"/>
    </xf>
    <xf numFmtId="164" fontId="13" fillId="19"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20" borderId="0" applyFont="true" applyBorder="true" applyAlignment="true" applyProtection="true">
      <alignment horizontal="general" vertical="bottom" textRotation="0" wrapText="false" indent="0" shrinkToFit="false"/>
      <protection locked="true" hidden="false"/>
    </xf>
    <xf numFmtId="299" fontId="0" fillId="0" borderId="0" applyFont="true" applyBorder="true" applyAlignment="true" applyProtection="true">
      <alignment horizontal="general" vertical="bottom" textRotation="0" wrapText="false" indent="0" shrinkToFit="false"/>
      <protection locked="true" hidden="false"/>
    </xf>
    <xf numFmtId="299"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224" fontId="134" fillId="0" borderId="0" applyFont="true" applyBorder="true" applyAlignment="true" applyProtection="true">
      <alignment horizontal="general" vertical="bottom" textRotation="0" wrapText="false" indent="0" shrinkToFit="false"/>
      <protection locked="tru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171" fillId="0" borderId="0" applyFont="true" applyBorder="true" applyAlignment="true" applyProtection="true">
      <alignment horizontal="general" vertical="bottom" textRotation="0" wrapText="false" indent="0" shrinkToFit="false"/>
      <protection locked="true" hidden="false"/>
    </xf>
    <xf numFmtId="164" fontId="171" fillId="0" borderId="0" applyFont="true" applyBorder="true" applyAlignment="true" applyProtection="true">
      <alignment horizontal="general" vertical="bottom" textRotation="0" wrapText="false" indent="0" shrinkToFit="false"/>
      <protection locked="true" hidden="false"/>
    </xf>
    <xf numFmtId="164" fontId="172" fillId="24" borderId="0" applyFont="true" applyBorder="true" applyAlignment="true" applyProtection="true">
      <alignment horizontal="general" vertical="bottom" textRotation="0" wrapText="false" indent="0" shrinkToFit="false"/>
      <protection locked="false" hidden="false"/>
    </xf>
    <xf numFmtId="164" fontId="171" fillId="0" borderId="0" applyFont="true" applyBorder="true" applyAlignment="true" applyProtection="true">
      <alignment horizontal="general" vertical="bottom" textRotation="0" wrapText="false" indent="0" shrinkToFit="false"/>
      <protection locked="true" hidden="false"/>
    </xf>
    <xf numFmtId="164" fontId="173" fillId="0" borderId="0" applyFont="true" applyBorder="true" applyAlignment="true" applyProtection="true">
      <alignment horizontal="general" vertical="bottom" textRotation="0" wrapText="false" indent="0" shrinkToFit="false"/>
      <protection locked="false" hidden="false"/>
    </xf>
    <xf numFmtId="273" fontId="87"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224" fontId="134" fillId="0" borderId="0" applyFont="true" applyBorder="true" applyAlignment="true" applyProtection="true">
      <alignment horizontal="general" vertical="bottom" textRotation="0" wrapText="false" indent="0" shrinkToFit="false"/>
      <protection locked="true" hidden="false"/>
    </xf>
    <xf numFmtId="205" fontId="174" fillId="0" borderId="0" applyFont="true" applyBorder="true" applyAlignment="true" applyProtection="true">
      <alignment horizontal="general" vertical="bottom" textRotation="0" wrapText="false" indent="0" shrinkToFit="false"/>
      <protection locked="true" hidden="false"/>
    </xf>
    <xf numFmtId="164" fontId="174" fillId="0" borderId="0" applyFont="true" applyBorder="true" applyAlignment="true" applyProtection="true">
      <alignment horizontal="general" vertical="bottom" textRotation="0" wrapText="false" indent="0" shrinkToFit="false"/>
      <protection locked="true" hidden="false"/>
    </xf>
    <xf numFmtId="176" fontId="174" fillId="0" borderId="0" applyFont="true" applyBorder="true" applyAlignment="true" applyProtection="true">
      <alignment horizontal="general" vertical="bottom" textRotation="0" wrapText="false" indent="0" shrinkToFit="false"/>
      <protection locked="true" hidden="false"/>
    </xf>
    <xf numFmtId="175" fontId="174" fillId="0" borderId="0" applyFont="true" applyBorder="true" applyAlignment="true" applyProtection="true">
      <alignment horizontal="general" vertical="bottom" textRotation="0" wrapText="false" indent="0" shrinkToFit="false"/>
      <protection locked="true" hidden="false"/>
    </xf>
  </cellStyleXfs>
  <cellXfs count="585">
    <xf numFmtId="164" fontId="0" fillId="0" borderId="0" xfId="0" applyFont="false" applyBorder="false" applyAlignment="false" applyProtection="false">
      <alignment horizontal="general" vertical="bottom" textRotation="0" wrapText="false" indent="0" shrinkToFit="false"/>
      <protection locked="true" hidden="false"/>
    </xf>
    <xf numFmtId="164" fontId="175" fillId="0" borderId="0" xfId="0" applyFont="true" applyBorder="false" applyAlignment="false" applyProtection="false">
      <alignment horizontal="general" vertical="bottom" textRotation="0" wrapText="false" indent="0" shrinkToFit="false"/>
      <protection locked="true" hidden="false"/>
    </xf>
    <xf numFmtId="164" fontId="176" fillId="0" borderId="0" xfId="0" applyFont="true" applyBorder="false" applyAlignment="false" applyProtection="false">
      <alignment horizontal="general" vertical="bottom" textRotation="0" wrapText="false" indent="0" shrinkToFit="false"/>
      <protection locked="true" hidden="false"/>
    </xf>
    <xf numFmtId="164" fontId="177" fillId="39" borderId="0" xfId="0" applyFont="true" applyBorder="false" applyAlignment="false" applyProtection="false">
      <alignment horizontal="general" vertical="bottom" textRotation="0" wrapText="false" indent="0" shrinkToFit="false"/>
      <protection locked="true" hidden="false"/>
    </xf>
    <xf numFmtId="164" fontId="0" fillId="39" borderId="0" xfId="0" applyFont="false" applyBorder="false" applyAlignment="false" applyProtection="false">
      <alignment horizontal="general" vertical="bottom" textRotation="0" wrapText="false" indent="0" shrinkToFit="false"/>
      <protection locked="true" hidden="false"/>
    </xf>
    <xf numFmtId="164" fontId="178"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78" fillId="40" borderId="0" xfId="0" applyFont="true" applyBorder="false" applyAlignment="true" applyProtection="false">
      <alignment horizontal="center" vertical="bottom" textRotation="0" wrapText="false" indent="0" shrinkToFit="false"/>
      <protection locked="true" hidden="false"/>
    </xf>
    <xf numFmtId="164" fontId="179" fillId="0" borderId="0" xfId="0" applyFont="true" applyBorder="false" applyAlignment="true" applyProtection="false">
      <alignment horizontal="center" vertical="bottom" textRotation="0" wrapText="false" indent="0" shrinkToFit="false"/>
      <protection locked="true" hidden="false"/>
    </xf>
    <xf numFmtId="164" fontId="179" fillId="40" borderId="0" xfId="0" applyFont="true" applyBorder="false" applyAlignment="true" applyProtection="false">
      <alignment horizontal="center" vertical="bottom" textRotation="0" wrapText="false" indent="0" shrinkToFit="false"/>
      <protection locked="true" hidden="false"/>
    </xf>
    <xf numFmtId="164" fontId="180" fillId="0" borderId="0" xfId="0" applyFont="true" applyBorder="false" applyAlignment="true" applyProtection="false">
      <alignment horizontal="center" vertical="bottom" textRotation="0" wrapText="false" indent="0" shrinkToFit="false"/>
      <protection locked="true" hidden="false"/>
    </xf>
    <xf numFmtId="164" fontId="181" fillId="40" borderId="0" xfId="0" applyFont="true" applyBorder="false" applyAlignment="true" applyProtection="false">
      <alignment horizontal="center" vertical="bottom" textRotation="0" wrapText="false" indent="0" shrinkToFit="false"/>
      <protection locked="true" hidden="false"/>
    </xf>
    <xf numFmtId="164" fontId="182" fillId="0" borderId="0" xfId="0" applyFont="true" applyBorder="false" applyAlignment="false" applyProtection="false">
      <alignment horizontal="general" vertical="bottom" textRotation="0" wrapText="false" indent="0" shrinkToFit="false"/>
      <protection locked="true" hidden="false"/>
    </xf>
    <xf numFmtId="164" fontId="183" fillId="0" borderId="0" xfId="0" applyFont="true" applyBorder="false" applyAlignment="false" applyProtection="false">
      <alignment horizontal="general" vertical="bottom" textRotation="0" wrapText="false" indent="0" shrinkToFit="false"/>
      <protection locked="true" hidden="false"/>
    </xf>
    <xf numFmtId="300" fontId="0" fillId="0" borderId="0" xfId="0" applyFont="false" applyBorder="false" applyAlignment="false" applyProtection="false">
      <alignment horizontal="general" vertical="bottom" textRotation="0" wrapText="false" indent="0" shrinkToFit="false"/>
      <protection locked="true" hidden="false"/>
    </xf>
    <xf numFmtId="300" fontId="0" fillId="40" borderId="0" xfId="0" applyFont="false" applyBorder="false" applyAlignment="false" applyProtection="false">
      <alignment horizontal="general" vertical="bottom" textRotation="0" wrapText="false" indent="0" shrinkToFit="false"/>
      <protection locked="true" hidden="false"/>
    </xf>
    <xf numFmtId="164" fontId="183" fillId="0" borderId="0" xfId="0" applyFont="true" applyBorder="false" applyAlignment="true" applyProtection="false">
      <alignment horizontal="general" vertical="top" textRotation="0" wrapText="true" indent="0" shrinkToFit="false"/>
      <protection locked="true" hidden="false"/>
    </xf>
    <xf numFmtId="164" fontId="182" fillId="41" borderId="56" xfId="0" applyFont="true" applyBorder="true" applyAlignment="false" applyProtection="false">
      <alignment horizontal="general" vertical="bottom" textRotation="0" wrapText="false" indent="0" shrinkToFit="false"/>
      <protection locked="true" hidden="false"/>
    </xf>
    <xf numFmtId="217"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82" fillId="41" borderId="0" xfId="0" applyFont="true" applyBorder="false" applyAlignment="false" applyProtection="false">
      <alignment horizontal="general" vertical="bottom" textRotation="0" wrapText="false" indent="0" shrinkToFit="false"/>
      <protection locked="true" hidden="false"/>
    </xf>
    <xf numFmtId="164" fontId="182" fillId="41" borderId="0" xfId="0" applyFont="true" applyBorder="true" applyAlignment="true" applyProtection="false">
      <alignment horizontal="center" vertical="bottom" textRotation="0" wrapText="false" indent="0" shrinkToFit="false"/>
      <protection locked="true" hidden="false"/>
    </xf>
    <xf numFmtId="164" fontId="0" fillId="41" borderId="56" xfId="0" applyFont="false" applyBorder="true" applyAlignment="false" applyProtection="false">
      <alignment horizontal="general" vertical="bottom" textRotation="0" wrapText="false" indent="0" shrinkToFit="false"/>
      <protection locked="true" hidden="false"/>
    </xf>
    <xf numFmtId="164" fontId="182" fillId="41" borderId="56" xfId="0" applyFont="true" applyBorder="true" applyAlignment="true" applyProtection="false">
      <alignment horizontal="center" vertical="bottom" textRotation="0" wrapText="false" indent="0" shrinkToFit="false"/>
      <protection locked="true" hidden="false"/>
    </xf>
    <xf numFmtId="300" fontId="180" fillId="0" borderId="0" xfId="0" applyFont="true" applyBorder="false" applyAlignment="false" applyProtection="false">
      <alignment horizontal="general" vertical="bottom" textRotation="0" wrapText="false" indent="0" shrinkToFit="false"/>
      <protection locked="true" hidden="false"/>
    </xf>
    <xf numFmtId="301" fontId="179" fillId="0" borderId="0" xfId="0" applyFont="true" applyBorder="false" applyAlignment="false" applyProtection="false">
      <alignment horizontal="general" vertical="bottom" textRotation="0" wrapText="false" indent="0" shrinkToFit="false"/>
      <protection locked="true" hidden="false"/>
    </xf>
    <xf numFmtId="302" fontId="180" fillId="0" borderId="0" xfId="0" applyFont="true" applyBorder="false" applyAlignment="false" applyProtection="false">
      <alignment horizontal="general" vertical="bottom" textRotation="0" wrapText="false" indent="0" shrinkToFit="false"/>
      <protection locked="true" hidden="false"/>
    </xf>
    <xf numFmtId="303" fontId="17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12" fillId="0" borderId="0" xfId="0" applyFont="true" applyBorder="false" applyAlignment="true" applyProtection="false">
      <alignment horizontal="general" vertical="bottom" textRotation="0" wrapText="false" indent="0" shrinkToFit="false"/>
      <protection locked="true" hidden="false"/>
    </xf>
    <xf numFmtId="304" fontId="0" fillId="0" borderId="0" xfId="0" applyFont="false" applyBorder="false" applyAlignment="true" applyProtection="false">
      <alignment horizontal="general" vertical="bottom" textRotation="0" wrapText="false" indent="0" shrinkToFit="false"/>
      <protection locked="true" hidden="false"/>
    </xf>
    <xf numFmtId="202" fontId="0" fillId="0" borderId="0" xfId="0" applyFont="false" applyBorder="false" applyAlignment="true" applyProtection="false">
      <alignment horizontal="general" vertical="bottom" textRotation="0" wrapText="false" indent="0" shrinkToFit="false"/>
      <protection locked="true" hidden="false"/>
    </xf>
    <xf numFmtId="305" fontId="179" fillId="0" borderId="0" xfId="0" applyFont="true" applyBorder="false" applyAlignment="true" applyProtection="false">
      <alignment horizontal="general" vertical="bottom" textRotation="0" wrapText="false" indent="0" shrinkToFit="false"/>
      <protection locked="true" hidden="false"/>
    </xf>
    <xf numFmtId="305" fontId="179" fillId="40" borderId="0" xfId="0" applyFont="true" applyBorder="false" applyAlignment="true" applyProtection="false">
      <alignment horizontal="general" vertical="bottom" textRotation="0" wrapText="false" indent="0" shrinkToFit="false"/>
      <protection locked="true" hidden="false"/>
    </xf>
    <xf numFmtId="306" fontId="0" fillId="0" borderId="0" xfId="0" applyFont="false" applyBorder="false" applyAlignment="true" applyProtection="false">
      <alignment horizontal="general" vertical="bottom" textRotation="0" wrapText="false" indent="0" shrinkToFit="false"/>
      <protection locked="true" hidden="false"/>
    </xf>
    <xf numFmtId="304" fontId="179" fillId="40" borderId="0" xfId="0" applyFont="true" applyBorder="false" applyAlignment="true" applyProtection="false">
      <alignment horizontal="general" vertical="bottom" textRotation="0" wrapText="false" indent="0" shrinkToFit="false"/>
      <protection locked="true" hidden="false"/>
    </xf>
    <xf numFmtId="304" fontId="179" fillId="0" borderId="0" xfId="0" applyFont="true" applyBorder="false" applyAlignment="true" applyProtection="false">
      <alignment horizontal="general" vertical="bottom" textRotation="0" wrapText="false" indent="0" shrinkToFit="false"/>
      <protection locked="true" hidden="false"/>
    </xf>
    <xf numFmtId="304" fontId="112" fillId="0" borderId="0" xfId="0" applyFont="true" applyBorder="false" applyAlignment="true" applyProtection="false">
      <alignment horizontal="general" vertical="bottom" textRotation="0" wrapText="false" indent="0" shrinkToFit="false"/>
      <protection locked="true" hidden="false"/>
    </xf>
    <xf numFmtId="164" fontId="184" fillId="0" borderId="0" xfId="0" applyFont="tru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304" fontId="0" fillId="0" borderId="0" xfId="42" applyFont="false" applyBorder="false" applyAlignment="true" applyProtection="false">
      <alignment horizontal="general" vertical="bottom" textRotation="0" wrapText="false" indent="0" shrinkToFit="false"/>
      <protection locked="true" hidden="false"/>
    </xf>
    <xf numFmtId="164" fontId="185" fillId="0" borderId="0" xfId="0" applyFont="true" applyBorder="false" applyAlignment="true" applyProtection="false">
      <alignment horizontal="general" vertical="bottom" textRotation="0" wrapText="false" indent="0" shrinkToFit="false"/>
      <protection locked="true" hidden="false"/>
    </xf>
    <xf numFmtId="304" fontId="184" fillId="0" borderId="0" xfId="0" applyFont="true" applyBorder="false" applyAlignment="true" applyProtection="false">
      <alignment horizontal="general" vertical="bottom" textRotation="0" wrapText="false" indent="0" shrinkToFit="false"/>
      <protection locked="true" hidden="false"/>
    </xf>
    <xf numFmtId="306" fontId="186" fillId="18" borderId="0" xfId="42" applyFont="true" applyBorder="false" applyAlignment="true" applyProtection="false">
      <alignment horizontal="general" vertical="bottom" textRotation="0" wrapText="false" indent="0" shrinkToFit="false"/>
      <protection locked="true" hidden="false"/>
    </xf>
    <xf numFmtId="251" fontId="179" fillId="0" borderId="0" xfId="46" applyFont="true" applyBorder="false" applyAlignment="true" applyProtection="false">
      <alignment horizontal="left" vertical="bottom" textRotation="0" wrapText="false" indent="0" shrinkToFit="false"/>
      <protection locked="true" hidden="false"/>
    </xf>
    <xf numFmtId="307" fontId="179" fillId="0" borderId="0" xfId="0" applyFont="true" applyBorder="false" applyAlignment="true" applyProtection="false">
      <alignment horizontal="general" vertical="bottom" textRotation="0" wrapText="false" indent="0" shrinkToFit="false"/>
      <protection locked="true" hidden="false"/>
    </xf>
    <xf numFmtId="164" fontId="184" fillId="0" borderId="0" xfId="0" applyFont="true" applyBorder="false" applyAlignment="true" applyProtection="false">
      <alignment horizontal="left" vertical="bottom" textRotation="0" wrapText="false" indent="0" shrinkToFit="false"/>
      <protection locked="true" hidden="false"/>
    </xf>
    <xf numFmtId="164" fontId="178" fillId="0" borderId="0" xfId="0" applyFont="true" applyBorder="false" applyAlignment="true" applyProtection="false">
      <alignment horizontal="general" vertical="bottom" textRotation="0" wrapText="false" indent="0" shrinkToFit="false"/>
      <protection locked="true" hidden="false"/>
    </xf>
    <xf numFmtId="164" fontId="187" fillId="23" borderId="0" xfId="0" applyFont="true" applyBorder="false" applyAlignment="true" applyProtection="false">
      <alignment horizontal="general" vertical="bottom" textRotation="0" wrapText="true" indent="0" shrinkToFit="false"/>
      <protection locked="true" hidden="false"/>
    </xf>
    <xf numFmtId="164" fontId="10" fillId="23" borderId="0" xfId="0" applyFont="true" applyBorder="false" applyAlignment="true" applyProtection="false">
      <alignment horizontal="general" vertical="bottom" textRotation="0" wrapText="false" indent="0" shrinkToFit="false"/>
      <protection locked="true" hidden="false"/>
    </xf>
    <xf numFmtId="164" fontId="10" fillId="23" borderId="0" xfId="0" applyFont="true" applyBorder="false" applyAlignment="true" applyProtection="false">
      <alignment horizontal="left" vertical="bottom" textRotation="0" wrapText="false" indent="0" shrinkToFit="false"/>
      <protection locked="true" hidden="false"/>
    </xf>
    <xf numFmtId="164" fontId="0" fillId="23" borderId="0" xfId="0" applyFont="false" applyBorder="false" applyAlignment="true" applyProtection="false">
      <alignment horizontal="general" vertical="bottom" textRotation="0" wrapText="false" indent="0" shrinkToFit="false"/>
      <protection locked="true" hidden="false"/>
    </xf>
    <xf numFmtId="164" fontId="112" fillId="23" borderId="0" xfId="0" applyFont="true" applyBorder="false" applyAlignment="true" applyProtection="false">
      <alignment horizontal="general" vertical="bottom" textRotation="0" wrapText="false" indent="0" shrinkToFit="false"/>
      <protection locked="true" hidden="false"/>
    </xf>
    <xf numFmtId="164" fontId="179" fillId="23" borderId="0" xfId="0" applyFont="true" applyBorder="false" applyAlignment="true" applyProtection="false">
      <alignment horizontal="general" vertical="bottom" textRotation="0" wrapText="false" indent="0" shrinkToFit="false"/>
      <protection locked="true" hidden="false"/>
    </xf>
    <xf numFmtId="304" fontId="185" fillId="23" borderId="0" xfId="42" applyFont="true" applyBorder="false" applyAlignment="true" applyProtection="false">
      <alignment horizontal="right" vertical="bottom" textRotation="0" wrapText="false" indent="0" shrinkToFit="false"/>
      <protection locked="true" hidden="false"/>
    </xf>
    <xf numFmtId="251" fontId="184" fillId="23" borderId="0" xfId="46" applyFont="true" applyBorder="false" applyAlignment="true" applyProtection="false">
      <alignment horizontal="left" vertical="bottom" textRotation="0" wrapText="false" indent="0" shrinkToFit="false"/>
      <protection locked="true" hidden="false"/>
    </xf>
    <xf numFmtId="262" fontId="0" fillId="0" borderId="0" xfId="46" applyFont="true" applyBorder="false" applyAlignment="true" applyProtection="false">
      <alignment horizontal="general" vertical="bottom" textRotation="0" wrapText="false" indent="0" shrinkToFit="false"/>
      <protection locked="true" hidden="false"/>
    </xf>
    <xf numFmtId="307" fontId="178" fillId="40" borderId="0" xfId="0" applyFont="true" applyBorder="false" applyAlignment="true" applyProtection="false">
      <alignment horizontal="general" vertical="bottom" textRotation="0" wrapText="false" indent="0" shrinkToFit="false"/>
      <protection locked="true" hidden="false"/>
    </xf>
    <xf numFmtId="164" fontId="184" fillId="0" borderId="0" xfId="0" applyFont="true" applyBorder="false" applyAlignment="true" applyProtection="false">
      <alignment horizontal="general" vertical="bottom" textRotation="0" wrapText="true" indent="0" shrinkToFit="false"/>
      <protection locked="true" hidden="false"/>
    </xf>
    <xf numFmtId="251" fontId="112" fillId="0" borderId="0" xfId="46" applyFont="true" applyBorder="false" applyAlignment="true" applyProtection="false">
      <alignment horizontal="general" vertical="bottom" textRotation="0" wrapText="false" indent="0" shrinkToFit="false"/>
      <protection locked="true" hidden="false"/>
    </xf>
    <xf numFmtId="251" fontId="0" fillId="0" borderId="0" xfId="46" applyFont="true" applyBorder="false" applyAlignment="true" applyProtection="false">
      <alignment horizontal="general" vertical="bottom" textRotation="0" wrapText="false" indent="0" shrinkToFit="false"/>
      <protection locked="true" hidden="false"/>
    </xf>
    <xf numFmtId="304" fontId="179" fillId="0" borderId="0" xfId="42" applyFont="true" applyBorder="false" applyAlignment="true" applyProtection="false">
      <alignment horizontal="general" vertical="bottom" textRotation="0" wrapText="false" indent="0" shrinkToFit="false"/>
      <protection locked="true" hidden="false"/>
    </xf>
    <xf numFmtId="164" fontId="184"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true" applyProtection="false">
      <alignment horizontal="right" vertical="bottom" textRotation="0" wrapText="false" indent="0" shrinkToFit="false"/>
      <protection locked="true" hidden="false"/>
    </xf>
    <xf numFmtId="291" fontId="10" fillId="0" borderId="0" xfId="0" applyFont="true" applyBorder="false" applyAlignment="true" applyProtection="false">
      <alignment horizontal="general" vertical="bottom" textRotation="0" wrapText="false" indent="0" shrinkToFit="false"/>
      <protection locked="true" hidden="false"/>
    </xf>
    <xf numFmtId="202" fontId="10" fillId="0" borderId="0" xfId="42" applyFont="true" applyBorder="false" applyAlignment="true" applyProtection="false">
      <alignment horizontal="general" vertical="bottom" textRotation="0" wrapText="false" indent="0" shrinkToFit="false"/>
      <protection locked="true" hidden="false"/>
    </xf>
    <xf numFmtId="304" fontId="184" fillId="0" borderId="0" xfId="42" applyFont="true" applyBorder="false" applyAlignment="true" applyProtection="false">
      <alignment horizontal="general" vertical="bottom" textRotation="0" wrapText="false" indent="0" shrinkToFit="false"/>
      <protection locked="true" hidden="false"/>
    </xf>
    <xf numFmtId="304" fontId="0" fillId="0" borderId="0" xfId="46" applyFont="true" applyBorder="false" applyAlignment="true" applyProtection="false">
      <alignment horizontal="general" vertical="bottom" textRotation="0" wrapText="false" indent="0" shrinkToFit="false"/>
      <protection locked="true" hidden="false"/>
    </xf>
    <xf numFmtId="164" fontId="179" fillId="0" borderId="0" xfId="0" applyFont="true" applyBorder="false" applyAlignment="true" applyProtection="false">
      <alignment horizontal="general" vertical="bottom" textRotation="0" wrapText="true" indent="0" shrinkToFit="false"/>
      <protection locked="true" hidden="false"/>
    </xf>
    <xf numFmtId="306" fontId="179" fillId="0" borderId="0" xfId="42" applyFont="true" applyBorder="false" applyAlignment="true" applyProtection="false">
      <alignment horizontal="general" vertical="bottom" textRotation="0" wrapText="false" indent="0" shrinkToFit="false"/>
      <protection locked="true" hidden="false"/>
    </xf>
    <xf numFmtId="251" fontId="10" fillId="0" borderId="0" xfId="46" applyFont="true" applyBorder="false" applyAlignment="true" applyProtection="false">
      <alignment horizontal="general" vertical="bottom" textRotation="0" wrapText="false" indent="0" shrinkToFit="false"/>
      <protection locked="true" hidden="false"/>
    </xf>
    <xf numFmtId="273" fontId="0" fillId="0" borderId="0" xfId="46" applyFont="true" applyBorder="false" applyAlignment="true" applyProtection="false">
      <alignment horizontal="general" vertical="bottom" textRotation="0" wrapText="false" indent="0" shrinkToFit="false"/>
      <protection locked="true" hidden="false"/>
    </xf>
    <xf numFmtId="164" fontId="184" fillId="0" borderId="0" xfId="0" applyFont="true" applyBorder="false" applyAlignment="true" applyProtection="false">
      <alignment horizontal="left" vertical="bottom" textRotation="0" wrapText="true" indent="0" shrinkToFit="false"/>
      <protection locked="true" hidden="false"/>
    </xf>
    <xf numFmtId="197" fontId="0" fillId="0" borderId="0" xfId="0" applyFont="fals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71" fontId="112" fillId="0" borderId="0" xfId="0" applyFont="true" applyBorder="false" applyAlignment="true" applyProtection="false">
      <alignment horizontal="general" vertical="bottom" textRotation="0" wrapText="false" indent="0" shrinkToFit="false"/>
      <protection locked="true" hidden="false"/>
    </xf>
    <xf numFmtId="202" fontId="179" fillId="40" borderId="0" xfId="42" applyFont="true" applyBorder="false" applyAlignment="true" applyProtection="false">
      <alignment horizontal="general" vertical="bottom" textRotation="0" wrapText="false" indent="0" shrinkToFit="false"/>
      <protection locked="true" hidden="false"/>
    </xf>
    <xf numFmtId="262" fontId="179" fillId="0" borderId="0" xfId="46" applyFont="true" applyBorder="false" applyAlignment="true" applyProtection="false">
      <alignment horizontal="general" vertical="bottom" textRotation="0" wrapText="false" indent="0" shrinkToFit="false"/>
      <protection locked="true" hidden="false"/>
    </xf>
    <xf numFmtId="251" fontId="10" fillId="0" borderId="0" xfId="46" applyFont="true" applyBorder="false" applyAlignment="true" applyProtection="false">
      <alignment horizontal="right" vertical="bottom" textRotation="0" wrapText="false" indent="0" shrinkToFit="false"/>
      <protection locked="true" hidden="false"/>
    </xf>
    <xf numFmtId="172" fontId="179" fillId="0" borderId="0" xfId="0" applyFont="true" applyBorder="false" applyAlignment="true" applyProtection="false">
      <alignment horizontal="general" vertical="bottom" textRotation="0" wrapText="false" indent="0" shrinkToFit="false"/>
      <protection locked="true" hidden="false"/>
    </xf>
    <xf numFmtId="172" fontId="112" fillId="0" borderId="0" xfId="0" applyFont="true" applyBorder="false" applyAlignment="true" applyProtection="false">
      <alignment horizontal="general" vertical="bottom" textRotation="0" wrapText="false" indent="0" shrinkToFit="false"/>
      <protection locked="true" hidden="false"/>
    </xf>
    <xf numFmtId="202" fontId="0" fillId="0" borderId="0" xfId="42" applyFont="false" applyBorder="false" applyAlignment="true" applyProtection="false">
      <alignment horizontal="general" vertical="bottom" textRotation="0" wrapText="false" indent="0" shrinkToFit="false"/>
      <protection locked="true" hidden="false"/>
    </xf>
    <xf numFmtId="308" fontId="0" fillId="0" borderId="0" xfId="46" applyFont="true" applyBorder="false" applyAlignment="true" applyProtection="false">
      <alignment horizontal="general" vertical="bottom" textRotation="0" wrapText="false" indent="0" shrinkToFit="false"/>
      <protection locked="true" hidden="false"/>
    </xf>
    <xf numFmtId="203" fontId="0" fillId="0" borderId="0" xfId="0" applyFont="false" applyBorder="false" applyAlignment="true" applyProtection="false">
      <alignment horizontal="general" vertical="bottom" textRotation="0" wrapText="false" indent="0" shrinkToFit="false"/>
      <protection locked="true" hidden="false"/>
    </xf>
    <xf numFmtId="202" fontId="184" fillId="30" borderId="0" xfId="42" applyFont="true" applyBorder="false" applyAlignment="true" applyProtection="false">
      <alignment horizontal="general" vertical="bottom" textRotation="0" wrapText="false" indent="0" shrinkToFit="false"/>
      <protection locked="true" hidden="false"/>
    </xf>
    <xf numFmtId="202" fontId="179" fillId="0" borderId="0" xfId="42" applyFont="true" applyBorder="false" applyAlignment="true" applyProtection="false">
      <alignment horizontal="general" vertical="bottom" textRotation="0" wrapText="false" indent="0" shrinkToFit="false"/>
      <protection locked="true" hidden="false"/>
    </xf>
    <xf numFmtId="306" fontId="184" fillId="0" borderId="0" xfId="42" applyFont="true" applyBorder="false" applyAlignment="true" applyProtection="false">
      <alignment horizontal="general" vertical="bottom" textRotation="0" wrapText="false" indent="0" shrinkToFit="false"/>
      <protection locked="true" hidden="false"/>
    </xf>
    <xf numFmtId="251" fontId="184" fillId="42" borderId="0" xfId="46" applyFont="true" applyBorder="false" applyAlignment="true" applyProtection="false">
      <alignment horizontal="general" vertical="bottom" textRotation="0" wrapText="false" indent="0" shrinkToFit="false"/>
      <protection locked="true" hidden="false"/>
    </xf>
    <xf numFmtId="171" fontId="179" fillId="0" borderId="0" xfId="0" applyFont="true" applyBorder="false" applyAlignment="true" applyProtection="false">
      <alignment horizontal="general" vertical="bottom" textRotation="0" wrapText="false" indent="0" shrinkToFit="false"/>
      <protection locked="true" hidden="false"/>
    </xf>
    <xf numFmtId="164" fontId="179" fillId="43" borderId="0" xfId="0" applyFont="true" applyBorder="false" applyAlignment="true" applyProtection="false">
      <alignment horizontal="general" vertical="bottom" textRotation="0" wrapText="false" indent="0" shrinkToFit="false"/>
      <protection locked="true" hidden="false"/>
    </xf>
    <xf numFmtId="251" fontId="179" fillId="43" borderId="0" xfId="46" applyFont="true" applyBorder="false" applyAlignment="true" applyProtection="false">
      <alignment horizontal="general" vertical="bottom" textRotation="0" wrapText="false" indent="0" shrinkToFit="false"/>
      <protection locked="true" hidden="false"/>
    </xf>
    <xf numFmtId="251" fontId="0" fillId="0" borderId="0" xfId="0" applyFont="false" applyBorder="false" applyAlignment="true" applyProtection="false">
      <alignment horizontal="general" vertical="bottom" textRotation="0" wrapText="false" indent="0" shrinkToFit="false"/>
      <protection locked="true" hidden="false"/>
    </xf>
    <xf numFmtId="251" fontId="188" fillId="0" borderId="0" xfId="46" applyFont="true" applyBorder="false" applyAlignment="true" applyProtection="false">
      <alignment horizontal="general" vertical="bottom" textRotation="0" wrapText="false" indent="0" shrinkToFit="false"/>
      <protection locked="true" hidden="false"/>
    </xf>
    <xf numFmtId="304" fontId="6" fillId="0" borderId="0" xfId="42" applyFont="true" applyBorder="false" applyAlignment="true" applyProtection="false">
      <alignment horizontal="general" vertical="bottom" textRotation="0" wrapText="false" indent="0" shrinkToFit="false"/>
      <protection locked="true" hidden="false"/>
    </xf>
    <xf numFmtId="309" fontId="6" fillId="0" borderId="0" xfId="42" applyFont="true" applyBorder="false" applyAlignment="true" applyProtection="false">
      <alignment horizontal="general" vertical="bottom" textRotation="0" wrapText="false" indent="0" shrinkToFit="false"/>
      <protection locked="true" hidden="false"/>
    </xf>
    <xf numFmtId="251" fontId="179" fillId="0" borderId="0" xfId="46" applyFont="true" applyBorder="false" applyAlignment="true" applyProtection="false">
      <alignment horizontal="general" vertical="bottom" textRotation="0" wrapText="false" indent="0" shrinkToFit="false"/>
      <protection locked="true" hidden="false"/>
    </xf>
    <xf numFmtId="202" fontId="188" fillId="0" borderId="0" xfId="42" applyFont="true" applyBorder="false" applyAlignment="true" applyProtection="false">
      <alignment horizontal="general" vertical="bottom" textRotation="0" wrapText="false" indent="0" shrinkToFit="false"/>
      <protection locked="true" hidden="false"/>
    </xf>
    <xf numFmtId="251" fontId="189" fillId="0" borderId="0" xfId="46" applyFont="true" applyBorder="false" applyAlignment="true" applyProtection="false">
      <alignment horizontal="general" vertical="bottom" textRotation="0" wrapText="false" indent="0" shrinkToFit="false"/>
      <protection locked="true" hidden="false"/>
    </xf>
    <xf numFmtId="251" fontId="6" fillId="0" borderId="0" xfId="46" applyFont="true" applyBorder="false" applyAlignment="true" applyProtection="false">
      <alignment horizontal="general" vertical="bottom" textRotation="0" wrapText="false" indent="0" shrinkToFit="false"/>
      <protection locked="true" hidden="false"/>
    </xf>
    <xf numFmtId="251" fontId="190" fillId="43" borderId="0" xfId="46" applyFont="true" applyBorder="false" applyAlignment="true" applyProtection="false">
      <alignment horizontal="general" vertical="bottom" textRotation="0" wrapText="false" indent="0" shrinkToFit="false"/>
      <protection locked="true" hidden="false"/>
    </xf>
    <xf numFmtId="305" fontId="0" fillId="0" borderId="0" xfId="42" applyFont="false" applyBorder="false" applyAlignment="true" applyProtection="false">
      <alignment horizontal="general" vertical="bottom" textRotation="0" wrapText="false" indent="0" shrinkToFit="false"/>
      <protection locked="true" hidden="false"/>
    </xf>
    <xf numFmtId="304" fontId="179" fillId="43" borderId="0" xfId="42" applyFont="true" applyBorder="false" applyAlignment="true" applyProtection="false">
      <alignment horizontal="general" vertical="bottom" textRotation="0" wrapText="false" indent="0" shrinkToFit="false"/>
      <protection locked="true" hidden="false"/>
    </xf>
    <xf numFmtId="306" fontId="0" fillId="43" borderId="0" xfId="42" applyFont="false" applyBorder="false" applyAlignment="true" applyProtection="false">
      <alignment horizontal="general" vertical="bottom" textRotation="0" wrapText="false" indent="0" shrinkToFit="false"/>
      <protection locked="true" hidden="false"/>
    </xf>
    <xf numFmtId="306" fontId="179" fillId="42" borderId="0" xfId="42" applyFont="true" applyBorder="false" applyAlignment="true" applyProtection="false">
      <alignment horizontal="general" vertical="bottom" textRotation="0" wrapText="false" indent="0" shrinkToFit="false"/>
      <protection locked="true" hidden="false"/>
    </xf>
    <xf numFmtId="197" fontId="179" fillId="42" borderId="0" xfId="0" applyFont="true" applyBorder="false" applyAlignment="true" applyProtection="false">
      <alignment horizontal="general" vertical="bottom" textRotation="0" wrapText="false" indent="0" shrinkToFit="false"/>
      <protection locked="true" hidden="false"/>
    </xf>
    <xf numFmtId="197" fontId="179" fillId="30" borderId="0" xfId="0" applyFont="true" applyBorder="false" applyAlignment="true" applyProtection="false">
      <alignment horizontal="general" vertical="bottom" textRotation="0" wrapText="false" indent="0" shrinkToFit="false"/>
      <protection locked="true" hidden="false"/>
    </xf>
    <xf numFmtId="202" fontId="112" fillId="0" borderId="0" xfId="42" applyFont="true" applyBorder="false" applyAlignment="true" applyProtection="false">
      <alignment horizontal="general" vertical="bottom" textRotation="0" wrapText="false" indent="0" shrinkToFit="false"/>
      <protection locked="true" hidden="false"/>
    </xf>
    <xf numFmtId="197" fontId="179" fillId="0" borderId="0" xfId="0" applyFont="true" applyBorder="false" applyAlignment="true" applyProtection="false">
      <alignment horizontal="general" vertical="bottom" textRotation="0" wrapText="false" indent="0" shrinkToFit="false"/>
      <protection locked="true" hidden="false"/>
    </xf>
    <xf numFmtId="251" fontId="178" fillId="43" borderId="0" xfId="46" applyFont="true" applyBorder="false" applyAlignment="true" applyProtection="false">
      <alignment horizontal="general" vertical="bottom" textRotation="0" wrapText="false" indent="0" shrinkToFit="false"/>
      <protection locked="true" hidden="false"/>
    </xf>
    <xf numFmtId="304" fontId="179" fillId="30" borderId="0" xfId="42" applyFont="true" applyBorder="false" applyAlignment="true" applyProtection="false">
      <alignment horizontal="general" vertical="bottom" textRotation="0" wrapText="false" indent="0" shrinkToFit="false"/>
      <protection locked="true" hidden="false"/>
    </xf>
    <xf numFmtId="304" fontId="10" fillId="0" borderId="0" xfId="0" applyFont="true" applyBorder="false" applyAlignment="true" applyProtection="false">
      <alignment horizontal="general" vertical="bottom" textRotation="0" wrapText="false" indent="0" shrinkToFit="false"/>
      <protection locked="true" hidden="false"/>
    </xf>
    <xf numFmtId="251" fontId="190" fillId="0" borderId="0" xfId="46" applyFont="true" applyBorder="false" applyAlignment="true" applyProtection="false">
      <alignment horizontal="general" vertical="bottom" textRotation="0" wrapText="false" indent="0" shrinkToFit="false"/>
      <protection locked="true" hidden="false"/>
    </xf>
    <xf numFmtId="251" fontId="191" fillId="43" borderId="0" xfId="46" applyFont="true" applyBorder="false" applyAlignment="true" applyProtection="false">
      <alignment horizontal="general" vertical="bottom" textRotation="0" wrapText="false" indent="0" shrinkToFit="false"/>
      <protection locked="true" hidden="false"/>
    </xf>
    <xf numFmtId="306" fontId="0" fillId="0" borderId="0" xfId="42" applyFont="false" applyBorder="false" applyAlignment="true" applyProtection="false">
      <alignment horizontal="general" vertical="bottom" textRotation="0" wrapText="false" indent="0" shrinkToFit="false"/>
      <protection locked="true" hidden="false"/>
    </xf>
    <xf numFmtId="251" fontId="10" fillId="0" borderId="0" xfId="0" applyFont="true" applyBorder="false" applyAlignment="true" applyProtection="false">
      <alignment horizontal="general" vertical="bottom" textRotation="0" wrapText="false" indent="0" shrinkToFit="false"/>
      <protection locked="true" hidden="false"/>
    </xf>
    <xf numFmtId="171" fontId="184" fillId="0" borderId="0" xfId="0" applyFont="true" applyBorder="false" applyAlignment="true" applyProtection="false">
      <alignment horizontal="general" vertical="bottom" textRotation="0" wrapText="false" indent="0" shrinkToFit="false"/>
      <protection locked="true" hidden="false"/>
    </xf>
    <xf numFmtId="171" fontId="10" fillId="0" borderId="0" xfId="0" applyFont="true" applyBorder="false" applyAlignment="true" applyProtection="false">
      <alignment horizontal="general" vertical="bottom" textRotation="0" wrapText="false" indent="0" shrinkToFit="false"/>
      <protection locked="true" hidden="false"/>
    </xf>
    <xf numFmtId="305" fontId="0" fillId="0" borderId="0" xfId="0" applyFont="false" applyBorder="false" applyAlignment="true" applyProtection="false">
      <alignment horizontal="general" vertical="bottom" textRotation="0" wrapText="false" indent="0" shrinkToFit="false"/>
      <protection locked="true" hidden="false"/>
    </xf>
    <xf numFmtId="305" fontId="112" fillId="0" borderId="0" xfId="0" applyFont="true" applyBorder="false" applyAlignment="true" applyProtection="false">
      <alignment horizontal="general" vertical="bottom" textRotation="0" wrapText="false" indent="0" shrinkToFit="false"/>
      <protection locked="true" hidden="false"/>
    </xf>
    <xf numFmtId="202" fontId="179" fillId="40" borderId="0" xfId="0" applyFont="true" applyBorder="false" applyAlignment="true" applyProtection="false">
      <alignment horizontal="general" vertical="bottom" textRotation="0" wrapText="false" indent="0" shrinkToFit="false"/>
      <protection locked="true" hidden="false"/>
    </xf>
    <xf numFmtId="202" fontId="179" fillId="0" borderId="0" xfId="0" applyFont="true" applyBorder="false" applyAlignment="true" applyProtection="false">
      <alignment horizontal="general" vertical="bottom" textRotation="0" wrapText="false" indent="0" shrinkToFit="false"/>
      <protection locked="true" hidden="false"/>
    </xf>
    <xf numFmtId="273" fontId="179" fillId="0" borderId="0" xfId="46" applyFont="true" applyBorder="false" applyAlignment="true" applyProtection="false">
      <alignment horizontal="general" vertical="bottom" textRotation="0" wrapText="false" indent="0" shrinkToFit="false"/>
      <protection locked="true" hidden="false"/>
    </xf>
    <xf numFmtId="262" fontId="10" fillId="0" borderId="0" xfId="46" applyFont="true" applyBorder="false" applyAlignment="true" applyProtection="false">
      <alignment horizontal="general" vertical="bottom" textRotation="0" wrapText="false" indent="0" shrinkToFit="false"/>
      <protection locked="true" hidden="false"/>
    </xf>
    <xf numFmtId="306" fontId="179" fillId="43" borderId="0" xfId="42" applyFont="true" applyBorder="false" applyAlignment="true" applyProtection="false">
      <alignment horizontal="general" vertical="bottom" textRotation="0" wrapText="false" indent="0" shrinkToFit="false"/>
      <protection locked="true" hidden="false"/>
    </xf>
    <xf numFmtId="306" fontId="178" fillId="42" borderId="0" xfId="42" applyFont="true" applyBorder="false" applyAlignment="true" applyProtection="false">
      <alignment horizontal="general" vertical="bottom" textRotation="0" wrapText="false" indent="0" shrinkToFit="false"/>
      <protection locked="true" hidden="false"/>
    </xf>
    <xf numFmtId="197" fontId="0" fillId="30" borderId="0" xfId="0" applyFont="false" applyBorder="false" applyAlignment="true" applyProtection="false">
      <alignment horizontal="general" vertical="bottom" textRotation="0" wrapText="false" indent="0" shrinkToFit="false"/>
      <protection locked="true" hidden="false"/>
    </xf>
    <xf numFmtId="164" fontId="192" fillId="0" borderId="0" xfId="0" applyFont="true" applyBorder="false" applyAlignment="true" applyProtection="false">
      <alignment horizontal="general" vertical="bottom" textRotation="0" wrapText="true" indent="0" shrinkToFit="false"/>
      <protection locked="true" hidden="false"/>
    </xf>
    <xf numFmtId="305" fontId="179" fillId="0" borderId="0" xfId="42" applyFont="true" applyBorder="false" applyAlignment="true" applyProtection="false">
      <alignment horizontal="general" vertical="bottom" textRotation="0" wrapText="false" indent="0" shrinkToFit="false"/>
      <protection locked="true" hidden="false"/>
    </xf>
    <xf numFmtId="306" fontId="192" fillId="0" borderId="0" xfId="42" applyFont="true" applyBorder="false" applyAlignment="true" applyProtection="false">
      <alignment horizontal="general" vertical="bottom" textRotation="0" wrapText="false" indent="0" shrinkToFit="false"/>
      <protection locked="true" hidden="false"/>
    </xf>
    <xf numFmtId="164" fontId="192" fillId="0" borderId="0" xfId="0" applyFont="true" applyBorder="false" applyAlignment="true" applyProtection="false">
      <alignment horizontal="general" vertical="bottom" textRotation="0" wrapText="false" indent="0" shrinkToFit="false"/>
      <protection locked="true" hidden="false"/>
    </xf>
    <xf numFmtId="304" fontId="184" fillId="40" borderId="0" xfId="42"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true" indent="0" shrinkToFit="false"/>
      <protection locked="true" hidden="false"/>
    </xf>
    <xf numFmtId="172" fontId="28" fillId="0" borderId="0" xfId="0" applyFont="true" applyBorder="false" applyAlignment="true" applyProtection="false">
      <alignment horizontal="general" vertical="bottom" textRotation="0" wrapText="false" indent="0" shrinkToFit="false"/>
      <protection locked="true" hidden="false"/>
    </xf>
    <xf numFmtId="203" fontId="28" fillId="0" borderId="0" xfId="0" applyFont="true" applyBorder="false" applyAlignment="true" applyProtection="false">
      <alignment horizontal="general" vertical="bottom" textRotation="0" wrapText="false" indent="0" shrinkToFit="false"/>
      <protection locked="true" hidden="false"/>
    </xf>
    <xf numFmtId="304" fontId="178" fillId="0" borderId="0" xfId="46"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304" fontId="193" fillId="0" borderId="0" xfId="46" applyFont="true" applyBorder="false" applyAlignment="true" applyProtection="false">
      <alignment horizontal="general" vertical="bottom" textRotation="0" wrapText="false" indent="0" shrinkToFit="false"/>
      <protection locked="true" hidden="false"/>
    </xf>
    <xf numFmtId="304" fontId="179" fillId="0" borderId="0" xfId="46" applyFont="true" applyBorder="false" applyAlignment="true" applyProtection="false">
      <alignment horizontal="general" vertical="bottom" textRotation="0" wrapText="false" indent="0" shrinkToFit="false"/>
      <protection locked="true" hidden="false"/>
    </xf>
    <xf numFmtId="304" fontId="179" fillId="44" borderId="0" xfId="46" applyFont="true" applyBorder="false" applyAlignment="true" applyProtection="false">
      <alignment horizontal="general" vertical="bottom" textRotation="0" wrapText="false" indent="0" shrinkToFit="false"/>
      <protection locked="true" hidden="false"/>
    </xf>
    <xf numFmtId="310" fontId="179" fillId="44" borderId="0" xfId="42" applyFont="true" applyBorder="false" applyAlignment="true" applyProtection="false">
      <alignment horizontal="general" vertical="bottom" textRotation="0" wrapText="false" indent="0" shrinkToFit="false"/>
      <protection locked="true" hidden="false"/>
    </xf>
    <xf numFmtId="202" fontId="179" fillId="44" borderId="0" xfId="42" applyFont="true" applyBorder="false" applyAlignment="true" applyProtection="false">
      <alignment horizontal="general" vertical="bottom" textRotation="0" wrapText="false" indent="0" shrinkToFit="false"/>
      <protection locked="true" hidden="false"/>
    </xf>
    <xf numFmtId="202" fontId="179" fillId="42" borderId="0" xfId="42" applyFont="true" applyBorder="false" applyAlignment="true" applyProtection="false">
      <alignment horizontal="general" vertical="bottom" textRotation="0" wrapText="false" indent="0" shrinkToFit="false"/>
      <protection locked="true" hidden="false"/>
    </xf>
    <xf numFmtId="304" fontId="192" fillId="0" borderId="0" xfId="46" applyFont="true" applyBorder="false" applyAlignment="true" applyProtection="false">
      <alignment horizontal="general" vertical="bottom" textRotation="0" wrapText="false" indent="0" shrinkToFit="false"/>
      <protection locked="true" hidden="false"/>
    </xf>
    <xf numFmtId="304" fontId="10" fillId="0" borderId="0" xfId="42" applyFont="true" applyBorder="false" applyAlignment="true" applyProtection="false">
      <alignment horizontal="general" vertical="bottom" textRotation="0" wrapText="false" indent="0" shrinkToFit="false"/>
      <protection locked="true" hidden="false"/>
    </xf>
    <xf numFmtId="262" fontId="112" fillId="0" borderId="0" xfId="46" applyFont="true" applyBorder="false" applyAlignment="true" applyProtection="false">
      <alignment horizontal="general" vertical="bottom" textRotation="0" wrapText="false" indent="0" shrinkToFit="false"/>
      <protection locked="true" hidden="false"/>
    </xf>
    <xf numFmtId="262" fontId="184" fillId="42" borderId="0" xfId="46" applyFont="true" applyBorder="false" applyAlignment="true" applyProtection="false">
      <alignment horizontal="general" vertical="bottom" textRotation="0" wrapText="false" indent="0" shrinkToFit="false"/>
      <protection locked="true" hidden="false"/>
    </xf>
    <xf numFmtId="304" fontId="184" fillId="42" borderId="0" xfId="42" applyFont="true" applyBorder="false" applyAlignment="true" applyProtection="false">
      <alignment horizontal="general" vertical="bottom" textRotation="0" wrapText="false" indent="0" shrinkToFit="false"/>
      <protection locked="true" hidden="false"/>
    </xf>
    <xf numFmtId="164" fontId="179" fillId="0" borderId="0" xfId="0" applyFont="true" applyBorder="false" applyAlignment="true" applyProtection="false">
      <alignment horizontal="left" vertical="bottom" textRotation="0" wrapText="true" indent="0" shrinkToFit="false"/>
      <protection locked="true" hidden="false"/>
    </xf>
    <xf numFmtId="171" fontId="184" fillId="30" borderId="0" xfId="0" applyFont="true" applyBorder="false" applyAlignment="true" applyProtection="false">
      <alignment horizontal="general" vertical="bottom" textRotation="0" wrapText="false" indent="0" shrinkToFit="false"/>
      <protection locked="true" hidden="false"/>
    </xf>
    <xf numFmtId="197" fontId="184" fillId="30" borderId="0" xfId="0" applyFont="true" applyBorder="false" applyAlignment="true" applyProtection="false">
      <alignment horizontal="general" vertical="bottom" textRotation="0" wrapText="false" indent="0" shrinkToFit="false"/>
      <protection locked="true" hidden="false"/>
    </xf>
    <xf numFmtId="171" fontId="184" fillId="18" borderId="0" xfId="0" applyFont="true" applyBorder="false" applyAlignment="true" applyProtection="false">
      <alignment horizontal="general" vertical="bottom" textRotation="0" wrapText="false" indent="0" shrinkToFit="false"/>
      <protection locked="true" hidden="false"/>
    </xf>
    <xf numFmtId="197" fontId="184" fillId="18" borderId="0" xfId="0" applyFont="true" applyBorder="false" applyAlignment="true" applyProtection="false">
      <alignment horizontal="general" vertical="bottom" textRotation="0" wrapText="false" indent="0" shrinkToFit="false"/>
      <protection locked="true" hidden="false"/>
    </xf>
    <xf numFmtId="203" fontId="112" fillId="0" borderId="0" xfId="0" applyFont="true" applyBorder="false" applyAlignment="true" applyProtection="false">
      <alignment horizontal="general" vertical="bottom" textRotation="0" wrapText="false" indent="0" shrinkToFit="false"/>
      <protection locked="true" hidden="false"/>
    </xf>
    <xf numFmtId="304" fontId="179" fillId="16" borderId="0" xfId="42" applyFont="true" applyBorder="false" applyAlignment="true" applyProtection="false">
      <alignment horizontal="general" vertical="bottom" textRotation="0" wrapText="false" indent="0" shrinkToFit="false"/>
      <protection locked="true" hidden="false"/>
    </xf>
    <xf numFmtId="171" fontId="184" fillId="40" borderId="0" xfId="0" applyFont="true" applyBorder="false" applyAlignment="true" applyProtection="false">
      <alignment horizontal="general" vertical="bottom" textRotation="0" wrapText="false" indent="0" shrinkToFit="false"/>
      <protection locked="true" hidden="false"/>
    </xf>
    <xf numFmtId="172" fontId="10" fillId="0" borderId="0" xfId="0" applyFont="true" applyBorder="false" applyAlignment="true" applyProtection="false">
      <alignment horizontal="general" vertical="bottom" textRotation="0" wrapText="false" indent="0" shrinkToFit="false"/>
      <protection locked="true" hidden="false"/>
    </xf>
    <xf numFmtId="172" fontId="194" fillId="0" borderId="0" xfId="0" applyFont="true" applyBorder="false" applyAlignment="true" applyProtection="false">
      <alignment horizontal="general" vertical="bottom" textRotation="0" wrapText="false" indent="0" shrinkToFit="false"/>
      <protection locked="true" hidden="false"/>
    </xf>
    <xf numFmtId="171" fontId="0" fillId="0" borderId="0" xfId="42" applyFont="false" applyBorder="false" applyAlignment="true" applyProtection="false">
      <alignment horizontal="general" vertical="bottom" textRotation="0" wrapText="false" indent="0" shrinkToFit="false"/>
      <protection locked="true" hidden="false"/>
    </xf>
    <xf numFmtId="172" fontId="0" fillId="0" borderId="0" xfId="42" applyFont="false" applyBorder="false" applyAlignment="true" applyProtection="false">
      <alignment horizontal="general" vertical="bottom" textRotation="0" wrapText="false" indent="0" shrinkToFit="false"/>
      <protection locked="true" hidden="false"/>
    </xf>
    <xf numFmtId="172" fontId="112" fillId="0" borderId="0" xfId="42" applyFont="true" applyBorder="false" applyAlignment="true" applyProtection="false">
      <alignment horizontal="general" vertical="bottom" textRotation="0" wrapText="false" indent="0" shrinkToFit="false"/>
      <protection locked="true" hidden="false"/>
    </xf>
    <xf numFmtId="306" fontId="10" fillId="0" borderId="0" xfId="42" applyFont="true" applyBorder="false" applyAlignment="true" applyProtection="false">
      <alignment horizontal="general" vertical="bottom" textRotation="0" wrapText="false" indent="0" shrinkToFit="false"/>
      <protection locked="true" hidden="false"/>
    </xf>
    <xf numFmtId="202" fontId="112" fillId="0" borderId="0" xfId="0" applyFont="true" applyBorder="false" applyAlignment="true" applyProtection="false">
      <alignment horizontal="general" vertical="bottom" textRotation="0" wrapText="false" indent="0" shrinkToFit="false"/>
      <protection locked="true" hidden="false"/>
    </xf>
    <xf numFmtId="172" fontId="185" fillId="0" borderId="0" xfId="0" applyFont="true" applyBorder="false" applyAlignment="true" applyProtection="false">
      <alignment horizontal="general" vertical="bottom" textRotation="0" wrapText="false" indent="0" shrinkToFit="false"/>
      <protection locked="true" hidden="false"/>
    </xf>
    <xf numFmtId="172" fontId="184" fillId="0" borderId="0" xfId="0" applyFont="true" applyBorder="false" applyAlignment="true" applyProtection="false">
      <alignment horizontal="general" vertical="bottom" textRotation="0" wrapText="false" indent="0" shrinkToFit="false"/>
      <protection locked="true" hidden="false"/>
    </xf>
    <xf numFmtId="172" fontId="179" fillId="31"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72" fontId="178" fillId="0" borderId="0" xfId="0" applyFont="true" applyBorder="false" applyAlignment="true" applyProtection="false">
      <alignment horizontal="general" vertical="bottom" textRotation="0" wrapText="false" indent="0" shrinkToFit="false"/>
      <protection locked="true" hidden="false"/>
    </xf>
    <xf numFmtId="308" fontId="0" fillId="0" borderId="0" xfId="0" applyFont="false" applyBorder="false" applyAlignment="true" applyProtection="false">
      <alignment horizontal="general" vertical="bottom" textRotation="0" wrapText="false" indent="0" shrinkToFit="false"/>
      <protection locked="true" hidden="false"/>
    </xf>
    <xf numFmtId="172" fontId="178" fillId="40" borderId="0" xfId="0" applyFont="true" applyBorder="false" applyAlignment="true" applyProtection="false">
      <alignment horizontal="general" vertical="bottom" textRotation="0" wrapText="false" indent="0" shrinkToFit="false"/>
      <protection locked="true" hidden="false"/>
    </xf>
    <xf numFmtId="172" fontId="78" fillId="0" borderId="0" xfId="0" applyFont="true" applyBorder="false" applyAlignment="true" applyProtection="false">
      <alignment horizontal="general" vertical="bottom" textRotation="0" wrapText="false" indent="0" shrinkToFit="false"/>
      <protection locked="true" hidden="false"/>
    </xf>
    <xf numFmtId="304" fontId="181" fillId="40" borderId="0" xfId="0" applyFont="true" applyBorder="false" applyAlignment="true" applyProtection="false">
      <alignment horizontal="general" vertical="bottom" textRotation="0" wrapText="false" indent="0" shrinkToFit="false"/>
      <protection locked="true" hidden="false"/>
    </xf>
    <xf numFmtId="172" fontId="181" fillId="40" borderId="0" xfId="0" applyFont="true" applyBorder="false" applyAlignment="true" applyProtection="false">
      <alignment horizontal="general" vertical="bottom" textRotation="0" wrapText="false" indent="0" shrinkToFit="false"/>
      <protection locked="true" hidden="false"/>
    </xf>
    <xf numFmtId="304" fontId="0" fillId="44" borderId="0" xfId="0" applyFont="false" applyBorder="false" applyAlignment="true" applyProtection="false">
      <alignment horizontal="general" vertical="bottom" textRotation="0" wrapText="false" indent="0" shrinkToFit="false"/>
      <protection locked="true" hidden="false"/>
    </xf>
    <xf numFmtId="304" fontId="181" fillId="44" borderId="0" xfId="0" applyFont="true" applyBorder="false" applyAlignment="true" applyProtection="false">
      <alignment horizontal="general" vertical="bottom" textRotation="0" wrapText="false" indent="0" shrinkToFit="false"/>
      <protection locked="true" hidden="false"/>
    </xf>
    <xf numFmtId="202" fontId="181" fillId="44" borderId="0" xfId="42" applyFont="true" applyBorder="false" applyAlignment="true" applyProtection="false">
      <alignment horizontal="general" vertical="bottom" textRotation="0" wrapText="false" indent="0" shrinkToFit="false"/>
      <protection locked="true" hidden="false"/>
    </xf>
    <xf numFmtId="172" fontId="0" fillId="44" borderId="0" xfId="0" applyFont="false" applyBorder="false" applyAlignment="true" applyProtection="false">
      <alignment horizontal="general" vertical="bottom" textRotation="0" wrapText="false" indent="0" shrinkToFit="false"/>
      <protection locked="true" hidden="false"/>
    </xf>
    <xf numFmtId="172" fontId="181" fillId="44" borderId="0" xfId="0" applyFont="true" applyBorder="false" applyAlignment="true" applyProtection="false">
      <alignment horizontal="general" vertical="bottom" textRotation="0" wrapText="false" indent="0" shrinkToFit="false"/>
      <protection locked="true" hidden="false"/>
    </xf>
    <xf numFmtId="164" fontId="195" fillId="0" borderId="0" xfId="0" applyFont="true" applyBorder="false" applyAlignment="true" applyProtection="false">
      <alignment horizontal="general" vertical="bottom" textRotation="0" wrapText="false" indent="0" shrinkToFit="false"/>
      <protection locked="true" hidden="false"/>
    </xf>
    <xf numFmtId="304" fontId="112" fillId="0" borderId="0" xfId="42" applyFont="true" applyBorder="false" applyAlignment="true" applyProtection="false">
      <alignment horizontal="general" vertical="bottom" textRotation="0" wrapText="false" indent="0" shrinkToFit="false"/>
      <protection locked="true" hidden="false"/>
    </xf>
    <xf numFmtId="164" fontId="196" fillId="0" borderId="39" xfId="0" applyFont="true" applyBorder="true" applyAlignment="true" applyProtection="false">
      <alignment horizontal="general" vertical="bottom" textRotation="0" wrapText="true" indent="0" shrinkToFit="false"/>
      <protection locked="true" hidden="false"/>
    </xf>
    <xf numFmtId="304" fontId="184" fillId="0" borderId="39" xfId="42" applyFont="true" applyBorder="true" applyAlignment="true" applyProtection="false">
      <alignment horizontal="general" vertical="bottom" textRotation="0" wrapText="true" indent="0" shrinkToFit="false"/>
      <protection locked="true" hidden="false"/>
    </xf>
    <xf numFmtId="164" fontId="0" fillId="30" borderId="0" xfId="0" applyFont="false" applyBorder="false" applyAlignment="true" applyProtection="false">
      <alignment horizontal="general" vertical="bottom" textRotation="0" wrapText="true" indent="0" shrinkToFit="false"/>
      <protection locked="true" hidden="false"/>
    </xf>
    <xf numFmtId="164" fontId="184" fillId="0" borderId="0" xfId="0" applyFont="true" applyBorder="true" applyAlignment="true" applyProtection="false">
      <alignment horizontal="left" vertical="bottom" textRotation="0" wrapText="true" indent="0" shrinkToFit="false"/>
      <protection locked="true" hidden="false"/>
    </xf>
    <xf numFmtId="164" fontId="179" fillId="0" borderId="0" xfId="0" applyFont="true" applyBorder="true" applyAlignment="true" applyProtection="false">
      <alignment horizontal="left" vertical="bottom" textRotation="0" wrapText="true" indent="0" shrinkToFit="false"/>
      <protection locked="true" hidden="false"/>
    </xf>
    <xf numFmtId="304" fontId="184" fillId="30" borderId="0" xfId="42" applyFont="true" applyBorder="false" applyAlignment="true" applyProtection="false">
      <alignment horizontal="general" vertical="bottom" textRotation="0" wrapText="false" indent="0" shrinkToFit="false"/>
      <protection locked="true" hidden="false"/>
    </xf>
    <xf numFmtId="164" fontId="184" fillId="0" borderId="39" xfId="0" applyFont="true" applyBorder="true" applyAlignment="true" applyProtection="false">
      <alignment horizontal="general" vertical="bottom" textRotation="0" wrapText="true" indent="0" shrinkToFit="false"/>
      <protection locked="true" hidden="false"/>
    </xf>
    <xf numFmtId="197" fontId="17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304" fontId="178" fillId="0" borderId="0" xfId="42" applyFont="true" applyBorder="false" applyAlignment="true" applyProtection="false">
      <alignment horizontal="general" vertical="bottom" textRotation="0" wrapText="false" indent="0" shrinkToFit="false"/>
      <protection locked="true" hidden="false"/>
    </xf>
    <xf numFmtId="311" fontId="0" fillId="0" borderId="0" xfId="0" applyFont="false" applyBorder="false" applyAlignment="true" applyProtection="false">
      <alignment horizontal="general" vertical="bottom" textRotation="0" wrapText="false" indent="0" shrinkToFit="false"/>
      <protection locked="true" hidden="false"/>
    </xf>
    <xf numFmtId="164" fontId="100" fillId="0" borderId="0" xfId="0" applyFont="true" applyBorder="false" applyAlignment="true" applyProtection="false">
      <alignment horizontal="general" vertical="bottom" textRotation="0" wrapText="false" indent="0" shrinkToFit="false"/>
      <protection locked="true" hidden="false"/>
    </xf>
    <xf numFmtId="171" fontId="100" fillId="0" borderId="0" xfId="0" applyFont="true" applyBorder="false" applyAlignment="true" applyProtection="false">
      <alignment horizontal="general" vertical="bottom" textRotation="0" wrapText="false" indent="0" shrinkToFit="false"/>
      <protection locked="true" hidden="false"/>
    </xf>
    <xf numFmtId="197" fontId="184" fillId="0" borderId="0" xfId="0" applyFont="true" applyBorder="false" applyAlignment="true" applyProtection="false">
      <alignment horizontal="general" vertical="bottom" textRotation="0" wrapText="false" indent="0" shrinkToFit="false"/>
      <protection locked="true" hidden="false"/>
    </xf>
    <xf numFmtId="171" fontId="178" fillId="40" borderId="0" xfId="0" applyFont="true" applyBorder="false" applyAlignment="true" applyProtection="false">
      <alignment horizontal="general" vertical="bottom" textRotation="0" wrapText="false" indent="0" shrinkToFit="false"/>
      <protection locked="true" hidden="false"/>
    </xf>
    <xf numFmtId="171" fontId="178" fillId="0" borderId="0" xfId="0" applyFont="true" applyBorder="false" applyAlignment="true" applyProtection="false">
      <alignment horizontal="general" vertical="bottom" textRotation="0" wrapText="false" indent="0" shrinkToFit="false"/>
      <protection locked="true" hidden="false"/>
    </xf>
    <xf numFmtId="306" fontId="178" fillId="0" borderId="0" xfId="42" applyFont="true" applyBorder="false" applyAlignment="true" applyProtection="false">
      <alignment horizontal="general" vertical="bottom" textRotation="0" wrapText="false" indent="0" shrinkToFit="false"/>
      <protection locked="true" hidden="false"/>
    </xf>
    <xf numFmtId="171" fontId="179" fillId="40" borderId="0" xfId="0" applyFont="true" applyBorder="false" applyAlignment="true" applyProtection="false">
      <alignment horizontal="general" vertical="bottom" textRotation="0" wrapText="false" indent="0" shrinkToFit="false"/>
      <protection locked="true" hidden="false"/>
    </xf>
    <xf numFmtId="171" fontId="185" fillId="40" borderId="0" xfId="0" applyFont="true" applyBorder="false" applyAlignment="true" applyProtection="false">
      <alignment horizontal="general" vertical="bottom" textRotation="0" wrapText="false" indent="0" shrinkToFit="false"/>
      <protection locked="true" hidden="false"/>
    </xf>
    <xf numFmtId="164" fontId="0" fillId="30" borderId="0" xfId="0" applyFont="false" applyBorder="false" applyAlignment="true" applyProtection="false">
      <alignment horizontal="general" vertical="bottom" textRotation="0" wrapText="false" indent="0" shrinkToFit="false"/>
      <protection locked="true" hidden="false"/>
    </xf>
    <xf numFmtId="164" fontId="194" fillId="0" borderId="0" xfId="0" applyFont="true" applyBorder="false" applyAlignment="true" applyProtection="false">
      <alignment horizontal="general" vertical="bottom" textRotation="0" wrapText="false" indent="0" shrinkToFit="false"/>
      <protection locked="true" hidden="false"/>
    </xf>
    <xf numFmtId="171" fontId="178" fillId="30" borderId="0" xfId="0" applyFont="true" applyBorder="false" applyAlignment="true" applyProtection="false">
      <alignment horizontal="general" vertical="bottom" textRotation="0" wrapText="false" indent="0" shrinkToFit="false"/>
      <protection locked="true" hidden="false"/>
    </xf>
    <xf numFmtId="171" fontId="179" fillId="30" borderId="0" xfId="0" applyFont="true" applyBorder="false" applyAlignment="true" applyProtection="false">
      <alignment horizontal="general" vertical="bottom" textRotation="0" wrapText="false" indent="0" shrinkToFit="false"/>
      <protection locked="true" hidden="false"/>
    </xf>
    <xf numFmtId="304" fontId="178" fillId="40" borderId="0" xfId="0" applyFont="true" applyBorder="false" applyAlignment="true" applyProtection="false">
      <alignment horizontal="general" vertical="bottom" textRotation="0" wrapText="false" indent="0" shrinkToFit="false"/>
      <protection locked="true" hidden="false"/>
    </xf>
    <xf numFmtId="304" fontId="178" fillId="40" borderId="0" xfId="42" applyFont="true" applyBorder="false" applyAlignment="true" applyProtection="false">
      <alignment horizontal="general" vertical="bottom" textRotation="0" wrapText="false" indent="0" shrinkToFit="false"/>
      <protection locked="true" hidden="false"/>
    </xf>
    <xf numFmtId="202" fontId="157" fillId="0" borderId="0" xfId="0" applyFont="true" applyBorder="false" applyAlignment="true" applyProtection="false">
      <alignment horizontal="general" vertical="bottom" textRotation="0" wrapText="false" indent="0" shrinkToFit="false"/>
      <protection locked="true" hidden="false"/>
    </xf>
    <xf numFmtId="164" fontId="197" fillId="0" borderId="0" xfId="0" applyFont="true" applyBorder="false" applyAlignment="true" applyProtection="false">
      <alignment horizontal="general" vertical="bottom" textRotation="0" wrapText="false" indent="0" shrinkToFit="false"/>
      <protection locked="true" hidden="false"/>
    </xf>
    <xf numFmtId="304" fontId="185" fillId="0" borderId="0" xfId="42" applyFont="true" applyBorder="false" applyAlignment="true" applyProtection="false">
      <alignment horizontal="general" vertical="bottom" textRotation="0" wrapText="false" indent="0" shrinkToFit="false"/>
      <protection locked="true" hidden="false"/>
    </xf>
    <xf numFmtId="304" fontId="185" fillId="40" borderId="0" xfId="42" applyFont="true" applyBorder="false" applyAlignment="true" applyProtection="false">
      <alignment horizontal="general" vertical="bottom" textRotation="0" wrapText="false" indent="0" shrinkToFit="false"/>
      <protection locked="true" hidden="false"/>
    </xf>
    <xf numFmtId="304" fontId="197" fillId="0" borderId="0" xfId="0" applyFont="true" applyBorder="false" applyAlignment="true" applyProtection="false">
      <alignment horizontal="general" vertical="bottom" textRotation="0" wrapText="false" indent="0" shrinkToFit="false"/>
      <protection locked="true" hidden="false"/>
    </xf>
    <xf numFmtId="304" fontId="197" fillId="0" borderId="0" xfId="42" applyFont="true" applyBorder="false" applyAlignment="true" applyProtection="false">
      <alignment horizontal="general" vertical="bottom" textRotation="0" wrapText="false" indent="0" shrinkToFit="false"/>
      <protection locked="true" hidden="false"/>
    </xf>
    <xf numFmtId="304" fontId="185" fillId="0" borderId="0" xfId="0" applyFont="true" applyBorder="false" applyAlignment="true" applyProtection="false">
      <alignment horizontal="general" vertical="bottom" textRotation="0" wrapText="false" indent="0" shrinkToFit="false"/>
      <protection locked="true" hidden="false"/>
    </xf>
    <xf numFmtId="304" fontId="185" fillId="40" borderId="0" xfId="0" applyFont="true" applyBorder="false" applyAlignment="true" applyProtection="false">
      <alignment horizontal="general" vertical="bottom" textRotation="0" wrapText="false" indent="0" shrinkToFit="false"/>
      <protection locked="true" hidden="false"/>
    </xf>
    <xf numFmtId="164" fontId="198" fillId="0" borderId="0" xfId="0" applyFont="true" applyBorder="false" applyAlignment="true" applyProtection="false">
      <alignment horizontal="general" vertical="bottom" textRotation="0" wrapText="false" indent="0" shrinkToFit="false"/>
      <protection locked="true" hidden="false"/>
    </xf>
    <xf numFmtId="307" fontId="185" fillId="40" borderId="0" xfId="0" applyFont="true" applyBorder="false" applyAlignment="true" applyProtection="false">
      <alignment horizontal="general" vertical="bottom" textRotation="0" wrapText="false" indent="0" shrinkToFit="false"/>
      <protection locked="true" hidden="false"/>
    </xf>
    <xf numFmtId="202" fontId="197" fillId="0" borderId="0" xfId="0" applyFont="true" applyBorder="false" applyAlignment="true" applyProtection="false">
      <alignment horizontal="general" vertical="bottom" textRotation="0" wrapText="false" indent="0" shrinkToFit="false"/>
      <protection locked="true" hidden="false"/>
    </xf>
    <xf numFmtId="307" fontId="179" fillId="40" borderId="0" xfId="0" applyFont="true" applyBorder="false" applyAlignment="true" applyProtection="false">
      <alignment horizontal="general" vertical="bottom" textRotation="0" wrapText="false" indent="0" shrinkToFit="false"/>
      <protection locked="true" hidden="false"/>
    </xf>
    <xf numFmtId="164" fontId="199" fillId="0" borderId="0" xfId="0" applyFont="true" applyBorder="false" applyAlignment="true" applyProtection="false">
      <alignment horizontal="general" vertical="bottom" textRotation="0" wrapText="false" indent="0" shrinkToFit="false"/>
      <protection locked="true" hidden="false"/>
    </xf>
    <xf numFmtId="164" fontId="184" fillId="0" borderId="39" xfId="0" applyFont="true" applyBorder="true" applyAlignment="true" applyProtection="false">
      <alignment horizontal="left" vertical="bottom" textRotation="0" wrapText="true" indent="0" shrinkToFit="false"/>
      <protection locked="true" hidden="false"/>
    </xf>
    <xf numFmtId="164" fontId="10" fillId="0" borderId="39" xfId="0" applyFont="true" applyBorder="true" applyAlignment="true" applyProtection="false">
      <alignment horizontal="general" vertical="bottom" textRotation="0" wrapText="false" indent="0" shrinkToFit="false"/>
      <protection locked="true" hidden="false"/>
    </xf>
    <xf numFmtId="304" fontId="10" fillId="0" borderId="39" xfId="42" applyFont="true" applyBorder="true" applyAlignment="true" applyProtection="false">
      <alignment horizontal="general" vertical="bottom" textRotation="0" wrapText="false" indent="0" shrinkToFit="false"/>
      <protection locked="true" hidden="false"/>
    </xf>
    <xf numFmtId="304" fontId="184" fillId="0" borderId="39" xfId="42" applyFont="true" applyBorder="true" applyAlignment="true" applyProtection="false">
      <alignment horizontal="general" vertical="bottom" textRotation="0" wrapText="false" indent="0" shrinkToFit="false"/>
      <protection locked="true" hidden="false"/>
    </xf>
    <xf numFmtId="202" fontId="197" fillId="0" borderId="39" xfId="42" applyFont="true" applyBorder="true" applyAlignment="true" applyProtection="false">
      <alignment horizontal="general" vertical="bottom" textRotation="0" wrapText="false" indent="0" shrinkToFit="false"/>
      <protection locked="true" hidden="false"/>
    </xf>
    <xf numFmtId="304" fontId="197" fillId="0" borderId="39" xfId="0" applyFont="true" applyBorder="true" applyAlignment="true" applyProtection="false">
      <alignment horizontal="general" vertical="bottom" textRotation="0" wrapText="false" indent="0" shrinkToFit="false"/>
      <protection locked="true" hidden="false"/>
    </xf>
    <xf numFmtId="164" fontId="199" fillId="0" borderId="39" xfId="0" applyFont="true" applyBorder="true" applyAlignment="true" applyProtection="false">
      <alignment horizontal="general" vertical="bottom" textRotation="0" wrapText="false" indent="0" shrinkToFit="false"/>
      <protection locked="true" hidden="false"/>
    </xf>
    <xf numFmtId="304" fontId="10" fillId="0" borderId="39" xfId="0" applyFont="true" applyBorder="true" applyAlignment="true" applyProtection="false">
      <alignment horizontal="general" vertical="bottom" textRotation="0" wrapText="false" indent="0" shrinkToFit="false"/>
      <protection locked="true" hidden="false"/>
    </xf>
    <xf numFmtId="164" fontId="200" fillId="0" borderId="0" xfId="0" applyFont="true" applyBorder="false" applyAlignment="true" applyProtection="false">
      <alignment horizontal="left" vertical="bottom" textRotation="0" wrapText="true" indent="0" shrinkToFit="false"/>
      <protection locked="true" hidden="false"/>
    </xf>
    <xf numFmtId="164" fontId="200" fillId="0" borderId="0" xfId="0" applyFont="true" applyBorder="false" applyAlignment="true" applyProtection="false">
      <alignment horizontal="general" vertical="bottom" textRotation="0" wrapText="false" indent="0" shrinkToFit="false"/>
      <protection locked="true" hidden="false"/>
    </xf>
    <xf numFmtId="304" fontId="200" fillId="0" borderId="0" xfId="42" applyFont="true" applyBorder="false" applyAlignment="true" applyProtection="false">
      <alignment horizontal="general" vertical="bottom" textRotation="0" wrapText="false" indent="0" shrinkToFit="false"/>
      <protection locked="true" hidden="false"/>
    </xf>
    <xf numFmtId="251" fontId="201" fillId="0" borderId="0" xfId="46" applyFont="true" applyBorder="false" applyAlignment="true" applyProtection="false">
      <alignment horizontal="general" vertical="bottom" textRotation="0" wrapText="false" indent="0" shrinkToFit="false"/>
      <protection locked="true" hidden="false"/>
    </xf>
    <xf numFmtId="164" fontId="202" fillId="0" borderId="0" xfId="0" applyFont="true" applyBorder="false" applyAlignment="true" applyProtection="false">
      <alignment horizontal="general" vertical="bottom" textRotation="0" wrapText="false" indent="0" shrinkToFit="false"/>
      <protection locked="true" hidden="false"/>
    </xf>
    <xf numFmtId="262" fontId="200" fillId="0" borderId="0" xfId="46" applyFont="true" applyBorder="false" applyAlignment="true" applyProtection="false">
      <alignment horizontal="general" vertical="bottom" textRotation="0" wrapText="false" indent="0" shrinkToFit="false"/>
      <protection locked="true" hidden="false"/>
    </xf>
    <xf numFmtId="304" fontId="179" fillId="40" borderId="0" xfId="46" applyFont="true" applyBorder="false" applyAlignment="true" applyProtection="false">
      <alignment horizontal="general" vertical="bottom" textRotation="0" wrapText="false" indent="0" shrinkToFit="false"/>
      <protection locked="true" hidden="false"/>
    </xf>
    <xf numFmtId="164" fontId="179" fillId="0" borderId="0" xfId="0" applyFont="true" applyBorder="false" applyAlignment="true" applyProtection="false">
      <alignment horizontal="right" vertical="bottom" textRotation="0" wrapText="true" indent="0" shrinkToFit="false"/>
      <protection locked="true" hidden="false"/>
    </xf>
    <xf numFmtId="164" fontId="100" fillId="0" borderId="0" xfId="0" applyFont="true" applyBorder="false" applyAlignment="true" applyProtection="false">
      <alignment horizontal="right" vertical="bottom" textRotation="0" wrapText="false" indent="0" shrinkToFit="false"/>
      <protection locked="true" hidden="false"/>
    </xf>
    <xf numFmtId="304" fontId="100" fillId="0" borderId="0" xfId="42" applyFont="true" applyBorder="false" applyAlignment="true" applyProtection="false">
      <alignment horizontal="right" vertical="bottom" textRotation="0" wrapText="false" indent="0" shrinkToFit="false"/>
      <protection locked="true" hidden="false"/>
    </xf>
    <xf numFmtId="304" fontId="178" fillId="0" borderId="0" xfId="42" applyFont="true" applyBorder="false" applyAlignment="true" applyProtection="false">
      <alignment horizontal="right" vertical="bottom" textRotation="0" wrapText="false" indent="0" shrinkToFit="false"/>
      <protection locked="true" hidden="false"/>
    </xf>
    <xf numFmtId="304" fontId="179" fillId="40" borderId="0" xfId="42" applyFont="true" applyBorder="false" applyAlignment="true" applyProtection="false">
      <alignment horizontal="right" vertical="bottom" textRotation="0" wrapText="false" indent="0" shrinkToFit="false"/>
      <protection locked="true" hidden="false"/>
    </xf>
    <xf numFmtId="304" fontId="179" fillId="40" borderId="0" xfId="42" applyFont="true" applyBorder="false" applyAlignment="true" applyProtection="false">
      <alignment horizontal="general" vertical="bottom" textRotation="0" wrapText="false" indent="0" shrinkToFit="false"/>
      <protection locked="true" hidden="false"/>
    </xf>
    <xf numFmtId="304" fontId="55" fillId="0" borderId="0" xfId="42" applyFont="true" applyBorder="false" applyAlignment="true" applyProtection="false">
      <alignment horizontal="general" vertical="bottom" textRotation="0" wrapText="false" indent="0" shrinkToFit="false"/>
      <protection locked="true" hidden="false"/>
    </xf>
    <xf numFmtId="202" fontId="178" fillId="40" borderId="0" xfId="42" applyFont="true" applyBorder="false" applyAlignment="true" applyProtection="false">
      <alignment horizontal="general" vertical="bottom" textRotation="0" wrapText="false" indent="0" shrinkToFit="false"/>
      <protection locked="true" hidden="false"/>
    </xf>
    <xf numFmtId="304" fontId="203" fillId="0" borderId="0" xfId="42" applyFont="true" applyBorder="false" applyAlignment="true" applyProtection="false">
      <alignment horizontal="general" vertical="bottom" textRotation="0" wrapText="false" indent="0" shrinkToFit="false"/>
      <protection locked="true" hidden="false"/>
    </xf>
    <xf numFmtId="164" fontId="204" fillId="0" borderId="0" xfId="0" applyFont="true" applyBorder="false" applyAlignment="true" applyProtection="false">
      <alignment horizontal="general" vertical="bottom" textRotation="0" wrapText="false" indent="0" shrinkToFit="false"/>
      <protection locked="true" hidden="false"/>
    </xf>
    <xf numFmtId="304" fontId="179" fillId="0" borderId="0" xfId="42" applyFont="true" applyBorder="false" applyAlignment="true" applyProtection="false">
      <alignment horizontal="right" vertical="bottom" textRotation="0" wrapText="false" indent="0" shrinkToFit="false"/>
      <protection locked="true" hidden="false"/>
    </xf>
    <xf numFmtId="164" fontId="187" fillId="0" borderId="0" xfId="0" applyFont="true" applyBorder="false" applyAlignment="true" applyProtection="false">
      <alignment horizontal="right" vertical="bottom" textRotation="0" wrapText="true" indent="0" shrinkToFit="false"/>
      <protection locked="true" hidden="false"/>
    </xf>
    <xf numFmtId="164" fontId="205" fillId="0" borderId="0" xfId="0" applyFont="true" applyBorder="false" applyAlignment="true" applyProtection="false">
      <alignment horizontal="right" vertical="bottom" textRotation="0" wrapText="false" indent="0" shrinkToFit="false"/>
      <protection locked="true" hidden="false"/>
    </xf>
    <xf numFmtId="304" fontId="205" fillId="0" borderId="0" xfId="42" applyFont="true" applyBorder="false" applyAlignment="true" applyProtection="false">
      <alignment horizontal="right" vertical="bottom" textRotation="0" wrapText="false" indent="0" shrinkToFit="false"/>
      <protection locked="true" hidden="false"/>
    </xf>
    <xf numFmtId="304" fontId="187" fillId="0" borderId="0" xfId="42" applyFont="true" applyBorder="false" applyAlignment="true" applyProtection="false">
      <alignment horizontal="right" vertical="bottom" textRotation="0" wrapText="false" indent="0" shrinkToFit="false"/>
      <protection locked="true" hidden="false"/>
    </xf>
    <xf numFmtId="304" fontId="206" fillId="0" borderId="0" xfId="42" applyFont="true" applyBorder="false" applyAlignment="true" applyProtection="false">
      <alignment horizontal="right" vertical="bottom" textRotation="0" wrapText="false" indent="0" shrinkToFit="false"/>
      <protection locked="true" hidden="false"/>
    </xf>
    <xf numFmtId="304" fontId="206" fillId="40" borderId="0" xfId="42" applyFont="true" applyBorder="false" applyAlignment="true" applyProtection="false">
      <alignment horizontal="general" vertical="bottom" textRotation="0" wrapText="false" indent="0" shrinkToFit="false"/>
      <protection locked="true" hidden="false"/>
    </xf>
    <xf numFmtId="304" fontId="207" fillId="0" borderId="0" xfId="42" applyFont="true" applyBorder="false" applyAlignment="true" applyProtection="false">
      <alignment horizontal="general" vertical="bottom" textRotation="0" wrapText="false" indent="0" shrinkToFit="false"/>
      <protection locked="true" hidden="false"/>
    </xf>
    <xf numFmtId="304" fontId="194" fillId="0" borderId="0" xfId="42" applyFont="true" applyBorder="false" applyAlignment="true" applyProtection="false">
      <alignment horizontal="general" vertical="bottom" textRotation="0" wrapText="false" indent="0" shrinkToFit="false"/>
      <protection locked="true" hidden="false"/>
    </xf>
    <xf numFmtId="304" fontId="187" fillId="0" borderId="0" xfId="42" applyFont="true" applyBorder="false" applyAlignment="true" applyProtection="false">
      <alignment horizontal="general" vertical="bottom" textRotation="0" wrapText="false" indent="0" shrinkToFit="false"/>
      <protection locked="true" hidden="false"/>
    </xf>
    <xf numFmtId="304" fontId="208" fillId="0" borderId="0" xfId="42" applyFont="true" applyBorder="false" applyAlignment="true" applyProtection="false">
      <alignment horizontal="general" vertical="bottom" textRotation="0" wrapText="false" indent="0" shrinkToFit="false"/>
      <protection locked="true" hidden="false"/>
    </xf>
    <xf numFmtId="164" fontId="209" fillId="0" borderId="0" xfId="0" applyFont="true" applyBorder="false" applyAlignment="true" applyProtection="false">
      <alignment horizontal="general" vertical="bottom" textRotation="0" wrapText="false" indent="0" shrinkToFit="false"/>
      <protection locked="true" hidden="false"/>
    </xf>
    <xf numFmtId="251" fontId="55" fillId="0" borderId="0" xfId="46" applyFont="true" applyBorder="false" applyAlignment="true" applyProtection="false">
      <alignment horizontal="general" vertical="bottom" textRotation="0" wrapText="false" indent="0" shrinkToFit="false"/>
      <protection locked="true" hidden="false"/>
    </xf>
    <xf numFmtId="251" fontId="203" fillId="0" borderId="0" xfId="46" applyFont="true" applyBorder="false" applyAlignment="true" applyProtection="false">
      <alignment horizontal="general" vertical="bottom" textRotation="0" wrapText="false" indent="0" shrinkToFit="false"/>
      <protection locked="true" hidden="false"/>
    </xf>
    <xf numFmtId="164" fontId="203" fillId="0" borderId="0" xfId="0" applyFont="true" applyBorder="false" applyAlignment="true" applyProtection="false">
      <alignment horizontal="general" vertical="bottom" textRotation="0" wrapText="false" indent="0" shrinkToFit="false"/>
      <protection locked="true" hidden="false"/>
    </xf>
    <xf numFmtId="251" fontId="200" fillId="0" borderId="0" xfId="46" applyFont="true" applyBorder="false" applyAlignment="true" applyProtection="false">
      <alignment horizontal="general" vertical="bottom" textRotation="0" wrapText="false" indent="0" shrinkToFit="false"/>
      <protection locked="true" hidden="false"/>
    </xf>
    <xf numFmtId="304" fontId="198" fillId="0" borderId="0" xfId="0" applyFont="true" applyBorder="false" applyAlignment="true" applyProtection="false">
      <alignment horizontal="general" vertical="bottom" textRotation="0" wrapText="false" indent="0" shrinkToFit="false"/>
      <protection locked="true" hidden="false"/>
    </xf>
    <xf numFmtId="164" fontId="184" fillId="7" borderId="0" xfId="0" applyFont="true" applyBorder="false" applyAlignment="true" applyProtection="false">
      <alignment horizontal="left" vertical="bottom" textRotation="0" wrapText="tru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304" fontId="184" fillId="7" borderId="0" xfId="42" applyFont="true" applyBorder="false" applyAlignment="true" applyProtection="false">
      <alignment horizontal="general" vertical="bottom" textRotation="0" wrapText="false" indent="0" shrinkToFit="false"/>
      <protection locked="true" hidden="false"/>
    </xf>
    <xf numFmtId="304" fontId="10" fillId="7" borderId="0" xfId="42" applyFont="true" applyBorder="false" applyAlignment="true" applyProtection="false">
      <alignment horizontal="general" vertical="bottom" textRotation="0" wrapText="false" indent="0" shrinkToFit="false"/>
      <protection locked="true" hidden="false"/>
    </xf>
    <xf numFmtId="164" fontId="184" fillId="7" borderId="0" xfId="0" applyFont="true" applyBorder="false" applyAlignment="true" applyProtection="false">
      <alignment horizontal="general" vertical="bottom" textRotation="0" wrapText="true" indent="0" shrinkToFit="false"/>
      <protection locked="true" hidden="false"/>
    </xf>
    <xf numFmtId="309" fontId="179" fillId="0" borderId="0" xfId="0" applyFont="true" applyBorder="false" applyAlignment="true" applyProtection="false">
      <alignment horizontal="general" vertical="bottom" textRotation="0" wrapText="false" indent="0" shrinkToFit="false"/>
      <protection locked="true" hidden="false"/>
    </xf>
    <xf numFmtId="171" fontId="185" fillId="0" borderId="0" xfId="0" applyFont="true" applyBorder="false" applyAlignment="true" applyProtection="false">
      <alignment horizontal="general" vertical="bottom" textRotation="0" wrapText="false" indent="0" shrinkToFit="false"/>
      <protection locked="true" hidden="false"/>
    </xf>
    <xf numFmtId="171" fontId="198" fillId="0" borderId="0" xfId="0" applyFont="true" applyBorder="false" applyAlignment="true" applyProtection="false">
      <alignment horizontal="general" vertical="bottom" textRotation="0" wrapText="false" indent="0" shrinkToFit="false"/>
      <protection locked="true" hidden="false"/>
    </xf>
    <xf numFmtId="202" fontId="10" fillId="0" borderId="0" xfId="0" applyFont="true" applyBorder="false" applyAlignment="true" applyProtection="false">
      <alignment horizontal="general" vertical="bottom" textRotation="0" wrapText="false" indent="0" shrinkToFit="false"/>
      <protection locked="true" hidden="false"/>
    </xf>
    <xf numFmtId="304" fontId="194" fillId="0" borderId="0" xfId="0" applyFont="true" applyBorder="false" applyAlignment="true" applyProtection="false">
      <alignment horizontal="general" vertical="bottom" textRotation="0" wrapText="false" indent="0" shrinkToFit="false"/>
      <protection locked="true" hidden="false"/>
    </xf>
    <xf numFmtId="251" fontId="78" fillId="0" borderId="0" xfId="0" applyFont="true" applyBorder="false" applyAlignment="true" applyProtection="false">
      <alignment horizontal="general" vertical="bottom" textRotation="0" wrapText="false" indent="0" shrinkToFit="false"/>
      <protection locked="true" hidden="false"/>
    </xf>
    <xf numFmtId="251" fontId="179" fillId="0" borderId="0" xfId="0" applyFont="true" applyBorder="false" applyAlignment="true" applyProtection="false">
      <alignment horizontal="general" vertical="bottom" textRotation="0" wrapText="false" indent="0" shrinkToFit="false"/>
      <protection locked="true" hidden="false"/>
    </xf>
    <xf numFmtId="306" fontId="185" fillId="0" borderId="0" xfId="42" applyFont="true" applyBorder="false" applyAlignment="true" applyProtection="false">
      <alignment horizontal="general" vertical="bottom" textRotation="0" wrapText="false" indent="0" shrinkToFit="false"/>
      <protection locked="true" hidden="false"/>
    </xf>
    <xf numFmtId="312" fontId="0" fillId="0" borderId="0" xfId="0" applyFont="false" applyBorder="false" applyAlignment="true" applyProtection="false">
      <alignment horizontal="general" vertical="bottom" textRotation="0" wrapText="false" indent="0" shrinkToFit="false"/>
      <protection locked="true" hidden="false"/>
    </xf>
    <xf numFmtId="171" fontId="78" fillId="0" borderId="0" xfId="0" applyFont="true" applyBorder="false" applyAlignment="true" applyProtection="false">
      <alignment horizontal="general" vertical="bottom" textRotation="0" wrapText="false" indent="0" shrinkToFit="false"/>
      <protection locked="true" hidden="false"/>
    </xf>
    <xf numFmtId="202" fontId="184" fillId="0" borderId="0" xfId="42" applyFont="true" applyBorder="false" applyAlignment="true" applyProtection="false">
      <alignment horizontal="general" vertical="bottom" textRotation="0" wrapText="false" indent="0" shrinkToFit="false"/>
      <protection locked="true" hidden="false"/>
    </xf>
    <xf numFmtId="304" fontId="179" fillId="45" borderId="0" xfId="0" applyFont="true" applyBorder="false" applyAlignment="true" applyProtection="false">
      <alignment horizontal="general" vertical="bottom" textRotation="0" wrapText="false" indent="0" shrinkToFit="false"/>
      <protection locked="true" hidden="false"/>
    </xf>
    <xf numFmtId="172" fontId="179" fillId="40" borderId="0" xfId="0" applyFont="true" applyBorder="false" applyAlignment="true" applyProtection="false">
      <alignment horizontal="general" vertical="bottom" textRotation="0" wrapText="false" indent="0" shrinkToFit="false"/>
      <protection locked="true" hidden="false"/>
    </xf>
    <xf numFmtId="164" fontId="187" fillId="22" borderId="0" xfId="0" applyFont="true" applyBorder="false" applyAlignment="true" applyProtection="false">
      <alignment horizontal="general" vertical="bottom" textRotation="0" wrapText="true" indent="0" shrinkToFit="false"/>
      <protection locked="true" hidden="false"/>
    </xf>
    <xf numFmtId="164" fontId="100" fillId="22" borderId="0" xfId="0" applyFont="true" applyBorder="false" applyAlignment="true" applyProtection="false">
      <alignment horizontal="general" vertical="bottom" textRotation="0" wrapText="false" indent="0" shrinkToFit="false"/>
      <protection locked="true" hidden="false"/>
    </xf>
    <xf numFmtId="171" fontId="179" fillId="22" borderId="0" xfId="0" applyFont="true" applyBorder="false" applyAlignment="true" applyProtection="false">
      <alignment horizontal="general" vertical="bottom" textRotation="0" wrapText="false" indent="0" shrinkToFit="false"/>
      <protection locked="true" hidden="false"/>
    </xf>
    <xf numFmtId="164" fontId="202" fillId="22" borderId="0" xfId="0" applyFont="true" applyBorder="false" applyAlignment="true" applyProtection="false">
      <alignment horizontal="general" vertical="bottom" textRotation="0" wrapText="false" indent="0" shrinkToFit="false"/>
      <protection locked="true" hidden="false"/>
    </xf>
    <xf numFmtId="202" fontId="178" fillId="0" borderId="0" xfId="0" applyFont="true" applyBorder="false" applyAlignment="true" applyProtection="false">
      <alignment horizontal="general" vertical="bottom" textRotation="0" wrapText="false" indent="0" shrinkToFit="false"/>
      <protection locked="true" hidden="false"/>
    </xf>
    <xf numFmtId="202" fontId="178" fillId="40" borderId="0" xfId="0" applyFont="true" applyBorder="false" applyAlignment="true" applyProtection="false">
      <alignment horizontal="general" vertical="bottom" textRotation="0" wrapText="false" indent="0" shrinkToFit="false"/>
      <protection locked="true" hidden="false"/>
    </xf>
    <xf numFmtId="164" fontId="78" fillId="0" borderId="0" xfId="0" applyFont="true" applyBorder="false" applyAlignment="true" applyProtection="false">
      <alignment horizontal="general" vertical="bottom" textRotation="0" wrapText="false" indent="0" shrinkToFit="false"/>
      <protection locked="true" hidden="false"/>
    </xf>
    <xf numFmtId="304" fontId="184" fillId="0" borderId="0" xfId="42" applyFont="true" applyBorder="false" applyAlignment="true" applyProtection="false">
      <alignment horizontal="general" vertical="bottom" textRotation="0" wrapText="true" indent="0" shrinkToFit="false"/>
      <protection locked="true" hidden="false"/>
    </xf>
    <xf numFmtId="203" fontId="179" fillId="0" borderId="0" xfId="0" applyFont="true" applyBorder="false" applyAlignment="true" applyProtection="false">
      <alignment horizontal="general" vertical="bottom" textRotation="0" wrapText="false" indent="0" shrinkToFit="false"/>
      <protection locked="true" hidden="false"/>
    </xf>
    <xf numFmtId="305" fontId="198" fillId="0" borderId="0" xfId="42" applyFont="true" applyBorder="false" applyAlignment="true" applyProtection="false">
      <alignment horizontal="general" vertical="bottom" textRotation="0" wrapText="false" indent="0" shrinkToFit="false"/>
      <protection locked="true" hidden="false"/>
    </xf>
    <xf numFmtId="164" fontId="100" fillId="0" borderId="0" xfId="0" applyFont="true" applyBorder="false" applyAlignment="true" applyProtection="false">
      <alignment horizontal="general" vertical="bottom" textRotation="0" wrapText="true" indent="0" shrinkToFit="false"/>
      <protection locked="true" hidden="false"/>
    </xf>
    <xf numFmtId="202" fontId="198" fillId="0" borderId="0" xfId="42" applyFont="true" applyBorder="false" applyAlignment="true" applyProtection="false">
      <alignment horizontal="general" vertical="bottom" textRotation="0" wrapText="false" indent="0" shrinkToFit="false"/>
      <protection locked="true" hidden="false"/>
    </xf>
    <xf numFmtId="306" fontId="112" fillId="0" borderId="0" xfId="42" applyFont="true" applyBorder="false" applyAlignment="true" applyProtection="false">
      <alignment horizontal="general" vertical="bottom" textRotation="0" wrapText="false" indent="0" shrinkToFit="false"/>
      <protection locked="true" hidden="false"/>
    </xf>
    <xf numFmtId="305" fontId="178" fillId="0" borderId="0" xfId="42" applyFont="true" applyBorder="false" applyAlignment="true" applyProtection="false">
      <alignment horizontal="general" vertical="bottom" textRotation="0" wrapText="false" indent="0" shrinkToFit="false"/>
      <protection locked="true" hidden="false"/>
    </xf>
    <xf numFmtId="305" fontId="112" fillId="0" borderId="0" xfId="42" applyFont="true" applyBorder="false" applyAlignment="true" applyProtection="false">
      <alignment horizontal="general" vertical="bottom" textRotation="0" wrapText="false" indent="0" shrinkToFit="false"/>
      <protection locked="true" hidden="false"/>
    </xf>
    <xf numFmtId="202" fontId="178" fillId="0" borderId="0" xfId="42" applyFont="true" applyBorder="false" applyAlignment="true" applyProtection="false">
      <alignment horizontal="general" vertical="bottom" textRotation="0" wrapText="false" indent="0" shrinkToFit="false"/>
      <protection locked="true" hidden="false"/>
    </xf>
    <xf numFmtId="171" fontId="199" fillId="0" borderId="0" xfId="0" applyFont="true" applyBorder="false" applyAlignment="true" applyProtection="false">
      <alignment horizontal="general" vertical="bottom" textRotation="0" wrapText="false" indent="0" shrinkToFit="false"/>
      <protection locked="true" hidden="false"/>
    </xf>
    <xf numFmtId="172" fontId="207" fillId="0" borderId="0" xfId="0" applyFont="true" applyBorder="false" applyAlignment="true" applyProtection="false">
      <alignment horizontal="general" vertical="bottom" textRotation="0" wrapText="false" indent="0" shrinkToFit="false"/>
      <protection locked="true" hidden="false"/>
    </xf>
    <xf numFmtId="304" fontId="78" fillId="0" borderId="0" xfId="42" applyFont="true" applyBorder="false" applyAlignment="true" applyProtection="false">
      <alignment horizontal="general" vertical="bottom" textRotation="0" wrapText="false" indent="0" shrinkToFit="false"/>
      <protection locked="true" hidden="false"/>
    </xf>
    <xf numFmtId="172" fontId="184" fillId="40" borderId="0" xfId="0" applyFont="true" applyBorder="false" applyAlignment="true" applyProtection="false">
      <alignment horizontal="general" vertical="bottom" textRotation="0" wrapText="false" indent="0" shrinkToFit="false"/>
      <protection locked="true" hidden="false"/>
    </xf>
    <xf numFmtId="164" fontId="195" fillId="0" borderId="0" xfId="0" applyFont="true" applyBorder="false" applyAlignment="true" applyProtection="false">
      <alignment horizontal="general" vertical="bottom" textRotation="0" wrapText="true" indent="0" shrinkToFit="false"/>
      <protection locked="true" hidden="false"/>
    </xf>
    <xf numFmtId="172" fontId="195" fillId="0" borderId="0" xfId="0" applyFont="true" applyBorder="false" applyAlignment="true" applyProtection="false">
      <alignment horizontal="general" vertical="bottom" textRotation="0" wrapText="false" indent="0" shrinkToFit="false"/>
      <protection locked="true" hidden="false"/>
    </xf>
    <xf numFmtId="197" fontId="10" fillId="0" borderId="0" xfId="0" applyFont="true" applyBorder="false" applyAlignment="true" applyProtection="false">
      <alignment horizontal="general" vertical="bottom" textRotation="0" wrapText="false" indent="0" shrinkToFit="false"/>
      <protection locked="true" hidden="false"/>
    </xf>
    <xf numFmtId="305" fontId="179" fillId="40" borderId="0" xfId="42" applyFont="true" applyBorder="false" applyAlignment="true" applyProtection="false">
      <alignment horizontal="general" vertical="bottom" textRotation="0" wrapText="false" indent="0" shrinkToFit="false"/>
      <protection locked="true" hidden="false"/>
    </xf>
    <xf numFmtId="197" fontId="185" fillId="0" borderId="0" xfId="42" applyFont="true" applyBorder="false" applyAlignment="true" applyProtection="false">
      <alignment horizontal="general" vertical="bottom" textRotation="0" wrapText="false" indent="0" shrinkToFit="false"/>
      <protection locked="true" hidden="false"/>
    </xf>
    <xf numFmtId="197" fontId="184" fillId="0" borderId="0" xfId="42" applyFont="true" applyBorder="false" applyAlignment="true" applyProtection="false">
      <alignment horizontal="general" vertical="bottom" textRotation="0" wrapText="false" indent="0" shrinkToFit="false"/>
      <protection locked="true" hidden="false"/>
    </xf>
    <xf numFmtId="197" fontId="10" fillId="0" borderId="0" xfId="42" applyFont="true" applyBorder="false" applyAlignment="true" applyProtection="false">
      <alignment horizontal="general" vertical="bottom" textRotation="0" wrapText="false" indent="0" shrinkToFit="false"/>
      <protection locked="true" hidden="false"/>
    </xf>
    <xf numFmtId="251" fontId="179" fillId="0" borderId="0" xfId="46" applyFont="true" applyBorder="false" applyAlignment="true" applyProtection="false">
      <alignment horizontal="general" vertical="bottom" textRotation="0" wrapText="true" indent="0" shrinkToFit="false"/>
      <protection locked="true" hidden="false"/>
    </xf>
    <xf numFmtId="273" fontId="185" fillId="0" borderId="0" xfId="46" applyFont="true" applyBorder="false" applyAlignment="true" applyProtection="false">
      <alignment horizontal="general" vertical="bottom" textRotation="0" wrapText="false" indent="0" shrinkToFit="false"/>
      <protection locked="true" hidden="false"/>
    </xf>
    <xf numFmtId="212" fontId="0" fillId="0" borderId="0" xfId="0" applyFont="false" applyBorder="false" applyAlignment="true" applyProtection="false">
      <alignment horizontal="general" vertical="bottom" textRotation="0" wrapText="false" indent="0" shrinkToFit="false"/>
      <protection locked="true" hidden="false"/>
    </xf>
    <xf numFmtId="304" fontId="185" fillId="30" borderId="0" xfId="42" applyFont="true" applyBorder="false" applyAlignment="true" applyProtection="false">
      <alignment horizontal="general" vertical="bottom" textRotation="0" wrapText="false" indent="0" shrinkToFit="false"/>
      <protection locked="true" hidden="false"/>
    </xf>
    <xf numFmtId="171" fontId="207"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true" indent="0" shrinkToFit="false"/>
      <protection locked="true" hidden="false"/>
    </xf>
    <xf numFmtId="164" fontId="184" fillId="22" borderId="0" xfId="0" applyFont="true" applyBorder="false" applyAlignment="true" applyProtection="false">
      <alignment horizontal="general" vertical="bottom" textRotation="0" wrapText="true" indent="0" shrinkToFit="false"/>
      <protection locked="true" hidden="false"/>
    </xf>
    <xf numFmtId="202" fontId="185" fillId="0" borderId="0" xfId="666" applyFont="true" applyBorder="false" applyAlignment="true" applyProtection="false">
      <alignment horizontal="general" vertical="bottom" textRotation="0" wrapText="false" indent="0" shrinkToFit="false"/>
      <protection locked="true" hidden="false"/>
    </xf>
    <xf numFmtId="197" fontId="185" fillId="0" borderId="0" xfId="0" applyFont="true" applyBorder="false" applyAlignment="true" applyProtection="false">
      <alignment horizontal="general" vertical="bottom" textRotation="0" wrapText="false" indent="0" shrinkToFit="false"/>
      <protection locked="true" hidden="false"/>
    </xf>
    <xf numFmtId="313" fontId="0" fillId="0" borderId="0" xfId="0" applyFont="false" applyBorder="false" applyAlignment="true" applyProtection="false">
      <alignment horizontal="general" vertical="bottom" textRotation="0" wrapText="false" indent="0" shrinkToFit="false"/>
      <protection locked="true" hidden="false"/>
    </xf>
    <xf numFmtId="243" fontId="0" fillId="0" borderId="0" xfId="0" applyFont="false" applyBorder="false" applyAlignment="true" applyProtection="false">
      <alignment horizontal="general" vertical="bottom" textRotation="0" wrapText="false" indent="0" shrinkToFit="false"/>
      <protection locked="true" hidden="false"/>
    </xf>
    <xf numFmtId="203" fontId="179" fillId="42" borderId="0" xfId="0" applyFont="true" applyBorder="false" applyAlignment="true" applyProtection="false">
      <alignment horizontal="general" vertical="bottom" textRotation="0" wrapText="false" indent="0" shrinkToFit="false"/>
      <protection locked="true" hidden="false"/>
    </xf>
    <xf numFmtId="304" fontId="179" fillId="42" borderId="0" xfId="0" applyFont="true" applyBorder="false" applyAlignment="true" applyProtection="false">
      <alignment horizontal="general" vertical="bottom" textRotation="0" wrapText="false" indent="0" shrinkToFit="false"/>
      <protection locked="true" hidden="false"/>
    </xf>
    <xf numFmtId="309" fontId="179" fillId="42" borderId="0" xfId="42" applyFont="true" applyBorder="false" applyAlignment="true" applyProtection="false">
      <alignment horizontal="general" vertical="bottom" textRotation="0" wrapText="false" indent="0" shrinkToFit="false"/>
      <protection locked="true" hidden="false"/>
    </xf>
    <xf numFmtId="171" fontId="194" fillId="0" borderId="0" xfId="0" applyFont="true" applyBorder="false" applyAlignment="true" applyProtection="false">
      <alignment horizontal="general" vertical="bottom" textRotation="0" wrapText="false" indent="0" shrinkToFit="false"/>
      <protection locked="true" hidden="false"/>
    </xf>
    <xf numFmtId="251" fontId="185" fillId="0" borderId="0" xfId="46" applyFont="true" applyBorder="false" applyAlignment="true" applyProtection="false">
      <alignment horizontal="general" vertical="bottom" textRotation="0" wrapText="false" indent="0" shrinkToFit="false"/>
      <protection locked="true" hidden="false"/>
    </xf>
    <xf numFmtId="306" fontId="199" fillId="0" borderId="0" xfId="42" applyFont="true" applyBorder="false" applyAlignment="true" applyProtection="false">
      <alignment horizontal="general" vertical="bottom" textRotation="0" wrapText="false" indent="0" shrinkToFit="false"/>
      <protection locked="true" hidden="false"/>
    </xf>
    <xf numFmtId="172" fontId="185" fillId="40" borderId="0" xfId="0" applyFont="true" applyBorder="false" applyAlignment="true" applyProtection="false">
      <alignment horizontal="general" vertical="bottom" textRotation="0" wrapText="false" indent="0" shrinkToFit="false"/>
      <protection locked="true" hidden="false"/>
    </xf>
    <xf numFmtId="306" fontId="184" fillId="40" borderId="0" xfId="42" applyFont="true" applyBorder="false" applyAlignment="true" applyProtection="false">
      <alignment horizontal="general" vertical="bottom" textRotation="0" wrapText="false" indent="0" shrinkToFit="false"/>
      <protection locked="true" hidden="false"/>
    </xf>
    <xf numFmtId="197" fontId="184" fillId="40" borderId="0" xfId="0" applyFont="true" applyBorder="false" applyAlignment="true" applyProtection="false">
      <alignment horizontal="general" vertical="bottom" textRotation="0" wrapText="false" indent="0" shrinkToFit="false"/>
      <protection locked="true" hidden="false"/>
    </xf>
    <xf numFmtId="304" fontId="179" fillId="0" borderId="0" xfId="42" applyFont="true" applyBorder="false" applyAlignment="true" applyProtection="false">
      <alignment horizontal="general" vertical="bottom" textRotation="0" wrapText="true" indent="0" shrinkToFit="false"/>
      <protection locked="true" hidden="false"/>
    </xf>
    <xf numFmtId="304" fontId="178" fillId="0" borderId="0" xfId="0" applyFont="true" applyBorder="false" applyAlignment="true" applyProtection="false">
      <alignment horizontal="general" vertical="bottom" textRotation="0" wrapText="false" indent="0" shrinkToFit="false"/>
      <protection locked="true" hidden="false"/>
    </xf>
    <xf numFmtId="312" fontId="0" fillId="0" borderId="0" xfId="42" applyFont="false" applyBorder="false" applyAlignment="true" applyProtection="false">
      <alignment horizontal="general" vertical="bottom" textRotation="0" wrapText="false" indent="0" shrinkToFit="false"/>
      <protection locked="true" hidden="false"/>
    </xf>
    <xf numFmtId="314" fontId="0" fillId="0" borderId="0" xfId="0" applyFont="false" applyBorder="false" applyAlignment="true" applyProtection="false">
      <alignment horizontal="general" vertical="bottom" textRotation="0" wrapText="false" indent="0" shrinkToFit="false"/>
      <protection locked="true" hidden="false"/>
    </xf>
    <xf numFmtId="310" fontId="0" fillId="0" borderId="0" xfId="42" applyFont="false" applyBorder="false" applyAlignment="true" applyProtection="false">
      <alignment horizontal="general" vertical="bottom" textRotation="0" wrapText="false" indent="0" shrinkToFit="false"/>
      <protection locked="true" hidden="false"/>
    </xf>
    <xf numFmtId="309" fontId="0" fillId="0" borderId="0" xfId="42" applyFont="false" applyBorder="false" applyAlignment="true" applyProtection="false">
      <alignment horizontal="general" vertical="bottom" textRotation="0" wrapText="false" indent="0" shrinkToFit="false"/>
      <protection locked="true" hidden="false"/>
    </xf>
    <xf numFmtId="309" fontId="0" fillId="0" borderId="0" xfId="0" applyFont="false" applyBorder="false" applyAlignment="true" applyProtection="false">
      <alignment horizontal="general" vertical="bottom" textRotation="0" wrapText="false" indent="0" shrinkToFit="false"/>
      <protection locked="true" hidden="false"/>
    </xf>
    <xf numFmtId="315" fontId="0" fillId="0" borderId="0" xfId="0" applyFont="false" applyBorder="false" applyAlignment="true" applyProtection="false">
      <alignment horizontal="general" vertical="bottom" textRotation="0" wrapText="false" indent="0" shrinkToFit="false"/>
      <protection locked="true" hidden="false"/>
    </xf>
    <xf numFmtId="164" fontId="210" fillId="0" borderId="0" xfId="0" applyFont="true" applyBorder="false" applyAlignment="true" applyProtection="false">
      <alignment horizontal="general" vertical="bottom" textRotation="0" wrapText="false" indent="0" shrinkToFit="false"/>
      <protection locked="true" hidden="false"/>
    </xf>
    <xf numFmtId="172" fontId="210" fillId="0" borderId="0" xfId="0" applyFont="true" applyBorder="false" applyAlignment="true" applyProtection="false">
      <alignment horizontal="general" vertical="bottom" textRotation="0" wrapText="false" indent="0" shrinkToFit="false"/>
      <protection locked="true" hidden="false"/>
    </xf>
    <xf numFmtId="304" fontId="210" fillId="0" borderId="0" xfId="42" applyFont="true" applyBorder="false" applyAlignment="true" applyProtection="false">
      <alignment horizontal="general" vertical="bottom" textRotation="0" wrapText="false" indent="0" shrinkToFit="false"/>
      <protection locked="true" hidden="false"/>
    </xf>
    <xf numFmtId="304" fontId="159" fillId="0" borderId="0" xfId="42" applyFont="true" applyBorder="false" applyAlignment="true" applyProtection="false">
      <alignment horizontal="general" vertical="bottom" textRotation="0" wrapText="false" indent="0" shrinkToFit="false"/>
      <protection locked="true" hidden="false"/>
    </xf>
    <xf numFmtId="164" fontId="207" fillId="0" borderId="0" xfId="0" applyFont="true" applyBorder="false" applyAlignment="true" applyProtection="false">
      <alignment horizontal="general" vertical="bottom" textRotation="0" wrapText="false" indent="0" shrinkToFit="false"/>
      <protection locked="true" hidden="false"/>
    </xf>
    <xf numFmtId="197" fontId="178" fillId="40" borderId="0" xfId="0" applyFont="true" applyBorder="false" applyAlignment="true" applyProtection="false">
      <alignment horizontal="general" vertical="bottom" textRotation="0" wrapText="false" indent="0" shrinkToFit="false"/>
      <protection locked="true" hidden="false"/>
    </xf>
    <xf numFmtId="304" fontId="184" fillId="40" borderId="0" xfId="0" applyFont="true" applyBorder="false" applyAlignment="true" applyProtection="false">
      <alignment horizontal="general" vertical="bottom" textRotation="0" wrapText="false" indent="0" shrinkToFit="false"/>
      <protection locked="true" hidden="false"/>
    </xf>
    <xf numFmtId="172" fontId="184" fillId="0" borderId="39" xfId="0" applyFont="true" applyBorder="true" applyAlignment="true" applyProtection="false">
      <alignment horizontal="general" vertical="bottom" textRotation="0" wrapText="false" indent="0" shrinkToFit="false"/>
      <protection locked="true" hidden="false"/>
    </xf>
    <xf numFmtId="202" fontId="184" fillId="0" borderId="39" xfId="42" applyFont="true" applyBorder="true" applyAlignment="true" applyProtection="false">
      <alignment horizontal="general" vertical="bottom" textRotation="0" wrapText="false" indent="0" shrinkToFit="false"/>
      <protection locked="true" hidden="false"/>
    </xf>
    <xf numFmtId="314" fontId="0" fillId="0" borderId="39" xfId="0" applyFont="false" applyBorder="true" applyAlignment="true" applyProtection="false">
      <alignment horizontal="general" vertical="bottom" textRotation="0" wrapText="false" indent="0" shrinkToFit="false"/>
      <protection locked="true" hidden="false"/>
    </xf>
    <xf numFmtId="164" fontId="0" fillId="0" borderId="39" xfId="0" applyFont="false" applyBorder="true" applyAlignment="true" applyProtection="false">
      <alignment horizontal="general" vertical="bottom" textRotation="0" wrapText="false" indent="0" shrinkToFit="false"/>
      <protection locked="true" hidden="false"/>
    </xf>
    <xf numFmtId="172" fontId="179" fillId="30" borderId="0" xfId="0" applyFont="true" applyBorder="false" applyAlignment="true" applyProtection="false">
      <alignment horizontal="general" vertical="bottom" textRotation="0" wrapText="false" indent="0" shrinkToFit="false"/>
      <protection locked="true" hidden="false"/>
    </xf>
    <xf numFmtId="305" fontId="179" fillId="30" borderId="0" xfId="42" applyFont="true" applyBorder="false" applyAlignment="true" applyProtection="false">
      <alignment horizontal="general" vertical="bottom" textRotation="0" wrapText="false" indent="0" shrinkToFit="false"/>
      <protection locked="true" hidden="false"/>
    </xf>
    <xf numFmtId="202" fontId="179" fillId="30" borderId="0" xfId="42" applyFont="true" applyBorder="false" applyAlignment="true" applyProtection="false">
      <alignment horizontal="general" vertical="bottom" textRotation="0" wrapText="false" indent="0" shrinkToFit="false"/>
      <protection locked="true" hidden="false"/>
    </xf>
    <xf numFmtId="304" fontId="0" fillId="30" borderId="0" xfId="42" applyFont="false" applyBorder="false" applyAlignment="true" applyProtection="false">
      <alignment horizontal="general" vertical="bottom" textRotation="0" wrapText="false" indent="0" shrinkToFit="false"/>
      <protection locked="true" hidden="false"/>
    </xf>
    <xf numFmtId="316" fontId="0" fillId="30" borderId="0" xfId="0" applyFont="false" applyBorder="false" applyAlignment="true" applyProtection="false">
      <alignment horizontal="general" vertical="bottom" textRotation="0" wrapText="false" indent="0" shrinkToFit="false"/>
      <protection locked="true" hidden="false"/>
    </xf>
    <xf numFmtId="305" fontId="178" fillId="40" borderId="0" xfId="0" applyFont="true" applyBorder="false" applyAlignment="true" applyProtection="false">
      <alignment horizontal="general" vertical="bottom" textRotation="0" wrapText="false" indent="0" shrinkToFit="false"/>
      <protection locked="true" hidden="false"/>
    </xf>
    <xf numFmtId="202" fontId="78" fillId="0" borderId="0" xfId="42" applyFont="true" applyBorder="false" applyAlignment="true" applyProtection="false">
      <alignment horizontal="general" vertical="bottom" textRotation="0" wrapText="false" indent="0" shrinkToFit="false"/>
      <protection locked="true" hidden="false"/>
    </xf>
    <xf numFmtId="314" fontId="0" fillId="0" borderId="0" xfId="42" applyFont="false" applyBorder="false" applyAlignment="true" applyProtection="false">
      <alignment horizontal="general" vertical="bottom" textRotation="0" wrapText="false" indent="0" shrinkToFit="false"/>
      <protection locked="true" hidden="false"/>
    </xf>
    <xf numFmtId="310" fontId="0" fillId="0" borderId="0" xfId="0" applyFont="false" applyBorder="false" applyAlignment="true" applyProtection="false">
      <alignment horizontal="general" vertical="bottom" textRotation="0" wrapText="false" indent="0" shrinkToFit="false"/>
      <protection locked="true" hidden="false"/>
    </xf>
    <xf numFmtId="317" fontId="178" fillId="0" borderId="0" xfId="42" applyFont="true" applyBorder="false" applyAlignment="true" applyProtection="false">
      <alignment horizontal="general" vertical="bottom" textRotation="0" wrapText="false" indent="0" shrinkToFit="false"/>
      <protection locked="true" hidden="false"/>
    </xf>
    <xf numFmtId="317" fontId="0" fillId="0" borderId="0" xfId="42" applyFont="false" applyBorder="false" applyAlignment="true" applyProtection="false">
      <alignment horizontal="general" vertical="bottom" textRotation="0" wrapText="false" indent="0" shrinkToFit="false"/>
      <protection locked="true" hidden="false"/>
    </xf>
    <xf numFmtId="305" fontId="185" fillId="0" borderId="0" xfId="42" applyFont="true" applyBorder="false" applyAlignment="true" applyProtection="false">
      <alignment horizontal="general" vertical="bottom" textRotation="0" wrapText="false" indent="0" shrinkToFit="false"/>
      <protection locked="true" hidden="false"/>
    </xf>
    <xf numFmtId="304" fontId="198" fillId="0" borderId="0" xfId="42" applyFont="true" applyBorder="false" applyAlignment="true" applyProtection="false">
      <alignment horizontal="general" vertical="bottom" textRotation="0" wrapText="false" indent="0" shrinkToFit="false"/>
      <protection locked="true" hidden="false"/>
    </xf>
    <xf numFmtId="306" fontId="178" fillId="40" borderId="0" xfId="42" applyFont="true" applyBorder="false" applyAlignment="true" applyProtection="false">
      <alignment horizontal="general" vertical="bottom" textRotation="0" wrapText="false" indent="0" shrinkToFit="false"/>
      <protection locked="true" hidden="false"/>
    </xf>
    <xf numFmtId="304" fontId="78" fillId="0" borderId="0" xfId="0" applyFont="true" applyBorder="false" applyAlignment="true" applyProtection="false">
      <alignment horizontal="general" vertical="bottom" textRotation="0" wrapText="false" indent="0" shrinkToFit="false"/>
      <protection locked="true" hidden="false"/>
    </xf>
    <xf numFmtId="304" fontId="199" fillId="0" borderId="0" xfId="42" applyFont="true" applyBorder="false" applyAlignment="true" applyProtection="false">
      <alignment horizontal="general" vertical="bottom" textRotation="0" wrapText="false" indent="0" shrinkToFit="false"/>
      <protection locked="true" hidden="false"/>
    </xf>
    <xf numFmtId="307" fontId="184" fillId="0" borderId="39" xfId="0" applyFont="true" applyBorder="true" applyAlignment="true" applyProtection="false">
      <alignment horizontal="general" vertical="bottom" textRotation="0" wrapText="false" indent="0" shrinkToFit="false"/>
      <protection locked="true" hidden="false"/>
    </xf>
    <xf numFmtId="171" fontId="184" fillId="0" borderId="39" xfId="0" applyFont="true" applyBorder="true" applyAlignment="true" applyProtection="false">
      <alignment horizontal="general" vertical="bottom" textRotation="0" wrapText="false" indent="0" shrinkToFit="false"/>
      <protection locked="true" hidden="false"/>
    </xf>
    <xf numFmtId="164" fontId="205" fillId="0" borderId="0" xfId="0" applyFont="true" applyBorder="false" applyAlignment="true" applyProtection="false">
      <alignment horizontal="general" vertical="bottom" textRotation="0" wrapText="true" indent="0" shrinkToFit="false"/>
      <protection locked="true" hidden="false"/>
    </xf>
    <xf numFmtId="312" fontId="179" fillId="0" borderId="0" xfId="42" applyFont="true" applyBorder="false" applyAlignment="true" applyProtection="false">
      <alignment horizontal="general" vertical="bottom" textRotation="0" wrapText="false" indent="0" shrinkToFit="false"/>
      <protection locked="true" hidden="false"/>
    </xf>
    <xf numFmtId="202" fontId="100" fillId="0" borderId="0" xfId="42" applyFont="true" applyBorder="false" applyAlignment="true" applyProtection="false">
      <alignment horizontal="general" vertical="bottom" textRotation="0" wrapText="false" indent="0" shrinkToFit="false"/>
      <protection locked="true" hidden="false"/>
    </xf>
    <xf numFmtId="273" fontId="184" fillId="0" borderId="0" xfId="46" applyFont="true" applyBorder="false" applyAlignment="true" applyProtection="false">
      <alignment horizontal="general" vertical="bottom" textRotation="0" wrapText="false" indent="0" shrinkToFit="false"/>
      <protection locked="true" hidden="false"/>
    </xf>
    <xf numFmtId="306" fontId="112" fillId="0" borderId="0" xfId="0" applyFont="true" applyBorder="false" applyAlignment="true" applyProtection="false">
      <alignment horizontal="general" vertical="bottom" textRotation="0" wrapText="false" indent="0" shrinkToFit="false"/>
      <protection locked="true" hidden="false"/>
    </xf>
    <xf numFmtId="203" fontId="184" fillId="0" borderId="0" xfId="0" applyFont="true" applyBorder="false" applyAlignment="true" applyProtection="false">
      <alignment horizontal="general" vertical="bottom" textRotation="0" wrapText="false" indent="0" shrinkToFit="false"/>
      <protection locked="true" hidden="false"/>
    </xf>
    <xf numFmtId="164" fontId="179" fillId="0" borderId="0" xfId="1013" applyFont="true" applyBorder="false" applyAlignment="true" applyProtection="true">
      <alignment horizontal="general" vertical="bottom" textRotation="0" wrapText="true" indent="0" shrinkToFit="false"/>
      <protection locked="true" hidden="false"/>
    </xf>
    <xf numFmtId="164" fontId="184" fillId="0" borderId="0" xfId="1013" applyFont="true" applyBorder="false" applyAlignment="true" applyProtection="true">
      <alignment horizontal="general" vertical="bottom" textRotation="0" wrapText="true" indent="0" shrinkToFit="false"/>
      <protection locked="true" hidden="false"/>
    </xf>
    <xf numFmtId="164" fontId="4" fillId="0" borderId="0" xfId="1013" applyFont="true" applyBorder="false" applyAlignment="true" applyProtection="true">
      <alignment horizontal="general" vertical="bottom" textRotation="0" wrapText="true" indent="0" shrinkToFit="false"/>
      <protection locked="true" hidden="false"/>
    </xf>
    <xf numFmtId="164" fontId="179" fillId="0" borderId="0" xfId="1013" applyFont="true" applyBorder="false" applyAlignment="true" applyProtection="true">
      <alignment horizontal="left" vertical="bottom" textRotation="0" wrapText="true" indent="0" shrinkToFit="false"/>
      <protection locked="true" hidden="false"/>
    </xf>
    <xf numFmtId="172" fontId="100" fillId="0" borderId="0" xfId="0" applyFont="true" applyBorder="false" applyAlignment="true" applyProtection="false">
      <alignment horizontal="general" vertical="bottom" textRotation="0" wrapText="false" indent="0" shrinkToFit="false"/>
      <protection locked="true" hidden="false"/>
    </xf>
    <xf numFmtId="164" fontId="184" fillId="31" borderId="0" xfId="0" applyFont="true" applyBorder="false" applyAlignment="true" applyProtection="false">
      <alignment horizontal="general" vertical="bottom" textRotation="0" wrapText="true" indent="0" shrinkToFit="false"/>
      <protection locked="true" hidden="false"/>
    </xf>
    <xf numFmtId="172" fontId="0" fillId="31" borderId="0" xfId="0" applyFont="false" applyBorder="false" applyAlignment="true" applyProtection="false">
      <alignment horizontal="general" vertical="bottom" textRotation="0" wrapText="false" indent="0" shrinkToFit="false"/>
      <protection locked="true" hidden="false"/>
    </xf>
    <xf numFmtId="164" fontId="0" fillId="31" borderId="0" xfId="0" applyFont="false" applyBorder="false" applyAlignment="true" applyProtection="false">
      <alignment horizontal="general" vertical="bottom" textRotation="0" wrapText="false" indent="0" shrinkToFit="false"/>
      <protection locked="true" hidden="false"/>
    </xf>
    <xf numFmtId="164" fontId="112" fillId="31" borderId="0" xfId="0" applyFont="true" applyBorder="false" applyAlignment="true" applyProtection="false">
      <alignment horizontal="general" vertical="bottom" textRotation="0" wrapText="false" indent="0" shrinkToFit="false"/>
      <protection locked="true" hidden="false"/>
    </xf>
    <xf numFmtId="262" fontId="0" fillId="0" borderId="0" xfId="0" applyFont="false" applyBorder="false" applyAlignment="true" applyProtection="false">
      <alignment horizontal="general" vertical="bottom" textRotation="0" wrapText="false" indent="0" shrinkToFit="false"/>
      <protection locked="true" hidden="false"/>
    </xf>
    <xf numFmtId="164" fontId="184" fillId="0" borderId="0" xfId="1013" applyFont="true" applyBorder="false" applyAlignment="true" applyProtection="true">
      <alignment horizontal="left" vertical="bottom" textRotation="0" wrapText="true" indent="0" shrinkToFit="false"/>
      <protection locked="true" hidden="false"/>
    </xf>
    <xf numFmtId="164" fontId="43" fillId="0" borderId="0" xfId="1013" applyFont="true" applyBorder="false" applyAlignment="true" applyProtection="true">
      <alignment horizontal="general" vertical="bottom" textRotation="0" wrapText="true" indent="0" shrinkToFit="false"/>
      <protection locked="true" hidden="false"/>
    </xf>
    <xf numFmtId="164" fontId="4" fillId="0" borderId="0" xfId="1013" applyFont="true" applyBorder="false" applyAlignment="true" applyProtection="true">
      <alignment horizontal="left" vertical="bottom" textRotation="0" wrapText="true" indent="0" shrinkToFit="false"/>
      <protection locked="true" hidden="false"/>
    </xf>
    <xf numFmtId="164" fontId="179" fillId="0" borderId="0" xfId="732" applyFont="true" applyBorder="false" applyAlignment="true" applyProtection="false">
      <alignment horizontal="general" vertical="bottom" textRotation="0" wrapText="true" indent="0" shrinkToFit="false"/>
      <protection locked="true" hidden="false"/>
    </xf>
    <xf numFmtId="164" fontId="179" fillId="31" borderId="0" xfId="0" applyFont="true" applyBorder="false" applyAlignment="true" applyProtection="false">
      <alignment horizontal="general" vertical="bottom" textRotation="0" wrapText="true" indent="0" shrinkToFit="false"/>
      <protection locked="true" hidden="false"/>
    </xf>
    <xf numFmtId="304" fontId="179" fillId="31" borderId="0" xfId="0" applyFont="true" applyBorder="false" applyAlignment="true" applyProtection="false">
      <alignment horizontal="general" vertical="bottom" textRotation="0" wrapText="false" indent="0" shrinkToFit="false"/>
      <protection locked="true" hidden="false"/>
    </xf>
    <xf numFmtId="304" fontId="179" fillId="31" borderId="0" xfId="42" applyFont="true" applyBorder="false" applyAlignment="true" applyProtection="false">
      <alignment horizontal="general" vertical="bottom" textRotation="0" wrapText="false" indent="0" shrinkToFit="false"/>
      <protection locked="true" hidden="false"/>
    </xf>
    <xf numFmtId="309" fontId="179" fillId="31" borderId="0" xfId="42" applyFont="true" applyBorder="false" applyAlignment="true" applyProtection="false">
      <alignment horizontal="general" vertical="bottom" textRotation="0" wrapText="false" indent="0" shrinkToFit="false"/>
      <protection locked="true" hidden="false"/>
    </xf>
    <xf numFmtId="260" fontId="10" fillId="0" borderId="0" xfId="0" applyFont="true" applyBorder="false" applyAlignment="true" applyProtection="false">
      <alignment horizontal="general" vertical="bottom" textRotation="0" wrapText="false" indent="0" shrinkToFit="false"/>
      <protection locked="true" hidden="false"/>
    </xf>
    <xf numFmtId="260" fontId="159" fillId="0" borderId="0" xfId="0" applyFont="true" applyBorder="false" applyAlignment="true" applyProtection="false">
      <alignment horizontal="general" vertical="bottom" textRotation="0" wrapText="false" indent="0" shrinkToFit="false"/>
      <protection locked="true" hidden="false"/>
    </xf>
    <xf numFmtId="260" fontId="0" fillId="0" borderId="0" xfId="0" applyFont="false" applyBorder="false" applyAlignment="true" applyProtection="false">
      <alignment horizontal="general" vertical="bottom" textRotation="0" wrapText="false" indent="0" shrinkToFit="false"/>
      <protection locked="true" hidden="false"/>
    </xf>
    <xf numFmtId="305" fontId="181" fillId="44" borderId="57" xfId="42" applyFont="true" applyBorder="true" applyAlignment="true" applyProtection="false">
      <alignment horizontal="general" vertical="bottom" textRotation="0" wrapText="false" indent="0" shrinkToFit="false"/>
      <protection locked="true" hidden="false"/>
    </xf>
    <xf numFmtId="305" fontId="181" fillId="44" borderId="32" xfId="42" applyFont="true" applyBorder="true" applyAlignment="true" applyProtection="false">
      <alignment horizontal="general" vertical="bottom" textRotation="0" wrapText="false" indent="0" shrinkToFit="false"/>
      <protection locked="true" hidden="false"/>
    </xf>
    <xf numFmtId="305" fontId="181" fillId="44" borderId="58" xfId="42" applyFont="true" applyBorder="true" applyAlignment="true" applyProtection="false">
      <alignment horizontal="general" vertical="bottom" textRotation="0" wrapText="false" indent="0" shrinkToFit="false"/>
      <protection locked="true" hidden="false"/>
    </xf>
    <xf numFmtId="305" fontId="181" fillId="44" borderId="59" xfId="42" applyFont="true" applyBorder="true" applyAlignment="true" applyProtection="false">
      <alignment horizontal="general" vertical="bottom" textRotation="0" wrapText="false" indent="0" shrinkToFit="false"/>
      <protection locked="true" hidden="false"/>
    </xf>
    <xf numFmtId="305" fontId="181" fillId="44" borderId="0" xfId="42" applyFont="true" applyBorder="false" applyAlignment="true" applyProtection="false">
      <alignment horizontal="general" vertical="bottom" textRotation="0" wrapText="false" indent="0" shrinkToFit="false"/>
      <protection locked="true" hidden="false"/>
    </xf>
    <xf numFmtId="305" fontId="181" fillId="44" borderId="60" xfId="42" applyFont="true" applyBorder="true" applyAlignment="true" applyProtection="false">
      <alignment horizontal="general" vertical="bottom" textRotation="0" wrapText="false" indent="0" shrinkToFit="false"/>
      <protection locked="true" hidden="false"/>
    </xf>
    <xf numFmtId="305" fontId="181" fillId="44" borderId="61" xfId="42" applyFont="true" applyBorder="true" applyAlignment="true" applyProtection="false">
      <alignment horizontal="general" vertical="bottom" textRotation="0" wrapText="false" indent="0" shrinkToFit="false"/>
      <protection locked="true" hidden="false"/>
    </xf>
    <xf numFmtId="305" fontId="181" fillId="44" borderId="29" xfId="42" applyFont="true" applyBorder="true" applyAlignment="true" applyProtection="false">
      <alignment horizontal="general" vertical="bottom" textRotation="0" wrapText="false" indent="0" shrinkToFit="false"/>
      <protection locked="true" hidden="false"/>
    </xf>
    <xf numFmtId="305" fontId="181" fillId="44" borderId="62" xfId="42" applyFont="true" applyBorder="true" applyAlignment="true" applyProtection="false">
      <alignment horizontal="general" vertical="bottom" textRotation="0" wrapText="false" indent="0" shrinkToFit="false"/>
      <protection locked="true" hidden="false"/>
    </xf>
    <xf numFmtId="164" fontId="175" fillId="0" borderId="0" xfId="0" applyFont="true" applyBorder="false" applyAlignment="true" applyProtection="false">
      <alignment horizontal="general" vertical="bottom" textRotation="0" wrapText="false" indent="0" shrinkToFit="false"/>
      <protection locked="true" hidden="false"/>
    </xf>
    <xf numFmtId="164" fontId="176" fillId="0" borderId="0" xfId="0" applyFont="true" applyBorder="false" applyAlignment="true" applyProtection="false">
      <alignment horizontal="general" vertical="bottom" textRotation="0" wrapText="false" indent="0" shrinkToFit="false"/>
      <protection locked="true" hidden="false"/>
    </xf>
    <xf numFmtId="164" fontId="182" fillId="46" borderId="0" xfId="0" applyFont="true" applyBorder="true" applyAlignment="true" applyProtection="false">
      <alignment horizontal="center" vertical="bottom" textRotation="0" wrapText="false" indent="0" shrinkToFit="false"/>
      <protection locked="true" hidden="false"/>
    </xf>
    <xf numFmtId="164" fontId="182" fillId="47" borderId="0" xfId="0" applyFont="true" applyBorder="true" applyAlignment="true" applyProtection="false">
      <alignment horizontal="center" vertical="bottom" textRotation="0" wrapText="false" indent="0" shrinkToFit="false"/>
      <protection locked="true" hidden="false"/>
    </xf>
    <xf numFmtId="164" fontId="182" fillId="48" borderId="0" xfId="0" applyFont="true" applyBorder="true" applyAlignment="true" applyProtection="false">
      <alignment horizontal="center" vertical="bottom" textRotation="0" wrapText="false" indent="0" shrinkToFit="false"/>
      <protection locked="true" hidden="false"/>
    </xf>
    <xf numFmtId="164" fontId="182" fillId="37" borderId="0" xfId="0" applyFont="true" applyBorder="true" applyAlignment="true" applyProtection="false">
      <alignment horizontal="center" vertical="bottom" textRotation="0" wrapText="false" indent="0" shrinkToFit="false"/>
      <protection locked="true" hidden="false"/>
    </xf>
    <xf numFmtId="164" fontId="182" fillId="0" borderId="0" xfId="0" applyFont="true" applyBorder="false" applyAlignment="true" applyProtection="false">
      <alignment horizontal="general" vertical="bottom" textRotation="0" wrapText="false" indent="0" shrinkToFit="false"/>
      <protection locked="true" hidden="false"/>
    </xf>
    <xf numFmtId="164" fontId="182" fillId="46" borderId="56" xfId="0" applyFont="true" applyBorder="true" applyAlignment="true" applyProtection="false">
      <alignment horizontal="center" vertical="bottom" textRotation="0" wrapText="false" indent="0" shrinkToFit="false"/>
      <protection locked="true" hidden="false"/>
    </xf>
    <xf numFmtId="164" fontId="182" fillId="47" borderId="56" xfId="0" applyFont="true" applyBorder="true" applyAlignment="true" applyProtection="false">
      <alignment horizontal="center" vertical="bottom" textRotation="0" wrapText="false" indent="0" shrinkToFit="false"/>
      <protection locked="true" hidden="false"/>
    </xf>
    <xf numFmtId="164" fontId="182" fillId="48" borderId="56" xfId="0" applyFont="true" applyBorder="true" applyAlignment="true" applyProtection="false">
      <alignment horizontal="center" vertical="bottom" textRotation="0" wrapText="false" indent="0" shrinkToFit="false"/>
      <protection locked="true" hidden="false"/>
    </xf>
    <xf numFmtId="164" fontId="182" fillId="37" borderId="56" xfId="0" applyFont="true" applyBorder="true" applyAlignment="true" applyProtection="false">
      <alignment horizontal="center" vertical="bottom" textRotation="0" wrapText="false" indent="0" shrinkToFit="false"/>
      <protection locked="true" hidden="false"/>
    </xf>
    <xf numFmtId="164" fontId="212" fillId="0" borderId="0" xfId="0" applyFont="true" applyBorder="false" applyAlignment="true" applyProtection="false">
      <alignment horizontal="general" vertical="bottom" textRotation="0" wrapText="false" indent="0" shrinkToFit="false"/>
      <protection locked="true" hidden="false"/>
    </xf>
    <xf numFmtId="164" fontId="212" fillId="0" borderId="0" xfId="0" applyFont="true" applyBorder="false" applyAlignment="true" applyProtection="false">
      <alignment horizontal="center" vertical="bottom" textRotation="0" wrapText="false" indent="0" shrinkToFit="false"/>
      <protection locked="true" hidden="false"/>
    </xf>
    <xf numFmtId="164" fontId="177" fillId="39" borderId="0" xfId="0" applyFont="true" applyBorder="false" applyAlignment="true" applyProtection="false">
      <alignment horizontal="general" vertical="bottom" textRotation="0" wrapText="false" indent="0" shrinkToFit="false"/>
      <protection locked="true" hidden="false"/>
    </xf>
    <xf numFmtId="164" fontId="0" fillId="39" borderId="0" xfId="0" applyFont="false" applyBorder="false" applyAlignment="true" applyProtection="false">
      <alignment horizontal="general" vertical="bottom" textRotation="0" wrapText="false" indent="0" shrinkToFit="false"/>
      <protection locked="true" hidden="false"/>
    </xf>
    <xf numFmtId="164" fontId="183" fillId="0" borderId="0" xfId="0" applyFont="true" applyBorder="false" applyAlignment="true" applyProtection="false">
      <alignment horizontal="general" vertical="bottom" textRotation="0" wrapText="false" indent="0" shrinkToFit="false"/>
      <protection locked="true" hidden="false"/>
    </xf>
    <xf numFmtId="318" fontId="178" fillId="0" borderId="0" xfId="0" applyFont="true" applyBorder="false" applyAlignment="true" applyProtection="false">
      <alignment horizontal="general" vertical="bottom" textRotation="0" wrapText="false" indent="0" shrinkToFit="false"/>
      <protection locked="true" hidden="false"/>
    </xf>
    <xf numFmtId="318" fontId="178" fillId="40" borderId="0" xfId="0" applyFont="true" applyBorder="false" applyAlignment="true" applyProtection="false">
      <alignment horizontal="general" vertical="bottom" textRotation="0" wrapText="false" indent="0" shrinkToFit="false"/>
      <protection locked="true" hidden="false"/>
    </xf>
    <xf numFmtId="318" fontId="179" fillId="40" borderId="0" xfId="0" applyFont="true" applyBorder="false" applyAlignment="true" applyProtection="false">
      <alignment horizontal="general" vertical="bottom" textRotation="0" wrapText="false" indent="0" shrinkToFit="false"/>
      <protection locked="true" hidden="false"/>
    </xf>
    <xf numFmtId="318" fontId="0" fillId="0" borderId="0" xfId="0" applyFont="false" applyBorder="false" applyAlignment="true" applyProtection="false">
      <alignment horizontal="general" vertical="bottom" textRotation="0" wrapText="false" indent="0" shrinkToFit="false"/>
      <protection locked="true" hidden="false"/>
    </xf>
    <xf numFmtId="318" fontId="180" fillId="0" borderId="0" xfId="0" applyFont="true" applyBorder="false" applyAlignment="true" applyProtection="false">
      <alignment horizontal="general" vertical="bottom" textRotation="0" wrapText="false" indent="0" shrinkToFit="false"/>
      <protection locked="true" hidden="false"/>
    </xf>
    <xf numFmtId="318" fontId="179" fillId="0" borderId="0" xfId="0" applyFont="true" applyBorder="false" applyAlignment="true" applyProtection="false">
      <alignment horizontal="general" vertical="bottom" textRotation="0" wrapText="false" indent="0" shrinkToFit="false"/>
      <protection locked="true" hidden="false"/>
    </xf>
    <xf numFmtId="164" fontId="184" fillId="0" borderId="63" xfId="0" applyFont="true" applyBorder="true" applyAlignment="true" applyProtection="false">
      <alignment horizontal="general" vertical="bottom" textRotation="0" wrapText="false" indent="0" shrinkToFit="false"/>
      <protection locked="true" hidden="false"/>
    </xf>
    <xf numFmtId="318" fontId="184" fillId="0" borderId="63" xfId="0" applyFont="true" applyBorder="true" applyAlignment="true" applyProtection="false">
      <alignment horizontal="general" vertical="bottom" textRotation="0" wrapText="false" indent="0" shrinkToFit="false"/>
      <protection locked="true" hidden="false"/>
    </xf>
    <xf numFmtId="318" fontId="185" fillId="0" borderId="63" xfId="0" applyFont="true" applyBorder="true" applyAlignment="true" applyProtection="false">
      <alignment horizontal="general" vertical="bottom" textRotation="0" wrapText="false" indent="0" shrinkToFit="false"/>
      <protection locked="true" hidden="false"/>
    </xf>
    <xf numFmtId="318" fontId="213" fillId="0" borderId="63" xfId="0" applyFont="true" applyBorder="true" applyAlignment="true" applyProtection="false">
      <alignment horizontal="general" vertical="bottom" textRotation="0" wrapText="false" indent="0" shrinkToFit="false"/>
      <protection locked="true" hidden="false"/>
    </xf>
    <xf numFmtId="319" fontId="0" fillId="0" borderId="0" xfId="0" applyFont="false" applyBorder="false" applyAlignment="true" applyProtection="false">
      <alignment horizontal="general" vertical="bottom" textRotation="0" wrapText="false" indent="0" shrinkToFit="false"/>
      <protection locked="true" hidden="false"/>
    </xf>
    <xf numFmtId="319" fontId="179" fillId="0"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9" fontId="179" fillId="0" borderId="0" xfId="0" applyFont="true" applyBorder="false" applyAlignment="true" applyProtection="false">
      <alignment horizontal="general" vertical="bottom" textRotation="0" wrapText="false" indent="0" shrinkToFit="false"/>
      <protection locked="true" hidden="false"/>
    </xf>
    <xf numFmtId="169" fontId="179" fillId="40" borderId="0" xfId="0" applyFont="true" applyBorder="false" applyAlignment="true" applyProtection="false">
      <alignment horizontal="general" vertical="bottom" textRotation="0" wrapText="false" indent="0" shrinkToFit="false"/>
      <protection locked="true" hidden="false"/>
    </xf>
    <xf numFmtId="169" fontId="178" fillId="40" borderId="0" xfId="0" applyFont="true" applyBorder="false" applyAlignment="true" applyProtection="false">
      <alignment horizontal="general" vertical="bottom" textRotation="0" wrapText="false" indent="0" shrinkToFit="false"/>
      <protection locked="true" hidden="false"/>
    </xf>
    <xf numFmtId="169" fontId="178" fillId="0" borderId="0" xfId="0" applyFont="true" applyBorder="false" applyAlignment="true" applyProtection="false">
      <alignment horizontal="general" vertical="bottom" textRotation="0" wrapText="false" indent="0" shrinkToFit="false"/>
      <protection locked="true" hidden="false"/>
    </xf>
    <xf numFmtId="169" fontId="180" fillId="0" borderId="0" xfId="0" applyFont="true" applyBorder="false" applyAlignment="true" applyProtection="false">
      <alignment horizontal="general" vertical="bottom" textRotation="0" wrapText="false" indent="0" shrinkToFit="false"/>
      <protection locked="true" hidden="false"/>
    </xf>
    <xf numFmtId="169" fontId="184" fillId="0" borderId="63" xfId="0" applyFont="true" applyBorder="true" applyAlignment="true" applyProtection="false">
      <alignment horizontal="general" vertical="bottom" textRotation="0" wrapText="false" indent="0" shrinkToFit="false"/>
      <protection locked="true" hidden="false"/>
    </xf>
    <xf numFmtId="320" fontId="178" fillId="0" borderId="0" xfId="0" applyFont="true" applyBorder="false" applyAlignment="true" applyProtection="false">
      <alignment horizontal="general" vertical="bottom" textRotation="0" wrapText="false" indent="0" shrinkToFit="false"/>
      <protection locked="true" hidden="false"/>
    </xf>
    <xf numFmtId="320" fontId="0" fillId="0" borderId="0" xfId="0" applyFont="false" applyBorder="false" applyAlignment="true" applyProtection="false">
      <alignment horizontal="general" vertical="bottom" textRotation="0" wrapText="false" indent="0" shrinkToFit="false"/>
      <protection locked="true" hidden="false"/>
    </xf>
    <xf numFmtId="169" fontId="213" fillId="0" borderId="63" xfId="0" applyFont="true" applyBorder="true" applyAlignment="true" applyProtection="false">
      <alignment horizontal="general" vertical="bottom" textRotation="0" wrapText="false" indent="0" shrinkToFit="false"/>
      <protection locked="true" hidden="false"/>
    </xf>
    <xf numFmtId="318" fontId="184" fillId="40" borderId="63" xfId="0" applyFont="true" applyBorder="true" applyAlignment="true" applyProtection="false">
      <alignment horizontal="general" vertical="bottom" textRotation="0" wrapText="false" indent="0" shrinkToFit="false"/>
      <protection locked="true" hidden="false"/>
    </xf>
    <xf numFmtId="320" fontId="179" fillId="0" borderId="0" xfId="0" applyFont="true" applyBorder="false" applyAlignment="true" applyProtection="false">
      <alignment horizontal="general" vertical="bottom" textRotation="0" wrapText="false" indent="0" shrinkToFit="false"/>
      <protection locked="true" hidden="false"/>
    </xf>
    <xf numFmtId="321" fontId="179" fillId="0" borderId="0" xfId="0" applyFont="true" applyBorder="false" applyAlignment="true" applyProtection="false">
      <alignment horizontal="general" vertical="bottom" textRotation="0" wrapText="false" indent="0" shrinkToFit="false"/>
      <protection locked="true" hidden="false"/>
    </xf>
    <xf numFmtId="321" fontId="0" fillId="0" borderId="0" xfId="0" applyFont="false" applyBorder="false" applyAlignment="true" applyProtection="false">
      <alignment horizontal="general" vertical="bottom" textRotation="0" wrapText="false" indent="0" shrinkToFit="false"/>
      <protection locked="true" hidden="false"/>
    </xf>
    <xf numFmtId="164" fontId="179" fillId="0" borderId="0" xfId="0" applyFont="true" applyBorder="false" applyAlignment="true" applyProtection="false">
      <alignment horizontal="left" vertical="bottom" textRotation="0" wrapText="false" indent="0" shrinkToFit="false"/>
      <protection locked="true" hidden="false"/>
    </xf>
    <xf numFmtId="164" fontId="0" fillId="0" borderId="21" xfId="0" applyFont="false" applyBorder="true" applyAlignment="tru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304" fontId="0" fillId="0" borderId="21" xfId="42" applyFont="false" applyBorder="true" applyAlignment="true" applyProtection="false">
      <alignment horizontal="general" vertical="bottom" textRotation="0" wrapText="false" indent="0" shrinkToFit="false"/>
      <protection locked="true" hidden="false"/>
    </xf>
    <xf numFmtId="164" fontId="184" fillId="0" borderId="21" xfId="0" applyFont="true" applyBorder="true" applyAlignment="true" applyProtection="false">
      <alignment horizontal="general" vertical="bottom" textRotation="0" wrapText="false" indent="0" shrinkToFit="false"/>
      <protection locked="true" hidden="false"/>
    </xf>
    <xf numFmtId="304" fontId="184" fillId="0" borderId="21" xfId="42" applyFont="true" applyBorder="true" applyAlignment="true" applyProtection="false">
      <alignment horizontal="general" vertical="bottom" textRotation="0" wrapText="false" indent="0" shrinkToFit="false"/>
      <protection locked="true" hidden="false"/>
    </xf>
    <xf numFmtId="291" fontId="0" fillId="0" borderId="0" xfId="0" applyFont="false" applyBorder="false" applyAlignment="true" applyProtection="false">
      <alignment horizontal="general" vertical="bottom" textRotation="0" wrapText="false" indent="0" shrinkToFit="false"/>
      <protection locked="true" hidden="false"/>
    </xf>
    <xf numFmtId="304" fontId="179" fillId="0" borderId="21" xfId="42" applyFont="true" applyBorder="true" applyAlignment="true" applyProtection="false">
      <alignment horizontal="general" vertical="bottom" textRotation="0" wrapText="false" indent="0" shrinkToFit="false"/>
      <protection locked="true" hidden="false"/>
    </xf>
    <xf numFmtId="202" fontId="184" fillId="0" borderId="0" xfId="0" applyFont="true" applyBorder="false" applyAlignment="true" applyProtection="false">
      <alignment horizontal="general" vertical="bottom" textRotation="0" wrapText="false" indent="0" shrinkToFit="false"/>
      <protection locked="true" hidden="false"/>
    </xf>
    <xf numFmtId="273" fontId="0" fillId="0" borderId="21" xfId="46" applyFont="true" applyBorder="true" applyAlignment="true" applyProtection="false">
      <alignment horizontal="general" vertical="bottom" textRotation="0" wrapText="false" indent="0" shrinkToFit="false"/>
      <protection locked="true" hidden="false"/>
    </xf>
    <xf numFmtId="202" fontId="55" fillId="0" borderId="0" xfId="46" applyFont="true" applyBorder="false" applyAlignment="true" applyProtection="false">
      <alignment horizontal="general" vertical="bottom" textRotation="0" wrapText="false" indent="0" shrinkToFit="false"/>
      <protection locked="true" hidden="false"/>
    </xf>
    <xf numFmtId="202" fontId="0" fillId="0" borderId="21" xfId="0" applyFont="false" applyBorder="true" applyAlignment="true" applyProtection="false">
      <alignment horizontal="general" vertical="bottom" textRotation="0" wrapText="false" indent="0" shrinkToFit="false"/>
      <protection locked="true" hidden="false"/>
    </xf>
    <xf numFmtId="304" fontId="55" fillId="0" borderId="0" xfId="0" applyFont="true" applyBorder="false" applyAlignment="true" applyProtection="false">
      <alignment horizontal="general" vertical="bottom" textRotation="0" wrapText="false" indent="0" shrinkToFit="false"/>
      <protection locked="true" hidden="false"/>
    </xf>
    <xf numFmtId="322" fontId="179" fillId="16" borderId="0" xfId="0" applyFont="true" applyBorder="false" applyAlignment="true" applyProtection="false">
      <alignment horizontal="general" vertical="bottom" textRotation="0" wrapText="false" indent="0" shrinkToFit="false"/>
      <protection locked="true" hidden="false"/>
    </xf>
    <xf numFmtId="322" fontId="179" fillId="0" borderId="0" xfId="0" applyFont="true" applyBorder="false" applyAlignment="true" applyProtection="false">
      <alignment horizontal="general" vertical="bottom" textRotation="0" wrapText="false" indent="0" shrinkToFit="false"/>
      <protection locked="true" hidden="false"/>
    </xf>
    <xf numFmtId="322" fontId="0" fillId="0" borderId="0" xfId="0" applyFont="false" applyBorder="false" applyAlignment="true" applyProtection="false">
      <alignment horizontal="general" vertical="bottom" textRotation="0" wrapText="false" indent="0" shrinkToFit="false"/>
      <protection locked="true" hidden="false"/>
    </xf>
    <xf numFmtId="322" fontId="0" fillId="0" borderId="21" xfId="0" applyFont="false" applyBorder="true" applyAlignment="true" applyProtection="false">
      <alignment horizontal="general" vertical="bottom" textRotation="0" wrapText="false" indent="0" shrinkToFit="false"/>
      <protection locked="true" hidden="false"/>
    </xf>
    <xf numFmtId="323" fontId="0" fillId="0" borderId="0" xfId="0" applyFont="false" applyBorder="false" applyAlignment="true" applyProtection="false">
      <alignment horizontal="general" vertical="bottom" textRotation="0" wrapText="false" indent="0" shrinkToFit="false"/>
      <protection locked="true" hidden="false"/>
    </xf>
    <xf numFmtId="323" fontId="0" fillId="0" borderId="21" xfId="0" applyFont="false" applyBorder="true" applyAlignment="true" applyProtection="false">
      <alignment horizontal="general" vertical="bottom" textRotation="0" wrapText="false" indent="0" shrinkToFit="false"/>
      <protection locked="true" hidden="false"/>
    </xf>
    <xf numFmtId="202" fontId="179" fillId="16" borderId="0" xfId="0" applyFont="true" applyBorder="false" applyAlignment="true" applyProtection="false">
      <alignment horizontal="general" vertical="bottom" textRotation="0" wrapText="false" indent="0" shrinkToFit="false"/>
      <protection locked="true" hidden="false"/>
    </xf>
    <xf numFmtId="304" fontId="185" fillId="0" borderId="0" xfId="42" applyFont="true" applyBorder="false" applyAlignment="true" applyProtection="false">
      <alignment horizontal="general" vertical="top" textRotation="0" wrapText="false" indent="0" shrinkToFit="false"/>
      <protection locked="true" hidden="false"/>
    </xf>
    <xf numFmtId="306" fontId="185" fillId="40" borderId="0" xfId="0" applyFont="true" applyBorder="false" applyAlignment="true" applyProtection="false">
      <alignment horizontal="general" vertical="bottom" textRotation="0" wrapText="false" indent="0" shrinkToFit="false"/>
      <protection locked="true" hidden="false"/>
    </xf>
    <xf numFmtId="304" fontId="178" fillId="0" borderId="0" xfId="42" applyFont="true" applyBorder="false" applyAlignment="true" applyProtection="false">
      <alignment horizontal="general" vertical="top" textRotation="0" wrapText="false" indent="0" shrinkToFit="false"/>
      <protection locked="true" hidden="false"/>
    </xf>
    <xf numFmtId="306" fontId="0" fillId="0" borderId="21" xfId="42" applyFont="false" applyBorder="true" applyAlignment="true" applyProtection="false">
      <alignment horizontal="general" vertical="bottom" textRotation="0" wrapText="false" indent="0" shrinkToFit="false"/>
      <protection locked="true" hidden="false"/>
    </xf>
    <xf numFmtId="306" fontId="10" fillId="0" borderId="21" xfId="42" applyFont="true" applyBorder="true" applyAlignment="true" applyProtection="false">
      <alignment horizontal="general" vertical="bottom" textRotation="0" wrapText="false" indent="0" shrinkToFit="false"/>
      <protection locked="true" hidden="false"/>
    </xf>
    <xf numFmtId="164" fontId="159" fillId="0" borderId="0" xfId="0" applyFont="true" applyBorder="false" applyAlignment="true" applyProtection="false">
      <alignment horizontal="general" vertical="bottom" textRotation="0" wrapText="false" indent="0" shrinkToFit="false"/>
      <protection locked="true" hidden="false"/>
    </xf>
    <xf numFmtId="202" fontId="178" fillId="0" borderId="0" xfId="389" applyFont="true" applyBorder="false" applyAlignment="true" applyProtection="false">
      <alignment horizontal="general" vertical="top" textRotation="0" wrapText="false" indent="0" shrinkToFit="false"/>
      <protection locked="true" hidden="false"/>
    </xf>
    <xf numFmtId="309" fontId="179" fillId="40" borderId="0" xfId="42" applyFont="true" applyBorder="false" applyAlignment="true" applyProtection="false">
      <alignment horizontal="general" vertical="bottom" textRotation="0" wrapText="false" indent="0" shrinkToFit="false"/>
      <protection locked="true" hidden="false"/>
    </xf>
    <xf numFmtId="304" fontId="204" fillId="0" borderId="21" xfId="42" applyFont="true" applyBorder="true" applyAlignment="true" applyProtection="false">
      <alignment horizontal="general" vertical="bottom" textRotation="0" wrapText="false" indent="0" shrinkToFit="false"/>
      <protection locked="true" hidden="false"/>
    </xf>
    <xf numFmtId="305" fontId="204" fillId="0" borderId="0" xfId="42" applyFont="true" applyBorder="false" applyAlignment="true" applyProtection="false">
      <alignment horizontal="general" vertical="bottom" textRotation="0" wrapText="false" indent="0" shrinkToFit="false"/>
      <protection locked="true" hidden="false"/>
    </xf>
    <xf numFmtId="305" fontId="204" fillId="0" borderId="21" xfId="42" applyFont="true" applyBorder="true" applyAlignment="true" applyProtection="false">
      <alignment horizontal="general" vertical="bottom" textRotation="0" wrapText="false" indent="0" shrinkToFit="false"/>
      <protection locked="true" hidden="false"/>
    </xf>
    <xf numFmtId="304" fontId="55" fillId="0" borderId="21" xfId="42" applyFont="true" applyBorder="true" applyAlignment="true" applyProtection="false">
      <alignment horizontal="general" vertical="bottom" textRotation="0" wrapText="false" indent="0" shrinkToFit="false"/>
      <protection locked="true" hidden="false"/>
    </xf>
    <xf numFmtId="197" fontId="55" fillId="0" borderId="0" xfId="0" applyFont="true" applyBorder="false" applyAlignment="true" applyProtection="false">
      <alignment horizontal="general" vertical="bottom" textRotation="0" wrapText="false" indent="0" shrinkToFit="false"/>
      <protection locked="true" hidden="false"/>
    </xf>
    <xf numFmtId="306" fontId="55" fillId="0" borderId="0" xfId="42" applyFont="true" applyBorder="false" applyAlignment="true" applyProtection="false">
      <alignment horizontal="general" vertical="bottom" textRotation="0" wrapText="false" indent="0" shrinkToFit="false"/>
      <protection locked="true" hidden="false"/>
    </xf>
    <xf numFmtId="164" fontId="10" fillId="0" borderId="21" xfId="0" applyFont="true" applyBorder="true" applyAlignment="true" applyProtection="false">
      <alignment horizontal="general" vertical="bottom" textRotation="0" wrapText="false" indent="0" shrinkToFit="false"/>
      <protection locked="true" hidden="false"/>
    </xf>
    <xf numFmtId="304" fontId="159" fillId="0" borderId="21" xfId="42" applyFont="true" applyBorder="true" applyAlignment="true" applyProtection="false">
      <alignment horizontal="general" vertical="bottom" textRotation="0" wrapText="false" indent="0" shrinkToFit="false"/>
      <protection locked="true" hidden="false"/>
    </xf>
    <xf numFmtId="306" fontId="184" fillId="0" borderId="21" xfId="42" applyFont="true" applyBorder="true" applyAlignment="true" applyProtection="false">
      <alignment horizontal="general" vertical="bottom" textRotation="0" wrapText="false" indent="0" shrinkToFit="false"/>
      <protection locked="true" hidden="false"/>
    </xf>
    <xf numFmtId="306" fontId="179" fillId="0" borderId="21" xfId="42" applyFont="true" applyBorder="true" applyAlignment="true" applyProtection="false">
      <alignment horizontal="general" vertical="bottom" textRotation="0" wrapText="false" indent="0" shrinkToFit="false"/>
      <protection locked="true" hidden="false"/>
    </xf>
    <xf numFmtId="172" fontId="184" fillId="0" borderId="21" xfId="0" applyFont="true" applyBorder="true" applyAlignment="true" applyProtection="false">
      <alignment horizontal="general" vertical="bottom" textRotation="0" wrapText="false" indent="0" shrinkToFit="false"/>
      <protection locked="true" hidden="false"/>
    </xf>
    <xf numFmtId="172" fontId="159" fillId="0" borderId="0" xfId="0" applyFont="true" applyBorder="false" applyAlignment="true" applyProtection="false">
      <alignment horizontal="general" vertical="bottom" textRotation="0" wrapText="false" indent="0" shrinkToFit="false"/>
      <protection locked="true" hidden="false"/>
    </xf>
    <xf numFmtId="306" fontId="159" fillId="0" borderId="0" xfId="42" applyFont="true" applyBorder="false" applyAlignment="true" applyProtection="false">
      <alignment horizontal="general" vertical="bottom" textRotation="0" wrapText="false" indent="0" shrinkToFit="false"/>
      <protection locked="true" hidden="false"/>
    </xf>
    <xf numFmtId="273" fontId="55" fillId="0" borderId="0" xfId="46" applyFont="true" applyBorder="false" applyAlignment="true" applyProtection="false">
      <alignment horizontal="general" vertical="bottom" textRotation="0" wrapText="false" indent="0" shrinkToFit="false"/>
      <protection locked="true" hidden="false"/>
    </xf>
    <xf numFmtId="164" fontId="178" fillId="0" borderId="21" xfId="0" applyFont="true" applyBorder="true" applyAlignment="true" applyProtection="false">
      <alignment horizontal="general" vertical="bottom" textRotation="0" wrapText="false" indent="0" shrinkToFit="false"/>
      <protection locked="true" hidden="false"/>
    </xf>
    <xf numFmtId="304" fontId="180" fillId="0" borderId="0" xfId="0" applyFont="true" applyBorder="false" applyAlignment="true" applyProtection="false">
      <alignment horizontal="general" vertical="bottom" textRotation="0" wrapText="false" indent="0" shrinkToFit="false"/>
      <protection locked="true" hidden="false"/>
    </xf>
    <xf numFmtId="202" fontId="179" fillId="0" borderId="21" xfId="0" applyFont="true" applyBorder="true" applyAlignment="true" applyProtection="false">
      <alignment horizontal="general" vertical="bottom" textRotation="0" wrapText="false" indent="0" shrinkToFit="false"/>
      <protection locked="true" hidden="false"/>
    </xf>
    <xf numFmtId="202" fontId="55" fillId="0" borderId="0" xfId="0" applyFont="true" applyBorder="false" applyAlignment="true" applyProtection="false">
      <alignment horizontal="general" vertical="bottom" textRotation="0" wrapText="false" indent="0" shrinkToFit="false"/>
      <protection locked="true" hidden="false"/>
    </xf>
    <xf numFmtId="172" fontId="179" fillId="0" borderId="21" xfId="0" applyFont="true" applyBorder="true" applyAlignment="true" applyProtection="false">
      <alignment horizontal="general" vertical="bottom" textRotation="0" wrapText="false" indent="0" shrinkToFit="false"/>
      <protection locked="true" hidden="false"/>
    </xf>
    <xf numFmtId="172" fontId="55" fillId="0" borderId="0" xfId="0" applyFont="true" applyBorder="false" applyAlignment="true" applyProtection="false">
      <alignment horizontal="general" vertical="bottom" textRotation="0" wrapText="false" indent="0" shrinkToFit="false"/>
      <protection locked="true" hidden="false"/>
    </xf>
    <xf numFmtId="164" fontId="10" fillId="0" borderId="38" xfId="0" applyFont="true" applyBorder="true" applyAlignment="true" applyProtection="false">
      <alignment horizontal="general" vertical="bottom" textRotation="0" wrapText="false" indent="0" shrinkToFit="false"/>
      <protection locked="true" hidden="false"/>
    </xf>
    <xf numFmtId="304" fontId="184" fillId="0" borderId="38" xfId="0" applyFont="true" applyBorder="true" applyAlignment="true" applyProtection="false">
      <alignment horizontal="general" vertical="bottom" textRotation="0" wrapText="false" indent="0" shrinkToFit="false"/>
      <protection locked="true" hidden="false"/>
    </xf>
    <xf numFmtId="164" fontId="184" fillId="0" borderId="38" xfId="0" applyFont="true" applyBorder="true" applyAlignment="true" applyProtection="false">
      <alignment horizontal="general" vertical="bottom" textRotation="0" wrapText="false" indent="0" shrinkToFit="false"/>
      <protection locked="true" hidden="false"/>
    </xf>
    <xf numFmtId="304" fontId="10" fillId="0" borderId="38" xfId="0" applyFont="true" applyBorder="true" applyAlignment="true" applyProtection="false">
      <alignment horizontal="general" vertical="bottom" textRotation="0" wrapText="false" indent="0" shrinkToFit="false"/>
      <protection locked="true" hidden="false"/>
    </xf>
    <xf numFmtId="304" fontId="159" fillId="0" borderId="15" xfId="42" applyFont="true" applyBorder="true" applyAlignment="true" applyProtection="false">
      <alignment horizontal="general" vertical="bottom" textRotation="0" wrapText="false" indent="0" shrinkToFit="false"/>
      <protection locked="true" hidden="false"/>
    </xf>
    <xf numFmtId="164" fontId="159" fillId="0" borderId="38"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304"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304" fontId="10" fillId="0" borderId="21" xfId="42" applyFont="true" applyBorder="true" applyAlignment="true" applyProtection="false">
      <alignment horizontal="general" vertical="bottom" textRotation="0" wrapText="false" indent="0" shrinkToFit="false"/>
      <protection locked="true" hidden="false"/>
    </xf>
    <xf numFmtId="251" fontId="184" fillId="0" borderId="0" xfId="46" applyFont="true" applyBorder="false" applyAlignment="true" applyProtection="false">
      <alignment horizontal="general" vertical="bottom" textRotation="0" wrapText="false" indent="0" shrinkToFit="false"/>
      <protection locked="true" hidden="false"/>
    </xf>
    <xf numFmtId="164" fontId="217" fillId="0" borderId="0" xfId="0" applyFont="true" applyBorder="false" applyAlignment="true" applyProtection="false">
      <alignment horizontal="general" vertical="bottom" textRotation="0" wrapText="false" indent="0" shrinkToFit="false"/>
      <protection locked="true" hidden="false"/>
    </xf>
    <xf numFmtId="164" fontId="184" fillId="43" borderId="0" xfId="0" applyFont="true" applyBorder="false" applyAlignment="true" applyProtection="false">
      <alignment horizontal="general" vertical="bottom" textRotation="0" wrapText="false" indent="0" shrinkToFit="false"/>
      <protection locked="true" hidden="false"/>
    </xf>
    <xf numFmtId="164" fontId="10" fillId="43" borderId="0" xfId="0" applyFont="true" applyBorder="false" applyAlignment="true" applyProtection="false">
      <alignment horizontal="general" vertical="bottom" textRotation="0" wrapText="false" indent="0" shrinkToFit="false"/>
      <protection locked="true" hidden="false"/>
    </xf>
    <xf numFmtId="164" fontId="184" fillId="49" borderId="0" xfId="0" applyFont="true" applyBorder="false" applyAlignment="true" applyProtection="false">
      <alignment horizontal="general" vertical="bottom" textRotation="0" wrapText="false" indent="0" shrinkToFit="false"/>
      <protection locked="true" hidden="false"/>
    </xf>
    <xf numFmtId="164" fontId="10" fillId="49" borderId="0" xfId="0" applyFont="true" applyBorder="false" applyAlignment="true" applyProtection="false">
      <alignment horizontal="general" vertical="bottom" textRotation="0" wrapText="false" indent="0" shrinkToFit="false"/>
      <protection locked="true" hidden="false"/>
    </xf>
    <xf numFmtId="164" fontId="184" fillId="50" borderId="0" xfId="0" applyFont="true" applyBorder="false" applyAlignment="true" applyProtection="false">
      <alignment horizontal="general" vertical="bottom" textRotation="0" wrapText="false" indent="0" shrinkToFit="false"/>
      <protection locked="true" hidden="false"/>
    </xf>
    <xf numFmtId="164" fontId="0" fillId="50" borderId="0" xfId="0" applyFont="false" applyBorder="false" applyAlignment="true" applyProtection="false">
      <alignment horizontal="general" vertical="bottom" textRotation="0" wrapText="false" indent="0" shrinkToFit="false"/>
      <protection locked="true" hidden="false"/>
    </xf>
    <xf numFmtId="291" fontId="184" fillId="51" borderId="16" xfId="0" applyFont="true" applyBorder="true" applyAlignment="true" applyProtection="false">
      <alignment horizontal="general" vertical="bottom" textRotation="0" wrapText="false" indent="0" shrinkToFit="false"/>
      <protection locked="true" hidden="false"/>
    </xf>
    <xf numFmtId="291" fontId="184" fillId="51" borderId="18" xfId="0" applyFont="true" applyBorder="true" applyAlignment="true" applyProtection="false">
      <alignment horizontal="general" vertical="bottom" textRotation="0" wrapText="false" indent="0" shrinkToFit="false"/>
      <protection locked="true" hidden="false"/>
    </xf>
    <xf numFmtId="291" fontId="184" fillId="49" borderId="18" xfId="0" applyFont="true" applyBorder="true" applyAlignment="true" applyProtection="false">
      <alignment horizontal="general" vertical="bottom" textRotation="0" wrapText="false" indent="0" shrinkToFit="false"/>
      <protection locked="true" hidden="false"/>
    </xf>
    <xf numFmtId="291" fontId="184" fillId="50" borderId="18" xfId="0" applyFont="true" applyBorder="true" applyAlignment="true" applyProtection="false">
      <alignment horizontal="general" vertical="bottom" textRotation="0" wrapText="false" indent="0" shrinkToFit="false"/>
      <protection locked="true" hidden="false"/>
    </xf>
    <xf numFmtId="304" fontId="180" fillId="51" borderId="2" xfId="42" applyFont="true" applyBorder="true" applyAlignment="true" applyProtection="false">
      <alignment horizontal="general" vertical="bottom" textRotation="0" wrapText="false" indent="0" shrinkToFit="false"/>
      <protection locked="true" hidden="false"/>
    </xf>
    <xf numFmtId="304" fontId="180" fillId="51" borderId="0" xfId="42" applyFont="true" applyBorder="false" applyAlignment="true" applyProtection="false">
      <alignment horizontal="general" vertical="bottom" textRotation="0" wrapText="false" indent="0" shrinkToFit="false"/>
      <protection locked="true" hidden="false"/>
    </xf>
    <xf numFmtId="304" fontId="180" fillId="49" borderId="0" xfId="42" applyFont="true" applyBorder="false" applyAlignment="true" applyProtection="false">
      <alignment horizontal="general" vertical="bottom" textRotation="0" wrapText="false" indent="0" shrinkToFit="false"/>
      <protection locked="true" hidden="false"/>
    </xf>
    <xf numFmtId="304" fontId="0" fillId="50" borderId="0" xfId="42" applyFont="false" applyBorder="false" applyAlignment="true" applyProtection="false">
      <alignment horizontal="general" vertical="bottom" textRotation="0" wrapText="false" indent="0" shrinkToFit="false"/>
      <protection locked="true" hidden="false"/>
    </xf>
    <xf numFmtId="251" fontId="179" fillId="51" borderId="2" xfId="46" applyFont="true" applyBorder="true" applyAlignment="true" applyProtection="false">
      <alignment horizontal="general" vertical="bottom" textRotation="0" wrapText="false" indent="0" shrinkToFit="false"/>
      <protection locked="true" hidden="false"/>
    </xf>
    <xf numFmtId="251" fontId="179" fillId="51" borderId="0" xfId="46" applyFont="true" applyBorder="false" applyAlignment="true" applyProtection="false">
      <alignment horizontal="general" vertical="bottom" textRotation="0" wrapText="false" indent="0" shrinkToFit="false"/>
      <protection locked="true" hidden="false"/>
    </xf>
    <xf numFmtId="251" fontId="179" fillId="49" borderId="0" xfId="46" applyFont="true" applyBorder="false" applyAlignment="true" applyProtection="false">
      <alignment horizontal="general" vertical="bottom" textRotation="0" wrapText="false" indent="0" shrinkToFit="false"/>
      <protection locked="true" hidden="false"/>
    </xf>
    <xf numFmtId="251" fontId="185" fillId="50" borderId="0" xfId="0" applyFont="true" applyBorder="false" applyAlignment="true" applyProtection="false">
      <alignment horizontal="general" vertical="bottom" textRotation="0" wrapText="false" indent="0" shrinkToFit="false"/>
      <protection locked="true" hidden="false"/>
    </xf>
    <xf numFmtId="304" fontId="178" fillId="51" borderId="2" xfId="42" applyFont="true" applyBorder="true" applyAlignment="true" applyProtection="false">
      <alignment horizontal="general" vertical="bottom" textRotation="0" wrapText="false" indent="0" shrinkToFit="false"/>
      <protection locked="true" hidden="false"/>
    </xf>
    <xf numFmtId="304" fontId="178" fillId="51" borderId="0" xfId="42" applyFont="true" applyBorder="false" applyAlignment="true" applyProtection="false">
      <alignment horizontal="general" vertical="bottom" textRotation="0" wrapText="false" indent="0" shrinkToFit="false"/>
      <protection locked="true" hidden="false"/>
    </xf>
    <xf numFmtId="304" fontId="179" fillId="51" borderId="2" xfId="42" applyFont="true" applyBorder="true" applyAlignment="true" applyProtection="false">
      <alignment horizontal="general" vertical="bottom" textRotation="0" wrapText="false" indent="0" shrinkToFit="false"/>
      <protection locked="true" hidden="false"/>
    </xf>
    <xf numFmtId="304" fontId="179" fillId="51" borderId="0" xfId="42" applyFont="true" applyBorder="false" applyAlignment="true" applyProtection="false">
      <alignment horizontal="general" vertical="bottom" textRotation="0" wrapText="false" indent="0" shrinkToFit="false"/>
      <protection locked="true" hidden="false"/>
    </xf>
    <xf numFmtId="304" fontId="179" fillId="49" borderId="0" xfId="42" applyFont="true" applyBorder="false" applyAlignment="true" applyProtection="false">
      <alignment horizontal="general" vertical="bottom" textRotation="0" wrapText="false" indent="0" shrinkToFit="false"/>
      <protection locked="true" hidden="false"/>
    </xf>
    <xf numFmtId="304" fontId="179" fillId="50" borderId="0" xfId="42" applyFont="true" applyBorder="false" applyAlignment="true" applyProtection="false">
      <alignment horizontal="general" vertical="bottom" textRotation="0" wrapText="false" indent="0" shrinkToFit="false"/>
      <protection locked="true" hidden="false"/>
    </xf>
    <xf numFmtId="307" fontId="179" fillId="50" borderId="0" xfId="0" applyFont="true" applyBorder="false" applyAlignment="true" applyProtection="false">
      <alignment horizontal="general" vertical="bottom" textRotation="0" wrapText="false" indent="0" shrinkToFit="false"/>
      <protection locked="true" hidden="false"/>
    </xf>
    <xf numFmtId="304" fontId="178" fillId="51" borderId="46" xfId="42" applyFont="true" applyBorder="true" applyAlignment="true" applyProtection="false">
      <alignment horizontal="general" vertical="bottom" textRotation="0" wrapText="false" indent="0" shrinkToFit="false"/>
      <protection locked="true" hidden="false"/>
    </xf>
    <xf numFmtId="304" fontId="178" fillId="51" borderId="27" xfId="42" applyFont="true" applyBorder="true" applyAlignment="true" applyProtection="false">
      <alignment horizontal="general" vertical="bottom" textRotation="0" wrapText="false" indent="0" shrinkToFit="false"/>
      <protection locked="true" hidden="false"/>
    </xf>
    <xf numFmtId="304" fontId="180" fillId="49" borderId="27" xfId="42" applyFont="true" applyBorder="true" applyAlignment="true" applyProtection="false">
      <alignment horizontal="general" vertical="bottom" textRotation="0" wrapText="false" indent="0" shrinkToFit="false"/>
      <protection locked="true" hidden="false"/>
    </xf>
    <xf numFmtId="262" fontId="179" fillId="0" borderId="0" xfId="0" applyFont="true" applyBorder="false" applyAlignment="true" applyProtection="false">
      <alignment horizontal="general" vertical="bottom" textRotation="0" wrapText="false" indent="0" shrinkToFit="false"/>
      <protection locked="true" hidden="false"/>
    </xf>
    <xf numFmtId="164" fontId="6" fillId="0" borderId="0" xfId="691" applyFont="true" applyBorder="false" applyAlignment="true" applyProtection="false">
      <alignment horizontal="general" vertical="bottom" textRotation="0" wrapText="false" indent="0" shrinkToFit="false"/>
      <protection locked="true" hidden="false"/>
    </xf>
    <xf numFmtId="164" fontId="179" fillId="0" borderId="59" xfId="691" applyFont="true" applyBorder="true" applyAlignment="true" applyProtection="false">
      <alignment horizontal="general" vertical="bottom" textRotation="0" wrapText="false" indent="0" shrinkToFit="false"/>
      <protection locked="true" hidden="false"/>
    </xf>
    <xf numFmtId="262" fontId="0" fillId="30" borderId="0" xfId="0" applyFont="false" applyBorder="false" applyAlignment="true" applyProtection="false">
      <alignment horizontal="general" vertical="bottom" textRotation="0" wrapText="false" indent="0" shrinkToFit="false"/>
      <protection locked="true" hidden="false"/>
    </xf>
    <xf numFmtId="306" fontId="179" fillId="30" borderId="0" xfId="42" applyFont="true" applyBorder="false" applyAlignment="true" applyProtection="false">
      <alignment horizontal="general" vertical="bottom" textRotation="0" wrapText="false" indent="0" shrinkToFit="false"/>
      <protection locked="true" hidden="false"/>
    </xf>
    <xf numFmtId="224" fontId="0" fillId="0" borderId="0" xfId="0" applyFont="false" applyBorder="false" applyAlignment="true" applyProtection="false">
      <alignment horizontal="general" vertical="bottom" textRotation="0" wrapText="false" indent="0" shrinkToFit="false"/>
      <protection locked="true" hidden="false"/>
    </xf>
    <xf numFmtId="164" fontId="196" fillId="0" borderId="59" xfId="691" applyFont="true" applyBorder="true" applyAlignment="true" applyProtection="false">
      <alignment horizontal="general" vertical="bottom" textRotation="0" wrapText="false" indent="0" shrinkToFit="false"/>
      <protection locked="true" hidden="false"/>
    </xf>
    <xf numFmtId="307" fontId="184" fillId="30" borderId="0" xfId="42" applyFont="true" applyBorder="false" applyAlignment="true" applyProtection="false">
      <alignment horizontal="general" vertical="bottom" textRotation="0" wrapText="false" indent="0" shrinkToFit="false"/>
      <protection locked="true" hidden="false"/>
    </xf>
    <xf numFmtId="164" fontId="218" fillId="27" borderId="0" xfId="667" applyFont="true" applyBorder="false" applyAlignment="true" applyProtection="false">
      <alignment horizontal="general" vertical="bottom" textRotation="0" wrapText="false" indent="0" shrinkToFit="false"/>
      <protection locked="true" hidden="false"/>
    </xf>
    <xf numFmtId="164" fontId="179" fillId="27" borderId="0" xfId="667" applyFont="true" applyBorder="false" applyAlignment="true" applyProtection="false">
      <alignment horizontal="general" vertical="bottom" textRotation="0" wrapText="false" indent="0" shrinkToFit="false"/>
      <protection locked="true" hidden="false"/>
    </xf>
    <xf numFmtId="273" fontId="0" fillId="0" borderId="0" xfId="0" applyFont="false" applyBorder="false" applyAlignment="true" applyProtection="false">
      <alignment horizontal="general" vertical="bottom" textRotation="0" wrapText="false" indent="0" shrinkToFit="false"/>
      <protection locked="true" hidden="false"/>
    </xf>
    <xf numFmtId="251" fontId="178" fillId="0" borderId="0" xfId="46" applyFont="true" applyBorder="false" applyAlignment="true" applyProtection="false">
      <alignment horizontal="general" vertical="bottom" textRotation="0" wrapText="false" indent="0" shrinkToFit="false"/>
      <protection locked="true" hidden="false"/>
    </xf>
    <xf numFmtId="164" fontId="219" fillId="27" borderId="0" xfId="667" applyFont="true" applyBorder="false" applyAlignment="true" applyProtection="false">
      <alignment horizontal="general" vertical="bottom" textRotation="0" wrapText="false" indent="0" shrinkToFit="false"/>
      <protection locked="true" hidden="false"/>
    </xf>
    <xf numFmtId="164" fontId="179" fillId="0" borderId="0" xfId="0" applyFont="true" applyBorder="false" applyAlignment="true" applyProtection="false">
      <alignment horizontal="right" vertical="bottom" textRotation="0" wrapText="false" indent="0" shrinkToFit="false"/>
      <protection locked="true" hidden="false"/>
    </xf>
    <xf numFmtId="307" fontId="181" fillId="40" borderId="0" xfId="0" applyFont="true" applyBorder="false" applyAlignment="true" applyProtection="false">
      <alignment horizontal="general" vertical="bottom" textRotation="0" wrapText="false" indent="0" shrinkToFit="false"/>
      <protection locked="true" hidden="false"/>
    </xf>
    <xf numFmtId="262" fontId="185" fillId="0" borderId="0" xfId="0" applyFont="true" applyBorder="false" applyAlignment="true" applyProtection="false">
      <alignment horizontal="general" vertical="bottom" textRotation="0" wrapText="false" indent="0" shrinkToFit="false"/>
      <protection locked="true" hidden="false"/>
    </xf>
    <xf numFmtId="262" fontId="184" fillId="40" borderId="0" xfId="0" applyFont="true" applyBorder="false" applyAlignment="true" applyProtection="false">
      <alignment horizontal="general" vertical="bottom" textRotation="0" wrapText="false" indent="0" shrinkToFit="false"/>
      <protection locked="true" hidden="false"/>
    </xf>
    <xf numFmtId="306" fontId="179" fillId="40" borderId="0" xfId="42" applyFont="true" applyBorder="false" applyAlignment="true" applyProtection="false">
      <alignment horizontal="general" vertical="bottom" textRotation="0" wrapText="false" indent="0" shrinkToFit="false"/>
      <protection locked="true" hidden="false"/>
    </xf>
    <xf numFmtId="164" fontId="179" fillId="0" borderId="22" xfId="0" applyFont="true" applyBorder="true" applyAlignment="true" applyProtection="false">
      <alignment horizontal="general" vertical="center" textRotation="0" wrapText="false" indent="0" shrinkToFit="false"/>
      <protection locked="true" hidden="false"/>
    </xf>
    <xf numFmtId="164" fontId="220" fillId="0" borderId="16" xfId="0" applyFont="true" applyBorder="true" applyAlignment="true" applyProtection="false">
      <alignment horizontal="general" vertical="center" textRotation="0" wrapText="false" indent="0" shrinkToFit="false"/>
      <protection locked="true" hidden="false"/>
    </xf>
    <xf numFmtId="164" fontId="179" fillId="0" borderId="18" xfId="0" applyFont="true" applyBorder="true" applyAlignment="true" applyProtection="false">
      <alignment horizontal="general" vertical="center" textRotation="0" wrapText="false" indent="0" shrinkToFit="false"/>
      <protection locked="true" hidden="false"/>
    </xf>
    <xf numFmtId="164" fontId="220" fillId="0" borderId="49" xfId="0" applyFont="true" applyBorder="true" applyAlignment="true" applyProtection="false">
      <alignment horizontal="general" vertical="center" textRotation="0" wrapText="false" indent="0" shrinkToFit="false"/>
      <protection locked="true" hidden="false"/>
    </xf>
    <xf numFmtId="164" fontId="220" fillId="0" borderId="45" xfId="0" applyFont="true" applyBorder="true" applyAlignment="true" applyProtection="false">
      <alignment horizontal="general" vertical="center" textRotation="0" wrapText="false" indent="0" shrinkToFit="false"/>
      <protection locked="true" hidden="false"/>
    </xf>
    <xf numFmtId="164" fontId="179" fillId="0" borderId="14" xfId="0" applyFont="true" applyBorder="true" applyAlignment="true" applyProtection="false">
      <alignment horizontal="center" vertical="center" textRotation="0" wrapText="false" indent="0" shrinkToFit="false"/>
      <protection locked="true" hidden="false"/>
    </xf>
    <xf numFmtId="164" fontId="179" fillId="0" borderId="15" xfId="0" applyFont="true" applyBorder="true" applyAlignment="true" applyProtection="false">
      <alignment horizontal="center" vertical="center" textRotation="0" wrapText="false" indent="0" shrinkToFit="false"/>
      <protection locked="true" hidden="false"/>
    </xf>
    <xf numFmtId="164" fontId="179" fillId="0" borderId="48" xfId="0" applyFont="true" applyBorder="true" applyAlignment="true" applyProtection="false">
      <alignment horizontal="center" vertical="center" textRotation="0" wrapText="false" indent="0" shrinkToFit="false"/>
      <protection locked="true" hidden="false"/>
    </xf>
    <xf numFmtId="164" fontId="179" fillId="0" borderId="21" xfId="0" applyFont="true" applyBorder="true" applyAlignment="true" applyProtection="false">
      <alignment horizontal="general" vertical="center" textRotation="0" wrapText="false" indent="0" shrinkToFit="false"/>
      <protection locked="true" hidden="false"/>
    </xf>
    <xf numFmtId="304" fontId="178" fillId="0" borderId="16" xfId="42" applyFont="true" applyBorder="true" applyAlignment="true" applyProtection="false">
      <alignment horizontal="general" vertical="center" textRotation="0" wrapText="false" indent="0" shrinkToFit="false"/>
      <protection locked="true" hidden="false"/>
    </xf>
    <xf numFmtId="304" fontId="178" fillId="0" borderId="22" xfId="42" applyFont="true" applyBorder="true" applyAlignment="true" applyProtection="false">
      <alignment horizontal="general" vertical="center" textRotation="0" wrapText="false" indent="0" shrinkToFit="false"/>
      <protection locked="true" hidden="false"/>
    </xf>
    <xf numFmtId="306" fontId="179" fillId="0" borderId="49" xfId="42" applyFont="true" applyBorder="true" applyAlignment="true" applyProtection="false">
      <alignment horizontal="general" vertical="center" textRotation="0" wrapText="false" indent="0" shrinkToFit="false"/>
      <protection locked="true" hidden="false"/>
    </xf>
    <xf numFmtId="304" fontId="178" fillId="0" borderId="2" xfId="42" applyFont="true" applyBorder="true" applyAlignment="true" applyProtection="false">
      <alignment horizontal="general" vertical="center" textRotation="0" wrapText="false" indent="0" shrinkToFit="false"/>
      <protection locked="true" hidden="false"/>
    </xf>
    <xf numFmtId="304" fontId="178" fillId="0" borderId="21" xfId="42" applyFont="true" applyBorder="true" applyAlignment="true" applyProtection="false">
      <alignment horizontal="general" vertical="center" textRotation="0" wrapText="false" indent="0" shrinkToFit="false"/>
      <protection locked="true" hidden="false"/>
    </xf>
    <xf numFmtId="306" fontId="179" fillId="0" borderId="19" xfId="42" applyFont="true" applyBorder="true" applyAlignment="true" applyProtection="false">
      <alignment horizontal="general" vertical="center" textRotation="0" wrapText="false" indent="0" shrinkToFit="false"/>
      <protection locked="true" hidden="false"/>
    </xf>
    <xf numFmtId="164" fontId="179" fillId="0" borderId="15" xfId="0" applyFont="true" applyBorder="true" applyAlignment="true" applyProtection="false">
      <alignment horizontal="general" vertical="center" textRotation="0" wrapText="false" indent="0" shrinkToFit="false"/>
      <protection locked="true" hidden="false"/>
    </xf>
    <xf numFmtId="304" fontId="179" fillId="0" borderId="14" xfId="42" applyFont="true" applyBorder="true" applyAlignment="true" applyProtection="false">
      <alignment horizontal="general" vertical="center" textRotation="0" wrapText="false" indent="0" shrinkToFit="false"/>
      <protection locked="true" hidden="false"/>
    </xf>
    <xf numFmtId="304" fontId="179" fillId="0" borderId="15" xfId="42" applyFont="true" applyBorder="true" applyAlignment="true" applyProtection="false">
      <alignment horizontal="general" vertical="center" textRotation="0" wrapText="false" indent="0" shrinkToFit="false"/>
      <protection locked="true" hidden="false"/>
    </xf>
    <xf numFmtId="306" fontId="179" fillId="0" borderId="48" xfId="42" applyFont="true" applyBorder="true" applyAlignment="true" applyProtection="false">
      <alignment horizontal="general" vertical="center" textRotation="0" wrapText="false" indent="0" shrinkToFit="false"/>
      <protection locked="true" hidden="false"/>
    </xf>
    <xf numFmtId="304" fontId="179" fillId="0" borderId="46" xfId="42" applyFont="true" applyBorder="true" applyAlignment="true" applyProtection="false">
      <alignment horizontal="general" vertical="center" textRotation="0" wrapText="false" indent="0" shrinkToFit="false"/>
      <protection locked="true" hidden="false"/>
    </xf>
    <xf numFmtId="304" fontId="179" fillId="0" borderId="45" xfId="42" applyFont="true" applyBorder="true" applyAlignment="true" applyProtection="false">
      <alignment horizontal="general" vertical="center" textRotation="0" wrapText="false" indent="0" shrinkToFit="false"/>
      <protection locked="true" hidden="false"/>
    </xf>
    <xf numFmtId="306" fontId="179" fillId="0" borderId="47" xfId="42" applyFont="true" applyBorder="true" applyAlignment="true" applyProtection="false">
      <alignment horizontal="general" vertical="center" textRotation="0" wrapText="false" indent="0" shrinkToFit="false"/>
      <protection locked="true" hidden="false"/>
    </xf>
    <xf numFmtId="164" fontId="0" fillId="52" borderId="0" xfId="0" applyFont="false" applyBorder="true" applyAlignment="true" applyProtection="false">
      <alignment horizontal="general" vertical="bottom" textRotation="0" wrapText="true" indent="0" shrinkToFit="false"/>
      <protection locked="true" hidden="false"/>
    </xf>
    <xf numFmtId="291" fontId="221" fillId="52" borderId="0" xfId="0" applyFont="true" applyBorder="false" applyAlignment="true" applyProtection="false">
      <alignment horizontal="left" vertical="bottom" textRotation="0" wrapText="true" indent="0" shrinkToFit="false"/>
      <protection locked="true" hidden="false"/>
    </xf>
    <xf numFmtId="164" fontId="218" fillId="52" borderId="0" xfId="0" applyFont="true" applyBorder="false" applyAlignment="true" applyProtection="false">
      <alignment horizontal="left" vertical="bottom" textRotation="0" wrapText="true" indent="0" shrinkToFit="false"/>
      <protection locked="true" hidden="false"/>
    </xf>
    <xf numFmtId="164" fontId="218" fillId="27" borderId="0" xfId="0" applyFont="true" applyBorder="true" applyAlignment="true" applyProtection="false">
      <alignment horizontal="general" vertical="bottom" textRotation="0" wrapText="true" indent="0" shrinkToFit="false"/>
      <protection locked="true" hidden="false"/>
    </xf>
    <xf numFmtId="164" fontId="218" fillId="23" borderId="0" xfId="0" applyFont="true" applyBorder="false" applyAlignment="true" applyProtection="false">
      <alignment horizontal="general" vertical="bottom" textRotation="0" wrapText="true" indent="0" shrinkToFit="false"/>
      <protection locked="true" hidden="false"/>
    </xf>
    <xf numFmtId="164" fontId="178" fillId="23" borderId="0" xfId="0" applyFont="true" applyBorder="false" applyAlignment="true" applyProtection="false">
      <alignment horizontal="right" vertical="bottom" textRotation="0" wrapText="true" indent="0" shrinkToFit="false"/>
      <protection locked="true" hidden="false"/>
    </xf>
    <xf numFmtId="164" fontId="218" fillId="22" borderId="0" xfId="0" applyFont="true" applyBorder="false" applyAlignment="true" applyProtection="false">
      <alignment horizontal="general" vertical="bottom" textRotation="0" wrapText="true" indent="0" shrinkToFit="false"/>
      <protection locked="true" hidden="false"/>
    </xf>
    <xf numFmtId="164" fontId="178" fillId="22" borderId="0" xfId="0" applyFont="true" applyBorder="false" applyAlignment="true" applyProtection="false">
      <alignment horizontal="right" vertical="bottom" textRotation="0" wrapText="true" indent="0" shrinkToFit="false"/>
      <protection locked="true" hidden="false"/>
    </xf>
    <xf numFmtId="164" fontId="0" fillId="27" borderId="0" xfId="0" applyFont="false" applyBorder="false" applyAlignment="true" applyProtection="false">
      <alignment horizontal="general" vertical="bottom" textRotation="0" wrapText="true" indent="0" shrinkToFit="false"/>
      <protection locked="true" hidden="false"/>
    </xf>
    <xf numFmtId="164" fontId="222" fillId="27" borderId="0" xfId="47" applyFont="true" applyBorder="false" applyAlignment="true" applyProtection="false">
      <alignment horizontal="general" vertical="bottom" textRotation="0" wrapText="tru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184" fillId="3" borderId="0" xfId="0" applyFont="true" applyBorder="false" applyAlignment="true" applyProtection="false">
      <alignment horizontal="general" vertical="bottom" textRotation="0" wrapText="false" indent="0" shrinkToFit="false"/>
      <protection locked="true" hidden="false"/>
    </xf>
    <xf numFmtId="273" fontId="178" fillId="0" borderId="0" xfId="0" applyFont="true" applyBorder="false" applyAlignment="true" applyProtection="false">
      <alignment horizontal="general" vertical="bottom" textRotation="0" wrapText="false" indent="0" shrinkToFit="false"/>
      <protection locked="true" hidden="false"/>
    </xf>
    <xf numFmtId="170" fontId="178"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0" fontId="179" fillId="0" borderId="0" xfId="0" applyFont="true" applyBorder="false" applyAlignment="true" applyProtection="false">
      <alignment horizontal="general" vertical="bottom" textRotation="0" wrapText="false" indent="0" shrinkToFit="false"/>
      <protection locked="true" hidden="false"/>
    </xf>
  </cellXfs>
  <cellStyles count="1082">
    <cellStyle name="Normal" xfId="0" builtinId="0"/>
    <cellStyle name="Comma" xfId="15" builtinId="3"/>
    <cellStyle name="Comma [0]" xfId="16" builtinId="6"/>
    <cellStyle name="Currency" xfId="17" builtinId="4"/>
    <cellStyle name="Currency [0]" xfId="18" builtinId="7"/>
    <cellStyle name="Percent" xfId="19" builtinId="5"/>
    <cellStyle name="&#10;386grabber=M" xfId="20"/>
    <cellStyle name="&#10;386grabber=M 2" xfId="21"/>
    <cellStyle name="&#10;386grabber=S" xfId="22"/>
    <cellStyle name=" " xfId="23"/>
    <cellStyle name="  2" xfId="24"/>
    <cellStyle name="#,##0" xfId="25"/>
    <cellStyle name="#,##0%" xfId="26"/>
    <cellStyle name="#,##0.0%" xfId="27"/>
    <cellStyle name="$" xfId="28"/>
    <cellStyle name="%" xfId="29"/>
    <cellStyle name="******************************************" xfId="30"/>
    <cellStyle name="+" xfId="31"/>
    <cellStyle name="0" xfId="32"/>
    <cellStyle name="0.0" xfId="33"/>
    <cellStyle name="0.00" xfId="34"/>
    <cellStyle name="0.0x" xfId="35"/>
    <cellStyle name="05 Datum" xfId="36"/>
    <cellStyle name="05 Datum 2" xfId="37"/>
    <cellStyle name="05 Datum 2 2" xfId="38"/>
    <cellStyle name="06 tabel 2 kolom" xfId="39"/>
    <cellStyle name="06 tabel 2 kolom 2" xfId="40"/>
    <cellStyle name="07 tabel 5 kolom" xfId="41"/>
    <cellStyle name="07 tabel 5 kolom 2" xfId="42"/>
    <cellStyle name="1,comma" xfId="43"/>
    <cellStyle name="1,comma 2" xfId="44"/>
    <cellStyle name="10 Grijze lijn" xfId="45"/>
    <cellStyle name="20% - Accent1 2" xfId="46"/>
    <cellStyle name="20% - Accent1 3" xfId="47"/>
    <cellStyle name="20% - Accent1 4" xfId="48"/>
    <cellStyle name="20% - Accent1 5" xfId="49"/>
    <cellStyle name="20% - Accent1 6" xfId="50"/>
    <cellStyle name="20% - Accent2 2" xfId="51"/>
    <cellStyle name="20% - Accent2 3" xfId="52"/>
    <cellStyle name="20% - Accent2 4" xfId="53"/>
    <cellStyle name="20% - Accent2 5" xfId="54"/>
    <cellStyle name="20% - Accent2 6" xfId="55"/>
    <cellStyle name="20% - Accent3 2" xfId="56"/>
    <cellStyle name="20% - Accent3 3" xfId="57"/>
    <cellStyle name="20% - Accent3 4" xfId="58"/>
    <cellStyle name="20% - Accent3 5" xfId="59"/>
    <cellStyle name="20% - Accent3 6" xfId="60"/>
    <cellStyle name="20% - Accent4 2" xfId="61"/>
    <cellStyle name="20% - Accent4 3" xfId="62"/>
    <cellStyle name="20% - Accent4 4" xfId="63"/>
    <cellStyle name="20% - Accent4 5" xfId="64"/>
    <cellStyle name="20% - Accent4 6" xfId="65"/>
    <cellStyle name="20% - Accent5 2" xfId="66"/>
    <cellStyle name="20% - Accent5 3" xfId="67"/>
    <cellStyle name="20% - Accent5 4" xfId="68"/>
    <cellStyle name="20% - Accent5 5" xfId="69"/>
    <cellStyle name="20% - Accent5 6" xfId="70"/>
    <cellStyle name="20% - Accent6 2" xfId="71"/>
    <cellStyle name="20% - Accent6 3" xfId="72"/>
    <cellStyle name="20% - Accent6 4" xfId="73"/>
    <cellStyle name="20% - Accent6 5" xfId="74"/>
    <cellStyle name="20% - Accent6 6" xfId="75"/>
    <cellStyle name="20% - Énfasis1" xfId="76"/>
    <cellStyle name="20% - Énfasis2" xfId="77"/>
    <cellStyle name="20% - Énfasis3" xfId="78"/>
    <cellStyle name="20% - Énfasis4" xfId="79"/>
    <cellStyle name="20% - Énfasis5" xfId="80"/>
    <cellStyle name="20% - Énfasis6" xfId="81"/>
    <cellStyle name="20 % - Accent1" xfId="82"/>
    <cellStyle name="20 % - Accent2" xfId="83"/>
    <cellStyle name="20 % - Accent3" xfId="84"/>
    <cellStyle name="20 % - Accent4" xfId="85"/>
    <cellStyle name="20 % - Accent5" xfId="86"/>
    <cellStyle name="20 % - Accent6" xfId="87"/>
    <cellStyle name="3" xfId="88"/>
    <cellStyle name="40% - Accent1 2" xfId="89"/>
    <cellStyle name="40% - Accent1 3" xfId="90"/>
    <cellStyle name="40% - Accent1 4" xfId="91"/>
    <cellStyle name="40% - Accent1 5" xfId="92"/>
    <cellStyle name="40% - Accent1 6" xfId="93"/>
    <cellStyle name="40% - Accent2 2" xfId="94"/>
    <cellStyle name="40% - Accent2 3" xfId="95"/>
    <cellStyle name="40% - Accent2 4" xfId="96"/>
    <cellStyle name="40% - Accent2 5" xfId="97"/>
    <cellStyle name="40% - Accent2 6" xfId="98"/>
    <cellStyle name="40% - Accent3 2" xfId="99"/>
    <cellStyle name="40% - Accent3 3" xfId="100"/>
    <cellStyle name="40% - Accent3 4" xfId="101"/>
    <cellStyle name="40% - Accent3 5" xfId="102"/>
    <cellStyle name="40% - Accent3 6" xfId="103"/>
    <cellStyle name="40% - Accent4 2" xfId="104"/>
    <cellStyle name="40% - Accent4 3" xfId="105"/>
    <cellStyle name="40% - Accent4 4" xfId="106"/>
    <cellStyle name="40% - Accent4 5" xfId="107"/>
    <cellStyle name="40% - Accent4 6" xfId="108"/>
    <cellStyle name="40% - Accent5 2" xfId="109"/>
    <cellStyle name="40% - Accent5 3" xfId="110"/>
    <cellStyle name="40% - Accent5 4" xfId="111"/>
    <cellStyle name="40% - Accent5 5" xfId="112"/>
    <cellStyle name="40% - Accent5 6" xfId="113"/>
    <cellStyle name="40% - Accent6 2" xfId="114"/>
    <cellStyle name="40% - Accent6 3" xfId="115"/>
    <cellStyle name="40% - Accent6 4" xfId="116"/>
    <cellStyle name="40% - Accent6 5" xfId="117"/>
    <cellStyle name="40% - Accent6 6" xfId="118"/>
    <cellStyle name="40% - Énfasis1" xfId="119"/>
    <cellStyle name="40% - Énfasis2" xfId="120"/>
    <cellStyle name="40% - Énfasis3" xfId="121"/>
    <cellStyle name="40% - Énfasis4" xfId="122"/>
    <cellStyle name="40% - Énfasis5" xfId="123"/>
    <cellStyle name="40% - Énfasis6" xfId="124"/>
    <cellStyle name="40 % - Accent1" xfId="125"/>
    <cellStyle name="40 % - Accent2" xfId="126"/>
    <cellStyle name="40 % - Accent3" xfId="127"/>
    <cellStyle name="40 % - Accent4" xfId="128"/>
    <cellStyle name="40 % - Accent5" xfId="129"/>
    <cellStyle name="40 % - Accent6" xfId="130"/>
    <cellStyle name="60% - Accent1 2" xfId="131"/>
    <cellStyle name="60% - Accent1 3" xfId="132"/>
    <cellStyle name="60% - Accent1 4" xfId="133"/>
    <cellStyle name="60% - Accent1 5" xfId="134"/>
    <cellStyle name="60% - Accent1 6" xfId="135"/>
    <cellStyle name="60% - Accent2 2" xfId="136"/>
    <cellStyle name="60% - Accent2 3" xfId="137"/>
    <cellStyle name="60% - Accent2 4" xfId="138"/>
    <cellStyle name="60% - Accent2 5" xfId="139"/>
    <cellStyle name="60% - Accent2 6" xfId="140"/>
    <cellStyle name="60% - Accent3 2" xfId="141"/>
    <cellStyle name="60% - Accent3 3" xfId="142"/>
    <cellStyle name="60% - Accent3 4" xfId="143"/>
    <cellStyle name="60% - Accent3 5" xfId="144"/>
    <cellStyle name="60% - Accent3 6" xfId="145"/>
    <cellStyle name="60% - Accent4 2" xfId="146"/>
    <cellStyle name="60% - Accent4 3" xfId="147"/>
    <cellStyle name="60% - Accent4 4" xfId="148"/>
    <cellStyle name="60% - Accent4 5" xfId="149"/>
    <cellStyle name="60% - Accent4 6" xfId="150"/>
    <cellStyle name="60% - Accent5 2" xfId="151"/>
    <cellStyle name="60% - Accent5 3" xfId="152"/>
    <cellStyle name="60% - Accent5 4" xfId="153"/>
    <cellStyle name="60% - Accent5 5" xfId="154"/>
    <cellStyle name="60% - Accent5 6" xfId="155"/>
    <cellStyle name="60% - Accent6 2" xfId="156"/>
    <cellStyle name="60% - Accent6 3" xfId="157"/>
    <cellStyle name="60% - Accent6 4" xfId="158"/>
    <cellStyle name="60% - Accent6 5" xfId="159"/>
    <cellStyle name="60% - Accent6 6" xfId="160"/>
    <cellStyle name="60% - Énfasis1" xfId="161"/>
    <cellStyle name="60% - Énfasis2" xfId="162"/>
    <cellStyle name="60% - Énfasis3" xfId="163"/>
    <cellStyle name="60% - Énfasis4" xfId="164"/>
    <cellStyle name="60% - Énfasis5" xfId="165"/>
    <cellStyle name="60% - Énfasis6" xfId="166"/>
    <cellStyle name="60 % - Accent1" xfId="167"/>
    <cellStyle name="60 % - Accent2" xfId="168"/>
    <cellStyle name="60 % - Accent3" xfId="169"/>
    <cellStyle name="60 % - Accent4" xfId="170"/>
    <cellStyle name="60 % - Accent5" xfId="171"/>
    <cellStyle name="60 % - Accent6" xfId="172"/>
    <cellStyle name="??" xfId="173"/>
    <cellStyle name="?? [0.00]_????" xfId="174"/>
    <cellStyle name="??_??" xfId="175"/>
    <cellStyle name="?Q\?1@" xfId="176"/>
    <cellStyle name="\" xfId="177"/>
    <cellStyle name="\_9 Jan pres tables" xfId="178"/>
    <cellStyle name="\_9 Jan pres tables 2" xfId="179"/>
    <cellStyle name="\_Report_apurva" xfId="180"/>
    <cellStyle name="\_Report_apurva 2" xfId="181"/>
    <cellStyle name="]" xfId="182"/>
    <cellStyle name="_%(SignOnly)" xfId="183"/>
    <cellStyle name="_%(SignSpaceOnly)" xfId="184"/>
    <cellStyle name="_2w industry wip" xfId="185"/>
    <cellStyle name="_About" xfId="186"/>
    <cellStyle name="_balfy15-wip" xfId="187"/>
    <cellStyle name="_Book8" xfId="188"/>
    <cellStyle name="_COLG-wip" xfId="189"/>
    <cellStyle name="_Comma" xfId="190"/>
    <cellStyle name="_Comma_AventisSanofi Merger 26-Jan-2004" xfId="191"/>
    <cellStyle name="_Comma_DCF" xfId="192"/>
    <cellStyle name="_Comma_Novartis Roche Merger IV" xfId="193"/>
    <cellStyle name="_Comma_NRM V" xfId="194"/>
    <cellStyle name="_Comma_Pharma CSC" xfId="195"/>
    <cellStyle name="_Consumer Quarterlies" xfId="196"/>
    <cellStyle name="_Consumer Sector Oct07-Revised" xfId="197"/>
    <cellStyle name="_Copy of Tables" xfId="198"/>
    <cellStyle name="_Copy of Tables 2" xfId="199"/>
    <cellStyle name="_cost_dre_final_tally_sch5_011" xfId="200"/>
    <cellStyle name="_cost_dre_final_tally_sch5_011 2" xfId="201"/>
    <cellStyle name="_Currency" xfId="202"/>
    <cellStyle name="_Currency_AventisSanofi Merger 26-Jan-2004" xfId="203"/>
    <cellStyle name="_Currency_Novartis Roche Merger IV" xfId="204"/>
    <cellStyle name="_Currency_NRM V" xfId="205"/>
    <cellStyle name="_Currency_Pharma CSC" xfId="206"/>
    <cellStyle name="_CurrencySpace" xfId="207"/>
    <cellStyle name="_CurrencySpace_AventisSanofi Merger 26-Jan-2004" xfId="208"/>
    <cellStyle name="_CurrencySpace_Novartis Roche Merger IV" xfId="209"/>
    <cellStyle name="_CurrencySpace_NRM V" xfId="210"/>
    <cellStyle name="_CurrencySpace_Pharma CSC" xfId="211"/>
    <cellStyle name="_DCF" xfId="212"/>
    <cellStyle name="_Euro" xfId="213"/>
    <cellStyle name="_Exide Model" xfId="214"/>
    <cellStyle name="_Exide Model 2" xfId="215"/>
    <cellStyle name="_Financials" xfId="216"/>
    <cellStyle name="_Heading" xfId="217"/>
    <cellStyle name="_Highlight" xfId="218"/>
    <cellStyle name="_HLL-wip" xfId="219"/>
    <cellStyle name="_Incentives data May" xfId="220"/>
    <cellStyle name="_Incentives data May 2" xfId="221"/>
    <cellStyle name="_Industry Stats" xfId="222"/>
    <cellStyle name="_Industry Stats 2" xfId="223"/>
    <cellStyle name="_ITC" xfId="224"/>
    <cellStyle name="_ITC-wip" xfId="225"/>
    <cellStyle name="_ITC.SSB" xfId="226"/>
    <cellStyle name="_Japan data" xfId="227"/>
    <cellStyle name="_Japan data 2" xfId="228"/>
    <cellStyle name="_Japan dataMay" xfId="229"/>
    <cellStyle name="_Japan dataMay 2" xfId="230"/>
    <cellStyle name="_Main Model" xfId="231"/>
    <cellStyle name="_Main Model 2" xfId="232"/>
    <cellStyle name="_Main Model_1" xfId="233"/>
    <cellStyle name="_Main Model_Main Model" xfId="234"/>
    <cellStyle name="_Main Model_Main Model 2" xfId="235"/>
    <cellStyle name="_Misc Info" xfId="236"/>
    <cellStyle name="_Misc Info 2" xfId="237"/>
    <cellStyle name="_MSIL_DCF_4 June 2011" xfId="238"/>
    <cellStyle name="_mul04wip" xfId="239"/>
    <cellStyle name="_Multiple" xfId="240"/>
    <cellStyle name="_Multiple_AventisSanofi Merger 26-Jan-2004" xfId="241"/>
    <cellStyle name="_Multiple_csc" xfId="242"/>
    <cellStyle name="_Multiple_Novartis Roche Merger IV" xfId="243"/>
    <cellStyle name="_Multiple_NRM V" xfId="244"/>
    <cellStyle name="_Multiple_Pharma CSC" xfId="245"/>
    <cellStyle name="_MultipleSpace" xfId="246"/>
    <cellStyle name="_MultipleSpace_AventisSanofi Merger 26-Jan-2004" xfId="247"/>
    <cellStyle name="_MultipleSpace_csc" xfId="248"/>
    <cellStyle name="_MultipleSpace_Novartis Roche Merger IV" xfId="249"/>
    <cellStyle name="_MultipleSpace_NRM V" xfId="250"/>
    <cellStyle name="_MultipleSpace_Pharma CSC" xfId="251"/>
    <cellStyle name="_Padmini_Base_Model_26Dec07" xfId="252"/>
    <cellStyle name="_PADMIN~1" xfId="253"/>
    <cellStyle name="_Percent" xfId="254"/>
    <cellStyle name="_PercentSpace" xfId="255"/>
    <cellStyle name="_Sheet1" xfId="256"/>
    <cellStyle name="_Sheet1_1" xfId="257"/>
    <cellStyle name="_Sheet1_1 2" xfId="258"/>
    <cellStyle name="_Sheet1_AllCompanies" xfId="259"/>
    <cellStyle name="_Sheet1_AllCompanies 2" xfId="260"/>
    <cellStyle name="_SubHeading" xfId="261"/>
    <cellStyle name="_Table" xfId="262"/>
    <cellStyle name="_TableHead" xfId="263"/>
    <cellStyle name="_TableRowHead" xfId="264"/>
    <cellStyle name="_TableSuperHead" xfId="265"/>
    <cellStyle name="_Tata Motors JLR impact on consol financials_sonaal" xfId="266"/>
    <cellStyle name="_TBBOM(~2 (2)" xfId="267"/>
    <cellStyle name="_TBBOM(~2 (2) 2" xfId="268"/>
    <cellStyle name="_Tbc_03_2001final" xfId="269"/>
    <cellStyle name="_Tbc_03_2001final 2" xfId="270"/>
    <cellStyle name="_UBS GSK Model" xfId="271"/>
    <cellStyle name="_UBS JBL Master Model inc Pellet" xfId="272"/>
    <cellStyle name="_ZEE ENTERTAINMENT" xfId="273"/>
    <cellStyle name="Accent1 2" xfId="274"/>
    <cellStyle name="Accent1 3" xfId="275"/>
    <cellStyle name="Accent1 4" xfId="276"/>
    <cellStyle name="Accent1 5" xfId="277"/>
    <cellStyle name="Accent1 6" xfId="278"/>
    <cellStyle name="Accent2 2" xfId="279"/>
    <cellStyle name="Accent2 3" xfId="280"/>
    <cellStyle name="Accent2 4" xfId="281"/>
    <cellStyle name="Accent2 5" xfId="282"/>
    <cellStyle name="Accent2 6" xfId="283"/>
    <cellStyle name="Accent3 2" xfId="284"/>
    <cellStyle name="Accent3 3" xfId="285"/>
    <cellStyle name="Accent3 4" xfId="286"/>
    <cellStyle name="Accent3 5" xfId="287"/>
    <cellStyle name="Accent3 6" xfId="288"/>
    <cellStyle name="Accent4 2" xfId="289"/>
    <cellStyle name="Accent4 3" xfId="290"/>
    <cellStyle name="Accent4 4" xfId="291"/>
    <cellStyle name="Accent4 5" xfId="292"/>
    <cellStyle name="Accent4 6" xfId="293"/>
    <cellStyle name="Accent5 2" xfId="294"/>
    <cellStyle name="Accent5 3" xfId="295"/>
    <cellStyle name="Accent5 4" xfId="296"/>
    <cellStyle name="Accent5 5" xfId="297"/>
    <cellStyle name="Accent5 6" xfId="298"/>
    <cellStyle name="Accent6 2" xfId="299"/>
    <cellStyle name="Accent6 3" xfId="300"/>
    <cellStyle name="Accent6 4" xfId="301"/>
    <cellStyle name="Accent6 5" xfId="302"/>
    <cellStyle name="Accent6 6" xfId="303"/>
    <cellStyle name="AFE" xfId="304"/>
    <cellStyle name="AFE 2" xfId="305"/>
    <cellStyle name="ales" xfId="306"/>
    <cellStyle name="Arial6Bold" xfId="307"/>
    <cellStyle name="Arial8Bold" xfId="308"/>
    <cellStyle name="Arial8Bold 2" xfId="309"/>
    <cellStyle name="Arial8Italic" xfId="310"/>
    <cellStyle name="ArialNormal" xfId="311"/>
    <cellStyle name="Auto" xfId="312"/>
    <cellStyle name="Avertissement" xfId="313"/>
    <cellStyle name="Bad 2" xfId="314"/>
    <cellStyle name="Bad 3" xfId="315"/>
    <cellStyle name="Bad 4" xfId="316"/>
    <cellStyle name="Bad 5" xfId="317"/>
    <cellStyle name="Bad 6" xfId="318"/>
    <cellStyle name="BalanceSheet" xfId="319"/>
    <cellStyle name="BGM Style 1" xfId="320"/>
    <cellStyle name="Blank" xfId="321"/>
    <cellStyle name="Blank 2" xfId="322"/>
    <cellStyle name="Blue" xfId="323"/>
    <cellStyle name="Buena" xfId="324"/>
    <cellStyle name="Calcul" xfId="325"/>
    <cellStyle name="Calculation 2" xfId="326"/>
    <cellStyle name="Calculation 3" xfId="327"/>
    <cellStyle name="Calculation 4" xfId="328"/>
    <cellStyle name="Calculation 5" xfId="329"/>
    <cellStyle name="Calculation 6" xfId="330"/>
    <cellStyle name="Cash Flow Statement" xfId="331"/>
    <cellStyle name="CashFlow" xfId="332"/>
    <cellStyle name="Celda de comprobación" xfId="333"/>
    <cellStyle name="Celda vinculada" xfId="334"/>
    <cellStyle name="Cellule liée" xfId="335"/>
    <cellStyle name="Changeable" xfId="336"/>
    <cellStyle name="Check Cell 2" xfId="337"/>
    <cellStyle name="Check Cell 3" xfId="338"/>
    <cellStyle name="Check Cell 4" xfId="339"/>
    <cellStyle name="Check Cell 5" xfId="340"/>
    <cellStyle name="Check Cell 6" xfId="341"/>
    <cellStyle name="CitiConsCell" xfId="342"/>
    <cellStyle name="Co Name" xfId="343"/>
    <cellStyle name="col" xfId="344"/>
    <cellStyle name="ColHeading" xfId="345"/>
    <cellStyle name="Column Header" xfId="346"/>
    <cellStyle name="Comma  - Style1" xfId="347"/>
    <cellStyle name="Comma  - Style2" xfId="348"/>
    <cellStyle name="Comma  - Style3" xfId="349"/>
    <cellStyle name="Comma  - Style4" xfId="350"/>
    <cellStyle name="Comma  - Style5" xfId="351"/>
    <cellStyle name="Comma  - Style6" xfId="352"/>
    <cellStyle name="Comma  - Style7" xfId="353"/>
    <cellStyle name="Comma  - Style8" xfId="354"/>
    <cellStyle name="Comma 0" xfId="355"/>
    <cellStyle name="Comma 0*" xfId="356"/>
    <cellStyle name="Comma 2" xfId="357"/>
    <cellStyle name="Comma 2 2" xfId="358"/>
    <cellStyle name="Comma 2 2 2" xfId="359"/>
    <cellStyle name="Comma 2 3" xfId="360"/>
    <cellStyle name="Comma 3" xfId="361"/>
    <cellStyle name="Comma 3 2" xfId="362"/>
    <cellStyle name="Comma 4" xfId="363"/>
    <cellStyle name="Comma 4 2" xfId="364"/>
    <cellStyle name="Comma 5" xfId="365"/>
    <cellStyle name="Comma 5 2" xfId="366"/>
    <cellStyle name="Comma 6" xfId="367"/>
    <cellStyle name="Comma 6 2" xfId="368"/>
    <cellStyle name="Comma 7" xfId="369"/>
    <cellStyle name="Comma 7 2" xfId="370"/>
    <cellStyle name="Comma 8" xfId="371"/>
    <cellStyle name="Comma 8 2" xfId="372"/>
    <cellStyle name="Comma 8 2 2" xfId="373"/>
    <cellStyle name="Comma [1]" xfId="374"/>
    <cellStyle name="Comma [3]" xfId="375"/>
    <cellStyle name="Comment" xfId="376"/>
    <cellStyle name="Commentaire" xfId="377"/>
    <cellStyle name="Company" xfId="378"/>
    <cellStyle name="Constant" xfId="379"/>
    <cellStyle name="Constant 0." xfId="380"/>
    <cellStyle name="ControlFormular" xfId="381"/>
    <cellStyle name="CoTitle" xfId="382"/>
    <cellStyle name="CurRatio" xfId="383"/>
    <cellStyle name="Currency (B)" xfId="384"/>
    <cellStyle name="Currency 0" xfId="385"/>
    <cellStyle name="Currency 2" xfId="386"/>
    <cellStyle name="Currency 2 2" xfId="387"/>
    <cellStyle name="CUS.Work.Area" xfId="388"/>
    <cellStyle name="Custom - Style8" xfId="389"/>
    <cellStyle name="Cálculo" xfId="390"/>
    <cellStyle name="Data   - Style2" xfId="391"/>
    <cellStyle name="DataSheet Style" xfId="392"/>
    <cellStyle name="DataSheet Style 2" xfId="393"/>
    <cellStyle name="Date" xfId="394"/>
    <cellStyle name="Date Aligned" xfId="395"/>
    <cellStyle name="Date Day" xfId="396"/>
    <cellStyle name="Date Year" xfId="397"/>
    <cellStyle name="date2" xfId="398"/>
    <cellStyle name="date3" xfId="399"/>
    <cellStyle name="Date_comps" xfId="400"/>
    <cellStyle name="Dates" xfId="401"/>
    <cellStyle name="DateYear" xfId="402"/>
    <cellStyle name="DblLineDollarAcct" xfId="403"/>
    <cellStyle name="DblLinePercent" xfId="404"/>
    <cellStyle name="Dec0" xfId="405"/>
    <cellStyle name="Dec2" xfId="406"/>
    <cellStyle name="Dec3" xfId="407"/>
    <cellStyle name="Dec_0" xfId="408"/>
    <cellStyle name="Define your own named style" xfId="409"/>
    <cellStyle name="Define your own named style 2" xfId="410"/>
    <cellStyle name="Detail ligne" xfId="411"/>
    <cellStyle name="Detail ligne 2" xfId="412"/>
    <cellStyle name="Dezimal [0]_CIBA.H12001" xfId="413"/>
    <cellStyle name="Dezimal_ACEA" xfId="414"/>
    <cellStyle name="Dfc" xfId="415"/>
    <cellStyle name="Dfc%" xfId="416"/>
    <cellStyle name="Dfc_7944C_CF" xfId="417"/>
    <cellStyle name="DOH" xfId="418"/>
    <cellStyle name="Dollar" xfId="419"/>
    <cellStyle name="Dollar (Canadian)" xfId="420"/>
    <cellStyle name="Dollar Whole" xfId="421"/>
    <cellStyle name="dollar_Book1" xfId="422"/>
    <cellStyle name="DollarAccounting" xfId="423"/>
    <cellStyle name="DollarAccounting 2" xfId="424"/>
    <cellStyle name="Dollars" xfId="425"/>
    <cellStyle name="DollarWhole" xfId="426"/>
    <cellStyle name="Dotted Line" xfId="427"/>
    <cellStyle name="Download" xfId="428"/>
    <cellStyle name="DPS" xfId="429"/>
    <cellStyle name="Draw lines around data in range" xfId="430"/>
    <cellStyle name="Draw lines around data in range 2" xfId="431"/>
    <cellStyle name="Draw shadow and lines within range" xfId="432"/>
    <cellStyle name="Draw shadow and lines within range 2" xfId="433"/>
    <cellStyle name="Eingabe" xfId="434"/>
    <cellStyle name="Encabezado 4" xfId="435"/>
    <cellStyle name="Enlarge title text, yellow on blue" xfId="436"/>
    <cellStyle name="Entrada" xfId="437"/>
    <cellStyle name="Entry" xfId="438"/>
    <cellStyle name="Entrée" xfId="439"/>
    <cellStyle name="EPS" xfId="440"/>
    <cellStyle name="EsText" xfId="441"/>
    <cellStyle name="EsText 2" xfId="442"/>
    <cellStyle name="Estimate" xfId="443"/>
    <cellStyle name="Estimate 2" xfId="444"/>
    <cellStyle name="Euro" xfId="445"/>
    <cellStyle name="Euro 2" xfId="446"/>
    <cellStyle name="ExchRate" xfId="447"/>
    <cellStyle name="Explanatory Text 2" xfId="448"/>
    <cellStyle name="Explanatory Text 3" xfId="449"/>
    <cellStyle name="Explanatory Text 4" xfId="450"/>
    <cellStyle name="Explanatory Text 5" xfId="451"/>
    <cellStyle name="Explanatory Text 6" xfId="452"/>
    <cellStyle name="EY Narrative text" xfId="453"/>
    <cellStyle name="EY%colcalc" xfId="454"/>
    <cellStyle name="EY%input" xfId="455"/>
    <cellStyle name="EY%rowcalc" xfId="456"/>
    <cellStyle name="EY0dp" xfId="457"/>
    <cellStyle name="EY10" xfId="458"/>
    <cellStyle name="EY1dp" xfId="459"/>
    <cellStyle name="EY2dp" xfId="460"/>
    <cellStyle name="EY3dp" xfId="461"/>
    <cellStyle name="EYChartTitle" xfId="462"/>
    <cellStyle name="EYColumnHeading" xfId="463"/>
    <cellStyle name="EYColumnHeadingItalic" xfId="464"/>
    <cellStyle name="EYCoverDatabookName" xfId="465"/>
    <cellStyle name="EYCoverDate" xfId="466"/>
    <cellStyle name="EYCoverDraft" xfId="467"/>
    <cellStyle name="EYCoverProjectName" xfId="468"/>
    <cellStyle name="EYCurrency" xfId="469"/>
    <cellStyle name="EYHeading1" xfId="470"/>
    <cellStyle name="EYheading2" xfId="471"/>
    <cellStyle name="EYheading3" xfId="472"/>
    <cellStyle name="EYNotes" xfId="473"/>
    <cellStyle name="EYNotesHeading" xfId="474"/>
    <cellStyle name="EYnumber" xfId="475"/>
    <cellStyle name="EYRelianceRestricted" xfId="476"/>
    <cellStyle name="EYSectionHeading" xfId="477"/>
    <cellStyle name="EYSheetHeader1" xfId="478"/>
    <cellStyle name="EYSheetHeading" xfId="479"/>
    <cellStyle name="EYsmallheading" xfId="480"/>
    <cellStyle name="EYsmallheading 2" xfId="481"/>
    <cellStyle name="EYSource" xfId="482"/>
    <cellStyle name="EYtext" xfId="483"/>
    <cellStyle name="EYtextbold" xfId="484"/>
    <cellStyle name="EYtextbolditalic" xfId="485"/>
    <cellStyle name="EYtextitalic" xfId="486"/>
    <cellStyle name="Figure" xfId="487"/>
    <cellStyle name="Figure 2" xfId="488"/>
    <cellStyle name="Financial" xfId="489"/>
    <cellStyle name="fo]&#13;&#10;UserName=Murat Zelef&#13;&#10;UserCompany=Bumerang&#13;&#10;&#13;&#10;[File Paths]&#13;&#10;WorkingDirectory=C:\EQUIS\DLWIN&#13;&#10;DownLoader=C" xfId="490"/>
    <cellStyle name="Footnote 1" xfId="491"/>
    <cellStyle name="Forecast" xfId="492"/>
    <cellStyle name="ForecastData" xfId="493"/>
    <cellStyle name="Format a column of totals" xfId="494"/>
    <cellStyle name="Format a row of totals" xfId="495"/>
    <cellStyle name="Format text as bold, black on yellow" xfId="496"/>
    <cellStyle name="Formula" xfId="497"/>
    <cellStyle name="Formula 0." xfId="498"/>
    <cellStyle name="Formula 0.0" xfId="499"/>
    <cellStyle name="fourdecplace" xfId="500"/>
    <cellStyle name="fourdecplace 2" xfId="501"/>
    <cellStyle name="General" xfId="502"/>
    <cellStyle name="General 2" xfId="503"/>
    <cellStyle name="Global" xfId="504"/>
    <cellStyle name="Good 2" xfId="505"/>
    <cellStyle name="Good 3" xfId="506"/>
    <cellStyle name="Good 4" xfId="507"/>
    <cellStyle name="Good 5" xfId="508"/>
    <cellStyle name="Good 6" xfId="509"/>
    <cellStyle name="Grey" xfId="510"/>
    <cellStyle name="Growth" xfId="511"/>
    <cellStyle name="GrowthRate" xfId="512"/>
    <cellStyle name="GWN Table Body" xfId="513"/>
    <cellStyle name="GWN Table Header" xfId="514"/>
    <cellStyle name="GWN Table Left Header" xfId="515"/>
    <cellStyle name="GWN Table Note" xfId="516"/>
    <cellStyle name="GWN Table Title" xfId="517"/>
    <cellStyle name="hard no" xfId="518"/>
    <cellStyle name="hard no 2" xfId="519"/>
    <cellStyle name="hard no." xfId="520"/>
    <cellStyle name="hard no. 2" xfId="521"/>
    <cellStyle name="Hard Percent" xfId="522"/>
    <cellStyle name="Head - Style2" xfId="523"/>
    <cellStyle name="Header" xfId="524"/>
    <cellStyle name="Heading 1 1" xfId="525"/>
    <cellStyle name="Heading 1 2" xfId="526"/>
    <cellStyle name="Heading 1 3" xfId="527"/>
    <cellStyle name="Heading 1 4" xfId="528"/>
    <cellStyle name="Heading 1 5" xfId="529"/>
    <cellStyle name="Heading 1 6" xfId="530"/>
    <cellStyle name="Heading 2 2" xfId="531"/>
    <cellStyle name="Heading 2 3" xfId="532"/>
    <cellStyle name="Heading 2 4" xfId="533"/>
    <cellStyle name="Heading 2 5" xfId="534"/>
    <cellStyle name="Heading 2 6" xfId="535"/>
    <cellStyle name="Heading 3" xfId="536"/>
    <cellStyle name="Heading 3 2" xfId="537"/>
    <cellStyle name="Heading 3 3" xfId="538"/>
    <cellStyle name="Heading 3 4" xfId="539"/>
    <cellStyle name="Heading 3 5" xfId="540"/>
    <cellStyle name="Heading 3 6" xfId="541"/>
    <cellStyle name="Heading 4 2" xfId="542"/>
    <cellStyle name="Heading 4 3" xfId="543"/>
    <cellStyle name="Heading 4 4" xfId="544"/>
    <cellStyle name="Heading 4 5" xfId="545"/>
    <cellStyle name="Heading 4 6" xfId="546"/>
    <cellStyle name="Heading2" xfId="547"/>
    <cellStyle name="Heading3" xfId="548"/>
    <cellStyle name="Heading4" xfId="549"/>
    <cellStyle name="Heading5" xfId="550"/>
    <cellStyle name="Heading6" xfId="551"/>
    <cellStyle name="Headings" xfId="552"/>
    <cellStyle name="Headings-Blue bold" xfId="553"/>
    <cellStyle name="helvetica" xfId="554"/>
    <cellStyle name="Hidden" xfId="555"/>
    <cellStyle name="Historic" xfId="556"/>
    <cellStyle name="HistoricData" xfId="557"/>
    <cellStyle name="HK$#,##0" xfId="558"/>
    <cellStyle name="HK$#,##0.00" xfId="559"/>
    <cellStyle name="Hyperlink 2" xfId="560"/>
    <cellStyle name="Identification requete" xfId="561"/>
    <cellStyle name="Import" xfId="562"/>
    <cellStyle name="IncomeStatement" xfId="563"/>
    <cellStyle name="Incorrecto" xfId="564"/>
    <cellStyle name="Input (%)" xfId="565"/>
    <cellStyle name="Input 2" xfId="566"/>
    <cellStyle name="Input 3" xfId="567"/>
    <cellStyle name="Input 4" xfId="568"/>
    <cellStyle name="Input 5" xfId="569"/>
    <cellStyle name="Input 6" xfId="570"/>
    <cellStyle name="Input [yellow]" xfId="571"/>
    <cellStyle name="Input,1d" xfId="572"/>
    <cellStyle name="Input1dp" xfId="573"/>
    <cellStyle name="InputHead" xfId="574"/>
    <cellStyle name="InputSheet" xfId="575"/>
    <cellStyle name="Insatisfaisant" xfId="576"/>
    <cellStyle name="Integer" xfId="577"/>
    <cellStyle name="Item" xfId="578"/>
    <cellStyle name="Item1" xfId="579"/>
    <cellStyle name="Item2" xfId="580"/>
    <cellStyle name="Item2 2" xfId="581"/>
    <cellStyle name="Item3" xfId="582"/>
    <cellStyle name="ItemTot" xfId="583"/>
    <cellStyle name="ItemTot 2" xfId="584"/>
    <cellStyle name="ItemTypeClass" xfId="585"/>
    <cellStyle name="KP_Normal" xfId="586"/>
    <cellStyle name="Köprü_İŞTİRAKLER-TEK DOSYA" xfId="587"/>
    <cellStyle name="Labels - Style3" xfId="588"/>
    <cellStyle name="LEVERS69" xfId="589"/>
    <cellStyle name="LEVERS69 2" xfId="590"/>
    <cellStyle name="Ligne détail" xfId="591"/>
    <cellStyle name="Linked Cell 2" xfId="592"/>
    <cellStyle name="Linked Cell 3" xfId="593"/>
    <cellStyle name="Linked Cell 4" xfId="594"/>
    <cellStyle name="Linked Cell 5" xfId="595"/>
    <cellStyle name="Linked Cell 6" xfId="596"/>
    <cellStyle name="LTGR" xfId="597"/>
    <cellStyle name="MAND&#13;CHECK.COMMAND_x000e_RENAME.COMMAND_x0008_SHOW.BAR_x000b_DELETE.MENU_x000e_DELETE.COMMAND_x000e_GET.CHA" xfId="598"/>
    <cellStyle name="MANKAD" xfId="599"/>
    <cellStyle name="Margin" xfId="600"/>
    <cellStyle name="Margins" xfId="601"/>
    <cellStyle name="masterTitles" xfId="602"/>
    <cellStyle name="MaxLimitCell" xfId="603"/>
    <cellStyle name="MedLine(B)" xfId="604"/>
    <cellStyle name="MedLine(B) 2" xfId="605"/>
    <cellStyle name="MedLines(2)" xfId="606"/>
    <cellStyle name="MedLines(2) 2" xfId="607"/>
    <cellStyle name="Message" xfId="608"/>
    <cellStyle name="MEV1" xfId="609"/>
    <cellStyle name="MEV1 2" xfId="610"/>
    <cellStyle name="MEV2" xfId="611"/>
    <cellStyle name="Milliers [0]" xfId="612"/>
    <cellStyle name="Milliers_EciaNew" xfId="613"/>
    <cellStyle name="Millions" xfId="614"/>
    <cellStyle name="MinLimitCell" xfId="615"/>
    <cellStyle name="Monétaire [0]" xfId="616"/>
    <cellStyle name="Monétaire_EciaNew" xfId="617"/>
    <cellStyle name="Multiple" xfId="618"/>
    <cellStyle name="Multiple Without" xfId="619"/>
    <cellStyle name="Multiple_DCF" xfId="620"/>
    <cellStyle name="MultipleBelow" xfId="621"/>
    <cellStyle name="Neutral 2" xfId="622"/>
    <cellStyle name="Neutral 3" xfId="623"/>
    <cellStyle name="Neutral 4" xfId="624"/>
    <cellStyle name="Neutral 5" xfId="625"/>
    <cellStyle name="Neutral 6" xfId="626"/>
    <cellStyle name="Neutre" xfId="627"/>
    <cellStyle name="no dec" xfId="628"/>
    <cellStyle name="No zero - 1dp" xfId="629"/>
    <cellStyle name="No zero - percent" xfId="630"/>
    <cellStyle name="Normal (%)" xfId="631"/>
    <cellStyle name="Normal (B)" xfId="632"/>
    <cellStyle name="Normal (G)" xfId="633"/>
    <cellStyle name="Normal (No)" xfId="634"/>
    <cellStyle name="Normal (x)" xfId="635"/>
    <cellStyle name="Normal (£m)" xfId="636"/>
    <cellStyle name="Normal - Style1" xfId="637"/>
    <cellStyle name="Normal 10" xfId="638"/>
    <cellStyle name="Normal 10 3" xfId="639"/>
    <cellStyle name="Normal 11" xfId="640"/>
    <cellStyle name="Normal 12" xfId="641"/>
    <cellStyle name="Normal 13" xfId="642"/>
    <cellStyle name="Normal 14" xfId="643"/>
    <cellStyle name="Normal 2" xfId="644"/>
    <cellStyle name="Normal 2 10" xfId="645"/>
    <cellStyle name="Normal 2 11" xfId="646"/>
    <cellStyle name="Normal 2 2" xfId="647"/>
    <cellStyle name="Normal 2 2 2" xfId="648"/>
    <cellStyle name="Normal 2 2 3" xfId="649"/>
    <cellStyle name="Normal 2 2 4" xfId="650"/>
    <cellStyle name="Normal 2 3" xfId="651"/>
    <cellStyle name="Normal 2 3 2" xfId="652"/>
    <cellStyle name="Normal 2 3 2 2" xfId="653"/>
    <cellStyle name="Normal 2 3 3" xfId="654"/>
    <cellStyle name="Normal 2 4" xfId="655"/>
    <cellStyle name="Normal 2 4 2" xfId="656"/>
    <cellStyle name="Normal 2 5" xfId="657"/>
    <cellStyle name="Normal 2 5 2" xfId="658"/>
    <cellStyle name="Normal 2 6" xfId="659"/>
    <cellStyle name="Normal 2 7" xfId="660"/>
    <cellStyle name="Normal 2 8" xfId="661"/>
    <cellStyle name="Normal 2 9" xfId="662"/>
    <cellStyle name="Normal 251" xfId="663"/>
    <cellStyle name="Normal 3" xfId="664"/>
    <cellStyle name="Normal 4" xfId="665"/>
    <cellStyle name="Normal 4 10" xfId="666"/>
    <cellStyle name="Normal 4 11" xfId="667"/>
    <cellStyle name="Normal 4 12" xfId="668"/>
    <cellStyle name="Normal 4 13" xfId="669"/>
    <cellStyle name="Normal 4 14" xfId="670"/>
    <cellStyle name="Normal 4 15" xfId="671"/>
    <cellStyle name="Normal 4 16" xfId="672"/>
    <cellStyle name="Normal 4 17" xfId="673"/>
    <cellStyle name="Normal 4 18" xfId="674"/>
    <cellStyle name="Normal 4 19" xfId="675"/>
    <cellStyle name="Normal 4 2" xfId="676"/>
    <cellStyle name="Normal 4 20" xfId="677"/>
    <cellStyle name="Normal 4 21" xfId="678"/>
    <cellStyle name="Normal 4 22" xfId="679"/>
    <cellStyle name="Normal 4 23" xfId="680"/>
    <cellStyle name="Normal 4 24" xfId="681"/>
    <cellStyle name="Normal 4 25" xfId="682"/>
    <cellStyle name="Normal 4 26" xfId="683"/>
    <cellStyle name="Normal 4 27" xfId="684"/>
    <cellStyle name="Normal 4 28" xfId="685"/>
    <cellStyle name="Normal 4 3" xfId="686"/>
    <cellStyle name="Normal 4 4" xfId="687"/>
    <cellStyle name="Normal 4 5" xfId="688"/>
    <cellStyle name="Normal 4 6" xfId="689"/>
    <cellStyle name="Normal 4 7" xfId="690"/>
    <cellStyle name="Normal 4 8" xfId="691"/>
    <cellStyle name="Normal 4 9" xfId="692"/>
    <cellStyle name="Normal 5" xfId="693"/>
    <cellStyle name="Normal 5 2" xfId="694"/>
    <cellStyle name="Normal 6" xfId="695"/>
    <cellStyle name="Normal 6 2" xfId="696"/>
    <cellStyle name="Normal 7" xfId="697"/>
    <cellStyle name="Normal 7 2" xfId="698"/>
    <cellStyle name="Normal 8" xfId="699"/>
    <cellStyle name="Normal 9" xfId="700"/>
    <cellStyle name="Normal 9 2" xfId="701"/>
    <cellStyle name="Normal 9 2 2" xfId="702"/>
    <cellStyle name="Normal 9 3" xfId="703"/>
    <cellStyle name="Normal_hhlfy6" xfId="704"/>
    <cellStyle name="Notas" xfId="705"/>
    <cellStyle name="Notas 2" xfId="706"/>
    <cellStyle name="Note 2" xfId="707"/>
    <cellStyle name="Note 3" xfId="708"/>
    <cellStyle name="Note 4" xfId="709"/>
    <cellStyle name="Note 5" xfId="710"/>
    <cellStyle name="Note 6" xfId="711"/>
    <cellStyle name="Notes" xfId="712"/>
    <cellStyle name="NUMBER" xfId="713"/>
    <cellStyle name="Number 0d" xfId="714"/>
    <cellStyle name="Number 1d" xfId="715"/>
    <cellStyle name="NUMBER 2" xfId="716"/>
    <cellStyle name="Number 2d" xfId="717"/>
    <cellStyle name="NUMBER 3" xfId="718"/>
    <cellStyle name="Number 3d" xfId="719"/>
    <cellStyle name="Number 3d big" xfId="720"/>
    <cellStyle name="Number 3d_7944C_CF" xfId="721"/>
    <cellStyle name="NUMBER 4" xfId="722"/>
    <cellStyle name="NUMBER 5" xfId="723"/>
    <cellStyle name="Number, 3d big" xfId="724"/>
    <cellStyle name="Number,1d" xfId="725"/>
    <cellStyle name="Numbers" xfId="726"/>
    <cellStyle name="Numdec1" xfId="727"/>
    <cellStyle name="Numdec1bold" xfId="728"/>
    <cellStyle name="NumGen" xfId="729"/>
    <cellStyle name="NumGen 2" xfId="730"/>
    <cellStyle name="NumPcnt(2)" xfId="731"/>
    <cellStyle name="NumPcnt(2) 2" xfId="732"/>
    <cellStyle name="NumTh(0)" xfId="733"/>
    <cellStyle name="NumTh(0) 2" xfId="734"/>
    <cellStyle name="NumThRed(2)" xfId="735"/>
    <cellStyle name="NumThRed(2) 2" xfId="736"/>
    <cellStyle name="Onedec" xfId="737"/>
    <cellStyle name="Output 2" xfId="738"/>
    <cellStyle name="Output 3" xfId="739"/>
    <cellStyle name="Output 4" xfId="740"/>
    <cellStyle name="Output 5" xfId="741"/>
    <cellStyle name="Output 6" xfId="742"/>
    <cellStyle name="Output Labels" xfId="743"/>
    <cellStyle name="P/E" xfId="744"/>
    <cellStyle name="p1 Source/note" xfId="745"/>
    <cellStyle name="p1 Table headers" xfId="746"/>
    <cellStyle name="p1 Table stubs" xfId="747"/>
    <cellStyle name="p1 Table text" xfId="748"/>
    <cellStyle name="p1 Table title" xfId="749"/>
    <cellStyle name="p1 Table title 2" xfId="750"/>
    <cellStyle name="Page Number" xfId="751"/>
    <cellStyle name="ParaHead" xfId="752"/>
    <cellStyle name="ParaHead 2" xfId="753"/>
    <cellStyle name="pb_table_format_columnheading" xfId="754"/>
    <cellStyle name="pcent" xfId="755"/>
    <cellStyle name="pcent 2" xfId="756"/>
    <cellStyle name="Pctdec1" xfId="757"/>
    <cellStyle name="Pctdec1+" xfId="758"/>
    <cellStyle name="Pctdec1itals" xfId="759"/>
    <cellStyle name="Pctdec1itals+" xfId="760"/>
    <cellStyle name="Pctdec2" xfId="761"/>
    <cellStyle name="PE/LTGR" xfId="762"/>
    <cellStyle name="Percent (M)" xfId="763"/>
    <cellStyle name="Percent 1d" xfId="764"/>
    <cellStyle name="Percent 2" xfId="765"/>
    <cellStyle name="Percent 2 2" xfId="766"/>
    <cellStyle name="Percent 3" xfId="767"/>
    <cellStyle name="Percent 3 2" xfId="768"/>
    <cellStyle name="Percent 4" xfId="769"/>
    <cellStyle name="Percent 4 2" xfId="770"/>
    <cellStyle name="Percent 5" xfId="771"/>
    <cellStyle name="Percent 5 2" xfId="772"/>
    <cellStyle name="Percent 6" xfId="773"/>
    <cellStyle name="Percent 6 2" xfId="774"/>
    <cellStyle name="Percent 7" xfId="775"/>
    <cellStyle name="Percent 7 2" xfId="776"/>
    <cellStyle name="Percent 8" xfId="777"/>
    <cellStyle name="Percent [2]" xfId="778"/>
    <cellStyle name="Percent [2] 2" xfId="779"/>
    <cellStyle name="Percent-constant" xfId="780"/>
    <cellStyle name="Percent-formula" xfId="781"/>
    <cellStyle name="Percent1" xfId="782"/>
    <cellStyle name="Percentage[0]" xfId="783"/>
    <cellStyle name="PercentChange" xfId="784"/>
    <cellStyle name="PercentERR" xfId="785"/>
    <cellStyle name="PercentPresentation" xfId="786"/>
    <cellStyle name="Plug 0." xfId="787"/>
    <cellStyle name="Plug 0.0" xfId="788"/>
    <cellStyle name="POPS" xfId="789"/>
    <cellStyle name="Poundsdec0" xfId="790"/>
    <cellStyle name="Pourcentage_EciaNew" xfId="791"/>
    <cellStyle name="PresentationZero" xfId="792"/>
    <cellStyle name="Price" xfId="793"/>
    <cellStyle name="Problem" xfId="794"/>
    <cellStyle name="ProfileTitle" xfId="795"/>
    <cellStyle name="Ratio" xfId="796"/>
    <cellStyle name="Ratio 2" xfId="797"/>
    <cellStyle name="RatioX" xfId="798"/>
    <cellStyle name="Red" xfId="799"/>
    <cellStyle name="Reference" xfId="800"/>
    <cellStyle name="Reset  - Style7" xfId="801"/>
    <cellStyle name="Reset range style to defaults" xfId="802"/>
    <cellStyle name="Reset range style to defaults 2" xfId="803"/>
    <cellStyle name="Result F1" xfId="804"/>
    <cellStyle name="Result F1 2" xfId="805"/>
    <cellStyle name="Result Item" xfId="806"/>
    <cellStyle name="Result Item 2" xfId="807"/>
    <cellStyle name="Result Item Total" xfId="808"/>
    <cellStyle name="Result Item Total 2" xfId="809"/>
    <cellStyle name="Result T1" xfId="810"/>
    <cellStyle name="Result T2" xfId="811"/>
    <cellStyle name="Result T3" xfId="812"/>
    <cellStyle name="Result T4" xfId="813"/>
    <cellStyle name="Result Total" xfId="814"/>
    <cellStyle name="Result Total 2" xfId="815"/>
    <cellStyle name="revenue_model_q" xfId="816"/>
    <cellStyle name="Right" xfId="817"/>
    <cellStyle name="Right 2" xfId="818"/>
    <cellStyle name="Rmess" xfId="819"/>
    <cellStyle name="Rnumber" xfId="820"/>
    <cellStyle name="Rnumber3" xfId="821"/>
    <cellStyle name="Rs Notation" xfId="822"/>
    <cellStyle name="Rs Notation 2" xfId="823"/>
    <cellStyle name="s" xfId="824"/>
    <cellStyle name="Salida" xfId="825"/>
    <cellStyle name="SAPBEXHLevel1" xfId="826"/>
    <cellStyle name="SAPBEXHLevel1 2" xfId="827"/>
    <cellStyle name="SAPBEXstdData" xfId="828"/>
    <cellStyle name="Satisfaisant" xfId="829"/>
    <cellStyle name="SB_Normal" xfId="830"/>
    <cellStyle name="ScripFactor" xfId="831"/>
    <cellStyle name="SectionHeading" xfId="832"/>
    <cellStyle name="Share" xfId="833"/>
    <cellStyle name="Shares" xfId="834"/>
    <cellStyle name="SingleLineAcctgn" xfId="835"/>
    <cellStyle name="SingleLinePercent" xfId="836"/>
    <cellStyle name="Sortie" xfId="837"/>
    <cellStyle name="source" xfId="838"/>
    <cellStyle name="Source/note" xfId="839"/>
    <cellStyle name="Standard" xfId="840"/>
    <cellStyle name="Standard 2" xfId="841"/>
    <cellStyle name="style" xfId="842"/>
    <cellStyle name="Style 1" xfId="843"/>
    <cellStyle name="Style 1 2" xfId="844"/>
    <cellStyle name="Style 10" xfId="845"/>
    <cellStyle name="Style 11" xfId="846"/>
    <cellStyle name="Style 11 2" xfId="847"/>
    <cellStyle name="Style 12" xfId="848"/>
    <cellStyle name="Style 13" xfId="849"/>
    <cellStyle name="Style 13 2" xfId="850"/>
    <cellStyle name="Style 14" xfId="851"/>
    <cellStyle name="Style 15" xfId="852"/>
    <cellStyle name="Style 16" xfId="853"/>
    <cellStyle name="Style 16 2" xfId="854"/>
    <cellStyle name="Style 17" xfId="855"/>
    <cellStyle name="Style 18" xfId="856"/>
    <cellStyle name="Style 19" xfId="857"/>
    <cellStyle name="Style 19 2" xfId="858"/>
    <cellStyle name="Style 2" xfId="859"/>
    <cellStyle name="Style 2 2" xfId="860"/>
    <cellStyle name="Style 20" xfId="861"/>
    <cellStyle name="Style 21" xfId="862"/>
    <cellStyle name="Style 21 2" xfId="863"/>
    <cellStyle name="Style 22" xfId="864"/>
    <cellStyle name="Style 23" xfId="865"/>
    <cellStyle name="Style 24" xfId="866"/>
    <cellStyle name="Style 24 2" xfId="867"/>
    <cellStyle name="style 25" xfId="868"/>
    <cellStyle name="style 26" xfId="869"/>
    <cellStyle name="style 27" xfId="870"/>
    <cellStyle name="style 28" xfId="871"/>
    <cellStyle name="Style 3" xfId="872"/>
    <cellStyle name="Style 3 2" xfId="873"/>
    <cellStyle name="Style 34" xfId="874"/>
    <cellStyle name="Style 35" xfId="875"/>
    <cellStyle name="Style 36" xfId="876"/>
    <cellStyle name="Style 37" xfId="877"/>
    <cellStyle name="Style 38" xfId="878"/>
    <cellStyle name="Style 39" xfId="879"/>
    <cellStyle name="Style 4" xfId="880"/>
    <cellStyle name="Style 4 2" xfId="881"/>
    <cellStyle name="Style 45" xfId="882"/>
    <cellStyle name="Style 46" xfId="883"/>
    <cellStyle name="Style 5" xfId="884"/>
    <cellStyle name="Style 5 2" xfId="885"/>
    <cellStyle name="Style 52" xfId="886"/>
    <cellStyle name="Style 53" xfId="887"/>
    <cellStyle name="Style 6" xfId="888"/>
    <cellStyle name="Style 6 2" xfId="889"/>
    <cellStyle name="Style 7" xfId="890"/>
    <cellStyle name="Style 7 2" xfId="891"/>
    <cellStyle name="Style 8" xfId="892"/>
    <cellStyle name="Style 8 2" xfId="893"/>
    <cellStyle name="Style 9" xfId="894"/>
    <cellStyle name="Style 9 2" xfId="895"/>
    <cellStyle name="Style1" xfId="896"/>
    <cellStyle name="Style2" xfId="897"/>
    <cellStyle name="Style3" xfId="898"/>
    <cellStyle name="Style4" xfId="899"/>
    <cellStyle name="Style5" xfId="900"/>
    <cellStyle name="Style6" xfId="901"/>
    <cellStyle name="Style7" xfId="902"/>
    <cellStyle name="Sub - Style3" xfId="903"/>
    <cellStyle name="Subhead" xfId="904"/>
    <cellStyle name="Subheadbldun" xfId="905"/>
    <cellStyle name="Subscribers" xfId="906"/>
    <cellStyle name="SubTot 1" xfId="907"/>
    <cellStyle name="SubTot 1 2" xfId="908"/>
    <cellStyle name="SubTot 2" xfId="909"/>
    <cellStyle name="SubTot 2 2" xfId="910"/>
    <cellStyle name="SubTot 3" xfId="911"/>
    <cellStyle name="SubTot 3 2" xfId="912"/>
    <cellStyle name="Subtotal_right" xfId="913"/>
    <cellStyle name="SummaryFormat" xfId="914"/>
    <cellStyle name="SummaryFormatEnd" xfId="915"/>
    <cellStyle name="SummaryFormatStart" xfId="916"/>
    <cellStyle name="SymbolBlue" xfId="917"/>
    <cellStyle name="t%" xfId="918"/>
    <cellStyle name="table" xfId="919"/>
    <cellStyle name="Table  - Style6" xfId="920"/>
    <cellStyle name="Table Head" xfId="921"/>
    <cellStyle name="Table Head Aligned" xfId="922"/>
    <cellStyle name="Table Head Blue" xfId="923"/>
    <cellStyle name="Table Head Green" xfId="924"/>
    <cellStyle name="Table headers" xfId="925"/>
    <cellStyle name="Table headers 2" xfId="926"/>
    <cellStyle name="Table stubs" xfId="927"/>
    <cellStyle name="Table text" xfId="928"/>
    <cellStyle name="Table text #,##0;(#,##0)" xfId="929"/>
    <cellStyle name="Table text 0.0" xfId="930"/>
    <cellStyle name="Table title" xfId="931"/>
    <cellStyle name="Table Units" xfId="932"/>
    <cellStyle name="TableBody_Deutsche Telekom " xfId="933"/>
    <cellStyle name="TableColHeads_Deutsche Telekom " xfId="934"/>
    <cellStyle name="Terms" xfId="935"/>
    <cellStyle name="Texte explicatif" xfId="936"/>
    <cellStyle name="Texto de advertencia" xfId="937"/>
    <cellStyle name="Texto explicativo" xfId="938"/>
    <cellStyle name="Thin2Lines(B)" xfId="939"/>
    <cellStyle name="Thin2Lines(B) 2" xfId="940"/>
    <cellStyle name="ThinBotRow" xfId="941"/>
    <cellStyle name="ThinBotRow 2" xfId="942"/>
    <cellStyle name="ThinLine(B)" xfId="943"/>
    <cellStyle name="ThinLine(B) 2" xfId="944"/>
    <cellStyle name="ThinLine(BL)" xfId="945"/>
    <cellStyle name="ThinLine(BL) 2" xfId="946"/>
    <cellStyle name="ThinLine(Box)" xfId="947"/>
    <cellStyle name="ThinLine(Box) 2" xfId="948"/>
    <cellStyle name="ThinLine(BR)" xfId="949"/>
    <cellStyle name="ThinLine(BR) 2" xfId="950"/>
    <cellStyle name="ThinLine(LBox)" xfId="951"/>
    <cellStyle name="ThinLine(LBox) 2" xfId="952"/>
    <cellStyle name="ThinLine(RBox)" xfId="953"/>
    <cellStyle name="ThinLine(RBox) 2" xfId="954"/>
    <cellStyle name="ThinLine(TB)" xfId="955"/>
    <cellStyle name="ThinLine(TB) 2" xfId="956"/>
    <cellStyle name="ThinLine(TL)" xfId="957"/>
    <cellStyle name="ThinLine(TL) 2" xfId="958"/>
    <cellStyle name="ThinLine(TR)" xfId="959"/>
    <cellStyle name="ThinLine(TR) 2" xfId="960"/>
    <cellStyle name="ThinMidRow" xfId="961"/>
    <cellStyle name="ThinMidRow 2" xfId="962"/>
    <cellStyle name="ThinTopRow" xfId="963"/>
    <cellStyle name="ThinTopRow 2" xfId="964"/>
    <cellStyle name="ThinTotLine" xfId="965"/>
    <cellStyle name="ThinTotLine 2" xfId="966"/>
    <cellStyle name="ThinTotLine(Box)" xfId="967"/>
    <cellStyle name="ThinTotLine(Box) 2" xfId="968"/>
    <cellStyle name="threedecplace" xfId="969"/>
    <cellStyle name="threedecplace 2" xfId="970"/>
    <cellStyle name="Time Strip" xfId="971"/>
    <cellStyle name="Timesdec1" xfId="972"/>
    <cellStyle name="Timesdec2" xfId="973"/>
    <cellStyle name="titel" xfId="974"/>
    <cellStyle name="Title  - Style1" xfId="975"/>
    <cellStyle name="Title 2" xfId="976"/>
    <cellStyle name="Title 3" xfId="977"/>
    <cellStyle name="Title 4" xfId="978"/>
    <cellStyle name="Title 5" xfId="979"/>
    <cellStyle name="Title 6" xfId="980"/>
    <cellStyle name="Title II" xfId="981"/>
    <cellStyle name="Title1" xfId="982"/>
    <cellStyle name="Title2" xfId="983"/>
    <cellStyle name="TitleII" xfId="984"/>
    <cellStyle name="Titles" xfId="985"/>
    <cellStyle name="TitleStartCell" xfId="986"/>
    <cellStyle name="Titre" xfId="987"/>
    <cellStyle name="Titre colonne" xfId="988"/>
    <cellStyle name="Titre colonnes" xfId="989"/>
    <cellStyle name="Titre general" xfId="990"/>
    <cellStyle name="Titre général" xfId="991"/>
    <cellStyle name="Titre ligne" xfId="992"/>
    <cellStyle name="Titre lignes" xfId="993"/>
    <cellStyle name="Titre tableau" xfId="994"/>
    <cellStyle name="Titre 1" xfId="995"/>
    <cellStyle name="Titre 2" xfId="996"/>
    <cellStyle name="Titre 3" xfId="997"/>
    <cellStyle name="Titre 4" xfId="998"/>
    <cellStyle name="Topline" xfId="999"/>
    <cellStyle name="Topline 2" xfId="1000"/>
    <cellStyle name="Total 2" xfId="1001"/>
    <cellStyle name="Total 3" xfId="1002"/>
    <cellStyle name="Total 4" xfId="1003"/>
    <cellStyle name="Total 5" xfId="1004"/>
    <cellStyle name="Total 6" xfId="1005"/>
    <cellStyle name="Total intermediaire" xfId="1006"/>
    <cellStyle name="Total intermediaire 0" xfId="1007"/>
    <cellStyle name="Total intermediaire 0 2" xfId="1008"/>
    <cellStyle name="Total intermediaire 1" xfId="1009"/>
    <cellStyle name="Total intermediaire 2" xfId="1010"/>
    <cellStyle name="Total intermediaire 3" xfId="1011"/>
    <cellStyle name="Total intermediaire 4" xfId="1012"/>
    <cellStyle name="Total intermediaire_ACEA download sheet" xfId="1013"/>
    <cellStyle name="Total tableau" xfId="1014"/>
    <cellStyle name="totals" xfId="1015"/>
    <cellStyle name="TotCol - Style5" xfId="1016"/>
    <cellStyle name="TotRow - Style4" xfId="1017"/>
    <cellStyle name="tsDates" xfId="1018"/>
    <cellStyle name="tsTitles" xfId="1019"/>
    <cellStyle name="twodecplace" xfId="1020"/>
    <cellStyle name="Título" xfId="1021"/>
    <cellStyle name="Título 1" xfId="1022"/>
    <cellStyle name="Título 2" xfId="1023"/>
    <cellStyle name="Título 3" xfId="1024"/>
    <cellStyle name="Ugly" xfId="1025"/>
    <cellStyle name="Units" xfId="1026"/>
    <cellStyle name="Update" xfId="1027"/>
    <cellStyle name="Upload Only" xfId="1028"/>
    <cellStyle name="US$#,##0" xfId="1029"/>
    <cellStyle name="US$#,##0.00" xfId="1030"/>
    <cellStyle name="Validation" xfId="1031"/>
    <cellStyle name="Validation 2" xfId="1032"/>
    <cellStyle name="Valuation" xfId="1033"/>
    <cellStyle name="Valuation Bold" xfId="1034"/>
    <cellStyle name="Valuation_Global Pipeline" xfId="1035"/>
    <cellStyle name="Volumes_Data" xfId="1036"/>
    <cellStyle name="Vérification" xfId="1037"/>
    <cellStyle name="Warning Text 2" xfId="1038"/>
    <cellStyle name="Warning Text 3" xfId="1039"/>
    <cellStyle name="Warning Text 4" xfId="1040"/>
    <cellStyle name="Warning Text 5" xfId="1041"/>
    <cellStyle name="Warning Text 6" xfId="1042"/>
    <cellStyle name="WholeNumber" xfId="1043"/>
    <cellStyle name="WingdingsBlack" xfId="1044"/>
    <cellStyle name="WingdingsRed" xfId="1045"/>
    <cellStyle name="WingdingsWhite" xfId="1046"/>
    <cellStyle name="Währung [0]_CIBA.H12001" xfId="1047"/>
    <cellStyle name="Währung_ACEA" xfId="1048"/>
    <cellStyle name="x" xfId="1049"/>
    <cellStyle name="YE Num" xfId="1050"/>
    <cellStyle name="YE Num 2" xfId="1051"/>
    <cellStyle name="YE String" xfId="1052"/>
    <cellStyle name="Year" xfId="1053"/>
    <cellStyle name="Year Estimate" xfId="1054"/>
    <cellStyle name="years" xfId="1055"/>
    <cellStyle name="zero" xfId="1056"/>
    <cellStyle name="ÊÝ [0.00]_COMPANY" xfId="1057"/>
    <cellStyle name="ÊÝ_COMPANY" xfId="1058"/>
    <cellStyle name="W_GTParent" xfId="1059"/>
    <cellStyle name="§" xfId="1060"/>
    <cellStyle name="§ 2" xfId="1061"/>
    <cellStyle name="§Q" xfId="1062"/>
    <cellStyle name="§Q 2" xfId="1063"/>
    <cellStyle name="§Q\" xfId="1064"/>
    <cellStyle name="§Q\ 2" xfId="1065"/>
    <cellStyle name="§Q\?" xfId="1066"/>
    <cellStyle name="§Q\? 2" xfId="1067"/>
    <cellStyle name="§Q\?1" xfId="1068"/>
    <cellStyle name="§Q\?1 2" xfId="1069"/>
    <cellStyle name="§Q\?1@" xfId="1070"/>
    <cellStyle name="§Q\_Japan data" xfId="1071"/>
    <cellStyle name="Énfasis1" xfId="1072"/>
    <cellStyle name="Énfasis2" xfId="1073"/>
    <cellStyle name="Énfasis3" xfId="1074"/>
    <cellStyle name="Énfasis4" xfId="1075"/>
    <cellStyle name="Énfasis5" xfId="1076"/>
    <cellStyle name="Énfasis6" xfId="1077"/>
    <cellStyle name="þ_x001d_ð &amp;ý&amp;†ýG_x0008_ X&#10;_x0007__x0001__x0001_" xfId="1078"/>
    <cellStyle name="þ_x001d_ð &amp;ý&amp;†ýG_x0008_ X&#10;_x0007__x0001__x0001_ 2" xfId="1079"/>
    <cellStyle name="þ_x001d_ð&quot;_x000c_Býò_x000c_5ýU_x0001_e_x0005_¹,_x0007__x0001__x0001_" xfId="1080"/>
    <cellStyle name="þ_x001d_ð&quot;_x000c_Býò_x000c_5ýU_x0001_e_x0005_¹,_x0007__x0001__x0001_ 2" xfId="1081"/>
    <cellStyle name="Œ…‹æØ‚è [0.00]_4535" xfId="1082"/>
    <cellStyle name="Œ…‹æØ‚è_GE 3 MINIMUM" xfId="1083"/>
    <cellStyle name="’Ê‰Ý [0.00]_4501mc" xfId="1084"/>
    <cellStyle name="’Ê‰Ý_4501mc" xfId="1085"/>
    <cellStyle name="“ü—Í—“" xfId="1086"/>
    <cellStyle name="•W€_4501mc" xfId="1087"/>
    <cellStyle name="ハイパーリンク" xfId="1088"/>
    <cellStyle name="パーセント_8001C_CF" xfId="1089"/>
    <cellStyle name="常规_11月上报协会数据" xfId="1090"/>
    <cellStyle name="桁区切り [0.00]_4502TAKE" xfId="1091"/>
    <cellStyle name="桁区切り_4505 Daiichi Model" xfId="1092"/>
    <cellStyle name="標準_２目次案" xfId="1093"/>
    <cellStyle name="通貨 [0.00]_２目次案" xfId="1094"/>
    <cellStyle name="通貨_２目次案" xfId="1095"/>
  </cellStyles>
  <dxfs count="2">
    <dxf>
      <font>
        <b val="1"/>
        <color rgb="FF00FF00"/>
      </font>
    </dxf>
    <dxf>
      <font>
        <b val="1"/>
        <color rgb="FFFF0000"/>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BFBFBF"/>
      <rgbColor rgb="FF800080"/>
      <rgbColor rgb="FF008080"/>
      <rgbColor rgb="FFC0C0C0"/>
      <rgbColor rgb="FF808080"/>
      <rgbColor rgb="FFC0C0FF"/>
      <rgbColor rgb="FFD9DADB"/>
      <rgbColor rgb="FFFFFFCC"/>
      <rgbColor rgb="FFCCFFFF"/>
      <rgbColor rgb="FFE2EFDA"/>
      <rgbColor rgb="FFFF8080"/>
      <rgbColor rgb="FF0067CB"/>
      <rgbColor rgb="FFCCCCFF"/>
      <rgbColor rgb="FFF2F2F2"/>
      <rgbColor rgb="FFF2DCDB"/>
      <rgbColor rgb="FFFFF2CC"/>
      <rgbColor rgb="FFC6D9F1"/>
      <rgbColor rgb="FFDCE6F2"/>
      <rgbColor rgb="FFFDE9D9"/>
      <rgbColor rgb="FF3474D4"/>
      <rgbColor rgb="FFEFEFEF"/>
      <rgbColor rgb="FF00CCFF"/>
      <rgbColor rgb="FFDDEBF7"/>
      <rgbColor rgb="FFCCFFCC"/>
      <rgbColor rgb="FFFFFF99"/>
      <rgbColor rgb="FF99CCFF"/>
      <rgbColor rgb="FFFF99CC"/>
      <rgbColor rgb="FFCC99FF"/>
      <rgbColor rgb="FFFFCC99"/>
      <rgbColor rgb="FF3366FF"/>
      <rgbColor rgb="FF33CCCC"/>
      <rgbColor rgb="FF92D050"/>
      <rgbColor rgb="FFFFCC00"/>
      <rgbColor rgb="FFFF9900"/>
      <rgbColor rgb="FFFE6902"/>
      <rgbColor rgb="FF77808B"/>
      <rgbColor rgb="FF969696"/>
      <rgbColor rgb="FF003366"/>
      <rgbColor rgb="FF339966"/>
      <rgbColor rgb="FF1F3864"/>
      <rgbColor rgb="FF1D331D"/>
      <rgbColor rgb="FF993315"/>
      <rgbColor rgb="FFD7E4B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spPr>
            <a:solidFill>
              <a:srgbClr val="993366"/>
            </a:solidFill>
            <a:ln w="12600">
              <a:solidFill>
                <a:srgbClr val="000000"/>
              </a:solidFill>
              <a:round/>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'New Qrtrly'!$B$172:$O$172</c:f>
              <c:strCache>
                <c:ptCount val="14"/>
                <c:pt idx="0">
                  <c:v/>
                </c:pt>
                <c:pt idx="1">
                  <c:v/>
                </c:pt>
                <c:pt idx="2">
                  <c:v/>
                </c:pt>
                <c:pt idx="3">
                  <c:v/>
                </c:pt>
                <c:pt idx="4">
                  <c:v/>
                </c:pt>
                <c:pt idx="5">
                  <c:v/>
                </c:pt>
                <c:pt idx="6">
                  <c:v/>
                </c:pt>
                <c:pt idx="7">
                  <c:v/>
                </c:pt>
                <c:pt idx="8">
                  <c:v/>
                </c:pt>
                <c:pt idx="9">
                  <c:v/>
                </c:pt>
                <c:pt idx="10">
                  <c:v/>
                </c:pt>
                <c:pt idx="11">
                  <c:v/>
                </c:pt>
                <c:pt idx="12">
                  <c:v/>
                </c:pt>
                <c:pt idx="13">
                  <c:v/>
                </c:pt>
              </c:strCache>
            </c:strRef>
          </c:cat>
          <c:val>
            <c:numRef>
              <c:f>'New Qrtrly'!$B$173:$O$173</c:f>
              <c:numCache>
                <c:formatCode>General</c:formatCode>
                <c:ptCount val="14"/>
              </c:numCache>
            </c:numRef>
          </c:val>
        </c:ser>
        <c:gapWidth val="150"/>
        <c:overlap val="0"/>
        <c:axId val="39774111"/>
        <c:axId val="20795796"/>
      </c:barChart>
      <c:lineChart>
        <c:grouping val="standard"/>
        <c:varyColors val="0"/>
        <c:ser>
          <c:idx val="1"/>
          <c:order val="1"/>
          <c:spPr>
            <a:solidFill>
              <a:srgbClr val="000080"/>
            </a:solidFill>
            <a:ln w="12600">
              <a:solidFill>
                <a:srgbClr val="000080"/>
              </a:solidFill>
              <a:round/>
            </a:ln>
          </c:spPr>
          <c:marker>
            <c:symbol val="diamond"/>
            <c:size val="5"/>
            <c:spPr>
              <a:solidFill>
                <a:srgbClr val="00008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'New Qrtrly'!$B$172:$O$172</c:f>
              <c:strCache>
                <c:ptCount val="14"/>
                <c:pt idx="0">
                  <c:v/>
                </c:pt>
                <c:pt idx="1">
                  <c:v/>
                </c:pt>
                <c:pt idx="2">
                  <c:v/>
                </c:pt>
                <c:pt idx="3">
                  <c:v/>
                </c:pt>
                <c:pt idx="4">
                  <c:v/>
                </c:pt>
                <c:pt idx="5">
                  <c:v/>
                </c:pt>
                <c:pt idx="6">
                  <c:v/>
                </c:pt>
                <c:pt idx="7">
                  <c:v/>
                </c:pt>
                <c:pt idx="8">
                  <c:v/>
                </c:pt>
                <c:pt idx="9">
                  <c:v/>
                </c:pt>
                <c:pt idx="10">
                  <c:v/>
                </c:pt>
                <c:pt idx="11">
                  <c:v/>
                </c:pt>
                <c:pt idx="12">
                  <c:v/>
                </c:pt>
                <c:pt idx="13">
                  <c:v/>
                </c:pt>
              </c:strCache>
            </c:strRef>
          </c:cat>
          <c:val>
            <c:numRef>
              <c:f>'New Qrtrly'!$B$174:$O$174</c:f>
              <c:numCache>
                <c:formatCode>General</c:formatCode>
                <c:ptCount val="14"/>
              </c:numCache>
            </c:numRef>
          </c:val>
          <c:smooth val="0"/>
        </c:ser>
        <c:hiLowLines>
          <c:spPr>
            <a:ln w="0">
              <a:noFill/>
            </a:ln>
          </c:spPr>
        </c:hiLowLines>
        <c:marker val="1"/>
        <c:axId val="15004814"/>
        <c:axId val="94074364"/>
      </c:lineChart>
      <c:catAx>
        <c:axId val="39774111"/>
        <c:scaling>
          <c:orientation val="minMax"/>
        </c:scaling>
        <c:delete val="0"/>
        <c:axPos val="b"/>
        <c:numFmt formatCode="General" sourceLinked="0"/>
        <c:majorTickMark val="cross"/>
        <c:minorTickMark val="none"/>
        <c:tickLblPos val="nextTo"/>
        <c:spPr>
          <a:ln w="3240">
            <a:solidFill>
              <a:srgbClr val="000000"/>
            </a:solidFill>
            <a:round/>
          </a:ln>
        </c:spPr>
        <c:txPr>
          <a:bodyPr rot="-2700000"/>
          <a:lstStyle/>
          <a:p>
            <a:pPr>
              <a:defRPr b="0" lang="en-US" sz="1000" spc="-1" strike="noStrike">
                <a:solidFill>
                  <a:srgbClr val="000000"/>
                </a:solidFill>
                <a:latin typeface="HelveticaNeue Condensed"/>
                <a:ea typeface="HelveticaNeue Condensed"/>
              </a:defRPr>
            </a:pPr>
          </a:p>
        </c:txPr>
        <c:crossAx val="20795796"/>
        <c:crosses val="autoZero"/>
        <c:auto val="1"/>
        <c:lblAlgn val="ctr"/>
        <c:lblOffset val="100"/>
        <c:noMultiLvlLbl val="0"/>
      </c:catAx>
      <c:valAx>
        <c:axId val="20795796"/>
        <c:scaling>
          <c:orientation val="minMax"/>
          <c:min val="8"/>
        </c:scaling>
        <c:delete val="0"/>
        <c:axPos val="l"/>
        <c:numFmt formatCode="0.00" sourceLinked="0"/>
        <c:majorTickMark val="cross"/>
        <c:minorTickMark val="none"/>
        <c:tickLblPos val="nextTo"/>
        <c:spPr>
          <a:ln w="3240">
            <a:solidFill>
              <a:srgbClr val="000000"/>
            </a:solidFill>
            <a:round/>
          </a:ln>
        </c:spPr>
        <c:txPr>
          <a:bodyPr/>
          <a:lstStyle/>
          <a:p>
            <a:pPr>
              <a:defRPr b="0" lang="en-US" sz="1000" spc="-1" strike="noStrike">
                <a:solidFill>
                  <a:srgbClr val="000000"/>
                </a:solidFill>
                <a:latin typeface="HelveticaNeue Condensed"/>
                <a:ea typeface="HelveticaNeue Condensed"/>
              </a:defRPr>
            </a:pPr>
          </a:p>
        </c:txPr>
        <c:crossAx val="39774111"/>
        <c:crosses val="autoZero"/>
        <c:crossBetween val="between"/>
        <c:majorUnit val="0.8"/>
      </c:valAx>
      <c:catAx>
        <c:axId val="15004814"/>
        <c:scaling>
          <c:orientation val="minMax"/>
        </c:scaling>
        <c:delete val="1"/>
        <c:axPos val="t"/>
        <c:numFmt formatCode="General" sourceLinked="1"/>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074364"/>
        <c:auto val="1"/>
        <c:lblAlgn val="ctr"/>
        <c:lblOffset val="100"/>
        <c:noMultiLvlLbl val="0"/>
      </c:catAx>
      <c:valAx>
        <c:axId val="94074364"/>
        <c:scaling>
          <c:orientation val="minMax"/>
        </c:scaling>
        <c:delete val="0"/>
        <c:axPos val="r"/>
        <c:numFmt formatCode="_(* #,##0.0_);_(* \(#,##0.0\);_(* \-??_);_(@_)" sourceLinked="0"/>
        <c:majorTickMark val="cross"/>
        <c:minorTickMark val="none"/>
        <c:tickLblPos val="nextTo"/>
        <c:spPr>
          <a:ln w="3240">
            <a:solidFill>
              <a:srgbClr val="000000"/>
            </a:solidFill>
            <a:round/>
          </a:ln>
        </c:spPr>
        <c:txPr>
          <a:bodyPr/>
          <a:lstStyle/>
          <a:p>
            <a:pPr>
              <a:defRPr b="0" lang="en-US" sz="1000" spc="-1" strike="noStrike">
                <a:solidFill>
                  <a:srgbClr val="000000"/>
                </a:solidFill>
                <a:latin typeface="HelveticaNeue Condensed"/>
                <a:ea typeface="HelveticaNeue Condensed"/>
              </a:defRPr>
            </a:pPr>
          </a:p>
        </c:txPr>
        <c:crossAx val="15004814"/>
        <c:crosses val="max"/>
        <c:crossBetween val="between"/>
      </c:valAx>
      <c:spPr>
        <a:noFill/>
        <a:ln w="0">
          <a:noFill/>
        </a:ln>
      </c:spPr>
    </c:plotArea>
    <c:legend>
      <c:legendPos val="r"/>
      <c:overlay val="0"/>
      <c:spPr>
        <a:solidFill>
          <a:srgbClr val="ffffff"/>
        </a:solidFill>
        <a:ln w="3240">
          <a:solidFill>
            <a:srgbClr val="000000"/>
          </a:solidFill>
          <a:round/>
        </a:ln>
      </c:spPr>
      <c:txPr>
        <a:bodyPr/>
        <a:lstStyle/>
        <a:p>
          <a:pPr>
            <a:defRPr b="0" lang="en-US" sz="920" spc="-1" strike="noStrike">
              <a:solidFill>
                <a:srgbClr val="000000"/>
              </a:solidFill>
              <a:latin typeface="HelveticaNeue Condensed"/>
              <a:ea typeface="HelveticaNeue Condensed"/>
            </a:defRPr>
          </a:pPr>
        </a:p>
      </c:txPr>
    </c:legend>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0</xdr:colOff>
      <xdr:row>175</xdr:row>
      <xdr:rowOff>114840</xdr:rowOff>
    </xdr:from>
    <xdr:to>
      <xdr:col>15</xdr:col>
      <xdr:colOff>0</xdr:colOff>
      <xdr:row>190</xdr:row>
      <xdr:rowOff>142200</xdr:rowOff>
    </xdr:to>
    <xdr:graphicFrame>
      <xdr:nvGraphicFramePr>
        <xdr:cNvPr id="0" name="Chart 1"/>
        <xdr:cNvGraphicFramePr/>
      </xdr:nvGraphicFramePr>
      <xdr:xfrm>
        <a:off x="13371840" y="27327600"/>
        <a:ext cx="0" cy="2313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B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96"/>
    <col collapsed="false" customWidth="true" hidden="false" outlineLevel="0" max="7" min="4" style="0" width="18"/>
  </cols>
  <sheetData>
    <row r="1" customFormat="false" ht="16.15" hidden="false" customHeight="false" outlineLevel="0" collapsed="false">
      <c r="B1" s="1" t="s">
        <v>0</v>
      </c>
    </row>
    <row r="2" customFormat="false" ht="15" hidden="false" customHeight="false" outlineLevel="0" collapsed="false">
      <c r="B2" s="2" t="s">
        <v>1</v>
      </c>
    </row>
    <row r="4" customFormat="false" ht="13.5" hidden="false" customHeight="true" outlineLevel="0" collapsed="false">
      <c r="B4" s="3" t="s">
        <v>2</v>
      </c>
      <c r="C4" s="4"/>
    </row>
    <row r="5" customFormat="false" ht="13.5" hidden="false" customHeight="true" outlineLevel="0" collapsed="false">
      <c r="B5" s="5" t="s">
        <v>3</v>
      </c>
      <c r="C5" s="6" t="s">
        <v>4</v>
      </c>
    </row>
    <row r="6" customFormat="false" ht="25.5" hidden="false" customHeight="true" outlineLevel="0" collapsed="false">
      <c r="B6" s="7" t="s">
        <v>3</v>
      </c>
      <c r="C6" s="6" t="s">
        <v>5</v>
      </c>
    </row>
    <row r="7" customFormat="false" ht="13.5" hidden="false" customHeight="true" outlineLevel="0" collapsed="false">
      <c r="B7" s="8" t="s">
        <v>3</v>
      </c>
      <c r="C7" s="6" t="s">
        <v>6</v>
      </c>
    </row>
    <row r="8" customFormat="false" ht="25.5" hidden="false" customHeight="true" outlineLevel="0" collapsed="false">
      <c r="B8" s="9" t="s">
        <v>3</v>
      </c>
      <c r="C8" s="6" t="s">
        <v>7</v>
      </c>
    </row>
    <row r="9" customFormat="false" ht="13.5" hidden="false" customHeight="true" outlineLevel="0" collapsed="false">
      <c r="B9" s="10" t="s">
        <v>3</v>
      </c>
      <c r="C9" s="6" t="s">
        <v>8</v>
      </c>
    </row>
    <row r="10" customFormat="false" ht="13.5" hidden="false" customHeight="true" outlineLevel="0" collapsed="false">
      <c r="B10" s="11" t="s">
        <v>3</v>
      </c>
      <c r="C10" s="6" t="s">
        <v>9</v>
      </c>
    </row>
    <row r="11" customFormat="false" ht="13.5" hidden="false" customHeight="true" outlineLevel="0" collapsed="false"/>
    <row r="12" customFormat="false" ht="13.5" hidden="false" customHeight="true" outlineLevel="0" collapsed="false">
      <c r="B12" s="3" t="s">
        <v>10</v>
      </c>
      <c r="C12" s="4"/>
    </row>
    <row r="13" customFormat="false" ht="13.5" hidden="false" customHeight="true" outlineLevel="0" collapsed="false">
      <c r="B13" s="12" t="s">
        <v>11</v>
      </c>
      <c r="C13" s="12" t="s">
        <v>12</v>
      </c>
      <c r="D13" s="12" t="s">
        <v>13</v>
      </c>
      <c r="E13" s="12" t="s">
        <v>14</v>
      </c>
      <c r="F13" s="12" t="s">
        <v>15</v>
      </c>
      <c r="G13" s="12" t="s">
        <v>16</v>
      </c>
    </row>
    <row r="14" customFormat="false" ht="13.5" hidden="false" customHeight="true" outlineLevel="0" collapsed="false">
      <c r="B14" s="13" t="s">
        <v>17</v>
      </c>
      <c r="C14" s="14" t="n">
        <v>2833</v>
      </c>
      <c r="D14" s="14" t="n">
        <v>870</v>
      </c>
      <c r="E14" s="14" t="n">
        <v>564</v>
      </c>
      <c r="F14" s="14" t="n">
        <v>19</v>
      </c>
      <c r="G14" s="14" t="n">
        <v>401</v>
      </c>
    </row>
    <row r="15" customFormat="false" ht="13.5" hidden="false" customHeight="true" outlineLevel="0" collapsed="false">
      <c r="B15" s="13" t="s">
        <v>18</v>
      </c>
      <c r="C15" s="14" t="n">
        <v>592</v>
      </c>
      <c r="D15" s="14" t="n">
        <v>137</v>
      </c>
      <c r="E15" s="14" t="n">
        <v>136</v>
      </c>
      <c r="F15" s="14" t="n">
        <v>8</v>
      </c>
      <c r="G15" s="14" t="n">
        <v>8</v>
      </c>
    </row>
    <row r="16" customFormat="false" ht="13.5" hidden="false" customHeight="true" outlineLevel="0" collapsed="false">
      <c r="B16" s="13" t="s">
        <v>19</v>
      </c>
      <c r="C16" s="14" t="n">
        <v>15502</v>
      </c>
      <c r="D16" s="14" t="n">
        <v>2806</v>
      </c>
      <c r="E16" s="14" t="n">
        <v>1576</v>
      </c>
      <c r="F16" s="14" t="n">
        <v>91</v>
      </c>
      <c r="G16" s="14" t="n">
        <v>108</v>
      </c>
    </row>
    <row r="17" customFormat="false" ht="13.5" hidden="false" customHeight="true" outlineLevel="0" collapsed="false">
      <c r="B17" s="13" t="s">
        <v>20</v>
      </c>
      <c r="C17" s="15" t="n">
        <v>535</v>
      </c>
      <c r="D17" s="15" t="n">
        <v>173</v>
      </c>
      <c r="E17" s="15" t="n">
        <v>37</v>
      </c>
      <c r="F17" s="14" t="n">
        <v>0</v>
      </c>
      <c r="G17" s="15" t="n">
        <v>10</v>
      </c>
    </row>
    <row r="18" customFormat="false" ht="13.5" hidden="false" customHeight="true" outlineLevel="0" collapsed="false">
      <c r="B18" s="13" t="s">
        <v>21</v>
      </c>
      <c r="C18" s="14" t="n">
        <v>0</v>
      </c>
      <c r="D18" s="14" t="n">
        <v>91</v>
      </c>
      <c r="E18" s="14" t="n">
        <v>3</v>
      </c>
      <c r="F18" s="14" t="n">
        <v>23</v>
      </c>
      <c r="G18" s="14" t="n">
        <v>0</v>
      </c>
    </row>
    <row r="19" customFormat="false" ht="13.5" hidden="false" customHeight="true" outlineLevel="0" collapsed="false">
      <c r="B19" s="13" t="s">
        <v>22</v>
      </c>
      <c r="C19" s="15" t="n">
        <v>318</v>
      </c>
      <c r="D19" s="14" t="n">
        <v>0</v>
      </c>
      <c r="E19" s="14" t="n">
        <v>0</v>
      </c>
      <c r="F19" s="14" t="n">
        <v>0</v>
      </c>
      <c r="G19" s="15" t="n">
        <v>3</v>
      </c>
    </row>
    <row r="20" customFormat="false" ht="13.5" hidden="false" customHeight="true" outlineLevel="0" collapsed="false">
      <c r="B20" s="13" t="s">
        <v>23</v>
      </c>
      <c r="C20" s="14" t="n">
        <v>995</v>
      </c>
      <c r="D20" s="14" t="n">
        <v>416</v>
      </c>
      <c r="E20" s="14" t="n">
        <v>165</v>
      </c>
      <c r="F20" s="14" t="n">
        <v>55</v>
      </c>
      <c r="G20" s="14" t="n">
        <v>692</v>
      </c>
    </row>
    <row r="21" customFormat="false" ht="13.5" hidden="false" customHeight="true" outlineLevel="0" collapsed="false"/>
    <row r="22" customFormat="false" ht="13.5" hidden="false" customHeight="true" outlineLevel="0" collapsed="false">
      <c r="B22" s="3" t="s">
        <v>24</v>
      </c>
      <c r="C22" s="4"/>
    </row>
    <row r="23" customFormat="false" ht="25.5" hidden="false" customHeight="true" outlineLevel="0" collapsed="false">
      <c r="B23" s="12" t="s">
        <v>25</v>
      </c>
      <c r="C23" s="16" t="s">
        <v>26</v>
      </c>
    </row>
    <row r="24" customFormat="false" ht="39" hidden="false" customHeight="true" outlineLevel="0" collapsed="false">
      <c r="B24" s="12" t="s">
        <v>27</v>
      </c>
      <c r="C24" s="16" t="s">
        <v>28</v>
      </c>
    </row>
    <row r="25" customFormat="false" ht="25.5" hidden="false" customHeight="true" outlineLevel="0" collapsed="false">
      <c r="B25" s="12" t="s">
        <v>29</v>
      </c>
      <c r="C25" s="16" t="s">
        <v>30</v>
      </c>
    </row>
    <row r="26" customFormat="false" ht="13.5" hidden="false" customHeight="true" outlineLevel="0" collapsed="false">
      <c r="B26" s="12" t="s">
        <v>31</v>
      </c>
      <c r="C26" s="16" t="s">
        <v>32</v>
      </c>
    </row>
    <row r="27" customFormat="false" ht="25.5" hidden="false" customHeight="true" outlineLevel="0" collapsed="false">
      <c r="B27" s="12" t="s">
        <v>33</v>
      </c>
      <c r="C27" s="16" t="s">
        <v>34</v>
      </c>
    </row>
    <row r="28" customFormat="false" ht="25.5" hidden="false" customHeight="true" outlineLevel="0" collapsed="false">
      <c r="B28" s="12" t="s">
        <v>35</v>
      </c>
      <c r="C28" s="16" t="s">
        <v>36</v>
      </c>
    </row>
    <row r="29" customFormat="false" ht="25.5" hidden="false" customHeight="true" outlineLevel="0" collapsed="false">
      <c r="B29" s="12" t="s">
        <v>37</v>
      </c>
      <c r="C29" s="16" t="s">
        <v>38</v>
      </c>
    </row>
    <row r="30" customFormat="false" ht="25.5" hidden="false" customHeight="true" outlineLevel="0" collapsed="false">
      <c r="B30" s="12" t="s">
        <v>39</v>
      </c>
      <c r="C30" s="16" t="s">
        <v>40</v>
      </c>
    </row>
    <row r="31" customFormat="false" ht="39" hidden="false" customHeight="true" outlineLevel="0" collapsed="false">
      <c r="B31" s="12" t="s">
        <v>41</v>
      </c>
      <c r="C31" s="16" t="s">
        <v>42</v>
      </c>
    </row>
    <row r="32" customFormat="false" ht="25.5" hidden="false" customHeight="true" outlineLevel="0" collapsed="false">
      <c r="B32" s="12" t="s">
        <v>43</v>
      </c>
      <c r="C32" s="16" t="s">
        <v>44</v>
      </c>
    </row>
    <row r="33" customFormat="false" ht="13.5" hidden="false" customHeight="true" outlineLevel="0" collapsed="false"/>
    <row r="34" customFormat="false" ht="13.5" hidden="false" customHeight="true" outlineLevel="0" collapsed="false">
      <c r="B34" s="3" t="s">
        <v>45</v>
      </c>
      <c r="C34" s="4"/>
    </row>
    <row r="35" customFormat="false" ht="13.5" hidden="false" customHeight="true" outlineLevel="0" collapsed="false">
      <c r="B35" s="12" t="s">
        <v>46</v>
      </c>
      <c r="C35" s="16" t="s">
        <v>47</v>
      </c>
    </row>
    <row r="36" customFormat="false" ht="13.5" hidden="false" customHeight="true" outlineLevel="0" collapsed="false">
      <c r="B36" s="12" t="s">
        <v>48</v>
      </c>
      <c r="C36" s="16" t="s">
        <v>49</v>
      </c>
    </row>
    <row r="37" customFormat="false" ht="13.5" hidden="false" customHeight="true" outlineLevel="0" collapsed="false">
      <c r="B37" s="12" t="s">
        <v>13</v>
      </c>
      <c r="C37" s="16" t="s">
        <v>50</v>
      </c>
    </row>
    <row r="38" customFormat="false" ht="13.5" hidden="false" customHeight="true" outlineLevel="0" collapsed="false">
      <c r="B38" s="12" t="s">
        <v>51</v>
      </c>
      <c r="C38" s="16" t="s">
        <v>52</v>
      </c>
    </row>
    <row r="39" customFormat="false" ht="13.5" hidden="false" customHeight="true" outlineLevel="0" collapsed="false">
      <c r="B39" s="12" t="s">
        <v>12</v>
      </c>
      <c r="C39" s="16" t="s">
        <v>53</v>
      </c>
    </row>
    <row r="40" customFormat="false" ht="13.5" hidden="false" customHeight="true" outlineLevel="0" collapsed="false">
      <c r="B40" s="12" t="s">
        <v>14</v>
      </c>
      <c r="C40" s="16" t="s">
        <v>54</v>
      </c>
    </row>
    <row r="41" customFormat="false" ht="13.5" hidden="false" customHeight="true" outlineLevel="0" collapsed="false">
      <c r="B41" s="12" t="s">
        <v>55</v>
      </c>
      <c r="C41" s="16"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B1:D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34"/>
    <col collapsed="false" customWidth="true" hidden="false" outlineLevel="0" max="4" min="4" style="0" width="100"/>
  </cols>
  <sheetData>
    <row r="1" customFormat="false" ht="16.15" hidden="false" customHeight="false" outlineLevel="0" collapsed="false">
      <c r="B1" s="1" t="s">
        <v>57</v>
      </c>
    </row>
    <row r="2" customFormat="false" ht="15" hidden="false" customHeight="false" outlineLevel="0" collapsed="false">
      <c r="B2" s="2" t="s">
        <v>58</v>
      </c>
    </row>
    <row r="4" customFormat="false" ht="15" hidden="false" customHeight="false" outlineLevel="0" collapsed="false">
      <c r="B4" s="17" t="s">
        <v>11</v>
      </c>
      <c r="C4" s="17" t="s">
        <v>59</v>
      </c>
      <c r="D4" s="17" t="s">
        <v>60</v>
      </c>
    </row>
    <row r="5" customFormat="false" ht="25.5" hidden="false" customHeight="true" outlineLevel="0" collapsed="false">
      <c r="B5" s="6" t="s">
        <v>61</v>
      </c>
      <c r="C5" s="6" t="s">
        <v>62</v>
      </c>
      <c r="D5" s="6" t="s">
        <v>63</v>
      </c>
    </row>
    <row r="6" customFormat="false" ht="25.5" hidden="false" customHeight="true" outlineLevel="0" collapsed="false">
      <c r="B6" s="6" t="s">
        <v>61</v>
      </c>
      <c r="C6" s="6" t="s">
        <v>64</v>
      </c>
      <c r="D6" s="6" t="s">
        <v>63</v>
      </c>
    </row>
    <row r="7" customFormat="false" ht="25.5" hidden="false" customHeight="true" outlineLevel="0" collapsed="false">
      <c r="B7" s="6" t="s">
        <v>61</v>
      </c>
      <c r="C7" s="6" t="s">
        <v>65</v>
      </c>
      <c r="D7" s="6" t="s">
        <v>63</v>
      </c>
    </row>
    <row r="8" customFormat="false" ht="25.5" hidden="false" customHeight="true" outlineLevel="0" collapsed="false">
      <c r="B8" s="6" t="s">
        <v>61</v>
      </c>
      <c r="C8" s="6" t="s">
        <v>66</v>
      </c>
      <c r="D8" s="6" t="s">
        <v>63</v>
      </c>
    </row>
    <row r="9" customFormat="false" ht="25.5" hidden="false" customHeight="true" outlineLevel="0" collapsed="false">
      <c r="B9" s="6" t="s">
        <v>61</v>
      </c>
      <c r="C9" s="6" t="s">
        <v>67</v>
      </c>
      <c r="D9" s="6" t="s">
        <v>63</v>
      </c>
    </row>
    <row r="10" customFormat="false" ht="25.5" hidden="false" customHeight="true" outlineLevel="0" collapsed="false">
      <c r="B10" s="6" t="s">
        <v>61</v>
      </c>
      <c r="C10" s="6" t="s">
        <v>68</v>
      </c>
      <c r="D10" s="6" t="s">
        <v>63</v>
      </c>
    </row>
    <row r="11" customFormat="false" ht="25.5" hidden="false" customHeight="true" outlineLevel="0" collapsed="false">
      <c r="B11" s="6" t="s">
        <v>61</v>
      </c>
      <c r="C11" s="6" t="s">
        <v>69</v>
      </c>
      <c r="D11" s="6" t="s">
        <v>63</v>
      </c>
    </row>
    <row r="12" customFormat="false" ht="25.5" hidden="false" customHeight="true" outlineLevel="0" collapsed="false">
      <c r="B12" s="6" t="s">
        <v>61</v>
      </c>
      <c r="C12" s="6" t="s">
        <v>70</v>
      </c>
      <c r="D12" s="6" t="s">
        <v>63</v>
      </c>
    </row>
    <row r="13" customFormat="false" ht="25.5" hidden="false" customHeight="true" outlineLevel="0" collapsed="false">
      <c r="B13" s="6" t="s">
        <v>61</v>
      </c>
      <c r="C13" s="6" t="s">
        <v>71</v>
      </c>
      <c r="D13" s="6" t="s">
        <v>63</v>
      </c>
    </row>
    <row r="14" customFormat="false" ht="25.5" hidden="false" customHeight="true" outlineLevel="0" collapsed="false">
      <c r="B14" s="6" t="s">
        <v>61</v>
      </c>
      <c r="C14" s="6" t="s">
        <v>72</v>
      </c>
      <c r="D14" s="6" t="s">
        <v>63</v>
      </c>
    </row>
    <row r="15" customFormat="false" ht="25.5" hidden="false" customHeight="true" outlineLevel="0" collapsed="false">
      <c r="B15" s="6" t="s">
        <v>61</v>
      </c>
      <c r="C15" s="6" t="s">
        <v>73</v>
      </c>
      <c r="D15" s="6" t="s">
        <v>63</v>
      </c>
    </row>
    <row r="16" customFormat="false" ht="25.5" hidden="false" customHeight="true" outlineLevel="0" collapsed="false">
      <c r="B16" s="6" t="s">
        <v>12</v>
      </c>
      <c r="C16" s="6" t="s">
        <v>74</v>
      </c>
      <c r="D16" s="6" t="s">
        <v>75</v>
      </c>
    </row>
    <row r="17" customFormat="false" ht="25.5" hidden="false" customHeight="true" outlineLevel="0" collapsed="false">
      <c r="B17" s="6" t="s">
        <v>12</v>
      </c>
      <c r="C17" s="6" t="s">
        <v>76</v>
      </c>
      <c r="D17" s="6" t="s">
        <v>77</v>
      </c>
    </row>
    <row r="18" customFormat="false" ht="25.5" hidden="false" customHeight="true" outlineLevel="0" collapsed="false">
      <c r="B18" s="6" t="s">
        <v>12</v>
      </c>
      <c r="C18" s="6" t="s">
        <v>78</v>
      </c>
      <c r="D18" s="6" t="s">
        <v>77</v>
      </c>
    </row>
    <row r="19" customFormat="false" ht="25.5" hidden="false" customHeight="true" outlineLevel="0" collapsed="false">
      <c r="B19" s="6" t="s">
        <v>12</v>
      </c>
      <c r="C19" s="6" t="s">
        <v>79</v>
      </c>
      <c r="D19" s="6" t="s">
        <v>77</v>
      </c>
    </row>
    <row r="20" customFormat="false" ht="25.5" hidden="false" customHeight="true" outlineLevel="0" collapsed="false">
      <c r="B20" s="6" t="s">
        <v>12</v>
      </c>
      <c r="C20" s="6" t="s">
        <v>80</v>
      </c>
      <c r="D20" s="6" t="s">
        <v>81</v>
      </c>
    </row>
    <row r="21" customFormat="false" ht="25.5" hidden="false" customHeight="true" outlineLevel="0" collapsed="false">
      <c r="B21" s="6" t="s">
        <v>12</v>
      </c>
      <c r="C21" s="6" t="s">
        <v>82</v>
      </c>
      <c r="D21" s="6" t="s">
        <v>81</v>
      </c>
    </row>
    <row r="22" customFormat="false" ht="25.5" hidden="false" customHeight="true" outlineLevel="0" collapsed="false">
      <c r="B22" s="6" t="s">
        <v>12</v>
      </c>
      <c r="C22" s="6" t="s">
        <v>83</v>
      </c>
      <c r="D22" s="6" t="s">
        <v>81</v>
      </c>
    </row>
    <row r="23" customFormat="false" ht="25.5" hidden="false" customHeight="true" outlineLevel="0" collapsed="false">
      <c r="B23" s="6" t="s">
        <v>12</v>
      </c>
      <c r="C23" s="6" t="s">
        <v>84</v>
      </c>
      <c r="D23" s="6" t="s">
        <v>81</v>
      </c>
    </row>
    <row r="24" customFormat="false" ht="25.5" hidden="false" customHeight="true" outlineLevel="0" collapsed="false">
      <c r="B24" s="6" t="s">
        <v>12</v>
      </c>
      <c r="C24" s="6" t="s">
        <v>85</v>
      </c>
      <c r="D24" s="6" t="s">
        <v>86</v>
      </c>
    </row>
    <row r="25" customFormat="false" ht="25.5" hidden="false" customHeight="true" outlineLevel="0" collapsed="false">
      <c r="B25" s="6" t="s">
        <v>12</v>
      </c>
      <c r="C25" s="6" t="s">
        <v>87</v>
      </c>
      <c r="D25" s="6" t="s">
        <v>86</v>
      </c>
    </row>
    <row r="26" customFormat="false" ht="25.5" hidden="false" customHeight="true" outlineLevel="0" collapsed="false">
      <c r="B26" s="6" t="s">
        <v>12</v>
      </c>
      <c r="C26" s="6" t="s">
        <v>88</v>
      </c>
      <c r="D26" s="6" t="s">
        <v>86</v>
      </c>
    </row>
    <row r="27" customFormat="false" ht="25.5" hidden="false" customHeight="true" outlineLevel="0" collapsed="false">
      <c r="B27" s="6" t="s">
        <v>12</v>
      </c>
      <c r="C27" s="6" t="s">
        <v>89</v>
      </c>
      <c r="D27" s="6" t="s">
        <v>86</v>
      </c>
    </row>
    <row r="28" customFormat="false" ht="25.5" hidden="false" customHeight="true" outlineLevel="0" collapsed="false">
      <c r="B28" s="6" t="s">
        <v>12</v>
      </c>
      <c r="C28" s="6" t="s">
        <v>90</v>
      </c>
      <c r="D28" s="6" t="s">
        <v>91</v>
      </c>
    </row>
    <row r="29" customFormat="false" ht="25.5" hidden="false" customHeight="true" outlineLevel="0" collapsed="false">
      <c r="B29" s="6" t="s">
        <v>12</v>
      </c>
      <c r="C29" s="6" t="s">
        <v>92</v>
      </c>
      <c r="D29" s="6" t="s">
        <v>93</v>
      </c>
    </row>
    <row r="30" customFormat="false" ht="13.5" hidden="false" customHeight="true" outlineLevel="0" collapsed="false">
      <c r="B30" s="6" t="s">
        <v>12</v>
      </c>
      <c r="C30" s="6" t="s">
        <v>94</v>
      </c>
      <c r="D30" s="6" t="s">
        <v>95</v>
      </c>
    </row>
    <row r="31" customFormat="false" ht="13.5" hidden="false" customHeight="true" outlineLevel="0" collapsed="false">
      <c r="B31" s="6" t="s">
        <v>14</v>
      </c>
      <c r="C31" s="6" t="s">
        <v>96</v>
      </c>
      <c r="D31" s="6" t="s">
        <v>97</v>
      </c>
    </row>
    <row r="32" customFormat="false" ht="13.5" hidden="false" customHeight="true" outlineLevel="0" collapsed="false">
      <c r="B32" s="6" t="s">
        <v>15</v>
      </c>
      <c r="C32" s="6" t="s">
        <v>96</v>
      </c>
      <c r="D32" s="6" t="s">
        <v>98</v>
      </c>
    </row>
    <row r="33" customFormat="false" ht="13.5" hidden="false" customHeight="true" outlineLevel="0" collapsed="false">
      <c r="B33" s="6" t="s">
        <v>16</v>
      </c>
      <c r="C33" s="6" t="s">
        <v>96</v>
      </c>
      <c r="D33" s="6" t="s">
        <v>99</v>
      </c>
    </row>
    <row r="34" customFormat="false" ht="13.5" hidden="false" customHeight="true" outlineLevel="0" collapsed="false">
      <c r="B34" s="6" t="s">
        <v>13</v>
      </c>
      <c r="C34" s="6" t="s">
        <v>96</v>
      </c>
      <c r="D34" s="6" t="s">
        <v>100</v>
      </c>
    </row>
    <row r="35" customFormat="false" ht="51.75" hidden="false" customHeight="true" outlineLevel="0" collapsed="false">
      <c r="B35" s="6" t="s">
        <v>13</v>
      </c>
      <c r="C35" s="6" t="s">
        <v>101</v>
      </c>
      <c r="D35" s="6" t="s">
        <v>102</v>
      </c>
    </row>
    <row r="36" customFormat="false" ht="64.5" hidden="false" customHeight="true" outlineLevel="0" collapsed="false">
      <c r="B36" s="6" t="s">
        <v>13</v>
      </c>
      <c r="C36" s="6" t="s">
        <v>103</v>
      </c>
      <c r="D36" s="6" t="s">
        <v>104</v>
      </c>
    </row>
    <row r="37" customFormat="false" ht="39" hidden="false" customHeight="true" outlineLevel="0" collapsed="false">
      <c r="B37" s="6" t="s">
        <v>13</v>
      </c>
      <c r="C37" s="6" t="s">
        <v>105</v>
      </c>
      <c r="D37" s="6" t="s">
        <v>106</v>
      </c>
    </row>
    <row r="38" customFormat="false" ht="25.5" hidden="false" customHeight="true" outlineLevel="0" collapsed="false">
      <c r="B38" s="6" t="s">
        <v>13</v>
      </c>
      <c r="C38" s="6" t="s">
        <v>107</v>
      </c>
      <c r="D38" s="6" t="s">
        <v>108</v>
      </c>
    </row>
    <row r="39" customFormat="false" ht="13.5" hidden="false" customHeight="true" outlineLevel="0" collapsed="false">
      <c r="B39" s="6" t="s">
        <v>13</v>
      </c>
      <c r="C39" s="6" t="s">
        <v>109</v>
      </c>
      <c r="D39" s="6" t="s">
        <v>110</v>
      </c>
    </row>
    <row r="40" customFormat="false" ht="25.5" hidden="false" customHeight="true" outlineLevel="0" collapsed="false">
      <c r="B40" s="6" t="s">
        <v>13</v>
      </c>
      <c r="C40" s="6" t="s">
        <v>111</v>
      </c>
      <c r="D40" s="6" t="s">
        <v>112</v>
      </c>
    </row>
    <row r="41" customFormat="false" ht="25.5" hidden="false" customHeight="true" outlineLevel="0" collapsed="false">
      <c r="B41" s="6" t="s">
        <v>113</v>
      </c>
      <c r="C41" s="6" t="s">
        <v>114</v>
      </c>
      <c r="D41" s="6"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6796875" defaultRowHeight="12" zeroHeight="false" outlineLevelRow="0" outlineLevelCol="0"/>
  <sheetData>
    <row r="2" customFormat="false" ht="12.75" hidden="false" customHeight="true" outlineLevel="0" collapsed="false">
      <c r="A2" s="18" t="n">
        <v>41401</v>
      </c>
    </row>
    <row r="3" customFormat="false" ht="12.75" hidden="false" customHeight="true" outlineLevel="0" collapsed="false">
      <c r="A3" s="19" t="s">
        <v>116</v>
      </c>
    </row>
    <row r="4" customFormat="false" ht="12" hidden="false" customHeight="true" outlineLevel="0" collapsed="false">
      <c r="A4" s="20" t="s">
        <v>117</v>
      </c>
    </row>
    <row r="5" customFormat="false" ht="12" hidden="false" customHeight="true" outlineLevel="0" collapsed="false">
      <c r="A5" s="20" t="s">
        <v>118</v>
      </c>
    </row>
    <row r="6" customFormat="false" ht="12" hidden="false" customHeight="true" outlineLevel="0" collapsed="false">
      <c r="A6" s="20" t="s">
        <v>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P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16" min="2" style="0" width="11"/>
  </cols>
  <sheetData>
    <row r="1" customFormat="false" ht="16.15" hidden="false" customHeight="false" outlineLevel="0" collapsed="false">
      <c r="A1" s="1" t="s">
        <v>120</v>
      </c>
    </row>
    <row r="2" customFormat="false" ht="15" hidden="false" customHeight="false" outlineLevel="0" collapsed="false">
      <c r="A2" s="2" t="s">
        <v>121</v>
      </c>
    </row>
    <row r="4" customFormat="false" ht="15" hidden="false" customHeight="false" outlineLevel="0" collapsed="false">
      <c r="A4" s="21" t="s">
        <v>122</v>
      </c>
      <c r="B4" s="22" t="s">
        <v>123</v>
      </c>
      <c r="C4" s="22"/>
      <c r="D4" s="22"/>
      <c r="E4" s="22" t="s">
        <v>124</v>
      </c>
      <c r="F4" s="22"/>
      <c r="G4" s="22"/>
      <c r="H4" s="22" t="s">
        <v>125</v>
      </c>
      <c r="I4" s="22"/>
      <c r="J4" s="22"/>
      <c r="K4" s="22" t="s">
        <v>126</v>
      </c>
      <c r="L4" s="22"/>
      <c r="M4" s="22"/>
      <c r="N4" s="22" t="s">
        <v>127</v>
      </c>
      <c r="O4" s="22"/>
      <c r="P4" s="22"/>
    </row>
    <row r="5" customFormat="false" ht="15" hidden="false" customHeight="false" outlineLevel="0" collapsed="false">
      <c r="A5" s="23"/>
      <c r="B5" s="24" t="s">
        <v>128</v>
      </c>
      <c r="C5" s="24" t="s">
        <v>129</v>
      </c>
      <c r="D5" s="24" t="s">
        <v>130</v>
      </c>
      <c r="E5" s="24" t="s">
        <v>128</v>
      </c>
      <c r="F5" s="24" t="s">
        <v>129</v>
      </c>
      <c r="G5" s="24" t="s">
        <v>130</v>
      </c>
      <c r="H5" s="24" t="s">
        <v>128</v>
      </c>
      <c r="I5" s="24" t="s">
        <v>129</v>
      </c>
      <c r="J5" s="24" t="s">
        <v>130</v>
      </c>
      <c r="K5" s="24" t="s">
        <v>128</v>
      </c>
      <c r="L5" s="24" t="s">
        <v>129</v>
      </c>
      <c r="M5" s="24" t="s">
        <v>130</v>
      </c>
      <c r="N5" s="24" t="s">
        <v>128</v>
      </c>
      <c r="O5" s="24" t="s">
        <v>129</v>
      </c>
      <c r="P5" s="24" t="s">
        <v>130</v>
      </c>
    </row>
    <row r="6" customFormat="false" ht="15" hidden="false" customHeight="false" outlineLevel="0" collapsed="false">
      <c r="A6" s="12" t="s">
        <v>131</v>
      </c>
      <c r="B6" s="25" t="n">
        <f aca="false">'New Qrtrly - Ind AS'!AZ11</f>
        <v>59521</v>
      </c>
      <c r="C6" s="25" t="n">
        <f aca="false">'New Qrtrly - Ind AS'!U11</f>
        <v>59521</v>
      </c>
      <c r="D6" s="26" t="n">
        <f aca="false">IFERROR('New Qrtrly - Ind AS'!U11/'New Qrtrly - Ind AS'!AZ11-1,"")</f>
        <v>0</v>
      </c>
      <c r="E6" s="25" t="n">
        <f aca="false">'New Qrtrly - Ind AS'!AZ33</f>
        <v>85167.781902429</v>
      </c>
      <c r="F6" s="25" t="n">
        <f aca="false">'New Qrtrly - Ind AS'!U33</f>
        <v>88459.3</v>
      </c>
      <c r="G6" s="26" t="n">
        <f aca="false">IFERROR('New Qrtrly - Ind AS'!U33/'New Qrtrly - Ind AS'!AZ33-1,"")</f>
        <v>0.0386474559281333</v>
      </c>
      <c r="H6" s="25" t="n">
        <f aca="false">'New Qrtrly - Ind AS'!AZ40</f>
        <v>9096.97893268013</v>
      </c>
      <c r="I6" s="25" t="n">
        <f aca="false">'New Qrtrly - Ind AS'!U40</f>
        <v>9854.40000000001</v>
      </c>
      <c r="J6" s="26" t="n">
        <f aca="false">IFERROR('New Qrtrly - Ind AS'!U40/'New Qrtrly - Ind AS'!AZ40-1,"")</f>
        <v>0.0832607256678273</v>
      </c>
      <c r="K6" s="27" t="n">
        <f aca="false">'New Qrtrly - Ind AS'!AZ61</f>
        <v>10.6812443972087</v>
      </c>
      <c r="L6" s="27" t="n">
        <f aca="false">'New Qrtrly - Ind AS'!U61</f>
        <v>11.1400384131459</v>
      </c>
      <c r="M6" s="28" t="n">
        <f aca="false">IFERROR(('New Qrtrly - Ind AS'!U61-'New Qrtrly - Ind AS'!AZ61)*100,"")</f>
        <v>45.8794015937238</v>
      </c>
      <c r="N6" s="25" t="n">
        <f aca="false">'New Qrtrly - Ind AS'!AZ51</f>
        <v>5618.98419951009</v>
      </c>
      <c r="O6" s="25" t="n">
        <f aca="false">'New Qrtrly - Ind AS'!U51</f>
        <v>6611.66000000001</v>
      </c>
      <c r="P6" s="26" t="n">
        <f aca="false">IFERROR('New Qrtrly - Ind AS'!U51/'New Qrtrly - Ind AS'!AZ51-1,"")</f>
        <v>0.17666463639041</v>
      </c>
    </row>
    <row r="7" customFormat="false" ht="15" hidden="false" customHeight="false" outlineLevel="0" collapsed="false">
      <c r="A7" s="12" t="s">
        <v>132</v>
      </c>
      <c r="B7" s="25" t="n">
        <f aca="false">'New Qrtrly - Ind AS'!BA11</f>
        <v>39608</v>
      </c>
      <c r="C7" s="25" t="n">
        <f aca="false">'New Qrtrly - Ind AS'!V11</f>
        <v>39608</v>
      </c>
      <c r="D7" s="26" t="n">
        <f aca="false">IFERROR('New Qrtrly - Ind AS'!V11/'New Qrtrly - Ind AS'!BA11-1,"")</f>
        <v>0</v>
      </c>
      <c r="E7" s="25" t="n">
        <f aca="false">'New Qrtrly - Ind AS'!BA33</f>
        <v>58864.8704558055</v>
      </c>
      <c r="F7" s="25" t="n">
        <f aca="false">'New Qrtrly - Ind AS'!V33</f>
        <v>56838.6</v>
      </c>
      <c r="G7" s="26" t="n">
        <f aca="false">IFERROR('New Qrtrly - Ind AS'!V33/'New Qrtrly - Ind AS'!BA33-1,"")</f>
        <v>-0.0344224057594214</v>
      </c>
      <c r="H7" s="25" t="n">
        <f aca="false">'New Qrtrly - Ind AS'!BA40</f>
        <v>4482.16372762554</v>
      </c>
      <c r="I7" s="25" t="n">
        <f aca="false">'New Qrtrly - Ind AS'!V40</f>
        <v>5369.7</v>
      </c>
      <c r="J7" s="26" t="n">
        <f aca="false">IFERROR('New Qrtrly - Ind AS'!V40/'New Qrtrly - Ind AS'!BA40-1,"")</f>
        <v>0.198015138738504</v>
      </c>
      <c r="K7" s="27" t="n">
        <f aca="false">'New Qrtrly - Ind AS'!BA61</f>
        <v>7.61432700508643</v>
      </c>
      <c r="L7" s="27" t="n">
        <f aca="false">'New Qrtrly - Ind AS'!V61</f>
        <v>9.44727702652775</v>
      </c>
      <c r="M7" s="28" t="n">
        <f aca="false">IFERROR(('New Qrtrly - Ind AS'!V61-'New Qrtrly - Ind AS'!BA61)*100,"")</f>
        <v>183.295002144132</v>
      </c>
      <c r="N7" s="25" t="n">
        <f aca="false">'New Qrtrly - Ind AS'!BA51</f>
        <v>2529.12279571916</v>
      </c>
      <c r="O7" s="25" t="n">
        <f aca="false">'New Qrtrly - Ind AS'!V51</f>
        <v>2442.97000000001</v>
      </c>
      <c r="P7" s="26" t="n">
        <f aca="false">IFERROR('New Qrtrly - Ind AS'!V51/'New Qrtrly - Ind AS'!BA51-1,"")</f>
        <v>-0.0340642992364688</v>
      </c>
    </row>
    <row r="8" customFormat="false" ht="15" hidden="false" customHeight="false" outlineLevel="0" collapsed="false">
      <c r="A8" s="12" t="s">
        <v>133</v>
      </c>
      <c r="B8" s="25" t="n">
        <f aca="false">'New Qrtrly - Ind AS'!BB11</f>
        <v>28938</v>
      </c>
      <c r="C8" s="25" t="n">
        <f aca="false">'New Qrtrly - Ind AS'!W11</f>
        <v>28938</v>
      </c>
      <c r="D8" s="26" t="n">
        <f aca="false">IFERROR('New Qrtrly - Ind AS'!W11/'New Qrtrly - Ind AS'!BB11-1,"")</f>
        <v>0</v>
      </c>
      <c r="E8" s="25" t="n">
        <f aca="false">'New Qrtrly - Ind AS'!BB33</f>
        <v>40696.3113175116</v>
      </c>
      <c r="F8" s="25" t="n">
        <f aca="false">'New Qrtrly - Ind AS'!W33</f>
        <v>39295</v>
      </c>
      <c r="G8" s="26" t="n">
        <f aca="false">IFERROR('New Qrtrly - Ind AS'!W33/'New Qrtrly - Ind AS'!BB33-1,"")</f>
        <v>-0.0344333742333208</v>
      </c>
      <c r="H8" s="25" t="n">
        <f aca="false">'New Qrtrly - Ind AS'!BB40</f>
        <v>1812.37495184104</v>
      </c>
      <c r="I8" s="25" t="n">
        <f aca="false">'New Qrtrly - Ind AS'!W40</f>
        <v>2285.8</v>
      </c>
      <c r="J8" s="26" t="n">
        <f aca="false">IFERROR('New Qrtrly - Ind AS'!W40/'New Qrtrly - Ind AS'!BB40-1,"")</f>
        <v>0.261218048548977</v>
      </c>
      <c r="K8" s="27" t="n">
        <f aca="false">'New Qrtrly - Ind AS'!BB61</f>
        <v>4.45341332707266</v>
      </c>
      <c r="L8" s="27" t="n">
        <f aca="false">'New Qrtrly - Ind AS'!W61</f>
        <v>5.8170250668024</v>
      </c>
      <c r="M8" s="28" t="n">
        <f aca="false">IFERROR(('New Qrtrly - Ind AS'!W61-'New Qrtrly - Ind AS'!BB61)*100,"")</f>
        <v>136.361173972974</v>
      </c>
      <c r="N8" s="25" t="n">
        <f aca="false">'New Qrtrly - Ind AS'!BB51</f>
        <v>203.204963399191</v>
      </c>
      <c r="O8" s="25" t="n">
        <f aca="false">'New Qrtrly - Ind AS'!W51</f>
        <v>874.775000000003</v>
      </c>
      <c r="P8" s="26" t="n">
        <f aca="false">IFERROR('New Qrtrly - Ind AS'!W51/'New Qrtrly - Ind AS'!BB51-1,"")</f>
        <v>3.30488992673634</v>
      </c>
    </row>
    <row r="9" customFormat="false" ht="15" hidden="false" customHeight="false" outlineLevel="0" collapsed="false">
      <c r="A9" s="12" t="s">
        <v>134</v>
      </c>
      <c r="B9" s="25" t="n">
        <f aca="false">'New Qrtrly - Ind AS'!BC11</f>
        <v>31200</v>
      </c>
      <c r="C9" s="25" t="n">
        <f aca="false">'New Qrtrly - Ind AS'!X11</f>
        <v>31200</v>
      </c>
      <c r="D9" s="26" t="n">
        <f aca="false">IFERROR('New Qrtrly - Ind AS'!X11/'New Qrtrly - Ind AS'!BC11-1,"")</f>
        <v>0</v>
      </c>
      <c r="E9" s="25" t="n">
        <f aca="false">'New Qrtrly - Ind AS'!BC33</f>
        <v>41307.4123989218</v>
      </c>
      <c r="F9" s="25" t="n">
        <f aca="false">'New Qrtrly - Ind AS'!X33</f>
        <v>40156.5</v>
      </c>
      <c r="G9" s="26" t="n">
        <f aca="false">IFERROR('New Qrtrly - Ind AS'!X33/'New Qrtrly - Ind AS'!BC33-1,"")</f>
        <v>-0.0278621276928949</v>
      </c>
      <c r="H9" s="25" t="n">
        <f aca="false">'New Qrtrly - Ind AS'!BC40</f>
        <v>2490.06819407008</v>
      </c>
      <c r="I9" s="25" t="n">
        <f aca="false">'New Qrtrly - Ind AS'!X40</f>
        <v>2251.5</v>
      </c>
      <c r="J9" s="26" t="n">
        <f aca="false">IFERROR('New Qrtrly - Ind AS'!X40/'New Qrtrly - Ind AS'!BC40-1,"")</f>
        <v>-0.0958078957990848</v>
      </c>
      <c r="K9" s="27" t="n">
        <f aca="false">'New Qrtrly - Ind AS'!BC61</f>
        <v>6.02813889677359</v>
      </c>
      <c r="L9" s="27" t="n">
        <f aca="false">'New Qrtrly - Ind AS'!X61</f>
        <v>5.60681334279631</v>
      </c>
      <c r="M9" s="28" t="n">
        <f aca="false">IFERROR(('New Qrtrly - Ind AS'!X61-'New Qrtrly - Ind AS'!BC61)*100,"")</f>
        <v>-42.1325553977276</v>
      </c>
      <c r="N9" s="25" t="n">
        <f aca="false">'New Qrtrly - Ind AS'!BC51</f>
        <v>832.054555256065</v>
      </c>
      <c r="O9" s="25" t="n">
        <f aca="false">'New Qrtrly - Ind AS'!X51</f>
        <v>292.69</v>
      </c>
      <c r="P9" s="26" t="n">
        <f aca="false">IFERROR('New Qrtrly - Ind AS'!X51/'New Qrtrly - Ind AS'!BC51-1,"")</f>
        <v>-0.648232200459591</v>
      </c>
    </row>
    <row r="10" customFormat="false" ht="15" hidden="false" customHeight="false" outlineLevel="0" collapsed="false">
      <c r="A10" s="12" t="s">
        <v>135</v>
      </c>
      <c r="B10" s="25" t="n">
        <f aca="false">'New Qrtrly - Ind AS'!BD11</f>
        <v>25507</v>
      </c>
      <c r="C10" s="25" t="n">
        <f aca="false">'New Qrtrly - Ind AS'!Y11</f>
        <v>25507</v>
      </c>
      <c r="D10" s="26" t="n">
        <f aca="false">IFERROR('New Qrtrly - Ind AS'!Y11/'New Qrtrly - Ind AS'!BD11-1,"")</f>
        <v>0</v>
      </c>
      <c r="E10" s="25" t="n">
        <f aca="false">'New Qrtrly - Ind AS'!BD33</f>
        <v>32829.2258173077</v>
      </c>
      <c r="F10" s="25" t="n">
        <f aca="false">'New Qrtrly - Ind AS'!Y33</f>
        <v>38384.6</v>
      </c>
      <c r="G10" s="26" t="n">
        <f aca="false">IFERROR('New Qrtrly - Ind AS'!Y33/'New Qrtrly - Ind AS'!BD33-1,"")</f>
        <v>0.169220383496327</v>
      </c>
      <c r="H10" s="25" t="n">
        <f aca="false">'New Qrtrly - Ind AS'!BD40</f>
        <v>634.086389951921</v>
      </c>
      <c r="I10" s="25" t="n">
        <f aca="false">'New Qrtrly - Ind AS'!Y40</f>
        <v>1829.5</v>
      </c>
      <c r="J10" s="26" t="n">
        <f aca="false">IFERROR('New Qrtrly - Ind AS'!Y40/'New Qrtrly - Ind AS'!BD40-1,"")</f>
        <v>1.88525353798986</v>
      </c>
      <c r="K10" s="27" t="n">
        <f aca="false">'New Qrtrly - Ind AS'!BD61</f>
        <v>1.93146921429268</v>
      </c>
      <c r="L10" s="27" t="n">
        <f aca="false">'New Qrtrly - Ind AS'!Y61</f>
        <v>4.76623437524424</v>
      </c>
      <c r="M10" s="28" t="n">
        <f aca="false">IFERROR(('New Qrtrly - Ind AS'!Y61-'New Qrtrly - Ind AS'!BD61)*100,"")</f>
        <v>283.476516095156</v>
      </c>
      <c r="N10" s="25" t="n">
        <f aca="false">'New Qrtrly - Ind AS'!BD51</f>
        <v>-704.139527033655</v>
      </c>
      <c r="O10" s="25" t="n">
        <f aca="false">'New Qrtrly - Ind AS'!Y51</f>
        <v>-57.7249999999999</v>
      </c>
      <c r="P10" s="26" t="n">
        <f aca="false">IFERROR('New Qrtrly - Ind AS'!Y51/'New Qrtrly - Ind AS'!BD51-1,"")</f>
        <v>-0.918020509027267</v>
      </c>
    </row>
    <row r="11" customFormat="false" ht="15" hidden="false" customHeight="false" outlineLevel="0" collapsed="false">
      <c r="A11" s="12" t="s">
        <v>136</v>
      </c>
      <c r="B11" s="25" t="n">
        <f aca="false">'New Qrtrly - Ind AS'!BE11</f>
        <v>3814</v>
      </c>
      <c r="C11" s="25" t="n">
        <f aca="false">'New Qrtrly - Ind AS'!Z11</f>
        <v>3814</v>
      </c>
      <c r="D11" s="26" t="n">
        <f aca="false">IFERROR('New Qrtrly - Ind AS'!Z11/'New Qrtrly - Ind AS'!BE11-1,"")</f>
        <v>0</v>
      </c>
      <c r="E11" s="25" t="n">
        <f aca="false">'New Qrtrly - Ind AS'!BE33</f>
        <v>6313.51201003646</v>
      </c>
      <c r="F11" s="25" t="n">
        <f aca="false">'New Qrtrly - Ind AS'!Z33</f>
        <v>6508.7</v>
      </c>
      <c r="G11" s="26" t="n">
        <f aca="false">IFERROR('New Qrtrly - Ind AS'!Z33/'New Qrtrly - Ind AS'!BE33-1,"")</f>
        <v>0.03091591330677</v>
      </c>
      <c r="H11" s="25" t="n">
        <f aca="false">'New Qrtrly - Ind AS'!BE40</f>
        <v>-3069.08151708943</v>
      </c>
      <c r="I11" s="25" t="n">
        <f aca="false">'New Qrtrly - Ind AS'!Z40</f>
        <v>-3332.4</v>
      </c>
      <c r="J11" s="26" t="n">
        <f aca="false">IFERROR('New Qrtrly - Ind AS'!Z40/'New Qrtrly - Ind AS'!BE40-1,"")</f>
        <v>0.0857971616082374</v>
      </c>
      <c r="K11" s="27" t="n">
        <f aca="false">'New Qrtrly - Ind AS'!BE61</f>
        <v>-48.6113198519393</v>
      </c>
      <c r="L11" s="27" t="n">
        <f aca="false">'New Qrtrly - Ind AS'!Z61</f>
        <v>-51.1991641956151</v>
      </c>
      <c r="M11" s="28" t="n">
        <f aca="false">IFERROR(('New Qrtrly - Ind AS'!Z61-'New Qrtrly - Ind AS'!BE61)*100,"")</f>
        <v>-258.784434367583</v>
      </c>
      <c r="N11" s="25" t="n">
        <f aca="false">'New Qrtrly - Ind AS'!BE51</f>
        <v>-3527.3570619626</v>
      </c>
      <c r="O11" s="25" t="n">
        <f aca="false">'New Qrtrly - Ind AS'!Z51</f>
        <v>-3875.475</v>
      </c>
      <c r="P11" s="26" t="n">
        <f aca="false">IFERROR('New Qrtrly - Ind AS'!Z51/'New Qrtrly - Ind AS'!BE51-1,"")</f>
        <v>0.0986908702244371</v>
      </c>
    </row>
    <row r="12" customFormat="false" ht="15" hidden="false" customHeight="false" outlineLevel="0" collapsed="false">
      <c r="A12" s="12" t="s">
        <v>137</v>
      </c>
      <c r="B12" s="25" t="n">
        <f aca="false">'New Qrtrly - Ind AS'!BF11</f>
        <v>19444</v>
      </c>
      <c r="C12" s="25" t="n">
        <f aca="false">'New Qrtrly - Ind AS'!AA11</f>
        <v>19444</v>
      </c>
      <c r="D12" s="26" t="n">
        <f aca="false">IFERROR('New Qrtrly - Ind AS'!AA11/'New Qrtrly - Ind AS'!BF11-1,"")</f>
        <v>0</v>
      </c>
      <c r="E12" s="25" t="n">
        <f aca="false">'New Qrtrly - Ind AS'!BF33</f>
        <v>31522.6546040902</v>
      </c>
      <c r="F12" s="25" t="n">
        <f aca="false">'New Qrtrly - Ind AS'!AA33</f>
        <v>28365.8</v>
      </c>
      <c r="G12" s="26" t="n">
        <f aca="false">IFERROR('New Qrtrly - Ind AS'!AA33/'New Qrtrly - Ind AS'!BF33-1,"")</f>
        <v>-0.100145582399034</v>
      </c>
      <c r="H12" s="25" t="n">
        <f aca="false">'New Qrtrly - Ind AS'!BF40</f>
        <v>1087.24947330886</v>
      </c>
      <c r="I12" s="25" t="n">
        <f aca="false">'New Qrtrly - Ind AS'!AA40</f>
        <v>804.299999999999</v>
      </c>
      <c r="J12" s="26" t="n">
        <f aca="false">IFERROR('New Qrtrly - Ind AS'!AA40/'New Qrtrly - Ind AS'!BF40-1,"")</f>
        <v>-0.260243375835127</v>
      </c>
      <c r="K12" s="27" t="n">
        <f aca="false">'New Qrtrly - Ind AS'!BF61</f>
        <v>3.44910505464786</v>
      </c>
      <c r="L12" s="27" t="n">
        <f aca="false">'New Qrtrly - Ind AS'!AA61</f>
        <v>2.83545678246339</v>
      </c>
      <c r="M12" s="28" t="n">
        <f aca="false">IFERROR(('New Qrtrly - Ind AS'!AA61-'New Qrtrly - Ind AS'!BF61)*100,"")</f>
        <v>-61.3648272184471</v>
      </c>
      <c r="N12" s="25" t="n">
        <f aca="false">'New Qrtrly - Ind AS'!BF51</f>
        <v>-561.925368683798</v>
      </c>
      <c r="O12" s="25" t="n">
        <f aca="false">'New Qrtrly - Ind AS'!AA51</f>
        <v>-1453.95</v>
      </c>
      <c r="P12" s="26" t="n">
        <f aca="false">IFERROR('New Qrtrly - Ind AS'!AA51/'New Qrtrly - Ind AS'!BF51-1,"")</f>
        <v>1.58744324607661</v>
      </c>
    </row>
    <row r="13" customFormat="false" ht="15" hidden="false" customHeight="false" outlineLevel="0" collapsed="false">
      <c r="A13" s="12" t="s">
        <v>138</v>
      </c>
      <c r="B13" s="25" t="n">
        <f aca="false">'New Qrtrly - Ind AS'!BG11</f>
        <v>33410</v>
      </c>
      <c r="C13" s="25" t="n">
        <f aca="false">'New Qrtrly - Ind AS'!AB11</f>
        <v>33410</v>
      </c>
      <c r="D13" s="26" t="n">
        <f aca="false">IFERROR('New Qrtrly - Ind AS'!AB11/'New Qrtrly - Ind AS'!BG11-1,"")</f>
        <v>0</v>
      </c>
      <c r="E13" s="25" t="n">
        <f aca="false">'New Qrtrly - Ind AS'!BG33</f>
        <v>50689.6437523143</v>
      </c>
      <c r="F13" s="25" t="n">
        <f aca="false">'New Qrtrly - Ind AS'!AB33</f>
        <v>48135.1</v>
      </c>
      <c r="G13" s="26" t="n">
        <f aca="false">IFERROR('New Qrtrly - Ind AS'!AB33/'New Qrtrly - Ind AS'!BG33-1,"")</f>
        <v>-0.0503957724539681</v>
      </c>
      <c r="H13" s="25" t="n">
        <f aca="false">'New Qrtrly - Ind AS'!BG40</f>
        <v>4246.54846940959</v>
      </c>
      <c r="I13" s="25" t="n">
        <f aca="false">'New Qrtrly - Ind AS'!AB40</f>
        <v>2537.90000000001</v>
      </c>
      <c r="J13" s="26" t="n">
        <f aca="false">IFERROR('New Qrtrly - Ind AS'!AB40/'New Qrtrly - Ind AS'!BG40-1,"")</f>
        <v>-0.402361701913445</v>
      </c>
      <c r="K13" s="27" t="n">
        <f aca="false">'New Qrtrly - Ind AS'!BG61</f>
        <v>8.37754648693048</v>
      </c>
      <c r="L13" s="27" t="n">
        <f aca="false">'New Qrtrly - Ind AS'!AB61</f>
        <v>5.27245191139108</v>
      </c>
      <c r="M13" s="28" t="n">
        <f aca="false">IFERROR(('New Qrtrly - Ind AS'!AB61-'New Qrtrly - Ind AS'!BG61)*100,"")</f>
        <v>-310.50945755394</v>
      </c>
      <c r="N13" s="25" t="n">
        <f aca="false">'New Qrtrly - Ind AS'!BG51</f>
        <v>1467.58392858671</v>
      </c>
      <c r="O13" s="25" t="n">
        <f aca="false">'New Qrtrly - Ind AS'!AB51</f>
        <v>151.425000000009</v>
      </c>
      <c r="P13" s="26" t="n">
        <f aca="false">IFERROR('New Qrtrly - Ind AS'!AB51/'New Qrtrly - Ind AS'!BG51-1,"")</f>
        <v>-0.896820211062252</v>
      </c>
    </row>
    <row r="14" customFormat="false" ht="15" hidden="false" customHeight="false" outlineLevel="0" collapsed="false">
      <c r="A14" s="12" t="s">
        <v>139</v>
      </c>
      <c r="B14" s="25" t="n">
        <f aca="false">'New Qrtrly - Ind AS'!BH11</f>
        <v>44060</v>
      </c>
      <c r="C14" s="25" t="n">
        <f aca="false">'New Qrtrly - Ind AS'!AC11</f>
        <v>44060</v>
      </c>
      <c r="D14" s="26" t="n">
        <f aca="false">IFERROR('New Qrtrly - Ind AS'!AC11/'New Qrtrly - Ind AS'!BH11-1,"")</f>
        <v>0</v>
      </c>
      <c r="E14" s="25" t="n">
        <f aca="false">'New Qrtrly - Ind AS'!BH33</f>
        <v>65065.9478793774</v>
      </c>
      <c r="F14" s="25" t="n">
        <f aca="false">'New Qrtrly - Ind AS'!AC33</f>
        <v>70004.9</v>
      </c>
      <c r="G14" s="26" t="n">
        <f aca="false">IFERROR('New Qrtrly - Ind AS'!AC33/'New Qrtrly - Ind AS'!BH33-1,"")</f>
        <v>0.0759068649822585</v>
      </c>
      <c r="H14" s="25" t="n">
        <f aca="false">'New Qrtrly - Ind AS'!BH40</f>
        <v>4845.95938680934</v>
      </c>
      <c r="I14" s="25" t="n">
        <f aca="false">'New Qrtrly - Ind AS'!AC40</f>
        <v>5341.59999999999</v>
      </c>
      <c r="J14" s="26" t="n">
        <f aca="false">IFERROR('New Qrtrly - Ind AS'!AC40/'New Qrtrly - Ind AS'!BH40-1,"")</f>
        <v>0.102279151273901</v>
      </c>
      <c r="K14" s="27" t="n">
        <f aca="false">'New Qrtrly - Ind AS'!BH61</f>
        <v>7.447765758816</v>
      </c>
      <c r="L14" s="27" t="n">
        <f aca="false">'New Qrtrly - Ind AS'!AC61</f>
        <v>7.63032302024571</v>
      </c>
      <c r="M14" s="28" t="n">
        <f aca="false">IFERROR(('New Qrtrly - Ind AS'!AC61-'New Qrtrly - Ind AS'!BH61)*100,"")</f>
        <v>18.2557261429715</v>
      </c>
      <c r="N14" s="25" t="n">
        <f aca="false">'New Qrtrly - Ind AS'!BH51</f>
        <v>1747.17157076654</v>
      </c>
      <c r="O14" s="25" t="n">
        <f aca="false">'New Qrtrly - Ind AS'!AC51</f>
        <v>2131.57499999999</v>
      </c>
      <c r="P14" s="26" t="n">
        <f aca="false">IFERROR('New Qrtrly - Ind AS'!AC51/'New Qrtrly - Ind AS'!BH51-1,"")</f>
        <v>0.220014700138926</v>
      </c>
    </row>
    <row r="15" customFormat="false" ht="15" hidden="false" customHeight="false" outlineLevel="0" collapsed="false">
      <c r="A15" s="12" t="s">
        <v>140</v>
      </c>
      <c r="B15" s="25" t="n">
        <f aca="false">'New Qrtrly - Ind AS'!BI11</f>
        <v>17987</v>
      </c>
      <c r="C15" s="25" t="n">
        <f aca="false">'New Qrtrly - Ind AS'!AD11</f>
        <v>17987</v>
      </c>
      <c r="D15" s="26" t="n">
        <f aca="false">IFERROR('New Qrtrly - Ind AS'!AD11/'New Qrtrly - Ind AS'!BI11-1,"")</f>
        <v>0</v>
      </c>
      <c r="E15" s="25" t="n">
        <f aca="false">'New Qrtrly - Ind AS'!BI33</f>
        <v>27149.7782452338</v>
      </c>
      <c r="F15" s="25" t="n">
        <f aca="false">'New Qrtrly - Ind AS'!AD33</f>
        <v>29509.9</v>
      </c>
      <c r="G15" s="26" t="n">
        <f aca="false">IFERROR('New Qrtrly - Ind AS'!AD33/'New Qrtrly - Ind AS'!BI33-1,"")</f>
        <v>0.086929688097197</v>
      </c>
      <c r="H15" s="25" t="n">
        <f aca="false">'New Qrtrly - Ind AS'!BI40</f>
        <v>-1019.80211237006</v>
      </c>
      <c r="I15" s="25" t="n">
        <f aca="false">'New Qrtrly - Ind AS'!AD40</f>
        <v>-1401</v>
      </c>
      <c r="J15" s="26" t="n">
        <f aca="false">IFERROR('New Qrtrly - Ind AS'!AD40/'New Qrtrly - Ind AS'!BI40-1,"")</f>
        <v>0.373795938453212</v>
      </c>
      <c r="K15" s="27" t="n">
        <f aca="false">'New Qrtrly - Ind AS'!BI61</f>
        <v>-3.75620788928209</v>
      </c>
      <c r="L15" s="27" t="n">
        <f aca="false">'New Qrtrly - Ind AS'!AD61</f>
        <v>-4.74755929366077</v>
      </c>
      <c r="M15" s="28" t="n">
        <f aca="false">IFERROR(('New Qrtrly - Ind AS'!AD61-'New Qrtrly - Ind AS'!BI61)*100,"")</f>
        <v>-99.135140437868</v>
      </c>
      <c r="N15" s="25" t="n">
        <f aca="false">'New Qrtrly - Ind AS'!BI51</f>
        <v>-2463.86147865904</v>
      </c>
      <c r="O15" s="25" t="n">
        <f aca="false">'New Qrtrly - Ind AS'!AD51</f>
        <v>-2810.3</v>
      </c>
      <c r="P15" s="26" t="n">
        <f aca="false">IFERROR('New Qrtrly - Ind AS'!AD51/'New Qrtrly - Ind AS'!BI51-1,"")</f>
        <v>0.140607953954256</v>
      </c>
    </row>
    <row r="16" customFormat="false" ht="15" hidden="false" customHeight="false" outlineLevel="0" collapsed="false">
      <c r="A16" s="12" t="s">
        <v>141</v>
      </c>
      <c r="B16" s="25" t="n">
        <f aca="false">'New Qrtrly - Ind AS'!BJ11</f>
        <v>27543</v>
      </c>
      <c r="C16" s="25" t="n">
        <f aca="false">'New Qrtrly - Ind AS'!AE11</f>
        <v>27543</v>
      </c>
      <c r="D16" s="26" t="n">
        <f aca="false">IFERROR('New Qrtrly - Ind AS'!AE11/'New Qrtrly - Ind AS'!BJ11-1,"")</f>
        <v>0</v>
      </c>
      <c r="E16" s="25" t="n">
        <f aca="false">'New Qrtrly - Ind AS'!BJ33</f>
        <v>46091.4548959804</v>
      </c>
      <c r="F16" s="25" t="n">
        <f aca="false">'New Qrtrly - Ind AS'!AE33</f>
        <v>44578.5</v>
      </c>
      <c r="G16" s="26" t="n">
        <f aca="false">IFERROR('New Qrtrly - Ind AS'!AE33/'New Qrtrly - Ind AS'!BJ33-1,"")</f>
        <v>-0.0328250626801624</v>
      </c>
      <c r="H16" s="25" t="n">
        <f aca="false">'New Qrtrly - Ind AS'!BJ40</f>
        <v>1799.41245337098</v>
      </c>
      <c r="I16" s="25" t="n">
        <f aca="false">'New Qrtrly - Ind AS'!AE40</f>
        <v>1346.89999999999</v>
      </c>
      <c r="J16" s="26" t="n">
        <f aca="false">IFERROR('New Qrtrly - Ind AS'!AE40/'New Qrtrly - Ind AS'!BJ40-1,"")</f>
        <v>-0.251477893533115</v>
      </c>
      <c r="K16" s="27" t="n">
        <f aca="false">'New Qrtrly - Ind AS'!BJ61</f>
        <v>3.90400445686063</v>
      </c>
      <c r="L16" s="27" t="n">
        <f aca="false">'New Qrtrly - Ind AS'!AE61</f>
        <v>3.02141166705922</v>
      </c>
      <c r="M16" s="28" t="n">
        <f aca="false">IFERROR(('New Qrtrly - Ind AS'!AE61-'New Qrtrly - Ind AS'!BJ61)*100,"")</f>
        <v>-88.2592789801412</v>
      </c>
      <c r="N16" s="25" t="n">
        <f aca="false">'New Qrtrly - Ind AS'!BJ51</f>
        <v>-420.411282640311</v>
      </c>
      <c r="O16" s="25" t="n">
        <f aca="false">'New Qrtrly - Ind AS'!AE51</f>
        <v>-831.825000000006</v>
      </c>
      <c r="P16" s="26" t="n">
        <f aca="false">IFERROR('New Qrtrly - Ind AS'!AE51/'New Qrtrly - Ind AS'!BJ51-1,"")</f>
        <v>0.978598183131268</v>
      </c>
    </row>
    <row r="17" customFormat="false" ht="15" hidden="false" customHeight="false" outlineLevel="0" collapsed="false">
      <c r="A17" s="12" t="s">
        <v>142</v>
      </c>
      <c r="B17" s="25" t="n">
        <f aca="false">'New Qrtrly - Ind AS'!BK11</f>
        <v>34077</v>
      </c>
      <c r="C17" s="25" t="n">
        <f aca="false">'New Qrtrly - Ind AS'!AF11</f>
        <v>34077</v>
      </c>
      <c r="D17" s="26" t="n">
        <f aca="false">IFERROR('New Qrtrly - Ind AS'!AF11/'New Qrtrly - Ind AS'!BK11-1,"")</f>
        <v>0</v>
      </c>
      <c r="E17" s="25" t="n">
        <f aca="false">'New Qrtrly - Ind AS'!BK33</f>
        <v>56808.4301214465</v>
      </c>
      <c r="F17" s="25" t="n">
        <f aca="false">'New Qrtrly - Ind AS'!AF33</f>
        <v>55351.6</v>
      </c>
      <c r="G17" s="26" t="n">
        <f aca="false">IFERROR('New Qrtrly - Ind AS'!AF33/'New Qrtrly - Ind AS'!BK33-1,"")</f>
        <v>-0.0256446115186076</v>
      </c>
      <c r="H17" s="25" t="n">
        <f aca="false">'New Qrtrly - Ind AS'!BK40</f>
        <v>2952.32206768979</v>
      </c>
      <c r="I17" s="25" t="n">
        <f aca="false">'New Qrtrly - Ind AS'!AF40</f>
        <v>2238.9</v>
      </c>
      <c r="J17" s="26" t="n">
        <f aca="false">IFERROR('New Qrtrly - Ind AS'!AF40/'New Qrtrly - Ind AS'!BK40-1,"")</f>
        <v>-0.241647778031225</v>
      </c>
      <c r="K17" s="27" t="n">
        <f aca="false">'New Qrtrly - Ind AS'!BK61</f>
        <v>5.19697879589041</v>
      </c>
      <c r="L17" s="27" t="n">
        <f aca="false">'New Qrtrly - Ind AS'!AF61</f>
        <v>4.04486952500018</v>
      </c>
      <c r="M17" s="28" t="n">
        <f aca="false">IFERROR(('New Qrtrly - Ind AS'!AF61-'New Qrtrly - Ind AS'!BK61)*100,"")</f>
        <v>-115.210927089022</v>
      </c>
      <c r="N17" s="25" t="n">
        <f aca="false">'New Qrtrly - Ind AS'!BK51</f>
        <v>337.625447382854</v>
      </c>
      <c r="O17" s="25" t="n">
        <f aca="false">'New Qrtrly - Ind AS'!AF51</f>
        <v>-257.549999999998</v>
      </c>
      <c r="P17" s="26" t="n">
        <f aca="false">IFERROR('New Qrtrly - Ind AS'!AF51/'New Qrtrly - Ind AS'!BK51-1,"")</f>
        <v>-1.76282757119296</v>
      </c>
    </row>
    <row r="18" customFormat="false" ht="15" hidden="false" customHeight="false" outlineLevel="0" collapsed="false">
      <c r="A18" s="12" t="s">
        <v>143</v>
      </c>
      <c r="B18" s="25" t="n">
        <f aca="false">'New Qrtrly - Ind AS'!BL11</f>
        <v>48719</v>
      </c>
      <c r="C18" s="25" t="n">
        <f aca="false">'New Qrtrly - Ind AS'!AG11</f>
        <v>48719</v>
      </c>
      <c r="D18" s="26" t="n">
        <f aca="false">IFERROR('New Qrtrly - Ind AS'!AG11/'New Qrtrly - Ind AS'!BL11-1,"")</f>
        <v>0</v>
      </c>
      <c r="E18" s="25" t="n">
        <f aca="false">'New Qrtrly - Ind AS'!BL33</f>
        <v>81508.784177363</v>
      </c>
      <c r="F18" s="25" t="n">
        <f aca="false">'New Qrtrly - Ind AS'!AG33</f>
        <v>87442.9</v>
      </c>
      <c r="G18" s="26" t="n">
        <f aca="false">IFERROR('New Qrtrly - Ind AS'!AG33/'New Qrtrly - Ind AS'!BL33-1,"")</f>
        <v>0.0728033902422631</v>
      </c>
      <c r="H18" s="25" t="n">
        <f aca="false">'New Qrtrly - Ind AS'!BL40</f>
        <v>5809.30075635942</v>
      </c>
      <c r="I18" s="25" t="n">
        <f aca="false">'New Qrtrly - Ind AS'!AG40</f>
        <v>7760.39999999999</v>
      </c>
      <c r="J18" s="26" t="n">
        <f aca="false">IFERROR('New Qrtrly - Ind AS'!AG40/'New Qrtrly - Ind AS'!BL40-1,"")</f>
        <v>0.335857846833755</v>
      </c>
      <c r="K18" s="27" t="n">
        <f aca="false">'New Qrtrly - Ind AS'!BL61</f>
        <v>7.12720820828143</v>
      </c>
      <c r="L18" s="27" t="n">
        <f aca="false">'New Qrtrly - Ind AS'!AG61</f>
        <v>8.87482002541086</v>
      </c>
      <c r="M18" s="28" t="n">
        <f aca="false">IFERROR(('New Qrtrly - Ind AS'!AG61-'New Qrtrly - Ind AS'!BL61)*100,"")</f>
        <v>174.761181712943</v>
      </c>
      <c r="N18" s="25" t="n">
        <f aca="false">'New Qrtrly - Ind AS'!BL51</f>
        <v>2372.51052945159</v>
      </c>
      <c r="O18" s="25" t="n">
        <f aca="false">'New Qrtrly - Ind AS'!AG51</f>
        <v>5486.74999999999</v>
      </c>
      <c r="P18" s="26" t="n">
        <f aca="false">IFERROR('New Qrtrly - Ind AS'!AG51/'New Qrtrly - Ind AS'!BL51-1,"")</f>
        <v>1.31263462559564</v>
      </c>
    </row>
    <row r="19" customFormat="false" ht="15" hidden="false" customHeight="false" outlineLevel="0" collapsed="false">
      <c r="A19" s="12" t="s">
        <v>144</v>
      </c>
      <c r="B19" s="25" t="n">
        <f aca="false">'New Qrtrly - Ind AS'!BM11</f>
        <v>39651</v>
      </c>
      <c r="C19" s="25" t="n">
        <f aca="false">'New Qrtrly - Ind AS'!AH11</f>
        <v>39651</v>
      </c>
      <c r="D19" s="26" t="n">
        <f aca="false">IFERROR('New Qrtrly - Ind AS'!AH11/'New Qrtrly - Ind AS'!BM11-1,"")</f>
        <v>0</v>
      </c>
      <c r="E19" s="25" t="n">
        <f aca="false">'New Qrtrly - Ind AS'!BM33</f>
        <v>71167.2741209795</v>
      </c>
      <c r="F19" s="25" t="n">
        <f aca="false">'New Qrtrly - Ind AS'!AH33</f>
        <v>72228.5</v>
      </c>
      <c r="G19" s="26" t="n">
        <f aca="false">IFERROR('New Qrtrly - Ind AS'!AH33/'New Qrtrly - Ind AS'!BM33-1,"")</f>
        <v>0.0149117117681998</v>
      </c>
      <c r="H19" s="25" t="n">
        <f aca="false">'New Qrtrly - Ind AS'!BM40</f>
        <v>4545.1275654057</v>
      </c>
      <c r="I19" s="25" t="n">
        <f aca="false">'New Qrtrly - Ind AS'!AH40</f>
        <v>3202.8</v>
      </c>
      <c r="J19" s="26" t="n">
        <f aca="false">IFERROR('New Qrtrly - Ind AS'!AH40/'New Qrtrly - Ind AS'!BM40-1,"")</f>
        <v>-0.295333309371236</v>
      </c>
      <c r="K19" s="27" t="n">
        <f aca="false">'New Qrtrly - Ind AS'!BM61</f>
        <v>6.38654159730678</v>
      </c>
      <c r="L19" s="27" t="n">
        <f aca="false">'New Qrtrly - Ind AS'!AH61</f>
        <v>4.434260714261</v>
      </c>
      <c r="M19" s="28" t="n">
        <f aca="false">IFERROR(('New Qrtrly - Ind AS'!AH61-'New Qrtrly - Ind AS'!BM61)*100,"")</f>
        <v>-195.228088304578</v>
      </c>
      <c r="N19" s="25" t="n">
        <f aca="false">'New Qrtrly - Ind AS'!BM51</f>
        <v>1424.58929578399</v>
      </c>
      <c r="O19" s="25" t="n">
        <f aca="false">'New Qrtrly - Ind AS'!AH51</f>
        <v>582.925000000003</v>
      </c>
      <c r="P19" s="26" t="n">
        <f aca="false">IFERROR('New Qrtrly - Ind AS'!AH51/'New Qrtrly - Ind AS'!BM51-1,"")</f>
        <v>-0.590811891030527</v>
      </c>
    </row>
    <row r="20" customFormat="false" ht="15" hidden="false" customHeight="false" outlineLevel="0" collapsed="false">
      <c r="A20" s="12" t="s">
        <v>145</v>
      </c>
      <c r="B20" s="25" t="n">
        <f aca="false">'New Qrtrly - Ind AS'!BN11</f>
        <v>45295</v>
      </c>
      <c r="C20" s="25" t="n">
        <f aca="false">'New Qrtrly - Ind AS'!AI11</f>
        <v>45295</v>
      </c>
      <c r="D20" s="26" t="n">
        <f aca="false">IFERROR('New Qrtrly - Ind AS'!AI11/'New Qrtrly - Ind AS'!BN11-1,"")</f>
        <v>0</v>
      </c>
      <c r="E20" s="25" t="n">
        <f aca="false">'New Qrtrly - Ind AS'!BN33</f>
        <v>82922.1925559885</v>
      </c>
      <c r="F20" s="25" t="n">
        <f aca="false">'New Qrtrly - Ind AS'!AI33</f>
        <v>82659.5</v>
      </c>
      <c r="G20" s="26" t="n">
        <f aca="false">IFERROR('New Qrtrly - Ind AS'!AI33/'New Qrtrly - Ind AS'!BN33-1,"")</f>
        <v>-0.00316794030513767</v>
      </c>
      <c r="H20" s="25" t="n">
        <f aca="false">'New Qrtrly - Ind AS'!BN40</f>
        <v>4956.3502442016</v>
      </c>
      <c r="I20" s="25" t="n">
        <f aca="false">'New Qrtrly - Ind AS'!AI40</f>
        <v>5373.39999999999</v>
      </c>
      <c r="J20" s="26" t="n">
        <f aca="false">IFERROR('New Qrtrly - Ind AS'!AI40/'New Qrtrly - Ind AS'!BN40-1,"")</f>
        <v>0.0841445287863372</v>
      </c>
      <c r="K20" s="27" t="n">
        <f aca="false">'New Qrtrly - Ind AS'!BN61</f>
        <v>5.9771094943674</v>
      </c>
      <c r="L20" s="27" t="n">
        <f aca="false">'New Qrtrly - Ind AS'!AI61</f>
        <v>6.50064420907457</v>
      </c>
      <c r="M20" s="28" t="n">
        <f aca="false">IFERROR(('New Qrtrly - Ind AS'!AI61-'New Qrtrly - Ind AS'!BN61)*100,"")</f>
        <v>52.3534714707173</v>
      </c>
      <c r="N20" s="25" t="n">
        <f aca="false">'New Qrtrly - Ind AS'!BN51</f>
        <v>1866.44517094112</v>
      </c>
      <c r="O20" s="25" t="n">
        <f aca="false">'New Qrtrly - Ind AS'!AI51</f>
        <v>1931.37499999999</v>
      </c>
      <c r="P20" s="26" t="n">
        <f aca="false">IFERROR('New Qrtrly - Ind AS'!AI51/'New Qrtrly - Ind AS'!BN51-1,"")</f>
        <v>0.0347879648809248</v>
      </c>
    </row>
    <row r="21" customFormat="false" ht="15" hidden="false" customHeight="false" outlineLevel="0" collapsed="false">
      <c r="A21" s="12" t="s">
        <v>146</v>
      </c>
      <c r="B21" s="25" t="n">
        <f aca="false">'New Qrtrly - Ind AS'!BO11</f>
        <v>47562</v>
      </c>
      <c r="C21" s="25" t="n">
        <f aca="false">'New Qrtrly - Ind AS'!AJ11</f>
        <v>47562</v>
      </c>
      <c r="D21" s="26" t="n">
        <f aca="false">IFERROR('New Qrtrly - Ind AS'!AJ11/'New Qrtrly - Ind AS'!BO11-1,"")</f>
        <v>0</v>
      </c>
      <c r="E21" s="25" t="n">
        <f aca="false">'New Qrtrly - Ind AS'!BO33</f>
        <v>87924.9366112595</v>
      </c>
      <c r="F21" s="25" t="n">
        <f aca="false">'New Qrtrly - Ind AS'!AJ33</f>
        <v>90296.7</v>
      </c>
      <c r="G21" s="26" t="n">
        <f aca="false">IFERROR('New Qrtrly - Ind AS'!AJ33/'New Qrtrly - Ind AS'!BO33-1,"")</f>
        <v>0.0269748660636142</v>
      </c>
      <c r="H21" s="25" t="n">
        <f aca="false">'New Qrtrly - Ind AS'!BO40</f>
        <v>6631.31873753338</v>
      </c>
      <c r="I21" s="25" t="n">
        <f aca="false">'New Qrtrly - Ind AS'!AJ40</f>
        <v>7973.39999999999</v>
      </c>
      <c r="J21" s="26" t="n">
        <f aca="false">IFERROR('New Qrtrly - Ind AS'!AJ40/'New Qrtrly - Ind AS'!BO40-1,"")</f>
        <v>0.202385274420668</v>
      </c>
      <c r="K21" s="27" t="n">
        <f aca="false">'New Qrtrly - Ind AS'!BO61</f>
        <v>7.54202276750255</v>
      </c>
      <c r="L21" s="27" t="n">
        <f aca="false">'New Qrtrly - Ind AS'!AJ61</f>
        <v>8.83022303140646</v>
      </c>
      <c r="M21" s="28" t="n">
        <f aca="false">IFERROR(('New Qrtrly - Ind AS'!AJ61-'New Qrtrly - Ind AS'!BO61)*100,"")</f>
        <v>128.82002639039</v>
      </c>
      <c r="N21" s="25" t="n">
        <f aca="false">'New Qrtrly - Ind AS'!BO51</f>
        <v>2989.92311627337</v>
      </c>
      <c r="O21" s="25" t="n">
        <f aca="false">'New Qrtrly - Ind AS'!AJ51</f>
        <v>3561.34999999999</v>
      </c>
      <c r="P21" s="26" t="n">
        <f aca="false">IFERROR('New Qrtrly - Ind AS'!AJ51/'New Qrtrly - Ind AS'!BO51-1,"")</f>
        <v>0.191117584467808</v>
      </c>
    </row>
    <row r="22" customFormat="false" ht="15" hidden="false" customHeight="false" outlineLevel="0" collapsed="false">
      <c r="A22" s="12" t="s">
        <v>147</v>
      </c>
      <c r="B22" s="25" t="n">
        <f aca="false">'New Qrtrly - Ind AS'!BP11</f>
        <v>59697</v>
      </c>
      <c r="C22" s="25" t="n">
        <f aca="false">'New Qrtrly - Ind AS'!AK11</f>
        <v>59697</v>
      </c>
      <c r="D22" s="26" t="n">
        <f aca="false">IFERROR('New Qrtrly - Ind AS'!AK11/'New Qrtrly - Ind AS'!BP11-1,"")</f>
        <v>0</v>
      </c>
      <c r="E22" s="25" t="n">
        <f aca="false">'New Qrtrly - Ind AS'!BP33</f>
        <v>114695.08021317</v>
      </c>
      <c r="F22" s="25" t="n">
        <f aca="false">'New Qrtrly - Ind AS'!AK33</f>
        <v>116256.7</v>
      </c>
      <c r="G22" s="26" t="n">
        <f aca="false">IFERROR('New Qrtrly - Ind AS'!AK33/'New Qrtrly - Ind AS'!BP33-1,"")</f>
        <v>0.0136154034151024</v>
      </c>
      <c r="H22" s="25" t="n">
        <f aca="false">'New Qrtrly - Ind AS'!BP40</f>
        <v>12264.1942511608</v>
      </c>
      <c r="I22" s="25" t="n">
        <f aca="false">'New Qrtrly - Ind AS'!AK40</f>
        <v>12757.4</v>
      </c>
      <c r="J22" s="26" t="n">
        <f aca="false">IFERROR('New Qrtrly - Ind AS'!AK40/'New Qrtrly - Ind AS'!BP40-1,"")</f>
        <v>0.0402150959727714</v>
      </c>
      <c r="K22" s="27" t="n">
        <f aca="false">'New Qrtrly - Ind AS'!BP61</f>
        <v>10.6928686290352</v>
      </c>
      <c r="L22" s="27" t="n">
        <f aca="false">'New Qrtrly - Ind AS'!AK61</f>
        <v>10.9734750771353</v>
      </c>
      <c r="M22" s="28" t="n">
        <f aca="false">IFERROR(('New Qrtrly - Ind AS'!AK61-'New Qrtrly - Ind AS'!BP61)*100,"")</f>
        <v>28.0606448100118</v>
      </c>
      <c r="N22" s="25" t="n">
        <f aca="false">'New Qrtrly - Ind AS'!BP51</f>
        <v>6904.93597581259</v>
      </c>
      <c r="O22" s="25" t="n">
        <f aca="false">'New Qrtrly - Ind AS'!AK51</f>
        <v>7090.87499999998</v>
      </c>
      <c r="P22" s="26" t="n">
        <f aca="false">IFERROR('New Qrtrly - Ind AS'!AK51/'New Qrtrly - Ind AS'!BP51-1,"")</f>
        <v>0.0269284211814163</v>
      </c>
    </row>
    <row r="23" customFormat="false" ht="15" hidden="false" customHeight="false" outlineLevel="0" collapsed="false">
      <c r="A23" s="12" t="s">
        <v>148</v>
      </c>
      <c r="B23" s="25" t="n">
        <f aca="false">'New Qrtrly - Ind AS'!BQ11</f>
        <v>41329</v>
      </c>
      <c r="C23" s="25" t="n">
        <f aca="false">'New Qrtrly - Ind AS'!AL11</f>
        <v>41329</v>
      </c>
      <c r="D23" s="26" t="n">
        <f aca="false">IFERROR('New Qrtrly - Ind AS'!AL11/'New Qrtrly - Ind AS'!BQ11-1,"")</f>
        <v>0</v>
      </c>
      <c r="E23" s="25" t="n">
        <f aca="false">'New Qrtrly - Ind AS'!BQ33</f>
        <v>80486.0069065447</v>
      </c>
      <c r="F23" s="25" t="n">
        <f aca="false">'New Qrtrly - Ind AS'!AL33</f>
        <v>81892.9</v>
      </c>
      <c r="G23" s="26" t="n">
        <f aca="false">IFERROR('New Qrtrly - Ind AS'!AL33/'New Qrtrly - Ind AS'!BQ33-1,"")</f>
        <v>0.0174799713332638</v>
      </c>
      <c r="H23" s="25" t="n">
        <f aca="false">'New Qrtrly - Ind AS'!BQ40</f>
        <v>6140.52971282309</v>
      </c>
      <c r="I23" s="25" t="n">
        <f aca="false">'New Qrtrly - Ind AS'!AL40</f>
        <v>8207.5</v>
      </c>
      <c r="J23" s="26" t="n">
        <f aca="false">IFERROR('New Qrtrly - Ind AS'!AL40/'New Qrtrly - Ind AS'!BQ40-1,"")</f>
        <v>0.336611071657306</v>
      </c>
      <c r="K23" s="27" t="n">
        <f aca="false">'New Qrtrly - Ind AS'!BQ61</f>
        <v>7.62931340345047</v>
      </c>
      <c r="L23" s="27" t="n">
        <f aca="false">'New Qrtrly - Ind AS'!AL61</f>
        <v>10.0222363599286</v>
      </c>
      <c r="M23" s="28" t="n">
        <f aca="false">IFERROR(('New Qrtrly - Ind AS'!AL61-'New Qrtrly - Ind AS'!BQ61)*100,"")</f>
        <v>239.292295647817</v>
      </c>
      <c r="N23" s="25" t="n">
        <f aca="false">'New Qrtrly - Ind AS'!BQ51</f>
        <v>2618.37079897616</v>
      </c>
      <c r="O23" s="25" t="n">
        <f aca="false">'New Qrtrly - Ind AS'!AL51</f>
        <v>5768.625</v>
      </c>
      <c r="P23" s="26" t="n">
        <f aca="false">IFERROR('New Qrtrly - Ind AS'!AL51/'New Qrtrly - Ind AS'!BQ51-1,"")</f>
        <v>1.20313524816869</v>
      </c>
    </row>
    <row r="24" customFormat="false" ht="15" hidden="false" customHeight="false" outlineLevel="0" collapsed="false">
      <c r="A24" s="12" t="s">
        <v>149</v>
      </c>
      <c r="B24" s="25" t="n">
        <f aca="false">'New Qrtrly - Ind AS'!BR11</f>
        <v>49846</v>
      </c>
      <c r="C24" s="25" t="n">
        <f aca="false">'New Qrtrly - Ind AS'!AM11</f>
        <v>49846</v>
      </c>
      <c r="D24" s="26" t="n">
        <f aca="false">IFERROR('New Qrtrly - Ind AS'!AM11/'New Qrtrly - Ind AS'!BR11-1,"")</f>
        <v>0</v>
      </c>
      <c r="E24" s="25" t="n">
        <f aca="false">'New Qrtrly - Ind AS'!BR33</f>
        <v>96793.8450853396</v>
      </c>
      <c r="F24" s="25" t="n">
        <f aca="false">'New Qrtrly - Ind AS'!AM33</f>
        <v>96380.4</v>
      </c>
      <c r="G24" s="26" t="n">
        <f aca="false">IFERROR('New Qrtrly - Ind AS'!AM33/'New Qrtrly - Ind AS'!BR33-1,"")</f>
        <v>-0.00427139850653813</v>
      </c>
      <c r="H24" s="25" t="n">
        <f aca="false">'New Qrtrly - Ind AS'!BR40</f>
        <v>10466.3997221883</v>
      </c>
      <c r="I24" s="25" t="n">
        <f aca="false">'New Qrtrly - Ind AS'!AM40</f>
        <v>10797.9</v>
      </c>
      <c r="J24" s="26" t="n">
        <f aca="false">IFERROR('New Qrtrly - Ind AS'!AM40/'New Qrtrly - Ind AS'!BR40-1,"")</f>
        <v>0.0316728088560327</v>
      </c>
      <c r="K24" s="27" t="n">
        <f aca="false">'New Qrtrly - Ind AS'!BR61</f>
        <v>10.8130839445013</v>
      </c>
      <c r="L24" s="27" t="n">
        <f aca="false">'New Qrtrly - Ind AS'!AM61</f>
        <v>11.2034189524011</v>
      </c>
      <c r="M24" s="28" t="n">
        <f aca="false">IFERROR(('New Qrtrly - Ind AS'!AM61-'New Qrtrly - Ind AS'!BR61)*100,"")</f>
        <v>39.0335007899832</v>
      </c>
      <c r="N24" s="25" t="n">
        <f aca="false">'New Qrtrly - Ind AS'!BR51</f>
        <v>5821.4798055318</v>
      </c>
      <c r="O24" s="25" t="n">
        <f aca="false">'New Qrtrly - Ind AS'!AM51</f>
        <v>5781.69999999999</v>
      </c>
      <c r="P24" s="26" t="n">
        <f aca="false">IFERROR('New Qrtrly - Ind AS'!AM51/'New Qrtrly - Ind AS'!BR51-1,"")</f>
        <v>-0.00683328068818645</v>
      </c>
    </row>
    <row r="25" customFormat="false" ht="15" hidden="false" customHeight="false" outlineLevel="0" collapsed="false">
      <c r="A25" s="12" t="s">
        <v>150</v>
      </c>
      <c r="B25" s="25" t="n">
        <f aca="false">'New Qrtrly - Ind AS'!BS11</f>
        <v>47241</v>
      </c>
      <c r="C25" s="25" t="n">
        <f aca="false">'New Qrtrly - Ind AS'!AN11</f>
        <v>47241</v>
      </c>
      <c r="D25" s="26" t="n">
        <f aca="false">IFERROR('New Qrtrly - Ind AS'!AN11/'New Qrtrly - Ind AS'!BS11-1,"")</f>
        <v>0</v>
      </c>
      <c r="E25" s="25" t="n">
        <f aca="false">'New Qrtrly - Ind AS'!BS33</f>
        <v>89516.5980594631</v>
      </c>
      <c r="F25" s="25" t="n">
        <f aca="false">'New Qrtrly - Ind AS'!AN33</f>
        <v>92730.1</v>
      </c>
      <c r="G25" s="26" t="n">
        <f aca="false">IFERROR('New Qrtrly - Ind AS'!AN33/'New Qrtrly - Ind AS'!BS33-1,"")</f>
        <v>0.0358983921440159</v>
      </c>
      <c r="H25" s="25" t="n">
        <f aca="false">'New Qrtrly - Ind AS'!BS40</f>
        <v>9211.41508381719</v>
      </c>
      <c r="I25" s="25" t="n">
        <f aca="false">'New Qrtrly - Ind AS'!AN40</f>
        <v>11139.3</v>
      </c>
      <c r="J25" s="26" t="n">
        <f aca="false">IFERROR('New Qrtrly - Ind AS'!AN40/'New Qrtrly - Ind AS'!BS40-1,"")</f>
        <v>0.209293023779785</v>
      </c>
      <c r="K25" s="27" t="n">
        <f aca="false">'New Qrtrly - Ind AS'!BS61</f>
        <v>10.2901755467722</v>
      </c>
      <c r="L25" s="27" t="n">
        <f aca="false">'New Qrtrly - Ind AS'!AN61</f>
        <v>12.0126043215741</v>
      </c>
      <c r="M25" s="28" t="n">
        <f aca="false">IFERROR(('New Qrtrly - Ind AS'!AN61-'New Qrtrly - Ind AS'!BS61)*100,"")</f>
        <v>172.242877480198</v>
      </c>
      <c r="N25" s="25" t="n">
        <f aca="false">'New Qrtrly - Ind AS'!BS51</f>
        <v>5082.99055867203</v>
      </c>
      <c r="O25" s="25" t="n">
        <f aca="false">'New Qrtrly - Ind AS'!AN51</f>
        <v>5804.72500000002</v>
      </c>
      <c r="P25" s="26" t="n">
        <f aca="false">IFERROR('New Qrtrly - Ind AS'!AN51/'New Qrtrly - Ind AS'!BS51-1,"")</f>
        <v>0.141990120382309</v>
      </c>
    </row>
    <row r="26" customFormat="false" ht="15" hidden="false" customHeight="false" outlineLevel="0" collapsed="false">
      <c r="A26" s="12" t="s">
        <v>151</v>
      </c>
      <c r="B26" s="25" t="n">
        <f aca="false">'New Qrtrly - Ind AS'!BT11</f>
        <v>56269</v>
      </c>
      <c r="C26" s="25" t="n">
        <f aca="false">'New Qrtrly - Ind AS'!AO11</f>
        <v>56269</v>
      </c>
      <c r="D26" s="26" t="n">
        <f aca="false">IFERROR('New Qrtrly - Ind AS'!AO11/'New Qrtrly - Ind AS'!BT11-1,"")</f>
        <v>0</v>
      </c>
      <c r="E26" s="25" t="n">
        <f aca="false">'New Qrtrly - Ind AS'!BT33</f>
        <v>111003.559342192</v>
      </c>
      <c r="F26" s="25" t="n">
        <f aca="false">'New Qrtrly - Ind AS'!AO33</f>
        <v>112666.9</v>
      </c>
      <c r="G26" s="26" t="n">
        <f aca="false">IFERROR('New Qrtrly - Ind AS'!AO33/'New Qrtrly - Ind AS'!BT33-1,"")</f>
        <v>0.014984570473819</v>
      </c>
      <c r="H26" s="25" t="n">
        <f aca="false">'New Qrtrly - Ind AS'!BT40</f>
        <v>13735.9650223919</v>
      </c>
      <c r="I26" s="25" t="n">
        <f aca="false">'New Qrtrly - Ind AS'!AO40</f>
        <v>15921.1</v>
      </c>
      <c r="J26" s="26" t="n">
        <f aca="false">IFERROR('New Qrtrly - Ind AS'!AO40/'New Qrtrly - Ind AS'!BT40-1,"")</f>
        <v>0.159081285810352</v>
      </c>
      <c r="K26" s="27" t="n">
        <f aca="false">'New Qrtrly - Ind AS'!BT61</f>
        <v>12.3743464658172</v>
      </c>
      <c r="L26" s="27" t="n">
        <f aca="false">'New Qrtrly - Ind AS'!AO61</f>
        <v>14.1311245805112</v>
      </c>
      <c r="M26" s="28" t="n">
        <f aca="false">IFERROR(('New Qrtrly - Ind AS'!AO61-'New Qrtrly - Ind AS'!BT61)*100,"")</f>
        <v>175.6778114694</v>
      </c>
      <c r="N26" s="25" t="n">
        <f aca="false">'New Qrtrly - Ind AS'!BT51</f>
        <v>8131.17551567432</v>
      </c>
      <c r="O26" s="25" t="n">
        <f aca="false">'New Qrtrly - Ind AS'!AO51</f>
        <v>9526.55000000001</v>
      </c>
      <c r="P26" s="26" t="n">
        <f aca="false">IFERROR('New Qrtrly - Ind AS'!AO51/'New Qrtrly - Ind AS'!BT51-1,"")</f>
        <v>0.171607965125811</v>
      </c>
    </row>
    <row r="27" customFormat="false" ht="15" hidden="false" customHeight="false" outlineLevel="0" collapsed="false">
      <c r="A27" s="12" t="s">
        <v>152</v>
      </c>
      <c r="B27" s="25" t="n">
        <f aca="false">'New Qrtrly - Ind AS'!BU11</f>
        <v>43893</v>
      </c>
      <c r="C27" s="25" t="n">
        <f aca="false">'New Qrtrly - Ind AS'!AP11</f>
        <v>43893</v>
      </c>
      <c r="D27" s="26" t="n">
        <f aca="false">IFERROR('New Qrtrly - Ind AS'!AP11/'New Qrtrly - Ind AS'!BU11-1,"")</f>
        <v>0</v>
      </c>
      <c r="E27" s="25" t="n">
        <f aca="false">'New Qrtrly - Ind AS'!BU33</f>
        <v>86128.8182989923</v>
      </c>
      <c r="F27" s="25" t="n">
        <f aca="false">'New Qrtrly - Ind AS'!AP33</f>
        <v>85985.3</v>
      </c>
      <c r="G27" s="26" t="n">
        <f aca="false">IFERROR('New Qrtrly - Ind AS'!AP33/'New Qrtrly - Ind AS'!BU33-1,"")</f>
        <v>-0.00166632146854862</v>
      </c>
      <c r="H27" s="25" t="n">
        <f aca="false">'New Qrtrly - Ind AS'!BU40</f>
        <v>8971.55385052187</v>
      </c>
      <c r="I27" s="25" t="n">
        <f aca="false">'New Qrtrly - Ind AS'!AP40</f>
        <v>9108.7</v>
      </c>
      <c r="J27" s="26" t="n">
        <f aca="false">IFERROR('New Qrtrly - Ind AS'!AP40/'New Qrtrly - Ind AS'!BU40-1,"")</f>
        <v>0.0152867777157852</v>
      </c>
      <c r="K27" s="27" t="n">
        <f aca="false">'New Qrtrly - Ind AS'!BU61</f>
        <v>10.4164367138738</v>
      </c>
      <c r="L27" s="27" t="n">
        <f aca="false">'New Qrtrly - Ind AS'!AP61</f>
        <v>10.5933223469593</v>
      </c>
      <c r="M27" s="28" t="n">
        <f aca="false">IFERROR(('New Qrtrly - Ind AS'!AP61-'New Qrtrly - Ind AS'!BU61)*100,"")</f>
        <v>17.6885633085528</v>
      </c>
      <c r="N27" s="25" t="n">
        <f aca="false">'New Qrtrly - Ind AS'!BU51</f>
        <v>5286.08769536531</v>
      </c>
      <c r="O27" s="25" t="n">
        <f aca="false">'New Qrtrly - Ind AS'!AP51</f>
        <v>5255.8</v>
      </c>
      <c r="P27" s="26" t="n">
        <f aca="false">IFERROR('New Qrtrly - Ind AS'!AP51/'New Qrtrly - Ind AS'!BU51-1,"")</f>
        <v>-0.00572969975353765</v>
      </c>
    </row>
    <row r="28" customFormat="false" ht="15" hidden="false" customHeight="false" outlineLevel="0" collapsed="false">
      <c r="A28" s="12" t="s">
        <v>153</v>
      </c>
      <c r="B28" s="25" t="n">
        <f aca="false">'New Qrtrly - Ind AS'!BV11</f>
        <v>45624</v>
      </c>
      <c r="C28" s="25" t="n">
        <f aca="false">'New Qrtrly - Ind AS'!AQ11</f>
        <v>45624</v>
      </c>
      <c r="D28" s="26" t="n">
        <f aca="false">IFERROR('New Qrtrly - Ind AS'!AQ11/'New Qrtrly - Ind AS'!BV11-1,"")</f>
        <v>0</v>
      </c>
      <c r="E28" s="25" t="n">
        <f aca="false">'New Qrtrly - Ind AS'!BV33</f>
        <v>87588.7604095414</v>
      </c>
      <c r="F28" s="25" t="n">
        <f aca="false">'New Qrtrly - Ind AS'!AQ33</f>
        <v>87688.3</v>
      </c>
      <c r="G28" s="26" t="n">
        <f aca="false">IFERROR('New Qrtrly - Ind AS'!AQ33/'New Qrtrly - Ind AS'!BV33-1,"")</f>
        <v>0.0011364425069289</v>
      </c>
      <c r="H28" s="25" t="n">
        <f aca="false">'New Qrtrly - Ind AS'!BV40</f>
        <v>9349.67539385251</v>
      </c>
      <c r="I28" s="25" t="n">
        <f aca="false">'New Qrtrly - Ind AS'!AQ40</f>
        <v>10173</v>
      </c>
      <c r="J28" s="26" t="n">
        <f aca="false">IFERROR('New Qrtrly - Ind AS'!AQ40/'New Qrtrly - Ind AS'!BV40-1,"")</f>
        <v>0.0880591647800775</v>
      </c>
      <c r="K28" s="27" t="n">
        <f aca="false">'New Qrtrly - Ind AS'!BV61</f>
        <v>10.6745150292526</v>
      </c>
      <c r="L28" s="27" t="n">
        <f aca="false">'New Qrtrly - Ind AS'!AQ61</f>
        <v>11.6013196743465</v>
      </c>
      <c r="M28" s="28" t="n">
        <f aca="false">IFERROR(('New Qrtrly - Ind AS'!AQ61-'New Qrtrly - Ind AS'!BV61)*100,"")</f>
        <v>92.6804645093965</v>
      </c>
      <c r="N28" s="25" t="n">
        <f aca="false">'New Qrtrly - Ind AS'!BV51</f>
        <v>5074.77277569676</v>
      </c>
      <c r="O28" s="25" t="n">
        <f aca="false">'New Qrtrly - Ind AS'!AQ51</f>
        <v>6820.65</v>
      </c>
      <c r="P28" s="26" t="n">
        <f aca="false">IFERROR('New Qrtrly - Ind AS'!AQ51/'New Qrtrly - Ind AS'!BV51-1,"")</f>
        <v>0.344030619984467</v>
      </c>
    </row>
    <row r="29" customFormat="false" ht="15" hidden="false" customHeight="false" outlineLevel="0" collapsed="false">
      <c r="A29" s="12" t="s">
        <v>154</v>
      </c>
      <c r="B29" s="25" t="n">
        <f aca="false">'New Qrtrly - Ind AS'!BW11</f>
        <v>46404</v>
      </c>
      <c r="C29" s="25" t="n">
        <f aca="false">'New Qrtrly - Ind AS'!AR11</f>
        <v>46404</v>
      </c>
      <c r="D29" s="26" t="n">
        <f aca="false">IFERROR('New Qrtrly - Ind AS'!AR11/'New Qrtrly - Ind AS'!BW11-1,"")</f>
        <v>0</v>
      </c>
      <c r="E29" s="25" t="n">
        <f aca="false">'New Qrtrly - Ind AS'!BW33</f>
        <v>90525.254061415</v>
      </c>
      <c r="F29" s="25" t="n">
        <f aca="false">'New Qrtrly - Ind AS'!AR33</f>
        <v>94786.7</v>
      </c>
      <c r="G29" s="26" t="n">
        <f aca="false">IFERROR('New Qrtrly - Ind AS'!AR33/'New Qrtrly - Ind AS'!BW33-1,"")</f>
        <v>0.0470746642223603</v>
      </c>
      <c r="H29" s="25" t="n">
        <f aca="false">'New Qrtrly - Ind AS'!BW40</f>
        <v>10680.9416615647</v>
      </c>
      <c r="I29" s="25" t="n">
        <f aca="false">'New Qrtrly - Ind AS'!AR40</f>
        <v>12114.3</v>
      </c>
      <c r="J29" s="26" t="n">
        <f aca="false">IFERROR('New Qrtrly - Ind AS'!AR40/'New Qrtrly - Ind AS'!BW40-1,"")</f>
        <v>0.134197749959935</v>
      </c>
      <c r="K29" s="27" t="n">
        <f aca="false">'New Qrtrly - Ind AS'!BW61</f>
        <v>11.7988530077125</v>
      </c>
      <c r="L29" s="27" t="n">
        <f aca="false">'New Qrtrly - Ind AS'!AR61</f>
        <v>12.780590525886</v>
      </c>
      <c r="M29" s="28" t="n">
        <f aca="false">IFERROR(('New Qrtrly - Ind AS'!AR61-'New Qrtrly - Ind AS'!BW61)*100,"")</f>
        <v>98.1737518173473</v>
      </c>
      <c r="N29" s="25" t="n">
        <f aca="false">'New Qrtrly - Ind AS'!BW51</f>
        <v>6069.65916309528</v>
      </c>
      <c r="O29" s="25" t="n">
        <f aca="false">'New Qrtrly - Ind AS'!AR51</f>
        <v>7617.4</v>
      </c>
      <c r="P29" s="26" t="n">
        <f aca="false">IFERROR('New Qrtrly - Ind AS'!AR51/'New Qrtrly - Ind AS'!BW51-1,"")</f>
        <v>0.254996334277761</v>
      </c>
    </row>
    <row r="30" customFormat="false" ht="15" hidden="false" customHeight="false" outlineLevel="0" collapsed="false">
      <c r="A30" s="12" t="s">
        <v>155</v>
      </c>
      <c r="B30" s="25" t="n">
        <f aca="false">'New Qrtrly - Ind AS'!BX11</f>
        <v>59176</v>
      </c>
      <c r="C30" s="25" t="n">
        <f aca="false">'New Qrtrly - Ind AS'!AS11</f>
        <v>59176</v>
      </c>
      <c r="D30" s="26" t="n">
        <f aca="false">IFERROR('New Qrtrly - Ind AS'!AS11/'New Qrtrly - Ind AS'!BX11-1,"")</f>
        <v>0</v>
      </c>
      <c r="E30" s="25" t="n">
        <f aca="false">'New Qrtrly - Ind AS'!BX33</f>
        <v>122688.436893113</v>
      </c>
      <c r="F30" s="25" t="n">
        <f aca="false">'New Qrtrly - Ind AS'!AS33</f>
        <v>119067.1</v>
      </c>
      <c r="G30" s="26" t="n">
        <f aca="false">IFERROR('New Qrtrly - Ind AS'!AS33/'New Qrtrly - Ind AS'!BX33-1,"")</f>
        <v>-0.0295165297139418</v>
      </c>
      <c r="H30" s="25" t="n">
        <f aca="false">'New Qrtrly - Ind AS'!BX40</f>
        <v>17366.2045145371</v>
      </c>
      <c r="I30" s="25" t="n">
        <f aca="false">'New Qrtrly - Ind AS'!AS40</f>
        <v>17909.6</v>
      </c>
      <c r="J30" s="26" t="n">
        <f aca="false">IFERROR('New Qrtrly - Ind AS'!AS40/'New Qrtrly - Ind AS'!BX40-1,"")</f>
        <v>0.0312903999839473</v>
      </c>
      <c r="K30" s="27" t="n">
        <f aca="false">'New Qrtrly - Ind AS'!BX61</f>
        <v>14.1547198369368</v>
      </c>
      <c r="L30" s="27" t="n">
        <f aca="false">'New Qrtrly - Ind AS'!AS61</f>
        <v>15.0416025921518</v>
      </c>
      <c r="M30" s="28" t="n">
        <f aca="false">IFERROR(('New Qrtrly - Ind AS'!AS61-'New Qrtrly - Ind AS'!BX61)*100,"")</f>
        <v>88.6882755215019</v>
      </c>
      <c r="N30" s="25" t="n">
        <f aca="false">'New Qrtrly - Ind AS'!BX51</f>
        <v>11322.1533859028</v>
      </c>
      <c r="O30" s="25" t="n">
        <f aca="false">'New Qrtrly - Ind AS'!AS51</f>
        <v>12561.075</v>
      </c>
      <c r="P30" s="26" t="n">
        <f aca="false">IFERROR('New Qrtrly - Ind AS'!AS51/'New Qrtrly - Ind AS'!BX51-1,"")</f>
        <v>0.109424556607734</v>
      </c>
    </row>
    <row r="31" customFormat="false" ht="15" hidden="false" customHeight="false" outlineLevel="0" collapsed="false">
      <c r="A31" s="12" t="s">
        <v>156</v>
      </c>
      <c r="B31" s="25" t="n">
        <f aca="false">'New Qrtrly - Ind AS'!BY11</f>
        <v>44238</v>
      </c>
      <c r="C31" s="25" t="n">
        <f aca="false">'New Qrtrly - Ind AS'!AT11</f>
        <v>44238</v>
      </c>
      <c r="D31" s="26" t="n">
        <f aca="false">IFERROR('New Qrtrly - Ind AS'!AT11/'New Qrtrly - Ind AS'!BY11-1,"")</f>
        <v>0</v>
      </c>
      <c r="E31" s="25" t="n">
        <f aca="false">'New Qrtrly - Ind AS'!BY33</f>
        <v>87230.3731648641</v>
      </c>
      <c r="F31" s="25" t="n">
        <f aca="false">'New Qrtrly - Ind AS'!AT33</f>
        <v>87245.1</v>
      </c>
      <c r="G31" s="26" t="n">
        <f aca="false">IFERROR('New Qrtrly - Ind AS'!AT33/'New Qrtrly - Ind AS'!BY33-1,"")</f>
        <v>0.000168826918899301</v>
      </c>
      <c r="H31" s="25" t="n">
        <f aca="false">'New Qrtrly - Ind AS'!BY40</f>
        <v>9685.11709831601</v>
      </c>
      <c r="I31" s="25" t="n">
        <f aca="false">'New Qrtrly - Ind AS'!AT40</f>
        <v>9695.5</v>
      </c>
      <c r="J31" s="26" t="n">
        <f aca="false">IFERROR('New Qrtrly - Ind AS'!AT40/'New Qrtrly - Ind AS'!BY40-1,"")</f>
        <v>0.00107204709851083</v>
      </c>
      <c r="K31" s="27" t="n">
        <f aca="false">'New Qrtrly - Ind AS'!BY61</f>
        <v>11.1029183378722</v>
      </c>
      <c r="L31" s="27" t="n">
        <f aca="false">'New Qrtrly - Ind AS'!AT61</f>
        <v>11.1129450249928</v>
      </c>
      <c r="M31" s="28" t="n">
        <f aca="false">IFERROR(('New Qrtrly - Ind AS'!AT61-'New Qrtrly - Ind AS'!BY61)*100,"")</f>
        <v>1.00266871206536</v>
      </c>
      <c r="N31" s="25" t="n">
        <f aca="false">'New Qrtrly - Ind AS'!BY51</f>
        <v>5883.58196882121</v>
      </c>
      <c r="O31" s="25" t="n">
        <f aca="false">'New Qrtrly - Ind AS'!AT51</f>
        <v>5937.3</v>
      </c>
      <c r="P31" s="26" t="n">
        <f aca="false">IFERROR('New Qrtrly - Ind AS'!AT51/'New Qrtrly - Ind AS'!BY51-1,"")</f>
        <v>0.00913015769363934</v>
      </c>
    </row>
    <row r="32" customFormat="false" ht="15" hidden="false" customHeight="false" outlineLevel="0" collapsed="false">
      <c r="A32" s="12" t="s">
        <v>157</v>
      </c>
      <c r="B32" s="25" t="n">
        <f aca="false">'New Qrtrly - Ind AS'!BZ11</f>
        <v>49116</v>
      </c>
      <c r="C32" s="25" t="n">
        <f aca="false">'New Qrtrly - Ind AS'!AU11</f>
        <v>49116</v>
      </c>
      <c r="D32" s="26" t="n">
        <f aca="false">IFERROR('New Qrtrly - Ind AS'!AU11/'New Qrtrly - Ind AS'!BZ11-1,"")</f>
        <v>0</v>
      </c>
      <c r="E32" s="25" t="n">
        <f aca="false">'New Qrtrly - Ind AS'!BZ33</f>
        <v>96381.0452538994</v>
      </c>
      <c r="F32" s="25" t="n">
        <f aca="false">'New Qrtrly - Ind AS'!AU33</f>
        <v>95881.8</v>
      </c>
      <c r="G32" s="26" t="n">
        <f aca="false">IFERROR('New Qrtrly - Ind AS'!AU33/'New Qrtrly - Ind AS'!BZ33-1,"")</f>
        <v>-0.0051799111805042</v>
      </c>
      <c r="H32" s="25" t="n">
        <f aca="false">'New Qrtrly - Ind AS'!BZ40</f>
        <v>11004.1220783769</v>
      </c>
      <c r="I32" s="25" t="n">
        <f aca="false">'New Qrtrly - Ind AS'!AU40</f>
        <v>11621.6</v>
      </c>
      <c r="J32" s="26" t="n">
        <f aca="false">IFERROR('New Qrtrly - Ind AS'!AU40/'New Qrtrly - Ind AS'!BZ40-1,"")</f>
        <v>0.056113328916662</v>
      </c>
      <c r="K32" s="27" t="n">
        <f aca="false">'New Qrtrly - Ind AS'!BZ61</f>
        <v>11.4173093364867</v>
      </c>
      <c r="L32" s="27" t="n">
        <f aca="false">'New Qrtrly - Ind AS'!AU61</f>
        <v>12.1207570154085</v>
      </c>
      <c r="M32" s="28" t="n">
        <f aca="false">IFERROR(('New Qrtrly - Ind AS'!AU61-'New Qrtrly - Ind AS'!BZ61)*100,"")</f>
        <v>70.3447678921844</v>
      </c>
      <c r="N32" s="25" t="n">
        <f aca="false">'New Qrtrly - Ind AS'!BZ51</f>
        <v>6449.88545486385</v>
      </c>
      <c r="O32" s="25" t="n">
        <f aca="false">'New Qrtrly - Ind AS'!AU51</f>
        <v>8010.59999999999</v>
      </c>
      <c r="P32" s="26" t="n">
        <f aca="false">IFERROR('New Qrtrly - Ind AS'!AU51/'New Qrtrly - Ind AS'!BZ51-1,"")</f>
        <v>0.241975544536099</v>
      </c>
    </row>
    <row r="33" customFormat="false" ht="15" hidden="false" customHeight="false" outlineLevel="0" collapsed="false">
      <c r="A33" s="12" t="s">
        <v>158</v>
      </c>
      <c r="B33" s="25" t="n">
        <f aca="false">'New Qrtrly - Ind AS'!CA11</f>
        <v>57625</v>
      </c>
      <c r="C33" s="25" t="n">
        <f aca="false">'New Qrtrly - Ind AS'!AV11</f>
        <v>57625</v>
      </c>
      <c r="D33" s="26" t="n">
        <f aca="false">IFERROR('New Qrtrly - Ind AS'!AV11/'New Qrtrly - Ind AS'!CA11-1,"")</f>
        <v>0</v>
      </c>
      <c r="E33" s="25" t="n">
        <f aca="false">'New Qrtrly - Ind AS'!CA33</f>
        <v>114180.034120755</v>
      </c>
      <c r="F33" s="25" t="n">
        <f aca="false">'New Qrtrly - Ind AS'!AV33</f>
        <v>115338.5</v>
      </c>
      <c r="G33" s="26" t="n">
        <f aca="false">IFERROR('New Qrtrly - Ind AS'!AV33/'New Qrtrly - Ind AS'!CA33-1,"")</f>
        <v>0.0101459584257952</v>
      </c>
      <c r="H33" s="25" t="n">
        <f aca="false">'New Qrtrly - Ind AS'!CA40</f>
        <v>14798.7696220529</v>
      </c>
      <c r="I33" s="25" t="n">
        <f aca="false">'New Qrtrly - Ind AS'!AV40</f>
        <v>15350.2</v>
      </c>
      <c r="J33" s="26" t="n">
        <f aca="false">IFERROR('New Qrtrly - Ind AS'!AV40/'New Qrtrly - Ind AS'!CA40-1,"")</f>
        <v>0.0372619070389042</v>
      </c>
      <c r="K33" s="27" t="n">
        <f aca="false">'New Qrtrly - Ind AS'!CA61</f>
        <v>12.9609083899922</v>
      </c>
      <c r="L33" s="27" t="n">
        <f aca="false">'New Qrtrly - Ind AS'!AV61</f>
        <v>13.3088257606957</v>
      </c>
      <c r="M33" s="28" t="n">
        <f aca="false">IFERROR(('New Qrtrly - Ind AS'!AV61-'New Qrtrly - Ind AS'!CA61)*100,"")</f>
        <v>34.7917370703474</v>
      </c>
      <c r="N33" s="25" t="n">
        <f aca="false">'New Qrtrly - Ind AS'!CA51</f>
        <v>9996.57721653968</v>
      </c>
      <c r="O33" s="25" t="n">
        <f aca="false">'New Qrtrly - Ind AS'!AV51</f>
        <v>10273.8</v>
      </c>
      <c r="P33" s="26" t="n">
        <f aca="false">IFERROR('New Qrtrly - Ind AS'!AV51/'New Qrtrly - Ind AS'!CA51-1,"")</f>
        <v>0.0277317703305131</v>
      </c>
    </row>
    <row r="34" customFormat="false" ht="15" hidden="false" customHeight="false" outlineLevel="0" collapsed="false">
      <c r="A34" s="12" t="s">
        <v>159</v>
      </c>
      <c r="B34" s="25" t="n">
        <f aca="false">'New Qrtrly - Ind AS'!CB11</f>
        <v>69458</v>
      </c>
      <c r="C34" s="25" t="n">
        <f aca="false">'New Qrtrly - Ind AS'!AW11</f>
        <v>69458</v>
      </c>
      <c r="D34" s="26" t="n">
        <f aca="false">IFERROR('New Qrtrly - Ind AS'!AW11/'New Qrtrly - Ind AS'!CB11-1,"")</f>
        <v>0</v>
      </c>
      <c r="E34" s="25" t="n">
        <f aca="false">'New Qrtrly - Ind AS'!CB33</f>
        <v>140899.479109683</v>
      </c>
      <c r="F34" s="25" t="n">
        <f aca="false">'New Qrtrly - Ind AS'!AW33</f>
        <v>141604.9</v>
      </c>
      <c r="G34" s="26" t="n">
        <f aca="false">IFERROR('New Qrtrly - Ind AS'!AW33/'New Qrtrly - Ind AS'!CB33-1,"")</f>
        <v>0.00500655428092522</v>
      </c>
      <c r="H34" s="25" t="n">
        <f aca="false">'New Qrtrly - Ind AS'!CB40</f>
        <v>19806.4572760532</v>
      </c>
      <c r="I34" s="25" t="n">
        <f aca="false">'New Qrtrly - Ind AS'!AW40</f>
        <v>20655.2</v>
      </c>
      <c r="J34" s="26" t="n">
        <f aca="false">IFERROR('New Qrtrly - Ind AS'!AW40/'New Qrtrly - Ind AS'!CB40-1,"")</f>
        <v>0.0428518190869465</v>
      </c>
      <c r="K34" s="27" t="n">
        <f aca="false">'New Qrtrly - Ind AS'!CB61</f>
        <v>14.0571543636686</v>
      </c>
      <c r="L34" s="27" t="n">
        <f aca="false">'New Qrtrly - Ind AS'!AW61</f>
        <v>14.586500890859</v>
      </c>
      <c r="M34" s="28" t="n">
        <f aca="false">IFERROR(('New Qrtrly - Ind AS'!AW61-'New Qrtrly - Ind AS'!CB61)*100,"")</f>
        <v>52.9346527190357</v>
      </c>
      <c r="N34" s="25" t="n">
        <f aca="false">'New Qrtrly - Ind AS'!CB51</f>
        <v>13774.8429570399</v>
      </c>
      <c r="O34" s="25" t="n">
        <f aca="false">'New Qrtrly - Ind AS'!AW51</f>
        <v>14047.2</v>
      </c>
      <c r="P34" s="26" t="n">
        <f aca="false">IFERROR('New Qrtrly - Ind AS'!AW51/'New Qrtrly - Ind AS'!CB51-1,"")</f>
        <v>0.0197720615624788</v>
      </c>
    </row>
    <row r="35" customFormat="false" ht="15" hidden="false" customHeight="false" outlineLevel="0" collapsed="false">
      <c r="A35" s="12" t="s">
        <v>160</v>
      </c>
      <c r="B35" s="25" t="n">
        <f aca="false">'New Qrtrly - Ind AS'!CC11</f>
        <v>48763</v>
      </c>
      <c r="C35" s="25" t="n">
        <f aca="false">'New Qrtrly - Ind AS'!AX11</f>
        <v>48763</v>
      </c>
      <c r="D35" s="26" t="n">
        <f aca="false">IFERROR('New Qrtrly - Ind AS'!AX11/'New Qrtrly - Ind AS'!CC11-1,"")</f>
        <v>0</v>
      </c>
      <c r="E35" s="25" t="n">
        <f aca="false">'New Qrtrly - Ind AS'!CC33</f>
        <v>98419.6052479628</v>
      </c>
      <c r="F35" s="25" t="n">
        <f aca="false">'New Qrtrly - Ind AS'!AX33</f>
        <v>96343.5</v>
      </c>
      <c r="G35" s="26" t="n">
        <f aca="false">IFERROR('New Qrtrly - Ind AS'!AX33/'New Qrtrly - Ind AS'!CC33-1,"")</f>
        <v>-0.0210944277080989</v>
      </c>
      <c r="H35" s="25" t="n">
        <f aca="false">'New Qrtrly - Ind AS'!CC40</f>
        <v>9576.45420645403</v>
      </c>
      <c r="I35" s="25" t="n">
        <f aca="false">'New Qrtrly - Ind AS'!AX40</f>
        <v>9695.3</v>
      </c>
      <c r="J35" s="26" t="n">
        <f aca="false">IFERROR('New Qrtrly - Ind AS'!AX40/'New Qrtrly - Ind AS'!CC40-1,"")</f>
        <v>0.0124102085159952</v>
      </c>
      <c r="K35" s="27" t="n">
        <f aca="false">'New Qrtrly - Ind AS'!CC61</f>
        <v>9.73023025476142</v>
      </c>
      <c r="L35" s="27" t="n">
        <f aca="false">'New Qrtrly - Ind AS'!AX61</f>
        <v>10.0632632196256</v>
      </c>
      <c r="M35" s="28" t="n">
        <f aca="false">IFERROR(('New Qrtrly - Ind AS'!AX61-'New Qrtrly - Ind AS'!CC61)*100,"")</f>
        <v>33.3032964864197</v>
      </c>
      <c r="N35" s="25" t="n">
        <f aca="false">'New Qrtrly - Ind AS'!CC51</f>
        <v>6004.84065484052</v>
      </c>
      <c r="O35" s="25" t="n">
        <f aca="false">'New Qrtrly - Ind AS'!AX51</f>
        <v>6091.1</v>
      </c>
      <c r="P35" s="26" t="n">
        <f aca="false">IFERROR('New Qrtrly - Ind AS'!AX51/'New Qrtrly - Ind AS'!CC51-1,"")</f>
        <v>0.0143649682177571</v>
      </c>
    </row>
  </sheetData>
  <mergeCells count="5">
    <mergeCell ref="B4:D4"/>
    <mergeCell ref="E4:G4"/>
    <mergeCell ref="H4:J4"/>
    <mergeCell ref="K4:M4"/>
    <mergeCell ref="N4:P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true"/>
  </sheetPr>
  <dimension ref="A1:IJ104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O173" activeCellId="0" sqref="AO173"/>
    </sheetView>
  </sheetViews>
  <sheetFormatPr defaultColWidth="8.6796875" defaultRowHeight="12" zeroHeight="false" outlineLevelRow="0" outlineLevelCol="0"/>
  <cols>
    <col collapsed="false" customWidth="true" hidden="false" outlineLevel="0" max="1" min="1" style="29" width="32.27"/>
    <col collapsed="false" customWidth="true" hidden="false" outlineLevel="0" max="2" min="2" style="20" width="11.54"/>
    <col collapsed="false" customWidth="true" hidden="false" outlineLevel="0" max="3" min="3" style="20" width="12"/>
    <col collapsed="false" customWidth="true" hidden="false" outlineLevel="0" max="4" min="4" style="20" width="10.54"/>
    <col collapsed="false" customWidth="true" hidden="false" outlineLevel="0" max="5" min="5" style="20" width="10.73"/>
    <col collapsed="false" customWidth="true" hidden="false" outlineLevel="0" max="8" min="6" style="20" width="10.54"/>
    <col collapsed="false" customWidth="true" hidden="false" outlineLevel="0" max="9" min="9" style="20" width="9.73"/>
    <col collapsed="false" customWidth="true" hidden="false" outlineLevel="0" max="10" min="10" style="20" width="10.18"/>
    <col collapsed="false" customWidth="true" hidden="false" outlineLevel="0" max="11" min="11" style="20" width="9.73"/>
    <col collapsed="false" customWidth="true" hidden="false" outlineLevel="0" max="16" min="12" style="20" width="10.45"/>
    <col collapsed="false" customWidth="true" hidden="false" outlineLevel="0" max="17" min="17" style="20" width="10.54"/>
    <col collapsed="false" customWidth="true" hidden="false" outlineLevel="0" max="19" min="18" style="20" width="11"/>
    <col collapsed="false" customWidth="true" hidden="false" outlineLevel="0" max="20" min="20" style="20" width="11.54"/>
    <col collapsed="false" customWidth="true" hidden="false" outlineLevel="0" max="22" min="21" style="20" width="12.73"/>
    <col collapsed="false" customWidth="true" hidden="false" outlineLevel="0" max="23" min="23" style="20" width="13.27"/>
    <col collapsed="false" customWidth="true" hidden="false" outlineLevel="0" max="24" min="24" style="20" width="16.54"/>
    <col collapsed="false" customWidth="true" hidden="false" outlineLevel="0" max="25" min="25" style="20" width="15.45"/>
    <col collapsed="false" customWidth="true" hidden="false" outlineLevel="0" max="26" min="26" style="20" width="13.54"/>
    <col collapsed="false" customWidth="true" hidden="false" outlineLevel="0" max="27" min="27" style="30" width="13.54"/>
    <col collapsed="false" customWidth="true" hidden="false" outlineLevel="0" max="28" min="28" style="20" width="14.73"/>
    <col collapsed="false" customWidth="true" hidden="false" outlineLevel="0" max="31" min="29" style="20" width="13.54"/>
    <col collapsed="false" customWidth="true" hidden="false" outlineLevel="0" max="33" min="32" style="30" width="13.54"/>
    <col collapsed="false" customWidth="true" hidden="false" outlineLevel="0" max="38" min="34" style="20" width="13.54"/>
    <col collapsed="false" customWidth="true" hidden="false" outlineLevel="0" max="39" min="39" style="20" width="11.18"/>
    <col collapsed="false" customWidth="true" hidden="false" outlineLevel="0" max="40" min="40" style="20" width="11.82"/>
    <col collapsed="false" customWidth="true" hidden="false" outlineLevel="0" max="41" min="41" style="20" width="11.45"/>
    <col collapsed="false" customWidth="true" hidden="false" outlineLevel="0" max="42" min="42" style="20" width="13.82"/>
    <col collapsed="false" customWidth="true" hidden="false" outlineLevel="0" max="43" min="43" style="20" width="12.18"/>
    <col collapsed="false" customWidth="true" hidden="false" outlineLevel="0" max="44" min="44" style="20" width="10.73"/>
    <col collapsed="false" customWidth="true" hidden="false" outlineLevel="0" max="46" min="45" style="20" width="11.54"/>
    <col collapsed="false" customWidth="true" hidden="false" outlineLevel="0" max="47" min="47" style="20" width="10.73"/>
    <col collapsed="false" customWidth="true" hidden="false" outlineLevel="0" max="48" min="48" style="20" width="11.73"/>
    <col collapsed="false" customWidth="true" hidden="false" outlineLevel="0" max="50" min="49" style="20" width="10.73"/>
  </cols>
  <sheetData>
    <row r="1" customFormat="false" ht="12.75" hidden="false" customHeight="true" outlineLevel="0" collapsed="false">
      <c r="U1" s="31"/>
      <c r="V1" s="31"/>
      <c r="W1" s="32"/>
      <c r="X1" s="32"/>
      <c r="Y1" s="33" t="n">
        <f aca="false">+Y61</f>
        <v>1.68256519827992E-011</v>
      </c>
      <c r="Z1" s="34" t="n">
        <f aca="false">+Z35+Z38-Z41-(23279.2)</f>
        <v>0</v>
      </c>
      <c r="AA1" s="34" t="n">
        <f aca="false">+AA35+AA38-AA41-30757.301</f>
        <v>0</v>
      </c>
      <c r="AB1" s="35"/>
      <c r="AC1" s="36" t="n">
        <f aca="false">+AC35+AC38-AC41-23096.1</f>
        <v>0</v>
      </c>
      <c r="AD1" s="37" t="n">
        <f aca="false">+AD35+AD38-AD41</f>
        <v>17791.1</v>
      </c>
      <c r="AE1" s="36" t="n">
        <f aca="false">+AE35+AE38-AE41-22381</f>
        <v>0</v>
      </c>
      <c r="AF1" s="36" t="n">
        <f aca="false">+AF35+AF38-AF41-32504.3</f>
        <v>0</v>
      </c>
      <c r="AG1" s="38"/>
      <c r="AH1" s="37" t="n">
        <f aca="false">+AH21</f>
        <v>1986372.6530424</v>
      </c>
      <c r="AI1" s="37" t="n">
        <f aca="false">+AI21</f>
        <v>1996354.06034377</v>
      </c>
      <c r="AJ1" s="37" t="n">
        <f aca="false">+AJ21</f>
        <v>2021180.70441359</v>
      </c>
      <c r="AK1" s="37" t="n">
        <f aca="false">+AK21</f>
        <v>2039068.73627596</v>
      </c>
      <c r="AL1" s="37" t="n">
        <f aca="false">+AL21</f>
        <v>2061411.20809065</v>
      </c>
      <c r="AM1" s="39" t="s">
        <v>161</v>
      </c>
      <c r="AN1" s="39" t="s">
        <v>162</v>
      </c>
      <c r="AO1" s="39" t="s">
        <v>163</v>
      </c>
      <c r="AP1" s="39" t="s">
        <v>164</v>
      </c>
    </row>
    <row r="2" customFormat="false" ht="15" hidden="false" customHeight="true" outlineLevel="0" collapsed="false">
      <c r="T2" s="40"/>
      <c r="U2" s="40"/>
      <c r="V2" s="40"/>
      <c r="W2" s="41"/>
      <c r="X2" s="41"/>
      <c r="Y2" s="41"/>
      <c r="Z2" s="37" t="n">
        <f aca="false">+Z294</f>
        <v>113296</v>
      </c>
      <c r="AA2" s="38"/>
      <c r="AD2" s="37" t="n">
        <f aca="false">+AD38+AD35-AD41</f>
        <v>17791.1</v>
      </c>
      <c r="AE2" s="37" t="n">
        <f aca="false">+AE38+AE35-AE41</f>
        <v>22381</v>
      </c>
      <c r="AF2" s="37" t="n">
        <f aca="false">+AF38+AF35-AF41</f>
        <v>32504.3</v>
      </c>
      <c r="AG2" s="36" t="n">
        <f aca="false">+AG35+AG38-AG41-36150.6</f>
        <v>0</v>
      </c>
      <c r="AH2" s="36" t="n">
        <f aca="false">+AH35+AH38-AH41-37931.3</f>
        <v>0</v>
      </c>
      <c r="AM2" s="42" t="n">
        <v>18</v>
      </c>
      <c r="AN2" s="43" t="n">
        <f aca="false">+AVERAGE(AJ47:AK47)</f>
        <v>60694.8113590445</v>
      </c>
      <c r="AO2" s="43" t="n">
        <f aca="false">AVERAGE(AJ115:AK115)</f>
        <v>-81674.8081560778</v>
      </c>
      <c r="AP2" s="44" t="n">
        <f aca="false">+ROUND(((AM2*AN2-AO2)/AH84)/5,0)*5</f>
        <v>200</v>
      </c>
      <c r="AQ2" s="45" t="n">
        <f aca="false">+AP2/AP3-1+AJ137/AP3</f>
        <v>0.121498003030033</v>
      </c>
      <c r="AR2" s="46" t="n">
        <f aca="false">+ROUND(((AM2*AN2-AO2)/AH84)/1,0)*1</f>
        <v>200</v>
      </c>
    </row>
    <row r="3" customFormat="false" ht="12.75" hidden="false" customHeight="true" outlineLevel="0" collapsed="false">
      <c r="B3" s="39" t="s">
        <v>165</v>
      </c>
      <c r="C3" s="39" t="s">
        <v>166</v>
      </c>
      <c r="D3" s="39" t="s">
        <v>167</v>
      </c>
      <c r="E3" s="39" t="s">
        <v>168</v>
      </c>
      <c r="F3" s="39" t="s">
        <v>169</v>
      </c>
      <c r="G3" s="47" t="s">
        <v>170</v>
      </c>
      <c r="H3" s="39" t="s">
        <v>171</v>
      </c>
      <c r="I3" s="39" t="s">
        <v>172</v>
      </c>
      <c r="J3" s="39" t="s">
        <v>173</v>
      </c>
      <c r="K3" s="39" t="s">
        <v>174</v>
      </c>
      <c r="L3" s="39" t="s">
        <v>175</v>
      </c>
      <c r="M3" s="39" t="s">
        <v>176</v>
      </c>
      <c r="N3" s="39" t="s">
        <v>177</v>
      </c>
      <c r="O3" s="39" t="s">
        <v>178</v>
      </c>
      <c r="P3" s="39" t="s">
        <v>179</v>
      </c>
      <c r="Q3" s="39" t="s">
        <v>180</v>
      </c>
      <c r="R3" s="39" t="s">
        <v>181</v>
      </c>
      <c r="S3" s="39" t="s">
        <v>182</v>
      </c>
      <c r="T3" s="39" t="s">
        <v>183</v>
      </c>
      <c r="U3" s="39" t="s">
        <v>184</v>
      </c>
      <c r="V3" s="39" t="s">
        <v>185</v>
      </c>
      <c r="W3" s="39" t="s">
        <v>186</v>
      </c>
      <c r="X3" s="39" t="s">
        <v>187</v>
      </c>
      <c r="Y3" s="39" t="s">
        <v>188</v>
      </c>
      <c r="Z3" s="39" t="s">
        <v>189</v>
      </c>
      <c r="AA3" s="39" t="s">
        <v>190</v>
      </c>
      <c r="AB3" s="39" t="s">
        <v>191</v>
      </c>
      <c r="AC3" s="39" t="s">
        <v>192</v>
      </c>
      <c r="AD3" s="39" t="s">
        <v>193</v>
      </c>
      <c r="AE3" s="39" t="s">
        <v>194</v>
      </c>
      <c r="AF3" s="39" t="s">
        <v>195</v>
      </c>
      <c r="AG3" s="39" t="s">
        <v>196</v>
      </c>
      <c r="AH3" s="39" t="s">
        <v>197</v>
      </c>
      <c r="AI3" s="39" t="s">
        <v>198</v>
      </c>
      <c r="AJ3" s="39" t="s">
        <v>199</v>
      </c>
      <c r="AK3" s="39" t="s">
        <v>200</v>
      </c>
      <c r="AL3" s="39" t="s">
        <v>201</v>
      </c>
      <c r="AM3" s="19"/>
      <c r="AO3" s="39" t="s">
        <v>202</v>
      </c>
      <c r="AP3" s="48" t="n">
        <v>181.3</v>
      </c>
    </row>
    <row r="4" s="52" customFormat="true" ht="12.75" hidden="false" customHeight="true" outlineLevel="0" collapsed="false">
      <c r="A4" s="49" t="s">
        <v>203</v>
      </c>
      <c r="B4" s="50"/>
      <c r="C4" s="50"/>
      <c r="D4" s="50"/>
      <c r="E4" s="50"/>
      <c r="F4" s="50"/>
      <c r="G4" s="51"/>
      <c r="H4" s="50"/>
      <c r="I4" s="50"/>
      <c r="J4" s="50"/>
      <c r="K4" s="50"/>
      <c r="L4" s="50"/>
      <c r="M4" s="50"/>
      <c r="N4" s="50"/>
      <c r="O4" s="50"/>
      <c r="P4" s="50"/>
      <c r="Q4" s="50"/>
      <c r="R4" s="50"/>
      <c r="S4" s="50"/>
      <c r="T4" s="50"/>
      <c r="U4" s="50"/>
      <c r="V4" s="50"/>
      <c r="W4" s="50"/>
      <c r="AA4" s="53"/>
      <c r="AF4" s="53"/>
      <c r="AG4" s="53"/>
      <c r="AO4" s="54" t="s">
        <v>204</v>
      </c>
      <c r="AP4" s="55" t="n">
        <v>165</v>
      </c>
      <c r="AQ4" s="56" t="n">
        <f aca="false">+AP2/AP4-1</f>
        <v>0.212121212121212</v>
      </c>
    </row>
    <row r="5" customFormat="false" ht="12" hidden="false" customHeight="true" outlineLevel="0" collapsed="false">
      <c r="AB5" s="57"/>
      <c r="AC5" s="41"/>
      <c r="AP5" s="58" t="n">
        <f aca="false">145/130-1</f>
        <v>0.115384615384615</v>
      </c>
    </row>
    <row r="6" customFormat="false" ht="12.75" hidden="false" customHeight="true" outlineLevel="0" collapsed="false">
      <c r="A6" s="59" t="s">
        <v>205</v>
      </c>
      <c r="R6" s="41"/>
      <c r="S6" s="41"/>
      <c r="T6" s="41"/>
      <c r="U6" s="57"/>
      <c r="V6" s="57"/>
      <c r="Y6" s="31"/>
      <c r="Z6" s="31"/>
      <c r="AA6" s="60"/>
      <c r="AB6" s="41"/>
      <c r="AC6" s="41"/>
      <c r="AD6" s="61"/>
      <c r="AE6" s="62" t="n">
        <f aca="false">+AE10/12</f>
        <v>10693.8333333333</v>
      </c>
      <c r="AF6" s="62" t="n">
        <f aca="false">+AF10/12</f>
        <v>16017.0833333333</v>
      </c>
      <c r="AG6" s="62" t="n">
        <f aca="false">+AG10/12</f>
        <v>16223.5833333333</v>
      </c>
      <c r="AH6" s="62" t="n">
        <f aca="false">+AH10/12</f>
        <v>16257.75</v>
      </c>
      <c r="AI6" s="62" t="n">
        <f aca="false">+AI10/12</f>
        <v>18369.75</v>
      </c>
      <c r="AJ6" s="62" t="n">
        <f aca="false">+AJ10/12</f>
        <v>19782.97</v>
      </c>
      <c r="AK6" s="62" t="n">
        <f aca="false">+AK10/12</f>
        <v>21182.6576</v>
      </c>
      <c r="AL6" s="62" t="n">
        <f aca="false">+AL10/12</f>
        <v>22525.657056</v>
      </c>
    </row>
    <row r="7" customFormat="false" ht="12" hidden="false" customHeight="true" outlineLevel="0" collapsed="false">
      <c r="Q7" s="32"/>
      <c r="R7" s="32"/>
      <c r="S7" s="61"/>
      <c r="T7" s="61"/>
      <c r="AA7" s="60"/>
      <c r="AB7" s="61"/>
      <c r="AC7" s="61"/>
      <c r="AD7" s="61"/>
      <c r="AE7" s="61"/>
      <c r="AF7" s="60"/>
      <c r="AG7" s="60"/>
      <c r="AH7" s="61"/>
      <c r="AI7" s="61"/>
      <c r="AJ7" s="61"/>
      <c r="AK7" s="61"/>
      <c r="AL7" s="61"/>
    </row>
    <row r="8" customFormat="false" ht="12.75" hidden="false" customHeight="true" outlineLevel="0" collapsed="false">
      <c r="A8" s="59" t="s">
        <v>206</v>
      </c>
      <c r="B8" s="39" t="s">
        <v>165</v>
      </c>
      <c r="C8" s="39" t="s">
        <v>166</v>
      </c>
      <c r="D8" s="39" t="s">
        <v>167</v>
      </c>
      <c r="E8" s="39" t="s">
        <v>207</v>
      </c>
      <c r="F8" s="47" t="s">
        <v>208</v>
      </c>
      <c r="G8" s="39" t="s">
        <v>209</v>
      </c>
      <c r="H8" s="39" t="s">
        <v>210</v>
      </c>
      <c r="I8" s="47" t="s">
        <v>172</v>
      </c>
      <c r="J8" s="39" t="s">
        <v>173</v>
      </c>
      <c r="K8" s="39" t="s">
        <v>174</v>
      </c>
      <c r="L8" s="39" t="s">
        <v>211</v>
      </c>
      <c r="M8" s="39" t="s">
        <v>176</v>
      </c>
      <c r="N8" s="39" t="s">
        <v>212</v>
      </c>
      <c r="O8" s="39" t="s">
        <v>213</v>
      </c>
      <c r="P8" s="63" t="s">
        <v>214</v>
      </c>
      <c r="Q8" s="63" t="s">
        <v>180</v>
      </c>
      <c r="R8" s="63" t="s">
        <v>181</v>
      </c>
      <c r="S8" s="63" t="s">
        <v>182</v>
      </c>
      <c r="T8" s="63" t="s">
        <v>183</v>
      </c>
      <c r="U8" s="63" t="s">
        <v>184</v>
      </c>
      <c r="V8" s="63" t="str">
        <f aca="false">+V3</f>
        <v>FY2013</v>
      </c>
      <c r="W8" s="63" t="str">
        <f aca="false">+W3</f>
        <v>FY2014</v>
      </c>
      <c r="X8" s="63" t="str">
        <f aca="false">+X3</f>
        <v>FY2015</v>
      </c>
      <c r="Y8" s="63" t="str">
        <f aca="false">+Y3</f>
        <v>FY2016</v>
      </c>
      <c r="Z8" s="63" t="str">
        <f aca="false">+Z3</f>
        <v>FY2017</v>
      </c>
      <c r="AA8" s="63" t="str">
        <f aca="false">+AA3</f>
        <v>FY2018</v>
      </c>
      <c r="AB8" s="63" t="str">
        <f aca="false">+AB3</f>
        <v>FY2019</v>
      </c>
      <c r="AC8" s="63" t="str">
        <f aca="false">+AC3</f>
        <v>FY2020</v>
      </c>
      <c r="AD8" s="63" t="str">
        <f aca="false">+AD3</f>
        <v>FY2021</v>
      </c>
      <c r="AE8" s="63" t="str">
        <f aca="false">+AE3</f>
        <v>FY2022</v>
      </c>
      <c r="AF8" s="63" t="str">
        <f aca="false">+AF3</f>
        <v>FY2023</v>
      </c>
      <c r="AG8" s="63" t="str">
        <f aca="false">+AG3</f>
        <v>FY2024</v>
      </c>
      <c r="AH8" s="63" t="str">
        <f aca="false">+AH3</f>
        <v>FY2025</v>
      </c>
      <c r="AI8" s="63" t="str">
        <f aca="false">+AI3</f>
        <v>FY2026</v>
      </c>
      <c r="AJ8" s="63" t="str">
        <f aca="false">+AJ3</f>
        <v>FY2027E</v>
      </c>
      <c r="AK8" s="63" t="str">
        <f aca="false">+AK3</f>
        <v>FY2028E</v>
      </c>
      <c r="AL8" s="63" t="str">
        <f aca="false">+AL3</f>
        <v>FY2029E</v>
      </c>
      <c r="AM8" s="64"/>
      <c r="AN8" s="65"/>
      <c r="AO8" s="65"/>
      <c r="AP8" s="66"/>
      <c r="AQ8" s="65"/>
      <c r="AR8" s="65"/>
    </row>
    <row r="9" customFormat="false" ht="12.75" hidden="false" customHeight="true" outlineLevel="0" collapsed="false">
      <c r="T9" s="32"/>
      <c r="Z9" s="31"/>
      <c r="AA9" s="38"/>
      <c r="AB9" s="32"/>
      <c r="AC9" s="31"/>
      <c r="AM9" s="19"/>
      <c r="AN9" s="40"/>
      <c r="AP9" s="40"/>
      <c r="AQ9" s="40"/>
      <c r="AR9" s="40"/>
    </row>
    <row r="10" customFormat="false" ht="12.75" hidden="false" customHeight="true" outlineLevel="0" collapsed="false">
      <c r="A10" s="59" t="s">
        <v>215</v>
      </c>
      <c r="B10" s="67" t="n">
        <f aca="false">+B378</f>
        <v>20571</v>
      </c>
      <c r="C10" s="67" t="n">
        <f aca="false">+C378</f>
        <v>24226</v>
      </c>
      <c r="D10" s="67" t="n">
        <f aca="false">+D378</f>
        <v>30410</v>
      </c>
      <c r="E10" s="67" t="n">
        <f aca="false">+E378</f>
        <v>37399</v>
      </c>
      <c r="F10" s="67" t="n">
        <f aca="false">+F378</f>
        <v>43352</v>
      </c>
      <c r="G10" s="67" t="n">
        <f aca="false">+G378</f>
        <v>31547</v>
      </c>
      <c r="H10" s="67" t="n">
        <f aca="false">+H378</f>
        <v>29741</v>
      </c>
      <c r="I10" s="67" t="n">
        <f aca="false">+I378</f>
        <v>37859</v>
      </c>
      <c r="J10" s="67" t="n">
        <f aca="false">+J378</f>
        <v>32475</v>
      </c>
      <c r="K10" s="67" t="n">
        <f aca="false">+K378</f>
        <v>29673</v>
      </c>
      <c r="L10" s="67" t="n">
        <f aca="false">+L378</f>
        <v>36444</v>
      </c>
      <c r="M10" s="67" t="n">
        <f aca="false">+M378</f>
        <v>48654</v>
      </c>
      <c r="N10" s="67" t="n">
        <f aca="false">+N378</f>
        <v>54740</v>
      </c>
      <c r="O10" s="67" t="n">
        <f aca="false">+O378</f>
        <v>61655</v>
      </c>
      <c r="P10" s="67" t="n">
        <f aca="false">+P378</f>
        <v>83091</v>
      </c>
      <c r="Q10" s="67" t="n">
        <f aca="false">+Q378</f>
        <v>83309</v>
      </c>
      <c r="R10" s="67" t="n">
        <f aca="false">+R378</f>
        <v>54431</v>
      </c>
      <c r="S10" s="67" t="n">
        <f aca="false">+S378</f>
        <v>63926</v>
      </c>
      <c r="T10" s="67" t="n">
        <f aca="false">+T378</f>
        <v>94106</v>
      </c>
      <c r="U10" s="67" t="n">
        <f aca="false">+U378+U386</f>
        <v>101990</v>
      </c>
      <c r="V10" s="67" t="n">
        <f aca="false">+V378+V386</f>
        <v>114611</v>
      </c>
      <c r="W10" s="67" t="n">
        <f aca="false">+W378+W386</f>
        <v>89337</v>
      </c>
      <c r="X10" s="67" t="n">
        <f aca="false">+X378+X386</f>
        <v>104902</v>
      </c>
      <c r="Y10" s="67" t="n">
        <f aca="false">+Y378+Y386</f>
        <v>140457</v>
      </c>
      <c r="Z10" s="67" t="n">
        <f aca="false">+Z378+Z386</f>
        <v>145066</v>
      </c>
      <c r="AA10" s="67" t="n">
        <f aca="false">+AA378+AA386</f>
        <v>174873</v>
      </c>
      <c r="AB10" s="67" t="n">
        <f aca="false">+AB378+AB386</f>
        <v>197366</v>
      </c>
      <c r="AC10" s="67" t="n">
        <f aca="false">+AC378+AC386</f>
        <v>125253</v>
      </c>
      <c r="AD10" s="67" t="n">
        <f aca="false">+AD378+AD386</f>
        <v>100715</v>
      </c>
      <c r="AE10" s="67" t="n">
        <f aca="false">+AE378+AE386</f>
        <v>128326</v>
      </c>
      <c r="AF10" s="67" t="n">
        <f aca="false">+AF378+AF386</f>
        <v>192205</v>
      </c>
      <c r="AG10" s="67" t="n">
        <f aca="false">+AG378+AG386</f>
        <v>194683</v>
      </c>
      <c r="AH10" s="67" t="n">
        <f aca="false">+AH378+AH386</f>
        <v>195093</v>
      </c>
      <c r="AI10" s="67" t="n">
        <f aca="false">+AI378+AI386</f>
        <v>220437</v>
      </c>
      <c r="AJ10" s="67" t="n">
        <f aca="false">+AJ378+AJ386</f>
        <v>237395.64</v>
      </c>
      <c r="AK10" s="67" t="n">
        <f aca="false">+AK378+AK386</f>
        <v>254191.8912</v>
      </c>
      <c r="AL10" s="67" t="n">
        <f aca="false">+AL378+AL386</f>
        <v>270307.884672</v>
      </c>
      <c r="AM10" s="61"/>
      <c r="AN10" s="40"/>
      <c r="AP10" s="40"/>
      <c r="AQ10" s="40"/>
      <c r="AR10" s="40"/>
      <c r="IJ10" s="68"/>
    </row>
    <row r="11" customFormat="false" ht="12.75" hidden="false" customHeight="true" outlineLevel="0" collapsed="false">
      <c r="A11" s="69" t="s">
        <v>216</v>
      </c>
      <c r="C11" s="70" t="n">
        <f aca="false">C10/B10*100-100</f>
        <v>17.7677312721793</v>
      </c>
      <c r="D11" s="70" t="n">
        <f aca="false">D10/C10*100-100</f>
        <v>25.5262940642285</v>
      </c>
      <c r="E11" s="70" t="n">
        <f aca="false">E10/D10*100-100</f>
        <v>22.9825715225255</v>
      </c>
      <c r="F11" s="70" t="n">
        <f aca="false">F10/E10*100-100</f>
        <v>15.9175379020829</v>
      </c>
      <c r="G11" s="70" t="n">
        <f aca="false">G10/F10*100-100</f>
        <v>-27.2305775973427</v>
      </c>
      <c r="H11" s="70" t="n">
        <f aca="false">H10/G10*100-100</f>
        <v>-5.72479158081592</v>
      </c>
      <c r="I11" s="70" t="n">
        <f aca="false">I10/H10*100-100</f>
        <v>27.2956524662923</v>
      </c>
      <c r="J11" s="70" t="n">
        <f aca="false">J10/I10*100-100</f>
        <v>-14.2211891492115</v>
      </c>
      <c r="K11" s="70" t="n">
        <f aca="false">K10/J10*100-100</f>
        <v>-8.62817551963049</v>
      </c>
      <c r="L11" s="70" t="n">
        <f aca="false">L10/K10*100-100</f>
        <v>22.8187240926094</v>
      </c>
      <c r="M11" s="70" t="n">
        <f aca="false">M10/L10*100-100</f>
        <v>33.5034573592361</v>
      </c>
      <c r="N11" s="70" t="n">
        <f aca="false">N10/M10*100-100</f>
        <v>12.5087351502446</v>
      </c>
      <c r="O11" s="70" t="n">
        <f aca="false">O10/N10*100-100</f>
        <v>12.6324442820606</v>
      </c>
      <c r="P11" s="70" t="n">
        <f aca="false">P10/O10*100-100</f>
        <v>34.7676587462493</v>
      </c>
      <c r="Q11" s="70" t="n">
        <f aca="false">Q10/P10*100-100</f>
        <v>0.262362951462848</v>
      </c>
      <c r="R11" s="70" t="n">
        <f aca="false">R10/Q10*100-100</f>
        <v>-34.6637218067676</v>
      </c>
      <c r="S11" s="70" t="n">
        <f aca="false">S10/R10*100-100</f>
        <v>17.4441035439364</v>
      </c>
      <c r="T11" s="70" t="n">
        <f aca="false">T10/S10*100-100</f>
        <v>47.2108375308951</v>
      </c>
      <c r="U11" s="70" t="n">
        <f aca="false">U10/T10*100-100</f>
        <v>8.37778675111045</v>
      </c>
      <c r="V11" s="70" t="n">
        <f aca="false">V10/U10*100-100</f>
        <v>12.3747426218257</v>
      </c>
      <c r="W11" s="70" t="n">
        <f aca="false">W10/V10*100-100</f>
        <v>-22.0519845390059</v>
      </c>
      <c r="X11" s="70" t="n">
        <f aca="false">X10/W10*100-100</f>
        <v>17.4227923480753</v>
      </c>
      <c r="Y11" s="70" t="n">
        <f aca="false">Y10/X10*100-100</f>
        <v>33.8935387313874</v>
      </c>
      <c r="Z11" s="70" t="n">
        <f aca="false">Z10/Y10*100-100</f>
        <v>3.28143132773731</v>
      </c>
      <c r="AA11" s="70" t="n">
        <f aca="false">AA10/Z10*100-100</f>
        <v>20.5471992058787</v>
      </c>
      <c r="AB11" s="70" t="n">
        <f aca="false">AB10/AA10*100-100</f>
        <v>12.8624773406987</v>
      </c>
      <c r="AC11" s="70" t="n">
        <f aca="false">AC10/AB10*100-100</f>
        <v>-36.5377015291388</v>
      </c>
      <c r="AD11" s="70" t="n">
        <f aca="false">AD10/AC10*100-100</f>
        <v>-19.5907483253894</v>
      </c>
      <c r="AE11" s="70" t="n">
        <f aca="false">AE10/AD10*100-100</f>
        <v>27.4149828724619</v>
      </c>
      <c r="AF11" s="70" t="n">
        <f aca="false">AF10/AE10*100-100</f>
        <v>49.7786886523386</v>
      </c>
      <c r="AG11" s="70" t="n">
        <f aca="false">AG10/AF10*100-100</f>
        <v>1.28924845867692</v>
      </c>
      <c r="AH11" s="70" t="n">
        <f aca="false">AH10/AG10*100-100</f>
        <v>0.210598768254044</v>
      </c>
      <c r="AI11" s="70" t="n">
        <f aca="false">AI10/AH10*100-100</f>
        <v>12.9907274991927</v>
      </c>
      <c r="AJ11" s="70" t="n">
        <f aca="false">AJ10/AI10*100-100</f>
        <v>7.69319125192232</v>
      </c>
      <c r="AK11" s="70" t="n">
        <f aca="false">AK10/AJ10*100-100</f>
        <v>7.07521469223276</v>
      </c>
      <c r="AL11" s="70" t="n">
        <f aca="false">AL10/AK10*100-100</f>
        <v>6.34008952682122</v>
      </c>
      <c r="AM11" s="71"/>
      <c r="AN11" s="40"/>
      <c r="AP11" s="40"/>
      <c r="AQ11" s="40"/>
      <c r="AR11" s="40"/>
    </row>
    <row r="12" customFormat="false" ht="12.75" hidden="false" customHeight="true" outlineLevel="0" collapsed="false">
      <c r="Q12" s="61"/>
      <c r="R12" s="61"/>
      <c r="S12" s="32"/>
      <c r="T12" s="32"/>
      <c r="U12" s="32"/>
      <c r="V12" s="32"/>
      <c r="AM12" s="71"/>
      <c r="AN12" s="40"/>
      <c r="AP12" s="72"/>
      <c r="AQ12" s="40"/>
      <c r="AR12" s="40"/>
    </row>
    <row r="13" s="19" customFormat="true" ht="12.75" hidden="false" customHeight="true" outlineLevel="0" collapsed="false">
      <c r="A13" s="73" t="s">
        <v>217</v>
      </c>
      <c r="B13" s="67" t="n">
        <f aca="false">+B436</f>
        <v>9544.37</v>
      </c>
      <c r="C13" s="67" t="n">
        <f aca="false">+C436</f>
        <v>11812.94</v>
      </c>
      <c r="D13" s="67" t="n">
        <f aca="false">+D436</f>
        <v>15132.92</v>
      </c>
      <c r="E13" s="67" t="n">
        <f aca="false">+E436</f>
        <v>20097.02</v>
      </c>
      <c r="F13" s="67" t="n">
        <f aca="false">+F436</f>
        <v>24824.51</v>
      </c>
      <c r="G13" s="67" t="n">
        <f aca="false">+G436</f>
        <v>20142.801576</v>
      </c>
      <c r="H13" s="67" t="n">
        <f aca="false">+H436</f>
        <v>20450.478378296</v>
      </c>
      <c r="I13" s="67" t="n">
        <f aca="false">+I436</f>
        <v>25987.18</v>
      </c>
      <c r="J13" s="67" t="n">
        <f aca="false">+J436</f>
        <v>26066.63</v>
      </c>
      <c r="K13" s="67" t="n">
        <f aca="false">+K436</f>
        <v>26304.48</v>
      </c>
      <c r="L13" s="67" t="n">
        <f aca="false">+L436</f>
        <v>30739.95</v>
      </c>
      <c r="M13" s="67" t="n">
        <f aca="false">+M436</f>
        <v>39272.73</v>
      </c>
      <c r="N13" s="67" t="n">
        <f aca="false">+N436</f>
        <v>48112.82</v>
      </c>
      <c r="O13" s="67" t="n">
        <f aca="false">+O436</f>
        <v>60531.08</v>
      </c>
      <c r="P13" s="67" t="n">
        <f aca="false">+P436</f>
        <v>83047.17</v>
      </c>
      <c r="Q13" s="67" t="n">
        <f aca="false">+Q436</f>
        <v>89336.9</v>
      </c>
      <c r="R13" s="67" t="n">
        <f aca="false">+R436</f>
        <v>66666.401</v>
      </c>
      <c r="S13" s="67" t="n">
        <f aca="false">+S436</f>
        <v>78725.974</v>
      </c>
      <c r="T13" s="67" t="n">
        <f aca="false">+T436</f>
        <v>120936.068</v>
      </c>
      <c r="U13" s="67" t="n">
        <f aca="false">+U436</f>
        <v>136469.116</v>
      </c>
      <c r="V13" s="67" t="n">
        <f aca="false">+V436</f>
        <v>132985.589</v>
      </c>
      <c r="W13" s="67" t="n">
        <f aca="false">+W436</f>
        <v>105608.453</v>
      </c>
      <c r="X13" s="67" t="n">
        <f aca="false">+X436</f>
        <v>144859.335</v>
      </c>
      <c r="Y13" s="67" t="n">
        <f aca="false">+Y436</f>
        <v>199929.742</v>
      </c>
      <c r="Z13" s="67" t="n">
        <f aca="false">+Z436</f>
        <v>213316.691</v>
      </c>
      <c r="AA13" s="67" t="n">
        <f aca="false">+AA436</f>
        <v>265245.119</v>
      </c>
      <c r="AB13" s="67" t="n">
        <f aca="false">+AB436</f>
        <v>290549.5</v>
      </c>
      <c r="AC13" s="67" t="n">
        <f aca="false">+AC436</f>
        <v>174674.7</v>
      </c>
      <c r="AD13" s="67" t="n">
        <f aca="false">+AD436</f>
        <v>153014.5</v>
      </c>
      <c r="AE13" s="67" t="n">
        <f aca="false">+AE436</f>
        <v>216882.9</v>
      </c>
      <c r="AF13" s="67" t="n">
        <f aca="false">+AF436</f>
        <v>361441.4</v>
      </c>
      <c r="AG13" s="67" t="n">
        <f aca="false">+AG436</f>
        <v>383670.3</v>
      </c>
      <c r="AH13" s="67" t="n">
        <f aca="false">+AH436</f>
        <v>387527.4</v>
      </c>
      <c r="AI13" s="67" t="n">
        <f aca="false">+AI436</f>
        <v>440070.3</v>
      </c>
      <c r="AJ13" s="67" t="n">
        <f aca="false">+AJ436</f>
        <v>479819.486879914</v>
      </c>
      <c r="AK13" s="67" t="n">
        <f aca="false">+AK436</f>
        <v>518314.738360781</v>
      </c>
      <c r="AL13" s="67" t="n">
        <f aca="false">+AL436</f>
        <v>557215.703098136</v>
      </c>
      <c r="AM13" s="71"/>
      <c r="AN13" s="40"/>
      <c r="AO13" s="42" t="n">
        <v>33236</v>
      </c>
      <c r="AP13" s="74"/>
      <c r="AQ13" s="40"/>
      <c r="AR13" s="40"/>
    </row>
    <row r="14" customFormat="false" ht="12" hidden="false" customHeight="true" outlineLevel="0" collapsed="false">
      <c r="A14" s="69" t="s">
        <v>216</v>
      </c>
      <c r="B14" s="40"/>
      <c r="C14" s="70" t="n">
        <f aca="false">C13/B13*100-100</f>
        <v>23.7686720024475</v>
      </c>
      <c r="D14" s="70" t="n">
        <f aca="false">D13/C13*100-100</f>
        <v>28.1046039343296</v>
      </c>
      <c r="E14" s="70" t="n">
        <f aca="false">E13/D13*100-100</f>
        <v>32.8033188571671</v>
      </c>
      <c r="F14" s="70" t="n">
        <f aca="false">F13/E13*100-100</f>
        <v>23.5233382859747</v>
      </c>
      <c r="G14" s="70" t="n">
        <f aca="false">G13/F13*100-100</f>
        <v>-18.859217861702</v>
      </c>
      <c r="H14" s="70" t="n">
        <f aca="false">H13/G13*100-100</f>
        <v>1.52747770033437</v>
      </c>
      <c r="I14" s="70" t="n">
        <f aca="false">I13/H13*100-100</f>
        <v>27.073702234663</v>
      </c>
      <c r="J14" s="70" t="n">
        <f aca="false">J13/I13*100-100</f>
        <v>0.305727670335926</v>
      </c>
      <c r="K14" s="70" t="n">
        <f aca="false">K13/J13*100-100</f>
        <v>0.91246931421513</v>
      </c>
      <c r="L14" s="70" t="n">
        <f aca="false">L13/K13*100-100</f>
        <v>16.8620326271419</v>
      </c>
      <c r="M14" s="70" t="n">
        <f aca="false">M13/L13*100-100</f>
        <v>27.7579501593203</v>
      </c>
      <c r="N14" s="70" t="n">
        <f aca="false">N13/M13*100-100</f>
        <v>22.5094868627671</v>
      </c>
      <c r="O14" s="70" t="n">
        <f aca="false">O13/N13*100-100</f>
        <v>25.8107090792018</v>
      </c>
      <c r="P14" s="70" t="n">
        <f aca="false">P13/O13*100-100</f>
        <v>37.1975685879056</v>
      </c>
      <c r="Q14" s="70" t="n">
        <f aca="false">Q13/P13*100-100</f>
        <v>7.5736837269711</v>
      </c>
      <c r="R14" s="70" t="n">
        <f aca="false">R13/Q13*100-100</f>
        <v>-25.3764110910497</v>
      </c>
      <c r="S14" s="70" t="n">
        <f aca="false">S13/R13*100-100</f>
        <v>18.0894315863849</v>
      </c>
      <c r="T14" s="70" t="n">
        <f aca="false">T13/S13*100-100</f>
        <v>53.6164773267842</v>
      </c>
      <c r="U14" s="70" t="n">
        <f aca="false">U13/T13*100-100</f>
        <v>12.8440160630987</v>
      </c>
      <c r="V14" s="70" t="n">
        <f aca="false">V13/U13*100-100</f>
        <v>-2.55261197705714</v>
      </c>
      <c r="W14" s="70" t="n">
        <f aca="false">W13/V13*100-100</f>
        <v>-20.5865434035864</v>
      </c>
      <c r="X14" s="70" t="n">
        <f aca="false">X13/W13*100-100</f>
        <v>37.1664207598989</v>
      </c>
      <c r="Y14" s="70" t="n">
        <f aca="false">Y13/X13*100-100</f>
        <v>38.0164709440368</v>
      </c>
      <c r="Z14" s="70" t="n">
        <f aca="false">Z13/Y13*100-100</f>
        <v>6.69582667695335</v>
      </c>
      <c r="AA14" s="70" t="n">
        <f aca="false">AA13/Z13*100-100</f>
        <v>24.3433496725298</v>
      </c>
      <c r="AB14" s="70" t="n">
        <f aca="false">AB13/AA13*100-100</f>
        <v>9.53999873603706</v>
      </c>
      <c r="AC14" s="70" t="n">
        <f aca="false">AC13/AB13*100-100</f>
        <v>-39.8812594755799</v>
      </c>
      <c r="AD14" s="70" t="n">
        <f aca="false">AD13/AC13*100-100</f>
        <v>-12.4003075431073</v>
      </c>
      <c r="AE14" s="70" t="n">
        <f aca="false">AE13/AD13*100-100</f>
        <v>41.7400965267998</v>
      </c>
      <c r="AF14" s="70" t="n">
        <f aca="false">AF13/AE13*100-100</f>
        <v>66.6527882096744</v>
      </c>
      <c r="AG14" s="70" t="n">
        <f aca="false">AG13/AF13*100-100</f>
        <v>6.15007024651852</v>
      </c>
      <c r="AH14" s="70" t="n">
        <f aca="false">AH13/AG13*100-100</f>
        <v>1.00531628327761</v>
      </c>
      <c r="AI14" s="70" t="n">
        <f aca="false">AI13/AH13*100-100</f>
        <v>13.558499347401</v>
      </c>
      <c r="AJ14" s="70" t="n">
        <f aca="false">AJ13/AI13*100-100</f>
        <v>9.03246296782898</v>
      </c>
      <c r="AK14" s="70" t="n">
        <f aca="false">AK13/AJ13*100-100</f>
        <v>8.02286120790694</v>
      </c>
      <c r="AL14" s="70" t="n">
        <f aca="false">AL13/AK13*100-100</f>
        <v>7.50527852254072</v>
      </c>
      <c r="AM14" s="61"/>
      <c r="AO14" s="37" t="n">
        <f aca="false">+AO13-AD10</f>
        <v>-67479</v>
      </c>
      <c r="AP14" s="75"/>
    </row>
    <row r="15" customFormat="false" ht="12.75" hidden="false" customHeight="true" outlineLevel="0" collapsed="false">
      <c r="A15" s="76"/>
      <c r="B15" s="40"/>
      <c r="C15" s="40"/>
      <c r="D15" s="40"/>
      <c r="E15" s="40"/>
      <c r="F15" s="40"/>
      <c r="G15" s="75"/>
      <c r="H15" s="75"/>
      <c r="I15" s="40"/>
      <c r="J15" s="40"/>
      <c r="K15" s="40"/>
      <c r="L15" s="40"/>
      <c r="M15" s="40"/>
      <c r="N15" s="40"/>
      <c r="O15" s="40"/>
      <c r="P15" s="40"/>
      <c r="Q15" s="40"/>
      <c r="R15" s="41"/>
      <c r="S15" s="41"/>
      <c r="T15" s="41"/>
      <c r="U15" s="40"/>
      <c r="V15" s="40"/>
      <c r="W15" s="40"/>
      <c r="X15" s="40"/>
      <c r="Y15" s="40"/>
      <c r="Z15" s="40"/>
      <c r="AA15" s="77"/>
      <c r="AB15" s="40"/>
      <c r="AC15" s="78" t="n">
        <f aca="false">174674.7-AC13</f>
        <v>0</v>
      </c>
      <c r="AD15" s="40"/>
      <c r="AE15" s="79" t="n">
        <f aca="false">+AE10/AC10-1</f>
        <v>0.0245343424907987</v>
      </c>
      <c r="AF15" s="77"/>
      <c r="AG15" s="77"/>
      <c r="AH15" s="40"/>
      <c r="AI15" s="40"/>
      <c r="AJ15" s="40"/>
      <c r="AK15" s="40"/>
      <c r="AL15" s="40"/>
      <c r="AM15" s="80"/>
      <c r="AN15" s="65"/>
      <c r="AO15" s="67" t="n">
        <f aca="false">+AO14/5</f>
        <v>-13495.8</v>
      </c>
      <c r="AP15" s="65"/>
      <c r="AQ15" s="65"/>
      <c r="AR15" s="65"/>
    </row>
    <row r="16" customFormat="false" ht="12.75" hidden="false" customHeight="true" outlineLevel="0" collapsed="false">
      <c r="A16" s="69" t="s">
        <v>218</v>
      </c>
      <c r="B16" s="62" t="n">
        <f aca="false">+B572</f>
        <v>1330.6</v>
      </c>
      <c r="C16" s="62" t="n">
        <f aca="false">+C572</f>
        <v>1223.45</v>
      </c>
      <c r="D16" s="62" t="n">
        <f aca="false">+D572</f>
        <v>1791.33</v>
      </c>
      <c r="E16" s="62" t="n">
        <f aca="false">+E572</f>
        <v>2199.23</v>
      </c>
      <c r="F16" s="62" t="n">
        <f aca="false">+F572</f>
        <v>3011.55</v>
      </c>
      <c r="G16" s="62" t="n">
        <f aca="false">+G572</f>
        <v>2454.9</v>
      </c>
      <c r="H16" s="62" t="n">
        <f aca="false">+H572</f>
        <v>2263.75</v>
      </c>
      <c r="I16" s="62" t="n">
        <f aca="false">+I572</f>
        <v>3454.64</v>
      </c>
      <c r="J16" s="62" t="n">
        <f aca="false">+J572</f>
        <v>3546.51</v>
      </c>
      <c r="K16" s="62" t="n">
        <f aca="false">+K572</f>
        <v>3692</v>
      </c>
      <c r="L16" s="62" t="n">
        <f aca="false">+L572</f>
        <v>3936.2</v>
      </c>
      <c r="M16" s="62" t="n">
        <f aca="false">+M572</f>
        <v>5333.89</v>
      </c>
      <c r="N16" s="62" t="n">
        <f aca="false">+N572</f>
        <v>6289.04</v>
      </c>
      <c r="O16" s="62" t="n">
        <f aca="false">+O572</f>
        <v>8054.51</v>
      </c>
      <c r="P16" s="62" t="n">
        <f aca="false">+P572</f>
        <v>11365.41</v>
      </c>
      <c r="Q16" s="62" t="n">
        <f aca="false">+Q572</f>
        <v>12045.67</v>
      </c>
      <c r="R16" s="62" t="n">
        <f aca="false">+R572</f>
        <v>6855.664</v>
      </c>
      <c r="S16" s="62" t="n">
        <f aca="false">+S572</f>
        <v>6278.869</v>
      </c>
      <c r="T16" s="62" t="n">
        <f aca="false">+T572</f>
        <v>9758.978</v>
      </c>
      <c r="U16" s="62" t="n">
        <f aca="false">+U572</f>
        <v>8164.785</v>
      </c>
      <c r="V16" s="62" t="n">
        <f aca="false">+V572</f>
        <v>8173.589</v>
      </c>
      <c r="W16" s="62" t="n">
        <f aca="false">+W572</f>
        <v>6174.186</v>
      </c>
      <c r="X16" s="62" t="n">
        <f aca="false">+X572</f>
        <v>9237.499</v>
      </c>
      <c r="Y16" s="62" t="n">
        <f aca="false">+Y572</f>
        <v>10556.702</v>
      </c>
      <c r="Z16" s="62" t="n">
        <f aca="false">+Z572</f>
        <v>13130.123</v>
      </c>
      <c r="AA16" s="62" t="n">
        <f aca="false">+AA572</f>
        <v>2766.04</v>
      </c>
      <c r="AB16" s="62" t="n">
        <f aca="false">+AB572</f>
        <v>0</v>
      </c>
      <c r="AC16" s="62" t="n">
        <f aca="false">+AC572</f>
        <v>0</v>
      </c>
      <c r="AD16" s="62" t="n">
        <f aca="false">+AD572</f>
        <v>0</v>
      </c>
      <c r="AE16" s="62" t="n">
        <f aca="false">+AE572</f>
        <v>0</v>
      </c>
      <c r="AF16" s="62" t="n">
        <f aca="false">+AF572</f>
        <v>0</v>
      </c>
      <c r="AG16" s="62" t="n">
        <f aca="false">+AG572</f>
        <v>0</v>
      </c>
      <c r="AH16" s="62" t="n">
        <f aca="false">+AH572</f>
        <v>0</v>
      </c>
      <c r="AI16" s="62" t="n">
        <f aca="false">+AI572</f>
        <v>0</v>
      </c>
      <c r="AJ16" s="62" t="n">
        <f aca="false">+AJ572</f>
        <v>0</v>
      </c>
      <c r="AK16" s="62" t="n">
        <f aca="false">+AK572</f>
        <v>0</v>
      </c>
      <c r="AL16" s="62" t="n">
        <f aca="false">+AL572</f>
        <v>0</v>
      </c>
      <c r="AM16" s="71"/>
      <c r="AN16" s="40"/>
      <c r="AO16" s="40"/>
      <c r="AP16" s="40"/>
      <c r="AQ16" s="40"/>
      <c r="AR16" s="40"/>
    </row>
    <row r="17" customFormat="false" ht="12.75" hidden="false" customHeight="true" outlineLevel="0" collapsed="false">
      <c r="A17" s="69" t="s">
        <v>219</v>
      </c>
      <c r="B17" s="81" t="n">
        <f aca="false">+B574</f>
        <v>13.9412030338304</v>
      </c>
      <c r="C17" s="81" t="n">
        <f aca="false">+C574</f>
        <v>10.3568628978053</v>
      </c>
      <c r="D17" s="81" t="n">
        <f aca="false">+D574</f>
        <v>11.8373056885254</v>
      </c>
      <c r="E17" s="81" t="n">
        <f aca="false">+E574</f>
        <v>10.9430651907596</v>
      </c>
      <c r="F17" s="81" t="n">
        <f aca="false">+F574</f>
        <v>12.1313572755313</v>
      </c>
      <c r="G17" s="81" t="n">
        <f aca="false">+G574</f>
        <v>12.1874804293609</v>
      </c>
      <c r="H17" s="81" t="n">
        <f aca="false">+H574</f>
        <v>11.0694232092023</v>
      </c>
      <c r="I17" s="81" t="n">
        <f aca="false">+I574</f>
        <v>13.2936317060951</v>
      </c>
      <c r="J17" s="81" t="n">
        <f aca="false">+J574</f>
        <v>13.6055562226494</v>
      </c>
      <c r="K17" s="81" t="n">
        <f aca="false">+K574</f>
        <v>14.0356319531882</v>
      </c>
      <c r="L17" s="81" t="n">
        <f aca="false">+L574</f>
        <v>12.8048354014889</v>
      </c>
      <c r="M17" s="81" t="n">
        <f aca="false">+M574</f>
        <v>13.5816634086808</v>
      </c>
      <c r="N17" s="81" t="n">
        <f aca="false">+N574</f>
        <v>13.0714433284102</v>
      </c>
      <c r="O17" s="81" t="n">
        <f aca="false">+O574</f>
        <v>13.3064039167978</v>
      </c>
      <c r="P17" s="81" t="n">
        <f aca="false">+P574</f>
        <v>13.6854874163683</v>
      </c>
      <c r="Q17" s="81" t="n">
        <f aca="false">+Q574</f>
        <v>13.4834206246243</v>
      </c>
      <c r="R17" s="81" t="n">
        <f aca="false">+R574</f>
        <v>10.2835369798949</v>
      </c>
      <c r="S17" s="81" t="n">
        <f aca="false">+S574</f>
        <v>7.97560027647292</v>
      </c>
      <c r="T17" s="81" t="n">
        <f aca="false">+T574</f>
        <v>8.06953472309022</v>
      </c>
      <c r="U17" s="81" t="n">
        <f aca="false">+U574</f>
        <v>5.98288113773669</v>
      </c>
      <c r="V17" s="81" t="n">
        <f aca="false">+V574</f>
        <v>6.14622160300392</v>
      </c>
      <c r="W17" s="81" t="n">
        <f aca="false">+W574</f>
        <v>5.84629906471597</v>
      </c>
      <c r="X17" s="81" t="n">
        <f aca="false">+X574</f>
        <v>6.37687519413229</v>
      </c>
      <c r="Y17" s="81" t="n">
        <f aca="false">+Y574</f>
        <v>5.28020588352482</v>
      </c>
      <c r="Z17" s="81" t="n">
        <f aca="false">+Z574</f>
        <v>6.15522533114861</v>
      </c>
      <c r="AA17" s="81" t="n">
        <f aca="false">+AA574</f>
        <v>1.04282409057262</v>
      </c>
      <c r="AB17" s="75"/>
      <c r="AC17" s="75"/>
      <c r="AD17" s="75"/>
      <c r="AE17" s="75"/>
      <c r="AF17" s="82"/>
      <c r="AG17" s="82"/>
      <c r="AH17" s="75"/>
      <c r="AI17" s="75"/>
      <c r="AJ17" s="75"/>
      <c r="AK17" s="75"/>
      <c r="AL17" s="75"/>
      <c r="AM17" s="71"/>
      <c r="AN17" s="40"/>
      <c r="AO17" s="40"/>
      <c r="AP17" s="40"/>
      <c r="AQ17" s="40"/>
      <c r="AR17" s="40"/>
    </row>
    <row r="18" customFormat="false" ht="12.75" hidden="false" customHeight="true" outlineLevel="0" collapsed="false">
      <c r="B18" s="75"/>
      <c r="C18" s="75"/>
      <c r="D18" s="75"/>
      <c r="E18" s="75"/>
      <c r="F18" s="75"/>
      <c r="G18" s="75"/>
      <c r="H18" s="75"/>
      <c r="I18" s="75"/>
      <c r="J18" s="75"/>
      <c r="K18" s="75"/>
      <c r="L18" s="75"/>
      <c r="M18" s="75"/>
      <c r="N18" s="75"/>
      <c r="O18" s="75"/>
      <c r="P18" s="75"/>
      <c r="Q18" s="41"/>
      <c r="R18" s="83"/>
      <c r="S18" s="83"/>
      <c r="T18" s="41"/>
      <c r="U18" s="83"/>
      <c r="V18" s="83"/>
      <c r="W18" s="84"/>
      <c r="X18" s="75"/>
      <c r="Y18" s="75"/>
      <c r="Z18" s="41"/>
      <c r="AA18" s="82"/>
      <c r="AB18" s="85"/>
      <c r="AC18" s="75"/>
      <c r="AD18" s="75"/>
      <c r="AE18" s="75"/>
      <c r="AF18" s="82"/>
      <c r="AG18" s="82"/>
      <c r="AH18" s="75"/>
      <c r="AI18" s="75"/>
      <c r="AJ18" s="75"/>
      <c r="AK18" s="75"/>
      <c r="AL18" s="75"/>
      <c r="AM18" s="71"/>
      <c r="AN18" s="86" t="s">
        <v>220</v>
      </c>
      <c r="AO18" s="87" t="s">
        <v>221</v>
      </c>
      <c r="AP18" s="87" t="s">
        <v>222</v>
      </c>
      <c r="AQ18" s="87" t="s">
        <v>223</v>
      </c>
      <c r="AR18" s="87" t="s">
        <v>224</v>
      </c>
      <c r="AS18" s="87" t="s">
        <v>225</v>
      </c>
      <c r="AT18" s="87" t="s">
        <v>226</v>
      </c>
      <c r="AU18" s="87" t="s">
        <v>227</v>
      </c>
      <c r="AV18" s="87" t="s">
        <v>228</v>
      </c>
      <c r="AW18" s="87" t="s">
        <v>229</v>
      </c>
      <c r="AX18" s="87" t="s">
        <v>230</v>
      </c>
    </row>
    <row r="19" s="19" customFormat="true" ht="12.75" hidden="false" customHeight="true" outlineLevel="0" collapsed="false">
      <c r="A19" s="59" t="s">
        <v>231</v>
      </c>
      <c r="B19" s="67" t="n">
        <f aca="false">B13-B16</f>
        <v>8213.77</v>
      </c>
      <c r="C19" s="67" t="n">
        <f aca="false">C13-C16</f>
        <v>10589.49</v>
      </c>
      <c r="D19" s="67" t="n">
        <f aca="false">D13-D16</f>
        <v>13341.59</v>
      </c>
      <c r="E19" s="67" t="n">
        <f aca="false">E13-E16</f>
        <v>17897.79</v>
      </c>
      <c r="F19" s="67" t="n">
        <f aca="false">F13-F16</f>
        <v>21812.96</v>
      </c>
      <c r="G19" s="67" t="n">
        <f aca="false">G13-G16</f>
        <v>17687.901576</v>
      </c>
      <c r="H19" s="67" t="n">
        <f aca="false">H13-H16</f>
        <v>18186.728378296</v>
      </c>
      <c r="I19" s="67" t="n">
        <f aca="false">I13-I16</f>
        <v>22532.54</v>
      </c>
      <c r="J19" s="67" t="n">
        <f aca="false">J13-J16</f>
        <v>22520.12</v>
      </c>
      <c r="K19" s="67" t="n">
        <f aca="false">K13-K16</f>
        <v>22612.48</v>
      </c>
      <c r="L19" s="67" t="n">
        <f aca="false">L13-L16</f>
        <v>26803.75</v>
      </c>
      <c r="M19" s="67" t="n">
        <f aca="false">M13-M16</f>
        <v>33938.84</v>
      </c>
      <c r="N19" s="67" t="n">
        <f aca="false">N13-N16</f>
        <v>41823.78</v>
      </c>
      <c r="O19" s="67" t="n">
        <f aca="false">O13-O16</f>
        <v>52476.57</v>
      </c>
      <c r="P19" s="67" t="n">
        <f aca="false">P13-P16</f>
        <v>71681.76</v>
      </c>
      <c r="Q19" s="67" t="n">
        <f aca="false">Q13-Q16</f>
        <v>77291.23</v>
      </c>
      <c r="R19" s="67" t="n">
        <f aca="false">R13-R16</f>
        <v>59810.737</v>
      </c>
      <c r="S19" s="67" t="n">
        <f aca="false">S13-S16</f>
        <v>72447.105</v>
      </c>
      <c r="T19" s="67" t="n">
        <f aca="false">T13-T16</f>
        <v>111177.09</v>
      </c>
      <c r="U19" s="67" t="n">
        <f aca="false">U13-U16</f>
        <v>128304.331</v>
      </c>
      <c r="V19" s="67" t="n">
        <f aca="false">V13-V16</f>
        <v>124812</v>
      </c>
      <c r="W19" s="67" t="n">
        <f aca="false">W13-W16</f>
        <v>99434.267</v>
      </c>
      <c r="X19" s="88" t="n">
        <f aca="false">X13-X16</f>
        <v>135621.836</v>
      </c>
      <c r="Y19" s="67" t="n">
        <f aca="false">Y13-Y16</f>
        <v>189373.04</v>
      </c>
      <c r="Z19" s="67" t="n">
        <f aca="false">Z13-Z16</f>
        <v>200186.568</v>
      </c>
      <c r="AA19" s="67" t="n">
        <f aca="false">AA13-AA16</f>
        <v>262479.079</v>
      </c>
      <c r="AB19" s="67" t="n">
        <f aca="false">AB13-AB16</f>
        <v>290549.5</v>
      </c>
      <c r="AC19" s="67" t="n">
        <f aca="false">AC13-AC16</f>
        <v>174674.7</v>
      </c>
      <c r="AD19" s="67" t="n">
        <f aca="false">AD13-AD16</f>
        <v>153014.5</v>
      </c>
      <c r="AE19" s="67" t="n">
        <f aca="false">AE13-AE16</f>
        <v>216882.9</v>
      </c>
      <c r="AF19" s="67" t="n">
        <f aca="false">AF13-AF16</f>
        <v>361441.4</v>
      </c>
      <c r="AG19" s="67" t="n">
        <f aca="false">AG13-AG16</f>
        <v>383670.3</v>
      </c>
      <c r="AH19" s="67" t="n">
        <f aca="false">AH13-AH16</f>
        <v>387527.4</v>
      </c>
      <c r="AI19" s="67" t="n">
        <f aca="false">AI13-AI16</f>
        <v>440070.3</v>
      </c>
      <c r="AJ19" s="67" t="n">
        <f aca="false">AJ13-AJ16</f>
        <v>479819.486879914</v>
      </c>
      <c r="AK19" s="67" t="n">
        <f aca="false">AK13-AK16</f>
        <v>518314.738360781</v>
      </c>
      <c r="AL19" s="67" t="n">
        <f aca="false">AL13-AL16</f>
        <v>557215.703098136</v>
      </c>
      <c r="AM19" s="61"/>
      <c r="AN19" s="62" t="s">
        <v>232</v>
      </c>
      <c r="AO19" s="62" t="n">
        <f aca="false">+AB10</f>
        <v>197366</v>
      </c>
      <c r="AP19" s="62" t="n">
        <f aca="false">+AC10</f>
        <v>125253</v>
      </c>
      <c r="AQ19" s="62" t="n">
        <f aca="false">+AD10</f>
        <v>100715</v>
      </c>
      <c r="AR19" s="62" t="n">
        <f aca="false">+AE10</f>
        <v>128326</v>
      </c>
      <c r="AS19" s="62" t="n">
        <f aca="false">+AF10</f>
        <v>192205</v>
      </c>
      <c r="AT19" s="62" t="n">
        <f aca="false">+AG10</f>
        <v>194683</v>
      </c>
      <c r="AU19" s="62" t="n">
        <f aca="false">+AH10</f>
        <v>195093</v>
      </c>
      <c r="AV19" s="62" t="n">
        <f aca="false">+AI10</f>
        <v>220437</v>
      </c>
      <c r="AW19" s="62" t="n">
        <f aca="false">+AJ10</f>
        <v>237395.64</v>
      </c>
      <c r="AX19" s="62" t="n">
        <f aca="false">+AK10</f>
        <v>254191.8912</v>
      </c>
      <c r="AY19" s="89" t="n">
        <f aca="false">+SQRT(AX19/AV19)-1</f>
        <v>0.0738375842831758</v>
      </c>
    </row>
    <row r="20" customFormat="false" ht="12.75" hidden="false" customHeight="true" outlineLevel="0" collapsed="false">
      <c r="A20" s="69" t="s">
        <v>216</v>
      </c>
      <c r="B20" s="75"/>
      <c r="C20" s="90" t="n">
        <f aca="false">C19/B19*100-100</f>
        <v>28.9236245962573</v>
      </c>
      <c r="D20" s="90" t="n">
        <f aca="false">D19/C19*100-100</f>
        <v>25.9889758619159</v>
      </c>
      <c r="E20" s="90" t="n">
        <f aca="false">E19/D19*100-100</f>
        <v>34.1503523942799</v>
      </c>
      <c r="F20" s="90" t="n">
        <f aca="false">F19/E19*100-100</f>
        <v>21.875158888332</v>
      </c>
      <c r="G20" s="90" t="n">
        <f aca="false">G19/F19*100-100</f>
        <v>-18.9110438198209</v>
      </c>
      <c r="H20" s="90" t="n">
        <f aca="false">H19/G19*100-100</f>
        <v>2.82015817508187</v>
      </c>
      <c r="I20" s="90" t="n">
        <f aca="false">I19/H19*100-100</f>
        <v>23.8955106784917</v>
      </c>
      <c r="J20" s="90" t="n">
        <f aca="false">J19/I19*100-100</f>
        <v>-0.055120283820628</v>
      </c>
      <c r="K20" s="90" t="n">
        <f aca="false">K19/J19*100-100</f>
        <v>0.410122148549803</v>
      </c>
      <c r="L20" s="90" t="n">
        <f aca="false">L19/K19*100-100</f>
        <v>18.535207106872</v>
      </c>
      <c r="M20" s="90" t="n">
        <f aca="false">M19/L19*100-100</f>
        <v>26.6197453714499</v>
      </c>
      <c r="N20" s="90" t="n">
        <f aca="false">N19/M19*100-100</f>
        <v>23.2327916923501</v>
      </c>
      <c r="O20" s="90" t="n">
        <f aca="false">O19/N19*100-100</f>
        <v>25.4706532981954</v>
      </c>
      <c r="P20" s="90" t="n">
        <f aca="false">P19/O19*100-100</f>
        <v>36.5976472928776</v>
      </c>
      <c r="Q20" s="90" t="n">
        <f aca="false">Q19/P19*100-100</f>
        <v>7.82551935108738</v>
      </c>
      <c r="R20" s="90" t="n">
        <f aca="false">R19/Q19*100-100</f>
        <v>-22.6163990403569</v>
      </c>
      <c r="S20" s="90" t="n">
        <f aca="false">S19/R19*100-100</f>
        <v>21.1272568000625</v>
      </c>
      <c r="T20" s="90" t="n">
        <f aca="false">T19/S19*100-100</f>
        <v>53.4596724051292</v>
      </c>
      <c r="U20" s="90" t="n">
        <f aca="false">U19/T19*100-100</f>
        <v>15.4053690378117</v>
      </c>
      <c r="V20" s="90" t="n">
        <f aca="false">V19/U19*100-100</f>
        <v>-2.72191201402235</v>
      </c>
      <c r="W20" s="90" t="n">
        <f aca="false">W19/V19*100-100</f>
        <v>-20.3327668813896</v>
      </c>
      <c r="X20" s="90" t="n">
        <f aca="false">X19/W19*100-100</f>
        <v>36.3934588063087</v>
      </c>
      <c r="Y20" s="90" t="n">
        <f aca="false">Y19/X19*100-100</f>
        <v>39.6331487504712</v>
      </c>
      <c r="Z20" s="90" t="n">
        <f aca="false">Z19/Y19*100-100</f>
        <v>5.71017289472673</v>
      </c>
      <c r="AA20" s="90" t="n">
        <f aca="false">AA19/Z19*100-100</f>
        <v>31.1172281049346</v>
      </c>
      <c r="AB20" s="90" t="n">
        <f aca="false">AB19/AA19*100-100</f>
        <v>10.6943460434803</v>
      </c>
      <c r="AC20" s="90" t="n">
        <f aca="false">AC19/AB19*100-100</f>
        <v>-39.8812594755799</v>
      </c>
      <c r="AD20" s="90" t="n">
        <f aca="false">AD19/AC19*100-100</f>
        <v>-12.4003075431073</v>
      </c>
      <c r="AE20" s="90" t="n">
        <f aca="false">AE19/AD19*100-100</f>
        <v>41.7400965267998</v>
      </c>
      <c r="AF20" s="90" t="n">
        <f aca="false">AF19/AE19*100-100</f>
        <v>66.6527882096744</v>
      </c>
      <c r="AG20" s="90" t="n">
        <f aca="false">AG19/AF19*100-100</f>
        <v>6.15007024651852</v>
      </c>
      <c r="AH20" s="90" t="n">
        <f aca="false">AH19/AG19*100-100</f>
        <v>1.00531628327761</v>
      </c>
      <c r="AI20" s="90" t="n">
        <f aca="false">AI19/AH19*100-100</f>
        <v>13.558499347401</v>
      </c>
      <c r="AJ20" s="90" t="n">
        <f aca="false">AJ19/AI19*100-100</f>
        <v>9.03246296782898</v>
      </c>
      <c r="AK20" s="90" t="n">
        <f aca="false">AK19/AJ19*100-100</f>
        <v>8.02286120790694</v>
      </c>
      <c r="AL20" s="90" t="n">
        <f aca="false">AL19/AK19*100-100</f>
        <v>7.50527852254072</v>
      </c>
      <c r="AM20" s="71"/>
      <c r="AN20" s="91" t="s">
        <v>233</v>
      </c>
      <c r="AO20" s="92" t="n">
        <f aca="false">+AO19/AA10-1</f>
        <v>0.128624773406987</v>
      </c>
      <c r="AP20" s="92" t="n">
        <f aca="false">+AP19/AO19-1</f>
        <v>-0.365377015291388</v>
      </c>
      <c r="AQ20" s="92" t="n">
        <f aca="false">+AQ19/AP19-1</f>
        <v>-0.195907483253894</v>
      </c>
      <c r="AR20" s="92" t="n">
        <f aca="false">+AR19/AQ19-1</f>
        <v>0.274149828724619</v>
      </c>
      <c r="AS20" s="92" t="n">
        <f aca="false">+AS19/AR19-1</f>
        <v>0.497786886523386</v>
      </c>
      <c r="AT20" s="92" t="n">
        <f aca="false">+AT19/AS19-1</f>
        <v>0.0128924845867693</v>
      </c>
      <c r="AU20" s="92" t="n">
        <f aca="false">+AU19/AT19-1</f>
        <v>0.00210598768254044</v>
      </c>
      <c r="AV20" s="92" t="n">
        <f aca="false">+AV19/AU19-1</f>
        <v>0.129907274991927</v>
      </c>
      <c r="AW20" s="92" t="n">
        <f aca="false">+AW19/AV19-1</f>
        <v>0.0769319125192232</v>
      </c>
      <c r="AX20" s="92" t="n">
        <f aca="false">+AX19/AW19-1</f>
        <v>0.0707521469223276</v>
      </c>
      <c r="AY20" s="93"/>
    </row>
    <row r="21" customFormat="false" ht="12.75" hidden="false" customHeight="true" outlineLevel="0" collapsed="false">
      <c r="A21" s="69" t="s">
        <v>234</v>
      </c>
      <c r="B21" s="75"/>
      <c r="C21" s="40"/>
      <c r="D21" s="40"/>
      <c r="E21" s="40"/>
      <c r="F21" s="40"/>
      <c r="G21" s="40"/>
      <c r="H21" s="40"/>
      <c r="I21" s="40"/>
      <c r="J21" s="40"/>
      <c r="K21" s="40"/>
      <c r="L21" s="40"/>
      <c r="M21" s="40"/>
      <c r="N21" s="40"/>
      <c r="O21" s="40"/>
      <c r="P21" s="40"/>
      <c r="Q21" s="40"/>
      <c r="R21" s="40"/>
      <c r="S21" s="40"/>
      <c r="T21" s="40"/>
      <c r="U21" s="83"/>
      <c r="V21" s="83"/>
      <c r="W21" s="83"/>
      <c r="X21" s="78" t="n">
        <f aca="false">+X19-135621.836</f>
        <v>0</v>
      </c>
      <c r="Y21" s="40"/>
      <c r="Z21" s="40"/>
      <c r="AA21" s="77"/>
      <c r="AB21" s="40"/>
      <c r="AC21" s="62" t="n">
        <f aca="false">+AC19*1000000/AC10</f>
        <v>1394574.98023999</v>
      </c>
      <c r="AD21" s="62" t="n">
        <f aca="false">+AD19*1000000/AD10</f>
        <v>1519282.13275083</v>
      </c>
      <c r="AE21" s="62" t="n">
        <f aca="false">+AE19*1000000/AE10</f>
        <v>1690093.20013092</v>
      </c>
      <c r="AF21" s="62" t="n">
        <f aca="false">+AF19*1000000/AF10</f>
        <v>1880499.46671523</v>
      </c>
      <c r="AG21" s="62" t="n">
        <f aca="false">+AG19*1000000/AG10</f>
        <v>1970743.72184526</v>
      </c>
      <c r="AH21" s="62" t="n">
        <f aca="false">+AH19*1000000/AH10</f>
        <v>1986372.6530424</v>
      </c>
      <c r="AI21" s="62" t="n">
        <f aca="false">+AI19*1000000/AI10</f>
        <v>1996354.06034377</v>
      </c>
      <c r="AJ21" s="62" t="n">
        <f aca="false">+AJ19*1000000/AJ10</f>
        <v>2021180.70441359</v>
      </c>
      <c r="AK21" s="62" t="n">
        <f aca="false">+AK19*1000000/AK10</f>
        <v>2039068.73627596</v>
      </c>
      <c r="AL21" s="62" t="n">
        <f aca="false">+AL19*1000000/AL10</f>
        <v>2061411.20809065</v>
      </c>
      <c r="AM21" s="61"/>
      <c r="AN21" s="46" t="s">
        <v>234</v>
      </c>
      <c r="AO21" s="62" t="n">
        <f aca="false">+AB22</f>
        <v>1472135.52486244</v>
      </c>
      <c r="AP21" s="62" t="n">
        <f aca="false">+AC22</f>
        <v>1394574.98023999</v>
      </c>
      <c r="AQ21" s="62" t="n">
        <f aca="false">+AD22</f>
        <v>1519282.13275083</v>
      </c>
      <c r="AR21" s="62" t="n">
        <f aca="false">+AE22</f>
        <v>1690093.20013092</v>
      </c>
      <c r="AS21" s="62" t="n">
        <f aca="false">+AF22</f>
        <v>1880499.46671523</v>
      </c>
      <c r="AT21" s="62" t="n">
        <f aca="false">+AG22</f>
        <v>1970743.72184526</v>
      </c>
      <c r="AU21" s="62" t="n">
        <f aca="false">+AH22</f>
        <v>1986372.6530424</v>
      </c>
      <c r="AV21" s="62" t="n">
        <f aca="false">+AI22</f>
        <v>1996354.06034377</v>
      </c>
      <c r="AW21" s="62" t="n">
        <f aca="false">+AJ22</f>
        <v>2021180.70441359</v>
      </c>
      <c r="AX21" s="62" t="n">
        <f aca="false">+AK22</f>
        <v>2039068.73627596</v>
      </c>
      <c r="AY21" s="89" t="n">
        <f aca="false">+SQRT(AX21/AV21)-1</f>
        <v>0.0106415501321666</v>
      </c>
    </row>
    <row r="22" customFormat="false" ht="12" hidden="true" customHeight="true" outlineLevel="0" collapsed="false">
      <c r="A22" s="69" t="s">
        <v>235</v>
      </c>
      <c r="B22" s="62" t="n">
        <f aca="false">+B19/B10*1000000</f>
        <v>399288.804627874</v>
      </c>
      <c r="C22" s="62" t="n">
        <f aca="false">+C19/C10*1000000</f>
        <v>437112.606290762</v>
      </c>
      <c r="D22" s="62" t="n">
        <f aca="false">+D19/D10*1000000</f>
        <v>438723.775073989</v>
      </c>
      <c r="E22" s="62" t="n">
        <f aca="false">+E19/E10*1000000</f>
        <v>478563.330570336</v>
      </c>
      <c r="F22" s="62" t="n">
        <f aca="false">+F19/F10*1000000</f>
        <v>503159.254474995</v>
      </c>
      <c r="G22" s="62" t="n">
        <f aca="false">+G19/G10*1000000</f>
        <v>560684.108663264</v>
      </c>
      <c r="H22" s="62" t="n">
        <f aca="false">+H19/H10*1000000</f>
        <v>611503.593634915</v>
      </c>
      <c r="I22" s="62" t="n">
        <f aca="false">+I19/I10*1000000</f>
        <v>595169.972793788</v>
      </c>
      <c r="J22" s="62" t="n">
        <f aca="false">+J19/J10*1000000</f>
        <v>693460.200153965</v>
      </c>
      <c r="K22" s="62" t="n">
        <f aca="false">+K19/K10*1000000</f>
        <v>762055.740909244</v>
      </c>
      <c r="L22" s="62" t="n">
        <f aca="false">+L19/L10*1000000</f>
        <v>735477.719240479</v>
      </c>
      <c r="M22" s="62" t="n">
        <f aca="false">+M19/M10*1000000</f>
        <v>697554.980063304</v>
      </c>
      <c r="N22" s="62" t="n">
        <f aca="false">+N19/N10*1000000</f>
        <v>764044.208987943</v>
      </c>
      <c r="O22" s="62" t="n">
        <f aca="false">+O19/O10*1000000</f>
        <v>851132.430459817</v>
      </c>
      <c r="P22" s="62" t="n">
        <f aca="false">+P19/P10*1000000</f>
        <v>862689.822002383</v>
      </c>
      <c r="Q22" s="62" t="n">
        <f aca="false">+Q19/Q10*1000000</f>
        <v>927765.667574932</v>
      </c>
      <c r="R22" s="62" t="n">
        <f aca="false">+R19/R10*1000000</f>
        <v>1098835.90233507</v>
      </c>
      <c r="S22" s="62" t="n">
        <f aca="false">S19/S10*1000000</f>
        <v>1133296.38957545</v>
      </c>
      <c r="T22" s="62" t="n">
        <f aca="false">T19/T10*1000000</f>
        <v>1181402.77984401</v>
      </c>
      <c r="U22" s="62" t="n">
        <f aca="false">U19/U10*1000000</f>
        <v>1258008.93224826</v>
      </c>
      <c r="V22" s="62" t="n">
        <f aca="false">V19/V10*1000000</f>
        <v>1089005.41832808</v>
      </c>
      <c r="W22" s="62" t="n">
        <f aca="false">W19/W10*1000000</f>
        <v>1113024.46914492</v>
      </c>
      <c r="X22" s="62" t="n">
        <f aca="false">X19/X10*1000000</f>
        <v>1292843.18697451</v>
      </c>
      <c r="Y22" s="62" t="n">
        <f aca="false">Y19/Y10*1000000</f>
        <v>1348263.45429562</v>
      </c>
      <c r="Z22" s="62" t="n">
        <f aca="false">Z19/Z10*1000000</f>
        <v>1379968.89691589</v>
      </c>
      <c r="AA22" s="62" t="n">
        <f aca="false">AA19/AA10*1000000</f>
        <v>1500969.72660159</v>
      </c>
      <c r="AB22" s="62" t="n">
        <f aca="false">AB19/AB10*1000000</f>
        <v>1472135.52486244</v>
      </c>
      <c r="AC22" s="62" t="n">
        <f aca="false">AC19/AC10*1000000</f>
        <v>1394574.98023999</v>
      </c>
      <c r="AD22" s="62" t="n">
        <f aca="false">AD19/AD10*1000000</f>
        <v>1519282.13275083</v>
      </c>
      <c r="AE22" s="62" t="n">
        <f aca="false">AE19/AE10*1000000</f>
        <v>1690093.20013092</v>
      </c>
      <c r="AF22" s="62" t="n">
        <f aca="false">AF19/AF10*1000000</f>
        <v>1880499.46671523</v>
      </c>
      <c r="AG22" s="62" t="n">
        <f aca="false">AG19/AG10*1000000</f>
        <v>1970743.72184526</v>
      </c>
      <c r="AH22" s="62" t="n">
        <f aca="false">AH19/AH10*1000000</f>
        <v>1986372.6530424</v>
      </c>
      <c r="AI22" s="62" t="n">
        <f aca="false">AI19/AI10*1000000</f>
        <v>1996354.06034377</v>
      </c>
      <c r="AJ22" s="62" t="n">
        <f aca="false">AJ19/AJ10*1000000</f>
        <v>2021180.70441359</v>
      </c>
      <c r="AK22" s="62" t="n">
        <f aca="false">AK19/AK10*1000000</f>
        <v>2039068.73627596</v>
      </c>
      <c r="AL22" s="62" t="n">
        <f aca="false">AL19/AL10*1000000</f>
        <v>2061411.20809065</v>
      </c>
      <c r="AM22" s="61"/>
      <c r="AN22" s="91" t="s">
        <v>233</v>
      </c>
      <c r="AO22" s="92" t="n">
        <f aca="false">+AO21/AA22-1</f>
        <v>-0.0192103819471678</v>
      </c>
      <c r="AP22" s="92" t="n">
        <f aca="false">+AP21/AO21-1</f>
        <v>-0.0526857366815403</v>
      </c>
      <c r="AQ22" s="92" t="n">
        <f aca="false">+AQ21/AP21-1</f>
        <v>0.0894230531006488</v>
      </c>
      <c r="AR22" s="92" t="n">
        <f aca="false">+AR21/AQ21-1</f>
        <v>0.112428800219491</v>
      </c>
      <c r="AS22" s="92" t="n">
        <f aca="false">+AS21/AR21-1</f>
        <v>0.112660216945172</v>
      </c>
      <c r="AT22" s="92" t="n">
        <f aca="false">+AT21/AS21-1</f>
        <v>0.0479895138112776</v>
      </c>
      <c r="AU22" s="92" t="n">
        <f aca="false">+AU21/AT21-1</f>
        <v>0.00793047367036914</v>
      </c>
      <c r="AV22" s="92" t="n">
        <f aca="false">+AV21/AU21-1</f>
        <v>0.00502494196448455</v>
      </c>
      <c r="AW22" s="92" t="n">
        <f aca="false">+AW21/AV21-1</f>
        <v>0.0124359924739692</v>
      </c>
      <c r="AX22" s="92" t="n">
        <f aca="false">+AX21/AW21-1</f>
        <v>0.0088502882613688</v>
      </c>
      <c r="AY22" s="93"/>
    </row>
    <row r="23" customFormat="false" ht="12.75" hidden="true" customHeight="true" outlineLevel="0" collapsed="false">
      <c r="B23" s="75"/>
      <c r="C23" s="75"/>
      <c r="D23" s="75"/>
      <c r="E23" s="75"/>
      <c r="F23" s="75"/>
      <c r="G23" s="75"/>
      <c r="H23" s="75"/>
      <c r="I23" s="75"/>
      <c r="N23" s="94"/>
      <c r="O23" s="94"/>
      <c r="P23" s="94"/>
      <c r="Q23" s="94"/>
      <c r="R23" s="94"/>
      <c r="S23" s="94"/>
      <c r="T23" s="94"/>
      <c r="U23" s="95"/>
      <c r="V23" s="95"/>
      <c r="W23" s="96"/>
      <c r="X23" s="78" t="n">
        <f aca="false">86266.352+13911.872-526.126-X25</f>
        <v>0</v>
      </c>
      <c r="Y23" s="78" t="n">
        <f aca="false">122521.706+15312.255-5214.366-Y25</f>
        <v>670.99099999998</v>
      </c>
      <c r="Z23" s="94"/>
      <c r="AA23" s="97" t="n">
        <f aca="false">+AA22/Z22-1</f>
        <v>0.0876837368988028</v>
      </c>
      <c r="AB23" s="97" t="n">
        <f aca="false">+AB22/AA22-1</f>
        <v>-0.0192103819471678</v>
      </c>
      <c r="AC23" s="97" t="n">
        <f aca="false">+AC22/AB22-1</f>
        <v>-0.0526857366815403</v>
      </c>
      <c r="AD23" s="97" t="n">
        <f aca="false">+AD22/AC22-1</f>
        <v>0.0894230531006488</v>
      </c>
      <c r="AE23" s="97" t="n">
        <f aca="false">+AE22/AD22-1</f>
        <v>0.112428800219491</v>
      </c>
      <c r="AF23" s="97" t="n">
        <f aca="false">+AF22/AE22-1</f>
        <v>0.112660216945172</v>
      </c>
      <c r="AG23" s="97" t="n">
        <f aca="false">+AG22/AF22-1</f>
        <v>0.0479895138112776</v>
      </c>
      <c r="AH23" s="97" t="n">
        <f aca="false">+AH22/AG22-1</f>
        <v>0.00793047367036914</v>
      </c>
      <c r="AI23" s="97" t="n">
        <f aca="false">+AI22/AH22-1</f>
        <v>0.00502494196448455</v>
      </c>
      <c r="AJ23" s="97" t="n">
        <f aca="false">+AJ22/AI22-1</f>
        <v>0.0124359924739692</v>
      </c>
      <c r="AK23" s="97" t="n">
        <f aca="false">+AK22/AJ22-1</f>
        <v>0.0088502882613688</v>
      </c>
      <c r="AL23" s="97" t="n">
        <f aca="false">+AL22/AK22-1</f>
        <v>0.0109571940451076</v>
      </c>
      <c r="AM23" s="94"/>
      <c r="AN23" s="46" t="s">
        <v>236</v>
      </c>
      <c r="AO23" s="62" t="n">
        <f aca="false">+AO21*AO19/1000000</f>
        <v>290549.5</v>
      </c>
      <c r="AP23" s="62" t="n">
        <f aca="false">+AP21*AP19/1000000</f>
        <v>174674.7</v>
      </c>
      <c r="AQ23" s="62" t="n">
        <f aca="false">+AQ21*AQ19/1000000</f>
        <v>153014.5</v>
      </c>
      <c r="AR23" s="62" t="n">
        <f aca="false">+AR21*AR19/1000000</f>
        <v>216882.9</v>
      </c>
      <c r="AS23" s="62" t="n">
        <f aca="false">+AS21*AS19/1000000</f>
        <v>361441.4</v>
      </c>
      <c r="AT23" s="62" t="n">
        <f aca="false">+AT21*AT19/1000000</f>
        <v>383670.3</v>
      </c>
      <c r="AU23" s="62" t="n">
        <f aca="false">+AU21*AU19/1000000</f>
        <v>387527.4</v>
      </c>
      <c r="AV23" s="62" t="n">
        <f aca="false">+AV21*AV19/1000000</f>
        <v>440070.3</v>
      </c>
      <c r="AW23" s="62" t="n">
        <f aca="false">+AW21*AW19/1000000</f>
        <v>479819.486879914</v>
      </c>
      <c r="AX23" s="62" t="n">
        <f aca="false">+AX21*AX19/1000000</f>
        <v>518314.738360781</v>
      </c>
      <c r="AY23" s="93"/>
    </row>
    <row r="24" customFormat="false" ht="12.75" hidden="false" customHeight="true" outlineLevel="0" collapsed="false">
      <c r="B24" s="75"/>
      <c r="C24" s="75"/>
      <c r="D24" s="75"/>
      <c r="E24" s="75"/>
      <c r="F24" s="75"/>
      <c r="G24" s="75"/>
      <c r="H24" s="75"/>
      <c r="I24" s="75"/>
      <c r="N24" s="94"/>
      <c r="O24" s="94"/>
      <c r="P24" s="94"/>
      <c r="Q24" s="94"/>
      <c r="R24" s="94"/>
      <c r="S24" s="94"/>
      <c r="T24" s="94"/>
      <c r="U24" s="95"/>
      <c r="V24" s="95"/>
      <c r="W24" s="96"/>
      <c r="X24" s="98"/>
      <c r="Y24" s="98"/>
      <c r="Z24" s="94"/>
      <c r="AA24" s="99"/>
      <c r="AB24" s="100"/>
      <c r="AC24" s="95"/>
      <c r="AD24" s="95"/>
      <c r="AE24" s="100"/>
      <c r="AF24" s="99"/>
      <c r="AG24" s="97" t="n">
        <f aca="false">+AG21/AF21-1</f>
        <v>0.0479895138112776</v>
      </c>
      <c r="AH24" s="97" t="n">
        <f aca="false">+AH21/AG21-1</f>
        <v>0.00793047367036914</v>
      </c>
      <c r="AI24" s="97" t="n">
        <f aca="false">+AI21/AH21-1</f>
        <v>0.00502494196448478</v>
      </c>
      <c r="AJ24" s="97" t="n">
        <f aca="false">+AJ21/AI21-1</f>
        <v>0.0124359924739692</v>
      </c>
      <c r="AK24" s="100"/>
      <c r="AL24" s="100"/>
      <c r="AM24" s="94"/>
      <c r="AO24" s="41"/>
      <c r="AP24" s="41"/>
      <c r="AQ24" s="92" t="n">
        <f aca="false">+AQ21/AP21-1</f>
        <v>0.0894230531006488</v>
      </c>
      <c r="AR24" s="92" t="n">
        <f aca="false">+AR21/AQ21-1</f>
        <v>0.112428800219491</v>
      </c>
      <c r="AS24" s="92" t="n">
        <f aca="false">+AS21/AR21-1</f>
        <v>0.112660216945172</v>
      </c>
      <c r="AT24" s="92" t="n">
        <f aca="false">+AT21/AS21-1</f>
        <v>0.0479895138112776</v>
      </c>
      <c r="AU24" s="92" t="n">
        <f aca="false">+AU21/AT21-1</f>
        <v>0.00793047367036914</v>
      </c>
      <c r="AV24" s="92" t="n">
        <f aca="false">+AV21/AU21-1</f>
        <v>0.00502494196448455</v>
      </c>
      <c r="AW24" s="92" t="n">
        <f aca="false">+AW21/AV21-1</f>
        <v>0.0124359924739692</v>
      </c>
      <c r="AX24" s="92" t="n">
        <f aca="false">+AX21/AW21-1</f>
        <v>0.0088502882613688</v>
      </c>
      <c r="AY24" s="93"/>
    </row>
    <row r="25" customFormat="false" ht="12.75" hidden="false" customHeight="true" outlineLevel="0" collapsed="false">
      <c r="A25" s="69" t="s">
        <v>237</v>
      </c>
      <c r="B25" s="81" t="n">
        <f aca="false">+B565</f>
        <v>5960.34</v>
      </c>
      <c r="C25" s="81" t="n">
        <f aca="false">+C565</f>
        <v>7619.16</v>
      </c>
      <c r="D25" s="81" t="n">
        <f aca="false">+D565</f>
        <v>9785.26</v>
      </c>
      <c r="E25" s="81" t="n">
        <f aca="false">+E565</f>
        <v>13034.08</v>
      </c>
      <c r="F25" s="81" t="n">
        <f aca="false">+F565</f>
        <v>15709.15</v>
      </c>
      <c r="G25" s="81" t="n">
        <f aca="false">+G565</f>
        <v>12432.96</v>
      </c>
      <c r="H25" s="81" t="n">
        <f aca="false">+H565</f>
        <v>12799.48</v>
      </c>
      <c r="I25" s="81" t="n">
        <f aca="false">+I565</f>
        <v>15614.33</v>
      </c>
      <c r="J25" s="81" t="n">
        <f aca="false">+J565</f>
        <v>15084.83</v>
      </c>
      <c r="K25" s="81" t="n">
        <f aca="false">+K565</f>
        <v>14905.06</v>
      </c>
      <c r="L25" s="81" t="n">
        <f aca="false">+L565</f>
        <v>18380.6</v>
      </c>
      <c r="M25" s="81" t="n">
        <f aca="false">+M565</f>
        <v>23894.03</v>
      </c>
      <c r="N25" s="62" t="n">
        <f aca="false">+N565</f>
        <v>30342.86</v>
      </c>
      <c r="O25" s="62" t="n">
        <f aca="false">+O565</f>
        <v>38681.71</v>
      </c>
      <c r="P25" s="62" t="n">
        <f aca="false">+P565</f>
        <v>54633.13</v>
      </c>
      <c r="Q25" s="62" t="n">
        <f aca="false">+Q565</f>
        <v>57653.46</v>
      </c>
      <c r="R25" s="62" t="n">
        <f aca="false">+R565</f>
        <v>44524.434</v>
      </c>
      <c r="S25" s="62" t="n">
        <f aca="false">+S565</f>
        <v>52193.167</v>
      </c>
      <c r="T25" s="62" t="n">
        <f aca="false">+T565</f>
        <v>81234.515</v>
      </c>
      <c r="U25" s="62" t="n">
        <f aca="false">+U565</f>
        <v>94641.003</v>
      </c>
      <c r="V25" s="62" t="n">
        <f aca="false">+V565</f>
        <v>91234.36</v>
      </c>
      <c r="W25" s="62" t="n">
        <f aca="false">+W565</f>
        <v>76029.73</v>
      </c>
      <c r="X25" s="70" t="n">
        <f aca="false">+X565</f>
        <v>99652.098</v>
      </c>
      <c r="Y25" s="62" t="n">
        <f aca="false">+Y565</f>
        <v>131948.604</v>
      </c>
      <c r="Z25" s="62" t="n">
        <f aca="false">+Z565</f>
        <v>139572.646</v>
      </c>
      <c r="AA25" s="62" t="n">
        <f aca="false">+AA565</f>
        <v>186212.747</v>
      </c>
      <c r="AB25" s="62" t="n">
        <f aca="false">+AB565</f>
        <v>206795.7</v>
      </c>
      <c r="AC25" s="62" t="n">
        <f aca="false">+AC565</f>
        <v>123691.5</v>
      </c>
      <c r="AD25" s="62" t="n">
        <f aca="false">+AD565</f>
        <v>114033.1</v>
      </c>
      <c r="AE25" s="62" t="n">
        <f aca="false">+AE565</f>
        <v>167610.7</v>
      </c>
      <c r="AF25" s="62" t="n">
        <f aca="false">+AF565</f>
        <v>278491.5</v>
      </c>
      <c r="AG25" s="62" t="n">
        <f aca="false">+AG565</f>
        <v>279120.1</v>
      </c>
      <c r="AH25" s="62" t="n">
        <f aca="false">+AH565</f>
        <v>276227.8</v>
      </c>
      <c r="AI25" s="62" t="n">
        <f aca="false">+AI565</f>
        <v>314171.4</v>
      </c>
      <c r="AJ25" s="62" t="n">
        <f aca="false">+AJ565</f>
        <v>347869.127987938</v>
      </c>
      <c r="AK25" s="62" t="n">
        <f aca="false">+AK565</f>
        <v>373186.611619762</v>
      </c>
      <c r="AL25" s="62" t="n">
        <f aca="false">+AL565</f>
        <v>401195.306230658</v>
      </c>
      <c r="AM25" s="41"/>
      <c r="AN25" s="62" t="s">
        <v>162</v>
      </c>
      <c r="AO25" s="62" t="n">
        <f aca="false">+AO23*AO26</f>
        <v>31357.3999999999</v>
      </c>
      <c r="AP25" s="62" t="n">
        <f aca="false">+AP23*AP26</f>
        <v>11736.5</v>
      </c>
      <c r="AQ25" s="62" t="n">
        <f aca="false">+AQ23*AQ26</f>
        <v>5351.39999999999</v>
      </c>
      <c r="AR25" s="62" t="n">
        <f aca="false">+AR23*AR26</f>
        <v>9945.20000000001</v>
      </c>
      <c r="AS25" s="62" t="n">
        <f aca="false">+AS23*AS26</f>
        <v>29307</v>
      </c>
      <c r="AT25" s="62" t="n">
        <f aca="false">+AT23*AT26</f>
        <v>46065.8000000001</v>
      </c>
      <c r="AU25" s="62" t="n">
        <f aca="false">+AU23*AU26</f>
        <v>49305.6</v>
      </c>
      <c r="AV25" s="62" t="n">
        <f aca="false">+AV23*AV26</f>
        <v>57322.5000000002</v>
      </c>
      <c r="AW25" s="62" t="n">
        <f aca="false">+AW23*AW26</f>
        <v>57545.4850789212</v>
      </c>
      <c r="AX25" s="62" t="n">
        <f aca="false">+AX23*AX26</f>
        <v>63844.1376391677</v>
      </c>
      <c r="AY25" s="89" t="n">
        <f aca="false">+SQRT(AX25/AV25)-1</f>
        <v>0.0553534910787283</v>
      </c>
    </row>
    <row r="26" customFormat="false" ht="13.5" hidden="false" customHeight="true" outlineLevel="0" collapsed="false">
      <c r="A26" s="69" t="s">
        <v>219</v>
      </c>
      <c r="B26" s="90" t="n">
        <f aca="false">B25/B19*100</f>
        <v>72.5652167031704</v>
      </c>
      <c r="C26" s="90" t="n">
        <f aca="false">C25/C19*100</f>
        <v>71.9502072337761</v>
      </c>
      <c r="D26" s="90" t="n">
        <f aca="false">D25/D19*100</f>
        <v>73.3440317083646</v>
      </c>
      <c r="E26" s="90" t="n">
        <f aca="false">E25/E19*100</f>
        <v>72.8250806384475</v>
      </c>
      <c r="F26" s="90" t="n">
        <f aca="false">F25/F19*100</f>
        <v>72.0175070233476</v>
      </c>
      <c r="G26" s="90" t="n">
        <f aca="false">G25/G19*100</f>
        <v>70.2907574795067</v>
      </c>
      <c r="H26" s="90" t="n">
        <f aca="false">H25/H19*100</f>
        <v>70.3781336244889</v>
      </c>
      <c r="I26" s="90" t="n">
        <f aca="false">I25/I19*100</f>
        <v>69.2968036448621</v>
      </c>
      <c r="J26" s="90" t="n">
        <f aca="false">J25/J19*100</f>
        <v>66.9837904948997</v>
      </c>
      <c r="K26" s="90" t="n">
        <f aca="false">K25/K19*100</f>
        <v>65.9151937337258</v>
      </c>
      <c r="L26" s="90" t="n">
        <f aca="false">L25/L19*100</f>
        <v>68.5747330131045</v>
      </c>
      <c r="M26" s="90" t="n">
        <f aca="false">M25/M19*100</f>
        <v>70.4032017594002</v>
      </c>
      <c r="N26" s="90" t="n">
        <f aca="false">N25/N19*100</f>
        <v>72.5493009001099</v>
      </c>
      <c r="O26" s="90" t="n">
        <f aca="false">O25/O19*100</f>
        <v>73.7123443853133</v>
      </c>
      <c r="P26" s="90" t="n">
        <f aca="false">P25/P19*100</f>
        <v>76.2162229275621</v>
      </c>
      <c r="Q26" s="90" t="n">
        <f aca="false">Q25/Q19*100</f>
        <v>74.5924990454932</v>
      </c>
      <c r="R26" s="90" t="n">
        <f aca="false">R25/R19*100</f>
        <v>74.4422092641995</v>
      </c>
      <c r="S26" s="90" t="n">
        <f aca="false">S25/S19*100</f>
        <v>72.0431368513621</v>
      </c>
      <c r="T26" s="90" t="n">
        <f aca="false">T25/T19*100</f>
        <v>73.0676751837991</v>
      </c>
      <c r="U26" s="90" t="n">
        <f aca="false">U25/U19*100</f>
        <v>73.762905945864</v>
      </c>
      <c r="V26" s="90" t="n">
        <f aca="false">V25/V19*100</f>
        <v>73.0974265295004</v>
      </c>
      <c r="W26" s="90" t="n">
        <f aca="false">W25/W19*100</f>
        <v>76.4623024776761</v>
      </c>
      <c r="X26" s="90" t="n">
        <f aca="false">X25/X19*100</f>
        <v>73.4779154589826</v>
      </c>
      <c r="Y26" s="90" t="n">
        <f aca="false">Y25/Y19*100</f>
        <v>69.6765516358611</v>
      </c>
      <c r="Z26" s="90" t="n">
        <f aca="false">Z25/Z19*100</f>
        <v>69.7212841972494</v>
      </c>
      <c r="AA26" s="90" t="n">
        <f aca="false">AA25/AA19*100</f>
        <v>70.9438434900939</v>
      </c>
      <c r="AB26" s="90" t="n">
        <f aca="false">AB25/AB19*100</f>
        <v>71.1739996110818</v>
      </c>
      <c r="AC26" s="90" t="n">
        <f aca="false">AC25/AC19*100</f>
        <v>70.8124874409402</v>
      </c>
      <c r="AD26" s="90" t="n">
        <f aca="false">AD25/AD19*100</f>
        <v>74.524375140918</v>
      </c>
      <c r="AE26" s="90" t="n">
        <f aca="false">AE25/AE19*100</f>
        <v>77.2816575211785</v>
      </c>
      <c r="AF26" s="90" t="n">
        <f aca="false">AF25/AF19*100</f>
        <v>77.0502493626906</v>
      </c>
      <c r="AG26" s="90" t="n">
        <f aca="false">AG25/AG19*100</f>
        <v>72.7499887273005</v>
      </c>
      <c r="AH26" s="90" t="n">
        <f aca="false">AH25/AH19*100</f>
        <v>71.27955339416</v>
      </c>
      <c r="AI26" s="90" t="n">
        <f aca="false">AI25/AI19*100</f>
        <v>71.3911845448329</v>
      </c>
      <c r="AJ26" s="90" t="n">
        <f aca="false">AJ25/AJ19*100</f>
        <v>72.5</v>
      </c>
      <c r="AK26" s="90" t="n">
        <f aca="false">AK25/AK19*100</f>
        <v>72</v>
      </c>
      <c r="AL26" s="90" t="n">
        <f aca="false">AL25/AL19*100</f>
        <v>72</v>
      </c>
      <c r="AM26" s="74"/>
      <c r="AN26" s="101" t="s">
        <v>238</v>
      </c>
      <c r="AO26" s="101" t="n">
        <f aca="false">+AB48</f>
        <v>0.107924467259451</v>
      </c>
      <c r="AP26" s="101" t="n">
        <f aca="false">+AC48</f>
        <v>0.0671906120348282</v>
      </c>
      <c r="AQ26" s="101" t="n">
        <f aca="false">+AD48</f>
        <v>0.0349731561387973</v>
      </c>
      <c r="AR26" s="101" t="n">
        <f aca="false">+AE48</f>
        <v>0.0458551596276148</v>
      </c>
      <c r="AS26" s="101" t="n">
        <f aca="false">+AF48</f>
        <v>0.0810836832747992</v>
      </c>
      <c r="AT26" s="101" t="n">
        <f aca="false">+AG48</f>
        <v>0.120066108843974</v>
      </c>
      <c r="AU26" s="101" t="n">
        <f aca="false">+AH48</f>
        <v>0.127231261583052</v>
      </c>
      <c r="AV26" s="101" t="n">
        <f aca="false">+AI48</f>
        <v>0.130257597479312</v>
      </c>
      <c r="AW26" s="101" t="n">
        <f aca="false">+AJ48</f>
        <v>0.119931529778246</v>
      </c>
      <c r="AX26" s="101" t="n">
        <f aca="false">+AK48</f>
        <v>0.123176388618778</v>
      </c>
      <c r="AY26" s="93"/>
    </row>
    <row r="27" customFormat="false" ht="12" hidden="false" customHeight="true" outlineLevel="0" collapsed="false">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77"/>
      <c r="AB27" s="40"/>
      <c r="AC27" s="40"/>
      <c r="AD27" s="40"/>
      <c r="AE27" s="40"/>
      <c r="AF27" s="77"/>
      <c r="AG27" s="77"/>
      <c r="AH27" s="40"/>
      <c r="AI27" s="40"/>
      <c r="AJ27" s="40"/>
      <c r="AK27" s="40"/>
      <c r="AL27" s="40"/>
      <c r="AM27" s="40"/>
      <c r="AN27" s="62" t="s">
        <v>239</v>
      </c>
      <c r="AO27" s="62" t="n">
        <f aca="false">+AB50-AB49-AB53</f>
        <v>-5814.5</v>
      </c>
      <c r="AP27" s="62" t="n">
        <f aca="false">+AC50-AC49-AC53</f>
        <v>-6559.1</v>
      </c>
      <c r="AQ27" s="62" t="n">
        <f aca="false">+AD50-AD49-AD53</f>
        <v>-9350</v>
      </c>
      <c r="AR27" s="62" t="n">
        <f aca="false">+AE50-AE49-AE53</f>
        <v>-9777.4</v>
      </c>
      <c r="AS27" s="62" t="n">
        <f aca="false">+AF50-AF49-AF53+AF54</f>
        <v>-8203</v>
      </c>
      <c r="AT27" s="62" t="n">
        <f aca="false">+AG50-AG49-AG53</f>
        <v>-7206.8</v>
      </c>
      <c r="AU27" s="62" t="n">
        <f aca="false">+AH50-AH49-AH53</f>
        <v>-6860</v>
      </c>
      <c r="AV27" s="62" t="n">
        <f aca="false">+AI50-AI49-AI53</f>
        <v>-5697.5</v>
      </c>
      <c r="AW27" s="62" t="n">
        <f aca="false">+AJ50-AJ49-AJ53</f>
        <v>-5423.03479716902</v>
      </c>
      <c r="AX27" s="62" t="n">
        <f aca="false">+AK50-AK49-AK53</f>
        <v>-5383.36486134668</v>
      </c>
      <c r="AY27" s="93"/>
    </row>
    <row r="28" customFormat="false" ht="12" hidden="false" customHeight="true" outlineLevel="0" collapsed="false">
      <c r="A28" s="69" t="s">
        <v>240</v>
      </c>
      <c r="B28" s="62" t="n">
        <f aca="false">B25/B10*1000000</f>
        <v>289744.786349716</v>
      </c>
      <c r="C28" s="62" t="n">
        <f aca="false">C25/C10*1000000</f>
        <v>314503.426071163</v>
      </c>
      <c r="D28" s="62" t="n">
        <f aca="false">D25/D10*1000000</f>
        <v>321777.704702401</v>
      </c>
      <c r="E28" s="62" t="n">
        <f aca="false">E25/E10*1000000</f>
        <v>348514.131393888</v>
      </c>
      <c r="F28" s="62" t="n">
        <f aca="false">F25/F10*1000000</f>
        <v>362362.751430153</v>
      </c>
      <c r="G28" s="62" t="n">
        <f aca="false">G25/G10*1000000</f>
        <v>394109.107046629</v>
      </c>
      <c r="H28" s="62" t="n">
        <f aca="false">H25/H10*1000000</f>
        <v>430364.816246932</v>
      </c>
      <c r="I28" s="62" t="n">
        <f aca="false">I25/I10*1000000</f>
        <v>412433.76740009</v>
      </c>
      <c r="J28" s="62" t="n">
        <f aca="false">J25/J10*1000000</f>
        <v>464505.927636644</v>
      </c>
      <c r="K28" s="62" t="n">
        <f aca="false">K25/K10*1000000</f>
        <v>502310.517979308</v>
      </c>
      <c r="L28" s="62" t="n">
        <f aca="false">L25/L10*1000000</f>
        <v>504351.882340029</v>
      </c>
      <c r="M28" s="62" t="n">
        <f aca="false">M25/M10*1000000</f>
        <v>491101.039996712</v>
      </c>
      <c r="N28" s="62" t="n">
        <f aca="false">N25/N10*1000000</f>
        <v>554308.732188528</v>
      </c>
      <c r="O28" s="62" t="n">
        <f aca="false">O25/O10*1000000</f>
        <v>627389.668315627</v>
      </c>
      <c r="P28" s="62" t="n">
        <f aca="false">P25/P10*1000000</f>
        <v>657509.597910725</v>
      </c>
      <c r="Q28" s="62" t="n">
        <f aca="false">Q25/Q10*1000000</f>
        <v>692043.596730245</v>
      </c>
      <c r="R28" s="62" t="n">
        <f aca="false">R25/R10*1000000</f>
        <v>817997.721886425</v>
      </c>
      <c r="S28" s="62" t="n">
        <f aca="false">S25/S10*1000000</f>
        <v>816462.268873385</v>
      </c>
      <c r="T28" s="62" t="n">
        <f aca="false">T25/T10*1000000</f>
        <v>863223.545788791</v>
      </c>
      <c r="U28" s="62" t="n">
        <f aca="false">U25/U10*1000000</f>
        <v>927943.945484852</v>
      </c>
      <c r="V28" s="62" t="n">
        <f aca="false">V25/V10*1000000</f>
        <v>796034.935564649</v>
      </c>
      <c r="W28" s="62" t="n">
        <f aca="false">W25/W10*1000000</f>
        <v>851044.136248139</v>
      </c>
      <c r="X28" s="62" t="n">
        <f aca="false">X25/X10*1000000</f>
        <v>949954.223942346</v>
      </c>
      <c r="Y28" s="62" t="n">
        <f aca="false">Y25/Y10*1000000</f>
        <v>939423.481919734</v>
      </c>
      <c r="Z28" s="62" t="n">
        <f aca="false">Z25/Z10*1000000</f>
        <v>962132.036452374</v>
      </c>
      <c r="AA28" s="62" t="n">
        <f aca="false">AA25/AA10*1000000</f>
        <v>1064845.61367392</v>
      </c>
      <c r="AB28" s="62" t="n">
        <f aca="false">AB25/AB10*1000000</f>
        <v>1047777.73274019</v>
      </c>
      <c r="AC28" s="62" t="n">
        <f aca="false">AC25/AC10*1000000</f>
        <v>987533.23273694</v>
      </c>
      <c r="AD28" s="62" t="n">
        <f aca="false">AD25/AD10*1000000</f>
        <v>1132235.51606017</v>
      </c>
      <c r="AE28" s="62" t="n">
        <f aca="false">AE25/AE10*1000000</f>
        <v>1306132.0387139</v>
      </c>
      <c r="AF28" s="62" t="n">
        <f aca="false">AF25/AF10*1000000</f>
        <v>1448929.52836815</v>
      </c>
      <c r="AG28" s="62" t="n">
        <f aca="false">AG25/AG10*1000000</f>
        <v>1433715.83548641</v>
      </c>
      <c r="AH28" s="62" t="n">
        <f aca="false">AH25/AH10*1000000</f>
        <v>1415877.55583235</v>
      </c>
      <c r="AI28" s="62" t="n">
        <f aca="false">AI25/AI10*1000000</f>
        <v>1425220.81138829</v>
      </c>
      <c r="AJ28" s="62" t="n">
        <f aca="false">AJ25/AJ10*1000000</f>
        <v>1465356.01069985</v>
      </c>
      <c r="AK28" s="62" t="n">
        <f aca="false">AK25/AK10*1000000</f>
        <v>1468129.49011869</v>
      </c>
      <c r="AL28" s="62" t="n">
        <f aca="false">AL25/AL10*1000000</f>
        <v>1484216.06982527</v>
      </c>
      <c r="AM28" s="41"/>
      <c r="AN28" s="90" t="s">
        <v>241</v>
      </c>
      <c r="AO28" s="62" t="n">
        <f aca="false">+AO25+AO27</f>
        <v>25542.8999999999</v>
      </c>
      <c r="AP28" s="62" t="n">
        <f aca="false">+AP25+AP27</f>
        <v>5177.4</v>
      </c>
      <c r="AQ28" s="62" t="n">
        <f aca="false">+AQ25+AQ27</f>
        <v>-3998.60000000001</v>
      </c>
      <c r="AR28" s="62" t="n">
        <f aca="false">+AR25+AR27</f>
        <v>167.80000000001</v>
      </c>
      <c r="AS28" s="62" t="n">
        <f aca="false">+AS25+AS27</f>
        <v>21104</v>
      </c>
      <c r="AT28" s="62" t="n">
        <f aca="false">+AT25+AT27</f>
        <v>38859</v>
      </c>
      <c r="AU28" s="62" t="n">
        <f aca="false">+AU25+AU27</f>
        <v>42445.6</v>
      </c>
      <c r="AV28" s="62" t="n">
        <f aca="false">+AV25+AV27</f>
        <v>51625.0000000002</v>
      </c>
      <c r="AW28" s="62" t="n">
        <f aca="false">+AW25+AW27</f>
        <v>52122.4502817522</v>
      </c>
      <c r="AX28" s="62" t="n">
        <f aca="false">+AX25+AX27</f>
        <v>58460.772777821</v>
      </c>
      <c r="AY28" s="93"/>
    </row>
    <row r="29" customFormat="false" ht="12" hidden="false" customHeight="true" outlineLevel="0" collapsed="false">
      <c r="B29" s="75"/>
      <c r="C29" s="75"/>
      <c r="D29" s="75"/>
      <c r="E29" s="75"/>
      <c r="F29" s="75"/>
      <c r="G29" s="75"/>
      <c r="H29" s="75"/>
      <c r="I29" s="75"/>
      <c r="J29" s="75"/>
      <c r="K29" s="75"/>
      <c r="L29" s="75"/>
      <c r="M29" s="75"/>
      <c r="N29" s="75"/>
      <c r="O29" s="40"/>
      <c r="P29" s="40"/>
      <c r="Q29" s="40"/>
      <c r="R29" s="40"/>
      <c r="S29" s="40"/>
      <c r="T29" s="57"/>
      <c r="U29" s="75"/>
      <c r="V29" s="75"/>
      <c r="W29" s="75"/>
      <c r="X29" s="75"/>
      <c r="Y29" s="75"/>
      <c r="Z29" s="75"/>
      <c r="AA29" s="82"/>
      <c r="AB29" s="75"/>
      <c r="AC29" s="75"/>
      <c r="AD29" s="41"/>
      <c r="AE29" s="75"/>
      <c r="AF29" s="82"/>
      <c r="AG29" s="82"/>
      <c r="AH29" s="75"/>
      <c r="AI29" s="75"/>
      <c r="AJ29" s="75"/>
      <c r="AK29" s="75"/>
      <c r="AL29" s="75"/>
      <c r="AM29" s="75"/>
      <c r="AN29" s="90" t="s">
        <v>242</v>
      </c>
      <c r="AO29" s="62" t="n">
        <f aca="false">+AB56</f>
        <v>5136</v>
      </c>
      <c r="AP29" s="62" t="n">
        <f aca="false">+AC56</f>
        <v>1224</v>
      </c>
      <c r="AQ29" s="62" t="n">
        <f aca="false">+AD56</f>
        <v>-982.3</v>
      </c>
      <c r="AR29" s="62" t="n">
        <f aca="false">+AE56</f>
        <v>-142.2</v>
      </c>
      <c r="AS29" s="62" t="n">
        <f aca="false">+AF56</f>
        <v>7302.9</v>
      </c>
      <c r="AT29" s="62" t="n">
        <f aca="false">+AG56</f>
        <v>11743.1</v>
      </c>
      <c r="AU29" s="62" t="n">
        <f aca="false">+AH56</f>
        <v>10450</v>
      </c>
      <c r="AV29" s="62" t="n">
        <f aca="false">+AI56</f>
        <v>12484.9</v>
      </c>
      <c r="AW29" s="62" t="n">
        <f aca="false">+AJ56</f>
        <v>13030.6125704381</v>
      </c>
      <c r="AX29" s="62" t="n">
        <f aca="false">+AK56</f>
        <v>14615.1931944552</v>
      </c>
      <c r="AY29" s="93"/>
    </row>
    <row r="30" customFormat="false" ht="12" hidden="false" customHeight="true" outlineLevel="0" collapsed="false">
      <c r="A30" s="69" t="s">
        <v>243</v>
      </c>
      <c r="B30" s="62" t="n">
        <f aca="false">(B19-B25)/B10*1000000</f>
        <v>109544.018278159</v>
      </c>
      <c r="C30" s="62" t="n">
        <f aca="false">(C19-C25)/C10*1000000</f>
        <v>122609.180219599</v>
      </c>
      <c r="D30" s="62" t="n">
        <f aca="false">(D19-D25)/D10*1000000</f>
        <v>116946.070371588</v>
      </c>
      <c r="E30" s="62" t="n">
        <f aca="false">(E19-E25)/E10*1000000</f>
        <v>130049.199176449</v>
      </c>
      <c r="F30" s="62" t="n">
        <f aca="false">(F19-F25)/F10*1000000</f>
        <v>140796.503044842</v>
      </c>
      <c r="G30" s="62" t="n">
        <f aca="false">(G19-G25)/G10*1000000</f>
        <v>166575.001616635</v>
      </c>
      <c r="H30" s="62" t="n">
        <f aca="false">(H19-H25)/H10*1000000</f>
        <v>181138.777387983</v>
      </c>
      <c r="I30" s="62" t="n">
        <f aca="false">(I19-I25)/I10*1000000</f>
        <v>182736.205393698</v>
      </c>
      <c r="J30" s="62" t="n">
        <f aca="false">(J19-J25)/J10*1000000</f>
        <v>228954.272517321</v>
      </c>
      <c r="K30" s="62" t="n">
        <f aca="false">(K19-K25)/K10*1000000</f>
        <v>259745.222929936</v>
      </c>
      <c r="L30" s="62" t="n">
        <f aca="false">(L19-L25)/L10*1000000</f>
        <v>231125.83690045</v>
      </c>
      <c r="M30" s="62" t="n">
        <f aca="false">(M19-M25)/M10*1000000</f>
        <v>206453.940066593</v>
      </c>
      <c r="N30" s="62" t="n">
        <f aca="false">(N19-N25)/N10*1000000</f>
        <v>209735.476799415</v>
      </c>
      <c r="O30" s="62" t="n">
        <f aca="false">(O19-O25)/O10*1000000</f>
        <v>223742.762144189</v>
      </c>
      <c r="P30" s="62" t="n">
        <f aca="false">(P19-P25)/P10*1000000</f>
        <v>205180.224091658</v>
      </c>
      <c r="Q30" s="62" t="n">
        <f aca="false">(Q19-Q25)/Q10*1000000</f>
        <v>235722.070844687</v>
      </c>
      <c r="R30" s="62" t="n">
        <f aca="false">(R19-R25)/R10*1000000</f>
        <v>280838.180448642</v>
      </c>
      <c r="S30" s="62" t="n">
        <f aca="false">(S19-S25)/S10*1000000</f>
        <v>316834.120702062</v>
      </c>
      <c r="T30" s="62" t="n">
        <f aca="false">(T19-T25)/T10*1000000</f>
        <v>318179.234055215</v>
      </c>
      <c r="U30" s="62" t="n">
        <f aca="false">(U19-U25)/U10*1000000</f>
        <v>330064.986763408</v>
      </c>
      <c r="V30" s="62" t="n">
        <f aca="false">(V19-V25)/V10*1000000</f>
        <v>292970.482763435</v>
      </c>
      <c r="W30" s="62" t="n">
        <f aca="false">(W19-W25)/W10*1000000</f>
        <v>261980.332896784</v>
      </c>
      <c r="X30" s="62" t="n">
        <f aca="false">(X19-X25)/X10*1000000</f>
        <v>342888.963032164</v>
      </c>
      <c r="Y30" s="62" t="n">
        <f aca="false">(Y19-Y25)/Y10*1000000</f>
        <v>408839.972375887</v>
      </c>
      <c r="Z30" s="62" t="n">
        <f aca="false">(Z19-Z25)/Z10*1000000</f>
        <v>417836.860463513</v>
      </c>
      <c r="AA30" s="62" t="n">
        <f aca="false">(AA19-AA25)/AA10*1000000</f>
        <v>436124.112927667</v>
      </c>
      <c r="AB30" s="62" t="n">
        <f aca="false">(AB19-AB25)/AB10*1000000</f>
        <v>424357.79212225</v>
      </c>
      <c r="AC30" s="62" t="n">
        <f aca="false">(AC19-AC25)/AC10*1000000</f>
        <v>407041.747503054</v>
      </c>
      <c r="AD30" s="62" t="n">
        <f aca="false">(AD19-AD25)/AD10*1000000</f>
        <v>387046.616690662</v>
      </c>
      <c r="AE30" s="62" t="n">
        <f aca="false">(AE19-AE25)/AE10*1000000</f>
        <v>383961.161417016</v>
      </c>
      <c r="AF30" s="62" t="n">
        <f aca="false">(AF19-AF25)/AF10*1000000</f>
        <v>431569.938347077</v>
      </c>
      <c r="AG30" s="62" t="n">
        <f aca="false">(AG19-AG25)/AG10*1000000</f>
        <v>537027.88635885</v>
      </c>
      <c r="AH30" s="62" t="n">
        <f aca="false">(AH19-AH25)/AH10*1000000</f>
        <v>570495.097210049</v>
      </c>
      <c r="AI30" s="62" t="n">
        <f aca="false">(AI19-AI25)/AI10*1000000</f>
        <v>571133.248955485</v>
      </c>
      <c r="AJ30" s="62" t="n">
        <f aca="false">(AJ19-AJ25)/AJ10*1000000</f>
        <v>555824.693713736</v>
      </c>
      <c r="AK30" s="62" t="n">
        <f aca="false">(AK19-AK25)/AK10*1000000</f>
        <v>570939.246157269</v>
      </c>
      <c r="AL30" s="62" t="n">
        <f aca="false">(AL19-AL25)/AL10*1000000</f>
        <v>577195.138265382</v>
      </c>
      <c r="AM30" s="41"/>
      <c r="AN30" s="62" t="s">
        <v>244</v>
      </c>
      <c r="AO30" s="62" t="n">
        <f aca="false">+AO28-AO29</f>
        <v>20406.8999999999</v>
      </c>
      <c r="AP30" s="62" t="n">
        <f aca="false">+AP28-AP29</f>
        <v>3953.4</v>
      </c>
      <c r="AQ30" s="62" t="n">
        <f aca="false">+AQ28-AQ29</f>
        <v>-3016.30000000001</v>
      </c>
      <c r="AR30" s="62" t="n">
        <f aca="false">+AR28-AR29</f>
        <v>310.00000000001</v>
      </c>
      <c r="AS30" s="62" t="n">
        <f aca="false">+AS28-AS29</f>
        <v>13801.1</v>
      </c>
      <c r="AT30" s="62" t="n">
        <f aca="false">+AT28-AT29</f>
        <v>27115.9</v>
      </c>
      <c r="AU30" s="62" t="n">
        <f aca="false">+AU28-AU29+AH59-AH57+AH54</f>
        <v>32254.925</v>
      </c>
      <c r="AV30" s="62" t="n">
        <f aca="false">+AV28-AV29</f>
        <v>39140.1000000002</v>
      </c>
      <c r="AW30" s="62" t="n">
        <f aca="false">+AW28-AW29</f>
        <v>39091.8377113142</v>
      </c>
      <c r="AX30" s="62" t="n">
        <f aca="false">+AX28-AX29</f>
        <v>43845.5795833657</v>
      </c>
      <c r="AY30" s="93"/>
    </row>
    <row r="31" customFormat="false" ht="12" hidden="false" customHeight="true" outlineLevel="0" collapsed="false">
      <c r="B31" s="41"/>
      <c r="C31" s="41"/>
      <c r="D31" s="41"/>
      <c r="E31" s="41"/>
      <c r="F31" s="41"/>
      <c r="G31" s="41"/>
      <c r="H31" s="41"/>
      <c r="I31" s="41"/>
      <c r="J31" s="41"/>
      <c r="K31" s="41"/>
      <c r="L31" s="41"/>
      <c r="M31" s="41"/>
      <c r="N31" s="41"/>
      <c r="O31" s="41"/>
      <c r="P31" s="41"/>
      <c r="Q31" s="41"/>
      <c r="R31" s="41"/>
      <c r="S31" s="41"/>
      <c r="T31" s="75"/>
      <c r="U31" s="75"/>
      <c r="V31" s="75"/>
      <c r="W31" s="75"/>
      <c r="X31" s="75"/>
      <c r="Y31" s="75"/>
      <c r="Z31" s="75"/>
      <c r="AA31" s="82"/>
      <c r="AB31" s="75"/>
      <c r="AC31" s="75"/>
      <c r="AD31" s="75"/>
      <c r="AE31" s="75"/>
      <c r="AF31" s="82"/>
      <c r="AG31" s="82"/>
      <c r="AH31" s="75"/>
      <c r="AI31" s="75"/>
      <c r="AJ31" s="75"/>
      <c r="AK31" s="75"/>
      <c r="AL31" s="75"/>
      <c r="AM31" s="75"/>
      <c r="AN31" s="81" t="s">
        <v>245</v>
      </c>
      <c r="AO31" s="62" t="n">
        <f aca="false">+AB115</f>
        <v>-7412.3</v>
      </c>
      <c r="AP31" s="62" t="n">
        <f aca="false">+AC115</f>
        <v>19588.9</v>
      </c>
      <c r="AQ31" s="62" t="n">
        <f aca="false">+AD115</f>
        <v>30183</v>
      </c>
      <c r="AR31" s="62" t="n">
        <f aca="false">+AE115</f>
        <v>12088.7</v>
      </c>
      <c r="AS31" s="62" t="n">
        <f aca="false">+AF115</f>
        <v>-478.800000000003</v>
      </c>
      <c r="AT31" s="62" t="n">
        <f aca="false">+AG115</f>
        <v>-13878.4</v>
      </c>
      <c r="AU31" s="62" t="n">
        <f aca="false">+AH115</f>
        <v>-42429.3</v>
      </c>
      <c r="AV31" s="62" t="n">
        <f aca="false">+AI115</f>
        <v>-59017.2</v>
      </c>
      <c r="AW31" s="62" t="n">
        <f aca="false">+AJ115</f>
        <v>-69724.188568351</v>
      </c>
      <c r="AX31" s="62" t="n">
        <f aca="false">+AK115</f>
        <v>-93625.4277438045</v>
      </c>
      <c r="AY31" s="93"/>
    </row>
    <row r="32" customFormat="false" ht="12" hidden="false" customHeight="true" outlineLevel="0" collapsed="false">
      <c r="A32" s="69" t="s">
        <v>246</v>
      </c>
      <c r="B32" s="62" t="n">
        <f aca="false">+B607</f>
        <v>718.28</v>
      </c>
      <c r="C32" s="62" t="n">
        <f aca="false">+C607</f>
        <v>934.41</v>
      </c>
      <c r="D32" s="62" t="n">
        <f aca="false">+D607</f>
        <v>1138.95</v>
      </c>
      <c r="E32" s="62" t="n">
        <f aca="false">+E607</f>
        <v>1571.62</v>
      </c>
      <c r="F32" s="62" t="n">
        <f aca="false">+F607</f>
        <v>1864.34</v>
      </c>
      <c r="G32" s="62" t="n">
        <f aca="false">+G607</f>
        <v>1846.74</v>
      </c>
      <c r="H32" s="62" t="n">
        <f aca="false">+H607</f>
        <v>2083.88</v>
      </c>
      <c r="I32" s="62" t="n">
        <f aca="false">+I607</f>
        <v>2286.04</v>
      </c>
      <c r="J32" s="62" t="n">
        <f aca="false">+J607</f>
        <v>2502.22</v>
      </c>
      <c r="K32" s="62" t="n">
        <f aca="false">+K607</f>
        <v>2570.68</v>
      </c>
      <c r="L32" s="62" t="n">
        <f aca="false">+L607</f>
        <v>2906.46</v>
      </c>
      <c r="M32" s="62" t="n">
        <f aca="false">+M607</f>
        <v>3097.42</v>
      </c>
      <c r="N32" s="62" t="n">
        <f aca="false">+N607</f>
        <v>3540.45</v>
      </c>
      <c r="O32" s="62" t="n">
        <f aca="false">+O607</f>
        <v>4038.87</v>
      </c>
      <c r="P32" s="62" t="n">
        <f aca="false">+P607</f>
        <v>4806.95</v>
      </c>
      <c r="Q32" s="62" t="n">
        <f aca="false">+Q607</f>
        <v>6161.72</v>
      </c>
      <c r="R32" s="62" t="n">
        <f aca="false">+R607</f>
        <v>5662.611</v>
      </c>
      <c r="S32" s="62" t="n">
        <f aca="false">+S607</f>
        <v>6716.148</v>
      </c>
      <c r="T32" s="62" t="n">
        <f aca="false">+T607</f>
        <v>9246.001</v>
      </c>
      <c r="U32" s="62" t="n">
        <f aca="false">+U607</f>
        <v>10361.927</v>
      </c>
      <c r="V32" s="62" t="n">
        <f aca="false">+V607</f>
        <v>10867.378</v>
      </c>
      <c r="W32" s="62" t="n">
        <f aca="false">+W607</f>
        <v>9996.723</v>
      </c>
      <c r="X32" s="62" t="n">
        <f aca="false">+X607</f>
        <v>11840.038</v>
      </c>
      <c r="Y32" s="62" t="n">
        <f aca="false">+Y607</f>
        <v>13850.628</v>
      </c>
      <c r="Z32" s="62" t="n">
        <f aca="false">+Z607</f>
        <v>15309.35</v>
      </c>
      <c r="AA32" s="62" t="n">
        <f aca="false">+AA607</f>
        <v>18119.224</v>
      </c>
      <c r="AB32" s="62" t="n">
        <f aca="false">+AB607</f>
        <v>20987.7</v>
      </c>
      <c r="AC32" s="62" t="n">
        <f aca="false">+AC607</f>
        <v>16150.6</v>
      </c>
      <c r="AD32" s="62" t="n">
        <f aca="false">+AD607</f>
        <v>15838.9</v>
      </c>
      <c r="AE32" s="62" t="n">
        <f aca="false">+AE607</f>
        <v>16946</v>
      </c>
      <c r="AF32" s="62" t="n">
        <f aca="false">+AF607</f>
        <v>21138.6</v>
      </c>
      <c r="AG32" s="62" t="n">
        <f aca="false">+AG607</f>
        <v>22333.8</v>
      </c>
      <c r="AH32" s="62" t="n">
        <f aca="false">+AH607</f>
        <v>24062.7</v>
      </c>
      <c r="AI32" s="62" t="n">
        <f aca="false">+AI607</f>
        <v>26066.9</v>
      </c>
      <c r="AJ32" s="62" t="n">
        <f aca="false">+AJ607</f>
        <v>28673.59</v>
      </c>
      <c r="AK32" s="62" t="n">
        <f aca="false">+AK607</f>
        <v>30967.4772</v>
      </c>
      <c r="AL32" s="62" t="n">
        <f aca="false">+AL607</f>
        <v>33444.875376</v>
      </c>
      <c r="AM32" s="102"/>
      <c r="AN32" s="103" t="s">
        <v>161</v>
      </c>
      <c r="AO32" s="104"/>
      <c r="AP32" s="105" t="n">
        <f aca="false">+AM2</f>
        <v>18</v>
      </c>
      <c r="AQ32" s="104"/>
      <c r="AR32" s="104"/>
      <c r="AS32" s="104"/>
      <c r="AT32" s="104"/>
      <c r="AU32" s="104"/>
      <c r="AV32" s="104"/>
      <c r="AW32" s="104"/>
      <c r="AX32" s="104"/>
      <c r="AY32" s="93"/>
    </row>
    <row r="33" customFormat="false" ht="12" hidden="false" customHeight="true" outlineLevel="0" collapsed="false">
      <c r="A33" s="69" t="s">
        <v>219</v>
      </c>
      <c r="B33" s="90" t="n">
        <f aca="false">B32/B19*100</f>
        <v>8.74482728393904</v>
      </c>
      <c r="C33" s="90" t="n">
        <f aca="false">C32/C19*100</f>
        <v>8.82393769671627</v>
      </c>
      <c r="D33" s="90" t="n">
        <f aca="false">D32/D19*100</f>
        <v>8.53683856272004</v>
      </c>
      <c r="E33" s="90" t="n">
        <f aca="false">E32/E19*100</f>
        <v>8.78108414502573</v>
      </c>
      <c r="F33" s="90" t="n">
        <f aca="false">F32/F19*100</f>
        <v>8.54693723364459</v>
      </c>
      <c r="G33" s="90" t="n">
        <f aca="false">G32/G19*100</f>
        <v>10.4406958172233</v>
      </c>
      <c r="H33" s="90" t="n">
        <f aca="false">H32/H19*100</f>
        <v>11.4582455769609</v>
      </c>
      <c r="I33" s="90" t="n">
        <f aca="false">I32/I19*100</f>
        <v>10.1455051228135</v>
      </c>
      <c r="J33" s="90" t="n">
        <f aca="false">J32/J19*100</f>
        <v>11.1110420370762</v>
      </c>
      <c r="K33" s="90" t="n">
        <f aca="false">K32/K19*100</f>
        <v>11.3684124872637</v>
      </c>
      <c r="L33" s="90" t="n">
        <f aca="false">L32/L19*100</f>
        <v>10.8434827216341</v>
      </c>
      <c r="M33" s="90" t="n">
        <f aca="false">M32/M19*100</f>
        <v>9.12647574283623</v>
      </c>
      <c r="N33" s="90" t="n">
        <f aca="false">N32/N19*100</f>
        <v>8.46516025093858</v>
      </c>
      <c r="O33" s="90" t="n">
        <f aca="false">O32/O19*100</f>
        <v>7.696520561462</v>
      </c>
      <c r="P33" s="90" t="n">
        <f aca="false">P32/P19*100</f>
        <v>6.70595978670167</v>
      </c>
      <c r="Q33" s="90" t="n">
        <f aca="false">Q32/Q19*100</f>
        <v>7.97208169672031</v>
      </c>
      <c r="R33" s="90" t="n">
        <f aca="false">R32/R19*100</f>
        <v>9.46754927965526</v>
      </c>
      <c r="S33" s="90" t="n">
        <f aca="false">S32/S19*100</f>
        <v>9.27041598142534</v>
      </c>
      <c r="T33" s="90" t="n">
        <f aca="false">T32/T19*100</f>
        <v>8.31646250140204</v>
      </c>
      <c r="U33" s="90" t="n">
        <f aca="false">U32/U19*100</f>
        <v>8.0760539564327</v>
      </c>
      <c r="V33" s="90" t="n">
        <f aca="false">V32/V19*100</f>
        <v>8.70699772457776</v>
      </c>
      <c r="W33" s="90" t="n">
        <f aca="false">W32/W19*100</f>
        <v>10.0535995302304</v>
      </c>
      <c r="X33" s="90" t="n">
        <f aca="false">X32/X19*100</f>
        <v>8.7301856022654</v>
      </c>
      <c r="Y33" s="90" t="n">
        <f aca="false">Y32/Y19*100</f>
        <v>7.31393866835533</v>
      </c>
      <c r="Z33" s="90" t="n">
        <f aca="false">Z32/Z19*100</f>
        <v>7.64754106779032</v>
      </c>
      <c r="AA33" s="90" t="n">
        <f aca="false">AA32/AA19*100</f>
        <v>6.90311169523724</v>
      </c>
      <c r="AB33" s="90" t="n">
        <f aca="false">AB32/AB19*100</f>
        <v>7.22345073730982</v>
      </c>
      <c r="AC33" s="90" t="n">
        <f aca="false">AC32/AC19*100</f>
        <v>9.24610146747068</v>
      </c>
      <c r="AD33" s="90" t="n">
        <f aca="false">AD32/AD19*100</f>
        <v>10.3512412222371</v>
      </c>
      <c r="AE33" s="90" t="n">
        <f aca="false">AE32/AE19*100</f>
        <v>7.81343296313356</v>
      </c>
      <c r="AF33" s="90" t="n">
        <f aca="false">AF32/AF19*100</f>
        <v>5.84841692180254</v>
      </c>
      <c r="AG33" s="90" t="n">
        <f aca="false">AG32/AG19*100</f>
        <v>5.82109170295433</v>
      </c>
      <c r="AH33" s="90" t="n">
        <f aca="false">AH32/AH19*100</f>
        <v>6.2092899753669</v>
      </c>
      <c r="AI33" s="90" t="n">
        <f aca="false">AI32/AI19*100</f>
        <v>5.92334906491076</v>
      </c>
      <c r="AJ33" s="90" t="n">
        <f aca="false">AJ32/AJ19*100</f>
        <v>5.97591193856123</v>
      </c>
      <c r="AK33" s="90" t="n">
        <f aca="false">AK32/AK19*100</f>
        <v>5.97464723807345</v>
      </c>
      <c r="AL33" s="90" t="n">
        <f aca="false">AL32/AL19*100</f>
        <v>6.0021415746264</v>
      </c>
      <c r="AM33" s="40"/>
      <c r="AN33" s="81" t="s">
        <v>164</v>
      </c>
      <c r="AO33" s="74"/>
      <c r="AP33" s="106" t="n">
        <f aca="false">+ROUND((AP32*AVERAGE(AW25:AX25)-AVERAGE(AW31:AX31))/$AH$84/5,0)*5</f>
        <v>200</v>
      </c>
      <c r="AQ33" s="107" t="n">
        <f aca="false">+AP33-AP2</f>
        <v>0</v>
      </c>
      <c r="AR33" s="107" t="n">
        <f aca="false">+AQ33-AQ2</f>
        <v>-0.121498003030033</v>
      </c>
      <c r="AS33" s="107" t="n">
        <f aca="false">+AR33-AR2</f>
        <v>-200.12149800303</v>
      </c>
      <c r="AT33" s="107" t="n">
        <f aca="false">+AS33-AS2</f>
        <v>-200.12149800303</v>
      </c>
      <c r="AU33" s="107" t="n">
        <f aca="false">+AT33-AT2</f>
        <v>-200.12149800303</v>
      </c>
      <c r="AV33" s="107" t="n">
        <f aca="false">+AU33-AU2</f>
        <v>-200.12149800303</v>
      </c>
      <c r="AW33" s="107" t="n">
        <f aca="false">+AV33-AV2</f>
        <v>-200.12149800303</v>
      </c>
      <c r="AX33" s="107" t="n">
        <f aca="false">+AW33-AW2</f>
        <v>-200.12149800303</v>
      </c>
      <c r="AY33" s="93"/>
    </row>
    <row r="34" customFormat="false" ht="12" hidden="false" customHeight="true" outlineLevel="0" collapsed="false">
      <c r="B34" s="41"/>
      <c r="C34" s="41"/>
      <c r="D34" s="41"/>
      <c r="E34" s="41"/>
      <c r="F34" s="41"/>
      <c r="G34" s="41"/>
      <c r="H34" s="41"/>
      <c r="I34" s="41"/>
      <c r="J34" s="41"/>
      <c r="K34" s="41"/>
      <c r="L34" s="41"/>
      <c r="M34" s="41"/>
      <c r="N34" s="41"/>
      <c r="O34" s="41"/>
      <c r="P34" s="41"/>
      <c r="Q34" s="41"/>
      <c r="R34" s="41"/>
      <c r="S34" s="41"/>
      <c r="T34" s="41"/>
      <c r="U34" s="41"/>
      <c r="V34" s="41"/>
      <c r="W34" s="83"/>
      <c r="X34" s="83"/>
      <c r="Y34" s="83"/>
      <c r="Z34" s="83"/>
      <c r="AA34" s="108"/>
      <c r="AB34" s="83"/>
      <c r="AC34" s="83"/>
      <c r="AD34" s="83"/>
      <c r="AE34" s="83"/>
      <c r="AF34" s="108"/>
      <c r="AG34" s="108"/>
      <c r="AH34" s="83"/>
      <c r="AI34" s="83"/>
      <c r="AJ34" s="83"/>
      <c r="AK34" s="83"/>
      <c r="AL34" s="83"/>
      <c r="AM34" s="83"/>
      <c r="AN34" s="40"/>
      <c r="AO34" s="40"/>
      <c r="AP34" s="83"/>
      <c r="AQ34" s="83"/>
      <c r="AR34" s="83"/>
      <c r="AS34" s="83"/>
      <c r="AT34" s="83"/>
      <c r="AU34" s="83"/>
      <c r="AV34" s="83"/>
      <c r="AW34" s="83"/>
      <c r="AX34" s="83"/>
      <c r="AY34" s="93"/>
    </row>
    <row r="35" customFormat="false" ht="12.75" hidden="false" customHeight="true" outlineLevel="0" collapsed="false">
      <c r="A35" s="69" t="s">
        <v>247</v>
      </c>
      <c r="B35" s="109" t="n">
        <f aca="false">+B584</f>
        <v>82.84</v>
      </c>
      <c r="C35" s="109" t="n">
        <f aca="false">+C584</f>
        <v>132.1</v>
      </c>
      <c r="D35" s="109" t="n">
        <f aca="false">+D584</f>
        <v>123.6</v>
      </c>
      <c r="E35" s="109" t="n">
        <f aca="false">+E584</f>
        <v>237.2</v>
      </c>
      <c r="F35" s="109" t="n">
        <f aca="false">+F584</f>
        <v>295.4</v>
      </c>
      <c r="G35" s="109" t="n">
        <f aca="false">+G584</f>
        <v>217.18</v>
      </c>
      <c r="H35" s="109" t="n">
        <f aca="false">+H584</f>
        <v>163.68</v>
      </c>
      <c r="I35" s="109" t="n">
        <f aca="false">+I584</f>
        <v>230.14</v>
      </c>
      <c r="J35" s="109" t="n">
        <f aca="false">+J584</f>
        <v>228.13</v>
      </c>
      <c r="K35" s="109" t="n">
        <f aca="false">+K584</f>
        <v>240.11</v>
      </c>
      <c r="L35" s="109" t="n">
        <f aca="false">+L584</f>
        <v>-42.6</v>
      </c>
      <c r="M35" s="109" t="n">
        <f aca="false">+M584</f>
        <v>321.27</v>
      </c>
      <c r="N35" s="109" t="n">
        <f aca="false">+N584</f>
        <v>392.32</v>
      </c>
      <c r="O35" s="109" t="n">
        <f aca="false">+O584</f>
        <v>342.28</v>
      </c>
      <c r="P35" s="109" t="n">
        <f aca="false">+P584</f>
        <v>378.88</v>
      </c>
      <c r="Q35" s="109" t="n">
        <f aca="false">+Q584</f>
        <v>412.75</v>
      </c>
      <c r="R35" s="62" t="n">
        <f aca="false">+R584</f>
        <v>303.099</v>
      </c>
      <c r="S35" s="62" t="n">
        <f aca="false">+S584</f>
        <v>341.219</v>
      </c>
      <c r="T35" s="62" t="n">
        <f aca="false">+T584</f>
        <v>660.255</v>
      </c>
      <c r="U35" s="62" t="n">
        <f aca="false">+U584</f>
        <v>710.862</v>
      </c>
      <c r="V35" s="62" t="n">
        <f aca="false">+V584</f>
        <v>739.831</v>
      </c>
      <c r="W35" s="62" t="n">
        <f aca="false">+W584</f>
        <v>502.502</v>
      </c>
      <c r="X35" s="62" t="n">
        <f aca="false">+X584</f>
        <v>611.43</v>
      </c>
      <c r="Y35" s="62" t="n">
        <f aca="false">+Y584</f>
        <v>762.528</v>
      </c>
      <c r="Z35" s="62" t="n">
        <f aca="false">+Z584</f>
        <v>916.756</v>
      </c>
      <c r="AA35" s="62" t="n">
        <f aca="false">+AA584</f>
        <v>1082.912</v>
      </c>
      <c r="AB35" s="62" t="n">
        <f aca="false">+AB584</f>
        <v>1321</v>
      </c>
      <c r="AC35" s="87" t="n">
        <f aca="false">+AC584</f>
        <v>565.6</v>
      </c>
      <c r="AD35" s="62" t="n">
        <f aca="false">+AD584</f>
        <v>550.4</v>
      </c>
      <c r="AE35" s="62" t="n">
        <f aca="false">+AE584</f>
        <v>680.4</v>
      </c>
      <c r="AF35" s="62" t="n">
        <f aca="false">+AF584</f>
        <v>1063.6</v>
      </c>
      <c r="AG35" s="62" t="n">
        <f aca="false">+AG584</f>
        <v>1085.5</v>
      </c>
      <c r="AH35" s="62" t="n">
        <f aca="false">+AH584</f>
        <v>922.2</v>
      </c>
      <c r="AI35" s="62" t="n">
        <f aca="false">+AI584</f>
        <v>1232.19684</v>
      </c>
      <c r="AJ35" s="62" t="n">
        <f aca="false">+AJ584</f>
        <v>1919.27794751966</v>
      </c>
      <c r="AK35" s="62" t="n">
        <f aca="false">+AK584</f>
        <v>3109.88843016469</v>
      </c>
      <c r="AL35" s="62" t="n">
        <f aca="false">+AL584</f>
        <v>3900.50992168695</v>
      </c>
      <c r="AM35" s="74"/>
      <c r="AN35" s="86" t="s">
        <v>248</v>
      </c>
      <c r="AO35" s="87" t="str">
        <f aca="false">+AO18</f>
        <v>FY19</v>
      </c>
      <c r="AP35" s="87" t="str">
        <f aca="false">+AP18</f>
        <v>FY20</v>
      </c>
      <c r="AQ35" s="87" t="str">
        <f aca="false">+AQ18</f>
        <v>FY21</v>
      </c>
      <c r="AR35" s="87" t="str">
        <f aca="false">+AR18</f>
        <v>FY22</v>
      </c>
      <c r="AS35" s="87" t="str">
        <f aca="false">+AS18</f>
        <v>FY23</v>
      </c>
      <c r="AT35" s="87" t="str">
        <f aca="false">+AT18</f>
        <v>FY24</v>
      </c>
      <c r="AU35" s="87" t="str">
        <f aca="false">+AU18</f>
        <v>FY25</v>
      </c>
      <c r="AV35" s="87" t="str">
        <f aca="false">+AV18</f>
        <v>FY26</v>
      </c>
      <c r="AW35" s="87" t="str">
        <f aca="false">+AW18</f>
        <v>FY27</v>
      </c>
      <c r="AX35" s="87" t="str">
        <f aca="false">+AX18</f>
        <v>FY28</v>
      </c>
      <c r="AY35" s="93"/>
    </row>
    <row r="36" customFormat="false" ht="12.75" hidden="false" customHeight="true" outlineLevel="0" collapsed="false">
      <c r="A36" s="69" t="s">
        <v>219</v>
      </c>
      <c r="B36" s="90" t="n">
        <f aca="false">B35/B19*100</f>
        <v>1.00855027593906</v>
      </c>
      <c r="C36" s="90" t="n">
        <f aca="false">C35/C19*100</f>
        <v>1.24746328671164</v>
      </c>
      <c r="D36" s="90" t="n">
        <f aca="false">D35/D19*100</f>
        <v>0.926426310507219</v>
      </c>
      <c r="E36" s="90" t="n">
        <f aca="false">E35/E19*100</f>
        <v>1.32530329163545</v>
      </c>
      <c r="F36" s="90" t="n">
        <f aca="false">F35/F19*100</f>
        <v>1.35424078162707</v>
      </c>
      <c r="G36" s="90" t="n">
        <f aca="false">G35/G19*100</f>
        <v>1.22784491459791</v>
      </c>
      <c r="H36" s="90" t="n">
        <f aca="false">H35/H19*100</f>
        <v>0.899996946099087</v>
      </c>
      <c r="I36" s="90" t="n">
        <f aca="false">I35/I19*100</f>
        <v>1.02136732032873</v>
      </c>
      <c r="J36" s="90" t="n">
        <f aca="false">J35/J19*100</f>
        <v>1.01300525929702</v>
      </c>
      <c r="K36" s="90" t="n">
        <f aca="false">K35/K19*100</f>
        <v>1.06184726310427</v>
      </c>
      <c r="L36" s="90" t="n">
        <f aca="false">L35/L19*100</f>
        <v>-0.15893298512335</v>
      </c>
      <c r="M36" s="90" t="n">
        <f aca="false">M35/M19*100</f>
        <v>0.946614557244738</v>
      </c>
      <c r="N36" s="90" t="n">
        <f aca="false">N35/N19*100</f>
        <v>0.938030947943969</v>
      </c>
      <c r="O36" s="90" t="n">
        <f aca="false">O35/O19*100</f>
        <v>0.6522529959561</v>
      </c>
      <c r="P36" s="90" t="n">
        <f aca="false">P35/P19*100</f>
        <v>0.528558450573758</v>
      </c>
      <c r="Q36" s="90" t="n">
        <f aca="false">Q35/Q19*100</f>
        <v>0.534019189499248</v>
      </c>
      <c r="R36" s="90" t="n">
        <f aca="false">R35/R19*100</f>
        <v>0.506763526421686</v>
      </c>
      <c r="S36" s="90" t="n">
        <f aca="false">S35/S19*100</f>
        <v>0.470990524742155</v>
      </c>
      <c r="T36" s="90" t="n">
        <f aca="false">T35/T19*100</f>
        <v>0.593876849987709</v>
      </c>
      <c r="U36" s="90" t="n">
        <f aca="false">U35/U19*100</f>
        <v>0.554043651106368</v>
      </c>
      <c r="V36" s="90" t="n">
        <f aca="false">V35/V19*100</f>
        <v>0.592756305483447</v>
      </c>
      <c r="W36" s="90" t="n">
        <f aca="false">W35/W19*100</f>
        <v>0.505360993911687</v>
      </c>
      <c r="X36" s="90" t="n">
        <f aca="false">X35/X19*100</f>
        <v>0.450834480665783</v>
      </c>
      <c r="Y36" s="90" t="n">
        <f aca="false">Y35/Y19*100</f>
        <v>0.402659216961401</v>
      </c>
      <c r="Z36" s="90" t="n">
        <f aca="false">Z35/Z19*100</f>
        <v>0.457950805170904</v>
      </c>
      <c r="AA36" s="90" t="n">
        <f aca="false">AA35/AA19*100</f>
        <v>0.412570786260645</v>
      </c>
      <c r="AB36" s="90" t="n">
        <f aca="false">AB35/AB19*100</f>
        <v>0.454655747127426</v>
      </c>
      <c r="AC36" s="90" t="n">
        <f aca="false">AC35/AC19*100</f>
        <v>0.323801901477432</v>
      </c>
      <c r="AD36" s="90" t="n">
        <f aca="false">AD35/AD19*100</f>
        <v>0.359704472451957</v>
      </c>
      <c r="AE36" s="90" t="n">
        <f aca="false">AE35/AE19*100</f>
        <v>0.31371767898714</v>
      </c>
      <c r="AF36" s="90" t="n">
        <f aca="false">AF35/AF19*100</f>
        <v>0.294266235135211</v>
      </c>
      <c r="AG36" s="90" t="n">
        <f aca="false">AG35/AG19*100</f>
        <v>0.282925209483246</v>
      </c>
      <c r="AH36" s="90" t="n">
        <f aca="false">AH35/AH19*100</f>
        <v>0.237970269973168</v>
      </c>
      <c r="AI36" s="90" t="n">
        <f aca="false">AI35/AI19*100</f>
        <v>0.28</v>
      </c>
      <c r="AJ36" s="90" t="n">
        <f aca="false">AJ35/AJ19*100</f>
        <v>0.4</v>
      </c>
      <c r="AK36" s="90" t="n">
        <f aca="false">AK35/AK19*100</f>
        <v>0.6</v>
      </c>
      <c r="AL36" s="90" t="n">
        <f aca="false">AL35/AL19*100</f>
        <v>0.7</v>
      </c>
      <c r="AM36" s="40"/>
      <c r="AN36" s="62" t="s">
        <v>232</v>
      </c>
      <c r="AO36" s="62" t="n">
        <f aca="false">+AO19</f>
        <v>197366</v>
      </c>
      <c r="AP36" s="62" t="n">
        <f aca="false">+AP19</f>
        <v>125253</v>
      </c>
      <c r="AQ36" s="62" t="n">
        <f aca="false">+AQ19</f>
        <v>100715</v>
      </c>
      <c r="AR36" s="62" t="n">
        <f aca="false">+AR19</f>
        <v>128326</v>
      </c>
      <c r="AS36" s="62" t="n">
        <f aca="false">+AS19</f>
        <v>192205</v>
      </c>
      <c r="AT36" s="62" t="n">
        <f aca="false">+AT19</f>
        <v>194683</v>
      </c>
      <c r="AU36" s="62" t="n">
        <f aca="false">+AU19</f>
        <v>195093</v>
      </c>
      <c r="AV36" s="62" t="n">
        <f aca="false">+AV19</f>
        <v>220437</v>
      </c>
      <c r="AW36" s="62" t="n">
        <f aca="false">+AV36*(1+AW37)</f>
        <v>242480.7</v>
      </c>
      <c r="AX36" s="62" t="n">
        <f aca="false">+AW36*(1+AX37)</f>
        <v>266728.77</v>
      </c>
      <c r="AY36" s="89" t="n">
        <f aca="false">+SQRT(AX36/AV36)-1</f>
        <v>0.1</v>
      </c>
    </row>
    <row r="37" customFormat="false" ht="12" hidden="false" customHeight="true" outlineLevel="0" collapsed="false">
      <c r="B37" s="41"/>
      <c r="C37" s="41"/>
      <c r="D37" s="41"/>
      <c r="E37" s="41"/>
      <c r="F37" s="41"/>
      <c r="G37" s="41"/>
      <c r="H37" s="41"/>
      <c r="I37" s="41"/>
      <c r="J37" s="41"/>
      <c r="K37" s="41"/>
      <c r="L37" s="41"/>
      <c r="M37" s="41"/>
      <c r="N37" s="41"/>
      <c r="O37" s="41"/>
      <c r="P37" s="83"/>
      <c r="Q37" s="41"/>
      <c r="R37" s="41"/>
      <c r="S37" s="41"/>
      <c r="T37" s="75"/>
      <c r="U37" s="75"/>
      <c r="V37" s="75"/>
      <c r="W37" s="83"/>
      <c r="X37" s="83"/>
      <c r="Y37" s="83"/>
      <c r="Z37" s="83"/>
      <c r="AA37" s="108"/>
      <c r="AB37" s="83"/>
      <c r="AC37" s="83"/>
      <c r="AD37" s="83"/>
      <c r="AE37" s="83"/>
      <c r="AF37" s="108"/>
      <c r="AG37" s="108"/>
      <c r="AH37" s="83"/>
      <c r="AI37" s="83"/>
      <c r="AJ37" s="83"/>
      <c r="AK37" s="83"/>
      <c r="AL37" s="83"/>
      <c r="AM37" s="83"/>
      <c r="AN37" s="46" t="s">
        <v>233</v>
      </c>
      <c r="AO37" s="61"/>
      <c r="AP37" s="61"/>
      <c r="AQ37" s="61"/>
      <c r="AR37" s="61"/>
      <c r="AS37" s="61"/>
      <c r="AT37" s="61"/>
      <c r="AU37" s="61"/>
      <c r="AV37" s="61"/>
      <c r="AW37" s="110" t="n">
        <v>0.1</v>
      </c>
      <c r="AX37" s="110" t="n">
        <v>0.1</v>
      </c>
      <c r="AY37" s="93"/>
    </row>
    <row r="38" customFormat="false" ht="12.75" hidden="false" customHeight="true" outlineLevel="0" collapsed="false">
      <c r="A38" s="69" t="s">
        <v>249</v>
      </c>
      <c r="B38" s="62" t="n">
        <f aca="false">B632-B32</f>
        <v>827.29</v>
      </c>
      <c r="C38" s="62" t="n">
        <f aca="false">C632-C32</f>
        <v>1027.32</v>
      </c>
      <c r="D38" s="62" t="n">
        <f aca="false">D632-D32</f>
        <v>1212.78</v>
      </c>
      <c r="E38" s="62" t="n">
        <f aca="false">E632-E32</f>
        <v>1643</v>
      </c>
      <c r="F38" s="62" t="n">
        <f aca="false">F632-F32</f>
        <v>1731.23</v>
      </c>
      <c r="G38" s="62" t="n">
        <f aca="false">G632-G32</f>
        <v>1647.68</v>
      </c>
      <c r="H38" s="62" t="n">
        <f aca="false">H632-H32</f>
        <v>1483.97</v>
      </c>
      <c r="I38" s="62" t="n">
        <f aca="false">I632-I32</f>
        <v>1796.29</v>
      </c>
      <c r="J38" s="62" t="n">
        <f aca="false">J632-J32</f>
        <v>1836.24</v>
      </c>
      <c r="K38" s="62" t="n">
        <f aca="false">K632-K32</f>
        <v>1937.8</v>
      </c>
      <c r="L38" s="62" t="n">
        <f aca="false">L632-L32</f>
        <v>2290.99</v>
      </c>
      <c r="M38" s="62" t="n">
        <f aca="false">M632-M32</f>
        <v>2683.73</v>
      </c>
      <c r="N38" s="62" t="n">
        <f aca="false">N632-N32</f>
        <v>3327.75</v>
      </c>
      <c r="O38" s="62" t="n">
        <f aca="false">O632-O32</f>
        <v>4017.11</v>
      </c>
      <c r="P38" s="62" t="n">
        <f aca="false">P632-P32</f>
        <v>4837.2</v>
      </c>
      <c r="Q38" s="62" t="n">
        <f aca="false">Q632-Q32</f>
        <v>5030.08</v>
      </c>
      <c r="R38" s="62" t="n">
        <f aca="false">R632-R32</f>
        <v>4708.233</v>
      </c>
      <c r="S38" s="62" t="n">
        <f aca="false">S632-S32</f>
        <v>5720.707</v>
      </c>
      <c r="T38" s="62" t="n">
        <f aca="false">T632-T32</f>
        <v>7601.349</v>
      </c>
      <c r="U38" s="62" t="n">
        <f aca="false">U632-U32</f>
        <v>10396.103</v>
      </c>
      <c r="V38" s="62" t="n">
        <f aca="false">V632-V32</f>
        <v>13410.809</v>
      </c>
      <c r="W38" s="62" t="n">
        <f aca="false">W632-W32</f>
        <v>11391.054</v>
      </c>
      <c r="X38" s="62" t="n">
        <f aca="false">X632-X32</f>
        <v>13267.963</v>
      </c>
      <c r="Y38" s="62" t="n">
        <f aca="false">Y632-Y32</f>
        <v>20299.179</v>
      </c>
      <c r="Z38" s="62" t="n">
        <f aca="false">Z632-Z32</f>
        <v>22820.938</v>
      </c>
      <c r="AA38" s="62" t="n">
        <f aca="false">AA632-AA32</f>
        <v>30624.801</v>
      </c>
      <c r="AB38" s="62" t="n">
        <f aca="false">AB632-AB32</f>
        <v>32166.7</v>
      </c>
      <c r="AC38" s="87" t="n">
        <f aca="false">AC632-AC32</f>
        <v>26112.5</v>
      </c>
      <c r="AD38" s="62" t="n">
        <f aca="false">AD632-AD32</f>
        <v>18551.6</v>
      </c>
      <c r="AE38" s="62" t="n">
        <f aca="false">AE632-AE32</f>
        <v>22423.2</v>
      </c>
      <c r="AF38" s="62" t="n">
        <f aca="false">AF632-AF32</f>
        <v>32513.9</v>
      </c>
      <c r="AG38" s="62" t="n">
        <f aca="false">AG632-AG32</f>
        <v>35726.5</v>
      </c>
      <c r="AH38" s="62" t="n">
        <f aca="false">AH632-AH32</f>
        <v>38005.8</v>
      </c>
      <c r="AI38" s="62" t="n">
        <f aca="false">AI632-AI32</f>
        <v>42177.30316</v>
      </c>
      <c r="AJ38" s="62" t="n">
        <f aca="false">AJ632-AJ32</f>
        <v>44712.0058655354</v>
      </c>
      <c r="AK38" s="62" t="n">
        <f aca="false">AK632-AK32</f>
        <v>48106.6234716863</v>
      </c>
      <c r="AL38" s="62" t="n">
        <f aca="false">AL632-AL32</f>
        <v>51306.6979993087</v>
      </c>
      <c r="AM38" s="41"/>
      <c r="AN38" s="46" t="s">
        <v>234</v>
      </c>
      <c r="AO38" s="62" t="n">
        <f aca="false">+AO21</f>
        <v>1472135.52486244</v>
      </c>
      <c r="AP38" s="62" t="n">
        <f aca="false">+AP21</f>
        <v>1394574.98023999</v>
      </c>
      <c r="AQ38" s="62" t="n">
        <f aca="false">+AQ21</f>
        <v>1519282.13275083</v>
      </c>
      <c r="AR38" s="62" t="n">
        <f aca="false">+AR21</f>
        <v>1690093.20013092</v>
      </c>
      <c r="AS38" s="62" t="n">
        <f aca="false">+AS21</f>
        <v>1880499.46671523</v>
      </c>
      <c r="AT38" s="62" t="n">
        <f aca="false">+AT21</f>
        <v>1970743.72184526</v>
      </c>
      <c r="AU38" s="62" t="n">
        <f aca="false">+AU21</f>
        <v>1986372.6530424</v>
      </c>
      <c r="AV38" s="62" t="n">
        <f aca="false">+AV21</f>
        <v>1996354.06034377</v>
      </c>
      <c r="AW38" s="62" t="n">
        <f aca="false">+AV38*(1+AW39)</f>
        <v>2116135.3039644</v>
      </c>
      <c r="AX38" s="62" t="n">
        <f aca="false">+AW38*(1+AX39)</f>
        <v>2158458.01004369</v>
      </c>
      <c r="AY38" s="89" t="n">
        <f aca="false">+SQRT(AX38/AV38)-1</f>
        <v>0.0398076745244766</v>
      </c>
    </row>
    <row r="39" customFormat="false" ht="12" hidden="false" customHeight="true" outlineLevel="0" collapsed="false">
      <c r="A39" s="69" t="s">
        <v>219</v>
      </c>
      <c r="B39" s="90" t="n">
        <f aca="false">B38/B19*100</f>
        <v>10.071988867475</v>
      </c>
      <c r="C39" s="90" t="n">
        <f aca="false">C38/C19*100</f>
        <v>9.70131706059499</v>
      </c>
      <c r="D39" s="90" t="n">
        <f aca="false">D38/D19*100</f>
        <v>9.09022088071962</v>
      </c>
      <c r="E39" s="90" t="n">
        <f aca="false">E38/E19*100</f>
        <v>9.17990433455751</v>
      </c>
      <c r="F39" s="90" t="n">
        <f aca="false">F38/F19*100</f>
        <v>7.93670368441514</v>
      </c>
      <c r="G39" s="90" t="n">
        <f aca="false">G38/G19*100</f>
        <v>9.31529380644944</v>
      </c>
      <c r="H39" s="90" t="n">
        <f aca="false">H38/H19*100</f>
        <v>8.15963140336426</v>
      </c>
      <c r="I39" s="90" t="n">
        <f aca="false">I38/I19*100</f>
        <v>7.971981853799</v>
      </c>
      <c r="J39" s="90" t="n">
        <f aca="false">J38/J19*100</f>
        <v>8.15377537952728</v>
      </c>
      <c r="K39" s="90" t="n">
        <f aca="false">K38/K19*100</f>
        <v>8.56960404166195</v>
      </c>
      <c r="L39" s="90" t="n">
        <f aca="false">L38/L19*100</f>
        <v>8.54727416872639</v>
      </c>
      <c r="M39" s="90" t="n">
        <f aca="false">M38/M19*100</f>
        <v>7.9075478124768</v>
      </c>
      <c r="N39" s="90" t="n">
        <f aca="false">N38/N19*100</f>
        <v>7.95659789717716</v>
      </c>
      <c r="O39" s="90" t="n">
        <f aca="false">O38/O19*100</f>
        <v>7.65505443667526</v>
      </c>
      <c r="P39" s="90" t="n">
        <f aca="false">P38/P19*100</f>
        <v>6.74816020142363</v>
      </c>
      <c r="Q39" s="90" t="n">
        <f aca="false">Q38/Q19*100</f>
        <v>6.50795698295913</v>
      </c>
      <c r="R39" s="90" t="n">
        <f aca="false">R38/R19*100</f>
        <v>7.87188594582942</v>
      </c>
      <c r="S39" s="90" t="n">
        <f aca="false">S38/S19*100</f>
        <v>7.89639144310873</v>
      </c>
      <c r="T39" s="90" t="n">
        <f aca="false">T38/T19*100</f>
        <v>6.83715412950636</v>
      </c>
      <c r="U39" s="90" t="n">
        <f aca="false">U38/U19*100</f>
        <v>8.10269062546299</v>
      </c>
      <c r="V39" s="90" t="n">
        <f aca="false">V38/V19*100</f>
        <v>10.744807390315</v>
      </c>
      <c r="W39" s="90" t="n">
        <f aca="false">W38/W19*100</f>
        <v>11.4558636008249</v>
      </c>
      <c r="X39" s="90" t="n">
        <f aca="false">X38/X19*100</f>
        <v>9.78305809102894</v>
      </c>
      <c r="Y39" s="90" t="n">
        <f aca="false">Y38/Y19*100</f>
        <v>10.7191493572686</v>
      </c>
      <c r="Z39" s="90" t="n">
        <f aca="false">Z38/Z19*100</f>
        <v>11.3998347781256</v>
      </c>
      <c r="AA39" s="90" t="n">
        <f aca="false">AA38/AA19*100</f>
        <v>11.6675207474345</v>
      </c>
      <c r="AB39" s="90" t="n">
        <f aca="false">AB38/AB19*100</f>
        <v>11.0709879039544</v>
      </c>
      <c r="AC39" s="90" t="n">
        <f aca="false">AC38/AC19*100</f>
        <v>14.9492170302854</v>
      </c>
      <c r="AD39" s="90" t="n">
        <f aca="false">AD38/AD19*100</f>
        <v>12.1240797440765</v>
      </c>
      <c r="AE39" s="90" t="n">
        <f aca="false">AE38/AE19*100</f>
        <v>10.3388510574139</v>
      </c>
      <c r="AF39" s="90" t="n">
        <f aca="false">AF38/AF19*100</f>
        <v>8.99562142023576</v>
      </c>
      <c r="AG39" s="90" t="n">
        <f aca="false">AG38/AG19*100</f>
        <v>9.31177107010889</v>
      </c>
      <c r="AH39" s="90" t="n">
        <f aca="false">AH38/AH19*100</f>
        <v>9.80725491926506</v>
      </c>
      <c r="AI39" s="90" t="n">
        <f aca="false">AI38/AI19*100</f>
        <v>9.58421942130609</v>
      </c>
      <c r="AJ39" s="90" t="n">
        <f aca="false">AJ38/AJ19*100</f>
        <v>9.31850562307937</v>
      </c>
      <c r="AK39" s="90" t="n">
        <f aca="false">AK38/AK19*100</f>
        <v>9.28135356980741</v>
      </c>
      <c r="AL39" s="90" t="n">
        <f aca="false">AL38/AL19*100</f>
        <v>9.20769061497046</v>
      </c>
      <c r="AM39" s="40"/>
      <c r="AN39" s="46" t="s">
        <v>233</v>
      </c>
      <c r="AO39" s="61"/>
      <c r="AP39" s="61"/>
      <c r="AQ39" s="61"/>
      <c r="AR39" s="61"/>
      <c r="AS39" s="61"/>
      <c r="AT39" s="61"/>
      <c r="AU39" s="61"/>
      <c r="AV39" s="61"/>
      <c r="AW39" s="110" t="n">
        <v>0.06</v>
      </c>
      <c r="AX39" s="110" t="n">
        <v>0.02</v>
      </c>
      <c r="AY39" s="93"/>
    </row>
    <row r="40" customFormat="false" ht="12" hidden="false" customHeight="true" outlineLevel="0" collapsed="false">
      <c r="B40" s="75"/>
      <c r="C40" s="75"/>
      <c r="D40" s="75"/>
      <c r="E40" s="75"/>
      <c r="F40" s="75"/>
      <c r="G40" s="75"/>
      <c r="H40" s="75"/>
      <c r="I40" s="75"/>
      <c r="J40" s="75"/>
      <c r="K40" s="75"/>
      <c r="L40" s="75"/>
      <c r="M40" s="75"/>
      <c r="N40" s="75"/>
      <c r="O40" s="75"/>
      <c r="P40" s="75"/>
      <c r="Q40" s="75"/>
      <c r="R40" s="75"/>
      <c r="S40" s="75"/>
      <c r="T40" s="75"/>
      <c r="U40" s="75"/>
      <c r="V40" s="75"/>
      <c r="W40" s="83"/>
      <c r="X40" s="83"/>
      <c r="Y40" s="83"/>
      <c r="Z40" s="83"/>
      <c r="AA40" s="108"/>
      <c r="AB40" s="83"/>
      <c r="AC40" s="83"/>
      <c r="AD40" s="83"/>
      <c r="AE40" s="83"/>
      <c r="AF40" s="108"/>
      <c r="AG40" s="108"/>
      <c r="AH40" s="83"/>
      <c r="AI40" s="83"/>
      <c r="AJ40" s="83"/>
      <c r="AK40" s="83"/>
      <c r="AL40" s="83"/>
      <c r="AM40" s="83"/>
      <c r="AN40" s="46" t="s">
        <v>236</v>
      </c>
      <c r="AO40" s="62" t="n">
        <f aca="false">+AO38*AO36/1000000</f>
        <v>290549.5</v>
      </c>
      <c r="AP40" s="62" t="n">
        <f aca="false">+AP38*AP36/1000000</f>
        <v>174674.7</v>
      </c>
      <c r="AQ40" s="62" t="n">
        <f aca="false">+AQ38*AQ36/1000000</f>
        <v>153014.5</v>
      </c>
      <c r="AR40" s="62" t="n">
        <f aca="false">+AR38*AR36/1000000</f>
        <v>216882.9</v>
      </c>
      <c r="AS40" s="62" t="n">
        <f aca="false">+AS38*AS36/1000000</f>
        <v>361441.4</v>
      </c>
      <c r="AT40" s="62" t="n">
        <f aca="false">+AT38*AT36/1000000</f>
        <v>383670.3</v>
      </c>
      <c r="AU40" s="62" t="n">
        <f aca="false">+AU38*AU36/1000000</f>
        <v>387527.4</v>
      </c>
      <c r="AV40" s="62" t="n">
        <f aca="false">+AV38*AV36/1000000</f>
        <v>440070.3</v>
      </c>
      <c r="AW40" s="62" t="n">
        <f aca="false">+AW38*AW36/1000000</f>
        <v>513121.9698</v>
      </c>
      <c r="AX40" s="62" t="n">
        <f aca="false">+AX38*AX36/1000000</f>
        <v>575722.8501156</v>
      </c>
      <c r="AY40" s="93"/>
    </row>
    <row r="41" customFormat="false" ht="12.75" hidden="false" customHeight="true" outlineLevel="0" collapsed="false">
      <c r="A41" s="69" t="s">
        <v>250</v>
      </c>
      <c r="B41" s="62" t="n">
        <f aca="false">+B643</f>
        <v>1.3</v>
      </c>
      <c r="C41" s="62" t="n">
        <f aca="false">+C643</f>
        <v>0.83</v>
      </c>
      <c r="D41" s="62" t="n">
        <f aca="false">+D643</f>
        <v>-0.4</v>
      </c>
      <c r="E41" s="62" t="n">
        <f aca="false">+E643</f>
        <v>42.29</v>
      </c>
      <c r="F41" s="62" t="n">
        <f aca="false">+F643</f>
        <v>77.21</v>
      </c>
      <c r="G41" s="62" t="n">
        <f aca="false">+G643</f>
        <v>4.28</v>
      </c>
      <c r="H41" s="62" t="n">
        <f aca="false">+H643</f>
        <v>0</v>
      </c>
      <c r="I41" s="62" t="n">
        <f aca="false">+I643</f>
        <v>2.47</v>
      </c>
      <c r="J41" s="62" t="n">
        <f aca="false">+J643</f>
        <v>3.56</v>
      </c>
      <c r="K41" s="62" t="n">
        <f aca="false">+K643</f>
        <v>2.9</v>
      </c>
      <c r="L41" s="62" t="n">
        <f aca="false">+L643</f>
        <v>1.99</v>
      </c>
      <c r="M41" s="62" t="n">
        <f aca="false">+M643</f>
        <v>3.65</v>
      </c>
      <c r="N41" s="62" t="n">
        <f aca="false">+N643</f>
        <v>8.1</v>
      </c>
      <c r="O41" s="62" t="n">
        <f aca="false">+O643</f>
        <v>4.1</v>
      </c>
      <c r="P41" s="62" t="n">
        <f aca="false">+P643</f>
        <v>1.25</v>
      </c>
      <c r="Q41" s="62" t="n">
        <f aca="false">+Q643</f>
        <v>6.67</v>
      </c>
      <c r="R41" s="62" t="n">
        <f aca="false">+R643</f>
        <v>81.991</v>
      </c>
      <c r="S41" s="62" t="n">
        <f aca="false">+S643</f>
        <v>152.527</v>
      </c>
      <c r="T41" s="62" t="n">
        <f aca="false">+T643</f>
        <v>240.604</v>
      </c>
      <c r="U41" s="62" t="n">
        <f aca="false">+U643</f>
        <v>250.912</v>
      </c>
      <c r="V41" s="62" t="n">
        <f aca="false">+V643</f>
        <v>205.061</v>
      </c>
      <c r="W41" s="62" t="n">
        <f aca="false">+W643</f>
        <v>151.365</v>
      </c>
      <c r="X41" s="62" t="n">
        <f aca="false">+X643</f>
        <v>16.03</v>
      </c>
      <c r="Y41" s="62" t="n">
        <f aca="false">+Y643</f>
        <v>34.21</v>
      </c>
      <c r="Z41" s="62" t="n">
        <f aca="false">+Z643</f>
        <v>458.494</v>
      </c>
      <c r="AA41" s="62" t="n">
        <f aca="false">+AA643</f>
        <v>950.412</v>
      </c>
      <c r="AB41" s="62" t="n">
        <f aca="false">+AB643</f>
        <v>2079</v>
      </c>
      <c r="AC41" s="87" t="n">
        <f aca="false">+AC643</f>
        <v>3582</v>
      </c>
      <c r="AD41" s="62" t="n">
        <f aca="false">+AD643</f>
        <v>1310.9</v>
      </c>
      <c r="AE41" s="62" t="n">
        <f aca="false">+AE643</f>
        <v>722.6</v>
      </c>
      <c r="AF41" s="62" t="n">
        <f aca="false">+AF643</f>
        <v>1073.2</v>
      </c>
      <c r="AG41" s="62" t="n">
        <f aca="false">+AG643</f>
        <v>661.4</v>
      </c>
      <c r="AH41" s="62" t="n">
        <f aca="false">+AH643</f>
        <v>996.7</v>
      </c>
      <c r="AI41" s="111" t="n">
        <f aca="false">+AI643</f>
        <v>900</v>
      </c>
      <c r="AJ41" s="62" t="n">
        <f aca="false">+AJ643</f>
        <v>900</v>
      </c>
      <c r="AK41" s="62" t="n">
        <f aca="false">+AK643</f>
        <v>900</v>
      </c>
      <c r="AL41" s="62" t="n">
        <f aca="false">+AL643</f>
        <v>900</v>
      </c>
      <c r="AM41" s="112"/>
      <c r="AN41" s="62" t="s">
        <v>162</v>
      </c>
      <c r="AO41" s="62" t="n">
        <f aca="false">+AO25</f>
        <v>31357.3999999999</v>
      </c>
      <c r="AP41" s="62" t="n">
        <f aca="false">+AP25</f>
        <v>11736.5</v>
      </c>
      <c r="AQ41" s="62" t="n">
        <f aca="false">+AQ25</f>
        <v>5351.39999999999</v>
      </c>
      <c r="AR41" s="62" t="n">
        <f aca="false">+AR25</f>
        <v>9945.20000000001</v>
      </c>
      <c r="AS41" s="62" t="n">
        <f aca="false">+AS25</f>
        <v>29307</v>
      </c>
      <c r="AT41" s="62" t="n">
        <f aca="false">+AT25</f>
        <v>46065.8000000001</v>
      </c>
      <c r="AU41" s="62" t="n">
        <f aca="false">+AU25</f>
        <v>49305.6</v>
      </c>
      <c r="AV41" s="62" t="n">
        <f aca="false">+AV25</f>
        <v>57322.5000000002</v>
      </c>
      <c r="AW41" s="62" t="n">
        <f aca="false">+AW40*AW42</f>
        <v>66705.856074</v>
      </c>
      <c r="AX41" s="62" t="n">
        <f aca="false">+AX40*AX42</f>
        <v>77722.5847656061</v>
      </c>
      <c r="AY41" s="89" t="n">
        <f aca="false">+SQRT(AX41/AV41)-1</f>
        <v>0.164423753292398</v>
      </c>
    </row>
    <row r="42" customFormat="false" ht="13.5" hidden="false" customHeight="true" outlineLevel="0" collapsed="false">
      <c r="A42" s="69" t="s">
        <v>219</v>
      </c>
      <c r="B42" s="70" t="n">
        <f aca="false">B41/B19*100</f>
        <v>0.0158270806219312</v>
      </c>
      <c r="C42" s="70" t="n">
        <f aca="false">C41/C19*100</f>
        <v>0.00783796009061815</v>
      </c>
      <c r="D42" s="70" t="n">
        <f aca="false">D41/D19*100</f>
        <v>-0.00299814339969974</v>
      </c>
      <c r="E42" s="70" t="n">
        <f aca="false">E41/E19*100</f>
        <v>0.236286156000266</v>
      </c>
      <c r="F42" s="70" t="n">
        <f aca="false">F41/F19*100</f>
        <v>0.353963882022431</v>
      </c>
      <c r="G42" s="70" t="n">
        <f aca="false">G41/G19*100</f>
        <v>0.024197330483834</v>
      </c>
      <c r="H42" s="70" t="n">
        <f aca="false">H41/H19*100</f>
        <v>0</v>
      </c>
      <c r="I42" s="70" t="n">
        <f aca="false">I41/I19*100</f>
        <v>0.0109619243991135</v>
      </c>
      <c r="J42" s="70" t="n">
        <f aca="false">J41/J19*100</f>
        <v>0.0158080862801797</v>
      </c>
      <c r="K42" s="70" t="n">
        <f aca="false">K41/K19*100</f>
        <v>0.0128247764066569</v>
      </c>
      <c r="L42" s="70" t="n">
        <f aca="false">L41/L19*100</f>
        <v>0.00742433428158373</v>
      </c>
      <c r="M42" s="70" t="n">
        <f aca="false">M41/M19*100</f>
        <v>0.0107546398167999</v>
      </c>
      <c r="N42" s="70" t="n">
        <f aca="false">N41/N19*100</f>
        <v>0.0193669725691939</v>
      </c>
      <c r="O42" s="70" t="n">
        <f aca="false">O41/O19*100</f>
        <v>0.00781301064456004</v>
      </c>
      <c r="P42" s="70" t="n">
        <f aca="false">P41/P19*100</f>
        <v>0.00174381879016363</v>
      </c>
      <c r="Q42" s="70" t="n">
        <f aca="false">Q41/Q19*100</f>
        <v>0.00862969834999391</v>
      </c>
      <c r="R42" s="70" t="n">
        <f aca="false">R41/R19*100</f>
        <v>0.137084082411491</v>
      </c>
      <c r="S42" s="70" t="n">
        <f aca="false">S41/S19*100</f>
        <v>0.210535672888516</v>
      </c>
      <c r="T42" s="70" t="n">
        <f aca="false">T41/T19*100</f>
        <v>0.216415090555078</v>
      </c>
      <c r="U42" s="70" t="n">
        <f aca="false">U41/U19*100</f>
        <v>0.195560039200859</v>
      </c>
      <c r="V42" s="70" t="n">
        <f aca="false">V41/V19*100</f>
        <v>0.164295901035157</v>
      </c>
      <c r="W42" s="70" t="n">
        <f aca="false">W41/W19*100</f>
        <v>0.152226193813044</v>
      </c>
      <c r="X42" s="70" t="n">
        <f aca="false">X41/X19*100</f>
        <v>0.0118196305792527</v>
      </c>
      <c r="Y42" s="70" t="n">
        <f aca="false">Y41/Y19*100</f>
        <v>0.0180648734371059</v>
      </c>
      <c r="Z42" s="70" t="n">
        <f aca="false">Z41/Z19*100</f>
        <v>0.229033348531156</v>
      </c>
      <c r="AA42" s="70" t="n">
        <f aca="false">AA41/AA19*100</f>
        <v>0.362090572559499</v>
      </c>
      <c r="AB42" s="70" t="n">
        <f aca="false">AB41/AB19*100</f>
        <v>0.715540725418561</v>
      </c>
      <c r="AC42" s="70" t="n">
        <f aca="false">AC41/AC19*100</f>
        <v>2.05066904365658</v>
      </c>
      <c r="AD42" s="70" t="n">
        <f aca="false">AD41/AD19*100</f>
        <v>0.856716193563355</v>
      </c>
      <c r="AE42" s="70" t="n">
        <f aca="false">AE41/AE19*100</f>
        <v>0.333175183474585</v>
      </c>
      <c r="AF42" s="70" t="n">
        <f aca="false">AF41/AF19*100</f>
        <v>0.296922267344029</v>
      </c>
      <c r="AG42" s="70" t="n">
        <f aca="false">AG41/AG19*100</f>
        <v>0.172387594244329</v>
      </c>
      <c r="AH42" s="70" t="n">
        <f aca="false">AH41/AH19*100</f>
        <v>0.257194717070329</v>
      </c>
      <c r="AI42" s="70" t="n">
        <f aca="false">AI41/AI19*100</f>
        <v>0.204512778980995</v>
      </c>
      <c r="AJ42" s="70" t="n">
        <f aca="false">AJ41/AJ19*100</f>
        <v>0.18757053946524</v>
      </c>
      <c r="AK42" s="70" t="n">
        <f aca="false">AK41/AK19*100</f>
        <v>0.173639669758636</v>
      </c>
      <c r="AL42" s="70" t="n">
        <f aca="false">AL41/AL19*100</f>
        <v>0.161517343283036</v>
      </c>
      <c r="AM42" s="41"/>
      <c r="AN42" s="113" t="s">
        <v>238</v>
      </c>
      <c r="AO42" s="113" t="n">
        <f aca="false">+AO41/AO40</f>
        <v>0.107924467259451</v>
      </c>
      <c r="AP42" s="113" t="n">
        <f aca="false">+AP41/AP40</f>
        <v>0.0671906120348282</v>
      </c>
      <c r="AQ42" s="113" t="n">
        <f aca="false">+AQ41/AQ40</f>
        <v>0.0349731561387973</v>
      </c>
      <c r="AR42" s="113" t="n">
        <f aca="false">+AR41/AR40</f>
        <v>0.0458551596276148</v>
      </c>
      <c r="AS42" s="113" t="n">
        <f aca="false">+AS41/AS40</f>
        <v>0.0810836832747992</v>
      </c>
      <c r="AT42" s="113" t="n">
        <f aca="false">+AT41/AT40</f>
        <v>0.120066108843974</v>
      </c>
      <c r="AU42" s="113" t="n">
        <f aca="false">+AU41/AU40</f>
        <v>0.127231261583052</v>
      </c>
      <c r="AV42" s="113" t="n">
        <f aca="false">+AV41/AV40</f>
        <v>0.130257597479312</v>
      </c>
      <c r="AW42" s="114" t="n">
        <v>0.13</v>
      </c>
      <c r="AX42" s="114" t="n">
        <v>0.135</v>
      </c>
      <c r="AY42" s="93"/>
    </row>
    <row r="43" customFormat="false" ht="12" hidden="false" customHeight="true" outlineLevel="0" collapsed="false">
      <c r="B43" s="75"/>
      <c r="C43" s="75"/>
      <c r="D43" s="75"/>
      <c r="E43" s="75"/>
      <c r="F43" s="75"/>
      <c r="G43" s="75"/>
      <c r="H43" s="75"/>
      <c r="I43" s="75"/>
      <c r="J43" s="75"/>
      <c r="K43" s="75"/>
      <c r="L43" s="75"/>
      <c r="M43" s="75"/>
      <c r="Q43" s="61"/>
      <c r="R43" s="115"/>
      <c r="S43" s="115"/>
      <c r="AA43" s="38"/>
      <c r="AB43" s="31"/>
      <c r="AC43" s="32"/>
      <c r="AD43" s="32"/>
      <c r="AN43" s="62" t="s">
        <v>239</v>
      </c>
      <c r="AO43" s="62" t="n">
        <f aca="false">+AO27</f>
        <v>-5814.5</v>
      </c>
      <c r="AP43" s="62" t="n">
        <f aca="false">+AP27</f>
        <v>-6559.1</v>
      </c>
      <c r="AQ43" s="62" t="n">
        <f aca="false">+AQ27</f>
        <v>-9350</v>
      </c>
      <c r="AR43" s="62" t="n">
        <f aca="false">+AR27</f>
        <v>-9777.4</v>
      </c>
      <c r="AS43" s="62" t="n">
        <f aca="false">+AS27</f>
        <v>-8203</v>
      </c>
      <c r="AT43" s="62" t="n">
        <f aca="false">+AT27</f>
        <v>-7206.8</v>
      </c>
      <c r="AU43" s="62" t="n">
        <f aca="false">+AU27</f>
        <v>-6860</v>
      </c>
      <c r="AV43" s="62" t="n">
        <f aca="false">+AV27</f>
        <v>-5697.5</v>
      </c>
      <c r="AW43" s="62" t="n">
        <f aca="false">+AW27</f>
        <v>-5423.03479716902</v>
      </c>
      <c r="AX43" s="62" t="n">
        <f aca="false">+AX27</f>
        <v>-5383.36486134668</v>
      </c>
      <c r="AY43" s="93"/>
    </row>
    <row r="44" s="19" customFormat="true" ht="16.5" hidden="false" customHeight="true" outlineLevel="0" collapsed="false">
      <c r="A44" s="59" t="s">
        <v>251</v>
      </c>
      <c r="B44" s="67" t="n">
        <f aca="false">+B25+B32+B35+B38-B41</f>
        <v>7587.45</v>
      </c>
      <c r="C44" s="67" t="n">
        <f aca="false">+C25+C32+C35+C38-C41</f>
        <v>9712.16</v>
      </c>
      <c r="D44" s="67" t="n">
        <f aca="false">+D25+D32+D35+D38-D41</f>
        <v>12260.99</v>
      </c>
      <c r="E44" s="67" t="n">
        <f aca="false">+E25+E32+E35+E38-E41</f>
        <v>16443.61</v>
      </c>
      <c r="F44" s="67" t="n">
        <f aca="false">+F25+F32+F35+F38-F41</f>
        <v>19522.91</v>
      </c>
      <c r="G44" s="67" t="n">
        <f aca="false">+G25+G32+G35+G38-G41</f>
        <v>16140.28</v>
      </c>
      <c r="H44" s="67" t="n">
        <f aca="false">+H25+H32+H35+H38-H41</f>
        <v>16531.01</v>
      </c>
      <c r="I44" s="67" t="n">
        <f aca="false">+I25+I32+I35+I38-I41</f>
        <v>19924.33</v>
      </c>
      <c r="J44" s="67" t="n">
        <f aca="false">+J25+J32+J35+J38-J41</f>
        <v>19647.86</v>
      </c>
      <c r="K44" s="67" t="n">
        <f aca="false">+K25+K32+K35+K38-K41</f>
        <v>19650.75</v>
      </c>
      <c r="L44" s="67" t="n">
        <f aca="false">+L25+L32+L35+L38-L41</f>
        <v>23533.46</v>
      </c>
      <c r="M44" s="67" t="n">
        <f aca="false">+M25+M32+M35+M38-M41</f>
        <v>29992.8</v>
      </c>
      <c r="N44" s="67" t="n">
        <f aca="false">+N25+N32+N35+N38-N41</f>
        <v>37595.28</v>
      </c>
      <c r="O44" s="67" t="n">
        <f aca="false">+O25+O32+O35+O38-O41</f>
        <v>47075.87</v>
      </c>
      <c r="P44" s="67" t="n">
        <f aca="false">+P25+P32+P35+P38-P41</f>
        <v>64654.91</v>
      </c>
      <c r="Q44" s="67" t="n">
        <f aca="false">+Q25+Q32+Q35+Q38-Q41</f>
        <v>69251.34</v>
      </c>
      <c r="R44" s="67" t="n">
        <f aca="false">+R25+R32+R35+R38-R41</f>
        <v>55116.386</v>
      </c>
      <c r="S44" s="67" t="n">
        <f aca="false">+S25+S32+S35+S38-S41</f>
        <v>64818.714</v>
      </c>
      <c r="T44" s="67" t="n">
        <f aca="false">+T25+T32+T35+T38-T41</f>
        <v>98501.516</v>
      </c>
      <c r="U44" s="67" t="n">
        <f aca="false">+U25+U32+U35+U38-U41</f>
        <v>115858.983</v>
      </c>
      <c r="V44" s="67" t="n">
        <f aca="false">+V25+V32+V35+V38-V41</f>
        <v>116047.317</v>
      </c>
      <c r="W44" s="67" t="n">
        <f aca="false">+W25+W32+W35+W38-W41</f>
        <v>97768.644</v>
      </c>
      <c r="X44" s="67" t="n">
        <f aca="false">+X25+X32+X35+X38-X41</f>
        <v>125355.499</v>
      </c>
      <c r="Y44" s="67" t="n">
        <f aca="false">+Y25+Y32+Y35+Y38-Y41</f>
        <v>166826.729</v>
      </c>
      <c r="Z44" s="67" t="n">
        <f aca="false">+Z25+Z32+Z35+Z38-Z41</f>
        <v>178161.196</v>
      </c>
      <c r="AA44" s="67" t="n">
        <f aca="false">+AA25+AA32+AA35+AA38-AA41</f>
        <v>235089.272</v>
      </c>
      <c r="AB44" s="67" t="n">
        <f aca="false">+AB25+AB32+AB35+AB38-AB41</f>
        <v>259192.1</v>
      </c>
      <c r="AC44" s="67" t="n">
        <f aca="false">+AC25+AC32+AC35+AC38-AC41</f>
        <v>162938.2</v>
      </c>
      <c r="AD44" s="67" t="n">
        <f aca="false">+AD25+AD32+AD35+AD38-AD41</f>
        <v>147663.1</v>
      </c>
      <c r="AE44" s="67" t="n">
        <f aca="false">+AE25+AE32+AE35+AE38-AE41</f>
        <v>206937.7</v>
      </c>
      <c r="AF44" s="67" t="n">
        <f aca="false">+AF25+AF32+AF35+AF38-AF41</f>
        <v>332134.4</v>
      </c>
      <c r="AG44" s="67" t="n">
        <f aca="false">+AG25+AG32+AG35+AG38-AG41</f>
        <v>337604.5</v>
      </c>
      <c r="AH44" s="67" t="n">
        <f aca="false">+AH25+AH32+AH35+AH38-AH41</f>
        <v>338221.8</v>
      </c>
      <c r="AI44" s="67" t="n">
        <f aca="false">+AI25+AI32+AI35+AI38-AI41</f>
        <v>382747.8</v>
      </c>
      <c r="AJ44" s="67" t="n">
        <f aca="false">+AJ25+AJ32+AJ35+AJ38-AJ41</f>
        <v>422274.001800993</v>
      </c>
      <c r="AK44" s="67" t="n">
        <f aca="false">+AK25+AK32+AK35+AK38-AK41</f>
        <v>454470.600721613</v>
      </c>
      <c r="AL44" s="67" t="n">
        <f aca="false">+AL25+AL32+AL35+AL38-AL41</f>
        <v>488947.389527653</v>
      </c>
      <c r="AM44" s="66"/>
      <c r="AN44" s="90" t="s">
        <v>241</v>
      </c>
      <c r="AO44" s="62" t="n">
        <f aca="false">+AO41+AO43</f>
        <v>25542.8999999999</v>
      </c>
      <c r="AP44" s="62" t="n">
        <f aca="false">+AP41+AP43</f>
        <v>5177.4</v>
      </c>
      <c r="AQ44" s="62" t="n">
        <f aca="false">+AQ41+AQ43</f>
        <v>-3998.60000000001</v>
      </c>
      <c r="AR44" s="62" t="n">
        <f aca="false">+AR41+AR43</f>
        <v>167.80000000001</v>
      </c>
      <c r="AS44" s="62" t="n">
        <f aca="false">+AS41+AS43</f>
        <v>21104</v>
      </c>
      <c r="AT44" s="62" t="n">
        <f aca="false">+AT41+AT43</f>
        <v>38859</v>
      </c>
      <c r="AU44" s="62" t="n">
        <f aca="false">+AU41+AU43</f>
        <v>42445.6</v>
      </c>
      <c r="AV44" s="62" t="n">
        <f aca="false">+AV41+AV43</f>
        <v>51625.0000000002</v>
      </c>
      <c r="AW44" s="62" t="n">
        <f aca="false">+AW41+AW43</f>
        <v>61282.821276831</v>
      </c>
      <c r="AX44" s="62" t="n">
        <f aca="false">+AX41+AX43</f>
        <v>72339.2199042594</v>
      </c>
      <c r="AY44" s="116"/>
    </row>
    <row r="45" s="19" customFormat="true" ht="12.75" hidden="false" customHeight="true" outlineLevel="0" collapsed="false">
      <c r="A45" s="59" t="s">
        <v>219</v>
      </c>
      <c r="B45" s="117" t="n">
        <f aca="false">B44/B19*100</f>
        <v>92.3747560499016</v>
      </c>
      <c r="C45" s="117" t="n">
        <f aca="false">C44/C19*100</f>
        <v>91.7150873177084</v>
      </c>
      <c r="D45" s="117" t="n">
        <f aca="false">D44/D19*100</f>
        <v>91.9005156057112</v>
      </c>
      <c r="E45" s="117" t="n">
        <f aca="false">E44/E19*100</f>
        <v>91.875086253666</v>
      </c>
      <c r="F45" s="117" t="n">
        <f aca="false">F44/F19*100</f>
        <v>89.501424841012</v>
      </c>
      <c r="G45" s="117" t="n">
        <f aca="false">G44/G19*100</f>
        <v>91.2503946872935</v>
      </c>
      <c r="H45" s="117" t="n">
        <f aca="false">H44/H19*100</f>
        <v>90.8960075509132</v>
      </c>
      <c r="I45" s="117" t="n">
        <f aca="false">I44/I19*100</f>
        <v>88.4246960174041</v>
      </c>
      <c r="J45" s="117" t="n">
        <f aca="false">J44/J19*100</f>
        <v>87.24580508452</v>
      </c>
      <c r="K45" s="117" t="n">
        <f aca="false">K44/K19*100</f>
        <v>86.902232749349</v>
      </c>
      <c r="L45" s="117" t="n">
        <f aca="false">L44/L19*100</f>
        <v>87.7991325840601</v>
      </c>
      <c r="M45" s="117" t="n">
        <f aca="false">M44/M19*100</f>
        <v>88.3730852321411</v>
      </c>
      <c r="N45" s="117" t="n">
        <f aca="false">N44/N19*100</f>
        <v>89.8897230236005</v>
      </c>
      <c r="O45" s="117" t="n">
        <f aca="false">O44/O19*100</f>
        <v>89.7083593687621</v>
      </c>
      <c r="P45" s="117" t="n">
        <f aca="false">P44/P19*100</f>
        <v>90.1971575474709</v>
      </c>
      <c r="Q45" s="117" t="n">
        <f aca="false">Q44/Q19*100</f>
        <v>89.597927216322</v>
      </c>
      <c r="R45" s="117" t="n">
        <f aca="false">R44/R19*100</f>
        <v>92.1513239336944</v>
      </c>
      <c r="S45" s="117" t="n">
        <f aca="false">S44/S19*100</f>
        <v>89.4703991277498</v>
      </c>
      <c r="T45" s="117" t="n">
        <f aca="false">T44/T19*100</f>
        <v>88.5987535741401</v>
      </c>
      <c r="U45" s="117" t="n">
        <f aca="false">U44/U19*100</f>
        <v>90.3001341396652</v>
      </c>
      <c r="V45" s="117" t="n">
        <f aca="false">V44/V19*100</f>
        <v>92.9776920488415</v>
      </c>
      <c r="W45" s="117" t="n">
        <f aca="false">W44/W19*100</f>
        <v>98.3249004088299</v>
      </c>
      <c r="X45" s="117" t="n">
        <f aca="false">X44/X19*100</f>
        <v>92.4301740023634</v>
      </c>
      <c r="Y45" s="117" t="n">
        <f aca="false">Y44/Y19*100</f>
        <v>88.0942340050094</v>
      </c>
      <c r="Z45" s="117" t="n">
        <f aca="false">Z44/Z19*100</f>
        <v>88.9975774998051</v>
      </c>
      <c r="AA45" s="117" t="n">
        <f aca="false">AA44/AA19*100</f>
        <v>89.5649561464668</v>
      </c>
      <c r="AB45" s="117" t="n">
        <f aca="false">AB44/AB19*100</f>
        <v>89.2075532740549</v>
      </c>
      <c r="AC45" s="117" t="n">
        <f aca="false">AC44/AC19*100</f>
        <v>93.2809387965172</v>
      </c>
      <c r="AD45" s="117" t="n">
        <f aca="false">AD44/AD19*100</f>
        <v>96.5026843861203</v>
      </c>
      <c r="AE45" s="117" t="n">
        <f aca="false">AE44/AE19*100</f>
        <v>95.4144840372385</v>
      </c>
      <c r="AF45" s="117" t="n">
        <f aca="false">AF44/AF19*100</f>
        <v>91.8916316725201</v>
      </c>
      <c r="AG45" s="117" t="n">
        <f aca="false">AG44/AG19*100</f>
        <v>87.9933891156026</v>
      </c>
      <c r="AH45" s="117" t="n">
        <f aca="false">AH44/AH19*100</f>
        <v>87.2768738416948</v>
      </c>
      <c r="AI45" s="117" t="n">
        <f aca="false">AI44/AI19*100</f>
        <v>86.9742402520688</v>
      </c>
      <c r="AJ45" s="117" t="n">
        <f aca="false">AJ44/AJ19*100</f>
        <v>88.0068470221754</v>
      </c>
      <c r="AK45" s="117" t="n">
        <f aca="false">AK44/AK19*100</f>
        <v>87.6823611381222</v>
      </c>
      <c r="AL45" s="117" t="n">
        <f aca="false">AL44/AL19*100</f>
        <v>87.7483148463138</v>
      </c>
      <c r="AM45" s="118"/>
      <c r="AN45" s="90" t="s">
        <v>242</v>
      </c>
      <c r="AO45" s="62" t="n">
        <f aca="false">+AO29/AO28*AO44</f>
        <v>5136</v>
      </c>
      <c r="AP45" s="62" t="n">
        <f aca="false">+AP29/AP28*AP44</f>
        <v>1224</v>
      </c>
      <c r="AQ45" s="62" t="n">
        <f aca="false">+AQ29/AQ28*AQ44</f>
        <v>-982.3</v>
      </c>
      <c r="AR45" s="62" t="n">
        <f aca="false">+AR29/AR28*AR44</f>
        <v>-142.2</v>
      </c>
      <c r="AS45" s="62" t="n">
        <f aca="false">+AS29/AS28*AS44</f>
        <v>7302.9</v>
      </c>
      <c r="AT45" s="62" t="n">
        <f aca="false">+AT29/AT28*AT44</f>
        <v>11743.1</v>
      </c>
      <c r="AU45" s="62" t="n">
        <f aca="false">+AU29/AU28*AU44</f>
        <v>10450</v>
      </c>
      <c r="AV45" s="62" t="n">
        <f aca="false">+AV29/AV28*AV44</f>
        <v>12484.9</v>
      </c>
      <c r="AW45" s="62" t="n">
        <f aca="false">+AW29/AW28*AW44</f>
        <v>15320.7053192078</v>
      </c>
      <c r="AX45" s="62" t="n">
        <f aca="false">+AX29/AX28*AX44</f>
        <v>18084.8049760649</v>
      </c>
      <c r="AY45" s="116"/>
    </row>
    <row r="46" customFormat="false" ht="12" hidden="false" customHeight="true" outlineLevel="0" collapsed="false">
      <c r="B46" s="75"/>
      <c r="C46" s="75"/>
      <c r="D46" s="75"/>
      <c r="E46" s="75"/>
      <c r="F46" s="75"/>
      <c r="G46" s="75"/>
      <c r="H46" s="75"/>
      <c r="I46" s="75"/>
      <c r="Q46" s="31"/>
      <c r="R46" s="119"/>
      <c r="S46" s="119"/>
      <c r="T46" s="119"/>
      <c r="U46" s="119"/>
      <c r="V46" s="119"/>
      <c r="W46" s="119"/>
      <c r="X46" s="119"/>
      <c r="Y46" s="119"/>
      <c r="Z46" s="119"/>
      <c r="AA46" s="120"/>
      <c r="AB46" s="121" t="n">
        <f aca="false">+(AB47/W47)^0.2-1</f>
        <v>0.79867487143792</v>
      </c>
      <c r="AC46" s="121" t="n">
        <f aca="false">+(AC47/Z47)^0.33333-1</f>
        <v>-0.18927662496909</v>
      </c>
      <c r="AD46" s="83"/>
      <c r="AE46" s="78" t="n">
        <f aca="false">42000/AE47</f>
        <v>4.22314282266822</v>
      </c>
      <c r="AF46" s="122" t="n">
        <f aca="false">+AF47/Z47-1</f>
        <v>0.330601816850129</v>
      </c>
      <c r="AG46" s="122" t="n">
        <f aca="false">+AG47/AA47-1</f>
        <v>0.681859240556171</v>
      </c>
      <c r="AH46" s="122" t="n">
        <f aca="false">+AH47/AB47-1</f>
        <v>0.572375260704018</v>
      </c>
      <c r="AI46" s="122" t="n">
        <f aca="false">+AI47/AC47-1</f>
        <v>3.8841221829336</v>
      </c>
      <c r="AJ46" s="122" t="n">
        <f aca="false">+AJ47/AD47-1</f>
        <v>9.75335147417897</v>
      </c>
      <c r="AK46" s="122" t="n">
        <f aca="false">+AK47/AE47-1</f>
        <v>5.41959313429268</v>
      </c>
      <c r="AL46" s="122" t="n">
        <f aca="false">+AL47/AF47-1</f>
        <v>1.32942005563457</v>
      </c>
      <c r="AM46" s="119"/>
      <c r="AN46" s="62" t="s">
        <v>244</v>
      </c>
      <c r="AO46" s="62" t="n">
        <f aca="false">+AO44-AO45</f>
        <v>20406.8999999999</v>
      </c>
      <c r="AP46" s="62" t="n">
        <f aca="false">+AP44-AP45</f>
        <v>3953.4</v>
      </c>
      <c r="AQ46" s="62" t="n">
        <f aca="false">+AQ44-AQ45</f>
        <v>-3016.30000000001</v>
      </c>
      <c r="AR46" s="62" t="n">
        <f aca="false">+AR44-AR45</f>
        <v>310.00000000001</v>
      </c>
      <c r="AS46" s="62" t="n">
        <f aca="false">+AS44-AS45</f>
        <v>13801.1</v>
      </c>
      <c r="AT46" s="62" t="n">
        <f aca="false">+AT44-AT45</f>
        <v>27115.9</v>
      </c>
      <c r="AU46" s="62" t="n">
        <f aca="false">+AU30</f>
        <v>32254.925</v>
      </c>
      <c r="AV46" s="62" t="n">
        <f aca="false">+AV30</f>
        <v>39140.1000000002</v>
      </c>
      <c r="AW46" s="62" t="n">
        <f aca="false">+AW44-AW45</f>
        <v>45962.1159576232</v>
      </c>
      <c r="AX46" s="62" t="n">
        <f aca="false">+AX44-AX45</f>
        <v>54254.4149281945</v>
      </c>
      <c r="AY46" s="93"/>
    </row>
    <row r="47" s="19" customFormat="true" ht="12.75" hidden="false" customHeight="true" outlineLevel="0" collapsed="false">
      <c r="A47" s="59" t="s">
        <v>162</v>
      </c>
      <c r="B47" s="67" t="n">
        <f aca="false">+B19-B44</f>
        <v>626.320000000002</v>
      </c>
      <c r="C47" s="67" t="n">
        <f aca="false">+C19-C44</f>
        <v>877.33</v>
      </c>
      <c r="D47" s="67" t="n">
        <f aca="false">+D19-D44</f>
        <v>1080.6</v>
      </c>
      <c r="E47" s="67" t="n">
        <f aca="false">+E19-E44</f>
        <v>1454.18</v>
      </c>
      <c r="F47" s="67" t="n">
        <f aca="false">+F19-F44</f>
        <v>2290.05</v>
      </c>
      <c r="G47" s="67" t="n">
        <f aca="false">+G19-G44</f>
        <v>1547.621576</v>
      </c>
      <c r="H47" s="67" t="n">
        <f aca="false">+H19-H44</f>
        <v>1655.71837829599</v>
      </c>
      <c r="I47" s="67" t="n">
        <f aca="false">+I19-I44</f>
        <v>2608.21</v>
      </c>
      <c r="J47" s="67" t="n">
        <f aca="false">+J19-J44</f>
        <v>2872.26</v>
      </c>
      <c r="K47" s="67" t="n">
        <f aca="false">+K19-K44</f>
        <v>2961.73</v>
      </c>
      <c r="L47" s="67" t="n">
        <f aca="false">+L19-L44</f>
        <v>3270.29</v>
      </c>
      <c r="M47" s="67" t="n">
        <f aca="false">+M19-M44</f>
        <v>3946.04</v>
      </c>
      <c r="N47" s="67" t="n">
        <f aca="false">+N19-N44</f>
        <v>4228.5</v>
      </c>
      <c r="O47" s="67" t="n">
        <f aca="false">+O19-O44</f>
        <v>5400.69999999999</v>
      </c>
      <c r="P47" s="67" t="n">
        <f aca="false">+P19-P44</f>
        <v>7026.85</v>
      </c>
      <c r="Q47" s="67" t="n">
        <f aca="false">+Q19-Q44</f>
        <v>8039.89</v>
      </c>
      <c r="R47" s="67" t="n">
        <f aca="false">+R19-R44</f>
        <v>4694.35100000001</v>
      </c>
      <c r="S47" s="67" t="n">
        <f aca="false">+S19-S44</f>
        <v>7628.39100000003</v>
      </c>
      <c r="T47" s="67" t="n">
        <f aca="false">+T19-T44</f>
        <v>12675.574</v>
      </c>
      <c r="U47" s="67" t="n">
        <f aca="false">+U19-U44</f>
        <v>12445.348</v>
      </c>
      <c r="V47" s="67" t="n">
        <f aca="false">+V19-V44</f>
        <v>8764.68300000001</v>
      </c>
      <c r="W47" s="67" t="n">
        <f aca="false">+W19-W44</f>
        <v>1665.62299999998</v>
      </c>
      <c r="X47" s="88" t="n">
        <f aca="false">+X19-X44</f>
        <v>10266.337</v>
      </c>
      <c r="Y47" s="67" t="n">
        <f aca="false">+Y19-Y44</f>
        <v>22546.311</v>
      </c>
      <c r="Z47" s="67" t="n">
        <f aca="false">+Z19-Z44</f>
        <v>22025.372</v>
      </c>
      <c r="AA47" s="67" t="n">
        <f aca="false">+AA19-AA44</f>
        <v>27389.807</v>
      </c>
      <c r="AB47" s="67" t="n">
        <f aca="false">+AB19-AB44</f>
        <v>31357.3999999999</v>
      </c>
      <c r="AC47" s="67" t="n">
        <f aca="false">+AC19-AC44</f>
        <v>11736.5</v>
      </c>
      <c r="AD47" s="67" t="n">
        <f aca="false">+AD19-AD44</f>
        <v>5351.39999999999</v>
      </c>
      <c r="AE47" s="67" t="n">
        <f aca="false">+AE19-AE44</f>
        <v>9945.20000000001</v>
      </c>
      <c r="AF47" s="67" t="n">
        <f aca="false">+AF19-AF44</f>
        <v>29307</v>
      </c>
      <c r="AG47" s="67" t="n">
        <f aca="false">+AG19-AG44</f>
        <v>46065.8000000001</v>
      </c>
      <c r="AH47" s="67" t="n">
        <f aca="false">+AH19-AH44</f>
        <v>49305.6</v>
      </c>
      <c r="AI47" s="67" t="n">
        <f aca="false">+AI19-AI44</f>
        <v>57322.5000000002</v>
      </c>
      <c r="AJ47" s="67" t="n">
        <f aca="false">+AJ19-AJ44</f>
        <v>57545.4850789213</v>
      </c>
      <c r="AK47" s="67" t="n">
        <f aca="false">+AK19-AK44</f>
        <v>63844.1376391677</v>
      </c>
      <c r="AL47" s="67" t="n">
        <f aca="false">+AL19-AL44</f>
        <v>68268.3135704823</v>
      </c>
      <c r="AM47" s="97" t="n">
        <f aca="false">+AJ47/AI47-1</f>
        <v>0.00389000966323994</v>
      </c>
      <c r="AN47" s="81" t="s">
        <v>245</v>
      </c>
      <c r="AO47" s="62" t="n">
        <f aca="false">+AO31</f>
        <v>-7412.3</v>
      </c>
      <c r="AP47" s="62" t="n">
        <f aca="false">+AP31</f>
        <v>19588.9</v>
      </c>
      <c r="AQ47" s="62" t="n">
        <f aca="false">+AQ31</f>
        <v>30183</v>
      </c>
      <c r="AR47" s="62" t="n">
        <f aca="false">+AR31</f>
        <v>12088.7</v>
      </c>
      <c r="AS47" s="62" t="n">
        <f aca="false">+AS31</f>
        <v>-478.800000000003</v>
      </c>
      <c r="AT47" s="62" t="n">
        <f aca="false">+AT31</f>
        <v>-13878.4</v>
      </c>
      <c r="AU47" s="62" t="n">
        <f aca="false">+AU31</f>
        <v>-42429.3</v>
      </c>
      <c r="AV47" s="62" t="n">
        <f aca="false">+AV31</f>
        <v>-59017.2</v>
      </c>
      <c r="AW47" s="62" t="n">
        <f aca="false">+AW31-(AW41-AW25)*(1-AJ702/100)</f>
        <v>-76594.4668146601</v>
      </c>
      <c r="AX47" s="62" t="n">
        <f aca="false">+AX31-(AX41-AX25)*(1-AK702/100)</f>
        <v>-104034.263088633</v>
      </c>
      <c r="AY47" s="116"/>
    </row>
    <row r="48" s="19" customFormat="true" ht="12.75" hidden="false" customHeight="true" outlineLevel="0" collapsed="false">
      <c r="A48" s="69" t="s">
        <v>238</v>
      </c>
      <c r="B48" s="75"/>
      <c r="C48" s="75"/>
      <c r="D48" s="75"/>
      <c r="E48" s="75"/>
      <c r="F48" s="97" t="n">
        <f aca="false">+F47/F19</f>
        <v>0.10498575158988</v>
      </c>
      <c r="G48" s="97" t="n">
        <f aca="false">+G47/G19</f>
        <v>0.0874960531270654</v>
      </c>
      <c r="H48" s="97" t="n">
        <f aca="false">+H47/H19</f>
        <v>0.0910399244908681</v>
      </c>
      <c r="I48" s="97" t="n">
        <f aca="false">+I47/I19</f>
        <v>0.115753039825958</v>
      </c>
      <c r="J48" s="97" t="n">
        <f aca="false">+J47/J19</f>
        <v>0.1275419491548</v>
      </c>
      <c r="K48" s="97" t="n">
        <f aca="false">+K47/K19</f>
        <v>0.13097767250651</v>
      </c>
      <c r="L48" s="97" t="n">
        <f aca="false">+L47/L19</f>
        <v>0.1220086741594</v>
      </c>
      <c r="M48" s="97" t="n">
        <f aca="false">+M47/M19</f>
        <v>0.116269147678589</v>
      </c>
      <c r="N48" s="97" t="n">
        <f aca="false">+N47/N19</f>
        <v>0.101102769763996</v>
      </c>
      <c r="O48" s="97" t="n">
        <f aca="false">+O47/O19</f>
        <v>0.102916406312379</v>
      </c>
      <c r="P48" s="97" t="n">
        <f aca="false">+P47/P19</f>
        <v>0.0980284245252907</v>
      </c>
      <c r="Q48" s="97" t="n">
        <f aca="false">+Q47/Q19</f>
        <v>0.10402072783678</v>
      </c>
      <c r="R48" s="97" t="n">
        <f aca="false">+R47/R19</f>
        <v>0.0784867606630564</v>
      </c>
      <c r="S48" s="97" t="n">
        <f aca="false">+S47/S19</f>
        <v>0.105296008722502</v>
      </c>
      <c r="T48" s="97" t="n">
        <f aca="false">+T47/T19</f>
        <v>0.114012464258599</v>
      </c>
      <c r="U48" s="97" t="n">
        <f aca="false">+U47/U19</f>
        <v>0.0969986586033483</v>
      </c>
      <c r="V48" s="97" t="n">
        <f aca="false">+V47/V19</f>
        <v>0.0702230795115855</v>
      </c>
      <c r="W48" s="97" t="n">
        <f aca="false">+W47/W19</f>
        <v>0.0167509959117009</v>
      </c>
      <c r="X48" s="97" t="n">
        <f aca="false">+X47/X19</f>
        <v>0.0756982599763656</v>
      </c>
      <c r="Y48" s="97" t="n">
        <f aca="false">+Y47/Y19</f>
        <v>0.119057659949906</v>
      </c>
      <c r="Z48" s="123" t="n">
        <f aca="false">+Z47/Z19</f>
        <v>0.110024225001949</v>
      </c>
      <c r="AA48" s="97" t="n">
        <f aca="false">+AA47/AA19</f>
        <v>0.104350438535332</v>
      </c>
      <c r="AB48" s="97" t="n">
        <f aca="false">+AB47/AB19</f>
        <v>0.107924467259451</v>
      </c>
      <c r="AC48" s="97" t="n">
        <f aca="false">+AC47/AC19</f>
        <v>0.0671906120348282</v>
      </c>
      <c r="AD48" s="97" t="n">
        <f aca="false">+AD47/AD19</f>
        <v>0.0349731561387973</v>
      </c>
      <c r="AE48" s="97" t="n">
        <f aca="false">+AE47/AE19</f>
        <v>0.0458551596276148</v>
      </c>
      <c r="AF48" s="97" t="n">
        <f aca="false">+AF47/AF19</f>
        <v>0.0810836832747992</v>
      </c>
      <c r="AG48" s="97" t="n">
        <f aca="false">+AG47/AG19</f>
        <v>0.120066108843974</v>
      </c>
      <c r="AH48" s="97" t="n">
        <f aca="false">+AH47/AH19</f>
        <v>0.127231261583052</v>
      </c>
      <c r="AI48" s="97" t="n">
        <f aca="false">+AI47/AI19</f>
        <v>0.130257597479312</v>
      </c>
      <c r="AJ48" s="97" t="n">
        <f aca="false">+AJ47/AJ19</f>
        <v>0.119931529778246</v>
      </c>
      <c r="AK48" s="97" t="n">
        <f aca="false">+AK47/AK19</f>
        <v>0.123176388618778</v>
      </c>
      <c r="AL48" s="97" t="n">
        <f aca="false">+AL47/AL19</f>
        <v>0.122516851536862</v>
      </c>
      <c r="AM48" s="124"/>
      <c r="AN48" s="103" t="s">
        <v>161</v>
      </c>
      <c r="AO48" s="125" t="n">
        <f aca="false">+AP32</f>
        <v>18</v>
      </c>
      <c r="AP48" s="126" t="n">
        <v>20</v>
      </c>
      <c r="AQ48" s="104"/>
      <c r="AR48" s="104"/>
      <c r="AS48" s="104"/>
      <c r="AT48" s="104"/>
      <c r="AU48" s="104"/>
      <c r="AV48" s="104"/>
      <c r="AW48" s="104"/>
      <c r="AX48" s="104"/>
      <c r="AY48" s="116"/>
    </row>
    <row r="49" customFormat="false" ht="12" hidden="false" customHeight="true" outlineLevel="0" collapsed="false">
      <c r="A49" s="69" t="s">
        <v>252</v>
      </c>
      <c r="B49" s="62" t="n">
        <f aca="false">+B683</f>
        <v>835.55</v>
      </c>
      <c r="C49" s="62" t="n">
        <f aca="false">+C683</f>
        <v>671.57</v>
      </c>
      <c r="D49" s="62" t="n">
        <f aca="false">+D683</f>
        <v>751.67</v>
      </c>
      <c r="E49" s="62" t="n">
        <f aca="false">+E683</f>
        <v>990.46</v>
      </c>
      <c r="F49" s="62" t="n">
        <f aca="false">+F683</f>
        <v>1369.45</v>
      </c>
      <c r="G49" s="62" t="n">
        <f aca="false">+G683</f>
        <v>1724.3</v>
      </c>
      <c r="H49" s="62" t="n">
        <f aca="false">+H683</f>
        <v>1534.57</v>
      </c>
      <c r="I49" s="62" t="n">
        <f aca="false">+I683</f>
        <v>1400.67</v>
      </c>
      <c r="J49" s="62" t="n">
        <f aca="false">+J683</f>
        <v>1349.37</v>
      </c>
      <c r="K49" s="62" t="n">
        <f aca="false">+K683</f>
        <v>1152.53</v>
      </c>
      <c r="L49" s="62" t="n">
        <f aca="false">+L683</f>
        <v>956.15</v>
      </c>
      <c r="M49" s="62" t="n">
        <f aca="false">+M683</f>
        <v>594.09</v>
      </c>
      <c r="N49" s="62" t="n">
        <f aca="false">+N683</f>
        <v>304.01</v>
      </c>
      <c r="O49" s="62" t="n">
        <f aca="false">+O683</f>
        <v>383.74</v>
      </c>
      <c r="P49" s="62" t="n">
        <f aca="false">+P683</f>
        <v>288.37</v>
      </c>
      <c r="Q49" s="62" t="n">
        <f aca="false">+Q683</f>
        <v>763.12</v>
      </c>
      <c r="R49" s="62" t="n">
        <f aca="false">+R683</f>
        <v>1603.183</v>
      </c>
      <c r="S49" s="62" t="n">
        <f aca="false">+S683</f>
        <v>1018.515</v>
      </c>
      <c r="T49" s="62" t="n">
        <f aca="false">+T683</f>
        <v>1889.234</v>
      </c>
      <c r="U49" s="62" t="n">
        <f aca="false">+U683</f>
        <v>2552.532</v>
      </c>
      <c r="V49" s="62" t="n">
        <f aca="false">+V683</f>
        <v>3768.857</v>
      </c>
      <c r="W49" s="62" t="n">
        <f aca="false">+W683</f>
        <v>4529.248</v>
      </c>
      <c r="X49" s="62" t="n">
        <f aca="false">+X683</f>
        <v>3935.075</v>
      </c>
      <c r="Y49" s="62" t="n">
        <f aca="false">+Y683</f>
        <v>2476.387</v>
      </c>
      <c r="Z49" s="62" t="n">
        <f aca="false">+Z683</f>
        <v>1553.787</v>
      </c>
      <c r="AA49" s="62" t="n">
        <f aca="false">+AA683</f>
        <v>1312.459</v>
      </c>
      <c r="AB49" s="62" t="n">
        <f aca="false">+AB683</f>
        <v>703.8</v>
      </c>
      <c r="AC49" s="62" t="n">
        <f aca="false">+AC683</f>
        <v>1094.5</v>
      </c>
      <c r="AD49" s="62" t="n">
        <f aca="false">+AD683</f>
        <v>3067.9</v>
      </c>
      <c r="AE49" s="62" t="n">
        <f aca="false">+AE683</f>
        <v>3011.1</v>
      </c>
      <c r="AF49" s="62" t="n">
        <f aca="false">+AF683</f>
        <v>2890.9</v>
      </c>
      <c r="AG49" s="62" t="n">
        <f aca="false">+AG683</f>
        <v>2494.4</v>
      </c>
      <c r="AH49" s="62" t="n">
        <f aca="false">+AH683</f>
        <v>2169.1</v>
      </c>
      <c r="AI49" s="62" t="n">
        <f aca="false">+AI683</f>
        <v>1697.3</v>
      </c>
      <c r="AJ49" s="62" t="n">
        <f aca="false">+AJ683</f>
        <v>1314.048</v>
      </c>
      <c r="AK49" s="62" t="n">
        <f aca="false">+AK683</f>
        <v>1074.048</v>
      </c>
      <c r="AL49" s="62" t="n">
        <f aca="false">+AL683</f>
        <v>764.544</v>
      </c>
      <c r="AM49" s="57"/>
      <c r="AN49" s="81" t="s">
        <v>164</v>
      </c>
      <c r="AO49" s="109" t="n">
        <f aca="false">+ROUND((AO48*AVERAGE(AU41)-AVERAGE(AU47))/$AB$84/5,0)*5</f>
        <v>160</v>
      </c>
      <c r="AP49" s="106" t="n">
        <f aca="false">+ROUND((AP48*AVERAGE(AW41:AX41)-AVERAGE(AW47:AX47))/$AH$84/5,0)*5</f>
        <v>260</v>
      </c>
      <c r="AQ49" s="127"/>
      <c r="AR49" s="127"/>
      <c r="AS49" s="127"/>
      <c r="AT49" s="127"/>
      <c r="AU49" s="127"/>
      <c r="AV49" s="127"/>
      <c r="AW49" s="127"/>
      <c r="AX49" s="127"/>
      <c r="AY49" s="93"/>
    </row>
    <row r="50" customFormat="false" ht="12" hidden="false" customHeight="true" outlineLevel="0" collapsed="false">
      <c r="A50" s="69" t="s">
        <v>253</v>
      </c>
      <c r="B50" s="62" t="n">
        <f aca="false">+B474</f>
        <v>569.31</v>
      </c>
      <c r="C50" s="62" t="n">
        <f aca="false">+C474</f>
        <v>475.64</v>
      </c>
      <c r="D50" s="62" t="n">
        <f aca="false">+D474</f>
        <v>768.76</v>
      </c>
      <c r="E50" s="62" t="n">
        <f aca="false">+E474</f>
        <v>1418.16</v>
      </c>
      <c r="F50" s="62" t="n">
        <f aca="false">+F474</f>
        <v>1305.73</v>
      </c>
      <c r="G50" s="62" t="n">
        <f aca="false">+G474</f>
        <v>1088.93</v>
      </c>
      <c r="H50" s="62" t="n">
        <f aca="false">+H474</f>
        <v>877.44</v>
      </c>
      <c r="I50" s="62" t="n">
        <f aca="false">+I474</f>
        <v>549.76</v>
      </c>
      <c r="J50" s="62" t="n">
        <f aca="false">+J474</f>
        <v>434.7</v>
      </c>
      <c r="K50" s="62" t="n">
        <f aca="false">+K474</f>
        <v>506.84</v>
      </c>
      <c r="L50" s="62" t="n">
        <f aca="false">+L474</f>
        <v>523.98</v>
      </c>
      <c r="M50" s="62" t="n">
        <f aca="false">+M474</f>
        <v>572.38</v>
      </c>
      <c r="N50" s="62" t="n">
        <f aca="false">+N474</f>
        <v>544.9916</v>
      </c>
      <c r="O50" s="62" t="n">
        <f aca="false">+O474</f>
        <v>548.95</v>
      </c>
      <c r="P50" s="62" t="n">
        <f aca="false">+P474</f>
        <v>943.08</v>
      </c>
      <c r="Q50" s="62" t="n">
        <f aca="false">+Q474</f>
        <v>1005.71</v>
      </c>
      <c r="R50" s="62" t="n">
        <f aca="false">+R474</f>
        <v>1367.324</v>
      </c>
      <c r="S50" s="62" t="n">
        <f aca="false">+S474</f>
        <v>911.665</v>
      </c>
      <c r="T50" s="62" t="n">
        <f aca="false">+T474</f>
        <v>405.963</v>
      </c>
      <c r="U50" s="62" t="n">
        <f aca="false">+U474</f>
        <v>519.104</v>
      </c>
      <c r="V50" s="62" t="n">
        <f aca="false">+V474</f>
        <v>623.515</v>
      </c>
      <c r="W50" s="62" t="n">
        <f aca="false">+W474</f>
        <v>665.207</v>
      </c>
      <c r="X50" s="62" t="n">
        <f aca="false">+X474</f>
        <v>1244.713</v>
      </c>
      <c r="Y50" s="62" t="n">
        <f aca="false">+Y474</f>
        <v>1176.202</v>
      </c>
      <c r="Z50" s="62" t="n">
        <f aca="false">+Z474</f>
        <v>1362.701</v>
      </c>
      <c r="AA50" s="62" t="n">
        <f aca="false">+AA474</f>
        <v>1897.647</v>
      </c>
      <c r="AB50" s="62" t="n">
        <f aca="false">+AB474</f>
        <v>1099.4</v>
      </c>
      <c r="AC50" s="62" t="n">
        <f aca="false">+AC474</f>
        <v>1233.4</v>
      </c>
      <c r="AD50" s="62" t="n">
        <f aca="false">+AD474</f>
        <v>1195</v>
      </c>
      <c r="AE50" s="62" t="n">
        <f aca="false">+AE474</f>
        <v>761.3</v>
      </c>
      <c r="AF50" s="62" t="n">
        <f aca="false">+AF474</f>
        <v>1161.4</v>
      </c>
      <c r="AG50" s="62" t="n">
        <f aca="false">+AG474</f>
        <v>2465.7</v>
      </c>
      <c r="AH50" s="62" t="n">
        <f aca="false">+AH474</f>
        <v>2502.5</v>
      </c>
      <c r="AI50" s="62" t="n">
        <f aca="false">+AI474</f>
        <v>3151.7</v>
      </c>
      <c r="AJ50" s="62" t="n">
        <f aca="false">+AJ474</f>
        <v>3442.45860283098</v>
      </c>
      <c r="AK50" s="62" t="n">
        <f aca="false">+AK474</f>
        <v>3802.62853865332</v>
      </c>
      <c r="AL50" s="62" t="n">
        <f aca="false">+AL474</f>
        <v>4299.41212036945</v>
      </c>
      <c r="AM50" s="57"/>
      <c r="AN50" s="41"/>
      <c r="AO50" s="41"/>
      <c r="AY50" s="93"/>
    </row>
    <row r="51" customFormat="false" ht="12.75" hidden="false" customHeight="true" outlineLevel="0" collapsed="false">
      <c r="A51" s="69" t="s">
        <v>254</v>
      </c>
      <c r="B51" s="62" t="n">
        <f aca="false">+B47-B49+B50</f>
        <v>360.080000000002</v>
      </c>
      <c r="C51" s="62" t="n">
        <f aca="false">+C47-C49+C50</f>
        <v>681.4</v>
      </c>
      <c r="D51" s="62" t="n">
        <f aca="false">+D47-D49+D50</f>
        <v>1097.69</v>
      </c>
      <c r="E51" s="62" t="n">
        <f aca="false">+E47-E49+E50</f>
        <v>1881.88</v>
      </c>
      <c r="F51" s="62" t="n">
        <f aca="false">+F47-F49+F50</f>
        <v>2226.33</v>
      </c>
      <c r="G51" s="62" t="n">
        <f aca="false">+G47-G49+G50</f>
        <v>912.251575999999</v>
      </c>
      <c r="H51" s="62" t="n">
        <f aca="false">+H47-H49+H50</f>
        <v>998.588378295995</v>
      </c>
      <c r="I51" s="62" t="n">
        <f aca="false">+I47-I49+I50</f>
        <v>1757.3</v>
      </c>
      <c r="J51" s="62" t="n">
        <f aca="false">+J47-J49+J50</f>
        <v>1957.59</v>
      </c>
      <c r="K51" s="62" t="n">
        <f aca="false">+K47-K49+K50</f>
        <v>2316.04</v>
      </c>
      <c r="L51" s="62" t="n">
        <f aca="false">+L47-L49+L50</f>
        <v>2838.12</v>
      </c>
      <c r="M51" s="62" t="n">
        <f aca="false">+M47-M49+M50</f>
        <v>3924.33</v>
      </c>
      <c r="N51" s="62" t="n">
        <f aca="false">+N47-N49+N50</f>
        <v>4469.4816</v>
      </c>
      <c r="O51" s="62" t="n">
        <f aca="false">+O47-O49+O50</f>
        <v>5565.90999999999</v>
      </c>
      <c r="P51" s="62" t="n">
        <f aca="false">+P47-P49+P50</f>
        <v>7681.56</v>
      </c>
      <c r="Q51" s="62" t="n">
        <f aca="false">+Q47-Q49+Q50</f>
        <v>8282.48</v>
      </c>
      <c r="R51" s="62" t="n">
        <f aca="false">+R47-R49+R50</f>
        <v>4458.49200000001</v>
      </c>
      <c r="S51" s="62" t="n">
        <f aca="false">+S47-S49+S50</f>
        <v>7521.54100000003</v>
      </c>
      <c r="T51" s="62" t="n">
        <f aca="false">+T47-T49+T50</f>
        <v>11192.303</v>
      </c>
      <c r="U51" s="62" t="n">
        <f aca="false">+U47-U49+U50</f>
        <v>10411.92</v>
      </c>
      <c r="V51" s="62" t="n">
        <f aca="false">+V47-V49+V50</f>
        <v>5619.34100000001</v>
      </c>
      <c r="W51" s="62" t="n">
        <f aca="false">+W47-W49+W50</f>
        <v>-2198.41800000002</v>
      </c>
      <c r="X51" s="62" t="n">
        <f aca="false">+X47-X49+X50</f>
        <v>7575.97500000001</v>
      </c>
      <c r="Y51" s="62" t="n">
        <f aca="false">+Y47-Y49+Y50</f>
        <v>21246.126</v>
      </c>
      <c r="Z51" s="62" t="n">
        <f aca="false">+Z47-Z49+Z50</f>
        <v>21834.286</v>
      </c>
      <c r="AA51" s="62" t="n">
        <f aca="false">+AA47-AA49+AA50</f>
        <v>27974.995</v>
      </c>
      <c r="AB51" s="62" t="n">
        <f aca="false">+AB47-AB49+AB50</f>
        <v>31752.9999999999</v>
      </c>
      <c r="AC51" s="62" t="n">
        <f aca="false">+AC47-AC49+AC50</f>
        <v>11875.4</v>
      </c>
      <c r="AD51" s="62" t="n">
        <f aca="false">+AD47-AD49+AD50</f>
        <v>3478.49999999999</v>
      </c>
      <c r="AE51" s="62" t="n">
        <f aca="false">+AE47-AE49+AE50</f>
        <v>7695.40000000001</v>
      </c>
      <c r="AF51" s="62" t="n">
        <f aca="false">+AF47-AF49+AF50</f>
        <v>27577.5</v>
      </c>
      <c r="AG51" s="62" t="n">
        <f aca="false">+AG47-AG49+AG50</f>
        <v>46037.1</v>
      </c>
      <c r="AH51" s="62" t="n">
        <f aca="false">+AH47-AH49+AH50</f>
        <v>49639</v>
      </c>
      <c r="AI51" s="62" t="n">
        <f aca="false">+AI47-AI49+AI50</f>
        <v>58776.9000000002</v>
      </c>
      <c r="AJ51" s="62" t="n">
        <f aca="false">+AJ47-AJ49+AJ50</f>
        <v>59673.8956817522</v>
      </c>
      <c r="AK51" s="62" t="n">
        <f aca="false">+AK47-AK49+AK50</f>
        <v>66572.718177821</v>
      </c>
      <c r="AL51" s="62" t="n">
        <f aca="false">+AL47-AL49+AL50</f>
        <v>71803.1816908518</v>
      </c>
      <c r="AM51" s="57"/>
      <c r="AN51" s="86" t="s">
        <v>255</v>
      </c>
      <c r="AO51" s="87" t="s">
        <v>221</v>
      </c>
      <c r="AP51" s="87" t="str">
        <f aca="false">+AP35</f>
        <v>FY20</v>
      </c>
      <c r="AQ51" s="87" t="str">
        <f aca="false">+AQ35</f>
        <v>FY21</v>
      </c>
      <c r="AR51" s="87" t="str">
        <f aca="false">+AR35</f>
        <v>FY22</v>
      </c>
      <c r="AS51" s="87" t="str">
        <f aca="false">+AS35</f>
        <v>FY23</v>
      </c>
      <c r="AT51" s="87" t="str">
        <f aca="false">+AT35</f>
        <v>FY24</v>
      </c>
      <c r="AU51" s="87" t="str">
        <f aca="false">+AU35</f>
        <v>FY25</v>
      </c>
      <c r="AV51" s="87" t="str">
        <f aca="false">+AV35</f>
        <v>FY26</v>
      </c>
      <c r="AW51" s="87" t="str">
        <f aca="false">+AW35</f>
        <v>FY27</v>
      </c>
      <c r="AX51" s="87" t="str">
        <f aca="false">+AX35</f>
        <v>FY28</v>
      </c>
      <c r="AY51" s="93"/>
    </row>
    <row r="52" customFormat="false" ht="25.5" hidden="false" customHeight="true" outlineLevel="0" collapsed="false">
      <c r="A52" s="69" t="s">
        <v>256</v>
      </c>
      <c r="B52" s="41"/>
      <c r="C52" s="41"/>
      <c r="D52" s="41"/>
      <c r="E52" s="41"/>
      <c r="F52" s="41"/>
      <c r="G52" s="41"/>
      <c r="H52" s="41"/>
      <c r="I52" s="41"/>
      <c r="J52" s="41"/>
      <c r="K52" s="41"/>
      <c r="L52" s="41"/>
      <c r="M52" s="41"/>
      <c r="N52" s="41"/>
      <c r="O52" s="41"/>
      <c r="P52" s="41"/>
      <c r="Q52" s="41"/>
      <c r="R52" s="41"/>
      <c r="S52" s="41"/>
      <c r="T52" s="41"/>
      <c r="U52" s="41"/>
      <c r="V52" s="41"/>
      <c r="W52" s="41"/>
      <c r="X52" s="41"/>
      <c r="Y52" s="62" t="n">
        <f aca="false">+Y688</f>
        <v>50.48</v>
      </c>
      <c r="Z52" s="62" t="n">
        <f aca="false">+Z688</f>
        <v>153.974</v>
      </c>
      <c r="AA52" s="62" t="n">
        <f aca="false">+AA688</f>
        <v>3.913</v>
      </c>
      <c r="AB52" s="62" t="n">
        <f aca="false">+AB688</f>
        <v>-26.3</v>
      </c>
      <c r="AC52" s="62" t="n">
        <f aca="false">+AC688</f>
        <v>0.1</v>
      </c>
      <c r="AD52" s="62" t="n">
        <f aca="false">+AD688</f>
        <v>0</v>
      </c>
      <c r="AE52" s="62" t="n">
        <f aca="false">+AE688</f>
        <v>0</v>
      </c>
      <c r="AF52" s="62" t="n">
        <f aca="false">+AF688</f>
        <v>0</v>
      </c>
      <c r="AG52" s="62" t="n">
        <f aca="false">+AG688</f>
        <v>0</v>
      </c>
      <c r="AH52" s="62" t="n">
        <f aca="false">+AH688</f>
        <v>0</v>
      </c>
      <c r="AI52" s="62" t="n">
        <f aca="false">+AI688</f>
        <v>0</v>
      </c>
      <c r="AJ52" s="62" t="n">
        <f aca="false">+AJ688</f>
        <v>0</v>
      </c>
      <c r="AK52" s="62" t="n">
        <f aca="false">+AK688</f>
        <v>0</v>
      </c>
      <c r="AL52" s="62" t="n">
        <f aca="false">+AL688</f>
        <v>0</v>
      </c>
      <c r="AM52" s="41"/>
      <c r="AN52" s="62" t="s">
        <v>232</v>
      </c>
      <c r="AO52" s="62" t="n">
        <f aca="false">+AO19</f>
        <v>197366</v>
      </c>
      <c r="AP52" s="62" t="n">
        <f aca="false">+AP19</f>
        <v>125253</v>
      </c>
      <c r="AQ52" s="62" t="n">
        <f aca="false">+AQ19</f>
        <v>100715</v>
      </c>
      <c r="AR52" s="62" t="n">
        <f aca="false">+AR19</f>
        <v>128326</v>
      </c>
      <c r="AS52" s="62" t="n">
        <f aca="false">+AS19</f>
        <v>192205</v>
      </c>
      <c r="AT52" s="62" t="n">
        <f aca="false">+AT19</f>
        <v>194683</v>
      </c>
      <c r="AU52" s="62" t="n">
        <f aca="false">+AU19</f>
        <v>195093</v>
      </c>
      <c r="AV52" s="62" t="n">
        <f aca="false">+AV19</f>
        <v>220437</v>
      </c>
      <c r="AW52" s="62" t="n">
        <f aca="false">+AV52*(1+AW53)</f>
        <v>227050.11</v>
      </c>
      <c r="AX52" s="62" t="n">
        <f aca="false">+AW52*(1+AX53)</f>
        <v>233861.6133</v>
      </c>
      <c r="AY52" s="89" t="n">
        <f aca="false">+SQRT(AX52/AV52)-1</f>
        <v>0.03</v>
      </c>
    </row>
    <row r="53" customFormat="false" ht="12" hidden="false" customHeight="true" outlineLevel="0" collapsed="false">
      <c r="A53" s="69" t="s">
        <v>257</v>
      </c>
      <c r="B53" s="62" t="n">
        <f aca="false">+B689</f>
        <v>315.83</v>
      </c>
      <c r="C53" s="62" t="n">
        <f aca="false">+C689</f>
        <v>328.1</v>
      </c>
      <c r="D53" s="62" t="n">
        <f aca="false">+D689</f>
        <v>391.79</v>
      </c>
      <c r="E53" s="62" t="n">
        <f aca="false">+E689</f>
        <v>546.05</v>
      </c>
      <c r="F53" s="62" t="n">
        <f aca="false">+F689</f>
        <v>655.98</v>
      </c>
      <c r="G53" s="62" t="n">
        <f aca="false">+G689</f>
        <v>705.57</v>
      </c>
      <c r="H53" s="62" t="n">
        <f aca="false">+H689</f>
        <v>761.9</v>
      </c>
      <c r="I53" s="62" t="n">
        <f aca="false">+I689</f>
        <v>824.43</v>
      </c>
      <c r="J53" s="62" t="n">
        <f aca="false">+J689</f>
        <v>883.5</v>
      </c>
      <c r="K53" s="62" t="n">
        <f aca="false">+K689</f>
        <v>953.55</v>
      </c>
      <c r="L53" s="62" t="n">
        <f aca="false">+L689</f>
        <v>1029.69</v>
      </c>
      <c r="M53" s="62" t="n">
        <f aca="false">+M689</f>
        <v>964.54</v>
      </c>
      <c r="N53" s="62" t="n">
        <f aca="false">+N689</f>
        <v>1092.14</v>
      </c>
      <c r="O53" s="62" t="n">
        <f aca="false">+O689</f>
        <v>1260.06</v>
      </c>
      <c r="P53" s="62" t="n">
        <f aca="false">+P689</f>
        <v>1505.74</v>
      </c>
      <c r="Q53" s="62" t="n">
        <f aca="false">+Q689</f>
        <v>1773.61</v>
      </c>
      <c r="R53" s="62" t="n">
        <f aca="false">+R689</f>
        <v>1784.142</v>
      </c>
      <c r="S53" s="62" t="n">
        <f aca="false">+S689</f>
        <v>2041.079</v>
      </c>
      <c r="T53" s="62" t="n">
        <f aca="false">+T689</f>
        <v>2674.31</v>
      </c>
      <c r="U53" s="62" t="n">
        <f aca="false">+U689</f>
        <v>3528.132</v>
      </c>
      <c r="V53" s="62" t="n">
        <f aca="false">+V689</f>
        <v>3807.835</v>
      </c>
      <c r="W53" s="62" t="n">
        <f aca="false">+W689</f>
        <v>3770.36</v>
      </c>
      <c r="X53" s="62" t="n">
        <f aca="false">+X689</f>
        <v>4163.367</v>
      </c>
      <c r="Y53" s="62" t="n">
        <f aca="false">+Y689</f>
        <v>4879.004</v>
      </c>
      <c r="Z53" s="62" t="n">
        <f aca="false">+Z689</f>
        <v>5178.939</v>
      </c>
      <c r="AA53" s="62" t="n">
        <f aca="false">+AA689</f>
        <v>5546.094</v>
      </c>
      <c r="AB53" s="62" t="n">
        <f aca="false">+AB689</f>
        <v>6210.1</v>
      </c>
      <c r="AC53" s="62" t="n">
        <f aca="false">+AC689</f>
        <v>6698</v>
      </c>
      <c r="AD53" s="62" t="n">
        <f aca="false">+AD689</f>
        <v>7477.1</v>
      </c>
      <c r="AE53" s="62" t="n">
        <f aca="false">+AE689</f>
        <v>7527.6</v>
      </c>
      <c r="AF53" s="62" t="n">
        <f aca="false">+AF689</f>
        <v>7319.6</v>
      </c>
      <c r="AG53" s="62" t="n">
        <f aca="false">+AG689</f>
        <v>7178.1</v>
      </c>
      <c r="AH53" s="62" t="n">
        <f aca="false">+AH689</f>
        <v>7193.4</v>
      </c>
      <c r="AI53" s="62" t="n">
        <f aca="false">+AI689</f>
        <v>7151.9</v>
      </c>
      <c r="AJ53" s="62" t="n">
        <f aca="false">+AJ689</f>
        <v>7551.4454</v>
      </c>
      <c r="AK53" s="62" t="n">
        <f aca="false">+AK689</f>
        <v>8111.9454</v>
      </c>
      <c r="AL53" s="62" t="n">
        <f aca="false">+AL689</f>
        <v>8467.4548</v>
      </c>
      <c r="AM53" s="41"/>
      <c r="AN53" s="46" t="s">
        <v>233</v>
      </c>
      <c r="AO53" s="61"/>
      <c r="AP53" s="61"/>
      <c r="AQ53" s="61"/>
      <c r="AR53" s="61"/>
      <c r="AS53" s="61"/>
      <c r="AT53" s="61"/>
      <c r="AU53" s="61"/>
      <c r="AV53" s="61"/>
      <c r="AW53" s="110" t="n">
        <v>0.03</v>
      </c>
      <c r="AX53" s="110" t="n">
        <v>0.03</v>
      </c>
      <c r="AY53" s="93"/>
    </row>
    <row r="54" customFormat="false" ht="12.75" hidden="false" customHeight="true" outlineLevel="0" collapsed="false">
      <c r="A54" s="69" t="s">
        <v>258</v>
      </c>
      <c r="B54" s="62" t="n">
        <f aca="false">+B692</f>
        <v>0</v>
      </c>
      <c r="C54" s="62" t="n">
        <f aca="false">+C692</f>
        <v>0</v>
      </c>
      <c r="D54" s="62" t="n">
        <f aca="false">+D692</f>
        <v>0</v>
      </c>
      <c r="E54" s="62" t="n">
        <f aca="false">+E692</f>
        <v>0</v>
      </c>
      <c r="F54" s="62" t="n">
        <f aca="false">+F692</f>
        <v>0</v>
      </c>
      <c r="G54" s="62" t="n">
        <f aca="false">+G692</f>
        <v>0</v>
      </c>
      <c r="H54" s="62" t="n">
        <f aca="false">+H692</f>
        <v>0</v>
      </c>
      <c r="I54" s="62" t="n">
        <f aca="false">+I692</f>
        <v>0</v>
      </c>
      <c r="J54" s="62" t="n">
        <f aca="false">+J692</f>
        <v>-54.68</v>
      </c>
      <c r="K54" s="62" t="n">
        <f aca="false">+K692</f>
        <v>-40.43</v>
      </c>
      <c r="L54" s="62" t="n">
        <f aca="false">+L692</f>
        <v>-107.41</v>
      </c>
      <c r="M54" s="62" t="n">
        <f aca="false">+M692</f>
        <v>-95.19</v>
      </c>
      <c r="N54" s="62" t="n">
        <f aca="false">+N692</f>
        <v>358.7584</v>
      </c>
      <c r="O54" s="62" t="n">
        <f aca="false">+O692</f>
        <v>217.15</v>
      </c>
      <c r="P54" s="62" t="n">
        <f aca="false">+P692</f>
        <v>-130.76</v>
      </c>
      <c r="Q54" s="62" t="n">
        <f aca="false">+Q692</f>
        <v>-127.37</v>
      </c>
      <c r="R54" s="62" t="n">
        <f aca="false">+R692</f>
        <v>-589.887</v>
      </c>
      <c r="S54" s="62" t="n">
        <f aca="false">+S692</f>
        <v>-32.715</v>
      </c>
      <c r="T54" s="62" t="n">
        <f aca="false">+T692</f>
        <v>-500</v>
      </c>
      <c r="U54" s="62" t="n">
        <f aca="false">+U692</f>
        <v>15.978</v>
      </c>
      <c r="V54" s="62" t="n">
        <f aca="false">+V692</f>
        <v>2895.561</v>
      </c>
      <c r="W54" s="62" t="n">
        <f aca="false">+W692</f>
        <v>5056.589</v>
      </c>
      <c r="X54" s="62" t="n">
        <f aca="false">+X692</f>
        <v>1009.359</v>
      </c>
      <c r="Y54" s="62" t="n">
        <f aca="false">+Y692</f>
        <v>-8152.235</v>
      </c>
      <c r="Z54" s="62" t="n">
        <f aca="false">+Z692</f>
        <v>-268.459</v>
      </c>
      <c r="AA54" s="62" t="n">
        <f aca="false">+AA692</f>
        <v>-125.66</v>
      </c>
      <c r="AB54" s="62" t="n">
        <f aca="false">+AB692</f>
        <v>-548.6</v>
      </c>
      <c r="AC54" s="62" t="n">
        <f aca="false">+AC692</f>
        <v>-1558.3</v>
      </c>
      <c r="AD54" s="62" t="n">
        <f aca="false">+AD692</f>
        <v>-120.5</v>
      </c>
      <c r="AE54" s="62" t="n">
        <f aca="false">+AE692</f>
        <v>5108.3</v>
      </c>
      <c r="AF54" s="62" t="n">
        <f aca="false">+AF692</f>
        <v>846.1</v>
      </c>
      <c r="AG54" s="62" t="n">
        <f aca="false">+AG692</f>
        <v>-937.2</v>
      </c>
      <c r="AH54" s="62" t="n">
        <f aca="false">+AH692</f>
        <v>1037.3</v>
      </c>
      <c r="AI54" s="62" t="n">
        <f aca="false">+AI692</f>
        <v>-3484.8</v>
      </c>
      <c r="AJ54" s="62" t="n">
        <f aca="false">+AJ692</f>
        <v>0</v>
      </c>
      <c r="AK54" s="62" t="n">
        <f aca="false">+AK692</f>
        <v>0</v>
      </c>
      <c r="AL54" s="62" t="n">
        <f aca="false">+AL692</f>
        <v>0</v>
      </c>
      <c r="AM54" s="41"/>
      <c r="AN54" s="46" t="s">
        <v>234</v>
      </c>
      <c r="AO54" s="62" t="n">
        <f aca="false">+AO21</f>
        <v>1472135.52486244</v>
      </c>
      <c r="AP54" s="62" t="n">
        <f aca="false">+AP21</f>
        <v>1394574.98023999</v>
      </c>
      <c r="AQ54" s="62" t="n">
        <f aca="false">+AQ21</f>
        <v>1519282.13275083</v>
      </c>
      <c r="AR54" s="62" t="n">
        <f aca="false">+AR21</f>
        <v>1690093.20013092</v>
      </c>
      <c r="AS54" s="62" t="n">
        <f aca="false">+AS21</f>
        <v>1880499.46671523</v>
      </c>
      <c r="AT54" s="62" t="n">
        <f aca="false">+AT21</f>
        <v>1970743.72184526</v>
      </c>
      <c r="AU54" s="62" t="n">
        <f aca="false">+AU21</f>
        <v>1986372.6530424</v>
      </c>
      <c r="AV54" s="62" t="n">
        <f aca="false">+AV21</f>
        <v>1996354.06034377</v>
      </c>
      <c r="AW54" s="62" t="n">
        <f aca="false">+AV54*(1+AW55)</f>
        <v>1996354.06034377</v>
      </c>
      <c r="AX54" s="62" t="n">
        <f aca="false">+AW54*(1+AX55)</f>
        <v>2016317.60094721</v>
      </c>
      <c r="AY54" s="89" t="n">
        <f aca="false">+SQRT(AX54/AV54)-1</f>
        <v>0.00498756211208895</v>
      </c>
    </row>
    <row r="55" customFormat="false" ht="12" hidden="false" customHeight="true" outlineLevel="0" collapsed="false">
      <c r="A55" s="69" t="s">
        <v>241</v>
      </c>
      <c r="B55" s="62" t="n">
        <f aca="false">+B51-B53+B54</f>
        <v>44.2500000000017</v>
      </c>
      <c r="C55" s="62" t="n">
        <f aca="false">+C51-C53+C54</f>
        <v>353.3</v>
      </c>
      <c r="D55" s="62" t="n">
        <f aca="false">+D51-D53+D54</f>
        <v>705.899999999997</v>
      </c>
      <c r="E55" s="62" t="n">
        <f aca="false">+E51-E53+E54</f>
        <v>1335.83</v>
      </c>
      <c r="F55" s="62" t="n">
        <f aca="false">+F51-F53+F54</f>
        <v>1570.35</v>
      </c>
      <c r="G55" s="62" t="n">
        <f aca="false">+G51-G53+G54</f>
        <v>206.681575999999</v>
      </c>
      <c r="H55" s="62" t="n">
        <f aca="false">+H51-H53+H54</f>
        <v>236.688378295995</v>
      </c>
      <c r="I55" s="62" t="n">
        <f aca="false">+I51-I53+I54</f>
        <v>932.870000000003</v>
      </c>
      <c r="J55" s="62" t="n">
        <f aca="false">+J51-J53+J54</f>
        <v>1019.41</v>
      </c>
      <c r="K55" s="62" t="n">
        <f aca="false">+K51-K53+K54</f>
        <v>1322.06</v>
      </c>
      <c r="L55" s="62" t="n">
        <f aca="false">+L51-L53+L54</f>
        <v>1701.02</v>
      </c>
      <c r="M55" s="62" t="n">
        <f aca="false">+M51-M53+M54</f>
        <v>2864.6</v>
      </c>
      <c r="N55" s="62" t="n">
        <f aca="false">+N51-N53+N54</f>
        <v>3736.1</v>
      </c>
      <c r="O55" s="62" t="n">
        <f aca="false">+O51-O53+O54</f>
        <v>4522.99999999999</v>
      </c>
      <c r="P55" s="62" t="n">
        <f aca="false">+P51-P53+P54</f>
        <v>6045.06</v>
      </c>
      <c r="Q55" s="62" t="n">
        <f aca="false">+Q51-Q53+Q54</f>
        <v>6381.5</v>
      </c>
      <c r="R55" s="62" t="n">
        <f aca="false">+R51-R53+R54</f>
        <v>2084.46300000001</v>
      </c>
      <c r="S55" s="62" t="n">
        <f aca="false">+S51-S53+S54</f>
        <v>5447.74700000003</v>
      </c>
      <c r="T55" s="62" t="n">
        <f aca="false">+T51-T53+T54</f>
        <v>8017.99300000001</v>
      </c>
      <c r="U55" s="62" t="n">
        <f aca="false">+U51-U53+U54</f>
        <v>6899.766</v>
      </c>
      <c r="V55" s="62" t="n">
        <f aca="false">+V51-V53+V54</f>
        <v>4707.06700000001</v>
      </c>
      <c r="W55" s="62" t="n">
        <f aca="false">+W51-W53+W54</f>
        <v>-912.189000000022</v>
      </c>
      <c r="X55" s="62" t="n">
        <f aca="false">+X51-X53+X54</f>
        <v>4421.96700000001</v>
      </c>
      <c r="Y55" s="62" t="n">
        <f aca="false">+Y51-Y53+Y54+Y52</f>
        <v>8265.36700000002</v>
      </c>
      <c r="Z55" s="62" t="n">
        <f aca="false">+Z51-Z53+Z54+Z52</f>
        <v>16540.862</v>
      </c>
      <c r="AA55" s="62" t="n">
        <f aca="false">+AA51-AA53+AA54+AA52</f>
        <v>22307.154</v>
      </c>
      <c r="AB55" s="62" t="n">
        <f aca="false">+AB51-AB53+AB54+AB52</f>
        <v>24967.9999999999</v>
      </c>
      <c r="AC55" s="62" t="n">
        <f aca="false">+AC51-AC53+AC54+AC52</f>
        <v>3619.2</v>
      </c>
      <c r="AD55" s="62" t="n">
        <f aca="false">+AD51-AD53+AD54</f>
        <v>-4119.10000000001</v>
      </c>
      <c r="AE55" s="62" t="n">
        <f aca="false">+AE51-AE53+AE54</f>
        <v>5276.10000000001</v>
      </c>
      <c r="AF55" s="62" t="n">
        <f aca="false">+AF51-AF53+AF54</f>
        <v>21104</v>
      </c>
      <c r="AG55" s="62" t="n">
        <f aca="false">+AG51-AG53+AG54</f>
        <v>37921.8000000001</v>
      </c>
      <c r="AH55" s="62" t="n">
        <f aca="false">+AH51-AH53+AH54</f>
        <v>43482.9</v>
      </c>
      <c r="AI55" s="62" t="n">
        <f aca="false">+AI51-AI53+AI54</f>
        <v>48140.2000000002</v>
      </c>
      <c r="AJ55" s="62" t="n">
        <f aca="false">+AJ51-AJ53+AJ54</f>
        <v>52122.4502817522</v>
      </c>
      <c r="AK55" s="62" t="n">
        <f aca="false">+AK51-AK53+AK54</f>
        <v>58460.772777821</v>
      </c>
      <c r="AL55" s="62" t="n">
        <f aca="false">+AL51-AL53+AL54</f>
        <v>63335.7268908518</v>
      </c>
      <c r="AM55" s="41"/>
      <c r="AN55" s="46" t="s">
        <v>233</v>
      </c>
      <c r="AO55" s="61"/>
      <c r="AP55" s="61"/>
      <c r="AQ55" s="61"/>
      <c r="AR55" s="61"/>
      <c r="AS55" s="61"/>
      <c r="AT55" s="61"/>
      <c r="AU55" s="61"/>
      <c r="AV55" s="61"/>
      <c r="AW55" s="110" t="n">
        <v>0</v>
      </c>
      <c r="AX55" s="110" t="n">
        <v>0.01</v>
      </c>
      <c r="AY55" s="93"/>
    </row>
    <row r="56" customFormat="false" ht="12" hidden="false" customHeight="true" outlineLevel="0" collapsed="false">
      <c r="A56" s="69" t="s">
        <v>259</v>
      </c>
      <c r="B56" s="62" t="n">
        <f aca="false">+B701</f>
        <v>0</v>
      </c>
      <c r="C56" s="62" t="n">
        <f aca="false">+C701</f>
        <v>0</v>
      </c>
      <c r="D56" s="62" t="n">
        <f aca="false">+D701</f>
        <v>0</v>
      </c>
      <c r="E56" s="62" t="n">
        <f aca="false">+E701</f>
        <v>205</v>
      </c>
      <c r="F56" s="62" t="n">
        <f aca="false">+F701</f>
        <v>321</v>
      </c>
      <c r="G56" s="62" t="n">
        <f aca="false">+G701</f>
        <v>22.5</v>
      </c>
      <c r="H56" s="62" t="n">
        <f aca="false">+H701</f>
        <v>29.5</v>
      </c>
      <c r="I56" s="62" t="n">
        <f aca="false">+I701</f>
        <v>148</v>
      </c>
      <c r="J56" s="62" t="n">
        <f aca="false">+J701</f>
        <v>102.6</v>
      </c>
      <c r="K56" s="62" t="n">
        <f aca="false">+K701</f>
        <v>399.5</v>
      </c>
      <c r="L56" s="62" t="n">
        <f aca="false">+L701</f>
        <v>498.9</v>
      </c>
      <c r="M56" s="62" t="n">
        <f aca="false">+M701</f>
        <v>928.8</v>
      </c>
      <c r="N56" s="62" t="n">
        <f aca="false">+N701</f>
        <v>1022</v>
      </c>
      <c r="O56" s="62" t="n">
        <f aca="false">+O701</f>
        <v>1249.8</v>
      </c>
      <c r="P56" s="62" t="n">
        <f aca="false">+P701</f>
        <v>1632.2</v>
      </c>
      <c r="Q56" s="62" t="n">
        <f aca="false">+Q701</f>
        <v>1688.4</v>
      </c>
      <c r="R56" s="62" t="n">
        <f aca="false">+R701</f>
        <v>184.5</v>
      </c>
      <c r="S56" s="62" t="n">
        <f aca="false">+S701</f>
        <v>1211</v>
      </c>
      <c r="T56" s="62" t="n">
        <f aca="false">+T701</f>
        <v>1705</v>
      </c>
      <c r="U56" s="62" t="n">
        <f aca="false">+U701</f>
        <v>1240</v>
      </c>
      <c r="V56" s="62" t="n">
        <f aca="false">+V701</f>
        <v>370</v>
      </c>
      <c r="W56" s="62" t="n">
        <f aca="false">+W701</f>
        <v>-1206</v>
      </c>
      <c r="X56" s="62" t="n">
        <f aca="false">+X701</f>
        <v>1073.907</v>
      </c>
      <c r="Y56" s="62" t="n">
        <f aca="false">+Y701</f>
        <v>4369.382</v>
      </c>
      <c r="Z56" s="62" t="n">
        <f aca="false">+Z701</f>
        <v>4310.09</v>
      </c>
      <c r="AA56" s="62" t="n">
        <f aca="false">+AA701</f>
        <v>6681.258</v>
      </c>
      <c r="AB56" s="62" t="n">
        <f aca="false">+AB701</f>
        <v>5136</v>
      </c>
      <c r="AC56" s="62" t="n">
        <f aca="false">+AC701</f>
        <v>1224</v>
      </c>
      <c r="AD56" s="62" t="n">
        <f aca="false">+AD701</f>
        <v>-982.3</v>
      </c>
      <c r="AE56" s="62" t="n">
        <f aca="false">+AE701</f>
        <v>-142.2</v>
      </c>
      <c r="AF56" s="62" t="n">
        <f aca="false">+AF701</f>
        <v>7302.9</v>
      </c>
      <c r="AG56" s="62" t="n">
        <f aca="false">+AG701</f>
        <v>11743.1</v>
      </c>
      <c r="AH56" s="62" t="n">
        <f aca="false">+AH701</f>
        <v>10450</v>
      </c>
      <c r="AI56" s="62" t="n">
        <f aca="false">+AI701</f>
        <v>12484.9</v>
      </c>
      <c r="AJ56" s="62" t="n">
        <f aca="false">+AJ701</f>
        <v>13030.6125704381</v>
      </c>
      <c r="AK56" s="62" t="n">
        <f aca="false">+AK701</f>
        <v>14615.1931944552</v>
      </c>
      <c r="AL56" s="62" t="n">
        <f aca="false">+AL701</f>
        <v>15833.9317227129</v>
      </c>
      <c r="AM56" s="41"/>
      <c r="AN56" s="46" t="s">
        <v>236</v>
      </c>
      <c r="AO56" s="62" t="n">
        <f aca="false">+AO54*AO52/1000000</f>
        <v>290549.5</v>
      </c>
      <c r="AP56" s="62" t="n">
        <f aca="false">+AP54*AP52/1000000</f>
        <v>174674.7</v>
      </c>
      <c r="AQ56" s="62" t="n">
        <f aca="false">+AQ54*AQ52/1000000</f>
        <v>153014.5</v>
      </c>
      <c r="AR56" s="62" t="n">
        <f aca="false">+AR54*AR52/1000000</f>
        <v>216882.9</v>
      </c>
      <c r="AS56" s="62" t="n">
        <f aca="false">+AS54*AS52/1000000</f>
        <v>361441.4</v>
      </c>
      <c r="AT56" s="62" t="n">
        <f aca="false">+AT54*AT52/1000000</f>
        <v>383670.3</v>
      </c>
      <c r="AU56" s="62" t="n">
        <f aca="false">+AU54*AU52/1000000</f>
        <v>387527.4</v>
      </c>
      <c r="AV56" s="62" t="n">
        <f aca="false">+AV54*AV52/1000000</f>
        <v>440070.3</v>
      </c>
      <c r="AW56" s="62" t="n">
        <f aca="false">+AW54*AW52/1000000</f>
        <v>453272.409</v>
      </c>
      <c r="AX56" s="62" t="n">
        <f aca="false">+AX54*AX52/1000000</f>
        <v>471539.2870827</v>
      </c>
      <c r="AY56" s="93"/>
    </row>
    <row r="57" customFormat="false" ht="12.75" hidden="false" customHeight="true" outlineLevel="0" collapsed="false">
      <c r="A57" s="59" t="s">
        <v>244</v>
      </c>
      <c r="B57" s="67" t="n">
        <f aca="false">+B55-B56</f>
        <v>44.2500000000017</v>
      </c>
      <c r="C57" s="67" t="n">
        <f aca="false">+C55-C56</f>
        <v>353.3</v>
      </c>
      <c r="D57" s="67" t="n">
        <f aca="false">+D55-D56</f>
        <v>705.899999999997</v>
      </c>
      <c r="E57" s="67" t="n">
        <f aca="false">+E55-E56</f>
        <v>1130.83</v>
      </c>
      <c r="F57" s="67" t="n">
        <f aca="false">+F55-F56</f>
        <v>1249.35</v>
      </c>
      <c r="G57" s="67" t="n">
        <f aca="false">+G55-G56</f>
        <v>184.181575999999</v>
      </c>
      <c r="H57" s="67" t="n">
        <f aca="false">+H55-H56</f>
        <v>207.188378295995</v>
      </c>
      <c r="I57" s="67" t="n">
        <f aca="false">+I55-I56</f>
        <v>784.870000000003</v>
      </c>
      <c r="J57" s="67" t="n">
        <f aca="false">+J55-J56</f>
        <v>916.809999999999</v>
      </c>
      <c r="K57" s="67" t="n">
        <f aca="false">+K55-K56</f>
        <v>922.56</v>
      </c>
      <c r="L57" s="67" t="n">
        <f aca="false">+L55-L56</f>
        <v>1202.12</v>
      </c>
      <c r="M57" s="67" t="n">
        <f aca="false">+M55-M56</f>
        <v>1935.8</v>
      </c>
      <c r="N57" s="67" t="n">
        <f aca="false">+N55-N56</f>
        <v>2714.1</v>
      </c>
      <c r="O57" s="67" t="n">
        <f aca="false">+O55-O56</f>
        <v>3273.19999999999</v>
      </c>
      <c r="P57" s="67" t="n">
        <f aca="false">+P55-P56</f>
        <v>4412.86</v>
      </c>
      <c r="Q57" s="67" t="n">
        <f aca="false">+Q55-Q56</f>
        <v>4693.1</v>
      </c>
      <c r="R57" s="67" t="n">
        <f aca="false">+R55-R56</f>
        <v>1899.96300000001</v>
      </c>
      <c r="S57" s="67" t="n">
        <f aca="false">+S55-S56</f>
        <v>4236.74700000003</v>
      </c>
      <c r="T57" s="67" t="n">
        <f aca="false">+T55-T56</f>
        <v>6312.99300000001</v>
      </c>
      <c r="U57" s="67" t="n">
        <f aca="false">+U55-U56</f>
        <v>5659.766</v>
      </c>
      <c r="V57" s="67" t="n">
        <f aca="false">+V55-V56</f>
        <v>4337.06700000001</v>
      </c>
      <c r="W57" s="67" t="n">
        <f aca="false">+W55-W56</f>
        <v>293.810999999978</v>
      </c>
      <c r="X57" s="67" t="n">
        <f aca="false">+X55-X56</f>
        <v>3348.06000000001</v>
      </c>
      <c r="Y57" s="67" t="n">
        <f aca="false">+Y55-Y56</f>
        <v>3895.98500000002</v>
      </c>
      <c r="Z57" s="67" t="n">
        <f aca="false">+Z55-Z56</f>
        <v>12230.772</v>
      </c>
      <c r="AA57" s="67" t="n">
        <f aca="false">+AA55-AA56</f>
        <v>15625.896</v>
      </c>
      <c r="AB57" s="67" t="n">
        <f aca="false">+AB55-AB56</f>
        <v>19831.9999999999</v>
      </c>
      <c r="AC57" s="67" t="n">
        <f aca="false">+AC55-AC56</f>
        <v>2395.2</v>
      </c>
      <c r="AD57" s="67" t="n">
        <f aca="false">+AD55-AD56</f>
        <v>-3136.80000000001</v>
      </c>
      <c r="AE57" s="67" t="n">
        <f aca="false">+AE55-AE56</f>
        <v>5418.30000000001</v>
      </c>
      <c r="AF57" s="67" t="n">
        <f aca="false">+AF55-AF56</f>
        <v>13801.1</v>
      </c>
      <c r="AG57" s="67" t="n">
        <f aca="false">+AG55-AG56</f>
        <v>26178.7</v>
      </c>
      <c r="AH57" s="67" t="n">
        <f aca="false">+AH55-AH56</f>
        <v>33032.9</v>
      </c>
      <c r="AI57" s="67" t="n">
        <f aca="false">+AI55-AI56</f>
        <v>35655.3000000002</v>
      </c>
      <c r="AJ57" s="67" t="n">
        <f aca="false">+AJ55-AJ56</f>
        <v>39091.8377113142</v>
      </c>
      <c r="AK57" s="67" t="n">
        <f aca="false">+AK55-AK56</f>
        <v>43845.5795833657</v>
      </c>
      <c r="AL57" s="67" t="n">
        <f aca="false">+AL55-AL56</f>
        <v>47501.7951681388</v>
      </c>
      <c r="AM57" s="41"/>
      <c r="AN57" s="62" t="s">
        <v>162</v>
      </c>
      <c r="AO57" s="62" t="n">
        <f aca="false">+AO25</f>
        <v>31357.3999999999</v>
      </c>
      <c r="AP57" s="62" t="n">
        <f aca="false">+AP25</f>
        <v>11736.5</v>
      </c>
      <c r="AQ57" s="62" t="n">
        <f aca="false">+AQ25</f>
        <v>5351.39999999999</v>
      </c>
      <c r="AR57" s="62" t="n">
        <f aca="false">+AR25</f>
        <v>9945.20000000001</v>
      </c>
      <c r="AS57" s="62" t="n">
        <f aca="false">+AS25</f>
        <v>29307</v>
      </c>
      <c r="AT57" s="62" t="n">
        <f aca="false">+AT25</f>
        <v>46065.8000000001</v>
      </c>
      <c r="AU57" s="62" t="n">
        <f aca="false">+AU25</f>
        <v>49305.6</v>
      </c>
      <c r="AV57" s="62" t="n">
        <f aca="false">+AV25</f>
        <v>57322.5000000002</v>
      </c>
      <c r="AW57" s="62" t="n">
        <f aca="false">+AW56*AW58</f>
        <v>50766.509808</v>
      </c>
      <c r="AX57" s="62" t="n">
        <f aca="false">+AX56*AX58</f>
        <v>54227.0180145105</v>
      </c>
      <c r="AY57" s="89" t="n">
        <f aca="false">+SQRT(AX57/AV57)-1</f>
        <v>-0.0273752874681669</v>
      </c>
    </row>
    <row r="58" s="131" customFormat="true" ht="13.5" hidden="false" customHeight="true" outlineLevel="0" collapsed="false">
      <c r="A58" s="128"/>
      <c r="B58" s="62" t="n">
        <f aca="false">+B57-B704</f>
        <v>0</v>
      </c>
      <c r="C58" s="62" t="n">
        <f aca="false">+C57-C704</f>
        <v>-1.70530256582424E-012</v>
      </c>
      <c r="D58" s="62" t="n">
        <f aca="false">+D57-D704</f>
        <v>0</v>
      </c>
      <c r="E58" s="62" t="n">
        <f aca="false">+E57-E704</f>
        <v>0</v>
      </c>
      <c r="F58" s="62" t="n">
        <f aca="false">+F57-F704</f>
        <v>0</v>
      </c>
      <c r="G58" s="62" t="n">
        <f aca="false">+G57-G704</f>
        <v>-1.81898940354586E-012</v>
      </c>
      <c r="H58" s="62" t="n">
        <f aca="false">+H57-H704</f>
        <v>-3.41060513164848E-012</v>
      </c>
      <c r="I58" s="62" t="n">
        <f aca="false">+I57-I704</f>
        <v>3.41060513164848E-012</v>
      </c>
      <c r="J58" s="62" t="n">
        <f aca="false">+J57-J704</f>
        <v>0</v>
      </c>
      <c r="K58" s="62" t="n">
        <f aca="false">+K57-K704</f>
        <v>0</v>
      </c>
      <c r="L58" s="62" t="n">
        <f aca="false">+L57-L704</f>
        <v>0</v>
      </c>
      <c r="M58" s="62" t="n">
        <f aca="false">+M57-M704</f>
        <v>0</v>
      </c>
      <c r="N58" s="62" t="n">
        <f aca="false">+N57-N704</f>
        <v>0</v>
      </c>
      <c r="O58" s="62" t="n">
        <f aca="false">+O57-O704</f>
        <v>0</v>
      </c>
      <c r="P58" s="62" t="n">
        <f aca="false">+P57-P704</f>
        <v>0</v>
      </c>
      <c r="Q58" s="62" t="n">
        <f aca="false">+Q57-Q704</f>
        <v>0</v>
      </c>
      <c r="R58" s="62" t="n">
        <f aca="false">+R57-R704</f>
        <v>0</v>
      </c>
      <c r="S58" s="62" t="n">
        <f aca="false">+S57-S704</f>
        <v>0</v>
      </c>
      <c r="T58" s="62" t="n">
        <f aca="false">+T57-T704</f>
        <v>0</v>
      </c>
      <c r="U58" s="62" t="n">
        <f aca="false">+U57-U704</f>
        <v>0</v>
      </c>
      <c r="V58" s="62" t="n">
        <f aca="false">+V57-V704</f>
        <v>0</v>
      </c>
      <c r="W58" s="62" t="n">
        <f aca="false">+W57-W704</f>
        <v>0</v>
      </c>
      <c r="X58" s="129" t="n">
        <f aca="false">+X57-X704</f>
        <v>-1.45519152283669E-011</v>
      </c>
      <c r="Y58" s="62" t="n">
        <f aca="false">+Y57-Y704</f>
        <v>0</v>
      </c>
      <c r="Z58" s="62" t="n">
        <f aca="false">+Z57-Z704</f>
        <v>0</v>
      </c>
      <c r="AA58" s="62" t="n">
        <f aca="false">+AA57-AA704</f>
        <v>0</v>
      </c>
      <c r="AB58" s="62" t="n">
        <f aca="false">+AB57-AB704</f>
        <v>0</v>
      </c>
      <c r="AC58" s="62" t="n">
        <f aca="false">+AC57-AC704</f>
        <v>0</v>
      </c>
      <c r="AD58" s="62" t="n">
        <f aca="false">+AD57-AD704</f>
        <v>0</v>
      </c>
      <c r="AE58" s="62" t="n">
        <f aca="false">+AE57-AE704</f>
        <v>0</v>
      </c>
      <c r="AF58" s="62" t="n">
        <f aca="false">+AF57-AF704</f>
        <v>0</v>
      </c>
      <c r="AG58" s="62" t="n">
        <f aca="false">+AG57-AG704</f>
        <v>0</v>
      </c>
      <c r="AH58" s="62" t="n">
        <f aca="false">+AH57-AH704</f>
        <v>0</v>
      </c>
      <c r="AI58" s="62" t="n">
        <f aca="false">+AI57-AI704</f>
        <v>0</v>
      </c>
      <c r="AJ58" s="62" t="n">
        <f aca="false">+AJ57-AJ704</f>
        <v>0</v>
      </c>
      <c r="AK58" s="62" t="n">
        <f aca="false">+AK57-AK704</f>
        <v>0</v>
      </c>
      <c r="AL58" s="62" t="n">
        <f aca="false">+AL57-AL704</f>
        <v>0</v>
      </c>
      <c r="AM58" s="130"/>
      <c r="AN58" s="113" t="s">
        <v>238</v>
      </c>
      <c r="AO58" s="113" t="n">
        <f aca="false">+AO57/AO56</f>
        <v>0.107924467259451</v>
      </c>
      <c r="AP58" s="113" t="n">
        <f aca="false">+AP57/AP56</f>
        <v>0.0671906120348282</v>
      </c>
      <c r="AQ58" s="113" t="n">
        <f aca="false">+AQ57/AQ56</f>
        <v>0.0349731561387973</v>
      </c>
      <c r="AR58" s="113" t="n">
        <f aca="false">+AR57/AR56</f>
        <v>0.0458551596276148</v>
      </c>
      <c r="AS58" s="113" t="n">
        <f aca="false">+AS57/AS56</f>
        <v>0.0810836832747992</v>
      </c>
      <c r="AT58" s="113" t="n">
        <f aca="false">+AT57/AT56</f>
        <v>0.120066108843974</v>
      </c>
      <c r="AU58" s="113" t="n">
        <f aca="false">+AU57/AU56</f>
        <v>0.127231261583052</v>
      </c>
      <c r="AV58" s="113" t="n">
        <f aca="false">+AV57/AV56</f>
        <v>0.130257597479312</v>
      </c>
      <c r="AW58" s="114" t="n">
        <v>0.112</v>
      </c>
      <c r="AX58" s="114" t="n">
        <v>0.115</v>
      </c>
      <c r="AY58" s="116"/>
    </row>
    <row r="59" s="19" customFormat="true" ht="12.75" hidden="false" customHeight="true" outlineLevel="0" collapsed="false">
      <c r="A59" s="59" t="s">
        <v>260</v>
      </c>
      <c r="B59" s="67" t="n">
        <f aca="false">+B707</f>
        <v>44.2500000000015</v>
      </c>
      <c r="C59" s="67" t="n">
        <f aca="false">+C707</f>
        <v>353.300000000002</v>
      </c>
      <c r="D59" s="67" t="n">
        <f aca="false">+D707</f>
        <v>705.899999999999</v>
      </c>
      <c r="E59" s="67" t="n">
        <f aca="false">+E707</f>
        <v>1130.83</v>
      </c>
      <c r="F59" s="67" t="n">
        <f aca="false">+F707</f>
        <v>1249.35</v>
      </c>
      <c r="G59" s="67" t="n">
        <f aca="false">+G707</f>
        <v>184.181576000001</v>
      </c>
      <c r="H59" s="67" t="n">
        <f aca="false">+H707</f>
        <v>207.188378295998</v>
      </c>
      <c r="I59" s="67" t="n">
        <f aca="false">+I707</f>
        <v>784.869999999999</v>
      </c>
      <c r="J59" s="67" t="n">
        <f aca="false">+J707</f>
        <v>971.489999999998</v>
      </c>
      <c r="K59" s="67" t="n">
        <f aca="false">+K707</f>
        <v>962.99</v>
      </c>
      <c r="L59" s="67" t="n">
        <f aca="false">+L707</f>
        <v>1309.53</v>
      </c>
      <c r="M59" s="67" t="n">
        <f aca="false">+M707</f>
        <v>2030.99</v>
      </c>
      <c r="N59" s="67" t="n">
        <f aca="false">+N707</f>
        <v>2355.3416</v>
      </c>
      <c r="O59" s="67" t="n">
        <f aca="false">+O707</f>
        <v>3094.3581101039</v>
      </c>
      <c r="P59" s="67" t="n">
        <f aca="false">+P707</f>
        <v>4543.61999999999</v>
      </c>
      <c r="Q59" s="67" t="n">
        <f aca="false">+Q707</f>
        <v>4820.47</v>
      </c>
      <c r="R59" s="67" t="n">
        <f aca="false">+R57-R52-R54</f>
        <v>2489.85000000001</v>
      </c>
      <c r="S59" s="67" t="n">
        <f aca="false">+S57-S52-S54</f>
        <v>4269.46200000003</v>
      </c>
      <c r="T59" s="67" t="n">
        <f aca="false">+T57-T52-T54</f>
        <v>6812.99300000001</v>
      </c>
      <c r="U59" s="67" t="n">
        <f aca="false">+U57-U52-U54</f>
        <v>5643.788</v>
      </c>
      <c r="V59" s="67" t="n">
        <f aca="false">+V57-V52-V54</f>
        <v>1441.506</v>
      </c>
      <c r="W59" s="67" t="n">
        <f aca="false">+W57-W52-W54</f>
        <v>-4762.77800000002</v>
      </c>
      <c r="X59" s="67" t="n">
        <f aca="false">+X57-X52-X54</f>
        <v>2338.70100000001</v>
      </c>
      <c r="Y59" s="67" t="n">
        <f aca="false">+Y707</f>
        <v>9878.58348007646</v>
      </c>
      <c r="Z59" s="67" t="n">
        <f aca="false">+Z707</f>
        <v>12430.3952361218</v>
      </c>
      <c r="AA59" s="67" t="n">
        <f aca="false">+AA57-AA52-AA54</f>
        <v>15747.643</v>
      </c>
      <c r="AB59" s="132" t="n">
        <f aca="false">+AB57-(AB52+AB54)*0.8</f>
        <v>20291.9199999999</v>
      </c>
      <c r="AC59" s="67" t="n">
        <f aca="false">+AC57-(AC52+AC54)*0.75</f>
        <v>3563.85</v>
      </c>
      <c r="AD59" s="67" t="n">
        <f aca="false">+AD57-(AD52+AD54)*0.75</f>
        <v>-3046.42500000001</v>
      </c>
      <c r="AE59" s="67" t="n">
        <f aca="false">+AE57-(AE52+AE54)*0.75</f>
        <v>1587.07500000001</v>
      </c>
      <c r="AF59" s="67" t="n">
        <f aca="false">+AF57-(AF52+AF54)*0.75</f>
        <v>13166.525</v>
      </c>
      <c r="AG59" s="67" t="n">
        <f aca="false">+AG57-(AG52+AG54)*0.75</f>
        <v>26881.6000000001</v>
      </c>
      <c r="AH59" s="67" t="n">
        <f aca="false">+AH57-(AH52+AH54)*0.75</f>
        <v>32254.925</v>
      </c>
      <c r="AI59" s="67" t="n">
        <f aca="false">+AI57-(AI52+AI54)*1</f>
        <v>39140.1000000002</v>
      </c>
      <c r="AJ59" s="67" t="n">
        <f aca="false">+AJ57-(AJ52+AJ54)*0.75</f>
        <v>39091.8377113142</v>
      </c>
      <c r="AK59" s="67" t="n">
        <f aca="false">+AK57-(AK52+AK54)*0.75</f>
        <v>43845.5795833657</v>
      </c>
      <c r="AL59" s="67" t="n">
        <f aca="false">+AL57-(AL52+AL54)*0.75</f>
        <v>47501.7951681388</v>
      </c>
      <c r="AM59" s="61"/>
      <c r="AN59" s="62" t="s">
        <v>239</v>
      </c>
      <c r="AO59" s="62" t="n">
        <f aca="false">+AO27</f>
        <v>-5814.5</v>
      </c>
      <c r="AP59" s="62" t="n">
        <f aca="false">+AP27</f>
        <v>-6559.1</v>
      </c>
      <c r="AQ59" s="62" t="n">
        <f aca="false">+AQ27</f>
        <v>-9350</v>
      </c>
      <c r="AR59" s="62" t="n">
        <f aca="false">+AR27</f>
        <v>-9777.4</v>
      </c>
      <c r="AS59" s="62" t="n">
        <f aca="false">+AS27</f>
        <v>-8203</v>
      </c>
      <c r="AT59" s="62" t="n">
        <f aca="false">+AT27</f>
        <v>-7206.8</v>
      </c>
      <c r="AU59" s="62" t="n">
        <f aca="false">+AU27</f>
        <v>-6860</v>
      </c>
      <c r="AV59" s="62" t="n">
        <f aca="false">+AV27</f>
        <v>-5697.5</v>
      </c>
      <c r="AW59" s="62" t="n">
        <f aca="false">+AW27</f>
        <v>-5423.03479716902</v>
      </c>
      <c r="AX59" s="62" t="n">
        <f aca="false">+AX27</f>
        <v>-5383.36486134668</v>
      </c>
      <c r="AY59" s="116"/>
    </row>
    <row r="60" s="137" customFormat="true" ht="12" hidden="false" customHeight="true" outlineLevel="0" collapsed="false">
      <c r="A60" s="133"/>
      <c r="B60" s="134"/>
      <c r="C60" s="134"/>
      <c r="D60" s="134"/>
      <c r="E60" s="134"/>
      <c r="F60" s="134"/>
      <c r="G60" s="135"/>
      <c r="H60" s="136" t="n">
        <v>207.188378295998</v>
      </c>
      <c r="I60" s="136" t="n">
        <v>784.869999999999</v>
      </c>
      <c r="J60" s="136" t="n">
        <v>916.809999999998</v>
      </c>
      <c r="K60" s="136" t="n">
        <v>922.56</v>
      </c>
      <c r="L60" s="136" t="n">
        <v>1202.12</v>
      </c>
      <c r="M60" s="136" t="n">
        <v>1935.8</v>
      </c>
      <c r="N60" s="136" t="n">
        <v>2714.1</v>
      </c>
      <c r="O60" s="136" t="n">
        <v>3273.19999999999</v>
      </c>
      <c r="P60" s="136" t="n">
        <v>4412.85999999999</v>
      </c>
      <c r="Q60" s="136" t="n">
        <v>4693.1</v>
      </c>
      <c r="R60" s="136" t="n">
        <v>1899.96300000001</v>
      </c>
      <c r="S60" s="136" t="n">
        <v>4236.74700000003</v>
      </c>
      <c r="T60" s="136" t="n">
        <v>6312.993</v>
      </c>
      <c r="U60" s="136" t="n">
        <v>5659.766</v>
      </c>
      <c r="V60" s="136" t="n">
        <v>4337.067</v>
      </c>
      <c r="W60" s="136" t="n">
        <v>293.811</v>
      </c>
      <c r="X60" s="136" t="n">
        <v>3348.06</v>
      </c>
      <c r="Y60" s="136" t="n">
        <v>7217.758</v>
      </c>
      <c r="Z60" s="136" t="n">
        <v>12230.772</v>
      </c>
      <c r="AA60" s="136" t="n">
        <v>15625.896</v>
      </c>
      <c r="AB60" s="136" t="n">
        <v>19832</v>
      </c>
      <c r="AC60" s="136" t="n">
        <v>2395.2</v>
      </c>
      <c r="AD60" s="48" t="n">
        <v>-3136.8</v>
      </c>
      <c r="AE60" s="48" t="n">
        <v>5418.3</v>
      </c>
      <c r="AF60" s="48" t="n">
        <v>13801.1</v>
      </c>
      <c r="AG60" s="48" t="n">
        <v>26178.7</v>
      </c>
      <c r="AH60" s="48" t="n">
        <v>33032.9</v>
      </c>
      <c r="AI60" s="48" t="n">
        <v>35655.3</v>
      </c>
      <c r="AM60" s="138"/>
      <c r="AN60" s="90" t="s">
        <v>241</v>
      </c>
      <c r="AO60" s="62" t="n">
        <f aca="false">+AO57+AO59</f>
        <v>25542.8999999999</v>
      </c>
      <c r="AP60" s="62" t="n">
        <f aca="false">+AP57+AP59</f>
        <v>5177.4</v>
      </c>
      <c r="AQ60" s="62" t="n">
        <f aca="false">+AQ57+AQ59</f>
        <v>-3998.60000000001</v>
      </c>
      <c r="AR60" s="62" t="n">
        <f aca="false">+AR57+AR59</f>
        <v>167.80000000001</v>
      </c>
      <c r="AS60" s="62" t="n">
        <f aca="false">+AS57+AS59</f>
        <v>21104</v>
      </c>
      <c r="AT60" s="62" t="n">
        <f aca="false">+AT57+AT59</f>
        <v>38859</v>
      </c>
      <c r="AU60" s="62" t="n">
        <f aca="false">+AU57+AU59</f>
        <v>42445.6</v>
      </c>
      <c r="AV60" s="62" t="n">
        <f aca="false">+AV57+AV59</f>
        <v>51625.0000000002</v>
      </c>
      <c r="AW60" s="62" t="n">
        <f aca="false">+AW57+AW59</f>
        <v>45343.475010831</v>
      </c>
      <c r="AX60" s="62" t="n">
        <f aca="false">+AX57+AX59</f>
        <v>48843.6531531639</v>
      </c>
    </row>
    <row r="61" customFormat="false" ht="12.75" hidden="false" customHeight="true" outlineLevel="0" collapsed="false">
      <c r="B61" s="75"/>
      <c r="C61" s="75"/>
      <c r="D61" s="75"/>
      <c r="E61" s="75"/>
      <c r="F61" s="75"/>
      <c r="G61" s="85"/>
      <c r="H61" s="139" t="n">
        <f aca="false">+H60-H57</f>
        <v>3.46744855050929E-012</v>
      </c>
      <c r="I61" s="139" t="n">
        <f aca="false">+I60-I57</f>
        <v>-3.75166564481333E-012</v>
      </c>
      <c r="J61" s="139" t="n">
        <f aca="false">+J60-J57</f>
        <v>0</v>
      </c>
      <c r="K61" s="139" t="n">
        <f aca="false">+K60-K57</f>
        <v>0</v>
      </c>
      <c r="L61" s="139" t="n">
        <f aca="false">+L60-L57</f>
        <v>-4.54747350886464E-012</v>
      </c>
      <c r="M61" s="139" t="n">
        <f aca="false">+M60-M57</f>
        <v>0</v>
      </c>
      <c r="N61" s="139" t="n">
        <f aca="false">+N60-N57</f>
        <v>0</v>
      </c>
      <c r="O61" s="139" t="n">
        <f aca="false">+O60-O57</f>
        <v>0</v>
      </c>
      <c r="P61" s="139" t="n">
        <f aca="false">+P60-P57</f>
        <v>0</v>
      </c>
      <c r="Q61" s="139" t="n">
        <f aca="false">+Q60-Q57</f>
        <v>0</v>
      </c>
      <c r="R61" s="139" t="n">
        <f aca="false">+R60-R57</f>
        <v>0</v>
      </c>
      <c r="S61" s="140" t="n">
        <f aca="false">+S60-S57</f>
        <v>0</v>
      </c>
      <c r="T61" s="141" t="n">
        <f aca="false">+T60-T57</f>
        <v>0</v>
      </c>
      <c r="U61" s="140" t="n">
        <f aca="false">+U60-U57</f>
        <v>0</v>
      </c>
      <c r="V61" s="140" t="n">
        <f aca="false">+V60-V57</f>
        <v>0</v>
      </c>
      <c r="W61" s="142" t="n">
        <f aca="false">+W60-W57</f>
        <v>2.21120899368543E-011</v>
      </c>
      <c r="X61" s="142" t="n">
        <f aca="false">+X60-X57</f>
        <v>-1.40971678774804E-011</v>
      </c>
      <c r="Y61" s="142" t="n">
        <f aca="false">+Y57-3895.985</f>
        <v>1.68256519827992E-011</v>
      </c>
      <c r="Z61" s="142" t="n">
        <f aca="false">+Z57-12230.772</f>
        <v>0</v>
      </c>
      <c r="AA61" s="143" t="n">
        <f aca="false">+AA60-AA57</f>
        <v>0</v>
      </c>
      <c r="AB61" s="143" t="n">
        <f aca="false">+AB60-AB57</f>
        <v>9.09494701772928E-011</v>
      </c>
      <c r="AC61" s="143" t="n">
        <f aca="false">+AC60-AC57</f>
        <v>0</v>
      </c>
      <c r="AD61" s="143" t="n">
        <f aca="false">+AD60-AD57</f>
        <v>0</v>
      </c>
      <c r="AE61" s="143" t="n">
        <f aca="false">+AE60-AE57</f>
        <v>0</v>
      </c>
      <c r="AF61" s="143" t="n">
        <f aca="false">+AF60-AF57</f>
        <v>0</v>
      </c>
      <c r="AG61" s="143" t="n">
        <f aca="false">+AG60-AG57</f>
        <v>0</v>
      </c>
      <c r="AH61" s="143" t="n">
        <f aca="false">+AH60-AH57</f>
        <v>0</v>
      </c>
      <c r="AI61" s="143" t="n">
        <f aca="false">+AI60-AI57</f>
        <v>-1.60071067512035E-010</v>
      </c>
      <c r="AJ61" s="124"/>
      <c r="AK61" s="124"/>
      <c r="AL61" s="124"/>
      <c r="AM61" s="144"/>
      <c r="AN61" s="90" t="s">
        <v>242</v>
      </c>
      <c r="AO61" s="62" t="n">
        <f aca="false">+AO29/AO28*AO60</f>
        <v>5136</v>
      </c>
      <c r="AP61" s="62" t="n">
        <f aca="false">+AP29/AP28*AP60</f>
        <v>1224</v>
      </c>
      <c r="AQ61" s="62" t="n">
        <f aca="false">+AQ29/AQ28*AQ60</f>
        <v>-982.3</v>
      </c>
      <c r="AR61" s="62" t="n">
        <f aca="false">+AR29/AR28*AR60</f>
        <v>-142.2</v>
      </c>
      <c r="AS61" s="62" t="n">
        <f aca="false">+AS29/AS28*AS60</f>
        <v>7302.9</v>
      </c>
      <c r="AT61" s="62" t="n">
        <f aca="false">+AT29/AT28*AT60</f>
        <v>11743.1</v>
      </c>
      <c r="AU61" s="62" t="n">
        <f aca="false">+AU29/AU28*AU60</f>
        <v>10450</v>
      </c>
      <c r="AV61" s="62" t="n">
        <f aca="false">+AV29/AV28*AV60</f>
        <v>12484.9</v>
      </c>
      <c r="AW61" s="62" t="n">
        <f aca="false">+AW29/AW28*AW60</f>
        <v>11335.8687527078</v>
      </c>
      <c r="AX61" s="62" t="n">
        <f aca="false">+AX29/AX28*AX60</f>
        <v>12210.913288291</v>
      </c>
    </row>
    <row r="62" customFormat="false" ht="12.75" hidden="false" customHeight="true" outlineLevel="0" collapsed="false">
      <c r="B62" s="75"/>
      <c r="C62" s="75"/>
      <c r="D62" s="75"/>
      <c r="E62" s="75"/>
      <c r="F62" s="75"/>
      <c r="G62" s="85"/>
      <c r="H62" s="115"/>
      <c r="I62" s="115"/>
      <c r="J62" s="115"/>
      <c r="K62" s="115"/>
      <c r="L62" s="115"/>
      <c r="M62" s="115"/>
      <c r="N62" s="115"/>
      <c r="O62" s="115"/>
      <c r="P62" s="115"/>
      <c r="Q62" s="115"/>
      <c r="R62" s="115"/>
      <c r="S62" s="115"/>
      <c r="T62" s="115"/>
      <c r="U62" s="115"/>
      <c r="V62" s="115"/>
      <c r="W62" s="115"/>
      <c r="X62" s="145"/>
      <c r="Y62" s="145"/>
      <c r="Z62" s="145"/>
      <c r="AA62" s="67" t="n">
        <f aca="false">+AA59-AA707</f>
        <v>0</v>
      </c>
      <c r="AB62" s="67" t="n">
        <f aca="false">+AB59-AB707</f>
        <v>0</v>
      </c>
      <c r="AC62" s="67" t="n">
        <f aca="false">+AC59-AC707</f>
        <v>0</v>
      </c>
      <c r="AD62" s="67" t="n">
        <f aca="false">+AD59-AD707</f>
        <v>0</v>
      </c>
      <c r="AE62" s="67" t="n">
        <f aca="false">+AE59-AE707</f>
        <v>0</v>
      </c>
      <c r="AF62" s="67" t="n">
        <f aca="false">+AF59-AF707</f>
        <v>0</v>
      </c>
      <c r="AG62" s="67" t="n">
        <f aca="false">+AG59-AG707</f>
        <v>0</v>
      </c>
      <c r="AH62" s="67" t="n">
        <f aca="false">+AH59-AH707</f>
        <v>0</v>
      </c>
      <c r="AI62" s="67" t="n">
        <f aca="false">+AI59-AI707</f>
        <v>0</v>
      </c>
      <c r="AJ62" s="67" t="n">
        <f aca="false">+AJ59-AJ707</f>
        <v>0</v>
      </c>
      <c r="AK62" s="67" t="n">
        <f aca="false">+AK59-AK707</f>
        <v>0</v>
      </c>
      <c r="AL62" s="67" t="n">
        <f aca="false">+AL59-AL707</f>
        <v>0</v>
      </c>
      <c r="AM62" s="115"/>
      <c r="AN62" s="62" t="s">
        <v>244</v>
      </c>
      <c r="AO62" s="62" t="n">
        <f aca="false">+AO60-AO61</f>
        <v>20406.8999999999</v>
      </c>
      <c r="AP62" s="62" t="n">
        <f aca="false">+AP60-AP61</f>
        <v>3953.4</v>
      </c>
      <c r="AQ62" s="62" t="n">
        <f aca="false">+AQ60-AQ61</f>
        <v>-3016.30000000001</v>
      </c>
      <c r="AR62" s="62" t="n">
        <f aca="false">+AR60-AR61</f>
        <v>310.00000000001</v>
      </c>
      <c r="AS62" s="62" t="n">
        <f aca="false">+AS60-AS61</f>
        <v>13801.1</v>
      </c>
      <c r="AT62" s="62" t="n">
        <f aca="false">+AT60-AT61</f>
        <v>27115.9</v>
      </c>
      <c r="AU62" s="62" t="n">
        <f aca="false">+AU46</f>
        <v>32254.925</v>
      </c>
      <c r="AV62" s="62" t="n">
        <f aca="false">+AV46</f>
        <v>39140.1000000002</v>
      </c>
      <c r="AW62" s="62" t="n">
        <f aca="false">+AW60-AW61</f>
        <v>34007.6062581232</v>
      </c>
      <c r="AX62" s="62" t="n">
        <f aca="false">+AX60-AX61</f>
        <v>36632.7398648729</v>
      </c>
    </row>
    <row r="63" customFormat="false" ht="12" hidden="false" customHeight="true" outlineLevel="0" collapsed="false">
      <c r="A63" s="69" t="s">
        <v>261</v>
      </c>
      <c r="B63" s="62" t="n">
        <f aca="false">+B47+B50</f>
        <v>1195.63</v>
      </c>
      <c r="C63" s="62" t="n">
        <f aca="false">+C47+C50</f>
        <v>1352.97</v>
      </c>
      <c r="D63" s="62" t="n">
        <f aca="false">+D47+D50</f>
        <v>1849.36</v>
      </c>
      <c r="E63" s="62" t="n">
        <f aca="false">+E47+E50</f>
        <v>2872.34</v>
      </c>
      <c r="F63" s="62" t="n">
        <f aca="false">+F47+F50</f>
        <v>3595.78</v>
      </c>
      <c r="G63" s="62" t="n">
        <f aca="false">+G47+G50</f>
        <v>2636.551576</v>
      </c>
      <c r="H63" s="62" t="n">
        <f aca="false">+H47+H50</f>
        <v>2533.15837829599</v>
      </c>
      <c r="I63" s="62" t="n">
        <f aca="false">+I47+I50</f>
        <v>3157.97</v>
      </c>
      <c r="J63" s="62" t="n">
        <f aca="false">+J47+J50</f>
        <v>3306.96</v>
      </c>
      <c r="K63" s="62" t="n">
        <f aca="false">+K47+K50</f>
        <v>3468.57</v>
      </c>
      <c r="L63" s="62" t="n">
        <f aca="false">+L47+L50</f>
        <v>3794.27</v>
      </c>
      <c r="M63" s="62" t="n">
        <f aca="false">+M47+M50</f>
        <v>4518.42</v>
      </c>
      <c r="N63" s="62" t="n">
        <f aca="false">+N47+N50</f>
        <v>4773.4916</v>
      </c>
      <c r="O63" s="62" t="n">
        <f aca="false">+O47+O50</f>
        <v>5949.64999999999</v>
      </c>
      <c r="P63" s="62" t="n">
        <f aca="false">+P47+P50</f>
        <v>7969.93</v>
      </c>
      <c r="Q63" s="62" t="n">
        <f aca="false">+Q47+Q50</f>
        <v>9045.6</v>
      </c>
      <c r="R63" s="62" t="n">
        <f aca="false">+R47+R50</f>
        <v>6061.67500000001</v>
      </c>
      <c r="S63" s="62" t="n">
        <f aca="false">+S47+S50</f>
        <v>8540.05600000003</v>
      </c>
      <c r="T63" s="62" t="n">
        <f aca="false">+T47+T50</f>
        <v>13081.537</v>
      </c>
      <c r="U63" s="62" t="n">
        <f aca="false">+U47+U50</f>
        <v>12964.452</v>
      </c>
      <c r="V63" s="62" t="n">
        <f aca="false">+V47+V50</f>
        <v>9388.198</v>
      </c>
      <c r="W63" s="62" t="n">
        <f aca="false">+W47+W50</f>
        <v>2330.82999999998</v>
      </c>
      <c r="X63" s="62" t="n">
        <f aca="false">+X47+X50</f>
        <v>11511.05</v>
      </c>
      <c r="Y63" s="62" t="n">
        <f aca="false">+Y47+Y50</f>
        <v>23722.513</v>
      </c>
      <c r="Z63" s="62" t="n">
        <f aca="false">+Z47+Z50</f>
        <v>23388.073</v>
      </c>
      <c r="AA63" s="62" t="n">
        <f aca="false">+AA47+AA50</f>
        <v>29287.454</v>
      </c>
      <c r="AB63" s="62" t="n">
        <f aca="false">+AB47+AB50</f>
        <v>32456.7999999999</v>
      </c>
      <c r="AC63" s="62" t="n">
        <f aca="false">+AC47+AC50</f>
        <v>12969.9</v>
      </c>
      <c r="AD63" s="62" t="n">
        <f aca="false">+AD47+AD50</f>
        <v>6546.39999999999</v>
      </c>
      <c r="AE63" s="62" t="n">
        <f aca="false">+AE47+AE50</f>
        <v>10706.5</v>
      </c>
      <c r="AF63" s="62" t="n">
        <f aca="false">+AF47+AF50</f>
        <v>30468.4</v>
      </c>
      <c r="AG63" s="62" t="n">
        <f aca="false">+AG47+AG50</f>
        <v>48531.5</v>
      </c>
      <c r="AH63" s="62" t="n">
        <f aca="false">+AH47+AH50</f>
        <v>51808.1</v>
      </c>
      <c r="AI63" s="62" t="n">
        <f aca="false">+AI47+AI50</f>
        <v>60474.2000000002</v>
      </c>
      <c r="AJ63" s="62" t="n">
        <f aca="false">+AJ47+AJ50</f>
        <v>60987.9436817522</v>
      </c>
      <c r="AK63" s="62" t="n">
        <f aca="false">+AK47+AK50</f>
        <v>67646.766177821</v>
      </c>
      <c r="AL63" s="62" t="n">
        <f aca="false">+AL47+AL50</f>
        <v>72567.7256908518</v>
      </c>
      <c r="AM63" s="41"/>
      <c r="AN63" s="81" t="s">
        <v>245</v>
      </c>
      <c r="AO63" s="62" t="n">
        <f aca="false">+AO31</f>
        <v>-7412.3</v>
      </c>
      <c r="AP63" s="62" t="n">
        <f aca="false">+AP31</f>
        <v>19588.9</v>
      </c>
      <c r="AQ63" s="62" t="n">
        <f aca="false">+AQ31</f>
        <v>30183</v>
      </c>
      <c r="AR63" s="62" t="n">
        <f aca="false">+AR31</f>
        <v>12088.7</v>
      </c>
      <c r="AS63" s="62" t="n">
        <f aca="false">+AS31</f>
        <v>-478.800000000003</v>
      </c>
      <c r="AT63" s="62" t="n">
        <f aca="false">+AT31</f>
        <v>-13878.4</v>
      </c>
      <c r="AU63" s="62" t="n">
        <f aca="false">+AU31</f>
        <v>-42429.3</v>
      </c>
      <c r="AV63" s="62" t="n">
        <f aca="false">+AV31</f>
        <v>-59017.2</v>
      </c>
      <c r="AW63" s="62" t="n">
        <f aca="false">+AW31-(AW57-AW25)*(1-AJ702/100)</f>
        <v>-64639.9571151601</v>
      </c>
      <c r="AX63" s="62" t="n">
        <f aca="false">+AX31-(AX57-AX25)*(1-AK702/100)</f>
        <v>-86412.5880253116</v>
      </c>
    </row>
    <row r="64" customFormat="false" ht="12" hidden="false" customHeight="true" outlineLevel="0" collapsed="false">
      <c r="A64" s="69" t="s">
        <v>262</v>
      </c>
      <c r="B64" s="62" t="n">
        <f aca="false">+B63-B53</f>
        <v>879.800000000002</v>
      </c>
      <c r="C64" s="62" t="n">
        <f aca="false">+C63-C53</f>
        <v>1024.87</v>
      </c>
      <c r="D64" s="62" t="n">
        <f aca="false">+D63-D53</f>
        <v>1457.57</v>
      </c>
      <c r="E64" s="62" t="n">
        <f aca="false">+E63-E53</f>
        <v>2326.29</v>
      </c>
      <c r="F64" s="62" t="n">
        <f aca="false">+F63-F53</f>
        <v>2939.8</v>
      </c>
      <c r="G64" s="62" t="n">
        <f aca="false">+G63-G53</f>
        <v>1930.981576</v>
      </c>
      <c r="H64" s="62" t="n">
        <f aca="false">+H63-H53</f>
        <v>1771.25837829599</v>
      </c>
      <c r="I64" s="62" t="n">
        <f aca="false">+I63-I53</f>
        <v>2333.54</v>
      </c>
      <c r="J64" s="62" t="n">
        <f aca="false">+J63-J53</f>
        <v>2423.46</v>
      </c>
      <c r="K64" s="62" t="n">
        <f aca="false">+K63-K53</f>
        <v>2515.02</v>
      </c>
      <c r="L64" s="62" t="n">
        <f aca="false">+L63-L53</f>
        <v>2764.58</v>
      </c>
      <c r="M64" s="62" t="n">
        <f aca="false">+M63-M53</f>
        <v>3553.88</v>
      </c>
      <c r="N64" s="62" t="n">
        <f aca="false">+N63-N53</f>
        <v>3681.3516</v>
      </c>
      <c r="O64" s="62" t="n">
        <f aca="false">+O63-O53</f>
        <v>4689.58999999999</v>
      </c>
      <c r="P64" s="62" t="n">
        <f aca="false">+P63-P53</f>
        <v>6464.19</v>
      </c>
      <c r="Q64" s="62" t="n">
        <f aca="false">+Q63-Q53</f>
        <v>7271.99</v>
      </c>
      <c r="R64" s="62" t="n">
        <f aca="false">+R63-R53</f>
        <v>4277.53300000001</v>
      </c>
      <c r="S64" s="62" t="n">
        <f aca="false">+S63-S53</f>
        <v>6498.97700000003</v>
      </c>
      <c r="T64" s="62" t="n">
        <f aca="false">+T63-T53</f>
        <v>10407.227</v>
      </c>
      <c r="U64" s="62" t="n">
        <f aca="false">+U63-U53</f>
        <v>9436.32</v>
      </c>
      <c r="V64" s="62" t="n">
        <f aca="false">+V63-V53</f>
        <v>5580.363</v>
      </c>
      <c r="W64" s="62" t="n">
        <f aca="false">+W63-W53</f>
        <v>-1439.53000000002</v>
      </c>
      <c r="X64" s="62" t="n">
        <f aca="false">+X63-X53</f>
        <v>7347.68300000001</v>
      </c>
      <c r="Y64" s="62" t="n">
        <f aca="false">+Y63-Y53</f>
        <v>18843.509</v>
      </c>
      <c r="Z64" s="62" t="n">
        <f aca="false">+Z63-Z53</f>
        <v>18209.134</v>
      </c>
      <c r="AA64" s="62" t="n">
        <f aca="false">+AA63-AA53</f>
        <v>23741.36</v>
      </c>
      <c r="AB64" s="62" t="n">
        <f aca="false">+AB63-AB53</f>
        <v>26246.6999999999</v>
      </c>
      <c r="AC64" s="62" t="n">
        <f aca="false">+AC63-AC53</f>
        <v>6271.9</v>
      </c>
      <c r="AD64" s="62" t="n">
        <f aca="false">+AD63-AD53</f>
        <v>-930.700000000006</v>
      </c>
      <c r="AE64" s="62" t="n">
        <f aca="false">+AE63-AE53</f>
        <v>3178.90000000001</v>
      </c>
      <c r="AF64" s="62" t="n">
        <f aca="false">+AF63-AF53</f>
        <v>23148.8</v>
      </c>
      <c r="AG64" s="62" t="n">
        <f aca="false">+AG63-AG53</f>
        <v>41353.4</v>
      </c>
      <c r="AH64" s="62" t="n">
        <f aca="false">+AH63-AH53</f>
        <v>44614.7</v>
      </c>
      <c r="AI64" s="62" t="n">
        <f aca="false">+AI63-AI53</f>
        <v>53322.3000000002</v>
      </c>
      <c r="AJ64" s="62" t="n">
        <f aca="false">+AJ63-AJ53</f>
        <v>53436.4982817522</v>
      </c>
      <c r="AK64" s="62" t="n">
        <f aca="false">+AK63-AK53</f>
        <v>59534.820777821</v>
      </c>
      <c r="AL64" s="62" t="n">
        <f aca="false">+AL63-AL53</f>
        <v>64100.2708908518</v>
      </c>
      <c r="AM64" s="41"/>
      <c r="AN64" s="103" t="s">
        <v>161</v>
      </c>
      <c r="AO64" s="125" t="n">
        <f aca="false">+AP32</f>
        <v>18</v>
      </c>
      <c r="AP64" s="126" t="n">
        <v>14</v>
      </c>
      <c r="AQ64" s="104"/>
      <c r="AR64" s="104"/>
      <c r="AS64" s="104"/>
      <c r="AT64" s="104"/>
      <c r="AU64" s="104"/>
      <c r="AV64" s="104"/>
      <c r="AW64" s="104"/>
      <c r="AX64" s="104"/>
    </row>
    <row r="65" customFormat="false" ht="12" hidden="false" customHeight="true" outlineLevel="0" collapsed="false">
      <c r="A65" s="69" t="s">
        <v>263</v>
      </c>
      <c r="B65" s="62" t="n">
        <f aca="false">+B47-B53</f>
        <v>310.490000000002</v>
      </c>
      <c r="C65" s="62" t="n">
        <f aca="false">+C47-C53</f>
        <v>549.23</v>
      </c>
      <c r="D65" s="62" t="n">
        <f aca="false">+D47-D53</f>
        <v>688.809999999997</v>
      </c>
      <c r="E65" s="62" t="n">
        <f aca="false">+E47-E53</f>
        <v>908.13</v>
      </c>
      <c r="F65" s="62" t="n">
        <f aca="false">+F47-F53</f>
        <v>1634.07</v>
      </c>
      <c r="G65" s="62" t="n">
        <f aca="false">+G47-G53</f>
        <v>842.051576</v>
      </c>
      <c r="H65" s="62" t="n">
        <f aca="false">+H47-H53</f>
        <v>893.818378295995</v>
      </c>
      <c r="I65" s="62" t="n">
        <f aca="false">+I47-I53</f>
        <v>1783.78</v>
      </c>
      <c r="J65" s="62" t="n">
        <f aca="false">+J47-J53</f>
        <v>1988.76</v>
      </c>
      <c r="K65" s="62" t="n">
        <f aca="false">+K47-K53</f>
        <v>2008.18</v>
      </c>
      <c r="L65" s="62" t="n">
        <f aca="false">+L47-L53</f>
        <v>2240.6</v>
      </c>
      <c r="M65" s="62" t="n">
        <f aca="false">+M47-M53</f>
        <v>2981.5</v>
      </c>
      <c r="N65" s="62" t="n">
        <f aca="false">+N47-N53</f>
        <v>3136.36</v>
      </c>
      <c r="O65" s="62" t="n">
        <f aca="false">+O47-O53</f>
        <v>4140.63999999999</v>
      </c>
      <c r="P65" s="62" t="n">
        <f aca="false">+P47-P53</f>
        <v>5521.11</v>
      </c>
      <c r="Q65" s="62" t="n">
        <f aca="false">+Q47-Q53</f>
        <v>6266.28</v>
      </c>
      <c r="R65" s="62" t="n">
        <f aca="false">+R47-R53</f>
        <v>2910.20900000001</v>
      </c>
      <c r="S65" s="62" t="n">
        <f aca="false">+S47-S53</f>
        <v>5587.31200000003</v>
      </c>
      <c r="T65" s="62" t="n">
        <f aca="false">+T47-T53</f>
        <v>10001.264</v>
      </c>
      <c r="U65" s="62" t="n">
        <f aca="false">+U47-U53</f>
        <v>8917.216</v>
      </c>
      <c r="V65" s="62" t="n">
        <f aca="false">+V47-V53</f>
        <v>4956.848</v>
      </c>
      <c r="W65" s="62" t="n">
        <f aca="false">+W47-W53</f>
        <v>-2104.73700000002</v>
      </c>
      <c r="X65" s="62" t="n">
        <f aca="false">+X47-X53</f>
        <v>6102.97000000001</v>
      </c>
      <c r="Y65" s="62" t="n">
        <f aca="false">+Y47-Y53</f>
        <v>17667.307</v>
      </c>
      <c r="Z65" s="62" t="n">
        <f aca="false">+Z47-Z53</f>
        <v>16846.433</v>
      </c>
      <c r="AA65" s="62" t="n">
        <f aca="false">+AA47-AA53</f>
        <v>21843.713</v>
      </c>
      <c r="AB65" s="62" t="n">
        <f aca="false">+AB47-AB53</f>
        <v>25147.2999999999</v>
      </c>
      <c r="AC65" s="62" t="n">
        <f aca="false">+AC47-AC53</f>
        <v>5038.5</v>
      </c>
      <c r="AD65" s="62" t="n">
        <f aca="false">+AD47-AD53</f>
        <v>-2125.70000000001</v>
      </c>
      <c r="AE65" s="62" t="n">
        <f aca="false">+AE47-AE53</f>
        <v>2417.60000000001</v>
      </c>
      <c r="AF65" s="62" t="n">
        <f aca="false">+AF47-AF53</f>
        <v>21987.4</v>
      </c>
      <c r="AG65" s="62" t="n">
        <f aca="false">+AG47-AG53</f>
        <v>38887.7000000001</v>
      </c>
      <c r="AH65" s="62" t="n">
        <f aca="false">+AH47-AH53</f>
        <v>42112.2</v>
      </c>
      <c r="AI65" s="62" t="n">
        <f aca="false">+AI47-AI53</f>
        <v>50170.6000000002</v>
      </c>
      <c r="AJ65" s="62" t="n">
        <f aca="false">+AJ47-AJ53</f>
        <v>49994.0396789213</v>
      </c>
      <c r="AK65" s="62" t="n">
        <f aca="false">+AK47-AK53</f>
        <v>55732.1922391677</v>
      </c>
      <c r="AL65" s="62" t="n">
        <f aca="false">+AL47-AL53</f>
        <v>59800.8587704823</v>
      </c>
      <c r="AM65" s="41"/>
      <c r="AN65" s="81" t="s">
        <v>164</v>
      </c>
      <c r="AO65" s="109" t="n">
        <f aca="false">+ROUND((AO64*AVERAGE(AU57)-AVERAGE(AU63))/$AB$84/5,0)*5</f>
        <v>160</v>
      </c>
      <c r="AP65" s="106" t="n">
        <f aca="false">+ROUND((AP64*AVERAGE(AW57:AX57)-AVERAGE(AW63:AX63))/$AH$84/5,0)*5</f>
        <v>140</v>
      </c>
      <c r="AQ65" s="127"/>
      <c r="AR65" s="127"/>
      <c r="AS65" s="127"/>
      <c r="AT65" s="127"/>
      <c r="AU65" s="127"/>
      <c r="AV65" s="127"/>
      <c r="AW65" s="127"/>
      <c r="AX65" s="127"/>
    </row>
    <row r="66" customFormat="false" ht="12" hidden="false" customHeight="true" outlineLevel="0" collapsed="false">
      <c r="A66" s="69" t="s">
        <v>264</v>
      </c>
      <c r="B66" s="62" t="n">
        <f aca="false">+B59+B53</f>
        <v>360.080000000002</v>
      </c>
      <c r="C66" s="62" t="n">
        <f aca="false">+C59+C53</f>
        <v>681.400000000002</v>
      </c>
      <c r="D66" s="62" t="n">
        <f aca="false">+D59+D53</f>
        <v>1097.69</v>
      </c>
      <c r="E66" s="62" t="n">
        <f aca="false">+E59+E53</f>
        <v>1676.88</v>
      </c>
      <c r="F66" s="62" t="n">
        <f aca="false">+F59+F53</f>
        <v>1905.33</v>
      </c>
      <c r="G66" s="62" t="n">
        <f aca="false">+G59+G53</f>
        <v>889.751576000001</v>
      </c>
      <c r="H66" s="62" t="n">
        <f aca="false">+H59+H53</f>
        <v>969.088378295998</v>
      </c>
      <c r="I66" s="62" t="n">
        <f aca="false">+I59+I53</f>
        <v>1609.3</v>
      </c>
      <c r="J66" s="62" t="n">
        <f aca="false">+J59+J53</f>
        <v>1854.99</v>
      </c>
      <c r="K66" s="62" t="n">
        <f aca="false">+K59+K53</f>
        <v>1916.54</v>
      </c>
      <c r="L66" s="62" t="n">
        <f aca="false">+L59+L53</f>
        <v>2339.22000000001</v>
      </c>
      <c r="M66" s="62" t="n">
        <f aca="false">+M59+M53</f>
        <v>2995.53</v>
      </c>
      <c r="N66" s="62" t="n">
        <f aca="false">+N59+N53</f>
        <v>3447.4816</v>
      </c>
      <c r="O66" s="62" t="n">
        <f aca="false">+O59+O53</f>
        <v>4354.4181101039</v>
      </c>
      <c r="P66" s="62" t="n">
        <f aca="false">+P59+P53</f>
        <v>6049.35999999999</v>
      </c>
      <c r="Q66" s="62" t="n">
        <f aca="false">+Q59+Q53</f>
        <v>6594.08</v>
      </c>
      <c r="R66" s="62" t="n">
        <f aca="false">+R59+R53</f>
        <v>4273.99200000001</v>
      </c>
      <c r="S66" s="62" t="n">
        <f aca="false">+S59+S53</f>
        <v>6310.54100000003</v>
      </c>
      <c r="T66" s="62" t="n">
        <f aca="false">+T59+T53</f>
        <v>9487.30300000001</v>
      </c>
      <c r="U66" s="62" t="n">
        <f aca="false">+U59+U53</f>
        <v>9171.92</v>
      </c>
      <c r="V66" s="62" t="n">
        <f aca="false">+V59+V53</f>
        <v>5249.341</v>
      </c>
      <c r="W66" s="62" t="n">
        <f aca="false">+W59+W53</f>
        <v>-992.418000000022</v>
      </c>
      <c r="X66" s="62" t="n">
        <f aca="false">+X59+X53</f>
        <v>6502.06800000001</v>
      </c>
      <c r="Y66" s="62" t="n">
        <f aca="false">+Y59+Y53</f>
        <v>14757.5874800765</v>
      </c>
      <c r="Z66" s="62" t="n">
        <f aca="false">+Z59+Z53</f>
        <v>17609.3342361218</v>
      </c>
      <c r="AA66" s="62" t="n">
        <f aca="false">+AA59+AA53</f>
        <v>21293.737</v>
      </c>
      <c r="AB66" s="62" t="n">
        <f aca="false">+AB59+AB53</f>
        <v>26502.0199999999</v>
      </c>
      <c r="AC66" s="62" t="n">
        <f aca="false">+AC59+AC53</f>
        <v>10261.85</v>
      </c>
      <c r="AD66" s="62" t="n">
        <f aca="false">+AD59+AD53</f>
        <v>4430.675</v>
      </c>
      <c r="AE66" s="62" t="n">
        <f aca="false">+AE59+AE53</f>
        <v>9114.67500000001</v>
      </c>
      <c r="AF66" s="62" t="n">
        <f aca="false">+AF59+AF53</f>
        <v>20486.125</v>
      </c>
      <c r="AG66" s="62" t="n">
        <f aca="false">+AG59+AG53</f>
        <v>34059.7000000001</v>
      </c>
      <c r="AH66" s="62" t="n">
        <f aca="false">+AH59+AH53</f>
        <v>39448.325</v>
      </c>
      <c r="AI66" s="62" t="n">
        <f aca="false">+AI59+AI53</f>
        <v>46292.0000000002</v>
      </c>
      <c r="AJ66" s="62" t="n">
        <f aca="false">+AJ59+AJ53</f>
        <v>46643.2831113142</v>
      </c>
      <c r="AK66" s="62" t="n">
        <f aca="false">+AK59+AK53</f>
        <v>51957.5249833657</v>
      </c>
      <c r="AL66" s="62" t="n">
        <f aca="false">+AL59+AL53</f>
        <v>55969.2499681388</v>
      </c>
      <c r="AM66" s="41"/>
      <c r="AN66" s="41"/>
      <c r="AO66" s="41"/>
    </row>
    <row r="67" customFormat="false" ht="12.75" hidden="false" customHeight="true" outlineLevel="0" collapsed="false">
      <c r="B67" s="39" t="s">
        <v>165</v>
      </c>
      <c r="C67" s="39" t="s">
        <v>166</v>
      </c>
      <c r="D67" s="39" t="s">
        <v>167</v>
      </c>
      <c r="E67" s="39" t="s">
        <v>168</v>
      </c>
      <c r="F67" s="39" t="s">
        <v>169</v>
      </c>
      <c r="G67" s="47" t="s">
        <v>170</v>
      </c>
      <c r="H67" s="39" t="s">
        <v>171</v>
      </c>
      <c r="I67" s="39" t="s">
        <v>172</v>
      </c>
      <c r="J67" s="39" t="s">
        <v>173</v>
      </c>
      <c r="K67" s="39" t="s">
        <v>174</v>
      </c>
      <c r="L67" s="39" t="s">
        <v>175</v>
      </c>
      <c r="M67" s="39" t="s">
        <v>176</v>
      </c>
      <c r="N67" s="39" t="s">
        <v>177</v>
      </c>
      <c r="O67" s="39" t="s">
        <v>178</v>
      </c>
      <c r="P67" s="39" t="s">
        <v>179</v>
      </c>
      <c r="Q67" s="39" t="s">
        <v>180</v>
      </c>
      <c r="R67" s="39" t="s">
        <v>181</v>
      </c>
      <c r="S67" s="39" t="s">
        <v>182</v>
      </c>
      <c r="T67" s="39" t="s">
        <v>183</v>
      </c>
      <c r="U67" s="39" t="s">
        <v>184</v>
      </c>
      <c r="V67" s="39" t="s">
        <v>265</v>
      </c>
      <c r="W67" s="39" t="s">
        <v>266</v>
      </c>
      <c r="X67" s="39" t="s">
        <v>267</v>
      </c>
      <c r="Y67" s="39" t="str">
        <f aca="false">+Y3</f>
        <v>FY2016</v>
      </c>
      <c r="Z67" s="39" t="str">
        <f aca="false">+Z3</f>
        <v>FY2017</v>
      </c>
      <c r="AA67" s="39" t="str">
        <f aca="false">+AA3</f>
        <v>FY2018</v>
      </c>
      <c r="AB67" s="39" t="str">
        <f aca="false">+AB3</f>
        <v>FY2019</v>
      </c>
      <c r="AC67" s="39" t="str">
        <f aca="false">+AC3</f>
        <v>FY2020</v>
      </c>
      <c r="AD67" s="39" t="str">
        <f aca="false">+AD3</f>
        <v>FY2021</v>
      </c>
      <c r="AE67" s="39" t="str">
        <f aca="false">+AE3</f>
        <v>FY2022</v>
      </c>
      <c r="AF67" s="39" t="str">
        <f aca="false">+AF3</f>
        <v>FY2023</v>
      </c>
      <c r="AG67" s="39" t="str">
        <f aca="false">+AG3</f>
        <v>FY2024</v>
      </c>
      <c r="AH67" s="39" t="str">
        <f aca="false">+AH3</f>
        <v>FY2025</v>
      </c>
      <c r="AI67" s="39" t="str">
        <f aca="false">+AI3</f>
        <v>FY2026</v>
      </c>
      <c r="AJ67" s="39" t="str">
        <f aca="false">+AJ3</f>
        <v>FY2027E</v>
      </c>
      <c r="AK67" s="39" t="str">
        <f aca="false">+AK3</f>
        <v>FY2028E</v>
      </c>
      <c r="AL67" s="39" t="str">
        <f aca="false">+AL3</f>
        <v>FY2029E</v>
      </c>
      <c r="AM67" s="19"/>
      <c r="AN67" s="19"/>
      <c r="AO67" s="19"/>
    </row>
    <row r="68" customFormat="false" ht="12.75" hidden="false" customHeight="true" outlineLevel="0" collapsed="false">
      <c r="A68" s="59" t="s">
        <v>268</v>
      </c>
      <c r="B68" s="75"/>
      <c r="C68" s="75"/>
      <c r="D68" s="75"/>
      <c r="E68" s="75"/>
      <c r="F68" s="75"/>
      <c r="G68" s="75"/>
      <c r="R68" s="57"/>
      <c r="S68" s="57"/>
      <c r="T68" s="57"/>
      <c r="U68" s="57"/>
      <c r="V68" s="57"/>
      <c r="W68" s="57"/>
      <c r="X68" s="57"/>
      <c r="Y68" s="57"/>
      <c r="Z68" s="57"/>
      <c r="AA68" s="146"/>
      <c r="AB68" s="57"/>
      <c r="AC68" s="57"/>
      <c r="AD68" s="57"/>
      <c r="AE68" s="57"/>
      <c r="AF68" s="146"/>
      <c r="AG68" s="146"/>
      <c r="AH68" s="57"/>
      <c r="AI68" s="57"/>
      <c r="AJ68" s="57"/>
      <c r="AK68" s="57"/>
      <c r="AL68" s="57"/>
      <c r="AM68" s="57"/>
      <c r="AN68" s="147" t="s">
        <v>248</v>
      </c>
      <c r="AO68" s="148" t="n">
        <f aca="false">+AP49</f>
        <v>260</v>
      </c>
      <c r="AP68" s="19"/>
    </row>
    <row r="69" customFormat="false" ht="12" hidden="false" customHeight="true" outlineLevel="0" collapsed="false">
      <c r="A69" s="69" t="s">
        <v>269</v>
      </c>
      <c r="B69" s="81" t="n">
        <f aca="false">+B47/B13*100</f>
        <v>6.56219320919035</v>
      </c>
      <c r="C69" s="81" t="n">
        <f aca="false">+C47/C13*100</f>
        <v>7.42685563458377</v>
      </c>
      <c r="D69" s="81" t="n">
        <f aca="false">+D47/D13*100</f>
        <v>7.14072366734244</v>
      </c>
      <c r="E69" s="81" t="n">
        <f aca="false">+E47/E13*100</f>
        <v>7.23579913837972</v>
      </c>
      <c r="F69" s="81" t="n">
        <f aca="false">+F47/F13*100</f>
        <v>9.22495549761103</v>
      </c>
      <c r="G69" s="81" t="n">
        <f aca="false">+G47/G13*100</f>
        <v>7.68324887757411</v>
      </c>
      <c r="H69" s="81" t="n">
        <f aca="false">+H47/H13*100</f>
        <v>8.09623299596356</v>
      </c>
      <c r="I69" s="81" t="n">
        <f aca="false">+I47/I13*100</f>
        <v>10.0365257022886</v>
      </c>
      <c r="J69" s="81" t="n">
        <f aca="false">+J47/J13*100</f>
        <v>11.0189157555081</v>
      </c>
      <c r="K69" s="81" t="n">
        <f aca="false">+K47/K13*100</f>
        <v>11.2594128452644</v>
      </c>
      <c r="L69" s="81" t="n">
        <f aca="false">+L47/L13*100</f>
        <v>10.6385664257749</v>
      </c>
      <c r="M69" s="81" t="n">
        <f aca="false">+M47/M13*100</f>
        <v>10.0477863392741</v>
      </c>
      <c r="N69" s="81" t="n">
        <f aca="false">+N47/N13*100</f>
        <v>8.78871785108418</v>
      </c>
      <c r="O69" s="90" t="n">
        <f aca="false">+O47/O13*100</f>
        <v>8.92219335918009</v>
      </c>
      <c r="P69" s="90" t="n">
        <f aca="false">+P47/P13*100</f>
        <v>8.46127568224179</v>
      </c>
      <c r="Q69" s="90" t="n">
        <f aca="false">+Q47/Q13*100</f>
        <v>8.99951755657517</v>
      </c>
      <c r="R69" s="90" t="n">
        <f aca="false">+R47/R13*100</f>
        <v>7.04155456059494</v>
      </c>
      <c r="S69" s="90" t="n">
        <f aca="false">+S47/S13*100</f>
        <v>9.68980199597152</v>
      </c>
      <c r="T69" s="90" t="n">
        <f aca="false">+T47/T13*100</f>
        <v>10.48121888666</v>
      </c>
      <c r="U69" s="90" t="n">
        <f aca="false">+U47/U13*100</f>
        <v>9.1195344153911</v>
      </c>
      <c r="V69" s="90" t="n">
        <f aca="false">+V47/V13*100</f>
        <v>6.59070134283498</v>
      </c>
      <c r="W69" s="90" t="n">
        <f aca="false">+W47/W13*100</f>
        <v>1.57716825943845</v>
      </c>
      <c r="X69" s="90" t="n">
        <f aca="false">+X47/X13*100</f>
        <v>7.08710764135429</v>
      </c>
      <c r="Y69" s="90" t="n">
        <f aca="false">+Y47/Y13*100</f>
        <v>11.2771170384444</v>
      </c>
      <c r="Z69" s="90" t="n">
        <f aca="false">+Z47/Z13*100</f>
        <v>10.3251986034229</v>
      </c>
      <c r="AA69" s="90" t="n">
        <f aca="false">+AA47/AA13*100</f>
        <v>10.3262247023667</v>
      </c>
      <c r="AB69" s="90" t="n">
        <f aca="false">+AB47/AB13*100</f>
        <v>10.7924467259451</v>
      </c>
      <c r="AC69" s="90" t="n">
        <f aca="false">+AC47/AC13*100</f>
        <v>6.71906120348282</v>
      </c>
      <c r="AD69" s="90" t="n">
        <f aca="false">+AD47/AD13*100</f>
        <v>3.49731561387973</v>
      </c>
      <c r="AE69" s="90" t="n">
        <f aca="false">+AE47/AE13*100</f>
        <v>4.58551596276148</v>
      </c>
      <c r="AF69" s="90" t="n">
        <f aca="false">+AF47/AF13*100</f>
        <v>8.10836832747992</v>
      </c>
      <c r="AG69" s="90" t="n">
        <f aca="false">+AG47/AG13*100</f>
        <v>12.0066108843974</v>
      </c>
      <c r="AH69" s="90" t="n">
        <f aca="false">+AH47/AH13*100</f>
        <v>12.7231261583052</v>
      </c>
      <c r="AI69" s="90" t="n">
        <f aca="false">+AI47/AI13*100</f>
        <v>13.0257597479312</v>
      </c>
      <c r="AJ69" s="90" t="n">
        <f aca="false">+AJ47/AJ13*100</f>
        <v>11.9931529778246</v>
      </c>
      <c r="AK69" s="90" t="n">
        <f aca="false">+AK47/AK13*100</f>
        <v>12.3176388618778</v>
      </c>
      <c r="AL69" s="90" t="n">
        <f aca="false">+AL47/AL13*100</f>
        <v>12.2516851536862</v>
      </c>
      <c r="AM69" s="40"/>
      <c r="AN69" s="90" t="s">
        <v>270</v>
      </c>
      <c r="AO69" s="90" t="n">
        <f aca="false">+AO68-AO70-AP2</f>
        <v>-40</v>
      </c>
    </row>
    <row r="70" customFormat="false" ht="12" hidden="false" customHeight="true" outlineLevel="0" collapsed="false">
      <c r="A70" s="149" t="s">
        <v>271</v>
      </c>
      <c r="B70" s="81" t="n">
        <f aca="false">B47/B19*100</f>
        <v>7.62524395009845</v>
      </c>
      <c r="C70" s="81" t="n">
        <f aca="false">C47/C19*100</f>
        <v>8.28491268229159</v>
      </c>
      <c r="D70" s="81" t="n">
        <f aca="false">D47/D19*100</f>
        <v>8.09948439428881</v>
      </c>
      <c r="E70" s="81" t="n">
        <f aca="false">E47/E19*100</f>
        <v>8.12491374633405</v>
      </c>
      <c r="F70" s="81" t="n">
        <f aca="false">F47/F19*100</f>
        <v>10.498575158988</v>
      </c>
      <c r="G70" s="81" t="n">
        <f aca="false">G47/G19*100</f>
        <v>8.74960531270654</v>
      </c>
      <c r="H70" s="81" t="n">
        <f aca="false">H47/H19*100</f>
        <v>9.10399244908681</v>
      </c>
      <c r="I70" s="81" t="n">
        <f aca="false">I47/I19*100</f>
        <v>11.5753039825958</v>
      </c>
      <c r="J70" s="81" t="n">
        <f aca="false">J47/J19*100</f>
        <v>12.75419491548</v>
      </c>
      <c r="K70" s="81" t="n">
        <f aca="false">K47/K19*100</f>
        <v>13.097767250651</v>
      </c>
      <c r="L70" s="81" t="n">
        <f aca="false">L47/L19*100</f>
        <v>12.20086741594</v>
      </c>
      <c r="M70" s="81" t="n">
        <f aca="false">M47/M19*100</f>
        <v>11.6269147678589</v>
      </c>
      <c r="N70" s="81" t="n">
        <f aca="false">N47/N19*100</f>
        <v>10.1102769763996</v>
      </c>
      <c r="O70" s="90" t="n">
        <f aca="false">O47/O19*100</f>
        <v>10.2916406312379</v>
      </c>
      <c r="P70" s="90" t="n">
        <f aca="false">P47/P19*100</f>
        <v>9.80284245252907</v>
      </c>
      <c r="Q70" s="90" t="n">
        <f aca="false">Q47/Q19*100</f>
        <v>10.402072783678</v>
      </c>
      <c r="R70" s="90" t="n">
        <f aca="false">R47/R19*100</f>
        <v>7.84867606630564</v>
      </c>
      <c r="S70" s="90" t="n">
        <f aca="false">S47/S19*100</f>
        <v>10.5296008722502</v>
      </c>
      <c r="T70" s="90" t="n">
        <f aca="false">T47/T19*100</f>
        <v>11.4012464258599</v>
      </c>
      <c r="U70" s="90" t="n">
        <f aca="false">U47/U19*100</f>
        <v>9.69986586033483</v>
      </c>
      <c r="V70" s="90" t="n">
        <f aca="false">V47/V19*100</f>
        <v>7.02230795115855</v>
      </c>
      <c r="W70" s="90" t="n">
        <f aca="false">W47/W19*100</f>
        <v>1.67509959117009</v>
      </c>
      <c r="X70" s="90" t="n">
        <f aca="false">X47/X19*100</f>
        <v>7.56982599763656</v>
      </c>
      <c r="Y70" s="90" t="n">
        <f aca="false">Y47/Y19*100</f>
        <v>11.9057659949906</v>
      </c>
      <c r="Z70" s="90" t="n">
        <f aca="false">Z47/Z19*100</f>
        <v>11.0024225001949</v>
      </c>
      <c r="AA70" s="90" t="n">
        <f aca="false">AA47/AA19*100</f>
        <v>10.4350438535332</v>
      </c>
      <c r="AB70" s="90" t="n">
        <f aca="false">AB47/AB19*100</f>
        <v>10.7924467259451</v>
      </c>
      <c r="AC70" s="90" t="n">
        <f aca="false">AC47/AC19*100</f>
        <v>6.71906120348282</v>
      </c>
      <c r="AD70" s="90" t="n">
        <f aca="false">AD47/AD19*100</f>
        <v>3.49731561387973</v>
      </c>
      <c r="AE70" s="90" t="n">
        <f aca="false">AE47/AE19*100</f>
        <v>4.58551596276148</v>
      </c>
      <c r="AF70" s="90" t="n">
        <f aca="false">AF47/AF19*100</f>
        <v>8.10836832747992</v>
      </c>
      <c r="AG70" s="90" t="n">
        <f aca="false">AG47/AG19*100</f>
        <v>12.0066108843974</v>
      </c>
      <c r="AH70" s="90" t="n">
        <f aca="false">AH47/AH19*100</f>
        <v>12.7231261583052</v>
      </c>
      <c r="AI70" s="90" t="n">
        <f aca="false">AI47/AI19*100</f>
        <v>13.0257597479312</v>
      </c>
      <c r="AJ70" s="90" t="n">
        <f aca="false">AJ47/AJ19*100</f>
        <v>11.9931529778246</v>
      </c>
      <c r="AK70" s="90" t="n">
        <f aca="false">AK47/AK19*100</f>
        <v>12.3176388618778</v>
      </c>
      <c r="AL70" s="90" t="n">
        <f aca="false">AL47/AL19*100</f>
        <v>12.2516851536862</v>
      </c>
      <c r="AM70" s="40"/>
      <c r="AN70" s="90" t="s">
        <v>272</v>
      </c>
      <c r="AO70" s="90" t="n">
        <f aca="false">+AP49-AO49</f>
        <v>100</v>
      </c>
    </row>
    <row r="71" customFormat="false" ht="12.75" hidden="false" customHeight="true" outlineLevel="0" collapsed="false">
      <c r="A71" s="76"/>
      <c r="B71" s="75"/>
      <c r="C71" s="75"/>
      <c r="D71" s="75"/>
      <c r="E71" s="75"/>
      <c r="F71" s="75"/>
      <c r="G71" s="75"/>
      <c r="H71" s="75"/>
      <c r="I71" s="75"/>
      <c r="J71" s="75"/>
      <c r="K71" s="75"/>
      <c r="L71" s="75"/>
      <c r="M71" s="75"/>
      <c r="N71" s="75"/>
      <c r="O71" s="40"/>
      <c r="P71" s="40"/>
      <c r="Q71" s="40"/>
      <c r="R71" s="40"/>
      <c r="S71" s="40"/>
      <c r="T71" s="40"/>
      <c r="U71" s="40"/>
      <c r="V71" s="40"/>
      <c r="W71" s="40"/>
      <c r="X71" s="40"/>
      <c r="Y71" s="40"/>
      <c r="Z71" s="40"/>
      <c r="AA71" s="77"/>
      <c r="AB71" s="40"/>
      <c r="AC71" s="40"/>
      <c r="AD71" s="40"/>
      <c r="AE71" s="40"/>
      <c r="AF71" s="77"/>
      <c r="AG71" s="77"/>
      <c r="AH71" s="40"/>
      <c r="AI71" s="40"/>
      <c r="AJ71" s="40"/>
      <c r="AK71" s="40"/>
      <c r="AL71" s="40"/>
      <c r="AM71" s="40"/>
      <c r="AN71" s="150" t="s">
        <v>220</v>
      </c>
      <c r="AO71" s="151" t="n">
        <f aca="false">+AO68-AO69-AO70</f>
        <v>200</v>
      </c>
      <c r="AP71" s="109" t="n">
        <f aca="false">+AO71-AP33</f>
        <v>0</v>
      </c>
    </row>
    <row r="72" customFormat="false" ht="12" hidden="false" customHeight="true" outlineLevel="0" collapsed="false">
      <c r="A72" s="69" t="s">
        <v>273</v>
      </c>
      <c r="B72" s="81" t="n">
        <f aca="false">+B50/B63*100</f>
        <v>47.6159012403502</v>
      </c>
      <c r="C72" s="81" t="n">
        <f aca="false">+C50/C63*100</f>
        <v>35.1552510403039</v>
      </c>
      <c r="D72" s="81" t="n">
        <f aca="false">+D50/D63*100</f>
        <v>41.5689752130468</v>
      </c>
      <c r="E72" s="81" t="n">
        <f aca="false">+E50/E63*100</f>
        <v>49.3729850922941</v>
      </c>
      <c r="F72" s="81" t="n">
        <f aca="false">+F50/F63*100</f>
        <v>36.312844501054</v>
      </c>
      <c r="G72" s="81" t="n">
        <f aca="false">+G50/G63*100</f>
        <v>41.3012971152285</v>
      </c>
      <c r="H72" s="81" t="n">
        <f aca="false">+H50/H63*100</f>
        <v>34.6381816280369</v>
      </c>
      <c r="I72" s="81" t="n">
        <f aca="false">+I50/I63*100</f>
        <v>17.4086517604664</v>
      </c>
      <c r="J72" s="81" t="n">
        <f aca="false">+J50/J63*100</f>
        <v>13.1450032658393</v>
      </c>
      <c r="K72" s="81" t="n">
        <f aca="false">+K50/K63*100</f>
        <v>14.6123618667059</v>
      </c>
      <c r="L72" s="81" t="n">
        <f aca="false">+L50/L63*100</f>
        <v>13.8097710495036</v>
      </c>
      <c r="M72" s="81" t="n">
        <f aca="false">+M50/M63*100</f>
        <v>12.6677024269546</v>
      </c>
      <c r="N72" s="81" t="n">
        <f aca="false">+N50/N63*100</f>
        <v>11.4170432393764</v>
      </c>
      <c r="O72" s="90" t="n">
        <f aca="false">+O50/O63*100</f>
        <v>9.22659316094226</v>
      </c>
      <c r="P72" s="90" t="n">
        <f aca="false">+P50/P63*100</f>
        <v>11.832977203062</v>
      </c>
      <c r="Q72" s="90" t="n">
        <f aca="false">+Q50/Q63*100</f>
        <v>11.1182232245512</v>
      </c>
      <c r="R72" s="90" t="n">
        <f aca="false">+R50/R63*100</f>
        <v>22.5568675324889</v>
      </c>
      <c r="S72" s="90" t="n">
        <f aca="false">+S50/S63*100</f>
        <v>10.6751641909608</v>
      </c>
      <c r="T72" s="90" t="n">
        <f aca="false">+T50/T63*100</f>
        <v>3.1033279957852</v>
      </c>
      <c r="U72" s="90" t="n">
        <f aca="false">+U50/U63*100</f>
        <v>4.00405663116343</v>
      </c>
      <c r="V72" s="90" t="n">
        <f aca="false">+V50/V63*100</f>
        <v>6.64147688406231</v>
      </c>
      <c r="W72" s="90" t="n">
        <f aca="false">+W50/W63*100</f>
        <v>28.5394902245126</v>
      </c>
      <c r="X72" s="90" t="n">
        <f aca="false">+X50/X63*100</f>
        <v>10.8132012283849</v>
      </c>
      <c r="Y72" s="90" t="n">
        <f aca="false">+Y50/Y63*100</f>
        <v>4.95816779613525</v>
      </c>
      <c r="Z72" s="90" t="n">
        <f aca="false">+Z50/Z63*100</f>
        <v>5.82647830798202</v>
      </c>
      <c r="AA72" s="90" t="n">
        <f aca="false">+AA50/AA63*100</f>
        <v>6.47938533680668</v>
      </c>
      <c r="AB72" s="90" t="n">
        <f aca="false">+AB50/AB63*100</f>
        <v>3.38727169653202</v>
      </c>
      <c r="AC72" s="90" t="n">
        <f aca="false">+AC50/AC63*100</f>
        <v>9.50971094611369</v>
      </c>
      <c r="AD72" s="90" t="n">
        <f aca="false">+AD50/AD63*100</f>
        <v>18.2543077111084</v>
      </c>
      <c r="AE72" s="90" t="n">
        <f aca="false">+AE50/AE63*100</f>
        <v>7.11063372717507</v>
      </c>
      <c r="AF72" s="90" t="n">
        <f aca="false">+AF50/AF63*100</f>
        <v>3.81181814601358</v>
      </c>
      <c r="AG72" s="90" t="n">
        <f aca="false">+AG50/AG63*100</f>
        <v>5.08061774311529</v>
      </c>
      <c r="AH72" s="90" t="n">
        <f aca="false">+AH50/AH63*100</f>
        <v>4.83032575987152</v>
      </c>
      <c r="AI72" s="90" t="n">
        <f aca="false">+AI50/AI63*100</f>
        <v>5.21164397379377</v>
      </c>
      <c r="AJ72" s="90" t="n">
        <f aca="false">+AJ50/AJ63*100</f>
        <v>5.64449036156137</v>
      </c>
      <c r="AK72" s="90" t="n">
        <f aca="false">+AK50/AK63*100</f>
        <v>5.62130128830914</v>
      </c>
      <c r="AL72" s="90" t="n">
        <f aca="false">+AL50/AL63*100</f>
        <v>5.9246890810462</v>
      </c>
      <c r="AM72" s="40"/>
      <c r="AN72" s="90" t="s">
        <v>274</v>
      </c>
      <c r="AO72" s="90" t="n">
        <f aca="false">+AO65-AP65</f>
        <v>20</v>
      </c>
    </row>
    <row r="73" customFormat="false" ht="12" hidden="false" customHeight="true" outlineLevel="0" collapsed="false">
      <c r="A73" s="69" t="s">
        <v>275</v>
      </c>
      <c r="B73" s="81" t="n">
        <f aca="false">+B50/B59*100</f>
        <v>1286.5762711864</v>
      </c>
      <c r="C73" s="81" t="n">
        <f aca="false">+C50/C59*100</f>
        <v>134.627795075006</v>
      </c>
      <c r="D73" s="81" t="n">
        <f aca="false">+D50/D59*100</f>
        <v>108.904944043066</v>
      </c>
      <c r="E73" s="81" t="n">
        <f aca="false">+E50/E59*100</f>
        <v>125.408770549065</v>
      </c>
      <c r="F73" s="81" t="n">
        <f aca="false">+F50/F59*100</f>
        <v>104.512746628247</v>
      </c>
      <c r="G73" s="81" t="n">
        <f aca="false">+G50/G59*100</f>
        <v>591.226345028122</v>
      </c>
      <c r="H73" s="81" t="n">
        <f aca="false">+H50/H59*100</f>
        <v>423.498657220268</v>
      </c>
      <c r="I73" s="81" t="n">
        <f aca="false">+I50/I59*100</f>
        <v>70.0447207817856</v>
      </c>
      <c r="J73" s="81" t="n">
        <f aca="false">+J50/J59*100</f>
        <v>44.7456999042708</v>
      </c>
      <c r="K73" s="81" t="n">
        <f aca="false">+K50/K59*100</f>
        <v>52.631906873384</v>
      </c>
      <c r="L73" s="81" t="n">
        <f aca="false">+L50/L59*100</f>
        <v>40.0128290302626</v>
      </c>
      <c r="M73" s="81" t="n">
        <f aca="false">+M50/M59*100</f>
        <v>28.1823150286313</v>
      </c>
      <c r="N73" s="81" t="n">
        <f aca="false">+N50/N59*100</f>
        <v>23.1385375267859</v>
      </c>
      <c r="O73" s="90" t="n">
        <f aca="false">+O50/O59*100</f>
        <v>17.7403513254504</v>
      </c>
      <c r="P73" s="90" t="n">
        <f aca="false">+P50/P59*100</f>
        <v>20.7561371769647</v>
      </c>
      <c r="Q73" s="90" t="n">
        <f aca="false">+Q50/Q59*100</f>
        <v>20.863318307136</v>
      </c>
      <c r="R73" s="90" t="n">
        <f aca="false">+R50/R59*100</f>
        <v>54.9159186296361</v>
      </c>
      <c r="S73" s="90" t="n">
        <f aca="false">+S50/S59*100</f>
        <v>21.3531587820666</v>
      </c>
      <c r="T73" s="90" t="n">
        <f aca="false">+T50/T59*100</f>
        <v>5.95865869816686</v>
      </c>
      <c r="U73" s="90" t="n">
        <f aca="false">+U50/U59*100</f>
        <v>9.19779410566095</v>
      </c>
      <c r="V73" s="90" t="n">
        <f aca="false">+V50/V59*100</f>
        <v>43.2544158678492</v>
      </c>
      <c r="W73" s="90" t="n">
        <f aca="false">+W50/W59*100</f>
        <v>-13.9667857708253</v>
      </c>
      <c r="X73" s="90" t="n">
        <f aca="false">+X50/X59*100</f>
        <v>53.2224085079706</v>
      </c>
      <c r="Y73" s="90" t="n">
        <f aca="false">+Y50/Y59*100</f>
        <v>11.9065856190031</v>
      </c>
      <c r="Z73" s="90" t="n">
        <f aca="false">+Z50/Z59*100</f>
        <v>10.9626522255712</v>
      </c>
      <c r="AA73" s="90" t="n">
        <f aca="false">+AA50/AA59*100</f>
        <v>12.0503557262506</v>
      </c>
      <c r="AB73" s="90" t="n">
        <f aca="false">+AB50/AB59*100</f>
        <v>5.41792003910919</v>
      </c>
      <c r="AC73" s="90" t="n">
        <f aca="false">+AC50/AC59*100</f>
        <v>34.6086395330892</v>
      </c>
      <c r="AD73" s="90" t="n">
        <f aca="false">+AD50/AD59*100</f>
        <v>-39.2263062442042</v>
      </c>
      <c r="AE73" s="90" t="n">
        <f aca="false">+AE50/AE59*100</f>
        <v>47.9687475387108</v>
      </c>
      <c r="AF73" s="90" t="n">
        <f aca="false">+AF50/AF59*100</f>
        <v>8.82085440159799</v>
      </c>
      <c r="AG73" s="90" t="n">
        <f aca="false">+AG50/AG59*100</f>
        <v>9.172445092554</v>
      </c>
      <c r="AH73" s="90" t="n">
        <f aca="false">+AH50/AH59*100</f>
        <v>7.75850509650851</v>
      </c>
      <c r="AI73" s="90" t="n">
        <f aca="false">+AI50/AI59*100</f>
        <v>8.05235551263279</v>
      </c>
      <c r="AJ73" s="90" t="n">
        <f aca="false">+AJ50/AJ59*100</f>
        <v>8.80608025709328</v>
      </c>
      <c r="AK73" s="90" t="n">
        <f aca="false">+AK50/AK59*100</f>
        <v>8.67277516864203</v>
      </c>
      <c r="AL73" s="90" t="n">
        <f aca="false">+AL50/AL59*100</f>
        <v>9.05105187109481</v>
      </c>
      <c r="AM73" s="40"/>
      <c r="AN73" s="90" t="s">
        <v>276</v>
      </c>
      <c r="AO73" s="90" t="n">
        <f aca="false">+AO71-AP65-AO72</f>
        <v>40</v>
      </c>
    </row>
    <row r="74" customFormat="false" ht="12.75" hidden="false" customHeight="true" outlineLevel="0" collapsed="false">
      <c r="B74" s="75"/>
      <c r="C74" s="75"/>
      <c r="D74" s="75"/>
      <c r="E74" s="75"/>
      <c r="F74" s="75"/>
      <c r="G74" s="75"/>
      <c r="H74" s="75"/>
      <c r="O74" s="40"/>
      <c r="P74" s="40"/>
      <c r="Q74" s="40"/>
      <c r="R74" s="40"/>
      <c r="S74" s="40"/>
      <c r="T74" s="40"/>
      <c r="U74" s="40"/>
      <c r="V74" s="40"/>
      <c r="W74" s="40"/>
      <c r="X74" s="40"/>
      <c r="Y74" s="40"/>
      <c r="Z74" s="40"/>
      <c r="AA74" s="77"/>
      <c r="AB74" s="40"/>
      <c r="AC74" s="40"/>
      <c r="AD74" s="40"/>
      <c r="AE74" s="40"/>
      <c r="AF74" s="77"/>
      <c r="AG74" s="77"/>
      <c r="AH74" s="40"/>
      <c r="AI74" s="40"/>
      <c r="AJ74" s="40"/>
      <c r="AK74" s="40"/>
      <c r="AL74" s="40"/>
      <c r="AM74" s="40"/>
      <c r="AN74" s="152" t="s">
        <v>255</v>
      </c>
      <c r="AO74" s="153" t="n">
        <f aca="false">+AO71-AO73-AO72</f>
        <v>140</v>
      </c>
    </row>
    <row r="75" customFormat="false" ht="12" hidden="false" customHeight="true" outlineLevel="0" collapsed="false">
      <c r="A75" s="69" t="s">
        <v>277</v>
      </c>
      <c r="B75" s="81" t="n">
        <f aca="false">+B65/B13*100</f>
        <v>3.25312199757555</v>
      </c>
      <c r="C75" s="81" t="n">
        <f aca="false">+C65/C13*100</f>
        <v>4.6493929538286</v>
      </c>
      <c r="D75" s="81" t="n">
        <f aca="false">+D65/D13*100</f>
        <v>4.5517322499557</v>
      </c>
      <c r="E75" s="81" t="n">
        <f aca="false">+E65/E13*100</f>
        <v>4.51872964250421</v>
      </c>
      <c r="F75" s="81" t="n">
        <f aca="false">+F65/F13*100</f>
        <v>6.58248642168566</v>
      </c>
      <c r="G75" s="81" t="n">
        <f aca="false">+G65/G13*100</f>
        <v>4.18040942727301</v>
      </c>
      <c r="H75" s="81" t="n">
        <f aca="false">+H65/H13*100</f>
        <v>4.37064777538212</v>
      </c>
      <c r="I75" s="81" t="n">
        <f aca="false">+I65/I13*100</f>
        <v>6.86407682557324</v>
      </c>
      <c r="J75" s="81" t="n">
        <f aca="false">+J65/J13*100</f>
        <v>7.62952479856429</v>
      </c>
      <c r="K75" s="81" t="n">
        <f aca="false">+K65/K13*100</f>
        <v>7.63436494467863</v>
      </c>
      <c r="L75" s="81" t="n">
        <f aca="false">+L65/L13*100</f>
        <v>7.28888628641232</v>
      </c>
      <c r="M75" s="81" t="n">
        <f aca="false">+M65/M13*100</f>
        <v>7.59178188020034</v>
      </c>
      <c r="N75" s="81" t="n">
        <f aca="false">+N65/N13*100</f>
        <v>6.51876152759285</v>
      </c>
      <c r="O75" s="90" t="n">
        <f aca="false">+O65/O13*100</f>
        <v>6.84051895323855</v>
      </c>
      <c r="P75" s="90" t="n">
        <f aca="false">+P65/P13*100</f>
        <v>6.64816152073574</v>
      </c>
      <c r="Q75" s="90" t="n">
        <f aca="false">+Q65/Q13*100</f>
        <v>7.01421249226244</v>
      </c>
      <c r="R75" s="90" t="n">
        <f aca="false">+R65/R13*100</f>
        <v>4.36533089584364</v>
      </c>
      <c r="S75" s="90" t="n">
        <f aca="false">+S65/S13*100</f>
        <v>7.09716465368853</v>
      </c>
      <c r="T75" s="90" t="n">
        <f aca="false">+T65/T13*100</f>
        <v>8.26987694026898</v>
      </c>
      <c r="U75" s="90" t="n">
        <f aca="false">+U65/U13*100</f>
        <v>6.53423738745402</v>
      </c>
      <c r="V75" s="90" t="n">
        <f aca="false">+V65/V13*100</f>
        <v>3.72735725522861</v>
      </c>
      <c r="W75" s="90" t="n">
        <f aca="false">+W65/W13*100</f>
        <v>-1.99296262771695</v>
      </c>
      <c r="X75" s="90" t="n">
        <f aca="false">+X65/X13*100</f>
        <v>4.21303190436434</v>
      </c>
      <c r="Y75" s="90" t="n">
        <f aca="false">+Y65/Y13*100</f>
        <v>8.83675776463515</v>
      </c>
      <c r="Z75" s="90" t="n">
        <f aca="false">+Z65/Z13*100</f>
        <v>7.8973815508886</v>
      </c>
      <c r="AA75" s="90" t="n">
        <f aca="false">+AA65/AA13*100</f>
        <v>8.2352931063738</v>
      </c>
      <c r="AB75" s="90" t="n">
        <f aca="false">+AB65/AB13*100</f>
        <v>8.65508286883988</v>
      </c>
      <c r="AC75" s="90" t="n">
        <f aca="false">+AC65/AC13*100</f>
        <v>2.88450473938126</v>
      </c>
      <c r="AD75" s="90" t="n">
        <f aca="false">+AD65/AD13*100</f>
        <v>-1.38921474762196</v>
      </c>
      <c r="AE75" s="90" t="n">
        <f aca="false">+AE65/AE13*100</f>
        <v>1.1147029111101</v>
      </c>
      <c r="AF75" s="90" t="n">
        <f aca="false">+AF65/AF13*100</f>
        <v>6.08325443626547</v>
      </c>
      <c r="AG75" s="90" t="n">
        <f aca="false">+AG65/AG13*100</f>
        <v>10.1357076635851</v>
      </c>
      <c r="AH75" s="90" t="n">
        <f aca="false">+AH65/AH13*100</f>
        <v>10.8668961214097</v>
      </c>
      <c r="AI75" s="90" t="n">
        <f aca="false">+AI65/AI13*100</f>
        <v>11.4005875879377</v>
      </c>
      <c r="AJ75" s="90" t="n">
        <f aca="false">+AJ65/AJ13*100</f>
        <v>10.4193433251354</v>
      </c>
      <c r="AK75" s="90" t="n">
        <f aca="false">+AK65/AK13*100</f>
        <v>10.7525771725932</v>
      </c>
      <c r="AL75" s="90" t="n">
        <f aca="false">+AL65/AL13*100</f>
        <v>10.7320842607248</v>
      </c>
      <c r="AM75" s="40"/>
      <c r="AN75" s="40"/>
      <c r="AO75" s="40"/>
    </row>
    <row r="76" customFormat="false" ht="12" hidden="false" customHeight="true" outlineLevel="0" collapsed="false">
      <c r="A76" s="69" t="s">
        <v>278</v>
      </c>
      <c r="B76" s="81" t="n">
        <f aca="false">B65/B19*100</f>
        <v>3.78011558638727</v>
      </c>
      <c r="C76" s="81" t="n">
        <f aca="false">C65/C19*100</f>
        <v>5.18655761514483</v>
      </c>
      <c r="D76" s="81" t="n">
        <f aca="false">D65/D19*100</f>
        <v>5.16287788786791</v>
      </c>
      <c r="E76" s="81" t="n">
        <f aca="false">E65/E19*100</f>
        <v>5.07397840738997</v>
      </c>
      <c r="F76" s="81" t="n">
        <f aca="false">F65/F19*100</f>
        <v>7.4912804131122</v>
      </c>
      <c r="G76" s="81" t="n">
        <f aca="false">G65/G19*100</f>
        <v>4.76060753946384</v>
      </c>
      <c r="H76" s="81" t="n">
        <f aca="false">H65/H19*100</f>
        <v>4.91467381985358</v>
      </c>
      <c r="I76" s="81" t="n">
        <f aca="false">I65/I19*100</f>
        <v>7.91646214763184</v>
      </c>
      <c r="J76" s="81" t="n">
        <f aca="false">J65/J19*100</f>
        <v>8.83103642431745</v>
      </c>
      <c r="K76" s="81" t="n">
        <f aca="false">K65/K19*100</f>
        <v>8.88084809804144</v>
      </c>
      <c r="L76" s="81" t="n">
        <f aca="false">L65/L19*100</f>
        <v>8.35927808608872</v>
      </c>
      <c r="M76" s="81" t="n">
        <f aca="false">M65/M19*100</f>
        <v>8.78492016816132</v>
      </c>
      <c r="N76" s="81" t="n">
        <f aca="false">N65/N19*100</f>
        <v>7.49898741816259</v>
      </c>
      <c r="O76" s="90" t="n">
        <f aca="false">O65/O19*100</f>
        <v>7.89045473055878</v>
      </c>
      <c r="P76" s="90" t="n">
        <f aca="false">P65/P19*100</f>
        <v>7.70225228844827</v>
      </c>
      <c r="Q76" s="90" t="n">
        <f aca="false">Q65/Q19*100</f>
        <v>8.10736224536729</v>
      </c>
      <c r="R76" s="90" t="n">
        <f aca="false">R65/R19*100</f>
        <v>4.86569660561115</v>
      </c>
      <c r="S76" s="90" t="n">
        <f aca="false">S65/S19*100</f>
        <v>7.71226400281975</v>
      </c>
      <c r="T76" s="90" t="n">
        <f aca="false">T65/T19*100</f>
        <v>8.99579580649215</v>
      </c>
      <c r="U76" s="90" t="n">
        <f aca="false">U65/U19*100</f>
        <v>6.95005065729231</v>
      </c>
      <c r="V76" s="90" t="n">
        <f aca="false">V65/V19*100</f>
        <v>3.97145146300036</v>
      </c>
      <c r="W76" s="90" t="n">
        <f aca="false">W65/W19*100</f>
        <v>-2.11671193794793</v>
      </c>
      <c r="X76" s="90" t="n">
        <f aca="false">X65/X19*100</f>
        <v>4.4999906947138</v>
      </c>
      <c r="Y76" s="90" t="n">
        <f aca="false">Y65/Y19*100</f>
        <v>9.32936758051728</v>
      </c>
      <c r="Z76" s="90" t="n">
        <f aca="false">Z65/Z19*100</f>
        <v>8.41536630969168</v>
      </c>
      <c r="AA76" s="90" t="n">
        <f aca="false">AA65/AA19*100</f>
        <v>8.32207773786039</v>
      </c>
      <c r="AB76" s="90" t="n">
        <f aca="false">AB65/AB19*100</f>
        <v>8.65508286883988</v>
      </c>
      <c r="AC76" s="90" t="n">
        <f aca="false">AC65/AC19*100</f>
        <v>2.88450473938126</v>
      </c>
      <c r="AD76" s="90" t="n">
        <f aca="false">AD65/AD19*100</f>
        <v>-1.38921474762196</v>
      </c>
      <c r="AE76" s="90" t="n">
        <f aca="false">AE65/AE19*100</f>
        <v>1.1147029111101</v>
      </c>
      <c r="AF76" s="90" t="n">
        <f aca="false">AF65/AF19*100</f>
        <v>6.08325443626547</v>
      </c>
      <c r="AG76" s="90" t="n">
        <f aca="false">AG65/AG19*100</f>
        <v>10.1357076635851</v>
      </c>
      <c r="AH76" s="90" t="n">
        <f aca="false">AH65/AH19*100</f>
        <v>10.8668961214097</v>
      </c>
      <c r="AI76" s="90" t="n">
        <f aca="false">AI65/AI19*100</f>
        <v>11.4005875879377</v>
      </c>
      <c r="AJ76" s="90" t="n">
        <f aca="false">AJ65/AJ19*100</f>
        <v>10.4193433251354</v>
      </c>
      <c r="AK76" s="90" t="n">
        <f aca="false">AK65/AK19*100</f>
        <v>10.7525771725932</v>
      </c>
      <c r="AL76" s="90" t="n">
        <f aca="false">AL65/AL19*100</f>
        <v>10.7320842607248</v>
      </c>
      <c r="AM76" s="40"/>
      <c r="AN76" s="40"/>
      <c r="AO76" s="40"/>
    </row>
    <row r="77" customFormat="false" ht="12" hidden="false" customHeight="true" outlineLevel="0" collapsed="false">
      <c r="A77" s="69" t="s">
        <v>279</v>
      </c>
      <c r="B77" s="81" t="n">
        <f aca="false">+B63/B49</f>
        <v>1.43094967386751</v>
      </c>
      <c r="C77" s="81" t="n">
        <f aca="false">+C63/C49</f>
        <v>2.01463734234704</v>
      </c>
      <c r="D77" s="81" t="n">
        <f aca="false">+D63/D49</f>
        <v>2.46033498742799</v>
      </c>
      <c r="E77" s="81" t="n">
        <f aca="false">+E63/E49</f>
        <v>2.90000605779133</v>
      </c>
      <c r="F77" s="81" t="n">
        <f aca="false">+F63/F49</f>
        <v>2.62571105188214</v>
      </c>
      <c r="G77" s="81" t="n">
        <f aca="false">+G63/G49</f>
        <v>1.52905618279882</v>
      </c>
      <c r="H77" s="81" t="n">
        <f aca="false">+H63/H49</f>
        <v>1.65072846354092</v>
      </c>
      <c r="I77" s="81" t="n">
        <f aca="false">+I63/I49</f>
        <v>2.25461386336539</v>
      </c>
      <c r="J77" s="81" t="n">
        <f aca="false">+J63/J49</f>
        <v>2.45074368038418</v>
      </c>
      <c r="K77" s="81" t="n">
        <f aca="false">+K63/K49</f>
        <v>3.0095268669796</v>
      </c>
      <c r="L77" s="81" t="n">
        <f aca="false">+L63/L49</f>
        <v>3.96827903571616</v>
      </c>
      <c r="M77" s="81" t="n">
        <f aca="false">+M63/M49</f>
        <v>7.60561531081149</v>
      </c>
      <c r="N77" s="81" t="n">
        <f aca="false">+N63/N49</f>
        <v>15.7017584947864</v>
      </c>
      <c r="O77" s="90" t="n">
        <f aca="false">+O63/O49</f>
        <v>15.5043779642466</v>
      </c>
      <c r="P77" s="90" t="n">
        <f aca="false">+P63/P49</f>
        <v>27.6378610812498</v>
      </c>
      <c r="Q77" s="90" t="n">
        <f aca="false">+Q63/Q49</f>
        <v>11.8534437572073</v>
      </c>
      <c r="R77" s="90" t="n">
        <f aca="false">+R63/R49</f>
        <v>3.78102499839383</v>
      </c>
      <c r="S77" s="90" t="n">
        <f aca="false">+S63/S49</f>
        <v>8.38481122025697</v>
      </c>
      <c r="T77" s="90" t="n">
        <f aca="false">+T63/T49</f>
        <v>6.92425448620976</v>
      </c>
      <c r="U77" s="90" t="n">
        <f aca="false">+U63/U49</f>
        <v>5.07905562006666</v>
      </c>
      <c r="V77" s="90" t="n">
        <f aca="false">+V63/V49</f>
        <v>2.49099342320497</v>
      </c>
      <c r="W77" s="90" t="n">
        <f aca="false">+W63/W49</f>
        <v>0.5146174375967</v>
      </c>
      <c r="X77" s="90" t="n">
        <f aca="false">+X63/X49</f>
        <v>2.92524284797622</v>
      </c>
      <c r="Y77" s="90" t="n">
        <f aca="false">+Y63/Y49</f>
        <v>9.57948535507577</v>
      </c>
      <c r="Z77" s="90" t="n">
        <f aca="false">+Z63/Z49</f>
        <v>15.0523031792646</v>
      </c>
      <c r="AA77" s="90" t="n">
        <f aca="false">+AA63/AA49</f>
        <v>22.3149477431295</v>
      </c>
      <c r="AB77" s="90" t="n">
        <f aca="false">+AB63/AB49</f>
        <v>46.1165103722647</v>
      </c>
      <c r="AC77" s="90" t="n">
        <f aca="false">+AC63/AC49</f>
        <v>11.8500685244404</v>
      </c>
      <c r="AD77" s="90" t="n">
        <f aca="false">+AD63/AD49</f>
        <v>2.13383747840542</v>
      </c>
      <c r="AE77" s="90" t="n">
        <f aca="false">+AE63/AE49</f>
        <v>3.55567732722261</v>
      </c>
      <c r="AF77" s="90" t="n">
        <f aca="false">+AF63/AF49</f>
        <v>10.5394167906188</v>
      </c>
      <c r="AG77" s="90" t="n">
        <f aca="false">+AG63/AG49</f>
        <v>19.4561818473381</v>
      </c>
      <c r="AH77" s="90" t="n">
        <f aca="false">+AH63/AH49</f>
        <v>23.8846065188327</v>
      </c>
      <c r="AI77" s="90" t="n">
        <f aca="false">+AI63/AI49</f>
        <v>35.6296470865493</v>
      </c>
      <c r="AJ77" s="90" t="n">
        <f aca="false">+AJ63/AJ49</f>
        <v>46.4122647587853</v>
      </c>
      <c r="AK77" s="90" t="n">
        <f aca="false">+AK63/AK49</f>
        <v>62.9830009253041</v>
      </c>
      <c r="AL77" s="90" t="n">
        <f aca="false">+AL63/AL49</f>
        <v>94.9163497337652</v>
      </c>
      <c r="AM77" s="40"/>
      <c r="AN77" s="40"/>
      <c r="AO77" s="40"/>
    </row>
    <row r="78" customFormat="false" ht="12" hidden="false" customHeight="true" outlineLevel="0" collapsed="false">
      <c r="B78" s="75"/>
      <c r="C78" s="75"/>
      <c r="D78" s="75"/>
      <c r="E78" s="75"/>
      <c r="F78" s="75"/>
      <c r="G78" s="75"/>
      <c r="H78" s="75"/>
      <c r="O78" s="40"/>
      <c r="P78" s="40"/>
      <c r="Q78" s="40"/>
      <c r="R78" s="40"/>
      <c r="S78" s="40"/>
      <c r="T78" s="40"/>
      <c r="U78" s="40"/>
      <c r="V78" s="40"/>
      <c r="W78" s="40"/>
      <c r="X78" s="40"/>
      <c r="Y78" s="40"/>
      <c r="Z78" s="40"/>
      <c r="AA78" s="77"/>
      <c r="AB78" s="40"/>
      <c r="AC78" s="40"/>
      <c r="AD78" s="40"/>
      <c r="AE78" s="40"/>
      <c r="AF78" s="77"/>
      <c r="AG78" s="77"/>
      <c r="AH78" s="40"/>
      <c r="AI78" s="40"/>
      <c r="AJ78" s="40"/>
      <c r="AK78" s="40"/>
      <c r="AL78" s="40"/>
      <c r="AM78" s="40"/>
      <c r="AN78" s="40"/>
      <c r="AO78" s="40"/>
    </row>
    <row r="79" customFormat="false" ht="12" hidden="false" customHeight="true" outlineLevel="0" collapsed="false">
      <c r="A79" s="69" t="s">
        <v>280</v>
      </c>
      <c r="B79" s="81" t="n">
        <f aca="false">+B51/B13*100</f>
        <v>3.77269531671553</v>
      </c>
      <c r="C79" s="81" t="n">
        <f aca="false">+C51/C13*100</f>
        <v>5.76825074875518</v>
      </c>
      <c r="D79" s="81" t="n">
        <f aca="false">+D51/D13*100</f>
        <v>7.25365626726367</v>
      </c>
      <c r="E79" s="81" t="n">
        <f aca="false">+E51/E13*100</f>
        <v>9.36397535555023</v>
      </c>
      <c r="F79" s="81" t="n">
        <f aca="false">+F51/F13*100</f>
        <v>8.96827369402256</v>
      </c>
      <c r="G79" s="81" t="n">
        <f aca="false">+G51/G13*100</f>
        <v>4.52892102698832</v>
      </c>
      <c r="H79" s="81" t="n">
        <f aca="false">+H51/H13*100</f>
        <v>4.88295852949725</v>
      </c>
      <c r="I79" s="81" t="n">
        <f aca="false">+I51/I13*100</f>
        <v>6.76218042896537</v>
      </c>
      <c r="J79" s="81" t="n">
        <f aca="false">+J51/J13*100</f>
        <v>7.50994662524461</v>
      </c>
      <c r="K79" s="81" t="n">
        <f aca="false">+K51/K13*100</f>
        <v>8.8047359233104</v>
      </c>
      <c r="L79" s="81" t="n">
        <f aca="false">+L51/L13*100</f>
        <v>9.23267604534166</v>
      </c>
      <c r="M79" s="81" t="n">
        <f aca="false">+M51/M13*100</f>
        <v>9.9925062505204</v>
      </c>
      <c r="N79" s="81" t="n">
        <f aca="false">+N51/N13*100</f>
        <v>9.28958560317188</v>
      </c>
      <c r="O79" s="90" t="n">
        <f aca="false">+O51/O13*100</f>
        <v>9.19512752787492</v>
      </c>
      <c r="P79" s="90" t="n">
        <f aca="false">+P51/P13*100</f>
        <v>9.2496348761794</v>
      </c>
      <c r="Q79" s="90" t="n">
        <f aca="false">+Q51/Q13*100</f>
        <v>9.27106268518384</v>
      </c>
      <c r="R79" s="90" t="n">
        <f aca="false">+R51/R19*100</f>
        <v>7.45433382638306</v>
      </c>
      <c r="S79" s="90" t="n">
        <f aca="false">+S51/S19*100</f>
        <v>10.3821139574867</v>
      </c>
      <c r="T79" s="90" t="n">
        <f aca="false">+T51/T19*100</f>
        <v>10.0670947584615</v>
      </c>
      <c r="U79" s="90" t="n">
        <f aca="false">+U51/U19*100</f>
        <v>8.11501834649681</v>
      </c>
      <c r="V79" s="90" t="n">
        <f aca="false">+V51/V19*100</f>
        <v>4.50224417523956</v>
      </c>
      <c r="W79" s="90" t="n">
        <f aca="false">+W51/W19*100</f>
        <v>-2.21092593763478</v>
      </c>
      <c r="X79" s="90" t="n">
        <f aca="false">+X51/X19*100</f>
        <v>5.58610266859978</v>
      </c>
      <c r="Y79" s="90" t="n">
        <f aca="false">+Y51/Y19*100</f>
        <v>11.2191925524351</v>
      </c>
      <c r="Z79" s="90" t="n">
        <f aca="false">+Z51/Z19*100</f>
        <v>10.9069685434639</v>
      </c>
      <c r="AA79" s="90" t="n">
        <f aca="false">+AA51/AA19*100</f>
        <v>10.6579903840641</v>
      </c>
      <c r="AB79" s="90" t="n">
        <f aca="false">+AB51/AB19*100</f>
        <v>10.9286025272802</v>
      </c>
      <c r="AC79" s="90" t="n">
        <f aca="false">+AC51/AC19*100</f>
        <v>6.79858044696799</v>
      </c>
      <c r="AD79" s="90" t="n">
        <f aca="false">+AD51/AD19*100</f>
        <v>2.27331396697698</v>
      </c>
      <c r="AE79" s="90" t="n">
        <f aca="false">+AE51/AE19*100</f>
        <v>3.54818199129577</v>
      </c>
      <c r="AF79" s="90" t="n">
        <f aca="false">+AF51/AF19*100</f>
        <v>7.62986752486019</v>
      </c>
      <c r="AG79" s="90" t="n">
        <f aca="false">+AG51/AG19*100</f>
        <v>11.9991305034557</v>
      </c>
      <c r="AH79" s="90" t="n">
        <f aca="false">+AH51/AH19*100</f>
        <v>12.8091587846434</v>
      </c>
      <c r="AI79" s="90" t="n">
        <f aca="false">+AI51/AI19*100</f>
        <v>13.3562523987645</v>
      </c>
      <c r="AJ79" s="90" t="n">
        <f aca="false">+AJ51/AJ19*100</f>
        <v>12.436738672243</v>
      </c>
      <c r="AK79" s="90" t="n">
        <f aca="false">+AK51/AK19*100</f>
        <v>12.8440719992573</v>
      </c>
      <c r="AL79" s="90" t="n">
        <f aca="false">+AL51/AL19*100</f>
        <v>12.8860657177506</v>
      </c>
      <c r="AM79" s="40"/>
      <c r="AN79" s="40"/>
      <c r="AO79" s="40"/>
    </row>
    <row r="80" customFormat="false" ht="12" hidden="false" customHeight="true" outlineLevel="0" collapsed="false">
      <c r="A80" s="69" t="s">
        <v>281</v>
      </c>
      <c r="B80" s="81" t="n">
        <f aca="false">+B55/B13*100</f>
        <v>0.463624105100721</v>
      </c>
      <c r="C80" s="81" t="n">
        <f aca="false">+C55/C13*100</f>
        <v>2.99078806800001</v>
      </c>
      <c r="D80" s="81" t="n">
        <f aca="false">+D55/D13*100</f>
        <v>4.66466484987694</v>
      </c>
      <c r="E80" s="81" t="n">
        <f aca="false">+E55/E13*100</f>
        <v>6.64690585967472</v>
      </c>
      <c r="F80" s="81" t="n">
        <f aca="false">+F55/F13*100</f>
        <v>6.32580461809719</v>
      </c>
      <c r="G80" s="81" t="n">
        <f aca="false">+G55/G13*100</f>
        <v>1.02608157668722</v>
      </c>
      <c r="H80" s="81" t="n">
        <f aca="false">+H55/H13*100</f>
        <v>1.1573733089158</v>
      </c>
      <c r="I80" s="81" t="n">
        <f aca="false">+I55/I13*100</f>
        <v>3.58973155225</v>
      </c>
      <c r="J80" s="81" t="n">
        <f aca="false">+J55/J13*100</f>
        <v>3.91078555225589</v>
      </c>
      <c r="K80" s="81" t="n">
        <f aca="false">+K55/K13*100</f>
        <v>5.02598796858938</v>
      </c>
      <c r="L80" s="81" t="n">
        <f aca="false">+L55/L13*100</f>
        <v>5.53358089391819</v>
      </c>
      <c r="M80" s="81" t="n">
        <f aca="false">+M55/M13*100</f>
        <v>7.29411986383427</v>
      </c>
      <c r="N80" s="81" t="n">
        <f aca="false">+N55/N13*100</f>
        <v>7.76528999963004</v>
      </c>
      <c r="O80" s="90" t="n">
        <f aca="false">+O55/O13*100</f>
        <v>7.47219444952905</v>
      </c>
      <c r="P80" s="90" t="n">
        <f aca="false">+P55/P13*100</f>
        <v>7.27906802844696</v>
      </c>
      <c r="Q80" s="90" t="n">
        <f aca="false">+Q55/Q13*100</f>
        <v>7.14318495492904</v>
      </c>
      <c r="R80" s="90" t="n">
        <f aca="false">+R55/R19*100</f>
        <v>3.48509833610646</v>
      </c>
      <c r="S80" s="90" t="n">
        <f aca="false">+S55/S19*100</f>
        <v>7.51962000413961</v>
      </c>
      <c r="T80" s="90" t="n">
        <f aca="false">+T55/T19*100</f>
        <v>7.2119111950133</v>
      </c>
      <c r="U80" s="90" t="n">
        <f aca="false">+U55/U19*100</f>
        <v>5.37765634739173</v>
      </c>
      <c r="V80" s="90" t="n">
        <f aca="false">+V55/V19*100</f>
        <v>3.77132567381342</v>
      </c>
      <c r="W80" s="90" t="n">
        <f aca="false">+W55/W19*100</f>
        <v>-0.917378915258683</v>
      </c>
      <c r="X80" s="90" t="n">
        <f aca="false">+X55/X19*100</f>
        <v>3.26051256229861</v>
      </c>
      <c r="Y80" s="90" t="n">
        <f aca="false">+Y55/Y19*100</f>
        <v>4.36459540386531</v>
      </c>
      <c r="Z80" s="90" t="n">
        <f aca="false">+Z55/Z19*100</f>
        <v>8.26272320128892</v>
      </c>
      <c r="AA80" s="90" t="n">
        <f aca="false">+AA55/AA19*100</f>
        <v>8.49864076214622</v>
      </c>
      <c r="AB80" s="90" t="n">
        <f aca="false">+AB55/AB19*100</f>
        <v>8.59337221368473</v>
      </c>
      <c r="AC80" s="90" t="n">
        <f aca="false">+AC55/AC19*100</f>
        <v>2.07196577409321</v>
      </c>
      <c r="AD80" s="90" t="n">
        <f aca="false">+AD55/AD19*100</f>
        <v>-2.69196710115708</v>
      </c>
      <c r="AE80" s="90" t="n">
        <f aca="false">+AE55/AE19*100</f>
        <v>2.43269524706651</v>
      </c>
      <c r="AF80" s="90" t="n">
        <f aca="false">+AF55/AF19*100</f>
        <v>5.83884413904993</v>
      </c>
      <c r="AG80" s="90" t="n">
        <f aca="false">+AG55/AG19*100</f>
        <v>9.88395505203297</v>
      </c>
      <c r="AH80" s="90" t="n">
        <f aca="false">+AH55/AH19*100</f>
        <v>11.2206001433705</v>
      </c>
      <c r="AI80" s="90" t="n">
        <f aca="false">+AI55/AI19*100</f>
        <v>10.9392067585566</v>
      </c>
      <c r="AJ80" s="90" t="n">
        <f aca="false">+AJ55/AJ19*100</f>
        <v>10.8629290195538</v>
      </c>
      <c r="AK80" s="90" t="n">
        <f aca="false">+AK55/AK19*100</f>
        <v>11.2790103099728</v>
      </c>
      <c r="AL80" s="90" t="n">
        <f aca="false">+AL55/AL19*100</f>
        <v>11.3664648247893</v>
      </c>
      <c r="AM80" s="40"/>
      <c r="AN80" s="40"/>
      <c r="AO80" s="40"/>
    </row>
    <row r="81" customFormat="false" ht="14.25" hidden="false" customHeight="true" outlineLevel="0" collapsed="false">
      <c r="A81" s="69" t="s">
        <v>282</v>
      </c>
      <c r="B81" s="81" t="n">
        <f aca="false">+B56/B55*100</f>
        <v>0</v>
      </c>
      <c r="C81" s="81" t="n">
        <f aca="false">+C56/C55*100</f>
        <v>0</v>
      </c>
      <c r="D81" s="81" t="n">
        <f aca="false">+D56/D55*100</f>
        <v>0</v>
      </c>
      <c r="E81" s="81" t="n">
        <f aca="false">+E56/E55*100</f>
        <v>15.3462641204345</v>
      </c>
      <c r="F81" s="81" t="n">
        <f aca="false">+F56/F55*100</f>
        <v>20.4413028942593</v>
      </c>
      <c r="G81" s="81" t="n">
        <f aca="false">+G56/G55*100</f>
        <v>10.8863114146179</v>
      </c>
      <c r="H81" s="81" t="n">
        <f aca="false">+H56/H55*100</f>
        <v>12.4636453265603</v>
      </c>
      <c r="I81" s="81" t="n">
        <f aca="false">+I56/I55*100</f>
        <v>15.8650187057146</v>
      </c>
      <c r="J81" s="81" t="n">
        <f aca="false">+J56/J55*100</f>
        <v>10.0646452359698</v>
      </c>
      <c r="K81" s="81" t="n">
        <f aca="false">+K56/K55*100</f>
        <v>30.2179931319305</v>
      </c>
      <c r="L81" s="81" t="n">
        <f aca="false">+L56/L55*100</f>
        <v>29.3294611468412</v>
      </c>
      <c r="M81" s="81" t="n">
        <f aca="false">+M56/M55*100</f>
        <v>32.4233749912728</v>
      </c>
      <c r="N81" s="81" t="n">
        <f aca="false">+N56/N55*100</f>
        <v>27.3547281925002</v>
      </c>
      <c r="O81" s="90" t="n">
        <f aca="false">+O56/O55*100</f>
        <v>27.6321025867788</v>
      </c>
      <c r="P81" s="90" t="n">
        <f aca="false">+P56/P55*100</f>
        <v>27.0005591342352</v>
      </c>
      <c r="Q81" s="90" t="n">
        <f aca="false">+Q56/Q55*100</f>
        <v>26.4577293739716</v>
      </c>
      <c r="R81" s="90" t="n">
        <f aca="false">+R56/R55*100</f>
        <v>8.85120052502727</v>
      </c>
      <c r="S81" s="90" t="n">
        <f aca="false">+S56/S55*100</f>
        <v>22.2293729866676</v>
      </c>
      <c r="T81" s="90" t="n">
        <f aca="false">+T56/T55*100</f>
        <v>21.2646730921316</v>
      </c>
      <c r="U81" s="90" t="n">
        <f aca="false">+U56/U55*100</f>
        <v>17.9716239652185</v>
      </c>
      <c r="V81" s="90" t="n">
        <f aca="false">+V56/V55*100</f>
        <v>7.86052121204138</v>
      </c>
      <c r="W81" s="90" t="n">
        <f aca="false">+W56/W55*100</f>
        <v>132.209443437705</v>
      </c>
      <c r="X81" s="90" t="n">
        <f aca="false">+X56/X55*100</f>
        <v>24.2857307618984</v>
      </c>
      <c r="Y81" s="90" t="n">
        <f aca="false">+Y56/Y55*100</f>
        <v>52.8637385369578</v>
      </c>
      <c r="Z81" s="90" t="n">
        <f aca="false">+Z56/Z55*100</f>
        <v>26.0572272472861</v>
      </c>
      <c r="AA81" s="90" t="n">
        <f aca="false">+AA56/AA55*100</f>
        <v>29.951189649742</v>
      </c>
      <c r="AB81" s="90" t="n">
        <f aca="false">+AB56/AB55*100</f>
        <v>20.5703300224288</v>
      </c>
      <c r="AC81" s="90" t="n">
        <f aca="false">+AC56/AC55*100</f>
        <v>33.8196286472149</v>
      </c>
      <c r="AD81" s="90" t="n">
        <f aca="false">+AD56/AD55*100</f>
        <v>23.8474424024665</v>
      </c>
      <c r="AE81" s="90" t="n">
        <f aca="false">+AE56/AE55*100</f>
        <v>-2.69517257064877</v>
      </c>
      <c r="AF81" s="90" t="n">
        <f aca="false">+AF56/AF55*100</f>
        <v>34.6043404094011</v>
      </c>
      <c r="AG81" s="90" t="n">
        <f aca="false">+AG56/AG55*100</f>
        <v>30.9666207827687</v>
      </c>
      <c r="AH81" s="90" t="n">
        <f aca="false">+AH56/AH55*100</f>
        <v>24.0324357391066</v>
      </c>
      <c r="AI81" s="90" t="n">
        <f aca="false">+AI56/AI55*100</f>
        <v>25.9344581036222</v>
      </c>
      <c r="AJ81" s="90" t="n">
        <f aca="false">+AJ56/AJ55*100</f>
        <v>25</v>
      </c>
      <c r="AK81" s="90" t="n">
        <f aca="false">+AK56/AK55*100</f>
        <v>25</v>
      </c>
      <c r="AL81" s="90" t="n">
        <f aca="false">+AL56/AL55*100</f>
        <v>25</v>
      </c>
      <c r="AM81" s="40"/>
      <c r="AN81" s="40"/>
      <c r="AO81" s="40"/>
    </row>
    <row r="82" customFormat="false" ht="12" hidden="false" customHeight="true" outlineLevel="0" collapsed="false">
      <c r="A82" s="69" t="s">
        <v>283</v>
      </c>
      <c r="B82" s="81" t="n">
        <f aca="false">+B59/B19*100</f>
        <v>0.538729475015754</v>
      </c>
      <c r="C82" s="81" t="n">
        <f aca="false">+C59/C19*100</f>
        <v>3.33632686748844</v>
      </c>
      <c r="D82" s="81" t="n">
        <f aca="false">+D59/D19*100</f>
        <v>5.2909735646201</v>
      </c>
      <c r="E82" s="81" t="n">
        <f aca="false">+E59/E19*100</f>
        <v>6.31826610994991</v>
      </c>
      <c r="F82" s="81" t="n">
        <f aca="false">+F59/F19*100</f>
        <v>5.72755829561873</v>
      </c>
      <c r="G82" s="81" t="n">
        <f aca="false">+G59/G19*100</f>
        <v>1.04128562231435</v>
      </c>
      <c r="H82" s="81" t="n">
        <f aca="false">+H59/H19*100</f>
        <v>1.13922841968243</v>
      </c>
      <c r="I82" s="81" t="n">
        <f aca="false">+I59/I19*100</f>
        <v>3.48327352353529</v>
      </c>
      <c r="J82" s="81" t="n">
        <f aca="false">+J59/J19*100</f>
        <v>4.3138757697561</v>
      </c>
      <c r="K82" s="81" t="n">
        <f aca="false">+K59/K19*100</f>
        <v>4.25866601098155</v>
      </c>
      <c r="L82" s="81" t="n">
        <f aca="false">+L59/L19*100</f>
        <v>4.88562234761929</v>
      </c>
      <c r="M82" s="81" t="n">
        <f aca="false">+M59/M19*100</f>
        <v>5.98426463603353</v>
      </c>
      <c r="N82" s="81" t="n">
        <f aca="false">+N59/N19*100</f>
        <v>5.63158471089892</v>
      </c>
      <c r="O82" s="90" t="n">
        <f aca="false">+O59/O19*100</f>
        <v>5.89664703715182</v>
      </c>
      <c r="P82" s="90" t="n">
        <f aca="false">+P59/P19*100</f>
        <v>6.33859994509062</v>
      </c>
      <c r="Q82" s="90" t="n">
        <f aca="false">+Q59/Q19*100</f>
        <v>6.23676191981936</v>
      </c>
      <c r="R82" s="90" t="n">
        <f aca="false">+R59/R19*100</f>
        <v>4.1628813234654</v>
      </c>
      <c r="S82" s="90" t="n">
        <f aca="false">+S59/S19*100</f>
        <v>5.89321271015595</v>
      </c>
      <c r="T82" s="90" t="n">
        <f aca="false">+T59/T19*100</f>
        <v>6.12805479977935</v>
      </c>
      <c r="U82" s="90" t="n">
        <f aca="false">+U59/U19*100</f>
        <v>4.39875096655934</v>
      </c>
      <c r="V82" s="90" t="n">
        <f aca="false">+V59/V19*100</f>
        <v>1.15494183251611</v>
      </c>
      <c r="W82" s="90" t="n">
        <f aca="false">+W59/W19*100</f>
        <v>-4.78987590867444</v>
      </c>
      <c r="X82" s="90" t="n">
        <f aca="false">+X59/X19*100</f>
        <v>1.72442806333931</v>
      </c>
      <c r="Y82" s="90" t="n">
        <f aca="false">+Y59/Y19*100</f>
        <v>5.21646770843224</v>
      </c>
      <c r="Z82" s="90" t="n">
        <f aca="false">+Z59/Z19*100</f>
        <v>6.20940523648008</v>
      </c>
      <c r="AA82" s="90" t="n">
        <f aca="false">+AA59/AA19*100</f>
        <v>5.99958025607061</v>
      </c>
      <c r="AB82" s="90" t="n">
        <f aca="false">+AB59/AB19*100</f>
        <v>6.98398035446625</v>
      </c>
      <c r="AC82" s="90" t="n">
        <f aca="false">+AC59/AC19*100</f>
        <v>2.04027830017742</v>
      </c>
      <c r="AD82" s="90" t="n">
        <f aca="false">+AD59/AD19*100</f>
        <v>-1.99093876724102</v>
      </c>
      <c r="AE82" s="90" t="n">
        <f aca="false">+AE59/AE19*100</f>
        <v>0.731765851526335</v>
      </c>
      <c r="AF82" s="90" t="n">
        <f aca="false">+AF59/AF19*100</f>
        <v>3.64278275814558</v>
      </c>
      <c r="AG82" s="90" t="n">
        <f aca="false">+AG59/AG19*100</f>
        <v>7.00643234568849</v>
      </c>
      <c r="AH82" s="90" t="n">
        <f aca="false">+AH59/AH19*100</f>
        <v>8.32326307765594</v>
      </c>
      <c r="AI82" s="90" t="n">
        <f aca="false">+AI59/AI19*100</f>
        <v>8.89405624510451</v>
      </c>
      <c r="AJ82" s="90" t="n">
        <f aca="false">+AJ59/AJ19*100</f>
        <v>8.14719676466533</v>
      </c>
      <c r="AK82" s="90" t="n">
        <f aca="false">+AK59/AK19*100</f>
        <v>8.45925773247959</v>
      </c>
      <c r="AL82" s="90" t="n">
        <f aca="false">+AL59/AL19*100</f>
        <v>8.52484861859195</v>
      </c>
      <c r="AM82" s="40"/>
      <c r="AN82" s="40"/>
      <c r="AO82" s="40"/>
    </row>
    <row r="83" customFormat="false" ht="12" hidden="false" customHeight="true" outlineLevel="0" collapsed="false">
      <c r="B83" s="75"/>
      <c r="C83" s="75"/>
      <c r="D83" s="75"/>
      <c r="E83" s="75"/>
      <c r="F83" s="75"/>
      <c r="G83" s="75"/>
      <c r="O83" s="40"/>
      <c r="P83" s="40"/>
      <c r="Q83" s="40"/>
      <c r="R83" s="40"/>
      <c r="S83" s="40"/>
      <c r="T83" s="40"/>
      <c r="U83" s="40"/>
      <c r="V83" s="40"/>
      <c r="W83" s="40"/>
      <c r="X83" s="40"/>
      <c r="Y83" s="40"/>
      <c r="Z83" s="40"/>
      <c r="AA83" s="77"/>
      <c r="AB83" s="40"/>
      <c r="AC83" s="85"/>
      <c r="AD83" s="85"/>
      <c r="AE83" s="85"/>
      <c r="AF83" s="154"/>
      <c r="AG83" s="154"/>
      <c r="AH83" s="85"/>
      <c r="AI83" s="85"/>
      <c r="AJ83" s="85"/>
      <c r="AK83" s="85"/>
      <c r="AL83" s="85"/>
      <c r="AM83" s="40"/>
      <c r="AN83" s="40"/>
      <c r="AO83" s="40"/>
    </row>
    <row r="84" customFormat="false" ht="12" hidden="false" customHeight="true" outlineLevel="0" collapsed="false">
      <c r="A84" s="69" t="s">
        <v>284</v>
      </c>
      <c r="B84" s="155" t="n">
        <f aca="false">(+B773)*2*2</f>
        <v>2774.48</v>
      </c>
      <c r="C84" s="155" t="n">
        <f aca="false">(+C773)*2*2</f>
        <v>3119.92</v>
      </c>
      <c r="D84" s="155" t="n">
        <f aca="false">(+D773)*2*2</f>
        <v>4757</v>
      </c>
      <c r="E84" s="155" t="n">
        <f aca="false">(+E773)*2*2</f>
        <v>4757.16</v>
      </c>
      <c r="F84" s="155" t="n">
        <f aca="false">(+F773)*2*2</f>
        <v>4757.16</v>
      </c>
      <c r="G84" s="155" t="n">
        <f aca="false">(+G773)*2*2</f>
        <v>4757.16</v>
      </c>
      <c r="H84" s="155" t="n">
        <f aca="false">(+H773)*2*2</f>
        <v>4757.16</v>
      </c>
      <c r="I84" s="155" t="n">
        <f aca="false">(+I773)*2*2</f>
        <v>4757.16</v>
      </c>
      <c r="J84" s="155" t="n">
        <f aca="false">(+J773)*2*2</f>
        <v>4757.16</v>
      </c>
      <c r="K84" s="155" t="n">
        <f aca="false">(+K773)*2*2</f>
        <v>4757.16</v>
      </c>
      <c r="L84" s="155" t="n">
        <f aca="false">(+L773)*2*2</f>
        <v>4757.16</v>
      </c>
      <c r="M84" s="155" t="n">
        <f aca="false">(+M773)*2*2</f>
        <v>4757.16</v>
      </c>
      <c r="N84" s="155" t="n">
        <f aca="false">(+N773)*2*2</f>
        <v>4757.16</v>
      </c>
      <c r="O84" s="155" t="n">
        <f aca="false">(+O773)*2*2</f>
        <v>4886.36</v>
      </c>
      <c r="P84" s="155" t="n">
        <f aca="false">(+P773)*2*2</f>
        <v>5295.48</v>
      </c>
      <c r="Q84" s="155" t="n">
        <f aca="false">(+Q773)*2*2</f>
        <v>5321.36</v>
      </c>
      <c r="R84" s="155" t="n">
        <f aca="false">(+R773)*2*2</f>
        <v>5321.368</v>
      </c>
      <c r="S84" s="155" t="n">
        <f aca="false">(+S773)*2*2</f>
        <v>5321.368</v>
      </c>
      <c r="T84" s="155" t="n">
        <f aca="false">(+T773)*2*2</f>
        <v>5321.368</v>
      </c>
      <c r="U84" s="62" t="n">
        <f aca="false">+U773*2</f>
        <v>5321.36</v>
      </c>
      <c r="V84" s="62" t="n">
        <f aca="false">+V773*2</f>
        <v>5321.36</v>
      </c>
      <c r="W84" s="62" t="n">
        <f aca="false">+W773*2</f>
        <v>5321.36</v>
      </c>
      <c r="X84" s="62" t="n">
        <f aca="false">+X773*2</f>
        <v>5691.76</v>
      </c>
      <c r="Y84" s="62" t="n">
        <f aca="false">+Y773*2</f>
        <v>5691.76</v>
      </c>
      <c r="Z84" s="62" t="n">
        <f aca="false">+Z773*2</f>
        <v>5691.76</v>
      </c>
      <c r="AA84" s="62" t="n">
        <f aca="false">+AA773*2</f>
        <v>5854.216</v>
      </c>
      <c r="AB84" s="62" t="n">
        <f aca="false">+AB773*2</f>
        <v>5871</v>
      </c>
      <c r="AC84" s="62" t="n">
        <f aca="false">+AC773*2</f>
        <v>5871</v>
      </c>
      <c r="AD84" s="62" t="n">
        <f aca="false">+AD773*2</f>
        <v>5871</v>
      </c>
      <c r="AE84" s="62" t="n">
        <f aca="false">+AE773*2</f>
        <v>5871</v>
      </c>
      <c r="AF84" s="62" t="n">
        <f aca="false">+AF773*2</f>
        <v>5872.2</v>
      </c>
      <c r="AG84" s="62" t="n">
        <f aca="false">+AG773*2</f>
        <v>5872.6</v>
      </c>
      <c r="AH84" s="62" t="n">
        <f aca="false">+AH773*2</f>
        <v>5873</v>
      </c>
      <c r="AI84" s="62" t="n">
        <f aca="false">+AI773</f>
        <v>5873.9</v>
      </c>
      <c r="AJ84" s="62" t="n">
        <f aca="false">+AJ773</f>
        <v>5873.9</v>
      </c>
      <c r="AK84" s="62" t="n">
        <f aca="false">+AK773</f>
        <v>5873.9</v>
      </c>
      <c r="AL84" s="62" t="n">
        <f aca="false">+AL773</f>
        <v>5873.9</v>
      </c>
      <c r="AM84" s="41"/>
      <c r="AN84" s="41"/>
      <c r="AO84" s="41"/>
    </row>
    <row r="85" customFormat="false" ht="12.75" hidden="false" customHeight="true" outlineLevel="0" collapsed="false">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82"/>
      <c r="AB85" s="75"/>
      <c r="AC85" s="75"/>
      <c r="AD85" s="75"/>
      <c r="AE85" s="75"/>
      <c r="AF85" s="82"/>
      <c r="AG85" s="82"/>
      <c r="AH85" s="75"/>
      <c r="AI85" s="75"/>
      <c r="AJ85" s="75"/>
      <c r="AK85" s="75"/>
      <c r="AL85" s="75"/>
      <c r="AM85" s="156" t="n">
        <f aca="false">95/AD86</f>
        <v>-183.081809005637</v>
      </c>
      <c r="AN85" s="40"/>
      <c r="AO85" s="40"/>
      <c r="AP85" s="61"/>
      <c r="AQ85" s="61"/>
      <c r="AR85" s="61"/>
    </row>
    <row r="86" customFormat="false" ht="12" hidden="false" customHeight="true" outlineLevel="0" collapsed="false">
      <c r="A86" s="69" t="s">
        <v>285</v>
      </c>
      <c r="B86" s="81" t="n">
        <f aca="false">+B59/B84</f>
        <v>0.0159489345751281</v>
      </c>
      <c r="C86" s="81" t="n">
        <f aca="false">+C59/C84</f>
        <v>0.113240083079054</v>
      </c>
      <c r="D86" s="81" t="n">
        <f aca="false">+D59/D84</f>
        <v>0.148391843598907</v>
      </c>
      <c r="E86" s="81" t="n">
        <f aca="false">+E59/E84</f>
        <v>0.237711155395237</v>
      </c>
      <c r="F86" s="81" t="n">
        <f aca="false">+F59/F84</f>
        <v>0.262625179729081</v>
      </c>
      <c r="G86" s="81" t="n">
        <f aca="false">+G59/G84</f>
        <v>0.0387167082881386</v>
      </c>
      <c r="H86" s="81" t="n">
        <f aca="false">+H59/H84</f>
        <v>0.0435529556071265</v>
      </c>
      <c r="I86" s="81" t="n">
        <f aca="false">+I59/I84</f>
        <v>0.164987093139604</v>
      </c>
      <c r="J86" s="81" t="n">
        <f aca="false">+J59/J84</f>
        <v>0.20421638120223</v>
      </c>
      <c r="K86" s="81" t="n">
        <f aca="false">+K59/K84</f>
        <v>0.202429600854291</v>
      </c>
      <c r="L86" s="81" t="n">
        <f aca="false">+L59/L84</f>
        <v>0.275275584592489</v>
      </c>
      <c r="M86" s="81" t="n">
        <f aca="false">+M59/M84</f>
        <v>0.42693329633647</v>
      </c>
      <c r="N86" s="81" t="n">
        <f aca="false">+N59/N84</f>
        <v>0.495115068654407</v>
      </c>
      <c r="O86" s="81" t="n">
        <f aca="false">+O59/O84</f>
        <v>0.633264456590162</v>
      </c>
      <c r="P86" s="81" t="n">
        <f aca="false">+P59/P84</f>
        <v>0.858018536563256</v>
      </c>
      <c r="Q86" s="81" t="n">
        <f aca="false">+Q59/Q84</f>
        <v>0.90587180720718</v>
      </c>
      <c r="R86" s="81" t="n">
        <f aca="false">+R59/R84</f>
        <v>0.4678966010244</v>
      </c>
      <c r="S86" s="81" t="n">
        <f aca="false">+S59/S84</f>
        <v>0.802324139206314</v>
      </c>
      <c r="T86" s="81" t="n">
        <f aca="false">+T59/T84</f>
        <v>1.28030855975381</v>
      </c>
      <c r="U86" s="81" t="n">
        <f aca="false">+U59/U84</f>
        <v>1.0605912774178</v>
      </c>
      <c r="V86" s="81" t="n">
        <f aca="false">+V59/V84</f>
        <v>0.27089052422689</v>
      </c>
      <c r="W86" s="81" t="n">
        <f aca="false">+W59/W84</f>
        <v>-0.895030217839053</v>
      </c>
      <c r="X86" s="81" t="n">
        <f aca="false">+X59/X84</f>
        <v>0.410892412891621</v>
      </c>
      <c r="Y86" s="81" t="n">
        <f aca="false">+Y59/Y84</f>
        <v>1.73559381985123</v>
      </c>
      <c r="Z86" s="81" t="n">
        <f aca="false">+Z59/Z84</f>
        <v>2.18392821133037</v>
      </c>
      <c r="AA86" s="81" t="n">
        <f aca="false">+AA59/AA84</f>
        <v>2.68996617138827</v>
      </c>
      <c r="AB86" s="81" t="n">
        <f aca="false">+AB59/AB84</f>
        <v>3.45629705331288</v>
      </c>
      <c r="AC86" s="81" t="n">
        <f aca="false">+AC59/AC84</f>
        <v>0.607026060296372</v>
      </c>
      <c r="AD86" s="81" t="n">
        <f aca="false">+AD59/AD84</f>
        <v>-0.5188937148697</v>
      </c>
      <c r="AE86" s="81" t="n">
        <f aca="false">+AE59/AE84</f>
        <v>0.270324476239143</v>
      </c>
      <c r="AF86" s="81" t="n">
        <f aca="false">+AF59/AF84</f>
        <v>2.2421792513879</v>
      </c>
      <c r="AG86" s="81" t="n">
        <f aca="false">+AG59/AG84</f>
        <v>4.57746143105269</v>
      </c>
      <c r="AH86" s="81" t="n">
        <f aca="false">+AH59/AH84</f>
        <v>5.49206964072877</v>
      </c>
      <c r="AI86" s="81" t="n">
        <f aca="false">+AI59/AI84</f>
        <v>6.66339229472755</v>
      </c>
      <c r="AJ86" s="81" t="n">
        <f aca="false">+AJ59/AJ84</f>
        <v>6.65517589868983</v>
      </c>
      <c r="AK86" s="81" t="n">
        <f aca="false">+AK59/AK84</f>
        <v>7.46447497971803</v>
      </c>
      <c r="AL86" s="81" t="n">
        <f aca="false">+AL59/AL84</f>
        <v>8.08692609137691</v>
      </c>
      <c r="AM86" s="75"/>
      <c r="AN86" s="75"/>
      <c r="AO86" s="75"/>
      <c r="AP86" s="75"/>
      <c r="AQ86" s="75"/>
      <c r="AR86" s="75"/>
    </row>
    <row r="87" customFormat="false" ht="12" hidden="false" customHeight="true" outlineLevel="0" collapsed="false">
      <c r="A87" s="69" t="s">
        <v>286</v>
      </c>
      <c r="B87" s="81" t="n">
        <f aca="false">+B66/B84</f>
        <v>0.129782878233039</v>
      </c>
      <c r="C87" s="81" t="n">
        <f aca="false">+C66/C84</f>
        <v>0.218403035975282</v>
      </c>
      <c r="D87" s="81" t="n">
        <f aca="false">+D66/D84</f>
        <v>0.230752575152407</v>
      </c>
      <c r="E87" s="81" t="n">
        <f aca="false">+E66/E84</f>
        <v>0.352496027041345</v>
      </c>
      <c r="F87" s="81" t="n">
        <f aca="false">+F66/F84</f>
        <v>0.400518376510354</v>
      </c>
      <c r="G87" s="81" t="n">
        <f aca="false">+G66/G84</f>
        <v>0.187034191828738</v>
      </c>
      <c r="H87" s="81" t="n">
        <f aca="false">+H66/H84</f>
        <v>0.203711537618242</v>
      </c>
      <c r="I87" s="81" t="n">
        <f aca="false">+I66/I84</f>
        <v>0.338290072227968</v>
      </c>
      <c r="J87" s="81" t="n">
        <f aca="false">+J66/J84</f>
        <v>0.389936432661504</v>
      </c>
      <c r="K87" s="81" t="n">
        <f aca="false">+K66/K84</f>
        <v>0.402874824475107</v>
      </c>
      <c r="L87" s="81" t="n">
        <f aca="false">+L66/L84</f>
        <v>0.491726155941781</v>
      </c>
      <c r="M87" s="81" t="n">
        <f aca="false">+M66/M84</f>
        <v>0.629688721842444</v>
      </c>
      <c r="N87" s="81" t="n">
        <f aca="false">+N66/N84</f>
        <v>0.724693220324732</v>
      </c>
      <c r="O87" s="81" t="n">
        <f aca="false">+O66/O84</f>
        <v>0.891137392681649</v>
      </c>
      <c r="P87" s="81" t="n">
        <f aca="false">+P66/P84</f>
        <v>1.14236292083059</v>
      </c>
      <c r="Q87" s="81" t="n">
        <f aca="false">+Q66/Q84</f>
        <v>1.23917194100756</v>
      </c>
      <c r="R87" s="81" t="n">
        <f aca="false">+R66/R84</f>
        <v>0.803175424063889</v>
      </c>
      <c r="S87" s="81" t="n">
        <f aca="false">+S66/S84</f>
        <v>1.18588697492826</v>
      </c>
      <c r="T87" s="81" t="n">
        <f aca="false">+T66/T84</f>
        <v>1.78286917950422</v>
      </c>
      <c r="U87" s="81" t="n">
        <f aca="false">+U66/U84</f>
        <v>1.72360449208473</v>
      </c>
      <c r="V87" s="81" t="n">
        <f aca="false">+V66/V84</f>
        <v>0.986466053790761</v>
      </c>
      <c r="W87" s="81" t="n">
        <f aca="false">+W66/W84</f>
        <v>-0.186497060901729</v>
      </c>
      <c r="X87" s="81" t="n">
        <f aca="false">+X66/X84</f>
        <v>1.14236510323696</v>
      </c>
      <c r="Y87" s="81" t="n">
        <f aca="false">+Y66/Y84</f>
        <v>2.59279862117807</v>
      </c>
      <c r="Z87" s="81" t="n">
        <f aca="false">+Z66/Z84</f>
        <v>3.09382936668478</v>
      </c>
      <c r="AA87" s="81" t="n">
        <f aca="false">+AA66/AA84</f>
        <v>3.63733367542297</v>
      </c>
      <c r="AB87" s="81" t="n">
        <f aca="false">+AB66/AB84</f>
        <v>4.51405552716742</v>
      </c>
      <c r="AC87" s="81" t="n">
        <f aca="false">+AC66/AC84</f>
        <v>1.74788792369273</v>
      </c>
      <c r="AD87" s="81" t="n">
        <f aca="false">+AD66/AD84</f>
        <v>0.754671265542496</v>
      </c>
      <c r="AE87" s="81" t="n">
        <f aca="false">+AE66/AE84</f>
        <v>1.55249105774144</v>
      </c>
      <c r="AF87" s="81" t="n">
        <f aca="false">+AF66/AF84</f>
        <v>3.48866268178877</v>
      </c>
      <c r="AG87" s="81" t="n">
        <f aca="false">+AG66/AG84</f>
        <v>5.79976501038723</v>
      </c>
      <c r="AH87" s="81" t="n">
        <f aca="false">+AH66/AH84</f>
        <v>6.71689511323004</v>
      </c>
      <c r="AI87" s="81" t="n">
        <f aca="false">+AI66/AI84</f>
        <v>7.88096494662833</v>
      </c>
      <c r="AJ87" s="81" t="n">
        <f aca="false">+AJ66/AJ84</f>
        <v>7.94076901399652</v>
      </c>
      <c r="AK87" s="81" t="n">
        <f aca="false">+AK66/AK84</f>
        <v>8.84549021661345</v>
      </c>
      <c r="AL87" s="81" t="n">
        <f aca="false">+AL66/AL84</f>
        <v>9.52846489864295</v>
      </c>
      <c r="AM87" s="75"/>
      <c r="AN87" s="75"/>
      <c r="AO87" s="75"/>
      <c r="AP87" s="75"/>
      <c r="AQ87" s="40"/>
      <c r="AR87" s="40"/>
    </row>
    <row r="88" customFormat="false" ht="12.75" hidden="false" customHeight="true" outlineLevel="0" collapsed="false">
      <c r="B88" s="40"/>
      <c r="C88" s="40"/>
      <c r="D88" s="40"/>
      <c r="E88" s="40"/>
      <c r="F88" s="40"/>
      <c r="G88" s="40"/>
      <c r="H88" s="40"/>
      <c r="I88" s="40"/>
      <c r="J88" s="40"/>
      <c r="K88" s="40"/>
      <c r="L88" s="40"/>
      <c r="M88" s="40"/>
      <c r="N88" s="40"/>
      <c r="O88" s="40"/>
      <c r="P88" s="40"/>
      <c r="Q88" s="40"/>
      <c r="R88" s="40"/>
      <c r="S88" s="40"/>
      <c r="T88" s="40"/>
      <c r="U88" s="75"/>
      <c r="V88" s="75"/>
      <c r="W88" s="157"/>
      <c r="X88" s="157"/>
      <c r="Y88" s="157"/>
      <c r="Z88" s="157"/>
      <c r="AA88" s="158"/>
      <c r="AB88" s="157"/>
      <c r="AC88" s="157"/>
      <c r="AD88" s="157"/>
      <c r="AE88" s="157"/>
      <c r="AF88" s="158"/>
      <c r="AG88" s="158"/>
      <c r="AH88" s="157"/>
      <c r="AI88" s="157"/>
      <c r="AJ88" s="157"/>
      <c r="AK88" s="157"/>
      <c r="AL88" s="157"/>
      <c r="AM88" s="157"/>
      <c r="AN88" s="157"/>
      <c r="AO88" s="157"/>
    </row>
    <row r="89" customFormat="false" ht="12.75" hidden="false" customHeight="true" outlineLevel="0" collapsed="false">
      <c r="A89" s="69" t="s">
        <v>287</v>
      </c>
      <c r="B89" s="155" t="n">
        <f aca="false">B84</f>
        <v>2774.48</v>
      </c>
      <c r="C89" s="155" t="n">
        <f aca="false">C84</f>
        <v>3119.92</v>
      </c>
      <c r="D89" s="155" t="n">
        <f aca="false">+$G$84</f>
        <v>4757.16</v>
      </c>
      <c r="E89" s="155" t="n">
        <f aca="false">+$G$84</f>
        <v>4757.16</v>
      </c>
      <c r="F89" s="155" t="n">
        <f aca="false">+$G$84</f>
        <v>4757.16</v>
      </c>
      <c r="G89" s="155" t="n">
        <f aca="false">+$G$84</f>
        <v>4757.16</v>
      </c>
      <c r="H89" s="155" t="n">
        <f aca="false">+$G$84</f>
        <v>4757.16</v>
      </c>
      <c r="I89" s="155" t="n">
        <f aca="false">+$G$84</f>
        <v>4757.16</v>
      </c>
      <c r="J89" s="155" t="n">
        <f aca="false">+$G$84</f>
        <v>4757.16</v>
      </c>
      <c r="K89" s="155" t="n">
        <f aca="false">+$G$84</f>
        <v>4757.16</v>
      </c>
      <c r="L89" s="155" t="n">
        <f aca="false">+$G$84</f>
        <v>4757.16</v>
      </c>
      <c r="M89" s="155" t="n">
        <f aca="false">+$G$84</f>
        <v>4757.16</v>
      </c>
      <c r="N89" s="155" t="n">
        <f aca="false">+$G$84+131.6418*2</f>
        <v>5020.4436</v>
      </c>
      <c r="O89" s="155" t="n">
        <f aca="false">+O84</f>
        <v>4886.36</v>
      </c>
      <c r="P89" s="155" t="n">
        <f aca="false">+P84</f>
        <v>5295.48</v>
      </c>
      <c r="Q89" s="155" t="n">
        <f aca="false">+Q84</f>
        <v>5321.36</v>
      </c>
      <c r="R89" s="155" t="n">
        <f aca="false">+R84</f>
        <v>5321.368</v>
      </c>
      <c r="S89" s="155" t="n">
        <f aca="false">+S84</f>
        <v>5321.368</v>
      </c>
      <c r="T89" s="155" t="n">
        <f aca="false">+T84</f>
        <v>5321.368</v>
      </c>
      <c r="U89" s="62" t="n">
        <f aca="false">+U84</f>
        <v>5321.36</v>
      </c>
      <c r="V89" s="62" t="n">
        <f aca="false">+V84</f>
        <v>5321.36</v>
      </c>
      <c r="W89" s="62" t="n">
        <f aca="false">+W84</f>
        <v>5321.36</v>
      </c>
      <c r="X89" s="62" t="n">
        <f aca="false">+X84</f>
        <v>5691.76</v>
      </c>
      <c r="Y89" s="62" t="n">
        <f aca="false">+Y84</f>
        <v>5691.76</v>
      </c>
      <c r="Z89" s="62" t="n">
        <f aca="false">+Z84</f>
        <v>5691.76</v>
      </c>
      <c r="AA89" s="62" t="n">
        <f aca="false">+AA84</f>
        <v>5854.216</v>
      </c>
      <c r="AB89" s="62" t="n">
        <f aca="false">+AB84</f>
        <v>5871</v>
      </c>
      <c r="AC89" s="62" t="n">
        <f aca="false">+AC84</f>
        <v>5871</v>
      </c>
      <c r="AD89" s="62" t="n">
        <f aca="false">+AD84</f>
        <v>5871</v>
      </c>
      <c r="AE89" s="62" t="n">
        <f aca="false">+AE84</f>
        <v>5871</v>
      </c>
      <c r="AF89" s="62" t="n">
        <f aca="false">+AF84</f>
        <v>5872.2</v>
      </c>
      <c r="AG89" s="62" t="n">
        <f aca="false">+AG84</f>
        <v>5872.6</v>
      </c>
      <c r="AH89" s="62" t="n">
        <f aca="false">+AH84</f>
        <v>5873</v>
      </c>
      <c r="AI89" s="62" t="n">
        <f aca="false">+AI84</f>
        <v>5873.9</v>
      </c>
      <c r="AJ89" s="62" t="n">
        <f aca="false">+AJ84</f>
        <v>5873.9</v>
      </c>
      <c r="AK89" s="62" t="n">
        <f aca="false">+AK84</f>
        <v>5873.9</v>
      </c>
      <c r="AL89" s="62" t="n">
        <f aca="false">+AL84</f>
        <v>5873.9</v>
      </c>
      <c r="AM89" s="41"/>
      <c r="AN89" s="145"/>
      <c r="AO89" s="41"/>
    </row>
    <row r="90" customFormat="false" ht="12" hidden="false" customHeight="true" outlineLevel="0" collapsed="false">
      <c r="B90" s="75"/>
      <c r="C90" s="75"/>
      <c r="D90" s="75"/>
      <c r="E90" s="75"/>
      <c r="F90" s="75"/>
      <c r="G90" s="75"/>
      <c r="O90" s="40"/>
      <c r="P90" s="159"/>
      <c r="Q90" s="159"/>
      <c r="R90" s="160"/>
      <c r="S90" s="160"/>
      <c r="T90" s="160"/>
      <c r="U90" s="160"/>
      <c r="V90" s="160"/>
      <c r="W90" s="160"/>
      <c r="X90" s="160"/>
      <c r="Y90" s="160"/>
      <c r="Z90" s="160"/>
      <c r="AA90" s="161"/>
      <c r="AB90" s="160"/>
      <c r="AC90" s="160"/>
      <c r="AD90" s="160"/>
      <c r="AE90" s="160"/>
      <c r="AF90" s="161"/>
      <c r="AG90" s="161"/>
      <c r="AH90" s="160"/>
      <c r="AI90" s="160"/>
      <c r="AJ90" s="160"/>
      <c r="AK90" s="160"/>
      <c r="AL90" s="160"/>
      <c r="AM90" s="160"/>
      <c r="AN90" s="160"/>
      <c r="AO90" s="160"/>
    </row>
    <row r="91" customFormat="false" ht="12.75" hidden="false" customHeight="true" outlineLevel="0" collapsed="false">
      <c r="A91" s="69" t="s">
        <v>288</v>
      </c>
      <c r="B91" s="81" t="n">
        <f aca="false">+B59/B89</f>
        <v>0.0159489345751281</v>
      </c>
      <c r="C91" s="81" t="n">
        <f aca="false">+C59/C89</f>
        <v>0.113240083079054</v>
      </c>
      <c r="D91" s="81" t="n">
        <f aca="false">+D59/D89</f>
        <v>0.14838685265999</v>
      </c>
      <c r="E91" s="81" t="n">
        <f aca="false">+E59/E89</f>
        <v>0.237711155395237</v>
      </c>
      <c r="F91" s="81" t="n">
        <f aca="false">+F59/F89</f>
        <v>0.262625179729081</v>
      </c>
      <c r="G91" s="81" t="n">
        <f aca="false">+G59/G89</f>
        <v>0.0387167082881386</v>
      </c>
      <c r="H91" s="81" t="n">
        <f aca="false">+H59/H89</f>
        <v>0.0435529556071265</v>
      </c>
      <c r="I91" s="81" t="n">
        <f aca="false">+I59/I89</f>
        <v>0.164987093139604</v>
      </c>
      <c r="J91" s="81" t="n">
        <f aca="false">+J59/J89</f>
        <v>0.20421638120223</v>
      </c>
      <c r="K91" s="81" t="n">
        <f aca="false">+K59/K89</f>
        <v>0.202429600854291</v>
      </c>
      <c r="L91" s="81" t="n">
        <f aca="false">+L59/L89</f>
        <v>0.275275584592489</v>
      </c>
      <c r="M91" s="81" t="n">
        <f aca="false">+M59/M89</f>
        <v>0.42693329633647</v>
      </c>
      <c r="N91" s="81" t="n">
        <f aca="false">+N59/N89</f>
        <v>0.46915009661696</v>
      </c>
      <c r="O91" s="90" t="n">
        <f aca="false">+O59/O89</f>
        <v>0.633264456590162</v>
      </c>
      <c r="P91" s="90" t="n">
        <f aca="false">+P59/P89</f>
        <v>0.858018536563256</v>
      </c>
      <c r="Q91" s="81" t="n">
        <f aca="false">+Q59/Q89</f>
        <v>0.90587180720718</v>
      </c>
      <c r="R91" s="81" t="n">
        <f aca="false">+R59/R89</f>
        <v>0.4678966010244</v>
      </c>
      <c r="S91" s="81" t="n">
        <f aca="false">+S59/S89</f>
        <v>0.802324139206314</v>
      </c>
      <c r="T91" s="81" t="n">
        <f aca="false">+T59/T89</f>
        <v>1.28030855975381</v>
      </c>
      <c r="U91" s="81" t="n">
        <f aca="false">+U59/U89</f>
        <v>1.0605912774178</v>
      </c>
      <c r="V91" s="90" t="n">
        <f aca="false">+V59/V89</f>
        <v>0.27089052422689</v>
      </c>
      <c r="W91" s="81" t="n">
        <f aca="false">+W59/W89</f>
        <v>-0.895030217839053</v>
      </c>
      <c r="X91" s="81" t="n">
        <f aca="false">+X59/X89</f>
        <v>0.410892412891621</v>
      </c>
      <c r="Y91" s="81" t="n">
        <f aca="false">+Y59/Y89</f>
        <v>1.73559381985123</v>
      </c>
      <c r="Z91" s="81" t="n">
        <f aca="false">+Z59/Z89</f>
        <v>2.18392821133037</v>
      </c>
      <c r="AA91" s="81" t="n">
        <f aca="false">+AA59/AA89</f>
        <v>2.68996617138827</v>
      </c>
      <c r="AB91" s="81" t="n">
        <f aca="false">+AB59/AB89</f>
        <v>3.45629705331288</v>
      </c>
      <c r="AC91" s="81" t="n">
        <f aca="false">+AC59/AC89</f>
        <v>0.607026060296372</v>
      </c>
      <c r="AD91" s="81" t="n">
        <f aca="false">+AD59/AD89</f>
        <v>-0.5188937148697</v>
      </c>
      <c r="AE91" s="81" t="n">
        <f aca="false">+AE59/AE89</f>
        <v>0.270324476239143</v>
      </c>
      <c r="AF91" s="81" t="n">
        <f aca="false">+AF59/AF89</f>
        <v>2.2421792513879</v>
      </c>
      <c r="AG91" s="81" t="n">
        <f aca="false">+AG59/AG89</f>
        <v>4.57746143105269</v>
      </c>
      <c r="AH91" s="81" t="n">
        <f aca="false">+AH59/AH89</f>
        <v>5.49206964072877</v>
      </c>
      <c r="AI91" s="81" t="n">
        <f aca="false">+AI59/AI89</f>
        <v>6.66339229472755</v>
      </c>
      <c r="AJ91" s="81" t="n">
        <f aca="false">+AJ59/AJ89</f>
        <v>6.65517589868983</v>
      </c>
      <c r="AK91" s="81" t="n">
        <f aca="false">+AK59/AK89</f>
        <v>7.46447497971803</v>
      </c>
      <c r="AL91" s="81" t="n">
        <f aca="false">+AL59/AL89</f>
        <v>8.08692609137691</v>
      </c>
      <c r="AM91" s="75"/>
      <c r="AN91" s="75"/>
      <c r="AO91" s="75"/>
      <c r="AP91" s="118"/>
    </row>
    <row r="92" customFormat="false" ht="12.75" hidden="false" customHeight="true" outlineLevel="0" collapsed="false">
      <c r="A92" s="69" t="s">
        <v>289</v>
      </c>
      <c r="B92" s="81" t="n">
        <f aca="false">+B66/B89</f>
        <v>0.129782878233039</v>
      </c>
      <c r="C92" s="81" t="n">
        <f aca="false">+C66/C89</f>
        <v>0.218403035975282</v>
      </c>
      <c r="D92" s="81" t="n">
        <f aca="false">+D66/D89</f>
        <v>0.230744814132802</v>
      </c>
      <c r="E92" s="81" t="n">
        <f aca="false">+E66/E89</f>
        <v>0.352496027041345</v>
      </c>
      <c r="F92" s="81" t="n">
        <f aca="false">+F66/F89</f>
        <v>0.400518376510354</v>
      </c>
      <c r="G92" s="81" t="n">
        <f aca="false">+G66/G89</f>
        <v>0.187034191828738</v>
      </c>
      <c r="H92" s="81" t="n">
        <f aca="false">+H66/H89</f>
        <v>0.203711537618242</v>
      </c>
      <c r="I92" s="81" t="n">
        <f aca="false">+I66/I89</f>
        <v>0.338290072227968</v>
      </c>
      <c r="J92" s="81" t="n">
        <f aca="false">+J66/J89</f>
        <v>0.389936432661504</v>
      </c>
      <c r="K92" s="81" t="n">
        <f aca="false">+K66/K89</f>
        <v>0.402874824475107</v>
      </c>
      <c r="L92" s="81" t="n">
        <f aca="false">+L66/L89</f>
        <v>0.491726155941781</v>
      </c>
      <c r="M92" s="81" t="n">
        <f aca="false">+M66/M89</f>
        <v>0.629688721842444</v>
      </c>
      <c r="N92" s="81" t="n">
        <f aca="false">+N66/N89</f>
        <v>0.686688642413989</v>
      </c>
      <c r="O92" s="90" t="n">
        <f aca="false">+O66/O89</f>
        <v>0.891137392681649</v>
      </c>
      <c r="P92" s="90" t="n">
        <f aca="false">+P66/P89</f>
        <v>1.14236292083059</v>
      </c>
      <c r="Q92" s="90" t="n">
        <f aca="false">+Q66/Q89</f>
        <v>1.23917194100756</v>
      </c>
      <c r="R92" s="81" t="n">
        <f aca="false">+R66/R89</f>
        <v>0.803175424063889</v>
      </c>
      <c r="S92" s="81" t="n">
        <f aca="false">+S66/S89</f>
        <v>1.18588697492826</v>
      </c>
      <c r="T92" s="81" t="n">
        <f aca="false">+T66/T89</f>
        <v>1.78286917950422</v>
      </c>
      <c r="U92" s="81" t="n">
        <f aca="false">+U66/U89</f>
        <v>1.72360449208473</v>
      </c>
      <c r="V92" s="81" t="n">
        <f aca="false">+V66/V89</f>
        <v>0.986466053790761</v>
      </c>
      <c r="W92" s="81" t="n">
        <f aca="false">+W66/W89</f>
        <v>-0.186497060901729</v>
      </c>
      <c r="X92" s="81" t="n">
        <f aca="false">+X66/X89</f>
        <v>1.14236510323696</v>
      </c>
      <c r="Y92" s="81" t="n">
        <f aca="false">+Y66/Y89</f>
        <v>2.59279862117807</v>
      </c>
      <c r="Z92" s="81" t="n">
        <f aca="false">+Z66/Z89</f>
        <v>3.09382936668478</v>
      </c>
      <c r="AA92" s="81" t="n">
        <f aca="false">+AA66/AA89</f>
        <v>3.63733367542297</v>
      </c>
      <c r="AB92" s="81" t="n">
        <f aca="false">+AB66/AB89</f>
        <v>4.51405552716742</v>
      </c>
      <c r="AC92" s="81" t="n">
        <f aca="false">+AC66/AC89</f>
        <v>1.74788792369273</v>
      </c>
      <c r="AD92" s="81" t="n">
        <f aca="false">+AD66/AD89</f>
        <v>0.754671265542496</v>
      </c>
      <c r="AE92" s="81" t="n">
        <f aca="false">+AE66/AE89</f>
        <v>1.55249105774144</v>
      </c>
      <c r="AF92" s="81" t="n">
        <f aca="false">+AF66/AF89</f>
        <v>3.48866268178877</v>
      </c>
      <c r="AG92" s="81" t="n">
        <f aca="false">+AG66/AG89</f>
        <v>5.79976501038723</v>
      </c>
      <c r="AH92" s="81" t="n">
        <f aca="false">+AH66/AH89</f>
        <v>6.71689511323004</v>
      </c>
      <c r="AI92" s="81" t="n">
        <f aca="false">+AI66/AI89</f>
        <v>7.88096494662833</v>
      </c>
      <c r="AJ92" s="81" t="n">
        <f aca="false">+AJ66/AJ89</f>
        <v>7.94076901399652</v>
      </c>
      <c r="AK92" s="81" t="n">
        <f aca="false">+AK66/AK89</f>
        <v>8.84549021661345</v>
      </c>
      <c r="AL92" s="81" t="n">
        <f aca="false">+AL66/AL89</f>
        <v>9.52846489864295</v>
      </c>
      <c r="AM92" s="75"/>
      <c r="AN92" s="157"/>
      <c r="AO92" s="75"/>
      <c r="AP92" s="118"/>
    </row>
    <row r="93" customFormat="false" ht="12.75" hidden="false" customHeight="true" outlineLevel="0" collapsed="false">
      <c r="A93" s="69" t="s">
        <v>290</v>
      </c>
      <c r="B93" s="81" t="n">
        <f aca="false">(B789-B777)/B89</f>
        <v>1.3622012052709</v>
      </c>
      <c r="C93" s="81" t="n">
        <f aca="false">(C789-C777)/C89</f>
        <v>1.40092694684479</v>
      </c>
      <c r="D93" s="81" t="n">
        <f aca="false">(D789-D777)/D89</f>
        <v>1.97992499726728</v>
      </c>
      <c r="E93" s="81" t="n">
        <f aca="false">(E789-E777)/E89</f>
        <v>2.11829326741165</v>
      </c>
      <c r="F93" s="81" t="n">
        <f aca="false">(F789-F777)/F89</f>
        <v>2.243418342036</v>
      </c>
      <c r="G93" s="81" t="n">
        <f aca="false">(G789-G777)/G89</f>
        <v>2.25461619958126</v>
      </c>
      <c r="H93" s="81" t="n">
        <f aca="false">(H789-H777)/H89</f>
        <v>2.27037770434461</v>
      </c>
      <c r="I93" s="81" t="n">
        <f aca="false">(I789-I777)/I89</f>
        <v>2.33823751986479</v>
      </c>
      <c r="J93" s="81" t="n">
        <f aca="false">(J789-J777)/J89</f>
        <v>2.42075944471071</v>
      </c>
      <c r="K93" s="81" t="n">
        <f aca="false">(K789-K777)/K89</f>
        <v>2.12402357709221</v>
      </c>
      <c r="L93" s="81" t="n">
        <f aca="false">(L789-L777)/L89</f>
        <v>1.96253436924552</v>
      </c>
      <c r="M93" s="81" t="n">
        <f aca="false">(M789-M777)/M89</f>
        <v>2.15793456600156</v>
      </c>
      <c r="N93" s="81" t="n">
        <f aca="false">(N789-N777)/N89</f>
        <v>2.27724099918183</v>
      </c>
      <c r="O93" s="81" t="n">
        <f aca="false">(O789-O777)/O89</f>
        <v>2.84159988212084</v>
      </c>
      <c r="P93" s="81" t="n">
        <f aca="false">(P789-P777)/P89</f>
        <v>3.53435949149086</v>
      </c>
      <c r="Q93" s="81" t="n">
        <f aca="false">(Q789-Q777)/Q89</f>
        <v>3.99635619465701</v>
      </c>
      <c r="R93" s="81" t="n">
        <f aca="false">(R789-R777)/R89</f>
        <v>3.96333160946584</v>
      </c>
      <c r="S93" s="81" t="n">
        <f aca="false">(S789-S777)/S89</f>
        <v>4.38906705944787</v>
      </c>
      <c r="T93" s="81" t="n">
        <f aca="false">(T789-T777)/T89</f>
        <v>4.99248708226907</v>
      </c>
      <c r="U93" s="81" t="n">
        <f aca="false">(U789-U777)/U89</f>
        <v>5.43999372340905</v>
      </c>
      <c r="V93" s="81" t="n">
        <f aca="false">(V789-V777)/V89</f>
        <v>5.93723578183021</v>
      </c>
      <c r="W93" s="81" t="n">
        <f aca="false">(W789-W777)/W89</f>
        <v>6.16362452455763</v>
      </c>
      <c r="X93" s="81" t="n">
        <f aca="false">(X789-X777)/X89</f>
        <v>7.2229561682151</v>
      </c>
      <c r="Y93" s="81" t="n">
        <f aca="false">(Y789-Y777)/Y89</f>
        <v>9.49995607685496</v>
      </c>
      <c r="Z93" s="81" t="n">
        <f aca="false">(Z789-Z777)/Z89</f>
        <v>10.7630462282317</v>
      </c>
      <c r="AA93" s="81" t="n">
        <f aca="false">(AA789-AA777)/AA89</f>
        <v>12.2386968639353</v>
      </c>
      <c r="AB93" s="81" t="n">
        <f aca="false">(AB789-AB777)/AB89</f>
        <v>14.1925225685573</v>
      </c>
      <c r="AC93" s="81" t="n">
        <f aca="false">(AC789-AC777)/AC89</f>
        <v>12.3726622381196</v>
      </c>
      <c r="AD93" s="81" t="n">
        <f aca="false">(AD789-AD777)/AD89</f>
        <v>11.8841764605689</v>
      </c>
      <c r="AE93" s="81" t="n">
        <f aca="false">(AE789-AE777)/AE89</f>
        <v>12.4968489184125</v>
      </c>
      <c r="AF93" s="81" t="n">
        <f aca="false">(AF789-AF777)/AF89</f>
        <v>14.3486257280065</v>
      </c>
      <c r="AG93" s="81" t="n">
        <f aca="false">(AG789-AG777)/AG89</f>
        <v>15.0025031502231</v>
      </c>
      <c r="AH93" s="81" t="n">
        <f aca="false">(AH789-AH777)/AH89</f>
        <v>19.6131278733186</v>
      </c>
      <c r="AI93" s="81" t="n">
        <f aca="false">(AI789-AI777)/AI89</f>
        <v>22.3248948739338</v>
      </c>
      <c r="AJ93" s="81" t="n">
        <f aca="false">(AJ789-AJ777)/AJ89</f>
        <v>26.4545340763912</v>
      </c>
      <c r="AK93" s="81" t="n">
        <f aca="false">(AK789-AK777)/AK89</f>
        <v>30.5658844105318</v>
      </c>
      <c r="AL93" s="81" t="n">
        <f aca="false">(AL789-AL777)/AL89</f>
        <v>34.8950363158172</v>
      </c>
      <c r="AM93" s="75"/>
      <c r="AN93" s="75"/>
      <c r="AO93" s="75"/>
      <c r="AP93" s="75"/>
      <c r="AQ93" s="162"/>
      <c r="AS93" s="41"/>
    </row>
    <row r="94" customFormat="false" ht="12" hidden="false" customHeight="true" outlineLevel="0" collapsed="false">
      <c r="B94" s="75"/>
      <c r="C94" s="75"/>
      <c r="D94" s="75"/>
      <c r="E94" s="75"/>
      <c r="F94" s="75"/>
      <c r="G94" s="75"/>
      <c r="T94" s="83"/>
      <c r="U94" s="32"/>
      <c r="V94" s="32"/>
      <c r="W94" s="32"/>
      <c r="X94" s="32"/>
      <c r="Y94" s="32"/>
      <c r="Z94" s="32"/>
      <c r="AA94" s="163"/>
      <c r="AB94" s="32"/>
      <c r="AC94" s="32"/>
      <c r="AD94" s="32"/>
      <c r="AE94" s="32"/>
      <c r="AF94" s="163"/>
      <c r="AG94" s="163"/>
      <c r="AH94" s="32"/>
      <c r="AI94" s="32"/>
      <c r="AJ94" s="32"/>
      <c r="AK94" s="32"/>
      <c r="AL94" s="32"/>
      <c r="AM94" s="32"/>
      <c r="AN94" s="32"/>
      <c r="AO94" s="32"/>
      <c r="AQ94" s="115"/>
      <c r="AS94" s="41"/>
    </row>
    <row r="95" customFormat="false" ht="12.75" hidden="false" customHeight="true" outlineLevel="0" collapsed="false">
      <c r="A95" s="69" t="s">
        <v>291</v>
      </c>
      <c r="B95" s="164" t="n">
        <v>127</v>
      </c>
      <c r="C95" s="165" t="n">
        <f aca="false">B95</f>
        <v>127</v>
      </c>
      <c r="D95" s="165" t="n">
        <f aca="false">C95</f>
        <v>127</v>
      </c>
      <c r="E95" s="165" t="n">
        <f aca="false">D95</f>
        <v>127</v>
      </c>
      <c r="F95" s="165" t="n">
        <f aca="false">E95</f>
        <v>127</v>
      </c>
      <c r="G95" s="165" t="n">
        <f aca="false">F95</f>
        <v>127</v>
      </c>
      <c r="H95" s="165" t="n">
        <f aca="false">G95</f>
        <v>127</v>
      </c>
      <c r="I95" s="165" t="n">
        <f aca="false">H95</f>
        <v>127</v>
      </c>
      <c r="J95" s="165" t="n">
        <f aca="false">I95</f>
        <v>127</v>
      </c>
      <c r="K95" s="165" t="n">
        <f aca="false">J95</f>
        <v>127</v>
      </c>
      <c r="L95" s="165" t="n">
        <f aca="false">K95</f>
        <v>127</v>
      </c>
      <c r="M95" s="165" t="n">
        <f aca="false">L95</f>
        <v>127</v>
      </c>
      <c r="N95" s="165" t="n">
        <f aca="false">M95</f>
        <v>127</v>
      </c>
      <c r="O95" s="165" t="n">
        <f aca="false">N95</f>
        <v>127</v>
      </c>
      <c r="P95" s="165" t="n">
        <f aca="false">O95</f>
        <v>127</v>
      </c>
      <c r="Q95" s="165" t="n">
        <f aca="false">P95</f>
        <v>127</v>
      </c>
      <c r="R95" s="165" t="n">
        <f aca="false">Q95</f>
        <v>127</v>
      </c>
      <c r="S95" s="165" t="n">
        <f aca="false">R95</f>
        <v>127</v>
      </c>
      <c r="T95" s="165" t="n">
        <f aca="false">S95</f>
        <v>127</v>
      </c>
      <c r="U95" s="165" t="n">
        <f aca="false">T95</f>
        <v>127</v>
      </c>
      <c r="V95" s="165" t="n">
        <f aca="false">U95</f>
        <v>127</v>
      </c>
      <c r="W95" s="165" t="n">
        <f aca="false">V95</f>
        <v>127</v>
      </c>
      <c r="X95" s="165" t="n">
        <f aca="false">W95</f>
        <v>127</v>
      </c>
      <c r="Y95" s="165" t="n">
        <f aca="false">X95</f>
        <v>127</v>
      </c>
      <c r="Z95" s="165" t="n">
        <f aca="false">Y95</f>
        <v>127</v>
      </c>
      <c r="AA95" s="165" t="n">
        <f aca="false">Z95</f>
        <v>127</v>
      </c>
      <c r="AB95" s="165" t="n">
        <f aca="false">AA95</f>
        <v>127</v>
      </c>
      <c r="AC95" s="165" t="n">
        <f aca="false">AB95</f>
        <v>127</v>
      </c>
      <c r="AD95" s="165" t="n">
        <f aca="false">AC95</f>
        <v>127</v>
      </c>
      <c r="AE95" s="165" t="n">
        <f aca="false">AD95</f>
        <v>127</v>
      </c>
      <c r="AF95" s="165" t="n">
        <f aca="false">AE95</f>
        <v>127</v>
      </c>
      <c r="AG95" s="165" t="n">
        <f aca="false">AF95</f>
        <v>127</v>
      </c>
      <c r="AH95" s="165" t="n">
        <f aca="false">AG95</f>
        <v>127</v>
      </c>
      <c r="AI95" s="165" t="n">
        <f aca="false">AH95</f>
        <v>127</v>
      </c>
      <c r="AJ95" s="165" t="n">
        <f aca="false">AI95</f>
        <v>127</v>
      </c>
      <c r="AK95" s="165" t="n">
        <f aca="false">AJ95</f>
        <v>127</v>
      </c>
      <c r="AL95" s="165" t="n">
        <f aca="false">AK95</f>
        <v>127</v>
      </c>
      <c r="AM95" s="75"/>
      <c r="AN95" s="75"/>
      <c r="AO95" s="75"/>
      <c r="AP95" s="61"/>
      <c r="AQ95" s="115"/>
      <c r="AS95" s="41"/>
    </row>
    <row r="96" customFormat="false" ht="12" hidden="false" customHeight="true" outlineLevel="0" collapsed="false">
      <c r="B96" s="75"/>
      <c r="C96" s="75"/>
      <c r="D96" s="75"/>
      <c r="E96" s="75"/>
      <c r="F96" s="75"/>
      <c r="G96" s="75"/>
      <c r="AS96" s="41"/>
    </row>
    <row r="97" customFormat="false" ht="12.75" hidden="false" customHeight="true" outlineLevel="0" collapsed="false">
      <c r="A97" s="59" t="s">
        <v>292</v>
      </c>
      <c r="B97" s="75"/>
      <c r="C97" s="75"/>
      <c r="D97" s="75"/>
      <c r="E97" s="75"/>
      <c r="F97" s="75"/>
      <c r="G97" s="75"/>
      <c r="AS97" s="41"/>
    </row>
    <row r="98" customFormat="false" ht="12.75" hidden="false" customHeight="true" outlineLevel="0" collapsed="false">
      <c r="B98" s="75"/>
      <c r="C98" s="75"/>
      <c r="D98" s="75"/>
      <c r="E98" s="75"/>
      <c r="F98" s="75"/>
      <c r="G98" s="75"/>
      <c r="AP98" s="19"/>
      <c r="AS98" s="41"/>
    </row>
    <row r="99" customFormat="false" ht="12" hidden="false" customHeight="true" outlineLevel="0" collapsed="false">
      <c r="A99" s="69" t="s">
        <v>293</v>
      </c>
      <c r="B99" s="81" t="n">
        <f aca="false">+B95/B91</f>
        <v>7962.91435028221</v>
      </c>
      <c r="C99" s="81" t="n">
        <f aca="false">+C95/C91</f>
        <v>1121.51101047268</v>
      </c>
      <c r="D99" s="81" t="n">
        <f aca="false">+D95/D91</f>
        <v>855.870973225671</v>
      </c>
      <c r="E99" s="81" t="n">
        <f aca="false">+E95/E91</f>
        <v>534.261843071017</v>
      </c>
      <c r="F99" s="81" t="n">
        <f aca="false">+F95/F91</f>
        <v>483.578917036861</v>
      </c>
      <c r="G99" s="81" t="n">
        <f aca="false">+G95/G91</f>
        <v>3280.23754124026</v>
      </c>
      <c r="H99" s="81" t="n">
        <f aca="false">+H95/H91</f>
        <v>2915.99038985127</v>
      </c>
      <c r="I99" s="81" t="n">
        <f aca="false">+I95/I91</f>
        <v>769.757182718158</v>
      </c>
      <c r="J99" s="81" t="n">
        <f aca="false">+J95/J91</f>
        <v>621.889386406449</v>
      </c>
      <c r="K99" s="81" t="n">
        <f aca="false">+K95/K91</f>
        <v>627.378602062327</v>
      </c>
      <c r="L99" s="81" t="n">
        <f aca="false">+L95/L91</f>
        <v>461.355845226912</v>
      </c>
      <c r="M99" s="81" t="n">
        <f aca="false">+M95/M91</f>
        <v>297.470356821058</v>
      </c>
      <c r="N99" s="81" t="n">
        <f aca="false">+N95/N91</f>
        <v>270.702278259765</v>
      </c>
      <c r="O99" s="81" t="n">
        <f aca="false">+O95/O91</f>
        <v>200.548125950155</v>
      </c>
      <c r="P99" s="81" t="n">
        <f aca="false">+P95/P91</f>
        <v>148.015450235715</v>
      </c>
      <c r="Q99" s="81" t="n">
        <f aca="false">+Q95/Q91</f>
        <v>140.196437276863</v>
      </c>
      <c r="R99" s="81" t="n">
        <f aca="false">+R95/R91</f>
        <v>271.427490009437</v>
      </c>
      <c r="S99" s="81" t="n">
        <f aca="false">+S95/S91</f>
        <v>158.290139600726</v>
      </c>
      <c r="T99" s="81" t="n">
        <f aca="false">+T95/T91</f>
        <v>99.1948378634763</v>
      </c>
      <c r="U99" s="81" t="n">
        <f aca="false">+U95/U91</f>
        <v>119.744526194109</v>
      </c>
      <c r="V99" s="81" t="n">
        <f aca="false">+V95/V91</f>
        <v>468.824077041648</v>
      </c>
      <c r="W99" s="81" t="n">
        <f aca="false">+W95/W91</f>
        <v>-141.89465055898</v>
      </c>
      <c r="X99" s="81" t="n">
        <f aca="false">+X95/X91</f>
        <v>309.083341564397</v>
      </c>
      <c r="Y99" s="81" t="n">
        <f aca="false">+Y95/Y91</f>
        <v>73.1738028491515</v>
      </c>
      <c r="Z99" s="81" t="n">
        <f aca="false">+Z95/Z91</f>
        <v>58.1520946252331</v>
      </c>
      <c r="AA99" s="81" t="n">
        <f aca="false">+AA95/AA91</f>
        <v>47.2124896405133</v>
      </c>
      <c r="AB99" s="81" t="n">
        <f aca="false">+AB95/AB91</f>
        <v>36.7445268855783</v>
      </c>
      <c r="AC99" s="81" t="n">
        <f aca="false">+AC95/AC91</f>
        <v>209.216717875332</v>
      </c>
      <c r="AD99" s="81" t="n">
        <f aca="false">+AD95/AD91</f>
        <v>-244.751470986484</v>
      </c>
      <c r="AE99" s="81" t="n">
        <f aca="false">+AE95/AE91</f>
        <v>469.805774774346</v>
      </c>
      <c r="AF99" s="81" t="n">
        <f aca="false">+AF95/AF91</f>
        <v>56.6413233560108</v>
      </c>
      <c r="AG99" s="81" t="n">
        <f aca="false">+AG95/AG91</f>
        <v>27.744635735968</v>
      </c>
      <c r="AH99" s="81" t="n">
        <f aca="false">+AH95/AH91</f>
        <v>23.1242515677838</v>
      </c>
      <c r="AI99" s="81" t="n">
        <f aca="false">+AI95/AI91</f>
        <v>19.0593611155822</v>
      </c>
      <c r="AJ99" s="81" t="n">
        <f aca="false">+AJ95/AJ91</f>
        <v>19.0828915618897</v>
      </c>
      <c r="AK99" s="81" t="n">
        <f aca="false">+AK95/AK91</f>
        <v>17.0139226596748</v>
      </c>
      <c r="AL99" s="81" t="n">
        <f aca="false">+AL95/AL91</f>
        <v>15.7043601691154</v>
      </c>
      <c r="AM99" s="75"/>
      <c r="AN99" s="75"/>
      <c r="AO99" s="75"/>
      <c r="AP99" s="75"/>
      <c r="AQ99" s="32"/>
      <c r="AS99" s="41"/>
    </row>
    <row r="100" customFormat="false" ht="12" hidden="false" customHeight="true" outlineLevel="0" collapsed="false">
      <c r="A100" s="69" t="s">
        <v>294</v>
      </c>
      <c r="B100" s="75"/>
      <c r="C100" s="81" t="n">
        <f aca="false">+C91/B91*100-100</f>
        <v>610.016600454604</v>
      </c>
      <c r="D100" s="81" t="n">
        <f aca="false">+D91/C91*100-100</f>
        <v>31.0373929665877</v>
      </c>
      <c r="E100" s="81" t="n">
        <f aca="false">+E91/D91*100-100</f>
        <v>60.1969117438739</v>
      </c>
      <c r="F100" s="81" t="n">
        <f aca="false">+F91/E91*100-100</f>
        <v>10.480797290485</v>
      </c>
      <c r="G100" s="81" t="n">
        <f aca="false">+G91/F91*100-100</f>
        <v>-85.2578079801495</v>
      </c>
      <c r="H100" s="81" t="n">
        <f aca="false">+H91/G91*100-100</f>
        <v>12.4913700901314</v>
      </c>
      <c r="I100" s="81" t="n">
        <f aca="false">+I91/H91*100-100</f>
        <v>278.819510271325</v>
      </c>
      <c r="J100" s="81" t="n">
        <f aca="false">+J91/I91*100-100</f>
        <v>23.7771860308075</v>
      </c>
      <c r="K100" s="81" t="n">
        <f aca="false">+K91/J91*100-100</f>
        <v>-0.874944672616124</v>
      </c>
      <c r="L100" s="81" t="n">
        <f aca="false">+L91/K91*100-100</f>
        <v>35.9858357823035</v>
      </c>
      <c r="M100" s="81" t="n">
        <f aca="false">+M91/L91*100-100</f>
        <v>55.0930486510423</v>
      </c>
      <c r="N100" s="81" t="n">
        <f aca="false">+N91/M91*100-100</f>
        <v>9.88838318368568</v>
      </c>
      <c r="O100" s="81" t="n">
        <f aca="false">+O91/N91*100-100</f>
        <v>34.9812056219597</v>
      </c>
      <c r="P100" s="81" t="n">
        <f aca="false">+P91/O91*100-100</f>
        <v>35.4913460931144</v>
      </c>
      <c r="Q100" s="81" t="n">
        <f aca="false">+Q91/P91*100-100</f>
        <v>5.57718377922201</v>
      </c>
      <c r="R100" s="81" t="n">
        <f aca="false">+R91/Q91*100-100</f>
        <v>-48.3484752145081</v>
      </c>
      <c r="S100" s="81" t="n">
        <f aca="false">+S91/R91*100-100</f>
        <v>71.4746671486238</v>
      </c>
      <c r="T100" s="81" t="n">
        <f aca="false">+T91/S91*100-100</f>
        <v>59.5749768940435</v>
      </c>
      <c r="U100" s="81" t="n">
        <f aca="false">+U91/T91*100-100</f>
        <v>-17.1612757457668</v>
      </c>
      <c r="V100" s="81" t="n">
        <f aca="false">+V91/U91*100-100</f>
        <v>-74.4585374220292</v>
      </c>
      <c r="W100" s="81" t="n">
        <f aca="false">+W91/V91*100-100</f>
        <v>-430.40292582896</v>
      </c>
      <c r="X100" s="81" t="n">
        <f aca="false">+X91/W91*100-100</f>
        <v>-145.908216806766</v>
      </c>
      <c r="Y100" s="81" t="n">
        <f aca="false">+Y91/X91*100-100</f>
        <v>322.39617121113</v>
      </c>
      <c r="Z100" s="81" t="n">
        <f aca="false">+Z91/Y91*100-100</f>
        <v>25.8317577736919</v>
      </c>
      <c r="AA100" s="81" t="n">
        <f aca="false">+AA91/Z91*100-100</f>
        <v>23.1709979033441</v>
      </c>
      <c r="AB100" s="81" t="n">
        <f aca="false">+AB91/AA91*100-100</f>
        <v>28.4884951370636</v>
      </c>
      <c r="AC100" s="81" t="n">
        <f aca="false">+AC91/AB91*100-100</f>
        <v>-82.4370981159002</v>
      </c>
      <c r="AD100" s="81" t="n">
        <f aca="false">+AD91/AC91*100-100</f>
        <v>-185.481291300139</v>
      </c>
      <c r="AE100" s="81" t="n">
        <f aca="false">+AE91/AD91*100-100</f>
        <v>-152.096309608804</v>
      </c>
      <c r="AF100" s="81" t="n">
        <f aca="false">+AF91/AE91*100-100</f>
        <v>729.439968804136</v>
      </c>
      <c r="AG100" s="81" t="n">
        <f aca="false">+AG91/AF91*100-100</f>
        <v>104.15234099679</v>
      </c>
      <c r="AH100" s="81" t="n">
        <f aca="false">+AH91/AG91*100-100</f>
        <v>19.9806863138492</v>
      </c>
      <c r="AI100" s="81" t="n">
        <f aca="false">+AI91/AH91*100-100</f>
        <v>21.3275273370962</v>
      </c>
      <c r="AJ100" s="81" t="n">
        <f aca="false">+AJ91/AI91*100-100</f>
        <v>-0.123306503269021</v>
      </c>
      <c r="AK100" s="81" t="n">
        <f aca="false">+AK91/AJ91*100-100</f>
        <v>12.1604461451955</v>
      </c>
      <c r="AL100" s="81" t="n">
        <f aca="false">+AL91/AK91*100-100</f>
        <v>8.33884651432501</v>
      </c>
      <c r="AM100" s="75"/>
      <c r="AN100" s="75"/>
      <c r="AO100" s="75"/>
      <c r="AQ100" s="32"/>
      <c r="AS100" s="41"/>
    </row>
    <row r="101" customFormat="false" ht="12" hidden="false" customHeight="true" outlineLevel="0" collapsed="false">
      <c r="A101" s="69" t="s">
        <v>295</v>
      </c>
      <c r="B101" s="81" t="n">
        <f aca="false">+B100/B99</f>
        <v>0</v>
      </c>
      <c r="C101" s="81" t="n">
        <f aca="false">+C100/C99</f>
        <v>0.543923862323475</v>
      </c>
      <c r="D101" s="81" t="n">
        <f aca="false">+D100/D99</f>
        <v>0.0362641028116793</v>
      </c>
      <c r="E101" s="81" t="n">
        <f aca="false">+E100/E99</f>
        <v>0.112673050723318</v>
      </c>
      <c r="F101" s="90" t="n">
        <f aca="false">+F100/F99</f>
        <v>0.0216733958434463</v>
      </c>
      <c r="G101" s="81" t="n">
        <f aca="false">+G100/G99</f>
        <v>-0.0259913518177447</v>
      </c>
      <c r="H101" s="81" t="n">
        <f aca="false">+H100/H99</f>
        <v>0.0042837487165959</v>
      </c>
      <c r="I101" s="81" t="n">
        <f aca="false">+I100/I99</f>
        <v>0.362217484332865</v>
      </c>
      <c r="J101" s="81" t="n">
        <f aca="false">+J100/J99</f>
        <v>0.0382337865069584</v>
      </c>
      <c r="K101" s="81" t="n">
        <f aca="false">+K100/K99</f>
        <v>-0.00139460394367929</v>
      </c>
      <c r="L101" s="81" t="n">
        <f aca="false">+L100/L99</f>
        <v>0.0780001730867946</v>
      </c>
      <c r="M101" s="81" t="n">
        <f aca="false">+M100/M99</f>
        <v>0.185205172171772</v>
      </c>
      <c r="N101" s="81" t="n">
        <f aca="false">+N100/N99</f>
        <v>0.0365286293386745</v>
      </c>
      <c r="O101" s="81" t="n">
        <f aca="false">+O100/O99</f>
        <v>0.174427985583142</v>
      </c>
      <c r="P101" s="81" t="n">
        <f aca="false">+P100/P99</f>
        <v>0.239781360909245</v>
      </c>
      <c r="Q101" s="81" t="n">
        <f aca="false">+Q100/Q99</f>
        <v>0.0397812090489009</v>
      </c>
      <c r="R101" s="81" t="n">
        <f aca="false">+R100/R99</f>
        <v>-0.178126671004573</v>
      </c>
      <c r="S101" s="81" t="n">
        <f aca="false">+S100/S99</f>
        <v>0.451542132244704</v>
      </c>
      <c r="T101" s="81" t="n">
        <f aca="false">+T100/T99</f>
        <v>0.600585455626609</v>
      </c>
      <c r="U101" s="81" t="n">
        <f aca="false">+U100/U99</f>
        <v>-0.143315743034031</v>
      </c>
      <c r="V101" s="81" t="n">
        <f aca="false">+V100/V99</f>
        <v>-0.158819781381268</v>
      </c>
      <c r="W101" s="81" t="n">
        <f aca="false">+W100/W99</f>
        <v>3.03325688553748</v>
      </c>
      <c r="X101" s="81" t="n">
        <f aca="false">+X100/X99</f>
        <v>-0.472067553263353</v>
      </c>
      <c r="Y101" s="81" t="n">
        <f aca="false">+Y100/Y99</f>
        <v>4.40589608108455</v>
      </c>
      <c r="Z101" s="81" t="n">
        <f aca="false">+Z100/Z99</f>
        <v>0.444210272048964</v>
      </c>
      <c r="AA101" s="81" t="n">
        <f aca="false">+AA100/AA99</f>
        <v>0.490781106435466</v>
      </c>
      <c r="AB101" s="81" t="n">
        <f aca="false">+AB100/AB99</f>
        <v>0.775312612563395</v>
      </c>
      <c r="AC101" s="81" t="n">
        <f aca="false">+AC100/AC99</f>
        <v>-0.394027298358743</v>
      </c>
      <c r="AD101" s="81" t="n">
        <f aca="false">+AD100/AD99</f>
        <v>0.757835246311481</v>
      </c>
      <c r="AE101" s="81" t="n">
        <f aca="false">+AE100/AE99</f>
        <v>-0.323742954589815</v>
      </c>
      <c r="AF101" s="81" t="n">
        <f aca="false">+AF100/AF99</f>
        <v>12.8782296313832</v>
      </c>
      <c r="AG101" s="81" t="n">
        <f aca="false">+AG100/AG99</f>
        <v>3.7539631800524</v>
      </c>
      <c r="AH101" s="81" t="n">
        <f aca="false">+AH100/AH99</f>
        <v>0.864057643348157</v>
      </c>
      <c r="AI101" s="81" t="n">
        <f aca="false">+AI100/AI99</f>
        <v>1.11900536475274</v>
      </c>
      <c r="AJ101" s="81" t="n">
        <f aca="false">+AJ100/AJ99</f>
        <v>-0.00646162573785594</v>
      </c>
      <c r="AK101" s="81" t="n">
        <f aca="false">+AK100/AK99</f>
        <v>0.714735007819055</v>
      </c>
      <c r="AL101" s="81" t="n">
        <f aca="false">+AL100/AL99</f>
        <v>0.530989255501436</v>
      </c>
      <c r="AM101" s="75"/>
      <c r="AN101" s="75"/>
      <c r="AO101" s="75"/>
      <c r="AP101" s="61"/>
      <c r="AQ101" s="32"/>
      <c r="AS101" s="41"/>
    </row>
    <row r="102" customFormat="false" ht="12" hidden="false" customHeight="true" outlineLevel="0" collapsed="false">
      <c r="B102" s="75"/>
      <c r="C102" s="75"/>
      <c r="D102" s="75"/>
      <c r="E102" s="75"/>
      <c r="F102" s="40"/>
      <c r="G102" s="75"/>
      <c r="H102" s="75"/>
      <c r="AS102" s="41"/>
    </row>
    <row r="103" customFormat="false" ht="12.75" hidden="false" customHeight="true" outlineLevel="0" collapsed="false">
      <c r="A103" s="69" t="s">
        <v>296</v>
      </c>
      <c r="B103" s="81" t="n">
        <f aca="false">100/B99</f>
        <v>0.0125582162008883</v>
      </c>
      <c r="C103" s="81" t="n">
        <f aca="false">100/C99</f>
        <v>0.0891654197472865</v>
      </c>
      <c r="D103" s="81" t="n">
        <f aca="false">100/D99</f>
        <v>0.116840041464559</v>
      </c>
      <c r="E103" s="81" t="n">
        <f aca="false">100/E99</f>
        <v>0.187174138106486</v>
      </c>
      <c r="F103" s="81" t="n">
        <f aca="false">100/F99</f>
        <v>0.206791480101639</v>
      </c>
      <c r="G103" s="81" t="n">
        <f aca="false">100/G99</f>
        <v>0.0304855970772745</v>
      </c>
      <c r="H103" s="81" t="n">
        <f aca="false">100/H99</f>
        <v>0.0342936658323831</v>
      </c>
      <c r="I103" s="81" t="n">
        <f aca="false">100/I99</f>
        <v>0.129911096960318</v>
      </c>
      <c r="J103" s="81" t="n">
        <f aca="false">100/J99</f>
        <v>0.160800300159236</v>
      </c>
      <c r="K103" s="81" t="n">
        <f aca="false">100/K99</f>
        <v>0.159393386499442</v>
      </c>
      <c r="L103" s="81" t="n">
        <f aca="false">100/L99</f>
        <v>0.216752428812983</v>
      </c>
      <c r="M103" s="81" t="n">
        <f aca="false">100/M99</f>
        <v>0.336167949871236</v>
      </c>
      <c r="N103" s="81" t="n">
        <f aca="false">100/N99</f>
        <v>0.369409524895244</v>
      </c>
      <c r="O103" s="81" t="n">
        <f aca="false">100/O99</f>
        <v>0.498633430385954</v>
      </c>
      <c r="P103" s="81" t="n">
        <f aca="false">100/P99</f>
        <v>0.675605146900202</v>
      </c>
      <c r="Q103" s="81" t="n">
        <f aca="false">100/Q99</f>
        <v>0.713284887564709</v>
      </c>
      <c r="R103" s="81" t="n">
        <f aca="false">100/R99</f>
        <v>0.368422520491654</v>
      </c>
      <c r="S103" s="81" t="n">
        <f aca="false">100/S99</f>
        <v>0.631751290713633</v>
      </c>
      <c r="T103" s="81" t="n">
        <f aca="false">100/T99</f>
        <v>1.0081169761841</v>
      </c>
      <c r="U103" s="81" t="n">
        <f aca="false">100/U99</f>
        <v>0.835111242061262</v>
      </c>
      <c r="V103" s="81" t="n">
        <f aca="false">100/V99</f>
        <v>0.213299625375504</v>
      </c>
      <c r="W103" s="81" t="n">
        <f aca="false">100/W99</f>
        <v>-0.704748203022876</v>
      </c>
      <c r="X103" s="81" t="n">
        <f aca="false">100/X99</f>
        <v>0.323537332985529</v>
      </c>
      <c r="Y103" s="81" t="n">
        <f aca="false">100/Y99</f>
        <v>1.36660930696948</v>
      </c>
      <c r="Z103" s="81" t="n">
        <f aca="false">100/Z99</f>
        <v>1.71962851285856</v>
      </c>
      <c r="AA103" s="81" t="n">
        <f aca="false">100/AA99</f>
        <v>2.11808359951833</v>
      </c>
      <c r="AB103" s="81" t="n">
        <f aca="false">100/AB99</f>
        <v>2.72149374276605</v>
      </c>
      <c r="AC103" s="81" t="n">
        <f aca="false">100/AC99</f>
        <v>0.477973275823915</v>
      </c>
      <c r="AD103" s="81" t="n">
        <f aca="false">100/AD99</f>
        <v>-0.408577728243858</v>
      </c>
      <c r="AE103" s="81" t="n">
        <f aca="false">100/AE99</f>
        <v>0.212853918298538</v>
      </c>
      <c r="AF103" s="81" t="n">
        <f aca="false">100/AF99</f>
        <v>1.76549547353378</v>
      </c>
      <c r="AG103" s="81" t="n">
        <f aca="false">100/AG99</f>
        <v>3.60430033941157</v>
      </c>
      <c r="AH103" s="81" t="n">
        <f aca="false">100/AH99</f>
        <v>4.3244642840384</v>
      </c>
      <c r="AI103" s="81" t="n">
        <f aca="false">100/AI99</f>
        <v>5.24676558639965</v>
      </c>
      <c r="AJ103" s="81" t="n">
        <f aca="false">100/AJ99</f>
        <v>5.24029598322034</v>
      </c>
      <c r="AK103" s="81" t="n">
        <f aca="false">100/AK99</f>
        <v>5.87753935410869</v>
      </c>
      <c r="AL103" s="81" t="n">
        <f aca="false">100/AL99</f>
        <v>6.36765833966686</v>
      </c>
      <c r="AM103" s="75"/>
      <c r="AN103" s="75"/>
      <c r="AO103" s="75"/>
      <c r="AP103" s="19"/>
      <c r="AS103" s="41"/>
    </row>
    <row r="104" customFormat="false" ht="12" hidden="false" customHeight="true" outlineLevel="0" collapsed="false">
      <c r="B104" s="75"/>
      <c r="C104" s="75"/>
      <c r="D104" s="75"/>
      <c r="E104" s="75"/>
      <c r="F104" s="40"/>
      <c r="G104" s="75"/>
      <c r="H104" s="75"/>
      <c r="AP104" s="75"/>
      <c r="AQ104" s="32"/>
      <c r="AS104" s="41"/>
    </row>
    <row r="105" customFormat="false" ht="12" hidden="false" customHeight="true" outlineLevel="0" collapsed="false">
      <c r="A105" s="69" t="s">
        <v>297</v>
      </c>
      <c r="B105" s="81" t="n">
        <f aca="false">+B95/B92</f>
        <v>978.557431681844</v>
      </c>
      <c r="C105" s="81" t="n">
        <f aca="false">+C95/C92</f>
        <v>581.49374816554</v>
      </c>
      <c r="D105" s="81" t="n">
        <f aca="false">+D95/D92</f>
        <v>550.391567746814</v>
      </c>
      <c r="E105" s="81" t="n">
        <f aca="false">+E95/E92</f>
        <v>360.287748676112</v>
      </c>
      <c r="F105" s="81" t="n">
        <f aca="false">+F95/F92</f>
        <v>317.08907118452</v>
      </c>
      <c r="G105" s="81" t="n">
        <f aca="false">+G95/G92</f>
        <v>679.020230249077</v>
      </c>
      <c r="H105" s="81" t="n">
        <f aca="false">+H95/H92</f>
        <v>623.43056993659</v>
      </c>
      <c r="I105" s="81" t="n">
        <f aca="false">+I95/I92</f>
        <v>375.417461007892</v>
      </c>
      <c r="J105" s="81" t="n">
        <f aca="false">+J95/J92</f>
        <v>325.694111558553</v>
      </c>
      <c r="K105" s="81" t="n">
        <f aca="false">+K95/K92</f>
        <v>315.234391142371</v>
      </c>
      <c r="L105" s="81" t="n">
        <f aca="false">+L95/L92</f>
        <v>258.273834868032</v>
      </c>
      <c r="M105" s="81" t="n">
        <f aca="false">+M95/M92</f>
        <v>201.686953560806</v>
      </c>
      <c r="N105" s="81" t="n">
        <f aca="false">+N95/N92</f>
        <v>184.945537403303</v>
      </c>
      <c r="O105" s="81" t="n">
        <f aca="false">+O95/O92</f>
        <v>142.514500056861</v>
      </c>
      <c r="P105" s="81" t="n">
        <f aca="false">+P95/P92</f>
        <v>111.173076160123</v>
      </c>
      <c r="Q105" s="81" t="n">
        <f aca="false">+Q95/Q92</f>
        <v>102.487795113192</v>
      </c>
      <c r="R105" s="81" t="n">
        <f aca="false">+R95/R92</f>
        <v>158.122368034381</v>
      </c>
      <c r="S105" s="81" t="n">
        <f aca="false">+S95/S92</f>
        <v>107.092836572965</v>
      </c>
      <c r="T105" s="81" t="n">
        <f aca="false">+T95/T92</f>
        <v>71.2334934385462</v>
      </c>
      <c r="U105" s="81" t="n">
        <f aca="false">+U95/U92</f>
        <v>73.6827970588492</v>
      </c>
      <c r="V105" s="81" t="n">
        <f aca="false">+V95/V92</f>
        <v>128.742392616521</v>
      </c>
      <c r="W105" s="81" t="n">
        <f aca="false">+W95/W92</f>
        <v>-680.975879115438</v>
      </c>
      <c r="X105" s="81" t="n">
        <f aca="false">+X95/X92</f>
        <v>111.172863771957</v>
      </c>
      <c r="Y105" s="81" t="n">
        <f aca="false">+Y95/Y92</f>
        <v>48.9818217900379</v>
      </c>
      <c r="Z105" s="81" t="n">
        <f aca="false">+Z95/Z92</f>
        <v>41.0494519728759</v>
      </c>
      <c r="AA105" s="81" t="n">
        <f aca="false">+AA95/AA92</f>
        <v>34.9156858657548</v>
      </c>
      <c r="AB105" s="81" t="n">
        <f aca="false">+AB95/AB92</f>
        <v>28.1343459857023</v>
      </c>
      <c r="AC105" s="81" t="n">
        <f aca="false">+AC95/AC92</f>
        <v>72.6591209187427</v>
      </c>
      <c r="AD105" s="81" t="n">
        <f aca="false">+AD95/AD92</f>
        <v>168.285193565315</v>
      </c>
      <c r="AE105" s="81" t="n">
        <f aca="false">+AE95/AE92</f>
        <v>81.8040138567748</v>
      </c>
      <c r="AF105" s="81" t="n">
        <f aca="false">+AF95/AF92</f>
        <v>36.4036341670277</v>
      </c>
      <c r="AG105" s="81" t="n">
        <f aca="false">+AG95/AG92</f>
        <v>21.8974389087396</v>
      </c>
      <c r="AH105" s="81" t="n">
        <f aca="false">+AH95/AH92</f>
        <v>18.90754550415</v>
      </c>
      <c r="AI105" s="81" t="n">
        <f aca="false">+AI95/AI92</f>
        <v>16.114777931392</v>
      </c>
      <c r="AJ105" s="81" t="n">
        <f aca="false">+AJ95/AJ92</f>
        <v>15.9934132042058</v>
      </c>
      <c r="AK105" s="81" t="n">
        <f aca="false">+AK95/AK92</f>
        <v>14.3575988317155</v>
      </c>
      <c r="AL105" s="81" t="n">
        <f aca="false">+AL95/AL92</f>
        <v>13.3284848452438</v>
      </c>
      <c r="AM105" s="75"/>
      <c r="AN105" s="75"/>
      <c r="AO105" s="75"/>
      <c r="AQ105" s="32"/>
      <c r="AR105" s="32"/>
      <c r="AS105" s="41"/>
    </row>
    <row r="106" customFormat="false" ht="12" hidden="false" customHeight="true" outlineLevel="0" collapsed="false">
      <c r="A106" s="69" t="s">
        <v>298</v>
      </c>
      <c r="B106" s="75"/>
      <c r="C106" s="81" t="n">
        <f aca="false">+C92/B92*100-100</f>
        <v>68.283396815346</v>
      </c>
      <c r="D106" s="81" t="n">
        <f aca="false">+D92/C92*100-100</f>
        <v>5.65091877153053</v>
      </c>
      <c r="E106" s="81" t="n">
        <f aca="false">+E92/D92*100-100</f>
        <v>52.7644416911884</v>
      </c>
      <c r="F106" s="81" t="n">
        <f aca="false">+F92/E92*100-100</f>
        <v>13.6235150994699</v>
      </c>
      <c r="G106" s="81" t="n">
        <f aca="false">+G92/F92*100-100</f>
        <v>-53.301969947463</v>
      </c>
      <c r="H106" s="81" t="n">
        <f aca="false">+H92/G92*100-100</f>
        <v>8.91673636057675</v>
      </c>
      <c r="I106" s="81" t="n">
        <f aca="false">+I92/H92*100-100</f>
        <v>66.0632854590333</v>
      </c>
      <c r="J106" s="81" t="n">
        <f aca="false">+J92/I92*100-100</f>
        <v>15.266886223824</v>
      </c>
      <c r="K106" s="81" t="n">
        <f aca="false">+K92/J92*100-100</f>
        <v>3.3180771864</v>
      </c>
      <c r="L106" s="81" t="n">
        <f aca="false">+L92/K92*100-100</f>
        <v>22.0543270685718</v>
      </c>
      <c r="M106" s="81" t="n">
        <f aca="false">+M92/L92*100-100</f>
        <v>28.0567881601557</v>
      </c>
      <c r="N106" s="81" t="n">
        <f aca="false">+N92/M92*100-100</f>
        <v>9.05207900258492</v>
      </c>
      <c r="O106" s="81" t="n">
        <f aca="false">+O92/N92*100-100</f>
        <v>29.7731369997528</v>
      </c>
      <c r="P106" s="81" t="n">
        <f aca="false">+P92/O92*100-100</f>
        <v>28.1915594847778</v>
      </c>
      <c r="Q106" s="81" t="n">
        <f aca="false">+Q92/P92*100-100</f>
        <v>8.47445399458347</v>
      </c>
      <c r="R106" s="81" t="n">
        <f aca="false">+R92/Q92*100-100</f>
        <v>-35.1845052744793</v>
      </c>
      <c r="S106" s="81" t="n">
        <f aca="false">+S92/R92*100-100</f>
        <v>47.6498084226646</v>
      </c>
      <c r="T106" s="81" t="n">
        <f aca="false">+T92/S92*100-100</f>
        <v>50.3405650957655</v>
      </c>
      <c r="U106" s="81" t="n">
        <f aca="false">+U92/T92*100-100</f>
        <v>-3.32411867908161</v>
      </c>
      <c r="V106" s="81" t="n">
        <f aca="false">+V92/U92*100-100</f>
        <v>-42.7672613803871</v>
      </c>
      <c r="W106" s="81" t="n">
        <f aca="false">+W92/V92*100-100</f>
        <v>-118.905573099557</v>
      </c>
      <c r="X106" s="81" t="n">
        <f aca="false">+X92/W92*100-100</f>
        <v>-712.537858620149</v>
      </c>
      <c r="Y106" s="81" t="n">
        <f aca="false">+Y92/X92*100-100</f>
        <v>126.967596771926</v>
      </c>
      <c r="Z106" s="81" t="n">
        <f aca="false">+Z92/Y92*100-100</f>
        <v>19.3239359745982</v>
      </c>
      <c r="AA106" s="81" t="n">
        <f aca="false">+AA92/Z92*100-100</f>
        <v>17.567365368976</v>
      </c>
      <c r="AB106" s="81" t="n">
        <f aca="false">+AB92/AA92*100-100</f>
        <v>24.1034210764976</v>
      </c>
      <c r="AC106" s="81" t="n">
        <f aca="false">+AC92/AB92*100-100</f>
        <v>-61.2789892996834</v>
      </c>
      <c r="AD106" s="81" t="n">
        <f aca="false">+AD92/AC92*100-100</f>
        <v>-56.82381831736</v>
      </c>
      <c r="AE106" s="81" t="n">
        <f aca="false">+AE92/AD92*100-100</f>
        <v>105.717526110582</v>
      </c>
      <c r="AF106" s="81" t="n">
        <f aca="false">+AF92/AE92*100-100</f>
        <v>124.713866427293</v>
      </c>
      <c r="AG106" s="81" t="n">
        <f aca="false">+AG92/AF92*100-100</f>
        <v>66.2460816479246</v>
      </c>
      <c r="AH106" s="81" t="n">
        <f aca="false">+AH92/AG92*100-100</f>
        <v>15.8132286601312</v>
      </c>
      <c r="AI106" s="81" t="n">
        <f aca="false">+AI92/AH92*100-100</f>
        <v>17.3304750747925</v>
      </c>
      <c r="AJ106" s="81" t="n">
        <f aca="false">+AJ92/AI92*100-100</f>
        <v>0.758841940970356</v>
      </c>
      <c r="AK106" s="81" t="n">
        <f aca="false">+AK92/AJ92*100-100</f>
        <v>11.3933701008335</v>
      </c>
      <c r="AL106" s="81" t="n">
        <f aca="false">+AL92/AK92*100-100</f>
        <v>7.72116259590393</v>
      </c>
      <c r="AM106" s="75"/>
      <c r="AN106" s="75"/>
      <c r="AO106" s="75"/>
      <c r="AP106" s="61"/>
      <c r="AQ106" s="32"/>
      <c r="AS106" s="41"/>
    </row>
    <row r="107" customFormat="false" ht="12" hidden="false" customHeight="true" outlineLevel="0" collapsed="false">
      <c r="A107" s="69" t="s">
        <v>299</v>
      </c>
      <c r="B107" s="75"/>
      <c r="C107" s="81" t="n">
        <f aca="false">+C106/C105</f>
        <v>0.11742756827698</v>
      </c>
      <c r="D107" s="81" t="n">
        <f aca="false">+D106/D105</f>
        <v>0.0102670882017037</v>
      </c>
      <c r="E107" s="81" t="n">
        <f aca="false">+E106/E105</f>
        <v>0.146450835159044</v>
      </c>
      <c r="F107" s="81" t="n">
        <f aca="false">+F106/F105</f>
        <v>0.0429643161417636</v>
      </c>
      <c r="G107" s="81" t="n">
        <f aca="false">+G106/G105</f>
        <v>-0.0784983533228617</v>
      </c>
      <c r="H107" s="81" t="n">
        <f aca="false">+H106/H105</f>
        <v>0.0143026935003904</v>
      </c>
      <c r="I107" s="81" t="n">
        <f aca="false">+I106/I105</f>
        <v>0.175972863067348</v>
      </c>
      <c r="J107" s="81" t="n">
        <f aca="false">+J106/J105</f>
        <v>0.0468749224564329</v>
      </c>
      <c r="K107" s="81" t="n">
        <f aca="false">+K106/K105</f>
        <v>0.0105257461737461</v>
      </c>
      <c r="L107" s="81" t="n">
        <f aca="false">+L106/L105</f>
        <v>0.0853912556796186</v>
      </c>
      <c r="M107" s="81" t="n">
        <f aca="false">+M106/M105</f>
        <v>0.13911057539821</v>
      </c>
      <c r="N107" s="81" t="n">
        <f aca="false">+N106/N105</f>
        <v>0.0489445656796001</v>
      </c>
      <c r="O107" s="81" t="n">
        <f aca="false">+O106/O105</f>
        <v>0.208913036833963</v>
      </c>
      <c r="P107" s="81" t="n">
        <f aca="false">+P106/P105</f>
        <v>0.253582616029923</v>
      </c>
      <c r="Q107" s="81" t="n">
        <f aca="false">+Q106/Q105</f>
        <v>0.0826874457121834</v>
      </c>
      <c r="R107" s="81" t="n">
        <f aca="false">+R106/R105</f>
        <v>-0.2225144090103</v>
      </c>
      <c r="S107" s="81" t="n">
        <f aca="false">+S106/S105</f>
        <v>0.444939269025706</v>
      </c>
      <c r="T107" s="81" t="n">
        <f aca="false">+T106/T105</f>
        <v>0.706697968409969</v>
      </c>
      <c r="U107" s="81" t="n">
        <f aca="false">+U106/U105</f>
        <v>-0.0451139046258883</v>
      </c>
      <c r="V107" s="81" t="n">
        <f aca="false">+V106/V105</f>
        <v>-0.332192532010618</v>
      </c>
      <c r="W107" s="81" t="n">
        <f aca="false">+W106/W105</f>
        <v>0.174610550455929</v>
      </c>
      <c r="X107" s="81" t="n">
        <f aca="false">+X106/X105</f>
        <v>-6.40927861750276</v>
      </c>
      <c r="Y107" s="81" t="n">
        <f aca="false">+Y106/Y105</f>
        <v>2.5921370853901</v>
      </c>
      <c r="Z107" s="81" t="n">
        <f aca="false">+Z106/Z105</f>
        <v>0.470747721245264</v>
      </c>
      <c r="AA107" s="81" t="n">
        <f aca="false">+AA106/AA105</f>
        <v>0.503136768858549</v>
      </c>
      <c r="AB107" s="81" t="n">
        <f aca="false">+AB106/AB105</f>
        <v>0.856725835700848</v>
      </c>
      <c r="AC107" s="81" t="n">
        <f aca="false">+AC106/AC105</f>
        <v>-0.843376420259941</v>
      </c>
      <c r="AD107" s="81" t="n">
        <f aca="false">+AD106/AD105</f>
        <v>-0.337663802224558</v>
      </c>
      <c r="AE107" s="81" t="n">
        <f aca="false">+AE106/AE105</f>
        <v>1.29232688136398</v>
      </c>
      <c r="AF107" s="81" t="n">
        <f aca="false">+AF106/AF105</f>
        <v>3.42586308430303</v>
      </c>
      <c r="AG107" s="81" t="n">
        <f aca="false">+AG106/AG105</f>
        <v>3.02528902690463</v>
      </c>
      <c r="AH107" s="81" t="n">
        <f aca="false">+AH106/AH105</f>
        <v>0.836344868595467</v>
      </c>
      <c r="AI107" s="81" t="n">
        <f aca="false">+AI106/AI105</f>
        <v>1.07543989427446</v>
      </c>
      <c r="AJ107" s="81" t="n">
        <f aca="false">+AJ106/AJ105</f>
        <v>0.0474471541053416</v>
      </c>
      <c r="AK107" s="81" t="n">
        <f aca="false">+AK106/AK105</f>
        <v>0.793542864261248</v>
      </c>
      <c r="AL107" s="81" t="n">
        <f aca="false">+AL106/AL105</f>
        <v>0.579297848596736</v>
      </c>
      <c r="AM107" s="75"/>
      <c r="AN107" s="75"/>
      <c r="AO107" s="75"/>
    </row>
    <row r="108" customFormat="false" ht="12" hidden="false" customHeight="true" outlineLevel="0" collapsed="false">
      <c r="B108" s="75"/>
      <c r="C108" s="75"/>
      <c r="D108" s="75"/>
      <c r="E108" s="75"/>
      <c r="F108" s="75"/>
      <c r="G108" s="75"/>
      <c r="H108" s="75"/>
    </row>
    <row r="109" customFormat="false" ht="12" hidden="false" customHeight="true" outlineLevel="0" collapsed="false">
      <c r="A109" s="69" t="s">
        <v>300</v>
      </c>
      <c r="B109" s="81" t="n">
        <f aca="false">+B95/+B93</f>
        <v>93.2314547282638</v>
      </c>
      <c r="C109" s="81" t="n">
        <f aca="false">+C95/+C93</f>
        <v>90.6542630834771</v>
      </c>
      <c r="D109" s="81" t="n">
        <f aca="false">+D95/+D93</f>
        <v>64.1438439210007</v>
      </c>
      <c r="E109" s="81" t="n">
        <f aca="false">+E95/+E93</f>
        <v>59.9539270382433</v>
      </c>
      <c r="F109" s="81" t="n">
        <f aca="false">+F95/+F93</f>
        <v>56.6100390731145</v>
      </c>
      <c r="G109" s="81" t="n">
        <f aca="false">+G95/+G93</f>
        <v>56.3288776260842</v>
      </c>
      <c r="H109" s="81" t="n">
        <f aca="false">+H95/+H93</f>
        <v>55.937829092037</v>
      </c>
      <c r="I109" s="81" t="n">
        <f aca="false">+I95/+I93</f>
        <v>54.3144137073567</v>
      </c>
      <c r="J109" s="81" t="n">
        <f aca="false">+J95/+J93</f>
        <v>52.4628749368267</v>
      </c>
      <c r="K109" s="81" t="n">
        <f aca="false">+K95/+K93</f>
        <v>59.7921799784647</v>
      </c>
      <c r="L109" s="81" t="n">
        <f aca="false">+L95/+L93</f>
        <v>64.7122424912356</v>
      </c>
      <c r="M109" s="81" t="n">
        <f aca="false">+M95/+M93</f>
        <v>58.852572270214</v>
      </c>
      <c r="N109" s="81" t="n">
        <f aca="false">+N95/+N93</f>
        <v>55.7692400785112</v>
      </c>
      <c r="O109" s="81" t="n">
        <f aca="false">+O95/+O93</f>
        <v>44.6931324846526</v>
      </c>
      <c r="P109" s="81" t="n">
        <f aca="false">+P95/+P93</f>
        <v>35.9329604998469</v>
      </c>
      <c r="Q109" s="81" t="n">
        <f aca="false">+Q95/+Q93</f>
        <v>31.7789490761096</v>
      </c>
      <c r="R109" s="81" t="n">
        <f aca="false">+R95/+R93</f>
        <v>32.0437481680007</v>
      </c>
      <c r="S109" s="81" t="n">
        <f aca="false">+S95/+S93</f>
        <v>28.9355341989184</v>
      </c>
      <c r="T109" s="81" t="n">
        <f aca="false">+T95/+T93</f>
        <v>25.4382230554073</v>
      </c>
      <c r="U109" s="81" t="n">
        <f aca="false">+U95/+U93</f>
        <v>23.3456151711171</v>
      </c>
      <c r="V109" s="81" t="n">
        <f aca="false">+V95/+V93</f>
        <v>21.3904255560575</v>
      </c>
      <c r="W109" s="81" t="n">
        <f aca="false">+W95/+W93</f>
        <v>20.6047593415199</v>
      </c>
      <c r="X109" s="81" t="n">
        <f aca="false">+X95/+X93</f>
        <v>17.5828285597064</v>
      </c>
      <c r="Y109" s="81" t="n">
        <f aca="false">+Y95/+Y93</f>
        <v>13.3684828616644</v>
      </c>
      <c r="Z109" s="81" t="n">
        <f aca="false">+Z95/+Z93</f>
        <v>11.7996334222626</v>
      </c>
      <c r="AA109" s="81" t="n">
        <f aca="false">+AA95/+AA93</f>
        <v>10.3769217762261</v>
      </c>
      <c r="AB109" s="81" t="n">
        <f aca="false">+AB95/+AB93</f>
        <v>8.94837400374201</v>
      </c>
      <c r="AC109" s="81" t="n">
        <f aca="false">+AC95/+AC93</f>
        <v>10.264565342188</v>
      </c>
      <c r="AD109" s="81" t="n">
        <f aca="false">+AD95/+AD93</f>
        <v>10.6864788167173</v>
      </c>
      <c r="AE109" s="81" t="n">
        <f aca="false">+AE95/+AE93</f>
        <v>10.1625618449209</v>
      </c>
      <c r="AF109" s="81" t="n">
        <f aca="false">+AF95/+AF93</f>
        <v>8.85102186142562</v>
      </c>
      <c r="AG109" s="81" t="n">
        <f aca="false">+AG95/+AG93</f>
        <v>8.46525401316857</v>
      </c>
      <c r="AH109" s="81" t="n">
        <f aca="false">+AH95/+AH93</f>
        <v>6.47525477936485</v>
      </c>
      <c r="AI109" s="81" t="n">
        <f aca="false">+AI95/+AI93</f>
        <v>5.68871659719585</v>
      </c>
      <c r="AJ109" s="81" t="n">
        <f aca="false">+AJ95/+AJ93</f>
        <v>4.8006893500097</v>
      </c>
      <c r="AK109" s="81" t="n">
        <f aca="false">+AK95/+AK93</f>
        <v>4.15495911370524</v>
      </c>
      <c r="AL109" s="81" t="n">
        <f aca="false">+AL95/+AL93</f>
        <v>3.63948611059142</v>
      </c>
      <c r="AM109" s="75"/>
      <c r="AN109" s="75"/>
      <c r="AO109" s="75"/>
    </row>
    <row r="110" customFormat="false" ht="12" hidden="false" customHeight="true" outlineLevel="0" collapsed="false">
      <c r="A110" s="69" t="s">
        <v>301</v>
      </c>
      <c r="B110" s="166" t="n">
        <f aca="false">B95*X84</f>
        <v>722853.52</v>
      </c>
      <c r="C110" s="75"/>
      <c r="D110" s="75"/>
      <c r="E110" s="75"/>
      <c r="F110" s="75"/>
      <c r="G110" s="75"/>
      <c r="H110" s="75"/>
    </row>
    <row r="111" customFormat="false" ht="12" hidden="false" customHeight="true" outlineLevel="0" collapsed="false">
      <c r="A111" s="69" t="s">
        <v>302</v>
      </c>
      <c r="B111" s="81" t="n">
        <f aca="false">+$B$110/B13</f>
        <v>75.7361166844957</v>
      </c>
      <c r="C111" s="81" t="n">
        <f aca="false">+$B$110/C13</f>
        <v>61.1916694743222</v>
      </c>
      <c r="D111" s="81" t="n">
        <f aca="false">+$B$110/D13</f>
        <v>47.7669557494522</v>
      </c>
      <c r="E111" s="81" t="n">
        <f aca="false">+$B$110/E13</f>
        <v>35.9681942895016</v>
      </c>
      <c r="F111" s="81" t="n">
        <f aca="false">+$B$110/F13</f>
        <v>29.1185413125979</v>
      </c>
      <c r="G111" s="81" t="n">
        <f aca="false">+$B$110/G13</f>
        <v>35.8864439622577</v>
      </c>
      <c r="H111" s="81" t="n">
        <f aca="false">+$B$110/H13</f>
        <v>35.3465335445239</v>
      </c>
      <c r="I111" s="81" t="n">
        <f aca="false">+$B$110/I13</f>
        <v>27.8157737776858</v>
      </c>
      <c r="J111" s="81" t="n">
        <f aca="false">+$B$110/J13</f>
        <v>27.7309924604753</v>
      </c>
      <c r="K111" s="81" t="n">
        <f aca="false">+$B$110/K13</f>
        <v>27.4802436695194</v>
      </c>
      <c r="L111" s="81" t="n">
        <f aca="false">+$B$110/L13</f>
        <v>23.5151169731896</v>
      </c>
      <c r="M111" s="81" t="n">
        <f aca="false">+$B$110/M13</f>
        <v>18.4059911292136</v>
      </c>
      <c r="N111" s="81" t="n">
        <f aca="false">+$B$110/N13</f>
        <v>15.0241353551922</v>
      </c>
      <c r="O111" s="81" t="n">
        <f aca="false">+$B$110/O13</f>
        <v>11.9418573070231</v>
      </c>
      <c r="P111" s="81" t="n">
        <f aca="false">+$B$110/P13</f>
        <v>8.70413188071309</v>
      </c>
      <c r="Q111" s="81" t="n">
        <f aca="false">+$B$110/Q13</f>
        <v>8.09132083159366</v>
      </c>
      <c r="R111" s="81" t="n">
        <f aca="false">+$B$110/R13</f>
        <v>10.8428460087413</v>
      </c>
      <c r="S111" s="81" t="n">
        <f aca="false">+$B$110/S13</f>
        <v>9.18189364033781</v>
      </c>
      <c r="T111" s="81" t="n">
        <f aca="false">+$B$110/T13</f>
        <v>5.97715414395646</v>
      </c>
      <c r="U111" s="81" t="n">
        <f aca="false">+$B$110/U13</f>
        <v>5.29682862458052</v>
      </c>
      <c r="V111" s="81" t="n">
        <f aca="false">+$B$110/V13</f>
        <v>5.43557783542997</v>
      </c>
      <c r="W111" s="81" t="n">
        <f aca="false">+$B$110/W13</f>
        <v>6.8446558913234</v>
      </c>
      <c r="X111" s="81" t="n">
        <f aca="false">+$B$110/X13</f>
        <v>4.99003754228197</v>
      </c>
      <c r="Y111" s="81" t="n">
        <f aca="false">+$B$110/Y13</f>
        <v>3.61553770223942</v>
      </c>
      <c r="Z111" s="81" t="n">
        <f aca="false">+$B$110/Z13</f>
        <v>3.38864022600088</v>
      </c>
      <c r="AA111" s="81" t="n">
        <f aca="false">+$B$110/AA13</f>
        <v>2.72522835754802</v>
      </c>
      <c r="AB111" s="81" t="n">
        <f aca="false">+$B$110/AB13</f>
        <v>2.48788423315132</v>
      </c>
      <c r="AC111" s="81" t="n">
        <f aca="false">+$B$110/AC13</f>
        <v>4.13828402167</v>
      </c>
      <c r="AD111" s="81" t="n">
        <f aca="false">+$B$110/AD13</f>
        <v>4.72408510304579</v>
      </c>
      <c r="AE111" s="81" t="n">
        <f aca="false">+$B$110/AE13</f>
        <v>3.33292076046567</v>
      </c>
      <c r="AF111" s="81" t="n">
        <f aca="false">+$B$110/AF13</f>
        <v>1.99991899101763</v>
      </c>
      <c r="AG111" s="81" t="n">
        <f aca="false">+$B$110/AG13</f>
        <v>1.88404867408293</v>
      </c>
      <c r="AH111" s="81" t="n">
        <f aca="false">+$B$110/AH13</f>
        <v>1.86529654419275</v>
      </c>
      <c r="AI111" s="81" t="n">
        <f aca="false">+$B$110/AI13</f>
        <v>1.64258646857104</v>
      </c>
      <c r="AJ111" s="81" t="n">
        <f aca="false">+$B$110/AJ13</f>
        <v>1.50651138556386</v>
      </c>
      <c r="AK111" s="81" t="n">
        <f aca="false">+$B$110/AK13</f>
        <v>1.39462273885187</v>
      </c>
      <c r="AL111" s="81" t="n">
        <f aca="false">+$B$110/AL13</f>
        <v>1.29725977925768</v>
      </c>
      <c r="AM111" s="75"/>
      <c r="AN111" s="75"/>
      <c r="AO111" s="75"/>
    </row>
    <row r="112" customFormat="false" ht="12" hidden="false" customHeight="true" outlineLevel="0" collapsed="false">
      <c r="A112" s="69" t="s">
        <v>303</v>
      </c>
      <c r="B112" s="81" t="n">
        <f aca="false">+$B$110/B19</f>
        <v>88.0050841452829</v>
      </c>
      <c r="C112" s="81" t="n">
        <f aca="false">+$B$110/C19</f>
        <v>68.2614101340102</v>
      </c>
      <c r="D112" s="81" t="n">
        <f aca="false">+$B$110/D19</f>
        <v>54.180462748443</v>
      </c>
      <c r="E112" s="81" t="n">
        <f aca="false">+$B$110/E19</f>
        <v>40.387864646976</v>
      </c>
      <c r="F112" s="81" t="n">
        <f aca="false">+$B$110/F19</f>
        <v>33.1387175330629</v>
      </c>
      <c r="G112" s="81" t="n">
        <f aca="false">+$B$110/G19</f>
        <v>40.8671156888848</v>
      </c>
      <c r="H112" s="81" t="n">
        <f aca="false">+$B$110/H19</f>
        <v>39.7462097065601</v>
      </c>
      <c r="I112" s="81" t="n">
        <f aca="false">+$B$110/I19</f>
        <v>32.0804276836966</v>
      </c>
      <c r="J112" s="81" t="n">
        <f aca="false">+$B$110/J19</f>
        <v>32.0981202586842</v>
      </c>
      <c r="K112" s="81" t="n">
        <f aca="false">+$B$110/K19</f>
        <v>31.9670164440168</v>
      </c>
      <c r="L112" s="81" t="n">
        <f aca="false">+$B$110/L19</f>
        <v>26.9683727090426</v>
      </c>
      <c r="M112" s="81" t="n">
        <f aca="false">+$B$110/M19</f>
        <v>21.2987102682355</v>
      </c>
      <c r="N112" s="81" t="n">
        <f aca="false">+$B$110/N19</f>
        <v>17.2833139424509</v>
      </c>
      <c r="O112" s="81" t="n">
        <f aca="false">+$B$110/O19</f>
        <v>13.7747859663846</v>
      </c>
      <c r="P112" s="81" t="n">
        <f aca="false">+$B$110/P19</f>
        <v>10.0842044056954</v>
      </c>
      <c r="Q112" s="81" t="n">
        <f aca="false">+$B$110/Q19</f>
        <v>9.35233557545921</v>
      </c>
      <c r="R112" s="81" t="n">
        <f aca="false">+$B$110/R19</f>
        <v>12.0856815390855</v>
      </c>
      <c r="S112" s="81" t="n">
        <f aca="false">+$B$110/S19</f>
        <v>9.97767295187296</v>
      </c>
      <c r="T112" s="81" t="n">
        <f aca="false">+$B$110/T19</f>
        <v>6.5018208337707</v>
      </c>
      <c r="U112" s="81" t="n">
        <f aca="false">+$B$110/U19</f>
        <v>5.63389804822723</v>
      </c>
      <c r="V112" s="81" t="n">
        <f aca="false">+$B$110/V19</f>
        <v>5.7915386341057</v>
      </c>
      <c r="W112" s="81" t="n">
        <f aca="false">+$B$110/W19</f>
        <v>7.26966207736011</v>
      </c>
      <c r="X112" s="81" t="n">
        <f aca="false">+$B$110/X19</f>
        <v>5.32991988104334</v>
      </c>
      <c r="Y112" s="81" t="n">
        <f aca="false">+$B$110/Y19</f>
        <v>3.81708779665786</v>
      </c>
      <c r="Z112" s="81" t="n">
        <f aca="false">+$B$110/Z19</f>
        <v>3.61089920878208</v>
      </c>
      <c r="AA112" s="81" t="n">
        <f aca="false">+$B$110/AA19</f>
        <v>2.75394718220571</v>
      </c>
      <c r="AB112" s="81" t="n">
        <f aca="false">+$B$110/AB19</f>
        <v>2.48788423315132</v>
      </c>
      <c r="AC112" s="81" t="n">
        <f aca="false">+$B$110/AC19</f>
        <v>4.13828402167</v>
      </c>
      <c r="AD112" s="81" t="n">
        <f aca="false">+$B$110/AD19</f>
        <v>4.72408510304579</v>
      </c>
      <c r="AE112" s="81" t="n">
        <f aca="false">+$B$110/AE19</f>
        <v>3.33292076046567</v>
      </c>
      <c r="AF112" s="81" t="n">
        <f aca="false">+$B$110/AF19</f>
        <v>1.99991899101763</v>
      </c>
      <c r="AG112" s="81" t="n">
        <f aca="false">+$B$110/AG19</f>
        <v>1.88404867408293</v>
      </c>
      <c r="AH112" s="81" t="n">
        <f aca="false">+$B$110/AH19</f>
        <v>1.86529654419275</v>
      </c>
      <c r="AI112" s="81" t="n">
        <f aca="false">+$B$110/AI19</f>
        <v>1.64258646857104</v>
      </c>
      <c r="AJ112" s="81" t="n">
        <f aca="false">+$B$110/AJ19</f>
        <v>1.50651138556386</v>
      </c>
      <c r="AK112" s="81" t="n">
        <f aca="false">+$B$110/AK19</f>
        <v>1.39462273885187</v>
      </c>
      <c r="AL112" s="81" t="n">
        <f aca="false">+$B$110/AL19</f>
        <v>1.29725977925768</v>
      </c>
      <c r="AM112" s="75"/>
      <c r="AN112" s="75"/>
      <c r="AO112" s="75"/>
    </row>
    <row r="113" customFormat="false" ht="12" hidden="false" customHeight="true" outlineLevel="0" collapsed="false">
      <c r="A113" s="69" t="s">
        <v>304</v>
      </c>
      <c r="B113" s="81" t="n">
        <f aca="false">+B13/B89</f>
        <v>3.44005723595052</v>
      </c>
      <c r="C113" s="81" t="n">
        <f aca="false">+C13/C89</f>
        <v>3.78629580245647</v>
      </c>
      <c r="D113" s="81" t="n">
        <f aca="false">+D13/D89</f>
        <v>3.18108283093274</v>
      </c>
      <c r="E113" s="81" t="n">
        <f aca="false">+E13/E89</f>
        <v>4.2245835750742</v>
      </c>
      <c r="F113" s="81" t="n">
        <f aca="false">+F13/F89</f>
        <v>5.21834666061263</v>
      </c>
      <c r="G113" s="81" t="n">
        <f aca="false">+G13/G89</f>
        <v>4.23420729510885</v>
      </c>
      <c r="H113" s="81" t="n">
        <f aca="false">+H13/H89</f>
        <v>4.29888386732756</v>
      </c>
      <c r="I113" s="81" t="n">
        <f aca="false">+I13/I89</f>
        <v>5.4627508849818</v>
      </c>
      <c r="J113" s="81" t="n">
        <f aca="false">+J13/J89</f>
        <v>5.47945202599871</v>
      </c>
      <c r="K113" s="81" t="n">
        <f aca="false">+K13/K89</f>
        <v>5.52945034432308</v>
      </c>
      <c r="L113" s="81" t="n">
        <f aca="false">+L13/L89</f>
        <v>6.46182806548445</v>
      </c>
      <c r="M113" s="81" t="n">
        <f aca="false">+M13/M89</f>
        <v>8.2554990792826</v>
      </c>
      <c r="N113" s="81" t="n">
        <f aca="false">+N13/N89</f>
        <v>9.58338024153882</v>
      </c>
      <c r="O113" s="81" t="n">
        <f aca="false">+O13/O89</f>
        <v>12.3877651257787</v>
      </c>
      <c r="P113" s="81" t="n">
        <f aca="false">+P13/P89</f>
        <v>15.6826519975526</v>
      </c>
      <c r="Q113" s="81" t="n">
        <f aca="false">+Q13/Q89</f>
        <v>16.7883586150909</v>
      </c>
      <c r="R113" s="81" t="n">
        <f aca="false">+R13/R89</f>
        <v>12.5280568831173</v>
      </c>
      <c r="S113" s="81" t="n">
        <f aca="false">+S13/S89</f>
        <v>14.7943111620922</v>
      </c>
      <c r="T113" s="81" t="n">
        <f aca="false">+T13/T89</f>
        <v>22.7264996519692</v>
      </c>
      <c r="U113" s="81" t="n">
        <f aca="false">+U13/U89</f>
        <v>25.6455334726461</v>
      </c>
      <c r="V113" s="81" t="n">
        <f aca="false">+V13/V89</f>
        <v>24.9909025136431</v>
      </c>
      <c r="W113" s="81" t="n">
        <f aca="false">+W13/W89</f>
        <v>19.846139520724</v>
      </c>
      <c r="X113" s="81" t="n">
        <f aca="false">+X13/X89</f>
        <v>25.4507103251016</v>
      </c>
      <c r="Y113" s="81" t="n">
        <f aca="false">+Y13/Y89</f>
        <v>35.1261722208948</v>
      </c>
      <c r="Z113" s="81" t="n">
        <f aca="false">+Z13/Z89</f>
        <v>37.478159831054</v>
      </c>
      <c r="AA113" s="81" t="n">
        <f aca="false">+AA13/AA89</f>
        <v>45.3083929598771</v>
      </c>
      <c r="AB113" s="81" t="n">
        <f aca="false">+AB13/AB89</f>
        <v>49.4889286322603</v>
      </c>
      <c r="AC113" s="81" t="n">
        <f aca="false">+AC13/AC89</f>
        <v>29.752120592744</v>
      </c>
      <c r="AD113" s="81" t="n">
        <f aca="false">+AD13/AD89</f>
        <v>26.0627661386476</v>
      </c>
      <c r="AE113" s="81" t="n">
        <f aca="false">+AE13/AE89</f>
        <v>36.9413898824732</v>
      </c>
      <c r="AF113" s="81" t="n">
        <f aca="false">+AF13/AF89</f>
        <v>61.5512755015156</v>
      </c>
      <c r="AG113" s="81" t="n">
        <f aca="false">+AG13/AG89</f>
        <v>65.3322719068215</v>
      </c>
      <c r="AH113" s="81" t="n">
        <f aca="false">+AH13/AH89</f>
        <v>65.9845734718202</v>
      </c>
      <c r="AI113" s="81" t="n">
        <f aca="false">+AI13/AI89</f>
        <v>74.9196104802602</v>
      </c>
      <c r="AJ113" s="81" t="n">
        <f aca="false">+AJ13/AJ89</f>
        <v>81.6866965525314</v>
      </c>
      <c r="AK113" s="81" t="n">
        <f aca="false">+AK13/AK89</f>
        <v>88.2403068422651</v>
      </c>
      <c r="AL113" s="81" t="n">
        <f aca="false">+AL13/AL89</f>
        <v>94.8629876399217</v>
      </c>
      <c r="AM113" s="75"/>
      <c r="AN113" s="75"/>
      <c r="AO113" s="75"/>
    </row>
    <row r="114" customFormat="false" ht="12.75" hidden="false" customHeight="true" outlineLevel="0" collapsed="false">
      <c r="B114" s="39" t="s">
        <v>165</v>
      </c>
      <c r="C114" s="39" t="s">
        <v>166</v>
      </c>
      <c r="D114" s="39" t="s">
        <v>167</v>
      </c>
      <c r="E114" s="39" t="s">
        <v>168</v>
      </c>
      <c r="F114" s="39" t="s">
        <v>169</v>
      </c>
      <c r="G114" s="47" t="s">
        <v>170</v>
      </c>
      <c r="H114" s="39" t="s">
        <v>171</v>
      </c>
      <c r="I114" s="39" t="s">
        <v>172</v>
      </c>
      <c r="J114" s="39" t="s">
        <v>173</v>
      </c>
      <c r="K114" s="39" t="s">
        <v>174</v>
      </c>
      <c r="L114" s="39" t="s">
        <v>175</v>
      </c>
      <c r="M114" s="39" t="s">
        <v>176</v>
      </c>
      <c r="N114" s="39" t="s">
        <v>177</v>
      </c>
      <c r="O114" s="39" t="s">
        <v>178</v>
      </c>
      <c r="P114" s="39" t="s">
        <v>179</v>
      </c>
      <c r="Q114" s="39" t="s">
        <v>180</v>
      </c>
      <c r="R114" s="39" t="s">
        <v>181</v>
      </c>
      <c r="S114" s="39" t="s">
        <v>182</v>
      </c>
      <c r="T114" s="39" t="s">
        <v>183</v>
      </c>
      <c r="U114" s="39" t="s">
        <v>184</v>
      </c>
      <c r="V114" s="39" t="s">
        <v>265</v>
      </c>
      <c r="W114" s="39" t="s">
        <v>266</v>
      </c>
      <c r="X114" s="39" t="s">
        <v>267</v>
      </c>
      <c r="Y114" s="39" t="s">
        <v>305</v>
      </c>
      <c r="Z114" s="39" t="s">
        <v>306</v>
      </c>
      <c r="AA114" s="39" t="str">
        <f aca="false">+AA3</f>
        <v>FY2018</v>
      </c>
      <c r="AB114" s="39" t="str">
        <f aca="false">+AB3</f>
        <v>FY2019</v>
      </c>
      <c r="AC114" s="39" t="str">
        <f aca="false">+AC3</f>
        <v>FY2020</v>
      </c>
      <c r="AD114" s="39" t="str">
        <f aca="false">+AD3</f>
        <v>FY2021</v>
      </c>
      <c r="AE114" s="39" t="str">
        <f aca="false">+AE3</f>
        <v>FY2022</v>
      </c>
      <c r="AF114" s="39" t="str">
        <f aca="false">+AF3</f>
        <v>FY2023</v>
      </c>
      <c r="AG114" s="39" t="str">
        <f aca="false">+AG3</f>
        <v>FY2024</v>
      </c>
      <c r="AH114" s="39" t="str">
        <f aca="false">+AH3</f>
        <v>FY2025</v>
      </c>
      <c r="AI114" s="39" t="str">
        <f aca="false">+AI3</f>
        <v>FY2026</v>
      </c>
      <c r="AJ114" s="39" t="str">
        <f aca="false">+AJ3</f>
        <v>FY2027E</v>
      </c>
      <c r="AK114" s="39" t="str">
        <f aca="false">+AK3</f>
        <v>FY2028E</v>
      </c>
      <c r="AL114" s="39" t="str">
        <f aca="false">+AL3</f>
        <v>FY2029E</v>
      </c>
      <c r="AM114" s="19"/>
      <c r="AN114" s="19"/>
      <c r="AO114" s="19"/>
    </row>
    <row r="115" customFormat="false" ht="12" hidden="false" customHeight="true" outlineLevel="0" collapsed="false">
      <c r="A115" s="69" t="s">
        <v>307</v>
      </c>
      <c r="B115" s="37" t="n">
        <f aca="false">+B803-B861-B838</f>
        <v>4211.56</v>
      </c>
      <c r="C115" s="37" t="n">
        <f aca="false">+C803-C861-C838</f>
        <v>4954.64</v>
      </c>
      <c r="D115" s="37" t="n">
        <f aca="false">+D803-D861-D838</f>
        <v>4680.07</v>
      </c>
      <c r="E115" s="37" t="n">
        <f aca="false">+E803-E861-E838</f>
        <v>8360.11</v>
      </c>
      <c r="F115" s="37" t="n">
        <f aca="false">+F803-F861-F838</f>
        <v>11415.7</v>
      </c>
      <c r="G115" s="37" t="n">
        <f aca="false">+G803-G861-G838</f>
        <v>12264.76</v>
      </c>
      <c r="H115" s="37" t="n">
        <f aca="false">+H803-H861-H838</f>
        <v>8825.39</v>
      </c>
      <c r="I115" s="37" t="n">
        <f aca="false">+I803-I861-I838</f>
        <v>8526.46</v>
      </c>
      <c r="J115" s="37" t="n">
        <f aca="false">+J803-J861-J838</f>
        <v>6918.12</v>
      </c>
      <c r="K115" s="37" t="n">
        <f aca="false">+K803-K861-K838</f>
        <v>5856.12</v>
      </c>
      <c r="L115" s="37" t="n">
        <f aca="false">+L803-L861-L838</f>
        <v>4591.19</v>
      </c>
      <c r="M115" s="37" t="n">
        <f aca="false">+M803-M861-M838</f>
        <v>1107.13</v>
      </c>
      <c r="N115" s="37" t="n">
        <f aca="false">+N803-N861-N838</f>
        <v>-1293.92</v>
      </c>
      <c r="O115" s="37" t="n">
        <f aca="false">+O803-O861-O838</f>
        <v>-2491.86</v>
      </c>
      <c r="P115" s="37" t="n">
        <f aca="false">+P803-P861-P838</f>
        <v>331.559999999999</v>
      </c>
      <c r="Q115" s="37" t="n">
        <f aca="false">+Q803-Q861-Q838</f>
        <v>-1167.73</v>
      </c>
      <c r="R115" s="37" t="n">
        <f aca="false">+R803-R861-R838</f>
        <v>16994.589</v>
      </c>
      <c r="S115" s="37" t="n">
        <f aca="false">+S803-S861-S838</f>
        <v>15669.307</v>
      </c>
      <c r="T115" s="37" t="n">
        <f aca="false">+T803-T861-T838</f>
        <v>19727.054</v>
      </c>
      <c r="U115" s="37" t="n">
        <f aca="false">+U803-U861-U838</f>
        <v>22355.996</v>
      </c>
      <c r="V115" s="37" t="n">
        <f aca="false">+V803-V861-V838</f>
        <v>30739.911</v>
      </c>
      <c r="W115" s="37" t="n">
        <f aca="false">+W803-W861-W838</f>
        <v>40661.172</v>
      </c>
      <c r="X115" s="37" t="n">
        <f aca="false">+X803-X861-X838</f>
        <v>21899.877</v>
      </c>
      <c r="Y115" s="37" t="n">
        <f aca="false">+Y803-Y861-Y838</f>
        <v>8218.525</v>
      </c>
      <c r="Z115" s="37" t="n">
        <f aca="false">+Z803-Z861-Z838</f>
        <v>3557.054</v>
      </c>
      <c r="AA115" s="37" t="n">
        <f aca="false">+AA803-AA861-AA838</f>
        <v>-30572.456</v>
      </c>
      <c r="AB115" s="37" t="n">
        <f aca="false">+AB803-AB861-AB838</f>
        <v>-7412.3</v>
      </c>
      <c r="AC115" s="37" t="n">
        <f aca="false">+AC803-AC861-AC838</f>
        <v>19588.9</v>
      </c>
      <c r="AD115" s="37" t="n">
        <f aca="false">+AD803-AD861-AD838</f>
        <v>30183</v>
      </c>
      <c r="AE115" s="37" t="n">
        <f aca="false">+AE803-AE861-AE838</f>
        <v>12088.7</v>
      </c>
      <c r="AF115" s="37" t="n">
        <f aca="false">+AF803-AF861-AF838</f>
        <v>-478.800000000003</v>
      </c>
      <c r="AG115" s="37" t="n">
        <f aca="false">+AG803-AG861-AG838</f>
        <v>-13878.4</v>
      </c>
      <c r="AH115" s="37" t="n">
        <f aca="false">+AH803-AH861-AH838</f>
        <v>-42429.3</v>
      </c>
      <c r="AI115" s="37" t="n">
        <f aca="false">+AI803-AI861-AI838</f>
        <v>-59017.2</v>
      </c>
      <c r="AJ115" s="37" t="n">
        <f aca="false">+AJ803-AJ861-AJ838</f>
        <v>-69724.188568351</v>
      </c>
      <c r="AK115" s="37" t="n">
        <f aca="false">+AK803-AK861-AK838</f>
        <v>-93625.4277438045</v>
      </c>
      <c r="AL115" s="37" t="n">
        <f aca="false">+AL803-AL861-AL838</f>
        <v>-120404.609946719</v>
      </c>
      <c r="AM115" s="31"/>
      <c r="AN115" s="31"/>
      <c r="AO115" s="31"/>
    </row>
    <row r="116" customFormat="false" ht="12" hidden="false" customHeight="true" outlineLevel="0" collapsed="false">
      <c r="B116" s="75"/>
      <c r="C116" s="75"/>
      <c r="D116" s="75"/>
      <c r="E116" s="75"/>
      <c r="F116" s="75"/>
      <c r="G116" s="75"/>
      <c r="H116" s="75"/>
      <c r="AC116" s="122" t="n">
        <f aca="false">+AC115/AC47</f>
        <v>1.66905806671495</v>
      </c>
      <c r="AD116" s="122" t="n">
        <f aca="false">+AD115/AD47</f>
        <v>5.64020630115484</v>
      </c>
    </row>
    <row r="117" customFormat="false" ht="12" hidden="false" customHeight="true" outlineLevel="0" collapsed="false">
      <c r="A117" s="69" t="s">
        <v>308</v>
      </c>
      <c r="B117" s="62" t="n">
        <f aca="false">+$B$110+B803-B861-B838</f>
        <v>727065.08</v>
      </c>
      <c r="C117" s="62" t="n">
        <f aca="false">+$B$110+C803-C861-C838</f>
        <v>727808.16</v>
      </c>
      <c r="D117" s="62" t="n">
        <f aca="false">+$B$110+D803-D861-D838</f>
        <v>727533.59</v>
      </c>
      <c r="E117" s="62" t="n">
        <f aca="false">+$B$110+E803-E861-E838</f>
        <v>731213.63</v>
      </c>
      <c r="F117" s="62" t="n">
        <f aca="false">+$B$110+F803-F861-F838</f>
        <v>734269.22</v>
      </c>
      <c r="G117" s="62" t="n">
        <f aca="false">+$B$110+G803-G861-G838</f>
        <v>735118.28</v>
      </c>
      <c r="H117" s="62" t="n">
        <f aca="false">+$B$110+H803-H861-H838</f>
        <v>731678.91</v>
      </c>
      <c r="I117" s="62" t="n">
        <f aca="false">+$B$110+I803-I861-I838</f>
        <v>731379.98</v>
      </c>
      <c r="J117" s="62" t="n">
        <f aca="false">+$B$110+J803-J861-J838</f>
        <v>729771.64</v>
      </c>
      <c r="K117" s="62" t="n">
        <f aca="false">+$B$110+K803-K861-K838</f>
        <v>728709.64</v>
      </c>
      <c r="L117" s="62" t="n">
        <f aca="false">+$B$110+L803-L861-L838</f>
        <v>727444.71</v>
      </c>
      <c r="M117" s="62" t="n">
        <f aca="false">+$B$110+M803-M861-M838</f>
        <v>723960.65</v>
      </c>
      <c r="N117" s="62" t="n">
        <f aca="false">+$B$110+N803-N861-N838</f>
        <v>721559.6</v>
      </c>
      <c r="O117" s="62" t="n">
        <f aca="false">+$B$110+O803-O861-O838</f>
        <v>720361.66</v>
      </c>
      <c r="P117" s="62" t="n">
        <f aca="false">+$B$110+P803-P861-P838</f>
        <v>723185.08</v>
      </c>
      <c r="Q117" s="62" t="n">
        <f aca="false">+$B$110+Q803-Q861-Q838</f>
        <v>721685.79</v>
      </c>
      <c r="R117" s="62" t="n">
        <f aca="false">+$B$110+R803-R861-R838</f>
        <v>739848.109</v>
      </c>
      <c r="S117" s="62" t="n">
        <f aca="false">+$B$110+S803-S861-S838</f>
        <v>738522.827</v>
      </c>
      <c r="T117" s="62" t="n">
        <f aca="false">+$B$110+T803-T861-T838</f>
        <v>742580.574</v>
      </c>
      <c r="U117" s="62" t="n">
        <f aca="false">+$B$110+U803-U861-U838</f>
        <v>745209.516</v>
      </c>
      <c r="V117" s="62" t="n">
        <f aca="false">+$B$110+V803-V861-V838</f>
        <v>753593.431</v>
      </c>
      <c r="W117" s="62" t="n">
        <f aca="false">+$B$110+W803-W861-W838</f>
        <v>763514.692</v>
      </c>
      <c r="X117" s="62" t="n">
        <f aca="false">+$B$110+X803-X861-X838</f>
        <v>744753.397</v>
      </c>
      <c r="Y117" s="62" t="n">
        <f aca="false">+$B$110+Y803-Y861-Y838</f>
        <v>731072.045</v>
      </c>
      <c r="Z117" s="62" t="n">
        <f aca="false">+$B$110+Z803-Z861-Z838</f>
        <v>726410.574</v>
      </c>
      <c r="AA117" s="62" t="n">
        <f aca="false">+$B$110+AA803-AA861-AA838</f>
        <v>692281.064</v>
      </c>
      <c r="AB117" s="62" t="n">
        <f aca="false">+$B$110+AB803-AB861-AB838</f>
        <v>715441.22</v>
      </c>
      <c r="AC117" s="62" t="n">
        <f aca="false">+$B$110+AC803-AC861-AC838</f>
        <v>742442.42</v>
      </c>
      <c r="AD117" s="62" t="n">
        <f aca="false">+$B$110+AD803-AD861-AD838</f>
        <v>753036.52</v>
      </c>
      <c r="AE117" s="62" t="n">
        <f aca="false">+$B$110+AE803-AE861-AE838</f>
        <v>734942.22</v>
      </c>
      <c r="AF117" s="62" t="n">
        <f aca="false">+$B$110+AF803-AF861-AF838</f>
        <v>722374.72</v>
      </c>
      <c r="AG117" s="62" t="n">
        <f aca="false">+$B$110+AG803-AG861-AG838</f>
        <v>708975.12</v>
      </c>
      <c r="AH117" s="62" t="n">
        <f aca="false">+$B$110+AH803-AH861-AH838</f>
        <v>680424.22</v>
      </c>
      <c r="AI117" s="62" t="n">
        <f aca="false">+$B$110+AI803-AI861-AI838</f>
        <v>663836.32</v>
      </c>
      <c r="AJ117" s="62" t="n">
        <f aca="false">+$B$110+AJ803-AJ861-AJ838</f>
        <v>653129.331431649</v>
      </c>
      <c r="AK117" s="62" t="n">
        <f aca="false">+$B$110+AK803-AK861-AK838</f>
        <v>629228.092256196</v>
      </c>
      <c r="AL117" s="62" t="n">
        <f aca="false">+$B$110+AL803-AL861-AL838</f>
        <v>602448.910053281</v>
      </c>
      <c r="AM117" s="41"/>
      <c r="AN117" s="41"/>
      <c r="AO117" s="41"/>
    </row>
    <row r="118" customFormat="false" ht="12" hidden="false" customHeight="true" outlineLevel="0" collapsed="false">
      <c r="A118" s="69" t="s">
        <v>309</v>
      </c>
      <c r="B118" s="81" t="n">
        <f aca="false">+B117/B89</f>
        <v>262.054539949828</v>
      </c>
      <c r="C118" s="81" t="n">
        <f aca="false">+C117/C89</f>
        <v>233.277827636606</v>
      </c>
      <c r="D118" s="81" t="n">
        <f aca="false">+D117/D89</f>
        <v>152.934437773798</v>
      </c>
      <c r="E118" s="81" t="n">
        <f aca="false">+E117/E89</f>
        <v>153.708016968107</v>
      </c>
      <c r="F118" s="81" t="n">
        <f aca="false">+F117/F89</f>
        <v>154.350330869679</v>
      </c>
      <c r="G118" s="81" t="n">
        <f aca="false">+G117/G89</f>
        <v>154.528811307587</v>
      </c>
      <c r="H118" s="81" t="n">
        <f aca="false">+H117/H89</f>
        <v>153.805823222259</v>
      </c>
      <c r="I118" s="81" t="n">
        <f aca="false">+I117/I89</f>
        <v>153.742985310563</v>
      </c>
      <c r="J118" s="81" t="n">
        <f aca="false">+J117/J89</f>
        <v>153.40489703941</v>
      </c>
      <c r="K118" s="81" t="n">
        <f aca="false">+K117/K89</f>
        <v>153.181654600644</v>
      </c>
      <c r="L118" s="81" t="n">
        <f aca="false">+L117/L89</f>
        <v>152.915754357642</v>
      </c>
      <c r="M118" s="81" t="n">
        <f aca="false">+M117/M89</f>
        <v>152.183372011873</v>
      </c>
      <c r="N118" s="81" t="n">
        <f aca="false">+N117/N89</f>
        <v>143.724271695832</v>
      </c>
      <c r="O118" s="81" t="n">
        <f aca="false">+O117/O89</f>
        <v>147.422961058948</v>
      </c>
      <c r="P118" s="81" t="n">
        <f aca="false">+P117/P89</f>
        <v>136.566483113901</v>
      </c>
      <c r="Q118" s="81" t="n">
        <f aca="false">+Q117/Q89</f>
        <v>135.62055376821</v>
      </c>
      <c r="R118" s="81" t="n">
        <f aca="false">+R117/R89</f>
        <v>139.033441964547</v>
      </c>
      <c r="S118" s="81" t="n">
        <f aca="false">+S117/S89</f>
        <v>138.784392847854</v>
      </c>
      <c r="T118" s="81" t="n">
        <f aca="false">+T117/T89</f>
        <v>139.546931165069</v>
      </c>
      <c r="U118" s="81" t="n">
        <f aca="false">+U117/U89</f>
        <v>140.041176691673</v>
      </c>
      <c r="V118" s="81" t="n">
        <f aca="false">+V117/V89</f>
        <v>141.616697799059</v>
      </c>
      <c r="W118" s="81" t="n">
        <f aca="false">+W117/W89</f>
        <v>143.481119864095</v>
      </c>
      <c r="X118" s="81" t="n">
        <f aca="false">+X117/X89</f>
        <v>130.847645895119</v>
      </c>
      <c r="Y118" s="81" t="n">
        <f aca="false">+Y117/Y89</f>
        <v>128.443933862285</v>
      </c>
      <c r="Z118" s="81" t="n">
        <f aca="false">+Z117/Z89</f>
        <v>127.624947994996</v>
      </c>
      <c r="AA118" s="81" t="n">
        <f aca="false">+AA117/AA89</f>
        <v>118.253420099293</v>
      </c>
      <c r="AB118" s="81" t="n">
        <f aca="false">+AB117/AB89</f>
        <v>121.860197581332</v>
      </c>
      <c r="AC118" s="81" t="n">
        <f aca="false">+AC117/AC89</f>
        <v>126.459277806166</v>
      </c>
      <c r="AD118" s="81" t="n">
        <f aca="false">+AD117/AD89</f>
        <v>128.263757451882</v>
      </c>
      <c r="AE118" s="81" t="n">
        <f aca="false">+AE117/AE89</f>
        <v>125.181778231988</v>
      </c>
      <c r="AF118" s="81" t="n">
        <f aca="false">+AF117/AF89</f>
        <v>123.016028064439</v>
      </c>
      <c r="AG118" s="81" t="n">
        <f aca="false">+AG117/AG89</f>
        <v>120.72593399857</v>
      </c>
      <c r="AH118" s="81" t="n">
        <f aca="false">+AH117/AH89</f>
        <v>115.856328963051</v>
      </c>
      <c r="AI118" s="81" t="n">
        <f aca="false">+AI117/AI89</f>
        <v>113.01457634621</v>
      </c>
      <c r="AJ118" s="81" t="n">
        <f aca="false">+AJ117/AJ89</f>
        <v>111.191768915312</v>
      </c>
      <c r="AK118" s="81" t="n">
        <f aca="false">+AK117/AK89</f>
        <v>107.122711019288</v>
      </c>
      <c r="AL118" s="81" t="n">
        <f aca="false">+AL117/AL89</f>
        <v>102.563698744153</v>
      </c>
      <c r="AM118" s="75"/>
      <c r="AN118" s="75"/>
      <c r="AO118" s="75"/>
    </row>
    <row r="119" customFormat="false" ht="12" hidden="false" customHeight="true" outlineLevel="0" collapsed="false">
      <c r="A119" s="69" t="s">
        <v>310</v>
      </c>
      <c r="B119" s="81" t="n">
        <f aca="false">+B117/B47</f>
        <v>1160.8524077149</v>
      </c>
      <c r="C119" s="81" t="n">
        <f aca="false">+C117/C47</f>
        <v>829.571723296821</v>
      </c>
      <c r="D119" s="81" t="n">
        <f aca="false">+D117/D47</f>
        <v>673.268175087916</v>
      </c>
      <c r="E119" s="81" t="n">
        <f aca="false">+E117/E47</f>
        <v>502.835708096659</v>
      </c>
      <c r="F119" s="81" t="n">
        <f aca="false">+F117/F47</f>
        <v>320.634580031004</v>
      </c>
      <c r="G119" s="81" t="n">
        <f aca="false">+G117/G47</f>
        <v>474.998727983617</v>
      </c>
      <c r="H119" s="81" t="n">
        <f aca="false">+H117/H47</f>
        <v>441.91024246105</v>
      </c>
      <c r="I119" s="81" t="n">
        <f aca="false">+I117/I47</f>
        <v>280.414529504909</v>
      </c>
      <c r="J119" s="81" t="n">
        <f aca="false">+J117/J47</f>
        <v>254.075759158294</v>
      </c>
      <c r="K119" s="81" t="n">
        <f aca="false">+K117/K47</f>
        <v>246.041887680511</v>
      </c>
      <c r="L119" s="81" t="n">
        <f aca="false">+L117/L47</f>
        <v>222.44042883047</v>
      </c>
      <c r="M119" s="81" t="n">
        <f aca="false">+M117/M47</f>
        <v>183.465106790605</v>
      </c>
      <c r="N119" s="81" t="n">
        <f aca="false">+N117/N47</f>
        <v>170.641977060423</v>
      </c>
      <c r="O119" s="81" t="n">
        <f aca="false">+O117/O47</f>
        <v>133.383017016313</v>
      </c>
      <c r="P119" s="81" t="n">
        <f aca="false">+P117/P47</f>
        <v>102.917392572774</v>
      </c>
      <c r="Q119" s="81" t="n">
        <f aca="false">+Q117/Q47</f>
        <v>89.7631422817974</v>
      </c>
      <c r="R119" s="81" t="n">
        <f aca="false">+R117/R47</f>
        <v>157.603917772659</v>
      </c>
      <c r="S119" s="81" t="n">
        <f aca="false">+S117/S47</f>
        <v>96.8123981846234</v>
      </c>
      <c r="T119" s="81" t="n">
        <f aca="false">+T117/T47</f>
        <v>58.5835855638569</v>
      </c>
      <c r="U119" s="81" t="n">
        <f aca="false">+U117/U47</f>
        <v>59.8785599245598</v>
      </c>
      <c r="V119" s="81" t="n">
        <f aca="false">+V117/V47</f>
        <v>85.9806830435282</v>
      </c>
      <c r="W119" s="81" t="n">
        <f aca="false">+W117/W47</f>
        <v>458.395862689222</v>
      </c>
      <c r="X119" s="81" t="n">
        <f aca="false">+X117/X47</f>
        <v>72.5432446840581</v>
      </c>
      <c r="Y119" s="81" t="n">
        <f aca="false">+Y117/Y47</f>
        <v>32.4253508700381</v>
      </c>
      <c r="Z119" s="81" t="n">
        <f aca="false">+Z117/Z47</f>
        <v>32.9806267971319</v>
      </c>
      <c r="AA119" s="81" t="n">
        <f aca="false">+AA117/AA47</f>
        <v>25.2751347974084</v>
      </c>
      <c r="AB119" s="81" t="n">
        <f aca="false">+AB117/AB47</f>
        <v>22.8157060215452</v>
      </c>
      <c r="AC119" s="81" t="n">
        <f aca="false">+AC117/AC47</f>
        <v>63.2592697993439</v>
      </c>
      <c r="AD119" s="81" t="n">
        <f aca="false">+AD117/AD47</f>
        <v>140.717666405053</v>
      </c>
      <c r="AE119" s="81" t="n">
        <f aca="false">+AE117/AE47</f>
        <v>73.8991895587821</v>
      </c>
      <c r="AF119" s="81" t="n">
        <f aca="false">+AF117/AF47</f>
        <v>24.648538574402</v>
      </c>
      <c r="AG119" s="81" t="n">
        <f aca="false">+AG117/AG47</f>
        <v>15.3904875200257</v>
      </c>
      <c r="AH119" s="81" t="n">
        <f aca="false">+AH117/AH47</f>
        <v>13.8001407548027</v>
      </c>
      <c r="AI119" s="81" t="n">
        <f aca="false">+AI117/AI47</f>
        <v>11.580728684199</v>
      </c>
      <c r="AJ119" s="81" t="n">
        <f aca="false">+AJ117/AJ47</f>
        <v>11.3497927862787</v>
      </c>
      <c r="AK119" s="81" t="n">
        <f aca="false">+AK117/AK47</f>
        <v>9.85569099253008</v>
      </c>
      <c r="AL119" s="81" t="n">
        <f aca="false">+AL117/AL47</f>
        <v>8.8247223132485</v>
      </c>
      <c r="AM119" s="75"/>
      <c r="AN119" s="75"/>
      <c r="AO119" s="75"/>
    </row>
    <row r="120" customFormat="false" ht="12" hidden="false" customHeight="true" outlineLevel="0" collapsed="false">
      <c r="A120" s="69" t="s">
        <v>311</v>
      </c>
      <c r="B120" s="81" t="n">
        <f aca="false">+B117/B66</f>
        <v>2019.1765163297</v>
      </c>
      <c r="C120" s="81" t="n">
        <f aca="false">+C117/C66</f>
        <v>1068.10707367185</v>
      </c>
      <c r="D120" s="81" t="n">
        <f aca="false">+D117/D66</f>
        <v>662.786023376364</v>
      </c>
      <c r="E120" s="81" t="n">
        <f aca="false">+E117/E66</f>
        <v>436.056026668574</v>
      </c>
      <c r="F120" s="81" t="n">
        <f aca="false">+F117/F66</f>
        <v>385.376401988108</v>
      </c>
      <c r="G120" s="81" t="n">
        <f aca="false">+G117/G66</f>
        <v>826.206212867668</v>
      </c>
      <c r="H120" s="81" t="n">
        <f aca="false">+H117/H66</f>
        <v>755.01773252771</v>
      </c>
      <c r="I120" s="81" t="n">
        <f aca="false">+I117/I66</f>
        <v>454.470875535948</v>
      </c>
      <c r="J120" s="81" t="n">
        <f aca="false">+J117/J66</f>
        <v>393.410012991984</v>
      </c>
      <c r="K120" s="81" t="n">
        <f aca="false">+K117/K66</f>
        <v>380.221461592244</v>
      </c>
      <c r="L120" s="81" t="n">
        <f aca="false">+L117/L66</f>
        <v>310.977466847923</v>
      </c>
      <c r="M120" s="81" t="n">
        <f aca="false">+M117/M66</f>
        <v>241.680320343979</v>
      </c>
      <c r="N120" s="81" t="n">
        <f aca="false">+N117/N66</f>
        <v>209.300493438457</v>
      </c>
      <c r="O120" s="81" t="n">
        <f aca="false">+O117/O66</f>
        <v>165.432358993843</v>
      </c>
      <c r="P120" s="81" t="n">
        <f aca="false">+P117/P66</f>
        <v>119.547370300329</v>
      </c>
      <c r="Q120" s="81" t="n">
        <f aca="false">+Q117/Q66</f>
        <v>109.444500218378</v>
      </c>
      <c r="R120" s="81" t="n">
        <f aca="false">+R117/R66</f>
        <v>173.104701412637</v>
      </c>
      <c r="S120" s="81" t="n">
        <f aca="false">+S117/S66</f>
        <v>117.030033875067</v>
      </c>
      <c r="T120" s="81" t="n">
        <f aca="false">+T117/T66</f>
        <v>78.2709874450093</v>
      </c>
      <c r="U120" s="81" t="n">
        <f aca="false">+U117/U66</f>
        <v>81.2490204886218</v>
      </c>
      <c r="V120" s="81" t="n">
        <f aca="false">+V117/V66</f>
        <v>143.559626055918</v>
      </c>
      <c r="W120" s="81" t="n">
        <f aca="false">+W117/W66</f>
        <v>-769.347887684406</v>
      </c>
      <c r="X120" s="81" t="n">
        <f aca="false">+X117/X66</f>
        <v>114.541004031333</v>
      </c>
      <c r="Y120" s="81" t="n">
        <f aca="false">+Y117/Y66</f>
        <v>49.5387234523926</v>
      </c>
      <c r="Z120" s="81" t="n">
        <f aca="false">+Z117/Z66</f>
        <v>41.2514501831605</v>
      </c>
      <c r="AA120" s="81" t="n">
        <f aca="false">+AA117/AA66</f>
        <v>32.511017864079</v>
      </c>
      <c r="AB120" s="81" t="n">
        <f aca="false">+AB117/AB66</f>
        <v>26.9957240995216</v>
      </c>
      <c r="AC120" s="81" t="n">
        <f aca="false">+AC117/AC66</f>
        <v>72.3497634442133</v>
      </c>
      <c r="AD120" s="81" t="n">
        <f aca="false">+AD117/AD66</f>
        <v>169.959773623658</v>
      </c>
      <c r="AE120" s="81" t="n">
        <f aca="false">+AE117/AE66</f>
        <v>80.6328497724822</v>
      </c>
      <c r="AF120" s="81" t="n">
        <f aca="false">+AF117/AF66</f>
        <v>35.2616573412493</v>
      </c>
      <c r="AG120" s="81" t="n">
        <f aca="false">+AG117/AG66</f>
        <v>20.8156595624741</v>
      </c>
      <c r="AH120" s="81" t="n">
        <f aca="false">+AH117/AH66</f>
        <v>17.2484945812021</v>
      </c>
      <c r="AI120" s="81" t="n">
        <f aca="false">+AI117/AI66</f>
        <v>14.3401952821221</v>
      </c>
      <c r="AJ120" s="81" t="n">
        <f aca="false">+AJ117/AJ66</f>
        <v>14.0026449225917</v>
      </c>
      <c r="AK120" s="81" t="n">
        <f aca="false">+AK117/AK66</f>
        <v>12.1104323667774</v>
      </c>
      <c r="AL120" s="81" t="n">
        <f aca="false">+AL117/AL66</f>
        <v>10.76392680617</v>
      </c>
      <c r="AM120" s="75"/>
      <c r="AN120" s="75"/>
      <c r="AO120" s="75"/>
    </row>
    <row r="121" customFormat="false" ht="12" hidden="false" customHeight="true" outlineLevel="0" collapsed="false">
      <c r="A121" s="69" t="s">
        <v>312</v>
      </c>
      <c r="B121" s="81" t="n">
        <f aca="false">+B117/B13</f>
        <v>76.1773778677901</v>
      </c>
      <c r="C121" s="81" t="n">
        <f aca="false">+C117/C13</f>
        <v>61.6110942745836</v>
      </c>
      <c r="D121" s="81" t="n">
        <f aca="false">+D117/D13</f>
        <v>48.0762199231873</v>
      </c>
      <c r="E121" s="81" t="n">
        <f aca="false">+E117/E13</f>
        <v>36.3841818339236</v>
      </c>
      <c r="F121" s="81" t="n">
        <f aca="false">+F117/F13</f>
        <v>29.5783973178121</v>
      </c>
      <c r="G121" s="81" t="n">
        <f aca="false">+G117/G13</f>
        <v>36.4953344362925</v>
      </c>
      <c r="H121" s="81" t="n">
        <f aca="false">+H117/H13</f>
        <v>35.7780828626741</v>
      </c>
      <c r="I121" s="81" t="n">
        <f aca="false">+I117/I13</f>
        <v>28.1438763267119</v>
      </c>
      <c r="J121" s="81" t="n">
        <f aca="false">+J117/J13</f>
        <v>27.99639385682</v>
      </c>
      <c r="K121" s="81" t="n">
        <f aca="false">+K117/K13</f>
        <v>27.7028719062304</v>
      </c>
      <c r="L121" s="81" t="n">
        <f aca="false">+L117/L13</f>
        <v>23.6644727789082</v>
      </c>
      <c r="M121" s="81" t="n">
        <f aca="false">+M117/M13</f>
        <v>18.4341819374411</v>
      </c>
      <c r="N121" s="81" t="n">
        <f aca="false">+N117/N13</f>
        <v>14.9972418993524</v>
      </c>
      <c r="O121" s="81" t="n">
        <f aca="false">+O117/O13</f>
        <v>11.9006906865035</v>
      </c>
      <c r="P121" s="81" t="n">
        <f aca="false">+P117/P13</f>
        <v>8.70812431055748</v>
      </c>
      <c r="Q121" s="81" t="n">
        <f aca="false">+Q117/Q13</f>
        <v>8.0782497489839</v>
      </c>
      <c r="R121" s="81" t="n">
        <f aca="false">+R117/R13</f>
        <v>11.097765859597</v>
      </c>
      <c r="S121" s="81" t="n">
        <f aca="false">+S117/S13</f>
        <v>9.38092969164154</v>
      </c>
      <c r="T121" s="81" t="n">
        <f aca="false">+T117/T13</f>
        <v>6.1402738346016</v>
      </c>
      <c r="U121" s="81" t="n">
        <f aca="false">+U117/U13</f>
        <v>5.46064587976081</v>
      </c>
      <c r="V121" s="81" t="n">
        <f aca="false">+V117/V13</f>
        <v>5.6667300319285</v>
      </c>
      <c r="W121" s="81" t="n">
        <f aca="false">+W117/W13</f>
        <v>7.22967404891349</v>
      </c>
      <c r="X121" s="81" t="n">
        <f aca="false">+X117/X13</f>
        <v>5.14121783729022</v>
      </c>
      <c r="Y121" s="81" t="n">
        <f aca="false">+Y117/Y13</f>
        <v>3.65664476774046</v>
      </c>
      <c r="Z121" s="81" t="n">
        <f aca="false">+Z117/Z13</f>
        <v>3.4053152174576</v>
      </c>
      <c r="AA121" s="81" t="n">
        <f aca="false">+AA117/AA13</f>
        <v>2.60996721300647</v>
      </c>
      <c r="AB121" s="81" t="n">
        <f aca="false">+AB117/AB13</f>
        <v>2.46237291752352</v>
      </c>
      <c r="AC121" s="81" t="n">
        <f aca="false">+AC117/AC13</f>
        <v>4.25042905469424</v>
      </c>
      <c r="AD121" s="81" t="n">
        <f aca="false">+AD117/AD13</f>
        <v>4.92134091867111</v>
      </c>
      <c r="AE121" s="81" t="n">
        <f aca="false">+AE117/AE13</f>
        <v>3.38865913356931</v>
      </c>
      <c r="AF121" s="81" t="n">
        <f aca="false">+AF117/AF13</f>
        <v>1.99859429495348</v>
      </c>
      <c r="AG121" s="81" t="n">
        <f aca="false">+AG117/AG13</f>
        <v>1.84787594974122</v>
      </c>
      <c r="AH121" s="81" t="n">
        <f aca="false">+AH117/AH13</f>
        <v>1.75580931825724</v>
      </c>
      <c r="AI121" s="81" t="n">
        <f aca="false">+AI117/AI13</f>
        <v>1.50847789546352</v>
      </c>
      <c r="AJ121" s="81" t="n">
        <f aca="false">+AJ117/AJ13</f>
        <v>1.36119801152451</v>
      </c>
      <c r="AK121" s="81" t="n">
        <f aca="false">+AK117/AK13</f>
        <v>1.21398842380247</v>
      </c>
      <c r="AL121" s="81" t="n">
        <f aca="false">+AL117/AL13</f>
        <v>1.0811771935063</v>
      </c>
      <c r="AM121" s="75"/>
      <c r="AN121" s="75"/>
      <c r="AO121" s="75"/>
    </row>
    <row r="122" customFormat="false" ht="12" hidden="false" customHeight="true" outlineLevel="0" collapsed="false">
      <c r="A122" s="69" t="s">
        <v>313</v>
      </c>
      <c r="B122" s="81" t="n">
        <f aca="false">+B117/B19</f>
        <v>88.5178279888529</v>
      </c>
      <c r="C122" s="81" t="n">
        <f aca="false">+C117/C19</f>
        <v>68.7292929121233</v>
      </c>
      <c r="D122" s="81" t="n">
        <f aca="false">+D117/D19</f>
        <v>54.5312507729589</v>
      </c>
      <c r="E122" s="81" t="n">
        <f aca="false">+E117/E19</f>
        <v>40.8549675686216</v>
      </c>
      <c r="F122" s="81" t="n">
        <f aca="false">+F117/F19</f>
        <v>33.6620623702606</v>
      </c>
      <c r="G122" s="81" t="n">
        <f aca="false">+G117/G19</f>
        <v>41.560513938943</v>
      </c>
      <c r="H122" s="81" t="n">
        <f aca="false">+H117/H19</f>
        <v>40.2314751053952</v>
      </c>
      <c r="I122" s="81" t="n">
        <f aca="false">+I117/I19</f>
        <v>32.4588342015592</v>
      </c>
      <c r="J122" s="81" t="n">
        <f aca="false">+J117/J19</f>
        <v>32.4053175560343</v>
      </c>
      <c r="K122" s="81" t="n">
        <f aca="false">+K117/K19</f>
        <v>32.2259937875014</v>
      </c>
      <c r="L122" s="81" t="n">
        <f aca="false">+L117/L19</f>
        <v>27.139661801054</v>
      </c>
      <c r="M122" s="81" t="n">
        <f aca="false">+M117/M19</f>
        <v>21.331331595305</v>
      </c>
      <c r="N122" s="81" t="n">
        <f aca="false">+N117/N19</f>
        <v>17.252376518813</v>
      </c>
      <c r="O122" s="81" t="n">
        <f aca="false">+O117/O19</f>
        <v>13.7273007744218</v>
      </c>
      <c r="P122" s="81" t="n">
        <f aca="false">+P117/P19</f>
        <v>10.0888298501599</v>
      </c>
      <c r="Q122" s="81" t="n">
        <f aca="false">+Q117/Q19</f>
        <v>9.33722739306904</v>
      </c>
      <c r="R122" s="81" t="n">
        <f aca="false">+R117/R19</f>
        <v>12.3698209737827</v>
      </c>
      <c r="S122" s="81" t="n">
        <f aca="false">+S117/S19</f>
        <v>10.1939591236945</v>
      </c>
      <c r="T122" s="81" t="n">
        <f aca="false">+T117/T19</f>
        <v>6.67925895523979</v>
      </c>
      <c r="U122" s="81" t="n">
        <f aca="false">+U117/U19</f>
        <v>5.80813999178251</v>
      </c>
      <c r="V122" s="81" t="n">
        <f aca="false">+V117/V19</f>
        <v>6.03782834182611</v>
      </c>
      <c r="W122" s="81" t="n">
        <f aca="false">+W117/W19</f>
        <v>7.67858722184778</v>
      </c>
      <c r="X122" s="81" t="n">
        <f aca="false">+X117/X19</f>
        <v>5.49139739562293</v>
      </c>
      <c r="Y122" s="81" t="n">
        <f aca="false">+Y117/Y19</f>
        <v>3.8604863976414</v>
      </c>
      <c r="Z122" s="81" t="n">
        <f aca="false">+Z117/Z19</f>
        <v>3.62866790343296</v>
      </c>
      <c r="AA122" s="81" t="n">
        <f aca="false">+AA117/AA19</f>
        <v>2.63747140014919</v>
      </c>
      <c r="AB122" s="81" t="n">
        <f aca="false">+AB117/AB19</f>
        <v>2.46237291752352</v>
      </c>
      <c r="AC122" s="81" t="n">
        <f aca="false">+AC117/AC19</f>
        <v>4.25042905469424</v>
      </c>
      <c r="AD122" s="81" t="n">
        <f aca="false">+AD117/AD19</f>
        <v>4.92134091867111</v>
      </c>
      <c r="AE122" s="81" t="n">
        <f aca="false">+AE117/AE19</f>
        <v>3.38865913356931</v>
      </c>
      <c r="AF122" s="81" t="n">
        <f aca="false">+AF117/AF19</f>
        <v>1.99859429495348</v>
      </c>
      <c r="AG122" s="81" t="n">
        <f aca="false">+AG117/AG19</f>
        <v>1.84787594974122</v>
      </c>
      <c r="AH122" s="81" t="n">
        <f aca="false">+AH117/AH19</f>
        <v>1.75580931825724</v>
      </c>
      <c r="AI122" s="81" t="n">
        <f aca="false">+AI117/AI19</f>
        <v>1.50847789546352</v>
      </c>
      <c r="AJ122" s="81" t="n">
        <f aca="false">+AJ117/AJ19</f>
        <v>1.36119801152451</v>
      </c>
      <c r="AK122" s="81" t="n">
        <f aca="false">+AK117/AK19</f>
        <v>1.21398842380247</v>
      </c>
      <c r="AL122" s="81" t="n">
        <f aca="false">+AL117/AL19</f>
        <v>1.0811771935063</v>
      </c>
      <c r="AM122" s="75"/>
      <c r="AN122" s="75"/>
      <c r="AO122" s="75"/>
    </row>
    <row r="123" customFormat="false" ht="12" hidden="false" customHeight="true" outlineLevel="0" collapsed="false">
      <c r="A123" s="149" t="s">
        <v>314</v>
      </c>
      <c r="B123" s="81" t="n">
        <f aca="false">+B117/B65</f>
        <v>2341.66987664658</v>
      </c>
      <c r="C123" s="81" t="n">
        <f aca="false">+C117/C65</f>
        <v>1325.14276350527</v>
      </c>
      <c r="D123" s="81" t="n">
        <f aca="false">+D117/D65</f>
        <v>1056.21810078251</v>
      </c>
      <c r="E123" s="81" t="n">
        <f aca="false">+E117/E65</f>
        <v>805.186074680938</v>
      </c>
      <c r="F123" s="81" t="n">
        <f aca="false">+F117/F65</f>
        <v>449.349917690185</v>
      </c>
      <c r="G123" s="81" t="n">
        <f aca="false">+G117/G65</f>
        <v>873.008614854728</v>
      </c>
      <c r="H123" s="81" t="n">
        <f aca="false">+H117/H65</f>
        <v>818.599088771141</v>
      </c>
      <c r="I123" s="81" t="n">
        <f aca="false">+I117/I65</f>
        <v>410.016919126798</v>
      </c>
      <c r="J123" s="81" t="n">
        <f aca="false">+J117/J65</f>
        <v>366.948068142964</v>
      </c>
      <c r="K123" s="81" t="n">
        <f aca="false">+K117/K65</f>
        <v>362.870678923204</v>
      </c>
      <c r="L123" s="81" t="n">
        <f aca="false">+L117/L65</f>
        <v>324.665138802106</v>
      </c>
      <c r="M123" s="81" t="n">
        <f aca="false">+M117/M65</f>
        <v>242.8175918162</v>
      </c>
      <c r="N123" s="81" t="n">
        <f aca="false">+N117/N65</f>
        <v>230.062747898838</v>
      </c>
      <c r="O123" s="81" t="n">
        <f aca="false">+O117/O65</f>
        <v>173.973506511071</v>
      </c>
      <c r="P123" s="81" t="n">
        <f aca="false">+P117/P65</f>
        <v>130.985450389505</v>
      </c>
      <c r="Q123" s="81" t="n">
        <f aca="false">+Q117/Q65</f>
        <v>115.169732281354</v>
      </c>
      <c r="R123" s="81" t="n">
        <f aca="false">+R117/R65</f>
        <v>254.225077649062</v>
      </c>
      <c r="S123" s="81" t="n">
        <f aca="false">+S117/S65</f>
        <v>132.178555090533</v>
      </c>
      <c r="T123" s="81" t="n">
        <f aca="false">+T117/T65</f>
        <v>74.2486723678127</v>
      </c>
      <c r="U123" s="81" t="n">
        <f aca="false">+U117/U65</f>
        <v>83.5697504692048</v>
      </c>
      <c r="V123" s="81" t="n">
        <f aca="false">+V117/V65</f>
        <v>152.030772579671</v>
      </c>
      <c r="W123" s="81" t="n">
        <f aca="false">+W117/W65</f>
        <v>-362.760141528368</v>
      </c>
      <c r="X123" s="81" t="n">
        <f aca="false">+X117/X65</f>
        <v>122.031305577448</v>
      </c>
      <c r="Y123" s="81" t="n">
        <f aca="false">+Y117/Y65</f>
        <v>41.3799366819176</v>
      </c>
      <c r="Z123" s="81" t="n">
        <f aca="false">+Z117/Z65</f>
        <v>43.1195478591817</v>
      </c>
      <c r="AA123" s="81" t="n">
        <f aca="false">+AA117/AA65</f>
        <v>31.6924629068328</v>
      </c>
      <c r="AB123" s="81" t="n">
        <f aca="false">+AB117/AB65</f>
        <v>28.4500212746499</v>
      </c>
      <c r="AC123" s="81" t="n">
        <f aca="false">+AC117/AC65</f>
        <v>147.353859283517</v>
      </c>
      <c r="AD123" s="81" t="n">
        <f aca="false">+AD117/AD65</f>
        <v>-354.253431810697</v>
      </c>
      <c r="AE123" s="81" t="n">
        <f aca="false">+AE117/AE65</f>
        <v>303.996616479152</v>
      </c>
      <c r="AF123" s="81" t="n">
        <f aca="false">+AF117/AF65</f>
        <v>32.8540309449958</v>
      </c>
      <c r="AG123" s="81" t="n">
        <f aca="false">+AG117/AG65</f>
        <v>18.2313461582968</v>
      </c>
      <c r="AH123" s="81" t="n">
        <f aca="false">+AH117/AH65</f>
        <v>16.1574132911603</v>
      </c>
      <c r="AI123" s="81" t="n">
        <f aca="false">+AI117/AI65</f>
        <v>13.2315802481931</v>
      </c>
      <c r="AJ123" s="81" t="n">
        <f aca="false">+AJ117/AJ65</f>
        <v>13.0641439584852</v>
      </c>
      <c r="AK123" s="81" t="n">
        <f aca="false">+AK117/AK65</f>
        <v>11.2902088896116</v>
      </c>
      <c r="AL123" s="81" t="n">
        <f aca="false">+AL117/AL65</f>
        <v>10.0742518157724</v>
      </c>
      <c r="AM123" s="75"/>
      <c r="AN123" s="75"/>
      <c r="AO123" s="75"/>
    </row>
    <row r="124" customFormat="false" ht="12.75" hidden="false" customHeight="true" outlineLevel="0" collapsed="false">
      <c r="A124" s="167"/>
      <c r="B124" s="75"/>
      <c r="C124" s="75"/>
      <c r="D124" s="75"/>
      <c r="E124" s="75"/>
      <c r="F124" s="75"/>
      <c r="G124" s="75"/>
    </row>
    <row r="125" customFormat="false" ht="12.75" hidden="true" customHeight="true" outlineLevel="0" collapsed="false">
      <c r="A125" s="59" t="s">
        <v>315</v>
      </c>
      <c r="B125" s="75"/>
      <c r="C125" s="75"/>
      <c r="D125" s="75"/>
      <c r="E125" s="75"/>
      <c r="F125" s="75"/>
      <c r="G125" s="75"/>
    </row>
    <row r="126" customFormat="false" ht="12.75" hidden="true" customHeight="true" outlineLevel="0" collapsed="false">
      <c r="A126" s="167"/>
      <c r="B126" s="75"/>
      <c r="C126" s="75"/>
      <c r="D126" s="75"/>
      <c r="E126" s="75"/>
      <c r="F126" s="75"/>
      <c r="G126" s="75"/>
      <c r="Q126" s="58" t="n">
        <f aca="false">10.5*1.2</f>
        <v>12.6</v>
      </c>
    </row>
    <row r="127" customFormat="false" ht="12.75" hidden="true" customHeight="true" outlineLevel="0" collapsed="false">
      <c r="A127" s="59" t="s">
        <v>316</v>
      </c>
      <c r="B127" s="168" t="n">
        <v>2.4</v>
      </c>
      <c r="C127" s="75"/>
      <c r="D127" s="75"/>
      <c r="E127" s="75"/>
      <c r="F127" s="75"/>
      <c r="G127" s="75"/>
    </row>
    <row r="128" customFormat="false" ht="12.75" hidden="true" customHeight="true" outlineLevel="0" collapsed="false">
      <c r="A128" s="59" t="s">
        <v>317</v>
      </c>
      <c r="B128" s="81" t="n">
        <f aca="false">B95</f>
        <v>127</v>
      </c>
      <c r="C128" s="75"/>
      <c r="D128" s="75"/>
      <c r="E128" s="75"/>
      <c r="F128" s="75"/>
      <c r="G128" s="75"/>
    </row>
    <row r="129" customFormat="false" ht="12.75" hidden="true" customHeight="true" outlineLevel="0" collapsed="false">
      <c r="A129" s="59" t="s">
        <v>318</v>
      </c>
      <c r="B129" s="81" t="n">
        <f aca="false">(100*B128)/B95-100</f>
        <v>0</v>
      </c>
      <c r="C129" s="75"/>
      <c r="D129" s="75"/>
      <c r="E129" s="75"/>
      <c r="F129" s="75"/>
      <c r="G129" s="75"/>
    </row>
    <row r="130" customFormat="false" ht="12.75" hidden="false" customHeight="true" outlineLevel="0" collapsed="false">
      <c r="A130" s="167"/>
      <c r="B130" s="75"/>
      <c r="C130" s="75"/>
      <c r="D130" s="75"/>
      <c r="E130" s="75"/>
      <c r="F130" s="75"/>
      <c r="G130" s="75"/>
    </row>
    <row r="131" customFormat="false" ht="12" hidden="false" customHeight="true" outlineLevel="0" collapsed="false">
      <c r="A131" s="69" t="s">
        <v>293</v>
      </c>
      <c r="B131" s="81" t="n">
        <f aca="false">+$B$128/B91</f>
        <v>7962.91435028221</v>
      </c>
      <c r="C131" s="81" t="n">
        <f aca="false">+$B$128/C91</f>
        <v>1121.51101047268</v>
      </c>
      <c r="D131" s="81" t="n">
        <f aca="false">+$B$128/D91</f>
        <v>855.870973225671</v>
      </c>
      <c r="E131" s="81" t="n">
        <f aca="false">+$B$128/E91</f>
        <v>534.261843071017</v>
      </c>
      <c r="F131" s="81" t="n">
        <f aca="false">+$B$128/F91</f>
        <v>483.578917036861</v>
      </c>
      <c r="G131" s="81" t="n">
        <f aca="false">+$B$128/G91</f>
        <v>3280.23754124026</v>
      </c>
      <c r="H131" s="81" t="n">
        <f aca="false">+$B$128/H91</f>
        <v>2915.99038985127</v>
      </c>
      <c r="I131" s="81" t="n">
        <f aca="false">+$B$128/I91</f>
        <v>769.757182718158</v>
      </c>
      <c r="J131" s="81" t="n">
        <f aca="false">+$B$128/J91</f>
        <v>621.889386406449</v>
      </c>
      <c r="K131" s="81" t="n">
        <f aca="false">+$B$128/K91</f>
        <v>627.378602062327</v>
      </c>
      <c r="L131" s="81" t="n">
        <f aca="false">+$B$128/L91</f>
        <v>461.355845226912</v>
      </c>
      <c r="M131" s="81" t="n">
        <f aca="false">+$B$128/M91</f>
        <v>297.470356821058</v>
      </c>
      <c r="N131" s="81" t="n">
        <f aca="false">+$B$128/N91</f>
        <v>270.702278259765</v>
      </c>
      <c r="O131" s="81" t="n">
        <f aca="false">+$B$128/O91</f>
        <v>200.548125950155</v>
      </c>
      <c r="P131" s="81" t="n">
        <f aca="false">+$B$128/P91</f>
        <v>148.015450235715</v>
      </c>
      <c r="Q131" s="81" t="n">
        <f aca="false">+$B$128/Q91</f>
        <v>140.196437276863</v>
      </c>
      <c r="R131" s="81" t="n">
        <f aca="false">+$B$128/R91</f>
        <v>271.427490009437</v>
      </c>
      <c r="S131" s="81" t="n">
        <f aca="false">+$B$128/S91</f>
        <v>158.290139600726</v>
      </c>
      <c r="T131" s="81" t="n">
        <f aca="false">+$B$128/T91</f>
        <v>99.1948378634763</v>
      </c>
      <c r="U131" s="81" t="n">
        <f aca="false">+$B$128/U91</f>
        <v>119.744526194109</v>
      </c>
      <c r="V131" s="81" t="n">
        <f aca="false">+$B$128/V91</f>
        <v>468.824077041648</v>
      </c>
      <c r="W131" s="81" t="n">
        <f aca="false">+$B$128/W91</f>
        <v>-141.89465055898</v>
      </c>
      <c r="X131" s="81" t="n">
        <f aca="false">+$B$128/X91</f>
        <v>309.083341564397</v>
      </c>
      <c r="Y131" s="81" t="n">
        <f aca="false">+$B$128/Y91</f>
        <v>73.1738028491515</v>
      </c>
      <c r="Z131" s="81" t="n">
        <f aca="false">+$B$128/Z91</f>
        <v>58.1520946252331</v>
      </c>
      <c r="AA131" s="81" t="n">
        <f aca="false">+$B$128/AA91</f>
        <v>47.2124896405133</v>
      </c>
      <c r="AB131" s="81" t="n">
        <f aca="false">+$B$128/AB91</f>
        <v>36.7445268855783</v>
      </c>
      <c r="AC131" s="81" t="n">
        <f aca="false">+$B$128/AC91</f>
        <v>209.216717875332</v>
      </c>
      <c r="AD131" s="81" t="n">
        <f aca="false">+$B$128/AD91</f>
        <v>-244.751470986484</v>
      </c>
      <c r="AE131" s="81" t="n">
        <f aca="false">+$B$128/AE91</f>
        <v>469.805774774346</v>
      </c>
      <c r="AF131" s="81" t="n">
        <f aca="false">+$B$128/AF91</f>
        <v>56.6413233560108</v>
      </c>
      <c r="AG131" s="81" t="n">
        <f aca="false">+$B$128/AG91</f>
        <v>27.744635735968</v>
      </c>
      <c r="AH131" s="81" t="n">
        <f aca="false">+$B$128/AH91</f>
        <v>23.1242515677838</v>
      </c>
      <c r="AI131" s="81" t="n">
        <f aca="false">+$B$128/AI91</f>
        <v>19.0593611155822</v>
      </c>
      <c r="AJ131" s="81" t="n">
        <f aca="false">+$B$128/AJ91</f>
        <v>19.0828915618897</v>
      </c>
      <c r="AK131" s="81" t="n">
        <f aca="false">+$B$128/AK91</f>
        <v>17.0139226596748</v>
      </c>
      <c r="AL131" s="81" t="n">
        <f aca="false">+$B$128/AL91</f>
        <v>15.7043601691154</v>
      </c>
      <c r="AM131" s="75"/>
      <c r="AN131" s="75"/>
      <c r="AO131" s="75"/>
    </row>
    <row r="132" customFormat="false" ht="12" hidden="false" customHeight="true" outlineLevel="0" collapsed="false">
      <c r="A132" s="69" t="s">
        <v>294</v>
      </c>
      <c r="B132" s="75"/>
      <c r="C132" s="81" t="n">
        <f aca="false">+C100</f>
        <v>610.016600454604</v>
      </c>
      <c r="D132" s="81" t="n">
        <f aca="false">+D100</f>
        <v>31.0373929665877</v>
      </c>
      <c r="E132" s="81" t="n">
        <f aca="false">+E100</f>
        <v>60.1969117438739</v>
      </c>
      <c r="F132" s="81" t="n">
        <f aca="false">+F100</f>
        <v>10.480797290485</v>
      </c>
      <c r="G132" s="81" t="n">
        <f aca="false">+G100</f>
        <v>-85.2578079801495</v>
      </c>
      <c r="H132" s="81" t="n">
        <f aca="false">+H100</f>
        <v>12.4913700901314</v>
      </c>
      <c r="I132" s="81" t="n">
        <f aca="false">+I100</f>
        <v>278.819510271325</v>
      </c>
      <c r="J132" s="81" t="n">
        <f aca="false">+J100</f>
        <v>23.7771860308075</v>
      </c>
      <c r="K132" s="81" t="n">
        <f aca="false">+K100</f>
        <v>-0.874944672616124</v>
      </c>
      <c r="L132" s="81" t="n">
        <f aca="false">+L100</f>
        <v>35.9858357823035</v>
      </c>
      <c r="M132" s="81" t="n">
        <f aca="false">+M100</f>
        <v>55.0930486510423</v>
      </c>
      <c r="N132" s="81" t="n">
        <f aca="false">+N100</f>
        <v>9.88838318368568</v>
      </c>
      <c r="O132" s="81" t="n">
        <f aca="false">+O100</f>
        <v>34.9812056219597</v>
      </c>
      <c r="P132" s="81" t="n">
        <f aca="false">+P100</f>
        <v>35.4913460931144</v>
      </c>
      <c r="Q132" s="81" t="n">
        <f aca="false">+Q100</f>
        <v>5.57718377922201</v>
      </c>
      <c r="R132" s="81" t="n">
        <f aca="false">+R100</f>
        <v>-48.3484752145081</v>
      </c>
      <c r="S132" s="81" t="n">
        <f aca="false">+S100</f>
        <v>71.4746671486238</v>
      </c>
      <c r="T132" s="81" t="n">
        <f aca="false">+T100</f>
        <v>59.5749768940435</v>
      </c>
      <c r="U132" s="81" t="n">
        <f aca="false">+U100</f>
        <v>-17.1612757457668</v>
      </c>
      <c r="V132" s="81" t="n">
        <f aca="false">+V100</f>
        <v>-74.4585374220292</v>
      </c>
      <c r="W132" s="81" t="n">
        <f aca="false">+W100</f>
        <v>-430.40292582896</v>
      </c>
      <c r="X132" s="81" t="n">
        <f aca="false">+X100</f>
        <v>-145.908216806766</v>
      </c>
      <c r="Y132" s="81" t="n">
        <f aca="false">+Y100</f>
        <v>322.39617121113</v>
      </c>
      <c r="Z132" s="81" t="n">
        <f aca="false">+Z100</f>
        <v>25.8317577736919</v>
      </c>
      <c r="AA132" s="81" t="n">
        <f aca="false">+AA100</f>
        <v>23.1709979033441</v>
      </c>
      <c r="AB132" s="81" t="n">
        <f aca="false">+AB100</f>
        <v>28.4884951370636</v>
      </c>
      <c r="AC132" s="81" t="n">
        <f aca="false">+AC100</f>
        <v>-82.4370981159002</v>
      </c>
      <c r="AD132" s="81" t="n">
        <f aca="false">+AD100</f>
        <v>-185.481291300139</v>
      </c>
      <c r="AE132" s="81" t="n">
        <f aca="false">+AE100</f>
        <v>-152.096309608804</v>
      </c>
      <c r="AF132" s="81" t="n">
        <f aca="false">+AF100</f>
        <v>729.439968804136</v>
      </c>
      <c r="AG132" s="81" t="n">
        <f aca="false">+AG100</f>
        <v>104.15234099679</v>
      </c>
      <c r="AH132" s="81" t="n">
        <f aca="false">+AH100</f>
        <v>19.9806863138492</v>
      </c>
      <c r="AI132" s="81" t="n">
        <f aca="false">+AI100</f>
        <v>21.3275273370962</v>
      </c>
      <c r="AJ132" s="81" t="n">
        <f aca="false">+AJ100</f>
        <v>-0.123306503269021</v>
      </c>
      <c r="AK132" s="81" t="n">
        <f aca="false">+AK100</f>
        <v>12.1604461451955</v>
      </c>
      <c r="AL132" s="81" t="n">
        <f aca="false">+AL100</f>
        <v>8.33884651432501</v>
      </c>
      <c r="AM132" s="75"/>
      <c r="AN132" s="75"/>
      <c r="AO132" s="75"/>
    </row>
    <row r="133" customFormat="false" ht="12" hidden="false" customHeight="true" outlineLevel="0" collapsed="false">
      <c r="B133" s="75"/>
      <c r="C133" s="75"/>
      <c r="D133" s="75"/>
      <c r="E133" s="75"/>
      <c r="F133" s="75"/>
      <c r="G133" s="75"/>
    </row>
    <row r="134" customFormat="false" ht="12.75" hidden="false" customHeight="true" outlineLevel="0" collapsed="false">
      <c r="A134" s="59" t="s">
        <v>319</v>
      </c>
      <c r="B134" s="75"/>
      <c r="C134" s="75"/>
      <c r="D134" s="75"/>
      <c r="E134" s="75"/>
      <c r="F134" s="75"/>
      <c r="G134" s="75"/>
      <c r="Q134" s="169"/>
    </row>
    <row r="135" customFormat="false" ht="12.75" hidden="false" customHeight="true" outlineLevel="0" collapsed="false">
      <c r="A135" s="167"/>
      <c r="B135" s="75"/>
      <c r="C135" s="75"/>
      <c r="D135" s="75"/>
      <c r="E135" s="75"/>
      <c r="F135" s="75"/>
      <c r="G135" s="75"/>
      <c r="Q135" s="84"/>
    </row>
    <row r="136" customFormat="false" ht="12.75" hidden="false" customHeight="true" outlineLevel="0" collapsed="false">
      <c r="A136" s="59" t="s">
        <v>320</v>
      </c>
      <c r="B136" s="75"/>
      <c r="C136" s="75"/>
      <c r="D136" s="75"/>
      <c r="E136" s="75"/>
      <c r="F136" s="75"/>
      <c r="G136" s="75"/>
      <c r="Q136" s="84"/>
    </row>
    <row r="137" customFormat="false" ht="12" hidden="false" customHeight="true" outlineLevel="0" collapsed="false">
      <c r="A137" s="69" t="s">
        <v>321</v>
      </c>
      <c r="B137" s="81" t="n">
        <f aca="false">B714/B89</f>
        <v>0.0250425304922003</v>
      </c>
      <c r="C137" s="81" t="n">
        <f aca="false">C714/C89</f>
        <v>0.0622900587194543</v>
      </c>
      <c r="D137" s="81" t="n">
        <f aca="false">D714/D89</f>
        <v>0.0620349115859042</v>
      </c>
      <c r="E137" s="81" t="n">
        <f aca="false">E714/E89</f>
        <v>0.100000840837811</v>
      </c>
      <c r="F137" s="81" t="n">
        <f aca="false">F714/F89</f>
        <v>0.124990540574629</v>
      </c>
      <c r="G137" s="81" t="n">
        <f aca="false">G714/G89</f>
        <v>0.025</v>
      </c>
      <c r="H137" s="81" t="n">
        <f aca="false">H714/H89</f>
        <v>0.025</v>
      </c>
      <c r="I137" s="81" t="n">
        <f aca="false">I714/I89</f>
        <v>0.087499684685821</v>
      </c>
      <c r="J137" s="81" t="n">
        <f aca="false">J714/J89</f>
        <v>0.100000840837811</v>
      </c>
      <c r="K137" s="81" t="n">
        <f aca="false">K714/K89</f>
        <v>0.112499894895274</v>
      </c>
      <c r="L137" s="81" t="n">
        <f aca="false">L714/L89</f>
        <v>0.124998948952737</v>
      </c>
      <c r="M137" s="81" t="n">
        <f aca="false">M714/M89</f>
        <v>0.187500525523632</v>
      </c>
      <c r="N137" s="81" t="n">
        <f aca="false">N714/N89</f>
        <v>0.236889425468299</v>
      </c>
      <c r="O137" s="81" t="n">
        <f aca="false">O714/O89</f>
        <v>0.32700415032867</v>
      </c>
      <c r="P137" s="81" t="n">
        <f aca="false">P714/P89</f>
        <v>0.37500094420147</v>
      </c>
      <c r="Q137" s="81" t="n">
        <f aca="false">Q714/Q89</f>
        <v>0.375413428146188</v>
      </c>
      <c r="R137" s="81" t="n">
        <f aca="false">R714/R89</f>
        <v>0.250008644393697</v>
      </c>
      <c r="S137" s="81" t="n">
        <f aca="false">S714/S89</f>
        <v>0.374998872470387</v>
      </c>
      <c r="T137" s="81" t="n">
        <f aca="false">T714/T89</f>
        <v>0.499998684548785</v>
      </c>
      <c r="U137" s="81" t="n">
        <f aca="false">U714/U89</f>
        <v>0.499999436234346</v>
      </c>
      <c r="V137" s="81" t="n">
        <f aca="false">V714/V89</f>
        <v>0.299999624156231</v>
      </c>
      <c r="W137" s="81" t="n">
        <f aca="false">W714/W89</f>
        <v>0</v>
      </c>
      <c r="X137" s="81" t="n">
        <f aca="false">X714/X89</f>
        <v>0.22499964861484</v>
      </c>
      <c r="Y137" s="81" t="n">
        <f aca="false">Y714/Y89</f>
        <v>0.47499947292226</v>
      </c>
      <c r="Z137" s="81" t="n">
        <f aca="false">Z714/Z89</f>
        <v>0.78</v>
      </c>
      <c r="AA137" s="81" t="n">
        <f aca="false">AA714/AA89</f>
        <v>1.215</v>
      </c>
      <c r="AB137" s="81" t="n">
        <f aca="false">AB714/AB89</f>
        <v>1.55</v>
      </c>
      <c r="AC137" s="81" t="n">
        <f aca="false">AC714/AC89</f>
        <v>0.25</v>
      </c>
      <c r="AD137" s="81" t="n">
        <f aca="false">AD714/AD89</f>
        <v>0.3</v>
      </c>
      <c r="AE137" s="81" t="n">
        <f aca="false">AE714/AE89</f>
        <v>0.5</v>
      </c>
      <c r="AF137" s="81" t="n">
        <f aca="false">AF714/AF89</f>
        <v>1.3</v>
      </c>
      <c r="AG137" s="81" t="n">
        <f aca="false">AG714/AG89</f>
        <v>2.475</v>
      </c>
      <c r="AH137" s="81" t="n">
        <f aca="false">AH714/AH89</f>
        <v>3.125</v>
      </c>
      <c r="AI137" s="81" t="n">
        <f aca="false">AI714/AI89</f>
        <v>3.5</v>
      </c>
      <c r="AJ137" s="81" t="n">
        <f aca="false">AJ714/AJ89</f>
        <v>3.32758794934492</v>
      </c>
      <c r="AK137" s="81" t="n">
        <f aca="false">AK714/AK89</f>
        <v>3.73223748985902</v>
      </c>
      <c r="AL137" s="81" t="n">
        <f aca="false">AL714/AL89</f>
        <v>4.04346304568846</v>
      </c>
      <c r="AM137" s="170" t="n">
        <f aca="false">10.5*1.2</f>
        <v>12.6</v>
      </c>
      <c r="AN137" s="171"/>
      <c r="AO137" s="171"/>
    </row>
    <row r="138" customFormat="false" ht="12" hidden="false" customHeight="true" outlineLevel="0" collapsed="false">
      <c r="A138" s="69" t="s">
        <v>322</v>
      </c>
      <c r="B138" s="81" t="n">
        <f aca="false">+B714/B89</f>
        <v>0.0250425304922003</v>
      </c>
      <c r="C138" s="81" t="n">
        <f aca="false">+C714/C89</f>
        <v>0.0622900587194543</v>
      </c>
      <c r="D138" s="81" t="n">
        <f aca="false">+D714/D89</f>
        <v>0.0620349115859042</v>
      </c>
      <c r="E138" s="81" t="n">
        <f aca="false">+E714/E89</f>
        <v>0.100000840837811</v>
      </c>
      <c r="F138" s="81" t="n">
        <f aca="false">+F714/F89</f>
        <v>0.124990540574629</v>
      </c>
      <c r="G138" s="81" t="n">
        <f aca="false">+G714/G89</f>
        <v>0.025</v>
      </c>
      <c r="H138" s="81" t="n">
        <f aca="false">+H714/H89</f>
        <v>0.025</v>
      </c>
      <c r="I138" s="81" t="n">
        <f aca="false">+I714/I89</f>
        <v>0.087499684685821</v>
      </c>
      <c r="J138" s="81" t="n">
        <f aca="false">+J714/J89</f>
        <v>0.100000840837811</v>
      </c>
      <c r="K138" s="81" t="n">
        <f aca="false">+K714/K89</f>
        <v>0.112499894895274</v>
      </c>
      <c r="L138" s="81" t="n">
        <f aca="false">+L714/L89</f>
        <v>0.124998948952737</v>
      </c>
      <c r="M138" s="81" t="n">
        <f aca="false">+M714/M89</f>
        <v>0.187500525523632</v>
      </c>
      <c r="N138" s="81" t="n">
        <f aca="false">+N714/N89</f>
        <v>0.236889425468299</v>
      </c>
      <c r="O138" s="81" t="n">
        <f aca="false">+O714/O89</f>
        <v>0.32700415032867</v>
      </c>
      <c r="P138" s="81" t="n">
        <f aca="false">+P714/P89</f>
        <v>0.37500094420147</v>
      </c>
      <c r="Q138" s="81" t="n">
        <f aca="false">+Q714/Q89</f>
        <v>0.375413428146188</v>
      </c>
      <c r="R138" s="81" t="n">
        <f aca="false">+R714/R89</f>
        <v>0.250008644393697</v>
      </c>
      <c r="S138" s="81" t="n">
        <f aca="false">+S714/S89</f>
        <v>0.374998872470387</v>
      </c>
      <c r="T138" s="81" t="n">
        <f aca="false">+T714/T89</f>
        <v>0.499998684548785</v>
      </c>
      <c r="U138" s="81" t="n">
        <f aca="false">+U714/U89</f>
        <v>0.499999436234346</v>
      </c>
      <c r="V138" s="81" t="n">
        <f aca="false">+V714/V89</f>
        <v>0.299999624156231</v>
      </c>
      <c r="W138" s="81" t="n">
        <f aca="false">+W714/W89</f>
        <v>0</v>
      </c>
      <c r="X138" s="81" t="n">
        <f aca="false">+X714/X89</f>
        <v>0.22499964861484</v>
      </c>
      <c r="Y138" s="81" t="n">
        <f aca="false">+Y714/Y89</f>
        <v>0.47499947292226</v>
      </c>
      <c r="Z138" s="81" t="n">
        <f aca="false">+Z714/Z89</f>
        <v>0.78</v>
      </c>
      <c r="AA138" s="81" t="n">
        <f aca="false">+AA714/AA89</f>
        <v>1.215</v>
      </c>
      <c r="AB138" s="81" t="n">
        <f aca="false">+AB714/AB89</f>
        <v>1.55</v>
      </c>
      <c r="AC138" s="81" t="n">
        <f aca="false">+AC714/AC89</f>
        <v>0.25</v>
      </c>
      <c r="AD138" s="81" t="n">
        <f aca="false">+AD714/AD89</f>
        <v>0.3</v>
      </c>
      <c r="AE138" s="81" t="n">
        <f aca="false">+AE714/AE89</f>
        <v>0.5</v>
      </c>
      <c r="AF138" s="81" t="n">
        <f aca="false">+AF714/AF89</f>
        <v>1.3</v>
      </c>
      <c r="AG138" s="81" t="n">
        <f aca="false">+AG714/AG89</f>
        <v>2.475</v>
      </c>
      <c r="AH138" s="81" t="n">
        <f aca="false">+AH714/AH89</f>
        <v>3.125</v>
      </c>
      <c r="AI138" s="81" t="n">
        <f aca="false">+AI714/AI89</f>
        <v>3.5</v>
      </c>
      <c r="AJ138" s="81" t="n">
        <f aca="false">+AJ714/AJ89</f>
        <v>3.32758794934492</v>
      </c>
      <c r="AK138" s="81" t="n">
        <f aca="false">+AK714/AK89</f>
        <v>3.73223748985902</v>
      </c>
      <c r="AL138" s="81" t="n">
        <f aca="false">+AL714/AL89</f>
        <v>4.04346304568846</v>
      </c>
      <c r="AM138" s="171"/>
      <c r="AN138" s="171"/>
      <c r="AO138" s="171"/>
    </row>
    <row r="139" customFormat="false" ht="12" hidden="false" customHeight="true" outlineLevel="0" collapsed="false">
      <c r="A139" s="69" t="s">
        <v>323</v>
      </c>
      <c r="B139" s="81" t="n">
        <f aca="false">+B137/B86*100</f>
        <v>157.016949152537</v>
      </c>
      <c r="C139" s="81" t="n">
        <f aca="false">+C137/C86*100</f>
        <v>55.0070761392582</v>
      </c>
      <c r="D139" s="81" t="n">
        <f aca="false">+D137/D86*100</f>
        <v>41.8047987553686</v>
      </c>
      <c r="E139" s="81" t="n">
        <f aca="false">+E137/E86*100</f>
        <v>42.0682153816222</v>
      </c>
      <c r="F139" s="81" t="n">
        <f aca="false">+F137/F86*100</f>
        <v>47.5927482290793</v>
      </c>
      <c r="G139" s="81" t="n">
        <f aca="false">+G137/G86*100</f>
        <v>64.5716051425248</v>
      </c>
      <c r="H139" s="81" t="n">
        <f aca="false">+H137/H86*100</f>
        <v>57.4013856269936</v>
      </c>
      <c r="I139" s="81" t="n">
        <f aca="false">+I137/I86*100</f>
        <v>53.0342604507753</v>
      </c>
      <c r="J139" s="81" t="n">
        <f aca="false">+J137/J86*100</f>
        <v>48.9680799596497</v>
      </c>
      <c r="K139" s="81" t="n">
        <f aca="false">+K137/K86*100</f>
        <v>55.5748242453193</v>
      </c>
      <c r="L139" s="81" t="n">
        <f aca="false">+L137/L86*100</f>
        <v>45.4086580681617</v>
      </c>
      <c r="M139" s="81" t="n">
        <f aca="false">+M137/M86*100</f>
        <v>43.9179907335831</v>
      </c>
      <c r="N139" s="81" t="n">
        <f aca="false">+N137/N86*100</f>
        <v>47.845327372504</v>
      </c>
      <c r="O139" s="81" t="n">
        <f aca="false">+O137/O86*100</f>
        <v>51.6378500207381</v>
      </c>
      <c r="P139" s="81" t="n">
        <f aca="false">+P137/P86*100</f>
        <v>43.7054595234637</v>
      </c>
      <c r="Q139" s="81" t="n">
        <f aca="false">+Q137/Q86*100</f>
        <v>41.4422245133773</v>
      </c>
      <c r="R139" s="81" t="n">
        <f aca="false">+R137/R86*100</f>
        <v>53.4324557704277</v>
      </c>
      <c r="S139" s="81" t="n">
        <f aca="false">+S137/S86*100</f>
        <v>46.7390739161044</v>
      </c>
      <c r="T139" s="81" t="n">
        <f aca="false">+T137/T86*100</f>
        <v>39.0529830281639</v>
      </c>
      <c r="U139" s="81" t="n">
        <f aca="false">+U137/U86*100</f>
        <v>47.1434610938611</v>
      </c>
      <c r="V139" s="81" t="n">
        <f aca="false">+V137/V86*100</f>
        <v>110.745706226682</v>
      </c>
      <c r="W139" s="81" t="n">
        <f aca="false">+W137/W86*100</f>
        <v>-0</v>
      </c>
      <c r="X139" s="81" t="n">
        <f aca="false">+X137/X86*100</f>
        <v>54.7587742084171</v>
      </c>
      <c r="Y139" s="81" t="n">
        <f aca="false">+Y137/Y86*100</f>
        <v>27.3681242402081</v>
      </c>
      <c r="Z139" s="81" t="n">
        <f aca="false">+Z137/Z86*100</f>
        <v>35.7154596910881</v>
      </c>
      <c r="AA139" s="81" t="n">
        <f aca="false">+AA137/AA86*100</f>
        <v>45.1678542623808</v>
      </c>
      <c r="AB139" s="81" t="n">
        <f aca="false">+AB137/AB86*100</f>
        <v>44.8456824194066</v>
      </c>
      <c r="AC139" s="81" t="n">
        <f aca="false">+AC137/AC86*100</f>
        <v>41.1843932825456</v>
      </c>
      <c r="AD139" s="81" t="n">
        <f aca="false">+AD137/AD86*100</f>
        <v>-57.8153081070434</v>
      </c>
      <c r="AE139" s="81" t="n">
        <f aca="false">+AE137/AE86*100</f>
        <v>184.962903454467</v>
      </c>
      <c r="AF139" s="81" t="n">
        <f aca="false">+AF137/AF86*100</f>
        <v>57.9793073722945</v>
      </c>
      <c r="AG139" s="81" t="n">
        <f aca="false">+AG137/AG86*100</f>
        <v>54.0692704303314</v>
      </c>
      <c r="AH139" s="81" t="n">
        <f aca="false">+AH137/AH86*100</f>
        <v>56.9002253144287</v>
      </c>
      <c r="AI139" s="81" t="n">
        <f aca="false">+AI137/AI86*100</f>
        <v>52.5257983500296</v>
      </c>
      <c r="AJ139" s="81" t="n">
        <f aca="false">+AJ137/AJ86*100</f>
        <v>50.0000000000001</v>
      </c>
      <c r="AK139" s="81" t="n">
        <f aca="false">+AK137/AK86*100</f>
        <v>50</v>
      </c>
      <c r="AL139" s="81" t="n">
        <f aca="false">+AL137/AL86*100</f>
        <v>50</v>
      </c>
      <c r="AM139" s="75"/>
      <c r="AN139" s="75"/>
      <c r="AO139" s="75"/>
    </row>
    <row r="140" customFormat="false" ht="12" hidden="false" customHeight="true" outlineLevel="0" collapsed="false">
      <c r="A140" s="69" t="s">
        <v>324</v>
      </c>
      <c r="B140" s="81" t="n">
        <f aca="false">+B138/B95*100</f>
        <v>0.0197185279466144</v>
      </c>
      <c r="C140" s="81" t="n">
        <f aca="false">+C138/C95*100</f>
        <v>0.049047290330279</v>
      </c>
      <c r="D140" s="81" t="n">
        <f aca="false">+D138/D95*100</f>
        <v>0.0488463870755151</v>
      </c>
      <c r="E140" s="81" t="n">
        <f aca="false">+E138/E95*100</f>
        <v>0.0787408195573313</v>
      </c>
      <c r="F140" s="81" t="n">
        <f aca="false">+F138/F95*100</f>
        <v>0.0984177484839595</v>
      </c>
      <c r="G140" s="81" t="n">
        <f aca="false">+G138/G95*100</f>
        <v>0.0196850393700787</v>
      </c>
      <c r="H140" s="81" t="n">
        <f aca="false">+H138/H95*100</f>
        <v>0.0196850393700787</v>
      </c>
      <c r="I140" s="81" t="n">
        <f aca="false">+I138/I95*100</f>
        <v>0.0688973895163944</v>
      </c>
      <c r="J140" s="81" t="n">
        <f aca="false">+J138/J95*100</f>
        <v>0.0787408195573313</v>
      </c>
      <c r="K140" s="81" t="n">
        <f aca="false">+K138/K95*100</f>
        <v>0.0885825944057273</v>
      </c>
      <c r="L140" s="81" t="n">
        <f aca="false">+L138/L95*100</f>
        <v>0.0984243692541232</v>
      </c>
      <c r="M140" s="81" t="n">
        <f aca="false">+M138/M95*100</f>
        <v>0.147638209073726</v>
      </c>
      <c r="N140" s="81" t="n">
        <f aca="false">+N138/N95*100</f>
        <v>0.186527106667952</v>
      </c>
      <c r="O140" s="81" t="n">
        <f aca="false">+O138/O95*100</f>
        <v>0.257483582935961</v>
      </c>
      <c r="P140" s="81" t="n">
        <f aca="false">+P138/P95*100</f>
        <v>0.295276334016905</v>
      </c>
      <c r="Q140" s="81" t="n">
        <f aca="false">+Q138/Q95*100</f>
        <v>0.295601124524558</v>
      </c>
      <c r="R140" s="81" t="n">
        <f aca="false">+R138/R95*100</f>
        <v>0.196857200309998</v>
      </c>
      <c r="S140" s="81" t="n">
        <f aca="false">+S138/S95*100</f>
        <v>0.295274702732588</v>
      </c>
      <c r="T140" s="81" t="n">
        <f aca="false">+T138/T95*100</f>
        <v>0.393699751613217</v>
      </c>
      <c r="U140" s="81" t="n">
        <f aca="false">+U138/U95*100</f>
        <v>0.393700343491611</v>
      </c>
      <c r="V140" s="81" t="n">
        <f aca="false">+V138/V95*100</f>
        <v>0.236220176500969</v>
      </c>
      <c r="W140" s="81" t="n">
        <f aca="false">+W138/W95*100</f>
        <v>0</v>
      </c>
      <c r="X140" s="81" t="n">
        <f aca="false">+X138/X95*100</f>
        <v>0.17716507764948</v>
      </c>
      <c r="Y140" s="81" t="n">
        <f aca="false">+Y138/Y95*100</f>
        <v>0.374015333009653</v>
      </c>
      <c r="Z140" s="81" t="n">
        <f aca="false">+Z138/Z95*100</f>
        <v>0.614173228346457</v>
      </c>
      <c r="AA140" s="81" t="n">
        <f aca="false">+AA138/AA95*100</f>
        <v>0.956692913385827</v>
      </c>
      <c r="AB140" s="81" t="n">
        <f aca="false">+AB138/AB95*100</f>
        <v>1.22047244094488</v>
      </c>
      <c r="AC140" s="81" t="n">
        <f aca="false">+AC138/AC95*100</f>
        <v>0.196850393700787</v>
      </c>
      <c r="AD140" s="81" t="n">
        <f aca="false">+AD138/AD95*100</f>
        <v>0.236220472440945</v>
      </c>
      <c r="AE140" s="81" t="n">
        <f aca="false">+AE138/AE95*100</f>
        <v>0.393700787401575</v>
      </c>
      <c r="AF140" s="81" t="n">
        <f aca="false">+AF138/AF95*100</f>
        <v>1.02362204724409</v>
      </c>
      <c r="AG140" s="81" t="n">
        <f aca="false">+AG138/AG95*100</f>
        <v>1.9488188976378</v>
      </c>
      <c r="AH140" s="81" t="n">
        <f aca="false">+AH138/AH95*100</f>
        <v>2.46062992125984</v>
      </c>
      <c r="AI140" s="81" t="n">
        <f aca="false">+AI138/AI95*100</f>
        <v>2.75590551181102</v>
      </c>
      <c r="AJ140" s="81" t="n">
        <f aca="false">+AJ138/AJ95*100</f>
        <v>2.62014799161017</v>
      </c>
      <c r="AK140" s="81" t="n">
        <f aca="false">+AK138/AK95*100</f>
        <v>2.93876967705434</v>
      </c>
      <c r="AL140" s="81" t="n">
        <f aca="false">+AL138/AL95*100</f>
        <v>3.18382916983343</v>
      </c>
      <c r="AM140" s="75"/>
      <c r="AN140" s="75"/>
      <c r="AO140" s="75"/>
    </row>
    <row r="141" customFormat="false" ht="12" hidden="false" customHeight="true" outlineLevel="0" collapsed="false">
      <c r="B141" s="75"/>
      <c r="C141" s="75"/>
      <c r="D141" s="75"/>
      <c r="E141" s="75"/>
      <c r="F141" s="75"/>
      <c r="G141" s="75"/>
    </row>
    <row r="142" customFormat="false" ht="12" hidden="false" customHeight="true" outlineLevel="0" collapsed="false">
      <c r="A142" s="69" t="s">
        <v>325</v>
      </c>
      <c r="B142" s="81" t="n">
        <f aca="false">+B86/B137</f>
        <v>0.636873920552699</v>
      </c>
      <c r="C142" s="81" t="n">
        <f aca="false">+C86/C137</f>
        <v>1.81794792631471</v>
      </c>
      <c r="D142" s="81" t="n">
        <f aca="false">+D86/D137</f>
        <v>2.39206988138313</v>
      </c>
      <c r="E142" s="81" t="n">
        <f aca="false">+E86/E137</f>
        <v>2.37709156646768</v>
      </c>
      <c r="F142" s="81" t="n">
        <f aca="false">+F86/F137</f>
        <v>2.10116044399596</v>
      </c>
      <c r="G142" s="81" t="n">
        <f aca="false">+G86/G137</f>
        <v>1.54866833152554</v>
      </c>
      <c r="H142" s="81" t="n">
        <f aca="false">+H86/H137</f>
        <v>1.74211822428506</v>
      </c>
      <c r="I142" s="81" t="n">
        <f aca="false">+I86/I137</f>
        <v>1.88557357357357</v>
      </c>
      <c r="J142" s="81" t="n">
        <f aca="false">+J86/J137</f>
        <v>2.04214664088119</v>
      </c>
      <c r="K142" s="81" t="n">
        <f aca="false">+K86/K137</f>
        <v>1.79937591090848</v>
      </c>
      <c r="L142" s="81" t="n">
        <f aca="false">+L86/L137</f>
        <v>2.2022231938652</v>
      </c>
      <c r="M142" s="81" t="n">
        <f aca="false">+M86/M137</f>
        <v>2.27697119858291</v>
      </c>
      <c r="N142" s="81" t="n">
        <f aca="false">+N86/N137</f>
        <v>2.09006825727079</v>
      </c>
      <c r="O142" s="81" t="n">
        <f aca="false">+O86/O137</f>
        <v>1.936563973129</v>
      </c>
      <c r="P142" s="81" t="n">
        <f aca="false">+P86/P137</f>
        <v>2.28804366983749</v>
      </c>
      <c r="Q142" s="81" t="n">
        <f aca="false">+Q86/Q137</f>
        <v>2.41299788257555</v>
      </c>
      <c r="R142" s="81" t="n">
        <f aca="false">+R86/R137</f>
        <v>1.87152169141635</v>
      </c>
      <c r="S142" s="81" t="n">
        <f aca="false">+S86/S137</f>
        <v>2.13953747092845</v>
      </c>
      <c r="T142" s="81" t="n">
        <f aca="false">+T86/T137</f>
        <v>2.56062385625914</v>
      </c>
      <c r="U142" s="81" t="n">
        <f aca="false">+U86/U137</f>
        <v>2.12118494653804</v>
      </c>
      <c r="V142" s="81" t="n">
        <f aca="false">+V86/V137</f>
        <v>0.902969545341225</v>
      </c>
      <c r="W142" s="81" t="e">
        <f aca="false">+W86/W137</f>
        <v>#DIV/0!</v>
      </c>
      <c r="X142" s="81" t="n">
        <f aca="false">+X86/X137</f>
        <v>1.82619135372517</v>
      </c>
      <c r="Y142" s="81" t="n">
        <f aca="false">+Y86/Y137</f>
        <v>3.65388578049073</v>
      </c>
      <c r="Z142" s="81" t="n">
        <f aca="false">+Z86/Z137</f>
        <v>2.79990796324407</v>
      </c>
      <c r="AA142" s="81" t="n">
        <f aca="false">+AA86/AA137</f>
        <v>2.21396392706854</v>
      </c>
      <c r="AB142" s="81" t="n">
        <f aca="false">+AB86/AB137</f>
        <v>2.22986906665347</v>
      </c>
      <c r="AC142" s="81" t="n">
        <f aca="false">+AC86/AC137</f>
        <v>2.42810424118549</v>
      </c>
      <c r="AD142" s="81" t="n">
        <f aca="false">+AD86/AD137</f>
        <v>-1.72964571623233</v>
      </c>
      <c r="AE142" s="81" t="n">
        <f aca="false">+AE86/AE137</f>
        <v>0.540648952478287</v>
      </c>
      <c r="AF142" s="81" t="n">
        <f aca="false">+AF86/AF137</f>
        <v>1.72475327029838</v>
      </c>
      <c r="AG142" s="81" t="n">
        <f aca="false">+AG86/AG137</f>
        <v>1.8494793660819</v>
      </c>
      <c r="AH142" s="81" t="n">
        <f aca="false">+AH86/AH137</f>
        <v>1.75746228503321</v>
      </c>
      <c r="AI142" s="81" t="n">
        <f aca="false">+AI86/AI137</f>
        <v>1.90382636992216</v>
      </c>
      <c r="AJ142" s="81" t="n">
        <f aca="false">+AJ86/AJ137</f>
        <v>2</v>
      </c>
      <c r="AK142" s="81" t="n">
        <f aca="false">+AK86/AK137</f>
        <v>2</v>
      </c>
      <c r="AL142" s="81" t="n">
        <f aca="false">+AL86/AL137</f>
        <v>2</v>
      </c>
      <c r="AM142" s="75"/>
      <c r="AN142" s="75"/>
      <c r="AO142" s="75"/>
    </row>
    <row r="143" customFormat="false" ht="12" hidden="false" customHeight="true" outlineLevel="0" collapsed="false">
      <c r="A143" s="69" t="s">
        <v>326</v>
      </c>
      <c r="B143" s="81" t="n">
        <f aca="false">1-(B137/B86)</f>
        <v>-0.570169491525369</v>
      </c>
      <c r="C143" s="81" t="n">
        <f aca="false">1-(C137/C86)</f>
        <v>0.449929238607418</v>
      </c>
      <c r="D143" s="81" t="n">
        <f aca="false">1-(D137/D86)</f>
        <v>0.581952012446314</v>
      </c>
      <c r="E143" s="81" t="n">
        <f aca="false">1-(E137/E86)</f>
        <v>0.579317846183778</v>
      </c>
      <c r="F143" s="81" t="n">
        <f aca="false">1-(F137/F86)</f>
        <v>0.524072517709207</v>
      </c>
      <c r="G143" s="81" t="n">
        <f aca="false">1-(G137/G86)</f>
        <v>0.354283948574752</v>
      </c>
      <c r="H143" s="81" t="n">
        <f aca="false">1-(H137/H86)</f>
        <v>0.425986143730065</v>
      </c>
      <c r="I143" s="81" t="n">
        <f aca="false">1-(I137/I86)</f>
        <v>0.469657395492247</v>
      </c>
      <c r="J143" s="81" t="n">
        <f aca="false">1-(J137/J86)</f>
        <v>0.510319200403503</v>
      </c>
      <c r="K143" s="81" t="n">
        <f aca="false">1-(K137/K86)</f>
        <v>0.444251757546807</v>
      </c>
      <c r="L143" s="81" t="n">
        <f aca="false">1-(L137/L86)</f>
        <v>0.545913419318383</v>
      </c>
      <c r="M143" s="81" t="n">
        <f aca="false">1-(M137/M86)</f>
        <v>0.560820092664169</v>
      </c>
      <c r="N143" s="81" t="n">
        <f aca="false">1-(N137/N86)</f>
        <v>0.52154672627496</v>
      </c>
      <c r="O143" s="81" t="n">
        <f aca="false">1-(O137/O86)</f>
        <v>0.483621499792619</v>
      </c>
      <c r="P143" s="81" t="n">
        <f aca="false">1-(P137/P86)</f>
        <v>0.562945404765363</v>
      </c>
      <c r="Q143" s="81" t="n">
        <f aca="false">1-(Q137/Q86)</f>
        <v>0.585577754866227</v>
      </c>
      <c r="R143" s="81" t="n">
        <f aca="false">1-(R137/R86)</f>
        <v>0.465675442295723</v>
      </c>
      <c r="S143" s="81" t="n">
        <f aca="false">1-(S137/S86)</f>
        <v>0.532609260838956</v>
      </c>
      <c r="T143" s="81" t="n">
        <f aca="false">1-(T137/T86)</f>
        <v>0.609470169718361</v>
      </c>
      <c r="U143" s="81" t="n">
        <f aca="false">1-(U137/U86)</f>
        <v>0.528565389061389</v>
      </c>
      <c r="V143" s="81" t="n">
        <f aca="false">1-(V137/V86)</f>
        <v>-0.107457062266821</v>
      </c>
      <c r="W143" s="81" t="n">
        <f aca="false">1-(W137/W86)</f>
        <v>1</v>
      </c>
      <c r="X143" s="81" t="n">
        <f aca="false">1-(X137/X86)</f>
        <v>0.452412257915829</v>
      </c>
      <c r="Y143" s="81" t="n">
        <f aca="false">1-(Y137/Y86)</f>
        <v>0.726318757597919</v>
      </c>
      <c r="Z143" s="81" t="n">
        <f aca="false">1-(Z137/Z86)</f>
        <v>0.642845403089119</v>
      </c>
      <c r="AA143" s="81" t="n">
        <f aca="false">1-(AA137/AA86)</f>
        <v>0.548321457376192</v>
      </c>
      <c r="AB143" s="81" t="n">
        <f aca="false">1-(AB137/AB86)</f>
        <v>0.551543175805934</v>
      </c>
      <c r="AC143" s="81" t="n">
        <f aca="false">1-(AC137/AC86)</f>
        <v>0.588156067174544</v>
      </c>
      <c r="AD143" s="81" t="n">
        <f aca="false">1-(AD137/AD86)</f>
        <v>1.57815308107043</v>
      </c>
      <c r="AE143" s="81" t="n">
        <f aca="false">1-(AE137/AE86)</f>
        <v>-0.849629034544669</v>
      </c>
      <c r="AF143" s="81" t="n">
        <f aca="false">1-(AF137/AF86)</f>
        <v>0.420206926277055</v>
      </c>
      <c r="AG143" s="81" t="n">
        <f aca="false">1-(AG137/AG86)</f>
        <v>0.459307295696686</v>
      </c>
      <c r="AH143" s="81" t="n">
        <f aca="false">1-(AH137/AH86)</f>
        <v>0.430997746855713</v>
      </c>
      <c r="AI143" s="81" t="n">
        <f aca="false">1-(AI137/AI86)</f>
        <v>0.474742016499705</v>
      </c>
      <c r="AJ143" s="81" t="n">
        <f aca="false">1-(AJ137/AJ86)</f>
        <v>0.499999999999999</v>
      </c>
      <c r="AK143" s="81" t="n">
        <f aca="false">1-(AK137/AK86)</f>
        <v>0.5</v>
      </c>
      <c r="AL143" s="81" t="n">
        <f aca="false">1-(AL137/AL86)</f>
        <v>0.5</v>
      </c>
      <c r="AM143" s="75"/>
      <c r="AN143" s="75"/>
      <c r="AO143" s="75"/>
    </row>
    <row r="144" customFormat="false" ht="12" hidden="false" customHeight="true" outlineLevel="0" collapsed="false">
      <c r="B144" s="75"/>
      <c r="C144" s="75"/>
      <c r="D144" s="75"/>
      <c r="E144" s="75"/>
      <c r="F144" s="75"/>
      <c r="G144" s="75"/>
    </row>
    <row r="145" customFormat="false" ht="12.75" hidden="false" customHeight="true" outlineLevel="0" collapsed="false">
      <c r="A145" s="59" t="s">
        <v>327</v>
      </c>
      <c r="B145" s="75"/>
      <c r="C145" s="75"/>
      <c r="D145" s="75"/>
      <c r="E145" s="75"/>
      <c r="F145" s="75"/>
      <c r="G145" s="75"/>
    </row>
    <row r="146" customFormat="false" ht="12" hidden="false" customHeight="true" outlineLevel="0" collapsed="false">
      <c r="B146" s="75"/>
      <c r="C146" s="75"/>
      <c r="D146" s="75"/>
      <c r="E146" s="75"/>
      <c r="F146" s="75"/>
      <c r="G146" s="75"/>
    </row>
    <row r="147" customFormat="false" ht="12.75" hidden="false" customHeight="true" outlineLevel="0" collapsed="false">
      <c r="A147" s="59" t="s">
        <v>16</v>
      </c>
      <c r="B147" s="165" t="s">
        <v>328</v>
      </c>
      <c r="C147" s="165" t="s">
        <v>329</v>
      </c>
      <c r="D147" s="75"/>
      <c r="E147" s="75"/>
      <c r="F147" s="75"/>
      <c r="G147" s="75"/>
    </row>
    <row r="148" customFormat="false" ht="12.75" hidden="false" customHeight="true" outlineLevel="0" collapsed="false">
      <c r="A148" s="167"/>
      <c r="B148" s="165" t="s">
        <v>330</v>
      </c>
      <c r="C148" s="157"/>
      <c r="D148" s="75"/>
      <c r="E148" s="75"/>
      <c r="F148" s="75"/>
      <c r="G148" s="75"/>
    </row>
    <row r="149" customFormat="false" ht="12.75" hidden="false" customHeight="true" outlineLevel="0" collapsed="false">
      <c r="A149" s="167"/>
      <c r="B149" s="157"/>
      <c r="C149" s="157"/>
      <c r="D149" s="75"/>
      <c r="E149" s="75"/>
      <c r="F149" s="75"/>
      <c r="G149" s="75"/>
    </row>
    <row r="150" customFormat="false" ht="12.75" hidden="false" customHeight="true" outlineLevel="0" collapsed="false">
      <c r="A150" s="59" t="s">
        <v>331</v>
      </c>
      <c r="B150" s="75"/>
      <c r="C150" s="74"/>
      <c r="D150" s="75"/>
      <c r="E150" s="75"/>
      <c r="F150" s="75"/>
      <c r="G150" s="75"/>
    </row>
    <row r="151" customFormat="false" ht="12.75" hidden="false" customHeight="true" outlineLevel="0" collapsed="false">
      <c r="A151" s="167"/>
      <c r="B151" s="75"/>
      <c r="C151" s="74"/>
      <c r="D151" s="75"/>
      <c r="E151" s="75"/>
      <c r="F151" s="75"/>
      <c r="G151" s="75"/>
      <c r="T151" s="172" t="e">
        <f aca="false">+#REF!-'Main Model'!T47</f>
        <v>#REF!</v>
      </c>
      <c r="U151" s="172" t="e">
        <f aca="false">+#REF!-'Main Model'!U47</f>
        <v>#REF!</v>
      </c>
      <c r="V151" s="172" t="e">
        <f aca="false">+#REF!-'Main Model'!V47</f>
        <v>#REF!</v>
      </c>
      <c r="W151" s="172" t="e">
        <f aca="false">+#REF!-'Main Model'!W47</f>
        <v>#REF!</v>
      </c>
      <c r="X151" s="172" t="e">
        <f aca="false">+#REF!-'Main Model'!X47</f>
        <v>#REF!</v>
      </c>
      <c r="Y151" s="172" t="e">
        <f aca="false">+#REF!-'Main Model'!Y47</f>
        <v>#REF!</v>
      </c>
      <c r="Z151" s="172" t="e">
        <f aca="false">+#REF!-'Main Model'!Z47</f>
        <v>#REF!</v>
      </c>
      <c r="AA151" s="172" t="e">
        <f aca="false">+#REF!-'Main Model'!AA47</f>
        <v>#REF!</v>
      </c>
      <c r="AB151" s="172" t="e">
        <f aca="false">+#REF!-'Main Model'!AB47</f>
        <v>#REF!</v>
      </c>
      <c r="AC151" s="172" t="e">
        <f aca="false">+#REF!-'Main Model'!AC47</f>
        <v>#REF!</v>
      </c>
      <c r="AD151" s="172" t="e">
        <f aca="false">+#REF!-'Main Model'!AD47</f>
        <v>#REF!</v>
      </c>
      <c r="AE151" s="172" t="e">
        <f aca="false">+#REF!-'Main Model'!AE47</f>
        <v>#REF!</v>
      </c>
      <c r="AF151" s="172" t="e">
        <f aca="false">+#REF!-'Main Model'!AF47</f>
        <v>#REF!</v>
      </c>
      <c r="AG151" s="172" t="e">
        <f aca="false">+#REF!-'Main Model'!AG47</f>
        <v>#REF!</v>
      </c>
      <c r="AH151" s="172" t="e">
        <f aca="false">+#REF!-'Main Model'!AH47</f>
        <v>#REF!</v>
      </c>
      <c r="AI151" s="172" t="e">
        <f aca="false">+#REF!-'Main Model'!AI47</f>
        <v>#REF!</v>
      </c>
      <c r="AJ151" s="172" t="e">
        <f aca="false">+#REF!-'Main Model'!AJ47</f>
        <v>#REF!</v>
      </c>
      <c r="AK151" s="172" t="e">
        <f aca="false">+#REF!-'Main Model'!AK47</f>
        <v>#REF!</v>
      </c>
      <c r="AL151" s="172" t="e">
        <f aca="false">+#REF!-'Main Model'!AL47</f>
        <v>#REF!</v>
      </c>
    </row>
    <row r="152" customFormat="false" ht="12.75" hidden="false" customHeight="true" outlineLevel="0" collapsed="false">
      <c r="A152" s="167"/>
      <c r="B152" s="75"/>
      <c r="C152" s="74"/>
      <c r="D152" s="75"/>
      <c r="E152" s="75"/>
      <c r="F152" s="75"/>
      <c r="G152" s="75"/>
      <c r="N152" s="173" t="e">
        <f aca="false">+N86-#REF!</f>
        <v>#REF!</v>
      </c>
      <c r="O152" s="173" t="e">
        <f aca="false">+O86-#REF!</f>
        <v>#REF!</v>
      </c>
      <c r="P152" s="173" t="e">
        <f aca="false">+P86-#REF!</f>
        <v>#REF!</v>
      </c>
      <c r="Q152" s="173" t="e">
        <f aca="false">+Q86-#REF!</f>
        <v>#REF!</v>
      </c>
      <c r="R152" s="173" t="e">
        <f aca="false">+R86-#REF!</f>
        <v>#REF!</v>
      </c>
      <c r="S152" s="173" t="e">
        <f aca="false">+S86-#REF!</f>
        <v>#REF!</v>
      </c>
      <c r="T152" s="173" t="e">
        <f aca="false">+T86-#REF!</f>
        <v>#REF!</v>
      </c>
      <c r="U152" s="173" t="e">
        <f aca="false">+U86-#REF!</f>
        <v>#REF!</v>
      </c>
      <c r="V152" s="173" t="e">
        <f aca="false">+V86-#REF!</f>
        <v>#REF!</v>
      </c>
      <c r="W152" s="173" t="e">
        <f aca="false">+W86-#REF!</f>
        <v>#REF!</v>
      </c>
      <c r="X152" s="173" t="e">
        <f aca="false">+X86-#REF!</f>
        <v>#REF!</v>
      </c>
      <c r="Y152" s="173" t="e">
        <f aca="false">+Y86-#REF!</f>
        <v>#REF!</v>
      </c>
      <c r="Z152" s="173" t="e">
        <f aca="false">+Z86-#REF!</f>
        <v>#REF!</v>
      </c>
      <c r="AA152" s="173" t="e">
        <f aca="false">+AA86-#REF!</f>
        <v>#REF!</v>
      </c>
      <c r="AB152" s="173" t="e">
        <f aca="false">+AB86-#REF!</f>
        <v>#REF!</v>
      </c>
      <c r="AC152" s="173" t="e">
        <f aca="false">+AC86-#REF!</f>
        <v>#REF!</v>
      </c>
      <c r="AD152" s="173" t="e">
        <f aca="false">+AD86-#REF!</f>
        <v>#REF!</v>
      </c>
      <c r="AE152" s="173" t="e">
        <f aca="false">+AE86-#REF!</f>
        <v>#REF!</v>
      </c>
      <c r="AF152" s="173" t="e">
        <f aca="false">+AF86-#REF!</f>
        <v>#REF!</v>
      </c>
      <c r="AG152" s="173" t="e">
        <f aca="false">+AG86-#REF!</f>
        <v>#REF!</v>
      </c>
      <c r="AH152" s="173" t="e">
        <f aca="false">+AH86-#REF!</f>
        <v>#REF!</v>
      </c>
      <c r="AI152" s="173" t="e">
        <f aca="false">+AI86-#REF!</f>
        <v>#REF!</v>
      </c>
      <c r="AJ152" s="173" t="e">
        <f aca="false">+AJ86-#REF!</f>
        <v>#REF!</v>
      </c>
      <c r="AK152" s="173" t="e">
        <f aca="false">+AK86-#REF!</f>
        <v>#REF!</v>
      </c>
      <c r="AL152" s="173" t="e">
        <f aca="false">+AL86-#REF!</f>
        <v>#REF!</v>
      </c>
    </row>
    <row r="153" customFormat="false" ht="12.75" hidden="false" customHeight="true" outlineLevel="0" collapsed="false">
      <c r="A153" s="167"/>
      <c r="B153" s="75"/>
      <c r="C153" s="74"/>
      <c r="D153" s="75"/>
      <c r="E153" s="75"/>
      <c r="F153" s="75"/>
      <c r="G153" s="75"/>
      <c r="N153" s="172" t="e">
        <f aca="false">+N1036-#REF!</f>
        <v>#REF!</v>
      </c>
      <c r="O153" s="172" t="e">
        <f aca="false">+O1036-#REF!</f>
        <v>#REF!</v>
      </c>
      <c r="P153" s="172" t="e">
        <f aca="false">+P1036-#REF!</f>
        <v>#REF!</v>
      </c>
      <c r="Q153" s="172" t="e">
        <f aca="false">+Q1036-#REF!</f>
        <v>#REF!</v>
      </c>
      <c r="R153" s="172" t="e">
        <f aca="false">+R1036-#REF!</f>
        <v>#REF!</v>
      </c>
      <c r="S153" s="172" t="e">
        <f aca="false">+S1036-#REF!</f>
        <v>#REF!</v>
      </c>
      <c r="T153" s="172" t="e">
        <f aca="false">+T1036-#REF!</f>
        <v>#REF!</v>
      </c>
      <c r="U153" s="172" t="e">
        <f aca="false">+U1036-#REF!</f>
        <v>#REF!</v>
      </c>
      <c r="V153" s="172" t="e">
        <f aca="false">+V1036-#REF!</f>
        <v>#REF!</v>
      </c>
      <c r="W153" s="172" t="e">
        <f aca="false">+W1036-#REF!</f>
        <v>#REF!</v>
      </c>
      <c r="X153" s="172" t="e">
        <f aca="false">+X1036-#REF!</f>
        <v>#REF!</v>
      </c>
      <c r="Y153" s="172" t="e">
        <f aca="false">+Y1036-#REF!</f>
        <v>#REF!</v>
      </c>
      <c r="Z153" s="172" t="e">
        <f aca="false">+Z1036-#REF!</f>
        <v>#REF!</v>
      </c>
      <c r="AA153" s="172" t="e">
        <f aca="false">+AA1036-#REF!</f>
        <v>#REF!</v>
      </c>
      <c r="AB153" s="172" t="e">
        <f aca="false">+AB1036-#REF!</f>
        <v>#REF!</v>
      </c>
      <c r="AC153" s="172" t="e">
        <f aca="false">+AC1036-#REF!</f>
        <v>#REF!</v>
      </c>
      <c r="AD153" s="172" t="e">
        <f aca="false">+AD1036-#REF!</f>
        <v>#REF!</v>
      </c>
      <c r="AE153" s="172" t="e">
        <f aca="false">+AE1036-#REF!</f>
        <v>#REF!</v>
      </c>
      <c r="AF153" s="172" t="e">
        <f aca="false">+AF1036-#REF!</f>
        <v>#REF!</v>
      </c>
      <c r="AG153" s="172" t="e">
        <f aca="false">+AG1036-#REF!</f>
        <v>#REF!</v>
      </c>
      <c r="AH153" s="172" t="e">
        <f aca="false">+AH1036-#REF!</f>
        <v>#REF!</v>
      </c>
      <c r="AI153" s="172" t="e">
        <f aca="false">+AI1036-#REF!</f>
        <v>#REF!</v>
      </c>
      <c r="AJ153" s="172" t="e">
        <f aca="false">+AJ1036-#REF!</f>
        <v>#REF!</v>
      </c>
      <c r="AK153" s="172" t="e">
        <f aca="false">+AK1036-#REF!</f>
        <v>#REF!</v>
      </c>
      <c r="AL153" s="172" t="e">
        <f aca="false">+AL1036-#REF!</f>
        <v>#REF!</v>
      </c>
    </row>
    <row r="154" customFormat="false" ht="12.75" hidden="false" customHeight="true" outlineLevel="0" collapsed="false">
      <c r="A154" s="167"/>
      <c r="B154" s="75"/>
      <c r="C154" s="74"/>
      <c r="D154" s="75"/>
      <c r="E154" s="75"/>
      <c r="F154" s="75"/>
      <c r="G154" s="75"/>
    </row>
    <row r="155" customFormat="false" ht="12.75" hidden="false" customHeight="true" outlineLevel="0" collapsed="false">
      <c r="A155" s="59" t="s">
        <v>332</v>
      </c>
      <c r="B155" s="75"/>
      <c r="C155" s="74"/>
      <c r="D155" s="75"/>
      <c r="E155" s="75"/>
      <c r="F155" s="75"/>
      <c r="G155" s="75"/>
      <c r="N155" s="172" t="e">
        <f aca="false">N19-#REF!</f>
        <v>#REF!</v>
      </c>
      <c r="O155" s="172" t="e">
        <f aca="false">O19-#REF!</f>
        <v>#REF!</v>
      </c>
      <c r="P155" s="172" t="e">
        <f aca="false">P19-#REF!</f>
        <v>#REF!</v>
      </c>
      <c r="Q155" s="172" t="e">
        <f aca="false">Q19-#REF!</f>
        <v>#REF!</v>
      </c>
      <c r="R155" s="172" t="e">
        <f aca="false">R19-#REF!</f>
        <v>#REF!</v>
      </c>
      <c r="S155" s="172" t="e">
        <f aca="false">S19-#REF!</f>
        <v>#REF!</v>
      </c>
      <c r="T155" s="172" t="e">
        <f aca="false">T19-#REF!</f>
        <v>#REF!</v>
      </c>
      <c r="U155" s="172" t="e">
        <f aca="false">U19-#REF!</f>
        <v>#REF!</v>
      </c>
      <c r="V155" s="172" t="e">
        <f aca="false">V19-#REF!</f>
        <v>#REF!</v>
      </c>
      <c r="W155" s="172" t="e">
        <f aca="false">W19-#REF!</f>
        <v>#REF!</v>
      </c>
      <c r="X155" s="172" t="e">
        <f aca="false">X19-#REF!</f>
        <v>#REF!</v>
      </c>
      <c r="Y155" s="172" t="e">
        <f aca="false">Y19-#REF!</f>
        <v>#REF!</v>
      </c>
      <c r="Z155" s="172" t="e">
        <f aca="false">Z19-#REF!</f>
        <v>#REF!</v>
      </c>
      <c r="AA155" s="172" t="e">
        <f aca="false">AA19-#REF!</f>
        <v>#REF!</v>
      </c>
      <c r="AB155" s="172" t="e">
        <f aca="false">AB19-#REF!</f>
        <v>#REF!</v>
      </c>
      <c r="AC155" s="172" t="e">
        <f aca="false">AC19-#REF!</f>
        <v>#REF!</v>
      </c>
      <c r="AD155" s="172" t="e">
        <f aca="false">AD19-#REF!</f>
        <v>#REF!</v>
      </c>
      <c r="AE155" s="172" t="e">
        <f aca="false">AE19-#REF!</f>
        <v>#REF!</v>
      </c>
      <c r="AF155" s="172" t="e">
        <f aca="false">AF19-#REF!</f>
        <v>#REF!</v>
      </c>
      <c r="AG155" s="172" t="e">
        <f aca="false">AG19-#REF!</f>
        <v>#REF!</v>
      </c>
      <c r="AH155" s="172" t="e">
        <f aca="false">AH19-#REF!</f>
        <v>#REF!</v>
      </c>
      <c r="AI155" s="172" t="e">
        <f aca="false">AI19-#REF!</f>
        <v>#REF!</v>
      </c>
      <c r="AJ155" s="172" t="e">
        <f aca="false">AJ19-#REF!</f>
        <v>#REF!</v>
      </c>
      <c r="AK155" s="172" t="e">
        <f aca="false">AK19-#REF!</f>
        <v>#REF!</v>
      </c>
      <c r="AL155" s="172" t="e">
        <f aca="false">AL19-#REF!</f>
        <v>#REF!</v>
      </c>
    </row>
    <row r="156" customFormat="false" ht="12.75" hidden="false" customHeight="true" outlineLevel="0" collapsed="false">
      <c r="A156" s="59" t="s">
        <v>162</v>
      </c>
      <c r="B156" s="75"/>
      <c r="C156" s="74"/>
      <c r="D156" s="75"/>
      <c r="E156" s="174"/>
      <c r="F156" s="174"/>
      <c r="G156" s="174"/>
      <c r="H156" s="174"/>
      <c r="I156" s="174"/>
      <c r="J156" s="175" t="e">
        <f aca="false">J47-#REF!</f>
        <v>#REF!</v>
      </c>
      <c r="K156" s="175" t="e">
        <f aca="false">K47-#REF!</f>
        <v>#REF!</v>
      </c>
      <c r="L156" s="175" t="e">
        <f aca="false">L47-#REF!</f>
        <v>#REF!</v>
      </c>
      <c r="M156" s="175" t="e">
        <f aca="false">M47-#REF!</f>
        <v>#REF!</v>
      </c>
      <c r="N156" s="175" t="e">
        <f aca="false">N47-#REF!</f>
        <v>#REF!</v>
      </c>
      <c r="O156" s="175" t="e">
        <f aca="false">O47-#REF!</f>
        <v>#REF!</v>
      </c>
      <c r="P156" s="175" t="e">
        <f aca="false">P47-#REF!</f>
        <v>#REF!</v>
      </c>
      <c r="Q156" s="175" t="e">
        <f aca="false">Q47-#REF!</f>
        <v>#REF!</v>
      </c>
      <c r="R156" s="175" t="e">
        <f aca="false">R47-#REF!</f>
        <v>#REF!</v>
      </c>
      <c r="S156" s="175" t="e">
        <f aca="false">S47-#REF!</f>
        <v>#REF!</v>
      </c>
      <c r="T156" s="175" t="e">
        <f aca="false">T47-#REF!</f>
        <v>#REF!</v>
      </c>
      <c r="U156" s="175" t="e">
        <f aca="false">U47-#REF!</f>
        <v>#REF!</v>
      </c>
      <c r="V156" s="175" t="e">
        <f aca="false">V47-#REF!</f>
        <v>#REF!</v>
      </c>
      <c r="W156" s="176" t="e">
        <f aca="false">W47-#REF!</f>
        <v>#REF!</v>
      </c>
      <c r="X156" s="176" t="e">
        <f aca="false">X47-#REF!</f>
        <v>#REF!</v>
      </c>
      <c r="Y156" s="176" t="e">
        <f aca="false">Y47-#REF!</f>
        <v>#REF!</v>
      </c>
      <c r="Z156" s="176" t="e">
        <f aca="false">Z47-#REF!</f>
        <v>#REF!</v>
      </c>
      <c r="AA156" s="176" t="e">
        <f aca="false">AA47-#REF!</f>
        <v>#REF!</v>
      </c>
      <c r="AB156" s="176" t="e">
        <f aca="false">AB47-#REF!</f>
        <v>#REF!</v>
      </c>
      <c r="AC156" s="176" t="e">
        <f aca="false">AC47-#REF!</f>
        <v>#REF!</v>
      </c>
      <c r="AD156" s="176" t="e">
        <f aca="false">AD47-#REF!</f>
        <v>#REF!</v>
      </c>
      <c r="AE156" s="176" t="e">
        <f aca="false">AE47-#REF!</f>
        <v>#REF!</v>
      </c>
      <c r="AF156" s="176" t="e">
        <f aca="false">AF47-#REF!</f>
        <v>#REF!</v>
      </c>
      <c r="AG156" s="176" t="e">
        <f aca="false">AG47-#REF!</f>
        <v>#REF!</v>
      </c>
      <c r="AH156" s="176" t="e">
        <f aca="false">AH47-#REF!</f>
        <v>#REF!</v>
      </c>
      <c r="AI156" s="176" t="e">
        <f aca="false">AI47-#REF!</f>
        <v>#REF!</v>
      </c>
      <c r="AJ156" s="176" t="e">
        <f aca="false">AJ47-#REF!</f>
        <v>#REF!</v>
      </c>
      <c r="AK156" s="176" t="e">
        <f aca="false">AK47-#REF!</f>
        <v>#REF!</v>
      </c>
      <c r="AL156" s="176" t="e">
        <f aca="false">AL47-#REF!</f>
        <v>#REF!</v>
      </c>
    </row>
    <row r="157" customFormat="false" ht="12.75" hidden="false" customHeight="true" outlineLevel="0" collapsed="false">
      <c r="A157" s="59" t="s">
        <v>244</v>
      </c>
      <c r="B157" s="75"/>
      <c r="C157" s="74"/>
      <c r="D157" s="75"/>
      <c r="E157" s="174"/>
      <c r="F157" s="174"/>
      <c r="G157" s="174"/>
      <c r="H157" s="174"/>
      <c r="I157" s="174"/>
      <c r="J157" s="175" t="e">
        <f aca="false">J57-#REF!</f>
        <v>#REF!</v>
      </c>
      <c r="K157" s="175" t="e">
        <f aca="false">K57-#REF!</f>
        <v>#REF!</v>
      </c>
      <c r="L157" s="175" t="e">
        <f aca="false">L57-#REF!</f>
        <v>#REF!</v>
      </c>
      <c r="M157" s="175" t="e">
        <f aca="false">M57-#REF!</f>
        <v>#REF!</v>
      </c>
      <c r="N157" s="175" t="e">
        <f aca="false">N57-#REF!</f>
        <v>#REF!</v>
      </c>
      <c r="O157" s="175" t="e">
        <f aca="false">O57-#REF!</f>
        <v>#REF!</v>
      </c>
      <c r="P157" s="175" t="e">
        <f aca="false">P57-#REF!</f>
        <v>#REF!</v>
      </c>
      <c r="Q157" s="175" t="e">
        <f aca="false">Q57-#REF!</f>
        <v>#REF!</v>
      </c>
      <c r="R157" s="175" t="e">
        <f aca="false">R57-#REF!</f>
        <v>#REF!</v>
      </c>
      <c r="S157" s="175" t="e">
        <f aca="false">S57-#REF!</f>
        <v>#REF!</v>
      </c>
      <c r="T157" s="175" t="e">
        <f aca="false">T57-#REF!</f>
        <v>#REF!</v>
      </c>
      <c r="U157" s="175" t="e">
        <f aca="false">U57-#REF!</f>
        <v>#REF!</v>
      </c>
      <c r="V157" s="175" t="e">
        <f aca="false">V57-#REF!</f>
        <v>#REF!</v>
      </c>
      <c r="W157" s="176" t="e">
        <f aca="false">W57-#REF!</f>
        <v>#REF!</v>
      </c>
      <c r="X157" s="176" t="e">
        <f aca="false">X57-#REF!</f>
        <v>#REF!</v>
      </c>
      <c r="Y157" s="176" t="e">
        <f aca="false">Y57-#REF!</f>
        <v>#REF!</v>
      </c>
      <c r="Z157" s="176" t="e">
        <f aca="false">Z57-#REF!</f>
        <v>#REF!</v>
      </c>
      <c r="AA157" s="176" t="e">
        <f aca="false">AA57-#REF!</f>
        <v>#REF!</v>
      </c>
      <c r="AB157" s="176" t="e">
        <f aca="false">AB57-#REF!</f>
        <v>#REF!</v>
      </c>
      <c r="AC157" s="176" t="e">
        <f aca="false">AC57-#REF!</f>
        <v>#REF!</v>
      </c>
      <c r="AD157" s="176" t="e">
        <f aca="false">AD57-#REF!</f>
        <v>#REF!</v>
      </c>
      <c r="AE157" s="176" t="e">
        <f aca="false">AE57-#REF!</f>
        <v>#REF!</v>
      </c>
      <c r="AF157" s="176" t="e">
        <f aca="false">AF57-#REF!</f>
        <v>#REF!</v>
      </c>
      <c r="AG157" s="176" t="e">
        <f aca="false">AG57-#REF!</f>
        <v>#REF!</v>
      </c>
      <c r="AH157" s="176" t="e">
        <f aca="false">AH57-#REF!</f>
        <v>#REF!</v>
      </c>
      <c r="AI157" s="176" t="e">
        <f aca="false">AI57-#REF!</f>
        <v>#REF!</v>
      </c>
      <c r="AJ157" s="176" t="e">
        <f aca="false">AJ57-#REF!</f>
        <v>#REF!</v>
      </c>
      <c r="AK157" s="176" t="e">
        <f aca="false">AK57-#REF!</f>
        <v>#REF!</v>
      </c>
      <c r="AL157" s="176" t="e">
        <f aca="false">AL57-#REF!</f>
        <v>#REF!</v>
      </c>
    </row>
    <row r="158" customFormat="false" ht="12.75" hidden="false" customHeight="true" outlineLevel="0" collapsed="false">
      <c r="A158" s="59" t="s">
        <v>333</v>
      </c>
      <c r="B158" s="75"/>
      <c r="C158" s="74"/>
      <c r="D158" s="75"/>
      <c r="E158" s="174"/>
      <c r="F158" s="174"/>
      <c r="G158" s="174"/>
      <c r="H158" s="174"/>
      <c r="I158" s="174"/>
      <c r="J158" s="175" t="e">
        <f aca="false">J59-#REF!</f>
        <v>#REF!</v>
      </c>
      <c r="K158" s="175" t="e">
        <f aca="false">K59-#REF!</f>
        <v>#REF!</v>
      </c>
      <c r="L158" s="175" t="e">
        <f aca="false">L59-#REF!</f>
        <v>#REF!</v>
      </c>
      <c r="M158" s="175" t="e">
        <f aca="false">M59-#REF!</f>
        <v>#REF!</v>
      </c>
      <c r="N158" s="175" t="e">
        <f aca="false">N59-#REF!</f>
        <v>#REF!</v>
      </c>
      <c r="O158" s="175" t="e">
        <f aca="false">O59-#REF!</f>
        <v>#REF!</v>
      </c>
      <c r="P158" s="175" t="e">
        <f aca="false">P59-#REF!</f>
        <v>#REF!</v>
      </c>
      <c r="Q158" s="175" t="e">
        <f aca="false">Q59-#REF!</f>
        <v>#REF!</v>
      </c>
      <c r="R158" s="175" t="e">
        <f aca="false">R59-#REF!</f>
        <v>#REF!</v>
      </c>
      <c r="S158" s="175" t="e">
        <f aca="false">S59-#REF!</f>
        <v>#REF!</v>
      </c>
      <c r="T158" s="175" t="e">
        <f aca="false">T59-#REF!</f>
        <v>#REF!</v>
      </c>
      <c r="U158" s="175" t="e">
        <f aca="false">U59-#REF!</f>
        <v>#REF!</v>
      </c>
      <c r="V158" s="175" t="e">
        <f aca="false">V59-#REF!</f>
        <v>#REF!</v>
      </c>
      <c r="W158" s="176" t="e">
        <f aca="false">W59-#REF!</f>
        <v>#REF!</v>
      </c>
      <c r="X158" s="176" t="e">
        <f aca="false">X59-#REF!</f>
        <v>#REF!</v>
      </c>
      <c r="Y158" s="176" t="e">
        <f aca="false">Y59-#REF!</f>
        <v>#REF!</v>
      </c>
      <c r="Z158" s="176" t="e">
        <f aca="false">Z59-#REF!</f>
        <v>#REF!</v>
      </c>
      <c r="AA158" s="176" t="e">
        <f aca="false">AA59-#REF!</f>
        <v>#REF!</v>
      </c>
      <c r="AB158" s="176" t="e">
        <f aca="false">AB59-#REF!</f>
        <v>#REF!</v>
      </c>
      <c r="AC158" s="176" t="e">
        <f aca="false">AC59-#REF!</f>
        <v>#REF!</v>
      </c>
      <c r="AD158" s="176" t="e">
        <f aca="false">AD59-#REF!</f>
        <v>#REF!</v>
      </c>
      <c r="AE158" s="176" t="e">
        <f aca="false">AE59-#REF!</f>
        <v>#REF!</v>
      </c>
      <c r="AF158" s="176" t="e">
        <f aca="false">AF59-#REF!</f>
        <v>#REF!</v>
      </c>
      <c r="AG158" s="176" t="e">
        <f aca="false">AG59-#REF!</f>
        <v>#REF!</v>
      </c>
      <c r="AH158" s="176" t="e">
        <f aca="false">AH59-#REF!</f>
        <v>#REF!</v>
      </c>
      <c r="AI158" s="176" t="e">
        <f aca="false">AI59-#REF!</f>
        <v>#REF!</v>
      </c>
      <c r="AJ158" s="176" t="e">
        <f aca="false">AJ59-#REF!</f>
        <v>#REF!</v>
      </c>
      <c r="AK158" s="176" t="e">
        <f aca="false">AK59-#REF!</f>
        <v>#REF!</v>
      </c>
      <c r="AL158" s="176" t="e">
        <f aca="false">AL59-#REF!</f>
        <v>#REF!</v>
      </c>
    </row>
    <row r="159" customFormat="false" ht="12.75" hidden="false" customHeight="true" outlineLevel="0" collapsed="false">
      <c r="A159" s="59" t="s">
        <v>334</v>
      </c>
      <c r="B159" s="75"/>
      <c r="C159" s="74"/>
      <c r="D159" s="75"/>
      <c r="E159" s="177"/>
      <c r="F159" s="177"/>
      <c r="G159" s="177"/>
      <c r="H159" s="177"/>
      <c r="I159" s="177"/>
      <c r="J159" s="178" t="e">
        <f aca="false">J91-#REF!</f>
        <v>#REF!</v>
      </c>
      <c r="K159" s="178" t="e">
        <f aca="false">K91-#REF!</f>
        <v>#REF!</v>
      </c>
      <c r="L159" s="178" t="e">
        <f aca="false">L91-#REF!</f>
        <v>#REF!</v>
      </c>
      <c r="M159" s="178" t="e">
        <f aca="false">M91-#REF!</f>
        <v>#REF!</v>
      </c>
      <c r="N159" s="178" t="e">
        <f aca="false">N91-#REF!</f>
        <v>#REF!</v>
      </c>
      <c r="O159" s="178" t="e">
        <f aca="false">O91-#REF!</f>
        <v>#REF!</v>
      </c>
      <c r="P159" s="178" t="e">
        <f aca="false">P91-#REF!</f>
        <v>#REF!</v>
      </c>
      <c r="Q159" s="178" t="e">
        <f aca="false">Q91-#REF!</f>
        <v>#REF!</v>
      </c>
      <c r="R159" s="178" t="e">
        <f aca="false">R91-#REF!</f>
        <v>#REF!</v>
      </c>
      <c r="S159" s="178" t="e">
        <f aca="false">S91-#REF!</f>
        <v>#REF!</v>
      </c>
      <c r="T159" s="178" t="e">
        <f aca="false">T91-#REF!</f>
        <v>#REF!</v>
      </c>
      <c r="U159" s="178" t="e">
        <f aca="false">U91-#REF!</f>
        <v>#REF!</v>
      </c>
      <c r="V159" s="178" t="e">
        <f aca="false">V91-#REF!</f>
        <v>#REF!</v>
      </c>
      <c r="W159" s="176" t="e">
        <f aca="false">W91-#REF!</f>
        <v>#REF!</v>
      </c>
      <c r="X159" s="176" t="e">
        <f aca="false">X91-#REF!</f>
        <v>#REF!</v>
      </c>
      <c r="Y159" s="176" t="e">
        <f aca="false">Y91-#REF!</f>
        <v>#REF!</v>
      </c>
      <c r="Z159" s="176" t="e">
        <f aca="false">Z91-#REF!</f>
        <v>#REF!</v>
      </c>
      <c r="AA159" s="176" t="e">
        <f aca="false">AA91-#REF!</f>
        <v>#REF!</v>
      </c>
      <c r="AB159" s="176" t="e">
        <f aca="false">AB91-#REF!</f>
        <v>#REF!</v>
      </c>
      <c r="AC159" s="176" t="e">
        <f aca="false">AC91-#REF!</f>
        <v>#REF!</v>
      </c>
      <c r="AD159" s="176" t="e">
        <f aca="false">AD91-#REF!</f>
        <v>#REF!</v>
      </c>
      <c r="AE159" s="176" t="e">
        <f aca="false">AE91-#REF!</f>
        <v>#REF!</v>
      </c>
      <c r="AF159" s="176" t="e">
        <f aca="false">AF91-#REF!</f>
        <v>#REF!</v>
      </c>
      <c r="AG159" s="176" t="e">
        <f aca="false">AG91-#REF!</f>
        <v>#REF!</v>
      </c>
      <c r="AH159" s="176" t="e">
        <f aca="false">AH91-#REF!</f>
        <v>#REF!</v>
      </c>
      <c r="AI159" s="176" t="e">
        <f aca="false">AI91-#REF!</f>
        <v>#REF!</v>
      </c>
      <c r="AJ159" s="176" t="e">
        <f aca="false">AJ91-#REF!</f>
        <v>#REF!</v>
      </c>
      <c r="AK159" s="176" t="e">
        <f aca="false">AK91-#REF!</f>
        <v>#REF!</v>
      </c>
      <c r="AL159" s="176" t="e">
        <f aca="false">AL91-#REF!</f>
        <v>#REF!</v>
      </c>
    </row>
    <row r="160" customFormat="false" ht="12.75" hidden="false" customHeight="true" outlineLevel="0" collapsed="false">
      <c r="A160" s="167"/>
      <c r="B160" s="75"/>
      <c r="C160" s="74"/>
      <c r="D160" s="75"/>
    </row>
    <row r="161" customFormat="false" ht="12.75" hidden="false" customHeight="true" outlineLevel="0" collapsed="false">
      <c r="A161" s="167"/>
      <c r="B161" s="75"/>
      <c r="C161" s="74"/>
      <c r="D161" s="75"/>
      <c r="E161" s="75"/>
      <c r="F161" s="75"/>
      <c r="G161" s="75"/>
    </row>
    <row r="162" customFormat="false" ht="12.75" hidden="false" customHeight="true" outlineLevel="0" collapsed="false">
      <c r="A162" s="59" t="s">
        <v>335</v>
      </c>
      <c r="B162" s="75"/>
      <c r="C162" s="74"/>
      <c r="D162" s="75"/>
      <c r="E162" s="75"/>
      <c r="F162" s="75"/>
      <c r="G162" s="75"/>
    </row>
    <row r="163" customFormat="false" ht="12" hidden="false" customHeight="true" outlineLevel="0" collapsed="false">
      <c r="A163" s="69" t="s">
        <v>336</v>
      </c>
      <c r="B163" s="81" t="n">
        <f aca="false">B91</f>
        <v>0.0159489345751281</v>
      </c>
      <c r="C163" s="81" t="n">
        <f aca="false">C91</f>
        <v>0.113240083079054</v>
      </c>
      <c r="D163" s="81" t="n">
        <f aca="false">D91</f>
        <v>0.14838685265999</v>
      </c>
      <c r="E163" s="81" t="n">
        <f aca="false">E91</f>
        <v>0.237711155395237</v>
      </c>
      <c r="F163" s="81" t="n">
        <f aca="false">F91</f>
        <v>0.262625179729081</v>
      </c>
      <c r="G163" s="81" t="n">
        <f aca="false">G91</f>
        <v>0.0387167082881386</v>
      </c>
      <c r="H163" s="81" t="n">
        <f aca="false">H91</f>
        <v>0.0435529556071265</v>
      </c>
      <c r="I163" s="81" t="n">
        <f aca="false">I91</f>
        <v>0.164987093139604</v>
      </c>
      <c r="J163" s="81" t="n">
        <f aca="false">J91</f>
        <v>0.20421638120223</v>
      </c>
      <c r="K163" s="81" t="n">
        <f aca="false">K91</f>
        <v>0.202429600854291</v>
      </c>
      <c r="L163" s="81" t="n">
        <f aca="false">L91</f>
        <v>0.275275584592489</v>
      </c>
      <c r="M163" s="81" t="n">
        <f aca="false">M91</f>
        <v>0.42693329633647</v>
      </c>
      <c r="N163" s="81" t="n">
        <f aca="false">N91</f>
        <v>0.46915009661696</v>
      </c>
      <c r="O163" s="81" t="n">
        <f aca="false">O91</f>
        <v>0.633264456590162</v>
      </c>
      <c r="P163" s="81" t="n">
        <f aca="false">P91</f>
        <v>0.858018536563256</v>
      </c>
      <c r="Q163" s="81" t="n">
        <f aca="false">Q91</f>
        <v>0.90587180720718</v>
      </c>
      <c r="R163" s="81" t="n">
        <f aca="false">R91</f>
        <v>0.4678966010244</v>
      </c>
      <c r="S163" s="81" t="n">
        <f aca="false">S91</f>
        <v>0.802324139206314</v>
      </c>
      <c r="T163" s="81" t="n">
        <f aca="false">T91</f>
        <v>1.28030855975381</v>
      </c>
      <c r="U163" s="81" t="n">
        <f aca="false">U91</f>
        <v>1.0605912774178</v>
      </c>
      <c r="V163" s="81" t="n">
        <f aca="false">V91</f>
        <v>0.27089052422689</v>
      </c>
      <c r="W163" s="81" t="n">
        <f aca="false">W91</f>
        <v>-0.895030217839053</v>
      </c>
      <c r="X163" s="81" t="n">
        <f aca="false">X91</f>
        <v>0.410892412891621</v>
      </c>
      <c r="Y163" s="81" t="n">
        <f aca="false">Y91</f>
        <v>1.73559381985123</v>
      </c>
      <c r="Z163" s="81" t="n">
        <f aca="false">Z91</f>
        <v>2.18392821133037</v>
      </c>
      <c r="AA163" s="81" t="n">
        <f aca="false">AA91</f>
        <v>2.68996617138827</v>
      </c>
      <c r="AB163" s="81" t="n">
        <f aca="false">AB91</f>
        <v>3.45629705331288</v>
      </c>
      <c r="AC163" s="81" t="n">
        <f aca="false">AC91</f>
        <v>0.607026060296372</v>
      </c>
      <c r="AD163" s="81" t="n">
        <f aca="false">AD91</f>
        <v>-0.5188937148697</v>
      </c>
      <c r="AE163" s="81" t="n">
        <f aca="false">AE91</f>
        <v>0.270324476239143</v>
      </c>
      <c r="AF163" s="81" t="n">
        <f aca="false">AF91</f>
        <v>2.2421792513879</v>
      </c>
      <c r="AG163" s="81" t="n">
        <f aca="false">AG91</f>
        <v>4.57746143105269</v>
      </c>
      <c r="AH163" s="81" t="n">
        <f aca="false">AH91</f>
        <v>5.49206964072877</v>
      </c>
      <c r="AI163" s="81" t="n">
        <f aca="false">AI91</f>
        <v>6.66339229472755</v>
      </c>
      <c r="AJ163" s="81" t="n">
        <f aca="false">AJ91</f>
        <v>6.65517589868983</v>
      </c>
      <c r="AK163" s="81" t="n">
        <f aca="false">AK91</f>
        <v>7.46447497971803</v>
      </c>
      <c r="AL163" s="81" t="n">
        <f aca="false">AL91</f>
        <v>8.08692609137691</v>
      </c>
    </row>
    <row r="164" customFormat="false" ht="12" hidden="false" customHeight="true" outlineLevel="0" collapsed="false">
      <c r="A164" s="69" t="s">
        <v>337</v>
      </c>
      <c r="B164" s="81" t="n">
        <f aca="false">B93</f>
        <v>1.3622012052709</v>
      </c>
      <c r="C164" s="81" t="n">
        <f aca="false">C93</f>
        <v>1.40092694684479</v>
      </c>
      <c r="D164" s="81" t="n">
        <f aca="false">D93</f>
        <v>1.97992499726728</v>
      </c>
      <c r="E164" s="81" t="n">
        <f aca="false">E93</f>
        <v>2.11829326741165</v>
      </c>
      <c r="F164" s="81" t="n">
        <f aca="false">F93</f>
        <v>2.243418342036</v>
      </c>
      <c r="G164" s="81" t="n">
        <f aca="false">G93</f>
        <v>2.25461619958126</v>
      </c>
      <c r="H164" s="81" t="n">
        <f aca="false">H93</f>
        <v>2.27037770434461</v>
      </c>
      <c r="I164" s="81" t="n">
        <f aca="false">I93</f>
        <v>2.33823751986479</v>
      </c>
      <c r="J164" s="81" t="n">
        <f aca="false">J93</f>
        <v>2.42075944471071</v>
      </c>
      <c r="K164" s="81" t="n">
        <f aca="false">K93</f>
        <v>2.12402357709221</v>
      </c>
      <c r="L164" s="81" t="n">
        <f aca="false">L93</f>
        <v>1.96253436924552</v>
      </c>
      <c r="M164" s="81" t="n">
        <f aca="false">M93</f>
        <v>2.15793456600156</v>
      </c>
      <c r="N164" s="81" t="n">
        <f aca="false">N93</f>
        <v>2.27724099918183</v>
      </c>
      <c r="O164" s="81" t="n">
        <f aca="false">O93</f>
        <v>2.84159988212084</v>
      </c>
      <c r="P164" s="81" t="n">
        <f aca="false">P93</f>
        <v>3.53435949149086</v>
      </c>
      <c r="Q164" s="81" t="n">
        <f aca="false">Q93</f>
        <v>3.99635619465701</v>
      </c>
      <c r="R164" s="81" t="n">
        <f aca="false">R93</f>
        <v>3.96333160946584</v>
      </c>
      <c r="S164" s="81" t="n">
        <f aca="false">S93</f>
        <v>4.38906705944787</v>
      </c>
      <c r="T164" s="81" t="n">
        <f aca="false">T93</f>
        <v>4.99248708226907</v>
      </c>
      <c r="U164" s="81" t="n">
        <f aca="false">U93</f>
        <v>5.43999372340905</v>
      </c>
      <c r="V164" s="81" t="n">
        <f aca="false">V93</f>
        <v>5.93723578183021</v>
      </c>
      <c r="W164" s="81" t="n">
        <f aca="false">W93</f>
        <v>6.16362452455763</v>
      </c>
      <c r="X164" s="81" t="n">
        <f aca="false">X93</f>
        <v>7.2229561682151</v>
      </c>
      <c r="Y164" s="81" t="n">
        <f aca="false">Y93</f>
        <v>9.49995607685496</v>
      </c>
      <c r="Z164" s="81" t="n">
        <f aca="false">Z93</f>
        <v>10.7630462282317</v>
      </c>
      <c r="AA164" s="81" t="n">
        <f aca="false">AA93</f>
        <v>12.2386968639353</v>
      </c>
      <c r="AB164" s="81" t="n">
        <f aca="false">AB93</f>
        <v>14.1925225685573</v>
      </c>
      <c r="AC164" s="81" t="n">
        <f aca="false">AC93</f>
        <v>12.3726622381196</v>
      </c>
      <c r="AD164" s="81" t="n">
        <f aca="false">AD93</f>
        <v>11.8841764605689</v>
      </c>
      <c r="AE164" s="81" t="n">
        <f aca="false">AE93</f>
        <v>12.4968489184125</v>
      </c>
      <c r="AF164" s="81" t="n">
        <f aca="false">AF93</f>
        <v>14.3486257280065</v>
      </c>
      <c r="AG164" s="81" t="n">
        <f aca="false">AG93</f>
        <v>15.0025031502231</v>
      </c>
      <c r="AH164" s="81" t="n">
        <f aca="false">AH93</f>
        <v>19.6131278733186</v>
      </c>
      <c r="AI164" s="81" t="n">
        <f aca="false">AI93</f>
        <v>22.3248948739338</v>
      </c>
      <c r="AJ164" s="81" t="n">
        <f aca="false">AJ93</f>
        <v>26.4545340763912</v>
      </c>
      <c r="AK164" s="81" t="n">
        <f aca="false">AK93</f>
        <v>30.5658844105318</v>
      </c>
      <c r="AL164" s="81" t="n">
        <f aca="false">AL93</f>
        <v>34.8950363158172</v>
      </c>
    </row>
    <row r="165" customFormat="false" ht="12" hidden="false" customHeight="true" outlineLevel="0" collapsed="false">
      <c r="A165" s="69" t="s">
        <v>338</v>
      </c>
      <c r="B165" s="81" t="n">
        <f aca="false">B47/B89</f>
        <v>0.225743202329807</v>
      </c>
      <c r="C165" s="81" t="n">
        <f aca="false">C47/C89</f>
        <v>0.281202723146747</v>
      </c>
      <c r="D165" s="81" t="n">
        <f aca="false">D47/D89</f>
        <v>0.227152334586181</v>
      </c>
      <c r="E165" s="81" t="n">
        <f aca="false">E47/E89</f>
        <v>0.30568238192535</v>
      </c>
      <c r="F165" s="81" t="n">
        <f aca="false">F47/F89</f>
        <v>0.481390157152587</v>
      </c>
      <c r="G165" s="81" t="n">
        <f aca="false">G47/G89</f>
        <v>0.325324684475611</v>
      </c>
      <c r="H165" s="81" t="n">
        <f aca="false">H47/H89</f>
        <v>0.348047654124729</v>
      </c>
      <c r="I165" s="81" t="n">
        <f aca="false">I47/I89</f>
        <v>0.548270396623196</v>
      </c>
      <c r="J165" s="81" t="n">
        <f aca="false">J47/J89</f>
        <v>0.603776202608279</v>
      </c>
      <c r="K165" s="81" t="n">
        <f aca="false">K47/K89</f>
        <v>0.622583642341229</v>
      </c>
      <c r="L165" s="81" t="n">
        <f aca="false">L47/L89</f>
        <v>0.687445871065931</v>
      </c>
      <c r="M165" s="81" t="n">
        <f aca="false">M47/M89</f>
        <v>0.829494908727056</v>
      </c>
      <c r="N165" s="81" t="n">
        <f aca="false">N47/N89</f>
        <v>0.842256250025396</v>
      </c>
      <c r="O165" s="81" t="n">
        <f aca="false">O47/O89</f>
        <v>1.10526035740305</v>
      </c>
      <c r="P165" s="81" t="n">
        <f aca="false">P47/P89</f>
        <v>1.32695241979953</v>
      </c>
      <c r="Q165" s="81" t="n">
        <f aca="false">Q47/Q89</f>
        <v>1.5108712810259</v>
      </c>
      <c r="R165" s="81" t="n">
        <f aca="false">R47/R89</f>
        <v>0.882169960807072</v>
      </c>
      <c r="S165" s="81" t="n">
        <f aca="false">S47/S89</f>
        <v>1.43353945827464</v>
      </c>
      <c r="T165" s="81" t="n">
        <f aca="false">T47/T89</f>
        <v>2.38201417379892</v>
      </c>
      <c r="U165" s="81" t="n">
        <f aca="false">U47/U89</f>
        <v>2.3387532510486</v>
      </c>
      <c r="V165" s="81" t="n">
        <f aca="false">V47/V89</f>
        <v>1.64707574755326</v>
      </c>
      <c r="W165" s="81" t="n">
        <f aca="false">W47/W89</f>
        <v>0.31300701324473</v>
      </c>
      <c r="X165" s="81" t="n">
        <f aca="false">X47/X89</f>
        <v>1.80371923622922</v>
      </c>
      <c r="Y165" s="81" t="n">
        <f aca="false">Y47/Y89</f>
        <v>3.96121955247586</v>
      </c>
      <c r="Z165" s="81" t="n">
        <f aca="false">Z47/Z89</f>
        <v>3.86969443546461</v>
      </c>
      <c r="AA165" s="81" t="n">
        <f aca="false">AA47/AA89</f>
        <v>4.67864646606821</v>
      </c>
      <c r="AB165" s="81" t="n">
        <f aca="false">AB47/AB89</f>
        <v>5.34106625787769</v>
      </c>
      <c r="AC165" s="81" t="n">
        <f aca="false">AC47/AC89</f>
        <v>1.99906319196048</v>
      </c>
      <c r="AD165" s="81" t="n">
        <f aca="false">AD47/AD89</f>
        <v>0.91149718957588</v>
      </c>
      <c r="AE165" s="81" t="n">
        <f aca="false">AE47/AE89</f>
        <v>1.69395332992676</v>
      </c>
      <c r="AF165" s="81" t="n">
        <f aca="false">AF47/AF89</f>
        <v>4.9908041279248</v>
      </c>
      <c r="AG165" s="81" t="n">
        <f aca="false">AG47/AG89</f>
        <v>7.84419166978852</v>
      </c>
      <c r="AH165" s="81" t="n">
        <f aca="false">AH47/AH89</f>
        <v>8.39530052783927</v>
      </c>
      <c r="AI165" s="81" t="n">
        <f aca="false">AI47/AI89</f>
        <v>9.75884846524459</v>
      </c>
      <c r="AJ165" s="81" t="n">
        <f aca="false">AJ47/AJ89</f>
        <v>9.79681048007648</v>
      </c>
      <c r="AK165" s="81" t="n">
        <f aca="false">AK47/AK89</f>
        <v>10.869122327443</v>
      </c>
      <c r="AL165" s="81" t="n">
        <f aca="false">AL47/AL89</f>
        <v>11.6223145730234</v>
      </c>
    </row>
    <row r="166" customFormat="false" ht="12" hidden="false" customHeight="true" outlineLevel="0" collapsed="false">
      <c r="A166" s="69" t="s">
        <v>339</v>
      </c>
      <c r="B166" s="81" t="n">
        <f aca="false">B115/B89</f>
        <v>1.51796372653614</v>
      </c>
      <c r="C166" s="81" t="n">
        <f aca="false">C115/C89</f>
        <v>1.58806636067591</v>
      </c>
      <c r="D166" s="81" t="n">
        <f aca="false">D115/D89</f>
        <v>0.98379495329146</v>
      </c>
      <c r="E166" s="81" t="n">
        <f aca="false">E115/E89</f>
        <v>1.75737414760067</v>
      </c>
      <c r="F166" s="81" t="n">
        <f aca="false">F115/F89</f>
        <v>2.3996880491722</v>
      </c>
      <c r="G166" s="81" t="n">
        <f aca="false">G115/G89</f>
        <v>2.57816848708053</v>
      </c>
      <c r="H166" s="81" t="n">
        <f aca="false">H115/H89</f>
        <v>1.85518040175231</v>
      </c>
      <c r="I166" s="81" t="n">
        <f aca="false">I115/I89</f>
        <v>1.79234249005709</v>
      </c>
      <c r="J166" s="81" t="n">
        <f aca="false">J115/J89</f>
        <v>1.45425421890372</v>
      </c>
      <c r="K166" s="81" t="n">
        <f aca="false">K115/K89</f>
        <v>1.23101178013773</v>
      </c>
      <c r="L166" s="81" t="n">
        <f aca="false">L115/L89</f>
        <v>0.965111537135602</v>
      </c>
      <c r="M166" s="81" t="n">
        <f aca="false">M115/M89</f>
        <v>0.232729191366277</v>
      </c>
      <c r="N166" s="81" t="n">
        <f aca="false">N115/N89</f>
        <v>-0.257730213322185</v>
      </c>
      <c r="O166" s="81" t="n">
        <f aca="false">O115/O89</f>
        <v>-0.50996242601855</v>
      </c>
      <c r="P166" s="81" t="n">
        <f aca="false">P115/P89</f>
        <v>0.0626118878741869</v>
      </c>
      <c r="Q166" s="81" t="n">
        <f aca="false">Q115/Q89</f>
        <v>-0.219442022340154</v>
      </c>
      <c r="R166" s="81" t="n">
        <f aca="false">R115/R89</f>
        <v>3.1936503921548</v>
      </c>
      <c r="S166" s="81" t="n">
        <f aca="false">S115/S89</f>
        <v>2.9446012754615</v>
      </c>
      <c r="T166" s="81" t="n">
        <f aca="false">T115/T89</f>
        <v>3.70713959267617</v>
      </c>
      <c r="U166" s="81" t="n">
        <f aca="false">U115/U89</f>
        <v>4.20118090112302</v>
      </c>
      <c r="V166" s="81" t="n">
        <f aca="false">V115/V89</f>
        <v>5.7767020085091</v>
      </c>
      <c r="W166" s="81" t="n">
        <f aca="false">W115/W89</f>
        <v>7.64112407354511</v>
      </c>
      <c r="X166" s="81" t="n">
        <f aca="false">X115/X89</f>
        <v>3.84764589511856</v>
      </c>
      <c r="Y166" s="81" t="n">
        <f aca="false">Y115/Y89</f>
        <v>1.44393386228513</v>
      </c>
      <c r="Z166" s="81" t="n">
        <f aca="false">Z115/Z89</f>
        <v>0.624947994996275</v>
      </c>
      <c r="AA166" s="81" t="n">
        <f aca="false">AA115/AA89</f>
        <v>-5.22229722989381</v>
      </c>
      <c r="AB166" s="81" t="n">
        <f aca="false">AB115/AB89</f>
        <v>-1.26252767841935</v>
      </c>
      <c r="AC166" s="81" t="n">
        <f aca="false">AC115/AC89</f>
        <v>3.33655254641458</v>
      </c>
      <c r="AD166" s="81" t="n">
        <f aca="false">AD115/AD89</f>
        <v>5.14103219213081</v>
      </c>
      <c r="AE166" s="81" t="n">
        <f aca="false">AE115/AE89</f>
        <v>2.05905297223642</v>
      </c>
      <c r="AF166" s="81" t="n">
        <f aca="false">AF115/AF89</f>
        <v>-0.0815367324001231</v>
      </c>
      <c r="AG166" s="81" t="n">
        <f aca="false">AG115/AG89</f>
        <v>-2.3632462623029</v>
      </c>
      <c r="AH166" s="81" t="n">
        <f aca="false">AH115/AH89</f>
        <v>-7.22446790396731</v>
      </c>
      <c r="AI166" s="81" t="n">
        <f aca="false">AI115/AI89</f>
        <v>-10.0473620592792</v>
      </c>
      <c r="AJ166" s="81" t="n">
        <f aca="false">AJ115/AJ89</f>
        <v>-11.8701694901771</v>
      </c>
      <c r="AK166" s="81" t="n">
        <f aca="false">AK115/AK89</f>
        <v>-15.9392273862007</v>
      </c>
      <c r="AL166" s="81" t="n">
        <f aca="false">AL115/AL89</f>
        <v>-20.4982396613356</v>
      </c>
    </row>
    <row r="167" customFormat="false" ht="12" hidden="false" customHeight="true" outlineLevel="0" collapsed="false">
      <c r="A167" s="69" t="s">
        <v>340</v>
      </c>
      <c r="B167" s="81" t="n">
        <f aca="false">B19/B89</f>
        <v>2.96047187220668</v>
      </c>
      <c r="C167" s="81" t="n">
        <f aca="false">C19/C89</f>
        <v>3.3941543372907</v>
      </c>
      <c r="D167" s="81" t="n">
        <f aca="false">D19/D89</f>
        <v>2.80452833203003</v>
      </c>
      <c r="E167" s="81" t="n">
        <f aca="false">E19/E89</f>
        <v>3.76228464041571</v>
      </c>
      <c r="F167" s="81" t="n">
        <f aca="false">F19/F89</f>
        <v>4.58529038333796</v>
      </c>
      <c r="G167" s="81" t="n">
        <f aca="false">G19/G89</f>
        <v>3.71816410967888</v>
      </c>
      <c r="H167" s="81" t="n">
        <f aca="false">H19/H89</f>
        <v>3.82302221878095</v>
      </c>
      <c r="I167" s="81" t="n">
        <f aca="false">I19/I89</f>
        <v>4.73655290131087</v>
      </c>
      <c r="J167" s="81" t="n">
        <f aca="false">J19/J89</f>
        <v>4.73394209990835</v>
      </c>
      <c r="K167" s="81" t="n">
        <f aca="false">K19/K89</f>
        <v>4.7533570449596</v>
      </c>
      <c r="L167" s="81" t="n">
        <f aca="false">L19/L89</f>
        <v>5.63440161777195</v>
      </c>
      <c r="M167" s="81" t="n">
        <f aca="false">M19/M89</f>
        <v>7.13426498162769</v>
      </c>
      <c r="N167" s="81" t="n">
        <f aca="false">N19/N89</f>
        <v>8.33069412432001</v>
      </c>
      <c r="O167" s="81" t="n">
        <f aca="false">O19/O89</f>
        <v>10.7393990618784</v>
      </c>
      <c r="P167" s="81" t="n">
        <f aca="false">P19/P89</f>
        <v>13.5364046318747</v>
      </c>
      <c r="Q167" s="81" t="n">
        <f aca="false">Q19/Q89</f>
        <v>14.5247136070478</v>
      </c>
      <c r="R167" s="81" t="n">
        <f aca="false">R19/R89</f>
        <v>11.2397295206796</v>
      </c>
      <c r="S167" s="81" t="n">
        <f aca="false">S19/S89</f>
        <v>13.6143760401461</v>
      </c>
      <c r="T167" s="81" t="n">
        <f aca="false">T19/T89</f>
        <v>20.8925768712106</v>
      </c>
      <c r="U167" s="81" t="n">
        <f aca="false">U19/U89</f>
        <v>24.1111916878392</v>
      </c>
      <c r="V167" s="81" t="n">
        <f aca="false">V19/V89</f>
        <v>23.454906264564</v>
      </c>
      <c r="W167" s="81" t="n">
        <f aca="false">W19/W89</f>
        <v>18.6858748515417</v>
      </c>
      <c r="X167" s="81" t="n">
        <f aca="false">X19/X89</f>
        <v>23.8277502916497</v>
      </c>
      <c r="Y167" s="81" t="n">
        <f aca="false">Y19/Y89</f>
        <v>33.27143800863</v>
      </c>
      <c r="Z167" s="81" t="n">
        <f aca="false">Z19/Z89</f>
        <v>35.1712946434846</v>
      </c>
      <c r="AA167" s="81" t="n">
        <f aca="false">AA19/AA89</f>
        <v>44.8359061230402</v>
      </c>
      <c r="AB167" s="81" t="n">
        <f aca="false">AB19/AB89</f>
        <v>49.4889286322603</v>
      </c>
      <c r="AC167" s="81" t="n">
        <f aca="false">AC19/AC89</f>
        <v>29.752120592744</v>
      </c>
      <c r="AD167" s="81" t="n">
        <f aca="false">AD19/AD89</f>
        <v>26.0627661386476</v>
      </c>
      <c r="AE167" s="81" t="n">
        <f aca="false">AE19/AE89</f>
        <v>36.9413898824732</v>
      </c>
      <c r="AF167" s="81" t="n">
        <f aca="false">AF19/AF89</f>
        <v>61.5512755015156</v>
      </c>
      <c r="AG167" s="81" t="n">
        <f aca="false">AG19/AG89</f>
        <v>65.3322719068215</v>
      </c>
      <c r="AH167" s="81" t="n">
        <f aca="false">AH19/AH89</f>
        <v>65.9845734718202</v>
      </c>
      <c r="AI167" s="81" t="n">
        <f aca="false">AI19/AI89</f>
        <v>74.9196104802602</v>
      </c>
      <c r="AJ167" s="81" t="n">
        <f aca="false">AJ19/AJ89</f>
        <v>81.6866965525314</v>
      </c>
      <c r="AK167" s="81" t="n">
        <f aca="false">AK19/AK89</f>
        <v>88.2403068422651</v>
      </c>
      <c r="AL167" s="81" t="n">
        <f aca="false">AL19/AL89</f>
        <v>94.8629876399217</v>
      </c>
    </row>
    <row r="168" customFormat="false" ht="12.75" hidden="false" customHeight="true" outlineLevel="0" collapsed="false">
      <c r="A168" s="167"/>
      <c r="B168" s="75"/>
      <c r="C168" s="74"/>
      <c r="D168" s="75"/>
      <c r="E168" s="75"/>
      <c r="F168" s="75"/>
      <c r="G168" s="75"/>
    </row>
    <row r="169" customFormat="false" ht="12.75" hidden="false" customHeight="true" outlineLevel="0" collapsed="false">
      <c r="A169" s="167"/>
      <c r="B169" s="75"/>
      <c r="C169" s="74"/>
      <c r="D169" s="75"/>
      <c r="E169" s="75"/>
      <c r="F169" s="75"/>
      <c r="G169" s="75"/>
    </row>
    <row r="170" customFormat="false" ht="12.75" hidden="false" customHeight="true" outlineLevel="0" collapsed="false">
      <c r="A170" s="167"/>
      <c r="B170" s="75"/>
      <c r="C170" s="74"/>
      <c r="D170" s="75"/>
      <c r="E170" s="75"/>
      <c r="F170" s="75"/>
      <c r="G170" s="75"/>
    </row>
    <row r="171" customFormat="false" ht="12.75" hidden="false" customHeight="true" outlineLevel="0" collapsed="false">
      <c r="A171" s="167"/>
      <c r="B171" s="75"/>
      <c r="C171" s="74"/>
      <c r="D171" s="75"/>
      <c r="E171" s="75"/>
      <c r="F171" s="75"/>
      <c r="G171" s="75"/>
    </row>
    <row r="172" customFormat="false" ht="12.75" hidden="false" customHeight="true" outlineLevel="0" collapsed="false">
      <c r="A172" s="167"/>
      <c r="B172" s="75"/>
      <c r="C172" s="74"/>
      <c r="D172" s="75"/>
      <c r="E172" s="75"/>
      <c r="F172" s="75"/>
      <c r="G172" s="75"/>
    </row>
    <row r="173" customFormat="false" ht="12.75" hidden="false" customHeight="true" outlineLevel="0" collapsed="false">
      <c r="A173" s="167"/>
      <c r="B173" s="75"/>
      <c r="C173" s="74"/>
      <c r="D173" s="75"/>
      <c r="E173" s="75"/>
      <c r="F173" s="75"/>
      <c r="G173" s="75"/>
    </row>
    <row r="174" customFormat="false" ht="12.75" hidden="false" customHeight="true" outlineLevel="0" collapsed="false">
      <c r="A174" s="167"/>
      <c r="B174" s="75"/>
      <c r="C174" s="74"/>
      <c r="D174" s="75"/>
      <c r="E174" s="75"/>
      <c r="F174" s="75"/>
      <c r="G174" s="75"/>
    </row>
    <row r="175" customFormat="false" ht="12.75" hidden="false" customHeight="true" outlineLevel="0" collapsed="false">
      <c r="A175" s="167"/>
      <c r="B175" s="75"/>
      <c r="C175" s="74"/>
      <c r="D175" s="75"/>
      <c r="E175" s="75"/>
      <c r="F175" s="75"/>
      <c r="G175" s="75"/>
    </row>
    <row r="176" customFormat="false" ht="12.75" hidden="false" customHeight="true" outlineLevel="0" collapsed="false">
      <c r="A176" s="167"/>
      <c r="B176" s="75"/>
      <c r="C176" s="74"/>
      <c r="D176" s="75"/>
      <c r="E176" s="75"/>
      <c r="F176" s="75"/>
      <c r="G176" s="75"/>
    </row>
    <row r="177" customFormat="false" ht="12.75" hidden="false" customHeight="true" outlineLevel="0" collapsed="false">
      <c r="A177" s="167"/>
      <c r="B177" s="75"/>
      <c r="C177" s="74"/>
      <c r="D177" s="75"/>
      <c r="E177" s="75"/>
      <c r="F177" s="75"/>
      <c r="G177" s="75"/>
      <c r="AQ177" s="19"/>
    </row>
    <row r="178" customFormat="false" ht="12.75" hidden="false" customHeight="true" outlineLevel="0" collapsed="false">
      <c r="A178" s="167"/>
      <c r="B178" s="75"/>
      <c r="C178" s="74"/>
      <c r="D178" s="75"/>
      <c r="E178" s="75"/>
      <c r="F178" s="75"/>
      <c r="G178" s="75"/>
    </row>
    <row r="179" customFormat="false" ht="12.75" hidden="false" customHeight="true" outlineLevel="0" collapsed="false">
      <c r="A179" s="167"/>
      <c r="B179" s="75"/>
      <c r="C179" s="74"/>
      <c r="D179" s="75"/>
      <c r="E179" s="75"/>
      <c r="F179" s="75"/>
      <c r="G179" s="75"/>
    </row>
    <row r="180" customFormat="false" ht="12.75" hidden="false" customHeight="true" outlineLevel="0" collapsed="false">
      <c r="A180" s="167"/>
      <c r="B180" s="75"/>
      <c r="C180" s="74"/>
      <c r="D180" s="75"/>
      <c r="E180" s="75"/>
      <c r="F180" s="75"/>
      <c r="G180" s="75"/>
    </row>
    <row r="181" customFormat="false" ht="12.75" hidden="false" customHeight="true" outlineLevel="0" collapsed="false">
      <c r="A181" s="167"/>
      <c r="B181" s="75"/>
      <c r="C181" s="74"/>
      <c r="D181" s="75"/>
      <c r="E181" s="75"/>
      <c r="F181" s="75"/>
      <c r="G181" s="75"/>
    </row>
    <row r="182" customFormat="false" ht="12.75" hidden="false" customHeight="true" outlineLevel="0" collapsed="false">
      <c r="A182" s="69" t="s">
        <v>206</v>
      </c>
      <c r="B182" s="39" t="str">
        <f aca="false">+B3</f>
        <v>FY 1993</v>
      </c>
      <c r="C182" s="39" t="str">
        <f aca="false">+C3</f>
        <v>FY 1994</v>
      </c>
      <c r="D182" s="39" t="str">
        <f aca="false">+D3</f>
        <v>FY 1995</v>
      </c>
      <c r="E182" s="39" t="str">
        <f aca="false">+E3</f>
        <v>FY 1996 </v>
      </c>
      <c r="F182" s="39" t="str">
        <f aca="false">+F3</f>
        <v>FY 1997</v>
      </c>
      <c r="G182" s="39" t="str">
        <f aca="false">+G3</f>
        <v>FY 1998</v>
      </c>
      <c r="H182" s="39" t="str">
        <f aca="false">+H3</f>
        <v>FY 1999</v>
      </c>
      <c r="I182" s="39" t="str">
        <f aca="false">+I3</f>
        <v>FY2000</v>
      </c>
      <c r="J182" s="39" t="str">
        <f aca="false">+J3</f>
        <v>FY2001</v>
      </c>
      <c r="K182" s="39" t="str">
        <f aca="false">+K3</f>
        <v>FY2002</v>
      </c>
      <c r="L182" s="39" t="str">
        <f aca="false">+L3</f>
        <v>FY2003</v>
      </c>
      <c r="M182" s="39" t="str">
        <f aca="false">+M3</f>
        <v>FY2004</v>
      </c>
      <c r="N182" s="39" t="str">
        <f aca="false">+N3</f>
        <v>FY2005</v>
      </c>
      <c r="O182" s="39" t="str">
        <f aca="false">+O3</f>
        <v>FY2006</v>
      </c>
      <c r="P182" s="39" t="str">
        <f aca="false">+P3</f>
        <v>FY2007</v>
      </c>
      <c r="Q182" s="39" t="str">
        <f aca="false">+Q3</f>
        <v>FY2008</v>
      </c>
      <c r="R182" s="39" t="str">
        <f aca="false">+R3</f>
        <v>FY2009</v>
      </c>
      <c r="S182" s="39" t="str">
        <f aca="false">+S3</f>
        <v>FY2010</v>
      </c>
      <c r="T182" s="39" t="str">
        <f aca="false">+T3</f>
        <v>FY2011</v>
      </c>
      <c r="U182" s="39" t="str">
        <f aca="false">+U3</f>
        <v>FY2012</v>
      </c>
      <c r="V182" s="39" t="str">
        <f aca="false">+V3</f>
        <v>FY2013</v>
      </c>
      <c r="W182" s="39" t="str">
        <f aca="false">+W3</f>
        <v>FY2014</v>
      </c>
      <c r="X182" s="39" t="str">
        <f aca="false">+X3</f>
        <v>FY2015</v>
      </c>
      <c r="Y182" s="39" t="str">
        <f aca="false">+Y3</f>
        <v>FY2016</v>
      </c>
      <c r="Z182" s="39" t="str">
        <f aca="false">+Z3</f>
        <v>FY2017</v>
      </c>
      <c r="AA182" s="39" t="str">
        <f aca="false">+AA3</f>
        <v>FY2018</v>
      </c>
      <c r="AB182" s="39" t="str">
        <f aca="false">+AB3</f>
        <v>FY2019</v>
      </c>
      <c r="AC182" s="39" t="str">
        <f aca="false">+AC3</f>
        <v>FY2020</v>
      </c>
      <c r="AD182" s="39" t="str">
        <f aca="false">+AD3</f>
        <v>FY2021</v>
      </c>
      <c r="AE182" s="39" t="str">
        <f aca="false">+AE3</f>
        <v>FY2022</v>
      </c>
      <c r="AF182" s="39" t="str">
        <f aca="false">+AF3</f>
        <v>FY2023</v>
      </c>
      <c r="AG182" s="39" t="str">
        <f aca="false">+AG3</f>
        <v>FY2024</v>
      </c>
      <c r="AH182" s="39" t="str">
        <f aca="false">+AH3</f>
        <v>FY2025</v>
      </c>
      <c r="AI182" s="39" t="str">
        <f aca="false">+AI3</f>
        <v>FY2026</v>
      </c>
      <c r="AJ182" s="39" t="str">
        <f aca="false">+AJ3</f>
        <v>FY2027E</v>
      </c>
      <c r="AK182" s="39" t="str">
        <f aca="false">+AK3</f>
        <v>FY2028E</v>
      </c>
      <c r="AL182" s="39" t="str">
        <f aca="false">+AL3</f>
        <v>FY2029E</v>
      </c>
      <c r="AQ182" s="179"/>
    </row>
    <row r="183" customFormat="false" ht="12.75" hidden="false" customHeight="true" outlineLevel="0" collapsed="false">
      <c r="A183" s="59" t="s">
        <v>341</v>
      </c>
    </row>
    <row r="184" customFormat="false" ht="12.75" hidden="false" customHeight="true" outlineLevel="0" collapsed="false">
      <c r="A184" s="59" t="s">
        <v>342</v>
      </c>
      <c r="B184" s="62" t="n">
        <f aca="false">+B773</f>
        <v>693.62</v>
      </c>
      <c r="C184" s="62" t="n">
        <f aca="false">+C773</f>
        <v>779.98</v>
      </c>
      <c r="D184" s="62" t="n">
        <f aca="false">+D773</f>
        <v>1189.25</v>
      </c>
      <c r="E184" s="62" t="n">
        <f aca="false">+E773</f>
        <v>1189.29</v>
      </c>
      <c r="F184" s="62" t="n">
        <f aca="false">+F773</f>
        <v>1189.29</v>
      </c>
      <c r="G184" s="62" t="n">
        <f aca="false">+G773</f>
        <v>1189.29</v>
      </c>
      <c r="H184" s="62" t="n">
        <f aca="false">+H773</f>
        <v>1189.29</v>
      </c>
      <c r="I184" s="62" t="n">
        <f aca="false">+I773</f>
        <v>1189.29</v>
      </c>
      <c r="J184" s="62" t="n">
        <f aca="false">+J773</f>
        <v>1189.29</v>
      </c>
      <c r="K184" s="62" t="n">
        <f aca="false">+K773</f>
        <v>1189.29</v>
      </c>
      <c r="L184" s="62" t="n">
        <f aca="false">+L773</f>
        <v>1189.29</v>
      </c>
      <c r="M184" s="62" t="n">
        <f aca="false">+M773</f>
        <v>1189.29</v>
      </c>
      <c r="N184" s="62" t="n">
        <f aca="false">+N773</f>
        <v>1189.29</v>
      </c>
      <c r="O184" s="62" t="n">
        <f aca="false">+O773</f>
        <v>1221.59</v>
      </c>
      <c r="P184" s="62" t="n">
        <f aca="false">+P773</f>
        <v>1323.87</v>
      </c>
      <c r="Q184" s="62" t="n">
        <f aca="false">+Q773</f>
        <v>1330.34</v>
      </c>
      <c r="R184" s="62" t="n">
        <f aca="false">+R773</f>
        <v>1330.342</v>
      </c>
      <c r="S184" s="62" t="n">
        <f aca="false">+S773</f>
        <v>1330.342</v>
      </c>
      <c r="T184" s="62" t="n">
        <f aca="false">+T773</f>
        <v>1330.342</v>
      </c>
      <c r="U184" s="62" t="n">
        <f aca="false">+U773</f>
        <v>2660.68</v>
      </c>
      <c r="V184" s="62" t="n">
        <f aca="false">+V773</f>
        <v>2660.68</v>
      </c>
      <c r="W184" s="62" t="n">
        <f aca="false">+W773</f>
        <v>2660.68</v>
      </c>
      <c r="X184" s="62" t="n">
        <f aca="false">+X773</f>
        <v>2845.88</v>
      </c>
      <c r="Y184" s="62" t="n">
        <f aca="false">+Y773</f>
        <v>2845.88</v>
      </c>
      <c r="Z184" s="62" t="n">
        <f aca="false">+Z773</f>
        <v>2845.88</v>
      </c>
      <c r="AA184" s="62" t="n">
        <f aca="false">+AA773</f>
        <v>2927.108</v>
      </c>
      <c r="AB184" s="62" t="n">
        <f aca="false">+AB773</f>
        <v>2935.5</v>
      </c>
      <c r="AC184" s="62" t="n">
        <f aca="false">+AC773</f>
        <v>2935.5</v>
      </c>
      <c r="AD184" s="62" t="n">
        <f aca="false">+AD773</f>
        <v>2935.5</v>
      </c>
      <c r="AE184" s="62" t="n">
        <f aca="false">+AE773</f>
        <v>2935.5</v>
      </c>
      <c r="AF184" s="62" t="n">
        <f aca="false">+AF773</f>
        <v>2936.1</v>
      </c>
      <c r="AG184" s="62" t="n">
        <f aca="false">+AG773</f>
        <v>2936.3</v>
      </c>
      <c r="AH184" s="62" t="n">
        <f aca="false">+AH773</f>
        <v>2936.5</v>
      </c>
      <c r="AI184" s="62" t="n">
        <f aca="false">+AI773</f>
        <v>5873.9</v>
      </c>
      <c r="AJ184" s="62" t="n">
        <f aca="false">+AJ773</f>
        <v>5873.9</v>
      </c>
      <c r="AK184" s="62" t="n">
        <f aca="false">+AK773</f>
        <v>5873.9</v>
      </c>
      <c r="AL184" s="62" t="n">
        <f aca="false">+AL773</f>
        <v>5873.9</v>
      </c>
    </row>
    <row r="185" customFormat="false" ht="12.75" hidden="false" customHeight="true" outlineLevel="0" collapsed="false">
      <c r="A185" s="59" t="s">
        <v>343</v>
      </c>
      <c r="B185" s="62" t="n">
        <f aca="false">+B787</f>
        <v>3418.37</v>
      </c>
      <c r="C185" s="62" t="n">
        <f aca="false">+C787</f>
        <v>3917.53</v>
      </c>
      <c r="D185" s="62" t="n">
        <f aca="false">+D787</f>
        <v>8550.43</v>
      </c>
      <c r="E185" s="62" t="n">
        <f aca="false">+E787</f>
        <v>9202.13</v>
      </c>
      <c r="F185" s="62" t="n">
        <f aca="false">+F787</f>
        <v>9791.53</v>
      </c>
      <c r="G185" s="62" t="n">
        <f aca="false">+G787</f>
        <v>9838.96</v>
      </c>
      <c r="H185" s="62" t="n">
        <f aca="false">+H787</f>
        <v>9905.78</v>
      </c>
      <c r="I185" s="62" t="n">
        <f aca="false">+I787</f>
        <v>10212.18</v>
      </c>
      <c r="J185" s="62" t="n">
        <f aca="false">+J787</f>
        <v>10598.31</v>
      </c>
      <c r="K185" s="62" t="n">
        <f aca="false">+K787</f>
        <v>9180.24</v>
      </c>
      <c r="L185" s="62" t="n">
        <f aca="false">+L787</f>
        <v>8405.57</v>
      </c>
      <c r="M185" s="62" t="n">
        <f aca="false">+M787</f>
        <v>9328.68</v>
      </c>
      <c r="N185" s="62" t="n">
        <f aca="false">+N787</f>
        <v>10489.36</v>
      </c>
      <c r="O185" s="62" t="n">
        <f aca="false">+O787</f>
        <v>12902.94</v>
      </c>
      <c r="P185" s="62" t="n">
        <f aca="false">+P787</f>
        <v>17621.81</v>
      </c>
      <c r="Q185" s="62" t="n">
        <f aca="false">+Q787</f>
        <v>20159.48</v>
      </c>
      <c r="R185" s="62" t="n">
        <f aca="false">+R787</f>
        <v>33408.648</v>
      </c>
      <c r="S185" s="62" t="n">
        <f aca="false">+S787</f>
        <v>35357.239</v>
      </c>
      <c r="T185" s="62" t="n">
        <f aca="false">+T787</f>
        <v>38299.279</v>
      </c>
      <c r="U185" s="62" t="n">
        <f aca="false">+U787</f>
        <v>39421.055</v>
      </c>
      <c r="V185" s="62" t="n">
        <f aca="false">+V787</f>
        <v>41900.001</v>
      </c>
      <c r="W185" s="62" t="n">
        <f aca="false">+W787</f>
        <v>41877.452</v>
      </c>
      <c r="X185" s="62" t="n">
        <f aca="false">+X787</f>
        <v>48483.543</v>
      </c>
      <c r="Y185" s="62" t="n">
        <f aca="false">+Y787</f>
        <v>51225.59</v>
      </c>
      <c r="Z185" s="62" t="n">
        <f aca="false">+Z787</f>
        <v>58414.796</v>
      </c>
      <c r="AA185" s="62" t="n">
        <f aca="false">+AA787</f>
        <v>68720.867</v>
      </c>
      <c r="AB185" s="62" t="n">
        <f aca="false">+AB787</f>
        <v>80388.8</v>
      </c>
      <c r="AC185" s="62" t="n">
        <f aca="false">+AC787</f>
        <v>69704.4</v>
      </c>
      <c r="AD185" s="62" t="n">
        <f aca="false">+AD787</f>
        <v>66836.5</v>
      </c>
      <c r="AE185" s="62" t="n">
        <f aca="false">+AE787</f>
        <v>70433.5</v>
      </c>
      <c r="AF185" s="62" t="n">
        <f aca="false">+AF787</f>
        <v>81321.9</v>
      </c>
      <c r="AG185" s="62" t="n">
        <f aca="false">+AG787</f>
        <v>85167.4</v>
      </c>
      <c r="AH185" s="62" t="n">
        <f aca="false">+AH787</f>
        <v>112251.4</v>
      </c>
      <c r="AI185" s="62" t="n">
        <f aca="false">+AI787</f>
        <v>125260.3</v>
      </c>
      <c r="AJ185" s="62" t="n">
        <f aca="false">+AJ787</f>
        <v>149517.387711314</v>
      </c>
      <c r="AK185" s="62" t="n">
        <f aca="false">+AK787</f>
        <v>173667.048439023</v>
      </c>
      <c r="AL185" s="62" t="n">
        <f aca="false">+AL787</f>
        <v>199096.053815479</v>
      </c>
    </row>
    <row r="186" customFormat="false" ht="12.75" hidden="false" customHeight="true" outlineLevel="0" collapsed="false">
      <c r="A186" s="59" t="s">
        <v>344</v>
      </c>
      <c r="B186" s="62" t="n">
        <f aca="false">+B185+B184</f>
        <v>4111.99</v>
      </c>
      <c r="C186" s="62" t="n">
        <f aca="false">+C185+C184</f>
        <v>4697.51</v>
      </c>
      <c r="D186" s="62" t="n">
        <f aca="false">+D185+D184</f>
        <v>9739.68</v>
      </c>
      <c r="E186" s="62" t="n">
        <f aca="false">+E185+E184</f>
        <v>10391.42</v>
      </c>
      <c r="F186" s="62" t="n">
        <f aca="false">+F185+F184</f>
        <v>10980.82</v>
      </c>
      <c r="G186" s="62" t="n">
        <f aca="false">+G185+G184</f>
        <v>11028.25</v>
      </c>
      <c r="H186" s="62" t="n">
        <f aca="false">+H185+H184</f>
        <v>11095.07</v>
      </c>
      <c r="I186" s="62" t="n">
        <f aca="false">+I185+I184</f>
        <v>11401.47</v>
      </c>
      <c r="J186" s="62" t="n">
        <f aca="false">+J185+J184</f>
        <v>11787.6</v>
      </c>
      <c r="K186" s="62" t="n">
        <f aca="false">+K185+K184</f>
        <v>10369.53</v>
      </c>
      <c r="L186" s="62" t="n">
        <f aca="false">+L185+L184</f>
        <v>9594.86</v>
      </c>
      <c r="M186" s="62" t="n">
        <f aca="false">+M185+M184</f>
        <v>10517.97</v>
      </c>
      <c r="N186" s="62" t="n">
        <f aca="false">+N185+N184</f>
        <v>11678.65</v>
      </c>
      <c r="O186" s="62" t="n">
        <f aca="false">+O185+O184</f>
        <v>14124.53</v>
      </c>
      <c r="P186" s="62" t="n">
        <f aca="false">+P185+P184</f>
        <v>18945.68</v>
      </c>
      <c r="Q186" s="62" t="n">
        <f aca="false">+Q185+Q184</f>
        <v>21489.82</v>
      </c>
      <c r="R186" s="62" t="n">
        <f aca="false">+R185+R184</f>
        <v>34738.99</v>
      </c>
      <c r="S186" s="62" t="n">
        <f aca="false">+S185+S184</f>
        <v>36687.581</v>
      </c>
      <c r="T186" s="62" t="n">
        <f aca="false">+T185+T184</f>
        <v>39629.621</v>
      </c>
      <c r="U186" s="62" t="n">
        <f aca="false">+U185+U184</f>
        <v>42081.735</v>
      </c>
      <c r="V186" s="62" t="n">
        <f aca="false">+V185+V184</f>
        <v>44560.681</v>
      </c>
      <c r="W186" s="62" t="n">
        <f aca="false">+W185+W184</f>
        <v>44538.132</v>
      </c>
      <c r="X186" s="62" t="n">
        <f aca="false">+X185+X184</f>
        <v>51329.423</v>
      </c>
      <c r="Y186" s="62" t="n">
        <f aca="false">+Y185+Y184</f>
        <v>54071.47</v>
      </c>
      <c r="Z186" s="62" t="n">
        <f aca="false">+Z185+Z184</f>
        <v>61260.676</v>
      </c>
      <c r="AA186" s="62" t="n">
        <f aca="false">+AA185+AA184</f>
        <v>71647.975</v>
      </c>
      <c r="AB186" s="62" t="n">
        <f aca="false">+AB185+AB184</f>
        <v>83324.3</v>
      </c>
      <c r="AC186" s="62" t="n">
        <f aca="false">+AC185+AC184</f>
        <v>72639.9</v>
      </c>
      <c r="AD186" s="62" t="n">
        <f aca="false">+AD185+AD184</f>
        <v>69772</v>
      </c>
      <c r="AE186" s="62" t="n">
        <f aca="false">+AE185+AE184</f>
        <v>73369</v>
      </c>
      <c r="AF186" s="62" t="n">
        <f aca="false">+AF185+AF184</f>
        <v>84258</v>
      </c>
      <c r="AG186" s="62" t="n">
        <f aca="false">+AG185+AG184</f>
        <v>88103.7</v>
      </c>
      <c r="AH186" s="62" t="n">
        <f aca="false">+AH185+AH184</f>
        <v>115187.9</v>
      </c>
      <c r="AI186" s="62" t="n">
        <f aca="false">+AI185+AI184</f>
        <v>131134.2</v>
      </c>
      <c r="AJ186" s="62" t="n">
        <f aca="false">+AJ185+AJ184</f>
        <v>155391.287711314</v>
      </c>
      <c r="AK186" s="62" t="n">
        <f aca="false">+AK185+AK184</f>
        <v>179540.948439023</v>
      </c>
      <c r="AL186" s="62" t="n">
        <f aca="false">+AL185+AL184</f>
        <v>204969.953815479</v>
      </c>
    </row>
    <row r="187" customFormat="false" ht="12" hidden="false" customHeight="true" outlineLevel="0" collapsed="false">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180"/>
      <c r="AB187" s="41"/>
      <c r="AC187" s="41"/>
      <c r="AD187" s="41"/>
      <c r="AE187" s="41"/>
      <c r="AF187" s="180"/>
      <c r="AG187" s="180"/>
      <c r="AH187" s="41"/>
      <c r="AI187" s="41"/>
      <c r="AJ187" s="41"/>
      <c r="AK187" s="41"/>
      <c r="AL187" s="41"/>
    </row>
    <row r="188" customFormat="false" ht="12.75" hidden="false" customHeight="true" outlineLevel="0" collapsed="false">
      <c r="A188" s="59" t="s">
        <v>345</v>
      </c>
      <c r="B188" s="62" t="n">
        <f aca="false">+B803</f>
        <v>5137.36</v>
      </c>
      <c r="C188" s="62" t="n">
        <f aca="false">+C803</f>
        <v>5325.51</v>
      </c>
      <c r="D188" s="62" t="n">
        <f aca="false">+D803</f>
        <v>5911.07</v>
      </c>
      <c r="E188" s="62" t="n">
        <f aca="false">+E803</f>
        <v>8865.66</v>
      </c>
      <c r="F188" s="62" t="n">
        <f aca="false">+F803</f>
        <v>11760.45</v>
      </c>
      <c r="G188" s="62" t="n">
        <f aca="false">+G803</f>
        <v>12473.44</v>
      </c>
      <c r="H188" s="62" t="n">
        <f aca="false">+H803</f>
        <v>9621.66</v>
      </c>
      <c r="I188" s="62" t="n">
        <f aca="false">+I803</f>
        <v>9656.91</v>
      </c>
      <c r="J188" s="62" t="n">
        <f aca="false">+J803</f>
        <v>9330.08</v>
      </c>
      <c r="K188" s="62" t="n">
        <f aca="false">+K803</f>
        <v>8884.49</v>
      </c>
      <c r="L188" s="62" t="n">
        <f aca="false">+L803</f>
        <v>7175.22</v>
      </c>
      <c r="M188" s="62" t="n">
        <f aca="false">+M803</f>
        <v>4990.73</v>
      </c>
      <c r="N188" s="62" t="n">
        <f aca="false">+N803</f>
        <v>8804.06</v>
      </c>
      <c r="O188" s="62" t="n">
        <f aca="false">+O803</f>
        <v>6919.28</v>
      </c>
      <c r="P188" s="62" t="n">
        <f aca="false">+P803</f>
        <v>6403.98</v>
      </c>
      <c r="Q188" s="62" t="n">
        <f aca="false">+Q803</f>
        <v>8875.01</v>
      </c>
      <c r="R188" s="62" t="n">
        <f aca="false">+R803</f>
        <v>19581.439</v>
      </c>
      <c r="S188" s="62" t="n">
        <f aca="false">+S803</f>
        <v>22038.918</v>
      </c>
      <c r="T188" s="62" t="n">
        <f aca="false">+T803</f>
        <v>25682.648</v>
      </c>
      <c r="U188" s="62" t="n">
        <f aca="false">+U803</f>
        <v>30978.933</v>
      </c>
      <c r="V188" s="62" t="n">
        <f aca="false">+V803</f>
        <v>43554.325</v>
      </c>
      <c r="W188" s="62" t="n">
        <f aca="false">+W803</f>
        <v>46903.208</v>
      </c>
      <c r="X188" s="62" t="n">
        <f aca="false">+X803</f>
        <v>33497.276</v>
      </c>
      <c r="Y188" s="62" t="n">
        <f aca="false">+Y803</f>
        <v>24149.839</v>
      </c>
      <c r="Z188" s="62" t="n">
        <f aca="false">+Z803</f>
        <v>21448.525</v>
      </c>
      <c r="AA188" s="62" t="n">
        <f aca="false">+AA803</f>
        <v>10023.173</v>
      </c>
      <c r="AB188" s="62" t="n">
        <f aca="false">+AB803</f>
        <v>6323.6</v>
      </c>
      <c r="AC188" s="62" t="n">
        <f aca="false">+AC803</f>
        <v>32813.6</v>
      </c>
      <c r="AD188" s="62" t="n">
        <f aca="false">+AD803</f>
        <v>38412.5</v>
      </c>
      <c r="AE188" s="62" t="n">
        <f aca="false">+AE803</f>
        <v>35538.8</v>
      </c>
      <c r="AF188" s="62" t="n">
        <f aca="false">+AF803</f>
        <v>32248.3</v>
      </c>
      <c r="AG188" s="62" t="n">
        <f aca="false">+AG803</f>
        <v>22994</v>
      </c>
      <c r="AH188" s="62" t="n">
        <f aca="false">+AH803</f>
        <v>14817.2</v>
      </c>
      <c r="AI188" s="62" t="n">
        <f aca="false">+AI803</f>
        <v>11950.4</v>
      </c>
      <c r="AJ188" s="62" t="n">
        <f aca="false">+AJ803</f>
        <v>9950.4</v>
      </c>
      <c r="AK188" s="62" t="n">
        <f aca="false">+AK803</f>
        <v>7950.4</v>
      </c>
      <c r="AL188" s="62" t="n">
        <f aca="false">+AL803</f>
        <v>5950.4</v>
      </c>
    </row>
    <row r="189" customFormat="false" ht="12.75" hidden="false" customHeight="true" outlineLevel="0" collapsed="false">
      <c r="A189" s="167"/>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180"/>
      <c r="AB189" s="41"/>
      <c r="AC189" s="41"/>
      <c r="AD189" s="41"/>
      <c r="AE189" s="41"/>
      <c r="AF189" s="180"/>
      <c r="AG189" s="180"/>
      <c r="AH189" s="41"/>
      <c r="AI189" s="41"/>
      <c r="AJ189" s="41"/>
      <c r="AK189" s="41"/>
      <c r="AL189" s="41"/>
    </row>
    <row r="190" customFormat="false" ht="12.75" hidden="false" customHeight="true" outlineLevel="0" collapsed="false">
      <c r="A190" s="59" t="s">
        <v>346</v>
      </c>
      <c r="B190" s="62" t="n">
        <f aca="false">+B814</f>
        <v>0</v>
      </c>
      <c r="C190" s="62" t="n">
        <f aca="false">+C814</f>
        <v>0</v>
      </c>
      <c r="D190" s="62" t="n">
        <f aca="false">+D814</f>
        <v>0</v>
      </c>
      <c r="E190" s="62" t="n">
        <f aca="false">+E814</f>
        <v>0</v>
      </c>
      <c r="F190" s="62" t="n">
        <f aca="false">+F814</f>
        <v>0</v>
      </c>
      <c r="G190" s="62" t="n">
        <f aca="false">+G814</f>
        <v>0</v>
      </c>
      <c r="H190" s="62" t="n">
        <f aca="false">+H814</f>
        <v>0</v>
      </c>
      <c r="I190" s="62" t="n">
        <f aca="false">+I814</f>
        <v>0</v>
      </c>
      <c r="J190" s="62" t="n">
        <f aca="false">+J814</f>
        <v>0</v>
      </c>
      <c r="K190" s="62" t="n">
        <f aca="false">+K814</f>
        <v>1891.5</v>
      </c>
      <c r="L190" s="62" t="n">
        <f aca="false">+L814</f>
        <v>1684.99</v>
      </c>
      <c r="M190" s="62" t="n">
        <f aca="false">+M814</f>
        <v>1802.86</v>
      </c>
      <c r="N190" s="62" t="n">
        <f aca="false">+N814</f>
        <v>1708.48</v>
      </c>
      <c r="O190" s="62" t="n">
        <f aca="false">+O814</f>
        <v>1796.89</v>
      </c>
      <c r="P190" s="62" t="n">
        <f aca="false">+P814</f>
        <v>1969.29</v>
      </c>
      <c r="Q190" s="62" t="n">
        <f aca="false">+Q814</f>
        <v>2538.2</v>
      </c>
      <c r="R190" s="62" t="n">
        <f aca="false">+R814</f>
        <v>2634.369</v>
      </c>
      <c r="S190" s="62" t="n">
        <f aca="false">+S814</f>
        <v>3845.369</v>
      </c>
      <c r="T190" s="62" t="n">
        <f aca="false">+T814</f>
        <v>4438.869</v>
      </c>
      <c r="U190" s="62" t="n">
        <f aca="false">+U814</f>
        <v>4903.669</v>
      </c>
      <c r="V190" s="62" t="n">
        <f aca="false">+V814</f>
        <v>5273.669</v>
      </c>
      <c r="W190" s="62" t="n">
        <f aca="false">+W814</f>
        <v>4067.669</v>
      </c>
      <c r="X190" s="62" t="n">
        <f aca="false">+X814</f>
        <v>5102.669</v>
      </c>
      <c r="Y190" s="62" t="n">
        <f aca="false">+Y814</f>
        <v>3291.042</v>
      </c>
      <c r="Z190" s="62" t="n">
        <f aca="false">+Z814</f>
        <v>1269.021</v>
      </c>
      <c r="AA190" s="62" t="n">
        <f aca="false">+AA814</f>
        <v>2983.886</v>
      </c>
      <c r="AB190" s="62" t="n">
        <f aca="false">+AB814</f>
        <v>2497.3</v>
      </c>
      <c r="AC190" s="62" t="n">
        <f aca="false">+AC814</f>
        <v>2648.2</v>
      </c>
      <c r="AD190" s="62" t="n">
        <f aca="false">+AD814</f>
        <v>1707.9</v>
      </c>
      <c r="AE190" s="62" t="n">
        <f aca="false">+AE814</f>
        <v>1443.6</v>
      </c>
      <c r="AF190" s="62" t="n">
        <f aca="false">+AF814</f>
        <v>5035.1</v>
      </c>
      <c r="AG190" s="62" t="n">
        <f aca="false">+AG814</f>
        <v>5563.1</v>
      </c>
      <c r="AH190" s="62" t="n">
        <f aca="false">+AH814</f>
        <v>5478.9</v>
      </c>
      <c r="AI190" s="62" t="n">
        <f aca="false">+AI814</f>
        <v>5357.1</v>
      </c>
      <c r="AJ190" s="62" t="n">
        <f aca="false">+AJ814</f>
        <v>5624.955</v>
      </c>
      <c r="AK190" s="62" t="n">
        <f aca="false">+AK814</f>
        <v>5906.20275</v>
      </c>
      <c r="AL190" s="62" t="n">
        <f aca="false">+AL814</f>
        <v>6201.5128875</v>
      </c>
    </row>
    <row r="191" customFormat="false" ht="12.75" hidden="false" customHeight="true" outlineLevel="0" collapsed="false">
      <c r="A191" s="59" t="s">
        <v>347</v>
      </c>
      <c r="B191" s="62" t="n">
        <f aca="false">+B815</f>
        <v>0</v>
      </c>
      <c r="C191" s="62" t="n">
        <f aca="false">+C815</f>
        <v>0</v>
      </c>
      <c r="D191" s="62" t="n">
        <f aca="false">+D815</f>
        <v>0</v>
      </c>
      <c r="E191" s="62" t="n">
        <f aca="false">+E815</f>
        <v>0</v>
      </c>
      <c r="F191" s="62" t="n">
        <f aca="false">+F815</f>
        <v>0</v>
      </c>
      <c r="G191" s="62" t="n">
        <f aca="false">+G815</f>
        <v>0</v>
      </c>
      <c r="H191" s="62" t="n">
        <f aca="false">+H815</f>
        <v>0</v>
      </c>
      <c r="I191" s="62" t="n">
        <f aca="false">+I815</f>
        <v>0</v>
      </c>
      <c r="J191" s="62" t="n">
        <f aca="false">+J815</f>
        <v>0</v>
      </c>
      <c r="K191" s="62" t="n">
        <f aca="false">+K815</f>
        <v>0</v>
      </c>
      <c r="L191" s="62" t="n">
        <f aca="false">+L815</f>
        <v>0</v>
      </c>
      <c r="M191" s="62" t="n">
        <f aca="false">+M815</f>
        <v>0</v>
      </c>
      <c r="N191" s="62" t="n">
        <f aca="false">+N815</f>
        <v>0</v>
      </c>
      <c r="O191" s="62" t="n">
        <f aca="false">+O815</f>
        <v>0</v>
      </c>
      <c r="P191" s="62" t="n">
        <f aca="false">+P815</f>
        <v>0</v>
      </c>
      <c r="Q191" s="62" t="n">
        <f aca="false">+Q815</f>
        <v>0</v>
      </c>
      <c r="R191" s="62" t="n">
        <f aca="false">+R815</f>
        <v>38.411</v>
      </c>
      <c r="S191" s="62" t="n">
        <f aca="false">+S815</f>
        <v>-124.501</v>
      </c>
      <c r="T191" s="62" t="n">
        <f aca="false">+T815</f>
        <v>0</v>
      </c>
      <c r="U191" s="62" t="n">
        <f aca="false">+U815</f>
        <v>35.903</v>
      </c>
      <c r="V191" s="62" t="n">
        <f aca="false">+V815</f>
        <v>17.785</v>
      </c>
      <c r="W191" s="62" t="n">
        <f aca="false">+W815</f>
        <v>23.712</v>
      </c>
      <c r="X191" s="62" t="n">
        <f aca="false">+X815</f>
        <v>20.604</v>
      </c>
      <c r="Y191" s="62" t="n">
        <f aca="false">+Y818</f>
        <v>2034.722</v>
      </c>
      <c r="Z191" s="62" t="n">
        <f aca="false">+Z818</f>
        <v>864.804</v>
      </c>
      <c r="AA191" s="62" t="n">
        <f aca="false">+AA818</f>
        <v>2051.805</v>
      </c>
      <c r="AB191" s="62" t="n">
        <f aca="false">+AB818</f>
        <v>3052.5</v>
      </c>
      <c r="AC191" s="62" t="n">
        <f aca="false">+AC818</f>
        <v>3273.2</v>
      </c>
      <c r="AD191" s="62" t="n">
        <f aca="false">+AD818</f>
        <v>2805</v>
      </c>
      <c r="AE191" s="62" t="n">
        <f aca="false">+AE818</f>
        <v>2199.9</v>
      </c>
      <c r="AF191" s="62" t="n">
        <f aca="false">+AF818</f>
        <v>2730.5</v>
      </c>
      <c r="AG191" s="62" t="n">
        <f aca="false">+AG818</f>
        <v>3047.6</v>
      </c>
      <c r="AH191" s="62" t="n">
        <f aca="false">+AH818</f>
        <v>3854.3</v>
      </c>
      <c r="AI191" s="62" t="n">
        <f aca="false">+AI818</f>
        <v>4349.6</v>
      </c>
      <c r="AJ191" s="62" t="n">
        <f aca="false">+AJ818</f>
        <v>4784.56</v>
      </c>
      <c r="AK191" s="62" t="n">
        <f aca="false">+AK818</f>
        <v>5263.016</v>
      </c>
      <c r="AL191" s="62" t="n">
        <f aca="false">+AL818</f>
        <v>5789.3176</v>
      </c>
    </row>
    <row r="192" customFormat="false" ht="12.75" hidden="false" customHeight="true" outlineLevel="0" collapsed="false">
      <c r="A192" s="59" t="s">
        <v>348</v>
      </c>
      <c r="B192" s="62" t="n">
        <f aca="false">+B816</f>
        <v>0</v>
      </c>
      <c r="C192" s="62" t="n">
        <f aca="false">+C816</f>
        <v>0</v>
      </c>
      <c r="D192" s="62" t="n">
        <f aca="false">+D816</f>
        <v>0</v>
      </c>
      <c r="E192" s="62" t="n">
        <f aca="false">+E816</f>
        <v>0</v>
      </c>
      <c r="F192" s="62" t="n">
        <f aca="false">+F816</f>
        <v>0</v>
      </c>
      <c r="G192" s="62" t="n">
        <f aca="false">+G816</f>
        <v>0</v>
      </c>
      <c r="H192" s="62" t="n">
        <f aca="false">+H816</f>
        <v>0</v>
      </c>
      <c r="I192" s="62" t="n">
        <f aca="false">+I816</f>
        <v>0</v>
      </c>
      <c r="J192" s="62" t="n">
        <f aca="false">+J816</f>
        <v>0</v>
      </c>
      <c r="K192" s="62" t="n">
        <f aca="false">+K816</f>
        <v>0</v>
      </c>
      <c r="L192" s="62" t="n">
        <f aca="false">+L816</f>
        <v>0</v>
      </c>
      <c r="M192" s="62" t="n">
        <f aca="false">+M816</f>
        <v>0</v>
      </c>
      <c r="N192" s="62" t="n">
        <f aca="false">+N816</f>
        <v>0</v>
      </c>
      <c r="O192" s="62" t="n">
        <f aca="false">+O816</f>
        <v>0</v>
      </c>
      <c r="P192" s="62" t="n">
        <f aca="false">+P816</f>
        <v>0</v>
      </c>
      <c r="Q192" s="62" t="n">
        <f aca="false">+Q816</f>
        <v>0</v>
      </c>
      <c r="R192" s="62" t="n">
        <f aca="false">+R816</f>
        <v>0</v>
      </c>
      <c r="S192" s="62" t="n">
        <f aca="false">+S816</f>
        <v>765.485</v>
      </c>
      <c r="T192" s="62" t="n">
        <f aca="false">+T816</f>
        <v>899.267</v>
      </c>
      <c r="U192" s="62" t="n">
        <f aca="false">+U816</f>
        <v>4.307</v>
      </c>
      <c r="V192" s="62" t="n">
        <f aca="false">+V816</f>
        <v>0</v>
      </c>
      <c r="W192" s="62" t="n">
        <f aca="false">+W816</f>
        <v>0</v>
      </c>
      <c r="X192" s="62" t="n">
        <f aca="false">+X816</f>
        <v>0</v>
      </c>
      <c r="Y192" s="62" t="n">
        <f aca="false">+Y816</f>
        <v>0</v>
      </c>
      <c r="Z192" s="62" t="n">
        <f aca="false">+Z816</f>
        <v>0</v>
      </c>
      <c r="AA192" s="62" t="n">
        <f aca="false">+AA816</f>
        <v>0</v>
      </c>
      <c r="AB192" s="62" t="n">
        <f aca="false">+AB816</f>
        <v>0</v>
      </c>
      <c r="AC192" s="62" t="n">
        <f aca="false">+AC816</f>
        <v>0</v>
      </c>
      <c r="AD192" s="62" t="n">
        <f aca="false">+AD816</f>
        <v>0</v>
      </c>
      <c r="AE192" s="62" t="n">
        <f aca="false">+AE816</f>
        <v>0</v>
      </c>
      <c r="AF192" s="62" t="n">
        <f aca="false">+AF816</f>
        <v>0</v>
      </c>
      <c r="AG192" s="62" t="n">
        <f aca="false">+AG816</f>
        <v>0</v>
      </c>
      <c r="AH192" s="62" t="n">
        <f aca="false">+AH816</f>
        <v>0</v>
      </c>
      <c r="AI192" s="62" t="n">
        <f aca="false">+AI816</f>
        <v>0</v>
      </c>
      <c r="AJ192" s="62" t="n">
        <f aca="false">+AJ816</f>
        <v>0</v>
      </c>
      <c r="AK192" s="62" t="n">
        <f aca="false">+AK816</f>
        <v>0</v>
      </c>
      <c r="AL192" s="62" t="n">
        <f aca="false">+AL816</f>
        <v>0</v>
      </c>
    </row>
    <row r="193" customFormat="false" ht="12.75" hidden="false" customHeight="true" outlineLevel="0" collapsed="false">
      <c r="A193" s="167"/>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180"/>
      <c r="AB193" s="41"/>
      <c r="AC193" s="41"/>
      <c r="AD193" s="41"/>
      <c r="AE193" s="41"/>
      <c r="AF193" s="180"/>
      <c r="AG193" s="180"/>
      <c r="AH193" s="41"/>
      <c r="AI193" s="41"/>
      <c r="AJ193" s="41"/>
      <c r="AK193" s="41"/>
      <c r="AL193" s="41"/>
    </row>
    <row r="194" customFormat="false" ht="12.75" hidden="false" customHeight="true" outlineLevel="0" collapsed="false">
      <c r="A194" s="59" t="s">
        <v>349</v>
      </c>
      <c r="B194" s="62" t="n">
        <f aca="false">+B819</f>
        <v>0</v>
      </c>
      <c r="C194" s="62" t="n">
        <f aca="false">+C819</f>
        <v>0</v>
      </c>
      <c r="D194" s="62" t="n">
        <f aca="false">+D819</f>
        <v>0</v>
      </c>
      <c r="E194" s="62" t="n">
        <f aca="false">+E819</f>
        <v>0</v>
      </c>
      <c r="F194" s="62" t="n">
        <f aca="false">+F819</f>
        <v>0</v>
      </c>
      <c r="G194" s="62" t="n">
        <f aca="false">+G819</f>
        <v>0</v>
      </c>
      <c r="H194" s="62" t="n">
        <f aca="false">+H819</f>
        <v>0</v>
      </c>
      <c r="I194" s="62" t="n">
        <f aca="false">+I819</f>
        <v>0</v>
      </c>
      <c r="J194" s="62" t="n">
        <f aca="false">+J819</f>
        <v>0</v>
      </c>
      <c r="K194" s="62" t="n">
        <f aca="false">+K819</f>
        <v>0</v>
      </c>
      <c r="L194" s="62" t="n">
        <f aca="false">+L819</f>
        <v>0</v>
      </c>
      <c r="M194" s="62" t="n">
        <f aca="false">+M819</f>
        <v>0</v>
      </c>
      <c r="N194" s="62" t="n">
        <f aca="false">+N819</f>
        <v>0</v>
      </c>
      <c r="O194" s="62" t="n">
        <f aca="false">+O819</f>
        <v>0</v>
      </c>
      <c r="P194" s="62" t="n">
        <f aca="false">+P819</f>
        <v>0</v>
      </c>
      <c r="Q194" s="62" t="n">
        <f aca="false">+Q819</f>
        <v>0</v>
      </c>
      <c r="R194" s="62" t="n">
        <f aca="false">+R819</f>
        <v>0</v>
      </c>
      <c r="S194" s="62" t="n">
        <f aca="false">+S819</f>
        <v>0</v>
      </c>
      <c r="T194" s="62" t="n">
        <f aca="false">+T819</f>
        <v>0</v>
      </c>
      <c r="U194" s="62" t="n">
        <f aca="false">+U819</f>
        <v>765.63</v>
      </c>
      <c r="V194" s="62" t="n">
        <f aca="false">+V819</f>
        <v>785.126</v>
      </c>
      <c r="W194" s="62" t="n">
        <f aca="false">+W819</f>
        <v>678.662</v>
      </c>
      <c r="X194" s="62" t="n">
        <f aca="false">+X819</f>
        <v>786.136</v>
      </c>
      <c r="Y194" s="62" t="n">
        <f aca="false">+Y819</f>
        <v>1228.065</v>
      </c>
      <c r="Z194" s="62" t="n">
        <f aca="false">+Z819</f>
        <v>1325.538</v>
      </c>
      <c r="AA194" s="62" t="n">
        <f aca="false">+AA819</f>
        <v>2550.463</v>
      </c>
      <c r="AB194" s="62" t="n">
        <f aca="false">+AB819</f>
        <v>2496.3</v>
      </c>
      <c r="AC194" s="62" t="n">
        <f aca="false">+AC819</f>
        <v>1806.9</v>
      </c>
      <c r="AD194" s="62" t="n">
        <f aca="false">+AD819</f>
        <v>1895.7</v>
      </c>
      <c r="AE194" s="62" t="n">
        <f aca="false">+AE819</f>
        <v>2002.1</v>
      </c>
      <c r="AF194" s="62" t="n">
        <f aca="false">+AF819</f>
        <v>5192.2</v>
      </c>
      <c r="AG194" s="62" t="n">
        <f aca="false">+AG819</f>
        <v>7240.7</v>
      </c>
      <c r="AH194" s="62" t="n">
        <f aca="false">+AH819</f>
        <v>7089.7</v>
      </c>
      <c r="AI194" s="62" t="n">
        <f aca="false">+AI819</f>
        <v>6354.5</v>
      </c>
      <c r="AJ194" s="62" t="n">
        <f aca="false">+AJ819</f>
        <v>6989.95</v>
      </c>
      <c r="AK194" s="62" t="n">
        <f aca="false">+AK819</f>
        <v>7688.945</v>
      </c>
      <c r="AL194" s="62" t="n">
        <f aca="false">+AL819</f>
        <v>8457.8395</v>
      </c>
    </row>
    <row r="195" customFormat="false" ht="12.75" hidden="false" customHeight="true" outlineLevel="0" collapsed="false">
      <c r="A195" s="167"/>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180"/>
      <c r="AB195" s="41"/>
      <c r="AC195" s="41"/>
      <c r="AD195" s="41"/>
      <c r="AE195" s="41"/>
      <c r="AF195" s="180"/>
      <c r="AG195" s="180"/>
      <c r="AH195" s="41"/>
      <c r="AI195" s="41"/>
      <c r="AJ195" s="41"/>
      <c r="AK195" s="41"/>
      <c r="AL195" s="41"/>
    </row>
    <row r="196" customFormat="false" ht="13.5" hidden="false" customHeight="true" outlineLevel="0" collapsed="false">
      <c r="A196" s="181" t="s">
        <v>350</v>
      </c>
      <c r="B196" s="62" t="n">
        <f aca="false">+B194+B192+B191+B188+B186+B190</f>
        <v>9249.35</v>
      </c>
      <c r="C196" s="62" t="n">
        <f aca="false">+C194+C192+C191+C188+C186+C190</f>
        <v>10023.02</v>
      </c>
      <c r="D196" s="62" t="n">
        <f aca="false">+D194+D192+D191+D188+D186+D190</f>
        <v>15650.75</v>
      </c>
      <c r="E196" s="62" t="n">
        <f aca="false">+E194+E192+E191+E188+E186+E190</f>
        <v>19257.08</v>
      </c>
      <c r="F196" s="62" t="n">
        <f aca="false">+F194+F192+F191+F188+F186+F190</f>
        <v>22741.27</v>
      </c>
      <c r="G196" s="62" t="n">
        <f aca="false">+G194+G192+G191+G188+G186+G190</f>
        <v>23501.69</v>
      </c>
      <c r="H196" s="62" t="n">
        <f aca="false">+H194+H192+H191+H188+H186+H190</f>
        <v>20716.73</v>
      </c>
      <c r="I196" s="62" t="n">
        <f aca="false">+I194+I192+I191+I188+I186+I190</f>
        <v>21058.38</v>
      </c>
      <c r="J196" s="62" t="n">
        <f aca="false">+J194+J192+J191+J188+J186+J190</f>
        <v>21117.68</v>
      </c>
      <c r="K196" s="62" t="n">
        <f aca="false">+K194+K192+K191+K188+K186+K190</f>
        <v>21145.52</v>
      </c>
      <c r="L196" s="62" t="n">
        <f aca="false">+L194+L192+L191+L188+L186+L190</f>
        <v>18455.07</v>
      </c>
      <c r="M196" s="62" t="n">
        <f aca="false">+M194+M192+M191+M188+M186+M190</f>
        <v>17311.56</v>
      </c>
      <c r="N196" s="62" t="n">
        <f aca="false">+N194+N192+N191+N188+N186+N190</f>
        <v>22191.19</v>
      </c>
      <c r="O196" s="62" t="n">
        <f aca="false">+O194+O192+O191+O188+O186+O190</f>
        <v>22840.7</v>
      </c>
      <c r="P196" s="62" t="n">
        <f aca="false">+P194+P192+P191+P188+P186+P190</f>
        <v>27318.95</v>
      </c>
      <c r="Q196" s="62" t="n">
        <f aca="false">+Q194+Q192+Q191+Q188+Q186+Q190</f>
        <v>32903.03</v>
      </c>
      <c r="R196" s="182" t="n">
        <f aca="false">+R194+R192+R191+R188+R186+R190</f>
        <v>56993.209</v>
      </c>
      <c r="S196" s="182" t="n">
        <f aca="false">+S194+S192+S191+S188+S186+S190</f>
        <v>63212.852</v>
      </c>
      <c r="T196" s="182" t="n">
        <f aca="false">+T194+T192+T191+T188+T186+T190</f>
        <v>70650.405</v>
      </c>
      <c r="U196" s="182" t="n">
        <f aca="false">+U194+U192+U191+U188+U186+U190</f>
        <v>78770.177</v>
      </c>
      <c r="V196" s="182" t="n">
        <f aca="false">+V194+V192+V191+V188+V186+V190</f>
        <v>94191.586</v>
      </c>
      <c r="W196" s="182" t="n">
        <f aca="false">+W194+W192+W191+W188+W186+W190</f>
        <v>96211.383</v>
      </c>
      <c r="X196" s="182" t="n">
        <f aca="false">+X194+X192+X191+X188+X186+X190</f>
        <v>90736.108</v>
      </c>
      <c r="Y196" s="182" t="n">
        <f aca="false">+Y194+Y192+Y191+Y188+Y186+Y190</f>
        <v>84775.138</v>
      </c>
      <c r="Z196" s="182" t="n">
        <f aca="false">+Z194+Z192+Z191+Z188+Z186+Z190</f>
        <v>86168.564</v>
      </c>
      <c r="AA196" s="182" t="n">
        <f aca="false">+AA194+AA192+AA191+AA188+AA186+AA190</f>
        <v>89257.302</v>
      </c>
      <c r="AB196" s="182" t="n">
        <f aca="false">+AB194+AB192+AB191+AB188+AB186+AB190</f>
        <v>97694</v>
      </c>
      <c r="AC196" s="182" t="n">
        <f aca="false">+AC194+AC192+AC191+AC188+AC186+AC190</f>
        <v>113181.8</v>
      </c>
      <c r="AD196" s="182" t="n">
        <f aca="false">+AD194+AD192+AD191+AD188+AD186+AD190</f>
        <v>114593.1</v>
      </c>
      <c r="AE196" s="182" t="n">
        <f aca="false">+AE194+AE192+AE191+AE188+AE186+AE190</f>
        <v>114553.4</v>
      </c>
      <c r="AF196" s="182" t="n">
        <f aca="false">+AF194+AF192+AF191+AF188+AF186+AF190</f>
        <v>129464.1</v>
      </c>
      <c r="AG196" s="182" t="n">
        <f aca="false">+AG194+AG192+AG191+AG188+AG186+AG190</f>
        <v>126949.1</v>
      </c>
      <c r="AH196" s="182" t="n">
        <f aca="false">+AH194+AH192+AH191+AH188+AH186+AH190</f>
        <v>146428</v>
      </c>
      <c r="AI196" s="182" t="n">
        <f aca="false">+AI194+AI192+AI191+AI188+AI186+AI190</f>
        <v>159145.8</v>
      </c>
      <c r="AJ196" s="182" t="n">
        <f aca="false">+AJ194+AJ192+AJ191+AJ188+AJ186+AJ190</f>
        <v>182741.152711314</v>
      </c>
      <c r="AK196" s="182" t="n">
        <f aca="false">+AK194+AK192+AK191+AK188+AK186+AK190</f>
        <v>206349.512189023</v>
      </c>
      <c r="AL196" s="182" t="n">
        <f aca="false">+AL194+AL192+AL191+AL188+AL186+AL190</f>
        <v>231369.023802979</v>
      </c>
    </row>
    <row r="197" customFormat="false" ht="12.75" hidden="false" customHeight="true" outlineLevel="0" collapsed="false">
      <c r="A197" s="183"/>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37" t="n">
        <f aca="false">+Y196-X196</f>
        <v>-5960.96999999999</v>
      </c>
    </row>
    <row r="198" customFormat="false" ht="12.75" hidden="false" customHeight="true" outlineLevel="0" collapsed="false">
      <c r="A198" s="184" t="s">
        <v>351</v>
      </c>
      <c r="B198" s="184"/>
      <c r="C198" s="184"/>
      <c r="D198" s="184"/>
      <c r="E198" s="184"/>
      <c r="F198" s="184"/>
      <c r="G198" s="184"/>
      <c r="H198" s="184"/>
      <c r="I198" s="184"/>
      <c r="J198" s="184"/>
      <c r="K198" s="184"/>
      <c r="L198" s="184"/>
      <c r="M198" s="184"/>
      <c r="N198" s="184"/>
      <c r="O198" s="184"/>
      <c r="P198" s="184"/>
      <c r="Q198" s="184"/>
      <c r="R198" s="184"/>
      <c r="S198" s="41"/>
      <c r="T198" s="41"/>
      <c r="U198" s="41"/>
      <c r="V198" s="41"/>
      <c r="W198" s="41"/>
      <c r="X198" s="41"/>
    </row>
    <row r="199" customFormat="false" ht="12" hidden="false" customHeight="true" outlineLevel="0" collapsed="false">
      <c r="B199" s="41"/>
      <c r="C199" s="41"/>
      <c r="D199" s="41"/>
      <c r="E199" s="41"/>
      <c r="F199" s="41"/>
      <c r="G199" s="41"/>
      <c r="H199" s="41"/>
      <c r="I199" s="41"/>
      <c r="J199" s="41"/>
      <c r="K199" s="41"/>
      <c r="L199" s="41"/>
      <c r="M199" s="41"/>
      <c r="N199" s="41"/>
      <c r="O199" s="41"/>
      <c r="P199" s="41"/>
      <c r="Q199" s="41"/>
      <c r="R199" s="41"/>
      <c r="S199" s="41"/>
      <c r="T199" s="41"/>
      <c r="U199" s="41"/>
      <c r="V199" s="41"/>
      <c r="W199" s="41"/>
      <c r="X199" s="41"/>
    </row>
    <row r="200" customFormat="false" ht="12" hidden="false" customHeight="true" outlineLevel="0" collapsed="false">
      <c r="A200" s="69" t="s">
        <v>352</v>
      </c>
      <c r="B200" s="62" t="n">
        <f aca="false">+B825</f>
        <v>4752.81</v>
      </c>
      <c r="C200" s="62" t="n">
        <f aca="false">+C825</f>
        <v>5709.6</v>
      </c>
      <c r="D200" s="62" t="n">
        <f aca="false">+D825</f>
        <v>8417.8</v>
      </c>
      <c r="E200" s="62" t="n">
        <f aca="false">+E825</f>
        <v>10081.37</v>
      </c>
      <c r="F200" s="62" t="n">
        <f aca="false">+F825</f>
        <v>11882.02</v>
      </c>
      <c r="G200" s="62" t="n">
        <f aca="false">+G825</f>
        <v>12510.5</v>
      </c>
      <c r="H200" s="62" t="n">
        <f aca="false">+H825</f>
        <v>14087.7</v>
      </c>
      <c r="I200" s="62" t="n">
        <f aca="false">+I825</f>
        <v>14944.23</v>
      </c>
      <c r="J200" s="62" t="n">
        <f aca="false">+J825</f>
        <v>15493.71</v>
      </c>
      <c r="K200" s="62" t="n">
        <f aca="false">+K825</f>
        <v>16904.31</v>
      </c>
      <c r="L200" s="62" t="n">
        <f aca="false">+L825</f>
        <v>18120.69</v>
      </c>
      <c r="M200" s="62" t="n">
        <f aca="false">+M825</f>
        <v>18756.42</v>
      </c>
      <c r="N200" s="62" t="n">
        <f aca="false">+N825</f>
        <v>20022.5</v>
      </c>
      <c r="O200" s="62" t="n">
        <f aca="false">+O825</f>
        <v>21384.99</v>
      </c>
      <c r="P200" s="62" t="n">
        <f aca="false">+P825</f>
        <v>26201.97</v>
      </c>
      <c r="Q200" s="62" t="n">
        <f aca="false">+Q825</f>
        <v>29424.38</v>
      </c>
      <c r="R200" s="62" t="n">
        <f aca="false">+R825</f>
        <v>49532.722</v>
      </c>
      <c r="S200" s="62" t="n">
        <f aca="false">+S825</f>
        <v>60186.337</v>
      </c>
      <c r="T200" s="62" t="n">
        <f aca="false">+T825</f>
        <v>66918.887</v>
      </c>
      <c r="U200" s="62" t="n">
        <f aca="false">+U825</f>
        <v>67134.843</v>
      </c>
      <c r="V200" s="62" t="n">
        <f aca="false">+V825</f>
        <v>73519.194</v>
      </c>
      <c r="W200" s="62" t="n">
        <f aca="false">+W825</f>
        <v>78899.256</v>
      </c>
      <c r="X200" s="62" t="n">
        <f aca="false">+X825</f>
        <v>77625.825</v>
      </c>
      <c r="Y200" s="62" t="n">
        <f aca="false">+Y825</f>
        <v>48690.511</v>
      </c>
      <c r="Z200" s="62" t="n">
        <f aca="false">+Z825</f>
        <v>54010.661</v>
      </c>
      <c r="AA200" s="62" t="n">
        <f aca="false">+AA825</f>
        <v>58159.748</v>
      </c>
      <c r="AB200" s="62" t="n">
        <f aca="false">+AB825</f>
        <v>64959.9</v>
      </c>
      <c r="AC200" s="62" t="n">
        <f aca="false">+AC825</f>
        <v>74363.4</v>
      </c>
      <c r="AD200" s="62" t="n">
        <f aca="false">+AD825</f>
        <v>82325</v>
      </c>
      <c r="AE200" s="62" t="n">
        <f aca="false">+AE825</f>
        <v>84295.4</v>
      </c>
      <c r="AF200" s="62" t="n">
        <f aca="false">+AF825</f>
        <v>87317.5</v>
      </c>
      <c r="AG200" s="62" t="n">
        <f aca="false">+AG825</f>
        <v>89716.1</v>
      </c>
      <c r="AH200" s="62" t="n">
        <f aca="false">+AH825</f>
        <v>95953.7</v>
      </c>
      <c r="AI200" s="62" t="n">
        <f aca="false">+AI825</f>
        <v>109760.2</v>
      </c>
      <c r="AJ200" s="62" t="n">
        <f aca="false">+AJ825</f>
        <v>119760.2</v>
      </c>
      <c r="AK200" s="62" t="n">
        <f aca="false">+AK825</f>
        <v>127760.2</v>
      </c>
      <c r="AL200" s="62" t="n">
        <f aca="false">+AL825</f>
        <v>135760.2</v>
      </c>
    </row>
    <row r="201" customFormat="false" ht="12" hidden="false" customHeight="true" outlineLevel="0" collapsed="false">
      <c r="A201" s="69" t="s">
        <v>353</v>
      </c>
      <c r="B201" s="62" t="n">
        <f aca="false">+B826</f>
        <v>1955.7</v>
      </c>
      <c r="C201" s="62" t="n">
        <f aca="false">+C826</f>
        <v>2244.57</v>
      </c>
      <c r="D201" s="62" t="n">
        <f aca="false">+D826</f>
        <v>2632.13</v>
      </c>
      <c r="E201" s="62" t="n">
        <f aca="false">+E826</f>
        <v>3162.44</v>
      </c>
      <c r="F201" s="62" t="n">
        <f aca="false">+F826</f>
        <v>3809.5</v>
      </c>
      <c r="G201" s="62" t="n">
        <f aca="false">+G826</f>
        <v>4462.07</v>
      </c>
      <c r="H201" s="62" t="n">
        <f aca="false">+H826</f>
        <v>5152.5</v>
      </c>
      <c r="I201" s="62" t="n">
        <f aca="false">+I826</f>
        <v>5793.89</v>
      </c>
      <c r="J201" s="62" t="n">
        <f aca="false">+J826</f>
        <v>6578.3</v>
      </c>
      <c r="K201" s="62" t="n">
        <f aca="false">+K826</f>
        <v>7343.32</v>
      </c>
      <c r="L201" s="62" t="n">
        <f aca="false">+L826</f>
        <v>9095.5</v>
      </c>
      <c r="M201" s="62" t="n">
        <f aca="false">+M826</f>
        <v>10008.13</v>
      </c>
      <c r="N201" s="62" t="n">
        <f aca="false">+N826</f>
        <v>11084.04</v>
      </c>
      <c r="O201" s="62" t="n">
        <f aca="false">+O826</f>
        <v>11952.28</v>
      </c>
      <c r="P201" s="62" t="n">
        <f aca="false">+P826</f>
        <v>13131.64</v>
      </c>
      <c r="Q201" s="62" t="n">
        <f aca="false">+Q826</f>
        <v>14168.88</v>
      </c>
      <c r="R201" s="62" t="n">
        <f aca="false">+R826</f>
        <v>15541.559</v>
      </c>
      <c r="S201" s="62" t="n">
        <f aca="false">+S826</f>
        <v>17690.745</v>
      </c>
      <c r="T201" s="62" t="n">
        <f aca="false">+T826</f>
        <v>20580.969</v>
      </c>
      <c r="U201" s="62" t="n">
        <f aca="false">+U826</f>
        <v>21477.718</v>
      </c>
      <c r="V201" s="62" t="n">
        <f aca="false">+V826</f>
        <v>24334.852</v>
      </c>
      <c r="W201" s="62" t="n">
        <f aca="false">+W826</f>
        <v>26679.986</v>
      </c>
      <c r="X201" s="62" t="n">
        <f aca="false">+X826</f>
        <v>28800.995</v>
      </c>
      <c r="Y201" s="62" t="n">
        <f aca="false">+Y826</f>
        <v>4153.479</v>
      </c>
      <c r="Z201" s="62" t="n">
        <f aca="false">+Z826</f>
        <v>7449.698</v>
      </c>
      <c r="AA201" s="62" t="n">
        <f aca="false">+AA826</f>
        <v>11283.382</v>
      </c>
      <c r="AB201" s="62" t="n">
        <f aca="false">+AB826</f>
        <v>16900.1</v>
      </c>
      <c r="AC201" s="62" t="n">
        <f aca="false">+AC826</f>
        <v>23996.8</v>
      </c>
      <c r="AD201" s="62" t="n">
        <f aca="false">+AD826</f>
        <v>29228.4</v>
      </c>
      <c r="AE201" s="62" t="n">
        <f aca="false">+AE826</f>
        <v>34524.2</v>
      </c>
      <c r="AF201" s="62" t="n">
        <f aca="false">+AF826</f>
        <v>39839</v>
      </c>
      <c r="AG201" s="62" t="n">
        <f aca="false">+AG826</f>
        <v>44693.9</v>
      </c>
      <c r="AH201" s="62" t="n">
        <f aca="false">+AH826</f>
        <v>51887.3</v>
      </c>
      <c r="AI201" s="62" t="n">
        <f aca="false">+AI826</f>
        <v>59039.2</v>
      </c>
      <c r="AJ201" s="62" t="n">
        <f aca="false">+AJ826</f>
        <v>66590.6454</v>
      </c>
      <c r="AK201" s="62" t="n">
        <f aca="false">+AK826</f>
        <v>74702.5908</v>
      </c>
      <c r="AL201" s="62" t="n">
        <f aca="false">+AL826</f>
        <v>83170.0456</v>
      </c>
    </row>
    <row r="202" s="19" customFormat="true" ht="12.75" hidden="false" customHeight="true" outlineLevel="0" collapsed="false">
      <c r="A202" s="59" t="s">
        <v>354</v>
      </c>
      <c r="B202" s="67" t="n">
        <f aca="false">+B200-B201</f>
        <v>2797.11</v>
      </c>
      <c r="C202" s="67" t="n">
        <f aca="false">+C200-C201</f>
        <v>3465.03</v>
      </c>
      <c r="D202" s="67" t="n">
        <f aca="false">+D200-D201</f>
        <v>5785.67</v>
      </c>
      <c r="E202" s="67" t="n">
        <f aca="false">+E200-E201</f>
        <v>6918.93</v>
      </c>
      <c r="F202" s="67" t="n">
        <f aca="false">+F200-F201</f>
        <v>8072.52</v>
      </c>
      <c r="G202" s="67" t="n">
        <f aca="false">+G200-G201</f>
        <v>8048.43</v>
      </c>
      <c r="H202" s="67" t="n">
        <f aca="false">+H200-H201</f>
        <v>8935.2</v>
      </c>
      <c r="I202" s="67" t="n">
        <f aca="false">+I200-I201</f>
        <v>9150.34</v>
      </c>
      <c r="J202" s="67" t="n">
        <f aca="false">+J200-J201</f>
        <v>8915.41</v>
      </c>
      <c r="K202" s="67" t="n">
        <f aca="false">+K200-K201</f>
        <v>9560.99</v>
      </c>
      <c r="L202" s="67" t="n">
        <f aca="false">+L200-L201</f>
        <v>9025.19</v>
      </c>
      <c r="M202" s="67" t="n">
        <f aca="false">+M200-M201</f>
        <v>8748.29</v>
      </c>
      <c r="N202" s="67" t="n">
        <f aca="false">+N200-N201</f>
        <v>8938.46</v>
      </c>
      <c r="O202" s="67" t="n">
        <f aca="false">+O200-O201</f>
        <v>9432.71</v>
      </c>
      <c r="P202" s="67" t="n">
        <f aca="false">+P200-P201</f>
        <v>13070.33</v>
      </c>
      <c r="Q202" s="67" t="n">
        <f aca="false">+Q200-Q201</f>
        <v>15255.5</v>
      </c>
      <c r="R202" s="67" t="n">
        <f aca="false">+R200-R201</f>
        <v>33991.163</v>
      </c>
      <c r="S202" s="67" t="n">
        <f aca="false">+S200-S201</f>
        <v>42495.592</v>
      </c>
      <c r="T202" s="67" t="n">
        <f aca="false">+T200-T201</f>
        <v>46337.918</v>
      </c>
      <c r="U202" s="67" t="n">
        <f aca="false">+U200-U201</f>
        <v>45657.125</v>
      </c>
      <c r="V202" s="67" t="n">
        <f aca="false">+V200-V201</f>
        <v>49184.342</v>
      </c>
      <c r="W202" s="67" t="n">
        <f aca="false">+W200-W201</f>
        <v>52219.27</v>
      </c>
      <c r="X202" s="67" t="n">
        <f aca="false">+X200-X201</f>
        <v>48824.83</v>
      </c>
      <c r="Y202" s="67" t="n">
        <f aca="false">+Y200-Y201</f>
        <v>44537.032</v>
      </c>
      <c r="Z202" s="67" t="n">
        <f aca="false">+Z200-Z201</f>
        <v>46560.963</v>
      </c>
      <c r="AA202" s="67" t="n">
        <f aca="false">+AA200-AA201</f>
        <v>46876.366</v>
      </c>
      <c r="AB202" s="67" t="n">
        <f aca="false">+AB200-AB201</f>
        <v>48059.8</v>
      </c>
      <c r="AC202" s="67" t="n">
        <f aca="false">+AC200-AC201</f>
        <v>50366.6</v>
      </c>
      <c r="AD202" s="67" t="n">
        <f aca="false">+AD200-AD201</f>
        <v>53096.6</v>
      </c>
      <c r="AE202" s="67" t="n">
        <f aca="false">+AE200-AE201</f>
        <v>49771.2</v>
      </c>
      <c r="AF202" s="67" t="n">
        <f aca="false">+AF200-AF201</f>
        <v>47478.5</v>
      </c>
      <c r="AG202" s="67" t="n">
        <f aca="false">+AG200-AG201</f>
        <v>45022.2</v>
      </c>
      <c r="AH202" s="67" t="n">
        <f aca="false">+AH200-AH201</f>
        <v>44066.4</v>
      </c>
      <c r="AI202" s="67" t="n">
        <f aca="false">+AI200-AI201</f>
        <v>50721</v>
      </c>
      <c r="AJ202" s="67" t="n">
        <f aca="false">+AJ200-AJ201</f>
        <v>53169.5546</v>
      </c>
      <c r="AK202" s="67" t="n">
        <f aca="false">+AK200-AK201</f>
        <v>53057.6092</v>
      </c>
      <c r="AL202" s="67" t="n">
        <f aca="false">+AL200-AL201</f>
        <v>52590.1544</v>
      </c>
    </row>
    <row r="203" customFormat="false" ht="12" hidden="false" customHeight="true" outlineLevel="0" collapsed="false">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180"/>
      <c r="AB203" s="41"/>
      <c r="AC203" s="41"/>
      <c r="AD203" s="41"/>
      <c r="AE203" s="41"/>
      <c r="AF203" s="180"/>
      <c r="AG203" s="180"/>
      <c r="AH203" s="41"/>
      <c r="AI203" s="41"/>
      <c r="AJ203" s="41"/>
      <c r="AK203" s="41"/>
      <c r="AL203" s="41"/>
    </row>
    <row r="204" customFormat="false" ht="12" hidden="false" customHeight="true" outlineLevel="0" collapsed="false">
      <c r="A204" s="69" t="s">
        <v>355</v>
      </c>
      <c r="B204" s="62" t="n">
        <f aca="false">+B829</f>
        <v>470.52</v>
      </c>
      <c r="C204" s="62" t="n">
        <f aca="false">+C829</f>
        <v>1556.11</v>
      </c>
      <c r="D204" s="62" t="n">
        <f aca="false">+D829</f>
        <v>118.17</v>
      </c>
      <c r="E204" s="62" t="n">
        <f aca="false">+E829</f>
        <v>223.04</v>
      </c>
      <c r="F204" s="62" t="n">
        <f aca="false">+F829</f>
        <v>326.35</v>
      </c>
      <c r="G204" s="62" t="n">
        <f aca="false">+G829</f>
        <v>977.66</v>
      </c>
      <c r="H204" s="62" t="n">
        <f aca="false">+H829</f>
        <v>612.3</v>
      </c>
      <c r="I204" s="62" t="n">
        <f aca="false">+I829</f>
        <v>308</v>
      </c>
      <c r="J204" s="62" t="n">
        <f aca="false">+J829</f>
        <v>697.54</v>
      </c>
      <c r="K204" s="62" t="n">
        <f aca="false">+K829</f>
        <v>537.35</v>
      </c>
      <c r="L204" s="62" t="n">
        <f aca="false">+L829</f>
        <v>373.19</v>
      </c>
      <c r="M204" s="62" t="n">
        <f aca="false">+M829</f>
        <v>462.71</v>
      </c>
      <c r="N204" s="62" t="n">
        <f aca="false">+N829</f>
        <v>851.55</v>
      </c>
      <c r="O204" s="62" t="n">
        <f aca="false">+O829</f>
        <v>1414.17</v>
      </c>
      <c r="P204" s="62" t="n">
        <f aca="false">+P829</f>
        <v>2374.91</v>
      </c>
      <c r="Q204" s="62" t="n">
        <f aca="false">+Q829</f>
        <v>5292.45</v>
      </c>
      <c r="R204" s="62" t="n">
        <f aca="false">+R829</f>
        <v>9982.894</v>
      </c>
      <c r="S204" s="62" t="n">
        <f aca="false">+S829</f>
        <v>5614.697</v>
      </c>
      <c r="T204" s="62" t="n">
        <f aca="false">+T829</f>
        <v>3579.661</v>
      </c>
      <c r="U204" s="62" t="n">
        <f aca="false">+U829</f>
        <v>4351.906</v>
      </c>
      <c r="V204" s="62" t="n">
        <f aca="false">+V829</f>
        <v>5626.183</v>
      </c>
      <c r="W204" s="62" t="n">
        <f aca="false">+W829</f>
        <v>1551.303</v>
      </c>
      <c r="X204" s="62" t="n">
        <f aca="false">+X829</f>
        <v>697.97</v>
      </c>
      <c r="Y204" s="62" t="n">
        <f aca="false">+Y829</f>
        <v>547.499</v>
      </c>
      <c r="Z204" s="62" t="n">
        <f aca="false">+Z829</f>
        <v>1575.95</v>
      </c>
      <c r="AA204" s="62" t="n">
        <f aca="false">+AA829</f>
        <v>2129.295</v>
      </c>
      <c r="AB204" s="62" t="n">
        <f aca="false">+AB829</f>
        <v>2746.4</v>
      </c>
      <c r="AC204" s="62" t="n">
        <f aca="false">+AC829</f>
        <v>4209.7</v>
      </c>
      <c r="AD204" s="62" t="n">
        <f aca="false">+AD829</f>
        <v>2287.8</v>
      </c>
      <c r="AE204" s="62" t="n">
        <f aca="false">+AE829</f>
        <v>1111.1</v>
      </c>
      <c r="AF204" s="62" t="n">
        <f aca="false">+AF829</f>
        <v>489.5</v>
      </c>
      <c r="AG204" s="62" t="n">
        <f aca="false">+AG829</f>
        <v>955.3</v>
      </c>
      <c r="AH204" s="62" t="n">
        <f aca="false">+AH829</f>
        <v>2768.7</v>
      </c>
      <c r="AI204" s="62" t="n">
        <f aca="false">+AI829</f>
        <v>2099.8</v>
      </c>
      <c r="AJ204" s="62" t="n">
        <f aca="false">+AJ829</f>
        <v>1200</v>
      </c>
      <c r="AK204" s="62" t="n">
        <f aca="false">+AK829</f>
        <v>1200</v>
      </c>
      <c r="AL204" s="62" t="n">
        <f aca="false">+AL829</f>
        <v>1200</v>
      </c>
    </row>
    <row r="205" customFormat="false" ht="12" hidden="false" customHeight="true" outlineLevel="0" collapsed="false">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180"/>
      <c r="AB205" s="41"/>
      <c r="AC205" s="41"/>
      <c r="AD205" s="41"/>
      <c r="AE205" s="41"/>
      <c r="AF205" s="180"/>
      <c r="AG205" s="180"/>
      <c r="AH205" s="41"/>
      <c r="AI205" s="41"/>
      <c r="AJ205" s="41"/>
      <c r="AK205" s="41"/>
      <c r="AL205" s="41"/>
    </row>
    <row r="206" customFormat="false" ht="12" hidden="false" customHeight="true" outlineLevel="0" collapsed="false">
      <c r="A206" s="69" t="s">
        <v>356</v>
      </c>
      <c r="B206" s="62" t="n">
        <f aca="false">+B831</f>
        <v>0</v>
      </c>
      <c r="C206" s="62" t="n">
        <f aca="false">+C831</f>
        <v>0</v>
      </c>
      <c r="D206" s="62" t="n">
        <f aca="false">+D831</f>
        <v>0</v>
      </c>
      <c r="E206" s="62" t="n">
        <f aca="false">+E831</f>
        <v>0</v>
      </c>
      <c r="F206" s="62" t="n">
        <f aca="false">+F831</f>
        <v>0</v>
      </c>
      <c r="G206" s="62" t="n">
        <f aca="false">+G831</f>
        <v>0</v>
      </c>
      <c r="H206" s="62" t="n">
        <f aca="false">+H831</f>
        <v>0</v>
      </c>
      <c r="I206" s="62" t="n">
        <f aca="false">+I831</f>
        <v>0</v>
      </c>
      <c r="J206" s="62" t="n">
        <f aca="false">+J831</f>
        <v>0</v>
      </c>
      <c r="K206" s="62" t="n">
        <f aca="false">+K831</f>
        <v>0</v>
      </c>
      <c r="L206" s="62" t="n">
        <f aca="false">+L831</f>
        <v>0</v>
      </c>
      <c r="M206" s="62" t="n">
        <f aca="false">+M831</f>
        <v>0</v>
      </c>
      <c r="N206" s="62" t="n">
        <f aca="false">+N831</f>
        <v>0</v>
      </c>
      <c r="O206" s="62" t="n">
        <f aca="false">+O831</f>
        <v>0</v>
      </c>
      <c r="P206" s="62" t="n">
        <f aca="false">+P831</f>
        <v>0</v>
      </c>
      <c r="Q206" s="62" t="n">
        <f aca="false">+Q831</f>
        <v>0</v>
      </c>
      <c r="R206" s="62" t="n">
        <f aca="false">+R831</f>
        <v>0</v>
      </c>
      <c r="S206" s="62" t="n">
        <f aca="false">+S831</f>
        <v>0</v>
      </c>
      <c r="T206" s="62" t="n">
        <f aca="false">+T831</f>
        <v>0</v>
      </c>
      <c r="U206" s="62" t="n">
        <f aca="false">+U831</f>
        <v>3477.816</v>
      </c>
      <c r="V206" s="62" t="n">
        <f aca="false">+V831</f>
        <v>3634.486</v>
      </c>
      <c r="W206" s="62" t="n">
        <f aca="false">+W831</f>
        <v>4379.402</v>
      </c>
      <c r="X206" s="62" t="n">
        <f aca="false">+X831</f>
        <v>3730.699</v>
      </c>
      <c r="Y206" s="62" t="n">
        <f aca="false">+Y831</f>
        <v>3382.831</v>
      </c>
      <c r="Z206" s="62" t="n">
        <f aca="false">+Z831</f>
        <v>3147.118</v>
      </c>
      <c r="AA206" s="62" t="n">
        <f aca="false">+AA831</f>
        <v>2865.86</v>
      </c>
      <c r="AB206" s="62" t="n">
        <f aca="false">+AB831</f>
        <v>8085.3</v>
      </c>
      <c r="AC206" s="62" t="n">
        <f aca="false">+AC831</f>
        <v>13604.5</v>
      </c>
      <c r="AD206" s="62" t="n">
        <f aca="false">+AD831</f>
        <v>14511.9</v>
      </c>
      <c r="AE206" s="62" t="n">
        <f aca="false">+AE831</f>
        <v>13272</v>
      </c>
      <c r="AF206" s="62" t="n">
        <f aca="false">+AF831</f>
        <v>13193.2</v>
      </c>
      <c r="AG206" s="62" t="n">
        <f aca="false">+AG831</f>
        <v>12142.8</v>
      </c>
      <c r="AH206" s="62" t="n">
        <f aca="false">+AH831</f>
        <v>11635.2</v>
      </c>
      <c r="AI206" s="62" t="n">
        <f aca="false">+AI831</f>
        <v>10537.3</v>
      </c>
      <c r="AJ206" s="62" t="n">
        <f aca="false">+AJ831</f>
        <v>11037.3</v>
      </c>
      <c r="AK206" s="62" t="n">
        <f aca="false">+AK831</f>
        <v>11537.3</v>
      </c>
      <c r="AL206" s="62" t="n">
        <f aca="false">+AL831</f>
        <v>12037.3</v>
      </c>
    </row>
    <row r="207" customFormat="false" ht="12" hidden="false" customHeight="true" outlineLevel="0" collapsed="false">
      <c r="A207" s="185" t="s">
        <v>357</v>
      </c>
      <c r="B207" s="185"/>
      <c r="C207" s="185"/>
      <c r="D207" s="185"/>
      <c r="E207" s="185"/>
      <c r="F207" s="185"/>
      <c r="G207" s="185"/>
      <c r="H207" s="185"/>
      <c r="I207" s="185"/>
      <c r="J207" s="185"/>
      <c r="K207" s="185"/>
      <c r="L207" s="185"/>
      <c r="M207" s="185"/>
      <c r="N207" s="185"/>
      <c r="O207" s="185"/>
      <c r="P207" s="185"/>
      <c r="Q207" s="185"/>
      <c r="R207" s="185"/>
      <c r="S207" s="185"/>
      <c r="T207" s="62" t="n">
        <f aca="false">+T832</f>
        <v>0</v>
      </c>
      <c r="U207" s="62" t="n">
        <f aca="false">+U832</f>
        <v>1130.303</v>
      </c>
      <c r="V207" s="62" t="n">
        <f aca="false">+V832</f>
        <v>1263.091</v>
      </c>
      <c r="W207" s="62" t="n">
        <f aca="false">+W832</f>
        <v>263.969</v>
      </c>
      <c r="X207" s="62" t="n">
        <f aca="false">+X832</f>
        <v>503.466</v>
      </c>
      <c r="Y207" s="62" t="n">
        <f aca="false">+Y832</f>
        <v>211.06</v>
      </c>
      <c r="Z207" s="62" t="n">
        <f aca="false">+Z832</f>
        <v>482.658</v>
      </c>
      <c r="AA207" s="62" t="n">
        <f aca="false">+AA832</f>
        <v>1883.103</v>
      </c>
      <c r="AB207" s="62" t="n">
        <f aca="false">+AB832</f>
        <v>3829.8</v>
      </c>
      <c r="AC207" s="62" t="n">
        <f aca="false">+AC832</f>
        <v>1731.7</v>
      </c>
      <c r="AD207" s="62" t="n">
        <f aca="false">+AD832</f>
        <v>1430.7</v>
      </c>
      <c r="AE207" s="62" t="n">
        <f aca="false">+AE832</f>
        <v>831.6</v>
      </c>
      <c r="AF207" s="62" t="n">
        <f aca="false">+AF832</f>
        <v>835.7</v>
      </c>
      <c r="AG207" s="62" t="n">
        <f aca="false">+AG832</f>
        <v>1060</v>
      </c>
      <c r="AH207" s="62" t="n">
        <f aca="false">+AH832</f>
        <v>1478.9</v>
      </c>
      <c r="AI207" s="62" t="n">
        <f aca="false">+AI832</f>
        <v>2693.1</v>
      </c>
      <c r="AJ207" s="62" t="n">
        <f aca="false">+AJ832</f>
        <v>2693.1</v>
      </c>
      <c r="AK207" s="62" t="n">
        <f aca="false">+AK832</f>
        <v>2693.1</v>
      </c>
      <c r="AL207" s="62" t="n">
        <f aca="false">+AL832</f>
        <v>2693.1</v>
      </c>
    </row>
    <row r="208" customFormat="false" ht="12" hidden="false" customHeight="true" outlineLevel="0" collapsed="false">
      <c r="A208" s="69" t="s">
        <v>358</v>
      </c>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180"/>
      <c r="AB208" s="41"/>
      <c r="AC208" s="62" t="n">
        <f aca="false">+AC833</f>
        <v>4064.6</v>
      </c>
      <c r="AD208" s="62" t="n">
        <f aca="false">+AD833</f>
        <v>2895.4</v>
      </c>
      <c r="AE208" s="62" t="n">
        <f aca="false">+AE833</f>
        <v>2965.8</v>
      </c>
      <c r="AF208" s="62" t="n">
        <f aca="false">+AF833</f>
        <v>2369.8</v>
      </c>
      <c r="AG208" s="62" t="n">
        <f aca="false">+AG833</f>
        <v>2353</v>
      </c>
      <c r="AH208" s="62" t="n">
        <f aca="false">+AH833</f>
        <v>2753.3</v>
      </c>
      <c r="AI208" s="62" t="n">
        <f aca="false">+AI833</f>
        <v>2630.4</v>
      </c>
      <c r="AJ208" s="62" t="n">
        <f aca="false">+AJ833</f>
        <v>2830.4</v>
      </c>
      <c r="AK208" s="62" t="n">
        <f aca="false">+AK833</f>
        <v>3030.4</v>
      </c>
      <c r="AL208" s="62" t="n">
        <f aca="false">+AL833</f>
        <v>3230.4</v>
      </c>
    </row>
    <row r="209" s="19" customFormat="true" ht="12.75" hidden="false" customHeight="true" outlineLevel="0" collapsed="false">
      <c r="A209" s="59" t="s">
        <v>359</v>
      </c>
      <c r="B209" s="67" t="n">
        <f aca="false">+B202+B204+B206+B207</f>
        <v>3267.63</v>
      </c>
      <c r="C209" s="67" t="n">
        <f aca="false">+C202+C204+C206+C207</f>
        <v>5021.14</v>
      </c>
      <c r="D209" s="67" t="n">
        <f aca="false">+D202+D204+D206+D207</f>
        <v>5903.84</v>
      </c>
      <c r="E209" s="67" t="n">
        <f aca="false">+E202+E204+E206+E207</f>
        <v>7141.97</v>
      </c>
      <c r="F209" s="67" t="n">
        <f aca="false">+F202+F204+F206+F207</f>
        <v>8398.87</v>
      </c>
      <c r="G209" s="67" t="n">
        <f aca="false">+G202+G204+G206+G207</f>
        <v>9026.09</v>
      </c>
      <c r="H209" s="67" t="n">
        <f aca="false">+H202+H204+H206+H207</f>
        <v>9547.5</v>
      </c>
      <c r="I209" s="67" t="n">
        <f aca="false">+I202+I204+I206+I207</f>
        <v>9458.34</v>
      </c>
      <c r="J209" s="67" t="n">
        <f aca="false">+J202+J204+J206+J207</f>
        <v>9612.95</v>
      </c>
      <c r="K209" s="67" t="n">
        <f aca="false">+K202+K204+K206+K207</f>
        <v>10098.34</v>
      </c>
      <c r="L209" s="67" t="n">
        <f aca="false">+L202+L204+L206+L207</f>
        <v>9398.38</v>
      </c>
      <c r="M209" s="67" t="n">
        <f aca="false">+M202+M204+M206+M207</f>
        <v>9211</v>
      </c>
      <c r="N209" s="67" t="n">
        <f aca="false">+N202+N204+N206+N207</f>
        <v>9790.01</v>
      </c>
      <c r="O209" s="67" t="n">
        <f aca="false">+O202+O204+O206+O207</f>
        <v>10846.88</v>
      </c>
      <c r="P209" s="67" t="n">
        <f aca="false">+P202+P204+P206+P207</f>
        <v>15445.24</v>
      </c>
      <c r="Q209" s="67" t="n">
        <f aca="false">+Q202+Q204+Q206+Q207</f>
        <v>20547.95</v>
      </c>
      <c r="R209" s="67" t="n">
        <f aca="false">+R202+R204+R206+R207</f>
        <v>43974.057</v>
      </c>
      <c r="S209" s="67" t="n">
        <f aca="false">+S202+S204+S206+S207</f>
        <v>48110.289</v>
      </c>
      <c r="T209" s="67" t="n">
        <f aca="false">+T202+T204+T206+T207</f>
        <v>49917.579</v>
      </c>
      <c r="U209" s="67" t="n">
        <f aca="false">+U202+U204+U206+U207</f>
        <v>54617.15</v>
      </c>
      <c r="V209" s="67" t="n">
        <f aca="false">+V202+V204+V206+V207</f>
        <v>59708.102</v>
      </c>
      <c r="W209" s="67" t="n">
        <f aca="false">+W202+W204+W206+W207</f>
        <v>58413.944</v>
      </c>
      <c r="X209" s="186" t="n">
        <f aca="false">+X202+X204+X206+X207</f>
        <v>53756.965</v>
      </c>
      <c r="Y209" s="186" t="n">
        <f aca="false">+Y202+Y204+Y206+Y207</f>
        <v>48678.422</v>
      </c>
      <c r="Z209" s="67" t="n">
        <f aca="false">+Z202+Z204+Z206+Z207</f>
        <v>51766.689</v>
      </c>
      <c r="AA209" s="67" t="n">
        <f aca="false">+AA202+AA204+AA206+AA207</f>
        <v>53754.624</v>
      </c>
      <c r="AB209" s="67" t="n">
        <f aca="false">+AB202+AB204+AB206+AB207</f>
        <v>62721.3</v>
      </c>
      <c r="AC209" s="67" t="n">
        <f aca="false">+AC202+AC204+AC206+AC207+AC208</f>
        <v>73977.1</v>
      </c>
      <c r="AD209" s="67" t="n">
        <f aca="false">+AD202+AD204+AD206+AD207+AD208</f>
        <v>74222.4</v>
      </c>
      <c r="AE209" s="67" t="n">
        <f aca="false">+AE202+AE204+AE206+AE207+AE208</f>
        <v>67951.7</v>
      </c>
      <c r="AF209" s="67" t="n">
        <f aca="false">+AF202+AF204+AF206+AF207+AF208</f>
        <v>64366.7</v>
      </c>
      <c r="AG209" s="67" t="n">
        <f aca="false">+AG202+AG204+AG206+AG207+AG208</f>
        <v>61533.3</v>
      </c>
      <c r="AH209" s="67" t="n">
        <f aca="false">+AH202+AH204+AH206+AH207+AH208</f>
        <v>62702.5</v>
      </c>
      <c r="AI209" s="67" t="n">
        <f aca="false">+AI202+AI204+AI206+AI207+AI208</f>
        <v>68681.6</v>
      </c>
      <c r="AJ209" s="67" t="n">
        <f aca="false">+AJ202+AJ204+AJ206+AJ207+AJ208</f>
        <v>70930.3546</v>
      </c>
      <c r="AK209" s="67" t="n">
        <f aca="false">+AK202+AK204+AK206+AK207+AK208</f>
        <v>71518.4092</v>
      </c>
      <c r="AL209" s="67" t="n">
        <f aca="false">+AL202+AL204+AL206+AL207+AL208</f>
        <v>71750.9544</v>
      </c>
      <c r="AN209" s="112"/>
    </row>
    <row r="210" customFormat="false" ht="12" hidden="false" customHeight="true" outlineLevel="0" collapsed="false">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180"/>
      <c r="AB210" s="41"/>
      <c r="AC210" s="41"/>
      <c r="AD210" s="41"/>
      <c r="AE210" s="41"/>
      <c r="AF210" s="180"/>
      <c r="AG210" s="180"/>
      <c r="AH210" s="41"/>
      <c r="AI210" s="41"/>
      <c r="AJ210" s="41"/>
      <c r="AK210" s="41"/>
      <c r="AL210" s="41"/>
    </row>
    <row r="211" customFormat="false" ht="12.75" hidden="false" customHeight="true" outlineLevel="0" collapsed="false">
      <c r="A211" s="59" t="s">
        <v>360</v>
      </c>
      <c r="B211" s="62" t="n">
        <f aca="false">+B836</f>
        <v>277.49</v>
      </c>
      <c r="C211" s="62" t="n">
        <f aca="false">+C836</f>
        <v>523.18</v>
      </c>
      <c r="D211" s="62" t="n">
        <f aca="false">+D836</f>
        <v>681.18</v>
      </c>
      <c r="E211" s="62" t="n">
        <f aca="false">+E836</f>
        <v>781.41</v>
      </c>
      <c r="F211" s="62" t="n">
        <f aca="false">+F836</f>
        <v>583.06</v>
      </c>
      <c r="G211" s="62" t="n">
        <f aca="false">+G836</f>
        <v>484.8</v>
      </c>
      <c r="H211" s="62" t="n">
        <f aca="false">+H836</f>
        <v>624.72</v>
      </c>
      <c r="I211" s="62" t="n">
        <f aca="false">+I836</f>
        <v>1203.84</v>
      </c>
      <c r="J211" s="62" t="n">
        <f aca="false">+J836</f>
        <v>1179.64</v>
      </c>
      <c r="K211" s="62" t="n">
        <f aca="false">+K836</f>
        <v>1173.38</v>
      </c>
      <c r="L211" s="62" t="n">
        <f aca="false">+L836</f>
        <v>1575.76</v>
      </c>
      <c r="M211" s="62" t="n">
        <f aca="false">+M836</f>
        <v>1466.02</v>
      </c>
      <c r="N211" s="62" t="n">
        <f aca="false">+N836</f>
        <v>2291.9</v>
      </c>
      <c r="O211" s="62" t="n">
        <f aca="false">+O836</f>
        <v>3681.78</v>
      </c>
      <c r="P211" s="62" t="n">
        <f aca="false">+P836</f>
        <v>2210.94</v>
      </c>
      <c r="Q211" s="62" t="n">
        <f aca="false">+Q836</f>
        <v>6099</v>
      </c>
      <c r="R211" s="62" t="n">
        <f aca="false">+R836</f>
        <v>2635.571</v>
      </c>
      <c r="S211" s="62" t="n">
        <f aca="false">+S836</f>
        <v>3261.549</v>
      </c>
      <c r="T211" s="62" t="n">
        <f aca="false">+T836</f>
        <v>12299.968</v>
      </c>
      <c r="U211" s="62" t="n">
        <f aca="false">+U836</f>
        <v>15344.789</v>
      </c>
      <c r="V211" s="62" t="n">
        <f aca="false">+V836</f>
        <v>23376.319</v>
      </c>
      <c r="W211" s="62" t="n">
        <f aca="false">+W836</f>
        <v>27896.859</v>
      </c>
      <c r="X211" s="111" t="n">
        <f aca="false">+X836</f>
        <v>26488.333</v>
      </c>
      <c r="Y211" s="111" t="n">
        <f aca="false">+Y836</f>
        <v>19804.373</v>
      </c>
      <c r="Z211" s="62" t="n">
        <f aca="false">+Z836</f>
        <v>28788.554</v>
      </c>
      <c r="AA211" s="62" t="n">
        <f aca="false">+AA836</f>
        <v>58026.268</v>
      </c>
      <c r="AB211" s="62" t="n">
        <f aca="false">+AB836</f>
        <v>26365</v>
      </c>
      <c r="AC211" s="62" t="n">
        <f aca="false">+AC836</f>
        <v>27196.3</v>
      </c>
      <c r="AD211" s="62" t="n">
        <f aca="false">+AD836</f>
        <v>30687.2</v>
      </c>
      <c r="AE211" s="62" t="n">
        <f aca="false">+AE836</f>
        <v>48196.3</v>
      </c>
      <c r="AF211" s="62" t="n">
        <f aca="false">+AF836</f>
        <v>66636</v>
      </c>
      <c r="AG211" s="62" t="n">
        <f aca="false">+AG836</f>
        <v>55597.7</v>
      </c>
      <c r="AH211" s="62" t="n">
        <f aca="false">+AH836</f>
        <v>86729.6</v>
      </c>
      <c r="AI211" s="62" t="n">
        <f aca="false">+AI836</f>
        <v>106790</v>
      </c>
      <c r="AJ211" s="62" t="n">
        <f aca="false">+AJ836</f>
        <v>118849.855</v>
      </c>
      <c r="AK211" s="62" t="n">
        <f aca="false">+AK836</f>
        <v>124012.70275</v>
      </c>
      <c r="AL211" s="62" t="n">
        <f aca="false">+AL836</f>
        <v>129283.6928875</v>
      </c>
    </row>
    <row r="212" customFormat="false" ht="12" hidden="false" customHeight="true" outlineLevel="0" collapsed="false">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180"/>
      <c r="AB212" s="41"/>
      <c r="AC212" s="41"/>
      <c r="AD212" s="41"/>
      <c r="AE212" s="41"/>
      <c r="AF212" s="180"/>
      <c r="AG212" s="180"/>
      <c r="AH212" s="41"/>
      <c r="AI212" s="41"/>
      <c r="AJ212" s="41"/>
      <c r="AK212" s="41"/>
      <c r="AL212" s="41"/>
    </row>
    <row r="213" customFormat="false" ht="12.75" hidden="false" customHeight="true" outlineLevel="0" collapsed="false">
      <c r="A213" s="59" t="s">
        <v>361</v>
      </c>
      <c r="B213" s="62" t="n">
        <f aca="false">+B845</f>
        <v>0</v>
      </c>
      <c r="C213" s="62" t="n">
        <f aca="false">+C845</f>
        <v>0</v>
      </c>
      <c r="D213" s="62" t="n">
        <f aca="false">+D845</f>
        <v>0</v>
      </c>
      <c r="E213" s="62" t="n">
        <f aca="false">+E845</f>
        <v>0</v>
      </c>
      <c r="F213" s="62" t="n">
        <f aca="false">+F845</f>
        <v>0</v>
      </c>
      <c r="G213" s="62" t="n">
        <f aca="false">+G845</f>
        <v>0</v>
      </c>
      <c r="H213" s="62" t="n">
        <f aca="false">+H845</f>
        <v>0</v>
      </c>
      <c r="I213" s="62" t="n">
        <f aca="false">+I845</f>
        <v>0</v>
      </c>
      <c r="J213" s="62" t="n">
        <f aca="false">+J845</f>
        <v>0</v>
      </c>
      <c r="K213" s="62" t="n">
        <f aca="false">+K845</f>
        <v>0</v>
      </c>
      <c r="L213" s="62" t="n">
        <f aca="false">+L845</f>
        <v>0</v>
      </c>
      <c r="M213" s="62" t="n">
        <f aca="false">+M845</f>
        <v>0</v>
      </c>
      <c r="N213" s="62" t="n">
        <f aca="false">+N845</f>
        <v>0</v>
      </c>
      <c r="O213" s="62" t="n">
        <f aca="false">+O845</f>
        <v>0</v>
      </c>
      <c r="P213" s="62" t="n">
        <f aca="false">+P845</f>
        <v>0</v>
      </c>
      <c r="Q213" s="62" t="n">
        <f aca="false">+Q845</f>
        <v>0</v>
      </c>
      <c r="R213" s="62" t="n">
        <f aca="false">+R845</f>
        <v>0</v>
      </c>
      <c r="S213" s="62" t="n">
        <f aca="false">+S845</f>
        <v>0</v>
      </c>
      <c r="T213" s="62" t="n">
        <f aca="false">+T845</f>
        <v>0</v>
      </c>
      <c r="U213" s="62" t="n">
        <f aca="false">+U845</f>
        <v>6082.395</v>
      </c>
      <c r="V213" s="62" t="n">
        <f aca="false">+V845</f>
        <v>4796.955</v>
      </c>
      <c r="W213" s="62" t="n">
        <f aca="false">+W845</f>
        <v>6727.653</v>
      </c>
      <c r="X213" s="111" t="n">
        <f aca="false">+X845</f>
        <v>9829.176</v>
      </c>
      <c r="Y213" s="111" t="n">
        <f aca="false">+Y845</f>
        <v>976.206</v>
      </c>
      <c r="Z213" s="62" t="n">
        <f aca="false">+Z845</f>
        <v>0</v>
      </c>
      <c r="AA213" s="62" t="n">
        <f aca="false">+AA845</f>
        <v>335.411</v>
      </c>
      <c r="AB213" s="62" t="n">
        <f aca="false">+AB845</f>
        <v>318.5</v>
      </c>
      <c r="AC213" s="62" t="n">
        <f aca="false">+AC845</f>
        <v>330</v>
      </c>
      <c r="AD213" s="62" t="n">
        <f aca="false">+AD845</f>
        <v>205</v>
      </c>
      <c r="AE213" s="62" t="n">
        <f aca="false">+AE845</f>
        <v>0</v>
      </c>
      <c r="AF213" s="62" t="n">
        <f aca="false">+AF845</f>
        <v>0</v>
      </c>
      <c r="AG213" s="62" t="n">
        <f aca="false">+AG845</f>
        <v>0</v>
      </c>
      <c r="AH213" s="62" t="n">
        <f aca="false">+AH845</f>
        <v>0</v>
      </c>
      <c r="AI213" s="62" t="n">
        <f aca="false">+AI845</f>
        <v>0</v>
      </c>
      <c r="AJ213" s="62" t="n">
        <f aca="false">+AJ845</f>
        <v>0</v>
      </c>
      <c r="AK213" s="62" t="n">
        <f aca="false">+AK845</f>
        <v>0</v>
      </c>
      <c r="AL213" s="62" t="n">
        <f aca="false">+AL845</f>
        <v>0</v>
      </c>
    </row>
    <row r="214" customFormat="false" ht="12" hidden="false" customHeight="true" outlineLevel="0" collapsed="false">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180"/>
      <c r="AB214" s="41"/>
      <c r="AC214" s="41"/>
      <c r="AD214" s="41"/>
      <c r="AE214" s="41"/>
      <c r="AF214" s="180"/>
      <c r="AG214" s="180"/>
      <c r="AH214" s="41"/>
      <c r="AI214" s="41"/>
      <c r="AJ214" s="41"/>
      <c r="AK214" s="41"/>
      <c r="AL214" s="41"/>
    </row>
    <row r="215" customFormat="false" ht="12" hidden="false" customHeight="true" outlineLevel="0" collapsed="false">
      <c r="A215" s="69" t="s">
        <v>362</v>
      </c>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111" t="n">
        <f aca="false">+Y846</f>
        <v>6469.041</v>
      </c>
      <c r="Z215" s="62" t="n">
        <f aca="false">+Z846</f>
        <v>8844.458</v>
      </c>
      <c r="AA215" s="62" t="n">
        <f aca="false">+AA846</f>
        <v>5597.749</v>
      </c>
      <c r="AB215" s="62" t="n">
        <f aca="false">+AB846</f>
        <v>10975.8</v>
      </c>
      <c r="AC215" s="62" t="n">
        <f aca="false">+AC846</f>
        <v>8157.8</v>
      </c>
      <c r="AD215" s="62" t="n">
        <f aca="false">+AD846</f>
        <v>4866.1</v>
      </c>
      <c r="AE215" s="62" t="n">
        <f aca="false">+AE846</f>
        <v>4951.9</v>
      </c>
      <c r="AF215" s="62" t="n">
        <f aca="false">+AF846</f>
        <v>5585.3</v>
      </c>
      <c r="AG215" s="62" t="n">
        <f aca="false">+AG846</f>
        <v>4843.7</v>
      </c>
      <c r="AH215" s="62" t="n">
        <f aca="false">+AH846</f>
        <v>12690.2</v>
      </c>
      <c r="AI215" s="62" t="n">
        <f aca="false">+AI846</f>
        <v>5042.2</v>
      </c>
      <c r="AJ215" s="62" t="n">
        <f aca="false">+AJ846</f>
        <v>5546.42</v>
      </c>
      <c r="AK215" s="62" t="n">
        <f aca="false">+AK846</f>
        <v>6101.062</v>
      </c>
      <c r="AL215" s="62" t="n">
        <f aca="false">+AL846</f>
        <v>6711.1682</v>
      </c>
    </row>
    <row r="216" customFormat="false" ht="12.75" hidden="false" customHeight="true" outlineLevel="0" collapsed="false">
      <c r="A216" s="59" t="s">
        <v>363</v>
      </c>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180"/>
      <c r="AB216" s="41"/>
      <c r="AC216" s="41"/>
      <c r="AD216" s="41"/>
      <c r="AE216" s="41"/>
      <c r="AF216" s="180"/>
      <c r="AG216" s="180"/>
      <c r="AH216" s="41"/>
      <c r="AI216" s="41"/>
      <c r="AJ216" s="41"/>
      <c r="AK216" s="41"/>
      <c r="AL216" s="41"/>
    </row>
    <row r="217" customFormat="false" ht="12" hidden="false" customHeight="true" outlineLevel="0" collapsed="false">
      <c r="A217" s="69" t="s">
        <v>364</v>
      </c>
      <c r="B217" s="62" t="n">
        <f aca="false">+B849</f>
        <v>2617.41</v>
      </c>
      <c r="C217" s="62" t="n">
        <f aca="false">+C849</f>
        <v>2540.98</v>
      </c>
      <c r="D217" s="62" t="n">
        <f aca="false">+D849</f>
        <v>3041.86</v>
      </c>
      <c r="E217" s="62" t="n">
        <f aca="false">+E849</f>
        <v>4324.04</v>
      </c>
      <c r="F217" s="62" t="n">
        <f aca="false">+F849</f>
        <v>6529.24</v>
      </c>
      <c r="G217" s="62" t="n">
        <f aca="false">+G849</f>
        <v>6576.04</v>
      </c>
      <c r="H217" s="62" t="n">
        <f aca="false">+H849</f>
        <v>4277.47</v>
      </c>
      <c r="I217" s="62" t="n">
        <f aca="false">+I849</f>
        <v>4577.94</v>
      </c>
      <c r="J217" s="62" t="n">
        <f aca="false">+J849</f>
        <v>5176.74</v>
      </c>
      <c r="K217" s="62" t="n">
        <f aca="false">+K849</f>
        <v>5953.4</v>
      </c>
      <c r="L217" s="62" t="n">
        <f aca="false">+L849</f>
        <v>4104.56</v>
      </c>
      <c r="M217" s="62" t="n">
        <f aca="false">+M849</f>
        <v>5069.41</v>
      </c>
      <c r="N217" s="62" t="n">
        <f aca="false">+N849</f>
        <v>5680.81</v>
      </c>
      <c r="O217" s="62" t="n">
        <f aca="false">+O849</f>
        <v>9025.61</v>
      </c>
      <c r="P217" s="62" t="n">
        <f aca="false">+P849</f>
        <v>10703.21</v>
      </c>
      <c r="Q217" s="62" t="n">
        <f aca="false">+Q849</f>
        <v>12239.14</v>
      </c>
      <c r="R217" s="62" t="n">
        <f aca="false">+R849</f>
        <v>13300.144</v>
      </c>
      <c r="S217" s="62" t="n">
        <f aca="false">+S849</f>
        <v>16382.4</v>
      </c>
      <c r="T217" s="62" t="n">
        <f aca="false">+T849</f>
        <v>22089.034</v>
      </c>
      <c r="U217" s="62" t="n">
        <f aca="false">+U849</f>
        <v>22306.252</v>
      </c>
      <c r="V217" s="62" t="n">
        <f aca="false">+V849</f>
        <v>18960.208</v>
      </c>
      <c r="W217" s="62" t="n">
        <f aca="false">+W849</f>
        <v>11887.031</v>
      </c>
      <c r="X217" s="62" t="n">
        <f aca="false">+X849</f>
        <v>13985.272</v>
      </c>
      <c r="Y217" s="62" t="n">
        <f aca="false">+Y849</f>
        <v>16250.135</v>
      </c>
      <c r="Z217" s="62" t="n">
        <f aca="false">+Z849</f>
        <v>25011.167</v>
      </c>
      <c r="AA217" s="62" t="n">
        <f aca="false">+AA849</f>
        <v>17098.751</v>
      </c>
      <c r="AB217" s="62" t="n">
        <f aca="false">+AB849</f>
        <v>26846.7</v>
      </c>
      <c r="AC217" s="62" t="n">
        <f aca="false">+AC849</f>
        <v>12380</v>
      </c>
      <c r="AD217" s="62" t="n">
        <f aca="false">+AD849</f>
        <v>21422.9</v>
      </c>
      <c r="AE217" s="62" t="n">
        <f aca="false">+AE849</f>
        <v>20752</v>
      </c>
      <c r="AF217" s="62" t="n">
        <f aca="false">+AF849</f>
        <v>27744.8</v>
      </c>
      <c r="AG217" s="62" t="n">
        <f aca="false">+AG849</f>
        <v>31906.9</v>
      </c>
      <c r="AH217" s="62" t="n">
        <f aca="false">+AH849</f>
        <v>29573.2</v>
      </c>
      <c r="AI217" s="62" t="n">
        <f aca="false">+AI849</f>
        <v>34860.2</v>
      </c>
      <c r="AJ217" s="62" t="n">
        <f aca="false">+AJ849</f>
        <v>38115.3206454936</v>
      </c>
      <c r="AK217" s="62" t="n">
        <f aca="false">+AK849</f>
        <v>41576.3673083312</v>
      </c>
      <c r="AL217" s="62" t="n">
        <f aca="false">+AL849</f>
        <v>44710.4594078117</v>
      </c>
    </row>
    <row r="218" customFormat="false" ht="12" hidden="false" customHeight="true" outlineLevel="0" collapsed="false">
      <c r="A218" s="69" t="s">
        <v>365</v>
      </c>
      <c r="B218" s="62" t="n">
        <f aca="false">+B859</f>
        <v>3177.93</v>
      </c>
      <c r="C218" s="62" t="n">
        <f aca="false">+C859</f>
        <v>3172.05</v>
      </c>
      <c r="D218" s="62" t="n">
        <f aca="false">+D859</f>
        <v>4770.84</v>
      </c>
      <c r="E218" s="62" t="n">
        <f aca="false">+E859</f>
        <v>7092.52</v>
      </c>
      <c r="F218" s="62" t="n">
        <f aca="false">+F859</f>
        <v>10513.03</v>
      </c>
      <c r="G218" s="62" t="n">
        <f aca="false">+G859</f>
        <v>9011.99</v>
      </c>
      <c r="H218" s="62" t="n">
        <f aca="false">+H859</f>
        <v>7605.75</v>
      </c>
      <c r="I218" s="62" t="n">
        <f aca="false">+I859</f>
        <v>7561.83</v>
      </c>
      <c r="J218" s="62" t="n">
        <f aca="false">+J859</f>
        <v>6679.52</v>
      </c>
      <c r="K218" s="62" t="n">
        <f aca="false">+K859</f>
        <v>4928.46</v>
      </c>
      <c r="L218" s="62" t="n">
        <f aca="false">+L859</f>
        <v>5181.5</v>
      </c>
      <c r="M218" s="62" t="n">
        <f aca="false">+M859</f>
        <v>4056.19</v>
      </c>
      <c r="N218" s="62" t="n">
        <f aca="false">+N859</f>
        <v>4587.66</v>
      </c>
      <c r="O218" s="62" t="n">
        <f aca="false">+O859</f>
        <v>4243.37</v>
      </c>
      <c r="P218" s="62" t="n">
        <f aca="false">+P859</f>
        <v>5228.75</v>
      </c>
      <c r="Q218" s="62" t="n">
        <f aca="false">+Q859</f>
        <v>3758.35</v>
      </c>
      <c r="R218" s="62" t="n">
        <f aca="false">+R859</f>
        <v>9579.742</v>
      </c>
      <c r="S218" s="62" t="n">
        <f aca="false">+S859</f>
        <v>10220.615</v>
      </c>
      <c r="T218" s="62" t="n">
        <f aca="false">+T859</f>
        <v>11852.133</v>
      </c>
      <c r="U218" s="62" t="n">
        <f aca="false">+U859</f>
        <v>12302.479</v>
      </c>
      <c r="V218" s="62" t="n">
        <f aca="false">+V859</f>
        <v>14194.113</v>
      </c>
      <c r="W218" s="62" t="n">
        <f aca="false">+W859</f>
        <v>12990.105</v>
      </c>
      <c r="X218" s="62" t="n">
        <f aca="false">+X859</f>
        <v>12576.925</v>
      </c>
      <c r="Y218" s="62" t="n">
        <f aca="false">+Y859</f>
        <v>12509.495</v>
      </c>
      <c r="Z218" s="62" t="n">
        <f aca="false">+Z859</f>
        <v>8599.016</v>
      </c>
      <c r="AA218" s="62" t="n">
        <f aca="false">+AA859</f>
        <v>9805.056</v>
      </c>
      <c r="AB218" s="62" t="n">
        <f aca="false">+AB859</f>
        <v>25055.3</v>
      </c>
      <c r="AC218" s="62" t="n">
        <f aca="false">+AC859</f>
        <v>11798.2</v>
      </c>
      <c r="AD218" s="62" t="n">
        <f aca="false">+AD859</f>
        <v>28163.1</v>
      </c>
      <c r="AE218" s="62" t="n">
        <f aca="false">+AE859</f>
        <v>31110.5</v>
      </c>
      <c r="AF218" s="62" t="n">
        <f aca="false">+AF859</f>
        <v>40627.1</v>
      </c>
      <c r="AG218" s="62" t="n">
        <f aca="false">+AG859</f>
        <v>35699</v>
      </c>
      <c r="AH218" s="62" t="n">
        <f aca="false">+AH859</f>
        <v>28873.2</v>
      </c>
      <c r="AI218" s="62" t="n">
        <f aca="false">+AI859</f>
        <v>29504.1</v>
      </c>
      <c r="AJ218" s="62" t="n">
        <f aca="false">+AJ859</f>
        <v>33535.0494045229</v>
      </c>
      <c r="AK218" s="62" t="n">
        <f aca="false">+AK859</f>
        <v>36262.5224481775</v>
      </c>
      <c r="AL218" s="62" t="n">
        <f aca="false">+AL859</f>
        <v>38984.1257572121</v>
      </c>
    </row>
    <row r="219" customFormat="false" ht="12" hidden="false" customHeight="true" outlineLevel="0" collapsed="false">
      <c r="A219" s="69" t="s">
        <v>366</v>
      </c>
      <c r="B219" s="62" t="n">
        <f aca="false">+B861</f>
        <v>797.86</v>
      </c>
      <c r="C219" s="62" t="n">
        <f aca="false">+C861</f>
        <v>34.77</v>
      </c>
      <c r="D219" s="62" t="n">
        <f aca="false">+D861</f>
        <v>851.2</v>
      </c>
      <c r="E219" s="62" t="n">
        <f aca="false">+E861</f>
        <v>25.52</v>
      </c>
      <c r="F219" s="62" t="n">
        <f aca="false">+F861</f>
        <v>65.42</v>
      </c>
      <c r="G219" s="62" t="n">
        <f aca="false">+G861</f>
        <v>25.11</v>
      </c>
      <c r="H219" s="62" t="n">
        <f aca="false">+H861</f>
        <v>621.55</v>
      </c>
      <c r="I219" s="62" t="n">
        <f aca="false">+I861</f>
        <v>372.84</v>
      </c>
      <c r="J219" s="62" t="n">
        <f aca="false">+J861</f>
        <v>1649.2</v>
      </c>
      <c r="K219" s="62" t="n">
        <f aca="false">+K861</f>
        <v>2748.94</v>
      </c>
      <c r="L219" s="62" t="n">
        <f aca="false">+L861</f>
        <v>2219.23</v>
      </c>
      <c r="M219" s="62" t="n">
        <f aca="false">+M861</f>
        <v>3249.74</v>
      </c>
      <c r="N219" s="62" t="n">
        <f aca="false">+N861</f>
        <v>7966.82</v>
      </c>
      <c r="O219" s="62" t="n">
        <f aca="false">+O861</f>
        <v>6028.76</v>
      </c>
      <c r="P219" s="62" t="n">
        <f aca="false">+P861</f>
        <v>4349.39</v>
      </c>
      <c r="Q219" s="62" t="n">
        <f aca="false">+Q861</f>
        <v>4513.7</v>
      </c>
      <c r="R219" s="62" t="n">
        <f aca="false">+R861</f>
        <v>880.836</v>
      </c>
      <c r="S219" s="62" t="n">
        <f aca="false">+S861</f>
        <v>5189.205</v>
      </c>
      <c r="T219" s="62" t="n">
        <f aca="false">+T861</f>
        <v>1795.272</v>
      </c>
      <c r="U219" s="62" t="n">
        <f aca="false">+U861</f>
        <v>325.558</v>
      </c>
      <c r="V219" s="62" t="n">
        <f aca="false">+V861</f>
        <v>139.424</v>
      </c>
      <c r="W219" s="62" t="n">
        <f aca="false">+W861</f>
        <v>116.906</v>
      </c>
      <c r="X219" s="62" t="n">
        <f aca="false">+X861</f>
        <v>7512.879</v>
      </c>
      <c r="Y219" s="62" t="n">
        <f aca="false">+Y861</f>
        <v>15931.314</v>
      </c>
      <c r="Z219" s="62" t="n">
        <f aca="false">+Z861</f>
        <v>9119.748</v>
      </c>
      <c r="AA219" s="62" t="n">
        <f aca="false">+AA861</f>
        <v>10044.044</v>
      </c>
      <c r="AB219" s="62" t="n">
        <f aca="false">+AB861</f>
        <v>13735.9</v>
      </c>
      <c r="AC219" s="62" t="n">
        <f aca="false">+AC861</f>
        <v>13224.7</v>
      </c>
      <c r="AD219" s="62" t="n">
        <f aca="false">+AD861</f>
        <v>8229.5</v>
      </c>
      <c r="AE219" s="62" t="n">
        <f aca="false">+AE861</f>
        <v>10469.6</v>
      </c>
      <c r="AF219" s="62" t="n">
        <f aca="false">+AF861</f>
        <v>5012.9</v>
      </c>
      <c r="AG219" s="62" t="n">
        <f aca="false">+AG861</f>
        <v>34381.8</v>
      </c>
      <c r="AH219" s="62" t="n">
        <f aca="false">+AH861</f>
        <v>27059.5</v>
      </c>
      <c r="AI219" s="62" t="n">
        <f aca="false">+AI861</f>
        <v>29770.5</v>
      </c>
      <c r="AJ219" s="62" t="n">
        <f aca="false">+AJ861</f>
        <v>36417.633568351</v>
      </c>
      <c r="AK219" s="62" t="n">
        <f aca="false">+AK861</f>
        <v>56156.0249938045</v>
      </c>
      <c r="AL219" s="62" t="n">
        <f aca="false">+AL861</f>
        <v>78664.2170592194</v>
      </c>
    </row>
    <row r="220" customFormat="false" ht="12" hidden="false" customHeight="true" outlineLevel="0" collapsed="false">
      <c r="A220" s="69" t="s">
        <v>367</v>
      </c>
      <c r="B220" s="62" t="n">
        <f aca="false">+B863</f>
        <v>1415.74</v>
      </c>
      <c r="C220" s="62" t="n">
        <f aca="false">+C863</f>
        <v>1530.4</v>
      </c>
      <c r="D220" s="62" t="n">
        <f aca="false">+D863</f>
        <v>4127.53</v>
      </c>
      <c r="E220" s="62" t="n">
        <f aca="false">+E863</f>
        <v>5130.49</v>
      </c>
      <c r="F220" s="62" t="n">
        <f aca="false">+F863</f>
        <v>2761.44</v>
      </c>
      <c r="G220" s="62" t="n">
        <f aca="false">+G863</f>
        <v>2875.71</v>
      </c>
      <c r="H220" s="62" t="n">
        <f aca="false">+H863</f>
        <v>1956.27</v>
      </c>
      <c r="I220" s="62" t="n">
        <f aca="false">+I863</f>
        <v>2129.77</v>
      </c>
      <c r="J220" s="62" t="n">
        <f aca="false">+J863</f>
        <v>2128.54</v>
      </c>
      <c r="K220" s="62" t="n">
        <f aca="false">+K863</f>
        <v>1920.96</v>
      </c>
      <c r="L220" s="62" t="n">
        <f aca="false">+L863</f>
        <v>1899.41</v>
      </c>
      <c r="M220" s="62" t="n">
        <f aca="false">+M863</f>
        <v>2261.33</v>
      </c>
      <c r="N220" s="62" t="n">
        <f aca="false">+N863</f>
        <v>3337.34</v>
      </c>
      <c r="O220" s="62" t="n">
        <f aca="false">+O863</f>
        <v>3026.39</v>
      </c>
      <c r="P220" s="62" t="n">
        <f aca="false">+P863</f>
        <v>6695.79</v>
      </c>
      <c r="Q220" s="62" t="n">
        <f aca="false">+Q863</f>
        <v>8241.37</v>
      </c>
      <c r="R220" s="62" t="n">
        <f aca="false">+R863</f>
        <v>7895.435</v>
      </c>
      <c r="S220" s="62" t="n">
        <f aca="false">+S863</f>
        <v>9604.623</v>
      </c>
      <c r="T220" s="62" t="n">
        <f aca="false">+T863</f>
        <v>7936.014</v>
      </c>
      <c r="U220" s="62" t="n">
        <f aca="false">+U863</f>
        <v>7270.906</v>
      </c>
      <c r="V220" s="62" t="n">
        <f aca="false">+V863</f>
        <v>8909.804</v>
      </c>
      <c r="W220" s="62" t="n">
        <f aca="false">+W863</f>
        <v>8007.11</v>
      </c>
      <c r="X220" s="62" t="n">
        <f aca="false">+X863</f>
        <v>5688.217</v>
      </c>
      <c r="Y220" s="62" t="n">
        <f aca="false">+Y863</f>
        <v>706.005</v>
      </c>
      <c r="Z220" s="62" t="n">
        <f aca="false">+Z863</f>
        <v>34.646</v>
      </c>
      <c r="AA220" s="62" t="n">
        <f aca="false">+AA863</f>
        <v>241.016</v>
      </c>
      <c r="AB220" s="62" t="n">
        <f aca="false">+AB863</f>
        <v>224.6</v>
      </c>
      <c r="AC220" s="62" t="n">
        <f aca="false">+AC863</f>
        <v>230</v>
      </c>
      <c r="AD220" s="62" t="n">
        <f aca="false">+AD863</f>
        <v>206.2</v>
      </c>
      <c r="AE220" s="62" t="n">
        <f aca="false">+AE863</f>
        <v>0</v>
      </c>
      <c r="AF220" s="62" t="n">
        <f aca="false">+AF863</f>
        <v>0</v>
      </c>
      <c r="AG220" s="62" t="n">
        <f aca="false">+AG863</f>
        <v>950</v>
      </c>
      <c r="AH220" s="62" t="n">
        <f aca="false">+AH863</f>
        <v>0</v>
      </c>
      <c r="AI220" s="62" t="n">
        <f aca="false">+AI863</f>
        <v>0</v>
      </c>
      <c r="AJ220" s="62" t="n">
        <f aca="false">+AJ863</f>
        <v>0</v>
      </c>
      <c r="AK220" s="62" t="n">
        <f aca="false">+AK863</f>
        <v>0</v>
      </c>
      <c r="AL220" s="62" t="n">
        <f aca="false">+AL863</f>
        <v>0</v>
      </c>
    </row>
    <row r="221" customFormat="false" ht="12" hidden="false" customHeight="true" outlineLevel="0" collapsed="false">
      <c r="A221" s="149" t="s">
        <v>368</v>
      </c>
      <c r="B221" s="62" t="n">
        <f aca="false">+B869</f>
        <v>0</v>
      </c>
      <c r="C221" s="62" t="n">
        <f aca="false">+C869</f>
        <v>0</v>
      </c>
      <c r="D221" s="62" t="n">
        <f aca="false">+D869</f>
        <v>0</v>
      </c>
      <c r="E221" s="62" t="n">
        <f aca="false">+E869</f>
        <v>0</v>
      </c>
      <c r="F221" s="62" t="n">
        <f aca="false">+F869</f>
        <v>0</v>
      </c>
      <c r="G221" s="62" t="n">
        <f aca="false">+G869</f>
        <v>0</v>
      </c>
      <c r="H221" s="62" t="n">
        <f aca="false">+H869</f>
        <v>0</v>
      </c>
      <c r="I221" s="62" t="n">
        <f aca="false">+I869</f>
        <v>0</v>
      </c>
      <c r="J221" s="62" t="n">
        <f aca="false">+J869</f>
        <v>0</v>
      </c>
      <c r="K221" s="62" t="n">
        <f aca="false">+K869</f>
        <v>0</v>
      </c>
      <c r="L221" s="62" t="n">
        <f aca="false">+L869</f>
        <v>0</v>
      </c>
      <c r="M221" s="62" t="n">
        <f aca="false">+M869</f>
        <v>0</v>
      </c>
      <c r="N221" s="62" t="n">
        <f aca="false">+N869</f>
        <v>0</v>
      </c>
      <c r="O221" s="62" t="n">
        <f aca="false">+O869</f>
        <v>0</v>
      </c>
      <c r="P221" s="62" t="n">
        <f aca="false">+P869</f>
        <v>0</v>
      </c>
      <c r="Q221" s="62" t="n">
        <f aca="false">+Q869</f>
        <v>0</v>
      </c>
      <c r="R221" s="62" t="n">
        <f aca="false">+R869</f>
        <v>0</v>
      </c>
      <c r="S221" s="62" t="n">
        <f aca="false">+S869</f>
        <v>0</v>
      </c>
      <c r="T221" s="62" t="n">
        <f aca="false">+T869</f>
        <v>0</v>
      </c>
      <c r="U221" s="62" t="n">
        <f aca="false">+U869</f>
        <v>833.668</v>
      </c>
      <c r="V221" s="62" t="n">
        <f aca="false">+V869</f>
        <v>761.775</v>
      </c>
      <c r="W221" s="62" t="n">
        <f aca="false">+W869</f>
        <v>1709.45</v>
      </c>
      <c r="X221" s="62" t="n">
        <f aca="false">+X869</f>
        <v>3082.139</v>
      </c>
      <c r="Y221" s="62" t="n">
        <f aca="false">+Y869</f>
        <v>6412.547</v>
      </c>
      <c r="Z221" s="62" t="n">
        <f aca="false">+Z869</f>
        <v>5829.783</v>
      </c>
      <c r="AA221" s="62" t="n">
        <f aca="false">+AA869</f>
        <v>10957.903</v>
      </c>
      <c r="AB221" s="62" t="n">
        <f aca="false">+AB869</f>
        <v>16000.9</v>
      </c>
      <c r="AC221" s="62" t="n">
        <f aca="false">+AC869</f>
        <v>16602</v>
      </c>
      <c r="AD221" s="62" t="n">
        <f aca="false">+AD869</f>
        <v>16496.7</v>
      </c>
      <c r="AE221" s="62" t="n">
        <f aca="false">+AE869</f>
        <v>19905.8</v>
      </c>
      <c r="AF221" s="62" t="n">
        <f aca="false">+AF869</f>
        <v>15943.5</v>
      </c>
      <c r="AG221" s="62" t="n">
        <f aca="false">+AG869</f>
        <v>11205.1</v>
      </c>
      <c r="AH221" s="62" t="n">
        <f aca="false">+AH869</f>
        <v>7630.1</v>
      </c>
      <c r="AI221" s="62" t="n">
        <f aca="false">+AI869</f>
        <v>11288</v>
      </c>
      <c r="AJ221" s="62" t="n">
        <f aca="false">+AJ869</f>
        <v>13288</v>
      </c>
      <c r="AK221" s="62" t="n">
        <f aca="false">+AK869</f>
        <v>15288</v>
      </c>
      <c r="AL221" s="62" t="n">
        <f aca="false">+AL869</f>
        <v>17288</v>
      </c>
    </row>
    <row r="222" customFormat="false" ht="12.75" hidden="false" customHeight="true" outlineLevel="0" collapsed="false">
      <c r="A222" s="59" t="s">
        <v>369</v>
      </c>
      <c r="B222" s="62" t="n">
        <f aca="false">+SUM(B217:B221)</f>
        <v>8008.94</v>
      </c>
      <c r="C222" s="62" t="n">
        <f aca="false">+SUM(C217:C221)</f>
        <v>7278.2</v>
      </c>
      <c r="D222" s="62" t="n">
        <f aca="false">+SUM(D217:D221)</f>
        <v>12791.43</v>
      </c>
      <c r="E222" s="62" t="n">
        <f aca="false">+SUM(E217:E221)</f>
        <v>16572.57</v>
      </c>
      <c r="F222" s="62" t="n">
        <f aca="false">+SUM(F217:F221)</f>
        <v>19869.13</v>
      </c>
      <c r="G222" s="62" t="n">
        <f aca="false">+SUM(G217:G221)</f>
        <v>18488.85</v>
      </c>
      <c r="H222" s="62" t="n">
        <f aca="false">+SUM(H217:H221)</f>
        <v>14461.04</v>
      </c>
      <c r="I222" s="62" t="n">
        <f aca="false">+SUM(I217:I221)</f>
        <v>14642.38</v>
      </c>
      <c r="J222" s="62" t="n">
        <f aca="false">+SUM(J217:J221)</f>
        <v>15634</v>
      </c>
      <c r="K222" s="62" t="n">
        <f aca="false">+SUM(K217:K221)</f>
        <v>15551.76</v>
      </c>
      <c r="L222" s="62" t="n">
        <f aca="false">+SUM(L217:L221)</f>
        <v>13404.7</v>
      </c>
      <c r="M222" s="62" t="n">
        <f aca="false">+SUM(M217:M221)</f>
        <v>14636.67</v>
      </c>
      <c r="N222" s="62" t="n">
        <f aca="false">+SUM(N217:N221)</f>
        <v>21572.63</v>
      </c>
      <c r="O222" s="62" t="n">
        <f aca="false">+SUM(O217:O221)</f>
        <v>22324.13</v>
      </c>
      <c r="P222" s="62" t="n">
        <f aca="false">+SUM(P217:P221)</f>
        <v>26977.14</v>
      </c>
      <c r="Q222" s="62" t="n">
        <f aca="false">+SUM(Q217:Q221)</f>
        <v>28752.56</v>
      </c>
      <c r="R222" s="62" t="n">
        <f aca="false">+SUM(R217:R221)</f>
        <v>31656.157</v>
      </c>
      <c r="S222" s="62" t="n">
        <f aca="false">+SUM(S217:S221)</f>
        <v>41396.843</v>
      </c>
      <c r="T222" s="62" t="n">
        <f aca="false">+SUM(T217:T221)</f>
        <v>43672.453</v>
      </c>
      <c r="U222" s="62" t="n">
        <f aca="false">+SUM(U217:U221)</f>
        <v>43038.863</v>
      </c>
      <c r="V222" s="62" t="n">
        <f aca="false">+SUM(V217:V221)</f>
        <v>42965.324</v>
      </c>
      <c r="W222" s="62" t="n">
        <f aca="false">+SUM(W217:W221)</f>
        <v>34710.602</v>
      </c>
      <c r="X222" s="62" t="n">
        <f aca="false">+SUM(X217:X221)</f>
        <v>42845.432</v>
      </c>
      <c r="Y222" s="62" t="n">
        <f aca="false">+SUM(Y217:Y221)</f>
        <v>51809.496</v>
      </c>
      <c r="Z222" s="62" t="n">
        <f aca="false">+SUM(Z217:Z221)</f>
        <v>48594.36</v>
      </c>
      <c r="AA222" s="62" t="n">
        <f aca="false">+SUM(AA217:AA221)</f>
        <v>48146.77</v>
      </c>
      <c r="AB222" s="62" t="n">
        <f aca="false">+SUM(AB217:AB221)</f>
        <v>81863.4</v>
      </c>
      <c r="AC222" s="62" t="n">
        <f aca="false">+SUM(AC217:AC221)</f>
        <v>54234.9</v>
      </c>
      <c r="AD222" s="62" t="n">
        <f aca="false">+SUM(AD217:AD221)</f>
        <v>74518.4</v>
      </c>
      <c r="AE222" s="62" t="n">
        <f aca="false">+SUM(AE217:AE221)</f>
        <v>82237.9</v>
      </c>
      <c r="AF222" s="62" t="n">
        <f aca="false">+SUM(AF217:AF221)</f>
        <v>89328.3</v>
      </c>
      <c r="AG222" s="62" t="n">
        <f aca="false">+SUM(AG217:AG221)</f>
        <v>114142.8</v>
      </c>
      <c r="AH222" s="62" t="n">
        <f aca="false">+SUM(AH217:AH221)</f>
        <v>93136</v>
      </c>
      <c r="AI222" s="62" t="n">
        <f aca="false">+SUM(AI217:AI221)</f>
        <v>105422.8</v>
      </c>
      <c r="AJ222" s="62" t="n">
        <f aca="false">+SUM(AJ217:AJ221)</f>
        <v>121356.003618368</v>
      </c>
      <c r="AK222" s="62" t="n">
        <f aca="false">+SUM(AK217:AK221)</f>
        <v>149282.914750313</v>
      </c>
      <c r="AL222" s="62" t="n">
        <f aca="false">+SUM(AL217:AL221)</f>
        <v>179646.802224243</v>
      </c>
    </row>
    <row r="223" customFormat="false" ht="12" hidden="false" customHeight="true" outlineLevel="0" collapsed="false">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180"/>
      <c r="AB223" s="41"/>
      <c r="AC223" s="41"/>
      <c r="AD223" s="41"/>
      <c r="AE223" s="41"/>
      <c r="AF223" s="180"/>
      <c r="AG223" s="180"/>
      <c r="AH223" s="41"/>
      <c r="AI223" s="41"/>
      <c r="AJ223" s="41"/>
      <c r="AK223" s="41"/>
      <c r="AL223" s="41"/>
    </row>
    <row r="224" customFormat="false" ht="12.75" hidden="false" customHeight="true" outlineLevel="0" collapsed="false">
      <c r="A224" s="59" t="s">
        <v>370</v>
      </c>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180"/>
      <c r="AB224" s="41"/>
      <c r="AC224" s="41"/>
      <c r="AD224" s="41"/>
      <c r="AE224" s="41"/>
      <c r="AF224" s="180"/>
      <c r="AG224" s="180"/>
      <c r="AH224" s="41"/>
      <c r="AI224" s="41"/>
      <c r="AJ224" s="41"/>
      <c r="AK224" s="41"/>
      <c r="AL224" s="41"/>
    </row>
    <row r="225" customFormat="false" ht="12" hidden="false" customHeight="true" outlineLevel="0" collapsed="false">
      <c r="A225" s="69" t="s">
        <v>371</v>
      </c>
      <c r="B225" s="62" t="n">
        <f aca="false">+B873</f>
        <v>0</v>
      </c>
      <c r="C225" s="62" t="n">
        <f aca="false">+C873</f>
        <v>0</v>
      </c>
      <c r="D225" s="62" t="n">
        <f aca="false">+D873</f>
        <v>0</v>
      </c>
      <c r="E225" s="62" t="n">
        <f aca="false">+E873</f>
        <v>0</v>
      </c>
      <c r="F225" s="62" t="n">
        <f aca="false">+F873</f>
        <v>0</v>
      </c>
      <c r="G225" s="62" t="n">
        <f aca="false">+G873</f>
        <v>0</v>
      </c>
      <c r="H225" s="62" t="n">
        <f aca="false">+H873</f>
        <v>0</v>
      </c>
      <c r="I225" s="62" t="n">
        <f aca="false">+I873</f>
        <v>0</v>
      </c>
      <c r="J225" s="62" t="n">
        <f aca="false">+J873</f>
        <v>907.34</v>
      </c>
      <c r="K225" s="62" t="n">
        <f aca="false">+K873</f>
        <v>939.73</v>
      </c>
      <c r="L225" s="62" t="n">
        <f aca="false">+L873</f>
        <v>959.79</v>
      </c>
      <c r="M225" s="62" t="n">
        <f aca="false">+M873</f>
        <v>1407.15</v>
      </c>
      <c r="N225" s="62" t="n">
        <f aca="false">+N873</f>
        <v>2264.79</v>
      </c>
      <c r="O225" s="62" t="n">
        <f aca="false">+O873</f>
        <v>3539.72</v>
      </c>
      <c r="P225" s="62" t="n">
        <f aca="false">+P873</f>
        <v>4199.76</v>
      </c>
      <c r="Q225" s="62" t="n">
        <f aca="false">+Q873</f>
        <v>4425.5</v>
      </c>
      <c r="R225" s="62" t="n">
        <f aca="false">+R873</f>
        <v>6612.493</v>
      </c>
      <c r="S225" s="62" t="n">
        <f aca="false">+S873</f>
        <v>7691.259</v>
      </c>
      <c r="T225" s="62" t="n">
        <f aca="false">+T873</f>
        <v>5790.155</v>
      </c>
      <c r="U225" s="62" t="n">
        <f aca="false">+U873</f>
        <v>0</v>
      </c>
      <c r="V225" s="62" t="n">
        <f aca="false">+V873</f>
        <v>0</v>
      </c>
      <c r="W225" s="62" t="n">
        <f aca="false">+W873</f>
        <v>0</v>
      </c>
      <c r="X225" s="62" t="n">
        <f aca="false">+X873</f>
        <v>0</v>
      </c>
      <c r="Y225" s="62" t="n">
        <f aca="false">+Y873</f>
        <v>0</v>
      </c>
      <c r="Z225" s="62" t="n">
        <f aca="false">+Z873</f>
        <v>0</v>
      </c>
      <c r="AA225" s="62" t="n">
        <f aca="false">+AA873</f>
        <v>0</v>
      </c>
      <c r="AB225" s="62" t="n">
        <f aca="false">+AB873</f>
        <v>0</v>
      </c>
      <c r="AC225" s="62" t="n">
        <f aca="false">+AC873</f>
        <v>0</v>
      </c>
      <c r="AD225" s="62" t="n">
        <f aca="false">+AD873</f>
        <v>0</v>
      </c>
      <c r="AE225" s="62" t="n">
        <f aca="false">+AE873</f>
        <v>0</v>
      </c>
      <c r="AF225" s="62" t="n">
        <f aca="false">+AF873</f>
        <v>0</v>
      </c>
      <c r="AG225" s="62" t="n">
        <f aca="false">+AG873</f>
        <v>0</v>
      </c>
      <c r="AH225" s="62" t="n">
        <f aca="false">+AH873</f>
        <v>0</v>
      </c>
      <c r="AI225" s="62" t="n">
        <f aca="false">+AI873</f>
        <v>0</v>
      </c>
      <c r="AJ225" s="62" t="n">
        <f aca="false">+AJ873</f>
        <v>0</v>
      </c>
      <c r="AK225" s="62" t="n">
        <f aca="false">+AK873</f>
        <v>0</v>
      </c>
      <c r="AL225" s="62" t="n">
        <f aca="false">+AL873</f>
        <v>0</v>
      </c>
    </row>
    <row r="226" customFormat="false" ht="12" hidden="false" customHeight="true" outlineLevel="0" collapsed="false">
      <c r="A226" s="69" t="s">
        <v>372</v>
      </c>
      <c r="B226" s="62" t="n">
        <f aca="false">+B874</f>
        <v>1525.27</v>
      </c>
      <c r="C226" s="62" t="n">
        <f aca="false">+C874</f>
        <v>1924.63</v>
      </c>
      <c r="D226" s="62" t="n">
        <f aca="false">+D874</f>
        <v>2535.43</v>
      </c>
      <c r="E226" s="62" t="n">
        <f aca="false">+E874</f>
        <v>3413.48</v>
      </c>
      <c r="F226" s="62" t="n">
        <f aca="false">+F874</f>
        <v>4241.81</v>
      </c>
      <c r="G226" s="62" t="n">
        <f aca="false">+G874</f>
        <v>3530.97</v>
      </c>
      <c r="H226" s="62" t="n">
        <f aca="false">+H874</f>
        <v>3088.59</v>
      </c>
      <c r="I226" s="62" t="n">
        <f aca="false">+I874</f>
        <v>3012.98</v>
      </c>
      <c r="J226" s="62" t="n">
        <f aca="false">+J874</f>
        <v>2942.57</v>
      </c>
      <c r="K226" s="62" t="n">
        <f aca="false">+K874</f>
        <v>3337.2</v>
      </c>
      <c r="L226" s="62" t="n">
        <f aca="false">+L874</f>
        <v>3174.01</v>
      </c>
      <c r="M226" s="62" t="n">
        <f aca="false">+M874</f>
        <v>4599.92</v>
      </c>
      <c r="N226" s="62" t="n">
        <f aca="false">+N874</f>
        <v>6354.1</v>
      </c>
      <c r="O226" s="62" t="n">
        <f aca="false">+O874</f>
        <v>6919.81</v>
      </c>
      <c r="P226" s="62" t="n">
        <f aca="false">+P874</f>
        <v>10137.12</v>
      </c>
      <c r="Q226" s="62" t="n">
        <f aca="false">+Q874</f>
        <v>12925.58</v>
      </c>
      <c r="R226" s="62" t="n">
        <f aca="false">+R874</f>
        <v>11100.42</v>
      </c>
      <c r="S226" s="62" t="n">
        <f aca="false">+S874</f>
        <v>15625.52</v>
      </c>
      <c r="T226" s="62" t="n">
        <f aca="false">+T874</f>
        <v>21283.898</v>
      </c>
      <c r="U226" s="62" t="n">
        <f aca="false">+U874</f>
        <v>27724.61</v>
      </c>
      <c r="V226" s="62" t="n">
        <f aca="false">+V874</f>
        <v>24853.685</v>
      </c>
      <c r="W226" s="62" t="n">
        <f aca="false">+W874</f>
        <v>22141.537</v>
      </c>
      <c r="X226" s="62" t="n">
        <f aca="false">+X874</f>
        <v>28283.187</v>
      </c>
      <c r="Y226" s="62" t="n">
        <f aca="false">+Y874</f>
        <v>25626.881</v>
      </c>
      <c r="Z226" s="62" t="n">
        <f aca="false">+Z874</f>
        <v>30521.823</v>
      </c>
      <c r="AA226" s="62" t="n">
        <f aca="false">+AA874</f>
        <v>46586.162</v>
      </c>
      <c r="AB226" s="62" t="n">
        <f aca="false">+AB874</f>
        <v>50189.3</v>
      </c>
      <c r="AC226" s="62" t="n">
        <f aca="false">+AC874</f>
        <v>26239.1</v>
      </c>
      <c r="AD226" s="62" t="n">
        <f aca="false">+AD874</f>
        <v>51646.9</v>
      </c>
      <c r="AE226" s="62" t="n">
        <f aca="false">+AE874</f>
        <v>68752.3</v>
      </c>
      <c r="AF226" s="62" t="n">
        <f aca="false">+AF874</f>
        <v>71751.2</v>
      </c>
      <c r="AG226" s="62" t="n">
        <f aca="false">+AG874</f>
        <v>63051.9</v>
      </c>
      <c r="AH226" s="62" t="n">
        <f aca="false">+AH874</f>
        <v>73046.9</v>
      </c>
      <c r="AI226" s="62" t="n">
        <f aca="false">+AI874</f>
        <v>83292.6</v>
      </c>
      <c r="AJ226" s="62" t="n">
        <f aca="false">+AJ874</f>
        <v>86768.6305070533</v>
      </c>
      <c r="AK226" s="62" t="n">
        <f aca="false">+AK874</f>
        <v>93384.3700112904</v>
      </c>
      <c r="AL226" s="62" t="n">
        <f aca="false">+AL874</f>
        <v>100468.641683764</v>
      </c>
    </row>
    <row r="227" customFormat="false" ht="12" hidden="false" customHeight="true" outlineLevel="0" collapsed="false">
      <c r="A227" s="69" t="s">
        <v>373</v>
      </c>
      <c r="B227" s="62" t="n">
        <f aca="false">+B875</f>
        <v>701.45</v>
      </c>
      <c r="C227" s="62" t="n">
        <f aca="false">+C875</f>
        <v>635.67</v>
      </c>
      <c r="D227" s="62" t="n">
        <f aca="false">+D875</f>
        <v>886.58</v>
      </c>
      <c r="E227" s="62" t="n">
        <f aca="false">+E875</f>
        <v>1278.91</v>
      </c>
      <c r="F227" s="62" t="n">
        <f aca="false">+F875</f>
        <v>1141.49</v>
      </c>
      <c r="G227" s="62" t="n">
        <f aca="false">+G875</f>
        <v>752.77</v>
      </c>
      <c r="H227" s="62" t="n">
        <f aca="false">+H875</f>
        <v>561.25</v>
      </c>
      <c r="I227" s="62" t="n">
        <f aca="false">+I875</f>
        <v>624.05</v>
      </c>
      <c r="J227" s="62" t="n">
        <f aca="false">+J875</f>
        <v>820.89</v>
      </c>
      <c r="K227" s="62" t="n">
        <f aca="false">+K875</f>
        <v>661.88</v>
      </c>
      <c r="L227" s="62" t="n">
        <f aca="false">+L875</f>
        <v>794.85</v>
      </c>
      <c r="M227" s="62" t="n">
        <f aca="false">+M875</f>
        <v>813.94</v>
      </c>
      <c r="N227" s="62" t="n">
        <f aca="false">+N875</f>
        <v>992.98</v>
      </c>
      <c r="O227" s="62" t="n">
        <f aca="false">+O875</f>
        <v>1009.42</v>
      </c>
      <c r="P227" s="62" t="n">
        <f aca="false">+P875</f>
        <v>2179.37</v>
      </c>
      <c r="Q227" s="62" t="n">
        <f aca="false">+Q875</f>
        <v>1916.01</v>
      </c>
      <c r="R227" s="62" t="n">
        <f aca="false">+R875</f>
        <v>975.728</v>
      </c>
      <c r="S227" s="62" t="n">
        <f aca="false">+S875</f>
        <v>2603.878</v>
      </c>
      <c r="T227" s="62" t="n">
        <f aca="false">+T875</f>
        <v>3305.424</v>
      </c>
      <c r="U227" s="62" t="n">
        <f aca="false">+U875</f>
        <v>8458.94</v>
      </c>
      <c r="V227" s="62" t="n">
        <f aca="false">+V875</f>
        <v>8844.552</v>
      </c>
      <c r="W227" s="62" t="n">
        <f aca="false">+W875</f>
        <v>8905.059</v>
      </c>
      <c r="X227" s="62" t="n">
        <f aca="false">+X875</f>
        <v>11677.632</v>
      </c>
      <c r="Y227" s="62" t="n">
        <f aca="false">+Y875</f>
        <v>15445.005</v>
      </c>
      <c r="Z227" s="62" t="n">
        <f aca="false">+Z875</f>
        <v>16459.866</v>
      </c>
      <c r="AA227" s="62" t="n">
        <f aca="false">+AA875</f>
        <v>23855.015</v>
      </c>
      <c r="AB227" s="62" t="n">
        <f aca="false">+AB875</f>
        <v>26333</v>
      </c>
      <c r="AC227" s="62" t="n">
        <f aca="false">+AC875</f>
        <v>18226.7</v>
      </c>
      <c r="AD227" s="62" t="n">
        <f aca="false">+AD875</f>
        <v>13609.5</v>
      </c>
      <c r="AE227" s="62" t="n">
        <f aca="false">+AE875</f>
        <v>15329.6</v>
      </c>
      <c r="AF227" s="62" t="n">
        <f aca="false">+AF875</f>
        <v>19507.8</v>
      </c>
      <c r="AG227" s="62" t="n">
        <f aca="false">+AG875</f>
        <v>39609.7</v>
      </c>
      <c r="AH227" s="62" t="n">
        <f aca="false">+AH875</f>
        <v>27531.9</v>
      </c>
      <c r="AI227" s="62" t="n">
        <f aca="false">+AI875</f>
        <v>29994.8</v>
      </c>
      <c r="AJ227" s="62" t="n">
        <f aca="false">+AJ875</f>
        <v>32994.28</v>
      </c>
      <c r="AK227" s="62" t="n">
        <f aca="false">+AK875</f>
        <v>36293.708</v>
      </c>
      <c r="AL227" s="62" t="n">
        <f aca="false">+AL875</f>
        <v>39923.0788</v>
      </c>
    </row>
    <row r="228" customFormat="false" ht="12" hidden="false" customHeight="true" outlineLevel="0" collapsed="false">
      <c r="A228" s="69" t="s">
        <v>374</v>
      </c>
      <c r="B228" s="62" t="n">
        <f aca="false">+B878+B879+B880</f>
        <v>96.28</v>
      </c>
      <c r="C228" s="62" t="n">
        <f aca="false">+C878+C879+C880</f>
        <v>254.49</v>
      </c>
      <c r="D228" s="62" t="n">
        <f aca="false">+D878+D879+D880</f>
        <v>369.04</v>
      </c>
      <c r="E228" s="62" t="n">
        <f aca="false">+E878+E879+E880</f>
        <v>596.29</v>
      </c>
      <c r="F228" s="62" t="n">
        <f aca="false">+F878+F879+F880</f>
        <v>813.68</v>
      </c>
      <c r="G228" s="62" t="n">
        <f aca="false">+G878+G879+G880</f>
        <v>290.62</v>
      </c>
      <c r="H228" s="62" t="n">
        <f aca="false">+H878+H879+H880</f>
        <v>320.56</v>
      </c>
      <c r="I228" s="62" t="n">
        <f aca="false">+I878+I879+I880</f>
        <v>675.93</v>
      </c>
      <c r="J228" s="62" t="n">
        <f aca="false">+J878+J879+J880</f>
        <v>740.35</v>
      </c>
      <c r="K228" s="62" t="n">
        <f aca="false">+K878+K879+K880</f>
        <v>788.2</v>
      </c>
      <c r="L228" s="62" t="n">
        <f aca="false">+L878+L879+L880</f>
        <v>995.12</v>
      </c>
      <c r="M228" s="62" t="n">
        <f aca="false">+M878+M879+M880</f>
        <v>1504.36</v>
      </c>
      <c r="N228" s="62" t="n">
        <f aca="false">+N878+N879+N880</f>
        <v>2044.8</v>
      </c>
      <c r="O228" s="62" t="n">
        <f aca="false">+O878+O879+O880</f>
        <v>2616.21</v>
      </c>
      <c r="P228" s="62" t="n">
        <f aca="false">+P878+P879+P880</f>
        <v>1042.3</v>
      </c>
      <c r="Q228" s="62" t="n">
        <f aca="false">+Q878+Q879+Q880</f>
        <v>3452.31</v>
      </c>
      <c r="R228" s="62" t="n">
        <f aca="false">+R878+R879+R880</f>
        <v>2680.817</v>
      </c>
      <c r="S228" s="62" t="n">
        <f aca="false">+S878+S879+S880</f>
        <v>3686.915</v>
      </c>
      <c r="T228" s="62" t="n">
        <f aca="false">+T878+T879+T880</f>
        <v>4903.263</v>
      </c>
      <c r="U228" s="62" t="n">
        <f aca="false">+U878+U879+U880</f>
        <v>4203.744</v>
      </c>
      <c r="V228" s="62" t="n">
        <f aca="false">+V878+V879+V880</f>
        <v>3086.833</v>
      </c>
      <c r="W228" s="62" t="n">
        <f aca="false">+W878+W879+W880</f>
        <v>881.267</v>
      </c>
      <c r="X228" s="62" t="n">
        <f aca="false">+X878+X879+X880</f>
        <v>2560.46</v>
      </c>
      <c r="Y228" s="62" t="n">
        <f aca="false">+Y878+Y879+Y880</f>
        <v>1890.514</v>
      </c>
      <c r="Z228" s="62" t="n">
        <f aca="false">+Z878+Z879+Z880</f>
        <v>4843.808</v>
      </c>
      <c r="AA228" s="62" t="n">
        <f aca="false">+AA878+AA879+AA880</f>
        <v>6162.343</v>
      </c>
      <c r="AB228" s="62" t="n">
        <f aca="false">+AB878+AB879+AB880</f>
        <v>8027.7</v>
      </c>
      <c r="AC228" s="62" t="n">
        <f aca="false">+AC878+AC879+AC880</f>
        <v>6248.5</v>
      </c>
      <c r="AD228" s="62" t="n">
        <f aca="false">+AD878+AD879+AD880</f>
        <v>4649.6</v>
      </c>
      <c r="AE228" s="62" t="n">
        <f aca="false">+AE878+AE879+AE880</f>
        <v>4702.5</v>
      </c>
      <c r="AF228" s="62" t="n">
        <f aca="false">+AF878+AF879+AF880</f>
        <v>5193.2</v>
      </c>
      <c r="AG228" s="62" t="n">
        <f aca="false">+AG878+AG879+AG880</f>
        <v>6506.8</v>
      </c>
      <c r="AH228" s="62" t="n">
        <f aca="false">+AH878+AH879+AH880</f>
        <v>8251.5</v>
      </c>
      <c r="AI228" s="62" t="n">
        <f aca="false">+AI878+AI879+AI880</f>
        <v>13503.4</v>
      </c>
      <c r="AJ228" s="62" t="n">
        <f aca="false">+AJ878+AJ879+AJ880</f>
        <v>14178.57</v>
      </c>
      <c r="AK228" s="62" t="n">
        <f aca="false">+AK878+AK879+AK880</f>
        <v>14887.4985</v>
      </c>
      <c r="AL228" s="62" t="n">
        <f aca="false">+AL878+AL879+AL880</f>
        <v>15631.873425</v>
      </c>
    </row>
    <row r="229" customFormat="false" ht="12" hidden="false" customHeight="true" outlineLevel="0" collapsed="false">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180"/>
      <c r="AB229" s="41"/>
      <c r="AC229" s="41"/>
      <c r="AD229" s="41"/>
      <c r="AE229" s="41"/>
      <c r="AF229" s="180"/>
      <c r="AG229" s="180"/>
      <c r="AH229" s="41"/>
      <c r="AI229" s="41"/>
      <c r="AJ229" s="41"/>
      <c r="AK229" s="41"/>
      <c r="AL229" s="41"/>
    </row>
    <row r="230" customFormat="false" ht="12.75" hidden="false" customHeight="true" outlineLevel="0" collapsed="false">
      <c r="A230" s="59" t="s">
        <v>375</v>
      </c>
      <c r="B230" s="62" t="n">
        <f aca="false">+SUM(B225:B228)</f>
        <v>2323</v>
      </c>
      <c r="C230" s="62" t="n">
        <f aca="false">+SUM(C225:C228)</f>
        <v>2814.79</v>
      </c>
      <c r="D230" s="62" t="n">
        <f aca="false">+SUM(D225:D228)</f>
        <v>3791.05</v>
      </c>
      <c r="E230" s="62" t="n">
        <f aca="false">+SUM(E225:E228)</f>
        <v>5288.68</v>
      </c>
      <c r="F230" s="62" t="n">
        <f aca="false">+SUM(F225:F228)</f>
        <v>6196.98</v>
      </c>
      <c r="G230" s="62" t="n">
        <f aca="false">+SUM(G225:G228)</f>
        <v>4574.36</v>
      </c>
      <c r="H230" s="62" t="n">
        <f aca="false">+SUM(H225:H228)</f>
        <v>3970.4</v>
      </c>
      <c r="I230" s="62" t="n">
        <f aca="false">+SUM(I225:I228)</f>
        <v>4312.96</v>
      </c>
      <c r="J230" s="62" t="n">
        <f aca="false">+SUM(J225:J228)</f>
        <v>5411.15</v>
      </c>
      <c r="K230" s="62" t="n">
        <f aca="false">+SUM(K225:K228)</f>
        <v>5727.01</v>
      </c>
      <c r="L230" s="62" t="n">
        <f aca="false">+SUM(L225:L228)</f>
        <v>5923.77</v>
      </c>
      <c r="M230" s="62" t="n">
        <f aca="false">+SUM(M225:M228)</f>
        <v>8325.37</v>
      </c>
      <c r="N230" s="62" t="n">
        <f aca="false">+SUM(N225:N228)</f>
        <v>11656.67</v>
      </c>
      <c r="O230" s="62" t="n">
        <f aca="false">+SUM(O225:O228)</f>
        <v>14085.16</v>
      </c>
      <c r="P230" s="62" t="n">
        <f aca="false">+SUM(P225:P228)</f>
        <v>17558.55</v>
      </c>
      <c r="Q230" s="62" t="n">
        <f aca="false">+SUM(Q225:Q228)</f>
        <v>22719.4</v>
      </c>
      <c r="R230" s="62" t="n">
        <f aca="false">+SUM(R225:R228)</f>
        <v>21369.458</v>
      </c>
      <c r="S230" s="62" t="n">
        <f aca="false">+SUM(S225:S228)</f>
        <v>29607.572</v>
      </c>
      <c r="T230" s="62" t="n">
        <f aca="false">+SUM(T225:T228)</f>
        <v>35282.74</v>
      </c>
      <c r="U230" s="62" t="n">
        <f aca="false">+SUM(U225:U228)</f>
        <v>40387.294</v>
      </c>
      <c r="V230" s="62" t="n">
        <f aca="false">+SUM(V225:V228)</f>
        <v>36785.07</v>
      </c>
      <c r="W230" s="62" t="n">
        <f aca="false">+SUM(W225:W228)</f>
        <v>31927.863</v>
      </c>
      <c r="X230" s="62" t="n">
        <f aca="false">+SUM(X225:X228)</f>
        <v>42521.279</v>
      </c>
      <c r="Y230" s="62" t="n">
        <f aca="false">+SUM(Y225:Y228)</f>
        <v>42962.4</v>
      </c>
      <c r="Z230" s="62" t="n">
        <f aca="false">+SUM(Z225:Z228)</f>
        <v>51825.497</v>
      </c>
      <c r="AA230" s="62" t="n">
        <f aca="false">+SUM(AA225:AA228)</f>
        <v>76603.52</v>
      </c>
      <c r="AB230" s="62" t="n">
        <f aca="false">+SUM(AB225:AB228)</f>
        <v>84550</v>
      </c>
      <c r="AC230" s="62" t="n">
        <f aca="false">+SUM(AC225:AC228)</f>
        <v>50714.3</v>
      </c>
      <c r="AD230" s="62" t="n">
        <f aca="false">+SUM(AD225:AD228)</f>
        <v>69906</v>
      </c>
      <c r="AE230" s="62" t="n">
        <f aca="false">+SUM(AE225:AE228)</f>
        <v>88784.4</v>
      </c>
      <c r="AF230" s="62" t="n">
        <f aca="false">+SUM(AF225:AF228)</f>
        <v>96452.2</v>
      </c>
      <c r="AG230" s="62" t="n">
        <f aca="false">+SUM(AG225:AG228)</f>
        <v>109168.4</v>
      </c>
      <c r="AH230" s="62" t="n">
        <f aca="false">+SUM(AH225:AH228)</f>
        <v>108830.3</v>
      </c>
      <c r="AI230" s="62" t="n">
        <f aca="false">+SUM(AI225:AI228)</f>
        <v>126790.8</v>
      </c>
      <c r="AJ230" s="62" t="n">
        <f aca="false">+SUM(AJ225:AJ228)</f>
        <v>133941.480507053</v>
      </c>
      <c r="AK230" s="62" t="n">
        <f aca="false">+SUM(AK225:AK228)</f>
        <v>144565.57651129</v>
      </c>
      <c r="AL230" s="62" t="n">
        <f aca="false">+SUM(AL225:AL228)</f>
        <v>156023.593908764</v>
      </c>
    </row>
    <row r="231" customFormat="false" ht="12" hidden="false" customHeight="true" outlineLevel="0" collapsed="false">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180"/>
      <c r="AB231" s="41"/>
      <c r="AC231" s="41"/>
      <c r="AD231" s="41"/>
      <c r="AE231" s="41"/>
      <c r="AF231" s="180"/>
      <c r="AG231" s="180"/>
      <c r="AH231" s="41"/>
      <c r="AI231" s="41"/>
      <c r="AJ231" s="41"/>
      <c r="AK231" s="41"/>
      <c r="AL231" s="41"/>
    </row>
    <row r="232" customFormat="false" ht="12.75" hidden="false" customHeight="true" outlineLevel="0" collapsed="false">
      <c r="A232" s="59" t="s">
        <v>376</v>
      </c>
      <c r="B232" s="62" t="n">
        <f aca="false">+B222-B230</f>
        <v>5685.94</v>
      </c>
      <c r="C232" s="62" t="n">
        <f aca="false">+C222-C230</f>
        <v>4463.41</v>
      </c>
      <c r="D232" s="62" t="n">
        <f aca="false">+D222-D230</f>
        <v>9000.38</v>
      </c>
      <c r="E232" s="62" t="n">
        <f aca="false">+E222-E230</f>
        <v>11283.89</v>
      </c>
      <c r="F232" s="62" t="n">
        <f aca="false">+F222-F230</f>
        <v>13672.15</v>
      </c>
      <c r="G232" s="62" t="n">
        <f aca="false">+G222-G230</f>
        <v>13914.49</v>
      </c>
      <c r="H232" s="62" t="n">
        <f aca="false">+H222-H230</f>
        <v>10490.64</v>
      </c>
      <c r="I232" s="62" t="n">
        <f aca="false">+I222-I230</f>
        <v>10329.42</v>
      </c>
      <c r="J232" s="62" t="n">
        <f aca="false">+J222-J230</f>
        <v>10222.85</v>
      </c>
      <c r="K232" s="62" t="n">
        <f aca="false">+K222-K230</f>
        <v>9824.75</v>
      </c>
      <c r="L232" s="62" t="n">
        <f aca="false">+L222-L230</f>
        <v>7480.93</v>
      </c>
      <c r="M232" s="62" t="n">
        <f aca="false">+M222-M230</f>
        <v>6311.3</v>
      </c>
      <c r="N232" s="62" t="n">
        <f aca="false">+N222-N230</f>
        <v>9915.96</v>
      </c>
      <c r="O232" s="62" t="n">
        <f aca="false">+O222-O230</f>
        <v>8238.97</v>
      </c>
      <c r="P232" s="62" t="n">
        <f aca="false">+P222-P230</f>
        <v>9418.59</v>
      </c>
      <c r="Q232" s="62" t="n">
        <f aca="false">+Q222-Q230</f>
        <v>6033.16</v>
      </c>
      <c r="R232" s="62" t="n">
        <f aca="false">+R222-R230</f>
        <v>10286.699</v>
      </c>
      <c r="S232" s="62" t="n">
        <f aca="false">+S222-S230</f>
        <v>11789.271</v>
      </c>
      <c r="T232" s="62" t="n">
        <f aca="false">+T222-T230</f>
        <v>8389.713</v>
      </c>
      <c r="U232" s="62" t="n">
        <f aca="false">+U222-U230</f>
        <v>2651.569</v>
      </c>
      <c r="V232" s="62" t="n">
        <f aca="false">+V222-V230</f>
        <v>6180.254</v>
      </c>
      <c r="W232" s="62" t="n">
        <f aca="false">+W222-W230</f>
        <v>2782.739</v>
      </c>
      <c r="X232" s="62" t="n">
        <f aca="false">+X222-X230</f>
        <v>324.152999999998</v>
      </c>
      <c r="Y232" s="62" t="n">
        <f aca="false">+Y222-Y230</f>
        <v>8847.096</v>
      </c>
      <c r="Z232" s="62" t="n">
        <f aca="false">+Z222-Z230</f>
        <v>-3231.13699999999</v>
      </c>
      <c r="AA232" s="62" t="n">
        <f aca="false">+AA222-AA230</f>
        <v>-28456.75</v>
      </c>
      <c r="AB232" s="62" t="n">
        <f aca="false">+AB222-AB230</f>
        <v>-2686.60000000001</v>
      </c>
      <c r="AC232" s="62" t="n">
        <f aca="false">+AC222-AC230</f>
        <v>3520.60000000001</v>
      </c>
      <c r="AD232" s="62" t="n">
        <f aca="false">+AD222-AD230</f>
        <v>4612.39999999999</v>
      </c>
      <c r="AE232" s="62" t="n">
        <f aca="false">+AE222-AE230</f>
        <v>-6546.5</v>
      </c>
      <c r="AF232" s="62" t="n">
        <f aca="false">+AF222-AF230</f>
        <v>-7123.89999999999</v>
      </c>
      <c r="AG232" s="62" t="n">
        <f aca="false">+AG222-AG230</f>
        <v>4974.39999999999</v>
      </c>
      <c r="AH232" s="62" t="n">
        <f aca="false">+AH222-AH230</f>
        <v>-15694.3</v>
      </c>
      <c r="AI232" s="62" t="n">
        <f aca="false">+AI222-AI230</f>
        <v>-21368</v>
      </c>
      <c r="AJ232" s="62" t="n">
        <f aca="false">+AJ222-AJ230</f>
        <v>-12585.4768886858</v>
      </c>
      <c r="AK232" s="62" t="n">
        <f aca="false">+AK222-AK230</f>
        <v>4717.33823902282</v>
      </c>
      <c r="AL232" s="62" t="n">
        <f aca="false">+AL222-AL230</f>
        <v>23623.2083154788</v>
      </c>
    </row>
    <row r="233" customFormat="false" ht="12" hidden="false" customHeight="true" outlineLevel="0" collapsed="false">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180"/>
      <c r="AB233" s="41"/>
      <c r="AC233" s="41"/>
      <c r="AD233" s="41"/>
      <c r="AE233" s="41"/>
      <c r="AF233" s="180"/>
      <c r="AG233" s="180"/>
      <c r="AH233" s="41"/>
      <c r="AI233" s="41"/>
      <c r="AJ233" s="41"/>
      <c r="AK233" s="41"/>
      <c r="AL233" s="41"/>
    </row>
    <row r="234" customFormat="false" ht="25.5" hidden="false" customHeight="true" outlineLevel="0" collapsed="false">
      <c r="A234" s="59" t="s">
        <v>377</v>
      </c>
      <c r="B234" s="62" t="n">
        <f aca="false">+B886</f>
        <v>18.36</v>
      </c>
      <c r="C234" s="62" t="n">
        <f aca="false">+C886</f>
        <v>15.15</v>
      </c>
      <c r="D234" s="62" t="n">
        <f aca="false">+D886</f>
        <v>65.36</v>
      </c>
      <c r="E234" s="62" t="n">
        <f aca="false">+E886</f>
        <v>49.8</v>
      </c>
      <c r="F234" s="62" t="n">
        <f aca="false">+F886</f>
        <v>87.18</v>
      </c>
      <c r="G234" s="62" t="n">
        <f aca="false">+G886</f>
        <v>76.31</v>
      </c>
      <c r="H234" s="62" t="n">
        <f aca="false">+H886</f>
        <v>53.86</v>
      </c>
      <c r="I234" s="62" t="n">
        <f aca="false">+I886</f>
        <v>66.78</v>
      </c>
      <c r="J234" s="62" t="n">
        <f aca="false">+J886</f>
        <v>102.24</v>
      </c>
      <c r="K234" s="62" t="n">
        <f aca="false">+K886</f>
        <v>49.05</v>
      </c>
      <c r="L234" s="62" t="n">
        <f aca="false">+L886</f>
        <v>0</v>
      </c>
      <c r="M234" s="62" t="n">
        <f aca="false">+M886</f>
        <v>323.24</v>
      </c>
      <c r="N234" s="62" t="n">
        <f aca="false">+N886</f>
        <v>193.32</v>
      </c>
      <c r="O234" s="62" t="n">
        <f aca="false">+O886</f>
        <v>73.07</v>
      </c>
      <c r="P234" s="62" t="n">
        <f aca="false">+P886</f>
        <v>244.18</v>
      </c>
      <c r="Q234" s="62" t="n">
        <f aca="false">+Q886</f>
        <v>222.92</v>
      </c>
      <c r="R234" s="62" t="n">
        <f aca="false">+R886</f>
        <v>96.882</v>
      </c>
      <c r="S234" s="62" t="n">
        <f aca="false">+S886</f>
        <v>51.743</v>
      </c>
      <c r="T234" s="62" t="n">
        <f aca="false">+T886</f>
        <v>43.145</v>
      </c>
      <c r="U234" s="62" t="n">
        <f aca="false">+U886</f>
        <v>74.274</v>
      </c>
      <c r="V234" s="62" t="n">
        <f aca="false">+V886</f>
        <v>129.956</v>
      </c>
      <c r="W234" s="62" t="n">
        <f aca="false">+W886</f>
        <v>390.188</v>
      </c>
      <c r="X234" s="62" t="n">
        <f aca="false">+X886</f>
        <v>337.481</v>
      </c>
      <c r="Y234" s="62" t="n">
        <f aca="false">+Y886</f>
        <v>0</v>
      </c>
      <c r="Z234" s="62" t="n">
        <f aca="false">+Z886</f>
        <v>0</v>
      </c>
      <c r="AA234" s="62" t="n">
        <f aca="false">+AA886</f>
        <v>0</v>
      </c>
      <c r="AB234" s="62" t="n">
        <f aca="false">+AB886</f>
        <v>0</v>
      </c>
      <c r="AC234" s="62" t="n">
        <f aca="false">+AC886</f>
        <v>0</v>
      </c>
      <c r="AD234" s="62" t="n">
        <f aca="false">+AD886</f>
        <v>0</v>
      </c>
      <c r="AE234" s="62" t="n">
        <f aca="false">+AE886</f>
        <v>0</v>
      </c>
      <c r="AF234" s="62" t="n">
        <f aca="false">+AF886</f>
        <v>0</v>
      </c>
      <c r="AG234" s="62" t="n">
        <f aca="false">+AG886</f>
        <v>0</v>
      </c>
      <c r="AH234" s="62" t="n">
        <f aca="false">+AH886</f>
        <v>0</v>
      </c>
      <c r="AI234" s="62" t="n">
        <f aca="false">+AI886</f>
        <v>0</v>
      </c>
      <c r="AJ234" s="62" t="n">
        <f aca="false">+AJ886</f>
        <v>0</v>
      </c>
      <c r="AK234" s="62" t="n">
        <f aca="false">+AK886</f>
        <v>0</v>
      </c>
      <c r="AL234" s="62" t="n">
        <f aca="false">+AL886</f>
        <v>0</v>
      </c>
    </row>
    <row r="235" customFormat="false" ht="13.5" hidden="false" customHeight="true" outlineLevel="0" collapsed="false">
      <c r="A235" s="187" t="s">
        <v>378</v>
      </c>
      <c r="B235" s="187" t="n">
        <f aca="false">+B234+B232+B213+B211+B209</f>
        <v>9249.42</v>
      </c>
      <c r="C235" s="187" t="n">
        <f aca="false">+C234+C232+C213+C211+C209</f>
        <v>10022.88</v>
      </c>
      <c r="D235" s="187" t="n">
        <f aca="false">+D234+D232+D213+D211+D209</f>
        <v>15650.76</v>
      </c>
      <c r="E235" s="187" t="n">
        <f aca="false">+E234+E232+E213+E211+E209</f>
        <v>19257.07</v>
      </c>
      <c r="F235" s="187" t="n">
        <f aca="false">+F234+F232+F213+F211+F209</f>
        <v>22741.26</v>
      </c>
      <c r="G235" s="187" t="n">
        <f aca="false">+G234+G232+G213+G211+G209</f>
        <v>23501.69</v>
      </c>
      <c r="H235" s="187" t="n">
        <f aca="false">+H234+H232+H213+H211+H209</f>
        <v>20716.72</v>
      </c>
      <c r="I235" s="187" t="n">
        <f aca="false">+I234+I232+I213+I211+I209</f>
        <v>21058.38</v>
      </c>
      <c r="J235" s="187" t="n">
        <f aca="false">+J234+J232+J213+J211+J209</f>
        <v>21117.68</v>
      </c>
      <c r="K235" s="187" t="n">
        <f aca="false">+K234+K232+K213+K211+K209</f>
        <v>21145.52</v>
      </c>
      <c r="L235" s="187" t="n">
        <f aca="false">+L234+L232+L213+L211+L209</f>
        <v>18455.07</v>
      </c>
      <c r="M235" s="187" t="n">
        <f aca="false">+M234+M232+M213+M211+M209</f>
        <v>17311.56</v>
      </c>
      <c r="N235" s="187" t="n">
        <f aca="false">+N234+N232+N213+N211+N209</f>
        <v>22191.19</v>
      </c>
      <c r="O235" s="187" t="n">
        <f aca="false">+O234+O232+O213+O211+O209</f>
        <v>22840.7</v>
      </c>
      <c r="P235" s="187" t="n">
        <f aca="false">+P234+P232+P213+P211+P209</f>
        <v>27318.95</v>
      </c>
      <c r="Q235" s="187" t="n">
        <f aca="false">+Q234+Q232+Q213+Q211+Q209</f>
        <v>32903.03</v>
      </c>
      <c r="R235" s="182" t="n">
        <f aca="false">+R234+R232+R213+R211+R209</f>
        <v>56993.209</v>
      </c>
      <c r="S235" s="182" t="n">
        <f aca="false">+S234+S232+S213+S211+S209</f>
        <v>63212.852</v>
      </c>
      <c r="T235" s="182" t="n">
        <f aca="false">+T234+T232+T213+T211+T209</f>
        <v>70650.405</v>
      </c>
      <c r="U235" s="182" t="n">
        <f aca="false">+U234+U232+U213+U211+U209</f>
        <v>78770.177</v>
      </c>
      <c r="V235" s="182" t="n">
        <f aca="false">+V234+V232+V213+V211+V209</f>
        <v>94191.586</v>
      </c>
      <c r="W235" s="182" t="n">
        <f aca="false">+W234+W232+W213+W211+W209</f>
        <v>96211.383</v>
      </c>
      <c r="X235" s="182" t="n">
        <f aca="false">+X234+X232+X213+X211+X209+X215</f>
        <v>90736.108</v>
      </c>
      <c r="Y235" s="182" t="n">
        <f aca="false">+Y234+Y232+Y213+Y211+Y209+Y215</f>
        <v>84775.138</v>
      </c>
      <c r="Z235" s="182" t="n">
        <f aca="false">+Z234+Z232+Z213+Z211+Z209+Z215</f>
        <v>86168.564</v>
      </c>
      <c r="AA235" s="182" t="n">
        <f aca="false">+AA234+AA232+AA213+AA211+AA209+AA215</f>
        <v>89257.302</v>
      </c>
      <c r="AB235" s="182" t="n">
        <f aca="false">+AB234+AB232+AB213+AB211+AB209+AB215</f>
        <v>97694</v>
      </c>
      <c r="AC235" s="182" t="n">
        <f aca="false">+AC234+AC232+AC213+AC211+AC209+AC215</f>
        <v>113181.8</v>
      </c>
      <c r="AD235" s="182" t="n">
        <f aca="false">+AD234+AD232+AD213+AD211+AD209+AD215</f>
        <v>114593.1</v>
      </c>
      <c r="AE235" s="182" t="n">
        <f aca="false">+AE234+AE232+AE213+AE211+AE209+AE215</f>
        <v>114553.4</v>
      </c>
      <c r="AF235" s="182" t="n">
        <f aca="false">+AF234+AF232+AF213+AF211+AF209+AF215</f>
        <v>129464.1</v>
      </c>
      <c r="AG235" s="182" t="n">
        <f aca="false">+AG234+AG232+AG213+AG211+AG209+AG215</f>
        <v>126949.1</v>
      </c>
      <c r="AH235" s="182" t="n">
        <f aca="false">+AH234+AH232+AH213+AH211+AH209+AH215</f>
        <v>146428</v>
      </c>
      <c r="AI235" s="182" t="n">
        <f aca="false">+AI234+AI232+AI213+AI211+AI209+AI215</f>
        <v>159145.8</v>
      </c>
      <c r="AJ235" s="182" t="n">
        <f aca="false">+AJ234+AJ232+AJ213+AJ211+AJ209+AJ215</f>
        <v>182741.152711314</v>
      </c>
      <c r="AK235" s="182" t="n">
        <f aca="false">+AK234+AK232+AK213+AK211+AK209+AK215</f>
        <v>206349.512189023</v>
      </c>
      <c r="AL235" s="182" t="n">
        <f aca="false">+AL234+AL232+AL213+AL211+AL209+AL215</f>
        <v>231369.023802979</v>
      </c>
    </row>
    <row r="236" customFormat="false" ht="12.75" hidden="false" customHeight="true" outlineLevel="0" collapsed="false">
      <c r="B236" s="62" t="n">
        <f aca="false">+B235-B196</f>
        <v>0.06999999999789</v>
      </c>
      <c r="C236" s="62" t="n">
        <f aca="false">+C235-C196</f>
        <v>-0.139999999999418</v>
      </c>
      <c r="D236" s="62" t="n">
        <f aca="false">+D235-D196</f>
        <v>0.0100000000020373</v>
      </c>
      <c r="E236" s="62" t="n">
        <f aca="false">+E235-E196</f>
        <v>-0.0100000000020373</v>
      </c>
      <c r="F236" s="62" t="n">
        <f aca="false">+F235-F196</f>
        <v>-0.0100000000020373</v>
      </c>
      <c r="G236" s="62" t="n">
        <f aca="false">+G235-G196</f>
        <v>0</v>
      </c>
      <c r="H236" s="62" t="n">
        <f aca="false">+H235-H196</f>
        <v>-0.00999999999839929</v>
      </c>
      <c r="I236" s="62" t="n">
        <f aca="false">+I235-I196</f>
        <v>0</v>
      </c>
      <c r="J236" s="62" t="n">
        <f aca="false">+J235-J196</f>
        <v>0</v>
      </c>
      <c r="K236" s="62" t="n">
        <f aca="false">+K235-K196</f>
        <v>0</v>
      </c>
      <c r="L236" s="62" t="n">
        <f aca="false">+L235-L196</f>
        <v>0</v>
      </c>
      <c r="M236" s="62" t="n">
        <f aca="false">+M235-M196</f>
        <v>0</v>
      </c>
      <c r="N236" s="62" t="n">
        <f aca="false">+N235-N196</f>
        <v>0</v>
      </c>
      <c r="O236" s="62" t="n">
        <f aca="false">+O235-O196</f>
        <v>0</v>
      </c>
      <c r="P236" s="62" t="n">
        <f aca="false">+P235-P196</f>
        <v>0</v>
      </c>
      <c r="Q236" s="62" t="n">
        <f aca="false">+Q235-Q196</f>
        <v>0</v>
      </c>
      <c r="R236" s="62" t="n">
        <f aca="false">+R235-R196</f>
        <v>0</v>
      </c>
      <c r="S236" s="62" t="n">
        <f aca="false">+S235-S196</f>
        <v>0</v>
      </c>
      <c r="T236" s="62" t="n">
        <f aca="false">+T235-T196</f>
        <v>0</v>
      </c>
      <c r="U236" s="62" t="n">
        <f aca="false">+U235-U196</f>
        <v>0</v>
      </c>
      <c r="V236" s="62" t="n">
        <f aca="false">+V235-V196</f>
        <v>0</v>
      </c>
      <c r="W236" s="62" t="n">
        <f aca="false">+W235-W196</f>
        <v>0</v>
      </c>
      <c r="X236" s="62" t="n">
        <f aca="false">+X235-X196</f>
        <v>0</v>
      </c>
      <c r="Y236" s="62" t="n">
        <f aca="false">+Y235-Y196</f>
        <v>0</v>
      </c>
      <c r="Z236" s="62" t="n">
        <f aca="false">+Z235-Z196</f>
        <v>0</v>
      </c>
      <c r="AA236" s="62" t="n">
        <f aca="false">+AA235-AA196</f>
        <v>0</v>
      </c>
      <c r="AB236" s="62" t="n">
        <f aca="false">+AB235-AB196</f>
        <v>0</v>
      </c>
      <c r="AC236" s="62" t="n">
        <f aca="false">+AC235-AC196</f>
        <v>0</v>
      </c>
      <c r="AD236" s="62" t="n">
        <f aca="false">+AD235-AD196</f>
        <v>0</v>
      </c>
      <c r="AE236" s="62" t="n">
        <f aca="false">+AE235-AE196</f>
        <v>0</v>
      </c>
      <c r="AF236" s="62" t="n">
        <f aca="false">+AF235-AF196</f>
        <v>0</v>
      </c>
      <c r="AG236" s="62" t="n">
        <f aca="false">+AG235-AG196</f>
        <v>0</v>
      </c>
      <c r="AH236" s="62" t="n">
        <f aca="false">+AH235-AH196</f>
        <v>0</v>
      </c>
      <c r="AI236" s="62" t="n">
        <f aca="false">+AI235-AI196</f>
        <v>0</v>
      </c>
      <c r="AJ236" s="62" t="n">
        <f aca="false">+AJ235-AJ196</f>
        <v>0</v>
      </c>
      <c r="AK236" s="62" t="n">
        <f aca="false">+AK235-AK196</f>
        <v>0</v>
      </c>
      <c r="AL236" s="62" t="n">
        <f aca="false">+AL235-AL196</f>
        <v>0</v>
      </c>
    </row>
    <row r="237" customFormat="false" ht="12" hidden="false" customHeight="true" outlineLevel="0" collapsed="false">
      <c r="B237" s="75"/>
      <c r="C237" s="74"/>
      <c r="D237" s="75"/>
      <c r="E237" s="75"/>
      <c r="F237" s="75"/>
      <c r="G237" s="75"/>
      <c r="Y237" s="37" t="n">
        <f aca="false">+Y235-Y219-X235+X219</f>
        <v>-14379.405</v>
      </c>
      <c r="Z237" s="37" t="n">
        <f aca="false">+X234+X215+X213+X211+X209-Y209-Y211-Y213-Y215-Y234</f>
        <v>14483.913</v>
      </c>
      <c r="AA237" s="37" t="n">
        <f aca="false">+Z237+(Y232-Y219-X232+X219)</f>
        <v>14588.421</v>
      </c>
      <c r="AB237" s="31"/>
    </row>
    <row r="238" customFormat="false" ht="12" hidden="false" customHeight="true" outlineLevel="0" collapsed="false">
      <c r="B238" s="75"/>
      <c r="C238" s="74"/>
      <c r="D238" s="75"/>
      <c r="E238" s="75"/>
      <c r="F238" s="75"/>
      <c r="G238" s="75"/>
    </row>
    <row r="239" customFormat="false" ht="12" hidden="false" customHeight="true" outlineLevel="0" collapsed="false">
      <c r="B239" s="75"/>
      <c r="C239" s="74"/>
      <c r="D239" s="75"/>
      <c r="E239" s="75"/>
      <c r="F239" s="75"/>
      <c r="G239" s="75"/>
    </row>
    <row r="240" customFormat="false" ht="12" hidden="false" customHeight="true" outlineLevel="0" collapsed="false">
      <c r="B240" s="75"/>
      <c r="C240" s="74"/>
      <c r="D240" s="75"/>
      <c r="E240" s="75"/>
      <c r="F240" s="75"/>
      <c r="G240" s="75"/>
    </row>
    <row r="241" customFormat="false" ht="12" hidden="false" customHeight="true" outlineLevel="0" collapsed="false">
      <c r="B241" s="75"/>
      <c r="C241" s="74"/>
      <c r="D241" s="75"/>
      <c r="E241" s="75"/>
      <c r="F241" s="75"/>
      <c r="G241" s="75"/>
    </row>
    <row r="242" customFormat="false" ht="12" hidden="false" customHeight="true" outlineLevel="0" collapsed="false">
      <c r="B242" s="75"/>
      <c r="C242" s="74"/>
      <c r="D242" s="75"/>
      <c r="E242" s="75"/>
      <c r="F242" s="75"/>
      <c r="G242" s="75"/>
    </row>
    <row r="243" customFormat="false" ht="12" hidden="false" customHeight="true" outlineLevel="0" collapsed="false">
      <c r="B243" s="75"/>
      <c r="C243" s="74"/>
      <c r="D243" s="75"/>
      <c r="E243" s="75"/>
      <c r="F243" s="75"/>
      <c r="G243" s="75"/>
    </row>
    <row r="244" customFormat="false" ht="12" hidden="false" customHeight="true" outlineLevel="0" collapsed="false">
      <c r="B244" s="75"/>
      <c r="C244" s="74"/>
      <c r="D244" s="75"/>
      <c r="E244" s="75"/>
      <c r="F244" s="75"/>
      <c r="G244" s="75"/>
    </row>
    <row r="245" customFormat="false" ht="12" hidden="false" customHeight="true" outlineLevel="0" collapsed="false">
      <c r="B245" s="75"/>
      <c r="C245" s="74"/>
      <c r="D245" s="75"/>
      <c r="E245" s="75"/>
      <c r="F245" s="75"/>
      <c r="G245" s="75"/>
    </row>
    <row r="246" customFormat="false" ht="12" hidden="false" customHeight="true" outlineLevel="0" collapsed="false">
      <c r="B246" s="75"/>
      <c r="C246" s="74"/>
      <c r="D246" s="75"/>
      <c r="E246" s="75"/>
      <c r="F246" s="75"/>
      <c r="G246" s="75"/>
    </row>
    <row r="247" customFormat="false" ht="12" hidden="false" customHeight="true" outlineLevel="0" collapsed="false">
      <c r="B247" s="75"/>
      <c r="C247" s="74"/>
      <c r="D247" s="75"/>
      <c r="E247" s="75"/>
      <c r="F247" s="75"/>
      <c r="G247" s="75"/>
    </row>
    <row r="248" customFormat="false" ht="12" hidden="false" customHeight="true" outlineLevel="0" collapsed="false">
      <c r="B248" s="75"/>
      <c r="C248" s="74"/>
      <c r="D248" s="75"/>
      <c r="E248" s="75"/>
      <c r="F248" s="75"/>
      <c r="G248" s="75"/>
    </row>
    <row r="249" customFormat="false" ht="12" hidden="false" customHeight="true" outlineLevel="0" collapsed="false">
      <c r="B249" s="75"/>
      <c r="C249" s="74"/>
      <c r="D249" s="75"/>
      <c r="E249" s="75"/>
      <c r="F249" s="75"/>
      <c r="G249" s="75"/>
    </row>
    <row r="250" customFormat="false" ht="12" hidden="false" customHeight="true" outlineLevel="0" collapsed="false">
      <c r="A250" s="69" t="s">
        <v>379</v>
      </c>
      <c r="B250" s="168" t="n">
        <v>69.36</v>
      </c>
      <c r="C250" s="188" t="n">
        <v>1993</v>
      </c>
      <c r="D250" s="75"/>
      <c r="E250" s="75"/>
      <c r="F250" s="75"/>
      <c r="G250" s="75"/>
    </row>
    <row r="251" customFormat="false" ht="12" hidden="false" customHeight="true" outlineLevel="0" collapsed="false">
      <c r="A251" s="69" t="s">
        <v>379</v>
      </c>
      <c r="B251" s="168" t="n">
        <v>78</v>
      </c>
      <c r="C251" s="188" t="n">
        <v>1994</v>
      </c>
      <c r="D251" s="75"/>
      <c r="E251" s="75"/>
      <c r="F251" s="75"/>
      <c r="G251" s="75"/>
    </row>
    <row r="252" customFormat="false" ht="12" hidden="false" customHeight="true" outlineLevel="0" collapsed="false">
      <c r="A252" s="149" t="s">
        <v>380</v>
      </c>
      <c r="B252" s="168" t="n">
        <v>1189.3</v>
      </c>
      <c r="C252" s="188" t="n">
        <v>1995</v>
      </c>
      <c r="D252" s="75"/>
      <c r="E252" s="75"/>
      <c r="F252" s="75"/>
      <c r="G252" s="75"/>
    </row>
    <row r="253" customFormat="false" ht="12" hidden="false" customHeight="true" outlineLevel="0" collapsed="false">
      <c r="A253" s="149" t="s">
        <v>381</v>
      </c>
      <c r="B253" s="75"/>
      <c r="C253" s="74"/>
      <c r="D253" s="75"/>
      <c r="E253" s="75"/>
      <c r="F253" s="75"/>
      <c r="G253" s="75"/>
    </row>
    <row r="254" customFormat="false" ht="12" hidden="false" customHeight="true" outlineLevel="0" collapsed="false">
      <c r="A254" s="149" t="s">
        <v>382</v>
      </c>
      <c r="B254" s="75"/>
      <c r="C254" s="74"/>
      <c r="D254" s="75"/>
      <c r="E254" s="75"/>
      <c r="F254" s="75"/>
      <c r="G254" s="75"/>
    </row>
    <row r="255" customFormat="false" ht="12" hidden="false" customHeight="true" outlineLevel="0" collapsed="false">
      <c r="B255" s="75"/>
      <c r="C255" s="75"/>
      <c r="D255" s="75"/>
      <c r="E255" s="75"/>
      <c r="F255" s="75"/>
      <c r="G255" s="75"/>
    </row>
    <row r="256" customFormat="false" ht="25.5" hidden="false" customHeight="true" outlineLevel="0" collapsed="false">
      <c r="A256" s="69" t="s">
        <v>383</v>
      </c>
      <c r="B256" s="75"/>
      <c r="C256" s="75"/>
      <c r="D256" s="75"/>
      <c r="E256" s="75"/>
      <c r="F256" s="75"/>
      <c r="G256" s="75"/>
    </row>
    <row r="257" customFormat="false" ht="12" hidden="false" customHeight="true" outlineLevel="0" collapsed="false">
      <c r="A257" s="149" t="s">
        <v>384</v>
      </c>
      <c r="B257" s="87" t="n">
        <f aca="false">B436-B572-B19</f>
        <v>0</v>
      </c>
      <c r="C257" s="87" t="n">
        <f aca="false">C436-C572-C19</f>
        <v>0</v>
      </c>
      <c r="D257" s="87" t="n">
        <f aca="false">D436-D572-D19</f>
        <v>0</v>
      </c>
      <c r="E257" s="87" t="n">
        <f aca="false">E436-E572-E19</f>
        <v>0</v>
      </c>
      <c r="F257" s="87" t="n">
        <f aca="false">F436-F572-F19</f>
        <v>0</v>
      </c>
      <c r="G257" s="87" t="n">
        <f aca="false">G436-G572-G19</f>
        <v>0</v>
      </c>
      <c r="H257" s="87" t="n">
        <f aca="false">H436-H572-H19</f>
        <v>0</v>
      </c>
      <c r="I257" s="87" t="n">
        <f aca="false">I436-I572-I19</f>
        <v>0</v>
      </c>
      <c r="J257" s="87" t="n">
        <f aca="false">J436-J572-J19</f>
        <v>0</v>
      </c>
      <c r="K257" s="87" t="n">
        <f aca="false">K436-K572-K19</f>
        <v>0</v>
      </c>
      <c r="L257" s="87" t="n">
        <f aca="false">L436-L572-L19</f>
        <v>0</v>
      </c>
      <c r="M257" s="87" t="n">
        <f aca="false">M436-M572-M19</f>
        <v>0</v>
      </c>
      <c r="N257" s="87" t="n">
        <f aca="false">N436-N572-N19</f>
        <v>0</v>
      </c>
      <c r="O257" s="87" t="n">
        <f aca="false">O436-O572-O19</f>
        <v>0</v>
      </c>
      <c r="P257" s="87" t="n">
        <f aca="false">P436-P572-P19</f>
        <v>0</v>
      </c>
      <c r="Q257" s="87" t="n">
        <f aca="false">Q436-Q572-Q19</f>
        <v>0</v>
      </c>
      <c r="R257" s="87" t="n">
        <f aca="false">R436-R572-R19</f>
        <v>0</v>
      </c>
      <c r="S257" s="87" t="n">
        <f aca="false">S436-S572-S19</f>
        <v>0</v>
      </c>
      <c r="T257" s="87" t="n">
        <f aca="false">T436-T572-T19</f>
        <v>0</v>
      </c>
      <c r="U257" s="87" t="n">
        <f aca="false">U436-U572-U19</f>
        <v>0</v>
      </c>
      <c r="V257" s="87" t="n">
        <f aca="false">V436-V572-V19</f>
        <v>0</v>
      </c>
      <c r="W257" s="83"/>
    </row>
    <row r="258" customFormat="false" ht="12.75" hidden="false" customHeight="true" outlineLevel="0" collapsed="false">
      <c r="A258" s="167"/>
      <c r="B258" s="66"/>
      <c r="C258" s="66"/>
      <c r="D258" s="66"/>
      <c r="E258" s="66"/>
      <c r="F258" s="66"/>
      <c r="G258" s="66"/>
      <c r="H258" s="66"/>
      <c r="I258" s="83"/>
      <c r="J258" s="83"/>
      <c r="K258" s="83"/>
      <c r="L258" s="83"/>
      <c r="M258" s="83"/>
      <c r="N258" s="83"/>
      <c r="O258" s="83"/>
      <c r="P258" s="83"/>
      <c r="Q258" s="83"/>
      <c r="R258" s="83"/>
      <c r="S258" s="83"/>
      <c r="T258" s="83"/>
      <c r="U258" s="83"/>
      <c r="V258" s="83"/>
      <c r="W258" s="83"/>
    </row>
    <row r="259" customFormat="false" ht="12" hidden="false" customHeight="true" outlineLevel="0" collapsed="false">
      <c r="A259" s="69" t="s">
        <v>385</v>
      </c>
      <c r="B259" s="87" t="n">
        <f aca="false">B648-B572-B25-B32-B35-B38+B41</f>
        <v>-5.22915044598449E-013</v>
      </c>
      <c r="C259" s="87" t="n">
        <f aca="false">C648-C572-C25-C32-C35-C38+C41</f>
        <v>-3.82027742773516E-013</v>
      </c>
      <c r="D259" s="87" t="n">
        <f aca="false">D648-D572-D25-D32-D35-D38+D41</f>
        <v>-3.63820085169664E-013</v>
      </c>
      <c r="E259" s="87" t="n">
        <f aca="false">E648-E572-E25-E32-E35-E38+E41</f>
        <v>-2.92033064397401E-012</v>
      </c>
      <c r="F259" s="87" t="n">
        <f aca="false">F648-F572-F25-F32-F35-F38+F41</f>
        <v>3.82271991838934E-012</v>
      </c>
      <c r="G259" s="87" t="n">
        <f aca="false">G648-G572-G25-G32-G35-G38+G41</f>
        <v>-4.2721381987576E-013</v>
      </c>
      <c r="H259" s="87" t="n">
        <f aca="false">H648-H572-H25-H32-H35-H38+H41</f>
        <v>0</v>
      </c>
      <c r="I259" s="87" t="n">
        <f aca="false">I648-I572-I25-I32-I35-I38+I41</f>
        <v>2.01927363718823E-012</v>
      </c>
      <c r="J259" s="87" t="n">
        <f aca="false">J648-J572-J25-J32-J35-J38+J41</f>
        <v>-1.30961907984783E-012</v>
      </c>
      <c r="K259" s="87" t="n">
        <f aca="false">K648-K572-K25-K32-K35-K38+K41</f>
        <v>-1.91002769156512E-012</v>
      </c>
      <c r="L259" s="87" t="n">
        <f aca="false">L648-L572-L25-L32-L35-L38+L41</f>
        <v>-2.96496160956394E-012</v>
      </c>
      <c r="M259" s="87" t="n">
        <f aca="false">M648-M572-M25-M32-M35-M38+M41</f>
        <v>-2.81952239333805E-012</v>
      </c>
      <c r="N259" s="87" t="n">
        <f aca="false">N648-N572-N25-N32-N35-N38+N41</f>
        <v>-1.72839520473644E-012</v>
      </c>
      <c r="O259" s="87" t="n">
        <f aca="false">O648-O572-O25-O32-O35-O38+O41</f>
        <v>3.27382565501466E-012</v>
      </c>
      <c r="P259" s="87" t="n">
        <f aca="false">P648-P572-P25-P32-P35-P38+P41</f>
        <v>-9.09494701772928E-013</v>
      </c>
      <c r="Q259" s="87" t="n">
        <f aca="false">Q648-Q572-Q25-Q32-Q35-Q38+Q41</f>
        <v>9.02211638731387E-012</v>
      </c>
      <c r="R259" s="87" t="n">
        <f aca="false">R648-R572-R25-R32-R35-R38+R41</f>
        <v>-1.80477854883065E-012</v>
      </c>
      <c r="S259" s="87" t="n">
        <f aca="false">S648-S572-S25-S32-S35-S38+S41</f>
        <v>-9.66338120633736E-013</v>
      </c>
      <c r="T259" s="87" t="n">
        <f aca="false">T648-T572-T25-T32-T35-T38+T41</f>
        <v>-9.35074240260292E-012</v>
      </c>
      <c r="U259" s="87" t="n">
        <f aca="false">U648-U572-U25-U32-U35-U38+U41</f>
        <v>1.25055521493778E-011</v>
      </c>
      <c r="V259" s="87" t="n">
        <f aca="false">V648-V572-V25-V32-V35-V38+V41</f>
        <v>-1.78772552317241E-011</v>
      </c>
      <c r="W259" s="83"/>
    </row>
    <row r="260" customFormat="false" ht="12" hidden="false" customHeight="true" outlineLevel="0" collapsed="false">
      <c r="B260" s="83"/>
      <c r="C260" s="83"/>
      <c r="D260" s="83"/>
      <c r="E260" s="83"/>
      <c r="F260" s="83"/>
      <c r="G260" s="83"/>
      <c r="H260" s="83"/>
      <c r="I260" s="83"/>
      <c r="J260" s="83"/>
      <c r="K260" s="83"/>
      <c r="L260" s="83"/>
      <c r="M260" s="83"/>
      <c r="N260" s="83"/>
      <c r="O260" s="83"/>
      <c r="P260" s="83"/>
      <c r="Q260" s="83"/>
      <c r="R260" s="83"/>
      <c r="S260" s="83"/>
      <c r="T260" s="83"/>
      <c r="U260" s="83"/>
      <c r="V260" s="83"/>
      <c r="W260" s="83"/>
    </row>
    <row r="261" customFormat="false" ht="12" hidden="false" customHeight="true" outlineLevel="0" collapsed="false">
      <c r="A261" s="69" t="s">
        <v>386</v>
      </c>
      <c r="B261" s="87" t="n">
        <f aca="false">B13-B44-B47-B16</f>
        <v>0</v>
      </c>
      <c r="C261" s="87" t="n">
        <f aca="false">C13-C44-C47-C16</f>
        <v>0</v>
      </c>
      <c r="D261" s="87" t="n">
        <f aca="false">D13-D44-D47-D16</f>
        <v>0</v>
      </c>
      <c r="E261" s="87" t="n">
        <f aca="false">E13-E44-E47-E16</f>
        <v>0</v>
      </c>
      <c r="F261" s="87" t="n">
        <f aca="false">F13-F44-F47-F16</f>
        <v>0</v>
      </c>
      <c r="G261" s="87" t="n">
        <f aca="false">G13-G44-G47-G16</f>
        <v>0</v>
      </c>
      <c r="H261" s="87" t="n">
        <f aca="false">H13-H44-H47-H16</f>
        <v>0</v>
      </c>
      <c r="I261" s="87" t="n">
        <f aca="false">I13-I44-I47-I16</f>
        <v>0</v>
      </c>
      <c r="J261" s="87" t="n">
        <f aca="false">J13-J44-J47-J16</f>
        <v>0</v>
      </c>
      <c r="K261" s="87" t="n">
        <f aca="false">K13-K44-K47-K16</f>
        <v>0</v>
      </c>
      <c r="L261" s="87" t="n">
        <f aca="false">L13-L44-L47-L16</f>
        <v>0</v>
      </c>
      <c r="M261" s="87" t="n">
        <f aca="false">M13-M44-M47-M16</f>
        <v>0</v>
      </c>
      <c r="N261" s="87" t="n">
        <f aca="false">N13-N44-N47-N16</f>
        <v>0</v>
      </c>
      <c r="O261" s="87" t="n">
        <f aca="false">O13-O44-O47-O16</f>
        <v>0</v>
      </c>
      <c r="P261" s="87" t="n">
        <f aca="false">P13-P44-P47-P16</f>
        <v>0</v>
      </c>
      <c r="Q261" s="87" t="n">
        <f aca="false">Q13-Q44-Q47-Q16</f>
        <v>0</v>
      </c>
      <c r="R261" s="87" t="n">
        <f aca="false">R13-R44-R47-R16</f>
        <v>0</v>
      </c>
      <c r="S261" s="87" t="n">
        <f aca="false">S13-S44-S47-S16</f>
        <v>0</v>
      </c>
      <c r="T261" s="87" t="n">
        <f aca="false">T13-T44-T47-T16</f>
        <v>0</v>
      </c>
      <c r="U261" s="87" t="n">
        <f aca="false">U13-U44-U47-U16</f>
        <v>0</v>
      </c>
      <c r="V261" s="87" t="n">
        <f aca="false">V13-V44-V47-V16</f>
        <v>0</v>
      </c>
      <c r="W261" s="87" t="n">
        <f aca="false">W13-W44-W47-W16</f>
        <v>0</v>
      </c>
    </row>
    <row r="262" customFormat="false" ht="12" hidden="false" customHeight="true" outlineLevel="0" collapsed="false">
      <c r="B262" s="83"/>
      <c r="C262" s="83"/>
      <c r="D262" s="83"/>
      <c r="E262" s="83"/>
      <c r="F262" s="83"/>
      <c r="G262" s="83"/>
      <c r="H262" s="83"/>
      <c r="I262" s="83"/>
      <c r="J262" s="83"/>
      <c r="K262" s="83"/>
      <c r="L262" s="83"/>
      <c r="M262" s="83"/>
      <c r="N262" s="83"/>
      <c r="O262" s="83"/>
      <c r="P262" s="83"/>
      <c r="Q262" s="83"/>
      <c r="R262" s="83"/>
      <c r="S262" s="83"/>
      <c r="T262" s="83"/>
      <c r="U262" s="83"/>
      <c r="V262" s="83"/>
      <c r="W262" s="83"/>
    </row>
    <row r="263" customFormat="false" ht="12" hidden="false" customHeight="true" outlineLevel="0" collapsed="false">
      <c r="A263" s="69" t="s">
        <v>254</v>
      </c>
      <c r="B263" s="87" t="n">
        <f aca="false">B47-B49+B50-B51</f>
        <v>0</v>
      </c>
      <c r="C263" s="87" t="n">
        <f aca="false">C47-C49+C50-C51</f>
        <v>0</v>
      </c>
      <c r="D263" s="87" t="n">
        <f aca="false">D47-D49+D50-D51</f>
        <v>0</v>
      </c>
      <c r="E263" s="87" t="n">
        <f aca="false">E47-E49+E50-E51</f>
        <v>0</v>
      </c>
      <c r="F263" s="87" t="n">
        <f aca="false">F47-F49+F50-F51</f>
        <v>0</v>
      </c>
      <c r="G263" s="87" t="n">
        <f aca="false">G47-G49+G50-G51</f>
        <v>0</v>
      </c>
      <c r="H263" s="87" t="n">
        <f aca="false">H47-H49+H50-H51</f>
        <v>0</v>
      </c>
      <c r="I263" s="87" t="n">
        <f aca="false">I47-I49+I50-I51</f>
        <v>0</v>
      </c>
      <c r="J263" s="87" t="n">
        <f aca="false">J47-J49+J50-J51</f>
        <v>0</v>
      </c>
      <c r="K263" s="87" t="n">
        <f aca="false">K47-K49+K50-K51</f>
        <v>0</v>
      </c>
      <c r="L263" s="87" t="n">
        <f aca="false">L47-L49+L50-L51</f>
        <v>0</v>
      </c>
      <c r="M263" s="87" t="n">
        <f aca="false">M47-M49+M50-M51</f>
        <v>0</v>
      </c>
      <c r="N263" s="87" t="n">
        <f aca="false">N47-N49+N50-N51</f>
        <v>0</v>
      </c>
      <c r="O263" s="87" t="n">
        <f aca="false">O47-O49+O50-O51</f>
        <v>0</v>
      </c>
      <c r="P263" s="87" t="n">
        <f aca="false">P47-P49+P50-P51</f>
        <v>0</v>
      </c>
      <c r="Q263" s="87" t="n">
        <f aca="false">Q47-Q49+Q50-Q51</f>
        <v>0</v>
      </c>
      <c r="R263" s="87" t="n">
        <f aca="false">R47-R49+R50-R51</f>
        <v>0</v>
      </c>
      <c r="S263" s="87" t="n">
        <f aca="false">S47-S49+S50-S51</f>
        <v>0</v>
      </c>
      <c r="T263" s="87" t="n">
        <f aca="false">T47-T49+T50-T51</f>
        <v>0</v>
      </c>
      <c r="U263" s="87" t="n">
        <f aca="false">U47-U49+U50-U51</f>
        <v>0</v>
      </c>
      <c r="V263" s="87" t="n">
        <f aca="false">V47-V49+V50-V51</f>
        <v>0</v>
      </c>
      <c r="W263" s="87" t="n">
        <f aca="false">W47-W49+W50-W51</f>
        <v>0</v>
      </c>
    </row>
    <row r="264" customFormat="false" ht="12" hidden="false" customHeight="true" outlineLevel="0" collapsed="false">
      <c r="B264" s="83"/>
      <c r="C264" s="83"/>
      <c r="D264" s="83"/>
      <c r="E264" s="83"/>
      <c r="F264" s="83"/>
      <c r="G264" s="83"/>
      <c r="H264" s="83"/>
      <c r="I264" s="83"/>
      <c r="J264" s="83"/>
      <c r="K264" s="83"/>
      <c r="L264" s="83"/>
      <c r="M264" s="83"/>
      <c r="N264" s="83"/>
      <c r="O264" s="83"/>
      <c r="P264" s="83"/>
      <c r="Q264" s="83"/>
      <c r="R264" s="83"/>
      <c r="S264" s="83"/>
      <c r="T264" s="83"/>
      <c r="U264" s="83"/>
      <c r="V264" s="83"/>
      <c r="W264" s="83"/>
    </row>
    <row r="265" customFormat="false" ht="12" hidden="false" customHeight="true" outlineLevel="0" collapsed="false">
      <c r="A265" s="69" t="s">
        <v>241</v>
      </c>
      <c r="B265" s="87" t="n">
        <f aca="false">B51-B53+B54-B55</f>
        <v>0</v>
      </c>
      <c r="C265" s="87" t="n">
        <f aca="false">C51-C53+C54-C55</f>
        <v>0</v>
      </c>
      <c r="D265" s="87" t="n">
        <f aca="false">D51-D53+D54-D55</f>
        <v>0</v>
      </c>
      <c r="E265" s="87" t="n">
        <f aca="false">E51-E53+E54-E55</f>
        <v>0</v>
      </c>
      <c r="F265" s="87" t="n">
        <f aca="false">F51-F53+F54-F55</f>
        <v>0</v>
      </c>
      <c r="G265" s="87" t="n">
        <f aca="false">G51-G53+G54-G55</f>
        <v>0</v>
      </c>
      <c r="H265" s="87" t="n">
        <f aca="false">H51-H53+H54-H55</f>
        <v>0</v>
      </c>
      <c r="I265" s="87" t="n">
        <f aca="false">I51-I53+I54-I55</f>
        <v>0</v>
      </c>
      <c r="J265" s="87" t="n">
        <f aca="false">J51-J53+J54-J55</f>
        <v>0</v>
      </c>
      <c r="K265" s="87" t="n">
        <f aca="false">K51-K53+K54-K55</f>
        <v>0</v>
      </c>
      <c r="L265" s="87" t="n">
        <f aca="false">L51-L53+L54-L55</f>
        <v>0</v>
      </c>
      <c r="M265" s="87" t="n">
        <f aca="false">M51-M53+M54-M55</f>
        <v>0</v>
      </c>
      <c r="N265" s="87" t="n">
        <f aca="false">N51-N53+N54-N55</f>
        <v>0</v>
      </c>
      <c r="O265" s="87" t="n">
        <f aca="false">O51-O53+O54-O55</f>
        <v>0</v>
      </c>
      <c r="P265" s="87" t="n">
        <f aca="false">P51-P53+P54-P55</f>
        <v>0</v>
      </c>
      <c r="Q265" s="87" t="n">
        <f aca="false">Q51-Q53+Q54-Q55</f>
        <v>0</v>
      </c>
      <c r="R265" s="87" t="n">
        <f aca="false">R51-R53+R54-R55</f>
        <v>0</v>
      </c>
      <c r="S265" s="87" t="n">
        <f aca="false">S51-S53+S54-S55</f>
        <v>0</v>
      </c>
      <c r="T265" s="87" t="n">
        <f aca="false">T51-T53+T54-T55</f>
        <v>0</v>
      </c>
      <c r="U265" s="87" t="n">
        <f aca="false">U51-U53+U54-U55</f>
        <v>0</v>
      </c>
      <c r="V265" s="87" t="n">
        <f aca="false">V51-V53+V54-V55</f>
        <v>0</v>
      </c>
      <c r="W265" s="87" t="n">
        <f aca="false">W51-W53+W54-W55</f>
        <v>0</v>
      </c>
    </row>
    <row r="266" customFormat="false" ht="12" hidden="false" customHeight="true" outlineLevel="0" collapsed="false">
      <c r="B266" s="83"/>
      <c r="C266" s="83"/>
      <c r="D266" s="83"/>
      <c r="E266" s="83"/>
      <c r="F266" s="83"/>
      <c r="G266" s="83"/>
      <c r="H266" s="83"/>
      <c r="I266" s="83"/>
      <c r="J266" s="83"/>
      <c r="K266" s="83"/>
      <c r="L266" s="83"/>
      <c r="M266" s="83"/>
      <c r="N266" s="83"/>
      <c r="O266" s="83"/>
      <c r="P266" s="83"/>
      <c r="Q266" s="83"/>
      <c r="R266" s="83"/>
      <c r="S266" s="83"/>
      <c r="T266" s="83"/>
      <c r="U266" s="83"/>
      <c r="V266" s="83"/>
      <c r="W266" s="83"/>
    </row>
    <row r="267" customFormat="false" ht="12" hidden="false" customHeight="true" outlineLevel="0" collapsed="false">
      <c r="A267" s="69" t="s">
        <v>244</v>
      </c>
      <c r="B267" s="87" t="n">
        <f aca="false">B55-B56-B57</f>
        <v>0</v>
      </c>
      <c r="C267" s="87" t="n">
        <f aca="false">C55-C56-C57</f>
        <v>0</v>
      </c>
      <c r="D267" s="87" t="n">
        <f aca="false">D55-D56-D57</f>
        <v>0</v>
      </c>
      <c r="E267" s="87" t="n">
        <f aca="false">E55-E56-E57</f>
        <v>0</v>
      </c>
      <c r="F267" s="87" t="n">
        <f aca="false">F55-F56-F57</f>
        <v>0</v>
      </c>
      <c r="G267" s="87" t="n">
        <f aca="false">G55-G56-G57</f>
        <v>0</v>
      </c>
      <c r="H267" s="87" t="n">
        <f aca="false">H55-H56-H57</f>
        <v>0</v>
      </c>
      <c r="I267" s="87" t="n">
        <f aca="false">I55-I56-I57</f>
        <v>0</v>
      </c>
      <c r="J267" s="87" t="n">
        <f aca="false">J55-J56-J57</f>
        <v>0</v>
      </c>
      <c r="K267" s="87" t="n">
        <f aca="false">K55-K56-K57</f>
        <v>0</v>
      </c>
      <c r="L267" s="87" t="n">
        <f aca="false">L55-L56-L57</f>
        <v>0</v>
      </c>
      <c r="M267" s="87" t="n">
        <f aca="false">M55-M56-M57</f>
        <v>0</v>
      </c>
      <c r="N267" s="87" t="n">
        <f aca="false">N55-N56-N57</f>
        <v>0</v>
      </c>
      <c r="O267" s="87" t="n">
        <f aca="false">O55-O56-O57</f>
        <v>0</v>
      </c>
      <c r="P267" s="87" t="n">
        <f aca="false">P55-P56-P57</f>
        <v>0</v>
      </c>
      <c r="Q267" s="87" t="n">
        <f aca="false">Q55-Q56-Q57</f>
        <v>0</v>
      </c>
      <c r="R267" s="87" t="n">
        <f aca="false">R55-R56-R57</f>
        <v>0</v>
      </c>
      <c r="S267" s="87" t="n">
        <f aca="false">S55-S56-S57</f>
        <v>0</v>
      </c>
      <c r="T267" s="87" t="n">
        <f aca="false">T55-T56-T57</f>
        <v>0</v>
      </c>
      <c r="U267" s="87" t="n">
        <f aca="false">U55-U56-U57</f>
        <v>0</v>
      </c>
      <c r="V267" s="87" t="n">
        <f aca="false">V55-V56-V57</f>
        <v>0</v>
      </c>
      <c r="W267" s="87" t="n">
        <f aca="false">W55-W56-W57</f>
        <v>0</v>
      </c>
    </row>
    <row r="268" customFormat="false" ht="12" hidden="false" customHeight="true" outlineLevel="0" collapsed="false">
      <c r="B268" s="75"/>
      <c r="C268" s="75"/>
      <c r="D268" s="75"/>
      <c r="E268" s="75"/>
      <c r="F268" s="75"/>
      <c r="G268" s="75"/>
    </row>
    <row r="269" customFormat="false" ht="12.75" hidden="false" customHeight="true" outlineLevel="0" collapsed="false">
      <c r="B269" s="19"/>
      <c r="C269" s="19"/>
      <c r="D269" s="19"/>
      <c r="E269" s="19"/>
      <c r="F269" s="19"/>
      <c r="G269" s="189"/>
      <c r="H269" s="19"/>
      <c r="I269" s="19"/>
      <c r="J269" s="19"/>
      <c r="K269" s="19"/>
      <c r="L269" s="19"/>
      <c r="M269" s="19"/>
      <c r="N269" s="19"/>
      <c r="O269" s="19"/>
      <c r="P269" s="19"/>
      <c r="Q269" s="19"/>
      <c r="R269" s="19"/>
      <c r="S269" s="19"/>
      <c r="T269" s="19"/>
      <c r="U269" s="19"/>
      <c r="V269" s="19"/>
      <c r="W269" s="19"/>
    </row>
    <row r="270" s="52" customFormat="true" ht="12.75" hidden="false" customHeight="true" outlineLevel="0" collapsed="false">
      <c r="A270" s="49" t="s">
        <v>387</v>
      </c>
      <c r="B270" s="50"/>
      <c r="C270" s="50"/>
      <c r="D270" s="50"/>
      <c r="E270" s="50"/>
      <c r="F270" s="50"/>
      <c r="G270" s="51"/>
      <c r="H270" s="50"/>
      <c r="I270" s="50"/>
      <c r="J270" s="50"/>
      <c r="K270" s="50"/>
      <c r="L270" s="50"/>
      <c r="M270" s="50"/>
      <c r="N270" s="50"/>
      <c r="O270" s="50"/>
      <c r="P270" s="50"/>
      <c r="Q270" s="50"/>
      <c r="R270" s="50"/>
      <c r="S270" s="50"/>
      <c r="T270" s="50"/>
      <c r="U270" s="50"/>
      <c r="V270" s="50"/>
      <c r="W270" s="50"/>
      <c r="AA270" s="53"/>
      <c r="AF270" s="53"/>
      <c r="AG270" s="53"/>
    </row>
    <row r="272" customFormat="false" ht="12.75" hidden="false" customHeight="true" outlineLevel="0" collapsed="false">
      <c r="A272" s="73" t="s">
        <v>388</v>
      </c>
      <c r="R272" s="41"/>
      <c r="S272" s="41"/>
    </row>
    <row r="273" customFormat="false" ht="12" hidden="false" customHeight="true" outlineLevel="0" collapsed="false">
      <c r="A273" s="69" t="s">
        <v>389</v>
      </c>
      <c r="B273" s="48" t="n">
        <v>27500</v>
      </c>
      <c r="C273" s="48" t="n">
        <v>27500</v>
      </c>
      <c r="D273" s="48" t="n">
        <v>36500</v>
      </c>
      <c r="E273" s="48" t="n">
        <v>43500</v>
      </c>
      <c r="F273" s="48" t="n">
        <v>50000</v>
      </c>
      <c r="G273" s="48" t="n">
        <v>50000</v>
      </c>
      <c r="H273" s="48" t="n">
        <v>50000</v>
      </c>
      <c r="I273" s="48" t="n">
        <v>50000</v>
      </c>
      <c r="J273" s="48" t="n">
        <v>50000</v>
      </c>
      <c r="K273" s="48" t="n">
        <v>50000</v>
      </c>
      <c r="L273" s="48" t="n">
        <v>50000</v>
      </c>
      <c r="M273" s="48" t="n">
        <v>50000</v>
      </c>
      <c r="N273" s="48" t="n">
        <v>67500</v>
      </c>
      <c r="O273" s="48" t="n">
        <v>77200</v>
      </c>
      <c r="P273" s="48" t="n">
        <v>84000</v>
      </c>
      <c r="Q273" s="46" t="n">
        <f aca="false">P273</f>
        <v>84000</v>
      </c>
      <c r="R273" s="48" t="n">
        <v>105000</v>
      </c>
      <c r="S273" s="48" t="n">
        <v>150500</v>
      </c>
      <c r="T273" s="48" t="n">
        <v>150500</v>
      </c>
      <c r="U273" s="46" t="n">
        <f aca="false">T273</f>
        <v>150500</v>
      </c>
      <c r="V273" s="46" t="n">
        <f aca="false">U273</f>
        <v>150500</v>
      </c>
      <c r="W273" s="46" t="n">
        <f aca="false">V273</f>
        <v>150500</v>
      </c>
      <c r="X273" s="46" t="n">
        <f aca="false">W273</f>
        <v>150500</v>
      </c>
    </row>
    <row r="274" customFormat="false" ht="12" hidden="false" customHeight="true" outlineLevel="0" collapsed="false">
      <c r="A274" s="69" t="s">
        <v>390</v>
      </c>
      <c r="B274" s="48" t="n">
        <v>18434</v>
      </c>
      <c r="C274" s="48" t="n">
        <v>23792</v>
      </c>
      <c r="D274" s="48" t="n">
        <v>30412</v>
      </c>
      <c r="E274" s="48" t="n">
        <v>37901</v>
      </c>
      <c r="F274" s="48" t="n">
        <v>45259</v>
      </c>
      <c r="G274" s="188" t="n">
        <v>33219</v>
      </c>
      <c r="H274" s="188" t="n">
        <v>26503</v>
      </c>
      <c r="I274" s="188" t="n">
        <v>38044</v>
      </c>
      <c r="J274" s="188" t="n">
        <v>33778</v>
      </c>
      <c r="K274" s="188" t="n">
        <v>31824</v>
      </c>
      <c r="L274" s="188" t="n">
        <v>33646</v>
      </c>
      <c r="M274" s="188" t="n">
        <v>49150</v>
      </c>
      <c r="N274" s="188" t="n">
        <v>54519</v>
      </c>
      <c r="O274" s="188" t="n">
        <v>65085</v>
      </c>
      <c r="P274" s="188" t="n">
        <v>83549</v>
      </c>
      <c r="Q274" s="188" t="n">
        <v>84006</v>
      </c>
      <c r="R274" s="188" t="n">
        <v>54049</v>
      </c>
      <c r="S274" s="188" t="n">
        <v>64673</v>
      </c>
      <c r="T274" s="188" t="n">
        <v>95337</v>
      </c>
      <c r="U274" s="109" t="n">
        <f aca="false">+U299</f>
        <v>101990</v>
      </c>
      <c r="V274" s="109" t="n">
        <f aca="false">+V299</f>
        <v>114611</v>
      </c>
      <c r="W274" s="109" t="n">
        <f aca="false">+W299</f>
        <v>89337</v>
      </c>
      <c r="X274" s="109" t="n">
        <f aca="false">+X299</f>
        <v>104902</v>
      </c>
    </row>
    <row r="275" customFormat="false" ht="12.75" hidden="false" customHeight="true" outlineLevel="0" collapsed="false">
      <c r="A275" s="59" t="s">
        <v>391</v>
      </c>
      <c r="B275" s="19"/>
      <c r="C275" s="117" t="n">
        <f aca="false">(+C274*100)/B274-100</f>
        <v>29.0658565693827</v>
      </c>
      <c r="D275" s="117" t="n">
        <f aca="false">(+D274*100)/C274-100</f>
        <v>27.8244788164089</v>
      </c>
      <c r="E275" s="117" t="n">
        <f aca="false">(+E274*100)/D274-100</f>
        <v>24.6251479679074</v>
      </c>
      <c r="F275" s="117" t="n">
        <f aca="false">(+F274*100)/E274-100</f>
        <v>19.4137357853355</v>
      </c>
      <c r="G275" s="117" t="n">
        <f aca="false">(+G274*100)/F274-100</f>
        <v>-26.6024437128527</v>
      </c>
      <c r="H275" s="117" t="n">
        <f aca="false">(+H274*100)/G274-100</f>
        <v>-20.217345495048</v>
      </c>
      <c r="I275" s="117" t="n">
        <f aca="false">(+I274*100)/H274-100</f>
        <v>43.5460136588311</v>
      </c>
      <c r="J275" s="117" t="n">
        <f aca="false">(+J274*100)/I274-100</f>
        <v>-11.2133319314478</v>
      </c>
      <c r="K275" s="117" t="n">
        <f aca="false">(+K274*100)/J274-100</f>
        <v>-5.78483036295813</v>
      </c>
      <c r="L275" s="117" t="n">
        <f aca="false">(+L274*100)/K274-100</f>
        <v>5.72523881347411</v>
      </c>
      <c r="M275" s="117" t="n">
        <f aca="false">(+M274*100)/L274-100</f>
        <v>46.0797717410688</v>
      </c>
      <c r="N275" s="117" t="n">
        <f aca="false">(+N274*100)/M274-100</f>
        <v>10.9237029501526</v>
      </c>
      <c r="O275" s="117" t="n">
        <f aca="false">(+O274*100)/N274-100</f>
        <v>19.3803994937545</v>
      </c>
      <c r="P275" s="117" t="n">
        <f aca="false">(+P274*100)/O274-100</f>
        <v>28.3690558500423</v>
      </c>
      <c r="Q275" s="117" t="n">
        <f aca="false">(+Q274*100)/P274-100</f>
        <v>0.54698440436151</v>
      </c>
      <c r="R275" s="117" t="n">
        <f aca="false">(+R274*100)/Q274-100</f>
        <v>-35.6605480560912</v>
      </c>
      <c r="S275" s="117" t="n">
        <f aca="false">(+S274*100)/R274-100</f>
        <v>19.6562378582398</v>
      </c>
      <c r="T275" s="117" t="n">
        <f aca="false">(+T274*100)/S274-100</f>
        <v>47.4139130703694</v>
      </c>
      <c r="U275" s="117" t="n">
        <f aca="false">(+U274*100)/T274-100</f>
        <v>6.97840292855869</v>
      </c>
      <c r="V275" s="117" t="n">
        <f aca="false">(+V274*100)/U274-100</f>
        <v>12.3747426218257</v>
      </c>
      <c r="W275" s="117" t="n">
        <f aca="false">(+W274*100)/V274-100</f>
        <v>-22.0519845390059</v>
      </c>
      <c r="X275" s="117" t="n">
        <f aca="false">(+X274*100)/W274-100</f>
        <v>17.4227923480753</v>
      </c>
    </row>
    <row r="276" customFormat="false" ht="12.75" hidden="false" customHeight="true" outlineLevel="0" collapsed="false">
      <c r="A276" s="59" t="s">
        <v>392</v>
      </c>
      <c r="B276" s="117" t="n">
        <f aca="false">+B274/B273*100</f>
        <v>67.0327272727273</v>
      </c>
      <c r="C276" s="117" t="n">
        <f aca="false">+C274/C273*100</f>
        <v>86.5163636363636</v>
      </c>
      <c r="D276" s="117" t="n">
        <f aca="false">+D274/D273*100</f>
        <v>83.3205479452055</v>
      </c>
      <c r="E276" s="117" t="n">
        <f aca="false">+E274/E273*100</f>
        <v>87.1287356321839</v>
      </c>
      <c r="F276" s="117" t="n">
        <f aca="false">+F274/F273*100</f>
        <v>90.518</v>
      </c>
      <c r="G276" s="117" t="n">
        <f aca="false">+G274/G273*100</f>
        <v>66.438</v>
      </c>
      <c r="H276" s="117" t="n">
        <f aca="false">+H274/H273*100</f>
        <v>53.006</v>
      </c>
      <c r="I276" s="117" t="n">
        <f aca="false">+I274/I273*100</f>
        <v>76.088</v>
      </c>
      <c r="J276" s="117" t="n">
        <f aca="false">+J274/J273*100</f>
        <v>67.556</v>
      </c>
      <c r="K276" s="117" t="n">
        <f aca="false">+K274/K273*100</f>
        <v>63.648</v>
      </c>
      <c r="L276" s="117" t="n">
        <f aca="false">+L274/L273*100</f>
        <v>67.292</v>
      </c>
      <c r="M276" s="117" t="n">
        <f aca="false">+M274/M273*100</f>
        <v>98.3</v>
      </c>
      <c r="N276" s="117" t="n">
        <f aca="false">+N274/N273*100</f>
        <v>80.7688888888889</v>
      </c>
      <c r="O276" s="117" t="n">
        <f aca="false">+O274/O273*100</f>
        <v>84.3069948186529</v>
      </c>
      <c r="P276" s="117" t="n">
        <f aca="false">+P274/P273*100</f>
        <v>99.4630952380952</v>
      </c>
      <c r="Q276" s="117" t="n">
        <f aca="false">+Q274/Q273*100</f>
        <v>100.007142857143</v>
      </c>
      <c r="R276" s="117" t="n">
        <f aca="false">+R274/R273*100</f>
        <v>51.4752380952381</v>
      </c>
      <c r="S276" s="117" t="n">
        <f aca="false">+S274/S273*100</f>
        <v>42.9720930232558</v>
      </c>
      <c r="T276" s="117" t="n">
        <f aca="false">+T274/T273*100</f>
        <v>63.3468438538206</v>
      </c>
      <c r="U276" s="117" t="n">
        <f aca="false">+U274/U273*100</f>
        <v>67.7674418604651</v>
      </c>
      <c r="V276" s="117" t="n">
        <f aca="false">+V274/V273*100</f>
        <v>76.153488372093</v>
      </c>
      <c r="W276" s="117" t="n">
        <f aca="false">+W274/W273*100</f>
        <v>59.3601328903655</v>
      </c>
      <c r="X276" s="117" t="n">
        <f aca="false">+X274/X273*100</f>
        <v>69.7023255813954</v>
      </c>
    </row>
    <row r="277" customFormat="false" ht="12" hidden="false" customHeight="true" outlineLevel="0" collapsed="false">
      <c r="A277" s="69" t="s">
        <v>393</v>
      </c>
      <c r="B277" s="75"/>
      <c r="C277" s="90" t="n">
        <f aca="false">+C273/B273*100-100</f>
        <v>0</v>
      </c>
      <c r="D277" s="90" t="n">
        <f aca="false">+D273/C273*100-100</f>
        <v>32.7272727272728</v>
      </c>
      <c r="E277" s="90" t="n">
        <f aca="false">+E273/D273*100-100</f>
        <v>19.1780821917808</v>
      </c>
      <c r="F277" s="90" t="n">
        <f aca="false">+F273/E273*100-100</f>
        <v>14.9425287356322</v>
      </c>
      <c r="G277" s="90" t="n">
        <f aca="false">+G273/F273*100-100</f>
        <v>0</v>
      </c>
      <c r="H277" s="90" t="n">
        <f aca="false">+H273/G273*100-100</f>
        <v>0</v>
      </c>
      <c r="I277" s="90" t="n">
        <f aca="false">+I273/H273*100-100</f>
        <v>0</v>
      </c>
      <c r="J277" s="90" t="n">
        <f aca="false">+J273/I273*100-100</f>
        <v>0</v>
      </c>
      <c r="K277" s="90" t="n">
        <f aca="false">+K273/J273*100-100</f>
        <v>0</v>
      </c>
      <c r="L277" s="90" t="n">
        <f aca="false">+L273/K273*100-100</f>
        <v>0</v>
      </c>
      <c r="M277" s="90" t="n">
        <f aca="false">+M273/L273*100-100</f>
        <v>0</v>
      </c>
      <c r="N277" s="90" t="n">
        <f aca="false">+N273/M273*100-100</f>
        <v>35</v>
      </c>
      <c r="O277" s="90" t="n">
        <f aca="false">+O273/N273*100-100</f>
        <v>14.3703703703704</v>
      </c>
      <c r="P277" s="90" t="n">
        <f aca="false">+P273/O273*100-100</f>
        <v>8.80829015544042</v>
      </c>
      <c r="Q277" s="90" t="n">
        <f aca="false">+Q273/P273*100-100</f>
        <v>0</v>
      </c>
      <c r="R277" s="90" t="n">
        <f aca="false">+R273/Q273*100-100</f>
        <v>25</v>
      </c>
      <c r="S277" s="90" t="n">
        <f aca="false">+S273/R273*100-100</f>
        <v>43.3333333333333</v>
      </c>
      <c r="T277" s="90" t="n">
        <f aca="false">+T273/S273*100-100</f>
        <v>0</v>
      </c>
      <c r="U277" s="90" t="n">
        <f aca="false">+U273/T273*100-100</f>
        <v>0</v>
      </c>
      <c r="V277" s="90" t="n">
        <f aca="false">+V273/U273*100-100</f>
        <v>0</v>
      </c>
      <c r="W277" s="90" t="n">
        <f aca="false">+W273/V273*100-100</f>
        <v>0</v>
      </c>
      <c r="X277" s="90" t="n">
        <f aca="false">+X273/W273*100-100</f>
        <v>0</v>
      </c>
    </row>
    <row r="279" customFormat="false" ht="12.75" hidden="false" customHeight="true" outlineLevel="0" collapsed="false">
      <c r="A279" s="59" t="s">
        <v>394</v>
      </c>
      <c r="T279" s="48" t="n">
        <v>30000</v>
      </c>
      <c r="U279" s="48" t="n">
        <v>50000</v>
      </c>
      <c r="V279" s="48" t="n">
        <v>50000</v>
      </c>
    </row>
    <row r="280" customFormat="false" ht="12" hidden="false" customHeight="true" outlineLevel="0" collapsed="false">
      <c r="A280" s="69" t="s">
        <v>389</v>
      </c>
      <c r="B280" s="48" t="n">
        <v>6100</v>
      </c>
      <c r="C280" s="48" t="n">
        <v>6100</v>
      </c>
      <c r="D280" s="48" t="n">
        <v>6100</v>
      </c>
      <c r="E280" s="48" t="n">
        <v>7500</v>
      </c>
      <c r="F280" s="48" t="n">
        <v>10000</v>
      </c>
      <c r="G280" s="48" t="n">
        <v>10000</v>
      </c>
      <c r="H280" s="48" t="n">
        <v>10000</v>
      </c>
      <c r="I280" s="48" t="n">
        <v>10000</v>
      </c>
      <c r="J280" s="48" t="n">
        <v>10000</v>
      </c>
    </row>
    <row r="281" customFormat="false" ht="12" hidden="false" customHeight="true" outlineLevel="0" collapsed="false">
      <c r="A281" s="69" t="s">
        <v>390</v>
      </c>
      <c r="B281" s="48" t="n">
        <v>3913</v>
      </c>
      <c r="C281" s="48" t="n">
        <v>5650</v>
      </c>
      <c r="D281" s="48" t="n">
        <v>5275</v>
      </c>
      <c r="E281" s="48" t="n">
        <v>6557</v>
      </c>
      <c r="F281" s="48" t="n">
        <v>8405</v>
      </c>
      <c r="G281" s="188" t="n">
        <v>7775</v>
      </c>
      <c r="H281" s="188" t="n">
        <v>7165</v>
      </c>
      <c r="I281" s="188" t="n">
        <v>6045</v>
      </c>
      <c r="J281" s="188" t="n">
        <v>6407</v>
      </c>
      <c r="K281" s="188" t="n">
        <v>5201</v>
      </c>
      <c r="L281" s="188" t="n">
        <v>5917</v>
      </c>
      <c r="M281" s="188" t="n">
        <v>4851</v>
      </c>
      <c r="N281" s="190" t="n">
        <v>6395</v>
      </c>
      <c r="O281" s="190" t="n">
        <v>7190</v>
      </c>
      <c r="P281" s="190" t="n">
        <v>8294</v>
      </c>
      <c r="Q281" s="190" t="n">
        <v>12652</v>
      </c>
      <c r="R281" s="190" t="n">
        <v>21901</v>
      </c>
      <c r="S281" s="190" t="n">
        <v>17934</v>
      </c>
      <c r="T281" s="190" t="n">
        <v>17603</v>
      </c>
      <c r="U281" s="62" t="n">
        <f aca="false">+U399</f>
        <v>16170</v>
      </c>
      <c r="V281" s="62" t="n">
        <f aca="false">+V399</f>
        <v>21757</v>
      </c>
      <c r="W281" s="62" t="n">
        <f aca="false">+W399</f>
        <v>17441</v>
      </c>
      <c r="X281" s="62" t="n">
        <f aca="false">+X399</f>
        <v>14023</v>
      </c>
    </row>
    <row r="282" customFormat="false" ht="12.75" hidden="false" customHeight="true" outlineLevel="0" collapsed="false">
      <c r="A282" s="59" t="s">
        <v>391</v>
      </c>
      <c r="B282" s="19"/>
      <c r="C282" s="117" t="n">
        <f aca="false">(+C281*100)/B281-100</f>
        <v>44.3904932277025</v>
      </c>
      <c r="D282" s="117" t="n">
        <f aca="false">(+D281*100)/C281-100</f>
        <v>-6.63716814159292</v>
      </c>
      <c r="E282" s="117" t="n">
        <f aca="false">(+E281*100)/D281-100</f>
        <v>24.303317535545</v>
      </c>
      <c r="F282" s="117" t="n">
        <f aca="false">(+F281*100)/E281-100</f>
        <v>28.1836205581821</v>
      </c>
      <c r="G282" s="117" t="n">
        <f aca="false">(+G281*100)/F281-100</f>
        <v>-7.49553837001784</v>
      </c>
      <c r="H282" s="117" t="n">
        <f aca="false">(+H281*100)/G281-100</f>
        <v>-7.84565916398714</v>
      </c>
      <c r="I282" s="117" t="n">
        <f aca="false">(+I281*100)/H281-100</f>
        <v>-15.6315422191207</v>
      </c>
      <c r="J282" s="117" t="n">
        <f aca="false">(+J281*100)/I281-100</f>
        <v>5.98842018196856</v>
      </c>
      <c r="K282" s="117" t="n">
        <f aca="false">(+K281*100)/J281-100</f>
        <v>-18.8231621663805</v>
      </c>
      <c r="L282" s="117" t="n">
        <f aca="false">(+L281*100)/K281-100</f>
        <v>13.7665833493559</v>
      </c>
      <c r="M282" s="117" t="n">
        <f aca="false">(+M281*100)/L281-100</f>
        <v>-18.0158864289336</v>
      </c>
      <c r="N282" s="117" t="n">
        <f aca="false">(+N281*100)/M281-100</f>
        <v>31.8284889713461</v>
      </c>
      <c r="O282" s="117" t="n">
        <f aca="false">(+O281*100)/N281-100</f>
        <v>12.4315871774824</v>
      </c>
      <c r="P282" s="117" t="n">
        <f aca="false">(+P281*100)/O281-100</f>
        <v>15.3546592489569</v>
      </c>
      <c r="Q282" s="117" t="n">
        <f aca="false">(+Q281*100)/P281-100</f>
        <v>52.5440077164215</v>
      </c>
      <c r="R282" s="117" t="n">
        <f aca="false">(+R281*100)/Q281-100</f>
        <v>73.1030667088207</v>
      </c>
      <c r="S282" s="117" t="n">
        <f aca="false">(+S281*100)/R281-100</f>
        <v>-18.1133281585316</v>
      </c>
      <c r="T282" s="117" t="n">
        <f aca="false">(+T281*100)/S281-100</f>
        <v>-1.84565629530501</v>
      </c>
      <c r="U282" s="117" t="n">
        <f aca="false">(+U281*100)/T281-100</f>
        <v>-8.14065784241322</v>
      </c>
      <c r="V282" s="117" t="n">
        <f aca="false">(+V281*100)/U281-100</f>
        <v>34.5516388373531</v>
      </c>
      <c r="W282" s="117" t="n">
        <f aca="false">(+W281*100)/V281-100</f>
        <v>-19.837293744542</v>
      </c>
      <c r="X282" s="117" t="n">
        <f aca="false">(+X281*100)/W281-100</f>
        <v>-19.5975001433404</v>
      </c>
    </row>
    <row r="283" customFormat="false" ht="12.75" hidden="false" customHeight="true" outlineLevel="0" collapsed="false">
      <c r="A283" s="59" t="s">
        <v>392</v>
      </c>
      <c r="B283" s="117" t="n">
        <f aca="false">+B281/B280*100</f>
        <v>64.1475409836066</v>
      </c>
      <c r="C283" s="117" t="n">
        <f aca="false">+C281/C280*100</f>
        <v>92.6229508196721</v>
      </c>
      <c r="D283" s="117" t="n">
        <f aca="false">+D281/D280*100</f>
        <v>86.4754098360656</v>
      </c>
      <c r="E283" s="117" t="n">
        <f aca="false">+E281/E280*100</f>
        <v>87.4266666666667</v>
      </c>
      <c r="F283" s="117" t="n">
        <f aca="false">+F281/F280*100</f>
        <v>84.05</v>
      </c>
      <c r="G283" s="117" t="n">
        <f aca="false">+G281/G280*100</f>
        <v>77.75</v>
      </c>
      <c r="H283" s="117" t="n">
        <f aca="false">+H281/H280*100</f>
        <v>71.65</v>
      </c>
      <c r="I283" s="117" t="n">
        <f aca="false">+I281/I280*100</f>
        <v>60.45</v>
      </c>
      <c r="J283" s="117" t="n">
        <f aca="false">+J281/J280*100</f>
        <v>64.07</v>
      </c>
      <c r="K283" s="117" t="e">
        <f aca="false">+K281/K280*100</f>
        <v>#DIV/0!</v>
      </c>
      <c r="L283" s="117" t="e">
        <f aca="false">+L281/L280*100</f>
        <v>#DIV/0!</v>
      </c>
      <c r="M283" s="117" t="e">
        <f aca="false">+M281/M280*100</f>
        <v>#DIV/0!</v>
      </c>
      <c r="N283" s="117" t="e">
        <f aca="false">+N281/N280*100</f>
        <v>#DIV/0!</v>
      </c>
      <c r="O283" s="117" t="e">
        <f aca="false">+O281/O280*100</f>
        <v>#DIV/0!</v>
      </c>
      <c r="P283" s="117" t="e">
        <f aca="false">+P281/P280*100</f>
        <v>#DIV/0!</v>
      </c>
      <c r="Q283" s="117" t="e">
        <f aca="false">+Q281/Q280*100</f>
        <v>#DIV/0!</v>
      </c>
      <c r="R283" s="117" t="e">
        <f aca="false">+R281/R280*100</f>
        <v>#DIV/0!</v>
      </c>
      <c r="S283" s="117" t="e">
        <f aca="false">+S281/S280*100</f>
        <v>#DIV/0!</v>
      </c>
      <c r="T283" s="117" t="e">
        <f aca="false">+T281/T280*100</f>
        <v>#DIV/0!</v>
      </c>
      <c r="U283" s="117" t="e">
        <f aca="false">+U281/U280*100</f>
        <v>#DIV/0!</v>
      </c>
      <c r="V283" s="117" t="e">
        <f aca="false">+V281/V280*100</f>
        <v>#DIV/0!</v>
      </c>
      <c r="W283" s="118"/>
    </row>
    <row r="284" customFormat="false" ht="12" hidden="false" customHeight="true" outlineLevel="0" collapsed="false">
      <c r="A284" s="69" t="s">
        <v>393</v>
      </c>
      <c r="B284" s="75"/>
      <c r="C284" s="90" t="n">
        <f aca="false">+C280/B280*100-100</f>
        <v>0</v>
      </c>
      <c r="D284" s="90" t="n">
        <f aca="false">+D280/C280*100-100</f>
        <v>0</v>
      </c>
      <c r="E284" s="90" t="n">
        <f aca="false">+E280/D280*100-100</f>
        <v>22.9508196721311</v>
      </c>
      <c r="F284" s="90" t="n">
        <f aca="false">+F280/E280*100-100</f>
        <v>33.3333333333333</v>
      </c>
      <c r="G284" s="90" t="n">
        <f aca="false">+G280/F280*100-100</f>
        <v>0</v>
      </c>
      <c r="H284" s="90" t="n">
        <f aca="false">+H280/G280*100-100</f>
        <v>0</v>
      </c>
      <c r="I284" s="90" t="n">
        <f aca="false">+I280/H280*100-100</f>
        <v>0</v>
      </c>
      <c r="J284" s="90" t="n">
        <f aca="false">+J280/I280*100-100</f>
        <v>0</v>
      </c>
      <c r="K284" s="90" t="n">
        <f aca="false">+K280/J280*100-100</f>
        <v>-100</v>
      </c>
      <c r="L284" s="90" t="e">
        <f aca="false">+L280/K280*100-100</f>
        <v>#DIV/0!</v>
      </c>
      <c r="M284" s="90" t="e">
        <f aca="false">+M280/L280*100-100</f>
        <v>#DIV/0!</v>
      </c>
      <c r="N284" s="90" t="e">
        <f aca="false">+N280/M280*100-100</f>
        <v>#DIV/0!</v>
      </c>
      <c r="O284" s="90" t="e">
        <f aca="false">+O280/N280*100-100</f>
        <v>#DIV/0!</v>
      </c>
      <c r="P284" s="90" t="e">
        <f aca="false">+P280/O280*100-100</f>
        <v>#DIV/0!</v>
      </c>
      <c r="Q284" s="90" t="e">
        <f aca="false">+Q280/P280*100-100</f>
        <v>#DIV/0!</v>
      </c>
      <c r="R284" s="90" t="e">
        <f aca="false">+R280/Q280*100-100</f>
        <v>#DIV/0!</v>
      </c>
      <c r="S284" s="90" t="e">
        <f aca="false">+S280/R280*100-100</f>
        <v>#DIV/0!</v>
      </c>
      <c r="T284" s="90" t="e">
        <f aca="false">+T280/S280*100-100</f>
        <v>#DIV/0!</v>
      </c>
      <c r="U284" s="90" t="e">
        <f aca="false">+U280/T280*100-100</f>
        <v>#DIV/0!</v>
      </c>
      <c r="V284" s="90" t="e">
        <f aca="false">+V280/U280*100-100</f>
        <v>#DIV/0!</v>
      </c>
      <c r="W284" s="40"/>
    </row>
    <row r="285" customFormat="false" ht="12" hidden="false" customHeight="true" outlineLevel="0" collapsed="false">
      <c r="B285" s="75"/>
      <c r="C285" s="75"/>
      <c r="D285" s="75"/>
      <c r="E285" s="75"/>
      <c r="F285" s="75"/>
      <c r="G285" s="75"/>
      <c r="H285" s="75"/>
    </row>
    <row r="286" customFormat="false" ht="12.75" hidden="false" customHeight="true" outlineLevel="0" collapsed="false">
      <c r="A286" s="59" t="s">
        <v>395</v>
      </c>
    </row>
    <row r="287" customFormat="false" ht="12" hidden="false" customHeight="true" outlineLevel="0" collapsed="false">
      <c r="A287" s="69" t="s">
        <v>396</v>
      </c>
    </row>
    <row r="288" customFormat="false" ht="24.75" hidden="false" customHeight="true" outlineLevel="0" collapsed="false">
      <c r="A288" s="69" t="s">
        <v>397</v>
      </c>
      <c r="P288" s="191"/>
    </row>
    <row r="289" customFormat="false" ht="12" hidden="false" customHeight="true" outlineLevel="0" collapsed="false">
      <c r="P289" s="191"/>
    </row>
    <row r="290" customFormat="false" ht="12.75" hidden="false" customHeight="true" outlineLevel="0" collapsed="false">
      <c r="A290" s="59" t="s">
        <v>398</v>
      </c>
      <c r="B290" s="43" t="n">
        <f aca="false">+B378</f>
        <v>20571</v>
      </c>
      <c r="C290" s="43" t="n">
        <f aca="false">+C378</f>
        <v>24226</v>
      </c>
      <c r="D290" s="43" t="n">
        <f aca="false">+D378</f>
        <v>30410</v>
      </c>
      <c r="E290" s="43" t="n">
        <f aca="false">+E378</f>
        <v>37399</v>
      </c>
      <c r="F290" s="43" t="n">
        <f aca="false">+F378</f>
        <v>43352</v>
      </c>
      <c r="G290" s="43" t="n">
        <f aca="false">+G378</f>
        <v>31547</v>
      </c>
      <c r="H290" s="43" t="n">
        <f aca="false">+H378</f>
        <v>29741</v>
      </c>
      <c r="I290" s="43" t="n">
        <f aca="false">+I378</f>
        <v>37859</v>
      </c>
      <c r="J290" s="43" t="n">
        <f aca="false">+J378</f>
        <v>32475</v>
      </c>
      <c r="K290" s="43" t="n">
        <f aca="false">+K378</f>
        <v>29673</v>
      </c>
      <c r="L290" s="43" t="n">
        <f aca="false">+L378</f>
        <v>36444</v>
      </c>
      <c r="M290" s="43" t="n">
        <f aca="false">+M378</f>
        <v>48654</v>
      </c>
      <c r="N290" s="43" t="n">
        <f aca="false">+N378</f>
        <v>54740</v>
      </c>
      <c r="O290" s="43" t="n">
        <f aca="false">+O378</f>
        <v>61655</v>
      </c>
      <c r="P290" s="43" t="n">
        <f aca="false">+P378</f>
        <v>83091</v>
      </c>
      <c r="Q290" s="43" t="n">
        <f aca="false">+Q378</f>
        <v>83309</v>
      </c>
      <c r="R290" s="43" t="n">
        <f aca="false">+R378</f>
        <v>54431</v>
      </c>
      <c r="S290" s="43" t="n">
        <f aca="false">+S378</f>
        <v>63926</v>
      </c>
      <c r="T290" s="43" t="n">
        <f aca="false">+T378</f>
        <v>94106</v>
      </c>
      <c r="U290" s="43" t="n">
        <f aca="false">+U378</f>
        <v>98792</v>
      </c>
      <c r="V290" s="43" t="n">
        <f aca="false">+V378</f>
        <v>89470.76</v>
      </c>
      <c r="W290" s="43" t="n">
        <f aca="false">+W378</f>
        <v>69027</v>
      </c>
      <c r="X290" s="43" t="n">
        <f aca="false">+X378</f>
        <v>86591.5</v>
      </c>
      <c r="Y290" s="43" t="n">
        <f aca="false">+Y378</f>
        <v>120029.25</v>
      </c>
      <c r="Z290" s="43" t="n">
        <f aca="false">+Z378</f>
        <v>122218.75</v>
      </c>
      <c r="AA290" s="43" t="n">
        <f aca="false">+AA378</f>
        <v>144974.25</v>
      </c>
      <c r="AB290" s="43" t="n">
        <f aca="false">+AB378</f>
        <v>197366</v>
      </c>
      <c r="AC290" s="43" t="n">
        <f aca="false">+AC378</f>
        <v>125253</v>
      </c>
      <c r="AD290" s="43" t="n">
        <f aca="false">+AD378</f>
        <v>100715</v>
      </c>
      <c r="AE290" s="43" t="n">
        <f aca="false">+AE378</f>
        <v>128326</v>
      </c>
      <c r="AF290" s="43" t="n">
        <f aca="false">+AF378</f>
        <v>192205</v>
      </c>
      <c r="AG290" s="43" t="n">
        <f aca="false">+AG378</f>
        <v>194683</v>
      </c>
      <c r="AH290" s="43" t="n">
        <f aca="false">+AH378</f>
        <v>195093</v>
      </c>
      <c r="AI290" s="43" t="n">
        <f aca="false">+AI378</f>
        <v>220437</v>
      </c>
      <c r="AJ290" s="43" t="n">
        <f aca="false">+AJ378</f>
        <v>237395.64</v>
      </c>
      <c r="AK290" s="43" t="n">
        <f aca="false">+AK378</f>
        <v>254191.8912</v>
      </c>
      <c r="AL290" s="43" t="n">
        <f aca="false">+AL378</f>
        <v>270307.884672</v>
      </c>
      <c r="AM290" s="112"/>
      <c r="AN290" s="112"/>
      <c r="AO290" s="112"/>
    </row>
    <row r="291" customFormat="false" ht="12" hidden="false" customHeight="true" outlineLevel="0" collapsed="false">
      <c r="M291" s="41"/>
      <c r="N291" s="41"/>
      <c r="O291" s="41"/>
      <c r="P291" s="41"/>
      <c r="Q291" s="41"/>
      <c r="R291" s="31"/>
      <c r="S291" s="31"/>
    </row>
    <row r="292" customFormat="false" ht="12.75" hidden="false" customHeight="true" outlineLevel="0" collapsed="false">
      <c r="A292" s="59" t="s">
        <v>399</v>
      </c>
      <c r="M292" s="41"/>
      <c r="N292" s="41"/>
      <c r="O292" s="41"/>
      <c r="P292" s="41"/>
      <c r="Q292" s="41"/>
    </row>
    <row r="293" customFormat="false" ht="12" hidden="false" customHeight="true" outlineLevel="0" collapsed="false">
      <c r="I293" s="74"/>
      <c r="J293" s="74"/>
      <c r="K293" s="74"/>
      <c r="L293" s="74"/>
      <c r="M293" s="41"/>
      <c r="N293" s="41"/>
      <c r="O293" s="41"/>
      <c r="P293" s="41"/>
      <c r="Q293" s="41"/>
    </row>
    <row r="294" customFormat="false" ht="12" hidden="false" customHeight="true" outlineLevel="0" collapsed="false">
      <c r="A294" s="149" t="s">
        <v>400</v>
      </c>
      <c r="B294" s="48" t="n">
        <v>20417</v>
      </c>
      <c r="C294" s="48" t="n">
        <v>23098</v>
      </c>
      <c r="D294" s="48" t="n">
        <v>28429</v>
      </c>
      <c r="E294" s="48" t="n">
        <v>34373</v>
      </c>
      <c r="F294" s="48" t="n">
        <v>41697</v>
      </c>
      <c r="G294" s="188" t="n">
        <v>30230</v>
      </c>
      <c r="H294" s="188" t="n">
        <v>29178</v>
      </c>
      <c r="I294" s="188" t="n">
        <v>37375</v>
      </c>
      <c r="J294" s="48" t="n">
        <v>31940</v>
      </c>
      <c r="K294" s="48" t="n">
        <v>29389</v>
      </c>
      <c r="L294" s="48" t="n">
        <v>35808</v>
      </c>
      <c r="M294" s="190" t="n">
        <v>47989</v>
      </c>
      <c r="N294" s="190" t="n">
        <v>54321</v>
      </c>
      <c r="O294" s="62" t="n">
        <f aca="false">O331+O335+O339+O343</f>
        <v>60858</v>
      </c>
      <c r="P294" s="62" t="n">
        <f aca="false">P331+P335+P339+P343</f>
        <v>82791</v>
      </c>
      <c r="Q294" s="62" t="n">
        <f aca="false">Q331+Q335+Q339+Q343</f>
        <v>82486</v>
      </c>
      <c r="R294" s="62" t="n">
        <f aca="false">R331+R335+R339+R343</f>
        <v>53079</v>
      </c>
      <c r="S294" s="62" t="n">
        <f aca="false">S331+S335+S339+S343</f>
        <v>62805</v>
      </c>
      <c r="T294" s="62" t="n">
        <f aca="false">T331+T335+T339+T343</f>
        <v>93235</v>
      </c>
      <c r="U294" s="62" t="n">
        <f aca="false">U331+U335+U339+U343</f>
        <v>93282</v>
      </c>
      <c r="V294" s="62" t="n">
        <f aca="false">V331+V335+V339+V343</f>
        <v>78913</v>
      </c>
      <c r="W294" s="62" t="n">
        <f aca="false">W331+W335+W339+W343</f>
        <v>60347</v>
      </c>
      <c r="X294" s="62" t="n">
        <f aca="false">X331+X335+X339+X343</f>
        <v>77660</v>
      </c>
      <c r="Y294" s="62" t="n">
        <f aca="false">Y331+Y335+Y339+Y343</f>
        <v>109762</v>
      </c>
      <c r="Z294" s="62" t="n">
        <f aca="false">Z331+Z335+Z339+Z343</f>
        <v>113296</v>
      </c>
      <c r="AA294" s="62" t="n">
        <f aca="false">AA331+AA335+AA339+AA343</f>
        <v>131432</v>
      </c>
      <c r="AB294" s="62" t="n">
        <f aca="false">AB331+AB335+AB339+AB343</f>
        <v>142858</v>
      </c>
      <c r="AC294" s="62" t="n">
        <f aca="false">AC331+AC335+AC339+AC343</f>
        <v>78607</v>
      </c>
      <c r="AD294" s="62" t="n">
        <f aca="false">AD331+AD335+AD339+AD343</f>
        <v>51807</v>
      </c>
      <c r="AE294" s="62" t="n">
        <f aca="false">AE331+AE335+AE339+AE343</f>
        <v>73885</v>
      </c>
      <c r="AF294" s="62" t="n">
        <f aca="false">AF331+AF335+AF339+AF343</f>
        <v>124109</v>
      </c>
      <c r="AG294" s="62" t="n">
        <f aca="false">AG331+AG335+AG339+AG343</f>
        <v>124883</v>
      </c>
      <c r="AH294" s="62" t="n">
        <f aca="false">AH331+AH335+AH339+AH343</f>
        <v>126027</v>
      </c>
      <c r="AI294" s="62" t="n">
        <f aca="false">AI331+AI335+AI339+AI343</f>
        <v>142658</v>
      </c>
      <c r="AJ294" s="62" t="n">
        <f aca="false">AJ331+AJ335+AJ339+AJ343</f>
        <v>150629</v>
      </c>
      <c r="AK294" s="62" t="n">
        <f aca="false">AK331+AK335+AK339+AK343</f>
        <v>160590</v>
      </c>
      <c r="AL294" s="62" t="n">
        <f aca="false">AL331+AL335+AL339+AL343</f>
        <v>171127</v>
      </c>
      <c r="AM294" s="41"/>
      <c r="AN294" s="41"/>
      <c r="AO294" s="41"/>
    </row>
    <row r="295" customFormat="false" ht="12.75" hidden="false" customHeight="true" outlineLevel="0" collapsed="false">
      <c r="A295" s="69" t="s">
        <v>401</v>
      </c>
      <c r="B295" s="192"/>
      <c r="C295" s="81" t="n">
        <f aca="false">(100*C294)/B294-100</f>
        <v>13.1312141842582</v>
      </c>
      <c r="D295" s="90" t="n">
        <f aca="false">(100*D294)/C294-100</f>
        <v>23.0799203394233</v>
      </c>
      <c r="E295" s="90" t="n">
        <f aca="false">(100*E294)/D294-100</f>
        <v>20.9082275141581</v>
      </c>
      <c r="F295" s="90" t="n">
        <f aca="false">(100*F294)/E294-100</f>
        <v>21.3074215227068</v>
      </c>
      <c r="G295" s="90" t="n">
        <f aca="false">(100*G294)/F294-100</f>
        <v>-27.5007794325731</v>
      </c>
      <c r="H295" s="90" t="n">
        <f aca="false">(100*H294)/G294-100</f>
        <v>-3.47998676811115</v>
      </c>
      <c r="I295" s="90" t="n">
        <f aca="false">(100*I294)/H294-100</f>
        <v>28.0930838302831</v>
      </c>
      <c r="J295" s="90" t="n">
        <f aca="false">(100*J294)/I294-100</f>
        <v>-14.5418060200669</v>
      </c>
      <c r="K295" s="90" t="n">
        <f aca="false">(100*K294)/J294-100</f>
        <v>-7.98685034439575</v>
      </c>
      <c r="L295" s="90" t="n">
        <f aca="false">(100*L294)/K294-100</f>
        <v>21.8415053251216</v>
      </c>
      <c r="M295" s="90" t="n">
        <f aca="false">(100*M294)/L294-100</f>
        <v>34.0175379803396</v>
      </c>
      <c r="N295" s="90" t="n">
        <f aca="false">(100*N294)/M294-100</f>
        <v>13.1946904498948</v>
      </c>
      <c r="O295" s="90" t="n">
        <f aca="false">(100*O294)/N294-100</f>
        <v>12.0340199922682</v>
      </c>
      <c r="P295" s="90" t="n">
        <f aca="false">(100*P294)/O294-100</f>
        <v>36.0396332446022</v>
      </c>
      <c r="Q295" s="90" t="n">
        <f aca="false">(100*Q294)/P294-100</f>
        <v>-0.368397531132615</v>
      </c>
      <c r="R295" s="90" t="n">
        <f aca="false">(100*R294)/Q294-100</f>
        <v>-35.6508983342628</v>
      </c>
      <c r="S295" s="90" t="n">
        <f aca="false">(100*S294)/R294-100</f>
        <v>18.3236308144464</v>
      </c>
      <c r="T295" s="90" t="n">
        <f aca="false">(100*T294)/S294-100</f>
        <v>48.4515564047449</v>
      </c>
      <c r="U295" s="90" t="n">
        <f aca="false">(100*U294)/T294-100</f>
        <v>0.0504102536601039</v>
      </c>
      <c r="V295" s="90" t="n">
        <f aca="false">(100*V294)/U294-100</f>
        <v>-15.4038292489441</v>
      </c>
      <c r="W295" s="90" t="n">
        <f aca="false">(100*W294)/V294-100</f>
        <v>-23.5271754970664</v>
      </c>
      <c r="X295" s="90" t="n">
        <f aca="false">(100*X294)/W294-100</f>
        <v>28.6890814787811</v>
      </c>
      <c r="Y295" s="90" t="n">
        <f aca="false">(100*Y294)/X294-100</f>
        <v>41.3365954159155</v>
      </c>
      <c r="Z295" s="90" t="n">
        <f aca="false">(100*Z294)/Y294-100</f>
        <v>3.21969351870411</v>
      </c>
      <c r="AA295" s="90" t="n">
        <f aca="false">(100*AA294)/Z294-100</f>
        <v>16.0076260415196</v>
      </c>
      <c r="AB295" s="90" t="n">
        <f aca="false">(100*AB294)/AA294-100</f>
        <v>8.69346886602958</v>
      </c>
      <c r="AC295" s="90" t="n">
        <f aca="false">(100*AC294)/AB294-100</f>
        <v>-44.9754301474191</v>
      </c>
      <c r="AD295" s="90" t="n">
        <f aca="false">(100*AD294)/AC294-100</f>
        <v>-34.0936557812917</v>
      </c>
      <c r="AE295" s="90" t="n">
        <f aca="false">(100*AE294)/AD294-100</f>
        <v>42.6158627212539</v>
      </c>
      <c r="AF295" s="90" t="n">
        <f aca="false">(100*AF294)/AE294-100</f>
        <v>67.9759085064628</v>
      </c>
      <c r="AG295" s="90" t="n">
        <f aca="false">(100*AG294)/AF294-100</f>
        <v>0.623645344012118</v>
      </c>
      <c r="AH295" s="90" t="n">
        <f aca="false">(100*AH294)/AG294-100</f>
        <v>0.916057429754247</v>
      </c>
      <c r="AI295" s="90" t="n">
        <f aca="false">(100*AI294)/AH294-100</f>
        <v>13.196378553802</v>
      </c>
      <c r="AJ295" s="90" t="n">
        <f aca="false">(100*AJ294)/AI294-100</f>
        <v>5.5874889596097</v>
      </c>
      <c r="AK295" s="90" t="n">
        <f aca="false">(100*AK294)/AJ294-100</f>
        <v>6.6129364199457</v>
      </c>
      <c r="AL295" s="90" t="n">
        <f aca="false">(100*AL294)/AK294-100</f>
        <v>6.56142972787845</v>
      </c>
      <c r="AM295" s="193"/>
      <c r="AN295" s="193"/>
      <c r="AO295" s="193"/>
    </row>
    <row r="296" customFormat="false" ht="12" hidden="false" customHeight="true" outlineLevel="0" collapsed="false">
      <c r="A296" s="69" t="s">
        <v>402</v>
      </c>
      <c r="B296" s="48" t="n">
        <v>153</v>
      </c>
      <c r="C296" s="48" t="n">
        <v>1264</v>
      </c>
      <c r="D296" s="48" t="n">
        <v>1451</v>
      </c>
      <c r="E296" s="48" t="n">
        <v>2350</v>
      </c>
      <c r="F296" s="48" t="n">
        <v>1834</v>
      </c>
      <c r="G296" s="188" t="n">
        <v>1308</v>
      </c>
      <c r="H296" s="188" t="n">
        <v>567</v>
      </c>
      <c r="I296" s="188" t="n">
        <v>484</v>
      </c>
      <c r="J296" s="48" t="n">
        <v>535</v>
      </c>
      <c r="K296" s="48" t="n">
        <v>284</v>
      </c>
      <c r="L296" s="48" t="n">
        <v>637</v>
      </c>
      <c r="M296" s="48" t="n">
        <v>665</v>
      </c>
      <c r="N296" s="48" t="n">
        <v>419</v>
      </c>
      <c r="O296" s="46" t="n">
        <f aca="false">O357+O361</f>
        <v>797</v>
      </c>
      <c r="P296" s="46" t="n">
        <f aca="false">P357+P361</f>
        <v>300</v>
      </c>
      <c r="Q296" s="46" t="n">
        <f aca="false">Q357+Q361</f>
        <v>823</v>
      </c>
      <c r="R296" s="46" t="n">
        <f aca="false">R357+R361</f>
        <v>1352</v>
      </c>
      <c r="S296" s="46" t="n">
        <f aca="false">S357+S361</f>
        <v>1121</v>
      </c>
      <c r="T296" s="46" t="n">
        <f aca="false">T357+T361</f>
        <v>871</v>
      </c>
      <c r="U296" s="46" t="n">
        <f aca="false">U357+U361</f>
        <v>8708</v>
      </c>
      <c r="V296" s="46" t="n">
        <f aca="false">V357+V361</f>
        <v>35698</v>
      </c>
      <c r="W296" s="46" t="n">
        <f aca="false">W357+W361</f>
        <v>28990</v>
      </c>
      <c r="X296" s="46" t="n">
        <f aca="false">X357+X361</f>
        <v>27242</v>
      </c>
      <c r="Y296" s="46" t="n">
        <f aca="false">Y357+Y361</f>
        <v>30695</v>
      </c>
      <c r="Z296" s="46" t="n">
        <f aca="false">Z357+Z361</f>
        <v>31770</v>
      </c>
      <c r="AA296" s="46" t="n">
        <f aca="false">AA357+AA361</f>
        <v>43441</v>
      </c>
      <c r="AB296" s="46" t="n">
        <f aca="false">AB357+AB361</f>
        <v>54508</v>
      </c>
      <c r="AC296" s="46" t="n">
        <f aca="false">AC357+AC361</f>
        <v>46646</v>
      </c>
      <c r="AD296" s="46" t="n">
        <f aca="false">AD357+AD361</f>
        <v>48908</v>
      </c>
      <c r="AE296" s="46" t="n">
        <f aca="false">AE357+AE361</f>
        <v>54441</v>
      </c>
      <c r="AF296" s="46" t="n">
        <f aca="false">AF357+AF361</f>
        <v>68096</v>
      </c>
      <c r="AG296" s="46" t="n">
        <f aca="false">AG357+AG361</f>
        <v>69800</v>
      </c>
      <c r="AH296" s="46" t="n">
        <f aca="false">AH357+AH361</f>
        <v>69066</v>
      </c>
      <c r="AI296" s="46" t="n">
        <f aca="false">AI357+AI361</f>
        <v>77779</v>
      </c>
      <c r="AJ296" s="46" t="n">
        <f aca="false">AJ357+AJ361</f>
        <v>86766.64</v>
      </c>
      <c r="AK296" s="46" t="n">
        <f aca="false">AK357+AK361</f>
        <v>93601.8912</v>
      </c>
      <c r="AL296" s="46" t="n">
        <f aca="false">AL357+AL361</f>
        <v>99180.884672</v>
      </c>
    </row>
    <row r="297" customFormat="false" ht="12.75" hidden="false" customHeight="true" outlineLevel="0" collapsed="false">
      <c r="A297" s="69" t="s">
        <v>401</v>
      </c>
      <c r="B297" s="192"/>
      <c r="C297" s="81" t="n">
        <f aca="false">(100*C296)/B296-100</f>
        <v>726.143790849673</v>
      </c>
      <c r="D297" s="90" t="n">
        <f aca="false">(100*D296)/C296-100</f>
        <v>14.7943037974684</v>
      </c>
      <c r="E297" s="90" t="n">
        <f aca="false">(100*E296)/D296-100</f>
        <v>61.9572708476912</v>
      </c>
      <c r="F297" s="90" t="n">
        <f aca="false">(100*F296)/E296-100</f>
        <v>-21.9574468085106</v>
      </c>
      <c r="G297" s="90" t="n">
        <f aca="false">(100*G296)/F296-100</f>
        <v>-28.680479825518</v>
      </c>
      <c r="H297" s="90" t="n">
        <f aca="false">(100*H296)/G296-100</f>
        <v>-56.651376146789</v>
      </c>
      <c r="I297" s="90" t="n">
        <f aca="false">(100*I296)/H296-100</f>
        <v>-14.6384479717813</v>
      </c>
      <c r="J297" s="90" t="n">
        <f aca="false">(100*J296)/I296-100</f>
        <v>10.5371900826446</v>
      </c>
      <c r="K297" s="90" t="n">
        <f aca="false">(100*K296)/J296-100</f>
        <v>-46.9158878504673</v>
      </c>
      <c r="L297" s="90" t="n">
        <f aca="false">(100*L296)/K296-100</f>
        <v>124.295774647887</v>
      </c>
      <c r="M297" s="90" t="n">
        <f aca="false">(100*M296)/L296-100</f>
        <v>4.39560439560439</v>
      </c>
      <c r="N297" s="90" t="n">
        <f aca="false">(100*N296)/M296-100</f>
        <v>-36.9924812030075</v>
      </c>
      <c r="O297" s="90" t="n">
        <f aca="false">(100*O296)/N296-100</f>
        <v>90.2147971360382</v>
      </c>
      <c r="P297" s="90" t="n">
        <f aca="false">(100*P296)/O296-100</f>
        <v>-62.3588456712673</v>
      </c>
      <c r="Q297" s="90" t="n">
        <f aca="false">(100*Q296)/P296-100</f>
        <v>174.333333333333</v>
      </c>
      <c r="R297" s="90" t="n">
        <f aca="false">(100*R296)/Q296-100</f>
        <v>64.277035236938</v>
      </c>
      <c r="S297" s="90" t="n">
        <f aca="false">(100*S296)/R296-100</f>
        <v>-17.085798816568</v>
      </c>
      <c r="T297" s="90" t="n">
        <f aca="false">(100*T296)/S296-100</f>
        <v>-22.3015165031222</v>
      </c>
      <c r="U297" s="90" t="n">
        <f aca="false">(100*U296)/T296-100</f>
        <v>899.770378874857</v>
      </c>
      <c r="V297" s="90" t="n">
        <f aca="false">(100*V296)/U296-100</f>
        <v>309.944878272853</v>
      </c>
      <c r="W297" s="90" t="n">
        <f aca="false">(100*W296)/V296-100</f>
        <v>-18.7909686817189</v>
      </c>
      <c r="X297" s="90" t="n">
        <f aca="false">(100*X296)/W296-100</f>
        <v>-6.02966540186272</v>
      </c>
      <c r="Y297" s="90" t="n">
        <f aca="false">(100*Y296)/X296-100</f>
        <v>12.6752808163865</v>
      </c>
      <c r="Z297" s="90" t="n">
        <f aca="false">(100*Z296)/Y296-100</f>
        <v>3.50219905522071</v>
      </c>
      <c r="AA297" s="90" t="n">
        <f aca="false">(100*AA296)/Z296-100</f>
        <v>36.7359143846396</v>
      </c>
      <c r="AB297" s="90" t="n">
        <f aca="false">(100*AB296)/AA296-100</f>
        <v>25.4759328744734</v>
      </c>
      <c r="AC297" s="90" t="n">
        <f aca="false">(100*AC296)/AB296-100</f>
        <v>-14.423570851985</v>
      </c>
      <c r="AD297" s="90" t="n">
        <f aca="false">(100*AD296)/AC296-100</f>
        <v>4.84929040003431</v>
      </c>
      <c r="AE297" s="90" t="n">
        <f aca="false">(100*AE296)/AD296-100</f>
        <v>11.3130776151141</v>
      </c>
      <c r="AF297" s="90" t="n">
        <f aca="false">(100*AF296)/AE296-100</f>
        <v>25.0821990779009</v>
      </c>
      <c r="AG297" s="90" t="n">
        <f aca="false">(100*AG296)/AF296-100</f>
        <v>2.50234962406014</v>
      </c>
      <c r="AH297" s="90" t="n">
        <f aca="false">(100*AH296)/AG296-100</f>
        <v>-1.05157593123209</v>
      </c>
      <c r="AI297" s="90" t="n">
        <f aca="false">(100*AI296)/AH296-100</f>
        <v>12.6154692612863</v>
      </c>
      <c r="AJ297" s="90" t="n">
        <f aca="false">(100*AJ296)/AI296-100</f>
        <v>11.5553555586984</v>
      </c>
      <c r="AK297" s="90" t="n">
        <f aca="false">(100*AK296)/AJ296-100</f>
        <v>7.87774103042369</v>
      </c>
      <c r="AL297" s="90" t="n">
        <f aca="false">(100*AL296)/AK296-100</f>
        <v>5.96034268162309</v>
      </c>
      <c r="AM297" s="193"/>
      <c r="AN297" s="193"/>
      <c r="AO297" s="193"/>
    </row>
    <row r="298" customFormat="false" ht="12" hidden="false" customHeight="true" outlineLevel="0" collapsed="false">
      <c r="H298" s="74"/>
      <c r="I298" s="74"/>
      <c r="J298" s="74"/>
      <c r="K298" s="74"/>
      <c r="L298" s="74"/>
    </row>
    <row r="299" customFormat="false" ht="12.75" hidden="false" customHeight="true" outlineLevel="0" collapsed="false">
      <c r="A299" s="59" t="s">
        <v>403</v>
      </c>
      <c r="B299" s="39" t="n">
        <f aca="false">+B294+B296</f>
        <v>20570</v>
      </c>
      <c r="C299" s="39" t="n">
        <f aca="false">+C294+C296</f>
        <v>24362</v>
      </c>
      <c r="D299" s="39" t="n">
        <f aca="false">+D294+D296</f>
        <v>29880</v>
      </c>
      <c r="E299" s="39" t="n">
        <f aca="false">+E294+E296</f>
        <v>36723</v>
      </c>
      <c r="F299" s="39" t="n">
        <f aca="false">+F294+F296</f>
        <v>43531</v>
      </c>
      <c r="G299" s="194" t="n">
        <f aca="false">+G294+G296</f>
        <v>31538</v>
      </c>
      <c r="H299" s="194" t="n">
        <f aca="false">+H294+H296</f>
        <v>29745</v>
      </c>
      <c r="I299" s="194" t="n">
        <f aca="false">+I294+I296</f>
        <v>37859</v>
      </c>
      <c r="J299" s="194" t="n">
        <f aca="false">+J294+J296</f>
        <v>32475</v>
      </c>
      <c r="K299" s="194" t="n">
        <f aca="false">+K294+K296</f>
        <v>29673</v>
      </c>
      <c r="L299" s="194" t="n">
        <f aca="false">+L294+L296</f>
        <v>36445</v>
      </c>
      <c r="M299" s="67" t="n">
        <f aca="false">+M294+M296</f>
        <v>48654</v>
      </c>
      <c r="N299" s="67" t="n">
        <f aca="false">+N294+N296</f>
        <v>54740</v>
      </c>
      <c r="O299" s="67" t="n">
        <f aca="false">+O294+O296</f>
        <v>61655</v>
      </c>
      <c r="P299" s="67" t="n">
        <f aca="false">+P294+P296</f>
        <v>83091</v>
      </c>
      <c r="Q299" s="67" t="n">
        <f aca="false">+Q294+Q296</f>
        <v>83309</v>
      </c>
      <c r="R299" s="67" t="n">
        <f aca="false">+R294+R296</f>
        <v>54431</v>
      </c>
      <c r="S299" s="67" t="n">
        <f aca="false">+S294+S296</f>
        <v>63926</v>
      </c>
      <c r="T299" s="67" t="n">
        <f aca="false">+T294+T296</f>
        <v>94106</v>
      </c>
      <c r="U299" s="67" t="n">
        <f aca="false">+U294+U296</f>
        <v>101990</v>
      </c>
      <c r="V299" s="67" t="n">
        <f aca="false">+V294+V296</f>
        <v>114611</v>
      </c>
      <c r="W299" s="67" t="n">
        <f aca="false">+W294+W296</f>
        <v>89337</v>
      </c>
      <c r="X299" s="67" t="n">
        <f aca="false">+X294+X296</f>
        <v>104902</v>
      </c>
      <c r="Y299" s="67" t="n">
        <f aca="false">+Y294+Y296</f>
        <v>140457</v>
      </c>
      <c r="Z299" s="67" t="n">
        <f aca="false">+Z294+Z296</f>
        <v>145066</v>
      </c>
      <c r="AA299" s="67" t="n">
        <f aca="false">+AA294+AA296</f>
        <v>174873</v>
      </c>
      <c r="AB299" s="67" t="n">
        <f aca="false">+AB294+AB296</f>
        <v>197366</v>
      </c>
      <c r="AC299" s="67" t="n">
        <f aca="false">+AC294+AC296</f>
        <v>125253</v>
      </c>
      <c r="AD299" s="67" t="n">
        <f aca="false">+AD294+AD296</f>
        <v>100715</v>
      </c>
      <c r="AE299" s="67" t="n">
        <f aca="false">+AE294+AE296</f>
        <v>128326</v>
      </c>
      <c r="AF299" s="67" t="n">
        <f aca="false">+AF294+AF296</f>
        <v>192205</v>
      </c>
      <c r="AG299" s="67" t="n">
        <f aca="false">+AG294+AG296</f>
        <v>194683</v>
      </c>
      <c r="AH299" s="67" t="n">
        <f aca="false">+AH294+AH296</f>
        <v>195093</v>
      </c>
      <c r="AI299" s="67" t="n">
        <f aca="false">+AI294+AI296</f>
        <v>220437</v>
      </c>
      <c r="AJ299" s="67" t="n">
        <f aca="false">+AJ294+AJ296</f>
        <v>237395.64</v>
      </c>
      <c r="AK299" s="67" t="n">
        <f aca="false">+AK294+AK296</f>
        <v>254191.8912</v>
      </c>
      <c r="AL299" s="67" t="n">
        <f aca="false">+AL294+AL296</f>
        <v>270307.884672</v>
      </c>
      <c r="AM299" s="145"/>
      <c r="AN299" s="145"/>
      <c r="AO299" s="145"/>
    </row>
    <row r="300" customFormat="false" ht="12.75" hidden="false" customHeight="true" outlineLevel="0" collapsed="false">
      <c r="A300" s="59" t="s">
        <v>401</v>
      </c>
      <c r="B300" s="19"/>
      <c r="C300" s="165" t="n">
        <f aca="false">(100*C299)/B299-100</f>
        <v>18.4346135148274</v>
      </c>
      <c r="D300" s="117" t="n">
        <f aca="false">(100*D299)/C299-100</f>
        <v>22.6500287332731</v>
      </c>
      <c r="E300" s="117" t="n">
        <f aca="false">(100*E299)/D299-100</f>
        <v>22.9016064257028</v>
      </c>
      <c r="F300" s="117" t="n">
        <f aca="false">(100*F299)/E299-100</f>
        <v>18.5387904038341</v>
      </c>
      <c r="G300" s="117" t="n">
        <f aca="false">(100*G299)/F299-100</f>
        <v>-27.5504812662241</v>
      </c>
      <c r="H300" s="117" t="n">
        <f aca="false">(100*H299)/G299-100</f>
        <v>-5.68520514934365</v>
      </c>
      <c r="I300" s="117" t="n">
        <f aca="false">(100*I299)/H299-100</f>
        <v>27.2785342074298</v>
      </c>
      <c r="J300" s="117" t="n">
        <f aca="false">(100*J299)/I299-100</f>
        <v>-14.2211891492116</v>
      </c>
      <c r="K300" s="117" t="n">
        <f aca="false">(100*K299)/J299-100</f>
        <v>-8.62817551963049</v>
      </c>
      <c r="L300" s="117" t="n">
        <f aca="false">(100*L299)/K299-100</f>
        <v>22.8220941596738</v>
      </c>
      <c r="M300" s="117" t="n">
        <f aca="false">(100*M299)/L299-100</f>
        <v>33.4997942104541</v>
      </c>
      <c r="N300" s="117" t="n">
        <f aca="false">(100*N299)/M299-100</f>
        <v>12.5087351502446</v>
      </c>
      <c r="O300" s="117" t="n">
        <f aca="false">(100*O299)/N299-100</f>
        <v>12.6324442820606</v>
      </c>
      <c r="P300" s="117" t="n">
        <f aca="false">(100*P299)/O299-100</f>
        <v>34.7676587462493</v>
      </c>
      <c r="Q300" s="117" t="n">
        <f aca="false">(100*Q299)/P299-100</f>
        <v>0.262362951462848</v>
      </c>
      <c r="R300" s="117" t="n">
        <f aca="false">(100*R299)/Q299-100</f>
        <v>-34.6637218067676</v>
      </c>
      <c r="S300" s="117" t="n">
        <f aca="false">(100*S299)/R299-100</f>
        <v>17.4441035439364</v>
      </c>
      <c r="T300" s="117" t="n">
        <f aca="false">(100*T299)/S299-100</f>
        <v>47.2108375308951</v>
      </c>
      <c r="U300" s="117" t="n">
        <f aca="false">(100*U299)/T299-100</f>
        <v>8.37778675111045</v>
      </c>
      <c r="V300" s="117" t="n">
        <f aca="false">(100*V299)/U299-100</f>
        <v>12.3747426218257</v>
      </c>
      <c r="W300" s="117" t="n">
        <f aca="false">(100*W299)/V299-100</f>
        <v>-22.0519845390059</v>
      </c>
      <c r="X300" s="117" t="n">
        <f aca="false">(100*X299)/W299-100</f>
        <v>17.4227923480753</v>
      </c>
      <c r="Y300" s="117" t="n">
        <f aca="false">(100*Y299)/X299-100</f>
        <v>33.8935387313874</v>
      </c>
      <c r="Z300" s="117" t="n">
        <f aca="false">(100*Z299)/Y299-100</f>
        <v>3.28143132773731</v>
      </c>
      <c r="AA300" s="117" t="n">
        <f aca="false">(100*AA299)/Z299-100</f>
        <v>20.5471992058787</v>
      </c>
      <c r="AB300" s="117" t="n">
        <f aca="false">(100*AB299)/AA299-100</f>
        <v>12.8624773406987</v>
      </c>
      <c r="AC300" s="117" t="n">
        <f aca="false">(100*AC299)/AB299-100</f>
        <v>-36.5377015291388</v>
      </c>
      <c r="AD300" s="117" t="n">
        <f aca="false">(100*AD299)/AC299-100</f>
        <v>-19.5907483253894</v>
      </c>
      <c r="AE300" s="117" t="n">
        <f aca="false">(100*AE299)/AD299-100</f>
        <v>27.4149828724619</v>
      </c>
      <c r="AF300" s="117" t="n">
        <f aca="false">(100*AF299)/AE299-100</f>
        <v>49.7786886523386</v>
      </c>
      <c r="AG300" s="117" t="n">
        <f aca="false">(100*AG299)/AF299-100</f>
        <v>1.28924845867694</v>
      </c>
      <c r="AH300" s="117" t="n">
        <f aca="false">(100*AH299)/AG299-100</f>
        <v>0.21059876825403</v>
      </c>
      <c r="AI300" s="117" t="n">
        <f aca="false">(100*AI299)/AH299-100</f>
        <v>12.9907274991927</v>
      </c>
      <c r="AJ300" s="117" t="n">
        <f aca="false">(100*AJ299)/AI299-100</f>
        <v>7.69319125192232</v>
      </c>
      <c r="AK300" s="117" t="n">
        <f aca="false">(100*AK299)/AJ299-100</f>
        <v>7.07521469223276</v>
      </c>
      <c r="AL300" s="117" t="n">
        <f aca="false">(100*AL299)/AK299-100</f>
        <v>6.34008952682122</v>
      </c>
      <c r="AM300" s="118"/>
      <c r="AN300" s="118"/>
      <c r="AO300" s="118"/>
    </row>
    <row r="301" customFormat="false" ht="12" hidden="false" customHeight="true" outlineLevel="0" collapsed="false">
      <c r="Q301" s="31"/>
      <c r="R301" s="31"/>
      <c r="S301" s="31"/>
      <c r="W301" s="79" t="n">
        <f aca="false">+W294/W299</f>
        <v>0.675498393722646</v>
      </c>
      <c r="X301" s="79" t="n">
        <f aca="false">+X294/X299</f>
        <v>0.740310003622429</v>
      </c>
      <c r="Y301" s="79" t="n">
        <f aca="false">+Y294/Y299</f>
        <v>0.781463366012374</v>
      </c>
      <c r="Z301" s="79" t="n">
        <f aca="false">+Z294/Z299</f>
        <v>0.780996236195938</v>
      </c>
      <c r="AA301" s="79" t="n">
        <f aca="false">+AA294/AA299</f>
        <v>0.751585436288049</v>
      </c>
      <c r="AB301" s="79" t="n">
        <f aca="false">+AB294/AB299</f>
        <v>0.723822745559012</v>
      </c>
      <c r="AC301" s="79" t="n">
        <f aca="false">+AC294/AC299</f>
        <v>0.627585766408789</v>
      </c>
      <c r="AD301" s="79" t="n">
        <f aca="false">+AD294/AD299</f>
        <v>0.514392096509954</v>
      </c>
      <c r="AE301" s="79" t="n">
        <f aca="false">+AE294/AE299</f>
        <v>0.575760173308605</v>
      </c>
      <c r="AF301" s="79" t="n">
        <f aca="false">+AF294/AF299</f>
        <v>0.64571160999974</v>
      </c>
      <c r="AG301" s="79" t="n">
        <f aca="false">+AG294/AG299</f>
        <v>0.641468438435816</v>
      </c>
      <c r="AH301" s="79" t="n">
        <f aca="false">+AH294/AH299</f>
        <v>0.645984222909074</v>
      </c>
      <c r="AI301" s="79" t="n">
        <f aca="false">+AI294/AI299</f>
        <v>0.647159959534924</v>
      </c>
      <c r="AJ301" s="79" t="n">
        <f aca="false">+AJ294/AJ299</f>
        <v>0.634506177114289</v>
      </c>
      <c r="AK301" s="79" t="n">
        <f aca="false">+AK294/AK299</f>
        <v>0.631766809090093</v>
      </c>
      <c r="AL301" s="79" t="n">
        <f aca="false">+AL294/AL299</f>
        <v>0.633081791926458</v>
      </c>
    </row>
    <row r="302" customFormat="false" ht="12.75" hidden="false" customHeight="true" outlineLevel="0" collapsed="false">
      <c r="A302" s="59" t="s">
        <v>404</v>
      </c>
    </row>
    <row r="304" customFormat="false" ht="12" hidden="false" customHeight="true" outlineLevel="0" collapsed="false">
      <c r="A304" s="149" t="s">
        <v>400</v>
      </c>
      <c r="B304" s="90" t="n">
        <f aca="false">+B294/B299*100</f>
        <v>99.2561983471074</v>
      </c>
      <c r="C304" s="90" t="n">
        <f aca="false">+C294/C299*100</f>
        <v>94.8115918233314</v>
      </c>
      <c r="D304" s="90" t="n">
        <f aca="false">+D294/D299*100</f>
        <v>95.1439089692102</v>
      </c>
      <c r="E304" s="90" t="n">
        <f aca="false">+E294/E299*100</f>
        <v>93.6007406802276</v>
      </c>
      <c r="F304" s="90" t="n">
        <f aca="false">+F294/F299*100</f>
        <v>95.7869104775907</v>
      </c>
      <c r="G304" s="90" t="n">
        <f aca="false">+G294/G299*100</f>
        <v>95.8526222334961</v>
      </c>
      <c r="H304" s="90" t="n">
        <f aca="false">+H294/H299*100</f>
        <v>98.0937972768533</v>
      </c>
      <c r="I304" s="90" t="n">
        <f aca="false">+I294/I299*100</f>
        <v>98.7215721492908</v>
      </c>
      <c r="J304" s="90" t="n">
        <f aca="false">+J294/J299*100</f>
        <v>98.3525789068514</v>
      </c>
      <c r="K304" s="90" t="n">
        <f aca="false">+K294/K299*100</f>
        <v>99.042900953729</v>
      </c>
      <c r="L304" s="90" t="n">
        <f aca="false">+L294/L299*100</f>
        <v>98.2521607902319</v>
      </c>
      <c r="M304" s="90" t="n">
        <f aca="false">+M294/M299*100</f>
        <v>98.6332059029062</v>
      </c>
      <c r="N304" s="90" t="n">
        <f aca="false">+N294/N299*100</f>
        <v>99.2345633905736</v>
      </c>
      <c r="O304" s="90" t="n">
        <f aca="false">+O294/O299*100</f>
        <v>98.7073230070554</v>
      </c>
      <c r="P304" s="90" t="n">
        <f aca="false">+P294/P299*100</f>
        <v>99.6389500667942</v>
      </c>
      <c r="Q304" s="90" t="n">
        <f aca="false">+Q294/Q299*100</f>
        <v>99.0121115365687</v>
      </c>
      <c r="R304" s="90" t="n">
        <f aca="false">+R294/R299*100</f>
        <v>97.5161213279198</v>
      </c>
      <c r="S304" s="90" t="n">
        <f aca="false">+S294/S299*100</f>
        <v>98.2464099114601</v>
      </c>
      <c r="T304" s="90" t="n">
        <f aca="false">+T294/T299*100</f>
        <v>99.0744479629354</v>
      </c>
      <c r="U304" s="90" t="n">
        <f aca="false">+U294/U299*100</f>
        <v>91.461908030199</v>
      </c>
      <c r="V304" s="90" t="n">
        <f aca="false">+V294/V299*100</f>
        <v>68.8529024264687</v>
      </c>
      <c r="W304" s="90" t="n">
        <f aca="false">+W294/W299*100</f>
        <v>67.5498393722646</v>
      </c>
      <c r="X304" s="90" t="n">
        <f aca="false">+X294/X299*100</f>
        <v>74.0310003622429</v>
      </c>
      <c r="Y304" s="90" t="n">
        <f aca="false">+Y294/Y299*100</f>
        <v>78.1463366012374</v>
      </c>
      <c r="Z304" s="90" t="n">
        <f aca="false">+Z294/Z299*100</f>
        <v>78.0996236195938</v>
      </c>
      <c r="AA304" s="90" t="n">
        <f aca="false">+AA294/AA299*100</f>
        <v>75.1585436288049</v>
      </c>
      <c r="AB304" s="90" t="n">
        <f aca="false">+AB294/AB299*100</f>
        <v>72.3822745559012</v>
      </c>
      <c r="AC304" s="90" t="n">
        <f aca="false">+AC294/AC299*100</f>
        <v>62.7585766408789</v>
      </c>
      <c r="AD304" s="90" t="n">
        <f aca="false">+AD294/AD299*100</f>
        <v>51.4392096509954</v>
      </c>
      <c r="AE304" s="90" t="n">
        <f aca="false">+AE294/AE299*100</f>
        <v>57.5760173308605</v>
      </c>
      <c r="AF304" s="90" t="n">
        <f aca="false">+AF294/AF299*100</f>
        <v>64.571160999974</v>
      </c>
      <c r="AG304" s="90" t="n">
        <f aca="false">+AG294/AG299*100</f>
        <v>64.1468438435816</v>
      </c>
      <c r="AH304" s="90" t="n">
        <f aca="false">+AH294/AH299*100</f>
        <v>64.5984222909074</v>
      </c>
      <c r="AI304" s="90" t="n">
        <f aca="false">+AI294/AI299*100</f>
        <v>64.7159959534924</v>
      </c>
      <c r="AJ304" s="90" t="n">
        <f aca="false">+AJ294/AJ299*100</f>
        <v>63.4506177114289</v>
      </c>
      <c r="AK304" s="90" t="n">
        <f aca="false">+AK294/AK299*100</f>
        <v>63.1766809090093</v>
      </c>
      <c r="AL304" s="90" t="n">
        <f aca="false">+AL294/AL299*100</f>
        <v>63.3081791926458</v>
      </c>
      <c r="AM304" s="40"/>
      <c r="AN304" s="40"/>
      <c r="AO304" s="40"/>
    </row>
    <row r="305" customFormat="false" ht="12" hidden="false" customHeight="true" outlineLevel="0" collapsed="false">
      <c r="A305" s="69" t="s">
        <v>402</v>
      </c>
      <c r="B305" s="90" t="n">
        <f aca="false">+B296/B299*100</f>
        <v>0.743801652892562</v>
      </c>
      <c r="C305" s="90" t="n">
        <f aca="false">+C296/C299*100</f>
        <v>5.18840817666858</v>
      </c>
      <c r="D305" s="90" t="n">
        <f aca="false">+D296/D299*100</f>
        <v>4.85609103078983</v>
      </c>
      <c r="E305" s="90" t="n">
        <f aca="false">+E296/E299*100</f>
        <v>6.39925931977235</v>
      </c>
      <c r="F305" s="90" t="n">
        <f aca="false">+F296/F299*100</f>
        <v>4.21308952240932</v>
      </c>
      <c r="G305" s="90" t="n">
        <f aca="false">+G296/G299*100</f>
        <v>4.1473777665039</v>
      </c>
      <c r="H305" s="90" t="n">
        <f aca="false">+H296/H299*100</f>
        <v>1.90620272314675</v>
      </c>
      <c r="I305" s="90" t="n">
        <f aca="false">+I296/I299*100</f>
        <v>1.27842785070921</v>
      </c>
      <c r="J305" s="90" t="n">
        <f aca="false">+J296/J299*100</f>
        <v>1.64742109314858</v>
      </c>
      <c r="K305" s="90" t="n">
        <f aca="false">+K296/K299*100</f>
        <v>0.957099046271021</v>
      </c>
      <c r="L305" s="90" t="n">
        <f aca="false">+L296/L299*100</f>
        <v>1.74783920976814</v>
      </c>
      <c r="M305" s="90" t="n">
        <f aca="false">+M296/M299*100</f>
        <v>1.36679409709376</v>
      </c>
      <c r="N305" s="90" t="n">
        <f aca="false">+N296/N299*100</f>
        <v>0.765436609426379</v>
      </c>
      <c r="O305" s="90" t="n">
        <f aca="false">+O296/O299*100</f>
        <v>1.29267699294461</v>
      </c>
      <c r="P305" s="90" t="n">
        <f aca="false">+P296/P299*100</f>
        <v>0.361049933205762</v>
      </c>
      <c r="Q305" s="90" t="n">
        <f aca="false">+Q296/Q299*100</f>
        <v>0.987888463431322</v>
      </c>
      <c r="R305" s="90" t="n">
        <f aca="false">+R296/R299*100</f>
        <v>2.48387867208025</v>
      </c>
      <c r="S305" s="90" t="n">
        <f aca="false">+S296/S299*100</f>
        <v>1.75359008853987</v>
      </c>
      <c r="T305" s="90" t="n">
        <f aca="false">+T296/T299*100</f>
        <v>0.925552037064587</v>
      </c>
      <c r="U305" s="90" t="n">
        <f aca="false">+U296/U299*100</f>
        <v>8.53809196980096</v>
      </c>
      <c r="V305" s="90" t="n">
        <f aca="false">+V296/V299*100</f>
        <v>31.1470975735313</v>
      </c>
      <c r="W305" s="90" t="n">
        <f aca="false">+W296/W299*100</f>
        <v>32.4501606277354</v>
      </c>
      <c r="X305" s="90" t="n">
        <f aca="false">+X296/X299*100</f>
        <v>25.9689996377571</v>
      </c>
      <c r="Y305" s="90" t="n">
        <f aca="false">+Y296/Y299*100</f>
        <v>21.8536633987626</v>
      </c>
      <c r="Z305" s="90" t="n">
        <f aca="false">+Z296/Z299*100</f>
        <v>21.9003763804062</v>
      </c>
      <c r="AA305" s="90" t="n">
        <f aca="false">+AA296/AA299*100</f>
        <v>24.8414563711951</v>
      </c>
      <c r="AB305" s="90" t="n">
        <f aca="false">+AB296/AB299*100</f>
        <v>27.6177254440988</v>
      </c>
      <c r="AC305" s="90" t="n">
        <f aca="false">+AC296/AC299*100</f>
        <v>37.2414233591211</v>
      </c>
      <c r="AD305" s="90" t="n">
        <f aca="false">+AD296/AD299*100</f>
        <v>48.5607903490046</v>
      </c>
      <c r="AE305" s="90" t="n">
        <f aca="false">+AE296/AE299*100</f>
        <v>42.4239826691395</v>
      </c>
      <c r="AF305" s="90" t="n">
        <f aca="false">+AF296/AF299*100</f>
        <v>35.428839000026</v>
      </c>
      <c r="AG305" s="90" t="n">
        <f aca="false">+AG296/AG299*100</f>
        <v>35.8531561564184</v>
      </c>
      <c r="AH305" s="90" t="n">
        <f aca="false">+AH296/AH299*100</f>
        <v>35.4015777090926</v>
      </c>
      <c r="AI305" s="90" t="n">
        <f aca="false">+AI296/AI299*100</f>
        <v>35.2840040465076</v>
      </c>
      <c r="AJ305" s="90" t="n">
        <f aca="false">+AJ296/AJ299*100</f>
        <v>36.5493822885711</v>
      </c>
      <c r="AK305" s="90" t="n">
        <f aca="false">+AK296/AK299*100</f>
        <v>36.8233190909908</v>
      </c>
      <c r="AL305" s="90" t="n">
        <f aca="false">+AL296/AL299*100</f>
        <v>36.6918208073543</v>
      </c>
      <c r="AM305" s="40"/>
      <c r="AN305" s="40"/>
      <c r="AO305" s="40"/>
    </row>
    <row r="306" customFormat="false" ht="12" hidden="false" customHeight="true" outlineLevel="0" collapsed="false">
      <c r="B306" s="40"/>
    </row>
    <row r="307" customFormat="false" ht="12.75" hidden="false" customHeight="true" outlineLevel="0" collapsed="false">
      <c r="A307" s="59" t="s">
        <v>405</v>
      </c>
      <c r="B307" s="39" t="s">
        <v>165</v>
      </c>
      <c r="C307" s="39" t="s">
        <v>166</v>
      </c>
      <c r="D307" s="39" t="s">
        <v>167</v>
      </c>
      <c r="E307" s="39" t="s">
        <v>207</v>
      </c>
      <c r="F307" s="39" t="s">
        <v>169</v>
      </c>
      <c r="G307" s="39" t="s">
        <v>170</v>
      </c>
      <c r="H307" s="39" t="s">
        <v>171</v>
      </c>
      <c r="I307" s="39" t="s">
        <v>406</v>
      </c>
      <c r="J307" s="39" t="s">
        <v>173</v>
      </c>
      <c r="K307" s="39" t="s">
        <v>174</v>
      </c>
      <c r="L307" s="39" t="s">
        <v>211</v>
      </c>
      <c r="M307" s="39" t="s">
        <v>176</v>
      </c>
      <c r="N307" s="39" t="s">
        <v>177</v>
      </c>
      <c r="O307" s="39" t="s">
        <v>178</v>
      </c>
      <c r="P307" s="39" t="s">
        <v>179</v>
      </c>
      <c r="Q307" s="39" t="s">
        <v>180</v>
      </c>
      <c r="R307" s="39" t="s">
        <v>181</v>
      </c>
      <c r="S307" s="39" t="s">
        <v>182</v>
      </c>
      <c r="T307" s="39" t="s">
        <v>183</v>
      </c>
      <c r="U307" s="39" t="s">
        <v>184</v>
      </c>
      <c r="V307" s="39" t="str">
        <f aca="false">+V3</f>
        <v>FY2013</v>
      </c>
      <c r="W307" s="39" t="str">
        <f aca="false">+W3</f>
        <v>FY2014</v>
      </c>
      <c r="X307" s="39" t="str">
        <f aca="false">+X3</f>
        <v>FY2015</v>
      </c>
      <c r="Y307" s="39" t="str">
        <f aca="false">+Y3</f>
        <v>FY2016</v>
      </c>
      <c r="Z307" s="39" t="str">
        <f aca="false">+Z3</f>
        <v>FY2017</v>
      </c>
      <c r="AA307" s="39" t="str">
        <f aca="false">+AA3</f>
        <v>FY2018</v>
      </c>
      <c r="AB307" s="39" t="str">
        <f aca="false">+AB3</f>
        <v>FY2019</v>
      </c>
      <c r="AC307" s="39" t="str">
        <f aca="false">+AC3</f>
        <v>FY2020</v>
      </c>
      <c r="AD307" s="39" t="str">
        <f aca="false">+AD3</f>
        <v>FY2021</v>
      </c>
      <c r="AE307" s="39" t="str">
        <f aca="false">+AE3</f>
        <v>FY2022</v>
      </c>
      <c r="AF307" s="39" t="str">
        <f aca="false">+AF3</f>
        <v>FY2023</v>
      </c>
      <c r="AG307" s="39" t="str">
        <f aca="false">+AG3</f>
        <v>FY2024</v>
      </c>
      <c r="AH307" s="39" t="str">
        <f aca="false">+AH3</f>
        <v>FY2025</v>
      </c>
      <c r="AI307" s="39" t="str">
        <f aca="false">+AI3</f>
        <v>FY2026</v>
      </c>
      <c r="AJ307" s="39" t="str">
        <f aca="false">+AJ3</f>
        <v>FY2027E</v>
      </c>
      <c r="AK307" s="39" t="str">
        <f aca="false">+AK3</f>
        <v>FY2028E</v>
      </c>
      <c r="AL307" s="39" t="str">
        <f aca="false">+AL3</f>
        <v>FY2029E</v>
      </c>
      <c r="AM307" s="19"/>
      <c r="AN307" s="19"/>
      <c r="AO307" s="19"/>
    </row>
    <row r="309" customFormat="false" ht="12" hidden="false" customHeight="true" outlineLevel="0" collapsed="false">
      <c r="A309" s="149" t="s">
        <v>400</v>
      </c>
      <c r="B309" s="195" t="n">
        <f aca="false">20417/(67981)*100</f>
        <v>30.0333916829702</v>
      </c>
      <c r="C309" s="195" t="n">
        <f aca="false">23098/(76245)*100</f>
        <v>30.2944455374123</v>
      </c>
      <c r="D309" s="195" t="n">
        <f aca="false">28429/103717*100</f>
        <v>27.4101641968048</v>
      </c>
      <c r="E309" s="195" t="n">
        <f aca="false">34373/128341*100</f>
        <v>26.782555847313</v>
      </c>
      <c r="F309" s="195" t="n">
        <f aca="false">41697/151132*100</f>
        <v>27.5897890585713</v>
      </c>
      <c r="G309" s="196" t="n">
        <v>32.6</v>
      </c>
      <c r="H309" s="196" t="n">
        <v>35.05</v>
      </c>
      <c r="I309" s="48" t="n">
        <v>33.6</v>
      </c>
      <c r="J309" s="197" t="n">
        <v>36.5041087122987</v>
      </c>
      <c r="K309" s="197" t="n">
        <v>32.8866630572099</v>
      </c>
      <c r="L309" s="197" t="n">
        <v>31.6388923250923</v>
      </c>
      <c r="M309" s="197" t="n">
        <v>30.3029343198865</v>
      </c>
      <c r="N309" s="197" t="n">
        <v>27.8</v>
      </c>
    </row>
    <row r="310" customFormat="false" ht="12" hidden="false" customHeight="true" outlineLevel="0" collapsed="false">
      <c r="A310" s="69" t="s">
        <v>402</v>
      </c>
      <c r="B310" s="198" t="n">
        <f aca="false">+B296/(52595)*100</f>
        <v>0.290902177013024</v>
      </c>
      <c r="C310" s="198" t="n">
        <f aca="false">+C296/(74534)*100</f>
        <v>1.69587034105241</v>
      </c>
      <c r="D310" s="198" t="n">
        <f aca="false">+D296/(94912-5000)*100</f>
        <v>1.6138001601566</v>
      </c>
      <c r="E310" s="195" t="n">
        <f aca="false">(2350)/(128751-22250)*100</f>
        <v>2.20655205115445</v>
      </c>
      <c r="F310" s="195" t="n">
        <f aca="false">1834/(145823-41000)*100</f>
        <v>1.74961601938506</v>
      </c>
      <c r="G310" s="196" t="n">
        <v>2</v>
      </c>
      <c r="H310" s="196" t="n">
        <v>1</v>
      </c>
      <c r="I310" s="48" t="n">
        <v>0.8</v>
      </c>
      <c r="J310" s="197" t="n">
        <v>0.850340136054422</v>
      </c>
      <c r="K310" s="197" t="n">
        <v>0.66474145916199</v>
      </c>
      <c r="L310" s="197" t="n">
        <v>0.902138507293585</v>
      </c>
      <c r="M310" s="197" t="n">
        <v>0.666576401112349</v>
      </c>
      <c r="N310" s="197" t="n">
        <v>0.3</v>
      </c>
    </row>
    <row r="311" customFormat="false" ht="12.75" hidden="false" customHeight="true" outlineLevel="0" collapsed="false">
      <c r="A311" s="167"/>
      <c r="B311" s="118"/>
      <c r="C311" s="118"/>
      <c r="D311" s="118"/>
      <c r="E311" s="118"/>
      <c r="F311" s="118"/>
      <c r="G311" s="118"/>
      <c r="H311" s="118"/>
      <c r="I311" s="115"/>
    </row>
    <row r="312" customFormat="false" ht="12.75" hidden="false" customHeight="true" outlineLevel="0" collapsed="false">
      <c r="A312" s="59" t="s">
        <v>400</v>
      </c>
      <c r="B312" s="118"/>
      <c r="C312" s="118"/>
      <c r="D312" s="118"/>
      <c r="E312" s="118"/>
      <c r="F312" s="118"/>
      <c r="G312" s="118"/>
      <c r="H312" s="118"/>
    </row>
    <row r="313" customFormat="false" ht="12.75" hidden="false" customHeight="true" outlineLevel="0" collapsed="false">
      <c r="A313" s="69" t="s">
        <v>407</v>
      </c>
      <c r="B313" s="199" t="n">
        <f aca="false">11363/44930*100</f>
        <v>25.2904518139328</v>
      </c>
      <c r="C313" s="199" t="n">
        <f aca="false">14742/53183*100</f>
        <v>27.7193840136886</v>
      </c>
      <c r="D313" s="199" t="n">
        <f aca="false">17227/75600*100</f>
        <v>22.787037037037</v>
      </c>
      <c r="E313" s="199" t="n">
        <f aca="false">24865/101626*100</f>
        <v>24.4671639147462</v>
      </c>
      <c r="F313" s="199" t="n">
        <f aca="false">31093/123394*100</f>
        <v>25.1981457769422</v>
      </c>
      <c r="G313" s="199" t="n">
        <f aca="false">16518/65519*100</f>
        <v>25.2110074940094</v>
      </c>
      <c r="H313" s="199" t="n">
        <f aca="false">3408/11173*100</f>
        <v>30.5021032847042</v>
      </c>
      <c r="I313" s="42" t="n">
        <v>29.8</v>
      </c>
      <c r="J313" s="200"/>
      <c r="K313" s="42" t="n">
        <v>26.2</v>
      </c>
      <c r="L313" s="42" t="n">
        <v>25.2</v>
      </c>
      <c r="M313" s="42" t="n">
        <v>25</v>
      </c>
      <c r="N313" s="42" t="n">
        <v>23</v>
      </c>
    </row>
    <row r="314" customFormat="false" ht="12.75" hidden="false" customHeight="true" outlineLevel="0" collapsed="false">
      <c r="A314" s="69" t="s">
        <v>408</v>
      </c>
      <c r="B314" s="199" t="n">
        <f aca="false">8978/22683*100</f>
        <v>39.580302429132</v>
      </c>
      <c r="C314" s="199" t="n">
        <f aca="false">9355/23925*100</f>
        <v>39.1013584117032</v>
      </c>
      <c r="D314" s="199" t="n">
        <f aca="false">11429/29292*100</f>
        <v>39.0174791752014</v>
      </c>
      <c r="E314" s="199" t="n">
        <f aca="false">9508/26468*100</f>
        <v>35.9226235454133</v>
      </c>
      <c r="F314" s="199" t="n">
        <f aca="false">10604/28081*100</f>
        <v>37.7621879562694</v>
      </c>
      <c r="G314" s="199" t="n">
        <f aca="false">13720/28109*100</f>
        <v>48.8099896830197</v>
      </c>
      <c r="H314" s="42" t="n">
        <v>44.5</v>
      </c>
      <c r="I314" s="42" t="n">
        <v>45.2</v>
      </c>
      <c r="J314" s="200"/>
      <c r="K314" s="42" t="n">
        <v>50.6</v>
      </c>
      <c r="L314" s="42" t="n">
        <v>48.1</v>
      </c>
      <c r="M314" s="42" t="n">
        <v>44.3</v>
      </c>
      <c r="N314" s="42" t="n">
        <v>41.4</v>
      </c>
    </row>
    <row r="315" customFormat="false" ht="12.75" hidden="false" customHeight="true" outlineLevel="0" collapsed="false">
      <c r="A315" s="167"/>
      <c r="B315" s="118"/>
      <c r="C315" s="118"/>
      <c r="D315" s="118"/>
      <c r="E315" s="118"/>
      <c r="F315" s="118"/>
      <c r="G315" s="118"/>
      <c r="H315" s="118"/>
    </row>
    <row r="316" customFormat="false" ht="12.75" hidden="false" customHeight="true" outlineLevel="0" collapsed="false">
      <c r="A316" s="167"/>
      <c r="B316" s="118"/>
      <c r="C316" s="118"/>
      <c r="D316" s="118"/>
      <c r="E316" s="118"/>
      <c r="F316" s="118"/>
      <c r="G316" s="118"/>
      <c r="H316" s="118"/>
    </row>
    <row r="317" customFormat="false" ht="12.75" hidden="false" customHeight="true" outlineLevel="0" collapsed="false">
      <c r="A317" s="59" t="s">
        <v>409</v>
      </c>
      <c r="B317" s="19"/>
      <c r="C317" s="19"/>
      <c r="D317" s="19"/>
      <c r="E317" s="19"/>
      <c r="F317" s="118"/>
      <c r="G317" s="19"/>
      <c r="H317" s="19"/>
    </row>
    <row r="318" customFormat="false" ht="12.75" hidden="false" customHeight="true" outlineLevel="0" collapsed="false">
      <c r="A318" s="167"/>
      <c r="B318" s="19"/>
      <c r="C318" s="19"/>
      <c r="D318" s="19"/>
      <c r="E318" s="19"/>
      <c r="F318" s="118"/>
      <c r="G318" s="19"/>
      <c r="H318" s="19"/>
      <c r="T318" s="19"/>
      <c r="U318" s="19"/>
      <c r="V318" s="19"/>
      <c r="W318" s="19"/>
      <c r="X318" s="19"/>
      <c r="Y318" s="19"/>
      <c r="Z318" s="19"/>
      <c r="AA318" s="201"/>
      <c r="AB318" s="19"/>
      <c r="AC318" s="19"/>
      <c r="AD318" s="19"/>
      <c r="AE318" s="19"/>
      <c r="AF318" s="201"/>
      <c r="AG318" s="201"/>
      <c r="AH318" s="19"/>
      <c r="AI318" s="19"/>
      <c r="AJ318" s="19"/>
      <c r="AK318" s="19"/>
      <c r="AL318" s="19"/>
      <c r="AM318" s="19"/>
      <c r="AN318" s="19"/>
      <c r="AO318" s="19"/>
    </row>
    <row r="319" customFormat="false" ht="12.75" hidden="false" customHeight="true" outlineLevel="0" collapsed="false">
      <c r="A319" s="73" t="s">
        <v>400</v>
      </c>
      <c r="B319" s="19"/>
      <c r="C319" s="19"/>
      <c r="D319" s="19"/>
      <c r="E319" s="19"/>
      <c r="F319" s="109" t="n">
        <f aca="false">+F294</f>
        <v>41697</v>
      </c>
      <c r="G319" s="109" t="n">
        <f aca="false">+G294</f>
        <v>30230</v>
      </c>
      <c r="H319" s="109" t="n">
        <f aca="false">+H294</f>
        <v>29178</v>
      </c>
      <c r="I319" s="109" t="n">
        <f aca="false">+I294</f>
        <v>37375</v>
      </c>
      <c r="J319" s="109" t="n">
        <f aca="false">+J294</f>
        <v>31940</v>
      </c>
      <c r="K319" s="109" t="n">
        <f aca="false">+K294</f>
        <v>29389</v>
      </c>
      <c r="L319" s="109" t="n">
        <f aca="false">+L294</f>
        <v>35808</v>
      </c>
      <c r="M319" s="109" t="n">
        <f aca="false">+M294</f>
        <v>47989</v>
      </c>
      <c r="N319" s="109" t="n">
        <f aca="false">+N294</f>
        <v>54321</v>
      </c>
      <c r="O319" s="109" t="n">
        <f aca="false">+O294</f>
        <v>60858</v>
      </c>
      <c r="P319" s="109" t="n">
        <f aca="false">+P294</f>
        <v>82791</v>
      </c>
      <c r="Q319" s="109" t="n">
        <f aca="false">+Q294</f>
        <v>82486</v>
      </c>
      <c r="R319" s="109" t="n">
        <f aca="false">+R294</f>
        <v>53079</v>
      </c>
      <c r="S319" s="109" t="n">
        <f aca="false">+S294</f>
        <v>62805</v>
      </c>
      <c r="T319" s="109" t="n">
        <f aca="false">+T294</f>
        <v>93235</v>
      </c>
      <c r="U319" s="109" t="n">
        <f aca="false">+U294</f>
        <v>93282</v>
      </c>
      <c r="V319" s="109" t="n">
        <f aca="false">+V294</f>
        <v>78913</v>
      </c>
      <c r="W319" s="109" t="n">
        <f aca="false">+W294</f>
        <v>60347</v>
      </c>
      <c r="X319" s="109" t="n">
        <f aca="false">+X294</f>
        <v>77660</v>
      </c>
      <c r="Y319" s="109" t="n">
        <f aca="false">+Y294</f>
        <v>109762</v>
      </c>
      <c r="Z319" s="109" t="n">
        <f aca="false">+Z294</f>
        <v>113296</v>
      </c>
      <c r="AA319" s="109" t="n">
        <f aca="false">+AA294</f>
        <v>131432</v>
      </c>
      <c r="AB319" s="109" t="n">
        <f aca="false">+AB294</f>
        <v>142858</v>
      </c>
      <c r="AC319" s="109" t="n">
        <f aca="false">+AC294</f>
        <v>78607</v>
      </c>
      <c r="AD319" s="109" t="n">
        <f aca="false">+AD294</f>
        <v>51807</v>
      </c>
      <c r="AE319" s="109" t="n">
        <f aca="false">+AE294</f>
        <v>73885</v>
      </c>
      <c r="AF319" s="109" t="n">
        <f aca="false">+AF294</f>
        <v>124109</v>
      </c>
      <c r="AG319" s="109" t="n">
        <f aca="false">+AG294</f>
        <v>124883</v>
      </c>
      <c r="AH319" s="109" t="n">
        <f aca="false">+AH294</f>
        <v>126027</v>
      </c>
      <c r="AI319" s="109" t="n">
        <f aca="false">+AI294</f>
        <v>142658</v>
      </c>
      <c r="AJ319" s="109" t="n">
        <f aca="false">+AJ294</f>
        <v>150629</v>
      </c>
      <c r="AK319" s="109" t="n">
        <f aca="false">+AK294</f>
        <v>160590</v>
      </c>
      <c r="AL319" s="109" t="n">
        <f aca="false">+AL294</f>
        <v>171127</v>
      </c>
      <c r="AM319" s="74"/>
      <c r="AN319" s="74"/>
      <c r="AO319" s="74"/>
    </row>
    <row r="320" customFormat="false" ht="12.75" hidden="false" customHeight="true" outlineLevel="0" collapsed="false">
      <c r="A320" s="59" t="s">
        <v>410</v>
      </c>
      <c r="B320" s="19"/>
      <c r="C320" s="19"/>
      <c r="D320" s="19"/>
      <c r="E320" s="19"/>
      <c r="F320" s="202" t="n">
        <v>498000</v>
      </c>
      <c r="G320" s="203" t="n">
        <f aca="false">+F320*1.0544</f>
        <v>525091.2</v>
      </c>
      <c r="H320" s="203" t="n">
        <f aca="false">+G320*1.11</f>
        <v>582851.232</v>
      </c>
      <c r="I320" s="203" t="n">
        <f aca="false">+H320*1.0522</f>
        <v>613276.0663104</v>
      </c>
      <c r="J320" s="203" t="n">
        <f aca="false">+I320*1.04</f>
        <v>637807.108962816</v>
      </c>
      <c r="K320" s="203" t="n">
        <f aca="false">+J320*1.04</f>
        <v>663319.393321329</v>
      </c>
      <c r="L320" s="203" t="n">
        <f aca="false">+K320*1.04</f>
        <v>689852.169054182</v>
      </c>
      <c r="M320" s="203" t="n">
        <f aca="false">+L320*1.04</f>
        <v>717446.255816349</v>
      </c>
      <c r="Q320" s="74"/>
    </row>
    <row r="321" customFormat="false" ht="12.75" hidden="false" customHeight="true" outlineLevel="0" collapsed="false">
      <c r="A321" s="59" t="s">
        <v>411</v>
      </c>
      <c r="B321" s="19"/>
      <c r="C321" s="19"/>
      <c r="D321" s="19"/>
      <c r="E321" s="19"/>
      <c r="F321" s="203" t="n">
        <f aca="false">(+F319*F320)/1000000</f>
        <v>20765.106</v>
      </c>
      <c r="G321" s="203" t="n">
        <f aca="false">(+G319*G320)/1000000</f>
        <v>15873.506976</v>
      </c>
      <c r="H321" s="203" t="n">
        <f aca="false">(+H319*H320)/1000000</f>
        <v>17006.433247296</v>
      </c>
      <c r="I321" s="203" t="n">
        <f aca="false">(+I319*I320)/1000000</f>
        <v>22921.1929783512</v>
      </c>
      <c r="J321" s="203" t="n">
        <f aca="false">(+J319*J320)/1000000</f>
        <v>20371.5590602723</v>
      </c>
      <c r="K321" s="203" t="n">
        <f aca="false">(+K319*K320)/1000000</f>
        <v>19494.2936503205</v>
      </c>
      <c r="L321" s="203" t="n">
        <f aca="false">(+L319*L320)/1000000</f>
        <v>24702.2264694921</v>
      </c>
      <c r="M321" s="203" t="n">
        <f aca="false">(+M319*M320)/1000000</f>
        <v>34429.5283703708</v>
      </c>
    </row>
    <row r="322" customFormat="false" ht="12.75" hidden="false" customHeight="true" outlineLevel="0" collapsed="false">
      <c r="A322" s="167"/>
      <c r="B322" s="19"/>
      <c r="C322" s="19"/>
      <c r="D322" s="19"/>
      <c r="E322" s="19"/>
      <c r="F322" s="40"/>
    </row>
    <row r="323" customFormat="false" ht="12.75" hidden="false" customHeight="true" outlineLevel="0" collapsed="false">
      <c r="A323" s="59" t="s">
        <v>402</v>
      </c>
      <c r="B323" s="19"/>
      <c r="C323" s="19"/>
      <c r="D323" s="19"/>
      <c r="E323" s="19"/>
      <c r="F323" s="109" t="n">
        <f aca="false">+F296</f>
        <v>1834</v>
      </c>
      <c r="G323" s="109" t="n">
        <f aca="false">+G296</f>
        <v>1308</v>
      </c>
      <c r="H323" s="109" t="n">
        <f aca="false">+H296</f>
        <v>567</v>
      </c>
      <c r="I323" s="109" t="n">
        <f aca="false">+I296</f>
        <v>484</v>
      </c>
      <c r="J323" s="109" t="n">
        <f aca="false">+J296</f>
        <v>535</v>
      </c>
      <c r="K323" s="109" t="n">
        <f aca="false">+K296</f>
        <v>284</v>
      </c>
      <c r="L323" s="109" t="n">
        <f aca="false">+L296</f>
        <v>637</v>
      </c>
      <c r="M323" s="109" t="n">
        <f aca="false">+M296</f>
        <v>665</v>
      </c>
      <c r="N323" s="109" t="n">
        <f aca="false">+N296</f>
        <v>419</v>
      </c>
      <c r="O323" s="109" t="n">
        <f aca="false">+O296</f>
        <v>797</v>
      </c>
      <c r="P323" s="109" t="n">
        <f aca="false">+P296</f>
        <v>300</v>
      </c>
      <c r="Q323" s="109" t="n">
        <f aca="false">+Q296</f>
        <v>823</v>
      </c>
      <c r="R323" s="109" t="n">
        <f aca="false">+R296</f>
        <v>1352</v>
      </c>
      <c r="S323" s="109" t="n">
        <f aca="false">+S296</f>
        <v>1121</v>
      </c>
      <c r="T323" s="109" t="n">
        <f aca="false">+T296</f>
        <v>871</v>
      </c>
      <c r="U323" s="109" t="n">
        <f aca="false">+U296</f>
        <v>8708</v>
      </c>
      <c r="V323" s="109" t="n">
        <f aca="false">+V296</f>
        <v>35698</v>
      </c>
      <c r="W323" s="109" t="n">
        <f aca="false">+W296</f>
        <v>28990</v>
      </c>
      <c r="X323" s="109" t="n">
        <f aca="false">+X296</f>
        <v>27242</v>
      </c>
      <c r="Y323" s="109" t="n">
        <f aca="false">+Y296</f>
        <v>30695</v>
      </c>
      <c r="Z323" s="109" t="n">
        <f aca="false">+Z296</f>
        <v>31770</v>
      </c>
      <c r="AA323" s="109" t="n">
        <f aca="false">+AA296</f>
        <v>43441</v>
      </c>
      <c r="AB323" s="109" t="n">
        <f aca="false">+AB296</f>
        <v>54508</v>
      </c>
      <c r="AC323" s="109" t="n">
        <f aca="false">+AC296</f>
        <v>46646</v>
      </c>
      <c r="AD323" s="109" t="n">
        <f aca="false">+AD296</f>
        <v>48908</v>
      </c>
      <c r="AE323" s="109" t="n">
        <f aca="false">+AE296</f>
        <v>54441</v>
      </c>
      <c r="AF323" s="109" t="n">
        <f aca="false">+AF296</f>
        <v>68096</v>
      </c>
      <c r="AG323" s="109" t="n">
        <f aca="false">+AG296</f>
        <v>69800</v>
      </c>
      <c r="AH323" s="109" t="n">
        <f aca="false">+AH296</f>
        <v>69066</v>
      </c>
      <c r="AI323" s="109" t="n">
        <f aca="false">+AI296</f>
        <v>77779</v>
      </c>
      <c r="AJ323" s="109" t="n">
        <f aca="false">+AJ296</f>
        <v>86766.64</v>
      </c>
      <c r="AK323" s="109" t="n">
        <f aca="false">+AK296</f>
        <v>93601.8912</v>
      </c>
      <c r="AL323" s="109" t="n">
        <f aca="false">+AL296</f>
        <v>99180.884672</v>
      </c>
      <c r="AM323" s="74"/>
      <c r="AN323" s="74"/>
      <c r="AO323" s="74"/>
    </row>
    <row r="324" customFormat="false" ht="12.75" hidden="false" customHeight="true" outlineLevel="0" collapsed="false">
      <c r="A324" s="59" t="s">
        <v>410</v>
      </c>
      <c r="B324" s="19"/>
      <c r="C324" s="19"/>
      <c r="D324" s="19"/>
      <c r="E324" s="19"/>
      <c r="F324" s="202" t="n">
        <v>415000</v>
      </c>
      <c r="G324" s="203" t="n">
        <f aca="false">+F324*1.03</f>
        <v>427450</v>
      </c>
      <c r="H324" s="203" t="n">
        <f aca="false">+G324*1.14</f>
        <v>487293</v>
      </c>
      <c r="I324" s="203" t="n">
        <f aca="false">+H324*1.03</f>
        <v>501911.79</v>
      </c>
      <c r="J324" s="203" t="n">
        <f aca="false">+I324*1.03</f>
        <v>516969.1437</v>
      </c>
      <c r="K324" s="203" t="n">
        <f aca="false">+J324*1.03</f>
        <v>532478.218011</v>
      </c>
      <c r="L324" s="203" t="n">
        <f aca="false">+K324*1.03</f>
        <v>548452.56455133</v>
      </c>
      <c r="M324" s="203" t="n">
        <f aca="false">+L324*1.03</f>
        <v>564906.14148787</v>
      </c>
    </row>
    <row r="325" customFormat="false" ht="12.75" hidden="false" customHeight="true" outlineLevel="0" collapsed="false">
      <c r="A325" s="59" t="s">
        <v>411</v>
      </c>
      <c r="B325" s="19"/>
      <c r="C325" s="19"/>
      <c r="D325" s="19"/>
      <c r="E325" s="19"/>
      <c r="F325" s="203" t="n">
        <f aca="false">(+F323*F324)/1000000</f>
        <v>761.11</v>
      </c>
      <c r="G325" s="203" t="n">
        <f aca="false">(+G323*G324)/1000000</f>
        <v>559.1046</v>
      </c>
      <c r="H325" s="203" t="n">
        <f aca="false">(+H323*H324)/1000000</f>
        <v>276.295131</v>
      </c>
      <c r="I325" s="203" t="n">
        <f aca="false">(+I323*I324)/1000000</f>
        <v>242.92530636</v>
      </c>
      <c r="J325" s="203" t="n">
        <f aca="false">(+J323*J324)/1000000</f>
        <v>276.5784918795</v>
      </c>
      <c r="K325" s="203" t="n">
        <f aca="false">(+K323*K324)/1000000</f>
        <v>151.223813915124</v>
      </c>
      <c r="L325" s="203" t="n">
        <f aca="false">(+L323*L324)/1000000</f>
        <v>349.364283619197</v>
      </c>
      <c r="M325" s="203" t="n">
        <f aca="false">(+M323*M324)/1000000</f>
        <v>375.662584089434</v>
      </c>
    </row>
    <row r="326" customFormat="false" ht="12.75" hidden="false" customHeight="true" outlineLevel="0" collapsed="false">
      <c r="A326" s="167"/>
      <c r="B326" s="19"/>
      <c r="C326" s="19"/>
      <c r="D326" s="19"/>
      <c r="E326" s="19"/>
      <c r="F326" s="40"/>
      <c r="N326" s="46" t="s">
        <v>412</v>
      </c>
      <c r="O326" s="46" t="s">
        <v>413</v>
      </c>
      <c r="P326" s="46" t="s">
        <v>414</v>
      </c>
      <c r="Q326" s="46" t="s">
        <v>415</v>
      </c>
      <c r="R326" s="46" t="s">
        <v>416</v>
      </c>
      <c r="S326" s="46" t="s">
        <v>417</v>
      </c>
      <c r="T326" s="46" t="s">
        <v>418</v>
      </c>
      <c r="U326" s="46" t="s">
        <v>419</v>
      </c>
    </row>
    <row r="327" customFormat="false" ht="12.75" hidden="false" customHeight="true" outlineLevel="0" collapsed="false">
      <c r="A327" s="59" t="s">
        <v>420</v>
      </c>
      <c r="F327" s="117" t="n">
        <f aca="false">+F325+F321</f>
        <v>21526.216</v>
      </c>
      <c r="G327" s="117" t="n">
        <f aca="false">+G325+G321</f>
        <v>16432.611576</v>
      </c>
      <c r="H327" s="117" t="n">
        <f aca="false">+H325+H321</f>
        <v>17282.728378296</v>
      </c>
      <c r="I327" s="117" t="n">
        <f aca="false">+I325+I321</f>
        <v>23164.1182847112</v>
      </c>
      <c r="J327" s="117" t="n">
        <f aca="false">+J325+J321</f>
        <v>20648.1375521518</v>
      </c>
      <c r="K327" s="117" t="n">
        <f aca="false">+K325+K321</f>
        <v>19645.5174642357</v>
      </c>
      <c r="L327" s="117" t="n">
        <f aca="false">+L325+L321</f>
        <v>25051.5907531113</v>
      </c>
      <c r="M327" s="117" t="n">
        <f aca="false">+M325+M321</f>
        <v>34805.1909544602</v>
      </c>
      <c r="N327" s="48" t="n">
        <v>6900</v>
      </c>
      <c r="O327" s="48" t="n">
        <v>4300</v>
      </c>
      <c r="P327" s="48" t="n">
        <v>3200</v>
      </c>
      <c r="Q327" s="48" t="n">
        <v>1500</v>
      </c>
      <c r="R327" s="48" t="n">
        <v>1600</v>
      </c>
      <c r="S327" s="58" t="n">
        <f aca="false">1500</f>
        <v>1500</v>
      </c>
      <c r="T327" s="48" t="n">
        <v>3000</v>
      </c>
      <c r="U327" s="48" t="n">
        <v>3000</v>
      </c>
      <c r="W327" s="204" t="n">
        <f aca="false">14951+36876</f>
        <v>51827</v>
      </c>
      <c r="Z327" s="37" t="n">
        <f aca="false">+Z331+Z339</f>
        <v>102315</v>
      </c>
      <c r="AA327" s="37" t="n">
        <f aca="false">+AA331+AA339</f>
        <v>116534</v>
      </c>
      <c r="AB327" s="37" t="n">
        <f aca="false">+AB331+AB339</f>
        <v>131936</v>
      </c>
      <c r="AC327" s="37" t="n">
        <f aca="false">+AC331+AC339</f>
        <v>71421</v>
      </c>
      <c r="AD327" s="37" t="n">
        <f aca="false">+AD331+AD339</f>
        <v>46043</v>
      </c>
      <c r="AE327" s="37" t="n">
        <f aca="false">+AE331+AE339</f>
        <v>65090</v>
      </c>
      <c r="AF327" s="37" t="n">
        <f aca="false">+AF331+AF339</f>
        <v>114299</v>
      </c>
      <c r="AG327" s="37" t="n">
        <f aca="false">+AG331+AG339</f>
        <v>116197</v>
      </c>
      <c r="AH327" s="37" t="n">
        <f aca="false">+AH331+AH339</f>
        <v>114789</v>
      </c>
      <c r="AI327" s="37" t="n">
        <f aca="false">+AI331+AI339</f>
        <v>128033</v>
      </c>
      <c r="AJ327" s="37" t="n">
        <f aca="false">+AJ331+AJ339</f>
        <v>136575</v>
      </c>
      <c r="AK327" s="37" t="n">
        <f aca="false">+AK331+AK339</f>
        <v>145195</v>
      </c>
      <c r="AL327" s="37" t="n">
        <f aca="false">+AL331+AL339</f>
        <v>154366</v>
      </c>
    </row>
    <row r="328" customFormat="false" ht="12.75" hidden="false" customHeight="true" outlineLevel="0" collapsed="false">
      <c r="A328" s="167"/>
      <c r="F328" s="40"/>
      <c r="G328" s="117" t="n">
        <f aca="false">+G327/F327*100-100</f>
        <v>-23.6623307319782</v>
      </c>
      <c r="H328" s="117" t="n">
        <f aca="false">+H327/G327*100-100</f>
        <v>5.17335177287097</v>
      </c>
      <c r="I328" s="117" t="n">
        <f aca="false">+I327/H327*100-100</f>
        <v>34.0304480732404</v>
      </c>
      <c r="J328" s="117" t="n">
        <f aca="false">+J327/I327*100-100</f>
        <v>-10.8615432784245</v>
      </c>
      <c r="K328" s="117" t="n">
        <f aca="false">+K327/J327*100-100</f>
        <v>-4.85574103419174</v>
      </c>
      <c r="L328" s="117" t="n">
        <f aca="false">+L327/K327*100-100</f>
        <v>27.5181007510612</v>
      </c>
      <c r="M328" s="117" t="n">
        <f aca="false">+M327/L327*100-100</f>
        <v>38.9340553159783</v>
      </c>
      <c r="N328" s="62" t="n">
        <f aca="false">N327*3</f>
        <v>20700</v>
      </c>
      <c r="O328" s="62" t="n">
        <f aca="false">O327*3</f>
        <v>12900</v>
      </c>
      <c r="P328" s="62" t="n">
        <f aca="false">P327*3</f>
        <v>9600</v>
      </c>
      <c r="Q328" s="62" t="n">
        <f aca="false">Q327*3</f>
        <v>4500</v>
      </c>
      <c r="R328" s="62" t="n">
        <f aca="false">R327*3</f>
        <v>4800</v>
      </c>
      <c r="S328" s="62" t="n">
        <f aca="false">S327*3</f>
        <v>4500</v>
      </c>
      <c r="T328" s="62" t="n">
        <f aca="false">T327*3</f>
        <v>9000</v>
      </c>
      <c r="U328" s="62" t="n">
        <f aca="false">U327*3</f>
        <v>9000</v>
      </c>
      <c r="V328" s="41"/>
      <c r="W328" s="205" t="n">
        <f aca="false">14951+36867</f>
        <v>51818</v>
      </c>
      <c r="X328" s="41"/>
      <c r="Y328" s="41"/>
      <c r="Z328" s="41"/>
      <c r="AA328" s="87" t="n">
        <f aca="false">+AA327/Z327-1</f>
        <v>0.138972780139764</v>
      </c>
      <c r="AB328" s="87" t="n">
        <f aca="false">+AB327/AA327-1</f>
        <v>0.132167436113066</v>
      </c>
      <c r="AC328" s="87" t="n">
        <f aca="false">+AC327/AB327-1</f>
        <v>-0.45866935483871</v>
      </c>
      <c r="AD328" s="87" t="n">
        <f aca="false">+AD327/AC327-1</f>
        <v>-0.355329664944484</v>
      </c>
      <c r="AE328" s="87" t="n">
        <f aca="false">+AE327/AD327-1</f>
        <v>0.413678517907174</v>
      </c>
      <c r="AF328" s="87" t="n">
        <f aca="false">+AF327/AE327-1</f>
        <v>0.756014748809341</v>
      </c>
      <c r="AG328" s="87" t="n">
        <f aca="false">+AG327/AF327-1</f>
        <v>0.0166055696025338</v>
      </c>
      <c r="AH328" s="87" t="n">
        <f aca="false">+AH327/AG327-1</f>
        <v>-0.0121173524273432</v>
      </c>
      <c r="AI328" s="87" t="n">
        <f aca="false">+AI327/AH327-1</f>
        <v>0.115376908937268</v>
      </c>
      <c r="AJ328" s="87" t="n">
        <f aca="false">+AJ327/AI327-1</f>
        <v>0.0667171744784547</v>
      </c>
      <c r="AK328" s="87" t="n">
        <f aca="false">+AK327/AJ327-1</f>
        <v>0.0631155043016658</v>
      </c>
      <c r="AL328" s="87" t="n">
        <f aca="false">+AL327/AK327-1</f>
        <v>0.0631633320706635</v>
      </c>
      <c r="AM328" s="41"/>
      <c r="AN328" s="41"/>
      <c r="AO328" s="41"/>
    </row>
    <row r="329" customFormat="false" ht="12.75" hidden="false" customHeight="true" outlineLevel="0" collapsed="false">
      <c r="A329" s="167"/>
      <c r="H329" s="40"/>
      <c r="I329" s="40"/>
      <c r="J329" s="40"/>
      <c r="T329" s="41"/>
      <c r="U329" s="57"/>
      <c r="V329" s="79" t="n">
        <f aca="false">+V339/V10</f>
        <v>0.453673731142735</v>
      </c>
      <c r="W329" s="57"/>
      <c r="X329" s="79" t="n">
        <f aca="false">+X339/X10</f>
        <v>0.508007473642066</v>
      </c>
      <c r="Y329" s="79" t="n">
        <f aca="false">+Y339/Y10</f>
        <v>0.564065870693522</v>
      </c>
      <c r="Z329" s="79" t="n">
        <f aca="false">+Z339/Z10</f>
        <v>0.583106999572608</v>
      </c>
      <c r="AA329" s="79" t="n">
        <f aca="false">+AA339/AA10</f>
        <v>0.588003865662509</v>
      </c>
      <c r="AB329" s="79" t="n">
        <f aca="false">+AB339/AB10</f>
        <v>0.585779718897885</v>
      </c>
      <c r="AC329" s="79" t="n">
        <f aca="false">+AC339/AC10</f>
        <v>0.425267259067647</v>
      </c>
      <c r="AD329" s="79" t="n">
        <f aca="false">+AD339/AD10</f>
        <v>0.430124609045326</v>
      </c>
      <c r="AE329" s="79" t="n">
        <f aca="false">+AE339/AE10</f>
        <v>0.477697426865951</v>
      </c>
      <c r="AF329" s="79" t="n">
        <f aca="false">+AF339/AF10</f>
        <v>0.538383496787284</v>
      </c>
      <c r="AG329" s="79" t="n">
        <f aca="false">+AG339/AG10</f>
        <v>0.503952579321256</v>
      </c>
      <c r="AH329" s="79" t="n">
        <f aca="false">+AH339/AH10</f>
        <v>0.479463640417647</v>
      </c>
      <c r="AI329" s="79" t="n">
        <f aca="false">+AI339/AI10</f>
        <v>0.484365147411732</v>
      </c>
      <c r="AJ329" s="79" t="n">
        <f aca="false">+AJ339/AJ10</f>
        <v>0.485746073516767</v>
      </c>
      <c r="AK329" s="79" t="n">
        <f aca="false">+AK339/AK10</f>
        <v>0.480868997917114</v>
      </c>
      <c r="AL329" s="79" t="n">
        <f aca="false">+AL339/AL10</f>
        <v>0.479331189903027</v>
      </c>
      <c r="AM329" s="57"/>
      <c r="AN329" s="57"/>
      <c r="AO329" s="57"/>
    </row>
    <row r="330" customFormat="false" ht="12.75" hidden="false" customHeight="true" outlineLevel="0" collapsed="false">
      <c r="A330" s="59" t="s">
        <v>421</v>
      </c>
      <c r="H330" s="40"/>
      <c r="I330" s="40"/>
      <c r="J330" s="40"/>
      <c r="L330" s="37" t="n">
        <f aca="false">L339+L343</f>
        <v>24839</v>
      </c>
      <c r="M330" s="37" t="n">
        <f aca="false">M339+M343</f>
        <v>35386</v>
      </c>
      <c r="N330" s="37" t="n">
        <f aca="false">N339+N343</f>
        <v>41800</v>
      </c>
      <c r="O330" s="37" t="n">
        <f aca="false">O339+O343</f>
        <v>45193</v>
      </c>
      <c r="P330" s="31"/>
      <c r="Q330" s="39" t="s">
        <v>180</v>
      </c>
      <c r="R330" s="39" t="s">
        <v>181</v>
      </c>
      <c r="S330" s="39" t="s">
        <v>182</v>
      </c>
      <c r="T330" s="39" t="s">
        <v>183</v>
      </c>
      <c r="U330" s="39" t="s">
        <v>184</v>
      </c>
      <c r="V330" s="39" t="str">
        <f aca="false">+V307</f>
        <v>FY2013</v>
      </c>
      <c r="W330" s="39" t="str">
        <f aca="false">+W307</f>
        <v>FY2014</v>
      </c>
      <c r="X330" s="39" t="str">
        <f aca="false">+X307</f>
        <v>FY2015</v>
      </c>
      <c r="Y330" s="39" t="str">
        <f aca="false">+Y307</f>
        <v>FY2016</v>
      </c>
      <c r="Z330" s="39" t="str">
        <f aca="false">+Z307</f>
        <v>FY2017</v>
      </c>
      <c r="AA330" s="39" t="str">
        <f aca="false">+AA307</f>
        <v>FY2018</v>
      </c>
      <c r="AB330" s="39" t="str">
        <f aca="false">+AB307</f>
        <v>FY2019</v>
      </c>
      <c r="AC330" s="39" t="str">
        <f aca="false">+AC307</f>
        <v>FY2020</v>
      </c>
      <c r="AD330" s="39" t="str">
        <f aca="false">+AD307</f>
        <v>FY2021</v>
      </c>
      <c r="AE330" s="39" t="str">
        <f aca="false">+AE307</f>
        <v>FY2022</v>
      </c>
      <c r="AF330" s="39" t="str">
        <f aca="false">+AF307</f>
        <v>FY2023</v>
      </c>
      <c r="AG330" s="39" t="str">
        <f aca="false">+AG307</f>
        <v>FY2024</v>
      </c>
      <c r="AH330" s="39" t="str">
        <f aca="false">+AH307</f>
        <v>FY2025</v>
      </c>
      <c r="AI330" s="39" t="str">
        <f aca="false">+AI307</f>
        <v>FY2026</v>
      </c>
      <c r="AJ330" s="39" t="str">
        <f aca="false">+AJ307</f>
        <v>FY2027E</v>
      </c>
      <c r="AK330" s="39" t="str">
        <f aca="false">+AK307</f>
        <v>FY2028E</v>
      </c>
      <c r="AL330" s="39" t="str">
        <f aca="false">+AL307</f>
        <v>FY2029E</v>
      </c>
      <c r="AM330" s="206"/>
      <c r="AN330" s="207"/>
      <c r="AO330" s="19"/>
    </row>
    <row r="331" customFormat="false" ht="12.75" hidden="false" customHeight="true" outlineLevel="0" collapsed="false">
      <c r="A331" s="59" t="s">
        <v>422</v>
      </c>
      <c r="B331" s="19"/>
      <c r="C331" s="19"/>
      <c r="D331" s="19"/>
      <c r="E331" s="19"/>
      <c r="F331" s="19"/>
      <c r="G331" s="19"/>
      <c r="H331" s="208" t="n">
        <v>10016</v>
      </c>
      <c r="I331" s="208" t="n">
        <v>11062</v>
      </c>
      <c r="J331" s="208" t="n">
        <v>12486</v>
      </c>
      <c r="K331" s="208" t="n">
        <v>8422</v>
      </c>
      <c r="L331" s="208" t="n">
        <v>9743</v>
      </c>
      <c r="M331" s="208" t="n">
        <v>11025</v>
      </c>
      <c r="N331" s="42" t="n">
        <v>10469</v>
      </c>
      <c r="O331" s="42" t="n">
        <v>13410</v>
      </c>
      <c r="P331" s="208" t="n">
        <v>11717</v>
      </c>
      <c r="Q331" s="208" t="n">
        <v>17573</v>
      </c>
      <c r="R331" s="208" t="n">
        <v>16038</v>
      </c>
      <c r="S331" s="208" t="n">
        <v>16405</v>
      </c>
      <c r="T331" s="208" t="n">
        <v>20425</v>
      </c>
      <c r="U331" s="208" t="n">
        <v>20635</v>
      </c>
      <c r="V331" s="209" t="n">
        <f aca="false">18642+40</f>
        <v>18682</v>
      </c>
      <c r="W331" s="209" t="n">
        <f aca="false">14951+15</f>
        <v>14966</v>
      </c>
      <c r="X331" s="208" t="n">
        <v>13151</v>
      </c>
      <c r="Y331" s="209" t="n">
        <f aca="false">19586+3</f>
        <v>19589</v>
      </c>
      <c r="Z331" s="209" t="n">
        <f aca="false">17725+1</f>
        <v>17726</v>
      </c>
      <c r="AA331" s="208" t="n">
        <v>13708</v>
      </c>
      <c r="AB331" s="208" t="n">
        <v>16323</v>
      </c>
      <c r="AC331" s="209" t="n">
        <f aca="false">18141+14</f>
        <v>18155</v>
      </c>
      <c r="AD331" s="208" t="n">
        <v>2723</v>
      </c>
      <c r="AE331" s="208" t="n">
        <v>3789</v>
      </c>
      <c r="AF331" s="208" t="n">
        <v>10819</v>
      </c>
      <c r="AG331" s="208" t="n">
        <v>18086</v>
      </c>
      <c r="AH331" s="209" t="n">
        <f aca="false">21253-4</f>
        <v>21249</v>
      </c>
      <c r="AI331" s="208" t="n">
        <v>21261</v>
      </c>
      <c r="AJ331" s="67" t="n">
        <f aca="false">ROUND(AI331*(1+AJ334/100),0)</f>
        <v>21261</v>
      </c>
      <c r="AK331" s="67" t="n">
        <f aca="false">ROUND(AJ331*(1+AK334/100),0)</f>
        <v>22962</v>
      </c>
      <c r="AL331" s="67" t="n">
        <f aca="false">ROUND(AK331*(1+AL334/100),0)</f>
        <v>24799</v>
      </c>
      <c r="AM331" s="210"/>
      <c r="AN331" s="210"/>
      <c r="AO331" s="145"/>
      <c r="AP331" s="19"/>
      <c r="AQ331" s="19"/>
    </row>
    <row r="332" customFormat="false" ht="12" hidden="false" customHeight="true" outlineLevel="0" collapsed="false">
      <c r="A332" s="69" t="s">
        <v>423</v>
      </c>
      <c r="H332" s="62" t="n">
        <f aca="false">H331/(H331+H335+H339+H343)*100</f>
        <v>38.1010346926354</v>
      </c>
      <c r="I332" s="62" t="n">
        <f aca="false">I331/(I331+I335+I339+I343)*100</f>
        <v>29.5973244147157</v>
      </c>
      <c r="J332" s="62" t="n">
        <f aca="false">J331/(J331+J335+J339+J343)*100</f>
        <v>39.0920475892298</v>
      </c>
      <c r="K332" s="62" t="n">
        <f aca="false">K331/(K331+K335+K339+K343)*100</f>
        <v>28.6569805029093</v>
      </c>
      <c r="L332" s="62" t="n">
        <f aca="false">L331/(L331+L335+L339+L343)*100</f>
        <v>27.2090035746202</v>
      </c>
      <c r="M332" s="62" t="n">
        <f aca="false">M331/(M331+M335+M339+M343)*100</f>
        <v>22.9740148784096</v>
      </c>
      <c r="N332" s="62" t="n">
        <f aca="false">N331/(N331+N335+N339+N343)*100</f>
        <v>19.2724728926198</v>
      </c>
      <c r="O332" s="62" t="n">
        <f aca="false">O331/(O331+O335+O339+O343)*100</f>
        <v>22.0349009168885</v>
      </c>
      <c r="P332" s="62" t="n">
        <f aca="false">P331/(P331+P335+P339+P343)*100</f>
        <v>14.1525044992813</v>
      </c>
      <c r="Q332" s="62" t="n">
        <f aca="false">Q331/(Q331+Q335+Q339+Q343)*100</f>
        <v>21.3042213224062</v>
      </c>
      <c r="R332" s="62" t="n">
        <f aca="false">R331/(R331+R335+R339+R343)*100</f>
        <v>30.2153393997626</v>
      </c>
      <c r="S332" s="62" t="n">
        <f aca="false">S331/(S331+S335+S339+S343)*100</f>
        <v>26.1205318047926</v>
      </c>
      <c r="T332" s="62" t="n">
        <f aca="false">T331/(T331+T335+T339+T343)*100</f>
        <v>21.9070091703759</v>
      </c>
      <c r="U332" s="62" t="n">
        <f aca="false">U331/(U331+U335+U339+U343)*100</f>
        <v>22.1210951737741</v>
      </c>
      <c r="V332" s="62" t="n">
        <f aca="false">V331/(V331+V335+V339+V343)*100</f>
        <v>23.6741728232357</v>
      </c>
      <c r="W332" s="62" t="n">
        <f aca="false">W331/(W331+W335+W339+W343)*100</f>
        <v>24.7999072033407</v>
      </c>
      <c r="X332" s="62" t="n">
        <f aca="false">X331/(X331+X335+X339+X343)*100</f>
        <v>16.9340715941283</v>
      </c>
      <c r="Y332" s="62" t="n">
        <f aca="false">Y331/(Y331+Y335+Y339+Y343)*100</f>
        <v>17.8467957945373</v>
      </c>
      <c r="Z332" s="62" t="n">
        <f aca="false">Z331/(Z331+Z335+Z339+Z343)*100</f>
        <v>15.6457421268182</v>
      </c>
      <c r="AA332" s="62" t="n">
        <f aca="false">AA331/(AA331+AA335+AA339+AA343)*100</f>
        <v>10.4297279201412</v>
      </c>
      <c r="AB332" s="62" t="n">
        <f aca="false">AB331/(AB331+AB335+AB339+AB343)*100</f>
        <v>11.4260314438113</v>
      </c>
      <c r="AC332" s="62" t="n">
        <f aca="false">AC331/(AC331+AC335+AC339+AC343)*100</f>
        <v>23.0959074891549</v>
      </c>
      <c r="AD332" s="62" t="n">
        <f aca="false">AD331/(AD331+AD335+AD339+AD343)*100</f>
        <v>5.25604648020538</v>
      </c>
      <c r="AE332" s="62" t="n">
        <f aca="false">AE331/(AE331+AE335+AE339+AE343)*100</f>
        <v>5.12823983217162</v>
      </c>
      <c r="AF332" s="62" t="n">
        <f aca="false">AF331/(AF331+AF335+AF339+AF343)*100</f>
        <v>8.71733717941487</v>
      </c>
      <c r="AG332" s="62" t="n">
        <f aca="false">AG331/(AG331+AG335+AG339+AG343)*100</f>
        <v>14.4823554847337</v>
      </c>
      <c r="AH332" s="62" t="n">
        <f aca="false">AH331/(AH331+AH335+AH339+AH343)*100</f>
        <v>16.8606727129901</v>
      </c>
      <c r="AI332" s="62" t="n">
        <f aca="false">AI331/(AI331+AI335+AI339+AI343)*100</f>
        <v>14.90347544477</v>
      </c>
      <c r="AJ332" s="62" t="n">
        <f aca="false">AJ331/(AJ331+AJ335+AJ339+AJ343)*100</f>
        <v>14.1148118888129</v>
      </c>
      <c r="AK332" s="62" t="n">
        <f aca="false">AK331/(AK331+AK335+AK339+AK343)*100</f>
        <v>14.2985241920418</v>
      </c>
      <c r="AL332" s="62" t="n">
        <f aca="false">AL331/(AL331+AL335+AL339+AL343)*100</f>
        <v>14.4915764315392</v>
      </c>
      <c r="AM332" s="211"/>
      <c r="AN332" s="211"/>
    </row>
    <row r="333" customFormat="false" ht="12" hidden="false" customHeight="true" outlineLevel="0" collapsed="false">
      <c r="A333" s="149" t="s">
        <v>424</v>
      </c>
      <c r="H333" s="62" t="n">
        <f aca="false">H331/H369*100</f>
        <v>37.2952040512362</v>
      </c>
      <c r="I333" s="62" t="n">
        <f aca="false">I331/I369*100</f>
        <v>29.2189439763332</v>
      </c>
      <c r="J333" s="62" t="n">
        <f aca="false">J331/J369*100</f>
        <v>38.4480369515012</v>
      </c>
      <c r="K333" s="62" t="n">
        <f aca="false">K331/K369*100</f>
        <v>28.3827048158258</v>
      </c>
      <c r="L333" s="62" t="n">
        <f aca="false">L331/L369*100</f>
        <v>26.7334339415558</v>
      </c>
      <c r="M333" s="62" t="n">
        <f aca="false">M331/M369*100</f>
        <v>22.6600073991861</v>
      </c>
      <c r="N333" s="62" t="n">
        <f aca="false">N331/N369*100</f>
        <v>19.1249543295579</v>
      </c>
      <c r="O333" s="62" t="n">
        <f aca="false">O331/O369*100</f>
        <v>21.7500608223177</v>
      </c>
      <c r="P333" s="62" t="n">
        <f aca="false">P331/P369*100</f>
        <v>14.1014068912397</v>
      </c>
      <c r="Q333" s="62" t="n">
        <f aca="false">Q331/Q369*100</f>
        <v>21.0937593777383</v>
      </c>
      <c r="R333" s="62" t="n">
        <f aca="false">R331/R369*100</f>
        <v>29.4648270287153</v>
      </c>
      <c r="S333" s="62" t="n">
        <f aca="false">S331/S369*100</f>
        <v>25.6624847479899</v>
      </c>
      <c r="T333" s="62" t="n">
        <f aca="false">T331/T369*100</f>
        <v>21.7042484007396</v>
      </c>
      <c r="U333" s="62" t="n">
        <f aca="false">U331/U369*100</f>
        <v>20.2323757231101</v>
      </c>
      <c r="V333" s="62" t="n">
        <f aca="false">V331/V369*100</f>
        <v>16.3003551142561</v>
      </c>
      <c r="W333" s="62" t="n">
        <f aca="false">W331/W369*100</f>
        <v>16.7522974803273</v>
      </c>
      <c r="X333" s="62" t="n">
        <f aca="false">X331/X369*100</f>
        <v>12.5364626031916</v>
      </c>
      <c r="Y333" s="62" t="n">
        <f aca="false">Y331/Y369*100</f>
        <v>13.9466171141346</v>
      </c>
      <c r="Z333" s="62" t="n">
        <f aca="false">Z331/Z369*100</f>
        <v>12.2192657135373</v>
      </c>
      <c r="AA333" s="62" t="n">
        <f aca="false">AA331/AA369*100</f>
        <v>7.83883160922498</v>
      </c>
      <c r="AB333" s="62" t="n">
        <f aca="false">AB331/AB369*100</f>
        <v>8.27042145050313</v>
      </c>
      <c r="AC333" s="62" t="n">
        <f aca="false">AC331/AC369*100</f>
        <v>14.4946628024878</v>
      </c>
      <c r="AD333" s="62" t="n">
        <f aca="false">AD331/AD369*100</f>
        <v>2.70366876830661</v>
      </c>
      <c r="AE333" s="62" t="n">
        <f aca="false">AE331/AE369*100</f>
        <v>2.95263625453922</v>
      </c>
      <c r="AF333" s="62" t="n">
        <f aca="false">AF331/AF369*100</f>
        <v>5.62888582503057</v>
      </c>
      <c r="AG333" s="62" t="n">
        <f aca="false">AG331/AG369*100</f>
        <v>9.28997395766451</v>
      </c>
      <c r="AH333" s="62" t="n">
        <f aca="false">AH331/AH369*100</f>
        <v>10.8917285602251</v>
      </c>
      <c r="AI333" s="62" t="n">
        <f aca="false">AI331/AI369*100</f>
        <v>9.64493256576709</v>
      </c>
      <c r="AJ333" s="62" t="n">
        <f aca="false">AJ331/AJ369*100</f>
        <v>8.955935332258</v>
      </c>
      <c r="AK333" s="62" t="n">
        <f aca="false">AK331/AK369*100</f>
        <v>9.03333300350377</v>
      </c>
      <c r="AL333" s="62" t="n">
        <f aca="false">AL331/AL369*100</f>
        <v>9.17435317511803</v>
      </c>
      <c r="AM333" s="211"/>
      <c r="AN333" s="211"/>
    </row>
    <row r="334" customFormat="false" ht="12" hidden="false" customHeight="true" outlineLevel="0" collapsed="false">
      <c r="A334" s="149" t="s">
        <v>425</v>
      </c>
      <c r="H334" s="41"/>
      <c r="I334" s="62" t="n">
        <f aca="false">I331/H331*100-100</f>
        <v>10.4432907348243</v>
      </c>
      <c r="J334" s="62" t="n">
        <f aca="false">J331/I331*100-100</f>
        <v>12.8728982100886</v>
      </c>
      <c r="K334" s="62" t="n">
        <f aca="false">K331/J331*100-100</f>
        <v>-32.548454268781</v>
      </c>
      <c r="L334" s="62" t="n">
        <f aca="false">L331/K331*100-100</f>
        <v>15.6851104250772</v>
      </c>
      <c r="M334" s="62" t="n">
        <f aca="false">M331/L331*100-100</f>
        <v>13.1581648362927</v>
      </c>
      <c r="N334" s="62" t="n">
        <f aca="false">N331/M331*100-100</f>
        <v>-5.04308390022675</v>
      </c>
      <c r="O334" s="62" t="n">
        <f aca="false">O331/N331*100-100</f>
        <v>28.0924634635591</v>
      </c>
      <c r="P334" s="62" t="n">
        <f aca="false">P331/O331*100-100</f>
        <v>-12.6249067859806</v>
      </c>
      <c r="Q334" s="62" t="n">
        <f aca="false">Q331/P331*100-100</f>
        <v>49.9786634804131</v>
      </c>
      <c r="R334" s="62" t="n">
        <f aca="false">R331/Q331*100-100</f>
        <v>-8.73499117965059</v>
      </c>
      <c r="S334" s="62" t="n">
        <f aca="false">S331/R331*100-100</f>
        <v>2.28831525127822</v>
      </c>
      <c r="T334" s="62" t="n">
        <f aca="false">T331/S331*100-100</f>
        <v>24.5047241694605</v>
      </c>
      <c r="U334" s="62" t="n">
        <f aca="false">U331/T331*100-100</f>
        <v>1.02815177478581</v>
      </c>
      <c r="V334" s="62" t="n">
        <f aca="false">V331/U331*100-100</f>
        <v>-9.46450205960745</v>
      </c>
      <c r="W334" s="62" t="n">
        <f aca="false">W331/V331*100-100</f>
        <v>-19.890803982443</v>
      </c>
      <c r="X334" s="62" t="n">
        <f aca="false">X331/W331*100-100</f>
        <v>-12.12748897501</v>
      </c>
      <c r="Y334" s="62" t="n">
        <f aca="false">Y331/X331*100-100</f>
        <v>48.9544521329177</v>
      </c>
      <c r="Z334" s="62" t="n">
        <f aca="false">Z331/Y331*100-100</f>
        <v>-9.51043953239062</v>
      </c>
      <c r="AA334" s="62" t="n">
        <f aca="false">AA331/Z331*100-100</f>
        <v>-22.6672684192711</v>
      </c>
      <c r="AB334" s="62" t="n">
        <f aca="false">AB331/AA331*100-100</f>
        <v>19.0764517070324</v>
      </c>
      <c r="AC334" s="62" t="n">
        <f aca="false">AC331/AB331*100-100</f>
        <v>11.223427066103</v>
      </c>
      <c r="AD334" s="62" t="n">
        <f aca="false">AD331/AC331*100-100</f>
        <v>-85.0013770311209</v>
      </c>
      <c r="AE334" s="62" t="n">
        <f aca="false">AE331/AD331*100-100</f>
        <v>39.147998531032</v>
      </c>
      <c r="AF334" s="62" t="n">
        <f aca="false">AF331/AE331*100-100</f>
        <v>185.537081024017</v>
      </c>
      <c r="AG334" s="62" t="n">
        <f aca="false">AG331/AF331*100-100</f>
        <v>67.1688695812922</v>
      </c>
      <c r="AH334" s="62" t="n">
        <f aca="false">AH331/AG331*100-100</f>
        <v>17.4886652659516</v>
      </c>
      <c r="AI334" s="62" t="n">
        <f aca="false">AI331/AH331*100-100</f>
        <v>0.0564732457998076</v>
      </c>
      <c r="AJ334" s="48" t="n">
        <v>0</v>
      </c>
      <c r="AK334" s="48" t="n">
        <v>8</v>
      </c>
      <c r="AL334" s="48" t="n">
        <v>8</v>
      </c>
      <c r="AM334" s="207"/>
      <c r="AN334" s="207"/>
    </row>
    <row r="335" customFormat="false" ht="12.75" hidden="false" customHeight="true" outlineLevel="0" collapsed="false">
      <c r="A335" s="59" t="s">
        <v>426</v>
      </c>
      <c r="B335" s="19"/>
      <c r="C335" s="19"/>
      <c r="D335" s="19"/>
      <c r="E335" s="19"/>
      <c r="F335" s="19"/>
      <c r="G335" s="19"/>
      <c r="H335" s="208" t="n">
        <v>748</v>
      </c>
      <c r="I335" s="208" t="n">
        <v>1131</v>
      </c>
      <c r="J335" s="208" t="n">
        <v>1027</v>
      </c>
      <c r="K335" s="208" t="n">
        <v>853</v>
      </c>
      <c r="L335" s="208" t="n">
        <v>1226</v>
      </c>
      <c r="M335" s="208" t="n">
        <v>1578</v>
      </c>
      <c r="N335" s="42" t="n">
        <v>2052</v>
      </c>
      <c r="O335" s="42" t="n">
        <v>2255</v>
      </c>
      <c r="P335" s="212" t="n">
        <v>3778</v>
      </c>
      <c r="Q335" s="212" t="n">
        <v>4689</v>
      </c>
      <c r="R335" s="212" t="n">
        <v>3696</v>
      </c>
      <c r="S335" s="212" t="n">
        <v>2080</v>
      </c>
      <c r="T335" s="212" t="n">
        <v>4801</v>
      </c>
      <c r="U335" s="212" t="n">
        <v>5207</v>
      </c>
      <c r="V335" s="213" t="n">
        <f aca="false">4830-40</f>
        <v>4790</v>
      </c>
      <c r="W335" s="212" t="n">
        <v>4377</v>
      </c>
      <c r="X335" s="212" t="n">
        <v>7571</v>
      </c>
      <c r="Y335" s="212" t="n">
        <v>6135</v>
      </c>
      <c r="Z335" s="213" t="n">
        <f aca="false">4877+1</f>
        <v>4878</v>
      </c>
      <c r="AA335" s="212" t="n">
        <v>6512</v>
      </c>
      <c r="AB335" s="212" t="n">
        <v>3548</v>
      </c>
      <c r="AC335" s="212" t="n">
        <v>4952</v>
      </c>
      <c r="AD335" s="212" t="n">
        <v>2832</v>
      </c>
      <c r="AE335" s="212" t="n">
        <v>4010</v>
      </c>
      <c r="AF335" s="213" t="n">
        <f aca="false">18332-10819</f>
        <v>7513</v>
      </c>
      <c r="AG335" s="213" t="n">
        <f aca="false">24663-18086</f>
        <v>6577</v>
      </c>
      <c r="AH335" s="213" t="n">
        <f aca="false">29169-21253</f>
        <v>7916</v>
      </c>
      <c r="AI335" s="212" t="n">
        <v>11420</v>
      </c>
      <c r="AJ335" s="43" t="n">
        <f aca="false">ROUND(AI335*(1+AJ338/100),0)</f>
        <v>10849</v>
      </c>
      <c r="AK335" s="43" t="n">
        <f aca="false">ROUND(AJ335*(1+AK338/100),0)</f>
        <v>11934</v>
      </c>
      <c r="AL335" s="43" t="n">
        <f aca="false">ROUND(AK335*(1+AL338/100),0)</f>
        <v>13127</v>
      </c>
      <c r="AM335" s="210"/>
      <c r="AN335" s="210"/>
      <c r="AO335" s="145"/>
      <c r="AP335" s="145"/>
      <c r="AQ335" s="19"/>
    </row>
    <row r="336" customFormat="false" ht="12" hidden="false" customHeight="true" outlineLevel="0" collapsed="false">
      <c r="A336" s="69" t="s">
        <v>423</v>
      </c>
      <c r="H336" s="62" t="n">
        <f aca="false">H335/(H331+H335+H339+H343)*100</f>
        <v>2.84540474741327</v>
      </c>
      <c r="I336" s="62" t="n">
        <f aca="false">I335/(I331+I335+I339+I343)*100</f>
        <v>3.02608695652174</v>
      </c>
      <c r="J336" s="62" t="n">
        <f aca="false">J335/(J331+J335+J339+J343)*100</f>
        <v>3.21540388227927</v>
      </c>
      <c r="K336" s="62" t="n">
        <f aca="false">K335/(K331+K335+K339+K343)*100</f>
        <v>2.90244649358604</v>
      </c>
      <c r="L336" s="62" t="n">
        <f aca="false">L335/(L331+L335+L339+L343)*100</f>
        <v>3.42381590705987</v>
      </c>
      <c r="M336" s="62" t="n">
        <f aca="false">M335/(M331+M335+M339+M343)*100</f>
        <v>3.28825355810707</v>
      </c>
      <c r="N336" s="62" t="n">
        <f aca="false">N335/(N331+N335+N339+N343)*100</f>
        <v>3.77754459601259</v>
      </c>
      <c r="O336" s="62" t="n">
        <f aca="false">O335/(O331+O335+O339+O343)*100</f>
        <v>3.70534687304874</v>
      </c>
      <c r="P336" s="62" t="n">
        <f aca="false">P335/(P331+P335+P339+P343)*100</f>
        <v>4.56329794301313</v>
      </c>
      <c r="Q336" s="62" t="n">
        <f aca="false">Q335/(Q331+Q335+Q339+Q343)*100</f>
        <v>5.68460102320394</v>
      </c>
      <c r="R336" s="62" t="n">
        <f aca="false">R335/(R331+R335+R339+R343)*100</f>
        <v>6.96320578759962</v>
      </c>
      <c r="S336" s="62" t="n">
        <f aca="false">S335/(S331+S335+S339+S343)*100</f>
        <v>3.31183822944033</v>
      </c>
      <c r="T336" s="62" t="n">
        <f aca="false">T335/(T331+T335+T339+T343)*100</f>
        <v>5.14935378345042</v>
      </c>
      <c r="U336" s="62" t="n">
        <f aca="false">U335/(U331+U335+U339+U343)*100</f>
        <v>5.58199867069746</v>
      </c>
      <c r="V336" s="62" t="n">
        <f aca="false">V335/(V331+V335+V339+V343)*100</f>
        <v>6.06997579612992</v>
      </c>
      <c r="W336" s="62" t="n">
        <f aca="false">W335/(W331+W335+W339+W343)*100</f>
        <v>7.25305317579996</v>
      </c>
      <c r="X336" s="62" t="n">
        <f aca="false">X335/(X331+X335+X339+X343)*100</f>
        <v>9.7489054854494</v>
      </c>
      <c r="Y336" s="62" t="n">
        <f aca="false">Y335/(Y331+Y335+Y339+Y343)*100</f>
        <v>5.58936608297954</v>
      </c>
      <c r="Z336" s="62" t="n">
        <f aca="false">Z335/(Z331+Z335+Z339+Z343)*100</f>
        <v>4.30553594125124</v>
      </c>
      <c r="AA336" s="62" t="n">
        <f aca="false">AA335/(AA331+AA335+AA339+AA343)*100</f>
        <v>4.95465335686895</v>
      </c>
      <c r="AB336" s="62" t="n">
        <f aca="false">AB335/(AB331+AB335+AB339+AB343)*100</f>
        <v>2.48358509848941</v>
      </c>
      <c r="AC336" s="62" t="n">
        <f aca="false">AC335/(AC331+AC335+AC339+AC343)*100</f>
        <v>6.29969341152824</v>
      </c>
      <c r="AD336" s="62" t="n">
        <f aca="false">AD335/(AD331+AD335+AD339+AD343)*100</f>
        <v>5.46644275870056</v>
      </c>
      <c r="AE336" s="62" t="n">
        <f aca="false">AE335/(AE331+AE335+AE339+AE343)*100</f>
        <v>5.42735331934764</v>
      </c>
      <c r="AF336" s="62" t="n">
        <f aca="false">AF335/(AF331+AF335+AF339+AF343)*100</f>
        <v>6.05354970227784</v>
      </c>
      <c r="AG336" s="62" t="n">
        <f aca="false">AG335/(AG331+AG335+AG339+AG343)*100</f>
        <v>5.2665294715854</v>
      </c>
      <c r="AH336" s="62" t="n">
        <f aca="false">AH335/(AH331+AH335+AH339+AH343)*100</f>
        <v>6.28119371245844</v>
      </c>
      <c r="AI336" s="62" t="n">
        <f aca="false">AI335/(AI331+AI335+AI339+AI343)*100</f>
        <v>8.00515919191353</v>
      </c>
      <c r="AJ336" s="62" t="n">
        <f aca="false">AJ335/(AJ331+AJ335+AJ339+AJ343)*100</f>
        <v>7.20246433289738</v>
      </c>
      <c r="AK336" s="62" t="n">
        <f aca="false">AK335/(AK331+AK335+AK339+AK343)*100</f>
        <v>7.43134690827573</v>
      </c>
      <c r="AL336" s="62" t="n">
        <f aca="false">AL335/(AL331+AL335+AL339+AL343)*100</f>
        <v>7.67091107773759</v>
      </c>
      <c r="AM336" s="211"/>
      <c r="AN336" s="211"/>
    </row>
    <row r="337" customFormat="false" ht="12" hidden="false" customHeight="true" outlineLevel="0" collapsed="false">
      <c r="A337" s="149" t="s">
        <v>424</v>
      </c>
      <c r="H337" s="62" t="n">
        <f aca="false">H335/H369*100</f>
        <v>2.78522490318737</v>
      </c>
      <c r="I337" s="62" t="n">
        <f aca="false">I335/I369*100</f>
        <v>2.98740061808289</v>
      </c>
      <c r="J337" s="62" t="n">
        <f aca="false">J335/J369*100</f>
        <v>3.16243264049269</v>
      </c>
      <c r="K337" s="62" t="n">
        <f aca="false">K335/K369*100</f>
        <v>2.8746672058774</v>
      </c>
      <c r="L337" s="62" t="n">
        <f aca="false">L335/L369*100</f>
        <v>3.363973110166</v>
      </c>
      <c r="M337" s="62" t="n">
        <f aca="false">M335/M369*100</f>
        <v>3.24330990257738</v>
      </c>
      <c r="N337" s="62" t="n">
        <f aca="false">N335/N369*100</f>
        <v>3.7486298867373</v>
      </c>
      <c r="O337" s="62" t="n">
        <f aca="false">O335/O369*100</f>
        <v>3.65744870651204</v>
      </c>
      <c r="P337" s="62" t="n">
        <f aca="false">P335/P369*100</f>
        <v>4.5468221588379</v>
      </c>
      <c r="Q337" s="62" t="n">
        <f aca="false">Q335/Q369*100</f>
        <v>5.62844350550361</v>
      </c>
      <c r="R337" s="62" t="n">
        <f aca="false">R335/R369*100</f>
        <v>6.79024820414837</v>
      </c>
      <c r="S337" s="62" t="n">
        <f aca="false">S335/S369*100</f>
        <v>3.25376216250039</v>
      </c>
      <c r="T337" s="62" t="n">
        <f aca="false">T335/T369*100</f>
        <v>5.10169383461203</v>
      </c>
      <c r="U337" s="62" t="n">
        <f aca="false">U335/U369*100</f>
        <v>5.10540249044024</v>
      </c>
      <c r="V337" s="62" t="n">
        <f aca="false">V335/V369*100</f>
        <v>4.1793545122196</v>
      </c>
      <c r="W337" s="62" t="n">
        <f aca="false">W335/W369*100</f>
        <v>4.89942576983781</v>
      </c>
      <c r="X337" s="62" t="n">
        <f aca="false">X335/X369*100</f>
        <v>7.21721225524776</v>
      </c>
      <c r="Y337" s="62" t="n">
        <f aca="false">Y335/Y369*100</f>
        <v>4.36788483308059</v>
      </c>
      <c r="Z337" s="62" t="n">
        <f aca="false">Z335/Z369*100</f>
        <v>3.36260736492355</v>
      </c>
      <c r="AA337" s="62" t="n">
        <f aca="false">AA335/AA369*100</f>
        <v>3.7238453048784</v>
      </c>
      <c r="AB337" s="62" t="n">
        <f aca="false">AB335/AB369*100</f>
        <v>1.79767538481805</v>
      </c>
      <c r="AC337" s="62" t="n">
        <f aca="false">AC335/AC369*100</f>
        <v>3.95359791781434</v>
      </c>
      <c r="AD337" s="62" t="n">
        <f aca="false">AD335/AD369*100</f>
        <v>2.81189495109964</v>
      </c>
      <c r="AE337" s="62" t="n">
        <f aca="false">AE335/AE369*100</f>
        <v>3.12485388775463</v>
      </c>
      <c r="AF337" s="62" t="n">
        <f aca="false">AF335/AF369*100</f>
        <v>3.90884732447127</v>
      </c>
      <c r="AG337" s="62" t="n">
        <f aca="false">AG335/AG369*100</f>
        <v>3.37831243611409</v>
      </c>
      <c r="AH337" s="62" t="n">
        <f aca="false">AH335/AH369*100</f>
        <v>4.05755203928383</v>
      </c>
      <c r="AI337" s="62" t="n">
        <f aca="false">AI335/AI369*100</f>
        <v>5.18061849870938</v>
      </c>
      <c r="AJ337" s="62" t="n">
        <f aca="false">AJ335/AJ369*100</f>
        <v>4.57000810966874</v>
      </c>
      <c r="AK337" s="62" t="n">
        <f aca="false">AK335/AK369*100</f>
        <v>4.69487832348289</v>
      </c>
      <c r="AL337" s="62" t="n">
        <f aca="false">AL335/AL369*100</f>
        <v>4.85631413080263</v>
      </c>
      <c r="AM337" s="211"/>
      <c r="AN337" s="211"/>
    </row>
    <row r="338" customFormat="false" ht="12" hidden="false" customHeight="true" outlineLevel="0" collapsed="false">
      <c r="A338" s="149" t="s">
        <v>425</v>
      </c>
      <c r="H338" s="41"/>
      <c r="I338" s="62" t="n">
        <f aca="false">I335/H335*100-100</f>
        <v>51.2032085561497</v>
      </c>
      <c r="J338" s="62" t="n">
        <f aca="false">J335/I335*100-100</f>
        <v>-9.19540229885058</v>
      </c>
      <c r="K338" s="62" t="n">
        <f aca="false">K335/J335*100-100</f>
        <v>-16.9425511197663</v>
      </c>
      <c r="L338" s="62" t="n">
        <f aca="false">L335/K335*100-100</f>
        <v>43.7280187573271</v>
      </c>
      <c r="M338" s="62" t="n">
        <f aca="false">M335/L335*100-100</f>
        <v>28.7112561174551</v>
      </c>
      <c r="N338" s="62" t="n">
        <f aca="false">N335/M335*100-100</f>
        <v>30.0380228136882</v>
      </c>
      <c r="O338" s="62" t="n">
        <f aca="false">O335/N335*100-100</f>
        <v>9.89278752436647</v>
      </c>
      <c r="P338" s="62" t="n">
        <f aca="false">P335/O335*100-100</f>
        <v>67.5388026607539</v>
      </c>
      <c r="Q338" s="62" t="n">
        <f aca="false">Q335/P335*100-100</f>
        <v>24.1132874536792</v>
      </c>
      <c r="R338" s="62" t="n">
        <f aca="false">R335/Q335*100-100</f>
        <v>-21.1772232885477</v>
      </c>
      <c r="S338" s="62" t="n">
        <f aca="false">S335/R335*100-100</f>
        <v>-43.7229437229437</v>
      </c>
      <c r="T338" s="62" t="n">
        <f aca="false">T335/S335*100-100</f>
        <v>130.817307692308</v>
      </c>
      <c r="U338" s="122" t="n">
        <f aca="false">+U335/T335*100-100</f>
        <v>8.45657154759425</v>
      </c>
      <c r="V338" s="122" t="n">
        <f aca="false">+V335/U335*100-100</f>
        <v>-8.00845016324179</v>
      </c>
      <c r="W338" s="122" t="n">
        <f aca="false">+W335/V335*100-100</f>
        <v>-8.62212943632568</v>
      </c>
      <c r="X338" s="122" t="n">
        <f aca="false">+X335/W335*100-100</f>
        <v>72.9723554946311</v>
      </c>
      <c r="Y338" s="122" t="n">
        <f aca="false">+Y335/X335*100-100</f>
        <v>-18.9671113459252</v>
      </c>
      <c r="Z338" s="122" t="n">
        <f aca="false">+Z335/Y335*100-100</f>
        <v>-20.4889975550122</v>
      </c>
      <c r="AA338" s="122" t="n">
        <f aca="false">+AA335/Z335*100-100</f>
        <v>33.4973349733497</v>
      </c>
      <c r="AB338" s="122" t="n">
        <f aca="false">+AB335/AA335*100-100</f>
        <v>-45.5159705159705</v>
      </c>
      <c r="AC338" s="122" t="n">
        <f aca="false">+AC335/AB335*100-100</f>
        <v>39.5715896279594</v>
      </c>
      <c r="AD338" s="122" t="n">
        <f aca="false">+AD335/AC335*100-100</f>
        <v>-42.81098546042</v>
      </c>
      <c r="AE338" s="122" t="n">
        <f aca="false">+AE335/AD335*100-100</f>
        <v>41.5960451977401</v>
      </c>
      <c r="AF338" s="122" t="n">
        <f aca="false">+AF335/AE335*100-100</f>
        <v>87.356608478803</v>
      </c>
      <c r="AG338" s="122" t="n">
        <f aca="false">+AG335/AF335*100-100</f>
        <v>-12.458405430587</v>
      </c>
      <c r="AH338" s="122" t="n">
        <f aca="false">+AH335/AG335*100-100</f>
        <v>20.3588262125589</v>
      </c>
      <c r="AI338" s="122" t="n">
        <f aca="false">+AI335/AH335*100-100</f>
        <v>44.2647801920162</v>
      </c>
      <c r="AJ338" s="48" t="n">
        <v>-5</v>
      </c>
      <c r="AK338" s="48" t="n">
        <v>10</v>
      </c>
      <c r="AL338" s="48" t="n">
        <v>10</v>
      </c>
      <c r="AM338" s="207"/>
      <c r="AN338" s="207"/>
      <c r="AO338" s="214"/>
    </row>
    <row r="339" customFormat="false" ht="12.75" hidden="false" customHeight="true" outlineLevel="0" collapsed="false">
      <c r="A339" s="59" t="s">
        <v>427</v>
      </c>
      <c r="B339" s="19"/>
      <c r="C339" s="19"/>
      <c r="D339" s="19"/>
      <c r="E339" s="19"/>
      <c r="F339" s="19"/>
      <c r="G339" s="19"/>
      <c r="H339" s="208" t="n">
        <v>14204</v>
      </c>
      <c r="I339" s="208" t="n">
        <v>24312</v>
      </c>
      <c r="J339" s="208" t="n">
        <v>17243</v>
      </c>
      <c r="K339" s="208" t="n">
        <v>18961</v>
      </c>
      <c r="L339" s="208" t="n">
        <v>23838</v>
      </c>
      <c r="M339" s="208" t="n">
        <v>33471</v>
      </c>
      <c r="N339" s="42" t="n">
        <v>37137</v>
      </c>
      <c r="O339" s="215" t="n">
        <f aca="false">42613</f>
        <v>42613</v>
      </c>
      <c r="P339" s="212" t="n">
        <v>65063</v>
      </c>
      <c r="Q339" s="212" t="n">
        <v>57835</v>
      </c>
      <c r="R339" s="212" t="n">
        <v>31067</v>
      </c>
      <c r="S339" s="212" t="n">
        <v>40706</v>
      </c>
      <c r="T339" s="212" t="n">
        <v>62675</v>
      </c>
      <c r="U339" s="208" t="n">
        <v>60512</v>
      </c>
      <c r="V339" s="209" t="n">
        <f aca="false">51914+82</f>
        <v>51996</v>
      </c>
      <c r="W339" s="213" t="n">
        <f aca="false">36876+28</f>
        <v>36904</v>
      </c>
      <c r="X339" s="212" t="n">
        <v>53291</v>
      </c>
      <c r="Y339" s="213" t="n">
        <f aca="false">79223+4</f>
        <v>79227</v>
      </c>
      <c r="Z339" s="213" t="n">
        <f aca="false">84588+1</f>
        <v>84589</v>
      </c>
      <c r="AA339" s="212" t="n">
        <v>102826</v>
      </c>
      <c r="AB339" s="212" t="n">
        <v>115613</v>
      </c>
      <c r="AC339" s="213" t="n">
        <f aca="false">53267-1</f>
        <v>53266</v>
      </c>
      <c r="AD339" s="212" t="n">
        <v>43320</v>
      </c>
      <c r="AE339" s="212" t="n">
        <v>61301</v>
      </c>
      <c r="AF339" s="212" t="n">
        <v>103480</v>
      </c>
      <c r="AG339" s="212" t="n">
        <v>98111</v>
      </c>
      <c r="AH339" s="213" t="n">
        <f aca="false">93540</f>
        <v>93540</v>
      </c>
      <c r="AI339" s="212" t="n">
        <v>106772</v>
      </c>
      <c r="AJ339" s="43" t="n">
        <f aca="false">ROUND(AI339*(1+AJ342/100),0)</f>
        <v>115314</v>
      </c>
      <c r="AK339" s="43" t="n">
        <f aca="false">ROUND(AJ339*(1+AK342/100),0)</f>
        <v>122233</v>
      </c>
      <c r="AL339" s="43" t="n">
        <f aca="false">ROUND(AK339*(1+AL342/100),0)</f>
        <v>129567</v>
      </c>
      <c r="AM339" s="216"/>
      <c r="AN339" s="210"/>
      <c r="AO339" s="145"/>
      <c r="AP339" s="19"/>
      <c r="AQ339" s="19"/>
    </row>
    <row r="340" customFormat="false" ht="12" hidden="false" customHeight="true" outlineLevel="0" collapsed="false">
      <c r="A340" s="69" t="s">
        <v>423</v>
      </c>
      <c r="H340" s="62" t="n">
        <f aca="false">H339/(H331+H335+H339+H343)*100</f>
        <v>54.0322580645161</v>
      </c>
      <c r="I340" s="62" t="n">
        <f aca="false">I339/(I331+I335+I339+I343)*100</f>
        <v>65.0488294314381</v>
      </c>
      <c r="J340" s="62" t="n">
        <f aca="false">J339/(J331+J335+J339+J343)*100</f>
        <v>53.985597996243</v>
      </c>
      <c r="K340" s="62" t="n">
        <f aca="false">K339/(K331+K335+K339+K343)*100</f>
        <v>64.5173364183878</v>
      </c>
      <c r="L340" s="62" t="n">
        <f aca="false">L339/(L331+L335+L339+L343)*100</f>
        <v>66.5717158176944</v>
      </c>
      <c r="M340" s="62" t="n">
        <f aca="false">M339/(M331+M335+M339+M343)*100</f>
        <v>69.7472337410657</v>
      </c>
      <c r="N340" s="62" t="n">
        <f aca="false">N339/(N331+N335+N339+N343)*100</f>
        <v>68.3658253714033</v>
      </c>
      <c r="O340" s="62" t="n">
        <f aca="false">O339/(O331+O335+O339+O343)*100</f>
        <v>70.0203752998784</v>
      </c>
      <c r="P340" s="62" t="n">
        <f aca="false">P339/(P331+P335+P339+P343)*100</f>
        <v>78.5870444855117</v>
      </c>
      <c r="Q340" s="62" t="n">
        <f aca="false">Q339/(Q331+Q335+Q339+Q343)*100</f>
        <v>70.1149285939432</v>
      </c>
      <c r="R340" s="62" t="n">
        <f aca="false">R339/(R331+R335+R339+R343)*100</f>
        <v>58.5297386913845</v>
      </c>
      <c r="S340" s="62" t="n">
        <f aca="false">S339/(S331+S335+S339+S343)*100</f>
        <v>64.8133110421145</v>
      </c>
      <c r="T340" s="62" t="n">
        <f aca="false">T339/(T331+T335+T339+T343)*100</f>
        <v>67.2226095350459</v>
      </c>
      <c r="U340" s="62" t="n">
        <f aca="false">U339/(U331+U335+U339+U343)*100</f>
        <v>64.8699641945927</v>
      </c>
      <c r="V340" s="62" t="n">
        <f aca="false">V339/(V331+V335+V339+V343)*100</f>
        <v>65.8902842370712</v>
      </c>
      <c r="W340" s="62" t="n">
        <f aca="false">W339/(W331+W335+W339+W343)*100</f>
        <v>61.1529984920543</v>
      </c>
      <c r="X340" s="62" t="n">
        <f aca="false">X339/(X331+X335+X339+X343)*100</f>
        <v>68.6209116662375</v>
      </c>
      <c r="Y340" s="62" t="n">
        <f aca="false">Y339/(Y331+Y335+Y339+Y343)*100</f>
        <v>72.1807182813724</v>
      </c>
      <c r="Z340" s="62" t="n">
        <f aca="false">Z339/(Z331+Z335+Z339+Z343)*100</f>
        <v>74.6619474650473</v>
      </c>
      <c r="AA340" s="62" t="n">
        <f aca="false">AA339/(AA331+AA335+AA339+AA343)*100</f>
        <v>78.2351329965305</v>
      </c>
      <c r="AB340" s="62" t="n">
        <f aca="false">AB339/(AB331+AB335+AB339+AB343)*100</f>
        <v>80.9286144283134</v>
      </c>
      <c r="AC340" s="62" t="n">
        <f aca="false">AC339/(AC331+AC335+AC339+AC343)*100</f>
        <v>67.7624130166525</v>
      </c>
      <c r="AD340" s="62" t="n">
        <f aca="false">AD339/(AD331+AD335+AD339+AD343)*100</f>
        <v>83.6180438936823</v>
      </c>
      <c r="AE340" s="62" t="n">
        <f aca="false">AE339/(AE331+AE335+AE339+AE343)*100</f>
        <v>82.9681261419774</v>
      </c>
      <c r="AF340" s="62" t="n">
        <f aca="false">AF339/(AF331+AF335+AF339+AF343)*100</f>
        <v>83.3783206697339</v>
      </c>
      <c r="AG340" s="62" t="n">
        <f aca="false">AG339/(AG331+AG335+AG339+AG343)*100</f>
        <v>78.5623343449469</v>
      </c>
      <c r="AH340" s="62" t="n">
        <f aca="false">AH339/(AH331+AH335+AH339+AH343)*100</f>
        <v>74.2221904829917</v>
      </c>
      <c r="AI340" s="62" t="n">
        <f aca="false">AI339/(AI331+AI335+AI339+AI343)*100</f>
        <v>74.8447335585807</v>
      </c>
      <c r="AJ340" s="62" t="n">
        <f aca="false">AJ339/(AJ331+AJ335+AJ339+AJ343)*100</f>
        <v>76.5549794528278</v>
      </c>
      <c r="AK340" s="62" t="n">
        <f aca="false">AK339/(AK331+AK335+AK339+AK343)*100</f>
        <v>76.1149511177533</v>
      </c>
      <c r="AL340" s="62" t="n">
        <f aca="false">AL339/(AL331+AL335+AL339+AL343)*100</f>
        <v>75.7139434455112</v>
      </c>
      <c r="AM340" s="211"/>
      <c r="AN340" s="211"/>
    </row>
    <row r="341" customFormat="false" ht="12" hidden="false" customHeight="true" outlineLevel="0" collapsed="false">
      <c r="A341" s="149" t="s">
        <v>424</v>
      </c>
      <c r="H341" s="62" t="n">
        <f aca="false">H339/H369*100</f>
        <v>52.8894846589217</v>
      </c>
      <c r="I341" s="62" t="n">
        <f aca="false">I339/I369*100</f>
        <v>64.2172270794263</v>
      </c>
      <c r="J341" s="62" t="n">
        <f aca="false">J339/J369*100</f>
        <v>53.0962278675905</v>
      </c>
      <c r="K341" s="62" t="n">
        <f aca="false">K339/K369*100</f>
        <v>63.899841606848</v>
      </c>
      <c r="L341" s="62" t="n">
        <f aca="false">L339/L369*100</f>
        <v>65.4081492660173</v>
      </c>
      <c r="M341" s="62" t="n">
        <f aca="false">M339/M369*100</f>
        <v>68.7939326674066</v>
      </c>
      <c r="N341" s="62" t="n">
        <f aca="false">N339/N369*100</f>
        <v>67.8425283156741</v>
      </c>
      <c r="O341" s="62" t="n">
        <f aca="false">O339/O369*100</f>
        <v>69.1152380180034</v>
      </c>
      <c r="P341" s="62" t="n">
        <f aca="false">P339/P369*100</f>
        <v>78.3033060138884</v>
      </c>
      <c r="Q341" s="62" t="n">
        <f aca="false">Q339/Q369*100</f>
        <v>69.4222713032205</v>
      </c>
      <c r="R341" s="62" t="n">
        <f aca="false">R339/R369*100</f>
        <v>57.0759309952049</v>
      </c>
      <c r="S341" s="62" t="n">
        <f aca="false">S339/S369*100</f>
        <v>63.6767512436254</v>
      </c>
      <c r="T341" s="62" t="n">
        <f aca="false">T339/T369*100</f>
        <v>66.6004293031263</v>
      </c>
      <c r="U341" s="62" t="n">
        <f aca="false">U339/U369*100</f>
        <v>59.3313069908815</v>
      </c>
      <c r="V341" s="62" t="n">
        <f aca="false">V339/V369*100</f>
        <v>45.3673731142735</v>
      </c>
      <c r="W341" s="62" t="n">
        <f aca="false">W339/W369*100</f>
        <v>41.308752252706</v>
      </c>
      <c r="X341" s="62" t="n">
        <f aca="false">X339/X369*100</f>
        <v>50.8007473642066</v>
      </c>
      <c r="Y341" s="62" t="n">
        <f aca="false">Y339/Y369*100</f>
        <v>56.4065870693522</v>
      </c>
      <c r="Z341" s="62" t="n">
        <f aca="false">Z339/Z369*100</f>
        <v>58.3106999572608</v>
      </c>
      <c r="AA341" s="62" t="n">
        <f aca="false">AA339/AA369*100</f>
        <v>58.8003865662509</v>
      </c>
      <c r="AB341" s="62" t="n">
        <f aca="false">AB339/AB369*100</f>
        <v>58.5779718897885</v>
      </c>
      <c r="AC341" s="62" t="n">
        <f aca="false">AC339/AC369*100</f>
        <v>42.5267259067647</v>
      </c>
      <c r="AD341" s="62" t="n">
        <f aca="false">AD339/AD369*100</f>
        <v>43.0124609045326</v>
      </c>
      <c r="AE341" s="62" t="n">
        <f aca="false">AE339/AE369*100</f>
        <v>47.7697426865951</v>
      </c>
      <c r="AF341" s="62" t="n">
        <f aca="false">AF339/AF369*100</f>
        <v>53.8383496787284</v>
      </c>
      <c r="AG341" s="62" t="n">
        <f aca="false">AG339/AG369*100</f>
        <v>50.3952579321256</v>
      </c>
      <c r="AH341" s="62" t="n">
        <f aca="false">AH339/AH369*100</f>
        <v>47.9463640417647</v>
      </c>
      <c r="AI341" s="62" t="n">
        <f aca="false">AI339/AI369*100</f>
        <v>48.4365147411732</v>
      </c>
      <c r="AJ341" s="62" t="n">
        <f aca="false">AJ339/AJ369*100</f>
        <v>48.5746073516767</v>
      </c>
      <c r="AK341" s="62" t="n">
        <f aca="false">AK339/AK369*100</f>
        <v>48.0868997917114</v>
      </c>
      <c r="AL341" s="62" t="n">
        <f aca="false">AL339/AL369*100</f>
        <v>47.9331189903027</v>
      </c>
      <c r="AM341" s="211"/>
      <c r="AN341" s="211"/>
      <c r="AO341" s="41"/>
      <c r="AV341" s="217" t="n">
        <f aca="false">+AV342/4200000</f>
        <v>0.00827165371614206</v>
      </c>
    </row>
    <row r="342" customFormat="false" ht="12.75" hidden="false" customHeight="true" outlineLevel="0" collapsed="false">
      <c r="A342" s="149" t="s">
        <v>425</v>
      </c>
      <c r="H342" s="41"/>
      <c r="I342" s="62" t="n">
        <f aca="false">I339/H339*100-100</f>
        <v>71.1630526612222</v>
      </c>
      <c r="J342" s="62" t="n">
        <f aca="false">J339/I339*100-100</f>
        <v>-29.0761763738072</v>
      </c>
      <c r="K342" s="62" t="n">
        <f aca="false">K339/J339*100-100</f>
        <v>9.96346343443717</v>
      </c>
      <c r="L342" s="62" t="n">
        <f aca="false">L339/K339*100-100</f>
        <v>25.7212172353779</v>
      </c>
      <c r="M342" s="62" t="n">
        <f aca="false">M339/L339*100-100</f>
        <v>40.4102693178958</v>
      </c>
      <c r="N342" s="62" t="n">
        <f aca="false">N339/M339*100-100</f>
        <v>10.9527650802187</v>
      </c>
      <c r="O342" s="62" t="n">
        <f aca="false">O339/N339*100-100</f>
        <v>14.7454021595713</v>
      </c>
      <c r="P342" s="62" t="n">
        <f aca="false">P339/O339*100-100</f>
        <v>52.6834534062375</v>
      </c>
      <c r="Q342" s="62" t="n">
        <f aca="false">Q339/P339*100-100</f>
        <v>-11.1092325899513</v>
      </c>
      <c r="R342" s="62" t="n">
        <f aca="false">R339/Q339*100-100</f>
        <v>-46.2833924094407</v>
      </c>
      <c r="S342" s="62" t="n">
        <f aca="false">S339/R339*100-100</f>
        <v>31.0264911320694</v>
      </c>
      <c r="T342" s="62" t="n">
        <f aca="false">T339/S339*100-100</f>
        <v>53.9699307227436</v>
      </c>
      <c r="U342" s="62" t="n">
        <f aca="false">U339/T339*100-100</f>
        <v>-3.45113681691265</v>
      </c>
      <c r="V342" s="62" t="n">
        <f aca="false">V339/U339*100-100</f>
        <v>-14.0732416710735</v>
      </c>
      <c r="W342" s="62" t="n">
        <f aca="false">W339/V339*100-100</f>
        <v>-29.025309639203</v>
      </c>
      <c r="X342" s="62" t="n">
        <f aca="false">X339/W339*100-100</f>
        <v>44.4044006069803</v>
      </c>
      <c r="Y342" s="62" t="n">
        <f aca="false">Y339/X339*100-100</f>
        <v>48.6686307256385</v>
      </c>
      <c r="Z342" s="62" t="n">
        <f aca="false">Z339/Y339*100-100</f>
        <v>6.76789478334405</v>
      </c>
      <c r="AA342" s="62" t="n">
        <f aca="false">AA339/Z339*100-100</f>
        <v>21.5595408386433</v>
      </c>
      <c r="AB342" s="62" t="n">
        <f aca="false">AB339/AA339*100-100</f>
        <v>12.4355707700387</v>
      </c>
      <c r="AC342" s="62" t="n">
        <f aca="false">AC339/AB339*100-100</f>
        <v>-53.9273265117245</v>
      </c>
      <c r="AD342" s="62" t="n">
        <f aca="false">AD339/AC339*100-100</f>
        <v>-18.6723238088086</v>
      </c>
      <c r="AE342" s="62" t="n">
        <f aca="false">AE339/AD339*100-100</f>
        <v>41.5073868882733</v>
      </c>
      <c r="AF342" s="62" t="n">
        <f aca="false">AF339/AE339*100-100</f>
        <v>68.8063816250958</v>
      </c>
      <c r="AG342" s="62" t="n">
        <f aca="false">AG339/AF339*100-100</f>
        <v>-5.18844221105528</v>
      </c>
      <c r="AH342" s="62" t="n">
        <f aca="false">AH339/AG339*100-100</f>
        <v>-4.659008673849</v>
      </c>
      <c r="AI342" s="62" t="n">
        <f aca="false">AI339/AH339*100-100</f>
        <v>14.1458199700663</v>
      </c>
      <c r="AJ342" s="48" t="n">
        <v>8</v>
      </c>
      <c r="AK342" s="48" t="n">
        <v>6</v>
      </c>
      <c r="AL342" s="48" t="n">
        <v>6</v>
      </c>
      <c r="AM342" s="207"/>
      <c r="AN342" s="58" t="n">
        <f aca="false">69650+10000+9000+13000</f>
        <v>101650</v>
      </c>
      <c r="AO342" s="214"/>
      <c r="AU342" s="39" t="s">
        <v>428</v>
      </c>
      <c r="AV342" s="122" t="n">
        <f aca="false">+AU343*1000000/U352</f>
        <v>34740.9456077967</v>
      </c>
    </row>
    <row r="343" customFormat="false" ht="12.75" hidden="false" customHeight="true" outlineLevel="0" collapsed="false">
      <c r="A343" s="59" t="s">
        <v>429</v>
      </c>
      <c r="B343" s="19"/>
      <c r="C343" s="19"/>
      <c r="D343" s="19"/>
      <c r="E343" s="19"/>
      <c r="F343" s="19"/>
      <c r="G343" s="19"/>
      <c r="H343" s="208" t="n">
        <v>1320</v>
      </c>
      <c r="I343" s="208" t="n">
        <v>870</v>
      </c>
      <c r="J343" s="208" t="n">
        <v>1184</v>
      </c>
      <c r="K343" s="208" t="n">
        <v>1153</v>
      </c>
      <c r="L343" s="208" t="n">
        <v>1001</v>
      </c>
      <c r="M343" s="208" t="n">
        <v>1915</v>
      </c>
      <c r="N343" s="42" t="n">
        <v>4663</v>
      </c>
      <c r="O343" s="42" t="n">
        <v>2580</v>
      </c>
      <c r="P343" s="212" t="n">
        <v>2233</v>
      </c>
      <c r="Q343" s="212" t="n">
        <v>2389</v>
      </c>
      <c r="R343" s="212" t="n">
        <v>2278</v>
      </c>
      <c r="S343" s="212" t="n">
        <v>3614</v>
      </c>
      <c r="T343" s="212" t="n">
        <v>5334</v>
      </c>
      <c r="U343" s="212" t="n">
        <v>6928</v>
      </c>
      <c r="V343" s="213" t="n">
        <f aca="false">3528-83</f>
        <v>3445</v>
      </c>
      <c r="W343" s="212" t="n">
        <v>4100</v>
      </c>
      <c r="X343" s="212" t="n">
        <v>3647</v>
      </c>
      <c r="Y343" s="212" t="n">
        <v>4811</v>
      </c>
      <c r="Z343" s="213" t="n">
        <f aca="false">6102+1</f>
        <v>6103</v>
      </c>
      <c r="AA343" s="212" t="n">
        <v>8386</v>
      </c>
      <c r="AB343" s="212" t="n">
        <v>7374</v>
      </c>
      <c r="AC343" s="212" t="n">
        <v>2234</v>
      </c>
      <c r="AD343" s="212" t="n">
        <v>2932</v>
      </c>
      <c r="AE343" s="212" t="n">
        <v>4785</v>
      </c>
      <c r="AF343" s="213" t="n">
        <f aca="false">-103480+105777</f>
        <v>2297</v>
      </c>
      <c r="AG343" s="213" t="n">
        <f aca="false">100220-98111</f>
        <v>2109</v>
      </c>
      <c r="AH343" s="213" t="n">
        <f aca="false">96862-93540</f>
        <v>3322</v>
      </c>
      <c r="AI343" s="212" t="n">
        <v>3205</v>
      </c>
      <c r="AJ343" s="43" t="n">
        <f aca="false">ROUND(AI343*(1+AJ346/100),0)</f>
        <v>3205</v>
      </c>
      <c r="AK343" s="43" t="n">
        <f aca="false">ROUND(AJ343*(1+AK346/100),0)</f>
        <v>3461</v>
      </c>
      <c r="AL343" s="43" t="n">
        <f aca="false">ROUND(AK343*(1+AL346/100),0)</f>
        <v>3634</v>
      </c>
      <c r="AM343" s="210"/>
      <c r="AN343" s="210"/>
      <c r="AO343" s="218"/>
      <c r="AP343" s="19"/>
      <c r="AQ343" s="19"/>
      <c r="AT343" s="46" t="s">
        <v>430</v>
      </c>
      <c r="AU343" s="48" t="n">
        <v>263.788</v>
      </c>
      <c r="AV343" s="46" t="s">
        <v>431</v>
      </c>
    </row>
    <row r="344" customFormat="false" ht="12" hidden="false" customHeight="true" outlineLevel="0" collapsed="false">
      <c r="A344" s="69" t="s">
        <v>423</v>
      </c>
      <c r="H344" s="62" t="n">
        <f aca="false">H343/(H331+H335+H339+H343)*100</f>
        <v>5.02130249543518</v>
      </c>
      <c r="I344" s="62" t="n">
        <f aca="false">I343/(I331+I335+I339+I343)*100</f>
        <v>2.32775919732442</v>
      </c>
      <c r="J344" s="62" t="n">
        <f aca="false">J343/(J331+J335+J339+J343)*100</f>
        <v>3.70695053224797</v>
      </c>
      <c r="K344" s="62" t="n">
        <f aca="false">K343/(K331+K335+K339+K343)*100</f>
        <v>3.92323658511688</v>
      </c>
      <c r="L344" s="62" t="n">
        <f aca="false">L343/(L331+L335+L339+L343)*100</f>
        <v>2.79546470062556</v>
      </c>
      <c r="M344" s="62" t="n">
        <f aca="false">M343/(M331+M335+M339+M343)*100</f>
        <v>3.99049782241764</v>
      </c>
      <c r="N344" s="62" t="n">
        <f aca="false">N343/(N331+N335+N339+N343)*100</f>
        <v>8.58415713996429</v>
      </c>
      <c r="O344" s="62" t="n">
        <f aca="false">O343/(O331+O335+O339+O343)*100</f>
        <v>4.23937691018436</v>
      </c>
      <c r="P344" s="62" t="n">
        <f aca="false">P343/(P331+P335+P339+P343)*100</f>
        <v>2.69715307219384</v>
      </c>
      <c r="Q344" s="62" t="n">
        <f aca="false">Q343/(Q331+Q335+Q339+Q343)*100</f>
        <v>2.89624906044662</v>
      </c>
      <c r="R344" s="62" t="n">
        <f aca="false">R343/(R331+R335+R339+R343)*100</f>
        <v>4.29171612125323</v>
      </c>
      <c r="S344" s="62" t="n">
        <f aca="false">S343/(S331+S335+S339+S343)*100</f>
        <v>5.75431892365258</v>
      </c>
      <c r="T344" s="62" t="n">
        <f aca="false">T343/(T331+T335+T339+T343)*100</f>
        <v>5.7210275111278</v>
      </c>
      <c r="U344" s="62" t="n">
        <f aca="false">U343/(U331+U335+U339+U343)*100</f>
        <v>7.42694196093566</v>
      </c>
      <c r="V344" s="62" t="n">
        <f aca="false">V343/(V331+V335+V339+V343)*100</f>
        <v>4.36556714356316</v>
      </c>
      <c r="W344" s="62" t="n">
        <f aca="false">W343/(W331+W335+W339+W343)*100</f>
        <v>6.79404112880508</v>
      </c>
      <c r="X344" s="62" t="n">
        <f aca="false">X343/(X331+X335+X339+X343)*100</f>
        <v>4.69611125418491</v>
      </c>
      <c r="Y344" s="62" t="n">
        <f aca="false">Y343/(Y331+Y335+Y339+Y343)*100</f>
        <v>4.38311984111077</v>
      </c>
      <c r="Z344" s="62" t="n">
        <f aca="false">Z343/(Z331+Z335+Z339+Z343)*100</f>
        <v>5.38677446688321</v>
      </c>
      <c r="AA344" s="62" t="n">
        <f aca="false">AA343/(AA331+AA335+AA339+AA343)*100</f>
        <v>6.38048572645931</v>
      </c>
      <c r="AB344" s="62" t="n">
        <f aca="false">AB343/(AB331+AB335+AB339+AB343)*100</f>
        <v>5.16176902938582</v>
      </c>
      <c r="AC344" s="62" t="n">
        <f aca="false">AC343/(AC331+AC335+AC339+AC343)*100</f>
        <v>2.84198608266439</v>
      </c>
      <c r="AD344" s="62" t="n">
        <f aca="false">AD343/(AD331+AD335+AD339+AD343)*100</f>
        <v>5.65946686741174</v>
      </c>
      <c r="AE344" s="62" t="n">
        <f aca="false">AE343/(AE331+AE335+AE339+AE343)*100</f>
        <v>6.47628070650335</v>
      </c>
      <c r="AF344" s="62" t="n">
        <f aca="false">AF343/(AF331+AF335+AF339+AF343)*100</f>
        <v>1.85079244857343</v>
      </c>
      <c r="AG344" s="62" t="n">
        <f aca="false">AG343/(AG331+AG335+AG339+AG343)*100</f>
        <v>1.68878069873401</v>
      </c>
      <c r="AH344" s="62" t="n">
        <f aca="false">AH343/(AH331+AH335+AH339+AH343)*100</f>
        <v>2.63594309155975</v>
      </c>
      <c r="AI344" s="62" t="n">
        <f aca="false">AI343/(AI331+AI335+AI339+AI343)*100</f>
        <v>2.2466318047358</v>
      </c>
      <c r="AJ344" s="62" t="n">
        <f aca="false">AJ343/(AJ331+AJ335+AJ339+AJ343)*100</f>
        <v>2.1277443254619</v>
      </c>
      <c r="AK344" s="62" t="n">
        <f aca="false">AK343/(AK331+AK335+AK339+AK343)*100</f>
        <v>2.15517778192914</v>
      </c>
      <c r="AL344" s="62" t="n">
        <f aca="false">AL343/(AL331+AL335+AL339+AL343)*100</f>
        <v>2.12356904521204</v>
      </c>
      <c r="AM344" s="211"/>
      <c r="AN344" s="211"/>
      <c r="AO344" s="41"/>
      <c r="AT344" s="46" t="s">
        <v>432</v>
      </c>
      <c r="AU344" s="48" t="n">
        <v>157.01</v>
      </c>
    </row>
    <row r="345" customFormat="false" ht="12" hidden="false" customHeight="true" outlineLevel="0" collapsed="false">
      <c r="A345" s="149" t="s">
        <v>424</v>
      </c>
      <c r="H345" s="62" t="n">
        <f aca="false">H343/H369*100</f>
        <v>4.91510277033065</v>
      </c>
      <c r="I345" s="62" t="n">
        <f aca="false">I343/I369*100</f>
        <v>2.29800047544837</v>
      </c>
      <c r="J345" s="62" t="n">
        <f aca="false">J343/J369*100</f>
        <v>3.64588144726713</v>
      </c>
      <c r="K345" s="62" t="n">
        <f aca="false">K343/K369*100</f>
        <v>3.88568732517777</v>
      </c>
      <c r="L345" s="62" t="n">
        <f aca="false">L343/L369*100</f>
        <v>2.7466044724928</v>
      </c>
      <c r="M345" s="62" t="n">
        <f aca="false">M343/M369*100</f>
        <v>3.93595593373618</v>
      </c>
      <c r="N345" s="62" t="n">
        <f aca="false">N343/N369*100</f>
        <v>8.51845085860431</v>
      </c>
      <c r="O345" s="62" t="n">
        <f aca="false">O343/O369*100</f>
        <v>4.1845754602222</v>
      </c>
      <c r="P345" s="62" t="n">
        <f aca="false">P343/P369*100</f>
        <v>2.68741500282822</v>
      </c>
      <c r="Q345" s="62" t="n">
        <f aca="false">Q343/Q369*100</f>
        <v>2.86763735010623</v>
      </c>
      <c r="R345" s="62" t="n">
        <f aca="false">R343/R369*100</f>
        <v>4.18511509985119</v>
      </c>
      <c r="S345" s="62" t="n">
        <f aca="false">S343/S369*100</f>
        <v>5.65341175734443</v>
      </c>
      <c r="T345" s="62" t="n">
        <f aca="false">T343/T369*100</f>
        <v>5.66807642445753</v>
      </c>
      <c r="U345" s="62" t="n">
        <f aca="false">U343/U369*100</f>
        <v>6.79282282576723</v>
      </c>
      <c r="V345" s="62" t="n">
        <f aca="false">V343/V369*100</f>
        <v>3.00581968571952</v>
      </c>
      <c r="W345" s="62" t="n">
        <f aca="false">W343/W369*100</f>
        <v>4.58936386939342</v>
      </c>
      <c r="X345" s="62" t="n">
        <f aca="false">X343/X369*100</f>
        <v>3.47657813959696</v>
      </c>
      <c r="Y345" s="62" t="n">
        <f aca="false">Y343/Y369*100</f>
        <v>3.42524758467004</v>
      </c>
      <c r="Z345" s="62" t="n">
        <f aca="false">Z343/Z369*100</f>
        <v>4.20705058387217</v>
      </c>
      <c r="AA345" s="62" t="n">
        <f aca="false">AA343/AA369*100</f>
        <v>4.79548014845059</v>
      </c>
      <c r="AB345" s="62" t="n">
        <f aca="false">AB343/AB369*100</f>
        <v>3.73620583079152</v>
      </c>
      <c r="AC345" s="62" t="n">
        <f aca="false">AC343/AC369*100</f>
        <v>1.78359001381204</v>
      </c>
      <c r="AD345" s="62" t="n">
        <f aca="false">AD343/AD369*100</f>
        <v>2.91118502705655</v>
      </c>
      <c r="AE345" s="62" t="n">
        <f aca="false">AE343/AE369*100</f>
        <v>3.72878450197154</v>
      </c>
      <c r="AF345" s="62" t="n">
        <f aca="false">AF343/AF369*100</f>
        <v>1.19507817174371</v>
      </c>
      <c r="AG345" s="62" t="n">
        <f aca="false">AG343/AG369*100</f>
        <v>1.08329951767746</v>
      </c>
      <c r="AH345" s="62" t="n">
        <f aca="false">AH343/AH369*100</f>
        <v>1.70277764963376</v>
      </c>
      <c r="AI345" s="62" t="n">
        <f aca="false">AI343/AI369*100</f>
        <v>1.45393014784269</v>
      </c>
      <c r="AJ345" s="62" t="n">
        <f aca="false">AJ343/AJ369*100</f>
        <v>1.35006691782545</v>
      </c>
      <c r="AK345" s="62" t="n">
        <f aca="false">AK343/AK369*100</f>
        <v>1.36156979031123</v>
      </c>
      <c r="AL345" s="62" t="n">
        <f aca="false">AL343/AL369*100</f>
        <v>1.34439289642239</v>
      </c>
      <c r="AM345" s="211"/>
      <c r="AN345" s="211"/>
      <c r="AO345" s="41"/>
      <c r="AT345" s="46" t="s">
        <v>433</v>
      </c>
      <c r="AU345" s="48" t="n">
        <v>1565.863</v>
      </c>
      <c r="AV345" s="122" t="n">
        <f aca="false">+AU345/U350*1000000</f>
        <v>356282.821387941</v>
      </c>
    </row>
    <row r="346" customFormat="false" ht="12" hidden="false" customHeight="true" outlineLevel="0" collapsed="false">
      <c r="A346" s="149" t="s">
        <v>425</v>
      </c>
      <c r="H346" s="41"/>
      <c r="I346" s="62" t="n">
        <f aca="false">I343/H343*100-100</f>
        <v>-34.0909090909091</v>
      </c>
      <c r="J346" s="62" t="n">
        <f aca="false">J343/I343*100-100</f>
        <v>36.0919540229885</v>
      </c>
      <c r="K346" s="62" t="n">
        <f aca="false">K343/J343*100-100</f>
        <v>-2.61824324324324</v>
      </c>
      <c r="L346" s="62" t="n">
        <f aca="false">L343/K343*100-100</f>
        <v>-13.1830008673027</v>
      </c>
      <c r="M346" s="62" t="n">
        <f aca="false">M343/L343*100-100</f>
        <v>91.3086913086913</v>
      </c>
      <c r="N346" s="62" t="n">
        <f aca="false">N343/M343*100-100</f>
        <v>143.498694516971</v>
      </c>
      <c r="O346" s="62" t="n">
        <f aca="false">O343/N343*100-100</f>
        <v>-44.6708127814712</v>
      </c>
      <c r="P346" s="62" t="n">
        <f aca="false">P343/O343*100-100</f>
        <v>-13.4496124031008</v>
      </c>
      <c r="Q346" s="62" t="n">
        <f aca="false">Q343/P343*100-100</f>
        <v>6.98611733094492</v>
      </c>
      <c r="R346" s="62" t="n">
        <f aca="false">R343/Q343*100-100</f>
        <v>-4.64629552113856</v>
      </c>
      <c r="S346" s="62" t="n">
        <f aca="false">S343/R343*100-100</f>
        <v>58.647936786655</v>
      </c>
      <c r="T346" s="62" t="n">
        <f aca="false">T343/S343*100-100</f>
        <v>47.5926950747095</v>
      </c>
      <c r="U346" s="62" t="n">
        <f aca="false">U343/T343*100-100</f>
        <v>29.8837645294338</v>
      </c>
      <c r="V346" s="62" t="n">
        <f aca="false">V343/U343*100-100</f>
        <v>-50.2742494226328</v>
      </c>
      <c r="W346" s="62" t="n">
        <f aca="false">W343/V343*100-100</f>
        <v>19.0130624092888</v>
      </c>
      <c r="X346" s="62" t="n">
        <f aca="false">X343/W343*100-100</f>
        <v>-11.0487804878049</v>
      </c>
      <c r="Y346" s="62" t="n">
        <f aca="false">Y343/X343*100-100</f>
        <v>31.9166438168358</v>
      </c>
      <c r="Z346" s="62" t="n">
        <f aca="false">Z343/Y343*100-100</f>
        <v>26.8551236749117</v>
      </c>
      <c r="AA346" s="62" t="n">
        <f aca="false">AA343/Z343*100-100</f>
        <v>37.4078322136654</v>
      </c>
      <c r="AB346" s="62" t="n">
        <f aca="false">AB343/AA343*100-100</f>
        <v>-12.067731934176</v>
      </c>
      <c r="AC346" s="62" t="n">
        <f aca="false">AC343/AB343*100-100</f>
        <v>-69.704366693789</v>
      </c>
      <c r="AD346" s="62" t="n">
        <f aca="false">AD343/AC343*100-100</f>
        <v>31.2444046553268</v>
      </c>
      <c r="AE346" s="62" t="n">
        <f aca="false">AE343/AD343*100-100</f>
        <v>63.1991814461119</v>
      </c>
      <c r="AF346" s="62" t="n">
        <f aca="false">AF343/AE343*100-100</f>
        <v>-51.9958202716823</v>
      </c>
      <c r="AG346" s="62" t="n">
        <f aca="false">AG343/AF343*100-100</f>
        <v>-8.18458859381802</v>
      </c>
      <c r="AH346" s="62" t="n">
        <f aca="false">AH343/AG343*100-100</f>
        <v>57.5154101469891</v>
      </c>
      <c r="AI346" s="62" t="n">
        <f aca="false">AI343/AH343*100-100</f>
        <v>-3.52197471402769</v>
      </c>
      <c r="AJ346" s="48" t="n">
        <v>0</v>
      </c>
      <c r="AK346" s="48" t="n">
        <v>8</v>
      </c>
      <c r="AL346" s="48" t="n">
        <v>5</v>
      </c>
      <c r="AM346" s="207"/>
      <c r="AN346" s="207"/>
      <c r="AO346" s="214"/>
    </row>
    <row r="347" s="220" customFormat="true" ht="13.5" hidden="false" customHeight="true" outlineLevel="0" collapsed="false">
      <c r="A347" s="219" t="s">
        <v>434</v>
      </c>
      <c r="H347" s="221"/>
      <c r="I347" s="221"/>
      <c r="J347" s="221"/>
      <c r="K347" s="221"/>
      <c r="L347" s="221"/>
      <c r="M347" s="221"/>
      <c r="N347" s="221"/>
      <c r="O347" s="221"/>
      <c r="P347" s="221"/>
      <c r="Q347" s="221"/>
      <c r="R347" s="222" t="n">
        <f aca="false">+R343+R339+R335+R331</f>
        <v>53079</v>
      </c>
      <c r="S347" s="222" t="n">
        <f aca="false">+S343+S339+S335+S331</f>
        <v>62805</v>
      </c>
      <c r="T347" s="222" t="n">
        <f aca="false">+T343+T339+T335+T331</f>
        <v>93235</v>
      </c>
      <c r="U347" s="222" t="n">
        <f aca="false">+U343+U339+U335+U331</f>
        <v>93282</v>
      </c>
      <c r="V347" s="222" t="n">
        <f aca="false">+V343+V339+V335+V331</f>
        <v>78913</v>
      </c>
      <c r="W347" s="222" t="n">
        <f aca="false">+W343+W339+W335+W331</f>
        <v>60347</v>
      </c>
      <c r="X347" s="222" t="n">
        <f aca="false">+X343+X339+X335+X331</f>
        <v>77660</v>
      </c>
      <c r="Y347" s="222" t="n">
        <f aca="false">+Y343+Y339+Y335+Y331</f>
        <v>109762</v>
      </c>
      <c r="Z347" s="222" t="n">
        <f aca="false">+Z343+Z339+Z335+Z331</f>
        <v>113296</v>
      </c>
      <c r="AA347" s="222" t="n">
        <f aca="false">+AA343+AA339+AA335+AA331</f>
        <v>131432</v>
      </c>
      <c r="AB347" s="222" t="n">
        <f aca="false">+AB343+AB339+AB335+AB331</f>
        <v>142858</v>
      </c>
      <c r="AC347" s="222" t="n">
        <f aca="false">+AC343+AC339+AC335+AC331</f>
        <v>78607</v>
      </c>
      <c r="AD347" s="222" t="n">
        <f aca="false">+AD343+AD339+AD335+AD331</f>
        <v>51807</v>
      </c>
      <c r="AE347" s="222" t="n">
        <f aca="false">+AE343+AE339+AE335+AE331</f>
        <v>73885</v>
      </c>
      <c r="AF347" s="222" t="n">
        <f aca="false">+AF343+AF339+AF335+AF331</f>
        <v>124109</v>
      </c>
      <c r="AG347" s="222" t="n">
        <f aca="false">+AG343+AG339+AG335+AG331</f>
        <v>124883</v>
      </c>
      <c r="AH347" s="222" t="n">
        <f aca="false">+AH343+AH339+AH335+AH331</f>
        <v>126027</v>
      </c>
      <c r="AI347" s="222" t="n">
        <f aca="false">+AI343+AI339+AI335+AI331</f>
        <v>142658</v>
      </c>
      <c r="AJ347" s="222" t="n">
        <f aca="false">+AJ343+AJ339+AJ335+AJ331</f>
        <v>150629</v>
      </c>
      <c r="AK347" s="222" t="n">
        <f aca="false">+AK343+AK339+AK335+AK331</f>
        <v>160590</v>
      </c>
      <c r="AL347" s="222" t="n">
        <f aca="false">+AL343+AL339+AL335+AL331</f>
        <v>171127</v>
      </c>
      <c r="AM347" s="223"/>
      <c r="AN347" s="224"/>
      <c r="AO347" s="225"/>
      <c r="AP347" s="226"/>
    </row>
    <row r="348" s="228" customFormat="true" ht="13.5" hidden="false" customHeight="true" outlineLevel="0" collapsed="false">
      <c r="A348" s="227"/>
      <c r="H348" s="229"/>
      <c r="I348" s="229"/>
      <c r="J348" s="229"/>
      <c r="K348" s="229"/>
      <c r="L348" s="229"/>
      <c r="M348" s="229"/>
      <c r="N348" s="229"/>
      <c r="O348" s="229"/>
      <c r="P348" s="229"/>
      <c r="Q348" s="229"/>
      <c r="R348" s="97" t="e">
        <f aca="false">+R347/Q347-1</f>
        <v>#DIV/0!</v>
      </c>
      <c r="S348" s="97" t="n">
        <f aca="false">+S347/R347-1</f>
        <v>0.183236308144464</v>
      </c>
      <c r="T348" s="97" t="n">
        <f aca="false">+T347/S347-1</f>
        <v>0.484515564047449</v>
      </c>
      <c r="U348" s="97" t="n">
        <f aca="false">+U347/T347-1</f>
        <v>0.000504102536601048</v>
      </c>
      <c r="V348" s="97" t="n">
        <f aca="false">+V347/U347-1</f>
        <v>-0.154038292489441</v>
      </c>
      <c r="W348" s="97" t="n">
        <f aca="false">+W347/V347-1</f>
        <v>-0.235271754970664</v>
      </c>
      <c r="X348" s="97" t="n">
        <f aca="false">+X347/W347-1</f>
        <v>0.28689081478781</v>
      </c>
      <c r="Y348" s="97" t="n">
        <f aca="false">+Y347/X347-1</f>
        <v>0.413365954159155</v>
      </c>
      <c r="Z348" s="97" t="n">
        <f aca="false">+Z347/Y347-1</f>
        <v>0.032196935187041</v>
      </c>
      <c r="AA348" s="97" t="n">
        <f aca="false">+AA347/Z347-1</f>
        <v>0.160076260415196</v>
      </c>
      <c r="AB348" s="97" t="n">
        <f aca="false">+AB347/AA347-1</f>
        <v>0.0869346886602957</v>
      </c>
      <c r="AC348" s="97" t="n">
        <f aca="false">+AC347/AB347-1</f>
        <v>-0.449754301474191</v>
      </c>
      <c r="AD348" s="97" t="n">
        <f aca="false">+AD347/AC347-1</f>
        <v>-0.340936557812917</v>
      </c>
      <c r="AE348" s="97" t="n">
        <f aca="false">+AE347/AD347-1</f>
        <v>0.426158627212539</v>
      </c>
      <c r="AF348" s="97" t="n">
        <f aca="false">+AF347/AE347-1</f>
        <v>0.679759085064628</v>
      </c>
      <c r="AG348" s="97" t="n">
        <f aca="false">+AG347/AF347-1</f>
        <v>0.00623645344012114</v>
      </c>
      <c r="AH348" s="97" t="n">
        <f aca="false">+AH347/AG347-1</f>
        <v>0.00916057429754247</v>
      </c>
      <c r="AI348" s="97" t="n">
        <f aca="false">+AI347/AH347-1</f>
        <v>0.13196378553802</v>
      </c>
      <c r="AJ348" s="97" t="n">
        <f aca="false">+AJ347/AI347-1</f>
        <v>0.055874889596097</v>
      </c>
      <c r="AK348" s="97" t="n">
        <f aca="false">+AK347/AJ347-1</f>
        <v>0.0661293641994569</v>
      </c>
      <c r="AL348" s="97" t="n">
        <f aca="false">+AL347/AK347-1</f>
        <v>0.0656142972787845</v>
      </c>
      <c r="AQ348" s="46" t="s">
        <v>435</v>
      </c>
    </row>
    <row r="349" s="228" customFormat="true" ht="12.75" hidden="false" customHeight="true" outlineLevel="0" collapsed="false">
      <c r="A349" s="227"/>
      <c r="H349" s="229"/>
      <c r="I349" s="229"/>
      <c r="J349" s="229"/>
      <c r="K349" s="229"/>
      <c r="L349" s="229"/>
      <c r="M349" s="229"/>
      <c r="N349" s="229"/>
      <c r="O349" s="229"/>
      <c r="P349" s="229"/>
      <c r="Q349" s="229"/>
      <c r="R349" s="230"/>
      <c r="S349" s="230"/>
      <c r="T349" s="230"/>
      <c r="U349" s="230"/>
      <c r="V349" s="230"/>
      <c r="W349" s="230"/>
      <c r="X349" s="230"/>
      <c r="AA349" s="231"/>
      <c r="AB349" s="232"/>
      <c r="AC349" s="232"/>
      <c r="AD349" s="232"/>
      <c r="AE349" s="233" t="n">
        <f aca="false">+AE347-73885</f>
        <v>0</v>
      </c>
      <c r="AF349" s="233" t="n">
        <f aca="false">+AF347-124109</f>
        <v>0</v>
      </c>
      <c r="AG349" s="233" t="n">
        <f aca="false">+AG347-124883</f>
        <v>0</v>
      </c>
      <c r="AH349" s="232"/>
      <c r="AI349" s="232"/>
      <c r="AJ349" s="232"/>
      <c r="AK349" s="232"/>
      <c r="AL349" s="232"/>
    </row>
    <row r="350" customFormat="false" ht="12.75" hidden="false" customHeight="true" outlineLevel="0" collapsed="false">
      <c r="A350" s="234" t="s">
        <v>436</v>
      </c>
      <c r="B350" s="235"/>
      <c r="C350" s="235"/>
      <c r="D350" s="235"/>
      <c r="E350" s="235"/>
      <c r="F350" s="235"/>
      <c r="G350" s="235"/>
      <c r="H350" s="236"/>
      <c r="I350" s="236"/>
      <c r="J350" s="236"/>
      <c r="K350" s="236"/>
      <c r="L350" s="236"/>
      <c r="M350" s="236"/>
      <c r="N350" s="236"/>
      <c r="O350" s="236"/>
      <c r="P350" s="236"/>
      <c r="Q350" s="236"/>
      <c r="R350" s="236"/>
      <c r="S350" s="236"/>
      <c r="T350" s="236"/>
      <c r="U350" s="237" t="n">
        <v>4395</v>
      </c>
      <c r="V350" s="238" t="n">
        <f aca="false">+V352*0.28</f>
        <v>9776.76</v>
      </c>
      <c r="W350" s="62" t="n">
        <f aca="false">+W352*0.25</f>
        <v>6770</v>
      </c>
      <c r="X350" s="62" t="n">
        <f aca="false">+X352*0.25</f>
        <v>6103.5</v>
      </c>
      <c r="Y350" s="62" t="n">
        <f aca="false">+Y352*0.25</f>
        <v>6809.25</v>
      </c>
      <c r="Z350" s="62" t="n">
        <f aca="false">+Z352*0.25</f>
        <v>7615.75</v>
      </c>
      <c r="AA350" s="62" t="n">
        <f aca="false">+AA352*0.25</f>
        <v>9966.25</v>
      </c>
      <c r="AB350" s="239" t="n">
        <f aca="false">+AB352*0.2</f>
        <v>9893.4</v>
      </c>
      <c r="AC350" s="240"/>
      <c r="AD350" s="241" t="n">
        <f aca="false">0.928571428571429-1</f>
        <v>-0.071428571428571</v>
      </c>
      <c r="AE350" s="240"/>
      <c r="AF350" s="180"/>
      <c r="AG350" s="180"/>
      <c r="AH350" s="240"/>
      <c r="AI350" s="240"/>
      <c r="AJ350" s="240"/>
      <c r="AK350" s="240"/>
      <c r="AL350" s="240"/>
      <c r="AM350" s="62" t="s">
        <v>437</v>
      </c>
      <c r="AN350" s="242"/>
      <c r="AO350" s="242"/>
      <c r="AP350" s="243"/>
      <c r="AQ350" s="243"/>
      <c r="AR350" s="243"/>
    </row>
    <row r="351" customFormat="false" ht="12.75" hidden="false" customHeight="true" outlineLevel="0" collapsed="false">
      <c r="A351" s="234" t="s">
        <v>438</v>
      </c>
      <c r="B351" s="235"/>
      <c r="C351" s="235"/>
      <c r="D351" s="235"/>
      <c r="E351" s="235"/>
      <c r="F351" s="235"/>
      <c r="G351" s="235"/>
      <c r="H351" s="236"/>
      <c r="I351" s="236"/>
      <c r="J351" s="236"/>
      <c r="K351" s="236"/>
      <c r="L351" s="236"/>
      <c r="M351" s="236"/>
      <c r="N351" s="236"/>
      <c r="O351" s="236"/>
      <c r="P351" s="236"/>
      <c r="Q351" s="236"/>
      <c r="R351" s="236"/>
      <c r="S351" s="236"/>
      <c r="T351" s="236"/>
      <c r="U351" s="237" t="n">
        <v>3198</v>
      </c>
      <c r="V351" s="244" t="n">
        <f aca="false">+V352-V350</f>
        <v>25140.24</v>
      </c>
      <c r="W351" s="62" t="n">
        <f aca="false">+W352-W350</f>
        <v>20310</v>
      </c>
      <c r="X351" s="62" t="n">
        <f aca="false">+X352-X350</f>
        <v>18310.5</v>
      </c>
      <c r="Y351" s="62" t="n">
        <f aca="false">+Y352-Y350</f>
        <v>20427.75</v>
      </c>
      <c r="Z351" s="62" t="n">
        <f aca="false">+Z352-Z350</f>
        <v>22847.25</v>
      </c>
      <c r="AA351" s="62" t="n">
        <f aca="false">+AA352-AA350</f>
        <v>29898.75</v>
      </c>
      <c r="AB351" s="62" t="n">
        <f aca="false">+AB352-AB350</f>
        <v>39573.6</v>
      </c>
      <c r="AC351" s="240"/>
      <c r="AD351" s="240"/>
      <c r="AE351" s="240"/>
      <c r="AF351" s="180"/>
      <c r="AG351" s="180"/>
      <c r="AH351" s="240"/>
      <c r="AI351" s="240"/>
      <c r="AJ351" s="240"/>
      <c r="AK351" s="240"/>
      <c r="AL351" s="240"/>
      <c r="AM351" s="62" t="s">
        <v>439</v>
      </c>
      <c r="AN351" s="242"/>
      <c r="AO351" s="242"/>
      <c r="AP351" s="243"/>
      <c r="AQ351" s="46" t="s">
        <v>440</v>
      </c>
      <c r="AR351" s="48" t="n">
        <v>1742.063</v>
      </c>
    </row>
    <row r="352" s="19" customFormat="true" ht="12.75" hidden="false" customHeight="true" outlineLevel="0" collapsed="false">
      <c r="A352" s="245" t="s">
        <v>441</v>
      </c>
      <c r="B352" s="246"/>
      <c r="C352" s="246"/>
      <c r="D352" s="246"/>
      <c r="E352" s="246"/>
      <c r="F352" s="246"/>
      <c r="G352" s="246"/>
      <c r="H352" s="247"/>
      <c r="I352" s="247"/>
      <c r="J352" s="247"/>
      <c r="K352" s="247"/>
      <c r="L352" s="247"/>
      <c r="M352" s="247"/>
      <c r="N352" s="247"/>
      <c r="O352" s="247"/>
      <c r="P352" s="247"/>
      <c r="Q352" s="247"/>
      <c r="R352" s="247"/>
      <c r="S352" s="247"/>
      <c r="T352" s="247"/>
      <c r="U352" s="248" t="n">
        <f aca="false">+U351+U350</f>
        <v>7593</v>
      </c>
      <c r="V352" s="249" t="n">
        <v>34917</v>
      </c>
      <c r="W352" s="250" t="n">
        <f aca="false">27927-847</f>
        <v>27080</v>
      </c>
      <c r="X352" s="208" t="n">
        <v>24414</v>
      </c>
      <c r="Y352" s="208" t="n">
        <v>27237</v>
      </c>
      <c r="Z352" s="208" t="n">
        <v>30463</v>
      </c>
      <c r="AA352" s="208" t="n">
        <v>39865</v>
      </c>
      <c r="AB352" s="208" t="n">
        <v>49467</v>
      </c>
      <c r="AC352" s="251"/>
      <c r="AD352" s="251"/>
      <c r="AE352" s="251"/>
      <c r="AF352" s="252"/>
      <c r="AG352" s="252"/>
      <c r="AH352" s="251"/>
      <c r="AI352" s="251"/>
      <c r="AJ352" s="251"/>
      <c r="AK352" s="251"/>
      <c r="AL352" s="251"/>
      <c r="AM352" s="253" t="s">
        <v>442</v>
      </c>
      <c r="AN352" s="254"/>
      <c r="AO352" s="254"/>
      <c r="AP352" s="255"/>
      <c r="AQ352" s="46" t="s">
        <v>443</v>
      </c>
      <c r="AR352" s="42" t="n">
        <v>251.624</v>
      </c>
    </row>
    <row r="353" customFormat="false" ht="12.75" hidden="false" customHeight="true" outlineLevel="0" collapsed="false">
      <c r="A353" s="149" t="s">
        <v>233</v>
      </c>
      <c r="H353" s="41"/>
      <c r="I353" s="41"/>
      <c r="J353" s="41"/>
      <c r="K353" s="41"/>
      <c r="L353" s="41"/>
      <c r="M353" s="41"/>
      <c r="N353" s="41"/>
      <c r="O353" s="41"/>
      <c r="P353" s="41"/>
      <c r="Q353" s="41"/>
      <c r="R353" s="41"/>
      <c r="S353" s="41"/>
      <c r="T353" s="41"/>
      <c r="U353" s="214"/>
      <c r="V353" s="46" t="n">
        <f aca="false">+V352/U352-1</f>
        <v>3.59857763729751</v>
      </c>
      <c r="W353" s="97" t="n">
        <f aca="false">+W352/V352-1</f>
        <v>-0.224446544663058</v>
      </c>
      <c r="X353" s="97" t="n">
        <f aca="false">+X352/W352-1</f>
        <v>-0.0984490398818316</v>
      </c>
      <c r="Y353" s="97" t="n">
        <f aca="false">+Y352/X352-1</f>
        <v>0.115630376013763</v>
      </c>
      <c r="Z353" s="97" t="n">
        <f aca="false">+Z352/Y352-1</f>
        <v>0.118441825458017</v>
      </c>
      <c r="AA353" s="97" t="n">
        <f aca="false">+AA352/Z352-1</f>
        <v>0.308636706824673</v>
      </c>
      <c r="AB353" s="97" t="n">
        <f aca="false">+AB352/AA352-1</f>
        <v>0.240862912329111</v>
      </c>
      <c r="AC353" s="256"/>
      <c r="AD353" s="256"/>
      <c r="AE353" s="256"/>
      <c r="AF353" s="60"/>
      <c r="AG353" s="60"/>
      <c r="AH353" s="256"/>
      <c r="AI353" s="256"/>
      <c r="AJ353" s="256"/>
      <c r="AK353" s="256"/>
      <c r="AL353" s="256"/>
      <c r="AM353" s="97" t="s">
        <v>444</v>
      </c>
      <c r="AN353" s="257"/>
      <c r="AO353" s="257"/>
      <c r="AP353" s="243"/>
      <c r="AQ353" s="243"/>
      <c r="AR353" s="243"/>
    </row>
    <row r="354" customFormat="false" ht="12.75" hidden="false" customHeight="true" outlineLevel="0" collapsed="false">
      <c r="A354" s="149" t="s">
        <v>445</v>
      </c>
      <c r="H354" s="41"/>
      <c r="I354" s="41"/>
      <c r="J354" s="41"/>
      <c r="K354" s="41"/>
      <c r="L354" s="41"/>
      <c r="M354" s="41"/>
      <c r="N354" s="41"/>
      <c r="O354" s="41"/>
      <c r="P354" s="41"/>
      <c r="Q354" s="41"/>
      <c r="R354" s="41"/>
      <c r="S354" s="41"/>
      <c r="T354" s="41"/>
      <c r="U354" s="37" t="n">
        <f aca="false">+U357-U352</f>
        <v>341</v>
      </c>
      <c r="V354" s="36" t="n">
        <f aca="false">35155-V352</f>
        <v>238</v>
      </c>
      <c r="W354" s="58" t="n">
        <f aca="false">203+775+3</f>
        <v>981</v>
      </c>
      <c r="X354" s="58" t="n">
        <f aca="false">1160+346-14</f>
        <v>1492</v>
      </c>
      <c r="Y354" s="58" t="n">
        <f aca="false">529+746+1-5</f>
        <v>1271</v>
      </c>
      <c r="Z354" s="58" t="n">
        <f aca="false">488-4</f>
        <v>484</v>
      </c>
      <c r="AA354" s="204" t="n">
        <f aca="false">2213+22</f>
        <v>2235</v>
      </c>
      <c r="AB354" s="48" t="n">
        <v>3662</v>
      </c>
      <c r="AC354" s="214"/>
      <c r="AD354" s="214"/>
      <c r="AE354" s="214"/>
      <c r="AH354" s="214"/>
      <c r="AI354" s="214"/>
      <c r="AJ354" s="214"/>
      <c r="AK354" s="214"/>
      <c r="AL354" s="214"/>
      <c r="AM354" s="37" t="n">
        <f aca="false">+W357+W361</f>
        <v>28990</v>
      </c>
      <c r="AN354" s="258"/>
      <c r="AO354" s="258"/>
      <c r="AP354" s="243"/>
      <c r="AQ354" s="42" t="n">
        <v>263.788</v>
      </c>
      <c r="AR354" s="243"/>
    </row>
    <row r="355" customFormat="false" ht="12.75" hidden="false" customHeight="true" outlineLevel="0" collapsed="false">
      <c r="A355" s="149" t="s">
        <v>233</v>
      </c>
      <c r="H355" s="41"/>
      <c r="I355" s="41"/>
      <c r="J355" s="41"/>
      <c r="K355" s="41"/>
      <c r="L355" s="41"/>
      <c r="M355" s="41"/>
      <c r="N355" s="41"/>
      <c r="O355" s="41"/>
      <c r="P355" s="41"/>
      <c r="Q355" s="41"/>
      <c r="R355" s="41"/>
      <c r="S355" s="41"/>
      <c r="T355" s="41"/>
      <c r="U355" s="214"/>
      <c r="V355" s="46" t="n">
        <f aca="false">+V354/U354-1</f>
        <v>-0.302052785923754</v>
      </c>
      <c r="W355" s="97" t="n">
        <f aca="false">+W354/V354-1</f>
        <v>3.1218487394958</v>
      </c>
      <c r="X355" s="97" t="n">
        <f aca="false">+X354/W354-1</f>
        <v>0.520897043832824</v>
      </c>
      <c r="Y355" s="97" t="n">
        <f aca="false">+Y354/X354-1</f>
        <v>-0.148123324396783</v>
      </c>
      <c r="Z355" s="97" t="n">
        <f aca="false">+Z354/Y354-1</f>
        <v>-0.619197482297404</v>
      </c>
      <c r="AA355" s="97" t="n">
        <f aca="false">+AA354/Z354-1</f>
        <v>3.61776859504132</v>
      </c>
      <c r="AB355" s="97" t="n">
        <f aca="false">+AB354/AA354-1</f>
        <v>0.638478747203579</v>
      </c>
      <c r="AC355" s="256"/>
      <c r="AD355" s="256"/>
      <c r="AE355" s="256"/>
      <c r="AF355" s="60"/>
      <c r="AG355" s="60"/>
      <c r="AH355" s="256"/>
      <c r="AI355" s="256"/>
      <c r="AJ355" s="256"/>
      <c r="AK355" s="256"/>
      <c r="AL355" s="256"/>
      <c r="AM355" s="259"/>
      <c r="AN355" s="259"/>
      <c r="AO355" s="259"/>
      <c r="AQ355" s="122" t="n">
        <f aca="false">+AQ354/U350*1000000</f>
        <v>60020.0227531286</v>
      </c>
    </row>
    <row r="356" customFormat="false" ht="12" hidden="false" customHeight="true" outlineLevel="0" collapsed="false">
      <c r="A356" s="76"/>
      <c r="H356" s="41"/>
      <c r="I356" s="41"/>
      <c r="J356" s="41"/>
      <c r="K356" s="41"/>
      <c r="L356" s="41"/>
      <c r="M356" s="41"/>
      <c r="N356" s="41"/>
      <c r="O356" s="41"/>
      <c r="P356" s="41"/>
      <c r="Q356" s="41"/>
      <c r="R356" s="41"/>
      <c r="S356" s="41"/>
      <c r="T356" s="41"/>
      <c r="U356" s="260"/>
      <c r="V356" s="260"/>
      <c r="W356" s="260"/>
      <c r="X356" s="260"/>
      <c r="Y356" s="214"/>
      <c r="Z356" s="37" t="n">
        <f aca="false">+Z357+Z361</f>
        <v>31770</v>
      </c>
      <c r="AA356" s="37" t="n">
        <f aca="false">+AA357+AA361</f>
        <v>43441</v>
      </c>
      <c r="AB356" s="260"/>
      <c r="AC356" s="214"/>
      <c r="AD356" s="214"/>
      <c r="AE356" s="79" t="n">
        <f aca="false">+AE357/AC357-1</f>
        <v>0.1627627360171</v>
      </c>
      <c r="AH356" s="214"/>
      <c r="AI356" s="214"/>
      <c r="AJ356" s="214"/>
      <c r="AK356" s="214"/>
      <c r="AL356" s="214"/>
      <c r="AM356" s="214"/>
      <c r="AN356" s="214"/>
      <c r="AO356" s="214"/>
      <c r="AR356" s="48" t="n">
        <v>70.513</v>
      </c>
    </row>
    <row r="357" customFormat="false" ht="12.75" hidden="false" customHeight="true" outlineLevel="0" collapsed="false">
      <c r="A357" s="59" t="s">
        <v>446</v>
      </c>
      <c r="B357" s="19"/>
      <c r="C357" s="19"/>
      <c r="D357" s="19"/>
      <c r="E357" s="19"/>
      <c r="F357" s="19"/>
      <c r="G357" s="19"/>
      <c r="H357" s="208" t="n">
        <v>468</v>
      </c>
      <c r="I357" s="208" t="n">
        <v>297</v>
      </c>
      <c r="J357" s="208" t="n">
        <v>335</v>
      </c>
      <c r="K357" s="208" t="n">
        <v>120</v>
      </c>
      <c r="L357" s="208" t="n">
        <v>314</v>
      </c>
      <c r="M357" s="208" t="n">
        <v>376</v>
      </c>
      <c r="N357" s="42" t="n">
        <v>322</v>
      </c>
      <c r="O357" s="42" t="n">
        <v>753</v>
      </c>
      <c r="P357" s="212" t="n">
        <v>289</v>
      </c>
      <c r="Q357" s="212" t="n">
        <v>615</v>
      </c>
      <c r="R357" s="212" t="n">
        <v>514</v>
      </c>
      <c r="S357" s="212" t="n">
        <v>836</v>
      </c>
      <c r="T357" s="212" t="n">
        <v>700</v>
      </c>
      <c r="U357" s="212" t="n">
        <v>7934</v>
      </c>
      <c r="V357" s="43" t="n">
        <f aca="false">+V352+V354</f>
        <v>35155</v>
      </c>
      <c r="W357" s="43" t="n">
        <f aca="false">+W352+W354</f>
        <v>28061</v>
      </c>
      <c r="X357" s="43" t="n">
        <f aca="false">+X352+X354</f>
        <v>25906</v>
      </c>
      <c r="Y357" s="43" t="n">
        <f aca="false">+Y352+Y354</f>
        <v>28508</v>
      </c>
      <c r="Z357" s="43" t="n">
        <f aca="false">+Z352+Z354</f>
        <v>30947</v>
      </c>
      <c r="AA357" s="43" t="n">
        <f aca="false">+AA352+AA354</f>
        <v>42100</v>
      </c>
      <c r="AB357" s="43" t="n">
        <f aca="false">+AB352+AB354</f>
        <v>53129</v>
      </c>
      <c r="AC357" s="208" t="n">
        <v>44912</v>
      </c>
      <c r="AD357" s="208" t="n">
        <v>46671</v>
      </c>
      <c r="AE357" s="208" t="n">
        <v>52222</v>
      </c>
      <c r="AF357" s="208" t="n">
        <v>66617</v>
      </c>
      <c r="AG357" s="208" t="n">
        <v>66633</v>
      </c>
      <c r="AH357" s="208" t="n">
        <v>65049</v>
      </c>
      <c r="AI357" s="208" t="n">
        <v>74322</v>
      </c>
      <c r="AJ357" s="67" t="n">
        <f aca="false">+AI357*(1+AJ360/100)</f>
        <v>83240.64</v>
      </c>
      <c r="AK357" s="67" t="n">
        <f aca="false">+AJ357*(1+AK360/100)</f>
        <v>89899.8912</v>
      </c>
      <c r="AL357" s="67" t="n">
        <f aca="false">+AK357*(1+AL360/100)</f>
        <v>95293.884672</v>
      </c>
      <c r="AM357" s="112"/>
      <c r="AN357" s="112"/>
      <c r="AO357" s="112"/>
      <c r="AR357" s="122" t="n">
        <f aca="false">+AR356/U350*1000000</f>
        <v>16043.9135381115</v>
      </c>
    </row>
    <row r="358" customFormat="false" ht="12" hidden="false" customHeight="true" outlineLevel="0" collapsed="false">
      <c r="A358" s="69" t="s">
        <v>447</v>
      </c>
      <c r="H358" s="62" t="n">
        <f aca="false">H357/(H357+H361)*100</f>
        <v>82.3943661971831</v>
      </c>
      <c r="I358" s="62" t="n">
        <f aca="false">I357/(I357+I361)*100</f>
        <v>61.3636363636364</v>
      </c>
      <c r="J358" s="62" t="n">
        <f aca="false">J357/(J357+J361)*100</f>
        <v>62.6168224299065</v>
      </c>
      <c r="K358" s="62" t="n">
        <f aca="false">K357/(K357+K361)*100</f>
        <v>42.2535211267606</v>
      </c>
      <c r="L358" s="62" t="n">
        <f aca="false">L357/(L357+L361)*100</f>
        <v>49.2935635792779</v>
      </c>
      <c r="M358" s="62" t="n">
        <f aca="false">M357/(M357+M361)*100</f>
        <v>56.5413533834587</v>
      </c>
      <c r="N358" s="62" t="n">
        <f aca="false">N357/(N357+N361)*100</f>
        <v>76.8496420047733</v>
      </c>
      <c r="O358" s="62" t="n">
        <f aca="false">O357/(O357+O361)*100</f>
        <v>94.4792973651192</v>
      </c>
      <c r="P358" s="62" t="n">
        <f aca="false">P357/(P357+P361)*100</f>
        <v>96.3333333333333</v>
      </c>
      <c r="Q358" s="62" t="n">
        <f aca="false">Q357/(Q357+Q361)*100</f>
        <v>74.726609963548</v>
      </c>
      <c r="R358" s="62" t="n">
        <f aca="false">R357/(R357+R361)*100</f>
        <v>38.0177514792899</v>
      </c>
      <c r="S358" s="62" t="n">
        <f aca="false">S357/(S357+S361)*100</f>
        <v>74.5762711864407</v>
      </c>
      <c r="T358" s="62" t="n">
        <f aca="false">T357/(T357+T361)*100</f>
        <v>80.3673938002296</v>
      </c>
      <c r="U358" s="62" t="n">
        <f aca="false">U357/(U357+U361)*100</f>
        <v>91.1116214974736</v>
      </c>
      <c r="V358" s="62" t="n">
        <f aca="false">V357/(V357+V361)*100</f>
        <v>98.4789063813099</v>
      </c>
      <c r="W358" s="62" t="n">
        <f aca="false">W357/(W357+W361)*100</f>
        <v>96.7954467057606</v>
      </c>
      <c r="X358" s="62" t="n">
        <f aca="false">X357/(X357+X361)*100</f>
        <v>95.0958079436165</v>
      </c>
      <c r="Y358" s="62" t="n">
        <f aca="false">Y357/(Y357+Y361)*100</f>
        <v>92.8750610848672</v>
      </c>
      <c r="Z358" s="62" t="n">
        <f aca="false">Z357/(Z357+Z361)*100</f>
        <v>97.4095058231036</v>
      </c>
      <c r="AA358" s="62" t="n">
        <f aca="false">AA357/(AA357+AA361)*100</f>
        <v>96.913054487696</v>
      </c>
      <c r="AB358" s="62" t="n">
        <f aca="false">AB357/(AB357+AB361)*100</f>
        <v>97.4700961326778</v>
      </c>
      <c r="AC358" s="62" t="n">
        <f aca="false">AC357/(AC357+AC361)*100</f>
        <v>96.2826394546156</v>
      </c>
      <c r="AD358" s="62" t="n">
        <f aca="false">AD357/(AD357+AD361)*100</f>
        <v>95.4261061585017</v>
      </c>
      <c r="AE358" s="62" t="n">
        <f aca="false">AE357/(AE357+AE361)*100</f>
        <v>95.9240278466597</v>
      </c>
      <c r="AF358" s="62" t="n">
        <f aca="false">AF357/(AF357+AF361)*100</f>
        <v>97.8280662593985</v>
      </c>
      <c r="AG358" s="62" t="n">
        <f aca="false">AG357/(AG357+AG361)*100</f>
        <v>95.4627507163324</v>
      </c>
      <c r="AH358" s="62" t="n">
        <f aca="false">AH357/(AH357+AH361)*100</f>
        <v>94.1838241681869</v>
      </c>
      <c r="AI358" s="62" t="n">
        <f aca="false">AI357/(AI357+AI361)*100</f>
        <v>95.5553555586984</v>
      </c>
      <c r="AJ358" s="62" t="n">
        <f aca="false">AJ357/(AJ357+AJ361)*100</f>
        <v>95.9362261809378</v>
      </c>
      <c r="AK358" s="62" t="n">
        <f aca="false">AK357/(AK357+AK361)*100</f>
        <v>96.0449517071296</v>
      </c>
      <c r="AL358" s="62" t="n">
        <f aca="false">AL357/(AL357+AL361)*100</f>
        <v>96.0808980350854</v>
      </c>
      <c r="AM358" s="41"/>
      <c r="AN358" s="41"/>
      <c r="AO358" s="41"/>
    </row>
    <row r="359" customFormat="false" ht="12" hidden="false" customHeight="true" outlineLevel="0" collapsed="false">
      <c r="A359" s="149" t="s">
        <v>424</v>
      </c>
      <c r="H359" s="62" t="n">
        <f aca="false">H357/H369*100</f>
        <v>1.7426273458445</v>
      </c>
      <c r="I359" s="62" t="n">
        <f aca="false">I357/I369*100</f>
        <v>0.784489817480652</v>
      </c>
      <c r="J359" s="62" t="n">
        <f aca="false">J357/J369*100</f>
        <v>1.03156274056967</v>
      </c>
      <c r="K359" s="62" t="n">
        <f aca="false">K357/K369*100</f>
        <v>0.40440804772015</v>
      </c>
      <c r="L359" s="62" t="n">
        <f aca="false">L357/L369*100</f>
        <v>0.861572232130608</v>
      </c>
      <c r="M359" s="62" t="n">
        <f aca="false">M357/M369*100</f>
        <v>0.772803880462038</v>
      </c>
      <c r="N359" s="62" t="n">
        <f aca="false">N357/N369*100</f>
        <v>0.588235294117647</v>
      </c>
      <c r="O359" s="62" t="n">
        <f aca="false">O357/O369*100</f>
        <v>1.22131214013462</v>
      </c>
      <c r="P359" s="62" t="n">
        <f aca="false">P357/P369*100</f>
        <v>0.347811435654884</v>
      </c>
      <c r="Q359" s="62" t="n">
        <f aca="false">Q357/Q369*100</f>
        <v>0.738215558943211</v>
      </c>
      <c r="R359" s="62" t="n">
        <f aca="false">R357/R369*100</f>
        <v>0.944314820598556</v>
      </c>
      <c r="S359" s="62" t="n">
        <f aca="false">S357/S369*100</f>
        <v>1.30776209992804</v>
      </c>
      <c r="T359" s="62" t="n">
        <f aca="false">T357/T369*100</f>
        <v>0.743842050453744</v>
      </c>
      <c r="U359" s="62" t="n">
        <f aca="false">U357/U369*100</f>
        <v>7.77919403863124</v>
      </c>
      <c r="V359" s="62" t="n">
        <f aca="false">V357/V369*100</f>
        <v>30.6733210599332</v>
      </c>
      <c r="W359" s="62" t="n">
        <f aca="false">W357/W369*100</f>
        <v>31.4102779363534</v>
      </c>
      <c r="X359" s="62" t="n">
        <f aca="false">X357/X369*100</f>
        <v>24.6954300204</v>
      </c>
      <c r="Y359" s="62" t="n">
        <f aca="false">Y357/Y369*100</f>
        <v>20.2966032308821</v>
      </c>
      <c r="Z359" s="62" t="n">
        <f aca="false">Z357/Z369*100</f>
        <v>21.3330484055533</v>
      </c>
      <c r="AA359" s="62" t="n">
        <f aca="false">AA357/AA369*100</f>
        <v>24.0746141485535</v>
      </c>
      <c r="AB359" s="62" t="n">
        <f aca="false">AB357/AB369*100</f>
        <v>26.9190235400221</v>
      </c>
      <c r="AC359" s="62" t="n">
        <f aca="false">AC357/AC369*100</f>
        <v>35.8570253806296</v>
      </c>
      <c r="AD359" s="62" t="n">
        <f aca="false">AD357/AD369*100</f>
        <v>46.3396713498486</v>
      </c>
      <c r="AE359" s="62" t="n">
        <f aca="false">AE357/AE369*100</f>
        <v>40.6947929492075</v>
      </c>
      <c r="AF359" s="62" t="n">
        <f aca="false">AF357/AF369*100</f>
        <v>34.6593480918811</v>
      </c>
      <c r="AG359" s="62" t="n">
        <f aca="false">AG357/AG369*100</f>
        <v>34.2264090855391</v>
      </c>
      <c r="AH359" s="62" t="n">
        <f aca="false">AH357/AH369*100</f>
        <v>33.3425597022958</v>
      </c>
      <c r="AI359" s="62" t="n">
        <f aca="false">AI357/AI369*100</f>
        <v>33.7157555219859</v>
      </c>
      <c r="AJ359" s="62" t="n">
        <f aca="false">AJ357/AJ369*100</f>
        <v>35.0640980600992</v>
      </c>
      <c r="AK359" s="62" t="n">
        <f aca="false">AK357/AK369*100</f>
        <v>35.3669390379043</v>
      </c>
      <c r="AL359" s="62" t="n">
        <f aca="false">AL357/AL369*100</f>
        <v>35.2538309371303</v>
      </c>
      <c r="AM359" s="41"/>
      <c r="AN359" s="41"/>
      <c r="AO359" s="41"/>
    </row>
    <row r="360" customFormat="false" ht="12.75" hidden="false" customHeight="true" outlineLevel="0" collapsed="false">
      <c r="A360" s="149" t="s">
        <v>425</v>
      </c>
      <c r="H360" s="41"/>
      <c r="I360" s="62" t="n">
        <f aca="false">I357/H357*100-100</f>
        <v>-36.5384615384615</v>
      </c>
      <c r="J360" s="62" t="n">
        <f aca="false">J357/I357*100-100</f>
        <v>12.7946127946128</v>
      </c>
      <c r="K360" s="62" t="n">
        <f aca="false">K357/J357*100-100</f>
        <v>-64.1791044776119</v>
      </c>
      <c r="L360" s="62" t="n">
        <f aca="false">L357/K357*100-100</f>
        <v>161.666666666667</v>
      </c>
      <c r="M360" s="62" t="n">
        <f aca="false">M357/L357*100-100</f>
        <v>19.7452229299363</v>
      </c>
      <c r="N360" s="62" t="n">
        <f aca="false">N357/M357*100-100</f>
        <v>-14.3617021276596</v>
      </c>
      <c r="O360" s="62" t="n">
        <f aca="false">O357/N357*100-100</f>
        <v>133.850931677019</v>
      </c>
      <c r="P360" s="62" t="n">
        <f aca="false">P357/O357*100-100</f>
        <v>-61.6201859229748</v>
      </c>
      <c r="Q360" s="62" t="n">
        <f aca="false">Q357/P357*100-100</f>
        <v>112.80276816609</v>
      </c>
      <c r="R360" s="62" t="n">
        <f aca="false">R357/Q357*100-100</f>
        <v>-16.4227642276423</v>
      </c>
      <c r="S360" s="62" t="n">
        <f aca="false">S357/R357*100-100</f>
        <v>62.6459143968872</v>
      </c>
      <c r="T360" s="62" t="n">
        <f aca="false">T357/S357*100-100</f>
        <v>-16.2679425837321</v>
      </c>
      <c r="U360" s="62" t="n">
        <f aca="false">U357/T357*100-100</f>
        <v>1033.42857142857</v>
      </c>
      <c r="V360" s="62" t="n">
        <f aca="false">V357/U357*100-100</f>
        <v>343.093017393496</v>
      </c>
      <c r="W360" s="62" t="n">
        <f aca="false">W357/V357*100-100</f>
        <v>-20.1792063717821</v>
      </c>
      <c r="X360" s="62" t="n">
        <f aca="false">X357/W357*100-100</f>
        <v>-7.67969780121878</v>
      </c>
      <c r="Y360" s="62" t="n">
        <f aca="false">Y357/X357*100-100</f>
        <v>10.0440052497491</v>
      </c>
      <c r="Z360" s="62" t="n">
        <f aca="false">Z357/Y357*100-100</f>
        <v>8.55549319489266</v>
      </c>
      <c r="AA360" s="62" t="n">
        <f aca="false">AA357/Z357*100-100</f>
        <v>36.0390344783016</v>
      </c>
      <c r="AB360" s="62" t="n">
        <f aca="false">AB357/AA357*100-100</f>
        <v>26.1971496437055</v>
      </c>
      <c r="AC360" s="62" t="n">
        <f aca="false">AC357/AB357*100-100</f>
        <v>-15.4661296090647</v>
      </c>
      <c r="AD360" s="62" t="n">
        <f aca="false">AD357/AC357*100-100</f>
        <v>3.91654791592448</v>
      </c>
      <c r="AE360" s="62" t="n">
        <f aca="false">AE357/AD357*100-100</f>
        <v>11.8938955668402</v>
      </c>
      <c r="AF360" s="62" t="n">
        <f aca="false">AF357/AE357*100-100</f>
        <v>27.5650109149401</v>
      </c>
      <c r="AG360" s="62" t="n">
        <f aca="false">AG357/AF357*100-100</f>
        <v>0.0240178933305231</v>
      </c>
      <c r="AH360" s="62" t="n">
        <f aca="false">AH357/AG357*100-100</f>
        <v>-2.37720048624556</v>
      </c>
      <c r="AI360" s="62" t="n">
        <f aca="false">AI357/AH357*100-100</f>
        <v>14.2554074620671</v>
      </c>
      <c r="AJ360" s="208" t="n">
        <v>12</v>
      </c>
      <c r="AK360" s="208" t="n">
        <v>8</v>
      </c>
      <c r="AL360" s="208" t="n">
        <v>6</v>
      </c>
      <c r="AM360" s="41"/>
      <c r="AN360" s="41"/>
      <c r="AO360" s="41"/>
    </row>
    <row r="361" customFormat="false" ht="12.75" hidden="false" customHeight="true" outlineLevel="0" collapsed="false">
      <c r="A361" s="59" t="s">
        <v>448</v>
      </c>
      <c r="B361" s="19"/>
      <c r="C361" s="19"/>
      <c r="D361" s="19"/>
      <c r="E361" s="19"/>
      <c r="F361" s="19"/>
      <c r="G361" s="19"/>
      <c r="H361" s="208" t="n">
        <v>100</v>
      </c>
      <c r="I361" s="208" t="n">
        <v>187</v>
      </c>
      <c r="J361" s="208" t="n">
        <v>200</v>
      </c>
      <c r="K361" s="208" t="n">
        <v>164</v>
      </c>
      <c r="L361" s="208" t="n">
        <v>323</v>
      </c>
      <c r="M361" s="208" t="n">
        <v>289</v>
      </c>
      <c r="N361" s="42" t="n">
        <v>97</v>
      </c>
      <c r="O361" s="42" t="n">
        <v>44</v>
      </c>
      <c r="P361" s="42" t="n">
        <v>11</v>
      </c>
      <c r="Q361" s="42" t="n">
        <v>208</v>
      </c>
      <c r="R361" s="42" t="n">
        <v>838</v>
      </c>
      <c r="S361" s="42" t="n">
        <v>285</v>
      </c>
      <c r="T361" s="42" t="n">
        <v>171</v>
      </c>
      <c r="U361" s="42" t="n">
        <v>774</v>
      </c>
      <c r="V361" s="42" t="n">
        <v>543</v>
      </c>
      <c r="W361" s="215" t="n">
        <f aca="false">922+7</f>
        <v>929</v>
      </c>
      <c r="X361" s="215" t="n">
        <f aca="false">1330+6</f>
        <v>1336</v>
      </c>
      <c r="Y361" s="215" t="n">
        <f aca="false">2091+96</f>
        <v>2187</v>
      </c>
      <c r="Z361" s="42" t="n">
        <v>823</v>
      </c>
      <c r="AA361" s="42" t="n">
        <v>1341</v>
      </c>
      <c r="AB361" s="42" t="n">
        <v>1379</v>
      </c>
      <c r="AC361" s="42" t="n">
        <v>1734</v>
      </c>
      <c r="AD361" s="42" t="n">
        <v>2237</v>
      </c>
      <c r="AE361" s="215" t="n">
        <f aca="false">54441-52222</f>
        <v>2219</v>
      </c>
      <c r="AF361" s="215" t="n">
        <f aca="false">68096-66617</f>
        <v>1479</v>
      </c>
      <c r="AG361" s="215" t="n">
        <f aca="false">69800-66633</f>
        <v>3167</v>
      </c>
      <c r="AH361" s="215" t="n">
        <f aca="false">69066-65049</f>
        <v>4017</v>
      </c>
      <c r="AI361" s="42" t="n">
        <v>3457</v>
      </c>
      <c r="AJ361" s="39" t="n">
        <f aca="false">ROUND(AI361*(1+AJ364/100),0)</f>
        <v>3526</v>
      </c>
      <c r="AK361" s="39" t="n">
        <f aca="false">ROUND(AJ361*(1+AK364/100),0)</f>
        <v>3702</v>
      </c>
      <c r="AL361" s="39" t="n">
        <f aca="false">ROUND(AK361*(1+AL364/100),0)</f>
        <v>3887</v>
      </c>
      <c r="AM361" s="19"/>
      <c r="AN361" s="19"/>
      <c r="AO361" s="19"/>
    </row>
    <row r="362" customFormat="false" ht="12" hidden="false" customHeight="true" outlineLevel="0" collapsed="false">
      <c r="A362" s="69" t="s">
        <v>447</v>
      </c>
      <c r="H362" s="62" t="n">
        <f aca="false">H361/(H361+H357)*100</f>
        <v>17.6056338028169</v>
      </c>
      <c r="I362" s="62" t="n">
        <f aca="false">I361/(I361+I357)*100</f>
        <v>38.6363636363636</v>
      </c>
      <c r="J362" s="62" t="n">
        <f aca="false">J361/(J361+J357)*100</f>
        <v>37.3831775700935</v>
      </c>
      <c r="K362" s="62" t="n">
        <f aca="false">K361/(K361+K357)*100</f>
        <v>57.7464788732394</v>
      </c>
      <c r="L362" s="62" t="n">
        <f aca="false">L361/(L361+L357)*100</f>
        <v>50.7064364207221</v>
      </c>
      <c r="M362" s="62" t="n">
        <f aca="false">M361/(M361+M357)*100</f>
        <v>43.4586466165414</v>
      </c>
      <c r="N362" s="62" t="n">
        <f aca="false">N361/(N361+N357)*100</f>
        <v>23.1503579952267</v>
      </c>
      <c r="O362" s="62" t="n">
        <f aca="false">O361/(O361+O357)*100</f>
        <v>5.5207026348808</v>
      </c>
      <c r="P362" s="62" t="n">
        <f aca="false">P361/(P361+P357)*100</f>
        <v>3.66666666666667</v>
      </c>
      <c r="Q362" s="62" t="n">
        <f aca="false">Q361/(Q361+Q357)*100</f>
        <v>25.273390036452</v>
      </c>
      <c r="R362" s="62" t="n">
        <f aca="false">R361/(R361+R357)*100</f>
        <v>61.9822485207101</v>
      </c>
      <c r="S362" s="62" t="n">
        <f aca="false">S361/(S361+S357)*100</f>
        <v>25.4237288135593</v>
      </c>
      <c r="T362" s="62" t="n">
        <f aca="false">T361/(T361+T357)*100</f>
        <v>19.6326061997704</v>
      </c>
      <c r="U362" s="62" t="n">
        <f aca="false">U361/(U361+U357)*100</f>
        <v>8.88837850252641</v>
      </c>
      <c r="V362" s="62" t="n">
        <f aca="false">V361/(V361+V357)*100</f>
        <v>1.52109361869012</v>
      </c>
      <c r="W362" s="62" t="n">
        <f aca="false">W361/(W361+W357)*100</f>
        <v>3.20455329423939</v>
      </c>
      <c r="X362" s="62" t="n">
        <f aca="false">X361/(X361+X357)*100</f>
        <v>4.90419205638353</v>
      </c>
      <c r="Y362" s="62" t="n">
        <f aca="false">Y361/(Y361+Y357)*100</f>
        <v>7.12493891513276</v>
      </c>
      <c r="Z362" s="62" t="n">
        <f aca="false">Z361/(Z361+Z357)*100</f>
        <v>2.59049417689644</v>
      </c>
      <c r="AA362" s="62" t="n">
        <f aca="false">AA361/(AA361+AA357)*100</f>
        <v>3.08694551230404</v>
      </c>
      <c r="AB362" s="62" t="n">
        <f aca="false">AB361/(AB361+AB357)*100</f>
        <v>2.52990386732223</v>
      </c>
      <c r="AC362" s="62" t="n">
        <f aca="false">AC361/(AC361+AC357)*100</f>
        <v>3.71736054538438</v>
      </c>
      <c r="AD362" s="62" t="n">
        <f aca="false">AD361/(AD361+AD357)*100</f>
        <v>4.57389384149832</v>
      </c>
      <c r="AE362" s="62" t="n">
        <f aca="false">AE361/(AE361+AE357)*100</f>
        <v>4.07597215334031</v>
      </c>
      <c r="AF362" s="62" t="n">
        <f aca="false">AF361/(AF361+AF357)*100</f>
        <v>2.1719337406015</v>
      </c>
      <c r="AG362" s="62" t="n">
        <f aca="false">AG361/(AG361+AG357)*100</f>
        <v>4.53724928366762</v>
      </c>
      <c r="AH362" s="62" t="n">
        <f aca="false">AH361/(AH361+AH357)*100</f>
        <v>5.81617583181305</v>
      </c>
      <c r="AI362" s="62" t="n">
        <f aca="false">AI361/(AI361+AI357)*100</f>
        <v>4.44464444130164</v>
      </c>
      <c r="AJ362" s="62" t="n">
        <f aca="false">AJ361/(AJ361+AJ357)*100</f>
        <v>4.06377381906226</v>
      </c>
      <c r="AK362" s="62" t="n">
        <f aca="false">AK361/(AK361+AK357)*100</f>
        <v>3.95504829287039</v>
      </c>
      <c r="AL362" s="62" t="n">
        <f aca="false">AL361/(AL361+AL357)*100</f>
        <v>3.91910196491456</v>
      </c>
      <c r="AM362" s="41"/>
      <c r="AN362" s="41"/>
      <c r="AO362" s="41"/>
    </row>
    <row r="363" customFormat="false" ht="12" hidden="false" customHeight="true" outlineLevel="0" collapsed="false">
      <c r="A363" s="149" t="s">
        <v>424</v>
      </c>
      <c r="H363" s="62" t="n">
        <f aca="false">H361/H369*100</f>
        <v>0.372356270479595</v>
      </c>
      <c r="I363" s="62" t="n">
        <f aca="false">I361/I369*100</f>
        <v>0.493938033228559</v>
      </c>
      <c r="J363" s="62" t="n">
        <f aca="false">J361/J369*100</f>
        <v>0.615858352578907</v>
      </c>
      <c r="K363" s="62" t="n">
        <f aca="false">K361/K369*100</f>
        <v>0.552690998550871</v>
      </c>
      <c r="L363" s="62" t="n">
        <f aca="false">L361/L369*100</f>
        <v>0.886266977637536</v>
      </c>
      <c r="M363" s="62" t="n">
        <f aca="false">M361/M369*100</f>
        <v>0.593990216631726</v>
      </c>
      <c r="N363" s="62" t="n">
        <f aca="false">N361/N369*100</f>
        <v>0.177201315308732</v>
      </c>
      <c r="O363" s="62" t="n">
        <f aca="false">O361/O369*100</f>
        <v>0.0713648528099911</v>
      </c>
      <c r="P363" s="62" t="n">
        <f aca="false">P361/P369*100</f>
        <v>0.013238497550878</v>
      </c>
      <c r="Q363" s="62" t="n">
        <f aca="false">Q361/Q369*100</f>
        <v>0.249672904488111</v>
      </c>
      <c r="R363" s="62" t="n">
        <f aca="false">R361/R369*100</f>
        <v>1.53956385148169</v>
      </c>
      <c r="S363" s="62" t="n">
        <f aca="false">S361/S369*100</f>
        <v>0.445827988611832</v>
      </c>
      <c r="T363" s="62" t="n">
        <f aca="false">T361/T369*100</f>
        <v>0.181709986610843</v>
      </c>
      <c r="U363" s="62" t="n">
        <f aca="false">U361/U369*100</f>
        <v>0.758897931169723</v>
      </c>
      <c r="V363" s="62" t="n">
        <f aca="false">V361/V369*100</f>
        <v>0.473776513598171</v>
      </c>
      <c r="W363" s="62" t="n">
        <f aca="false">W361/W369*100</f>
        <v>1.03988269138207</v>
      </c>
      <c r="X363" s="62" t="n">
        <f aca="false">X361/X369*100</f>
        <v>1.27356961735715</v>
      </c>
      <c r="Y363" s="62" t="n">
        <f aca="false">Y361/Y369*100</f>
        <v>1.55706016788056</v>
      </c>
      <c r="Z363" s="62" t="n">
        <f aca="false">Z361/Z369*100</f>
        <v>0.567327974852826</v>
      </c>
      <c r="AA363" s="62" t="n">
        <f aca="false">AA361/AA369*100</f>
        <v>0.766842222641574</v>
      </c>
      <c r="AB363" s="62" t="n">
        <f aca="false">AB361/AB369*100</f>
        <v>0.69870190407669</v>
      </c>
      <c r="AC363" s="62" t="n">
        <f aca="false">AC361/AC369*100</f>
        <v>1.38439797849153</v>
      </c>
      <c r="AD363" s="62" t="n">
        <f aca="false">AD361/AD369*100</f>
        <v>2.22111899915603</v>
      </c>
      <c r="AE363" s="62" t="n">
        <f aca="false">AE361/AE369*100</f>
        <v>1.72918971993205</v>
      </c>
      <c r="AF363" s="62" t="n">
        <f aca="false">AF361/AF369*100</f>
        <v>0.769490908144949</v>
      </c>
      <c r="AG363" s="62" t="n">
        <f aca="false">AG361/AG369*100</f>
        <v>1.62674707087933</v>
      </c>
      <c r="AH363" s="62" t="n">
        <f aca="false">AH361/AH369*100</f>
        <v>2.05901800679676</v>
      </c>
      <c r="AI363" s="62" t="n">
        <f aca="false">AI361/AI369*100</f>
        <v>1.56824852452175</v>
      </c>
      <c r="AJ363" s="62" t="n">
        <f aca="false">AJ361/AJ369*100</f>
        <v>1.48528422847193</v>
      </c>
      <c r="AK363" s="62" t="n">
        <f aca="false">AK361/AK369*100</f>
        <v>1.45638005308645</v>
      </c>
      <c r="AL363" s="62" t="n">
        <f aca="false">AL361/AL369*100</f>
        <v>1.43798987022395</v>
      </c>
      <c r="AM363" s="41"/>
      <c r="AN363" s="41"/>
      <c r="AO363" s="41"/>
    </row>
    <row r="364" customFormat="false" ht="12.75" hidden="false" customHeight="true" outlineLevel="0" collapsed="false">
      <c r="A364" s="149" t="s">
        <v>425</v>
      </c>
      <c r="H364" s="41"/>
      <c r="I364" s="62" t="n">
        <f aca="false">I361/H361*100-100</f>
        <v>87</v>
      </c>
      <c r="J364" s="62" t="n">
        <f aca="false">J361/I361*100-100</f>
        <v>6.95187165775401</v>
      </c>
      <c r="K364" s="62" t="n">
        <f aca="false">K361/J361*100-100</f>
        <v>-18</v>
      </c>
      <c r="L364" s="62" t="n">
        <f aca="false">L361/K361*100-100</f>
        <v>96.9512195121951</v>
      </c>
      <c r="M364" s="62" t="n">
        <f aca="false">M361/L361*100-100</f>
        <v>-10.5263157894737</v>
      </c>
      <c r="N364" s="62" t="n">
        <f aca="false">N361/M361*100-100</f>
        <v>-66.4359861591695</v>
      </c>
      <c r="O364" s="62" t="n">
        <f aca="false">O361/N361*100-100</f>
        <v>-54.639175257732</v>
      </c>
      <c r="P364" s="62" t="n">
        <f aca="false">P361/O361*100-100</f>
        <v>-75</v>
      </c>
      <c r="Q364" s="62" t="n">
        <f aca="false">Q361/P361*100-100</f>
        <v>1790.90909090909</v>
      </c>
      <c r="R364" s="62" t="n">
        <f aca="false">R361/Q361*100-100</f>
        <v>302.884615384615</v>
      </c>
      <c r="S364" s="62" t="n">
        <f aca="false">S361/R361*100-100</f>
        <v>-65.9904534606205</v>
      </c>
      <c r="T364" s="62" t="n">
        <f aca="false">T361/S361*100-100</f>
        <v>-40</v>
      </c>
      <c r="U364" s="62" t="n">
        <f aca="false">U361/T361*100-100</f>
        <v>352.631578947368</v>
      </c>
      <c r="V364" s="62" t="n">
        <f aca="false">V361/U361*100-100</f>
        <v>-29.8449612403101</v>
      </c>
      <c r="W364" s="62" t="n">
        <f aca="false">W361/V361*100-100</f>
        <v>71.0865561694291</v>
      </c>
      <c r="X364" s="62" t="n">
        <f aca="false">X361/W361*100-100</f>
        <v>43.8105489773951</v>
      </c>
      <c r="Y364" s="62" t="n">
        <f aca="false">Y361/X361*100-100</f>
        <v>63.6976047904192</v>
      </c>
      <c r="Z364" s="62" t="n">
        <f aca="false">Z361/Y361*100-100</f>
        <v>-62.3685413808871</v>
      </c>
      <c r="AA364" s="62" t="n">
        <f aca="false">AA361/Z361*100-100</f>
        <v>62.9404617253949</v>
      </c>
      <c r="AB364" s="62" t="n">
        <f aca="false">AB361/AA361*100-100</f>
        <v>2.83370618941088</v>
      </c>
      <c r="AC364" s="62" t="n">
        <f aca="false">AC361/AB361*100-100</f>
        <v>25.7432922407542</v>
      </c>
      <c r="AD364" s="62" t="n">
        <f aca="false">AD361/AC361*100-100</f>
        <v>29.0080738177624</v>
      </c>
      <c r="AE364" s="62" t="n">
        <f aca="false">AE361/AD361*100-100</f>
        <v>-0.8046490835941</v>
      </c>
      <c r="AF364" s="62" t="n">
        <f aca="false">AF361/AE361*100-100</f>
        <v>-33.3483551149166</v>
      </c>
      <c r="AG364" s="62" t="n">
        <f aca="false">AG361/AF361*100-100</f>
        <v>114.131169709263</v>
      </c>
      <c r="AH364" s="62" t="n">
        <f aca="false">AH361/AG361*100-100</f>
        <v>26.8392800757815</v>
      </c>
      <c r="AI364" s="62" t="n">
        <f aca="false">AI361/AH361*100-100</f>
        <v>-13.9407518048295</v>
      </c>
      <c r="AJ364" s="208" t="n">
        <v>2</v>
      </c>
      <c r="AK364" s="208" t="n">
        <v>5</v>
      </c>
      <c r="AL364" s="208" t="n">
        <v>5</v>
      </c>
      <c r="AM364" s="208" t="n">
        <v>12</v>
      </c>
      <c r="AN364" s="214"/>
      <c r="AO364" s="214"/>
    </row>
    <row r="365" customFormat="false" ht="12.75" hidden="false" customHeight="true" outlineLevel="0" collapsed="false">
      <c r="A365" s="261" t="s">
        <v>449</v>
      </c>
      <c r="B365" s="262"/>
      <c r="C365" s="262"/>
      <c r="D365" s="262"/>
      <c r="E365" s="262"/>
      <c r="F365" s="262"/>
      <c r="G365" s="262"/>
      <c r="H365" s="263" t="n">
        <f aca="false">H331+H339+H357</f>
        <v>24688</v>
      </c>
      <c r="I365" s="263" t="n">
        <f aca="false">I331+I339+I357</f>
        <v>35671</v>
      </c>
      <c r="J365" s="263" t="n">
        <f aca="false">J331+J339+J357</f>
        <v>30064</v>
      </c>
      <c r="K365" s="263" t="n">
        <f aca="false">K331+K339+K357</f>
        <v>27503</v>
      </c>
      <c r="L365" s="263" t="n">
        <f aca="false">L331+L339+L357</f>
        <v>33895</v>
      </c>
      <c r="M365" s="263" t="n">
        <f aca="false">M331+M339+M357</f>
        <v>44872</v>
      </c>
      <c r="N365" s="263" t="n">
        <f aca="false">N331+N339+N357</f>
        <v>47928</v>
      </c>
      <c r="O365" s="263" t="n">
        <f aca="false">O331+O339+O357</f>
        <v>56776</v>
      </c>
      <c r="P365" s="263" t="n">
        <f aca="false">P331+P339+P357</f>
        <v>77069</v>
      </c>
      <c r="Q365" s="263" t="n">
        <f aca="false">Q331+Q339+Q357</f>
        <v>76023</v>
      </c>
      <c r="R365" s="263" t="n">
        <f aca="false">R331+R339+R357</f>
        <v>47619</v>
      </c>
      <c r="S365" s="263" t="n">
        <f aca="false">S331+S339+S357</f>
        <v>57947</v>
      </c>
      <c r="T365" s="263" t="n">
        <f aca="false">T331+T339+T357</f>
        <v>83800</v>
      </c>
      <c r="U365" s="263" t="n">
        <f aca="false">U331+U339+U357</f>
        <v>89081</v>
      </c>
      <c r="V365" s="263" t="n">
        <f aca="false">V331+V339+V357</f>
        <v>105833</v>
      </c>
      <c r="W365" s="263" t="n">
        <f aca="false">W331+W339+W357</f>
        <v>79931</v>
      </c>
      <c r="X365" s="263" t="n">
        <f aca="false">X331+X339+X357</f>
        <v>92348</v>
      </c>
      <c r="Y365" s="263" t="n">
        <f aca="false">Y331+Y339+Y357</f>
        <v>127324</v>
      </c>
      <c r="Z365" s="263" t="n">
        <f aca="false">Z331+Z339+Z357</f>
        <v>133262</v>
      </c>
      <c r="AA365" s="263" t="n">
        <f aca="false">AA331+AA339+AA357</f>
        <v>158634</v>
      </c>
      <c r="AB365" s="263" t="n">
        <f aca="false">AB331+AB339+AB357</f>
        <v>185065</v>
      </c>
      <c r="AC365" s="263" t="n">
        <f aca="false">AC331+AC339+AC357</f>
        <v>116333</v>
      </c>
      <c r="AD365" s="263" t="n">
        <f aca="false">AD331+AD339+AD357</f>
        <v>92714</v>
      </c>
      <c r="AE365" s="263" t="n">
        <f aca="false">AE331+AE339+AE357</f>
        <v>117312</v>
      </c>
      <c r="AF365" s="263" t="n">
        <f aca="false">AF331+AF339+AF357</f>
        <v>180916</v>
      </c>
      <c r="AG365" s="263" t="n">
        <f aca="false">AG331+AG339+AG357</f>
        <v>182830</v>
      </c>
      <c r="AH365" s="263" t="n">
        <f aca="false">AH331+AH339+AH357</f>
        <v>179838</v>
      </c>
      <c r="AI365" s="263" t="n">
        <f aca="false">AI331+AI339+AI357</f>
        <v>202355</v>
      </c>
      <c r="AJ365" s="263" t="n">
        <f aca="false">AJ331+AJ339+AJ357</f>
        <v>219815.64</v>
      </c>
      <c r="AK365" s="263" t="n">
        <f aca="false">AK331+AK339+AK357</f>
        <v>235094.8912</v>
      </c>
      <c r="AL365" s="263" t="n">
        <f aca="false">AL331+AL339+AL357</f>
        <v>249659.884672</v>
      </c>
      <c r="AM365" s="264"/>
      <c r="AN365" s="264"/>
      <c r="AO365" s="264"/>
    </row>
    <row r="366" customFormat="false" ht="12.75" hidden="false" customHeight="true" outlineLevel="0" collapsed="false">
      <c r="A366" s="149" t="s">
        <v>425</v>
      </c>
      <c r="B366" s="19"/>
      <c r="C366" s="19"/>
      <c r="D366" s="19"/>
      <c r="E366" s="19"/>
      <c r="F366" s="19"/>
      <c r="G366" s="19"/>
      <c r="H366" s="145"/>
      <c r="I366" s="62" t="n">
        <f aca="false">I365/H365*100-100</f>
        <v>44.4872002592352</v>
      </c>
      <c r="J366" s="62" t="n">
        <f aca="false">J365/I365*100-100</f>
        <v>-15.7186510050181</v>
      </c>
      <c r="K366" s="62" t="n">
        <f aca="false">K365/J365*100-100</f>
        <v>-8.51849387972325</v>
      </c>
      <c r="L366" s="62" t="n">
        <f aca="false">L365/K365*100-100</f>
        <v>23.2411009708032</v>
      </c>
      <c r="M366" s="62" t="n">
        <f aca="false">M365/L365*100-100</f>
        <v>32.3853075674878</v>
      </c>
      <c r="N366" s="62" t="n">
        <f aca="false">N365/M365*100-100</f>
        <v>6.81048315207701</v>
      </c>
      <c r="O366" s="62" t="n">
        <f aca="false">O365/N365*100-100</f>
        <v>18.4610248706393</v>
      </c>
      <c r="P366" s="62" t="n">
        <f aca="false">P365/O365*100-100</f>
        <v>35.7422150204312</v>
      </c>
      <c r="Q366" s="62" t="n">
        <f aca="false">Q365/P365*100-100</f>
        <v>-1.35722534352334</v>
      </c>
      <c r="R366" s="62" t="n">
        <f aca="false">R365/Q365*100-100</f>
        <v>-37.3623771753285</v>
      </c>
      <c r="S366" s="62" t="n">
        <f aca="false">S365/R365*100-100</f>
        <v>21.6888216888217</v>
      </c>
      <c r="T366" s="62" t="n">
        <f aca="false">T365/S365*100-100</f>
        <v>44.6149067251109</v>
      </c>
      <c r="U366" s="62" t="n">
        <f aca="false">U365/T365*100-100</f>
        <v>6.30190930787589</v>
      </c>
      <c r="V366" s="62" t="n">
        <f aca="false">V365/U365*100-100</f>
        <v>18.8053569223516</v>
      </c>
      <c r="W366" s="62" t="n">
        <f aca="false">W365/V365*100-100</f>
        <v>-24.4744077934104</v>
      </c>
      <c r="X366" s="62" t="n">
        <f aca="false">X365/W365*100-100</f>
        <v>15.5346486344472</v>
      </c>
      <c r="Y366" s="62" t="n">
        <f aca="false">Y365/X365*100-100</f>
        <v>37.8741282973102</v>
      </c>
      <c r="Z366" s="62" t="n">
        <f aca="false">Z365/Y365*100-100</f>
        <v>4.66369262668466</v>
      </c>
      <c r="AA366" s="62" t="n">
        <f aca="false">AA365/Z365*100-100</f>
        <v>19.039185964491</v>
      </c>
      <c r="AB366" s="62" t="n">
        <f aca="false">AB365/AA365*100-100</f>
        <v>16.6616236115839</v>
      </c>
      <c r="AC366" s="62" t="n">
        <f aca="false">AC365/AB365*100-100</f>
        <v>-37.1393834598655</v>
      </c>
      <c r="AD366" s="62" t="n">
        <f aca="false">AD365/AC365*100-100</f>
        <v>-20.3029235040788</v>
      </c>
      <c r="AE366" s="62" t="n">
        <f aca="false">AE365/AD365*100-100</f>
        <v>26.531052483983</v>
      </c>
      <c r="AF366" s="62" t="n">
        <f aca="false">AF365/AE365*100-100</f>
        <v>54.2178123295145</v>
      </c>
      <c r="AG366" s="62" t="n">
        <f aca="false">AG365/AF365*100-100</f>
        <v>1.05794954564549</v>
      </c>
      <c r="AH366" s="62" t="n">
        <f aca="false">AH365/AG365*100-100</f>
        <v>-1.63649291691735</v>
      </c>
      <c r="AI366" s="62" t="n">
        <f aca="false">AI365/AH365*100-100</f>
        <v>12.520713086222</v>
      </c>
      <c r="AJ366" s="62" t="n">
        <f aca="false">AJ365/AI365*100-100</f>
        <v>8.62871685898546</v>
      </c>
      <c r="AK366" s="62" t="n">
        <f aca="false">AK365/AJ365*100-100</f>
        <v>6.95093906875779</v>
      </c>
      <c r="AL366" s="62" t="n">
        <f aca="false">AL365/AK365*100-100</f>
        <v>6.1953679204408</v>
      </c>
      <c r="AM366" s="41"/>
      <c r="AN366" s="41"/>
      <c r="AO366" s="41"/>
      <c r="AP366" s="61"/>
    </row>
    <row r="367" customFormat="false" ht="12.75" hidden="false" customHeight="true" outlineLevel="0" collapsed="false">
      <c r="A367" s="265" t="s">
        <v>450</v>
      </c>
      <c r="B367" s="262"/>
      <c r="C367" s="262"/>
      <c r="D367" s="262"/>
      <c r="E367" s="262"/>
      <c r="F367" s="262"/>
      <c r="G367" s="262"/>
      <c r="H367" s="263" t="n">
        <f aca="false">H335+H343+H361</f>
        <v>2168</v>
      </c>
      <c r="I367" s="263" t="n">
        <f aca="false">I335+I343+I361</f>
        <v>2188</v>
      </c>
      <c r="J367" s="263" t="n">
        <f aca="false">J335+J343+J361</f>
        <v>2411</v>
      </c>
      <c r="K367" s="263" t="n">
        <f aca="false">K335+K343+K361</f>
        <v>2170</v>
      </c>
      <c r="L367" s="263" t="n">
        <f aca="false">L335+L343+L361</f>
        <v>2550</v>
      </c>
      <c r="M367" s="263" t="n">
        <f aca="false">M335+M343+M361</f>
        <v>3782</v>
      </c>
      <c r="N367" s="263" t="n">
        <f aca="false">N335+N343+N361</f>
        <v>6812</v>
      </c>
      <c r="O367" s="263" t="n">
        <f aca="false">O335+O343+O361</f>
        <v>4879</v>
      </c>
      <c r="P367" s="263" t="n">
        <f aca="false">P335+P343+P361</f>
        <v>6022</v>
      </c>
      <c r="Q367" s="263" t="n">
        <f aca="false">Q335+Q343+Q361</f>
        <v>7286</v>
      </c>
      <c r="R367" s="263" t="n">
        <f aca="false">R335+R343+R361</f>
        <v>6812</v>
      </c>
      <c r="S367" s="263" t="n">
        <f aca="false">S335+S343+S361</f>
        <v>5979</v>
      </c>
      <c r="T367" s="263" t="n">
        <f aca="false">T335+T343+T361</f>
        <v>10306</v>
      </c>
      <c r="U367" s="263" t="n">
        <f aca="false">U335+U343+U361</f>
        <v>12909</v>
      </c>
      <c r="V367" s="263" t="n">
        <f aca="false">V335+V343+V361</f>
        <v>8778</v>
      </c>
      <c r="W367" s="263" t="n">
        <f aca="false">W335+W343+W361</f>
        <v>9406</v>
      </c>
      <c r="X367" s="263" t="n">
        <f aca="false">X335+X343+X361</f>
        <v>12554</v>
      </c>
      <c r="Y367" s="263" t="n">
        <f aca="false">Y335+Y343+Y361</f>
        <v>13133</v>
      </c>
      <c r="Z367" s="263" t="n">
        <f aca="false">Z335+Z343+Z361</f>
        <v>11804</v>
      </c>
      <c r="AA367" s="263" t="n">
        <f aca="false">AA335+AA343+AA361</f>
        <v>16239</v>
      </c>
      <c r="AB367" s="263" t="n">
        <f aca="false">AB335+AB343+AB361</f>
        <v>12301</v>
      </c>
      <c r="AC367" s="263" t="n">
        <f aca="false">AC335+AC343+AC361</f>
        <v>8920</v>
      </c>
      <c r="AD367" s="263" t="n">
        <f aca="false">AD335+AD343+AD361</f>
        <v>8001</v>
      </c>
      <c r="AE367" s="263" t="n">
        <f aca="false">AE335+AE343+AE361</f>
        <v>11014</v>
      </c>
      <c r="AF367" s="263" t="n">
        <f aca="false">AF335+AF343+AF361</f>
        <v>11289</v>
      </c>
      <c r="AG367" s="263" t="n">
        <f aca="false">AG335+AG343+AG361</f>
        <v>11853</v>
      </c>
      <c r="AH367" s="263" t="n">
        <f aca="false">AH335+AH343+AH361</f>
        <v>15255</v>
      </c>
      <c r="AI367" s="263" t="n">
        <f aca="false">AI335+AI343+AI361</f>
        <v>18082</v>
      </c>
      <c r="AJ367" s="263" t="n">
        <f aca="false">AJ335+AJ343+AJ361</f>
        <v>17580</v>
      </c>
      <c r="AK367" s="263" t="n">
        <f aca="false">AK335+AK343+AK361</f>
        <v>19097</v>
      </c>
      <c r="AL367" s="263" t="n">
        <f aca="false">AL335+AL343+AL361</f>
        <v>20648</v>
      </c>
      <c r="AM367" s="264"/>
      <c r="AN367" s="264"/>
      <c r="AO367" s="264"/>
    </row>
    <row r="368" customFormat="false" ht="12.75" hidden="false" customHeight="true" outlineLevel="0" collapsed="false">
      <c r="A368" s="149" t="s">
        <v>425</v>
      </c>
      <c r="B368" s="19"/>
      <c r="C368" s="19"/>
      <c r="D368" s="19"/>
      <c r="E368" s="19"/>
      <c r="F368" s="19"/>
      <c r="G368" s="19"/>
      <c r="H368" s="41"/>
      <c r="I368" s="62" t="n">
        <f aca="false">I367/H367*100-100</f>
        <v>0.922509225092256</v>
      </c>
      <c r="J368" s="62" t="n">
        <f aca="false">J367/I367*100-100</f>
        <v>10.1919561243144</v>
      </c>
      <c r="K368" s="62" t="n">
        <f aca="false">K367/J367*100-100</f>
        <v>-9.99585234342597</v>
      </c>
      <c r="L368" s="62" t="n">
        <f aca="false">L367/K367*100-100</f>
        <v>17.5115207373272</v>
      </c>
      <c r="M368" s="62" t="n">
        <f aca="false">M367/L367*100-100</f>
        <v>48.3137254901961</v>
      </c>
      <c r="N368" s="62" t="n">
        <f aca="false">N367/M367*100-100</f>
        <v>80.11634056055</v>
      </c>
      <c r="O368" s="62" t="n">
        <f aca="false">O367/N367*100-100</f>
        <v>-28.3763945977686</v>
      </c>
      <c r="P368" s="62" t="n">
        <f aca="false">P367/O367*100-100</f>
        <v>23.4269317483091</v>
      </c>
      <c r="Q368" s="62" t="n">
        <f aca="false">Q367/P367*100-100</f>
        <v>20.9897044171372</v>
      </c>
      <c r="R368" s="62" t="n">
        <f aca="false">R367/Q367*100-100</f>
        <v>-6.50562723030468</v>
      </c>
      <c r="S368" s="62" t="n">
        <f aca="false">S367/R367*100-100</f>
        <v>-12.2284204345273</v>
      </c>
      <c r="T368" s="62" t="n">
        <f aca="false">T367/S367*100-100</f>
        <v>72.3699615320288</v>
      </c>
      <c r="U368" s="62" t="n">
        <f aca="false">U367/T367*100-100</f>
        <v>25.2571317679022</v>
      </c>
      <c r="V368" s="62" t="n">
        <f aca="false">V367/U367*100-100</f>
        <v>-32.0009295840111</v>
      </c>
      <c r="W368" s="62" t="n">
        <f aca="false">W367/V367*100-100</f>
        <v>7.15424925951243</v>
      </c>
      <c r="X368" s="62" t="n">
        <f aca="false">X367/W367*100-100</f>
        <v>33.4679991494791</v>
      </c>
      <c r="Y368" s="62" t="n">
        <f aca="false">Y367/X367*100-100</f>
        <v>4.61207583240402</v>
      </c>
      <c r="Z368" s="62" t="n">
        <f aca="false">Z367/Y367*100-100</f>
        <v>-10.1195461813752</v>
      </c>
      <c r="AA368" s="62" t="n">
        <f aca="false">AA367/Z367*100-100</f>
        <v>37.5720094883091</v>
      </c>
      <c r="AB368" s="62" t="n">
        <f aca="false">AB367/AA367*100-100</f>
        <v>-24.2502617156229</v>
      </c>
      <c r="AC368" s="62" t="n">
        <f aca="false">AC367/AB367*100-100</f>
        <v>-27.4855702788391</v>
      </c>
      <c r="AD368" s="62" t="n">
        <f aca="false">AD367/AC367*100-100</f>
        <v>-10.3026905829596</v>
      </c>
      <c r="AE368" s="62" t="n">
        <f aca="false">AE367/AD367*100-100</f>
        <v>37.657792775903</v>
      </c>
      <c r="AF368" s="62" t="n">
        <f aca="false">AF367/AE367*100-100</f>
        <v>2.49682222625749</v>
      </c>
      <c r="AG368" s="62" t="n">
        <f aca="false">AG367/AF367*100-100</f>
        <v>4.99601381876163</v>
      </c>
      <c r="AH368" s="62" t="n">
        <f aca="false">AH367/AG367*100-100</f>
        <v>28.7015945330296</v>
      </c>
      <c r="AI368" s="62" t="n">
        <f aca="false">AI367/AH367*100-100</f>
        <v>18.5316289741069</v>
      </c>
      <c r="AJ368" s="62" t="n">
        <f aca="false">AJ367/AI367*100-100</f>
        <v>-2.77624156619844</v>
      </c>
      <c r="AK368" s="62" t="n">
        <f aca="false">AK367/AJ367*100-100</f>
        <v>8.62912400455062</v>
      </c>
      <c r="AL368" s="62" t="n">
        <f aca="false">AL367/AK367*100-100</f>
        <v>8.12169450699062</v>
      </c>
      <c r="AM368" s="41"/>
      <c r="AN368" s="41"/>
      <c r="AO368" s="41"/>
      <c r="AP368" s="61"/>
    </row>
    <row r="369" customFormat="false" ht="12.75" hidden="false" customHeight="true" outlineLevel="0" collapsed="false">
      <c r="A369" s="59" t="s">
        <v>420</v>
      </c>
      <c r="H369" s="67" t="n">
        <f aca="false">H331+H335+H339+H343+H357+H361</f>
        <v>26856</v>
      </c>
      <c r="I369" s="67" t="n">
        <f aca="false">I331+I335+I339+I343+I357+I361</f>
        <v>37859</v>
      </c>
      <c r="J369" s="67" t="n">
        <f aca="false">J331+J335+J339+J343+J357+J361</f>
        <v>32475</v>
      </c>
      <c r="K369" s="67" t="n">
        <f aca="false">K331+K335+K339+K343+K357+K361</f>
        <v>29673</v>
      </c>
      <c r="L369" s="67" t="n">
        <f aca="false">L331+L335+L339+L343+L357+L361</f>
        <v>36445</v>
      </c>
      <c r="M369" s="67" t="n">
        <f aca="false">M331+M335+M339+M343+M357+M361</f>
        <v>48654</v>
      </c>
      <c r="N369" s="67" t="n">
        <f aca="false">N331+N335+N339+N343+N357+N361</f>
        <v>54740</v>
      </c>
      <c r="O369" s="67" t="n">
        <f aca="false">O331+O335+O339+O343+O357+O361</f>
        <v>61655</v>
      </c>
      <c r="P369" s="67" t="n">
        <f aca="false">P331+P335+P339+P343+P357+P361</f>
        <v>83091</v>
      </c>
      <c r="Q369" s="67" t="n">
        <f aca="false">Q331+Q335+Q339+Q343+Q357+Q361</f>
        <v>83309</v>
      </c>
      <c r="R369" s="67" t="n">
        <f aca="false">R331+R335+R339+R343+R357+R361</f>
        <v>54431</v>
      </c>
      <c r="S369" s="67" t="n">
        <f aca="false">S331+S335+S339+S343+S357+S361</f>
        <v>63926</v>
      </c>
      <c r="T369" s="67" t="n">
        <f aca="false">T331+T335+T339+T343+T357+T361</f>
        <v>94106</v>
      </c>
      <c r="U369" s="67" t="n">
        <f aca="false">U331+U335+U339+U343+U357+U361</f>
        <v>101990</v>
      </c>
      <c r="V369" s="67" t="n">
        <f aca="false">V331+V335+V339+V343+V357+V361</f>
        <v>114611</v>
      </c>
      <c r="W369" s="67" t="n">
        <f aca="false">W331+W335+W339+W343+W357+W361</f>
        <v>89337</v>
      </c>
      <c r="X369" s="67" t="n">
        <f aca="false">X331+X335+X339+X343+X357+X361</f>
        <v>104902</v>
      </c>
      <c r="Y369" s="67" t="n">
        <f aca="false">Y331+Y335+Y339+Y343+Y357+Y361</f>
        <v>140457</v>
      </c>
      <c r="Z369" s="67" t="n">
        <f aca="false">Z331+Z335+Z339+Z343+Z357+Z361</f>
        <v>145066</v>
      </c>
      <c r="AA369" s="67" t="n">
        <f aca="false">AA331+AA335+AA339+AA343+AA357+AA361</f>
        <v>174873</v>
      </c>
      <c r="AB369" s="67" t="n">
        <f aca="false">AB331+AB335+AB339+AB343+AB357+AB361</f>
        <v>197366</v>
      </c>
      <c r="AC369" s="67" t="n">
        <f aca="false">AC331+AC335+AC339+AC343+AC357+AC361</f>
        <v>125253</v>
      </c>
      <c r="AD369" s="67" t="n">
        <f aca="false">AD331+AD335+AD339+AD343+AD357+AD361</f>
        <v>100715</v>
      </c>
      <c r="AE369" s="67" t="n">
        <f aca="false">AE331+AE335+AE339+AE343+AE357+AE361</f>
        <v>128326</v>
      </c>
      <c r="AF369" s="67" t="n">
        <f aca="false">AF331+AF335+AF339+AF343+AF357+AF361</f>
        <v>192205</v>
      </c>
      <c r="AG369" s="67" t="n">
        <f aca="false">AG331+AG335+AG339+AG343+AG357+AG361</f>
        <v>194683</v>
      </c>
      <c r="AH369" s="67" t="n">
        <f aca="false">AH331+AH335+AH339+AH343+AH357+AH361</f>
        <v>195093</v>
      </c>
      <c r="AI369" s="67" t="n">
        <f aca="false">AI331+AI335+AI339+AI343+AI357+AI361</f>
        <v>220437</v>
      </c>
      <c r="AJ369" s="67" t="n">
        <f aca="false">AJ331+AJ335+AJ339+AJ343+AJ357+AJ361</f>
        <v>237395.64</v>
      </c>
      <c r="AK369" s="67" t="n">
        <f aca="false">AK331+AK335+AK339+AK343+AK357+AK361</f>
        <v>254191.8912</v>
      </c>
      <c r="AL369" s="67" t="n">
        <f aca="false">AL331+AL335+AL339+AL343+AL357+AL361</f>
        <v>270307.884672</v>
      </c>
      <c r="AM369" s="145"/>
      <c r="AN369" s="145"/>
      <c r="AO369" s="145"/>
      <c r="AP369" s="31"/>
    </row>
    <row r="370" customFormat="false" ht="12" hidden="false" customHeight="true" outlineLevel="0" collapsed="false">
      <c r="A370" s="69" t="s">
        <v>451</v>
      </c>
      <c r="H370" s="62" t="n">
        <f aca="false">H369-H367-H365</f>
        <v>0</v>
      </c>
      <c r="I370" s="62" t="n">
        <f aca="false">I369-I367-I365</f>
        <v>0</v>
      </c>
      <c r="J370" s="62" t="n">
        <f aca="false">J369-J367-J365</f>
        <v>0</v>
      </c>
      <c r="K370" s="62" t="n">
        <f aca="false">K369-K367-K365</f>
        <v>0</v>
      </c>
      <c r="L370" s="62" t="n">
        <f aca="false">L369-L367-L365</f>
        <v>0</v>
      </c>
      <c r="M370" s="62" t="n">
        <f aca="false">M369-M367-M365</f>
        <v>0</v>
      </c>
      <c r="N370" s="62" t="n">
        <f aca="false">N369-N367-N365</f>
        <v>0</v>
      </c>
      <c r="O370" s="62" t="n">
        <f aca="false">O369-O367-O365</f>
        <v>0</v>
      </c>
      <c r="P370" s="62" t="n">
        <f aca="false">P369-P367-P365</f>
        <v>0</v>
      </c>
      <c r="Q370" s="62" t="n">
        <f aca="false">Q369-Q367-Q365</f>
        <v>0</v>
      </c>
      <c r="R370" s="62" t="n">
        <f aca="false">R369-R367-R365</f>
        <v>0</v>
      </c>
      <c r="S370" s="62" t="n">
        <f aca="false">S369-S367-S365</f>
        <v>0</v>
      </c>
      <c r="T370" s="62" t="n">
        <f aca="false">T369-T367-T365</f>
        <v>0</v>
      </c>
      <c r="U370" s="62" t="n">
        <f aca="false">U369-U367-U365</f>
        <v>0</v>
      </c>
      <c r="V370" s="62" t="n">
        <f aca="false">V369-V367-V365</f>
        <v>0</v>
      </c>
      <c r="W370" s="62" t="n">
        <f aca="false">W369-W367-W365</f>
        <v>0</v>
      </c>
      <c r="X370" s="62" t="n">
        <f aca="false">X369-X367-X365</f>
        <v>0</v>
      </c>
      <c r="Y370" s="62" t="n">
        <f aca="false">Y369-Y367-Y365</f>
        <v>0</v>
      </c>
      <c r="Z370" s="62" t="n">
        <f aca="false">Z369-Z367-Z365</f>
        <v>0</v>
      </c>
      <c r="AA370" s="62" t="n">
        <f aca="false">AA369-AA367-AA365</f>
        <v>0</v>
      </c>
      <c r="AB370" s="62" t="n">
        <f aca="false">AB369-AB367-AB365</f>
        <v>0</v>
      </c>
      <c r="AC370" s="62" t="n">
        <f aca="false">AC369-AC367-AC365</f>
        <v>0</v>
      </c>
      <c r="AD370" s="62" t="n">
        <f aca="false">AD369-AD367-AD365</f>
        <v>0</v>
      </c>
      <c r="AE370" s="62" t="n">
        <f aca="false">AE369-AE367-AE365</f>
        <v>0</v>
      </c>
      <c r="AF370" s="62" t="n">
        <f aca="false">AF369-AF367-AF365</f>
        <v>0</v>
      </c>
      <c r="AG370" s="62" t="n">
        <f aca="false">AG369-AG367-AG365</f>
        <v>0</v>
      </c>
      <c r="AH370" s="62" t="n">
        <f aca="false">AH369-AH367-AH365</f>
        <v>0</v>
      </c>
      <c r="AI370" s="62" t="n">
        <f aca="false">AI369-AI367-AI365</f>
        <v>0</v>
      </c>
      <c r="AJ370" s="62" t="n">
        <f aca="false">AJ369-AJ367-AJ365</f>
        <v>0</v>
      </c>
      <c r="AK370" s="62" t="n">
        <f aca="false">AK369-AK367-AK365</f>
        <v>0</v>
      </c>
      <c r="AL370" s="62" t="n">
        <f aca="false">AL369-AL367-AL365</f>
        <v>0</v>
      </c>
      <c r="AM370" s="41"/>
      <c r="AN370" s="41"/>
      <c r="AO370" s="41"/>
      <c r="AP370" s="61"/>
    </row>
    <row r="371" customFormat="false" ht="12" hidden="false" customHeight="true" outlineLevel="0" collapsed="false">
      <c r="A371" s="149" t="s">
        <v>425</v>
      </c>
      <c r="I371" s="109" t="n">
        <f aca="false">I369/H369*100-100</f>
        <v>40.9703604408698</v>
      </c>
      <c r="J371" s="109" t="n">
        <f aca="false">J369/I369*100-100</f>
        <v>-14.2211891492115</v>
      </c>
      <c r="K371" s="109" t="n">
        <f aca="false">K369/J369*100-100</f>
        <v>-8.62817551963049</v>
      </c>
      <c r="L371" s="109" t="n">
        <f aca="false">L369/K369*100-100</f>
        <v>22.8220941596738</v>
      </c>
      <c r="M371" s="109" t="n">
        <f aca="false">M369/L369*100-100</f>
        <v>33.4997942104541</v>
      </c>
      <c r="N371" s="109" t="n">
        <f aca="false">N369/M369*100-100</f>
        <v>12.5087351502446</v>
      </c>
      <c r="O371" s="109" t="n">
        <f aca="false">O369/N369*100-100</f>
        <v>12.6324442820606</v>
      </c>
      <c r="P371" s="109" t="n">
        <f aca="false">P369/O369*100-100</f>
        <v>34.7676587462493</v>
      </c>
      <c r="Q371" s="109" t="n">
        <f aca="false">Q369/P369*100-100</f>
        <v>0.262362951462848</v>
      </c>
      <c r="R371" s="109" t="n">
        <f aca="false">R369/Q369*100-100</f>
        <v>-34.6637218067676</v>
      </c>
      <c r="S371" s="109" t="n">
        <f aca="false">S369/R369*100-100</f>
        <v>17.4441035439364</v>
      </c>
      <c r="T371" s="109" t="n">
        <f aca="false">T369/S369*100-100</f>
        <v>47.2108375308951</v>
      </c>
      <c r="U371" s="109" t="n">
        <f aca="false">U369/T369*100-100</f>
        <v>8.37778675111045</v>
      </c>
      <c r="V371" s="109" t="n">
        <f aca="false">V369/U369*100-100</f>
        <v>12.3747426218257</v>
      </c>
      <c r="W371" s="109" t="n">
        <f aca="false">W369/V369*100-100</f>
        <v>-22.0519845390059</v>
      </c>
      <c r="X371" s="109" t="n">
        <f aca="false">X369/W369*100-100</f>
        <v>17.4227923480753</v>
      </c>
      <c r="Y371" s="109" t="n">
        <f aca="false">Y369/X369*100-100</f>
        <v>33.8935387313874</v>
      </c>
      <c r="Z371" s="109" t="n">
        <f aca="false">Z369/Y369*100-100</f>
        <v>3.28143132773731</v>
      </c>
      <c r="AA371" s="109" t="n">
        <f aca="false">AA369/Z369*100-100</f>
        <v>20.5471992058787</v>
      </c>
      <c r="AB371" s="109" t="n">
        <f aca="false">AB369/AA369*100-100</f>
        <v>12.8624773406987</v>
      </c>
      <c r="AC371" s="109" t="n">
        <f aca="false">AC369/AB369*100-100</f>
        <v>-36.5377015291388</v>
      </c>
      <c r="AD371" s="109" t="n">
        <f aca="false">AD369/AC369*100-100</f>
        <v>-19.5907483253894</v>
      </c>
      <c r="AE371" s="109" t="n">
        <f aca="false">AE369/AD369*100-100</f>
        <v>27.4149828724619</v>
      </c>
      <c r="AF371" s="109" t="n">
        <f aca="false">AF369/AE369*100-100</f>
        <v>49.7786886523386</v>
      </c>
      <c r="AG371" s="109" t="n">
        <f aca="false">AG369/AF369*100-100</f>
        <v>1.28924845867692</v>
      </c>
      <c r="AH371" s="109" t="n">
        <f aca="false">AH369/AG369*100-100</f>
        <v>0.210598768254044</v>
      </c>
      <c r="AI371" s="109" t="n">
        <f aca="false">AI369/AH369*100-100</f>
        <v>12.9907274991927</v>
      </c>
      <c r="AJ371" s="109" t="n">
        <f aca="false">AJ369/AI369*100-100</f>
        <v>7.69319125192232</v>
      </c>
      <c r="AK371" s="109" t="n">
        <f aca="false">AK369/AJ369*100-100</f>
        <v>7.07521469223276</v>
      </c>
      <c r="AL371" s="109" t="n">
        <f aca="false">AL369/AK369*100-100</f>
        <v>6.34008952682122</v>
      </c>
      <c r="AM371" s="74"/>
      <c r="AN371" s="74"/>
      <c r="AO371" s="74"/>
    </row>
    <row r="372" customFormat="false" ht="12" hidden="false" customHeight="true" outlineLevel="0" collapsed="false">
      <c r="A372" s="149" t="s">
        <v>452</v>
      </c>
      <c r="H372" s="62" t="n">
        <f aca="false">H367/H369*100</f>
        <v>8.07268394399762</v>
      </c>
      <c r="I372" s="62" t="n">
        <f aca="false">I367/I369*100</f>
        <v>5.77933912675982</v>
      </c>
      <c r="J372" s="62" t="n">
        <f aca="false">J367/J369*100</f>
        <v>7.42417244033872</v>
      </c>
      <c r="K372" s="62" t="n">
        <f aca="false">K367/K369*100</f>
        <v>7.31304552960604</v>
      </c>
      <c r="L372" s="62" t="n">
        <f aca="false">L367/L369*100</f>
        <v>6.99684456029634</v>
      </c>
      <c r="M372" s="62" t="n">
        <f aca="false">M367/M369*100</f>
        <v>7.77325605294529</v>
      </c>
      <c r="N372" s="70" t="n">
        <f aca="false">N367/N369*100</f>
        <v>12.4442820606503</v>
      </c>
      <c r="O372" s="70" t="n">
        <f aca="false">O367/O369*100</f>
        <v>7.91338901954424</v>
      </c>
      <c r="P372" s="70" t="n">
        <f aca="false">P367/P369*100</f>
        <v>7.247475659217</v>
      </c>
      <c r="Q372" s="70" t="n">
        <f aca="false">Q367/Q369*100</f>
        <v>8.74575376009795</v>
      </c>
      <c r="R372" s="70" t="n">
        <f aca="false">R367/R369*100</f>
        <v>12.5149271554813</v>
      </c>
      <c r="S372" s="70" t="n">
        <f aca="false">S367/S369*100</f>
        <v>9.35300190845665</v>
      </c>
      <c r="T372" s="70" t="n">
        <f aca="false">T367/T369*100</f>
        <v>10.9514802456804</v>
      </c>
      <c r="U372" s="70" t="n">
        <f aca="false">U367/U369*100</f>
        <v>12.6571232473772</v>
      </c>
      <c r="V372" s="70" t="n">
        <f aca="false">V367/V369*100</f>
        <v>7.65895071153729</v>
      </c>
      <c r="W372" s="70" t="n">
        <f aca="false">W367/W369*100</f>
        <v>10.5286723306133</v>
      </c>
      <c r="X372" s="70" t="n">
        <f aca="false">X367/X369*100</f>
        <v>11.9673600122019</v>
      </c>
      <c r="Y372" s="70" t="n">
        <f aca="false">Y367/Y369*100</f>
        <v>9.35019258563119</v>
      </c>
      <c r="Z372" s="70" t="n">
        <f aca="false">Z367/Z369*100</f>
        <v>8.13698592364855</v>
      </c>
      <c r="AA372" s="70" t="n">
        <f aca="false">AA367/AA369*100</f>
        <v>9.28616767597056</v>
      </c>
      <c r="AB372" s="70" t="n">
        <f aca="false">AB367/AB369*100</f>
        <v>6.23258311968627</v>
      </c>
      <c r="AC372" s="70" t="n">
        <f aca="false">AC367/AC369*100</f>
        <v>7.12158591011792</v>
      </c>
      <c r="AD372" s="70" t="n">
        <f aca="false">AD367/AD369*100</f>
        <v>7.94419897731222</v>
      </c>
      <c r="AE372" s="70" t="n">
        <f aca="false">AE367/AE369*100</f>
        <v>8.58282810965821</v>
      </c>
      <c r="AF372" s="70" t="n">
        <f aca="false">AF367/AF369*100</f>
        <v>5.87341640435993</v>
      </c>
      <c r="AG372" s="70" t="n">
        <f aca="false">AG367/AG369*100</f>
        <v>6.08835902467088</v>
      </c>
      <c r="AH372" s="70" t="n">
        <f aca="false">AH367/AH369*100</f>
        <v>7.81934769571435</v>
      </c>
      <c r="AI372" s="70" t="n">
        <f aca="false">AI367/AI369*100</f>
        <v>8.20279717107382</v>
      </c>
      <c r="AJ372" s="70" t="n">
        <f aca="false">AJ367/AJ369*100</f>
        <v>7.40535925596612</v>
      </c>
      <c r="AK372" s="70" t="n">
        <f aca="false">AK367/AK369*100</f>
        <v>7.51282816688056</v>
      </c>
      <c r="AL372" s="70" t="n">
        <f aca="false">AL367/AL369*100</f>
        <v>7.63869689744897</v>
      </c>
      <c r="AM372" s="115"/>
      <c r="AN372" s="115"/>
      <c r="AO372" s="115"/>
    </row>
    <row r="373" customFormat="false" ht="12" hidden="false" customHeight="true" outlineLevel="0" collapsed="false">
      <c r="P373" s="191"/>
      <c r="AI373" s="32"/>
    </row>
    <row r="374" s="52" customFormat="true" ht="12.75" hidden="false" customHeight="true" outlineLevel="0" collapsed="false">
      <c r="A374" s="49" t="s">
        <v>332</v>
      </c>
      <c r="B374" s="50"/>
      <c r="C374" s="50"/>
      <c r="D374" s="50"/>
      <c r="E374" s="50"/>
      <c r="F374" s="50"/>
      <c r="G374" s="51"/>
      <c r="H374" s="50"/>
      <c r="I374" s="50"/>
      <c r="J374" s="50"/>
      <c r="K374" s="50"/>
      <c r="L374" s="50"/>
      <c r="M374" s="50"/>
      <c r="N374" s="50"/>
      <c r="O374" s="50"/>
      <c r="P374" s="50"/>
      <c r="Q374" s="50"/>
      <c r="R374" s="50"/>
      <c r="S374" s="50"/>
      <c r="T374" s="50"/>
      <c r="U374" s="50"/>
      <c r="V374" s="50"/>
      <c r="W374" s="50"/>
      <c r="AA374" s="53"/>
      <c r="AF374" s="53"/>
      <c r="AG374" s="53"/>
    </row>
    <row r="375" customFormat="false" ht="12" hidden="false" customHeight="true" outlineLevel="0" collapsed="false">
      <c r="P375" s="191"/>
      <c r="U375" s="31"/>
      <c r="V375" s="31"/>
      <c r="W375" s="31"/>
      <c r="X375" s="31"/>
    </row>
    <row r="376" customFormat="false" ht="12.75" hidden="false" customHeight="true" outlineLevel="0" collapsed="false">
      <c r="A376" s="73" t="s">
        <v>453</v>
      </c>
      <c r="T376" s="31"/>
      <c r="U376" s="31"/>
      <c r="V376" s="31"/>
      <c r="W376" s="266" t="n">
        <f aca="false">+V376-V375</f>
        <v>0</v>
      </c>
    </row>
    <row r="377" customFormat="false" ht="12.75" hidden="false" customHeight="true" outlineLevel="0" collapsed="false">
      <c r="A377" s="59" t="s">
        <v>454</v>
      </c>
      <c r="B377" s="208" t="n">
        <v>7967.24</v>
      </c>
      <c r="C377" s="208" t="n">
        <v>9780.27</v>
      </c>
      <c r="D377" s="208" t="n">
        <v>12858.1</v>
      </c>
      <c r="E377" s="208" t="n">
        <v>17279.36</v>
      </c>
      <c r="F377" s="208" t="n">
        <v>21520.1</v>
      </c>
      <c r="G377" s="67" t="n">
        <f aca="false">+G321+G325</f>
        <v>16432.611576</v>
      </c>
      <c r="H377" s="67" t="n">
        <f aca="false">+H321+H325</f>
        <v>17282.728378296</v>
      </c>
      <c r="I377" s="208" t="n">
        <v>23164.2</v>
      </c>
      <c r="J377" s="208" t="n">
        <v>20113.18</v>
      </c>
      <c r="K377" s="208" t="n">
        <v>20370.8</v>
      </c>
      <c r="L377" s="208" t="n">
        <v>25256.31</v>
      </c>
      <c r="M377" s="208" t="n">
        <v>34198.04</v>
      </c>
      <c r="N377" s="208" t="n">
        <v>41778.93</v>
      </c>
      <c r="O377" s="208" t="n">
        <v>52508.74</v>
      </c>
      <c r="P377" s="208" t="n">
        <v>77760.03</v>
      </c>
      <c r="Q377" s="208" t="n">
        <v>81016.63</v>
      </c>
      <c r="R377" s="208" t="n">
        <v>55194.997</v>
      </c>
      <c r="S377" s="208" t="n">
        <v>67455.823</v>
      </c>
      <c r="T377" s="208" t="n">
        <v>109010.964</v>
      </c>
      <c r="U377" s="208" t="n">
        <v>118461.844</v>
      </c>
      <c r="V377" s="208" t="n">
        <v>103183.353</v>
      </c>
      <c r="W377" s="208" t="n">
        <v>79381.1</v>
      </c>
      <c r="X377" s="208" t="n">
        <v>117064.328</v>
      </c>
      <c r="Y377" s="208" t="n">
        <v>170658.387</v>
      </c>
      <c r="Z377" s="208" t="n">
        <v>177556.204</v>
      </c>
      <c r="AA377" s="208" t="n">
        <v>216026.603</v>
      </c>
      <c r="AB377" s="208" t="n">
        <v>253077.8</v>
      </c>
      <c r="AC377" s="208" t="n">
        <v>143263.6</v>
      </c>
      <c r="AD377" s="208" t="n">
        <v>122795.6</v>
      </c>
      <c r="AE377" s="208" t="n">
        <v>180030.9</v>
      </c>
      <c r="AF377" s="208" t="n">
        <v>316460.5</v>
      </c>
      <c r="AG377" s="208" t="n">
        <v>327147</v>
      </c>
      <c r="AH377" s="208" t="n">
        <v>323836.9</v>
      </c>
      <c r="AI377" s="67" t="n">
        <f aca="false">+AI378*AI379/1000000</f>
        <v>383596.849601081</v>
      </c>
      <c r="AJ377" s="67" t="n">
        <f aca="false">+AJ378*AJ379/1000000</f>
        <v>421369.842654786</v>
      </c>
      <c r="AK377" s="67" t="n">
        <f aca="false">+AK378*AK379/1000000</f>
        <v>457950.403626</v>
      </c>
      <c r="AL377" s="67" t="n">
        <f aca="false">+AL378*AL379/1000000</f>
        <v>494289.642242392</v>
      </c>
      <c r="AM377" s="145"/>
      <c r="AN377" s="145"/>
      <c r="AO377" s="145"/>
    </row>
    <row r="378" customFormat="false" ht="12.75" hidden="false" customHeight="true" outlineLevel="0" collapsed="false">
      <c r="A378" s="59" t="s">
        <v>455</v>
      </c>
      <c r="B378" s="208" t="n">
        <v>20571</v>
      </c>
      <c r="C378" s="208" t="n">
        <v>24226</v>
      </c>
      <c r="D378" s="208" t="n">
        <v>30410</v>
      </c>
      <c r="E378" s="208" t="n">
        <v>37399</v>
      </c>
      <c r="F378" s="208" t="n">
        <v>43352</v>
      </c>
      <c r="G378" s="208" t="n">
        <v>31547</v>
      </c>
      <c r="H378" s="208" t="n">
        <v>29741</v>
      </c>
      <c r="I378" s="208" t="n">
        <v>37859</v>
      </c>
      <c r="J378" s="208" t="n">
        <v>32475</v>
      </c>
      <c r="K378" s="208" t="n">
        <v>29673</v>
      </c>
      <c r="L378" s="208" t="n">
        <v>36444</v>
      </c>
      <c r="M378" s="208" t="n">
        <v>48654</v>
      </c>
      <c r="N378" s="208" t="n">
        <v>54740</v>
      </c>
      <c r="O378" s="67" t="n">
        <f aca="false">+O299</f>
        <v>61655</v>
      </c>
      <c r="P378" s="67" t="n">
        <f aca="false">+P299</f>
        <v>83091</v>
      </c>
      <c r="Q378" s="67" t="n">
        <f aca="false">+Q299</f>
        <v>83309</v>
      </c>
      <c r="R378" s="67" t="n">
        <f aca="false">+R299</f>
        <v>54431</v>
      </c>
      <c r="S378" s="67" t="n">
        <f aca="false">+S299</f>
        <v>63926</v>
      </c>
      <c r="T378" s="67" t="n">
        <f aca="false">+T299</f>
        <v>94106</v>
      </c>
      <c r="U378" s="67" t="n">
        <f aca="false">+U299-U386</f>
        <v>98792</v>
      </c>
      <c r="V378" s="67" t="n">
        <f aca="false">+V299-V386</f>
        <v>89470.76</v>
      </c>
      <c r="W378" s="67" t="n">
        <f aca="false">+W299-W386</f>
        <v>69027</v>
      </c>
      <c r="X378" s="67" t="n">
        <f aca="false">+X299-X386</f>
        <v>86591.5</v>
      </c>
      <c r="Y378" s="67" t="n">
        <f aca="false">+Y299-Y386</f>
        <v>120029.25</v>
      </c>
      <c r="Z378" s="67" t="n">
        <f aca="false">+Z299-Z386</f>
        <v>122218.75</v>
      </c>
      <c r="AA378" s="67" t="n">
        <f aca="false">+AA299-AA386</f>
        <v>144974.25</v>
      </c>
      <c r="AB378" s="67" t="n">
        <f aca="false">+AB299</f>
        <v>197366</v>
      </c>
      <c r="AC378" s="67" t="n">
        <f aca="false">+AC299</f>
        <v>125253</v>
      </c>
      <c r="AD378" s="67" t="n">
        <f aca="false">+AD299</f>
        <v>100715</v>
      </c>
      <c r="AE378" s="67" t="n">
        <f aca="false">+AE299</f>
        <v>128326</v>
      </c>
      <c r="AF378" s="67" t="n">
        <f aca="false">+AF299</f>
        <v>192205</v>
      </c>
      <c r="AG378" s="67" t="n">
        <f aca="false">+AG299</f>
        <v>194683</v>
      </c>
      <c r="AH378" s="67" t="n">
        <f aca="false">+AH299</f>
        <v>195093</v>
      </c>
      <c r="AI378" s="67" t="n">
        <f aca="false">+AI299</f>
        <v>220437</v>
      </c>
      <c r="AJ378" s="186" t="n">
        <f aca="false">+AJ299</f>
        <v>237395.64</v>
      </c>
      <c r="AK378" s="186" t="n">
        <f aca="false">+AK299</f>
        <v>254191.8912</v>
      </c>
      <c r="AL378" s="186" t="n">
        <f aca="false">+AL299</f>
        <v>270307.884672</v>
      </c>
      <c r="AM378" s="145"/>
      <c r="AN378" s="145"/>
      <c r="AO378" s="145"/>
    </row>
    <row r="379" customFormat="false" ht="12.75" hidden="false" customHeight="true" outlineLevel="0" collapsed="false">
      <c r="A379" s="59" t="s">
        <v>456</v>
      </c>
      <c r="B379" s="67" t="n">
        <f aca="false">+B377/B378*1000000</f>
        <v>387304.457731758</v>
      </c>
      <c r="C379" s="67" t="n">
        <f aca="false">+C377/C378*1000000</f>
        <v>403709.650788409</v>
      </c>
      <c r="D379" s="67" t="n">
        <f aca="false">+D377/D378*1000000</f>
        <v>422824.728707662</v>
      </c>
      <c r="E379" s="67" t="n">
        <f aca="false">+E377/E378*1000000</f>
        <v>462027.326933875</v>
      </c>
      <c r="F379" s="67" t="n">
        <f aca="false">+F377/F378*1000000</f>
        <v>496403.856800148</v>
      </c>
      <c r="G379" s="67" t="n">
        <f aca="false">+G377/G378*1000000</f>
        <v>520893.003328367</v>
      </c>
      <c r="H379" s="67" t="n">
        <f aca="false">+H377/H378*1000000</f>
        <v>581107.843660132</v>
      </c>
      <c r="I379" s="67" t="n">
        <f aca="false">+I377/I378*1000000</f>
        <v>611854.512797485</v>
      </c>
      <c r="J379" s="67" t="n">
        <f aca="false">+J377/J378*1000000</f>
        <v>619343.494996151</v>
      </c>
      <c r="K379" s="67" t="n">
        <f aca="false">+K377/K378*1000000</f>
        <v>686509.621541469</v>
      </c>
      <c r="L379" s="67" t="n">
        <f aca="false">+L377/L378*1000000</f>
        <v>693016.957523872</v>
      </c>
      <c r="M379" s="67" t="n">
        <f aca="false">+M377/M378*1000000</f>
        <v>702882.394047766</v>
      </c>
      <c r="N379" s="67" t="n">
        <f aca="false">+N377/N378*1000000</f>
        <v>763224.881256851</v>
      </c>
      <c r="O379" s="67" t="n">
        <f aca="false">+O377/O378*1000000</f>
        <v>851654.204849566</v>
      </c>
      <c r="P379" s="67" t="n">
        <f aca="false">+P377/P378*1000000</f>
        <v>935841.787919269</v>
      </c>
      <c r="Q379" s="67" t="n">
        <f aca="false">+Q377/Q378*1000000</f>
        <v>972483.525189355</v>
      </c>
      <c r="R379" s="67" t="n">
        <f aca="false">+R377/R378*1000000</f>
        <v>1014036.06400764</v>
      </c>
      <c r="S379" s="67" t="n">
        <f aca="false">+S377/S378*1000000</f>
        <v>1055217.32941213</v>
      </c>
      <c r="T379" s="67" t="n">
        <f aca="false">+T377/T378*1000000</f>
        <v>1158384.84262427</v>
      </c>
      <c r="U379" s="67" t="n">
        <f aca="false">+U377/U378*1000000</f>
        <v>1199103.61162847</v>
      </c>
      <c r="V379" s="67" t="n">
        <f aca="false">+V377/V378*1000000</f>
        <v>1153263.40136152</v>
      </c>
      <c r="W379" s="67" t="n">
        <f aca="false">+W377/W378*1000000</f>
        <v>1150000.72435424</v>
      </c>
      <c r="X379" s="67" t="n">
        <f aca="false">+X377/X378*1000000</f>
        <v>1351914.77223515</v>
      </c>
      <c r="Y379" s="67" t="n">
        <f aca="false">+Y377/Y378*1000000</f>
        <v>1421806.65962672</v>
      </c>
      <c r="Z379" s="67" t="n">
        <f aca="false">+Z377/Z378*1000000</f>
        <v>1452773.8501662</v>
      </c>
      <c r="AA379" s="67" t="n">
        <f aca="false">+AA377/AA378*1000000</f>
        <v>1490103.2631657</v>
      </c>
      <c r="AB379" s="67" t="n">
        <f aca="false">+AB377/AB378*1000000</f>
        <v>1282276.58259275</v>
      </c>
      <c r="AC379" s="67" t="n">
        <f aca="false">+AC377/AC378*1000000</f>
        <v>1143793.76142687</v>
      </c>
      <c r="AD379" s="67" t="n">
        <f aca="false">+AD377/AD378*1000000</f>
        <v>1219238.44511741</v>
      </c>
      <c r="AE379" s="67" t="n">
        <f aca="false">+AE377/AE378*1000000</f>
        <v>1402918.34858096</v>
      </c>
      <c r="AF379" s="67" t="n">
        <f aca="false">+AF377/AF378*1000000</f>
        <v>1646473.81701829</v>
      </c>
      <c r="AG379" s="67" t="n">
        <f aca="false">+AG377/AG378*1000000</f>
        <v>1680408.66434152</v>
      </c>
      <c r="AH379" s="67" t="n">
        <f aca="false">+AH377/AH378*1000000</f>
        <v>1659910.40170585</v>
      </c>
      <c r="AI379" s="67" t="n">
        <f aca="false">AH379*(1+AI381/100)</f>
        <v>1740165.44228547</v>
      </c>
      <c r="AJ379" s="67" t="n">
        <f aca="false">AI379*(1+AJ381/100)</f>
        <v>1774968.75113117</v>
      </c>
      <c r="AK379" s="67" t="n">
        <f aca="false">AJ379*(1+AK381/100)</f>
        <v>1801593.28239814</v>
      </c>
      <c r="AL379" s="67" t="n">
        <f aca="false">AK379*(1+AL381/100)</f>
        <v>1828617.18163411</v>
      </c>
      <c r="AM379" s="145"/>
      <c r="AN379" s="145"/>
      <c r="AO379" s="145"/>
    </row>
    <row r="380" customFormat="false" ht="12" hidden="false" customHeight="true" outlineLevel="0" collapsed="false">
      <c r="A380" s="69" t="s">
        <v>457</v>
      </c>
      <c r="B380" s="40"/>
      <c r="C380" s="90" t="n">
        <f aca="false">+C378/B378*100-100</f>
        <v>17.7677312721793</v>
      </c>
      <c r="D380" s="90" t="n">
        <f aca="false">+D378/C378*100-100</f>
        <v>25.5262940642285</v>
      </c>
      <c r="E380" s="90" t="n">
        <f aca="false">+E378/D378*100-100</f>
        <v>22.9825715225255</v>
      </c>
      <c r="F380" s="90" t="n">
        <f aca="false">+F378/E378*100-100</f>
        <v>15.9175379020829</v>
      </c>
      <c r="G380" s="90" t="n">
        <f aca="false">+G378/F378*100-100</f>
        <v>-27.2305775973427</v>
      </c>
      <c r="H380" s="90" t="n">
        <f aca="false">+H378/G378*100-100</f>
        <v>-5.72479158081592</v>
      </c>
      <c r="I380" s="90" t="n">
        <f aca="false">+I378/H378*100-100</f>
        <v>27.2956524662923</v>
      </c>
      <c r="J380" s="90" t="n">
        <f aca="false">+J378/I378*100-100</f>
        <v>-14.2211891492115</v>
      </c>
      <c r="K380" s="90" t="n">
        <f aca="false">+K378/J378*100-100</f>
        <v>-8.62817551963049</v>
      </c>
      <c r="L380" s="90" t="n">
        <f aca="false">+L378/K378*100-100</f>
        <v>22.8187240926094</v>
      </c>
      <c r="M380" s="90" t="n">
        <f aca="false">+M378/L378*100-100</f>
        <v>33.5034573592361</v>
      </c>
      <c r="N380" s="90" t="n">
        <f aca="false">+N378/M378*100-100</f>
        <v>12.5087351502446</v>
      </c>
      <c r="O380" s="90" t="n">
        <f aca="false">+O378/N378*100-100</f>
        <v>12.6324442820606</v>
      </c>
      <c r="P380" s="90" t="n">
        <f aca="false">+P378/O378*100-100</f>
        <v>34.7676587462493</v>
      </c>
      <c r="Q380" s="90" t="n">
        <f aca="false">+Q378/P378*100-100</f>
        <v>0.262362951462848</v>
      </c>
      <c r="R380" s="90" t="n">
        <f aca="false">+R378/Q378*100-100</f>
        <v>-34.6637218067676</v>
      </c>
      <c r="S380" s="90" t="n">
        <f aca="false">+S378/R378*100-100</f>
        <v>17.4441035439364</v>
      </c>
      <c r="T380" s="90" t="n">
        <f aca="false">+T378/S378*100-100</f>
        <v>47.2108375308951</v>
      </c>
      <c r="U380" s="90" t="n">
        <f aca="false">+U378/T378*100-100</f>
        <v>4.97949121203749</v>
      </c>
      <c r="V380" s="90" t="n">
        <f aca="false">+V378/U378*100-100</f>
        <v>-9.43521742651225</v>
      </c>
      <c r="W380" s="90" t="n">
        <f aca="false">+W378/V378*100-100</f>
        <v>-22.8496550157839</v>
      </c>
      <c r="X380" s="90" t="n">
        <f aca="false">+X378/W378*100-100</f>
        <v>25.44584003361</v>
      </c>
      <c r="Y380" s="90" t="n">
        <f aca="false">+Y378/X378*100-100</f>
        <v>38.615510760294</v>
      </c>
      <c r="Z380" s="90" t="n">
        <f aca="false">+Z378/Y378*100-100</f>
        <v>1.82413869952534</v>
      </c>
      <c r="AA380" s="90" t="n">
        <f aca="false">+AA378/Z378*100-100</f>
        <v>18.6186653029916</v>
      </c>
      <c r="AB380" s="90" t="n">
        <f aca="false">+AB378/AA378*100-100</f>
        <v>36.1386591067034</v>
      </c>
      <c r="AC380" s="90" t="n">
        <f aca="false">+AC378/AB378*100-100</f>
        <v>-36.5377015291388</v>
      </c>
      <c r="AD380" s="90" t="n">
        <f aca="false">+AD378/AC378*100-100</f>
        <v>-19.5907483253894</v>
      </c>
      <c r="AE380" s="90" t="n">
        <f aca="false">+AE378/AD378*100-100</f>
        <v>27.4149828724619</v>
      </c>
      <c r="AF380" s="90" t="n">
        <f aca="false">+AF378/AE378*100-100</f>
        <v>49.7786886523386</v>
      </c>
      <c r="AG380" s="90" t="n">
        <f aca="false">+AG378/AF378*100-100</f>
        <v>1.28924845867692</v>
      </c>
      <c r="AH380" s="90" t="n">
        <f aca="false">+AH378/AG378*100-100</f>
        <v>0.210598768254044</v>
      </c>
      <c r="AI380" s="90" t="n">
        <f aca="false">+AI378/AH378*100-100</f>
        <v>12.9907274991927</v>
      </c>
      <c r="AJ380" s="90" t="n">
        <f aca="false">+AJ378/AI378*100-100</f>
        <v>7.69319125192232</v>
      </c>
      <c r="AK380" s="90" t="n">
        <f aca="false">+AK378/AJ378*100-100</f>
        <v>7.07521469223276</v>
      </c>
      <c r="AL380" s="90" t="n">
        <f aca="false">+AL378/AK378*100-100</f>
        <v>6.34008952682122</v>
      </c>
      <c r="AM380" s="40"/>
      <c r="AN380" s="40"/>
      <c r="AO380" s="40"/>
    </row>
    <row r="381" customFormat="false" ht="12.75" hidden="false" customHeight="true" outlineLevel="0" collapsed="false">
      <c r="A381" s="69" t="s">
        <v>458</v>
      </c>
      <c r="B381" s="40"/>
      <c r="C381" s="90" t="n">
        <f aca="false">+C379/B379*100-100</f>
        <v>4.23573566716161</v>
      </c>
      <c r="D381" s="90" t="n">
        <f aca="false">+D379/C379*100-100</f>
        <v>4.73485780731839</v>
      </c>
      <c r="E381" s="90" t="n">
        <f aca="false">+E379/D379*100-100</f>
        <v>9.27159543057799</v>
      </c>
      <c r="F381" s="90" t="n">
        <f aca="false">+F379/E379*100-100</f>
        <v>7.44036723853614</v>
      </c>
      <c r="G381" s="90" t="n">
        <f aca="false">+G379/F379*100-100</f>
        <v>4.93331109191581</v>
      </c>
      <c r="H381" s="90" t="n">
        <f aca="false">+H379/G379*100-100</f>
        <v>11.5599249648217</v>
      </c>
      <c r="I381" s="90" t="n">
        <f aca="false">+I379/H379*100-100</f>
        <v>5.2910435597795</v>
      </c>
      <c r="J381" s="90" t="n">
        <f aca="false">+J379/I379*100-100</f>
        <v>1.22398087160049</v>
      </c>
      <c r="K381" s="90" t="n">
        <f aca="false">+K379/J379*100-100</f>
        <v>10.8447294737043</v>
      </c>
      <c r="L381" s="90" t="n">
        <f aca="false">+L379/K379*100-100</f>
        <v>0.947887076628604</v>
      </c>
      <c r="M381" s="90" t="n">
        <f aca="false">+M379/L379*100-100</f>
        <v>1.42354908011811</v>
      </c>
      <c r="N381" s="90" t="n">
        <f aca="false">+N379/M379*100-100</f>
        <v>8.58500479170974</v>
      </c>
      <c r="O381" s="90" t="n">
        <f aca="false">+O379/N379*100-100</f>
        <v>11.5862736873951</v>
      </c>
      <c r="P381" s="90" t="n">
        <f aca="false">+P379/O379*100-100</f>
        <v>9.88518375067187</v>
      </c>
      <c r="Q381" s="90" t="n">
        <f aca="false">+Q379/P379*100-100</f>
        <v>3.91537733654262</v>
      </c>
      <c r="R381" s="90" t="n">
        <f aca="false">+R379/Q379*100-100</f>
        <v>4.27282701886354</v>
      </c>
      <c r="S381" s="90" t="n">
        <f aca="false">+S379/R379*100-100</f>
        <v>4.06112433927987</v>
      </c>
      <c r="T381" s="90" t="n">
        <f aca="false">+T379/S379*100-100</f>
        <v>9.77689716957333</v>
      </c>
      <c r="U381" s="90" t="n">
        <f aca="false">+U379/T379*100-100</f>
        <v>3.51513309790469</v>
      </c>
      <c r="V381" s="90" t="n">
        <f aca="false">+V379/U379*100-100</f>
        <v>-3.82287317146015</v>
      </c>
      <c r="W381" s="90" t="n">
        <f aca="false">+W379/V379*100-100</f>
        <v>-0.282908224038607</v>
      </c>
      <c r="X381" s="70" t="n">
        <f aca="false">+X379/W379*100-100</f>
        <v>17.5577322348465</v>
      </c>
      <c r="Y381" s="70" t="n">
        <f aca="false">+Y379/X379*100-100</f>
        <v>5.16984419631808</v>
      </c>
      <c r="Z381" s="70" t="n">
        <f aca="false">+Z379/Y379*100-100</f>
        <v>2.17801698492623</v>
      </c>
      <c r="AA381" s="70" t="n">
        <f aca="false">+AA379/Z379*100-100</f>
        <v>2.56952677082063</v>
      </c>
      <c r="AB381" s="70" t="n">
        <f aca="false">+AB379/AA379*100-100</f>
        <v>-13.9471327732971</v>
      </c>
      <c r="AC381" s="70" t="n">
        <f aca="false">+AC379/AB379*100-100</f>
        <v>-10.7997621609734</v>
      </c>
      <c r="AD381" s="70" t="n">
        <f aca="false">+AD379/AC379*100-100</f>
        <v>6.59600412546592</v>
      </c>
      <c r="AE381" s="70" t="n">
        <f aca="false">+AE379/AD379*100-100</f>
        <v>15.0651338299835</v>
      </c>
      <c r="AF381" s="70" t="n">
        <f aca="false">+AF379/AE379*100-100</f>
        <v>17.3606303377302</v>
      </c>
      <c r="AG381" s="70" t="n">
        <f aca="false">+AG379/AF379*100-100</f>
        <v>2.0610620692825</v>
      </c>
      <c r="AH381" s="70" t="n">
        <f aca="false">+AH379/AG379*100-100</f>
        <v>-1.21983795196024</v>
      </c>
      <c r="AI381" s="267" t="n">
        <v>4.83490196200567</v>
      </c>
      <c r="AJ381" s="267" t="n">
        <v>2</v>
      </c>
      <c r="AK381" s="267" t="n">
        <v>1.5</v>
      </c>
      <c r="AL381" s="267" t="n">
        <v>1.5</v>
      </c>
      <c r="AM381" s="268"/>
      <c r="AN381" s="268"/>
      <c r="AO381" s="268"/>
    </row>
    <row r="382" customFormat="false" ht="12" hidden="false" customHeight="true" outlineLevel="0" collapsed="false">
      <c r="A382" s="69" t="s">
        <v>459</v>
      </c>
      <c r="B382" s="40"/>
      <c r="C382" s="90" t="n">
        <f aca="false">(100*C377)/B377-100</f>
        <v>22.756061070082</v>
      </c>
      <c r="D382" s="90" t="n">
        <f aca="false">(100*D377)/C377-100</f>
        <v>31.4697855989661</v>
      </c>
      <c r="E382" s="90" t="n">
        <f aca="false">(100*E377)/D377-100</f>
        <v>34.3850180042152</v>
      </c>
      <c r="F382" s="90" t="n">
        <f aca="false">(100*F377)/E377-100</f>
        <v>24.5422284158673</v>
      </c>
      <c r="G382" s="90" t="n">
        <f aca="false">(100*G377)/F377-100</f>
        <v>-23.6406356104293</v>
      </c>
      <c r="H382" s="90" t="n">
        <f aca="false">(100*H377)/G377-100</f>
        <v>5.17335177287097</v>
      </c>
      <c r="I382" s="90" t="n">
        <f aca="false">(100*I377)/H377-100</f>
        <v>34.0309208879894</v>
      </c>
      <c r="J382" s="90" t="n">
        <f aca="false">(100*J377)/I377-100</f>
        <v>-13.1712729125116</v>
      </c>
      <c r="K382" s="90" t="n">
        <f aca="false">(100*K377)/J377-100</f>
        <v>1.28085166045349</v>
      </c>
      <c r="L382" s="90" t="n">
        <f aca="false">(100*L377)/K377-100</f>
        <v>23.9829069059634</v>
      </c>
      <c r="M382" s="90" t="n">
        <f aca="false">(100*M377)/L377-100</f>
        <v>35.4039445983994</v>
      </c>
      <c r="N382" s="90" t="n">
        <f aca="false">(100*N377)/M377-100</f>
        <v>22.1676154539851</v>
      </c>
      <c r="O382" s="90" t="n">
        <f aca="false">(100*O377)/N377-100</f>
        <v>25.6823475373831</v>
      </c>
      <c r="P382" s="90" t="n">
        <f aca="false">(100*P377)/O377-100</f>
        <v>48.0896894497945</v>
      </c>
      <c r="Q382" s="90" t="n">
        <f aca="false">(100*Q377)/P377-100</f>
        <v>4.18801278754651</v>
      </c>
      <c r="R382" s="90" t="n">
        <f aca="false">(100*R377)/Q377-100</f>
        <v>-31.8720156590073</v>
      </c>
      <c r="S382" s="90" t="n">
        <f aca="false">(100*S377)/R377-100</f>
        <v>22.2136546180082</v>
      </c>
      <c r="T382" s="90" t="n">
        <f aca="false">(100*T377)/S377-100</f>
        <v>61.6034897387584</v>
      </c>
      <c r="U382" s="90" t="n">
        <f aca="false">(100*U377)/T377-100</f>
        <v>8.66966005364378</v>
      </c>
      <c r="V382" s="90" t="n">
        <f aca="false">(100*V377)/U377-100</f>
        <v>-12.8973942023053</v>
      </c>
      <c r="W382" s="90" t="n">
        <f aca="false">(100*W377)/V377-100</f>
        <v>-23.0679196866184</v>
      </c>
      <c r="X382" s="90" t="n">
        <f aca="false">(100*X377)/W377-100</f>
        <v>47.4712847264651</v>
      </c>
      <c r="Y382" s="90" t="n">
        <f aca="false">(100*Y377)/X377-100</f>
        <v>45.7817166985318</v>
      </c>
      <c r="Z382" s="90" t="n">
        <f aca="false">(100*Z377)/Y377-100</f>
        <v>4.04188573515582</v>
      </c>
      <c r="AA382" s="90" t="n">
        <f aca="false">(100*AA377)/Z377-100</f>
        <v>21.6666036631421</v>
      </c>
      <c r="AB382" s="90" t="n">
        <f aca="false">(100*AB377)/AA377-100</f>
        <v>17.1512195653051</v>
      </c>
      <c r="AC382" s="90" t="n">
        <f aca="false">(100*AC377)/AB377-100</f>
        <v>-43.3914788258788</v>
      </c>
      <c r="AD382" s="90" t="n">
        <f aca="false">(100*AD377)/AC377-100</f>
        <v>-14.2869507676758</v>
      </c>
      <c r="AE382" s="90" t="n">
        <f aca="false">(100*AE377)/AD377-100</f>
        <v>46.6102205616488</v>
      </c>
      <c r="AF382" s="90" t="n">
        <f aca="false">(100*AF377)/AE377-100</f>
        <v>75.781213113971</v>
      </c>
      <c r="AG382" s="90" t="n">
        <f aca="false">(100*AG377)/AF377-100</f>
        <v>3.37688273892002</v>
      </c>
      <c r="AH382" s="90" t="n">
        <f aca="false">(100*AH377)/AG377-100</f>
        <v>-1.01180814740773</v>
      </c>
      <c r="AI382" s="90" t="n">
        <f aca="false">(100*AI377)/AH377-100</f>
        <v>18.4537183999356</v>
      </c>
      <c r="AJ382" s="90" t="n">
        <f aca="false">(100*AJ377)/AI377-100</f>
        <v>9.84705507696079</v>
      </c>
      <c r="AK382" s="90" t="n">
        <f aca="false">(100*AK377)/AJ377-100</f>
        <v>8.68134291261626</v>
      </c>
      <c r="AL382" s="90" t="n">
        <f aca="false">(100*AL377)/AK377-100</f>
        <v>7.93519086972353</v>
      </c>
      <c r="AM382" s="40"/>
      <c r="AN382" s="40"/>
      <c r="AO382" s="40"/>
    </row>
    <row r="383" customFormat="false" ht="12" hidden="false" customHeight="true" outlineLevel="0" collapsed="false">
      <c r="A383" s="69" t="s">
        <v>460</v>
      </c>
      <c r="B383" s="90" t="n">
        <f aca="false">+B377/B429*100</f>
        <v>82.0228466948887</v>
      </c>
      <c r="C383" s="90" t="n">
        <f aca="false">+C377/C429*100</f>
        <v>80.7494631299709</v>
      </c>
      <c r="D383" s="90" t="n">
        <f aca="false">+D377/D429*100</f>
        <v>83.6274166756637</v>
      </c>
      <c r="E383" s="90" t="n">
        <f aca="false">+E377/E429*100</f>
        <v>84.4271979001865</v>
      </c>
      <c r="F383" s="90" t="n">
        <f aca="false">+F377/F429*100</f>
        <v>85.5057670431631</v>
      </c>
      <c r="G383" s="90" t="n">
        <f aca="false">+G377/G429*100</f>
        <v>79.6539521117485</v>
      </c>
      <c r="H383" s="90" t="n">
        <f aca="false">+H377/H429*100</f>
        <v>82.2400483463994</v>
      </c>
      <c r="I383" s="90" t="n">
        <f aca="false">+I377/I429*100</f>
        <v>86.5480321738896</v>
      </c>
      <c r="J383" s="90" t="n">
        <f aca="false">+J377/J429*100</f>
        <v>75.3407026441867</v>
      </c>
      <c r="K383" s="90" t="n">
        <f aca="false">+K377/K429*100</f>
        <v>75.5423669605423</v>
      </c>
      <c r="L383" s="90" t="n">
        <f aca="false">+L377/L429*100</f>
        <v>80.8016270181763</v>
      </c>
      <c r="M383" s="90" t="n">
        <f aca="false">+M377/M429*100</f>
        <v>85.9339863517952</v>
      </c>
      <c r="N383" s="90" t="n">
        <f aca="false">+N377/N429*100</f>
        <v>85.4848072337795</v>
      </c>
      <c r="O383" s="90" t="n">
        <f aca="false">+O377/O429*100</f>
        <v>85.0976791161946</v>
      </c>
      <c r="P383" s="90" t="n">
        <f aca="false">+P377/P429*100</f>
        <v>91.7476901737389</v>
      </c>
      <c r="Q383" s="90" t="n">
        <f aca="false">+Q377/Q429*100</f>
        <v>88.7530272537464</v>
      </c>
      <c r="R383" s="90" t="n">
        <f aca="false">+R377/R429*100</f>
        <v>81.3606313756329</v>
      </c>
      <c r="S383" s="90" t="n">
        <f aca="false">+S377/S429*100</f>
        <v>83.9512840332555</v>
      </c>
      <c r="T383" s="90" t="n">
        <f aca="false">+T377/T429*100</f>
        <v>88.3259982728576</v>
      </c>
      <c r="U383" s="90" t="n">
        <f aca="false">+U377/U429*100</f>
        <v>83.8815238864641</v>
      </c>
      <c r="V383" s="90" t="n">
        <f aca="false">+V377/V429*100</f>
        <v>73.9772696989751</v>
      </c>
      <c r="W383" s="90" t="n">
        <f aca="false">+W377/W429*100</f>
        <v>72.7045795675981</v>
      </c>
      <c r="X383" s="90" t="n">
        <f aca="false">+X377/X429*100</f>
        <v>78.8832241127006</v>
      </c>
      <c r="Y383" s="90" t="n">
        <f aca="false">+Y377/Y429*100</f>
        <v>83.5382172428397</v>
      </c>
      <c r="Z383" s="90" t="n">
        <f aca="false">+Z377/Z429*100</f>
        <v>81.4825175328372</v>
      </c>
      <c r="AA383" s="90" t="n">
        <f aca="false">+AA377/AA429*100</f>
        <v>80.2277357448386</v>
      </c>
      <c r="AB383" s="90" t="n">
        <f aca="false">+AB377/AB429*100</f>
        <v>85.9525694464964</v>
      </c>
      <c r="AC383" s="90" t="n">
        <f aca="false">+AC377/AC429*100</f>
        <v>80.1042234541912</v>
      </c>
      <c r="AD383" s="90" t="n">
        <f aca="false">+AD377/AD429*100</f>
        <v>78.7230509737198</v>
      </c>
      <c r="AE383" s="90" t="n">
        <f aca="false">+AE377/AE429*100</f>
        <v>81.84647600014</v>
      </c>
      <c r="AF383" s="90" t="n">
        <f aca="false">+AF377/AF429*100</f>
        <v>86.1323490066598</v>
      </c>
      <c r="AG383" s="90" t="n">
        <f aca="false">+AG377/AG429*100</f>
        <v>83.7066670419407</v>
      </c>
      <c r="AH383" s="90" t="n">
        <f aca="false">+AH377/AH429*100</f>
        <v>81.8631786848326</v>
      </c>
      <c r="AI383" s="90" t="n">
        <f aca="false">+AI377/AI429*100</f>
        <v>85.4238317398514</v>
      </c>
      <c r="AJ383" s="90" t="n">
        <f aca="false">+AJ377/AJ429*100</f>
        <v>86.0620414745762</v>
      </c>
      <c r="AK383" s="90" t="n">
        <f aca="false">+AK377/AK429*100</f>
        <v>86.4983015084137</v>
      </c>
      <c r="AL383" s="90" t="n">
        <f aca="false">+AL377/AL429*100</f>
        <v>86.8442072010445</v>
      </c>
      <c r="AM383" s="40"/>
      <c r="AN383" s="40"/>
      <c r="AO383" s="40"/>
    </row>
    <row r="384" customFormat="false" ht="12" hidden="false" customHeight="true" outlineLevel="0" collapsed="false">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77"/>
      <c r="AB384" s="40"/>
      <c r="AC384" s="40"/>
      <c r="AD384" s="40"/>
      <c r="AE384" s="40"/>
      <c r="AF384" s="77"/>
      <c r="AG384" s="77"/>
      <c r="AH384" s="40"/>
      <c r="AI384" s="40"/>
      <c r="AJ384" s="40"/>
      <c r="AK384" s="40"/>
      <c r="AL384" s="40"/>
      <c r="AM384" s="40"/>
      <c r="AN384" s="40"/>
      <c r="AO384" s="40"/>
    </row>
    <row r="385" customFormat="false" ht="12.75" hidden="false" customHeight="true" outlineLevel="0" collapsed="false">
      <c r="A385" s="59" t="s">
        <v>461</v>
      </c>
      <c r="B385" s="40"/>
      <c r="C385" s="40"/>
      <c r="D385" s="40"/>
      <c r="E385" s="40"/>
      <c r="F385" s="40"/>
      <c r="G385" s="40"/>
      <c r="H385" s="40"/>
      <c r="I385" s="40"/>
      <c r="J385" s="40"/>
      <c r="K385" s="40"/>
      <c r="L385" s="40"/>
      <c r="M385" s="40"/>
      <c r="S385" s="32"/>
      <c r="T385" s="31"/>
      <c r="U385" s="31"/>
      <c r="V385" s="31"/>
    </row>
    <row r="386" s="19" customFormat="true" ht="12.75" hidden="false" customHeight="true" outlineLevel="0" collapsed="false">
      <c r="A386" s="59" t="s">
        <v>462</v>
      </c>
      <c r="B386" s="118"/>
      <c r="C386" s="118"/>
      <c r="D386" s="118"/>
      <c r="E386" s="118"/>
      <c r="F386" s="118"/>
      <c r="G386" s="118"/>
      <c r="H386" s="118"/>
      <c r="I386" s="118"/>
      <c r="J386" s="118"/>
      <c r="K386" s="118"/>
      <c r="L386" s="118"/>
      <c r="M386" s="118"/>
      <c r="S386" s="269"/>
      <c r="T386" s="112"/>
      <c r="U386" s="43" t="n">
        <f aca="false">+U351</f>
        <v>3198</v>
      </c>
      <c r="V386" s="43" t="n">
        <f aca="false">+V351</f>
        <v>25140.24</v>
      </c>
      <c r="W386" s="43" t="n">
        <f aca="false">+W351</f>
        <v>20310</v>
      </c>
      <c r="X386" s="43" t="n">
        <f aca="false">+X351</f>
        <v>18310.5</v>
      </c>
      <c r="Y386" s="43" t="n">
        <f aca="false">+Y351</f>
        <v>20427.75</v>
      </c>
      <c r="Z386" s="43" t="n">
        <f aca="false">+Z351</f>
        <v>22847.25</v>
      </c>
      <c r="AA386" s="43" t="n">
        <f aca="false">+AA351</f>
        <v>29898.75</v>
      </c>
      <c r="AB386" s="112"/>
      <c r="AC386" s="112"/>
      <c r="AD386" s="112"/>
      <c r="AE386" s="112"/>
      <c r="AF386" s="270"/>
      <c r="AG386" s="270"/>
      <c r="AH386" s="112"/>
      <c r="AI386" s="112"/>
      <c r="AJ386" s="112"/>
      <c r="AK386" s="112"/>
      <c r="AL386" s="112"/>
    </row>
    <row r="387" s="19" customFormat="true" ht="12.75" hidden="false" customHeight="true" outlineLevel="0" collapsed="false">
      <c r="A387" s="59" t="s">
        <v>411</v>
      </c>
      <c r="B387" s="118"/>
      <c r="C387" s="118"/>
      <c r="D387" s="118"/>
      <c r="E387" s="118"/>
      <c r="F387" s="118"/>
      <c r="G387" s="118"/>
      <c r="H387" s="118"/>
      <c r="I387" s="118"/>
      <c r="J387" s="118"/>
      <c r="K387" s="118"/>
      <c r="L387" s="118"/>
      <c r="M387" s="118"/>
      <c r="S387" s="269"/>
      <c r="T387" s="112"/>
      <c r="U387" s="212" t="n">
        <v>1634.806</v>
      </c>
      <c r="V387" s="212" t="n">
        <v>9151.714</v>
      </c>
      <c r="W387" s="208" t="n">
        <v>10396.068</v>
      </c>
      <c r="X387" s="208" t="n">
        <v>9894.125</v>
      </c>
      <c r="Y387" s="208" t="n">
        <v>11421.277</v>
      </c>
      <c r="Z387" s="208" t="n">
        <v>11166.079</v>
      </c>
      <c r="AA387" s="208" t="n">
        <v>14568.173</v>
      </c>
      <c r="AB387" s="112"/>
      <c r="AC387" s="112"/>
      <c r="AD387" s="112"/>
      <c r="AE387" s="112"/>
      <c r="AF387" s="270"/>
      <c r="AG387" s="270"/>
      <c r="AH387" s="112"/>
      <c r="AI387" s="112"/>
      <c r="AJ387" s="112"/>
      <c r="AK387" s="112"/>
      <c r="AL387" s="112"/>
    </row>
    <row r="388" customFormat="false" ht="12.75" hidden="false" customHeight="true" outlineLevel="0" collapsed="false">
      <c r="A388" s="69" t="s">
        <v>234</v>
      </c>
      <c r="B388" s="40"/>
      <c r="C388" s="40"/>
      <c r="D388" s="40"/>
      <c r="E388" s="40"/>
      <c r="F388" s="40"/>
      <c r="G388" s="40"/>
      <c r="H388" s="40"/>
      <c r="I388" s="40"/>
      <c r="J388" s="40"/>
      <c r="K388" s="40"/>
      <c r="L388" s="40"/>
      <c r="M388" s="40"/>
      <c r="S388" s="32"/>
      <c r="T388" s="31"/>
      <c r="U388" s="37" t="n">
        <f aca="false">+U387/U386*1000000</f>
        <v>511196.372732958</v>
      </c>
      <c r="V388" s="37" t="n">
        <f aca="false">+V387/V386*1000000</f>
        <v>364026.516851072</v>
      </c>
      <c r="W388" s="37" t="n">
        <f aca="false">+W387/W386*1000000</f>
        <v>511869.423929099</v>
      </c>
      <c r="X388" s="37" t="n">
        <f aca="false">+X387/X386*1000000</f>
        <v>540352.529969143</v>
      </c>
      <c r="Y388" s="37" t="n">
        <f aca="false">+Y387/Y386*1000000</f>
        <v>559105.97104429</v>
      </c>
      <c r="Z388" s="37" t="n">
        <f aca="false">+Z387/Z386*1000000</f>
        <v>488727.483614002</v>
      </c>
      <c r="AA388" s="37" t="n">
        <f aca="false">+AA387/AA386*1000000</f>
        <v>487250.236213889</v>
      </c>
      <c r="AB388" s="112"/>
      <c r="AC388" s="112"/>
      <c r="AD388" s="112"/>
      <c r="AE388" s="112"/>
      <c r="AF388" s="270"/>
      <c r="AG388" s="270"/>
      <c r="AH388" s="112"/>
      <c r="AI388" s="112"/>
      <c r="AJ388" s="112"/>
      <c r="AK388" s="112"/>
      <c r="AL388" s="112"/>
    </row>
    <row r="389" customFormat="false" ht="12.75" hidden="false" customHeight="true" outlineLevel="0" collapsed="false">
      <c r="A389" s="69" t="s">
        <v>233</v>
      </c>
      <c r="B389" s="40"/>
      <c r="C389" s="40"/>
      <c r="D389" s="40"/>
      <c r="E389" s="40"/>
      <c r="F389" s="40"/>
      <c r="G389" s="40"/>
      <c r="H389" s="40"/>
      <c r="I389" s="40"/>
      <c r="J389" s="40"/>
      <c r="K389" s="40"/>
      <c r="L389" s="40"/>
      <c r="M389" s="40"/>
      <c r="S389" s="32"/>
      <c r="T389" s="31"/>
      <c r="U389" s="31"/>
      <c r="V389" s="31"/>
      <c r="W389" s="271"/>
      <c r="X389" s="272" t="n">
        <f aca="false">+X388/W388-1</f>
        <v>0.0556452577718138</v>
      </c>
      <c r="Y389" s="272" t="n">
        <f aca="false">+Y388/X388-1</f>
        <v>0.0347059373927938</v>
      </c>
      <c r="Z389" s="272" t="n">
        <f aca="false">+Z388/Y388-1</f>
        <v>-0.125876830288249</v>
      </c>
      <c r="AA389" s="272" t="n">
        <f aca="false">+AA388/Z388-1</f>
        <v>-0.00302264032542077</v>
      </c>
      <c r="AB389" s="112"/>
      <c r="AC389" s="112"/>
      <c r="AD389" s="112"/>
      <c r="AE389" s="112"/>
      <c r="AF389" s="270"/>
      <c r="AG389" s="270"/>
      <c r="AH389" s="112"/>
      <c r="AI389" s="112"/>
      <c r="AJ389" s="112"/>
      <c r="AK389" s="112"/>
      <c r="AL389" s="112"/>
    </row>
    <row r="390" customFormat="false" ht="12" hidden="false" customHeight="true" outlineLevel="0" collapsed="false">
      <c r="B390" s="40"/>
      <c r="C390" s="40"/>
      <c r="D390" s="40"/>
      <c r="E390" s="40"/>
      <c r="F390" s="40"/>
      <c r="G390" s="40"/>
      <c r="H390" s="40"/>
      <c r="I390" s="40"/>
      <c r="J390" s="40"/>
      <c r="K390" s="40"/>
      <c r="L390" s="40"/>
      <c r="M390" s="40"/>
      <c r="S390" s="32"/>
      <c r="T390" s="31"/>
      <c r="U390" s="31"/>
      <c r="V390" s="31"/>
    </row>
    <row r="391" customFormat="false" ht="12" hidden="false" customHeight="true" outlineLevel="0" collapsed="false">
      <c r="B391" s="40"/>
      <c r="C391" s="40"/>
      <c r="D391" s="40"/>
      <c r="E391" s="40"/>
      <c r="F391" s="40"/>
      <c r="G391" s="40"/>
      <c r="H391" s="40"/>
      <c r="I391" s="40"/>
      <c r="J391" s="40"/>
      <c r="K391" s="40"/>
      <c r="L391" s="40"/>
      <c r="M391" s="40"/>
      <c r="S391" s="32"/>
      <c r="T391" s="31"/>
      <c r="U391" s="31"/>
      <c r="V391" s="31"/>
    </row>
    <row r="392" customFormat="false" ht="12" hidden="false" customHeight="true" outlineLevel="0" collapsed="false">
      <c r="B392" s="40"/>
      <c r="C392" s="40"/>
      <c r="D392" s="40"/>
      <c r="E392" s="40"/>
      <c r="F392" s="40"/>
      <c r="G392" s="40"/>
      <c r="H392" s="40"/>
      <c r="I392" s="40"/>
      <c r="J392" s="40"/>
      <c r="K392" s="40"/>
      <c r="L392" s="40"/>
      <c r="M392" s="40"/>
      <c r="S392" s="32"/>
      <c r="T392" s="31"/>
      <c r="U392" s="31"/>
      <c r="V392" s="31"/>
    </row>
    <row r="393" customFormat="false" ht="12" hidden="false" customHeight="true" outlineLevel="0" collapsed="false">
      <c r="A393" s="69" t="s">
        <v>463</v>
      </c>
      <c r="B393" s="62" t="n">
        <f aca="false">+B377/B378*1000000</f>
        <v>387304.457731758</v>
      </c>
      <c r="C393" s="62" t="n">
        <f aca="false">+C377/C378*1000000</f>
        <v>403709.650788409</v>
      </c>
      <c r="D393" s="62" t="n">
        <f aca="false">+D377/D378*1000000</f>
        <v>422824.728707662</v>
      </c>
      <c r="E393" s="62" t="n">
        <f aca="false">+E377/E378*1000000</f>
        <v>462027.326933875</v>
      </c>
      <c r="F393" s="62" t="n">
        <f aca="false">+F377/F378*1000000</f>
        <v>496403.856800148</v>
      </c>
      <c r="G393" s="62" t="n">
        <f aca="false">+G377/G378*1000000</f>
        <v>520893.003328367</v>
      </c>
      <c r="H393" s="62" t="n">
        <f aca="false">+H377/H378*1000000</f>
        <v>581107.843660132</v>
      </c>
      <c r="I393" s="62" t="n">
        <f aca="false">+I377/I378*1000000</f>
        <v>611854.512797485</v>
      </c>
      <c r="J393" s="62" t="n">
        <f aca="false">+J377/J378*1000000</f>
        <v>619343.494996151</v>
      </c>
      <c r="K393" s="62" t="n">
        <f aca="false">+K377/K378*1000000</f>
        <v>686509.621541469</v>
      </c>
      <c r="L393" s="62" t="n">
        <f aca="false">+L377/L378*1000000</f>
        <v>693016.957523872</v>
      </c>
      <c r="M393" s="62" t="n">
        <f aca="false">+M377/M378*1000000</f>
        <v>702882.394047766</v>
      </c>
      <c r="N393" s="62" t="n">
        <f aca="false">+N377/N378*1000000</f>
        <v>763224.881256851</v>
      </c>
      <c r="O393" s="62" t="n">
        <f aca="false">+O377/O378*1000000</f>
        <v>851654.204849566</v>
      </c>
      <c r="P393" s="62" t="n">
        <f aca="false">+P377/P378*1000000</f>
        <v>935841.787919269</v>
      </c>
      <c r="Q393" s="62" t="n">
        <f aca="false">+Q377/Q378*1000000</f>
        <v>972483.525189355</v>
      </c>
      <c r="R393" s="62" t="n">
        <f aca="false">+R377/R378*1000000</f>
        <v>1014036.06400764</v>
      </c>
      <c r="S393" s="62" t="n">
        <f aca="false">+S377/S378*1000000</f>
        <v>1055217.32941213</v>
      </c>
      <c r="T393" s="62" t="n">
        <f aca="false">+T377/T378*1000000</f>
        <v>1158384.84262427</v>
      </c>
      <c r="U393" s="62" t="n">
        <f aca="false">+U377/U378*1000000</f>
        <v>1199103.61162847</v>
      </c>
      <c r="V393" s="62" t="n">
        <f aca="false">+V377/V378*1000000</f>
        <v>1153263.40136152</v>
      </c>
      <c r="W393" s="62" t="n">
        <f aca="false">+W377/W378*1000000</f>
        <v>1150000.72435424</v>
      </c>
      <c r="X393" s="62" t="n">
        <f aca="false">+X377/X378*1000000</f>
        <v>1351914.77223515</v>
      </c>
      <c r="Y393" s="62" t="n">
        <f aca="false">+Y377/Y378*1000000</f>
        <v>1421806.65962672</v>
      </c>
      <c r="Z393" s="62" t="n">
        <f aca="false">+Z377/Z378*1000000</f>
        <v>1452773.8501662</v>
      </c>
      <c r="AA393" s="62" t="n">
        <f aca="false">+AA377/AA378*1000000</f>
        <v>1490103.2631657</v>
      </c>
      <c r="AB393" s="62" t="n">
        <f aca="false">+AB377/AB378*1000000</f>
        <v>1282276.58259275</v>
      </c>
      <c r="AC393" s="62" t="n">
        <f aca="false">+AC377/AC378*1000000</f>
        <v>1143793.76142687</v>
      </c>
      <c r="AD393" s="62" t="n">
        <f aca="false">+AD377/AD378*1000000</f>
        <v>1219238.44511741</v>
      </c>
      <c r="AE393" s="62" t="n">
        <f aca="false">+AE377/AE378*1000000</f>
        <v>1402918.34858096</v>
      </c>
      <c r="AF393" s="62" t="n">
        <f aca="false">+AF377/AF378*1000000</f>
        <v>1646473.81701829</v>
      </c>
      <c r="AG393" s="62" t="n">
        <f aca="false">+AG377/AG378*1000000</f>
        <v>1680408.66434152</v>
      </c>
      <c r="AH393" s="62" t="n">
        <f aca="false">+AH377/AH378*1000000</f>
        <v>1659910.40170585</v>
      </c>
      <c r="AI393" s="62" t="n">
        <f aca="false">+AI377/AI378*1000000</f>
        <v>1740165.44228547</v>
      </c>
      <c r="AJ393" s="62" t="n">
        <f aca="false">+AJ377/AJ378*1000000</f>
        <v>1774968.75113117</v>
      </c>
      <c r="AK393" s="62" t="n">
        <f aca="false">+AK377/AK378*1000000</f>
        <v>1801593.28239814</v>
      </c>
      <c r="AL393" s="62" t="n">
        <f aca="false">+AL377/AL378*1000000</f>
        <v>1828617.18163411</v>
      </c>
      <c r="AM393" s="41"/>
      <c r="AN393" s="41"/>
      <c r="AO393" s="41"/>
    </row>
    <row r="394" customFormat="false" ht="12" hidden="false" customHeight="true" outlineLevel="0" collapsed="false">
      <c r="B394" s="97" t="e">
        <f aca="false">+B393/A393-1</f>
        <v>#VALUE!</v>
      </c>
      <c r="C394" s="97" t="n">
        <f aca="false">+C393/B393-1</f>
        <v>0.042357356671616</v>
      </c>
      <c r="D394" s="97" t="n">
        <f aca="false">+D393/C393-1</f>
        <v>0.0473485780731839</v>
      </c>
      <c r="E394" s="97" t="n">
        <f aca="false">+E393/D393-1</f>
        <v>0.0927159543057798</v>
      </c>
      <c r="F394" s="97" t="n">
        <f aca="false">+F393/E393-1</f>
        <v>0.0744036723853614</v>
      </c>
      <c r="G394" s="97" t="n">
        <f aca="false">+G393/F393-1</f>
        <v>0.0493331109191582</v>
      </c>
      <c r="H394" s="97" t="n">
        <f aca="false">+H393/G393-1</f>
        <v>0.115599249648217</v>
      </c>
      <c r="I394" s="97" t="n">
        <f aca="false">+I393/H393-1</f>
        <v>0.052910435597795</v>
      </c>
      <c r="J394" s="97" t="n">
        <f aca="false">+J393/I393-1</f>
        <v>0.0122398087160049</v>
      </c>
      <c r="K394" s="97" t="n">
        <f aca="false">+K393/J393-1</f>
        <v>0.108447294737043</v>
      </c>
      <c r="L394" s="97" t="n">
        <f aca="false">+L393/K393-1</f>
        <v>0.00947887076628606</v>
      </c>
      <c r="M394" s="97" t="n">
        <f aca="false">+M393/L393-1</f>
        <v>0.014235490801181</v>
      </c>
      <c r="N394" s="97" t="n">
        <f aca="false">+N393/M393-1</f>
        <v>0.0858500479170974</v>
      </c>
      <c r="O394" s="97" t="n">
        <f aca="false">+O393/N393-1</f>
        <v>0.115862736873952</v>
      </c>
      <c r="P394" s="97" t="n">
        <f aca="false">+P393/O393-1</f>
        <v>0.0988518375067187</v>
      </c>
      <c r="Q394" s="97" t="n">
        <f aca="false">+Q393/P393-1</f>
        <v>0.0391537733654261</v>
      </c>
      <c r="R394" s="97" t="n">
        <f aca="false">+R393/Q393-1</f>
        <v>0.0427282701886353</v>
      </c>
      <c r="S394" s="97" t="n">
        <f aca="false">+S393/R393-1</f>
        <v>0.0406112433927988</v>
      </c>
      <c r="T394" s="97" t="n">
        <f aca="false">+T393/S393-1</f>
        <v>0.0977689716957333</v>
      </c>
      <c r="U394" s="97" t="n">
        <f aca="false">+U393/T393-1</f>
        <v>0.035151330979047</v>
      </c>
      <c r="V394" s="97" t="n">
        <f aca="false">+V393/U393-1</f>
        <v>-0.0382287317146014</v>
      </c>
      <c r="W394" s="97" t="n">
        <f aca="false">+W393/V393-1</f>
        <v>-0.00282908224038614</v>
      </c>
      <c r="X394" s="97" t="n">
        <f aca="false">+X393/W393-1</f>
        <v>0.175577322348465</v>
      </c>
      <c r="Y394" s="97" t="n">
        <f aca="false">+Y393/X393-1</f>
        <v>0.0516984419631807</v>
      </c>
      <c r="Z394" s="97" t="n">
        <f aca="false">+Z393/Y393-1</f>
        <v>0.0217801698492623</v>
      </c>
      <c r="AA394" s="97" t="n">
        <f aca="false">+AA393/Z393-1</f>
        <v>0.0256952677082063</v>
      </c>
      <c r="AB394" s="97" t="n">
        <f aca="false">+AB393/AA393-1</f>
        <v>-0.139471327732971</v>
      </c>
      <c r="AC394" s="97" t="n">
        <f aca="false">+AC393/AB393-1</f>
        <v>-0.107997621609734</v>
      </c>
      <c r="AD394" s="97" t="n">
        <f aca="false">+AD393/AC393-1</f>
        <v>0.0659600412546593</v>
      </c>
      <c r="AE394" s="97" t="n">
        <f aca="false">+AE393/AD393-1</f>
        <v>0.150651338299835</v>
      </c>
      <c r="AF394" s="97" t="n">
        <f aca="false">+AF393/AE393-1</f>
        <v>0.173606303377302</v>
      </c>
      <c r="AG394" s="97" t="n">
        <f aca="false">+AG393/AF393-1</f>
        <v>0.0206106206928249</v>
      </c>
      <c r="AH394" s="97" t="n">
        <f aca="false">+AH393/AG393-1</f>
        <v>-0.0121983795196025</v>
      </c>
      <c r="AI394" s="97" t="n">
        <f aca="false">+AI393/AH393-1</f>
        <v>0.0483490196200567</v>
      </c>
      <c r="AJ394" s="97" t="n">
        <f aca="false">+AJ393/AI393-1</f>
        <v>0.02</v>
      </c>
      <c r="AK394" s="97" t="n">
        <f aca="false">+AK393/AJ393-1</f>
        <v>0.0149999999999999</v>
      </c>
      <c r="AL394" s="97" t="n">
        <f aca="false">+AL393/AK393-1</f>
        <v>0.0149999999999999</v>
      </c>
      <c r="AM394" s="61"/>
      <c r="AN394" s="61"/>
      <c r="AO394" s="61"/>
    </row>
    <row r="395" customFormat="false" ht="12" hidden="false" customHeight="true" outlineLevel="0" collapsed="false">
      <c r="B395" s="40"/>
      <c r="C395" s="40"/>
      <c r="D395" s="40"/>
      <c r="E395" s="40"/>
      <c r="F395" s="40"/>
      <c r="G395" s="40"/>
      <c r="H395" s="40"/>
      <c r="I395" s="40"/>
      <c r="J395" s="40"/>
      <c r="K395" s="40"/>
      <c r="L395" s="40"/>
      <c r="M395" s="40"/>
      <c r="S395" s="32"/>
      <c r="T395" s="31"/>
      <c r="U395" s="31"/>
      <c r="V395" s="31"/>
    </row>
    <row r="396" customFormat="false" ht="12" hidden="false" customHeight="true" outlineLevel="0" collapsed="false">
      <c r="B396" s="40"/>
      <c r="C396" s="40"/>
      <c r="D396" s="40"/>
      <c r="E396" s="40"/>
      <c r="F396" s="40"/>
      <c r="G396" s="40"/>
      <c r="H396" s="40"/>
      <c r="I396" s="40"/>
      <c r="J396" s="40"/>
      <c r="K396" s="40"/>
      <c r="L396" s="40"/>
      <c r="M396" s="40"/>
      <c r="S396" s="32"/>
      <c r="T396" s="31"/>
      <c r="U396" s="31"/>
      <c r="V396" s="31"/>
    </row>
    <row r="397" customFormat="false" ht="12.75" hidden="false" customHeight="true" outlineLevel="0" collapsed="false">
      <c r="A397" s="73" t="s">
        <v>394</v>
      </c>
      <c r="B397" s="40"/>
      <c r="C397" s="40"/>
      <c r="D397" s="40"/>
      <c r="E397" s="40"/>
      <c r="F397" s="40"/>
      <c r="G397" s="40"/>
      <c r="H397" s="40"/>
      <c r="I397" s="40"/>
      <c r="J397" s="40"/>
      <c r="K397" s="40"/>
      <c r="L397" s="40"/>
      <c r="M397" s="40"/>
    </row>
    <row r="398" customFormat="false" ht="12.75" hidden="false" customHeight="true" outlineLevel="0" collapsed="false">
      <c r="A398" s="59" t="s">
        <v>454</v>
      </c>
      <c r="B398" s="208" t="n">
        <v>480.66</v>
      </c>
      <c r="C398" s="208" t="n">
        <v>766.42</v>
      </c>
      <c r="D398" s="208" t="n">
        <v>718.24</v>
      </c>
      <c r="E398" s="208" t="n">
        <v>971.96</v>
      </c>
      <c r="F398" s="208" t="n">
        <v>1329.69</v>
      </c>
      <c r="G398" s="208" t="n">
        <v>1325.9</v>
      </c>
      <c r="H398" s="208" t="n">
        <v>1271.44</v>
      </c>
      <c r="I398" s="208" t="n">
        <v>1144.04</v>
      </c>
      <c r="J398" s="208" t="n">
        <v>1166.53</v>
      </c>
      <c r="K398" s="208" t="n">
        <v>892.51</v>
      </c>
      <c r="L398" s="208" t="n">
        <v>1084.81</v>
      </c>
      <c r="M398" s="208" t="n">
        <v>861.13</v>
      </c>
      <c r="N398" s="208" t="n">
        <v>1154.28</v>
      </c>
      <c r="O398" s="208" t="n">
        <v>1357.51</v>
      </c>
      <c r="P398" s="208" t="n">
        <v>1525.77</v>
      </c>
      <c r="Q398" s="208" t="n">
        <v>2354.17</v>
      </c>
      <c r="R398" s="208" t="n">
        <v>4422.779</v>
      </c>
      <c r="S398" s="208" t="n">
        <v>3687.974</v>
      </c>
      <c r="T398" s="208" t="n">
        <v>3558.146</v>
      </c>
      <c r="U398" s="208" t="n">
        <v>3492.1</v>
      </c>
      <c r="V398" s="208" t="n">
        <v>4835.163</v>
      </c>
      <c r="W398" s="208" t="n">
        <v>4178.39</v>
      </c>
      <c r="X398" s="208" t="n">
        <v>3631.547</v>
      </c>
      <c r="Y398" s="208" t="n">
        <v>4148.931</v>
      </c>
      <c r="Z398" s="208" t="n">
        <v>4069.68</v>
      </c>
      <c r="AA398" s="208" t="n">
        <v>4296.647</v>
      </c>
      <c r="AB398" s="208" t="n">
        <v>4680.4</v>
      </c>
      <c r="AC398" s="208" t="n">
        <v>4714.1</v>
      </c>
      <c r="AD398" s="208" t="n">
        <v>5372.7</v>
      </c>
      <c r="AE398" s="208" t="n">
        <v>5146.4</v>
      </c>
      <c r="AF398" s="208" t="n">
        <v>6338.4</v>
      </c>
      <c r="AG398" s="208" t="n">
        <v>10065.5</v>
      </c>
      <c r="AH398" s="208" t="n">
        <v>11901.7</v>
      </c>
      <c r="AI398" s="208" t="n">
        <v>1400</v>
      </c>
      <c r="AJ398" s="67" t="n">
        <f aca="false">AJ399*AJ400/1000000</f>
        <v>1421</v>
      </c>
      <c r="AK398" s="67" t="n">
        <f aca="false">AK399*AK400/1000000</f>
        <v>1442.315</v>
      </c>
      <c r="AL398" s="67" t="n">
        <f aca="false">AL399*AL400/1000000</f>
        <v>1463.949725</v>
      </c>
      <c r="AM398" s="145"/>
      <c r="AN398" s="145"/>
      <c r="AO398" s="145"/>
    </row>
    <row r="399" customFormat="false" ht="12.75" hidden="false" customHeight="true" outlineLevel="0" collapsed="false">
      <c r="A399" s="59" t="s">
        <v>455</v>
      </c>
      <c r="B399" s="208" t="n">
        <v>4069</v>
      </c>
      <c r="C399" s="208" t="n">
        <v>5666</v>
      </c>
      <c r="D399" s="208" t="n">
        <v>5258</v>
      </c>
      <c r="E399" s="208" t="n">
        <v>6537</v>
      </c>
      <c r="F399" s="208" t="n">
        <v>8331</v>
      </c>
      <c r="G399" s="208" t="n">
        <v>7611</v>
      </c>
      <c r="H399" s="208" t="n">
        <v>7185</v>
      </c>
      <c r="I399" s="208" t="n">
        <v>6004</v>
      </c>
      <c r="J399" s="208" t="n">
        <v>6311</v>
      </c>
      <c r="K399" s="208" t="n">
        <v>5258</v>
      </c>
      <c r="L399" s="208" t="n">
        <v>5924</v>
      </c>
      <c r="M399" s="208" t="n">
        <v>5085</v>
      </c>
      <c r="N399" s="208" t="n">
        <v>6254</v>
      </c>
      <c r="O399" s="208" t="n">
        <v>7171</v>
      </c>
      <c r="P399" s="208" t="n">
        <v>8202</v>
      </c>
      <c r="Q399" s="208" t="n">
        <v>11757</v>
      </c>
      <c r="R399" s="208" t="n">
        <v>21447</v>
      </c>
      <c r="S399" s="208" t="n">
        <v>19050</v>
      </c>
      <c r="T399" s="208" t="n">
        <v>17377</v>
      </c>
      <c r="U399" s="208" t="n">
        <v>16170</v>
      </c>
      <c r="V399" s="208" t="n">
        <v>21757</v>
      </c>
      <c r="W399" s="208" t="n">
        <v>17441</v>
      </c>
      <c r="X399" s="208" t="n">
        <v>14023</v>
      </c>
      <c r="Y399" s="208" t="n">
        <v>15551</v>
      </c>
      <c r="Z399" s="208" t="n">
        <v>16491</v>
      </c>
      <c r="AA399" s="208" t="n">
        <v>18751</v>
      </c>
      <c r="AB399" s="208" t="n">
        <v>21859</v>
      </c>
      <c r="AC399" s="208" t="n">
        <v>20359</v>
      </c>
      <c r="AD399" s="208" t="n">
        <v>23923</v>
      </c>
      <c r="AE399" s="208" t="n">
        <v>20944</v>
      </c>
      <c r="AF399" s="208" t="n">
        <v>22925</v>
      </c>
      <c r="AG399" s="208" t="n">
        <v>32374</v>
      </c>
      <c r="AH399" s="208" t="n">
        <v>32930</v>
      </c>
      <c r="AI399" s="67" t="n">
        <f aca="false">AH399*(1+AI401/100)</f>
        <v>33522.74</v>
      </c>
      <c r="AJ399" s="67" t="n">
        <f aca="false">AI399*(1+AJ401/100)</f>
        <v>34025.5811</v>
      </c>
      <c r="AK399" s="67" t="n">
        <f aca="false">AJ399*(1+AK401/100)</f>
        <v>34535.9648165</v>
      </c>
      <c r="AL399" s="67" t="n">
        <f aca="false">AK399*(1+AL401/100)</f>
        <v>35054.0042887475</v>
      </c>
      <c r="AM399" s="145"/>
      <c r="AN399" s="145"/>
      <c r="AO399" s="145"/>
    </row>
    <row r="400" customFormat="false" ht="12.75" hidden="false" customHeight="true" outlineLevel="0" collapsed="false">
      <c r="A400" s="73" t="s">
        <v>464</v>
      </c>
      <c r="B400" s="67" t="n">
        <f aca="false">+B398/B399*1000000</f>
        <v>118127.304005898</v>
      </c>
      <c r="C400" s="67" t="n">
        <f aca="false">+C398/C399*1000000</f>
        <v>135266.501941405</v>
      </c>
      <c r="D400" s="67" t="n">
        <f aca="false">+D398/D399*1000000</f>
        <v>136599.467478129</v>
      </c>
      <c r="E400" s="67" t="n">
        <f aca="false">+E398/E399*1000000</f>
        <v>148685.941563408</v>
      </c>
      <c r="F400" s="67" t="n">
        <f aca="false">+F398/F399*1000000</f>
        <v>159607.490097227</v>
      </c>
      <c r="G400" s="67" t="n">
        <f aca="false">+G398/G399*1000000</f>
        <v>174208.382604126</v>
      </c>
      <c r="H400" s="67" t="n">
        <f aca="false">+H398/H399*1000000</f>
        <v>176957.550452331</v>
      </c>
      <c r="I400" s="67" t="n">
        <f aca="false">+I398/I399*1000000</f>
        <v>190546.302465023</v>
      </c>
      <c r="J400" s="67" t="n">
        <f aca="false">+J398/J399*1000000</f>
        <v>184840.754238631</v>
      </c>
      <c r="K400" s="67" t="n">
        <f aca="false">+K398/K399*1000000</f>
        <v>169743.248383416</v>
      </c>
      <c r="L400" s="67" t="n">
        <f aca="false">+L398/L399*1000000</f>
        <v>183121.201890614</v>
      </c>
      <c r="M400" s="67" t="n">
        <f aca="false">+M398/M399*1000000</f>
        <v>169347.099311701</v>
      </c>
      <c r="N400" s="67" t="n">
        <f aca="false">+N398/N399*1000000</f>
        <v>184566.677326511</v>
      </c>
      <c r="O400" s="67" t="n">
        <f aca="false">+O398/O399*1000000</f>
        <v>189305.536187422</v>
      </c>
      <c r="P400" s="67" t="n">
        <f aca="false">+P398/P399*1000000</f>
        <v>186024.140453548</v>
      </c>
      <c r="Q400" s="67" t="n">
        <f aca="false">+Q398/Q399*1000000</f>
        <v>200235.60432083</v>
      </c>
      <c r="R400" s="67" t="n">
        <f aca="false">+R398/R399*1000000</f>
        <v>206219.004989043</v>
      </c>
      <c r="S400" s="67" t="n">
        <f aca="false">+S398/S399*1000000</f>
        <v>193594.435695538</v>
      </c>
      <c r="T400" s="67" t="n">
        <f aca="false">+T398/T399*1000000</f>
        <v>204761.811590033</v>
      </c>
      <c r="U400" s="67" t="n">
        <f aca="false">+U398/U399*1000000</f>
        <v>215961.657390229</v>
      </c>
      <c r="V400" s="67" t="n">
        <f aca="false">+V398/V399*1000000</f>
        <v>222234.820977157</v>
      </c>
      <c r="W400" s="67" t="n">
        <f aca="false">+W398/W399*1000000</f>
        <v>239572.845593716</v>
      </c>
      <c r="X400" s="67" t="n">
        <f aca="false">+X398/X399*1000000</f>
        <v>258970.762319047</v>
      </c>
      <c r="Y400" s="67" t="n">
        <f aca="false">+Y398/Y399*1000000</f>
        <v>266795.125715388</v>
      </c>
      <c r="Z400" s="67" t="n">
        <f aca="false">+Z398/Z399*1000000</f>
        <v>246781.881026014</v>
      </c>
      <c r="AA400" s="67" t="n">
        <f aca="false">+AA398/AA399*1000000</f>
        <v>229142.28574476</v>
      </c>
      <c r="AB400" s="67" t="n">
        <f aca="false">+AB398/AB399*1000000</f>
        <v>214117.754700581</v>
      </c>
      <c r="AC400" s="67" t="n">
        <f aca="false">+AC398/AC399*1000000</f>
        <v>231548.700820276</v>
      </c>
      <c r="AD400" s="67" t="n">
        <f aca="false">+AD398/AD399*1000000</f>
        <v>224583.037244493</v>
      </c>
      <c r="AE400" s="67" t="n">
        <f aca="false">+AE398/AE399*1000000</f>
        <v>245721.92513369</v>
      </c>
      <c r="AF400" s="67" t="n">
        <f aca="false">+AF398/AF399*1000000</f>
        <v>276484.187568157</v>
      </c>
      <c r="AG400" s="67" t="n">
        <f aca="false">+AG398/AG399*1000000</f>
        <v>310913.078396244</v>
      </c>
      <c r="AH400" s="67" t="n">
        <f aca="false">+AH398/AH399*1000000</f>
        <v>361424.233221986</v>
      </c>
      <c r="AI400" s="67" t="n">
        <f aca="false">+AI398/AI399*1000000</f>
        <v>41762.6960087391</v>
      </c>
      <c r="AJ400" s="67" t="n">
        <f aca="false">AI400*(1+AJ402/100)</f>
        <v>41762.6960087391</v>
      </c>
      <c r="AK400" s="67" t="n">
        <f aca="false">AJ400*(1+AK402/100)</f>
        <v>41762.6960087391</v>
      </c>
      <c r="AL400" s="67" t="n">
        <f aca="false">AK400*(1+AL402/100)</f>
        <v>41762.6960087391</v>
      </c>
      <c r="AM400" s="145"/>
      <c r="AN400" s="145"/>
      <c r="AO400" s="145"/>
    </row>
    <row r="401" customFormat="false" ht="12.75" hidden="false" customHeight="true" outlineLevel="0" collapsed="false">
      <c r="A401" s="69" t="s">
        <v>457</v>
      </c>
      <c r="B401" s="40"/>
      <c r="C401" s="90" t="n">
        <f aca="false">+C399/B399*100-100</f>
        <v>39.2479724748095</v>
      </c>
      <c r="D401" s="90" t="n">
        <f aca="false">+D399/C399*100-100</f>
        <v>-7.20084715848924</v>
      </c>
      <c r="E401" s="90" t="n">
        <f aca="false">+E399/D399*100-100</f>
        <v>24.3248383415747</v>
      </c>
      <c r="F401" s="90" t="n">
        <f aca="false">+F399/E399*100-100</f>
        <v>27.4437815511703</v>
      </c>
      <c r="G401" s="90" t="n">
        <f aca="false">+G399/F399*100-100</f>
        <v>-8.64241987756572</v>
      </c>
      <c r="H401" s="90" t="n">
        <f aca="false">+H399/G399*100-100</f>
        <v>-5.597162002365</v>
      </c>
      <c r="I401" s="90" t="n">
        <f aca="false">+I399/H399*100-100</f>
        <v>-16.437021572721</v>
      </c>
      <c r="J401" s="90" t="n">
        <f aca="false">+J399/I399*100-100</f>
        <v>5.11325782811458</v>
      </c>
      <c r="K401" s="90" t="n">
        <f aca="false">+K399/J399*100-100</f>
        <v>-16.6851529076216</v>
      </c>
      <c r="L401" s="90" t="n">
        <f aca="false">+L399/K399*100-100</f>
        <v>12.6664130848231</v>
      </c>
      <c r="M401" s="90" t="n">
        <f aca="false">+M399/L399*100-100</f>
        <v>-14.1627278865631</v>
      </c>
      <c r="N401" s="90" t="n">
        <f aca="false">+N399/M399*100-100</f>
        <v>22.9891838741396</v>
      </c>
      <c r="O401" s="90" t="n">
        <f aca="false">+O399/N399*100-100</f>
        <v>14.6626159258075</v>
      </c>
      <c r="P401" s="90" t="n">
        <f aca="false">+P399/O399*100-100</f>
        <v>14.3773532282806</v>
      </c>
      <c r="Q401" s="90" t="n">
        <f aca="false">+Q399/P399*100-100</f>
        <v>43.3430870519385</v>
      </c>
      <c r="R401" s="90" t="n">
        <f aca="false">+R399/Q399*100-100</f>
        <v>82.4189844348048</v>
      </c>
      <c r="S401" s="90" t="n">
        <f aca="false">+S399/R399*100-100</f>
        <v>-11.1763883060568</v>
      </c>
      <c r="T401" s="90" t="n">
        <f aca="false">+T399/S399*100-100</f>
        <v>-8.78215223097114</v>
      </c>
      <c r="U401" s="90" t="n">
        <f aca="false">+U399/T399*100-100</f>
        <v>-6.94596305461242</v>
      </c>
      <c r="V401" s="90" t="n">
        <f aca="false">+V399/U399*100-100</f>
        <v>34.5516388373531</v>
      </c>
      <c r="W401" s="90" t="n">
        <f aca="false">+W399/V399*100-100</f>
        <v>-19.837293744542</v>
      </c>
      <c r="X401" s="90" t="n">
        <f aca="false">+X399/W399*100-100</f>
        <v>-19.5975001433404</v>
      </c>
      <c r="Y401" s="90" t="n">
        <f aca="false">+Y399/X399*100-100</f>
        <v>10.8963845111602</v>
      </c>
      <c r="Z401" s="90" t="n">
        <f aca="false">+Z399/Y399*100-100</f>
        <v>6.04462735515401</v>
      </c>
      <c r="AA401" s="90" t="n">
        <f aca="false">+AA399/Z399*100-100</f>
        <v>13.7044448487054</v>
      </c>
      <c r="AB401" s="90" t="n">
        <f aca="false">+AB399/AA399*100-100</f>
        <v>16.5751159938137</v>
      </c>
      <c r="AC401" s="90" t="n">
        <f aca="false">+AC399/AB399*100-100</f>
        <v>-6.8621620385196</v>
      </c>
      <c r="AD401" s="90" t="n">
        <f aca="false">+AD399/AC399*100-100</f>
        <v>17.5057714033106</v>
      </c>
      <c r="AE401" s="90" t="n">
        <f aca="false">+AE399/AD399*100-100</f>
        <v>-12.4524516156</v>
      </c>
      <c r="AF401" s="90" t="n">
        <f aca="false">+AF399/AE399*100-100</f>
        <v>9.45855614973262</v>
      </c>
      <c r="AG401" s="90" t="n">
        <f aca="false">+AG399/AF399*100-100</f>
        <v>41.2170119956379</v>
      </c>
      <c r="AH401" s="90" t="n">
        <f aca="false">+AH399/AG399*100-100</f>
        <v>1.7174275653302</v>
      </c>
      <c r="AI401" s="267" t="n">
        <v>1.8</v>
      </c>
      <c r="AJ401" s="267" t="n">
        <v>1.5</v>
      </c>
      <c r="AK401" s="267" t="n">
        <v>1.5</v>
      </c>
      <c r="AL401" s="267" t="n">
        <v>1.5</v>
      </c>
      <c r="AM401" s="214"/>
      <c r="AN401" s="214"/>
      <c r="AO401" s="214"/>
    </row>
    <row r="402" customFormat="false" ht="12" hidden="false" customHeight="true" outlineLevel="0" collapsed="false">
      <c r="A402" s="69" t="s">
        <v>458</v>
      </c>
      <c r="B402" s="40"/>
      <c r="C402" s="90" t="n">
        <f aca="false">+C400/B400*100-100</f>
        <v>14.5090909165681</v>
      </c>
      <c r="D402" s="90" t="n">
        <f aca="false">+D400/C400*100-100</f>
        <v>0.985436540157679</v>
      </c>
      <c r="E402" s="90" t="n">
        <f aca="false">+E400/D400*100-100</f>
        <v>8.84811215476734</v>
      </c>
      <c r="F402" s="90" t="n">
        <f aca="false">+F400/E400*100-100</f>
        <v>7.34538075286784</v>
      </c>
      <c r="G402" s="90" t="n">
        <f aca="false">+G400/F400*100-100</f>
        <v>9.14799956944631</v>
      </c>
      <c r="H402" s="90" t="n">
        <f aca="false">+H400/G400*100-100</f>
        <v>1.57809159760865</v>
      </c>
      <c r="I402" s="90" t="n">
        <f aca="false">+I400/H400*100-100</f>
        <v>7.67910268759771</v>
      </c>
      <c r="J402" s="90" t="n">
        <f aca="false">+J400/I400*100-100</f>
        <v>-2.99431064921329</v>
      </c>
      <c r="K402" s="90" t="n">
        <f aca="false">+K400/J400*100-100</f>
        <v>-8.16784475772275</v>
      </c>
      <c r="L402" s="90" t="n">
        <f aca="false">+L400/K400*100-100</f>
        <v>7.88128755317597</v>
      </c>
      <c r="M402" s="90" t="n">
        <f aca="false">+M400/L400*100-100</f>
        <v>-7.52185024819856</v>
      </c>
      <c r="N402" s="90" t="n">
        <f aca="false">+N400/M400*100-100</f>
        <v>8.98720915602856</v>
      </c>
      <c r="O402" s="90" t="n">
        <f aca="false">+O400/N400*100-100</f>
        <v>2.56755928510712</v>
      </c>
      <c r="P402" s="90" t="n">
        <f aca="false">+P400/O400*100-100</f>
        <v>-1.73338603823233</v>
      </c>
      <c r="Q402" s="90" t="n">
        <f aca="false">+Q400/P400*100-100</f>
        <v>7.63958045049048</v>
      </c>
      <c r="R402" s="90" t="n">
        <f aca="false">+R400/Q400*100-100</f>
        <v>2.98818019328154</v>
      </c>
      <c r="S402" s="90" t="n">
        <f aca="false">+S400/R400*100-100</f>
        <v>-6.1219232893571</v>
      </c>
      <c r="T402" s="90" t="n">
        <f aca="false">+T400/S400*100-100</f>
        <v>5.76843846486241</v>
      </c>
      <c r="U402" s="90" t="n">
        <f aca="false">+U400/T400*100-100</f>
        <v>5.46969462382954</v>
      </c>
      <c r="V402" s="90" t="n">
        <f aca="false">+V400/U400*100-100</f>
        <v>2.9047580310021</v>
      </c>
      <c r="W402" s="90" t="n">
        <f aca="false">+W400/V400*100-100</f>
        <v>7.80166876654374</v>
      </c>
      <c r="X402" s="90" t="n">
        <f aca="false">+X400/W400*100-100</f>
        <v>8.09687620366944</v>
      </c>
      <c r="Y402" s="90" t="n">
        <f aca="false">+Y400/X400*100-100</f>
        <v>3.02133079667939</v>
      </c>
      <c r="Z402" s="90" t="n">
        <f aca="false">+Z400/Y400*100-100</f>
        <v>-7.50135319590645</v>
      </c>
      <c r="AA402" s="196" t="n">
        <v>2.5</v>
      </c>
      <c r="AB402" s="196" t="n">
        <v>2.5</v>
      </c>
      <c r="AC402" s="196" t="n">
        <v>2.5</v>
      </c>
      <c r="AD402" s="196" t="n">
        <v>2.5</v>
      </c>
      <c r="AE402" s="196" t="n">
        <v>2.5</v>
      </c>
      <c r="AF402" s="196" t="n">
        <v>2.5</v>
      </c>
      <c r="AG402" s="196" t="n">
        <v>2.5</v>
      </c>
      <c r="AH402" s="196" t="n">
        <v>2.5</v>
      </c>
      <c r="AI402" s="196" t="n">
        <v>0</v>
      </c>
      <c r="AJ402" s="196" t="n">
        <v>0</v>
      </c>
      <c r="AK402" s="196" t="n">
        <v>0</v>
      </c>
      <c r="AL402" s="196" t="n">
        <v>0</v>
      </c>
      <c r="AM402" s="268"/>
      <c r="AN402" s="268"/>
      <c r="AO402" s="268"/>
    </row>
    <row r="403" customFormat="false" ht="12" hidden="false" customHeight="true" outlineLevel="0" collapsed="false">
      <c r="A403" s="69" t="s">
        <v>459</v>
      </c>
      <c r="B403" s="40"/>
      <c r="C403" s="90" t="n">
        <f aca="false">(100*C398)/B398-100</f>
        <v>59.4515874006574</v>
      </c>
      <c r="D403" s="90" t="n">
        <f aca="false">(100*D398)/C398-100</f>
        <v>-6.28637039743221</v>
      </c>
      <c r="E403" s="90" t="n">
        <f aca="false">(100*E398)/D398-100</f>
        <v>35.3252394742704</v>
      </c>
      <c r="F403" s="90" t="n">
        <f aca="false">(100*F398)/E398-100</f>
        <v>36.8050125519569</v>
      </c>
      <c r="G403" s="90" t="n">
        <f aca="false">(100*G398)/F398-100</f>
        <v>-0.285028841308886</v>
      </c>
      <c r="H403" s="90" t="n">
        <f aca="false">(100*H398)/G398-100</f>
        <v>-4.10739874802022</v>
      </c>
      <c r="I403" s="90" t="n">
        <f aca="false">(100*I398)/H398-100</f>
        <v>-10.0201346504751</v>
      </c>
      <c r="J403" s="90" t="n">
        <f aca="false">(100*J398)/I398-100</f>
        <v>1.96584035523233</v>
      </c>
      <c r="K403" s="90" t="n">
        <f aca="false">(100*K398)/J398-100</f>
        <v>-23.4901802782612</v>
      </c>
      <c r="L403" s="90" t="n">
        <f aca="false">(100*L398)/K398-100</f>
        <v>21.5459770758871</v>
      </c>
      <c r="M403" s="90" t="n">
        <f aca="false">(100*M398)/L398-100</f>
        <v>-20.6192789520746</v>
      </c>
      <c r="N403" s="90" t="n">
        <f aca="false">(100*N398)/M398-100</f>
        <v>34.0424790682011</v>
      </c>
      <c r="O403" s="90" t="n">
        <f aca="false">(100*O398)/N398-100</f>
        <v>17.6066465675573</v>
      </c>
      <c r="P403" s="90" t="n">
        <f aca="false">(100*P398)/O398-100</f>
        <v>12.3947521565219</v>
      </c>
      <c r="Q403" s="90" t="n">
        <f aca="false">(100*Q398)/P398-100</f>
        <v>54.293897507488</v>
      </c>
      <c r="R403" s="90" t="n">
        <f aca="false">(100*R398)/Q398-100</f>
        <v>87.8699923964709</v>
      </c>
      <c r="S403" s="90" t="n">
        <f aca="false">(100*S398)/R398-100</f>
        <v>-16.6141016767964</v>
      </c>
      <c r="T403" s="90" t="n">
        <f aca="false">(100*T398)/S398-100</f>
        <v>-3.52030681344283</v>
      </c>
      <c r="U403" s="90" t="n">
        <f aca="false">(100*U398)/T398-100</f>
        <v>-1.8561913985542</v>
      </c>
      <c r="V403" s="90" t="n">
        <f aca="false">(100*V398)/U398-100</f>
        <v>38.4600383723261</v>
      </c>
      <c r="W403" s="90" t="n">
        <f aca="false">(100*W398)/V398-100</f>
        <v>-13.5832649281937</v>
      </c>
      <c r="X403" s="90" t="n">
        <f aca="false">(100*X398)/W398-100</f>
        <v>-13.0874092652912</v>
      </c>
      <c r="Y403" s="90" t="n">
        <f aca="false">(100*Y398)/X398-100</f>
        <v>14.2469311287999</v>
      </c>
      <c r="Z403" s="90" t="n">
        <f aca="false">(100*Z398)/Y398-100</f>
        <v>-1.91015468803892</v>
      </c>
      <c r="AA403" s="90" t="n">
        <f aca="false">(100*AA398)/Z398-100</f>
        <v>5.57702325489966</v>
      </c>
      <c r="AB403" s="90" t="n">
        <f aca="false">(100*AB398)/AA398-100</f>
        <v>8.93145282821696</v>
      </c>
      <c r="AC403" s="90" t="n">
        <f aca="false">(100*AC398)/AB398-100</f>
        <v>0.720023929578687</v>
      </c>
      <c r="AD403" s="90" t="n">
        <f aca="false">(100*AD398)/AC398-100</f>
        <v>13.970853397255</v>
      </c>
      <c r="AE403" s="90" t="n">
        <f aca="false">(100*AE398)/AD398-100</f>
        <v>-4.21203491726693</v>
      </c>
      <c r="AF403" s="90" t="n">
        <f aca="false">(100*AF398)/AE398-100</f>
        <v>23.1618218560547</v>
      </c>
      <c r="AG403" s="90" t="n">
        <f aca="false">(100*AG398)/AF398-100</f>
        <v>58.8019058437461</v>
      </c>
      <c r="AH403" s="90" t="n">
        <f aca="false">(100*AH398)/AG398-100</f>
        <v>18.2425115493517</v>
      </c>
      <c r="AI403" s="90" t="n">
        <f aca="false">(100*AI398)/AH398-100</f>
        <v>-88.2369745498542</v>
      </c>
      <c r="AJ403" s="90" t="n">
        <f aca="false">(100*AJ398)/AI398-100</f>
        <v>1.49999999999999</v>
      </c>
      <c r="AK403" s="90" t="n">
        <f aca="false">(100*AK398)/AJ398-100</f>
        <v>1.5</v>
      </c>
      <c r="AL403" s="90" t="n">
        <f aca="false">(100*AL398)/AK398-100</f>
        <v>1.49999999999997</v>
      </c>
      <c r="AM403" s="40"/>
      <c r="AN403" s="40"/>
      <c r="AO403" s="40"/>
    </row>
    <row r="404" customFormat="false" ht="12" hidden="false" customHeight="true" outlineLevel="0" collapsed="false">
      <c r="A404" s="69" t="s">
        <v>460</v>
      </c>
      <c r="B404" s="90" t="n">
        <f aca="false">+B398/B429*100</f>
        <v>4.94840139023868</v>
      </c>
      <c r="C404" s="90" t="n">
        <f aca="false">+C398/C429*100</f>
        <v>6.32784202604552</v>
      </c>
      <c r="D404" s="90" t="n">
        <f aca="false">+D398/D429*100</f>
        <v>4.67133991438305</v>
      </c>
      <c r="E404" s="90" t="n">
        <f aca="false">+E398/E429*100</f>
        <v>4.74901033782879</v>
      </c>
      <c r="F404" s="90" t="n">
        <f aca="false">+F398/F429*100</f>
        <v>5.28325441701589</v>
      </c>
      <c r="G404" s="90" t="n">
        <f aca="false">+G398/G429*100</f>
        <v>6.42704749738115</v>
      </c>
      <c r="H404" s="90" t="n">
        <f aca="false">+H398/H429*100</f>
        <v>6.05016087626874</v>
      </c>
      <c r="I404" s="90" t="n">
        <f aca="false">+I398/I429*100</f>
        <v>4.27445846298239</v>
      </c>
      <c r="J404" s="90" t="n">
        <f aca="false">+J398/J429*100</f>
        <v>4.36963174672146</v>
      </c>
      <c r="K404" s="90" t="n">
        <f aca="false">+K398/K429*100</f>
        <v>3.30975307479105</v>
      </c>
      <c r="L404" s="90" t="n">
        <f aca="false">+L398/L429*100</f>
        <v>3.47059459618558</v>
      </c>
      <c r="M404" s="90" t="n">
        <f aca="false">+M398/M429*100</f>
        <v>2.16387645804033</v>
      </c>
      <c r="N404" s="90" t="n">
        <f aca="false">+N398/N429*100</f>
        <v>2.36179823882055</v>
      </c>
      <c r="O404" s="90" t="n">
        <f aca="false">+O398/O429*100</f>
        <v>2.20003280172073</v>
      </c>
      <c r="P404" s="90" t="n">
        <f aca="false">+P398/P429*100</f>
        <v>1.80022915675811</v>
      </c>
      <c r="Q404" s="90" t="n">
        <f aca="false">+Q398/Q429*100</f>
        <v>2.5789731585966</v>
      </c>
      <c r="R404" s="90" t="n">
        <f aca="false">+R398/R429*100</f>
        <v>6.51943312679028</v>
      </c>
      <c r="S404" s="90" t="n">
        <f aca="false">+S398/S429*100</f>
        <v>4.58982099708814</v>
      </c>
      <c r="T404" s="90" t="n">
        <f aca="false">+T398/T429*100</f>
        <v>2.88298338000731</v>
      </c>
      <c r="U404" s="90" t="n">
        <f aca="false">+U398/U429*100</f>
        <v>2.47271745629691</v>
      </c>
      <c r="V404" s="90" t="n">
        <f aca="false">+V398/V429*100</f>
        <v>3.46656846177024</v>
      </c>
      <c r="W404" s="90" t="n">
        <f aca="false">+W398/W429*100</f>
        <v>3.82695740194399</v>
      </c>
      <c r="X404" s="90" t="n">
        <f aca="false">+X398/X429*100</f>
        <v>2.4471001608347</v>
      </c>
      <c r="Y404" s="90" t="n">
        <f aca="false">+Y398/Y429*100</f>
        <v>2.03092449950058</v>
      </c>
      <c r="Z404" s="90" t="n">
        <f aca="false">+Z398/Z429*100</f>
        <v>1.86762143187651</v>
      </c>
      <c r="AA404" s="90" t="n">
        <f aca="false">+AA398/AA429*100</f>
        <v>1.59568430608916</v>
      </c>
      <c r="AB404" s="90" t="n">
        <f aca="false">+AB398/AB429*100</f>
        <v>1.58959974378386</v>
      </c>
      <c r="AC404" s="90" t="n">
        <f aca="false">+AC398/AC429*100</f>
        <v>2.63583575859746</v>
      </c>
      <c r="AD404" s="90" t="n">
        <f aca="false">+AD398/AD429*100</f>
        <v>3.44438510798843</v>
      </c>
      <c r="AE404" s="90" t="n">
        <f aca="false">+AE398/AE429*100</f>
        <v>2.33968004429862</v>
      </c>
      <c r="AF404" s="90" t="n">
        <f aca="false">+AF398/AF429*100</f>
        <v>1.72514826003186</v>
      </c>
      <c r="AG404" s="90" t="n">
        <f aca="false">+AG398/AG429*100</f>
        <v>2.5754460750386</v>
      </c>
      <c r="AH404" s="90" t="n">
        <f aca="false">+AH398/AH429*100</f>
        <v>3.0086472349299</v>
      </c>
      <c r="AI404" s="90" t="n">
        <f aca="false">+AI398/AI429*100</f>
        <v>0.311768369735472</v>
      </c>
      <c r="AJ404" s="90" t="n">
        <f aca="false">+AJ398/AJ429*100</f>
        <v>0.290229979831671</v>
      </c>
      <c r="AK404" s="90" t="n">
        <f aca="false">+AK398/AK429*100</f>
        <v>0.272426439090979</v>
      </c>
      <c r="AL404" s="90" t="n">
        <f aca="false">+AL398/AL429*100</f>
        <v>0.257208612895568</v>
      </c>
      <c r="AM404" s="40"/>
      <c r="AN404" s="40"/>
      <c r="AO404" s="40"/>
    </row>
    <row r="405" customFormat="false" ht="12" hidden="false" customHeight="true" outlineLevel="0" collapsed="false">
      <c r="B405" s="40"/>
      <c r="C405" s="40"/>
      <c r="D405" s="40"/>
      <c r="E405" s="40"/>
      <c r="F405" s="40"/>
      <c r="G405" s="40"/>
      <c r="H405" s="40"/>
      <c r="I405" s="40"/>
      <c r="J405" s="40"/>
      <c r="K405" s="40"/>
      <c r="L405" s="40"/>
      <c r="M405" s="40"/>
    </row>
    <row r="406" customFormat="false" ht="12.75" hidden="false" customHeight="true" outlineLevel="0" collapsed="false">
      <c r="A406" s="59" t="s">
        <v>465</v>
      </c>
      <c r="B406" s="40"/>
      <c r="C406" s="40"/>
      <c r="D406" s="40"/>
      <c r="E406" s="40"/>
      <c r="F406" s="40"/>
      <c r="G406" s="40"/>
      <c r="H406" s="40"/>
      <c r="I406" s="40"/>
      <c r="J406" s="40"/>
      <c r="K406" s="40"/>
      <c r="L406" s="40"/>
      <c r="M406" s="40"/>
      <c r="R406" s="41"/>
      <c r="S406" s="41"/>
    </row>
    <row r="407" customFormat="false" ht="12.75" hidden="false" customHeight="true" outlineLevel="0" collapsed="false">
      <c r="A407" s="59" t="s">
        <v>454</v>
      </c>
      <c r="B407" s="267" t="n">
        <v>150.4</v>
      </c>
      <c r="C407" s="267" t="n">
        <v>154.7</v>
      </c>
      <c r="D407" s="267" t="n">
        <v>202.77</v>
      </c>
      <c r="E407" s="267" t="n">
        <v>253.13</v>
      </c>
      <c r="F407" s="267" t="n">
        <v>288.21</v>
      </c>
      <c r="G407" s="267" t="n">
        <v>351.13</v>
      </c>
      <c r="H407" s="267" t="n">
        <v>315.55</v>
      </c>
      <c r="I407" s="267" t="n">
        <v>311.59</v>
      </c>
      <c r="J407" s="267" t="n">
        <v>277.65</v>
      </c>
      <c r="K407" s="267" t="n">
        <v>211.14</v>
      </c>
      <c r="L407" s="267" t="n">
        <v>144.96</v>
      </c>
      <c r="M407" s="267" t="n">
        <v>268.65</v>
      </c>
      <c r="N407" s="273" t="n">
        <v>479.71</v>
      </c>
      <c r="O407" s="162"/>
      <c r="P407" s="162"/>
      <c r="Z407" s="48" t="n">
        <v>2390.438</v>
      </c>
      <c r="AA407" s="48" t="n">
        <v>5125.42</v>
      </c>
      <c r="AB407" s="48" t="n">
        <v>5163.8</v>
      </c>
      <c r="AC407" s="48" t="n">
        <v>3964.3</v>
      </c>
      <c r="AD407" s="48" t="n">
        <v>3575.8</v>
      </c>
      <c r="AE407" s="48" t="n">
        <v>4690.2</v>
      </c>
      <c r="AF407" s="48" t="n">
        <v>6093.3</v>
      </c>
      <c r="AG407" s="48" t="n">
        <v>5087.7</v>
      </c>
      <c r="AH407" s="48" t="n">
        <v>5722.4</v>
      </c>
      <c r="AI407" s="217" t="n">
        <f aca="false">+AH407*1.03</f>
        <v>5894.072</v>
      </c>
      <c r="AJ407" s="217" t="n">
        <f aca="false">+AI407*1.03</f>
        <v>6070.89416</v>
      </c>
      <c r="AK407" s="217" t="n">
        <f aca="false">+AJ407*1.03</f>
        <v>6253.0209848</v>
      </c>
      <c r="AL407" s="217" t="n">
        <f aca="false">+AK407*1.03</f>
        <v>6440.611614344</v>
      </c>
    </row>
    <row r="408" customFormat="false" ht="12.75" hidden="false" customHeight="true" outlineLevel="0" collapsed="false">
      <c r="A408" s="59" t="s">
        <v>455</v>
      </c>
      <c r="B408" s="208" t="n">
        <v>5827</v>
      </c>
      <c r="C408" s="208" t="n">
        <v>5636</v>
      </c>
      <c r="D408" s="208" t="n">
        <v>6155</v>
      </c>
      <c r="E408" s="208" t="n">
        <v>6654</v>
      </c>
      <c r="F408" s="208" t="n">
        <v>7528</v>
      </c>
      <c r="G408" s="208" t="n">
        <v>9010</v>
      </c>
      <c r="H408" s="208" t="n">
        <v>8247</v>
      </c>
      <c r="I408" s="208" t="n">
        <v>8398</v>
      </c>
      <c r="J408" s="208" t="n">
        <v>7570</v>
      </c>
      <c r="K408" s="208" t="n">
        <v>5795</v>
      </c>
      <c r="L408" s="208" t="n">
        <v>3997</v>
      </c>
      <c r="M408" s="208" t="n">
        <v>6598</v>
      </c>
      <c r="N408" s="208" t="n">
        <v>10037</v>
      </c>
      <c r="O408" s="145"/>
      <c r="P408" s="145"/>
    </row>
    <row r="409" customFormat="false" ht="12.75" hidden="false" customHeight="true" outlineLevel="0" collapsed="false">
      <c r="A409" s="73" t="s">
        <v>466</v>
      </c>
      <c r="B409" s="67" t="n">
        <f aca="false">+B407/B408*1000000</f>
        <v>25810.8803844174</v>
      </c>
      <c r="C409" s="67" t="n">
        <f aca="false">+C407/C408*1000000</f>
        <v>27448.5450674237</v>
      </c>
      <c r="D409" s="67" t="n">
        <f aca="false">+D407/D408*1000000</f>
        <v>32943.9480097482</v>
      </c>
      <c r="E409" s="67" t="n">
        <f aca="false">+E407/E408*1000000</f>
        <v>38041.7793808236</v>
      </c>
      <c r="F409" s="67" t="n">
        <f aca="false">+F407/F408*1000000</f>
        <v>38285.0690754516</v>
      </c>
      <c r="G409" s="67" t="n">
        <f aca="false">+G407/G408*1000000</f>
        <v>38971.1431742508</v>
      </c>
      <c r="H409" s="67" t="n">
        <f aca="false">+H407/H408*1000000</f>
        <v>38262.3984479205</v>
      </c>
      <c r="I409" s="67" t="n">
        <f aca="false">+I407/I408*1000000</f>
        <v>37102.8816384854</v>
      </c>
      <c r="J409" s="67" t="n">
        <f aca="false">+J407/J408*1000000</f>
        <v>36677.6750330251</v>
      </c>
      <c r="K409" s="67" t="n">
        <f aca="false">+K407/K408*1000000</f>
        <v>36434.857635893</v>
      </c>
      <c r="L409" s="67" t="n">
        <f aca="false">+L407/L408*1000000</f>
        <v>36267.2004003002</v>
      </c>
      <c r="M409" s="67" t="n">
        <f aca="false">+M407/M408*1000000</f>
        <v>40716.8839042134</v>
      </c>
      <c r="N409" s="67" t="n">
        <f aca="false">+N407/N408*1000000</f>
        <v>47794.1616020723</v>
      </c>
      <c r="O409" s="145"/>
      <c r="P409" s="145"/>
    </row>
    <row r="410" customFormat="false" ht="12" hidden="false" customHeight="true" outlineLevel="0" collapsed="false">
      <c r="A410" s="69" t="s">
        <v>457</v>
      </c>
      <c r="B410" s="40"/>
      <c r="C410" s="90" t="n">
        <f aca="false">+C408/B408*100-100</f>
        <v>-3.27784451690407</v>
      </c>
      <c r="D410" s="90" t="n">
        <f aca="false">+D408/C408*100-100</f>
        <v>9.20865862313698</v>
      </c>
      <c r="E410" s="90" t="n">
        <f aca="false">+E408/D408*100-100</f>
        <v>8.10722989439481</v>
      </c>
      <c r="F410" s="90" t="n">
        <f aca="false">+F408/E408*100-100</f>
        <v>13.1349564171927</v>
      </c>
      <c r="G410" s="90" t="n">
        <f aca="false">+G408/F408*100-100</f>
        <v>19.6865037194474</v>
      </c>
      <c r="H410" s="90" t="n">
        <f aca="false">+H408/G408*100-100</f>
        <v>-8.46836847946726</v>
      </c>
      <c r="I410" s="90" t="n">
        <f aca="false">+I408/H408*100-100</f>
        <v>1.83096883715291</v>
      </c>
      <c r="J410" s="90" t="n">
        <f aca="false">+J408/I408*100-100</f>
        <v>-9.85949035484639</v>
      </c>
      <c r="K410" s="90" t="n">
        <f aca="false">+K408/J408*100-100</f>
        <v>-23.447820343461</v>
      </c>
      <c r="L410" s="90" t="n">
        <f aca="false">+L408/K408*100-100</f>
        <v>-31.0267471958585</v>
      </c>
      <c r="M410" s="90" t="n">
        <f aca="false">+M408/L408*100-100</f>
        <v>65.0738053540155</v>
      </c>
      <c r="N410" s="90" t="n">
        <f aca="false">+N408/M408*100-100</f>
        <v>52.1218551076084</v>
      </c>
    </row>
    <row r="411" customFormat="false" ht="12" hidden="false" customHeight="true" outlineLevel="0" collapsed="false">
      <c r="A411" s="69" t="s">
        <v>458</v>
      </c>
      <c r="B411" s="40"/>
      <c r="C411" s="90" t="n">
        <f aca="false">+C409/B409*100-100</f>
        <v>6.344861773855</v>
      </c>
      <c r="D411" s="90" t="n">
        <f aca="false">+D409/C409*100-100</f>
        <v>20.0207440096578</v>
      </c>
      <c r="E411" s="90" t="n">
        <f aca="false">+E409/D409*100-100</f>
        <v>15.4742575770425</v>
      </c>
      <c r="F411" s="90" t="n">
        <f aca="false">+F409/E409*100-100</f>
        <v>0.639532899322575</v>
      </c>
      <c r="G411" s="90" t="n">
        <f aca="false">+G409/F409*100-100</f>
        <v>1.79201478635727</v>
      </c>
      <c r="H411" s="90" t="n">
        <f aca="false">+H409/G409*100-100</f>
        <v>-1.81863981552036</v>
      </c>
      <c r="I411" s="90" t="n">
        <f aca="false">+I409/H409*100-100</f>
        <v>-3.03043420295084</v>
      </c>
      <c r="J411" s="90" t="n">
        <f aca="false">+J409/I409*100-100</f>
        <v>-1.14602043475568</v>
      </c>
      <c r="K411" s="90" t="n">
        <f aca="false">+K409/J409*100-100</f>
        <v>-0.662030504696517</v>
      </c>
      <c r="L411" s="90" t="n">
        <f aca="false">+L409/K409*100-100</f>
        <v>-0.460156142966824</v>
      </c>
      <c r="M411" s="90" t="n">
        <f aca="false">+M409/L409*100-100</f>
        <v>12.2691673324647</v>
      </c>
      <c r="N411" s="90" t="n">
        <f aca="false">+N409/M409*100-100</f>
        <v>17.3816781129623</v>
      </c>
    </row>
    <row r="412" customFormat="false" ht="12" hidden="false" customHeight="true" outlineLevel="0" collapsed="false">
      <c r="A412" s="69" t="s">
        <v>459</v>
      </c>
      <c r="B412" s="40"/>
      <c r="C412" s="90" t="n">
        <f aca="false">(100*C407)/B407-100</f>
        <v>2.85904255319147</v>
      </c>
      <c r="D412" s="90" t="n">
        <f aca="false">(100*D407)/C407-100</f>
        <v>31.0730446024564</v>
      </c>
      <c r="E412" s="90" t="n">
        <f aca="false">(100*E407)/D407-100</f>
        <v>24.8360211076589</v>
      </c>
      <c r="F412" s="90" t="n">
        <f aca="false">(100*F407)/E407-100</f>
        <v>13.8584916841149</v>
      </c>
      <c r="G412" s="90" t="n">
        <f aca="false">(100*G407)/F407-100</f>
        <v>21.8313035633739</v>
      </c>
      <c r="H412" s="90" t="n">
        <f aca="false">(100*H407)/G407-100</f>
        <v>-10.1329991740951</v>
      </c>
      <c r="I412" s="90" t="n">
        <f aca="false">(100*I407)/H407-100</f>
        <v>-1.25495167168438</v>
      </c>
      <c r="J412" s="90" t="n">
        <f aca="false">(100*J407)/I407-100</f>
        <v>-10.8925190153728</v>
      </c>
      <c r="K412" s="90" t="n">
        <f aca="false">(100*K407)/J407-100</f>
        <v>-23.9546191247974</v>
      </c>
      <c r="L412" s="90" t="n">
        <f aca="false">(100*L407)/K407-100</f>
        <v>-31.3441318556408</v>
      </c>
      <c r="M412" s="90" t="n">
        <f aca="false">(100*M407)/L407-100</f>
        <v>85.3269867549668</v>
      </c>
      <c r="N412" s="90" t="n">
        <f aca="false">(100*N407)/M407-100</f>
        <v>78.5631863018798</v>
      </c>
      <c r="O412" s="40"/>
      <c r="P412" s="40"/>
      <c r="AH412" s="30"/>
    </row>
    <row r="413" customFormat="false" ht="12" hidden="false" customHeight="true" outlineLevel="0" collapsed="false">
      <c r="A413" s="69" t="s">
        <v>460</v>
      </c>
      <c r="B413" s="90" t="n">
        <f aca="false">+B407/B429*100</f>
        <v>1.54837009339637</v>
      </c>
      <c r="C413" s="90" t="n">
        <f aca="false">+C407/C429*100</f>
        <v>1.27725941576321</v>
      </c>
      <c r="D413" s="90" t="n">
        <f aca="false">+D407/D429*100</f>
        <v>1.31878981181701</v>
      </c>
      <c r="E413" s="90" t="n">
        <f aca="false">+E407/E429*100</f>
        <v>1.23679676819478</v>
      </c>
      <c r="F413" s="90" t="n">
        <f aca="false">+F407/F429*100</f>
        <v>1.1451441730991</v>
      </c>
      <c r="G413" s="90" t="n">
        <f aca="false">+G407/G429*100</f>
        <v>1.70203574006746</v>
      </c>
      <c r="H413" s="90" t="n">
        <f aca="false">+H407/H429*100</f>
        <v>1.5015480592923</v>
      </c>
      <c r="I413" s="90" t="n">
        <f aca="false">+I407/I429*100</f>
        <v>1.16418876305084</v>
      </c>
      <c r="J413" s="90" t="n">
        <f aca="false">+J407/J429*100</f>
        <v>1.04003176470148</v>
      </c>
      <c r="K413" s="90" t="n">
        <f aca="false">+K407/K429*100</f>
        <v>0.782984240189334</v>
      </c>
      <c r="L413" s="90" t="n">
        <f aca="false">+L407/L429*100</f>
        <v>0.463765445251299</v>
      </c>
      <c r="M413" s="90" t="n">
        <f aca="false">+M407/M429*100</f>
        <v>0.675072765380992</v>
      </c>
      <c r="N413" s="90" t="n">
        <f aca="false">+N407/N429*100</f>
        <v>0.981545407652048</v>
      </c>
      <c r="O413" s="40"/>
      <c r="P413" s="40"/>
      <c r="AH413" s="30"/>
    </row>
    <row r="414" customFormat="false" ht="12" hidden="false" customHeight="true" outlineLevel="0" collapsed="false">
      <c r="B414" s="40"/>
      <c r="C414" s="40"/>
      <c r="D414" s="40"/>
      <c r="E414" s="40"/>
      <c r="F414" s="40"/>
      <c r="G414" s="40"/>
      <c r="H414" s="40"/>
      <c r="I414" s="40"/>
      <c r="J414" s="40"/>
      <c r="K414" s="40"/>
      <c r="L414" s="40"/>
      <c r="M414" s="40"/>
      <c r="U414" s="274"/>
      <c r="V414" s="274"/>
      <c r="AH414" s="30"/>
    </row>
    <row r="415" customFormat="false" ht="12.75" hidden="false" customHeight="true" outlineLevel="0" collapsed="false">
      <c r="A415" s="73" t="s">
        <v>467</v>
      </c>
      <c r="B415" s="40"/>
      <c r="C415" s="40"/>
      <c r="D415" s="40"/>
      <c r="E415" s="40"/>
      <c r="F415" s="40"/>
      <c r="G415" s="40"/>
      <c r="H415" s="40"/>
      <c r="I415" s="40"/>
      <c r="J415" s="40"/>
      <c r="K415" s="40"/>
      <c r="L415" s="40"/>
      <c r="M415" s="40"/>
      <c r="R415" s="31"/>
      <c r="S415" s="31"/>
      <c r="U415" s="31"/>
      <c r="V415" s="31"/>
      <c r="AH415" s="30"/>
    </row>
    <row r="416" customFormat="false" ht="12.75" hidden="false" customHeight="true" outlineLevel="0" collapsed="false">
      <c r="A416" s="59" t="s">
        <v>454</v>
      </c>
      <c r="B416" s="208" t="n">
        <v>1115.14</v>
      </c>
      <c r="C416" s="208" t="n">
        <v>1410.48</v>
      </c>
      <c r="D416" s="208" t="n">
        <v>1596.35</v>
      </c>
      <c r="E416" s="208" t="n">
        <v>1962.13</v>
      </c>
      <c r="F416" s="208" t="n">
        <v>2030.01</v>
      </c>
      <c r="G416" s="208" t="n">
        <v>2520.36</v>
      </c>
      <c r="H416" s="208" t="n">
        <v>2145.26</v>
      </c>
      <c r="I416" s="208" t="n">
        <v>2144.73</v>
      </c>
      <c r="J416" s="208" t="n">
        <v>5138.94</v>
      </c>
      <c r="K416" s="208" t="n">
        <v>5491.61</v>
      </c>
      <c r="L416" s="208" t="n">
        <v>4771.1</v>
      </c>
      <c r="M416" s="208" t="n">
        <v>4467.89</v>
      </c>
      <c r="N416" s="208" t="n">
        <v>5460.01</v>
      </c>
      <c r="O416" s="208" t="n">
        <v>7837.83</v>
      </c>
      <c r="P416" s="208" t="n">
        <v>5468.41</v>
      </c>
      <c r="Q416" s="208" t="n">
        <v>7912.43</v>
      </c>
      <c r="R416" s="208" t="n">
        <v>7996.945</v>
      </c>
      <c r="S416" s="208" t="n">
        <v>8850.584</v>
      </c>
      <c r="T416" s="208" t="n">
        <v>10619.377</v>
      </c>
      <c r="U416" s="209" t="n">
        <f aca="false">17174.8-1634.806</f>
        <v>15539.994</v>
      </c>
      <c r="V416" s="208" t="n">
        <v>18145.813</v>
      </c>
      <c r="W416" s="208" t="n">
        <v>12125.73</v>
      </c>
      <c r="X416" s="208" t="n">
        <v>13916.945</v>
      </c>
      <c r="Y416" s="208" t="n">
        <v>12733.573</v>
      </c>
      <c r="Z416" s="208" t="n">
        <v>16729.395</v>
      </c>
      <c r="AA416" s="208" t="n">
        <v>19803.159</v>
      </c>
      <c r="AB416" s="208" t="n">
        <v>18804.7</v>
      </c>
      <c r="AC416" s="208" t="n">
        <v>17660</v>
      </c>
      <c r="AD416" s="208" t="n">
        <v>17030.5</v>
      </c>
      <c r="AE416" s="208" t="n">
        <v>20334.7</v>
      </c>
      <c r="AF416" s="208" t="n">
        <v>25778.8</v>
      </c>
      <c r="AG416" s="208" t="n">
        <v>34694.1</v>
      </c>
      <c r="AH416" s="208" t="n">
        <v>39779</v>
      </c>
      <c r="AI416" s="67" t="n">
        <f aca="false">AH416*(1+AI417/100)</f>
        <v>41767.95</v>
      </c>
      <c r="AJ416" s="67" t="n">
        <f aca="false">AI416*(1+AJ417/100)</f>
        <v>43438.668</v>
      </c>
      <c r="AK416" s="67" t="n">
        <f aca="false">AJ416*(1+AK417/100)</f>
        <v>45610.6014</v>
      </c>
      <c r="AL416" s="67" t="n">
        <f aca="false">AK416*(1+AL417/100)</f>
        <v>47891.13147</v>
      </c>
      <c r="AM416" s="145"/>
      <c r="AN416" s="145"/>
      <c r="AO416" s="145"/>
      <c r="AP416" s="58" t="n">
        <f aca="false">712/642</f>
        <v>1.10903426791277</v>
      </c>
      <c r="AQ416" s="122" t="n">
        <f aca="false">+T416/S416</f>
        <v>1.19985042794916</v>
      </c>
    </row>
    <row r="417" customFormat="false" ht="12" hidden="false" customHeight="true" outlineLevel="0" collapsed="false">
      <c r="A417" s="69" t="s">
        <v>459</v>
      </c>
      <c r="B417" s="40"/>
      <c r="C417" s="90" t="n">
        <f aca="false">+C416/B416*100-100</f>
        <v>26.4845669602023</v>
      </c>
      <c r="D417" s="90" t="n">
        <f aca="false">+D416/C416*100-100</f>
        <v>13.1777834496058</v>
      </c>
      <c r="E417" s="90" t="n">
        <f aca="false">+E416/D416*100-100</f>
        <v>22.9135214708554</v>
      </c>
      <c r="F417" s="90" t="n">
        <f aca="false">+F416/E416*100-100</f>
        <v>3.45950574120981</v>
      </c>
      <c r="G417" s="90" t="n">
        <f aca="false">+G416/F416*100-100</f>
        <v>24.1550534233822</v>
      </c>
      <c r="H417" s="90" t="n">
        <f aca="false">+H416/G416*100-100</f>
        <v>-14.8827945214176</v>
      </c>
      <c r="I417" s="90" t="n">
        <f aca="false">+I416/H416*100-100</f>
        <v>-0.0247056300868138</v>
      </c>
      <c r="J417" s="90" t="n">
        <f aca="false">+J416/I416*100-100</f>
        <v>139.607782797835</v>
      </c>
      <c r="K417" s="90" t="n">
        <f aca="false">+K416/J416*100-100</f>
        <v>6.86269931153119</v>
      </c>
      <c r="L417" s="90" t="n">
        <f aca="false">+L416/K416*100-100</f>
        <v>-13.1201960809307</v>
      </c>
      <c r="M417" s="90" t="n">
        <f aca="false">+M416/L416*100-100</f>
        <v>-6.35513822808157</v>
      </c>
      <c r="N417" s="90" t="n">
        <f aca="false">+N416/M416*100-100</f>
        <v>22.2055601189823</v>
      </c>
      <c r="O417" s="90" t="n">
        <f aca="false">+O416/N416*100-100</f>
        <v>43.5497370883936</v>
      </c>
      <c r="P417" s="90" t="n">
        <f aca="false">+P416/O416*100-100</f>
        <v>-30.230561265044</v>
      </c>
      <c r="Q417" s="90" t="n">
        <f aca="false">+Q416/P416*100-100</f>
        <v>44.6934300829674</v>
      </c>
      <c r="R417" s="90" t="n">
        <f aca="false">+R416/Q416*100-100</f>
        <v>1.06812951267814</v>
      </c>
      <c r="S417" s="90" t="n">
        <f aca="false">+S416/R416*100-100</f>
        <v>10.6745638490699</v>
      </c>
      <c r="T417" s="90" t="n">
        <f aca="false">+T416/S416*100-100</f>
        <v>19.9850427949161</v>
      </c>
      <c r="U417" s="90" t="n">
        <f aca="false">+U416/T416*100-100</f>
        <v>46.3362116252206</v>
      </c>
      <c r="V417" s="90" t="n">
        <f aca="false">+V416/U416*100-100</f>
        <v>16.7684685077742</v>
      </c>
      <c r="W417" s="90" t="n">
        <f aca="false">+W416/V416*100-100</f>
        <v>-33.1761547415924</v>
      </c>
      <c r="X417" s="90" t="n">
        <f aca="false">+X416/W416*100-100</f>
        <v>14.772017849647</v>
      </c>
      <c r="Y417" s="90" t="n">
        <f aca="false">+Y416/X416*100-100</f>
        <v>-8.50310179425154</v>
      </c>
      <c r="Z417" s="90" t="n">
        <f aca="false">+Z416/Y416*100-100</f>
        <v>31.3802104091287</v>
      </c>
      <c r="AA417" s="90" t="n">
        <f aca="false">+AA416/Z416*100-100</f>
        <v>18.3734319143041</v>
      </c>
      <c r="AB417" s="90" t="n">
        <f aca="false">+AB416/AA416*100-100</f>
        <v>-5.04191780715389</v>
      </c>
      <c r="AC417" s="90" t="n">
        <f aca="false">+AC416/AB416*100-100</f>
        <v>-6.08730796024398</v>
      </c>
      <c r="AD417" s="90" t="n">
        <f aca="false">+AD416/AC416*100-100</f>
        <v>-3.56455266138165</v>
      </c>
      <c r="AE417" s="90" t="n">
        <f aca="false">+AE416/AD416*100-100</f>
        <v>19.401661724553</v>
      </c>
      <c r="AF417" s="90" t="n">
        <f aca="false">+AF416/AE416*100-100</f>
        <v>26.7724628344652</v>
      </c>
      <c r="AG417" s="90" t="n">
        <f aca="false">+AG416/AF416*100-100</f>
        <v>34.5838440889413</v>
      </c>
      <c r="AH417" s="90" t="n">
        <f aca="false">+AH416/AG416*100-100</f>
        <v>14.6563824973122</v>
      </c>
      <c r="AI417" s="190" t="n">
        <v>5</v>
      </c>
      <c r="AJ417" s="190" t="n">
        <v>4</v>
      </c>
      <c r="AK417" s="190" t="n">
        <v>5</v>
      </c>
      <c r="AL417" s="190" t="n">
        <v>5</v>
      </c>
      <c r="AM417" s="214"/>
      <c r="AN417" s="214"/>
      <c r="AO417" s="214"/>
    </row>
    <row r="418" customFormat="false" ht="12" hidden="false" customHeight="true" outlineLevel="0" collapsed="false">
      <c r="A418" s="69" t="s">
        <v>460</v>
      </c>
      <c r="B418" s="90" t="n">
        <f aca="false">+B416/B429*100</f>
        <v>11.4803818214762</v>
      </c>
      <c r="C418" s="90" t="n">
        <f aca="false">+C416/C436*100</f>
        <v>11.9401266746466</v>
      </c>
      <c r="D418" s="90" t="n">
        <f aca="false">+D416/D436*100</f>
        <v>10.5488564004832</v>
      </c>
      <c r="E418" s="90" t="n">
        <f aca="false">+E416/E436*100</f>
        <v>9.76328828851243</v>
      </c>
      <c r="F418" s="90" t="n">
        <f aca="false">+F416/F436*100</f>
        <v>8.17744237449199</v>
      </c>
      <c r="G418" s="90" t="n">
        <f aca="false">+G416/G436*100</f>
        <v>12.5124600492664</v>
      </c>
      <c r="H418" s="90" t="n">
        <f aca="false">+H416/H436*100</f>
        <v>10.490023559922</v>
      </c>
      <c r="I418" s="90" t="n">
        <f aca="false">+I416/I436*100</f>
        <v>8.25303091755242</v>
      </c>
      <c r="J418" s="90" t="n">
        <f aca="false">+J416/J436*100</f>
        <v>19.7146313121412</v>
      </c>
      <c r="K418" s="90" t="n">
        <f aca="false">+K416/K436*100</f>
        <v>20.8770901382578</v>
      </c>
      <c r="L418" s="90" t="n">
        <f aca="false">+L416/L436*100</f>
        <v>15.5208450241461</v>
      </c>
      <c r="M418" s="90" t="n">
        <f aca="false">+M416/M436*100</f>
        <v>11.3765709692196</v>
      </c>
      <c r="N418" s="90" t="n">
        <f aca="false">+N416/N436*100</f>
        <v>11.3483474882578</v>
      </c>
      <c r="O418" s="90" t="n">
        <f aca="false">+O416/O436*100</f>
        <v>12.9484390498237</v>
      </c>
      <c r="P418" s="90" t="n">
        <f aca="false">+P416/P436*100</f>
        <v>6.58470360880449</v>
      </c>
      <c r="Q418" s="90" t="n">
        <f aca="false">+Q416/Q436*100</f>
        <v>8.85684414838661</v>
      </c>
      <c r="R418" s="90" t="n">
        <f aca="false">+R416/R436*100</f>
        <v>11.9954653019292</v>
      </c>
      <c r="S418" s="90" t="n">
        <f aca="false">+S416/S436*100</f>
        <v>11.2422667517584</v>
      </c>
      <c r="T418" s="90" t="n">
        <f aca="false">+T416/T436*100</f>
        <v>8.78098418083181</v>
      </c>
      <c r="U418" s="90" t="n">
        <f aca="false">+U416/U436*100</f>
        <v>11.387187413158</v>
      </c>
      <c r="V418" s="90" t="n">
        <f aca="false">+V416/V436*100</f>
        <v>13.6449468972161</v>
      </c>
      <c r="W418" s="90" t="n">
        <f aca="false">+W416/W436*100</f>
        <v>11.4817797776093</v>
      </c>
      <c r="X418" s="90" t="n">
        <f aca="false">+X416/X436*100</f>
        <v>9.60721309399908</v>
      </c>
      <c r="Y418" s="90" t="n">
        <f aca="false">+Y416/Y436*100</f>
        <v>6.36902387439684</v>
      </c>
      <c r="Z418" s="90" t="n">
        <f aca="false">+Z416/Z436*100</f>
        <v>7.84251570825276</v>
      </c>
      <c r="AA418" s="90" t="n">
        <f aca="false">+AA416/AA436*100</f>
        <v>7.46598432222235</v>
      </c>
      <c r="AB418" s="90" t="n">
        <f aca="false">+AB416/AB436*100</f>
        <v>6.47211576684868</v>
      </c>
      <c r="AC418" s="90" t="n">
        <f aca="false">+AC416/AC436*100</f>
        <v>10.1102220298647</v>
      </c>
      <c r="AD418" s="90" t="n">
        <f aca="false">+AD416/AD436*100</f>
        <v>11.1299909485702</v>
      </c>
      <c r="AE418" s="90" t="n">
        <f aca="false">+AE416/AE436*100</f>
        <v>9.37588901660758</v>
      </c>
      <c r="AF418" s="90" t="n">
        <f aca="false">+AF416/AF436*100</f>
        <v>7.13222115673523</v>
      </c>
      <c r="AG418" s="90" t="n">
        <f aca="false">+AG416/AG436*100</f>
        <v>9.04268586856997</v>
      </c>
      <c r="AH418" s="90" t="n">
        <f aca="false">+AH416/AH436*100</f>
        <v>10.2648225648044</v>
      </c>
      <c r="AI418" s="90" t="n">
        <f aca="false">+AI416/AI436*100</f>
        <v>9.49119947426581</v>
      </c>
      <c r="AJ418" s="90" t="n">
        <f aca="false">+AJ416/AJ436*100</f>
        <v>9.05312710045716</v>
      </c>
      <c r="AK418" s="90" t="n">
        <f aca="false">+AK416/AK436*100</f>
        <v>8.79978862732089</v>
      </c>
      <c r="AL418" s="90" t="n">
        <f aca="false">+AL416/AL436*100</f>
        <v>8.59472035761446</v>
      </c>
      <c r="AM418" s="40"/>
      <c r="AN418" s="40"/>
      <c r="AO418" s="40"/>
    </row>
    <row r="419" customFormat="false" ht="12" hidden="false" customHeight="true" outlineLevel="0" collapsed="false">
      <c r="B419" s="40"/>
      <c r="C419" s="40"/>
      <c r="D419" s="40"/>
      <c r="E419" s="40"/>
      <c r="F419" s="40"/>
      <c r="G419" s="40"/>
      <c r="H419" s="40"/>
      <c r="I419" s="40"/>
      <c r="J419" s="40"/>
      <c r="K419" s="40"/>
      <c r="L419" s="40"/>
      <c r="M419" s="40"/>
      <c r="N419" s="40"/>
      <c r="O419" s="40"/>
      <c r="P419" s="40"/>
      <c r="Q419" s="40"/>
      <c r="R419" s="40"/>
      <c r="S419" s="40"/>
      <c r="T419" s="40"/>
      <c r="U419" s="40"/>
      <c r="V419" s="40"/>
      <c r="W419" s="40"/>
      <c r="AH419" s="30"/>
    </row>
    <row r="420" customFormat="false" ht="12.75" hidden="false" customHeight="true" outlineLevel="0" collapsed="false">
      <c r="A420" s="59" t="s">
        <v>431</v>
      </c>
      <c r="B420" s="40"/>
      <c r="C420" s="40"/>
      <c r="D420" s="40"/>
      <c r="E420" s="40"/>
      <c r="F420" s="40"/>
      <c r="G420" s="40"/>
      <c r="H420" s="40"/>
      <c r="I420" s="40"/>
      <c r="J420" s="40"/>
      <c r="K420" s="40"/>
      <c r="L420" s="40"/>
      <c r="M420" s="40"/>
      <c r="N420" s="40"/>
      <c r="O420" s="40"/>
      <c r="P420" s="40"/>
      <c r="Q420" s="40"/>
      <c r="R420" s="40"/>
      <c r="S420" s="40"/>
      <c r="T420" s="40"/>
      <c r="U420" s="40"/>
      <c r="V420" s="40"/>
      <c r="W420" s="40"/>
      <c r="AH420" s="30"/>
    </row>
    <row r="421" customFormat="false" ht="12" hidden="false" customHeight="true" outlineLevel="0" collapsed="false">
      <c r="A421" s="69" t="s">
        <v>468</v>
      </c>
      <c r="B421" s="40"/>
      <c r="C421" s="40"/>
      <c r="D421" s="40"/>
      <c r="E421" s="40"/>
      <c r="F421" s="40"/>
      <c r="G421" s="40"/>
      <c r="H421" s="40"/>
      <c r="I421" s="40"/>
      <c r="J421" s="40"/>
      <c r="K421" s="40"/>
      <c r="L421" s="40"/>
      <c r="M421" s="40"/>
      <c r="N421" s="40"/>
      <c r="O421" s="40"/>
      <c r="P421" s="40"/>
      <c r="Q421" s="40"/>
      <c r="R421" s="40"/>
      <c r="S421" s="40"/>
      <c r="T421" s="40"/>
      <c r="U421" s="196" t="n">
        <v>263.788</v>
      </c>
      <c r="V421" s="196" t="n">
        <v>1184.987</v>
      </c>
      <c r="W421" s="196" t="n">
        <v>943.002</v>
      </c>
      <c r="X421" s="196" t="n">
        <v>908.303</v>
      </c>
      <c r="Y421" s="196" t="n">
        <v>1011.227</v>
      </c>
      <c r="Z421" s="196" t="n">
        <v>1079.729</v>
      </c>
      <c r="AA421" s="196" t="n">
        <v>1489.811</v>
      </c>
      <c r="AB421" s="40"/>
      <c r="AC421" s="40"/>
      <c r="AD421" s="40"/>
      <c r="AE421" s="40"/>
      <c r="AF421" s="77"/>
      <c r="AG421" s="77"/>
      <c r="AH421" s="77"/>
      <c r="AI421" s="40"/>
      <c r="AJ421" s="40"/>
      <c r="AK421" s="40"/>
      <c r="AL421" s="40"/>
      <c r="AM421" s="40"/>
      <c r="AN421" s="40"/>
      <c r="AO421" s="40"/>
    </row>
    <row r="422" customFormat="false" ht="12" hidden="false" customHeight="true" outlineLevel="0" collapsed="false">
      <c r="A422" s="69" t="s">
        <v>469</v>
      </c>
      <c r="B422" s="40"/>
      <c r="C422" s="40"/>
      <c r="D422" s="40"/>
      <c r="E422" s="40"/>
      <c r="F422" s="40"/>
      <c r="G422" s="40"/>
      <c r="H422" s="40"/>
      <c r="I422" s="40"/>
      <c r="J422" s="40"/>
      <c r="K422" s="40"/>
      <c r="L422" s="40"/>
      <c r="M422" s="40"/>
      <c r="N422" s="40"/>
      <c r="O422" s="40"/>
      <c r="P422" s="40"/>
      <c r="Q422" s="40"/>
      <c r="R422" s="40"/>
      <c r="S422" s="40"/>
      <c r="T422" s="40"/>
      <c r="U422" s="62" t="n">
        <f aca="false">+U421/U352*1000000</f>
        <v>34740.9456077967</v>
      </c>
      <c r="V422" s="62" t="n">
        <f aca="false">+V421/V352*1000000</f>
        <v>33937.2511956927</v>
      </c>
      <c r="W422" s="62" t="n">
        <f aca="false">+W421/W352*1000000</f>
        <v>34822.8212703102</v>
      </c>
      <c r="X422" s="62" t="n">
        <f aca="false">+X421/X352*1000000</f>
        <v>37204.1861227165</v>
      </c>
      <c r="Y422" s="62" t="n">
        <f aca="false">+Y421/Y352*1000000</f>
        <v>37126.9596504755</v>
      </c>
      <c r="Z422" s="62" t="n">
        <f aca="false">+Z421/Z352*1000000</f>
        <v>35443.9483964153</v>
      </c>
      <c r="AA422" s="62" t="n">
        <f aca="false">+AA421/AA352*1000000</f>
        <v>37371.4034867678</v>
      </c>
      <c r="AB422" s="41"/>
      <c r="AC422" s="41"/>
      <c r="AD422" s="41"/>
      <c r="AE422" s="41"/>
      <c r="AF422" s="180"/>
      <c r="AG422" s="180"/>
      <c r="AH422" s="180"/>
      <c r="AI422" s="41"/>
      <c r="AJ422" s="41"/>
      <c r="AK422" s="41"/>
      <c r="AL422" s="41"/>
      <c r="AM422" s="40"/>
      <c r="AN422" s="40"/>
      <c r="AO422" s="40"/>
    </row>
    <row r="423" customFormat="false" ht="12" hidden="false" customHeight="true" outlineLevel="0" collapsed="false">
      <c r="A423" s="69" t="s">
        <v>470</v>
      </c>
      <c r="B423" s="40"/>
      <c r="C423" s="40"/>
      <c r="D423" s="40"/>
      <c r="E423" s="40"/>
      <c r="F423" s="40"/>
      <c r="G423" s="40"/>
      <c r="H423" s="40"/>
      <c r="I423" s="40"/>
      <c r="J423" s="40"/>
      <c r="K423" s="40"/>
      <c r="L423" s="40"/>
      <c r="M423" s="40"/>
      <c r="N423" s="40"/>
      <c r="O423" s="40"/>
      <c r="P423" s="40"/>
      <c r="Q423" s="40"/>
      <c r="R423" s="40"/>
      <c r="S423" s="40"/>
      <c r="T423" s="40"/>
      <c r="U423" s="41"/>
      <c r="V423" s="41"/>
      <c r="W423" s="41"/>
      <c r="X423" s="41"/>
      <c r="Y423" s="41"/>
      <c r="Z423" s="41"/>
      <c r="AA423" s="190" t="n">
        <v>2071.621</v>
      </c>
      <c r="AB423" s="190" t="n">
        <v>2507.8</v>
      </c>
      <c r="AC423" s="190" t="n">
        <v>515.8</v>
      </c>
      <c r="AD423" s="190" t="n">
        <v>0</v>
      </c>
      <c r="AE423" s="62" t="n">
        <f aca="false">+AD423</f>
        <v>0</v>
      </c>
      <c r="AF423" s="190" t="n">
        <v>4.4</v>
      </c>
      <c r="AG423" s="190" t="n">
        <v>0</v>
      </c>
      <c r="AH423" s="62" t="n">
        <f aca="false">+AG423</f>
        <v>0</v>
      </c>
      <c r="AI423" s="62" t="n">
        <f aca="false">+AH423</f>
        <v>0</v>
      </c>
      <c r="AJ423" s="62" t="n">
        <f aca="false">+AI423</f>
        <v>0</v>
      </c>
      <c r="AK423" s="62" t="n">
        <f aca="false">+AJ423</f>
        <v>0</v>
      </c>
      <c r="AL423" s="62" t="n">
        <f aca="false">+AK423</f>
        <v>0</v>
      </c>
      <c r="AM423" s="40"/>
      <c r="AN423" s="40"/>
      <c r="AO423" s="40"/>
    </row>
    <row r="424" customFormat="false" ht="12" hidden="false" customHeight="true" outlineLevel="0" collapsed="false">
      <c r="A424" s="69" t="s">
        <v>471</v>
      </c>
      <c r="B424" s="40"/>
      <c r="C424" s="40"/>
      <c r="D424" s="40"/>
      <c r="E424" s="40"/>
      <c r="F424" s="40"/>
      <c r="G424" s="40"/>
      <c r="H424" s="40"/>
      <c r="I424" s="40"/>
      <c r="J424" s="40"/>
      <c r="K424" s="40"/>
      <c r="L424" s="40"/>
      <c r="M424" s="40"/>
      <c r="N424" s="40"/>
      <c r="O424" s="40"/>
      <c r="P424" s="40"/>
      <c r="Q424" s="40"/>
      <c r="R424" s="40"/>
      <c r="S424" s="40"/>
      <c r="T424" s="40"/>
      <c r="U424" s="196" t="n">
        <v>894.523</v>
      </c>
      <c r="V424" s="196" t="n">
        <v>828.631</v>
      </c>
      <c r="W424" s="196" t="n">
        <v>414.048</v>
      </c>
      <c r="X424" s="196" t="n">
        <v>719.541</v>
      </c>
      <c r="Y424" s="196" t="n">
        <v>671.513</v>
      </c>
      <c r="Z424" s="196" t="n">
        <v>702.799</v>
      </c>
      <c r="AA424" s="196" t="n">
        <v>832.502</v>
      </c>
      <c r="AB424" s="190" t="n">
        <v>611.6</v>
      </c>
      <c r="AC424" s="190" t="n">
        <v>605.2</v>
      </c>
      <c r="AD424" s="190" t="n">
        <v>167</v>
      </c>
      <c r="AE424" s="190" t="n">
        <v>401.6</v>
      </c>
      <c r="AF424" s="190" t="n">
        <v>471</v>
      </c>
      <c r="AG424" s="190" t="n">
        <v>435.4</v>
      </c>
      <c r="AH424" s="190" t="n">
        <v>500.9</v>
      </c>
      <c r="AI424" s="62" t="n">
        <f aca="false">+AH424/AH367*AI367</f>
        <v>593.724929531301</v>
      </c>
      <c r="AJ424" s="62" t="n">
        <f aca="false">+AI424/AI367*AJ367</f>
        <v>577.241691248771</v>
      </c>
      <c r="AK424" s="62" t="n">
        <f aca="false">+AJ424/AJ367*AK367</f>
        <v>627.052592592593</v>
      </c>
      <c r="AL424" s="62" t="n">
        <f aca="false">+AK424/AK367*AL367</f>
        <v>677.979888561128</v>
      </c>
      <c r="AM424" s="275"/>
      <c r="AN424" s="275"/>
      <c r="AO424" s="275"/>
    </row>
    <row r="425" customFormat="false" ht="12" hidden="false" customHeight="true" outlineLevel="0" collapsed="false">
      <c r="A425" s="69" t="s">
        <v>472</v>
      </c>
      <c r="B425" s="40"/>
      <c r="C425" s="40"/>
      <c r="D425" s="40"/>
      <c r="E425" s="40"/>
      <c r="F425" s="40"/>
      <c r="G425" s="40"/>
      <c r="H425" s="40"/>
      <c r="I425" s="40"/>
      <c r="J425" s="40"/>
      <c r="K425" s="40"/>
      <c r="L425" s="40"/>
      <c r="M425" s="40"/>
      <c r="N425" s="40"/>
      <c r="O425" s="40"/>
      <c r="P425" s="40"/>
      <c r="Q425" s="40"/>
      <c r="R425" s="40"/>
      <c r="S425" s="40"/>
      <c r="T425" s="40"/>
      <c r="U425" s="196" t="n">
        <v>725.554</v>
      </c>
      <c r="V425" s="196" t="n">
        <v>750.182</v>
      </c>
      <c r="W425" s="196" t="n">
        <v>715.913</v>
      </c>
      <c r="X425" s="196" t="n">
        <v>876.862</v>
      </c>
      <c r="Y425" s="196" t="n">
        <v>761.535</v>
      </c>
      <c r="Z425" s="196" t="n">
        <v>824.638</v>
      </c>
      <c r="AA425" s="196" t="n">
        <v>998.492</v>
      </c>
      <c r="AB425" s="190" t="n">
        <v>1226</v>
      </c>
      <c r="AC425" s="190" t="n">
        <v>662.1</v>
      </c>
      <c r="AD425" s="190" t="n">
        <v>457.9</v>
      </c>
      <c r="AE425" s="190" t="n">
        <v>724</v>
      </c>
      <c r="AF425" s="190" t="n">
        <v>1085.6</v>
      </c>
      <c r="AG425" s="190" t="n">
        <v>1140.4</v>
      </c>
      <c r="AH425" s="190" t="n">
        <v>968</v>
      </c>
      <c r="AI425" s="239" t="n">
        <f aca="false">AH425*1.05</f>
        <v>1016.4</v>
      </c>
      <c r="AJ425" s="239" t="n">
        <f aca="false">AI425*1.05</f>
        <v>1067.22</v>
      </c>
      <c r="AK425" s="239" t="n">
        <f aca="false">AJ425*1.03</f>
        <v>1099.2366</v>
      </c>
      <c r="AL425" s="239" t="n">
        <f aca="false">AK425*1.03</f>
        <v>1132.213698</v>
      </c>
      <c r="AM425" s="275"/>
      <c r="AN425" s="275"/>
      <c r="AO425" s="275"/>
    </row>
    <row r="426" customFormat="false" ht="12" hidden="false" customHeight="true" outlineLevel="0" collapsed="false">
      <c r="A426" s="69" t="s">
        <v>473</v>
      </c>
      <c r="B426" s="40"/>
      <c r="C426" s="40"/>
      <c r="D426" s="40"/>
      <c r="E426" s="40"/>
      <c r="F426" s="40"/>
      <c r="G426" s="40"/>
      <c r="H426" s="40"/>
      <c r="I426" s="40"/>
      <c r="J426" s="40"/>
      <c r="K426" s="40"/>
      <c r="L426" s="40"/>
      <c r="M426" s="40"/>
      <c r="N426" s="40"/>
      <c r="O426" s="40"/>
      <c r="P426" s="40"/>
      <c r="Q426" s="40"/>
      <c r="R426" s="196" t="n">
        <v>225.211</v>
      </c>
      <c r="S426" s="196" t="n">
        <v>356.77</v>
      </c>
      <c r="T426" s="195" t="n">
        <f aca="false">230.4</f>
        <v>230.4</v>
      </c>
      <c r="U426" s="196" t="n">
        <v>212.584</v>
      </c>
      <c r="V426" s="196" t="n">
        <v>1382.546</v>
      </c>
      <c r="W426" s="196" t="n">
        <v>1024.862</v>
      </c>
      <c r="X426" s="196" t="n">
        <v>1384.725</v>
      </c>
      <c r="Y426" s="196" t="n">
        <v>1560.245</v>
      </c>
      <c r="Z426" s="196" t="n">
        <v>2009.765</v>
      </c>
      <c r="AA426" s="196" t="n">
        <v>2305.55</v>
      </c>
      <c r="AB426" s="190" t="n">
        <v>8303</v>
      </c>
      <c r="AC426" s="190" t="n">
        <v>7242</v>
      </c>
      <c r="AD426" s="190" t="n">
        <v>6487.4</v>
      </c>
      <c r="AE426" s="190" t="n">
        <v>8554.1</v>
      </c>
      <c r="AF426" s="190" t="n">
        <v>11068.8</v>
      </c>
      <c r="AG426" s="190" t="n">
        <v>12098.6</v>
      </c>
      <c r="AH426" s="190" t="n">
        <v>12644.2</v>
      </c>
      <c r="AI426" s="239" t="n">
        <f aca="false">AH426*1.15</f>
        <v>14540.83</v>
      </c>
      <c r="AJ426" s="239" t="n">
        <f aca="false">AI426*1.06</f>
        <v>15413.2798</v>
      </c>
      <c r="AK426" s="239" t="n">
        <f aca="false">AJ426*1.05</f>
        <v>16183.94379</v>
      </c>
      <c r="AL426" s="239" t="n">
        <f aca="false">AK426*1.05</f>
        <v>16993.1409795</v>
      </c>
      <c r="AM426" s="275"/>
      <c r="AN426" s="275"/>
      <c r="AO426" s="275"/>
    </row>
    <row r="427" customFormat="false" ht="12" hidden="false" customHeight="true" outlineLevel="0" collapsed="false">
      <c r="A427" s="69" t="s">
        <v>474</v>
      </c>
      <c r="B427" s="40"/>
      <c r="C427" s="40"/>
      <c r="D427" s="40"/>
      <c r="E427" s="40"/>
      <c r="F427" s="40"/>
      <c r="G427" s="40"/>
      <c r="H427" s="40"/>
      <c r="I427" s="40"/>
      <c r="J427" s="40"/>
      <c r="K427" s="40"/>
      <c r="L427" s="40"/>
      <c r="M427" s="40"/>
      <c r="N427" s="40"/>
      <c r="O427" s="40"/>
      <c r="P427" s="40"/>
      <c r="Q427" s="40"/>
      <c r="R427" s="40"/>
      <c r="S427" s="40"/>
      <c r="T427" s="40"/>
      <c r="U427" s="40"/>
      <c r="V427" s="196" t="n">
        <v>17.418</v>
      </c>
      <c r="W427" s="196" t="n">
        <v>3.968</v>
      </c>
      <c r="X427" s="196" t="n">
        <v>5.682</v>
      </c>
      <c r="Y427" s="196" t="n">
        <v>1321.113</v>
      </c>
      <c r="Z427" s="196" t="n">
        <v>1378.389</v>
      </c>
      <c r="AA427" s="48" t="n">
        <v>1748.755</v>
      </c>
      <c r="AB427" s="190" t="n">
        <v>63.8</v>
      </c>
      <c r="AC427" s="190" t="n">
        <v>219.4</v>
      </c>
      <c r="AD427" s="190" t="n">
        <v>97.4</v>
      </c>
      <c r="AE427" s="190" t="n">
        <v>79.8</v>
      </c>
      <c r="AF427" s="190" t="n">
        <v>111.1</v>
      </c>
      <c r="AG427" s="190" t="n">
        <v>156.8</v>
      </c>
      <c r="AH427" s="190" t="n">
        <v>230</v>
      </c>
      <c r="AI427" s="239" t="n">
        <f aca="false">+AH427*1.05</f>
        <v>241.5</v>
      </c>
      <c r="AJ427" s="239" t="n">
        <f aca="false">+AI427*1.05</f>
        <v>253.575</v>
      </c>
      <c r="AK427" s="239" t="n">
        <f aca="false">+AJ427*1.05</f>
        <v>266.25375</v>
      </c>
      <c r="AL427" s="239" t="n">
        <f aca="false">+AK427*1.05</f>
        <v>279.5664375</v>
      </c>
    </row>
    <row r="428" customFormat="false" ht="12" hidden="false" customHeight="true" outlineLevel="0" collapsed="false">
      <c r="B428" s="40"/>
      <c r="C428" s="40"/>
      <c r="D428" s="40"/>
      <c r="E428" s="40"/>
      <c r="F428" s="40"/>
      <c r="G428" s="40"/>
      <c r="H428" s="40"/>
      <c r="I428" s="40"/>
      <c r="J428" s="40"/>
      <c r="K428" s="40"/>
      <c r="L428" s="40"/>
      <c r="M428" s="40"/>
      <c r="X428" s="31"/>
      <c r="AC428" s="30"/>
      <c r="AD428" s="30"/>
      <c r="AH428" s="30"/>
    </row>
    <row r="429" customFormat="false" ht="12.75" hidden="false" customHeight="true" outlineLevel="0" collapsed="false">
      <c r="A429" s="59" t="s">
        <v>475</v>
      </c>
      <c r="B429" s="67" t="n">
        <f aca="false">+B416+B407+B398+B377</f>
        <v>9713.44</v>
      </c>
      <c r="C429" s="67" t="n">
        <f aca="false">+C416+C407+C398+C377</f>
        <v>12111.87</v>
      </c>
      <c r="D429" s="67" t="n">
        <f aca="false">+D416+D407+D398+D377</f>
        <v>15375.46</v>
      </c>
      <c r="E429" s="67" t="n">
        <f aca="false">+E416+E407+E398+E377</f>
        <v>20466.58</v>
      </c>
      <c r="F429" s="67" t="n">
        <f aca="false">+F416+F407+F398+F377</f>
        <v>25168.01</v>
      </c>
      <c r="G429" s="67" t="n">
        <f aca="false">+G416+G407+G398+G377</f>
        <v>20630.001576</v>
      </c>
      <c r="H429" s="67" t="n">
        <f aca="false">+H416+H407+H398+H377</f>
        <v>21014.978378296</v>
      </c>
      <c r="I429" s="67" t="n">
        <f aca="false">+I416+I407+I398+I377</f>
        <v>26764.56</v>
      </c>
      <c r="J429" s="67" t="n">
        <f aca="false">+J416+J407+J398+J377</f>
        <v>26696.3</v>
      </c>
      <c r="K429" s="67" t="n">
        <f aca="false">+K416+K407+K398+K377</f>
        <v>26966.06</v>
      </c>
      <c r="L429" s="67" t="n">
        <f aca="false">+L416+L407+L398+L377</f>
        <v>31257.18</v>
      </c>
      <c r="M429" s="67" t="n">
        <f aca="false">+M416+M407+M398+M377</f>
        <v>39795.71</v>
      </c>
      <c r="N429" s="67" t="n">
        <f aca="false">+N416+N407+N398+N377</f>
        <v>48872.93</v>
      </c>
      <c r="O429" s="67" t="n">
        <f aca="false">+O416+O407+O398+O377</f>
        <v>61704.08</v>
      </c>
      <c r="P429" s="67" t="n">
        <f aca="false">+P416+P407+P398+P377</f>
        <v>84754.21</v>
      </c>
      <c r="Q429" s="67" t="n">
        <f aca="false">+Q416+Q407+Q398+Q377</f>
        <v>91283.23</v>
      </c>
      <c r="R429" s="67" t="n">
        <f aca="false">+R416+R407+R398+R377+R421+R424+R425+R387+R427+R426</f>
        <v>67839.932</v>
      </c>
      <c r="S429" s="67" t="n">
        <f aca="false">+S416+S407+S398+S377+S421+S424+S425+S387+S427+S426</f>
        <v>80351.151</v>
      </c>
      <c r="T429" s="67" t="n">
        <f aca="false">+T416+T407+T398+T377+T421+T424+T425+T387+T427+T426</f>
        <v>123418.887</v>
      </c>
      <c r="U429" s="67" t="n">
        <f aca="false">+U416+U407+U398+U377+U421+U424+U425+U387+U427+U426</f>
        <v>141225.193</v>
      </c>
      <c r="V429" s="67" t="n">
        <f aca="false">+V416+V407+V398+V377+V421+V424+V425+V387+V427+V426</f>
        <v>139479.807</v>
      </c>
      <c r="W429" s="67" t="n">
        <f aca="false">+W416+W407+W398+W377+W421+W424+W425+W387+W427+W426</f>
        <v>109183.081</v>
      </c>
      <c r="X429" s="67" t="n">
        <f aca="false">+X416+X407+X398+X377+X421+X424+X425+X387+X427+X426</f>
        <v>148402.058</v>
      </c>
      <c r="Y429" s="67" t="n">
        <f aca="false">+Y416+Y407+Y398+Y377+Y421+Y424+Y425+Y387+Y427+Y426</f>
        <v>204287.801</v>
      </c>
      <c r="Z429" s="67" t="n">
        <f aca="false">+Z416+Z407+Z398+Z377+Z421+Z424+Z425+Z387+Z427+Z426</f>
        <v>217907.116</v>
      </c>
      <c r="AA429" s="67" t="n">
        <f aca="false">+AA416+AA407+AA398+AA377+AA421+AA424+AA425+AA387+AA427+AA426+AA423</f>
        <v>269266.733</v>
      </c>
      <c r="AB429" s="67" t="n">
        <f aca="false">+AB416+AB407+AB398+AB377+AB421+AB424+AB425+AB387+AB427+AB426+AB423</f>
        <v>294438.9</v>
      </c>
      <c r="AC429" s="67" t="n">
        <f aca="false">+AC416+AC407+AC398+AC377+AC421+AC424+AC425+AC387+AC427+AC426+AC423</f>
        <v>178846.5</v>
      </c>
      <c r="AD429" s="67" t="n">
        <f aca="false">+AD416+AD407+AD398+AD377+AD421+AD424+AD425+AD387+AD427+AD426+AD423</f>
        <v>155984.3</v>
      </c>
      <c r="AE429" s="67" t="n">
        <f aca="false">+AE416+AE407+AE398+AE377+AE421+AE424+AE425+AE387+AE427+AE426+AE423</f>
        <v>219961.7</v>
      </c>
      <c r="AF429" s="67" t="n">
        <f aca="false">+AF416+AF407+AF398+AF377+AF421+AF424+AF425+AF387+AF427+AF426+AF423</f>
        <v>367411.9</v>
      </c>
      <c r="AG429" s="67" t="n">
        <f aca="false">+AG416+AG407+AG398+AG377+AG421+AG424+AG425+AG387+AG427+AG426+AG423</f>
        <v>390825.5</v>
      </c>
      <c r="AH429" s="67" t="n">
        <f aca="false">+AH416+AH407+AH398+AH377+AH421+AH424+AH425+AH387+AH427+AH426+AH423</f>
        <v>395583.1</v>
      </c>
      <c r="AI429" s="67" t="n">
        <f aca="false">+AI416+AI407+AI398+AI377+AI421+AI424+AI425+AI387+AI427+AI426+AI423</f>
        <v>449051.326530613</v>
      </c>
      <c r="AJ429" s="67" t="n">
        <f aca="false">+AJ416+AJ407+AJ398+AJ377+AJ421+AJ424+AJ425+AJ387+AJ427+AJ426+AJ423</f>
        <v>489611.721306035</v>
      </c>
      <c r="AK429" s="67" t="n">
        <f aca="false">+AK416+AK407+AK398+AK377+AK421+AK424+AK425+AK387+AK427+AK426+AK423</f>
        <v>529432.827743392</v>
      </c>
      <c r="AL429" s="67" t="n">
        <f aca="false">+AL416+AL407+AL398+AL377+AL421+AL424+AL425+AL387+AL427+AL426+AL423</f>
        <v>569168.236055297</v>
      </c>
      <c r="AM429" s="145"/>
      <c r="AN429" s="145"/>
      <c r="AO429" s="145"/>
    </row>
    <row r="430" customFormat="false" ht="12" hidden="false" customHeight="true" outlineLevel="0" collapsed="false">
      <c r="A430" s="69" t="s">
        <v>459</v>
      </c>
      <c r="B430" s="40"/>
      <c r="C430" s="90" t="n">
        <f aca="false">+C429/B429*100-100</f>
        <v>24.6918702334086</v>
      </c>
      <c r="D430" s="90" t="n">
        <f aca="false">+D429/C429*100-100</f>
        <v>26.9453849818401</v>
      </c>
      <c r="E430" s="90" t="n">
        <f aca="false">+E429/D429*100-100</f>
        <v>33.1119849422392</v>
      </c>
      <c r="F430" s="90" t="n">
        <f aca="false">+F429/E429*100-100</f>
        <v>22.971253624201</v>
      </c>
      <c r="G430" s="90" t="n">
        <f aca="false">+G429/F429*100-100</f>
        <v>-18.0308591104342</v>
      </c>
      <c r="H430" s="90" t="n">
        <f aca="false">+H429/G429*100-100</f>
        <v>1.86610166207579</v>
      </c>
      <c r="I430" s="90" t="n">
        <f aca="false">+I429/H429*100-100</f>
        <v>27.3594458114794</v>
      </c>
      <c r="J430" s="90" t="n">
        <f aca="false">+J429/I429*100-100</f>
        <v>-0.255038752738699</v>
      </c>
      <c r="K430" s="90" t="n">
        <f aca="false">+K429/J429*100-100</f>
        <v>1.0104771073145</v>
      </c>
      <c r="L430" s="90" t="n">
        <f aca="false">+L429/K429*100-100</f>
        <v>15.9130403180888</v>
      </c>
      <c r="M430" s="90" t="n">
        <f aca="false">+M429/L429*100-100</f>
        <v>27.3170196415671</v>
      </c>
      <c r="N430" s="90" t="n">
        <f aca="false">+N429/M429*100-100</f>
        <v>22.8095440438178</v>
      </c>
      <c r="O430" s="90" t="n">
        <f aca="false">+O429/N429*100-100</f>
        <v>26.2541042658993</v>
      </c>
      <c r="P430" s="90" t="n">
        <f aca="false">+P429/O429*100-100</f>
        <v>37.355925248379</v>
      </c>
      <c r="Q430" s="90" t="n">
        <f aca="false">+Q429/P429*100-100</f>
        <v>7.70347573294592</v>
      </c>
      <c r="R430" s="90" t="n">
        <f aca="false">+R429/Q429*100-100</f>
        <v>-25.68193303414</v>
      </c>
      <c r="S430" s="90" t="n">
        <f aca="false">+S429/R429*100-100</f>
        <v>18.4422634739669</v>
      </c>
      <c r="T430" s="90" t="n">
        <f aca="false">+T429/S429*100-100</f>
        <v>53.5994014572361</v>
      </c>
      <c r="U430" s="90" t="n">
        <f aca="false">+U429/T429*100-100</f>
        <v>14.4275373347031</v>
      </c>
      <c r="V430" s="90" t="n">
        <f aca="false">+V429/U429*100-100</f>
        <v>-1.23588855707919</v>
      </c>
      <c r="W430" s="90" t="n">
        <f aca="false">+W429/V429*100-100</f>
        <v>-21.7212273601727</v>
      </c>
      <c r="X430" s="90" t="n">
        <f aca="false">+X429/W429*100-100</f>
        <v>35.9203794587918</v>
      </c>
      <c r="Y430" s="90" t="n">
        <f aca="false">+Y429/X429*100-100</f>
        <v>37.6583342260658</v>
      </c>
      <c r="Z430" s="90" t="n">
        <f aca="false">+Z429/Y429*100-100</f>
        <v>6.6667294539041</v>
      </c>
      <c r="AA430" s="90" t="n">
        <f aca="false">+AA429/Z429*100-100</f>
        <v>23.5694996761831</v>
      </c>
      <c r="AB430" s="90" t="n">
        <f aca="false">+AB429/AA429*100-100</f>
        <v>9.34841327019778</v>
      </c>
      <c r="AC430" s="90" t="n">
        <f aca="false">+AC429/AB429*100-100</f>
        <v>-39.2585354720453</v>
      </c>
      <c r="AD430" s="90" t="n">
        <f aca="false">+AD429/AC429*100-100</f>
        <v>-12.7831408498349</v>
      </c>
      <c r="AE430" s="90" t="n">
        <f aca="false">+AE429/AD429*100-100</f>
        <v>41.0152816661677</v>
      </c>
      <c r="AF430" s="90" t="n">
        <f aca="false">+AF429/AE429*100-100</f>
        <v>67.0344882768227</v>
      </c>
      <c r="AG430" s="90" t="n">
        <f aca="false">+AG429/AF429*100-100</f>
        <v>6.37257530308628</v>
      </c>
      <c r="AH430" s="90" t="n">
        <f aca="false">+AH429/AG429*100-100</f>
        <v>1.21732077359333</v>
      </c>
      <c r="AI430" s="90" t="n">
        <f aca="false">+AI429/AH429*100-100</f>
        <v>13.5163070744459</v>
      </c>
      <c r="AJ430" s="90" t="n">
        <f aca="false">+AJ429/AI429*100-100</f>
        <v>9.03246296782898</v>
      </c>
      <c r="AK430" s="90" t="n">
        <f aca="false">+AK429/AJ429*100-100</f>
        <v>8.13320120914074</v>
      </c>
      <c r="AL430" s="90" t="n">
        <f aca="false">+AL429/AK429*100-100</f>
        <v>7.50527852254072</v>
      </c>
      <c r="AM430" s="40"/>
      <c r="AN430" s="40"/>
      <c r="AO430" s="40"/>
    </row>
    <row r="431" customFormat="false" ht="12" hidden="false" customHeight="true" outlineLevel="0" collapsed="false">
      <c r="AC431" s="30"/>
      <c r="AD431" s="30"/>
      <c r="AH431" s="30"/>
    </row>
    <row r="432" customFormat="false" ht="12.75" hidden="false" customHeight="true" outlineLevel="0" collapsed="false">
      <c r="A432" s="73" t="s">
        <v>476</v>
      </c>
      <c r="B432" s="196" t="n">
        <v>169.07</v>
      </c>
      <c r="C432" s="196" t="n">
        <v>298.93</v>
      </c>
      <c r="D432" s="196" t="n">
        <v>242.54</v>
      </c>
      <c r="E432" s="196" t="n">
        <v>369.56</v>
      </c>
      <c r="F432" s="196" t="n">
        <v>343.5</v>
      </c>
      <c r="G432" s="196" t="n">
        <v>487.2</v>
      </c>
      <c r="H432" s="196" t="n">
        <v>564.5</v>
      </c>
      <c r="I432" s="196" t="n">
        <v>777.38</v>
      </c>
      <c r="J432" s="196" t="n">
        <v>629.67</v>
      </c>
      <c r="K432" s="196" t="n">
        <v>661.58</v>
      </c>
      <c r="L432" s="196" t="n">
        <v>517.23</v>
      </c>
      <c r="M432" s="196" t="n">
        <v>522.98</v>
      </c>
      <c r="N432" s="197" t="n">
        <v>760.11</v>
      </c>
      <c r="O432" s="197" t="n">
        <v>1173</v>
      </c>
      <c r="P432" s="197" t="n">
        <v>1707.04</v>
      </c>
      <c r="Q432" s="197" t="n">
        <v>1946.33</v>
      </c>
      <c r="R432" s="197" t="n">
        <v>1173.531</v>
      </c>
      <c r="S432" s="197" t="n">
        <v>1625.177</v>
      </c>
      <c r="T432" s="197" t="n">
        <v>2482.819</v>
      </c>
      <c r="U432" s="197" t="n">
        <v>4756.077</v>
      </c>
      <c r="V432" s="197" t="n">
        <v>6494.218</v>
      </c>
      <c r="W432" s="197" t="n">
        <v>3574.628</v>
      </c>
      <c r="X432" s="197" t="n">
        <v>3542.723</v>
      </c>
      <c r="Y432" s="197" t="n">
        <v>4358.059</v>
      </c>
      <c r="Z432" s="197" t="n">
        <v>4590.425</v>
      </c>
      <c r="AA432" s="197" t="n">
        <v>4021.614</v>
      </c>
      <c r="AB432" s="197" t="n">
        <v>3889.4</v>
      </c>
      <c r="AC432" s="197" t="n">
        <v>4171.8</v>
      </c>
      <c r="AD432" s="197" t="n">
        <v>2969.8</v>
      </c>
      <c r="AE432" s="197" t="n">
        <v>3078.8</v>
      </c>
      <c r="AF432" s="197" t="n">
        <v>5970.5</v>
      </c>
      <c r="AG432" s="197" t="n">
        <v>7155.2</v>
      </c>
      <c r="AH432" s="197" t="n">
        <v>8055.7</v>
      </c>
      <c r="AI432" s="70" t="n">
        <f aca="false">AI429*AI433/100</f>
        <v>8981.02653061225</v>
      </c>
      <c r="AJ432" s="70" t="n">
        <f aca="false">AJ429*AJ433/100</f>
        <v>9792.2344261207</v>
      </c>
      <c r="AK432" s="70" t="n">
        <f aca="false">AK429*AK433/100</f>
        <v>11118.0893826112</v>
      </c>
      <c r="AL432" s="70" t="n">
        <f aca="false">AL429*AL433/100</f>
        <v>11952.5329571612</v>
      </c>
      <c r="AM432" s="115"/>
      <c r="AN432" s="115"/>
      <c r="AO432" s="115"/>
    </row>
    <row r="433" customFormat="false" ht="12.75" hidden="false" customHeight="true" outlineLevel="0" collapsed="false">
      <c r="A433" s="73" t="s">
        <v>477</v>
      </c>
      <c r="B433" s="90" t="n">
        <f aca="false">+B432/B429*100</f>
        <v>1.74057800326146</v>
      </c>
      <c r="C433" s="90" t="n">
        <f aca="false">+C432/C429*100</f>
        <v>2.46807470687846</v>
      </c>
      <c r="D433" s="90" t="n">
        <f aca="false">+D432/D429*100</f>
        <v>1.57744873974502</v>
      </c>
      <c r="E433" s="90" t="n">
        <f aca="false">+E432/E429*100</f>
        <v>1.80567539862547</v>
      </c>
      <c r="F433" s="90" t="n">
        <f aca="false">+F432/F429*100</f>
        <v>1.36482781117776</v>
      </c>
      <c r="G433" s="90" t="n">
        <f aca="false">+G432/G429*100</f>
        <v>2.36160912642288</v>
      </c>
      <c r="H433" s="90" t="n">
        <f aca="false">+H432/H429*100</f>
        <v>2.68617930429568</v>
      </c>
      <c r="I433" s="90" t="n">
        <f aca="false">+I432/I429*100</f>
        <v>2.9045125344859</v>
      </c>
      <c r="J433" s="90" t="n">
        <f aca="false">+J432/J429*100</f>
        <v>2.35864145967793</v>
      </c>
      <c r="K433" s="90" t="n">
        <f aca="false">+K432/K429*100</f>
        <v>2.45338028618196</v>
      </c>
      <c r="L433" s="90" t="n">
        <f aca="false">+L432/L429*100</f>
        <v>1.65475580330663</v>
      </c>
      <c r="M433" s="90" t="n">
        <f aca="false">+M432/M429*100</f>
        <v>1.31416175261102</v>
      </c>
      <c r="N433" s="90" t="n">
        <f aca="false">+N432/N429*100</f>
        <v>1.5552781468187</v>
      </c>
      <c r="O433" s="90" t="n">
        <f aca="false">+O432/O429*100</f>
        <v>1.90100881497625</v>
      </c>
      <c r="P433" s="90" t="n">
        <f aca="false">+P432/P429*100</f>
        <v>2.01410643789848</v>
      </c>
      <c r="Q433" s="90" t="n">
        <f aca="false">+Q432/Q429*100</f>
        <v>2.13218791666333</v>
      </c>
      <c r="R433" s="90" t="n">
        <f aca="false">+R432/R429*100</f>
        <v>1.72985285421571</v>
      </c>
      <c r="S433" s="90" t="n">
        <f aca="false">+S432/S429*100</f>
        <v>2.02259330423282</v>
      </c>
      <c r="T433" s="90" t="n">
        <f aca="false">+T432/T429*100</f>
        <v>2.01170101299001</v>
      </c>
      <c r="U433" s="90" t="n">
        <f aca="false">+U432/U429*100</f>
        <v>3.36772561535816</v>
      </c>
      <c r="V433" s="90" t="n">
        <f aca="false">+V432/V429*100</f>
        <v>4.65602737749702</v>
      </c>
      <c r="W433" s="90" t="n">
        <f aca="false">+W432/W429*100</f>
        <v>3.27397612089734</v>
      </c>
      <c r="X433" s="90" t="n">
        <f aca="false">+X432/X429*100</f>
        <v>2.38724654344079</v>
      </c>
      <c r="Y433" s="90" t="n">
        <f aca="false">+Y432/Y429*100</f>
        <v>2.13329380348071</v>
      </c>
      <c r="Z433" s="90" t="n">
        <f aca="false">+Z432/Z429*100</f>
        <v>2.1065971062643</v>
      </c>
      <c r="AA433" s="90" t="n">
        <f aca="false">+AA432/AA429*100</f>
        <v>1.49354283583186</v>
      </c>
      <c r="AB433" s="90" t="n">
        <f aca="false">+AB432/AB429*100</f>
        <v>1.32095317568433</v>
      </c>
      <c r="AC433" s="90" t="n">
        <f aca="false">+AC432/AC429*100</f>
        <v>2.33261484010031</v>
      </c>
      <c r="AD433" s="90" t="n">
        <f aca="false">+AD432/AD429*100</f>
        <v>1.90390956012881</v>
      </c>
      <c r="AE433" s="90" t="n">
        <f aca="false">+AE432/AE429*100</f>
        <v>1.39969822019015</v>
      </c>
      <c r="AF433" s="90" t="n">
        <f aca="false">+AF432/AF429*100</f>
        <v>1.62501541185792</v>
      </c>
      <c r="AG433" s="90" t="n">
        <f aca="false">+AG432/AG429*100</f>
        <v>1.83079149134332</v>
      </c>
      <c r="AH433" s="90" t="n">
        <f aca="false">+AH432/AH429*100</f>
        <v>2.03641156561036</v>
      </c>
      <c r="AI433" s="196" t="n">
        <v>2</v>
      </c>
      <c r="AJ433" s="196" t="n">
        <v>2</v>
      </c>
      <c r="AK433" s="196" t="n">
        <v>2.1</v>
      </c>
      <c r="AL433" s="196" t="n">
        <v>2.1</v>
      </c>
      <c r="AM433" s="275"/>
      <c r="AN433" s="275"/>
      <c r="AO433" s="275"/>
    </row>
    <row r="434" customFormat="false" ht="12" hidden="false" customHeight="true" outlineLevel="0" collapsed="false">
      <c r="A434" s="69" t="s">
        <v>459</v>
      </c>
      <c r="B434" s="40"/>
      <c r="C434" s="90" t="n">
        <f aca="false">+C432/B432*100-100</f>
        <v>76.8084225468741</v>
      </c>
      <c r="D434" s="90" t="n">
        <f aca="false">+D432/C432*100-100</f>
        <v>-18.8639480814907</v>
      </c>
      <c r="E434" s="90" t="n">
        <f aca="false">+E432/D432*100-100</f>
        <v>52.3707429702317</v>
      </c>
      <c r="F434" s="90" t="n">
        <f aca="false">+F432/E432*100-100</f>
        <v>-7.05162896417362</v>
      </c>
      <c r="G434" s="90" t="n">
        <f aca="false">+G432/F432*100-100</f>
        <v>41.8340611353712</v>
      </c>
      <c r="H434" s="90" t="n">
        <f aca="false">+H432/G432*100-100</f>
        <v>15.8661740558292</v>
      </c>
      <c r="I434" s="90" t="n">
        <f aca="false">+I432/H432*100-100</f>
        <v>37.7112488928255</v>
      </c>
      <c r="J434" s="90" t="n">
        <f aca="false">+J432/I432*100-100</f>
        <v>-19.0010033702951</v>
      </c>
      <c r="K434" s="90" t="n">
        <f aca="false">+K432/J432*100-100</f>
        <v>5.06773389235633</v>
      </c>
      <c r="L434" s="90" t="n">
        <f aca="false">+L432/K432*100-100</f>
        <v>-21.8189788083074</v>
      </c>
      <c r="M434" s="90" t="n">
        <f aca="false">+M432/L432*100-100</f>
        <v>1.1116911238714</v>
      </c>
      <c r="N434" s="90" t="n">
        <f aca="false">+N432/M432*100-100</f>
        <v>45.3420780909404</v>
      </c>
      <c r="O434" s="90" t="n">
        <f aca="false">+O432/N432*100-100</f>
        <v>54.319769507045</v>
      </c>
      <c r="P434" s="90" t="n">
        <f aca="false">+P432/O432*100-100</f>
        <v>45.5277067348679</v>
      </c>
      <c r="Q434" s="90" t="n">
        <f aca="false">+Q432/P432*100-100</f>
        <v>14.017832036742</v>
      </c>
      <c r="R434" s="90" t="n">
        <f aca="false">+R432/Q432*100-100</f>
        <v>-39.705445633577</v>
      </c>
      <c r="S434" s="90" t="n">
        <f aca="false">+S432/R432*100-100</f>
        <v>38.4860732268683</v>
      </c>
      <c r="T434" s="90" t="n">
        <f aca="false">+T432/S432*100-100</f>
        <v>52.772221118069</v>
      </c>
      <c r="U434" s="90" t="n">
        <f aca="false">+U432/T432*100-100</f>
        <v>91.5595538780717</v>
      </c>
      <c r="V434" s="90" t="n">
        <f aca="false">+V432/U432*100-100</f>
        <v>36.5456867077635</v>
      </c>
      <c r="W434" s="90" t="n">
        <f aca="false">+W432/V432*100-100</f>
        <v>-44.9567599978935</v>
      </c>
      <c r="X434" s="90" t="n">
        <f aca="false">+X432/W432*100-100</f>
        <v>-0.892540426584247</v>
      </c>
      <c r="Y434" s="90" t="n">
        <f aca="false">+Y432/X432*100-100</f>
        <v>23.0143875205598</v>
      </c>
      <c r="Z434" s="90" t="n">
        <f aca="false">+Z432/Y432*100-100</f>
        <v>5.33186907290609</v>
      </c>
      <c r="AA434" s="90" t="n">
        <f aca="false">+AA432/Z432*100-100</f>
        <v>-12.3912491762745</v>
      </c>
      <c r="AB434" s="90" t="n">
        <f aca="false">+AB432/AA432*100-100</f>
        <v>-3.28758553158011</v>
      </c>
      <c r="AC434" s="90" t="n">
        <f aca="false">+AC432/AB432*100-100</f>
        <v>7.2607600143981</v>
      </c>
      <c r="AD434" s="90" t="n">
        <f aca="false">+AD432/AC432*100-100</f>
        <v>-28.8125029963085</v>
      </c>
      <c r="AE434" s="90" t="n">
        <f aca="false">+AE432/AD432*100-100</f>
        <v>3.67028082699173</v>
      </c>
      <c r="AF434" s="90" t="n">
        <f aca="false">+AF432/AE432*100-100</f>
        <v>93.9229569962323</v>
      </c>
      <c r="AG434" s="90" t="n">
        <f aca="false">+AG432/AF432*100-100</f>
        <v>19.8425592496441</v>
      </c>
      <c r="AH434" s="90" t="n">
        <f aca="false">+AH432/AG432*100-100</f>
        <v>12.5852526833632</v>
      </c>
      <c r="AI434" s="90" t="n">
        <f aca="false">+AI432/AH432*100-100</f>
        <v>11.4866061374213</v>
      </c>
      <c r="AJ434" s="90" t="n">
        <f aca="false">+AJ432/AI432*100-100</f>
        <v>9.03246296782898</v>
      </c>
      <c r="AK434" s="90" t="n">
        <f aca="false">+AK432/AJ432*100-100</f>
        <v>13.5398612695978</v>
      </c>
      <c r="AL434" s="90" t="n">
        <f aca="false">+AL432/AK432*100-100</f>
        <v>7.50527852254075</v>
      </c>
      <c r="AM434" s="40"/>
      <c r="AN434" s="40"/>
      <c r="AO434" s="40"/>
    </row>
    <row r="435" customFormat="false" ht="12" hidden="false" customHeight="true" outlineLevel="0" collapsed="false">
      <c r="B435" s="40"/>
      <c r="C435" s="40"/>
      <c r="D435" s="40"/>
      <c r="E435" s="40"/>
      <c r="F435" s="40"/>
      <c r="G435" s="40"/>
      <c r="H435" s="40"/>
      <c r="I435" s="40"/>
      <c r="J435" s="40"/>
      <c r="K435" s="40"/>
      <c r="L435" s="40"/>
      <c r="M435" s="40"/>
      <c r="AH435" s="30"/>
    </row>
    <row r="436" customFormat="false" ht="12.75" hidden="false" customHeight="true" outlineLevel="0" collapsed="false">
      <c r="A436" s="59" t="s">
        <v>478</v>
      </c>
      <c r="B436" s="67" t="n">
        <f aca="false">+B429-B432</f>
        <v>9544.37</v>
      </c>
      <c r="C436" s="67" t="n">
        <f aca="false">+C429-C432</f>
        <v>11812.94</v>
      </c>
      <c r="D436" s="67" t="n">
        <f aca="false">+D429-D432</f>
        <v>15132.92</v>
      </c>
      <c r="E436" s="67" t="n">
        <f aca="false">+E429-E432</f>
        <v>20097.02</v>
      </c>
      <c r="F436" s="67" t="n">
        <f aca="false">+F429-F432</f>
        <v>24824.51</v>
      </c>
      <c r="G436" s="67" t="n">
        <f aca="false">+G429-G432</f>
        <v>20142.801576</v>
      </c>
      <c r="H436" s="67" t="n">
        <f aca="false">+H429-H432</f>
        <v>20450.478378296</v>
      </c>
      <c r="I436" s="67" t="n">
        <f aca="false">+I429-I432</f>
        <v>25987.18</v>
      </c>
      <c r="J436" s="67" t="n">
        <f aca="false">+J429-J432</f>
        <v>26066.63</v>
      </c>
      <c r="K436" s="67" t="n">
        <f aca="false">+K429-K432</f>
        <v>26304.48</v>
      </c>
      <c r="L436" s="67" t="n">
        <f aca="false">+L429-L432</f>
        <v>30739.95</v>
      </c>
      <c r="M436" s="67" t="n">
        <f aca="false">+M429-M432</f>
        <v>39272.73</v>
      </c>
      <c r="N436" s="67" t="n">
        <f aca="false">+N429-N432</f>
        <v>48112.82</v>
      </c>
      <c r="O436" s="276" t="n">
        <f aca="false">+O429-O432</f>
        <v>60531.08</v>
      </c>
      <c r="P436" s="67" t="n">
        <f aca="false">+P429-P432</f>
        <v>83047.17</v>
      </c>
      <c r="Q436" s="67" t="n">
        <f aca="false">+Q429-Q432</f>
        <v>89336.9</v>
      </c>
      <c r="R436" s="67" t="n">
        <f aca="false">+R429-R432</f>
        <v>66666.401</v>
      </c>
      <c r="S436" s="67" t="n">
        <f aca="false">+S429-S432</f>
        <v>78725.974</v>
      </c>
      <c r="T436" s="67" t="n">
        <f aca="false">+T429-T432</f>
        <v>120936.068</v>
      </c>
      <c r="U436" s="276" t="n">
        <f aca="false">+U429-U432</f>
        <v>136469.116</v>
      </c>
      <c r="V436" s="276" t="n">
        <f aca="false">+V429-V432</f>
        <v>132985.589</v>
      </c>
      <c r="W436" s="148" t="n">
        <f aca="false">+W429-W432</f>
        <v>105608.453</v>
      </c>
      <c r="X436" s="67" t="n">
        <f aca="false">+X429-X432</f>
        <v>144859.335</v>
      </c>
      <c r="Y436" s="67" t="n">
        <f aca="false">+Y429-Y432</f>
        <v>199929.742</v>
      </c>
      <c r="Z436" s="67" t="n">
        <f aca="false">+Z429-Z432</f>
        <v>213316.691</v>
      </c>
      <c r="AA436" s="67" t="n">
        <f aca="false">+AA429-AA432</f>
        <v>265245.119</v>
      </c>
      <c r="AB436" s="67" t="n">
        <f aca="false">+AB429-AB432</f>
        <v>290549.5</v>
      </c>
      <c r="AC436" s="67" t="n">
        <f aca="false">+AC429-AC432</f>
        <v>174674.7</v>
      </c>
      <c r="AD436" s="67" t="n">
        <f aca="false">+AD429-AD432</f>
        <v>153014.5</v>
      </c>
      <c r="AE436" s="67" t="n">
        <f aca="false">+AE429-AE432</f>
        <v>216882.9</v>
      </c>
      <c r="AF436" s="67" t="n">
        <f aca="false">+AF429-AF432</f>
        <v>361441.4</v>
      </c>
      <c r="AG436" s="67" t="n">
        <f aca="false">+AG429-AG432</f>
        <v>383670.3</v>
      </c>
      <c r="AH436" s="67" t="n">
        <f aca="false">+AH429-AH432</f>
        <v>387527.4</v>
      </c>
      <c r="AI436" s="67" t="n">
        <f aca="false">+AI429-AI432</f>
        <v>440070.3</v>
      </c>
      <c r="AJ436" s="67" t="n">
        <f aca="false">+AJ429-AJ432</f>
        <v>479819.486879914</v>
      </c>
      <c r="AK436" s="67" t="n">
        <f aca="false">+AK429-AK432</f>
        <v>518314.738360781</v>
      </c>
      <c r="AL436" s="67" t="n">
        <f aca="false">+AL429-AL432</f>
        <v>557215.703098136</v>
      </c>
      <c r="AM436" s="145"/>
      <c r="AN436" s="145"/>
      <c r="AO436" s="145"/>
    </row>
    <row r="437" customFormat="false" ht="12" hidden="false" customHeight="true" outlineLevel="0" collapsed="false">
      <c r="A437" s="69" t="s">
        <v>459</v>
      </c>
      <c r="B437" s="40"/>
      <c r="C437" s="90" t="n">
        <f aca="false">(100*C436)/B436-100</f>
        <v>23.7686720024475</v>
      </c>
      <c r="D437" s="90" t="n">
        <f aca="false">(100*D436)/C436-100</f>
        <v>28.1046039343296</v>
      </c>
      <c r="E437" s="90" t="n">
        <f aca="false">(100*E436)/D436-100</f>
        <v>32.803318857167</v>
      </c>
      <c r="F437" s="90" t="n">
        <f aca="false">(100*F436)/E436-100</f>
        <v>23.5233382859747</v>
      </c>
      <c r="G437" s="90" t="n">
        <f aca="false">(100*G436)/F436-100</f>
        <v>-18.859217861702</v>
      </c>
      <c r="H437" s="90" t="n">
        <f aca="false">(100*H436)/G436-100</f>
        <v>1.52747770033436</v>
      </c>
      <c r="I437" s="90" t="n">
        <f aca="false">(100*I436)/H436-100</f>
        <v>27.073702234663</v>
      </c>
      <c r="J437" s="90" t="n">
        <f aca="false">(100*J436)/I436-100</f>
        <v>0.305727670335912</v>
      </c>
      <c r="K437" s="90" t="n">
        <f aca="false">(100*K436)/J436-100</f>
        <v>0.91246931421513</v>
      </c>
      <c r="L437" s="90" t="n">
        <f aca="false">(100*L436)/K436-100</f>
        <v>16.8620326271419</v>
      </c>
      <c r="M437" s="90" t="n">
        <f aca="false">(100*M436)/L436-100</f>
        <v>27.7579501593203</v>
      </c>
      <c r="N437" s="90" t="n">
        <f aca="false">(100*N436)/M436-100</f>
        <v>22.5094868627671</v>
      </c>
      <c r="O437" s="90" t="n">
        <f aca="false">(100*O436)/N436-100</f>
        <v>25.8107090792018</v>
      </c>
      <c r="P437" s="90" t="n">
        <f aca="false">(100*P436)/O436-100</f>
        <v>37.1975685879056</v>
      </c>
      <c r="Q437" s="90" t="n">
        <f aca="false">(100*Q436)/P436-100</f>
        <v>7.57368372697107</v>
      </c>
      <c r="R437" s="90" t="n">
        <f aca="false">(100*R436)/Q436-100</f>
        <v>-25.3764110910497</v>
      </c>
      <c r="S437" s="90" t="n">
        <f aca="false">(100*S436)/R436-100</f>
        <v>18.0894315863849</v>
      </c>
      <c r="T437" s="90" t="n">
        <f aca="false">(100*T436)/S436-100</f>
        <v>53.6164773267842</v>
      </c>
      <c r="U437" s="90" t="n">
        <f aca="false">(100*U436)/T436-100</f>
        <v>12.8440160630987</v>
      </c>
      <c r="V437" s="90" t="n">
        <f aca="false">(100*V436)/U436-100</f>
        <v>-2.55261197705714</v>
      </c>
      <c r="W437" s="90" t="n">
        <f aca="false">(100*W436)/V436-100</f>
        <v>-20.5865434035864</v>
      </c>
      <c r="X437" s="90" t="n">
        <f aca="false">(100*X436)/W436-100</f>
        <v>37.1664207598989</v>
      </c>
      <c r="Y437" s="90" t="n">
        <f aca="false">(100*Y436)/X436-100</f>
        <v>38.0164709440369</v>
      </c>
      <c r="Z437" s="90" t="n">
        <f aca="false">(100*Z436)/Y436-100</f>
        <v>6.69582667695335</v>
      </c>
      <c r="AA437" s="90" t="n">
        <f aca="false">(100*AA436)/Z436-100</f>
        <v>24.3433496725298</v>
      </c>
      <c r="AB437" s="90" t="n">
        <f aca="false">(100*AB436)/AA436-100</f>
        <v>9.53999873603705</v>
      </c>
      <c r="AC437" s="90" t="n">
        <f aca="false">(100*AC436)/AB436-100</f>
        <v>-39.8812594755799</v>
      </c>
      <c r="AD437" s="90" t="n">
        <f aca="false">(100*AD436)/AC436-100</f>
        <v>-12.4003075431073</v>
      </c>
      <c r="AE437" s="90" t="n">
        <f aca="false">(100*AE436)/AD436-100</f>
        <v>41.7400965267998</v>
      </c>
      <c r="AF437" s="90" t="n">
        <f aca="false">(100*AF436)/AE436-100</f>
        <v>66.6527882096744</v>
      </c>
      <c r="AG437" s="90" t="n">
        <f aca="false">(100*AG436)/AF436-100</f>
        <v>6.15007024651854</v>
      </c>
      <c r="AH437" s="90" t="n">
        <f aca="false">(100*AH436)/AG436-100</f>
        <v>1.00531628327759</v>
      </c>
      <c r="AI437" s="90" t="n">
        <f aca="false">(100*AI436)/AH436-100</f>
        <v>13.558499347401</v>
      </c>
      <c r="AJ437" s="90" t="n">
        <f aca="false">(100*AJ436)/AI436-100</f>
        <v>9.03246296782898</v>
      </c>
      <c r="AK437" s="90" t="n">
        <f aca="false">(100*AK436)/AJ436-100</f>
        <v>8.02286120790693</v>
      </c>
      <c r="AL437" s="90" t="n">
        <f aca="false">(100*AL436)/AK436-100</f>
        <v>7.50527852254074</v>
      </c>
      <c r="AM437" s="40"/>
      <c r="AN437" s="40"/>
      <c r="AO437" s="40"/>
    </row>
    <row r="438" customFormat="false" ht="12" hidden="false" customHeight="true" outlineLevel="0" collapsed="false">
      <c r="B438" s="75"/>
      <c r="C438" s="75"/>
      <c r="D438" s="75"/>
      <c r="E438" s="75"/>
      <c r="F438" s="75"/>
      <c r="G438" s="75"/>
      <c r="H438" s="75"/>
      <c r="W438" s="31"/>
      <c r="Y438" s="36" t="n">
        <f aca="false">+Y436-199929.742</f>
        <v>0</v>
      </c>
      <c r="Z438" s="36" t="n">
        <f aca="false">+Z436-213316.691</f>
        <v>0</v>
      </c>
      <c r="AA438" s="36" t="n">
        <f aca="false">+AA436-265245.119</f>
        <v>0</v>
      </c>
      <c r="AC438" s="277" t="n">
        <f aca="false">+AC436-174674.7</f>
        <v>0</v>
      </c>
      <c r="AD438" s="277" t="n">
        <f aca="false">+AD436-153014.5</f>
        <v>0</v>
      </c>
      <c r="AE438" s="277" t="n">
        <f aca="false">+AE436-216882.9</f>
        <v>0</v>
      </c>
      <c r="AF438" s="277" t="n">
        <f aca="false">+AF436-361441.4</f>
        <v>0</v>
      </c>
      <c r="AG438" s="277" t="n">
        <f aca="false">+AG436-383670.3</f>
        <v>0</v>
      </c>
      <c r="AH438" s="277" t="n">
        <f aca="false">+AH436-387527.4</f>
        <v>0</v>
      </c>
      <c r="AI438" s="277" t="n">
        <f aca="false">+AI436-440070.3</f>
        <v>0</v>
      </c>
    </row>
    <row r="439" customFormat="false" ht="12.75" hidden="false" customHeight="true" outlineLevel="0" collapsed="false">
      <c r="A439" s="59" t="s">
        <v>479</v>
      </c>
      <c r="B439" s="217" t="n">
        <f aca="false">B398*0.1</f>
        <v>48.066</v>
      </c>
      <c r="C439" s="217" t="n">
        <f aca="false">C398*0.1</f>
        <v>76.642</v>
      </c>
      <c r="D439" s="217" t="n">
        <f aca="false">D398*0.1</f>
        <v>71.824</v>
      </c>
      <c r="E439" s="217" t="n">
        <f aca="false">E398*0.1</f>
        <v>97.196</v>
      </c>
      <c r="F439" s="217" t="n">
        <f aca="false">F398*0.1</f>
        <v>132.969</v>
      </c>
      <c r="G439" s="217" t="n">
        <f aca="false">G398*0.1</f>
        <v>132.59</v>
      </c>
      <c r="H439" s="217" t="n">
        <f aca="false">H398*0.1</f>
        <v>127.144</v>
      </c>
      <c r="I439" s="217" t="n">
        <f aca="false">I398*0.1</f>
        <v>114.404</v>
      </c>
      <c r="J439" s="217" t="n">
        <f aca="false">J398*0.1</f>
        <v>116.653</v>
      </c>
      <c r="K439" s="217" t="n">
        <f aca="false">K398*0.1</f>
        <v>89.251</v>
      </c>
      <c r="L439" s="217" t="n">
        <f aca="false">L398*0.1</f>
        <v>108.481</v>
      </c>
      <c r="M439" s="217" t="n">
        <f aca="false">M398*0.1</f>
        <v>86.113</v>
      </c>
      <c r="N439" s="217" t="n">
        <f aca="false">N398*0.1</f>
        <v>115.428</v>
      </c>
      <c r="O439" s="217" t="n">
        <f aca="false">O398*0.1</f>
        <v>135.751</v>
      </c>
      <c r="P439" s="217" t="n">
        <f aca="false">P398*0.1</f>
        <v>152.577</v>
      </c>
      <c r="Q439" s="278" t="n">
        <f aca="false">Q398*0.1</f>
        <v>235.417</v>
      </c>
      <c r="R439" s="278" t="n">
        <f aca="false">R398*0.1</f>
        <v>442.2779</v>
      </c>
      <c r="S439" s="278" t="n">
        <f aca="false">S398*0.1</f>
        <v>368.7974</v>
      </c>
      <c r="T439" s="278" t="n">
        <f aca="false">T398*0.1</f>
        <v>355.8146</v>
      </c>
      <c r="U439" s="278" t="n">
        <f aca="false">U398*0.1</f>
        <v>349.21</v>
      </c>
      <c r="V439" s="278" t="n">
        <f aca="false">V398*0.1</f>
        <v>483.5163</v>
      </c>
      <c r="W439" s="278" t="n">
        <f aca="false">W398*0.1</f>
        <v>417.839</v>
      </c>
      <c r="X439" s="278" t="n">
        <f aca="false">X398*0.1</f>
        <v>363.1547</v>
      </c>
      <c r="Y439" s="278" t="n">
        <f aca="false">Y398*0.1</f>
        <v>414.8931</v>
      </c>
      <c r="Z439" s="278" t="n">
        <f aca="false">Z398*0.1</f>
        <v>406.968</v>
      </c>
      <c r="AA439" s="278" t="n">
        <f aca="false">AA398*0.1</f>
        <v>429.6647</v>
      </c>
      <c r="AB439" s="278" t="n">
        <f aca="false">AB398*0.1</f>
        <v>468.04</v>
      </c>
      <c r="AC439" s="278" t="n">
        <f aca="false">AC398*0.1</f>
        <v>471.41</v>
      </c>
      <c r="AD439" s="278" t="n">
        <f aca="false">AD398*0.1</f>
        <v>537.27</v>
      </c>
      <c r="AE439" s="278" t="n">
        <f aca="false">AE398*0.1</f>
        <v>514.64</v>
      </c>
      <c r="AF439" s="278" t="n">
        <f aca="false">AF398*0.1</f>
        <v>633.84</v>
      </c>
      <c r="AG439" s="278" t="n">
        <f aca="false">AG398*0.1</f>
        <v>1006.55</v>
      </c>
      <c r="AH439" s="278" t="n">
        <f aca="false">AH398*0.1</f>
        <v>1190.17</v>
      </c>
      <c r="AI439" s="278" t="n">
        <f aca="false">AI398*0.1</f>
        <v>140</v>
      </c>
      <c r="AJ439" s="278" t="n">
        <f aca="false">AJ398*0.1</f>
        <v>142.1</v>
      </c>
      <c r="AK439" s="278" t="n">
        <f aca="false">AK398*0.1</f>
        <v>144.2315</v>
      </c>
      <c r="AL439" s="278" t="n">
        <f aca="false">AL398*0.1</f>
        <v>146.3949725</v>
      </c>
      <c r="AM439" s="75"/>
      <c r="AN439" s="75"/>
      <c r="AO439" s="75"/>
    </row>
    <row r="440" customFormat="false" ht="12" hidden="false" customHeight="true" outlineLevel="0" collapsed="false">
      <c r="B440" s="122" t="n">
        <f aca="false">B416*0.25</f>
        <v>278.785</v>
      </c>
      <c r="C440" s="122" t="n">
        <f aca="false">C416*0.25</f>
        <v>352.62</v>
      </c>
      <c r="D440" s="122" t="n">
        <f aca="false">D416*0.25</f>
        <v>399.0875</v>
      </c>
      <c r="E440" s="122" t="n">
        <f aca="false">E416*0.25</f>
        <v>490.5325</v>
      </c>
      <c r="F440" s="122" t="n">
        <f aca="false">F416*0.25</f>
        <v>507.5025</v>
      </c>
      <c r="G440" s="122" t="n">
        <f aca="false">G416*0.25</f>
        <v>630.09</v>
      </c>
      <c r="H440" s="122" t="n">
        <f aca="false">H416*0.25</f>
        <v>536.315</v>
      </c>
      <c r="I440" s="122" t="n">
        <f aca="false">I416*0.25</f>
        <v>536.1825</v>
      </c>
      <c r="J440" s="122" t="n">
        <f aca="false">J416*0.25</f>
        <v>1284.735</v>
      </c>
      <c r="K440" s="122" t="n">
        <f aca="false">K416*0.25</f>
        <v>1372.9025</v>
      </c>
      <c r="L440" s="122" t="n">
        <f aca="false">L416*0.25</f>
        <v>1192.775</v>
      </c>
      <c r="M440" s="122" t="n">
        <f aca="false">M416*0.25</f>
        <v>1116.9725</v>
      </c>
      <c r="N440" s="122" t="n">
        <f aca="false">N416*0.25</f>
        <v>1365.0025</v>
      </c>
      <c r="O440" s="122" t="n">
        <f aca="false">O416*0.25</f>
        <v>1959.4575</v>
      </c>
      <c r="P440" s="122" t="n">
        <f aca="false">P416*0.25</f>
        <v>1367.1025</v>
      </c>
      <c r="Q440" s="81" t="n">
        <f aca="false">Q416*0.25</f>
        <v>1978.1075</v>
      </c>
      <c r="R440" s="81" t="n">
        <f aca="false">R416*0.25</f>
        <v>1999.23625</v>
      </c>
      <c r="S440" s="81" t="n">
        <f aca="false">S416*0.25</f>
        <v>2212.646</v>
      </c>
      <c r="T440" s="81" t="n">
        <f aca="false">T416*0.25</f>
        <v>2654.84425</v>
      </c>
      <c r="U440" s="81" t="n">
        <f aca="false">U416*0.25</f>
        <v>3884.9985</v>
      </c>
      <c r="V440" s="81" t="n">
        <f aca="false">V416*0.25</f>
        <v>4536.45325</v>
      </c>
      <c r="W440" s="81" t="n">
        <f aca="false">W416*0.25</f>
        <v>3031.4325</v>
      </c>
      <c r="X440" s="81" t="n">
        <f aca="false">X416*0.25</f>
        <v>3479.23625</v>
      </c>
      <c r="Y440" s="81" t="n">
        <f aca="false">Y416*0.25</f>
        <v>3183.39325</v>
      </c>
      <c r="Z440" s="81" t="n">
        <f aca="false">Z416*0.25</f>
        <v>4182.34875</v>
      </c>
      <c r="AA440" s="81" t="n">
        <f aca="false">AA416*0.25</f>
        <v>4950.78975</v>
      </c>
      <c r="AB440" s="81" t="n">
        <f aca="false">AB416*0.25</f>
        <v>4701.175</v>
      </c>
      <c r="AC440" s="81" t="n">
        <f aca="false">AC416*0.25</f>
        <v>4415</v>
      </c>
      <c r="AD440" s="81" t="n">
        <f aca="false">AD416*0.25</f>
        <v>4257.625</v>
      </c>
      <c r="AE440" s="81" t="n">
        <f aca="false">AE416*0.25</f>
        <v>5083.675</v>
      </c>
      <c r="AF440" s="81" t="n">
        <f aca="false">AF416*0.25</f>
        <v>6444.7</v>
      </c>
      <c r="AG440" s="81" t="n">
        <f aca="false">AG416*0.25</f>
        <v>8673.525</v>
      </c>
      <c r="AH440" s="81" t="n">
        <f aca="false">AH416*0.25</f>
        <v>9944.75</v>
      </c>
      <c r="AI440" s="81" t="n">
        <f aca="false">AI416*0.25</f>
        <v>10441.9875</v>
      </c>
      <c r="AJ440" s="81" t="n">
        <f aca="false">AJ416*0.25</f>
        <v>10859.667</v>
      </c>
      <c r="AK440" s="81" t="n">
        <f aca="false">AK416*0.25</f>
        <v>11402.65035</v>
      </c>
      <c r="AL440" s="81" t="n">
        <f aca="false">AL416*0.25</f>
        <v>11972.7828675</v>
      </c>
      <c r="AM440" s="75"/>
      <c r="AN440" s="75"/>
      <c r="AO440" s="75"/>
      <c r="AP440" s="32"/>
    </row>
    <row r="441" customFormat="false" ht="12" hidden="false" customHeight="true" outlineLevel="0" collapsed="false">
      <c r="B441" s="278" t="n">
        <f aca="false">0.2*B407</f>
        <v>30.08</v>
      </c>
      <c r="C441" s="278" t="n">
        <f aca="false">0.2*C407</f>
        <v>30.94</v>
      </c>
      <c r="D441" s="278" t="n">
        <f aca="false">0.2*D407</f>
        <v>40.554</v>
      </c>
      <c r="E441" s="278" t="n">
        <f aca="false">0.2*E407</f>
        <v>50.626</v>
      </c>
      <c r="F441" s="278" t="n">
        <f aca="false">0.2*F407</f>
        <v>57.642</v>
      </c>
      <c r="G441" s="278" t="n">
        <f aca="false">0.2*G407</f>
        <v>70.226</v>
      </c>
      <c r="H441" s="278" t="n">
        <f aca="false">0.2*H407</f>
        <v>63.11</v>
      </c>
      <c r="I441" s="278" t="n">
        <f aca="false">0.2*I407</f>
        <v>62.318</v>
      </c>
      <c r="J441" s="278" t="n">
        <f aca="false">0.2*J407</f>
        <v>55.53</v>
      </c>
      <c r="K441" s="278" t="n">
        <f aca="false">0.2*K407</f>
        <v>42.228</v>
      </c>
      <c r="L441" s="278" t="n">
        <f aca="false">0.2*L407</f>
        <v>28.992</v>
      </c>
      <c r="M441" s="278" t="n">
        <f aca="false">0.2*M407</f>
        <v>53.73</v>
      </c>
      <c r="N441" s="278" t="n">
        <f aca="false">0.2*N407</f>
        <v>95.942</v>
      </c>
      <c r="O441" s="278" t="n">
        <f aca="false">0.2*O407</f>
        <v>0</v>
      </c>
      <c r="P441" s="278" t="n">
        <f aca="false">0.2*P407</f>
        <v>0</v>
      </c>
      <c r="Q441" s="278" t="n">
        <f aca="false">0.2*Q407</f>
        <v>0</v>
      </c>
      <c r="R441" s="278" t="n">
        <f aca="false">0.2*R407</f>
        <v>0</v>
      </c>
      <c r="S441" s="278" t="n">
        <f aca="false">0.2*S407</f>
        <v>0</v>
      </c>
      <c r="T441" s="278" t="n">
        <f aca="false">0.2*T407</f>
        <v>0</v>
      </c>
      <c r="U441" s="278" t="n">
        <f aca="false">0.2*U407</f>
        <v>0</v>
      </c>
      <c r="V441" s="278" t="n">
        <f aca="false">0.2*V407</f>
        <v>0</v>
      </c>
      <c r="W441" s="278" t="n">
        <f aca="false">0.2*W407</f>
        <v>0</v>
      </c>
      <c r="X441" s="278" t="n">
        <f aca="false">0.2*X407</f>
        <v>0</v>
      </c>
      <c r="Y441" s="278" t="n">
        <f aca="false">0.2*Y407</f>
        <v>0</v>
      </c>
      <c r="Z441" s="278" t="n">
        <f aca="false">0.2*Z407</f>
        <v>478.0876</v>
      </c>
      <c r="AA441" s="278" t="n">
        <f aca="false">0.2*AA407</f>
        <v>1025.084</v>
      </c>
      <c r="AB441" s="278" t="n">
        <f aca="false">0.2*AB407</f>
        <v>1032.76</v>
      </c>
      <c r="AC441" s="278" t="n">
        <f aca="false">0.2*AC407</f>
        <v>792.86</v>
      </c>
      <c r="AD441" s="278" t="n">
        <f aca="false">0.2*AD407</f>
        <v>715.16</v>
      </c>
      <c r="AE441" s="278" t="n">
        <f aca="false">0.2*AE407</f>
        <v>938.04</v>
      </c>
      <c r="AF441" s="278" t="n">
        <f aca="false">0.2*AF407</f>
        <v>1218.66</v>
      </c>
      <c r="AG441" s="278" t="n">
        <f aca="false">0.2*AG407</f>
        <v>1017.54</v>
      </c>
      <c r="AH441" s="278" t="n">
        <f aca="false">0.2*AH407</f>
        <v>1144.48</v>
      </c>
      <c r="AI441" s="278" t="n">
        <f aca="false">0.2*AI407</f>
        <v>1178.8144</v>
      </c>
      <c r="AJ441" s="278" t="n">
        <f aca="false">0.2*AJ407</f>
        <v>1214.178832</v>
      </c>
      <c r="AK441" s="278" t="n">
        <f aca="false">0.2*AK407</f>
        <v>1250.60419696</v>
      </c>
      <c r="AL441" s="278" t="n">
        <f aca="false">0.2*AL407</f>
        <v>1288.1223228688</v>
      </c>
      <c r="AM441" s="75"/>
      <c r="AN441" s="75"/>
      <c r="AO441" s="75"/>
    </row>
    <row r="442" customFormat="false" ht="12" hidden="false" customHeight="true" outlineLevel="0" collapsed="false">
      <c r="A442" s="76"/>
      <c r="B442" s="81" t="n">
        <f aca="false">B47-B439-B440-B441</f>
        <v>269.389000000002</v>
      </c>
      <c r="C442" s="81" t="n">
        <f aca="false">C47-C439-C440-C441</f>
        <v>417.128</v>
      </c>
      <c r="D442" s="81" t="n">
        <f aca="false">D47-D439-D440-D441</f>
        <v>569.134499999997</v>
      </c>
      <c r="E442" s="81" t="n">
        <f aca="false">E47-E439-E440-E441</f>
        <v>815.8255</v>
      </c>
      <c r="F442" s="81" t="n">
        <f aca="false">F47-F439-F440-F441</f>
        <v>1591.9365</v>
      </c>
      <c r="G442" s="81" t="n">
        <f aca="false">G47-G439-G440-G441</f>
        <v>714.715576</v>
      </c>
      <c r="H442" s="81" t="n">
        <f aca="false">H47-H439-H440-H441</f>
        <v>929.149378295995</v>
      </c>
      <c r="I442" s="81" t="n">
        <f aca="false">I47-I439-I440-I441</f>
        <v>1895.3055</v>
      </c>
      <c r="J442" s="81" t="n">
        <f aca="false">J47-J439-J440-J441</f>
        <v>1415.342</v>
      </c>
      <c r="K442" s="81" t="n">
        <f aca="false">K47-K439-K440-K441</f>
        <v>1457.3485</v>
      </c>
      <c r="L442" s="81" t="n">
        <f aca="false">L47-L439-L440-L441</f>
        <v>1940.042</v>
      </c>
      <c r="M442" s="81" t="n">
        <f aca="false">M47-M439-M440-M441</f>
        <v>2689.2245</v>
      </c>
      <c r="N442" s="81" t="n">
        <f aca="false">N47-N439-N440-N441</f>
        <v>2652.1275</v>
      </c>
      <c r="O442" s="81" t="n">
        <f aca="false">O47-O439-O440-O441</f>
        <v>3305.49149999999</v>
      </c>
      <c r="P442" s="81" t="n">
        <f aca="false">P47-P439-P440-P441</f>
        <v>5507.1705</v>
      </c>
      <c r="Q442" s="81" t="n">
        <f aca="false">Q47-Q439-Q440-Q441</f>
        <v>5826.3655</v>
      </c>
      <c r="R442" s="81" t="n">
        <f aca="false">R47-R439-R440-R441</f>
        <v>2252.83685000001</v>
      </c>
      <c r="S442" s="81" t="n">
        <f aca="false">S47-S439-S440-S441</f>
        <v>5046.94760000003</v>
      </c>
      <c r="T442" s="81" t="n">
        <f aca="false">T47-T439-T440-T441</f>
        <v>9664.91515000001</v>
      </c>
      <c r="U442" s="81" t="n">
        <f aca="false">U47-U439-U440-U441</f>
        <v>8211.1395</v>
      </c>
      <c r="V442" s="81" t="n">
        <f aca="false">V47-V439-V440-V441</f>
        <v>3744.71345000001</v>
      </c>
      <c r="W442" s="81" t="n">
        <f aca="false">W47-W439-W440-W441</f>
        <v>-1783.64850000002</v>
      </c>
      <c r="X442" s="81" t="n">
        <f aca="false">X47-X439-X440-X441</f>
        <v>6423.94605000002</v>
      </c>
      <c r="Y442" s="81" t="n">
        <f aca="false">Y47-Y439-Y440-Y441</f>
        <v>18948.02465</v>
      </c>
      <c r="Z442" s="81" t="n">
        <f aca="false">AM47-Z439-Z440-Z441</f>
        <v>-5067.40045999034</v>
      </c>
      <c r="AA442" s="82"/>
      <c r="AB442" s="75"/>
      <c r="AC442" s="75"/>
      <c r="AD442" s="75"/>
      <c r="AE442" s="75"/>
      <c r="AF442" s="82"/>
      <c r="AG442" s="82"/>
      <c r="AH442" s="75"/>
      <c r="AI442" s="75"/>
      <c r="AJ442" s="75"/>
      <c r="AK442" s="75"/>
      <c r="AL442" s="75"/>
      <c r="AM442" s="75"/>
      <c r="AN442" s="75"/>
      <c r="AO442" s="75"/>
    </row>
    <row r="443" customFormat="false" ht="12" hidden="false" customHeight="true" outlineLevel="0" collapsed="false">
      <c r="B443" s="122" t="n">
        <f aca="false">B442/B377*100</f>
        <v>3.38120854900821</v>
      </c>
      <c r="C443" s="122" t="n">
        <f aca="false">C442/C377*100</f>
        <v>4.26499472918437</v>
      </c>
      <c r="D443" s="122" t="n">
        <f aca="false">D442/D377*100</f>
        <v>4.42627215529508</v>
      </c>
      <c r="E443" s="122" t="n">
        <f aca="false">E442/E377*100</f>
        <v>4.72138725045372</v>
      </c>
      <c r="F443" s="122" t="n">
        <f aca="false">F442/F377*100</f>
        <v>7.39744006765768</v>
      </c>
      <c r="G443" s="122" t="n">
        <f aca="false">G442/G377*100</f>
        <v>4.34937302993183</v>
      </c>
      <c r="H443" s="122" t="n">
        <f aca="false">H442/H377*100</f>
        <v>5.37617300901887</v>
      </c>
      <c r="I443" s="122" t="n">
        <f aca="false">I442/I377*100</f>
        <v>8.18204600202037</v>
      </c>
      <c r="J443" s="122" t="n">
        <f aca="false">J442/J377*100</f>
        <v>7.03688824939666</v>
      </c>
      <c r="K443" s="122" t="n">
        <f aca="false">K442/K377*100</f>
        <v>7.15410538614094</v>
      </c>
      <c r="L443" s="122" t="n">
        <f aca="false">L442/L377*100</f>
        <v>7.68141506023645</v>
      </c>
      <c r="M443" s="122" t="n">
        <f aca="false">M442/M377*100</f>
        <v>7.8636801992161</v>
      </c>
      <c r="N443" s="122" t="n">
        <f aca="false">N442/N377*100</f>
        <v>6.34800245003881</v>
      </c>
      <c r="O443" s="122" t="n">
        <f aca="false">O442/O377*100</f>
        <v>6.29512629706976</v>
      </c>
      <c r="P443" s="122" t="n">
        <f aca="false">P442/P377*100</f>
        <v>7.08226385715129</v>
      </c>
      <c r="Q443" s="81" t="n">
        <f aca="false">Q442/Q377*100</f>
        <v>7.19156733623701</v>
      </c>
      <c r="R443" s="81" t="n">
        <f aca="false">R442/R377*100</f>
        <v>4.08159610915462</v>
      </c>
      <c r="S443" s="81" t="n">
        <f aca="false">S442/S377*100</f>
        <v>7.48185608824315</v>
      </c>
      <c r="T443" s="81" t="n">
        <f aca="false">T442/T377*100</f>
        <v>8.8660028270184</v>
      </c>
      <c r="U443" s="81" t="n">
        <f aca="false">U442/U377*100</f>
        <v>6.93146351832916</v>
      </c>
      <c r="V443" s="81" t="n">
        <f aca="false">V442/V377*100</f>
        <v>3.62918372113766</v>
      </c>
      <c r="W443" s="81" t="n">
        <f aca="false">W442/W377*100</f>
        <v>-2.24694354197664</v>
      </c>
      <c r="X443" s="81" t="n">
        <f aca="false">X442/X377*100</f>
        <v>5.48753506704452</v>
      </c>
      <c r="Y443" s="81" t="n">
        <f aca="false">Y442/Y377*100</f>
        <v>11.1028968356533</v>
      </c>
      <c r="Z443" s="81" t="n">
        <f aca="false">Z442/Z377*100</f>
        <v>-2.85396981115362</v>
      </c>
      <c r="AA443" s="82"/>
      <c r="AB443" s="75"/>
      <c r="AC443" s="75"/>
      <c r="AD443" s="75"/>
      <c r="AE443" s="75"/>
      <c r="AF443" s="82"/>
      <c r="AG443" s="82"/>
      <c r="AH443" s="75"/>
      <c r="AI443" s="75"/>
      <c r="AJ443" s="75"/>
      <c r="AK443" s="75"/>
      <c r="AL443" s="75"/>
      <c r="AM443" s="75"/>
      <c r="AN443" s="75"/>
      <c r="AO443" s="75"/>
    </row>
    <row r="445" customFormat="false" ht="12" hidden="false" customHeight="true" outlineLevel="0" collapsed="false">
      <c r="Q445" s="31"/>
    </row>
    <row r="446" customFormat="false" ht="12" hidden="false" customHeight="true" outlineLevel="0" collapsed="false">
      <c r="A446" s="69" t="s">
        <v>480</v>
      </c>
      <c r="M446" s="41"/>
      <c r="N446" s="41"/>
      <c r="W446" s="48" t="n">
        <v>12422.951</v>
      </c>
      <c r="X446" s="48" t="n">
        <v>19090.403</v>
      </c>
      <c r="Y446" s="48" t="n">
        <v>20090.328</v>
      </c>
    </row>
    <row r="447" customFormat="false" ht="12" hidden="false" customHeight="true" outlineLevel="0" collapsed="false">
      <c r="A447" s="69" t="s">
        <v>481</v>
      </c>
      <c r="N447" s="115"/>
      <c r="X447" s="79" t="n">
        <f aca="false">+X446/W446-1</f>
        <v>0.536704362755677</v>
      </c>
      <c r="Y447" s="79" t="n">
        <f aca="false">+Y446/X446-1</f>
        <v>0.0523784123362929</v>
      </c>
    </row>
    <row r="448" customFormat="false" ht="12" hidden="false" customHeight="true" outlineLevel="0" collapsed="false">
      <c r="A448" s="69" t="s">
        <v>482</v>
      </c>
      <c r="W448" s="79" t="n">
        <f aca="false">+W446/W436</f>
        <v>0.117632165296465</v>
      </c>
      <c r="X448" s="79" t="n">
        <f aca="false">+X446/X436</f>
        <v>0.131785797580805</v>
      </c>
      <c r="Y448" s="79" t="n">
        <f aca="false">+Y446/Y436</f>
        <v>0.100486940057173</v>
      </c>
    </row>
    <row r="451" customFormat="false" ht="12.75" hidden="false" customHeight="true" outlineLevel="0" collapsed="false">
      <c r="A451" s="59" t="s">
        <v>483</v>
      </c>
      <c r="B451" s="62" t="n">
        <f aca="false">B432/B378*1000000</f>
        <v>8218.85178163434</v>
      </c>
      <c r="C451" s="62" t="n">
        <f aca="false">C432/C378*1000000</f>
        <v>12339.2223231239</v>
      </c>
      <c r="D451" s="62" t="n">
        <f aca="false">D432/D378*1000000</f>
        <v>7975.66589937521</v>
      </c>
      <c r="E451" s="62" t="n">
        <f aca="false">E432/E378*1000000</f>
        <v>9881.5476349635</v>
      </c>
      <c r="F451" s="62" t="n">
        <f aca="false">F432/F378*1000000</f>
        <v>7923.50987267024</v>
      </c>
      <c r="G451" s="62" t="n">
        <f aca="false">G432/G378*1000000</f>
        <v>15443.6237994104</v>
      </c>
      <c r="H451" s="62" t="n">
        <f aca="false">H432/H378*1000000</f>
        <v>18980.5319256246</v>
      </c>
      <c r="I451" s="62" t="n">
        <f aca="false">I432/I378*1000000</f>
        <v>20533.5587310811</v>
      </c>
      <c r="J451" s="62" t="n">
        <f aca="false">J432/J378*1000000</f>
        <v>19389.376443418</v>
      </c>
      <c r="K451" s="62" t="n">
        <f aca="false">K432/K378*1000000</f>
        <v>22295.6896842247</v>
      </c>
      <c r="L451" s="62" t="n">
        <f aca="false">L432/L378*1000000</f>
        <v>14192.4596641422</v>
      </c>
      <c r="M451" s="62" t="n">
        <f aca="false">M432/M378*1000000</f>
        <v>10748.962058618</v>
      </c>
      <c r="N451" s="62" t="n">
        <f aca="false">N432/N378*1000000</f>
        <v>13885.8238947753</v>
      </c>
      <c r="O451" s="62" t="n">
        <f aca="false">O432/O378*1000000</f>
        <v>19025.2209877544</v>
      </c>
      <c r="P451" s="62" t="n">
        <f aca="false">P432/P378*1000000</f>
        <v>20544.2225993188</v>
      </c>
      <c r="Q451" s="62" t="n">
        <f aca="false">Q432/Q378*1000000</f>
        <v>23362.7819323242</v>
      </c>
      <c r="R451" s="62" t="n">
        <f aca="false">R432/R378*1000000</f>
        <v>21559.9750142382</v>
      </c>
      <c r="S451" s="62" t="n">
        <f aca="false">S432/S378*1000000</f>
        <v>25422.7857209899</v>
      </c>
      <c r="T451" s="62" t="n">
        <f aca="false">T432/T378*1000000</f>
        <v>26383.2167980788</v>
      </c>
      <c r="U451" s="62" t="n">
        <f aca="false">U432/U378*1000000</f>
        <v>48142.329338408</v>
      </c>
      <c r="V451" s="62" t="n">
        <f aca="false">V432/V378*1000000</f>
        <v>72584.8087129247</v>
      </c>
      <c r="W451" s="62" t="n">
        <f aca="false">W432/W378*1000000</f>
        <v>51785.9388355281</v>
      </c>
      <c r="X451" s="62" t="n">
        <f aca="false">X432/X378*1000000</f>
        <v>40913.0572862232</v>
      </c>
      <c r="Y451" s="62" t="n">
        <f aca="false">Y432/Y378*1000000</f>
        <v>36308.3081832137</v>
      </c>
      <c r="Z451" s="62" t="n">
        <f aca="false">Z432/Z378*1000000</f>
        <v>37559.0897468678</v>
      </c>
      <c r="AA451" s="62" t="n">
        <f aca="false">AA432/AA378*1000000</f>
        <v>27740.1952415688</v>
      </c>
      <c r="AB451" s="62" t="n">
        <f aca="false">AB432/AB378*1000000</f>
        <v>19706.5350668302</v>
      </c>
      <c r="AC451" s="62" t="n">
        <f aca="false">AC432/AC378*1000000</f>
        <v>33306.9866590022</v>
      </c>
      <c r="AD451" s="62" t="n">
        <f aca="false">AD432/AD378*1000000</f>
        <v>29487.1667576826</v>
      </c>
      <c r="AE451" s="62" t="n">
        <f aca="false">AE432/AE378*1000000</f>
        <v>23992.0203232393</v>
      </c>
      <c r="AF451" s="62" t="n">
        <f aca="false">AF432/AF378*1000000</f>
        <v>31063.1877422544</v>
      </c>
      <c r="AG451" s="62" t="n">
        <f aca="false">AG432/AG378*1000000</f>
        <v>36753.0806490551</v>
      </c>
      <c r="AH451" s="62" t="n">
        <f aca="false">AH432/AH378*1000000</f>
        <v>41291.5891395386</v>
      </c>
      <c r="AI451" s="62" t="n">
        <f aca="false">AI432/AI378*1000000</f>
        <v>40741.9195988525</v>
      </c>
      <c r="AJ451" s="62" t="n">
        <f aca="false">AJ432/AJ378*1000000</f>
        <v>41248.5858043589</v>
      </c>
      <c r="AK451" s="62" t="n">
        <f aca="false">AK432/AK378*1000000</f>
        <v>43738.9616565835</v>
      </c>
      <c r="AL451" s="62" t="n">
        <f aca="false">AL432/AL378*1000000</f>
        <v>44218.2179467862</v>
      </c>
      <c r="AM451" s="41"/>
      <c r="AN451" s="41"/>
      <c r="AO451" s="41"/>
    </row>
    <row r="452" customFormat="false" ht="12.75" hidden="false" customHeight="true" outlineLevel="0" collapsed="false">
      <c r="A452" s="167"/>
      <c r="B452" s="41"/>
      <c r="C452" s="41"/>
      <c r="D452" s="41"/>
      <c r="E452" s="41"/>
      <c r="F452" s="41"/>
      <c r="G452" s="41"/>
      <c r="H452" s="41"/>
      <c r="I452" s="41"/>
      <c r="J452" s="41"/>
      <c r="K452" s="41"/>
      <c r="L452" s="41"/>
      <c r="M452" s="41"/>
      <c r="N452" s="41"/>
      <c r="O452" s="41"/>
      <c r="P452" s="41"/>
      <c r="Q452" s="41"/>
      <c r="R452" s="41"/>
      <c r="S452" s="41"/>
      <c r="T452" s="41"/>
      <c r="U452" s="41"/>
      <c r="V452" s="41"/>
    </row>
    <row r="453" s="280" customFormat="true" ht="12.75" hidden="false" customHeight="true" outlineLevel="0" collapsed="false">
      <c r="A453" s="279" t="s">
        <v>484</v>
      </c>
      <c r="L453" s="281" t="n">
        <f aca="false">L474-L466</f>
        <v>152.88</v>
      </c>
      <c r="M453" s="281" t="n">
        <f aca="false">M474-M466</f>
        <v>186.2</v>
      </c>
      <c r="N453" s="281" t="n">
        <f aca="false">N474-N466</f>
        <v>268.9616</v>
      </c>
      <c r="O453" s="281" t="n">
        <f aca="false">O474-O466</f>
        <v>296.23</v>
      </c>
      <c r="P453" s="281" t="n">
        <f aca="false">P474-P466</f>
        <v>671.8</v>
      </c>
      <c r="AA453" s="282"/>
      <c r="AF453" s="282"/>
      <c r="AG453" s="282"/>
    </row>
    <row r="455" customFormat="false" ht="12.75" hidden="false" customHeight="true" outlineLevel="0" collapsed="false">
      <c r="A455" s="69" t="s">
        <v>206</v>
      </c>
      <c r="B455" s="39" t="s">
        <v>165</v>
      </c>
      <c r="C455" s="39" t="s">
        <v>166</v>
      </c>
      <c r="D455" s="39" t="s">
        <v>167</v>
      </c>
      <c r="E455" s="39" t="s">
        <v>207</v>
      </c>
      <c r="F455" s="47" t="s">
        <v>169</v>
      </c>
      <c r="G455" s="39" t="s">
        <v>170</v>
      </c>
      <c r="H455" s="39" t="s">
        <v>171</v>
      </c>
      <c r="I455" s="39" t="s">
        <v>172</v>
      </c>
      <c r="J455" s="39" t="s">
        <v>173</v>
      </c>
      <c r="K455" s="39" t="s">
        <v>174</v>
      </c>
      <c r="L455" s="39" t="s">
        <v>211</v>
      </c>
      <c r="M455" s="39" t="s">
        <v>176</v>
      </c>
      <c r="N455" s="39" t="s">
        <v>177</v>
      </c>
      <c r="O455" s="39" t="s">
        <v>178</v>
      </c>
      <c r="P455" s="39" t="s">
        <v>179</v>
      </c>
      <c r="Q455" s="39" t="s">
        <v>180</v>
      </c>
      <c r="R455" s="39" t="s">
        <v>181</v>
      </c>
      <c r="S455" s="39" t="s">
        <v>182</v>
      </c>
      <c r="T455" s="39" t="str">
        <f aca="false">+T3</f>
        <v>FY2011</v>
      </c>
      <c r="U455" s="39" t="s">
        <v>485</v>
      </c>
      <c r="V455" s="39" t="str">
        <f aca="false">+V3</f>
        <v>FY2013</v>
      </c>
      <c r="W455" s="39" t="str">
        <f aca="false">+W3</f>
        <v>FY2014</v>
      </c>
      <c r="X455" s="39" t="str">
        <f aca="false">+X3</f>
        <v>FY2015</v>
      </c>
      <c r="Y455" s="39" t="str">
        <f aca="false">+Y3</f>
        <v>FY2016</v>
      </c>
      <c r="Z455" s="39" t="str">
        <f aca="false">+Z3</f>
        <v>FY2017</v>
      </c>
      <c r="AA455" s="39" t="str">
        <f aca="false">+AA3</f>
        <v>FY2018</v>
      </c>
      <c r="AB455" s="39" t="str">
        <f aca="false">+AB3</f>
        <v>FY2019</v>
      </c>
      <c r="AC455" s="39" t="str">
        <f aca="false">+AC3</f>
        <v>FY2020</v>
      </c>
      <c r="AD455" s="39" t="str">
        <f aca="false">+AD3</f>
        <v>FY2021</v>
      </c>
      <c r="AE455" s="39" t="str">
        <f aca="false">+AE3</f>
        <v>FY2022</v>
      </c>
      <c r="AF455" s="39" t="str">
        <f aca="false">+AF3</f>
        <v>FY2023</v>
      </c>
      <c r="AG455" s="39" t="str">
        <f aca="false">+AG3</f>
        <v>FY2024</v>
      </c>
      <c r="AH455" s="39" t="str">
        <f aca="false">+AH3</f>
        <v>FY2025</v>
      </c>
      <c r="AI455" s="39" t="str">
        <f aca="false">+AI3</f>
        <v>FY2026</v>
      </c>
      <c r="AJ455" s="39" t="str">
        <f aca="false">+AJ3</f>
        <v>FY2027E</v>
      </c>
      <c r="AK455" s="39" t="str">
        <f aca="false">+AK3</f>
        <v>FY2028E</v>
      </c>
      <c r="AL455" s="39" t="str">
        <f aca="false">+AL3</f>
        <v>FY2029E</v>
      </c>
      <c r="AM455" s="19"/>
      <c r="AN455" s="19"/>
      <c r="AO455" s="19"/>
    </row>
    <row r="458" customFormat="false" ht="12.75" hidden="false" customHeight="true" outlineLevel="0" collapsed="false">
      <c r="A458" s="59" t="s">
        <v>486</v>
      </c>
    </row>
    <row r="459" customFormat="false" ht="12" hidden="false" customHeight="true" outlineLevel="0" collapsed="false">
      <c r="A459" s="149" t="s">
        <v>487</v>
      </c>
      <c r="B459" s="190" t="n">
        <v>19.46</v>
      </c>
      <c r="C459" s="190" t="n">
        <v>20.79</v>
      </c>
      <c r="D459" s="190" t="n">
        <v>32.7</v>
      </c>
      <c r="E459" s="190" t="n">
        <v>51.69</v>
      </c>
      <c r="F459" s="190" t="n">
        <v>51.09</v>
      </c>
      <c r="G459" s="190" t="n">
        <v>51.7</v>
      </c>
      <c r="H459" s="190" t="n">
        <v>46.16</v>
      </c>
      <c r="I459" s="190" t="n">
        <v>36.93</v>
      </c>
      <c r="J459" s="190" t="n">
        <v>42.3</v>
      </c>
      <c r="K459" s="205" t="n">
        <f aca="false">124.12+1.45</f>
        <v>125.57</v>
      </c>
      <c r="L459" s="190" t="n">
        <v>88.52</v>
      </c>
      <c r="M459" s="205" t="n">
        <f aca="false">5.49+96.59</f>
        <v>102.08</v>
      </c>
      <c r="N459" s="190" t="n">
        <v>17.6</v>
      </c>
      <c r="O459" s="205" t="n">
        <f aca="false">39.77</f>
        <v>39.77</v>
      </c>
      <c r="P459" s="190" t="n">
        <v>65.53</v>
      </c>
      <c r="Q459" s="190" t="n">
        <v>19.84</v>
      </c>
      <c r="R459" s="190" t="n">
        <v>41.331</v>
      </c>
      <c r="S459" s="190" t="n">
        <v>25.748</v>
      </c>
      <c r="T459" s="190" t="n">
        <v>43.955</v>
      </c>
      <c r="U459" s="190" t="n">
        <v>39.23</v>
      </c>
      <c r="V459" s="190" t="n">
        <v>5.712</v>
      </c>
      <c r="W459" s="190" t="n">
        <v>2.927</v>
      </c>
      <c r="X459" s="190" t="n">
        <v>7.462</v>
      </c>
      <c r="Y459" s="41"/>
      <c r="Z459" s="41"/>
      <c r="AA459" s="180"/>
    </row>
    <row r="460" customFormat="false" ht="12" hidden="false" customHeight="true" outlineLevel="0" collapsed="false">
      <c r="A460" s="69" t="s">
        <v>488</v>
      </c>
      <c r="B460" s="190" t="n">
        <v>126.83</v>
      </c>
      <c r="C460" s="190" t="n">
        <v>18.65</v>
      </c>
      <c r="D460" s="190" t="n">
        <v>28.28</v>
      </c>
      <c r="E460" s="190" t="n">
        <v>30.72</v>
      </c>
      <c r="F460" s="190" t="n">
        <v>46.49</v>
      </c>
      <c r="G460" s="190" t="n">
        <v>20.77</v>
      </c>
      <c r="H460" s="190" t="n">
        <v>10.95</v>
      </c>
      <c r="I460" s="190" t="n">
        <v>5.93</v>
      </c>
      <c r="J460" s="190" t="n">
        <v>6.21</v>
      </c>
      <c r="K460" s="190" t="n">
        <v>10</v>
      </c>
      <c r="L460" s="190" t="n">
        <v>3.54</v>
      </c>
      <c r="M460" s="190" t="n">
        <v>6.89</v>
      </c>
      <c r="N460" s="190" t="n">
        <v>106.78</v>
      </c>
      <c r="O460" s="190" t="n">
        <v>87.47</v>
      </c>
      <c r="P460" s="190" t="n">
        <v>98.85</v>
      </c>
      <c r="Q460" s="190" t="n">
        <v>22.85</v>
      </c>
      <c r="R460" s="205" t="n">
        <f aca="false">18.756+26.245</f>
        <v>45.001</v>
      </c>
      <c r="S460" s="205" t="n">
        <f aca="false">3.053+23.376</f>
        <v>26.429</v>
      </c>
      <c r="T460" s="205" t="n">
        <f aca="false">6.24+32.792</f>
        <v>39.032</v>
      </c>
      <c r="U460" s="190" t="n">
        <v>51.376</v>
      </c>
      <c r="V460" s="190" t="n">
        <v>69.915</v>
      </c>
      <c r="W460" s="190" t="n">
        <v>44.125</v>
      </c>
      <c r="X460" s="190" t="n">
        <v>20.27</v>
      </c>
      <c r="Y460" s="190" t="n">
        <v>39.809</v>
      </c>
      <c r="Z460" s="190" t="n">
        <v>11.587</v>
      </c>
      <c r="AA460" s="190" t="n">
        <v>12.877</v>
      </c>
      <c r="AB460" s="190" t="n">
        <v>15.4</v>
      </c>
      <c r="AC460" s="190" t="n">
        <v>189</v>
      </c>
      <c r="AD460" s="190" t="n">
        <v>100</v>
      </c>
      <c r="AE460" s="190" t="n">
        <v>0.7</v>
      </c>
      <c r="AF460" s="190" t="n">
        <v>8.2</v>
      </c>
      <c r="AG460" s="190" t="n">
        <v>10</v>
      </c>
      <c r="AH460" s="190" t="n">
        <v>12</v>
      </c>
      <c r="AI460" s="190" t="n">
        <v>12</v>
      </c>
      <c r="AJ460" s="190" t="n">
        <v>12</v>
      </c>
      <c r="AK460" s="190" t="n">
        <v>12</v>
      </c>
      <c r="AL460" s="190" t="n">
        <v>12</v>
      </c>
      <c r="AM460" s="214"/>
      <c r="AN460" s="214"/>
      <c r="AO460" s="214"/>
    </row>
    <row r="461" customFormat="false" ht="12.75" hidden="false" customHeight="true" outlineLevel="0" collapsed="false">
      <c r="A461" s="59" t="s">
        <v>420</v>
      </c>
      <c r="B461" s="67" t="n">
        <f aca="false">+B459+B460</f>
        <v>146.29</v>
      </c>
      <c r="C461" s="67" t="n">
        <f aca="false">+C459+C460</f>
        <v>39.44</v>
      </c>
      <c r="D461" s="67" t="n">
        <f aca="false">+D459+D460</f>
        <v>60.98</v>
      </c>
      <c r="E461" s="67" t="n">
        <f aca="false">+E459+E460</f>
        <v>82.41</v>
      </c>
      <c r="F461" s="67" t="n">
        <f aca="false">+F459+F460</f>
        <v>97.58</v>
      </c>
      <c r="G461" s="67" t="n">
        <f aca="false">+G459+G460</f>
        <v>72.47</v>
      </c>
      <c r="H461" s="67" t="n">
        <f aca="false">+H459+H460</f>
        <v>57.11</v>
      </c>
      <c r="I461" s="67" t="n">
        <f aca="false">+I459+I460</f>
        <v>42.86</v>
      </c>
      <c r="J461" s="67" t="n">
        <f aca="false">+J459+J460</f>
        <v>48.51</v>
      </c>
      <c r="K461" s="67" t="n">
        <f aca="false">+K459+K460</f>
        <v>135.57</v>
      </c>
      <c r="L461" s="67" t="n">
        <f aca="false">+L459+L460</f>
        <v>92.06</v>
      </c>
      <c r="M461" s="67" t="n">
        <f aca="false">+M459+M460</f>
        <v>108.97</v>
      </c>
      <c r="N461" s="67" t="n">
        <f aca="false">+N459+N460</f>
        <v>124.38</v>
      </c>
      <c r="O461" s="67" t="n">
        <f aca="false">+O459+O460</f>
        <v>127.24</v>
      </c>
      <c r="P461" s="67" t="n">
        <f aca="false">+P459+P460</f>
        <v>164.38</v>
      </c>
      <c r="Q461" s="67" t="n">
        <f aca="false">+Q459+Q460</f>
        <v>42.69</v>
      </c>
      <c r="R461" s="67" t="n">
        <f aca="false">+R459+R460</f>
        <v>86.332</v>
      </c>
      <c r="S461" s="67" t="n">
        <f aca="false">+S459+S460</f>
        <v>52.177</v>
      </c>
      <c r="T461" s="67" t="n">
        <f aca="false">+T459+T460</f>
        <v>82.987</v>
      </c>
      <c r="U461" s="67" t="n">
        <f aca="false">+U459+U460</f>
        <v>90.606</v>
      </c>
      <c r="V461" s="67" t="n">
        <f aca="false">+V459+V460</f>
        <v>75.627</v>
      </c>
      <c r="W461" s="67" t="n">
        <f aca="false">+W459+W460</f>
        <v>47.052</v>
      </c>
      <c r="X461" s="67" t="n">
        <f aca="false">+X459+X460</f>
        <v>27.732</v>
      </c>
      <c r="Y461" s="67" t="n">
        <f aca="false">+Y459+Y460</f>
        <v>39.809</v>
      </c>
      <c r="Z461" s="67" t="n">
        <f aca="false">+Z459+Z460</f>
        <v>11.587</v>
      </c>
      <c r="AA461" s="67" t="n">
        <f aca="false">+AA459+AA460</f>
        <v>12.877</v>
      </c>
      <c r="AB461" s="67" t="n">
        <f aca="false">+AB459+AB460</f>
        <v>15.4</v>
      </c>
      <c r="AC461" s="67" t="n">
        <f aca="false">+AC459+AC460</f>
        <v>189</v>
      </c>
      <c r="AD461" s="67" t="n">
        <f aca="false">+AD459+AD460</f>
        <v>100</v>
      </c>
      <c r="AE461" s="67" t="n">
        <f aca="false">+AE459+AE460</f>
        <v>0.7</v>
      </c>
      <c r="AF461" s="67" t="n">
        <f aca="false">+AF459+AF460</f>
        <v>8.2</v>
      </c>
      <c r="AG461" s="67" t="n">
        <f aca="false">+AG459+AG460</f>
        <v>10</v>
      </c>
      <c r="AH461" s="67" t="n">
        <f aca="false">+AH459+AH460</f>
        <v>12</v>
      </c>
      <c r="AI461" s="67" t="n">
        <f aca="false">+AI459+AI460</f>
        <v>12</v>
      </c>
      <c r="AJ461" s="67" t="n">
        <f aca="false">+AJ459+AJ460</f>
        <v>12</v>
      </c>
      <c r="AK461" s="67" t="n">
        <f aca="false">+AK459+AK460</f>
        <v>12</v>
      </c>
      <c r="AL461" s="67" t="n">
        <f aca="false">+AL459+AL460</f>
        <v>12</v>
      </c>
      <c r="AM461" s="19"/>
      <c r="AN461" s="19"/>
      <c r="AO461" s="19"/>
    </row>
    <row r="462" customFormat="false" ht="12" hidden="false" customHeight="true" outlineLevel="0" collapsed="false">
      <c r="B462" s="40"/>
      <c r="C462" s="40"/>
      <c r="D462" s="40"/>
      <c r="E462" s="40"/>
      <c r="F462" s="40"/>
      <c r="G462" s="40"/>
      <c r="H462" s="40"/>
      <c r="I462" s="40"/>
      <c r="J462" s="40"/>
      <c r="K462" s="40"/>
      <c r="L462" s="40"/>
      <c r="M462" s="40"/>
      <c r="N462" s="40"/>
      <c r="O462" s="40"/>
      <c r="P462" s="40"/>
      <c r="Q462" s="40"/>
      <c r="R462" s="40"/>
      <c r="S462" s="40"/>
      <c r="T462" s="40"/>
      <c r="U462" s="40"/>
      <c r="V462" s="40"/>
      <c r="W462" s="40"/>
    </row>
    <row r="463" customFormat="false" ht="12.75" hidden="false" customHeight="true" outlineLevel="0" collapsed="false">
      <c r="A463" s="59" t="s">
        <v>252</v>
      </c>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180"/>
      <c r="AB463" s="41"/>
      <c r="AC463" s="41"/>
      <c r="AD463" s="41"/>
      <c r="AE463" s="41"/>
      <c r="AF463" s="180"/>
      <c r="AG463" s="180"/>
      <c r="AH463" s="41"/>
      <c r="AI463" s="41"/>
      <c r="AJ463" s="41"/>
      <c r="AK463" s="41"/>
      <c r="AL463" s="41"/>
    </row>
    <row r="464" customFormat="false" ht="12" hidden="false" customHeight="true" outlineLevel="0" collapsed="false">
      <c r="A464" s="149" t="s">
        <v>487</v>
      </c>
      <c r="B464" s="41"/>
      <c r="C464" s="41"/>
      <c r="D464" s="41"/>
      <c r="E464" s="190" t="n">
        <v>2.81</v>
      </c>
      <c r="F464" s="190" t="n">
        <v>2.81</v>
      </c>
      <c r="G464" s="190" t="n">
        <v>2.81</v>
      </c>
      <c r="H464" s="190" t="n">
        <v>2.31</v>
      </c>
      <c r="I464" s="190" t="n">
        <v>1.74</v>
      </c>
      <c r="J464" s="190" t="n">
        <v>1.18</v>
      </c>
      <c r="K464" s="190" t="n">
        <v>0.62</v>
      </c>
      <c r="L464" s="190" t="n">
        <v>0.05</v>
      </c>
      <c r="M464" s="190" t="n">
        <v>0</v>
      </c>
      <c r="N464" s="190" t="n">
        <v>0</v>
      </c>
      <c r="O464" s="190" t="n">
        <v>219.21</v>
      </c>
      <c r="P464" s="190" t="n">
        <v>160.94</v>
      </c>
      <c r="Q464" s="190" t="n">
        <v>214.67</v>
      </c>
      <c r="R464" s="190" t="n">
        <v>385.867</v>
      </c>
      <c r="S464" s="190" t="n">
        <v>179.471</v>
      </c>
      <c r="T464" s="190" t="n">
        <v>208.614</v>
      </c>
      <c r="U464" s="190" t="n">
        <v>136.739</v>
      </c>
      <c r="V464" s="190" t="n">
        <v>330.944</v>
      </c>
      <c r="W464" s="190" t="n">
        <v>171.864</v>
      </c>
      <c r="X464" s="190" t="n">
        <v>260.879</v>
      </c>
      <c r="Y464" s="205" t="n">
        <f aca="false">80.42+364.158</f>
        <v>444.578</v>
      </c>
      <c r="Z464" s="205" t="n">
        <f aca="false">178.935+499.196</f>
        <v>678.131</v>
      </c>
      <c r="AA464" s="205" t="n">
        <f aca="false">142.161+397.252</f>
        <v>539.413</v>
      </c>
      <c r="AB464" s="205" t="n">
        <f aca="false">35.3+362.3</f>
        <v>397.6</v>
      </c>
      <c r="AC464" s="205" t="n">
        <f aca="false">107.4+459.8</f>
        <v>567.2</v>
      </c>
      <c r="AD464" s="41"/>
      <c r="AE464" s="41"/>
      <c r="AF464" s="180"/>
      <c r="AG464" s="180"/>
      <c r="AH464" s="41"/>
      <c r="AI464" s="41"/>
      <c r="AJ464" s="41"/>
      <c r="AK464" s="41"/>
      <c r="AL464" s="41"/>
    </row>
    <row r="465" customFormat="false" ht="12" hidden="false" customHeight="true" outlineLevel="0" collapsed="false">
      <c r="A465" s="69" t="s">
        <v>489</v>
      </c>
      <c r="B465" s="190" t="n">
        <v>287.42</v>
      </c>
      <c r="C465" s="190" t="n">
        <v>342.77</v>
      </c>
      <c r="D465" s="190" t="n">
        <v>499.57</v>
      </c>
      <c r="E465" s="190" t="n">
        <v>1214.18</v>
      </c>
      <c r="F465" s="190" t="n">
        <v>1046.19</v>
      </c>
      <c r="G465" s="190" t="n">
        <v>753.75</v>
      </c>
      <c r="H465" s="190" t="n">
        <v>523.61</v>
      </c>
      <c r="I465" s="190" t="n">
        <v>422.75</v>
      </c>
      <c r="J465" s="190" t="n">
        <v>329.06</v>
      </c>
      <c r="K465" s="190" t="n">
        <v>327.41</v>
      </c>
      <c r="L465" s="190" t="n">
        <v>371.05</v>
      </c>
      <c r="M465" s="190" t="n">
        <v>386.18</v>
      </c>
      <c r="N465" s="190" t="n">
        <v>276.03</v>
      </c>
      <c r="O465" s="190" t="n">
        <v>33.51</v>
      </c>
      <c r="P465" s="190" t="n">
        <v>110.34</v>
      </c>
      <c r="Q465" s="190" t="n">
        <v>104.93</v>
      </c>
      <c r="R465" s="190" t="n">
        <v>104.93</v>
      </c>
      <c r="S465" s="190" t="n">
        <v>73.761</v>
      </c>
      <c r="T465" s="190" t="n">
        <v>1.49</v>
      </c>
      <c r="U465" s="190" t="n">
        <v>1.494</v>
      </c>
      <c r="V465" s="190" t="n">
        <v>1.49</v>
      </c>
      <c r="W465" s="190" t="n">
        <v>1.49</v>
      </c>
      <c r="X465" s="190" t="n">
        <v>1.49</v>
      </c>
      <c r="Y465" s="190" t="n">
        <v>0.363</v>
      </c>
      <c r="Z465" s="41"/>
      <c r="AA465" s="180"/>
      <c r="AB465" s="41"/>
      <c r="AC465" s="41"/>
      <c r="AD465" s="239" t="n">
        <f aca="false">AD467/200*(AD838+AC838+AD861+AC861)</f>
        <v>321.813</v>
      </c>
      <c r="AE465" s="190" t="n">
        <v>219.1</v>
      </c>
      <c r="AF465" s="190" t="n">
        <v>396</v>
      </c>
      <c r="AG465" s="239" t="n">
        <f aca="false">AG467/200*(AG838+AF838+AG861+AF861)</f>
        <v>626.3955</v>
      </c>
      <c r="AH465" s="239" t="n">
        <f aca="false">AH467/200*(AH838+AG838+AH861+AG861)</f>
        <v>800.01065</v>
      </c>
      <c r="AI465" s="239" t="n">
        <f aca="false">AI467/200*(AI838+AH838+AI861+AH861)</f>
        <v>1089.81985</v>
      </c>
      <c r="AJ465" s="239" t="n">
        <f aca="false">AJ467/200*(AJ838+AI838+AJ861+AI861)</f>
        <v>1280.45860283098</v>
      </c>
      <c r="AK465" s="239" t="n">
        <f aca="false">AK467/200*(AK838+AJ838+AK861+AJ861)</f>
        <v>1540.62853865332</v>
      </c>
      <c r="AL465" s="239" t="n">
        <f aca="false">AL467/200*(AL838+AK838+AL861+AK861)</f>
        <v>1937.41212036945</v>
      </c>
      <c r="AM465" s="83"/>
      <c r="AN465" s="83"/>
      <c r="AO465" s="83"/>
    </row>
    <row r="466" customFormat="false" ht="12.75" hidden="false" customHeight="true" outlineLevel="0" collapsed="false">
      <c r="A466" s="59" t="s">
        <v>420</v>
      </c>
      <c r="B466" s="67" t="n">
        <f aca="false">+B465+B464</f>
        <v>287.42</v>
      </c>
      <c r="C466" s="67" t="n">
        <f aca="false">+C465+C464</f>
        <v>342.77</v>
      </c>
      <c r="D466" s="67" t="n">
        <f aca="false">+D465+D464</f>
        <v>499.57</v>
      </c>
      <c r="E466" s="67" t="n">
        <f aca="false">+E465+E464</f>
        <v>1216.99</v>
      </c>
      <c r="F466" s="67" t="n">
        <f aca="false">+F465+F464</f>
        <v>1049</v>
      </c>
      <c r="G466" s="67" t="n">
        <f aca="false">+G465+G464</f>
        <v>756.56</v>
      </c>
      <c r="H466" s="67" t="n">
        <f aca="false">+H465+H464</f>
        <v>525.92</v>
      </c>
      <c r="I466" s="67" t="n">
        <f aca="false">+I465+I464</f>
        <v>424.49</v>
      </c>
      <c r="J466" s="67" t="n">
        <f aca="false">+J465+J464</f>
        <v>330.24</v>
      </c>
      <c r="K466" s="67" t="n">
        <f aca="false">+K465+K464</f>
        <v>328.03</v>
      </c>
      <c r="L466" s="67" t="n">
        <f aca="false">+L465+L464</f>
        <v>371.1</v>
      </c>
      <c r="M466" s="67" t="n">
        <f aca="false">+M465+M464</f>
        <v>386.18</v>
      </c>
      <c r="N466" s="67" t="n">
        <f aca="false">+N465+N464</f>
        <v>276.03</v>
      </c>
      <c r="O466" s="67" t="n">
        <f aca="false">+O465+O464</f>
        <v>252.72</v>
      </c>
      <c r="P466" s="67" t="n">
        <f aca="false">+P465+P464</f>
        <v>271.28</v>
      </c>
      <c r="Q466" s="67" t="n">
        <f aca="false">+Q465+Q464</f>
        <v>319.6</v>
      </c>
      <c r="R466" s="67" t="n">
        <f aca="false">+R465+R464</f>
        <v>490.797</v>
      </c>
      <c r="S466" s="67" t="n">
        <f aca="false">+S465+S464</f>
        <v>253.232</v>
      </c>
      <c r="T466" s="67" t="n">
        <f aca="false">+T465+T464</f>
        <v>210.104</v>
      </c>
      <c r="U466" s="67" t="n">
        <f aca="false">+U465+U464</f>
        <v>138.233</v>
      </c>
      <c r="V466" s="67" t="n">
        <f aca="false">+V465+V464</f>
        <v>332.434</v>
      </c>
      <c r="W466" s="67" t="n">
        <f aca="false">+W465+W464</f>
        <v>173.354</v>
      </c>
      <c r="X466" s="67" t="n">
        <f aca="false">+X465+X464</f>
        <v>262.369</v>
      </c>
      <c r="Y466" s="67" t="n">
        <f aca="false">+Y465+Y464</f>
        <v>444.941</v>
      </c>
      <c r="Z466" s="67" t="n">
        <f aca="false">+Z465+Z464</f>
        <v>678.131</v>
      </c>
      <c r="AA466" s="67" t="n">
        <f aca="false">+AA465+AA464</f>
        <v>539.413</v>
      </c>
      <c r="AB466" s="67" t="n">
        <f aca="false">+AB465+AB464</f>
        <v>397.6</v>
      </c>
      <c r="AC466" s="67" t="n">
        <f aca="false">+AC465+AC464</f>
        <v>567.2</v>
      </c>
      <c r="AD466" s="67" t="n">
        <f aca="false">+AD465+AD464</f>
        <v>321.813</v>
      </c>
      <c r="AE466" s="67" t="n">
        <f aca="false">+AE465+AE464</f>
        <v>219.1</v>
      </c>
      <c r="AF466" s="67" t="n">
        <f aca="false">+AF465+AF464</f>
        <v>396</v>
      </c>
      <c r="AG466" s="67" t="n">
        <f aca="false">+AG465+AG464</f>
        <v>626.3955</v>
      </c>
      <c r="AH466" s="67" t="n">
        <f aca="false">+AH465+AH464</f>
        <v>800.01065</v>
      </c>
      <c r="AI466" s="67" t="n">
        <f aca="false">+AI465+AI464</f>
        <v>1089.81985</v>
      </c>
      <c r="AJ466" s="67" t="n">
        <f aca="false">+AJ465+AJ464</f>
        <v>1280.45860283098</v>
      </c>
      <c r="AK466" s="67" t="n">
        <f aca="false">+AK465+AK464</f>
        <v>1540.62853865332</v>
      </c>
      <c r="AL466" s="67" t="n">
        <f aca="false">+AL465+AL464</f>
        <v>1937.41212036945</v>
      </c>
      <c r="AM466" s="145"/>
      <c r="AN466" s="145"/>
      <c r="AO466" s="145"/>
    </row>
    <row r="467" customFormat="false" ht="12" hidden="false" customHeight="true" outlineLevel="0" collapsed="false">
      <c r="A467" s="69" t="s">
        <v>490</v>
      </c>
      <c r="B467" s="40"/>
      <c r="C467" s="198" t="n">
        <f aca="false">C465*200/(B838+C838+B861+C861)</f>
        <v>52.8692728296328</v>
      </c>
      <c r="D467" s="198" t="n">
        <f aca="false">D465*200/(C838+D838+C861+D861)</f>
        <v>62.3733511458483</v>
      </c>
      <c r="E467" s="198" t="n">
        <f aca="false">E465*200/(D838+E838+D861+E861)</f>
        <v>139.838184906856</v>
      </c>
      <c r="F467" s="198" t="n">
        <f aca="false">F465*200/(E838+F838+E861+F861)</f>
        <v>246.075502763731</v>
      </c>
      <c r="G467" s="198" t="n">
        <f aca="false">G465*200/(F838+G838+F861+G861)</f>
        <v>272.392172451801</v>
      </c>
      <c r="H467" s="198" t="n">
        <f aca="false">H465*200/(G838+H838+G861+H861)</f>
        <v>104.206179411911</v>
      </c>
      <c r="I467" s="198" t="n">
        <f aca="false">I465*200/(H838+I838+H861+I861)</f>
        <v>43.8828682943033</v>
      </c>
      <c r="J467" s="198" t="n">
        <f aca="false">J465*200/(I838+J838+I861+J861)</f>
        <v>18.5783125047637</v>
      </c>
      <c r="K467" s="198" t="n">
        <f aca="false">K465*200/(J838+K838+J861+K861)</f>
        <v>12.0364022035428</v>
      </c>
      <c r="L467" s="198" t="n">
        <f aca="false">L466*200/(K838+L838+K861+L861)</f>
        <v>13.2242890741929</v>
      </c>
      <c r="M467" s="198" t="n">
        <f aca="false">M466*200/(L838+M838+L861+M861)</f>
        <v>11.9419323616224</v>
      </c>
      <c r="N467" s="198" t="n">
        <f aca="false">N466*200/(M838+N838+M861+N861)</f>
        <v>3.94848078686386</v>
      </c>
      <c r="O467" s="198" t="n">
        <f aca="false">O466*200/(N838+O838+N861+O861)</f>
        <v>2.59078830823738</v>
      </c>
      <c r="P467" s="198" t="n">
        <f aca="false">P466*200/(O838+P838+O861+P861)</f>
        <v>3.50410370741612</v>
      </c>
      <c r="Q467" s="198" t="n">
        <f aca="false">Q466*200/(P838+Q838+P861+Q861)</f>
        <v>3.96645146557651</v>
      </c>
      <c r="R467" s="198" t="n">
        <f aca="false">R466*200/(Q838+R838+Q861+R861)</f>
        <v>7.77217629392562</v>
      </c>
      <c r="S467" s="198" t="n">
        <f aca="false">S466*200/(R838+S838+R861+S861)</f>
        <v>5.65473349350821</v>
      </c>
      <c r="T467" s="198" t="n">
        <f aca="false">T466*200/(S838+T838+S861+T861)</f>
        <v>3.40933883046976</v>
      </c>
      <c r="U467" s="198" t="n">
        <f aca="false">U466*200/(T838+U838+T861+U861)</f>
        <v>1.89639134423077</v>
      </c>
      <c r="V467" s="198" t="n">
        <f aca="false">V466*200/(U838+V838+U861+V861)</f>
        <v>3.10144662929669</v>
      </c>
      <c r="W467" s="198" t="n">
        <f aca="false">W466*200/(V838+W838+V861+W861)</f>
        <v>1.81937349296432</v>
      </c>
      <c r="X467" s="198" t="n">
        <f aca="false">X466*200/(W838+X838+W861+X861)</f>
        <v>2.94144965913999</v>
      </c>
      <c r="Y467" s="198" t="n">
        <f aca="false">Y466*200/(X838+Y838+X861+Y861)</f>
        <v>3.23255940079727</v>
      </c>
      <c r="Z467" s="198" t="n">
        <f aca="false">Z466*200/(Y838+Z838+Y861+Z861)</f>
        <v>4.00990633976475</v>
      </c>
      <c r="AA467" s="198" t="n">
        <f aca="false">AA466*200/(Z838+AA838+Z861+AA861)</f>
        <v>1.8445537562984</v>
      </c>
      <c r="AB467" s="198" t="n">
        <f aca="false">AB466*200/(AA838+AB838+AA861+AB861)</f>
        <v>1.46360688652808</v>
      </c>
      <c r="AC467" s="198" t="n">
        <f aca="false">AC466*200/(AB838+AC838+AB861+AC861)</f>
        <v>4.20762149210329</v>
      </c>
      <c r="AD467" s="196" t="n">
        <v>3</v>
      </c>
      <c r="AE467" s="198" t="n">
        <f aca="false">AE466*200/(AD838+AE838+AD861+AE861)</f>
        <v>1.38322453566333</v>
      </c>
      <c r="AF467" s="198" t="n">
        <f aca="false">AF466*200/(AE838+AF838+AE861+AF861)</f>
        <v>1.40982462636087</v>
      </c>
      <c r="AG467" s="196" t="n">
        <v>1.8</v>
      </c>
      <c r="AH467" s="196" t="n">
        <v>1.7</v>
      </c>
      <c r="AI467" s="196" t="n">
        <v>1.7</v>
      </c>
      <c r="AJ467" s="196" t="n">
        <v>1.7</v>
      </c>
      <c r="AK467" s="196" t="n">
        <v>1.7</v>
      </c>
      <c r="AL467" s="196" t="n">
        <v>1.7</v>
      </c>
      <c r="AM467" s="268"/>
      <c r="AN467" s="268"/>
      <c r="AO467" s="268"/>
    </row>
    <row r="468" customFormat="false" ht="12" hidden="false" customHeight="true" outlineLevel="0" collapsed="false">
      <c r="B468" s="40"/>
      <c r="C468" s="40"/>
      <c r="D468" s="40"/>
      <c r="E468" s="40"/>
      <c r="F468" s="40"/>
      <c r="G468" s="40"/>
      <c r="H468" s="40"/>
      <c r="I468" s="40"/>
      <c r="J468" s="40"/>
      <c r="K468" s="40"/>
      <c r="L468" s="40"/>
      <c r="M468" s="40"/>
      <c r="N468" s="40"/>
    </row>
    <row r="469" customFormat="false" ht="12.75" hidden="false" customHeight="true" outlineLevel="0" collapsed="false">
      <c r="A469" s="73" t="s">
        <v>491</v>
      </c>
      <c r="B469" s="190" t="n">
        <v>62.91</v>
      </c>
      <c r="C469" s="190" t="n">
        <v>61.83</v>
      </c>
      <c r="D469" s="190" t="n">
        <v>61.26</v>
      </c>
      <c r="E469" s="190" t="n">
        <v>61.03</v>
      </c>
      <c r="F469" s="190" t="n">
        <v>76.94</v>
      </c>
      <c r="G469" s="190" t="n">
        <v>63.5</v>
      </c>
      <c r="H469" s="190" t="n">
        <v>64.25</v>
      </c>
      <c r="I469" s="190" t="n">
        <v>39.64</v>
      </c>
      <c r="J469" s="190" t="n">
        <v>3.36</v>
      </c>
      <c r="K469" s="190" t="n">
        <v>0</v>
      </c>
      <c r="L469" s="190" t="n">
        <v>0</v>
      </c>
      <c r="M469" s="190" t="n">
        <v>0</v>
      </c>
      <c r="N469" s="41"/>
      <c r="O469" s="41"/>
      <c r="P469" s="190" t="n">
        <v>36.6</v>
      </c>
      <c r="Q469" s="190" t="n">
        <v>77.5</v>
      </c>
      <c r="R469" s="190" t="n">
        <v>0</v>
      </c>
      <c r="S469" s="190" t="n">
        <v>0</v>
      </c>
      <c r="T469" s="62" t="n">
        <f aca="false">S469</f>
        <v>0</v>
      </c>
      <c r="U469" s="62" t="n">
        <f aca="false">T469</f>
        <v>0</v>
      </c>
      <c r="V469" s="62" t="n">
        <f aca="false">U469</f>
        <v>0</v>
      </c>
      <c r="W469" s="190" t="n">
        <v>0</v>
      </c>
      <c r="X469" s="41"/>
      <c r="Y469" s="41"/>
      <c r="Z469" s="41"/>
      <c r="AA469" s="180"/>
    </row>
    <row r="470" customFormat="false" ht="12" hidden="false" customHeight="true" outlineLevel="0" collapsed="false">
      <c r="A470" s="69" t="s">
        <v>492</v>
      </c>
      <c r="B470" s="190" t="n">
        <v>1.14</v>
      </c>
      <c r="C470" s="190" t="n">
        <v>1.17</v>
      </c>
      <c r="D470" s="190" t="n">
        <v>0.46</v>
      </c>
      <c r="E470" s="190" t="n">
        <v>0.22</v>
      </c>
      <c r="F470" s="190" t="n">
        <v>0.25</v>
      </c>
      <c r="G470" s="190" t="n">
        <v>0.25</v>
      </c>
      <c r="H470" s="190" t="n">
        <v>0.3</v>
      </c>
      <c r="I470" s="190" t="n">
        <v>0.5</v>
      </c>
      <c r="J470" s="190" t="n">
        <v>1.25</v>
      </c>
      <c r="K470" s="190" t="n">
        <v>1.87</v>
      </c>
      <c r="L470" s="190" t="n">
        <v>2.13</v>
      </c>
      <c r="M470" s="190" t="n">
        <v>2.23</v>
      </c>
      <c r="N470" s="190" t="n">
        <v>2.22</v>
      </c>
      <c r="O470" s="41"/>
      <c r="P470" s="41"/>
      <c r="Q470" s="41"/>
      <c r="R470" s="41"/>
      <c r="S470" s="41"/>
      <c r="T470" s="41"/>
      <c r="U470" s="41"/>
      <c r="V470" s="41"/>
      <c r="W470" s="41"/>
      <c r="X470" s="41"/>
      <c r="Y470" s="41"/>
      <c r="Z470" s="41"/>
      <c r="AA470" s="180"/>
    </row>
    <row r="471" customFormat="false" ht="12" hidden="false" customHeight="true" outlineLevel="0" collapsed="false">
      <c r="A471" s="69" t="s">
        <v>493</v>
      </c>
      <c r="B471" s="190" t="n">
        <v>37.83</v>
      </c>
      <c r="C471" s="190" t="n">
        <v>27.42</v>
      </c>
      <c r="D471" s="190" t="n">
        <v>93.04</v>
      </c>
      <c r="E471" s="190" t="n">
        <v>42.05</v>
      </c>
      <c r="F471" s="190" t="n">
        <v>79.08</v>
      </c>
      <c r="G471" s="190" t="n">
        <v>60.56</v>
      </c>
      <c r="H471" s="190" t="n">
        <v>73.41</v>
      </c>
      <c r="I471" s="190" t="n">
        <v>29.77</v>
      </c>
      <c r="J471" s="190" t="n">
        <v>41.06</v>
      </c>
      <c r="K471" s="190" t="n">
        <v>25</v>
      </c>
      <c r="L471" s="190" t="n">
        <v>22.45</v>
      </c>
      <c r="M471" s="190" t="n">
        <v>24.68</v>
      </c>
      <c r="N471" s="190" t="n">
        <v>34.6</v>
      </c>
      <c r="O471" s="190" t="n">
        <v>47.68</v>
      </c>
      <c r="P471" s="205" t="n">
        <f aca="false">55.74+74.11</f>
        <v>129.85</v>
      </c>
      <c r="Q471" s="205" t="n">
        <f aca="false">139.01+51.05</f>
        <v>190.06</v>
      </c>
      <c r="R471" s="205" t="n">
        <f aca="false">50.87+30.229+455</f>
        <v>536.099</v>
      </c>
      <c r="S471" s="205" t="n">
        <f aca="false">30.771+27.74</f>
        <v>58.511</v>
      </c>
      <c r="T471" s="205" t="n">
        <f aca="false">44.006+49.856</f>
        <v>93.862</v>
      </c>
      <c r="U471" s="205" t="n">
        <f aca="false">115.601+44.492+95.369</f>
        <v>255.462</v>
      </c>
      <c r="V471" s="205" t="n">
        <f aca="false">40.446+133.282</f>
        <v>173.728</v>
      </c>
      <c r="W471" s="205" t="n">
        <f aca="false">31.094+319.815</f>
        <v>350.909</v>
      </c>
      <c r="X471" s="205" t="n">
        <f aca="false">201.415+396.839+297.72</f>
        <v>895.974</v>
      </c>
      <c r="Y471" s="190" t="n">
        <v>322.222</v>
      </c>
      <c r="Z471" s="205" t="n">
        <f aca="false">348.657+91.84</f>
        <v>440.497</v>
      </c>
      <c r="AA471" s="205" t="n">
        <f aca="false">323.216+556.823</f>
        <v>880.039</v>
      </c>
      <c r="AB471" s="190" t="n">
        <v>287.5</v>
      </c>
      <c r="AC471" s="283" t="n">
        <v>224.8</v>
      </c>
      <c r="AD471" s="36" t="n">
        <f aca="false">1195-AD472-AD466-AD461</f>
        <v>553.187</v>
      </c>
      <c r="AE471" s="48" t="n">
        <v>354.6</v>
      </c>
      <c r="AF471" s="283" t="n">
        <v>266.8</v>
      </c>
      <c r="AG471" s="283" t="n">
        <v>400</v>
      </c>
      <c r="AH471" s="48" t="n">
        <v>450</v>
      </c>
      <c r="AI471" s="48" t="n">
        <v>500</v>
      </c>
      <c r="AJ471" s="48" t="n">
        <v>550</v>
      </c>
      <c r="AK471" s="48" t="n">
        <v>550</v>
      </c>
      <c r="AL471" s="48" t="n">
        <v>550</v>
      </c>
      <c r="AM471" s="214"/>
      <c r="AN471" s="214"/>
      <c r="AO471" s="214"/>
    </row>
    <row r="472" customFormat="false" ht="12" hidden="false" customHeight="true" outlineLevel="0" collapsed="false">
      <c r="A472" s="149" t="s">
        <v>494</v>
      </c>
      <c r="B472" s="205" t="n">
        <f aca="false">6.1+27.62</f>
        <v>33.72</v>
      </c>
      <c r="C472" s="190" t="n">
        <v>3.01</v>
      </c>
      <c r="D472" s="205" t="n">
        <f aca="false">2.5+50.95</f>
        <v>53.45</v>
      </c>
      <c r="E472" s="205" t="n">
        <f aca="false">11.27+4.19</f>
        <v>15.46</v>
      </c>
      <c r="F472" s="205" t="n">
        <f aca="false">1.51+1.32+0.05</f>
        <v>2.88</v>
      </c>
      <c r="G472" s="205" t="n">
        <f aca="false">0.09+146.13-10.63</f>
        <v>135.59</v>
      </c>
      <c r="H472" s="205" t="n">
        <f aca="false">144+12.45</f>
        <v>156.45</v>
      </c>
      <c r="I472" s="205" t="n">
        <f aca="false">11.5+1</f>
        <v>12.5</v>
      </c>
      <c r="J472" s="205" t="n">
        <f aca="false">7.66+2.62</f>
        <v>10.28</v>
      </c>
      <c r="K472" s="205" t="n">
        <f aca="false">17.38-1.01</f>
        <v>16.37</v>
      </c>
      <c r="L472" s="205" t="n">
        <f aca="false">4.64+31.6</f>
        <v>36.24</v>
      </c>
      <c r="M472" s="205" t="n">
        <f aca="false">20.8+29.52</f>
        <v>50.32</v>
      </c>
      <c r="N472" s="205" t="n">
        <f aca="false">38.98+337.37-268.5884</f>
        <v>107.7616</v>
      </c>
      <c r="O472" s="205" t="n">
        <f aca="false">78.1+43.21</f>
        <v>121.31</v>
      </c>
      <c r="P472" s="205" t="n">
        <f aca="false">250.64+90.33</f>
        <v>340.97</v>
      </c>
      <c r="Q472" s="205" t="n">
        <f aca="false">333.96+41.9</f>
        <v>375.86</v>
      </c>
      <c r="R472" s="205" t="n">
        <f aca="false">37.448+216.648</f>
        <v>254.096</v>
      </c>
      <c r="S472" s="205" t="n">
        <f aca="false">13.256+39.507+494.982</f>
        <v>547.745</v>
      </c>
      <c r="T472" s="205" t="n">
        <f aca="false">18.85+0.16</f>
        <v>19.01</v>
      </c>
      <c r="U472" s="190" t="n">
        <v>34.803</v>
      </c>
      <c r="V472" s="190" t="n">
        <v>41.726</v>
      </c>
      <c r="W472" s="190" t="n">
        <v>93.892</v>
      </c>
      <c r="X472" s="205" t="n">
        <f aca="false">29.121+29.517</f>
        <v>58.638</v>
      </c>
      <c r="Y472" s="205" t="n">
        <f aca="false">-55.856+8.567</f>
        <v>-47.289</v>
      </c>
      <c r="Z472" s="205" t="n">
        <f aca="false">230.699+80.336</f>
        <v>311.035</v>
      </c>
      <c r="AA472" s="205" t="n">
        <f aca="false">30.214+382.156</f>
        <v>412.37</v>
      </c>
      <c r="AB472" s="205" t="n">
        <f aca="false">34.5+468.9</f>
        <v>503.4</v>
      </c>
      <c r="AC472" s="58" t="n">
        <f aca="false">168.1+41.8</f>
        <v>209.9</v>
      </c>
      <c r="AD472" s="48" t="n">
        <v>220</v>
      </c>
      <c r="AE472" s="284" t="n">
        <f aca="false">133.1+30.2</f>
        <v>163.3</v>
      </c>
      <c r="AF472" s="58" t="n">
        <f aca="false">300.5+89.7</f>
        <v>390.2</v>
      </c>
      <c r="AG472" s="217" t="n">
        <f aca="false">2465.7-AG471-AG466-AG460</f>
        <v>1429.3045</v>
      </c>
      <c r="AH472" s="121" t="n">
        <f aca="false">2502.5-AH471-AH466-AH461</f>
        <v>1240.48935</v>
      </c>
      <c r="AI472" s="121" t="n">
        <f aca="false">3151.7-AI471-AI466-AI461</f>
        <v>1549.88015</v>
      </c>
      <c r="AJ472" s="48" t="n">
        <v>1600</v>
      </c>
      <c r="AK472" s="48" t="n">
        <v>1700</v>
      </c>
      <c r="AL472" s="48" t="n">
        <v>1800</v>
      </c>
      <c r="AM472" s="285"/>
      <c r="AN472" s="285"/>
      <c r="AO472" s="285"/>
    </row>
    <row r="473" customFormat="false" ht="24.75" hidden="false" customHeight="true" outlineLevel="0" collapsed="false">
      <c r="A473" s="69" t="s">
        <v>495</v>
      </c>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190" t="n">
        <v>416.519</v>
      </c>
      <c r="Z473" s="190" t="n">
        <v>-78.549</v>
      </c>
      <c r="AA473" s="190" t="n">
        <v>52.948</v>
      </c>
      <c r="AB473" s="190" t="n">
        <v>-104.5</v>
      </c>
      <c r="AC473" s="190" t="n">
        <v>42.5</v>
      </c>
      <c r="AE473" s="190" t="n">
        <v>23.6</v>
      </c>
      <c r="AF473" s="190" t="n">
        <v>100.2</v>
      </c>
      <c r="AG473" s="180"/>
    </row>
    <row r="474" customFormat="false" ht="12.75" hidden="false" customHeight="true" outlineLevel="0" collapsed="false">
      <c r="A474" s="59" t="s">
        <v>420</v>
      </c>
      <c r="B474" s="67" t="n">
        <f aca="false">+B461+B466+B469+B470+B471+B472</f>
        <v>569.31</v>
      </c>
      <c r="C474" s="67" t="n">
        <f aca="false">+C461+C466+C469+C470+C471+C472</f>
        <v>475.64</v>
      </c>
      <c r="D474" s="67" t="n">
        <f aca="false">+D461+D466+D469+D470+D471+D472</f>
        <v>768.76</v>
      </c>
      <c r="E474" s="67" t="n">
        <f aca="false">+E461+E466+E469+E470+E471+E472</f>
        <v>1418.16</v>
      </c>
      <c r="F474" s="67" t="n">
        <f aca="false">+F461+F466+F469+F470+F471+F472</f>
        <v>1305.73</v>
      </c>
      <c r="G474" s="67" t="n">
        <f aca="false">+G461+G466+G469+G470+G471+G472</f>
        <v>1088.93</v>
      </c>
      <c r="H474" s="67" t="n">
        <f aca="false">+H461+H466+H469+H470+H471+H472</f>
        <v>877.44</v>
      </c>
      <c r="I474" s="67" t="n">
        <f aca="false">+I461+I466+I469+I470+I471+I472</f>
        <v>549.76</v>
      </c>
      <c r="J474" s="67" t="n">
        <f aca="false">+J461+J466+J469+J470+J471+J472</f>
        <v>434.7</v>
      </c>
      <c r="K474" s="67" t="n">
        <f aca="false">+K461+K466+K469+K470+K471+K472</f>
        <v>506.84</v>
      </c>
      <c r="L474" s="67" t="n">
        <f aca="false">+L461+L466+L469+L470+L471+L472</f>
        <v>523.98</v>
      </c>
      <c r="M474" s="67" t="n">
        <f aca="false">+M461+M466+M469+M470+M471+M472</f>
        <v>572.38</v>
      </c>
      <c r="N474" s="67" t="n">
        <f aca="false">+N461+N466+N469+N470+N471+N472</f>
        <v>544.9916</v>
      </c>
      <c r="O474" s="67" t="n">
        <f aca="false">+O461+O466+O469+O470+O471+O472</f>
        <v>548.95</v>
      </c>
      <c r="P474" s="67" t="n">
        <f aca="false">+P461+P466+P469+P470+P471+P472</f>
        <v>943.08</v>
      </c>
      <c r="Q474" s="67" t="n">
        <f aca="false">+Q461+Q466+Q469+Q470+Q471+Q472</f>
        <v>1005.71</v>
      </c>
      <c r="R474" s="67" t="n">
        <f aca="false">+R461+R466+R469+R470+R471+R472</f>
        <v>1367.324</v>
      </c>
      <c r="S474" s="67" t="n">
        <f aca="false">+S461+S466+S469+S470+S471+S472</f>
        <v>911.665</v>
      </c>
      <c r="T474" s="67" t="n">
        <f aca="false">+T461+T466+T469+T470+T471+T472</f>
        <v>405.963</v>
      </c>
      <c r="U474" s="67" t="n">
        <f aca="false">+U461+U466+U469+U470+U471+U472</f>
        <v>519.104</v>
      </c>
      <c r="V474" s="67" t="n">
        <f aca="false">+V461+V466+V469+V470+V471+V472</f>
        <v>623.515</v>
      </c>
      <c r="W474" s="67" t="n">
        <f aca="false">+W461+W466+W469+W470+W471+W472</f>
        <v>665.207</v>
      </c>
      <c r="X474" s="67" t="n">
        <f aca="false">+X461+X466+X469+X470+X471+X472</f>
        <v>1244.713</v>
      </c>
      <c r="Y474" s="67" t="n">
        <f aca="false">+Y461+Y466+Y469+Y470+Y471+Y472+Y473</f>
        <v>1176.202</v>
      </c>
      <c r="Z474" s="67" t="n">
        <f aca="false">+Z461+Z466+Z469+Z470+Z471+Z472+Z473</f>
        <v>1362.701</v>
      </c>
      <c r="AA474" s="67" t="n">
        <f aca="false">+AA461+AA466+AA469+AA470+AA471+AA472+AA473</f>
        <v>1897.647</v>
      </c>
      <c r="AB474" s="67" t="n">
        <f aca="false">+AB461+AB466+AB469+AB470+AB471+AB472+AB473</f>
        <v>1099.4</v>
      </c>
      <c r="AC474" s="67" t="n">
        <f aca="false">+AC461+AC466+AC469+AC470+AC471+AC472+AC473</f>
        <v>1233.4</v>
      </c>
      <c r="AD474" s="117" t="n">
        <f aca="false">+AD461+AD466+AD469+AD470+AD471+AD472</f>
        <v>1195</v>
      </c>
      <c r="AE474" s="117" t="n">
        <f aca="false">+AE461+AE466+AE469+AE470+AE471+AE472+AE473</f>
        <v>761.3</v>
      </c>
      <c r="AF474" s="117" t="n">
        <f aca="false">+AF461+AF466+AF469+AF470+AF471+AF472+AF473</f>
        <v>1161.4</v>
      </c>
      <c r="AG474" s="117" t="n">
        <f aca="false">+AG461+AG466+AG469+AG470+AG471+AG472</f>
        <v>2465.7</v>
      </c>
      <c r="AH474" s="117" t="n">
        <f aca="false">+AH461+AH466+AH469+AH470+AH471+AH472</f>
        <v>2502.5</v>
      </c>
      <c r="AI474" s="117" t="n">
        <f aca="false">+AI461+AI466+AI469+AI470+AI471+AI472</f>
        <v>3151.7</v>
      </c>
      <c r="AJ474" s="117" t="n">
        <f aca="false">+AJ461+AJ466+AJ469+AJ470+AJ471+AJ472</f>
        <v>3442.45860283098</v>
      </c>
      <c r="AK474" s="117" t="n">
        <f aca="false">+AK461+AK466+AK469+AK470+AK471+AK472</f>
        <v>3802.62853865332</v>
      </c>
      <c r="AL474" s="117" t="n">
        <f aca="false">+AL461+AL466+AL469+AL470+AL471+AL472</f>
        <v>4299.41212036945</v>
      </c>
      <c r="AM474" s="118"/>
      <c r="AN474" s="118"/>
      <c r="AO474" s="118"/>
    </row>
    <row r="475" customFormat="false" ht="12" hidden="false" customHeight="true" outlineLevel="0" collapsed="false">
      <c r="A475" s="69" t="s">
        <v>496</v>
      </c>
      <c r="C475" s="81" t="n">
        <f aca="false">(100*C474)/B474-100</f>
        <v>-16.4532504259542</v>
      </c>
      <c r="D475" s="90" t="n">
        <f aca="false">(100*D474)/C474-100</f>
        <v>61.6264401648305</v>
      </c>
      <c r="E475" s="90" t="n">
        <f aca="false">(100*E474)/D474-100</f>
        <v>84.4736979031167</v>
      </c>
      <c r="F475" s="90" t="n">
        <f aca="false">(100*F474)/E474-100</f>
        <v>-7.92787837761607</v>
      </c>
      <c r="G475" s="90" t="n">
        <f aca="false">(100*G474)/F474-100</f>
        <v>-16.603738904674</v>
      </c>
      <c r="H475" s="90" t="n">
        <f aca="false">(100*H474)/G474-100</f>
        <v>-19.4218177476973</v>
      </c>
      <c r="I475" s="90" t="n">
        <f aca="false">(100*I474)/H474-100</f>
        <v>-37.345003646973</v>
      </c>
      <c r="J475" s="90" t="n">
        <f aca="false">(100*J474)/I474-100</f>
        <v>-20.9291327124563</v>
      </c>
      <c r="K475" s="90" t="n">
        <f aca="false">(100*K474)/J474-100</f>
        <v>16.5953531170922</v>
      </c>
      <c r="L475" s="90" t="n">
        <f aca="false">(100*L474)/K474-100</f>
        <v>3.38173782653303</v>
      </c>
      <c r="M475" s="90" t="n">
        <f aca="false">(100*M474)/L474-100</f>
        <v>9.23699377838848</v>
      </c>
      <c r="N475" s="90" t="n">
        <f aca="false">(100*N474)/M474-100</f>
        <v>-4.78500297005485</v>
      </c>
      <c r="O475" s="90" t="n">
        <f aca="false">(100*O474)/N474-100</f>
        <v>0.7263231213105</v>
      </c>
      <c r="P475" s="90" t="n">
        <f aca="false">(100*P474)/O474-100</f>
        <v>71.7970671281537</v>
      </c>
      <c r="Q475" s="90" t="n">
        <f aca="false">(100*Q474)/P474-100</f>
        <v>6.64100606523307</v>
      </c>
      <c r="R475" s="90" t="n">
        <f aca="false">(100*R474)/Q474-100</f>
        <v>35.9560907219775</v>
      </c>
      <c r="S475" s="90" t="n">
        <f aca="false">(100*S474)/R474-100</f>
        <v>-33.3248739874382</v>
      </c>
      <c r="T475" s="90" t="n">
        <f aca="false">(100*T474)/S474-100</f>
        <v>-55.4701562525708</v>
      </c>
      <c r="U475" s="90" t="n">
        <f aca="false">(100*U474)/T474-100</f>
        <v>27.869781236221</v>
      </c>
      <c r="V475" s="90" t="n">
        <f aca="false">(100*V474)/U474-100</f>
        <v>20.1136959067932</v>
      </c>
      <c r="W475" s="90" t="n">
        <f aca="false">(100*W474)/V474-100</f>
        <v>6.68660737913284</v>
      </c>
      <c r="X475" s="90" t="n">
        <f aca="false">(100*X474)/W474-100</f>
        <v>87.1166418874125</v>
      </c>
      <c r="Y475" s="90" t="n">
        <f aca="false">(100*Y474)/X474-100</f>
        <v>-5.50416039681437</v>
      </c>
      <c r="Z475" s="90" t="n">
        <f aca="false">(100*Z474)/Y474-100</f>
        <v>15.8560349327752</v>
      </c>
      <c r="AA475" s="90" t="n">
        <f aca="false">(100*AA474)/Z474-100</f>
        <v>39.256300538416</v>
      </c>
      <c r="AB475" s="90" t="n">
        <f aca="false">(100*AB474)/AA474-100</f>
        <v>-42.06509429836</v>
      </c>
      <c r="AC475" s="90" t="n">
        <f aca="false">(100*AC474)/AB474-100</f>
        <v>12.1884664362379</v>
      </c>
      <c r="AD475" s="90" t="n">
        <f aca="false">(100*AD474)/AC474-100</f>
        <v>-3.11334522458246</v>
      </c>
      <c r="AE475" s="90" t="n">
        <f aca="false">(100*AE474)/AD474-100</f>
        <v>-36.2928870292887</v>
      </c>
      <c r="AF475" s="90" t="n">
        <f aca="false">(100*AF474)/AE474-100</f>
        <v>52.5548404045712</v>
      </c>
      <c r="AG475" s="90" t="n">
        <f aca="false">(100*AG474)/AF474-100</f>
        <v>112.304115722404</v>
      </c>
      <c r="AH475" s="90" t="n">
        <f aca="false">(100*AH474)/AG474-100</f>
        <v>1.49247678144138</v>
      </c>
      <c r="AI475" s="90" t="n">
        <f aca="false">(100*AI474)/AH474-100</f>
        <v>25.9420579420579</v>
      </c>
      <c r="AJ475" s="90" t="n">
        <f aca="false">(100*AJ474)/AI474-100</f>
        <v>9.22545301998868</v>
      </c>
      <c r="AK475" s="90" t="n">
        <f aca="false">(100*AK474)/AJ474-100</f>
        <v>10.4625785630696</v>
      </c>
      <c r="AL475" s="90" t="n">
        <f aca="false">(100*AL474)/AK474-100</f>
        <v>13.0642153622522</v>
      </c>
      <c r="AM475" s="40"/>
      <c r="AN475" s="40"/>
      <c r="AO475" s="40"/>
    </row>
    <row r="476" customFormat="false" ht="12" hidden="false" customHeight="true" outlineLevel="0" collapsed="false">
      <c r="F476" s="75"/>
      <c r="Q476" s="40"/>
      <c r="R476" s="40"/>
      <c r="S476" s="40"/>
      <c r="Y476" s="85"/>
      <c r="Z476" s="85"/>
      <c r="AA476" s="154"/>
      <c r="AC476" s="36" t="n">
        <f aca="false">+AC474-1233.4</f>
        <v>0</v>
      </c>
    </row>
    <row r="477" s="145" customFormat="true" ht="12.75" hidden="false" customHeight="true" outlineLevel="0" collapsed="false">
      <c r="A477" s="286" t="s">
        <v>497</v>
      </c>
      <c r="B477" s="67" t="n">
        <f aca="false">+B474+B436</f>
        <v>10113.68</v>
      </c>
      <c r="C477" s="67" t="n">
        <f aca="false">+C474+C436</f>
        <v>12288.58</v>
      </c>
      <c r="D477" s="67" t="n">
        <f aca="false">+D474+D436</f>
        <v>15901.68</v>
      </c>
      <c r="E477" s="67" t="n">
        <f aca="false">+E474+E436</f>
        <v>21515.18</v>
      </c>
      <c r="F477" s="67" t="n">
        <f aca="false">+F474+F436</f>
        <v>26130.24</v>
      </c>
      <c r="G477" s="67" t="n">
        <f aca="false">+G474+G436</f>
        <v>21231.731576</v>
      </c>
      <c r="H477" s="67" t="n">
        <f aca="false">+H474+H436</f>
        <v>21327.918378296</v>
      </c>
      <c r="I477" s="67" t="n">
        <f aca="false">+I474+I436</f>
        <v>26536.94</v>
      </c>
      <c r="J477" s="67" t="n">
        <f aca="false">+J474+J436</f>
        <v>26501.33</v>
      </c>
      <c r="K477" s="67" t="n">
        <f aca="false">+K474+K436</f>
        <v>26811.32</v>
      </c>
      <c r="L477" s="67" t="n">
        <f aca="false">+L474+L436</f>
        <v>31263.93</v>
      </c>
      <c r="M477" s="67" t="n">
        <f aca="false">+M474+M436</f>
        <v>39845.11</v>
      </c>
      <c r="N477" s="67" t="n">
        <f aca="false">+N474+N436</f>
        <v>48657.8116</v>
      </c>
      <c r="O477" s="67" t="n">
        <f aca="false">+O474+O436</f>
        <v>61080.03</v>
      </c>
      <c r="P477" s="67" t="n">
        <f aca="false">+P474+P436</f>
        <v>83990.25</v>
      </c>
      <c r="Q477" s="67" t="n">
        <f aca="false">+Q474+Q436</f>
        <v>90342.61</v>
      </c>
      <c r="R477" s="67" t="n">
        <f aca="false">+R474+R436</f>
        <v>68033.725</v>
      </c>
      <c r="S477" s="67" t="n">
        <f aca="false">+S474+S436</f>
        <v>79637.639</v>
      </c>
      <c r="T477" s="67" t="n">
        <f aca="false">+T474+T436</f>
        <v>121342.031</v>
      </c>
      <c r="U477" s="276" t="n">
        <f aca="false">+U474+U436</f>
        <v>136988.22</v>
      </c>
      <c r="V477" s="276" t="n">
        <f aca="false">+V474+V436</f>
        <v>133609.104</v>
      </c>
      <c r="W477" s="67" t="n">
        <f aca="false">+W474+W436</f>
        <v>106273.66</v>
      </c>
      <c r="X477" s="67" t="n">
        <f aca="false">+X474+X436</f>
        <v>146104.048</v>
      </c>
      <c r="Y477" s="67" t="n">
        <f aca="false">+Y474+Y436</f>
        <v>201105.944</v>
      </c>
      <c r="Z477" s="67" t="n">
        <f aca="false">+Z474+Z436</f>
        <v>214679.392</v>
      </c>
      <c r="AA477" s="67" t="n">
        <f aca="false">+AA474+AA436</f>
        <v>267142.766</v>
      </c>
      <c r="AB477" s="67" t="n">
        <f aca="false">+AB474+AB436</f>
        <v>291648.9</v>
      </c>
      <c r="AC477" s="67" t="n">
        <f aca="false">+AC474+AC436</f>
        <v>175908.1</v>
      </c>
      <c r="AD477" s="67" t="n">
        <f aca="false">+AD474+AD436</f>
        <v>154209.5</v>
      </c>
      <c r="AE477" s="67" t="n">
        <f aca="false">+AE474+AE436</f>
        <v>217644.2</v>
      </c>
      <c r="AF477" s="67" t="n">
        <f aca="false">+AF474+AF436</f>
        <v>362602.8</v>
      </c>
      <c r="AG477" s="67" t="n">
        <f aca="false">+AG474+AG436</f>
        <v>386136</v>
      </c>
      <c r="AH477" s="67" t="n">
        <f aca="false">+AH474+AH436</f>
        <v>390029.9</v>
      </c>
      <c r="AI477" s="67" t="n">
        <f aca="false">+AI474+AI436</f>
        <v>443222</v>
      </c>
      <c r="AJ477" s="67" t="n">
        <f aca="false">+AJ474+AJ436</f>
        <v>483261.945482745</v>
      </c>
      <c r="AK477" s="67" t="n">
        <f aca="false">+AK474+AK436</f>
        <v>522117.366899434</v>
      </c>
      <c r="AL477" s="67" t="n">
        <f aca="false">+AL474+AL436</f>
        <v>561515.115218505</v>
      </c>
    </row>
    <row r="478" customFormat="false" ht="12" hidden="false" customHeight="true" outlineLevel="0" collapsed="false">
      <c r="A478" s="69" t="s">
        <v>496</v>
      </c>
      <c r="C478" s="81" t="n">
        <f aca="false">+C477/B477*100-100</f>
        <v>21.5045364298653</v>
      </c>
      <c r="D478" s="81" t="n">
        <f aca="false">+D477/C477*100-100</f>
        <v>29.4020952787059</v>
      </c>
      <c r="E478" s="81" t="n">
        <f aca="false">+E477/D477*100-100</f>
        <v>35.3013014977034</v>
      </c>
      <c r="F478" s="81" t="n">
        <f aca="false">+F477/E477*100-100</f>
        <v>21.4502504743163</v>
      </c>
      <c r="G478" s="81" t="n">
        <f aca="false">+G477/F477*100-100</f>
        <v>-18.7465114135959</v>
      </c>
      <c r="H478" s="81" t="n">
        <f aca="false">+H477/G477*100-100</f>
        <v>0.453033243905196</v>
      </c>
      <c r="I478" s="81" t="n">
        <f aca="false">+I477/H477*100-100</f>
        <v>24.4234881684697</v>
      </c>
      <c r="J478" s="81" t="n">
        <f aca="false">+J477/I477*100-100</f>
        <v>-0.13419030227297</v>
      </c>
      <c r="K478" s="81" t="n">
        <f aca="false">+K477/J477*100-100</f>
        <v>1.16971487846081</v>
      </c>
      <c r="L478" s="81" t="n">
        <f aca="false">+L477/K477*100-100</f>
        <v>16.6072017341929</v>
      </c>
      <c r="M478" s="81" t="n">
        <f aca="false">+M477/L477*100-100</f>
        <v>27.4475409841309</v>
      </c>
      <c r="N478" s="81" t="n">
        <f aca="false">+N477/M477*100-100</f>
        <v>22.1173980947725</v>
      </c>
      <c r="O478" s="81" t="n">
        <f aca="false">+O477/N477*100-100</f>
        <v>25.5297515270909</v>
      </c>
      <c r="P478" s="81" t="n">
        <f aca="false">+P477/O477*100-100</f>
        <v>37.5085277463027</v>
      </c>
      <c r="Q478" s="81" t="n">
        <f aca="false">+Q477/P477*100-100</f>
        <v>7.56321120606262</v>
      </c>
      <c r="R478" s="81" t="n">
        <f aca="false">+R477/Q477*100-100</f>
        <v>-24.6936467742077</v>
      </c>
      <c r="S478" s="81" t="n">
        <f aca="false">+S477/R477*100-100</f>
        <v>17.0561203285577</v>
      </c>
      <c r="T478" s="81" t="n">
        <f aca="false">+T477/S477*100-100</f>
        <v>52.3676901069355</v>
      </c>
      <c r="U478" s="81" t="n">
        <f aca="false">+U477/T477*100-100</f>
        <v>12.8942863994093</v>
      </c>
      <c r="V478" s="81" t="n">
        <f aca="false">+V477/U477*100-100</f>
        <v>-2.46672013111782</v>
      </c>
      <c r="W478" s="81" t="n">
        <f aca="false">+W477/V477*100-100</f>
        <v>-20.4592675062023</v>
      </c>
      <c r="X478" s="81" t="n">
        <f aca="false">+X477/W477*100-100</f>
        <v>37.4790780707092</v>
      </c>
      <c r="Y478" s="81" t="n">
        <f aca="false">+Y477/X477*100-100</f>
        <v>37.6457030129651</v>
      </c>
      <c r="Z478" s="81" t="n">
        <f aca="false">+Z477/Y477*100-100</f>
        <v>6.7494016984401</v>
      </c>
      <c r="AA478" s="81" t="n">
        <f aca="false">+AA477/Z477*100-100</f>
        <v>24.4380112647235</v>
      </c>
      <c r="AB478" s="81" t="n">
        <f aca="false">+AB477/AA477*100-100</f>
        <v>9.17342227414086</v>
      </c>
      <c r="AC478" s="81" t="n">
        <f aca="false">+AC477/AB477*100-100</f>
        <v>-39.6849773820508</v>
      </c>
      <c r="AD478" s="81" t="n">
        <f aca="false">+AD477/AC477*100-100</f>
        <v>-12.3351909320833</v>
      </c>
      <c r="AE478" s="81" t="n">
        <f aca="false">+AE477/AD477*100-100</f>
        <v>41.1354034608763</v>
      </c>
      <c r="AF478" s="81" t="n">
        <f aca="false">+AF477/AE477*100-100</f>
        <v>66.6034748456426</v>
      </c>
      <c r="AG478" s="81" t="n">
        <f aca="false">+AG477/AF477*100-100</f>
        <v>6.49007674513268</v>
      </c>
      <c r="AH478" s="81" t="n">
        <f aca="false">+AH477/AG477*100-100</f>
        <v>1.0084270826859</v>
      </c>
      <c r="AI478" s="81" t="n">
        <f aca="false">+AI477/AH477*100-100</f>
        <v>13.6379544234943</v>
      </c>
      <c r="AJ478" s="81" t="n">
        <f aca="false">+AJ477/AI477*100-100</f>
        <v>9.03383529760366</v>
      </c>
      <c r="AK478" s="81" t="n">
        <f aca="false">+AK477/AJ477*100-100</f>
        <v>8.04024024235453</v>
      </c>
      <c r="AL478" s="81" t="n">
        <f aca="false">+AL477/AK477*100-100</f>
        <v>7.54576476799316</v>
      </c>
      <c r="AM478" s="75"/>
      <c r="AN478" s="75"/>
      <c r="AO478" s="75"/>
    </row>
    <row r="479" customFormat="false" ht="12" hidden="false" customHeight="true" outlineLevel="0" collapsed="false">
      <c r="P479" s="191"/>
      <c r="X479" s="31"/>
      <c r="AF479" s="77"/>
      <c r="AG479" s="77"/>
    </row>
    <row r="480" s="52" customFormat="true" ht="12.75" hidden="false" customHeight="true" outlineLevel="0" collapsed="false">
      <c r="A480" s="49" t="s">
        <v>498</v>
      </c>
      <c r="B480" s="50"/>
      <c r="C480" s="50"/>
      <c r="D480" s="50"/>
      <c r="E480" s="50"/>
      <c r="F480" s="50"/>
      <c r="G480" s="51"/>
      <c r="H480" s="50"/>
      <c r="I480" s="50"/>
      <c r="J480" s="50"/>
      <c r="K480" s="50"/>
      <c r="L480" s="50"/>
      <c r="M480" s="50"/>
      <c r="N480" s="50"/>
      <c r="O480" s="50"/>
      <c r="P480" s="50"/>
      <c r="Q480" s="50"/>
      <c r="R480" s="50"/>
      <c r="S480" s="50"/>
      <c r="T480" s="50"/>
      <c r="U480" s="50"/>
      <c r="V480" s="50"/>
      <c r="W480" s="50"/>
      <c r="AA480" s="53"/>
      <c r="AF480" s="53"/>
      <c r="AG480" s="53"/>
    </row>
    <row r="482" customFormat="false" ht="12.75" hidden="false" customHeight="true" outlineLevel="0" collapsed="false">
      <c r="A482" s="59" t="s">
        <v>499</v>
      </c>
    </row>
    <row r="484" customFormat="false" ht="12.75" hidden="false" customHeight="true" outlineLevel="0" collapsed="false">
      <c r="A484" s="59" t="s">
        <v>500</v>
      </c>
      <c r="O484" s="32"/>
    </row>
    <row r="485" customFormat="false" ht="12.75" hidden="false" customHeight="true" outlineLevel="0" collapsed="false">
      <c r="A485" s="59" t="s">
        <v>454</v>
      </c>
      <c r="B485" s="208" t="n">
        <v>496.65</v>
      </c>
      <c r="C485" s="208" t="n">
        <v>574.78</v>
      </c>
      <c r="D485" s="208" t="n">
        <v>746.55</v>
      </c>
      <c r="E485" s="208" t="n">
        <v>1088.33</v>
      </c>
      <c r="F485" s="208" t="n">
        <v>1153.47</v>
      </c>
      <c r="G485" s="208" t="n">
        <v>801.3</v>
      </c>
      <c r="H485" s="208" t="n">
        <v>619.91</v>
      </c>
      <c r="I485" s="208" t="n">
        <v>898</v>
      </c>
      <c r="J485" s="208" t="n">
        <v>875.11</v>
      </c>
      <c r="K485" s="208" t="n">
        <v>824.22</v>
      </c>
      <c r="L485" s="208" t="n">
        <v>571.15</v>
      </c>
      <c r="M485" s="208" t="n">
        <v>774.68</v>
      </c>
      <c r="N485" s="208" t="n">
        <v>478.46</v>
      </c>
      <c r="O485" s="208" t="n">
        <v>1099.67</v>
      </c>
      <c r="P485" s="208" t="n">
        <v>1930.93</v>
      </c>
      <c r="Q485" s="208" t="n">
        <v>1704.27</v>
      </c>
      <c r="R485" s="208" t="n">
        <v>1309.277</v>
      </c>
      <c r="S485" s="208" t="n">
        <v>1842.274</v>
      </c>
      <c r="T485" s="208" t="n">
        <v>1852.127</v>
      </c>
      <c r="U485" s="145"/>
      <c r="V485" s="145"/>
      <c r="W485" s="145"/>
      <c r="X485" s="145"/>
      <c r="Y485" s="145"/>
      <c r="Z485" s="145"/>
      <c r="AA485" s="252"/>
      <c r="AB485" s="145"/>
      <c r="AC485" s="145"/>
      <c r="AD485" s="145"/>
      <c r="AE485" s="145"/>
      <c r="AF485" s="252"/>
      <c r="AG485" s="252"/>
      <c r="AH485" s="145"/>
      <c r="AI485" s="145"/>
      <c r="AJ485" s="145"/>
      <c r="AK485" s="145"/>
      <c r="AL485" s="145"/>
    </row>
    <row r="486" customFormat="false" ht="12" hidden="false" customHeight="true" outlineLevel="0" collapsed="false">
      <c r="A486" s="69" t="s">
        <v>501</v>
      </c>
      <c r="B486" s="190" t="n">
        <v>26941</v>
      </c>
      <c r="C486" s="190" t="n">
        <v>30196</v>
      </c>
      <c r="D486" s="190" t="n">
        <v>42354</v>
      </c>
      <c r="E486" s="190" t="n">
        <v>53608</v>
      </c>
      <c r="F486" s="190" t="n">
        <v>56650</v>
      </c>
      <c r="G486" s="190" t="n">
        <v>42194</v>
      </c>
      <c r="H486" s="190" t="n">
        <v>29566</v>
      </c>
      <c r="I486" s="190" t="n">
        <v>44036</v>
      </c>
      <c r="J486" s="190" t="n">
        <v>45254</v>
      </c>
      <c r="K486" s="190" t="n">
        <v>39927</v>
      </c>
      <c r="L486" s="190" t="n">
        <v>26477</v>
      </c>
      <c r="M486" s="190" t="n">
        <v>32948</v>
      </c>
      <c r="N486" s="190" t="n">
        <v>18232</v>
      </c>
      <c r="O486" s="190" t="n">
        <v>35642</v>
      </c>
      <c r="P486" s="190" t="n">
        <v>66981</v>
      </c>
      <c r="Q486" s="190" t="n">
        <v>54063</v>
      </c>
      <c r="R486" s="190" t="n">
        <v>34896</v>
      </c>
      <c r="S486" s="190" t="n">
        <v>49858</v>
      </c>
      <c r="T486" s="190" t="n">
        <v>46486</v>
      </c>
      <c r="U486" s="41"/>
      <c r="V486" s="41"/>
      <c r="W486" s="41"/>
    </row>
    <row r="487" customFormat="false" ht="12" hidden="false" customHeight="true" outlineLevel="0" collapsed="false">
      <c r="A487" s="69" t="s">
        <v>502</v>
      </c>
      <c r="B487" s="62" t="n">
        <f aca="false">+B485/B486*1000000</f>
        <v>18434.7277383913</v>
      </c>
      <c r="C487" s="62" t="n">
        <f aca="false">+C485/C486*1000000</f>
        <v>19034.9715194065</v>
      </c>
      <c r="D487" s="62" t="n">
        <f aca="false">+D485/D486*1000000</f>
        <v>17626.4343391415</v>
      </c>
      <c r="E487" s="62" t="n">
        <f aca="false">+E485/E486*1000000</f>
        <v>20301.634084465</v>
      </c>
      <c r="F487" s="62" t="n">
        <f aca="false">+F485/F486*1000000</f>
        <v>20361.3415710503</v>
      </c>
      <c r="G487" s="62" t="n">
        <f aca="false">+G485/G486*1000000</f>
        <v>18990.8517798739</v>
      </c>
      <c r="H487" s="62" t="n">
        <f aca="false">+H485/H486*1000000</f>
        <v>20966.9891091118</v>
      </c>
      <c r="I487" s="62" t="n">
        <f aca="false">+I485/I486*1000000</f>
        <v>20392.4062130984</v>
      </c>
      <c r="J487" s="62" t="n">
        <f aca="false">+J485/J486*1000000</f>
        <v>19337.7381004994</v>
      </c>
      <c r="K487" s="62" t="n">
        <f aca="false">+K485/K486*1000000</f>
        <v>20643.1737921707</v>
      </c>
      <c r="L487" s="62" t="n">
        <f aca="false">+L485/L486*1000000</f>
        <v>21571.5526683537</v>
      </c>
      <c r="M487" s="62" t="n">
        <f aca="false">+M485/M486*1000000</f>
        <v>23512.2010440694</v>
      </c>
      <c r="N487" s="62" t="n">
        <f aca="false">+N485/N486*1000000</f>
        <v>26242.8696796841</v>
      </c>
      <c r="O487" s="62" t="n">
        <f aca="false">+O485/O486*1000000</f>
        <v>30853.2068907469</v>
      </c>
      <c r="P487" s="62" t="n">
        <f aca="false">+P485/P486*1000000</f>
        <v>28828.0258580792</v>
      </c>
      <c r="Q487" s="62" t="n">
        <f aca="false">+Q485/Q486*1000000</f>
        <v>31523.7778147717</v>
      </c>
      <c r="R487" s="62" t="n">
        <f aca="false">+R485/R486*1000000</f>
        <v>37519.4005043558</v>
      </c>
      <c r="S487" s="62" t="n">
        <f aca="false">+S485/S486*1000000</f>
        <v>36950.419190501</v>
      </c>
      <c r="T487" s="62" t="n">
        <f aca="false">+T485/T486*1000000</f>
        <v>39842.6838187842</v>
      </c>
      <c r="U487" s="40"/>
      <c r="V487" s="40"/>
      <c r="W487" s="40"/>
    </row>
    <row r="488" customFormat="false" ht="12" hidden="false" customHeight="true" outlineLevel="0" collapsed="false">
      <c r="A488" s="69" t="s">
        <v>503</v>
      </c>
      <c r="C488" s="81" t="n">
        <f aca="false">+C487/B487*100-100</f>
        <v>3.25604906963288</v>
      </c>
      <c r="D488" s="81" t="n">
        <f aca="false">+D487/C487*100-100</f>
        <v>-7.39973358420311</v>
      </c>
      <c r="E488" s="81" t="n">
        <f aca="false">+E487/D487*100-100</f>
        <v>15.1772031362174</v>
      </c>
      <c r="F488" s="81" t="n">
        <f aca="false">+F487/E487*100-100</f>
        <v>0.294101875429803</v>
      </c>
      <c r="G488" s="81" t="n">
        <f aca="false">+G487/F487*100-100</f>
        <v>-6.73084229933529</v>
      </c>
      <c r="H488" s="81" t="n">
        <f aca="false">+H487/G487*100-100</f>
        <v>10.40573299262</v>
      </c>
      <c r="I488" s="81" t="n">
        <f aca="false">+I487/H487*100-100</f>
        <v>-2.74041681914044</v>
      </c>
      <c r="J488" s="81" t="n">
        <f aca="false">+J487/I487*100-100</f>
        <v>-5.17186692721694</v>
      </c>
      <c r="K488" s="81" t="n">
        <f aca="false">+K487/J487*100-100</f>
        <v>6.75071554329092</v>
      </c>
      <c r="L488" s="81" t="n">
        <f aca="false">+L487/K487*100-100</f>
        <v>4.49726813100348</v>
      </c>
      <c r="M488" s="81" t="n">
        <f aca="false">+M487/L487*100-100</f>
        <v>8.99633144424874</v>
      </c>
      <c r="N488" s="81" t="n">
        <f aca="false">+N487/M487*100-100</f>
        <v>11.6138367075735</v>
      </c>
      <c r="O488" s="81" t="n">
        <f aca="false">+O487/N487*100-100</f>
        <v>17.56796138279</v>
      </c>
      <c r="P488" s="81" t="n">
        <f aca="false">+P487/O487*100-100</f>
        <v>-6.56392393775795</v>
      </c>
      <c r="Q488" s="81" t="n">
        <f aca="false">+Q487/P487*100-100</f>
        <v>9.3511500578074</v>
      </c>
      <c r="R488" s="81" t="n">
        <f aca="false">+R487/Q487*100-100</f>
        <v>19.019366031614</v>
      </c>
      <c r="S488" s="81" t="n">
        <f aca="false">+S487/R487*100-100</f>
        <v>-1.51649894776097</v>
      </c>
      <c r="T488" s="81" t="n">
        <f aca="false">+T487/S487*100-100</f>
        <v>7.82742034230198</v>
      </c>
      <c r="U488" s="75"/>
      <c r="V488" s="75"/>
      <c r="W488" s="214"/>
    </row>
    <row r="489" customFormat="false" ht="12" hidden="false" customHeight="true" outlineLevel="0" collapsed="false">
      <c r="A489" s="69" t="s">
        <v>504</v>
      </c>
      <c r="B489" s="287" t="n">
        <f aca="false">+B486/B657</f>
        <v>1.30965922901172</v>
      </c>
      <c r="C489" s="287" t="n">
        <f aca="false">+C486/C657</f>
        <v>1.24642945595641</v>
      </c>
      <c r="D489" s="287" t="n">
        <f aca="false">+D486/D657</f>
        <v>1.39276553765209</v>
      </c>
      <c r="E489" s="287" t="n">
        <f aca="false">+E486/E657</f>
        <v>1.43340731035589</v>
      </c>
      <c r="F489" s="287" t="n">
        <f aca="false">+F486/F657</f>
        <v>1.30674478686104</v>
      </c>
      <c r="G489" s="287" t="n">
        <f aca="false">+G486/G657</f>
        <v>1.33749643389229</v>
      </c>
      <c r="H489" s="287" t="n">
        <f aca="false">+H486/H657</f>
        <v>0.99411586698497</v>
      </c>
      <c r="I489" s="287" t="n">
        <f aca="false">+I486/I657</f>
        <v>1.16315803375683</v>
      </c>
      <c r="J489" s="287" t="n">
        <f aca="false">+J486/J657</f>
        <v>1.39350269438029</v>
      </c>
      <c r="K489" s="287" t="n">
        <f aca="false">+K486/K657</f>
        <v>1.34556667677687</v>
      </c>
      <c r="L489" s="287" t="n">
        <f aca="false">+L486/L657</f>
        <v>0.726511908681813</v>
      </c>
      <c r="M489" s="287" t="n">
        <f aca="false">+M486/M657</f>
        <v>0.677189953549554</v>
      </c>
      <c r="N489" s="287" t="n">
        <f aca="false">+N486/N657</f>
        <v>0.333065400073073</v>
      </c>
      <c r="O489" s="287" t="n">
        <f aca="false">+O486/O657</f>
        <v>0.578087746330387</v>
      </c>
      <c r="P489" s="287" t="n">
        <f aca="false">+P486/P657</f>
        <v>0.806116185868506</v>
      </c>
      <c r="Q489" s="287" t="n">
        <f aca="false">+Q486/Q657</f>
        <v>0.648945492083689</v>
      </c>
      <c r="R489" s="287" t="n">
        <f aca="false">+R486/R657</f>
        <v>0.641105252521541</v>
      </c>
      <c r="S489" s="287" t="n">
        <f aca="false">+S486/S657</f>
        <v>0.779933047586272</v>
      </c>
      <c r="T489" s="287" t="n">
        <f aca="false">+T486/T657</f>
        <v>0.493974879391325</v>
      </c>
      <c r="U489" s="288"/>
      <c r="V489" s="288"/>
      <c r="W489" s="288"/>
    </row>
    <row r="490" customFormat="false" ht="12" hidden="false" customHeight="true" outlineLevel="0" collapsed="false">
      <c r="A490" s="69" t="s">
        <v>505</v>
      </c>
      <c r="B490" s="81" t="n">
        <f aca="false">+B485/B565*100</f>
        <v>8.33257834284621</v>
      </c>
      <c r="C490" s="81" t="n">
        <f aca="false">+C485/C565*100</f>
        <v>7.54387622782564</v>
      </c>
      <c r="D490" s="81" t="n">
        <f aca="false">+D485/D565*100</f>
        <v>7.62933228141102</v>
      </c>
      <c r="E490" s="81" t="n">
        <f aca="false">+E485/E565*100</f>
        <v>8.3498796999865</v>
      </c>
      <c r="F490" s="81" t="n">
        <f aca="false">+F485/F565*100</f>
        <v>7.34266335225012</v>
      </c>
      <c r="G490" s="81" t="n">
        <f aca="false">+G485/G565*100</f>
        <v>6.44496563971894</v>
      </c>
      <c r="H490" s="81" t="n">
        <f aca="false">+H485/H565*100</f>
        <v>4.84324363177254</v>
      </c>
      <c r="I490" s="81" t="n">
        <f aca="false">+I485/I565*100</f>
        <v>5.751127329831</v>
      </c>
      <c r="J490" s="81" t="n">
        <f aca="false">+J485/J565*100</f>
        <v>5.80125861544346</v>
      </c>
      <c r="K490" s="81" t="n">
        <f aca="false">+K485/K565*100</f>
        <v>5.52979994713205</v>
      </c>
      <c r="L490" s="81" t="n">
        <f aca="false">+L485/L565*100</f>
        <v>3.10735231711696</v>
      </c>
      <c r="M490" s="81" t="n">
        <f aca="false">+M485/M565*100</f>
        <v>3.24214877105285</v>
      </c>
      <c r="N490" s="81" t="n">
        <f aca="false">+N485/N565*100</f>
        <v>1.57684542590909</v>
      </c>
      <c r="O490" s="81" t="n">
        <f aca="false">+O485/O565*100</f>
        <v>2.84286811518932</v>
      </c>
      <c r="P490" s="81" t="n">
        <f aca="false">+P485/P565*100</f>
        <v>3.53435726636933</v>
      </c>
      <c r="Q490" s="81" t="n">
        <f aca="false">+Q485/Q565*100</f>
        <v>2.95605849154587</v>
      </c>
      <c r="R490" s="81" t="n">
        <f aca="false">+R485/R565*100</f>
        <v>2.94058089542475</v>
      </c>
      <c r="S490" s="81" t="n">
        <f aca="false">+S485/S565*100</f>
        <v>3.52972257843637</v>
      </c>
      <c r="T490" s="81" t="n">
        <f aca="false">+T485/T565*100</f>
        <v>2.2799754513214</v>
      </c>
      <c r="U490" s="75"/>
      <c r="V490" s="75"/>
      <c r="W490" s="75"/>
    </row>
    <row r="491" customFormat="false" ht="12" hidden="false" customHeight="true" outlineLevel="0" collapsed="false">
      <c r="A491" s="69" t="s">
        <v>219</v>
      </c>
      <c r="B491" s="81" t="n">
        <f aca="false">+B485/B655*100</f>
        <v>5.20359122707942</v>
      </c>
      <c r="C491" s="81" t="n">
        <f aca="false">+C485/C655*100</f>
        <v>4.86568119367406</v>
      </c>
      <c r="D491" s="81" t="n">
        <f aca="false">+D485/D655*100</f>
        <v>4.93328452142746</v>
      </c>
      <c r="E491" s="81" t="n">
        <f aca="false">+E485/E655*100</f>
        <v>5.41537999166046</v>
      </c>
      <c r="F491" s="81" t="n">
        <f aca="false">+F485/F655*100</f>
        <v>4.64649654716246</v>
      </c>
      <c r="G491" s="81" t="n">
        <f aca="false">+G485/G655*100</f>
        <v>3.97809608051118</v>
      </c>
      <c r="H491" s="81" t="n">
        <f aca="false">+H485/H655*100</f>
        <v>3.03127383395543</v>
      </c>
      <c r="I491" s="81" t="n">
        <f aca="false">+I485/I655*100</f>
        <v>3.45555000581056</v>
      </c>
      <c r="J491" s="81" t="n">
        <f aca="false">+J485/J655*100</f>
        <v>3.35720421090106</v>
      </c>
      <c r="K491" s="81" t="n">
        <f aca="false">+K485/K655*100</f>
        <v>3.13338260250725</v>
      </c>
      <c r="L491" s="81" t="n">
        <f aca="false">+L485/L655*100</f>
        <v>1.85800562460251</v>
      </c>
      <c r="M491" s="81" t="n">
        <f aca="false">+M485/M655*100</f>
        <v>1.97256467783116</v>
      </c>
      <c r="N491" s="81" t="n">
        <f aca="false">+N485/N655*100</f>
        <v>0.994454284741572</v>
      </c>
      <c r="O491" s="81" t="n">
        <f aca="false">+O485/O655*100</f>
        <v>1.81670308872731</v>
      </c>
      <c r="P491" s="81" t="n">
        <f aca="false">+P485/P655*100</f>
        <v>2.3251003014311</v>
      </c>
      <c r="Q491" s="81" t="n">
        <f aca="false">+Q485/Q655*100</f>
        <v>1.90768876018756</v>
      </c>
      <c r="R491" s="81" t="n">
        <f aca="false">+R485/R655*100</f>
        <v>1.96392332623446</v>
      </c>
      <c r="S491" s="81" t="n">
        <f aca="false">+S485/S655*100</f>
        <v>2.34010950439305</v>
      </c>
      <c r="T491" s="81" t="n">
        <f aca="false">+T485/T655*100</f>
        <v>1.53149265610322</v>
      </c>
      <c r="U491" s="75"/>
      <c r="V491" s="75"/>
      <c r="W491" s="75"/>
    </row>
    <row r="492" customFormat="false" ht="12.75" hidden="false" customHeight="true" outlineLevel="0" collapsed="false">
      <c r="A492" s="289"/>
    </row>
    <row r="493" customFormat="false" ht="12.75" hidden="false" customHeight="true" outlineLevel="0" collapsed="false">
      <c r="A493" s="59" t="s">
        <v>506</v>
      </c>
    </row>
    <row r="494" customFormat="false" ht="12.75" hidden="false" customHeight="true" outlineLevel="0" collapsed="false">
      <c r="A494" s="59" t="s">
        <v>454</v>
      </c>
      <c r="B494" s="208" t="n">
        <v>109.37</v>
      </c>
      <c r="C494" s="208" t="n">
        <v>162.87</v>
      </c>
      <c r="D494" s="208" t="n">
        <v>202.8</v>
      </c>
      <c r="E494" s="208" t="n">
        <v>214.86</v>
      </c>
      <c r="F494" s="208" t="n">
        <v>267.36</v>
      </c>
      <c r="G494" s="208" t="n">
        <v>233.64</v>
      </c>
      <c r="H494" s="208" t="n">
        <v>194.55</v>
      </c>
      <c r="I494" s="208" t="n">
        <v>214.27</v>
      </c>
      <c r="J494" s="208" t="n">
        <v>211.51</v>
      </c>
      <c r="K494" s="208" t="n">
        <v>131.81</v>
      </c>
      <c r="L494" s="208" t="n">
        <v>96.09</v>
      </c>
      <c r="M494" s="208" t="n">
        <v>128.64</v>
      </c>
      <c r="N494" s="208" t="n">
        <v>129.17</v>
      </c>
      <c r="O494" s="208" t="n">
        <v>20.16</v>
      </c>
      <c r="P494" s="208" t="n">
        <v>18.51</v>
      </c>
      <c r="Q494" s="208" t="n">
        <v>48.35</v>
      </c>
      <c r="R494" s="208" t="n">
        <v>183.512</v>
      </c>
      <c r="S494" s="208" t="n">
        <v>169.992</v>
      </c>
      <c r="T494" s="208" t="n">
        <v>288.432</v>
      </c>
      <c r="U494" s="145"/>
      <c r="V494" s="145"/>
      <c r="W494" s="145"/>
      <c r="X494" s="145"/>
      <c r="Y494" s="145"/>
      <c r="Z494" s="145"/>
      <c r="AA494" s="252"/>
      <c r="AB494" s="145"/>
      <c r="AC494" s="145"/>
      <c r="AD494" s="145"/>
      <c r="AE494" s="145"/>
      <c r="AF494" s="252"/>
      <c r="AG494" s="252"/>
      <c r="AH494" s="145"/>
      <c r="AI494" s="145"/>
      <c r="AJ494" s="145"/>
      <c r="AK494" s="145"/>
      <c r="AL494" s="145"/>
    </row>
    <row r="495" customFormat="false" ht="12" hidden="false" customHeight="true" outlineLevel="0" collapsed="false">
      <c r="A495" s="69" t="s">
        <v>501</v>
      </c>
      <c r="B495" s="190" t="n">
        <v>4605</v>
      </c>
      <c r="C495" s="190" t="n">
        <v>6781</v>
      </c>
      <c r="D495" s="190" t="n">
        <v>6126</v>
      </c>
      <c r="E495" s="190" t="n">
        <v>8023</v>
      </c>
      <c r="F495" s="190" t="n">
        <v>9336</v>
      </c>
      <c r="G495" s="190" t="n">
        <v>7108</v>
      </c>
      <c r="H495" s="190" t="n">
        <v>6635</v>
      </c>
      <c r="I495" s="190" t="n">
        <v>7424</v>
      </c>
      <c r="J495" s="190" t="n">
        <v>7993</v>
      </c>
      <c r="K495" s="190" t="n">
        <v>4746</v>
      </c>
      <c r="L495" s="190" t="n">
        <v>3756</v>
      </c>
      <c r="M495" s="190" t="n">
        <v>4384</v>
      </c>
      <c r="N495" s="190" t="n">
        <v>2935</v>
      </c>
      <c r="O495" s="190" t="n">
        <v>394</v>
      </c>
      <c r="P495" s="190" t="n">
        <v>386</v>
      </c>
      <c r="Q495" s="190" t="n">
        <v>531</v>
      </c>
      <c r="R495" s="190" t="n">
        <v>3069</v>
      </c>
      <c r="S495" s="190" t="n">
        <v>2874</v>
      </c>
      <c r="T495" s="190" t="n">
        <v>5664</v>
      </c>
      <c r="U495" s="41"/>
      <c r="V495" s="41"/>
      <c r="W495" s="41"/>
    </row>
    <row r="496" customFormat="false" ht="12" hidden="false" customHeight="true" outlineLevel="0" collapsed="false">
      <c r="A496" s="69" t="s">
        <v>502</v>
      </c>
      <c r="B496" s="62" t="n">
        <f aca="false">+B494/B495*1000000</f>
        <v>23750.2714440825</v>
      </c>
      <c r="C496" s="62" t="n">
        <f aca="false">+C494/C495*1000000</f>
        <v>24018.5813301873</v>
      </c>
      <c r="D496" s="62" t="n">
        <f aca="false">+D494/D495*1000000</f>
        <v>33104.7992164545</v>
      </c>
      <c r="E496" s="62" t="n">
        <f aca="false">+E494/E495*1000000</f>
        <v>26780.5060451203</v>
      </c>
      <c r="F496" s="62" t="n">
        <f aca="false">+F494/F495*1000000</f>
        <v>28637.5321336761</v>
      </c>
      <c r="G496" s="62" t="n">
        <f aca="false">+G494/G495*1000000</f>
        <v>32870.005627462</v>
      </c>
      <c r="H496" s="62" t="n">
        <f aca="false">+H494/H495*1000000</f>
        <v>29321.7784476262</v>
      </c>
      <c r="I496" s="62" t="n">
        <f aca="false">+I494/I495*1000000</f>
        <v>28861.7995689655</v>
      </c>
      <c r="J496" s="62" t="n">
        <f aca="false">+J494/J495*1000000</f>
        <v>26461.9041661454</v>
      </c>
      <c r="K496" s="62" t="n">
        <f aca="false">+K494/K495*1000000</f>
        <v>27772.8613569322</v>
      </c>
      <c r="L496" s="62" t="n">
        <f aca="false">+L494/L495*1000000</f>
        <v>25583.0670926518</v>
      </c>
      <c r="M496" s="62" t="n">
        <f aca="false">+M494/M495*1000000</f>
        <v>29343.0656934307</v>
      </c>
      <c r="N496" s="62" t="n">
        <f aca="false">+N494/N495*1000000</f>
        <v>44010.2214650767</v>
      </c>
      <c r="O496" s="62" t="n">
        <f aca="false">+O494/O495*1000000</f>
        <v>51167.5126903553</v>
      </c>
      <c r="P496" s="62" t="n">
        <f aca="false">+P494/P495*1000000</f>
        <v>47953.3678756477</v>
      </c>
      <c r="Q496" s="62" t="n">
        <f aca="false">+Q494/Q495*1000000</f>
        <v>91054.6139359699</v>
      </c>
      <c r="R496" s="62" t="n">
        <f aca="false">+R494/R495*1000000</f>
        <v>59795.3730856957</v>
      </c>
      <c r="S496" s="62" t="n">
        <f aca="false">+S494/S495*1000000</f>
        <v>59148.2254697286</v>
      </c>
      <c r="T496" s="62" t="n">
        <f aca="false">+T494/T495*1000000</f>
        <v>50923.7288135593</v>
      </c>
      <c r="U496" s="41"/>
      <c r="V496" s="41"/>
      <c r="W496" s="41"/>
    </row>
    <row r="497" customFormat="false" ht="12" hidden="false" customHeight="true" outlineLevel="0" collapsed="false">
      <c r="A497" s="69" t="s">
        <v>503</v>
      </c>
      <c r="C497" s="90" t="n">
        <f aca="false">+C496/B496*100-100</f>
        <v>1.12971292448793</v>
      </c>
      <c r="D497" s="90" t="n">
        <f aca="false">+D496/C496*100-100</f>
        <v>37.829952407919</v>
      </c>
      <c r="E497" s="90" t="n">
        <f aca="false">+E496/D496*100-100</f>
        <v>-19.1038559997994</v>
      </c>
      <c r="F497" s="90" t="n">
        <f aca="false">+F496/E496*100-100</f>
        <v>6.93424569881938</v>
      </c>
      <c r="G497" s="90" t="n">
        <f aca="false">+G496/F496*100-100</f>
        <v>14.7794630976905</v>
      </c>
      <c r="H497" s="90" t="n">
        <f aca="false">+H496/G496*100-100</f>
        <v>-10.7947264142582</v>
      </c>
      <c r="I497" s="90" t="n">
        <f aca="false">+I496/H496*100-100</f>
        <v>-1.5687277614566</v>
      </c>
      <c r="J497" s="90" t="n">
        <f aca="false">+J496/I496*100-100</f>
        <v>-8.31512739559281</v>
      </c>
      <c r="K497" s="90" t="n">
        <f aca="false">+K496/J496*100-100</f>
        <v>4.95413021888265</v>
      </c>
      <c r="L497" s="90" t="n">
        <f aca="false">+L496/K496*100-100</f>
        <v>-7.88465486554492</v>
      </c>
      <c r="M497" s="90" t="n">
        <f aca="false">+M496/L496*100-100</f>
        <v>14.6972158856546</v>
      </c>
      <c r="N497" s="90" t="n">
        <f aca="false">+N496/M496*100-100</f>
        <v>49.9850831023757</v>
      </c>
      <c r="O497" s="90" t="n">
        <f aca="false">+O496/N496*100-100</f>
        <v>16.2627930217488</v>
      </c>
      <c r="P497" s="90" t="n">
        <f aca="false">+P496/O496*100-100</f>
        <v>-6.281612385887</v>
      </c>
      <c r="Q497" s="90" t="n">
        <f aca="false">+Q496/P496*100-100</f>
        <v>89.8815828162311</v>
      </c>
      <c r="R497" s="90" t="n">
        <f aca="false">+R496/Q496*100-100</f>
        <v>-34.3302107373229</v>
      </c>
      <c r="S497" s="90" t="n">
        <f aca="false">+S496/R496*100-100</f>
        <v>-1.08227038744221</v>
      </c>
      <c r="T497" s="90" t="n">
        <f aca="false">+T496/S496*100-100</f>
        <v>-13.9048916359773</v>
      </c>
      <c r="U497" s="214"/>
      <c r="V497" s="214"/>
      <c r="W497" s="214"/>
    </row>
    <row r="498" customFormat="false" ht="12" hidden="false" customHeight="true" outlineLevel="0" collapsed="false">
      <c r="A498" s="69" t="s">
        <v>504</v>
      </c>
      <c r="B498" s="287" t="n">
        <f aca="false">+B495/B657</f>
        <v>0.2238588303923</v>
      </c>
      <c r="C498" s="287" t="n">
        <f aca="false">+C495/C657</f>
        <v>0.279905886237926</v>
      </c>
      <c r="D498" s="287" t="n">
        <f aca="false">+D495/D657</f>
        <v>0.201446892469582</v>
      </c>
      <c r="E498" s="287" t="n">
        <f aca="false">+E495/E657</f>
        <v>0.214524452525469</v>
      </c>
      <c r="F498" s="287" t="n">
        <f aca="false">+F495/F657</f>
        <v>0.215353386233622</v>
      </c>
      <c r="G498" s="287" t="n">
        <f aca="false">+G495/G657</f>
        <v>0.225314609947063</v>
      </c>
      <c r="H498" s="287" t="n">
        <f aca="false">+H495/H657</f>
        <v>0.2230927003127</v>
      </c>
      <c r="I498" s="287" t="n">
        <f aca="false">+I495/I657</f>
        <v>0.196096040571595</v>
      </c>
      <c r="J498" s="287" t="n">
        <f aca="false">+J495/J657</f>
        <v>0.24612779060816</v>
      </c>
      <c r="K498" s="287" t="n">
        <f aca="false">+K495/K657</f>
        <v>0.159943382873319</v>
      </c>
      <c r="L498" s="287" t="n">
        <f aca="false">+L495/L657</f>
        <v>0.10306223246625</v>
      </c>
      <c r="M498" s="287" t="n">
        <f aca="false">+M495/M657</f>
        <v>0.0901056439347227</v>
      </c>
      <c r="N498" s="287" t="n">
        <f aca="false">+N495/N657</f>
        <v>0.0536170990135185</v>
      </c>
      <c r="O498" s="287" t="n">
        <f aca="false">+O495/O657</f>
        <v>0.00639039818344011</v>
      </c>
      <c r="P498" s="287" t="n">
        <f aca="false">+P495/P657</f>
        <v>0.00464550914058081</v>
      </c>
      <c r="Q498" s="287" t="n">
        <f aca="false">+Q495/Q657</f>
        <v>0.0063738611674609</v>
      </c>
      <c r="R498" s="287" t="n">
        <f aca="false">+R495/R657</f>
        <v>0.0563833109808749</v>
      </c>
      <c r="S498" s="287" t="n">
        <f aca="false">+S495/S657</f>
        <v>0.0449582329568564</v>
      </c>
      <c r="T498" s="287" t="n">
        <f aca="false">+T495/T657</f>
        <v>0.0601874481967143</v>
      </c>
      <c r="U498" s="288"/>
      <c r="V498" s="288"/>
      <c r="W498" s="288"/>
    </row>
    <row r="499" customFormat="false" ht="12" hidden="false" customHeight="true" outlineLevel="0" collapsed="false">
      <c r="A499" s="69" t="s">
        <v>505</v>
      </c>
      <c r="B499" s="81" t="n">
        <f aca="false">+B494/B565*100</f>
        <v>1.83496243502887</v>
      </c>
      <c r="C499" s="81" t="n">
        <f aca="false">+C494/C565*100</f>
        <v>2.13763721985101</v>
      </c>
      <c r="D499" s="81" t="n">
        <f aca="false">+D494/D565*100</f>
        <v>2.07250497176365</v>
      </c>
      <c r="E499" s="81" t="n">
        <f aca="false">+E494/E565*100</f>
        <v>1.64844776156046</v>
      </c>
      <c r="F499" s="81" t="n">
        <f aca="false">+F494/F565*100</f>
        <v>1.70193804247843</v>
      </c>
      <c r="G499" s="81" t="n">
        <f aca="false">+G494/G565*100</f>
        <v>1.879198517489</v>
      </c>
      <c r="H499" s="81" t="n">
        <f aca="false">+H494/H565*100</f>
        <v>1.51998362433474</v>
      </c>
      <c r="I499" s="81" t="n">
        <f aca="false">+I494/I565*100</f>
        <v>1.37226509238629</v>
      </c>
      <c r="J499" s="81" t="n">
        <f aca="false">+J494/J565*100</f>
        <v>1.40213711390848</v>
      </c>
      <c r="K499" s="81" t="n">
        <f aca="false">+K494/K565*100</f>
        <v>0.884330556200378</v>
      </c>
      <c r="L499" s="81" t="n">
        <f aca="false">+L494/L565*100</f>
        <v>0.522779452248567</v>
      </c>
      <c r="M499" s="81" t="n">
        <f aca="false">+M494/M565*100</f>
        <v>0.538377159482934</v>
      </c>
      <c r="N499" s="81" t="n">
        <f aca="false">+N494/N565*100</f>
        <v>0.425701466506453</v>
      </c>
      <c r="O499" s="81" t="n">
        <f aca="false">+O494/O565*100</f>
        <v>0.0521176545711138</v>
      </c>
      <c r="P499" s="81" t="n">
        <f aca="false">+P494/P565*100</f>
        <v>0.0338805409830995</v>
      </c>
      <c r="Q499" s="81" t="n">
        <f aca="false">+Q494/Q565*100</f>
        <v>0.0838631367484276</v>
      </c>
      <c r="R499" s="81" t="n">
        <f aca="false">+R494/R565*100</f>
        <v>0.412160208482381</v>
      </c>
      <c r="S499" s="81" t="n">
        <f aca="false">+S494/S565*100</f>
        <v>0.325697806381437</v>
      </c>
      <c r="T499" s="81" t="n">
        <f aca="false">+T494/T565*100</f>
        <v>0.355060899914279</v>
      </c>
      <c r="U499" s="75"/>
      <c r="V499" s="75"/>
      <c r="W499" s="75"/>
    </row>
    <row r="500" customFormat="false" ht="12" hidden="false" customHeight="true" outlineLevel="0" collapsed="false">
      <c r="A500" s="69" t="s">
        <v>219</v>
      </c>
      <c r="B500" s="81" t="n">
        <f aca="false">+B494/B655*100</f>
        <v>1.14591114971444</v>
      </c>
      <c r="C500" s="81" t="n">
        <f aca="false">+C494/C655*100</f>
        <v>1.37874229446692</v>
      </c>
      <c r="D500" s="81" t="n">
        <f aca="false">+D494/D655*100</f>
        <v>1.34012470825194</v>
      </c>
      <c r="E500" s="81" t="n">
        <f aca="false">+E494/E655*100</f>
        <v>1.06911372929917</v>
      </c>
      <c r="F500" s="81" t="n">
        <f aca="false">+F494/F655*100</f>
        <v>1.07700010997196</v>
      </c>
      <c r="G500" s="81" t="n">
        <f aca="false">+G494/G655*100</f>
        <v>1.1599180934115</v>
      </c>
      <c r="H500" s="81" t="n">
        <f aca="false">+H494/H655*100</f>
        <v>0.951322489387217</v>
      </c>
      <c r="I500" s="81" t="n">
        <f aca="false">+I494/I655*100</f>
        <v>0.824521937355265</v>
      </c>
      <c r="J500" s="81" t="n">
        <f aca="false">+J494/J655*100</f>
        <v>0.811420578724599</v>
      </c>
      <c r="K500" s="81" t="n">
        <f aca="false">+K494/K655*100</f>
        <v>0.501093349878044</v>
      </c>
      <c r="L500" s="81" t="n">
        <f aca="false">+L494/L655*100</f>
        <v>0.312589968428706</v>
      </c>
      <c r="M500" s="81" t="n">
        <f aca="false">+M494/M655*100</f>
        <v>0.327555532808644</v>
      </c>
      <c r="N500" s="81" t="n">
        <f aca="false">+N494/N655*100</f>
        <v>0.268473142917002</v>
      </c>
      <c r="O500" s="81" t="n">
        <f aca="false">+O494/O655*100</f>
        <v>0.0333052045329441</v>
      </c>
      <c r="P500" s="81" t="n">
        <f aca="false">+P494/P655*100</f>
        <v>0.0222885379477711</v>
      </c>
      <c r="Q500" s="81" t="n">
        <f aca="false">+Q494/Q655*100</f>
        <v>0.0541209735282957</v>
      </c>
      <c r="R500" s="81" t="n">
        <f aca="false">+R494/R655*100</f>
        <v>0.275269096947351</v>
      </c>
      <c r="S500" s="81" t="n">
        <f aca="false">+S494/S655*100</f>
        <v>0.215928735286273</v>
      </c>
      <c r="T500" s="81" t="n">
        <f aca="false">+T494/T655*100</f>
        <v>0.238499568218143</v>
      </c>
      <c r="U500" s="75"/>
      <c r="V500" s="75"/>
      <c r="W500" s="75"/>
    </row>
    <row r="501" customFormat="false" ht="12.75" hidden="false" customHeight="true" outlineLevel="0" collapsed="false">
      <c r="A501" s="289"/>
    </row>
    <row r="502" customFormat="false" ht="12.75" hidden="false" customHeight="true" outlineLevel="0" collapsed="false">
      <c r="A502" s="59" t="s">
        <v>507</v>
      </c>
    </row>
    <row r="503" customFormat="false" ht="12.75" hidden="false" customHeight="true" outlineLevel="0" collapsed="false">
      <c r="A503" s="59" t="s">
        <v>454</v>
      </c>
      <c r="B503" s="208" t="n">
        <v>20.37</v>
      </c>
      <c r="C503" s="208" t="n">
        <v>35.62</v>
      </c>
      <c r="D503" s="208" t="n">
        <v>45.11</v>
      </c>
      <c r="E503" s="208" t="n">
        <v>56.93</v>
      </c>
      <c r="F503" s="208" t="n">
        <v>69.65</v>
      </c>
      <c r="G503" s="208" t="n">
        <v>41.5</v>
      </c>
      <c r="H503" s="208" t="n">
        <v>35.09</v>
      </c>
      <c r="I503" s="208" t="n">
        <v>47.57</v>
      </c>
      <c r="J503" s="208" t="n">
        <v>46.17</v>
      </c>
      <c r="K503" s="208" t="n">
        <v>34.81</v>
      </c>
      <c r="L503" s="208" t="n">
        <v>36.77</v>
      </c>
      <c r="M503" s="208" t="n">
        <v>47.14</v>
      </c>
      <c r="N503" s="208" t="n">
        <v>19.81</v>
      </c>
      <c r="O503" s="208" t="n">
        <v>1.19</v>
      </c>
      <c r="P503" s="208" t="n">
        <v>0.65</v>
      </c>
      <c r="Q503" s="208" t="n">
        <v>1.62</v>
      </c>
      <c r="R503" s="208" t="n">
        <v>1.215</v>
      </c>
      <c r="S503" s="208" t="n">
        <v>69.333</v>
      </c>
      <c r="T503" s="208" t="n">
        <v>37.633</v>
      </c>
      <c r="U503" s="145"/>
      <c r="V503" s="145"/>
      <c r="W503" s="145"/>
      <c r="X503" s="145"/>
      <c r="Y503" s="145"/>
      <c r="Z503" s="145"/>
      <c r="AA503" s="252"/>
      <c r="AB503" s="145"/>
      <c r="AC503" s="145"/>
      <c r="AD503" s="145"/>
      <c r="AE503" s="145"/>
      <c r="AF503" s="252"/>
      <c r="AG503" s="252"/>
      <c r="AH503" s="145"/>
      <c r="AI503" s="145"/>
      <c r="AJ503" s="145"/>
      <c r="AK503" s="145"/>
      <c r="AL503" s="145"/>
    </row>
    <row r="504" customFormat="false" ht="12" hidden="false" customHeight="true" outlineLevel="0" collapsed="false">
      <c r="A504" s="149" t="s">
        <v>508</v>
      </c>
      <c r="B504" s="190" t="n">
        <v>934173</v>
      </c>
      <c r="C504" s="190" t="n">
        <v>2016967</v>
      </c>
      <c r="D504" s="190" t="n">
        <v>2423656</v>
      </c>
      <c r="E504" s="190" t="n">
        <v>2806750</v>
      </c>
      <c r="F504" s="190" t="n">
        <v>3476461</v>
      </c>
      <c r="G504" s="190" t="n">
        <v>1957250</v>
      </c>
      <c r="H504" s="190" t="n">
        <v>1558627</v>
      </c>
      <c r="I504" s="190" t="n">
        <v>1926170</v>
      </c>
      <c r="J504" s="190" t="n">
        <v>1817290</v>
      </c>
      <c r="K504" s="190" t="n">
        <v>1297380</v>
      </c>
      <c r="L504" s="190" t="n">
        <v>1177340</v>
      </c>
      <c r="M504" s="190" t="n">
        <v>1527823</v>
      </c>
      <c r="N504" s="190" t="n">
        <v>351780</v>
      </c>
      <c r="O504" s="190" t="n">
        <v>2749</v>
      </c>
      <c r="P504" s="190" t="n">
        <v>2807</v>
      </c>
      <c r="Q504" s="190" t="n">
        <v>30468</v>
      </c>
      <c r="R504" s="190" t="n">
        <v>25496</v>
      </c>
      <c r="S504" s="190" t="n">
        <v>590573</v>
      </c>
      <c r="T504" s="190" t="n">
        <v>296078</v>
      </c>
      <c r="U504" s="41"/>
      <c r="V504" s="41"/>
      <c r="W504" s="41"/>
    </row>
    <row r="505" customFormat="false" ht="12" hidden="false" customHeight="true" outlineLevel="0" collapsed="false">
      <c r="A505" s="149" t="s">
        <v>509</v>
      </c>
      <c r="B505" s="70" t="n">
        <f aca="false">+B503/B504*1000000</f>
        <v>21.8053829429881</v>
      </c>
      <c r="C505" s="70" t="n">
        <f aca="false">+C503/C504*1000000</f>
        <v>17.6601798641227</v>
      </c>
      <c r="D505" s="70" t="n">
        <f aca="false">+D503/D504*1000000</f>
        <v>18.6123773340771</v>
      </c>
      <c r="E505" s="70" t="n">
        <f aca="false">+E503/E504*1000000</f>
        <v>20.2832457468603</v>
      </c>
      <c r="F505" s="70" t="n">
        <f aca="false">+F503/F504*1000000</f>
        <v>20.0347422278001</v>
      </c>
      <c r="G505" s="70" t="n">
        <f aca="false">+G503/G504*1000000</f>
        <v>21.2032188018904</v>
      </c>
      <c r="H505" s="70" t="n">
        <f aca="false">+H503/H504*1000000</f>
        <v>22.5134044258184</v>
      </c>
      <c r="I505" s="70" t="n">
        <f aca="false">+I503/I504*1000000</f>
        <v>24.6966778633246</v>
      </c>
      <c r="J505" s="70" t="n">
        <f aca="false">+J503/J504*1000000</f>
        <v>25.4059616241767</v>
      </c>
      <c r="K505" s="70" t="n">
        <f aca="false">+K503/K504*1000000</f>
        <v>26.8309978572199</v>
      </c>
      <c r="L505" s="70" t="n">
        <f aca="false">+L503/L504*1000000</f>
        <v>31.2314199806343</v>
      </c>
      <c r="M505" s="70" t="n">
        <f aca="false">+M503/M504*1000000</f>
        <v>30.8543594382334</v>
      </c>
      <c r="N505" s="70" t="n">
        <f aca="false">+N503/N504*1000000</f>
        <v>56.3136050940929</v>
      </c>
      <c r="O505" s="70" t="n">
        <f aca="false">+O503/O504*1000000</f>
        <v>432.884685340124</v>
      </c>
      <c r="P505" s="70" t="n">
        <f aca="false">+P503/P504*1000000</f>
        <v>231.56394727467</v>
      </c>
      <c r="Q505" s="70" t="n">
        <f aca="false">+Q503/Q504*1000000</f>
        <v>53.1705395825128</v>
      </c>
      <c r="R505" s="70" t="n">
        <f aca="false">+R503/R504*1000000</f>
        <v>47.654534044556</v>
      </c>
      <c r="S505" s="70" t="n">
        <f aca="false">+S503/S504*1000000</f>
        <v>117.399542478237</v>
      </c>
      <c r="T505" s="70" t="n">
        <f aca="false">+T503/T504*1000000</f>
        <v>127.105019623207</v>
      </c>
      <c r="U505" s="260"/>
      <c r="V505" s="260"/>
      <c r="W505" s="260"/>
    </row>
    <row r="506" customFormat="false" ht="12" hidden="false" customHeight="true" outlineLevel="0" collapsed="false">
      <c r="A506" s="69" t="s">
        <v>503</v>
      </c>
      <c r="C506" s="81" t="n">
        <f aca="false">+C505/B505*100-100</f>
        <v>-19.0099989975105</v>
      </c>
      <c r="D506" s="90" t="n">
        <f aca="false">+D505/C505*100-100</f>
        <v>5.39177673885882</v>
      </c>
      <c r="E506" s="81" t="n">
        <f aca="false">+E505/D505*100-100</f>
        <v>8.97718965606811</v>
      </c>
      <c r="F506" s="81" t="n">
        <f aca="false">+F505/E505*100-100</f>
        <v>-1.22516643618866</v>
      </c>
      <c r="G506" s="81" t="n">
        <f aca="false">+G505/F505*100-100</f>
        <v>5.83225159976844</v>
      </c>
      <c r="H506" s="81" t="n">
        <f aca="false">+H505/G505*100-100</f>
        <v>6.17918268056145</v>
      </c>
      <c r="I506" s="81" t="n">
        <f aca="false">+I505/H505*100-100</f>
        <v>9.69766009712187</v>
      </c>
      <c r="J506" s="81" t="n">
        <f aca="false">+J505/I505*100-100</f>
        <v>2.87198045331165</v>
      </c>
      <c r="K506" s="81" t="n">
        <f aca="false">+K505/J505*100-100</f>
        <v>5.60906236938969</v>
      </c>
      <c r="L506" s="81" t="n">
        <f aca="false">+L505/K505*100-100</f>
        <v>16.4005161001877</v>
      </c>
      <c r="M506" s="81" t="n">
        <f aca="false">+M505/L505*100-100</f>
        <v>-1.20731155558973</v>
      </c>
      <c r="N506" s="81" t="n">
        <f aca="false">+N505/M505*100-100</f>
        <v>82.5142576912861</v>
      </c>
      <c r="O506" s="81" t="n">
        <f aca="false">+O505/N505*100-100</f>
        <v>668.703556834673</v>
      </c>
      <c r="P506" s="81" t="n">
        <f aca="false">+P505/O505*100-100</f>
        <v>-46.5067822640278</v>
      </c>
      <c r="Q506" s="81" t="n">
        <f aca="false">+Q505/P505*100-100</f>
        <v>-77.0385069833672</v>
      </c>
      <c r="R506" s="81" t="n">
        <f aca="false">+R505/Q505*100-100</f>
        <v>-10.3741763413869</v>
      </c>
      <c r="S506" s="81" t="n">
        <f aca="false">+S505/R505*100-100</f>
        <v>146.355451442398</v>
      </c>
      <c r="T506" s="81" t="n">
        <f aca="false">+T505/S505*100-100</f>
        <v>8.26704852514166</v>
      </c>
      <c r="U506" s="75"/>
      <c r="V506" s="75"/>
      <c r="W506" s="75"/>
    </row>
    <row r="507" customFormat="false" ht="12" hidden="false" customHeight="true" outlineLevel="0" collapsed="false">
      <c r="A507" s="69" t="s">
        <v>504</v>
      </c>
      <c r="B507" s="81" t="n">
        <f aca="false">+B504/B657</f>
        <v>45.4121335861164</v>
      </c>
      <c r="C507" s="81" t="n">
        <f aca="false">+C504/C657</f>
        <v>83.2562948897878</v>
      </c>
      <c r="D507" s="81" t="n">
        <f aca="false">+D504/D657</f>
        <v>79.699309437685</v>
      </c>
      <c r="E507" s="81" t="n">
        <f aca="false">+E504/E657</f>
        <v>75.0487980962058</v>
      </c>
      <c r="F507" s="81" t="n">
        <f aca="false">+F504/F657</f>
        <v>80.1914790551762</v>
      </c>
      <c r="G507" s="81" t="n">
        <f aca="false">+G504/G657</f>
        <v>62.0423495102545</v>
      </c>
      <c r="H507" s="81" t="n">
        <f aca="false">+H504/H657</f>
        <v>52.4066776503816</v>
      </c>
      <c r="I507" s="81" t="n">
        <f aca="false">+I504/I657</f>
        <v>50.8774663884413</v>
      </c>
      <c r="J507" s="81" t="n">
        <f aca="false">+J504/J657</f>
        <v>55.9596612779061</v>
      </c>
      <c r="K507" s="81" t="n">
        <f aca="false">+K504/K657</f>
        <v>43.722576079264</v>
      </c>
      <c r="L507" s="81" t="n">
        <f aca="false">+L504/L657</f>
        <v>32.3054549445725</v>
      </c>
      <c r="M507" s="81" t="n">
        <f aca="false">+M504/M657</f>
        <v>31.4017963579562</v>
      </c>
      <c r="N507" s="81" t="n">
        <f aca="false">+N504/N657</f>
        <v>6.42637924735111</v>
      </c>
      <c r="O507" s="81" t="n">
        <f aca="false">+O504/O657</f>
        <v>0.0445868137215149</v>
      </c>
      <c r="P507" s="81" t="n">
        <f aca="false">+P504/P657</f>
        <v>0.0337822387502858</v>
      </c>
      <c r="Q507" s="81" t="n">
        <f aca="false">+Q504/Q657</f>
        <v>0.365722791054988</v>
      </c>
      <c r="R507" s="81" t="n">
        <f aca="false">+R504/R657</f>
        <v>0.468409546030755</v>
      </c>
      <c r="S507" s="81" t="n">
        <f aca="false">+S504/S657</f>
        <v>9.23838500766511</v>
      </c>
      <c r="T507" s="81" t="n">
        <f aca="false">+T504/T657</f>
        <v>3.14621809448919</v>
      </c>
      <c r="U507" s="290"/>
      <c r="V507" s="290"/>
      <c r="W507" s="290"/>
    </row>
    <row r="508" customFormat="false" ht="12" hidden="false" customHeight="true" outlineLevel="0" collapsed="false">
      <c r="A508" s="69" t="s">
        <v>505</v>
      </c>
      <c r="B508" s="81" t="n">
        <f aca="false">+B503/B565*100</f>
        <v>0.341759027169591</v>
      </c>
      <c r="C508" s="81" t="n">
        <f aca="false">+C503/C565*100</f>
        <v>0.467505604292337</v>
      </c>
      <c r="D508" s="81" t="n">
        <f aca="false">+D503/D565*100</f>
        <v>0.460999503334607</v>
      </c>
      <c r="E508" s="81" t="n">
        <f aca="false">+E503/E565*100</f>
        <v>0.436778046475087</v>
      </c>
      <c r="F508" s="81" t="n">
        <f aca="false">+F503/F565*100</f>
        <v>0.443372174815315</v>
      </c>
      <c r="G508" s="81" t="n">
        <f aca="false">+G503/G565*100</f>
        <v>0.333790183512213</v>
      </c>
      <c r="H508" s="81" t="n">
        <f aca="false">+H503/H565*100</f>
        <v>0.274151762415348</v>
      </c>
      <c r="I508" s="81" t="n">
        <f aca="false">+I503/I565*100</f>
        <v>0.304656043518998</v>
      </c>
      <c r="J508" s="81" t="n">
        <f aca="false">+J503/J565*100</f>
        <v>0.306069077344591</v>
      </c>
      <c r="K508" s="81" t="n">
        <f aca="false">+K503/K565*100</f>
        <v>0.233544849869776</v>
      </c>
      <c r="L508" s="81" t="n">
        <f aca="false">+L503/L565*100</f>
        <v>0.200047876565509</v>
      </c>
      <c r="M508" s="81" t="n">
        <f aca="false">+M503/M565*100</f>
        <v>0.197287774393855</v>
      </c>
      <c r="N508" s="81" t="n">
        <f aca="false">+N503/N565*100</f>
        <v>0.0652871878260652</v>
      </c>
      <c r="O508" s="81" t="n">
        <f aca="false">+O503/O565*100</f>
        <v>0.00307638933232269</v>
      </c>
      <c r="P508" s="81" t="n">
        <f aca="false">+P503/P565*100</f>
        <v>0.00118975427547351</v>
      </c>
      <c r="Q508" s="81" t="n">
        <f aca="false">+Q503/Q565*100</f>
        <v>0.00280989206892353</v>
      </c>
      <c r="R508" s="81" t="n">
        <f aca="false">+R503/R565*100</f>
        <v>0.00272883873156029</v>
      </c>
      <c r="S508" s="81" t="n">
        <f aca="false">+S503/S565*100</f>
        <v>0.132839227786273</v>
      </c>
      <c r="T508" s="81" t="n">
        <f aca="false">+T503/T565*100</f>
        <v>0.046326367554481</v>
      </c>
      <c r="U508" s="75"/>
      <c r="V508" s="75"/>
      <c r="W508" s="75"/>
    </row>
    <row r="509" customFormat="false" ht="12" hidden="false" customHeight="true" outlineLevel="0" collapsed="false">
      <c r="A509" s="69" t="s">
        <v>219</v>
      </c>
      <c r="B509" s="81" t="n">
        <f aca="false">+B503/B655*100</f>
        <v>0.213424249059917</v>
      </c>
      <c r="C509" s="81" t="n">
        <f aca="false">+C503/C655*100</f>
        <v>0.301533741811945</v>
      </c>
      <c r="D509" s="81" t="n">
        <f aca="false">+D503/D655*100</f>
        <v>0.298091842156041</v>
      </c>
      <c r="E509" s="81" t="n">
        <f aca="false">+E503/E655*100</f>
        <v>0.283275828953745</v>
      </c>
      <c r="F509" s="81" t="n">
        <f aca="false">+F503/F655*100</f>
        <v>0.280569485560843</v>
      </c>
      <c r="G509" s="81" t="n">
        <f aca="false">+G503/G655*100</f>
        <v>0.206028937153643</v>
      </c>
      <c r="H509" s="81" t="n">
        <f aca="false">+H503/H655*100</f>
        <v>0.171585228232318</v>
      </c>
      <c r="I509" s="81" t="n">
        <f aca="false">+I503/I655*100</f>
        <v>0.183051797078406</v>
      </c>
      <c r="J509" s="81" t="n">
        <f aca="false">+J503/J655*100</f>
        <v>0.177123011298353</v>
      </c>
      <c r="K509" s="81" t="n">
        <f aca="false">+K503/K655*100</f>
        <v>0.132334872234692</v>
      </c>
      <c r="L509" s="81" t="n">
        <f aca="false">+L503/L655*100</f>
        <v>0.119616329889932</v>
      </c>
      <c r="M509" s="81" t="n">
        <f aca="false">+M503/M655*100</f>
        <v>0.120032399071824</v>
      </c>
      <c r="N509" s="81" t="n">
        <f aca="false">+N503/N655*100</f>
        <v>0.0411740571431897</v>
      </c>
      <c r="O509" s="81" t="n">
        <f aca="false">+O503/O655*100</f>
        <v>0.00196593221201406</v>
      </c>
      <c r="P509" s="81" t="n">
        <f aca="false">+P503/P655*100</f>
        <v>0.000782687718317193</v>
      </c>
      <c r="Q509" s="81" t="n">
        <f aca="false">+Q503/Q655*100</f>
        <v>0.00181336043672883</v>
      </c>
      <c r="R509" s="81" t="n">
        <f aca="false">+R503/R655*100</f>
        <v>0.00182250726269144</v>
      </c>
      <c r="S509" s="81" t="n">
        <f aca="false">+S503/S655*100</f>
        <v>0.0880687738458466</v>
      </c>
      <c r="T509" s="81" t="n">
        <f aca="false">+T503/T655*100</f>
        <v>0.0311180945621616</v>
      </c>
      <c r="U509" s="75"/>
      <c r="V509" s="75"/>
      <c r="W509" s="75"/>
    </row>
    <row r="511" s="19" customFormat="true" ht="25.5" hidden="false" customHeight="true" outlineLevel="0" collapsed="false">
      <c r="A511" s="59" t="s">
        <v>510</v>
      </c>
      <c r="B511" s="67" t="n">
        <f aca="false">++B485+B494+B503</f>
        <v>626.39</v>
      </c>
      <c r="C511" s="67" t="n">
        <f aca="false">++C485+C494+C503</f>
        <v>773.27</v>
      </c>
      <c r="D511" s="67" t="n">
        <f aca="false">++D485+D494+D503</f>
        <v>994.46</v>
      </c>
      <c r="E511" s="67" t="n">
        <f aca="false">++E485+E494+E503</f>
        <v>1360.12</v>
      </c>
      <c r="F511" s="67" t="n">
        <f aca="false">++F485+F494+F503</f>
        <v>1490.48</v>
      </c>
      <c r="G511" s="67" t="n">
        <f aca="false">++G485+G494+G503</f>
        <v>1076.44</v>
      </c>
      <c r="H511" s="67" t="n">
        <f aca="false">++H485+H494+H503</f>
        <v>849.55</v>
      </c>
      <c r="I511" s="67" t="n">
        <f aca="false">++I485+I494+I503</f>
        <v>1159.84</v>
      </c>
      <c r="J511" s="67" t="n">
        <f aca="false">++J485+J494+J503</f>
        <v>1132.79</v>
      </c>
      <c r="K511" s="67" t="n">
        <f aca="false">++K485+K494+K503</f>
        <v>990.84</v>
      </c>
      <c r="L511" s="67" t="n">
        <f aca="false">++L485+L494+L503</f>
        <v>704.01</v>
      </c>
      <c r="M511" s="67" t="n">
        <f aca="false">++M485+M494+M503</f>
        <v>950.46</v>
      </c>
      <c r="N511" s="67" t="n">
        <f aca="false">++N485+N494+N503</f>
        <v>627.44</v>
      </c>
      <c r="O511" s="67" t="n">
        <f aca="false">++O485+O494+O503</f>
        <v>1121.02</v>
      </c>
      <c r="P511" s="67" t="n">
        <f aca="false">++P485+P494+P503</f>
        <v>1950.09</v>
      </c>
      <c r="Q511" s="67" t="n">
        <f aca="false">++Q485+Q494+Q503</f>
        <v>1754.24</v>
      </c>
      <c r="R511" s="67" t="n">
        <f aca="false">++R485+R494+R503</f>
        <v>1494.004</v>
      </c>
      <c r="S511" s="67" t="n">
        <f aca="false">++S485+S494+S503</f>
        <v>2081.599</v>
      </c>
      <c r="T511" s="67" t="n">
        <f aca="false">++T485+T494+T503</f>
        <v>2178.192</v>
      </c>
      <c r="U511" s="208" t="n">
        <v>2748.944</v>
      </c>
      <c r="V511" s="208" t="n">
        <v>4991.913</v>
      </c>
      <c r="W511" s="208" t="n">
        <v>3727.039</v>
      </c>
      <c r="X511" s="208" t="n">
        <v>7581.026</v>
      </c>
      <c r="Y511" s="208" t="n">
        <v>7446.35</v>
      </c>
      <c r="Z511" s="208" t="n">
        <v>9563.73</v>
      </c>
      <c r="AA511" s="208" t="n">
        <v>11723.672</v>
      </c>
      <c r="AB511" s="145"/>
      <c r="AC511" s="145"/>
      <c r="AD511" s="145"/>
      <c r="AE511" s="145"/>
      <c r="AF511" s="252"/>
      <c r="AG511" s="252"/>
      <c r="AH511" s="145"/>
      <c r="AI511" s="145"/>
      <c r="AJ511" s="145"/>
      <c r="AK511" s="145"/>
      <c r="AL511" s="145"/>
    </row>
    <row r="512" customFormat="false" ht="12" hidden="false" customHeight="true" outlineLevel="0" collapsed="false">
      <c r="A512" s="69" t="s">
        <v>505</v>
      </c>
      <c r="B512" s="70" t="n">
        <f aca="false">+B511/B565*100</f>
        <v>10.5092998050447</v>
      </c>
      <c r="C512" s="70" t="n">
        <f aca="false">+C511/C565*100</f>
        <v>10.149019051969</v>
      </c>
      <c r="D512" s="70" t="n">
        <f aca="false">+D511/D565*100</f>
        <v>10.1628367565093</v>
      </c>
      <c r="E512" s="70" t="n">
        <f aca="false">+E511/E565*100</f>
        <v>10.435105508022</v>
      </c>
      <c r="F512" s="70" t="n">
        <f aca="false">+F511/F565*100</f>
        <v>9.48797356954387</v>
      </c>
      <c r="G512" s="70" t="n">
        <f aca="false">+G511/G565*100</f>
        <v>8.65795434072015</v>
      </c>
      <c r="H512" s="70" t="n">
        <f aca="false">+H511/H565*100</f>
        <v>6.63737901852263</v>
      </c>
      <c r="I512" s="70" t="n">
        <f aca="false">+I511/I565*100</f>
        <v>7.42804846573628</v>
      </c>
      <c r="J512" s="70" t="n">
        <f aca="false">+J511/J565*100</f>
        <v>7.50946480669653</v>
      </c>
      <c r="K512" s="70" t="n">
        <f aca="false">+K511/K565*100</f>
        <v>6.6476753532022</v>
      </c>
      <c r="L512" s="70" t="n">
        <f aca="false">+L511/L565*100</f>
        <v>3.83017964593104</v>
      </c>
      <c r="M512" s="70" t="n">
        <f aca="false">+M511/M565*100</f>
        <v>3.97781370492964</v>
      </c>
      <c r="N512" s="70" t="n">
        <f aca="false">+N511/N565*100</f>
        <v>2.06783408024161</v>
      </c>
      <c r="O512" s="70" t="n">
        <f aca="false">+O511/O565*100</f>
        <v>2.89806215909276</v>
      </c>
      <c r="P512" s="70" t="n">
        <f aca="false">+P511/P565*100</f>
        <v>3.5694275616279</v>
      </c>
      <c r="Q512" s="70" t="n">
        <f aca="false">+Q511/Q565*100</f>
        <v>3.04273152036322</v>
      </c>
      <c r="R512" s="70" t="n">
        <f aca="false">+R511/R565*100</f>
        <v>3.35546994263869</v>
      </c>
      <c r="S512" s="70" t="n">
        <f aca="false">+S511/S565*100</f>
        <v>3.98825961260408</v>
      </c>
      <c r="T512" s="70" t="n">
        <f aca="false">+T511/T565*100</f>
        <v>2.68136271879016</v>
      </c>
      <c r="U512" s="70" t="n">
        <f aca="false">+U511/U565*100</f>
        <v>2.90460150765731</v>
      </c>
      <c r="V512" s="70" t="n">
        <f aca="false">+V511/V565*100</f>
        <v>5.47152739384591</v>
      </c>
      <c r="W512" s="70" t="n">
        <f aca="false">+W511/W565*100</f>
        <v>4.9020810674982</v>
      </c>
      <c r="X512" s="70" t="n">
        <f aca="false">+X511/X565*100</f>
        <v>7.60749261897125</v>
      </c>
      <c r="Y512" s="70" t="n">
        <f aca="false">+Y511/Y565*100</f>
        <v>5.64337156609857</v>
      </c>
      <c r="Z512" s="70" t="n">
        <f aca="false">+Z511/Z565*100</f>
        <v>6.85215210436005</v>
      </c>
      <c r="AA512" s="70" t="n">
        <f aca="false">+AA511/AA565*100</f>
        <v>6.2958482643511</v>
      </c>
      <c r="AB512" s="115"/>
      <c r="AC512" s="115"/>
      <c r="AD512" s="115"/>
      <c r="AE512" s="115"/>
      <c r="AF512" s="291"/>
      <c r="AG512" s="291"/>
      <c r="AH512" s="115"/>
      <c r="AI512" s="115"/>
      <c r="AJ512" s="115"/>
      <c r="AK512" s="115"/>
      <c r="AL512" s="115"/>
      <c r="AM512" s="115"/>
      <c r="AN512" s="115"/>
      <c r="AO512" s="115"/>
    </row>
    <row r="513" customFormat="false" ht="12" hidden="false" customHeight="true" outlineLevel="0" collapsed="false">
      <c r="A513" s="69" t="s">
        <v>219</v>
      </c>
      <c r="B513" s="70" t="n">
        <f aca="false">+B511/B655*100</f>
        <v>6.56292662585378</v>
      </c>
      <c r="C513" s="70" t="n">
        <f aca="false">+C511/C655*100</f>
        <v>6.54595722995292</v>
      </c>
      <c r="D513" s="70" t="n">
        <f aca="false">+D511/D655*100</f>
        <v>6.57150107183544</v>
      </c>
      <c r="E513" s="70" t="n">
        <f aca="false">+E511/E655*100</f>
        <v>6.76776954991337</v>
      </c>
      <c r="F513" s="70" t="n">
        <f aca="false">+F511/F655*100</f>
        <v>6.00406614269526</v>
      </c>
      <c r="G513" s="70" t="n">
        <f aca="false">+G511/G655*100</f>
        <v>5.34404311107632</v>
      </c>
      <c r="H513" s="70" t="n">
        <f aca="false">+H511/H655*100</f>
        <v>4.15418155157497</v>
      </c>
      <c r="I513" s="70" t="n">
        <f aca="false">+I511/I655*100</f>
        <v>4.46312374024423</v>
      </c>
      <c r="J513" s="70" t="n">
        <f aca="false">+J511/J655*100</f>
        <v>4.34574780092402</v>
      </c>
      <c r="K513" s="70" t="n">
        <f aca="false">+K511/K655*100</f>
        <v>3.76681082461999</v>
      </c>
      <c r="L513" s="70" t="n">
        <f aca="false">+L511/L655*100</f>
        <v>2.29021192292115</v>
      </c>
      <c r="M513" s="70" t="n">
        <f aca="false">+M511/M655*100</f>
        <v>2.42015260971162</v>
      </c>
      <c r="N513" s="70" t="n">
        <f aca="false">+N511/N655*100</f>
        <v>1.30410148480176</v>
      </c>
      <c r="O513" s="70" t="n">
        <f aca="false">+O511/O655*100</f>
        <v>1.85197422547227</v>
      </c>
      <c r="P513" s="70" t="n">
        <f aca="false">+P511/P655*100</f>
        <v>2.34817152709719</v>
      </c>
      <c r="Q513" s="70" t="n">
        <f aca="false">+Q511/Q655*100</f>
        <v>1.96362309415258</v>
      </c>
      <c r="R513" s="70" t="n">
        <f aca="false">+R511/R655*100</f>
        <v>2.2410149304445</v>
      </c>
      <c r="S513" s="70" t="n">
        <f aca="false">+S511/S655*100</f>
        <v>2.64410701352517</v>
      </c>
      <c r="T513" s="70" t="n">
        <f aca="false">+T511/T655*100</f>
        <v>1.80111031888353</v>
      </c>
      <c r="U513" s="70" t="n">
        <f aca="false">+U511/U655*100</f>
        <v>2.01433414429093</v>
      </c>
      <c r="V513" s="70" t="n">
        <f aca="false">+V511/V655*100</f>
        <v>3.75372477389261</v>
      </c>
      <c r="W513" s="70" t="n">
        <f aca="false">+W511/W655*100</f>
        <v>3.52911049648649</v>
      </c>
      <c r="X513" s="70" t="n">
        <f aca="false">+X511/X655*100</f>
        <v>5.23337070406957</v>
      </c>
      <c r="Y513" s="70" t="n">
        <f aca="false">+Y511/Y655*100</f>
        <v>3.72448337376437</v>
      </c>
      <c r="Z513" s="70" t="n">
        <f aca="false">+Z511/Z655*100</f>
        <v>4.48334818769526</v>
      </c>
      <c r="AA513" s="70" t="n">
        <f aca="false">+AA511/AA655*100</f>
        <v>4.41993882647092</v>
      </c>
      <c r="AB513" s="268"/>
      <c r="AC513" s="268"/>
      <c r="AD513" s="268"/>
      <c r="AE513" s="268"/>
      <c r="AF513" s="77"/>
      <c r="AG513" s="77"/>
      <c r="AH513" s="268"/>
      <c r="AI513" s="268"/>
      <c r="AJ513" s="268"/>
      <c r="AK513" s="268"/>
      <c r="AL513" s="268"/>
      <c r="AM513" s="268"/>
      <c r="AN513" s="268"/>
      <c r="AO513" s="268"/>
    </row>
    <row r="514" customFormat="false" ht="12.75" hidden="false" customHeight="true" outlineLevel="0" collapsed="false">
      <c r="A514" s="167"/>
    </row>
    <row r="515" customFormat="false" ht="12.75" hidden="false" customHeight="true" outlineLevel="0" collapsed="false">
      <c r="A515" s="59" t="s">
        <v>511</v>
      </c>
    </row>
    <row r="516" customFormat="false" ht="12.75" hidden="false" customHeight="true" outlineLevel="0" collapsed="false">
      <c r="A516" s="59" t="s">
        <v>454</v>
      </c>
      <c r="B516" s="208" t="n">
        <v>73.12</v>
      </c>
      <c r="C516" s="208" t="n">
        <v>87.57</v>
      </c>
      <c r="D516" s="208" t="n">
        <v>179.28</v>
      </c>
      <c r="E516" s="208" t="n">
        <v>212.59</v>
      </c>
      <c r="F516" s="208" t="n">
        <v>214.74</v>
      </c>
      <c r="G516" s="208" t="n">
        <v>152.89</v>
      </c>
      <c r="H516" s="208" t="n">
        <v>120.13</v>
      </c>
      <c r="I516" s="208" t="n">
        <v>117.92</v>
      </c>
      <c r="J516" s="208" t="n">
        <v>102.69</v>
      </c>
      <c r="K516" s="208" t="n">
        <v>92.9</v>
      </c>
      <c r="L516" s="208" t="n">
        <v>153.6</v>
      </c>
      <c r="M516" s="208" t="n">
        <v>239.12</v>
      </c>
      <c r="N516" s="208" t="n">
        <v>532.02</v>
      </c>
      <c r="O516" s="208" t="n">
        <v>0</v>
      </c>
      <c r="P516" s="67" t="n">
        <f aca="false">P517*P518/1000000</f>
        <v>0</v>
      </c>
      <c r="Q516" s="67" t="n">
        <f aca="false">Q517*Q518/1000000</f>
        <v>0</v>
      </c>
      <c r="R516" s="67" t="n">
        <f aca="false">R517*R518/1000000</f>
        <v>0</v>
      </c>
      <c r="S516" s="67" t="n">
        <f aca="false">S517*S518/1000000</f>
        <v>0</v>
      </c>
      <c r="T516" s="67" t="n">
        <f aca="false">T517*T518/1000000</f>
        <v>0</v>
      </c>
      <c r="U516" s="67" t="n">
        <f aca="false">U517*U518/1000000</f>
        <v>0</v>
      </c>
      <c r="V516" s="67" t="n">
        <f aca="false">V517*V518/1000000</f>
        <v>0</v>
      </c>
      <c r="W516" s="145"/>
      <c r="X516" s="145"/>
      <c r="Y516" s="145"/>
      <c r="Z516" s="145"/>
      <c r="AA516" s="252"/>
      <c r="AB516" s="145"/>
      <c r="AC516" s="145"/>
      <c r="AD516" s="145"/>
      <c r="AE516" s="145"/>
      <c r="AF516" s="252"/>
      <c r="AG516" s="252"/>
      <c r="AH516" s="145"/>
      <c r="AI516" s="145"/>
      <c r="AJ516" s="145"/>
      <c r="AK516" s="145"/>
      <c r="AL516" s="145"/>
    </row>
    <row r="517" customFormat="false" ht="12" hidden="false" customHeight="true" outlineLevel="0" collapsed="false">
      <c r="A517" s="69" t="s">
        <v>501</v>
      </c>
      <c r="B517" s="48" t="n">
        <v>8850</v>
      </c>
      <c r="C517" s="48" t="n">
        <v>10315</v>
      </c>
      <c r="D517" s="48" t="n">
        <v>15861</v>
      </c>
      <c r="E517" s="48" t="n">
        <v>24223</v>
      </c>
      <c r="F517" s="48" t="n">
        <v>23267</v>
      </c>
      <c r="G517" s="188" t="n">
        <v>17120</v>
      </c>
      <c r="H517" s="188" t="n">
        <v>12864</v>
      </c>
      <c r="I517" s="188" t="n">
        <v>14948</v>
      </c>
      <c r="J517" s="188" t="n">
        <v>13645</v>
      </c>
      <c r="K517" s="188" t="n">
        <v>12521</v>
      </c>
      <c r="L517" s="188" t="n">
        <v>10411</v>
      </c>
      <c r="M517" s="188" t="n">
        <v>18057</v>
      </c>
      <c r="N517" s="190" t="n">
        <v>22738</v>
      </c>
      <c r="O517" s="190" t="n">
        <v>0</v>
      </c>
      <c r="P517" s="190" t="n">
        <v>0</v>
      </c>
      <c r="Q517" s="190" t="n">
        <v>0</v>
      </c>
      <c r="R517" s="190" t="n">
        <v>0</v>
      </c>
      <c r="S517" s="190" t="n">
        <v>0</v>
      </c>
      <c r="T517" s="190" t="n">
        <v>0</v>
      </c>
      <c r="U517" s="190" t="n">
        <v>0</v>
      </c>
      <c r="V517" s="190" t="n">
        <v>0</v>
      </c>
      <c r="W517" s="41"/>
    </row>
    <row r="518" customFormat="false" ht="12" hidden="false" customHeight="true" outlineLevel="0" collapsed="false">
      <c r="A518" s="69" t="s">
        <v>502</v>
      </c>
      <c r="B518" s="81" t="n">
        <f aca="false">+B516/B517*1000000</f>
        <v>8262.14689265537</v>
      </c>
      <c r="C518" s="81" t="n">
        <f aca="false">+C516/C517*1000000</f>
        <v>8489.57828405235</v>
      </c>
      <c r="D518" s="81" t="n">
        <f aca="false">+D516/D517*1000000</f>
        <v>11303.1965197655</v>
      </c>
      <c r="E518" s="81" t="n">
        <f aca="false">+E516/E517*1000000</f>
        <v>8776.36956611485</v>
      </c>
      <c r="F518" s="81" t="n">
        <f aca="false">+F516/F517*1000000</f>
        <v>9229.38066789874</v>
      </c>
      <c r="G518" s="81" t="n">
        <f aca="false">+G516/G517*1000000</f>
        <v>8930.49065420561</v>
      </c>
      <c r="H518" s="81" t="n">
        <f aca="false">+H516/H517*1000000</f>
        <v>9338.46393034826</v>
      </c>
      <c r="I518" s="81" t="n">
        <f aca="false">+I516/I517*1000000</f>
        <v>7888.68075996789</v>
      </c>
      <c r="J518" s="81" t="n">
        <f aca="false">+J516/J517*1000000</f>
        <v>7525.83363869549</v>
      </c>
      <c r="K518" s="81" t="n">
        <f aca="false">+K516/K517*1000000</f>
        <v>7419.5351808961</v>
      </c>
      <c r="L518" s="81" t="n">
        <f aca="false">+L516/L517*1000000</f>
        <v>14753.6259725291</v>
      </c>
      <c r="M518" s="81" t="n">
        <f aca="false">+M516/M517*1000000</f>
        <v>13242.5098299828</v>
      </c>
      <c r="N518" s="81" t="n">
        <f aca="false">+N516/N517*1000000</f>
        <v>23397.8362213035</v>
      </c>
      <c r="O518" s="81" t="e">
        <f aca="false">+O516/O517*1000000</f>
        <v>#DIV/0!</v>
      </c>
      <c r="P518" s="196" t="n">
        <v>0</v>
      </c>
      <c r="Q518" s="90" t="n">
        <f aca="false">P518*(1+Q519/100)</f>
        <v>0</v>
      </c>
      <c r="R518" s="90" t="n">
        <f aca="false">Q518*(1+R519/100)</f>
        <v>0</v>
      </c>
      <c r="S518" s="90" t="n">
        <f aca="false">R518*(1+S519/100)</f>
        <v>0</v>
      </c>
      <c r="T518" s="90" t="n">
        <f aca="false">S518*(1+T519/100)</f>
        <v>0</v>
      </c>
      <c r="U518" s="90" t="n">
        <f aca="false">T518*(1+U519/100)</f>
        <v>0</v>
      </c>
      <c r="V518" s="90" t="n">
        <f aca="false">U518*(1+V519/100)</f>
        <v>0</v>
      </c>
      <c r="W518" s="40"/>
    </row>
    <row r="519" customFormat="false" ht="12" hidden="false" customHeight="true" outlineLevel="0" collapsed="false">
      <c r="A519" s="69" t="s">
        <v>503</v>
      </c>
      <c r="C519" s="81" t="n">
        <f aca="false">+C518/B518*100-100</f>
        <v>2.75269121151982</v>
      </c>
      <c r="D519" s="81" t="n">
        <f aca="false">+D518/C518*100-100</f>
        <v>33.1420259236962</v>
      </c>
      <c r="E519" s="81" t="n">
        <f aca="false">+E518/D518*100-100</f>
        <v>-22.3549767469056</v>
      </c>
      <c r="F519" s="81" t="n">
        <f aca="false">+F518/E518*100-100</f>
        <v>5.16171405922722</v>
      </c>
      <c r="G519" s="81" t="n">
        <f aca="false">+G518/F518*100-100</f>
        <v>-3.23846230259763</v>
      </c>
      <c r="H519" s="81" t="n">
        <f aca="false">+H518/G518*100-100</f>
        <v>4.56831871774621</v>
      </c>
      <c r="I519" s="81" t="n">
        <f aca="false">+I518/H518*100-100</f>
        <v>-15.5248569914035</v>
      </c>
      <c r="J519" s="81" t="n">
        <f aca="false">+J518/I518*100-100</f>
        <v>-4.59959190025423</v>
      </c>
      <c r="K519" s="81" t="n">
        <f aca="false">+K518/J518*100-100</f>
        <v>-1.41244761580755</v>
      </c>
      <c r="L519" s="81" t="n">
        <f aca="false">+L518/K518*100-100</f>
        <v>98.8483862239357</v>
      </c>
      <c r="M519" s="81" t="n">
        <f aca="false">+M518/L518*100-100</f>
        <v>-10.2423373437817</v>
      </c>
      <c r="N519" s="81" t="n">
        <f aca="false">+N518/M518*100-100</f>
        <v>76.6873237905981</v>
      </c>
      <c r="O519" s="81" t="e">
        <f aca="false">+O518/N518*100-100</f>
        <v>#DIV/0!</v>
      </c>
      <c r="P519" s="48" t="n">
        <v>10</v>
      </c>
      <c r="Q519" s="48" t="n">
        <v>0</v>
      </c>
      <c r="R519" s="48" t="n">
        <v>0</v>
      </c>
      <c r="S519" s="48" t="n">
        <v>0</v>
      </c>
      <c r="T519" s="48" t="n">
        <v>0</v>
      </c>
      <c r="U519" s="48" t="n">
        <v>0</v>
      </c>
      <c r="V519" s="48" t="n">
        <v>0</v>
      </c>
    </row>
    <row r="520" customFormat="false" ht="12" hidden="false" customHeight="true" outlineLevel="0" collapsed="false">
      <c r="A520" s="69" t="s">
        <v>504</v>
      </c>
      <c r="B520" s="287" t="n">
        <f aca="false">+B517/B657</f>
        <v>0.430217296193671</v>
      </c>
      <c r="C520" s="287" t="n">
        <f aca="false">+C517/C657</f>
        <v>0.425782217452324</v>
      </c>
      <c r="D520" s="287" t="n">
        <f aca="false">+D517/D657</f>
        <v>0.521571851364683</v>
      </c>
      <c r="E520" s="287" t="n">
        <f aca="false">+E517/E657</f>
        <v>0.647691114735688</v>
      </c>
      <c r="F520" s="287" t="n">
        <f aca="false">+F517/F657</f>
        <v>0.536699575567448</v>
      </c>
      <c r="G520" s="287" t="n">
        <f aca="false">+G517/G657</f>
        <v>0.542682346974356</v>
      </c>
      <c r="H520" s="287" t="n">
        <f aca="false">+H517/H657</f>
        <v>0.43253421203053</v>
      </c>
      <c r="I520" s="287" t="n">
        <f aca="false">+I517/I657</f>
        <v>0.394833461000026</v>
      </c>
      <c r="J520" s="287" t="n">
        <f aca="false">+J517/J657</f>
        <v>0.420169361046959</v>
      </c>
      <c r="K520" s="287" t="n">
        <f aca="false">+K517/K657</f>
        <v>0.421966097125333</v>
      </c>
      <c r="L520" s="287" t="n">
        <f aca="false">+L517/L657</f>
        <v>0.285671166721545</v>
      </c>
      <c r="M520" s="287" t="n">
        <f aca="false">+M517/M657</f>
        <v>0.371130842274017</v>
      </c>
      <c r="N520" s="287" t="n">
        <f aca="false">+N517/N657</f>
        <v>0.415381804895871</v>
      </c>
      <c r="O520" s="287" t="n">
        <f aca="false">+O517/O657</f>
        <v>0</v>
      </c>
      <c r="P520" s="292" t="n">
        <v>0.415381804895871</v>
      </c>
      <c r="Q520" s="292" t="n">
        <v>0.415381804895871</v>
      </c>
      <c r="R520" s="292" t="n">
        <v>0.415381804895871</v>
      </c>
      <c r="S520" s="292" t="n">
        <v>0</v>
      </c>
      <c r="T520" s="292" t="n">
        <v>0</v>
      </c>
      <c r="U520" s="292" t="n">
        <v>0</v>
      </c>
      <c r="V520" s="292" t="n">
        <v>0</v>
      </c>
      <c r="W520" s="102"/>
      <c r="X520" s="102"/>
      <c r="Y520" s="102"/>
      <c r="Z520" s="102"/>
      <c r="AA520" s="293"/>
      <c r="AB520" s="102"/>
      <c r="AC520" s="102"/>
      <c r="AD520" s="102"/>
      <c r="AE520" s="102"/>
      <c r="AF520" s="293"/>
      <c r="AG520" s="293"/>
      <c r="AH520" s="102"/>
      <c r="AI520" s="102"/>
      <c r="AJ520" s="102"/>
      <c r="AK520" s="102"/>
      <c r="AL520" s="102"/>
      <c r="AM520" s="102"/>
      <c r="AN520" s="102"/>
      <c r="AO520" s="102"/>
    </row>
    <row r="521" customFormat="false" ht="12" hidden="false" customHeight="true" outlineLevel="0" collapsed="false">
      <c r="A521" s="69" t="s">
        <v>505</v>
      </c>
      <c r="B521" s="81" t="n">
        <f aca="false">+B516/B565*100</f>
        <v>1.22677565373787</v>
      </c>
      <c r="C521" s="81" t="n">
        <f aca="false">+C516/C565*100</f>
        <v>1.14933929724537</v>
      </c>
      <c r="D521" s="81" t="n">
        <f aca="false">+D516/D565*100</f>
        <v>1.83214344841118</v>
      </c>
      <c r="E521" s="81" t="n">
        <f aca="false">+E516/E565*100</f>
        <v>1.63103187950358</v>
      </c>
      <c r="F521" s="81" t="n">
        <f aca="false">+F516/F565*100</f>
        <v>1.36697402469262</v>
      </c>
      <c r="G521" s="81" t="n">
        <f aca="false">+G516/G565*100</f>
        <v>1.2297152086068</v>
      </c>
      <c r="H521" s="81" t="n">
        <f aca="false">+H516/H565*100</f>
        <v>0.938553753746246</v>
      </c>
      <c r="I521" s="81" t="n">
        <f aca="false">+I516/I565*100</f>
        <v>0.755203713511883</v>
      </c>
      <c r="J521" s="81" t="n">
        <f aca="false">+J516/J565*100</f>
        <v>0.680750131091965</v>
      </c>
      <c r="K521" s="81" t="n">
        <f aca="false">+K516/K565*100</f>
        <v>0.623278269258896</v>
      </c>
      <c r="L521" s="81" t="n">
        <f aca="false">+L516/L565*100</f>
        <v>0.835663688889373</v>
      </c>
      <c r="M521" s="81" t="n">
        <f aca="false">+M516/M565*100</f>
        <v>1.00075207070553</v>
      </c>
      <c r="N521" s="81" t="n">
        <f aca="false">+N516/N565*100</f>
        <v>1.75336141682096</v>
      </c>
      <c r="O521" s="81" t="n">
        <f aca="false">+O516/O565*100</f>
        <v>0</v>
      </c>
      <c r="P521" s="81" t="n">
        <f aca="false">+P516/P565*100</f>
        <v>0</v>
      </c>
      <c r="Q521" s="81" t="n">
        <f aca="false">+Q516/Q565*100</f>
        <v>0</v>
      </c>
      <c r="R521" s="81" t="n">
        <f aca="false">+R516/R565*100</f>
        <v>0</v>
      </c>
      <c r="S521" s="81" t="n">
        <f aca="false">+S516/S565*100</f>
        <v>0</v>
      </c>
      <c r="T521" s="81" t="n">
        <f aca="false">+T516/T565*100</f>
        <v>0</v>
      </c>
      <c r="U521" s="81" t="n">
        <f aca="false">+U516/U565*100</f>
        <v>0</v>
      </c>
      <c r="V521" s="81" t="n">
        <f aca="false">+V516/V565*100</f>
        <v>0</v>
      </c>
      <c r="W521" s="75"/>
    </row>
    <row r="522" customFormat="false" ht="12" hidden="false" customHeight="true" outlineLevel="0" collapsed="false">
      <c r="A522" s="69" t="s">
        <v>219</v>
      </c>
      <c r="B522" s="81" t="n">
        <f aca="false">+B516/B655*100</f>
        <v>0.76610609186358</v>
      </c>
      <c r="C522" s="81" t="n">
        <f aca="false">+C516/C655*100</f>
        <v>0.741305720675801</v>
      </c>
      <c r="D522" s="81" t="n">
        <f aca="false">+D516/D655*100</f>
        <v>1.18470196102272</v>
      </c>
      <c r="E522" s="81" t="n">
        <f aca="false">+E516/E655*100</f>
        <v>1.05781852234809</v>
      </c>
      <c r="F522" s="81" t="n">
        <f aca="false">+F516/F655*100</f>
        <v>0.865032179889956</v>
      </c>
      <c r="G522" s="81" t="n">
        <f aca="false">+G516/G655*100</f>
        <v>0.75903046268483</v>
      </c>
      <c r="H522" s="81" t="n">
        <f aca="false">+H516/H655*100</f>
        <v>0.587419021588725</v>
      </c>
      <c r="I522" s="81" t="n">
        <f aca="false">+I516/I655*100</f>
        <v>0.453762201208442</v>
      </c>
      <c r="J522" s="81" t="n">
        <f aca="false">+J516/J655*100</f>
        <v>0.393951960801991</v>
      </c>
      <c r="K522" s="81" t="n">
        <f aca="false">+K516/K655*100</f>
        <v>0.353171779103788</v>
      </c>
      <c r="L522" s="81" t="n">
        <f aca="false">+L516/L655*100</f>
        <v>0.49967550370121</v>
      </c>
      <c r="M522" s="81" t="n">
        <f aca="false">+M516/M655*100</f>
        <v>0.608870328087709</v>
      </c>
      <c r="N522" s="81" t="n">
        <f aca="false">+N516/N655*100</f>
        <v>1.10577596574052</v>
      </c>
      <c r="O522" s="81" t="n">
        <f aca="false">+O516/O655*100</f>
        <v>0</v>
      </c>
      <c r="P522" s="81" t="n">
        <f aca="false">+P516/P655*100</f>
        <v>0</v>
      </c>
      <c r="Q522" s="81" t="n">
        <f aca="false">+Q516/Q655*100</f>
        <v>0</v>
      </c>
      <c r="R522" s="81" t="n">
        <f aca="false">+R516/R655*100</f>
        <v>0</v>
      </c>
      <c r="S522" s="81" t="n">
        <f aca="false">+S516/S655*100</f>
        <v>0</v>
      </c>
      <c r="T522" s="81" t="n">
        <f aca="false">+T516/T655*100</f>
        <v>0</v>
      </c>
      <c r="U522" s="81" t="n">
        <f aca="false">+U516/U655*100</f>
        <v>0</v>
      </c>
      <c r="V522" s="81" t="n">
        <f aca="false">+V516/V655*100</f>
        <v>0</v>
      </c>
      <c r="W522" s="75"/>
    </row>
    <row r="523" customFormat="false" ht="12" hidden="false" customHeight="true" outlineLevel="0" collapsed="false">
      <c r="B523" s="75"/>
      <c r="C523" s="75"/>
      <c r="D523" s="75"/>
      <c r="E523" s="75"/>
      <c r="F523" s="75"/>
      <c r="G523" s="75"/>
      <c r="H523" s="75"/>
      <c r="I523" s="75"/>
      <c r="J523" s="75"/>
    </row>
    <row r="524" customFormat="false" ht="12.75" hidden="false" customHeight="true" outlineLevel="0" collapsed="false">
      <c r="A524" s="59" t="s">
        <v>512</v>
      </c>
    </row>
    <row r="525" customFormat="false" ht="12.75" hidden="false" customHeight="true" outlineLevel="0" collapsed="false">
      <c r="A525" s="59" t="s">
        <v>454</v>
      </c>
      <c r="B525" s="208" t="n">
        <v>543.27</v>
      </c>
      <c r="C525" s="208" t="n">
        <v>730.9</v>
      </c>
      <c r="D525" s="208" t="n">
        <v>929.54</v>
      </c>
      <c r="E525" s="208" t="n">
        <v>1428.75</v>
      </c>
      <c r="F525" s="208" t="n">
        <v>1765.25</v>
      </c>
      <c r="G525" s="208" t="n">
        <v>1190.22</v>
      </c>
      <c r="H525" s="208" t="n">
        <v>948.19</v>
      </c>
      <c r="I525" s="208" t="n">
        <v>1296.62</v>
      </c>
      <c r="J525" s="208" t="n">
        <v>1283.92</v>
      </c>
      <c r="K525" s="208" t="n">
        <v>1266.64</v>
      </c>
      <c r="L525" s="208" t="n">
        <v>1410</v>
      </c>
      <c r="M525" s="208" t="n">
        <v>2074.82</v>
      </c>
      <c r="N525" s="208" t="n">
        <v>2400.02</v>
      </c>
      <c r="O525" s="208" t="n">
        <v>3261.11</v>
      </c>
      <c r="P525" s="208" t="n">
        <v>5247.29</v>
      </c>
      <c r="Q525" s="208" t="n">
        <v>5004.22</v>
      </c>
      <c r="R525" s="208" t="n">
        <v>3444.785</v>
      </c>
      <c r="S525" s="208" t="n">
        <v>4227.979</v>
      </c>
      <c r="T525" s="208" t="n">
        <v>8585.397</v>
      </c>
      <c r="U525" s="208" t="n">
        <v>9167.253</v>
      </c>
      <c r="V525" s="208" t="n">
        <v>6136.134</v>
      </c>
      <c r="W525" s="208" t="n">
        <v>6446.526</v>
      </c>
      <c r="X525" s="208" t="n">
        <v>9751.856</v>
      </c>
      <c r="Y525" s="208" t="n">
        <v>14465.292</v>
      </c>
      <c r="Z525" s="208" t="n">
        <v>14604.539</v>
      </c>
      <c r="AA525" s="208" t="n">
        <v>15627.489</v>
      </c>
      <c r="AB525" s="145"/>
      <c r="AC525" s="145"/>
      <c r="AD525" s="145"/>
      <c r="AE525" s="145"/>
      <c r="AF525" s="252"/>
      <c r="AG525" s="252"/>
      <c r="AH525" s="145"/>
      <c r="AI525" s="145"/>
      <c r="AJ525" s="145"/>
      <c r="AK525" s="145"/>
      <c r="AL525" s="145"/>
      <c r="AM525" s="66"/>
      <c r="AN525" s="66"/>
      <c r="AO525" s="66"/>
    </row>
    <row r="526" customFormat="false" ht="12" hidden="false" customHeight="true" outlineLevel="0" collapsed="false">
      <c r="A526" s="69" t="s">
        <v>513</v>
      </c>
      <c r="B526" s="48" t="n">
        <v>120029</v>
      </c>
      <c r="C526" s="48" t="n">
        <v>152362</v>
      </c>
      <c r="D526" s="48" t="n">
        <v>188195</v>
      </c>
      <c r="E526" s="48" t="n">
        <v>239800</v>
      </c>
      <c r="F526" s="188" t="n">
        <v>295254</v>
      </c>
      <c r="G526" s="188" t="n">
        <v>211468</v>
      </c>
      <c r="H526" s="188" t="n">
        <v>163200</v>
      </c>
      <c r="I526" s="188" t="n">
        <v>242720</v>
      </c>
      <c r="J526" s="188" t="n">
        <v>249801</v>
      </c>
      <c r="K526" s="188" t="n">
        <v>250093</v>
      </c>
      <c r="L526" s="188" t="n">
        <v>286600</v>
      </c>
      <c r="M526" s="188" t="n">
        <v>416177</v>
      </c>
      <c r="N526" s="190" t="n">
        <v>457532</v>
      </c>
      <c r="O526" s="190" t="n">
        <v>564228</v>
      </c>
      <c r="P526" s="190" t="n">
        <v>755713</v>
      </c>
      <c r="Q526" s="190" t="n">
        <v>726909</v>
      </c>
      <c r="R526" s="190" t="n">
        <v>461480</v>
      </c>
      <c r="S526" s="190" t="n">
        <v>550612</v>
      </c>
      <c r="T526" s="190" t="n">
        <v>858590</v>
      </c>
      <c r="U526" s="62" t="n">
        <f aca="false">U529*U657</f>
        <v>901343.413597433</v>
      </c>
      <c r="V526" s="62" t="n">
        <f aca="false">V529*V657</f>
        <v>644189.472</v>
      </c>
      <c r="W526" s="62" t="n">
        <f aca="false">W529*W657</f>
        <v>496994.4</v>
      </c>
      <c r="X526" s="62" t="n">
        <f aca="false">X529*X657</f>
        <v>640777.1</v>
      </c>
      <c r="Y526" s="62" t="n">
        <f aca="false">Y529*Y657</f>
        <v>888216.45</v>
      </c>
      <c r="Z526" s="62" t="n">
        <f aca="false">Z529*Z657</f>
        <v>904418.75</v>
      </c>
      <c r="AA526" s="62" t="n">
        <f aca="false">AA529*AA657</f>
        <v>1072809.45</v>
      </c>
      <c r="AB526" s="41"/>
      <c r="AC526" s="41"/>
      <c r="AD526" s="41"/>
      <c r="AE526" s="41"/>
      <c r="AF526" s="180"/>
      <c r="AG526" s="180"/>
      <c r="AH526" s="41"/>
      <c r="AI526" s="41"/>
      <c r="AJ526" s="41"/>
      <c r="AK526" s="41"/>
      <c r="AL526" s="41"/>
      <c r="AM526" s="41"/>
      <c r="AN526" s="41"/>
      <c r="AO526" s="41"/>
    </row>
    <row r="527" customFormat="false" ht="12" hidden="false" customHeight="true" outlineLevel="0" collapsed="false">
      <c r="A527" s="69" t="s">
        <v>514</v>
      </c>
      <c r="B527" s="81" t="n">
        <f aca="false">+B525/B526*1000000</f>
        <v>4526.15617892343</v>
      </c>
      <c r="C527" s="81" t="n">
        <f aca="false">+C525/C526*1000000</f>
        <v>4797.12789278167</v>
      </c>
      <c r="D527" s="81" t="n">
        <f aca="false">+D525/D526*1000000</f>
        <v>4939.23855575334</v>
      </c>
      <c r="E527" s="81" t="n">
        <f aca="false">+E525/E526*1000000</f>
        <v>5958.09007506255</v>
      </c>
      <c r="F527" s="81" t="n">
        <f aca="false">+F525/F526*1000000</f>
        <v>5978.75049956986</v>
      </c>
      <c r="G527" s="81" t="n">
        <f aca="false">+G525/G526*1000000</f>
        <v>5628.36930410275</v>
      </c>
      <c r="H527" s="81" t="n">
        <f aca="false">+H525/H526*1000000</f>
        <v>5809.98774509804</v>
      </c>
      <c r="I527" s="81" t="n">
        <f aca="false">+I525/I526*1000000</f>
        <v>5342.04021094265</v>
      </c>
      <c r="J527" s="81" t="n">
        <f aca="false">+J525/J526*1000000</f>
        <v>5139.77125792131</v>
      </c>
      <c r="K527" s="81" t="n">
        <f aca="false">+K525/K526*1000000</f>
        <v>5064.67594055012</v>
      </c>
      <c r="L527" s="81" t="n">
        <f aca="false">+L525/L526*1000000</f>
        <v>4919.74877878576</v>
      </c>
      <c r="M527" s="81" t="n">
        <f aca="false">+M525/M526*1000000</f>
        <v>4985.42687366193</v>
      </c>
      <c r="N527" s="81" t="n">
        <f aca="false">+N525/N526*1000000</f>
        <v>5245.5784513433</v>
      </c>
      <c r="O527" s="81" t="n">
        <f aca="false">+O525/O526*1000000</f>
        <v>5779.77342492751</v>
      </c>
      <c r="P527" s="81" t="n">
        <f aca="false">+P525/P526*1000000</f>
        <v>6943.49574507783</v>
      </c>
      <c r="Q527" s="81" t="n">
        <f aca="false">+Q525/Q526*1000000</f>
        <v>6884.24548327232</v>
      </c>
      <c r="R527" s="81" t="n">
        <f aca="false">+R525/R526*1000000</f>
        <v>7464.64635520499</v>
      </c>
      <c r="S527" s="81" t="n">
        <f aca="false">+S525/S526*1000000</f>
        <v>7678.69025738633</v>
      </c>
      <c r="T527" s="81" t="n">
        <f aca="false">+T525/T526*1000000</f>
        <v>9999.41415576701</v>
      </c>
      <c r="U527" s="81" t="n">
        <f aca="false">+U525/U526*1000000</f>
        <v>10170.6551151373</v>
      </c>
      <c r="V527" s="81" t="n">
        <f aca="false">+V525/V526*1000000</f>
        <v>9525.35591888717</v>
      </c>
      <c r="W527" s="81" t="n">
        <f aca="false">+W525/W526*1000000</f>
        <v>12971.023415958</v>
      </c>
      <c r="X527" s="81" t="n">
        <f aca="false">+X525/X526*1000000</f>
        <v>15218.7960524807</v>
      </c>
      <c r="Y527" s="81" t="n">
        <f aca="false">+Y525/Y526*1000000</f>
        <v>16285.7735859317</v>
      </c>
      <c r="Z527" s="81" t="n">
        <f aca="false">+Z525/Z526*1000000</f>
        <v>16147.9834424043</v>
      </c>
      <c r="AA527" s="81" t="n">
        <f aca="false">+AA525/AA526*1000000</f>
        <v>14566.8823107403</v>
      </c>
      <c r="AB527" s="40"/>
      <c r="AC527" s="40"/>
      <c r="AD527" s="40"/>
      <c r="AE527" s="40"/>
      <c r="AF527" s="77"/>
      <c r="AG527" s="77"/>
      <c r="AH527" s="40"/>
      <c r="AI527" s="40"/>
      <c r="AJ527" s="40"/>
      <c r="AK527" s="40"/>
      <c r="AL527" s="40"/>
      <c r="AM527" s="40"/>
      <c r="AN527" s="40"/>
      <c r="AO527" s="40"/>
    </row>
    <row r="528" customFormat="false" ht="12" hidden="false" customHeight="true" outlineLevel="0" collapsed="false">
      <c r="A528" s="149" t="s">
        <v>481</v>
      </c>
      <c r="C528" s="81" t="n">
        <f aca="false">+C527/B527*100-100</f>
        <v>5.9867954870857</v>
      </c>
      <c r="D528" s="81" t="n">
        <f aca="false">+D527/C527*100-100</f>
        <v>2.96241138756197</v>
      </c>
      <c r="E528" s="81" t="n">
        <f aca="false">+E527/D527*100-100</f>
        <v>20.627704205994</v>
      </c>
      <c r="F528" s="81" t="n">
        <f aca="false">+F527/E527*100-100</f>
        <v>0.346762540462152</v>
      </c>
      <c r="G528" s="81" t="n">
        <f aca="false">+G527/F527*100-100</f>
        <v>-5.86044183466632</v>
      </c>
      <c r="H528" s="81" t="n">
        <f aca="false">+H527/G527*100-100</f>
        <v>3.22683944820218</v>
      </c>
      <c r="I528" s="81" t="n">
        <f aca="false">+I527/H527*100-100</f>
        <v>-8.05419141460673</v>
      </c>
      <c r="J528" s="81" t="n">
        <f aca="false">+J527/I527*100-100</f>
        <v>-3.78636148426992</v>
      </c>
      <c r="K528" s="81" t="n">
        <f aca="false">+K527/J527*100-100</f>
        <v>-1.46106341319091</v>
      </c>
      <c r="L528" s="81" t="n">
        <f aca="false">+L527/K527*100-100</f>
        <v>-2.86152882169613</v>
      </c>
      <c r="M528" s="81" t="n">
        <f aca="false">+M527/L527*100-100</f>
        <v>1.33498879372399</v>
      </c>
      <c r="N528" s="81" t="n">
        <f aca="false">+N527/M527*100-100</f>
        <v>5.21824077002815</v>
      </c>
      <c r="O528" s="81" t="n">
        <f aca="false">+O527/N527*100-100</f>
        <v>10.1837190795883</v>
      </c>
      <c r="P528" s="81" t="n">
        <f aca="false">+P527/O527*100-100</f>
        <v>20.1343934198408</v>
      </c>
      <c r="Q528" s="81" t="n">
        <f aca="false">+Q527/P527*100-100</f>
        <v>-0.853320344402974</v>
      </c>
      <c r="R528" s="81" t="n">
        <f aca="false">+R527/Q527*100-100</f>
        <v>8.43085670525487</v>
      </c>
      <c r="S528" s="81" t="n">
        <f aca="false">+S527/R527*100-100</f>
        <v>2.86743526747367</v>
      </c>
      <c r="T528" s="81" t="n">
        <f aca="false">+T527/S527*100-100</f>
        <v>30.2229132910827</v>
      </c>
      <c r="U528" s="81" t="n">
        <f aca="false">+U527/T527*100-100</f>
        <v>1.71250992010845</v>
      </c>
      <c r="V528" s="81" t="n">
        <f aca="false">+V527/U527*100-100</f>
        <v>-6.34471613622677</v>
      </c>
      <c r="W528" s="81" t="n">
        <f aca="false">+W527/V527*100-100</f>
        <v>36.1736351524531</v>
      </c>
      <c r="X528" s="81" t="n">
        <f aca="false">+X527/W527*100-100</f>
        <v>17.329184941238</v>
      </c>
      <c r="Y528" s="81" t="n">
        <f aca="false">+Y527/X527*100-100</f>
        <v>7.01091945625424</v>
      </c>
      <c r="Z528" s="81" t="n">
        <f aca="false">+Z527/Y527*100-100</f>
        <v>-0.846076747907091</v>
      </c>
      <c r="AA528" s="81" t="n">
        <f aca="false">+AA527/Z527*100-100</f>
        <v>-9.79132247257633</v>
      </c>
      <c r="AB528" s="275"/>
      <c r="AC528" s="275"/>
      <c r="AD528" s="275"/>
      <c r="AE528" s="275"/>
      <c r="AF528" s="77"/>
      <c r="AG528" s="77"/>
      <c r="AH528" s="275"/>
      <c r="AI528" s="275"/>
      <c r="AJ528" s="275"/>
      <c r="AK528" s="275"/>
      <c r="AL528" s="275"/>
      <c r="AM528" s="214"/>
      <c r="AN528" s="214"/>
      <c r="AO528" s="214"/>
    </row>
    <row r="529" customFormat="false" ht="12" hidden="false" customHeight="true" outlineLevel="0" collapsed="false">
      <c r="A529" s="69" t="s">
        <v>504</v>
      </c>
      <c r="B529" s="81" t="n">
        <f aca="false">+B526/B657</f>
        <v>5.83486461523504</v>
      </c>
      <c r="C529" s="81" t="n">
        <f aca="false">+C526/C657</f>
        <v>6.28919342854784</v>
      </c>
      <c r="D529" s="81" t="n">
        <f aca="false">+D526/D657</f>
        <v>6.18858927984216</v>
      </c>
      <c r="E529" s="81" t="n">
        <f aca="false">+E526/E657</f>
        <v>6.41193614802535</v>
      </c>
      <c r="F529" s="81" t="n">
        <f aca="false">+F526/F657</f>
        <v>6.8106200405979</v>
      </c>
      <c r="G529" s="81" t="n">
        <f aca="false">+G526/G657</f>
        <v>6.70326813960123</v>
      </c>
      <c r="H529" s="81" t="n">
        <f aca="false">+H526/H657</f>
        <v>5.48737433173061</v>
      </c>
      <c r="I529" s="81" t="n">
        <f aca="false">+I526/I657</f>
        <v>6.41115718851528</v>
      </c>
      <c r="J529" s="81" t="n">
        <f aca="false">+J526/J657</f>
        <v>7.69210161662818</v>
      </c>
      <c r="K529" s="81" t="n">
        <f aca="false">+K526/K657</f>
        <v>8.42830182320628</v>
      </c>
      <c r="L529" s="81" t="n">
        <f aca="false">+L526/L657</f>
        <v>7.86412029414993</v>
      </c>
      <c r="M529" s="81" t="n">
        <f aca="false">+M526/M657</f>
        <v>8.55380852550664</v>
      </c>
      <c r="N529" s="81" t="n">
        <f aca="false">+N526/N657</f>
        <v>8.35827548410669</v>
      </c>
      <c r="O529" s="81" t="n">
        <f aca="false">+O526/O657</f>
        <v>9.15137458438083</v>
      </c>
      <c r="P529" s="81" t="n">
        <f aca="false">+P526/P657</f>
        <v>9.09500427242421</v>
      </c>
      <c r="Q529" s="81" t="n">
        <f aca="false">+Q526/Q657</f>
        <v>8.72545583310327</v>
      </c>
      <c r="R529" s="81" t="n">
        <f aca="false">+R526/R657</f>
        <v>8.47825687567746</v>
      </c>
      <c r="S529" s="81" t="n">
        <f aca="false">+S526/S657</f>
        <v>8.61327159528205</v>
      </c>
      <c r="T529" s="81" t="n">
        <f aca="false">+T526/T657</f>
        <v>9.12364780141543</v>
      </c>
      <c r="U529" s="87" t="n">
        <f aca="false">T529</f>
        <v>9.12364780141543</v>
      </c>
      <c r="V529" s="294" t="n">
        <v>7.2</v>
      </c>
      <c r="W529" s="294" t="n">
        <v>7.2</v>
      </c>
      <c r="X529" s="168" t="n">
        <v>7.4</v>
      </c>
      <c r="Y529" s="168" t="n">
        <v>7.4</v>
      </c>
      <c r="Z529" s="168" t="n">
        <v>7.4</v>
      </c>
      <c r="AA529" s="168" t="n">
        <v>7.4</v>
      </c>
      <c r="AB529" s="171"/>
      <c r="AC529" s="171"/>
      <c r="AD529" s="171"/>
      <c r="AE529" s="171"/>
      <c r="AF529" s="82"/>
      <c r="AG529" s="82"/>
      <c r="AH529" s="171"/>
      <c r="AI529" s="171"/>
      <c r="AJ529" s="171"/>
      <c r="AK529" s="171"/>
      <c r="AL529" s="171"/>
      <c r="AM529" s="290"/>
      <c r="AN529" s="290"/>
      <c r="AO529" s="290"/>
    </row>
    <row r="530" customFormat="false" ht="12" hidden="false" customHeight="true" outlineLevel="0" collapsed="false">
      <c r="A530" s="69" t="s">
        <v>505</v>
      </c>
      <c r="B530" s="81" t="n">
        <f aca="false">+B525/B565*100</f>
        <v>9.11474848750239</v>
      </c>
      <c r="C530" s="81" t="n">
        <f aca="false">+C525/C565*100</f>
        <v>9.59292100441519</v>
      </c>
      <c r="D530" s="81" t="n">
        <f aca="false">+D525/D565*100</f>
        <v>9.49938989868435</v>
      </c>
      <c r="E530" s="81" t="n">
        <f aca="false">+E525/E565*100</f>
        <v>10.9616482329401</v>
      </c>
      <c r="F530" s="81" t="n">
        <f aca="false">+F525/F565*100</f>
        <v>11.2370815734779</v>
      </c>
      <c r="G530" s="81" t="n">
        <f aca="false">+G525/G565*100</f>
        <v>9.57310246313026</v>
      </c>
      <c r="H530" s="81" t="n">
        <f aca="false">+H525/H565*100</f>
        <v>7.40803532643514</v>
      </c>
      <c r="I530" s="81" t="n">
        <f aca="false">+I525/I565*100</f>
        <v>8.30403866192145</v>
      </c>
      <c r="J530" s="81" t="n">
        <f aca="false">+J525/J565*100</f>
        <v>8.51133224570645</v>
      </c>
      <c r="K530" s="81" t="n">
        <f aca="false">+K525/K565*100</f>
        <v>8.4980536810989</v>
      </c>
      <c r="L530" s="81" t="n">
        <f aca="false">+L525/L565*100</f>
        <v>7.67113151910166</v>
      </c>
      <c r="M530" s="81" t="n">
        <f aca="false">+M525/M565*100</f>
        <v>8.68342426957696</v>
      </c>
      <c r="N530" s="81" t="n">
        <f aca="false">+N525/N565*100</f>
        <v>7.90966968835502</v>
      </c>
      <c r="O530" s="81" t="n">
        <f aca="false">+O525/O565*100</f>
        <v>8.43062522313517</v>
      </c>
      <c r="P530" s="81" t="n">
        <f aca="false">+P525/P565*100</f>
        <v>9.60459340330675</v>
      </c>
      <c r="Q530" s="81" t="n">
        <f aca="false">+Q525/Q565*100</f>
        <v>8.67982598095587</v>
      </c>
      <c r="R530" s="81" t="n">
        <f aca="false">+R525/R565*100</f>
        <v>7.73684175300241</v>
      </c>
      <c r="S530" s="81" t="n">
        <f aca="false">+S525/S565*100</f>
        <v>8.10063700484012</v>
      </c>
      <c r="T530" s="81" t="n">
        <f aca="false">+T525/T565*100</f>
        <v>10.5686566849079</v>
      </c>
      <c r="U530" s="81" t="n">
        <f aca="false">+U525/U565*100</f>
        <v>9.68634387782217</v>
      </c>
      <c r="V530" s="81" t="n">
        <f aca="false">+V525/V565*100</f>
        <v>6.72568317462851</v>
      </c>
      <c r="W530" s="81" t="n">
        <f aca="false">+W525/W565*100</f>
        <v>8.47895421961909</v>
      </c>
      <c r="X530" s="81" t="n">
        <f aca="false">+X525/X565*100</f>
        <v>9.78590134650251</v>
      </c>
      <c r="Y530" s="81" t="n">
        <f aca="false">+Y525/Y565*100</f>
        <v>10.9628230701099</v>
      </c>
      <c r="Z530" s="81" t="n">
        <f aca="false">+Z525/Z565*100</f>
        <v>10.4637544809461</v>
      </c>
      <c r="AA530" s="81" t="n">
        <f aca="false">+AA525/AA565*100</f>
        <v>8.39227671132525</v>
      </c>
      <c r="AB530" s="75"/>
      <c r="AC530" s="75"/>
      <c r="AD530" s="75"/>
      <c r="AE530" s="75"/>
      <c r="AF530" s="82"/>
      <c r="AG530" s="82"/>
      <c r="AH530" s="75"/>
      <c r="AI530" s="75"/>
      <c r="AJ530" s="75"/>
      <c r="AK530" s="75"/>
      <c r="AL530" s="75"/>
      <c r="AM530" s="75"/>
      <c r="AN530" s="75"/>
      <c r="AO530" s="75"/>
    </row>
    <row r="531" customFormat="false" ht="12" hidden="false" customHeight="true" outlineLevel="0" collapsed="false">
      <c r="A531" s="69" t="s">
        <v>219</v>
      </c>
      <c r="B531" s="81" t="n">
        <f aca="false">+B525/B655*100</f>
        <v>5.69204672492789</v>
      </c>
      <c r="C531" s="81" t="n">
        <f aca="false">+C525/C655*100</f>
        <v>6.18728275941468</v>
      </c>
      <c r="D531" s="81" t="n">
        <f aca="false">+D525/D655*100</f>
        <v>6.14250257055479</v>
      </c>
      <c r="E531" s="81" t="n">
        <f aca="false">+E525/E655*100</f>
        <v>7.10926296535506</v>
      </c>
      <c r="F531" s="81" t="n">
        <f aca="false">+F525/F655*100</f>
        <v>7.11091578444046</v>
      </c>
      <c r="G531" s="81" t="n">
        <f aca="false">+G525/G655*100</f>
        <v>5.90890991756648</v>
      </c>
      <c r="H531" s="81" t="n">
        <f aca="false">+H525/H655*100</f>
        <v>4.63651745675695</v>
      </c>
      <c r="I531" s="81" t="n">
        <f aca="false">+I525/I655*100</f>
        <v>4.98946018767715</v>
      </c>
      <c r="J531" s="81" t="n">
        <f aca="false">+J525/J655*100</f>
        <v>4.9255312251718</v>
      </c>
      <c r="K531" s="81" t="n">
        <f aca="false">+K525/K655*100</f>
        <v>4.81530142393995</v>
      </c>
      <c r="L531" s="81" t="n">
        <f aca="false">+L525/L655*100</f>
        <v>4.5868649753822</v>
      </c>
      <c r="M531" s="81" t="n">
        <f aca="false">+M525/M655*100</f>
        <v>5.28310611459911</v>
      </c>
      <c r="N531" s="81" t="n">
        <f aca="false">+N525/N655*100</f>
        <v>4.98831704314983</v>
      </c>
      <c r="O531" s="81" t="n">
        <f aca="false">+O525/O655*100</f>
        <v>5.3874968032951</v>
      </c>
      <c r="P531" s="81" t="n">
        <f aca="false">+P525/P655*100</f>
        <v>6.31844528838249</v>
      </c>
      <c r="Q531" s="81" t="n">
        <f aca="false">+Q525/Q655*100</f>
        <v>5.60151516338713</v>
      </c>
      <c r="R531" s="81" t="n">
        <f aca="false">+R525/R655*100</f>
        <v>5.16719809128439</v>
      </c>
      <c r="S531" s="81" t="n">
        <f aca="false">+S525/S655*100</f>
        <v>5.37050071936868</v>
      </c>
      <c r="T531" s="81" t="n">
        <f aca="false">+T525/T655*100</f>
        <v>7.09912033852465</v>
      </c>
      <c r="U531" s="81" t="n">
        <f aca="false">+U525/U655*100</f>
        <v>6.71745613124657</v>
      </c>
      <c r="V531" s="81" t="n">
        <f aca="false">+V525/V655*100</f>
        <v>4.61413454355569</v>
      </c>
      <c r="W531" s="81" t="n">
        <f aca="false">+W525/W655*100</f>
        <v>6.10417614961181</v>
      </c>
      <c r="X531" s="81" t="n">
        <f aca="false">+X525/X655*100</f>
        <v>6.73194861760203</v>
      </c>
      <c r="Y531" s="81" t="n">
        <f aca="false">+Y525/Y655*100</f>
        <v>7.23518764906924</v>
      </c>
      <c r="Z531" s="81" t="n">
        <f aca="false">+Z525/Z655*100</f>
        <v>6.84641175124923</v>
      </c>
      <c r="AA531" s="81" t="n">
        <f aca="false">+AA525/AA655*100</f>
        <v>5.89171595651493</v>
      </c>
      <c r="AB531" s="75"/>
      <c r="AC531" s="75"/>
      <c r="AD531" s="75"/>
      <c r="AE531" s="75"/>
      <c r="AF531" s="82"/>
      <c r="AG531" s="82"/>
      <c r="AH531" s="75"/>
      <c r="AI531" s="75"/>
      <c r="AJ531" s="75"/>
      <c r="AK531" s="75"/>
      <c r="AL531" s="75"/>
      <c r="AM531" s="75"/>
      <c r="AN531" s="75"/>
      <c r="AO531" s="75"/>
    </row>
    <row r="532" customFormat="false" ht="12.75" hidden="false" customHeight="true" outlineLevel="0" collapsed="false">
      <c r="A532" s="167"/>
      <c r="B532" s="75"/>
      <c r="C532" s="75"/>
      <c r="D532" s="75"/>
      <c r="E532" s="75"/>
      <c r="F532" s="75"/>
      <c r="G532" s="75"/>
      <c r="H532" s="75"/>
      <c r="I532" s="75"/>
      <c r="J532" s="75"/>
      <c r="K532" s="75"/>
      <c r="L532" s="75"/>
      <c r="M532" s="75"/>
    </row>
    <row r="533" customFormat="false" ht="12.75" hidden="false" customHeight="true" outlineLevel="0" collapsed="false">
      <c r="A533" s="73" t="s">
        <v>515</v>
      </c>
    </row>
    <row r="534" customFormat="false" ht="12.75" hidden="false" customHeight="true" outlineLevel="0" collapsed="false">
      <c r="A534" s="59" t="s">
        <v>454</v>
      </c>
      <c r="B534" s="208" t="n">
        <v>3011.8</v>
      </c>
      <c r="C534" s="208" t="n">
        <v>4056.1</v>
      </c>
      <c r="D534" s="208" t="n">
        <v>5685.65</v>
      </c>
      <c r="E534" s="208" t="n">
        <v>7832.26</v>
      </c>
      <c r="F534" s="208" t="n">
        <v>10688.2</v>
      </c>
      <c r="G534" s="208" t="n">
        <v>7994.96</v>
      </c>
      <c r="H534" s="208" t="n">
        <v>7136.47</v>
      </c>
      <c r="I534" s="208" t="n">
        <v>10281.81</v>
      </c>
      <c r="J534" s="208" t="n">
        <v>10263.3</v>
      </c>
      <c r="K534" s="208" t="n">
        <v>10982.28</v>
      </c>
      <c r="L534" s="208" t="n">
        <v>11870.58</v>
      </c>
      <c r="M534" s="208" t="n">
        <v>17757.2</v>
      </c>
      <c r="N534" s="208" t="n">
        <v>22937.45</v>
      </c>
      <c r="O534" s="208" t="n">
        <v>31514.7</v>
      </c>
      <c r="P534" s="208" t="n">
        <v>41486.36</v>
      </c>
      <c r="Q534" s="208" t="n">
        <v>45311.07</v>
      </c>
      <c r="R534" s="208" t="n">
        <v>34647.782</v>
      </c>
      <c r="S534" s="208" t="n">
        <v>42489.126</v>
      </c>
      <c r="T534" s="208" t="n">
        <v>62970.471</v>
      </c>
      <c r="U534" s="208" t="n">
        <v>72789.933</v>
      </c>
      <c r="V534" s="208" t="n">
        <v>59390.366</v>
      </c>
      <c r="W534" s="208" t="n">
        <v>45567.871</v>
      </c>
      <c r="X534" s="208" t="n">
        <v>60540.824</v>
      </c>
      <c r="Y534" s="208" t="n">
        <v>88253.35</v>
      </c>
      <c r="Z534" s="208" t="n">
        <v>95010.965</v>
      </c>
      <c r="AA534" s="208" t="n">
        <v>112427.589</v>
      </c>
      <c r="AB534" s="209" t="n">
        <f aca="false">208722.7+7661</f>
        <v>216383.7</v>
      </c>
      <c r="AC534" s="209" t="n">
        <f aca="false">103844.6+7932.2</f>
        <v>111776.8</v>
      </c>
      <c r="AD534" s="209" t="n">
        <f aca="false">111189.6+7466.6</f>
        <v>118656.2</v>
      </c>
      <c r="AE534" s="209" t="n">
        <f aca="false">159131.6+8969</f>
        <v>168100.6</v>
      </c>
      <c r="AF534" s="209" t="n">
        <f aca="false">272469.5+11606.9</f>
        <v>284076.4</v>
      </c>
      <c r="AG534" s="209" t="n">
        <f aca="false">269165.4+15064.1</f>
        <v>284229.5</v>
      </c>
      <c r="AH534" s="209" t="n">
        <f aca="false">257117.4+16804.6</f>
        <v>273922</v>
      </c>
      <c r="AI534" s="209" t="n">
        <f aca="false">297226.8+18053.9</f>
        <v>315280.7</v>
      </c>
      <c r="AJ534" s="67" t="n">
        <f aca="false">+AJ538*AJ655/100</f>
        <v>347869.127987938</v>
      </c>
      <c r="AK534" s="67" t="n">
        <f aca="false">+AK538*AK655/100</f>
        <v>373186.611619762</v>
      </c>
      <c r="AL534" s="67" t="n">
        <f aca="false">+AL538*AL655/100</f>
        <v>401195.306230658</v>
      </c>
      <c r="AM534" s="145"/>
      <c r="AN534" s="145"/>
      <c r="AO534" s="145"/>
    </row>
    <row r="535" customFormat="false" ht="12.75" hidden="false" customHeight="true" outlineLevel="0" collapsed="false">
      <c r="A535" s="59" t="s">
        <v>516</v>
      </c>
      <c r="B535" s="67" t="n">
        <f aca="false">(+B534/B657)*1000000</f>
        <v>146409.994652666</v>
      </c>
      <c r="C535" s="67" t="n">
        <f aca="false">(+C534/C657)*1000000</f>
        <v>167427.557169983</v>
      </c>
      <c r="D535" s="67" t="n">
        <f aca="false">(+D534/D657)*1000000</f>
        <v>186966.458401842</v>
      </c>
      <c r="E535" s="67" t="n">
        <f aca="false">(+E534/E657)*1000000</f>
        <v>209424.316158186</v>
      </c>
      <c r="F535" s="67" t="n">
        <f aca="false">(+F534/F657)*1000000</f>
        <v>246544.565417974</v>
      </c>
      <c r="G535" s="67" t="n">
        <f aca="false">(+G534/G657)*1000000</f>
        <v>253430.120138207</v>
      </c>
      <c r="H535" s="67" t="n">
        <f aca="false">(+H534/H657)*1000000</f>
        <v>239953.935644397</v>
      </c>
      <c r="I535" s="67" t="n">
        <f aca="false">(+I534/I657)*1000000</f>
        <v>271581.658258274</v>
      </c>
      <c r="J535" s="67" t="n">
        <f aca="false">(+J534/J657)*1000000</f>
        <v>316036.951501155</v>
      </c>
      <c r="K535" s="67" t="n">
        <f aca="false">(+K534/K657)*1000000</f>
        <v>370110.201193004</v>
      </c>
      <c r="L535" s="67" t="n">
        <f aca="false">(+L534/L657)*1000000</f>
        <v>325721.106354956</v>
      </c>
      <c r="M535" s="67" t="n">
        <f aca="false">(+M534/M657)*1000000</f>
        <v>364968.964525013</v>
      </c>
      <c r="N535" s="67" t="n">
        <f aca="false">(+N534/N657)*1000000</f>
        <v>419025.392765802</v>
      </c>
      <c r="O535" s="67" t="n">
        <f aca="false">(+O534/O657)*1000000</f>
        <v>511145.892466142</v>
      </c>
      <c r="P535" s="67" t="n">
        <f aca="false">(+P534/P657)*1000000</f>
        <v>499288.250231674</v>
      </c>
      <c r="Q535" s="67" t="n">
        <f aca="false">(+Q534/Q657)*1000000</f>
        <v>543891.656363658</v>
      </c>
      <c r="R535" s="67" t="n">
        <f aca="false">(+R534/R657)*1000000</f>
        <v>636545.020300931</v>
      </c>
      <c r="S535" s="67" t="n">
        <f aca="false">(+S534/S657)*1000000</f>
        <v>664661.108156306</v>
      </c>
      <c r="T535" s="67" t="n">
        <f aca="false">(+T534/T657)*1000000</f>
        <v>669144.060952543</v>
      </c>
      <c r="U535" s="67" t="n">
        <f aca="false">(+U534/U657)*1000000</f>
        <v>736799.872459309</v>
      </c>
      <c r="V535" s="67" t="n">
        <f aca="false">(+V534/V657)*1000000</f>
        <v>663796.373250881</v>
      </c>
      <c r="W535" s="67" t="n">
        <f aca="false">(+W534/W657)*1000000</f>
        <v>660145.609688962</v>
      </c>
      <c r="X535" s="67" t="n">
        <f aca="false">(+X534/X657)*1000000</f>
        <v>699154.351177656</v>
      </c>
      <c r="Y535" s="67" t="n">
        <f aca="false">(+Y534/Y657)*1000000</f>
        <v>735265.362401248</v>
      </c>
      <c r="Z535" s="67" t="n">
        <f aca="false">(+Z534/Z657)*1000000</f>
        <v>777384.525696753</v>
      </c>
      <c r="AA535" s="67" t="n">
        <f aca="false">(+AA534/AA657)*1000000</f>
        <v>775500.400933269</v>
      </c>
      <c r="AB535" s="67" t="n">
        <f aca="false">(+AB534/AB657)*1000000</f>
        <v>1096357.52865235</v>
      </c>
      <c r="AC535" s="67" t="n">
        <f aca="false">(+AC534/AC657)*1000000</f>
        <v>892408.165872275</v>
      </c>
      <c r="AD535" s="67" t="n">
        <f aca="false">(+AD534/AD657)*1000000</f>
        <v>1178138.31107581</v>
      </c>
      <c r="AE535" s="67" t="n">
        <f aca="false">(+AE534/AE657)*1000000</f>
        <v>1309949.65946106</v>
      </c>
      <c r="AF535" s="67" t="n">
        <f aca="false">(+AF534/AF657)*1000000</f>
        <v>1477986.52480425</v>
      </c>
      <c r="AG535" s="67" t="n">
        <f aca="false">(+AG534/AG657)*1000000</f>
        <v>1459960.55125512</v>
      </c>
      <c r="AH535" s="67" t="n">
        <f aca="false">(+AH534/AH657)*1000000</f>
        <v>1404058.57719139</v>
      </c>
      <c r="AI535" s="67" t="n">
        <f aca="false">(+AI534/AI657)*1000000</f>
        <v>1430253.08818393</v>
      </c>
      <c r="AJ535" s="67" t="n">
        <f aca="false">(+AJ534/AJ657)*1000000</f>
        <v>1465356.01069985</v>
      </c>
      <c r="AK535" s="67" t="n">
        <f aca="false">(+AK534/AK657)*1000000</f>
        <v>1468129.49011869</v>
      </c>
      <c r="AL535" s="67" t="n">
        <f aca="false">(+AL534/AL657)*1000000</f>
        <v>1484216.06982527</v>
      </c>
      <c r="AM535" s="145"/>
      <c r="AN535" s="145"/>
      <c r="AO535" s="145"/>
    </row>
    <row r="536" customFormat="false" ht="12.75" hidden="false" customHeight="true" outlineLevel="0" collapsed="false">
      <c r="A536" s="59" t="s">
        <v>481</v>
      </c>
      <c r="B536" s="19"/>
      <c r="C536" s="165" t="n">
        <f aca="false">(100*C535)/B535-100</f>
        <v>14.3552785226015</v>
      </c>
      <c r="D536" s="165" t="n">
        <f aca="false">(100*D535)/C535-100</f>
        <v>11.670062898918</v>
      </c>
      <c r="E536" s="165" t="n">
        <f aca="false">(100*E535)/D535-100</f>
        <v>12.0117041036722</v>
      </c>
      <c r="F536" s="165" t="n">
        <f aca="false">(100*F535)/E535-100</f>
        <v>17.7248993530195</v>
      </c>
      <c r="G536" s="165" t="n">
        <f aca="false">(100*G535)/F535-100</f>
        <v>2.79282356459953</v>
      </c>
      <c r="H536" s="165" t="n">
        <f aca="false">(100*H535)/G535-100</f>
        <v>-5.3175149372382</v>
      </c>
      <c r="I536" s="165" t="n">
        <f aca="false">(100*I535)/H535-100</f>
        <v>13.1807476001347</v>
      </c>
      <c r="J536" s="165" t="n">
        <f aca="false">(100*J535)/I535-100</f>
        <v>16.3690337292969</v>
      </c>
      <c r="K536" s="165" t="n">
        <f aca="false">(100*K535)/J535-100</f>
        <v>17.1097871419796</v>
      </c>
      <c r="L536" s="165" t="n">
        <f aca="false">(100*L535)/K535-100</f>
        <v>-11.9934805079583</v>
      </c>
      <c r="M536" s="165" t="n">
        <f aca="false">(100*M535)/L535-100</f>
        <v>12.0495286932027</v>
      </c>
      <c r="N536" s="165" t="n">
        <f aca="false">(100*N535)/M535-100</f>
        <v>14.8112397203801</v>
      </c>
      <c r="O536" s="165" t="n">
        <f aca="false">(100*O535)/N535-100</f>
        <v>21.9844671207856</v>
      </c>
      <c r="P536" s="165" t="n">
        <f aca="false">(100*P535)/O535-100</f>
        <v>-2.31981561609713</v>
      </c>
      <c r="Q536" s="165" t="n">
        <f aca="false">(100*Q535)/P535-100</f>
        <v>8.93339791418849</v>
      </c>
      <c r="R536" s="165" t="n">
        <f aca="false">(100*R535)/Q535-100</f>
        <v>17.0352611321037</v>
      </c>
      <c r="S536" s="165" t="n">
        <f aca="false">(100*S535)/R535-100</f>
        <v>4.41698339609697</v>
      </c>
      <c r="T536" s="165" t="n">
        <f aca="false">(100*T535)/S535-100</f>
        <v>0.674471958901336</v>
      </c>
      <c r="U536" s="165" t="n">
        <f aca="false">(100*U535)/T535-100</f>
        <v>10.110799072244</v>
      </c>
      <c r="V536" s="165" t="n">
        <f aca="false">(100*V535)/U535-100</f>
        <v>-9.90818564676927</v>
      </c>
      <c r="W536" s="165" t="n">
        <f aca="false">(100*W535)/V535-100</f>
        <v>-0.54998245079878</v>
      </c>
      <c r="X536" s="165" t="n">
        <f aca="false">(100*X535)/W535-100</f>
        <v>5.90911170447276</v>
      </c>
      <c r="Y536" s="165" t="n">
        <f aca="false">(100*Y535)/X535-100</f>
        <v>5.16495551558346</v>
      </c>
      <c r="Z536" s="165" t="n">
        <f aca="false">(100*Z535)/Y535-100</f>
        <v>5.728430230679</v>
      </c>
      <c r="AA536" s="165" t="n">
        <f aca="false">(100*AA535)/Z535-100</f>
        <v>-0.242367155661469</v>
      </c>
      <c r="AB536" s="165" t="n">
        <f aca="false">(100*AB535)/AA535-100</f>
        <v>41.3742052657806</v>
      </c>
      <c r="AC536" s="165" t="n">
        <f aca="false">(100*AC535)/AB535-100</f>
        <v>-18.6024501542642</v>
      </c>
      <c r="AD536" s="165" t="n">
        <f aca="false">(100*AD535)/AC535-100</f>
        <v>32.0178765872508</v>
      </c>
      <c r="AE536" s="165" t="n">
        <f aca="false">(100*AE535)/AD535-100</f>
        <v>11.1881047535828</v>
      </c>
      <c r="AF536" s="165" t="n">
        <f aca="false">(100*AF535)/AE535-100</f>
        <v>12.8277345720537</v>
      </c>
      <c r="AG536" s="165" t="n">
        <f aca="false">(100*AG535)/AF535-100</f>
        <v>-1.21963043956143</v>
      </c>
      <c r="AH536" s="165" t="n">
        <f aca="false">(100*AH535)/AG535-100</f>
        <v>-3.82900579167485</v>
      </c>
      <c r="AI536" s="165" t="n">
        <f aca="false">(100*AI535)/AH535-100</f>
        <v>1.86562807407459</v>
      </c>
      <c r="AJ536" s="165" t="n">
        <f aca="false">(100*AJ535)/AI535-100</f>
        <v>2.45431544989681</v>
      </c>
      <c r="AK536" s="165" t="n">
        <f aca="false">(100*AK535)/AJ535-100</f>
        <v>0.18927000664624</v>
      </c>
      <c r="AL536" s="165" t="n">
        <f aca="false">(100*AL535)/AK535-100</f>
        <v>1.09571940451077</v>
      </c>
      <c r="AM536" s="295"/>
      <c r="AN536" s="295"/>
      <c r="AO536" s="295"/>
    </row>
    <row r="537" customFormat="false" ht="12" hidden="false" customHeight="true" outlineLevel="0" collapsed="false">
      <c r="A537" s="69" t="s">
        <v>505</v>
      </c>
      <c r="B537" s="81" t="n">
        <f aca="false">+B534/B565*100</f>
        <v>50.5306744246134</v>
      </c>
      <c r="C537" s="81" t="n">
        <f aca="false">+C534/C565*100</f>
        <v>53.2355272759727</v>
      </c>
      <c r="D537" s="81" t="n">
        <f aca="false">+D534/D565*100</f>
        <v>58.1042302401776</v>
      </c>
      <c r="E537" s="81" t="n">
        <f aca="false">+E534/E565*100</f>
        <v>60.0906239642537</v>
      </c>
      <c r="F537" s="81" t="n">
        <f aca="false">+F534/F565*100</f>
        <v>68.0380542550043</v>
      </c>
      <c r="G537" s="81" t="n">
        <f aca="false">+G534/G565*100</f>
        <v>64.3045582065735</v>
      </c>
      <c r="H537" s="81" t="n">
        <f aca="false">+H534/H565*100</f>
        <v>55.755936959939</v>
      </c>
      <c r="I537" s="81" t="n">
        <f aca="false">+I534/I565*100</f>
        <v>65.8485506582735</v>
      </c>
      <c r="J537" s="81" t="n">
        <f aca="false">+J534/J565*100</f>
        <v>68.0372268033514</v>
      </c>
      <c r="K537" s="81" t="n">
        <f aca="false">+K534/K565*100</f>
        <v>73.6815551228912</v>
      </c>
      <c r="L537" s="81" t="n">
        <f aca="false">+L534/L565*100</f>
        <v>64.5821137503672</v>
      </c>
      <c r="M537" s="81" t="n">
        <f aca="false">+M534/M565*100</f>
        <v>74.3164715202919</v>
      </c>
      <c r="N537" s="81" t="n">
        <f aca="false">+N534/N565*100</f>
        <v>75.5942254619373</v>
      </c>
      <c r="O537" s="81" t="n">
        <f aca="false">+O534/O565*100</f>
        <v>81.4718377238235</v>
      </c>
      <c r="P537" s="81" t="n">
        <f aca="false">+P534/P565*100</f>
        <v>75.9362679751279</v>
      </c>
      <c r="Q537" s="81" t="n">
        <f aca="false">+Q534/Q565*100</f>
        <v>78.5921087823697</v>
      </c>
      <c r="R537" s="81" t="n">
        <f aca="false">+R534/R565*100</f>
        <v>77.8174563656441</v>
      </c>
      <c r="S537" s="81" t="n">
        <f aca="false">+S534/S565*100</f>
        <v>81.4074493697614</v>
      </c>
      <c r="T537" s="81" t="n">
        <f aca="false">+T534/T565*100</f>
        <v>77.516891680833</v>
      </c>
      <c r="U537" s="81" t="n">
        <f aca="false">+U534/U565*100</f>
        <v>76.9116246580776</v>
      </c>
      <c r="V537" s="81" t="n">
        <f aca="false">+V534/V565*100</f>
        <v>65.0964899627728</v>
      </c>
      <c r="W537" s="81" t="n">
        <f aca="false">+W534/W565*100</f>
        <v>59.9342796561292</v>
      </c>
      <c r="X537" s="81" t="n">
        <f aca="false">+X534/X565*100</f>
        <v>60.7521820564179</v>
      </c>
      <c r="Y537" s="81" t="n">
        <f aca="false">+Y534/Y565*100</f>
        <v>66.8846409318586</v>
      </c>
      <c r="Z537" s="81" t="n">
        <f aca="false">+Z534/Z565*100</f>
        <v>68.0727690725302</v>
      </c>
      <c r="AA537" s="81" t="n">
        <f aca="false">+AA534/AA565*100</f>
        <v>60.3758823234588</v>
      </c>
      <c r="AB537" s="81" t="n">
        <f aca="false">+AB534/AB565*100</f>
        <v>104.636460042448</v>
      </c>
      <c r="AC537" s="81" t="n">
        <f aca="false">+AC534/AC565*100</f>
        <v>90.3674060060716</v>
      </c>
      <c r="AD537" s="81" t="n">
        <f aca="false">+AD534/AD565*100</f>
        <v>104.05417374429</v>
      </c>
      <c r="AE537" s="81" t="n">
        <f aca="false">+AE534/AE565*100</f>
        <v>100.292284442461</v>
      </c>
      <c r="AF537" s="81" t="n">
        <f aca="false">+AF534/AF565*100</f>
        <v>102.005411296216</v>
      </c>
      <c r="AG537" s="81" t="n">
        <f aca="false">+AG534/AG565*100</f>
        <v>101.830538180518</v>
      </c>
      <c r="AH537" s="81" t="n">
        <f aca="false">+AH534/AH565*100</f>
        <v>99.1652541851327</v>
      </c>
      <c r="AI537" s="81" t="n">
        <f aca="false">+AI534/AI565*100</f>
        <v>100.353087518469</v>
      </c>
      <c r="AJ537" s="81" t="n">
        <f aca="false">+AJ534/AJ565*100</f>
        <v>100</v>
      </c>
      <c r="AK537" s="81" t="n">
        <f aca="false">+AK534/AK565*100</f>
        <v>100</v>
      </c>
      <c r="AL537" s="81" t="n">
        <f aca="false">+AL534/AL565*100</f>
        <v>100</v>
      </c>
      <c r="AM537" s="75"/>
      <c r="AN537" s="75"/>
      <c r="AO537" s="75"/>
    </row>
    <row r="538" customFormat="false" ht="12" hidden="false" customHeight="true" outlineLevel="0" collapsed="false">
      <c r="A538" s="69" t="s">
        <v>219</v>
      </c>
      <c r="B538" s="81" t="n">
        <f aca="false">+B534/B655*100</f>
        <v>31.5557758133853</v>
      </c>
      <c r="C538" s="81" t="n">
        <f aca="false">+C534/C655*100</f>
        <v>34.3360755239593</v>
      </c>
      <c r="D538" s="81" t="n">
        <f aca="false">+D534/D655*100</f>
        <v>37.5714006285634</v>
      </c>
      <c r="E538" s="81" t="n">
        <f aca="false">+E534/E655*100</f>
        <v>38.9722456364177</v>
      </c>
      <c r="F538" s="81" t="n">
        <f aca="false">+F534/F655*100</f>
        <v>43.055029082145</v>
      </c>
      <c r="G538" s="81" t="n">
        <f aca="false">+G534/G655*100</f>
        <v>39.6914002743587</v>
      </c>
      <c r="H538" s="81" t="n">
        <f aca="false">+H534/H655*100</f>
        <v>34.8963474985207</v>
      </c>
      <c r="I538" s="81" t="n">
        <f aca="false">+I534/I655*100</f>
        <v>39.5649316316738</v>
      </c>
      <c r="J538" s="81" t="n">
        <f aca="false">+J534/J655*100</f>
        <v>39.3733290417672</v>
      </c>
      <c r="K538" s="81" t="n">
        <f aca="false">+K534/K655*100</f>
        <v>41.7506067407529</v>
      </c>
      <c r="L538" s="81" t="n">
        <f aca="false">+L534/L655*100</f>
        <v>38.61613307764</v>
      </c>
      <c r="M538" s="81" t="n">
        <f aca="false">+M534/M655*100</f>
        <v>45.2150894526558</v>
      </c>
      <c r="N538" s="81" t="n">
        <f aca="false">+N534/N655*100</f>
        <v>47.6742996980846</v>
      </c>
      <c r="O538" s="81" t="n">
        <f aca="false">+O534/O655*100</f>
        <v>52.063667127697</v>
      </c>
      <c r="P538" s="81" t="n">
        <f aca="false">+P534/P655*100</f>
        <v>49.9551760764395</v>
      </c>
      <c r="Q538" s="81" t="n">
        <f aca="false">+Q534/Q655*100</f>
        <v>50.7193220270683</v>
      </c>
      <c r="R538" s="81" t="n">
        <f aca="false">+R534/R655*100</f>
        <v>51.9718801079422</v>
      </c>
      <c r="S538" s="81" t="n">
        <f aca="false">+S534/S655*100</f>
        <v>53.9709118111387</v>
      </c>
      <c r="T538" s="81" t="n">
        <f aca="false">+T534/T655*100</f>
        <v>52.0692230542835</v>
      </c>
      <c r="U538" s="81" t="n">
        <f aca="false">+U534/U655*100</f>
        <v>53.3380263121218</v>
      </c>
      <c r="V538" s="81" t="n">
        <f aca="false">+V534/V655*100</f>
        <v>44.6592495071026</v>
      </c>
      <c r="W538" s="81" t="n">
        <f aca="false">+W534/W655*100</f>
        <v>43.1479391143056</v>
      </c>
      <c r="X538" s="81" t="n">
        <f aca="false">+X534/X655*100</f>
        <v>41.7928357879042</v>
      </c>
      <c r="Y538" s="81" t="n">
        <f aca="false">+Y534/Y655*100</f>
        <v>44.1421817070119</v>
      </c>
      <c r="Z538" s="81" t="n">
        <f aca="false">+Z534/Z655*100</f>
        <v>44.5398644403311</v>
      </c>
      <c r="AA538" s="81" t="n">
        <f aca="false">+AA534/AA655*100</f>
        <v>42.3862989162112</v>
      </c>
      <c r="AB538" s="81" t="n">
        <f aca="false">+AB534/AB655*100</f>
        <v>74.4739536636615</v>
      </c>
      <c r="AC538" s="81" t="n">
        <f aca="false">+AC534/AC655*100</f>
        <v>63.9914080287529</v>
      </c>
      <c r="AD538" s="81" t="n">
        <f aca="false">+AD534/AD655*100</f>
        <v>77.5457227909773</v>
      </c>
      <c r="AE538" s="81" t="n">
        <f aca="false">+AE534/AE655*100</f>
        <v>77.5075397829889</v>
      </c>
      <c r="AF538" s="81" t="n">
        <f aca="false">+AF534/AF655*100</f>
        <v>78.5954237671722</v>
      </c>
      <c r="AG538" s="81" t="n">
        <f aca="false">+AG534/AG655*100</f>
        <v>74.0817050472763</v>
      </c>
      <c r="AH538" s="81" t="n">
        <f aca="false">+AH534/AH655*100</f>
        <v>70.6845503053462</v>
      </c>
      <c r="AI538" s="81" t="n">
        <f aca="false">+AI534/AI655*100</f>
        <v>71.6432579067481</v>
      </c>
      <c r="AJ538" s="168" t="n">
        <v>72.5</v>
      </c>
      <c r="AK538" s="168" t="n">
        <v>72</v>
      </c>
      <c r="AL538" s="168" t="n">
        <v>72</v>
      </c>
      <c r="AM538" s="75"/>
      <c r="AN538" s="75"/>
      <c r="AO538" s="75"/>
    </row>
    <row r="539" customFormat="false" ht="12" hidden="false" customHeight="true" outlineLevel="0" collapsed="false">
      <c r="A539" s="69" t="s">
        <v>481</v>
      </c>
      <c r="B539" s="75"/>
      <c r="C539" s="81" t="n">
        <f aca="false">(100*C534)/B534-100</f>
        <v>34.6736171060495</v>
      </c>
      <c r="D539" s="81" t="n">
        <f aca="false">(100*D534)/C534-100</f>
        <v>40.1752915362047</v>
      </c>
      <c r="E539" s="81" t="n">
        <f aca="false">(100*E534)/D534-100</f>
        <v>37.7548741128983</v>
      </c>
      <c r="F539" s="81" t="n">
        <f aca="false">(100*F534)/E534-100</f>
        <v>36.4638048277253</v>
      </c>
      <c r="G539" s="81" t="n">
        <f aca="false">(100*G534)/F534-100</f>
        <v>-25.1982560206583</v>
      </c>
      <c r="H539" s="81" t="n">
        <f aca="false">(100*H534)/G534-100</f>
        <v>-10.7378898706185</v>
      </c>
      <c r="I539" s="81" t="n">
        <f aca="false">(100*I534)/H534-100</f>
        <v>44.0741711238189</v>
      </c>
      <c r="J539" s="81" t="n">
        <f aca="false">(100*J534)/I534-100</f>
        <v>-0.180026668456236</v>
      </c>
      <c r="K539" s="81" t="n">
        <f aca="false">(100*K534)/J534-100</f>
        <v>7.00534915670399</v>
      </c>
      <c r="L539" s="81" t="n">
        <f aca="false">(100*L534)/K534-100</f>
        <v>8.08848435843923</v>
      </c>
      <c r="M539" s="81" t="n">
        <f aca="false">(100*M534)/L534-100</f>
        <v>49.589994760155</v>
      </c>
      <c r="N539" s="81" t="n">
        <f aca="false">(100*N534)/M534-100</f>
        <v>29.1726736197148</v>
      </c>
      <c r="O539" s="81" t="n">
        <f aca="false">(100*O534)/N534-100</f>
        <v>37.3940869625874</v>
      </c>
      <c r="P539" s="81" t="n">
        <f aca="false">(100*P534)/O534-100</f>
        <v>31.6412975532053</v>
      </c>
      <c r="Q539" s="81" t="n">
        <f aca="false">(100*Q534)/P534-100</f>
        <v>9.21919879208491</v>
      </c>
      <c r="R539" s="81" t="n">
        <f aca="false">(100*R534)/Q534-100</f>
        <v>-23.5335162025527</v>
      </c>
      <c r="S539" s="81" t="n">
        <f aca="false">(100*S534)/R534-100</f>
        <v>22.631590097167</v>
      </c>
      <c r="T539" s="81" t="n">
        <f aca="false">(100*T534)/S534-100</f>
        <v>48.2037333505048</v>
      </c>
      <c r="U539" s="81" t="n">
        <f aca="false">(100*U534)/T534-100</f>
        <v>15.5937566355507</v>
      </c>
      <c r="V539" s="81" t="n">
        <f aca="false">(100*V534)/U534-100</f>
        <v>-18.4085442144864</v>
      </c>
      <c r="W539" s="81" t="n">
        <f aca="false">(100*W534)/V534-100</f>
        <v>-23.2739683739279</v>
      </c>
      <c r="X539" s="81" t="n">
        <f aca="false">(100*X534)/W534-100</f>
        <v>32.8585748498103</v>
      </c>
      <c r="Y539" s="81" t="n">
        <f aca="false">(100*Y534)/X534-100</f>
        <v>45.774940228762</v>
      </c>
      <c r="Z539" s="81" t="n">
        <f aca="false">(100*Z534)/Y534-100</f>
        <v>7.65706344291746</v>
      </c>
      <c r="AA539" s="81" t="n">
        <f aca="false">(100*AA534)/Z534-100</f>
        <v>18.3311726178131</v>
      </c>
      <c r="AB539" s="81" t="n">
        <f aca="false">(100*AB534)/AA534-100</f>
        <v>92.4649473715922</v>
      </c>
      <c r="AC539" s="81" t="n">
        <f aca="false">(100*AC534)/AB534-100</f>
        <v>-48.3432439689311</v>
      </c>
      <c r="AD539" s="81" t="n">
        <f aca="false">(100*AD534)/AC534-100</f>
        <v>6.15458664051934</v>
      </c>
      <c r="AE539" s="81" t="n">
        <f aca="false">(100*AE534)/AD534-100</f>
        <v>41.6703046279925</v>
      </c>
      <c r="AF539" s="81" t="n">
        <f aca="false">(100*AF534)/AE534-100</f>
        <v>68.9919012781632</v>
      </c>
      <c r="AG539" s="81" t="n">
        <f aca="false">(100*AG534)/AF534-100</f>
        <v>0.0538939524719382</v>
      </c>
      <c r="AH539" s="81" t="n">
        <f aca="false">(100*AH534)/AG534-100</f>
        <v>-3.62647086245445</v>
      </c>
      <c r="AI539" s="81" t="n">
        <f aca="false">(100*AI534)/AH534-100</f>
        <v>15.0987142325187</v>
      </c>
      <c r="AJ539" s="81" t="n">
        <f aca="false">(100*AJ534)/AI534-100</f>
        <v>10.3363218833052</v>
      </c>
      <c r="AK539" s="81" t="n">
        <f aca="false">(100*AK534)/AJ534-100</f>
        <v>7.27787595819723</v>
      </c>
      <c r="AL539" s="81" t="n">
        <f aca="false">(100*AL534)/AK534-100</f>
        <v>7.50527852254074</v>
      </c>
      <c r="AM539" s="75"/>
      <c r="AN539" s="75"/>
      <c r="AO539" s="75"/>
    </row>
    <row r="540" customFormat="false" ht="12" hidden="false" customHeight="true" outlineLevel="0" collapsed="false">
      <c r="J540" s="75"/>
      <c r="K540" s="75"/>
      <c r="L540" s="75"/>
      <c r="M540" s="75"/>
      <c r="N540" s="75"/>
    </row>
    <row r="541" customFormat="false" ht="12.75" hidden="false" customHeight="true" outlineLevel="0" collapsed="false">
      <c r="A541" s="73" t="s">
        <v>517</v>
      </c>
    </row>
    <row r="542" customFormat="false" ht="12.75" hidden="false" customHeight="true" outlineLevel="0" collapsed="false">
      <c r="A542" s="59" t="s">
        <v>454</v>
      </c>
      <c r="B542" s="208" t="n">
        <v>750.43</v>
      </c>
      <c r="C542" s="208" t="n">
        <v>1276.87</v>
      </c>
      <c r="D542" s="208" t="n">
        <v>1444.4</v>
      </c>
      <c r="E542" s="208" t="n">
        <v>1818.36</v>
      </c>
      <c r="F542" s="208" t="n">
        <v>2156.7</v>
      </c>
      <c r="G542" s="208" t="n">
        <v>1999.78</v>
      </c>
      <c r="H542" s="208" t="n">
        <v>1689.01</v>
      </c>
      <c r="I542" s="208" t="n">
        <v>2487.32</v>
      </c>
      <c r="J542" s="208" t="n">
        <v>2545.27</v>
      </c>
      <c r="K542" s="208" t="n">
        <v>2183.23</v>
      </c>
      <c r="L542" s="208" t="n">
        <v>2194.21</v>
      </c>
      <c r="M542" s="208" t="n">
        <v>2913.13</v>
      </c>
      <c r="N542" s="208" t="n">
        <v>3523.47</v>
      </c>
      <c r="O542" s="208" t="n">
        <v>4749</v>
      </c>
      <c r="P542" s="208" t="n">
        <v>5397.4</v>
      </c>
      <c r="Q542" s="208" t="n">
        <v>5411.06</v>
      </c>
      <c r="R542" s="208" t="n">
        <v>3632.002</v>
      </c>
      <c r="S542" s="208" t="n">
        <v>3753.625</v>
      </c>
      <c r="T542" s="208" t="n">
        <v>6933.737</v>
      </c>
      <c r="U542" s="208" t="n">
        <v>6531.266</v>
      </c>
      <c r="V542" s="208" t="n">
        <v>4878.784</v>
      </c>
      <c r="W542" s="208" t="n">
        <v>3359.308</v>
      </c>
      <c r="X542" s="208" t="n">
        <v>8392.646</v>
      </c>
      <c r="Y542" s="208" t="n">
        <v>11004.148</v>
      </c>
      <c r="Z542" s="208" t="n">
        <v>11755.832</v>
      </c>
      <c r="AA542" s="208" t="n">
        <v>14101.837</v>
      </c>
      <c r="AB542" s="145"/>
      <c r="AC542" s="145"/>
      <c r="AD542" s="145"/>
      <c r="AE542" s="145"/>
      <c r="AF542" s="252"/>
      <c r="AG542" s="252"/>
      <c r="AH542" s="145"/>
      <c r="AI542" s="145"/>
      <c r="AJ542" s="145"/>
      <c r="AK542" s="145"/>
      <c r="AL542" s="145"/>
      <c r="AM542" s="145"/>
      <c r="AN542" s="145"/>
      <c r="AO542" s="145"/>
    </row>
    <row r="543" customFormat="false" ht="12.75" hidden="false" customHeight="true" outlineLevel="0" collapsed="false">
      <c r="A543" s="59" t="s">
        <v>516</v>
      </c>
      <c r="B543" s="67" t="n">
        <f aca="false">(+B542/B657)*1000000</f>
        <v>36479.9961110301</v>
      </c>
      <c r="C543" s="67" t="n">
        <f aca="false">(+C542/C657)*1000000</f>
        <v>52706.5962189383</v>
      </c>
      <c r="D543" s="67" t="n">
        <f aca="false">(+D542/D657)*1000000</f>
        <v>47497.5337060178</v>
      </c>
      <c r="E543" s="67" t="n">
        <f aca="false">(+E542/E657)*1000000</f>
        <v>48620.5513516404</v>
      </c>
      <c r="F543" s="67" t="n">
        <f aca="false">(+F542/F657)*1000000</f>
        <v>49748.5698468352</v>
      </c>
      <c r="G543" s="67" t="n">
        <f aca="false">(+G542/G657)*1000000</f>
        <v>63390.4967191809</v>
      </c>
      <c r="H543" s="67" t="n">
        <f aca="false">(+H542/H657)*1000000</f>
        <v>56790.6257355166</v>
      </c>
      <c r="I543" s="67" t="n">
        <f aca="false">(+I542/I657)*1000000</f>
        <v>65699.5694550833</v>
      </c>
      <c r="J543" s="67" t="n">
        <f aca="false">(+J542/J657)*1000000</f>
        <v>78376.2894534257</v>
      </c>
      <c r="K543" s="67" t="n">
        <f aca="false">(+K542/K657)*1000000</f>
        <v>73576.3151686719</v>
      </c>
      <c r="L543" s="67" t="n">
        <f aca="false">(+L542/L657)*1000000</f>
        <v>60207.7159477555</v>
      </c>
      <c r="M543" s="67" t="n">
        <f aca="false">(+M542/M657)*1000000</f>
        <v>59874.4193694249</v>
      </c>
      <c r="N543" s="67" t="n">
        <f aca="false">(+N542/N657)*1000000</f>
        <v>64367.373036171</v>
      </c>
      <c r="O543" s="67" t="n">
        <f aca="false">(+O542/O657)*1000000</f>
        <v>77025.3831806017</v>
      </c>
      <c r="P543" s="67" t="n">
        <f aca="false">(+P542/P657)*1000000</f>
        <v>64957.6969828261</v>
      </c>
      <c r="Q543" s="67" t="n">
        <f aca="false">(+Q542/Q657)*1000000</f>
        <v>64951.6858922806</v>
      </c>
      <c r="R543" s="67" t="n">
        <f aca="false">(+R542/R657)*1000000</f>
        <v>66726.7182304202</v>
      </c>
      <c r="S543" s="67" t="n">
        <f aca="false">(+S542/S657)*1000000</f>
        <v>58718.2836404593</v>
      </c>
      <c r="T543" s="67" t="n">
        <f aca="false">(+T542/T657)*1000000</f>
        <v>73680.0735340999</v>
      </c>
      <c r="U543" s="67" t="n">
        <f aca="false">(+U542/U657)*1000000</f>
        <v>66111.2843145194</v>
      </c>
      <c r="V543" s="67" t="n">
        <f aca="false">(+V542/V657)*1000000</f>
        <v>54529.3680304046</v>
      </c>
      <c r="W543" s="67" t="n">
        <f aca="false">(+W542/W657)*1000000</f>
        <v>48666.5797441581</v>
      </c>
      <c r="X543" s="67" t="n">
        <f aca="false">(+X542/X657)*1000000</f>
        <v>96922.2845198432</v>
      </c>
      <c r="Y543" s="67" t="n">
        <f aca="false">(+Y542/Y657)*1000000</f>
        <v>91678.8866047234</v>
      </c>
      <c r="Z543" s="67" t="n">
        <f aca="false">(+Z542/Z657)*1000000</f>
        <v>96186.8125799029</v>
      </c>
      <c r="AA543" s="67" t="n">
        <f aca="false">(+AA542/AA657)*1000000</f>
        <v>97271.3223210329</v>
      </c>
      <c r="AB543" s="145"/>
      <c r="AC543" s="145"/>
      <c r="AD543" s="145"/>
      <c r="AE543" s="145"/>
      <c r="AF543" s="252"/>
      <c r="AG543" s="252"/>
      <c r="AH543" s="145"/>
      <c r="AI543" s="145"/>
      <c r="AJ543" s="145"/>
      <c r="AK543" s="145"/>
      <c r="AL543" s="145"/>
      <c r="AM543" s="145"/>
      <c r="AN543" s="145"/>
      <c r="AO543" s="145"/>
    </row>
    <row r="544" customFormat="false" ht="12.75" hidden="false" customHeight="true" outlineLevel="0" collapsed="false">
      <c r="A544" s="59" t="s">
        <v>481</v>
      </c>
      <c r="B544" s="19"/>
      <c r="C544" s="165" t="n">
        <f aca="false">(100*C543)/B543-100</f>
        <v>44.4808164412111</v>
      </c>
      <c r="D544" s="165" t="n">
        <f aca="false">(100*D543)/C543-100</f>
        <v>-9.88313206810511</v>
      </c>
      <c r="E544" s="165" t="n">
        <f aca="false">(100*E543)/D543-100</f>
        <v>2.36437043778628</v>
      </c>
      <c r="F544" s="165" t="n">
        <f aca="false">(100*F543)/E543-100</f>
        <v>2.3200446392238</v>
      </c>
      <c r="G544" s="165" t="n">
        <f aca="false">(100*G543)/F543-100</f>
        <v>27.4217468247754</v>
      </c>
      <c r="H544" s="165" t="n">
        <f aca="false">(100*H543)/G543-100</f>
        <v>-10.411451755776</v>
      </c>
      <c r="I544" s="165" t="n">
        <f aca="false">(100*I543)/H543-100</f>
        <v>15.6873491076805</v>
      </c>
      <c r="J544" s="165" t="n">
        <f aca="false">(100*J543)/I543-100</f>
        <v>19.2949818446056</v>
      </c>
      <c r="K544" s="165" t="n">
        <f aca="false">(100*K543)/J543-100</f>
        <v>-6.12426834470926</v>
      </c>
      <c r="L544" s="165" t="n">
        <f aca="false">(100*L543)/K543-100</f>
        <v>-18.1697047348311</v>
      </c>
      <c r="M544" s="165" t="n">
        <f aca="false">(100*M543)/L543-100</f>
        <v>-0.553577848094676</v>
      </c>
      <c r="N544" s="165" t="n">
        <f aca="false">(100*N543)/M543-100</f>
        <v>7.50396198253642</v>
      </c>
      <c r="O544" s="165" t="n">
        <f aca="false">(100*O543)/N543-100</f>
        <v>19.6652582626257</v>
      </c>
      <c r="P544" s="165" t="n">
        <f aca="false">(100*P543)/O543-100</f>
        <v>-15.6671550331408</v>
      </c>
      <c r="Q544" s="165" t="n">
        <f aca="false">(100*Q543)/P543-100</f>
        <v>-0.00925385416157099</v>
      </c>
      <c r="R544" s="165" t="n">
        <f aca="false">(100*R543)/Q543-100</f>
        <v>2.73285029288296</v>
      </c>
      <c r="S544" s="165" t="n">
        <f aca="false">(100*S543)/R543-100</f>
        <v>-12.0018409451911</v>
      </c>
      <c r="T544" s="165" t="n">
        <f aca="false">(100*T543)/S543-100</f>
        <v>25.4806322086215</v>
      </c>
      <c r="U544" s="165" t="n">
        <f aca="false">(100*U543)/T543-100</f>
        <v>-10.2725049752801</v>
      </c>
      <c r="V544" s="165" t="n">
        <f aca="false">(100*V543)/U543-100</f>
        <v>-17.5188190703039</v>
      </c>
      <c r="W544" s="165" t="n">
        <f aca="false">(100*W543)/V543-100</f>
        <v>-10.7516160520648</v>
      </c>
      <c r="X544" s="165" t="n">
        <f aca="false">(100*X543)/W543-100</f>
        <v>99.1557348582272</v>
      </c>
      <c r="Y544" s="165" t="n">
        <f aca="false">(100*Y543)/X543-100</f>
        <v>-5.40989922090235</v>
      </c>
      <c r="Z544" s="165" t="n">
        <f aca="false">(100*Z543)/Y543-100</f>
        <v>4.91708193906794</v>
      </c>
      <c r="AA544" s="165" t="n">
        <f aca="false">(100*AA543)/Z543-100</f>
        <v>1.12750356524094</v>
      </c>
      <c r="AB544" s="296"/>
      <c r="AC544" s="296"/>
      <c r="AD544" s="296"/>
      <c r="AE544" s="296"/>
      <c r="AF544" s="158"/>
      <c r="AG544" s="158"/>
      <c r="AH544" s="296"/>
      <c r="AI544" s="296"/>
      <c r="AJ544" s="296"/>
      <c r="AK544" s="296"/>
      <c r="AL544" s="296"/>
      <c r="AM544" s="296"/>
      <c r="AN544" s="296"/>
      <c r="AO544" s="296"/>
    </row>
    <row r="545" customFormat="false" ht="12" hidden="false" customHeight="true" outlineLevel="0" collapsed="false">
      <c r="A545" s="69" t="s">
        <v>505</v>
      </c>
      <c r="B545" s="81" t="n">
        <f aca="false">+B542/B565*100</f>
        <v>12.5903891388746</v>
      </c>
      <c r="C545" s="81" t="n">
        <f aca="false">+C542/C565*100</f>
        <v>16.7586715595945</v>
      </c>
      <c r="D545" s="81" t="n">
        <f aca="false">+D542/D565*100</f>
        <v>14.7609772249281</v>
      </c>
      <c r="E545" s="81" t="n">
        <f aca="false">+E542/E565*100</f>
        <v>13.9508120250911</v>
      </c>
      <c r="F545" s="81" t="n">
        <f aca="false">+F542/F565*100</f>
        <v>13.7289414131255</v>
      </c>
      <c r="G545" s="81" t="n">
        <f aca="false">+G542/G565*100</f>
        <v>16.0845044140736</v>
      </c>
      <c r="H545" s="81" t="n">
        <f aca="false">+H542/H565*100</f>
        <v>13.1959267095226</v>
      </c>
      <c r="I545" s="81" t="n">
        <f aca="false">+I542/I565*100</f>
        <v>15.9297260913533</v>
      </c>
      <c r="J545" s="81" t="n">
        <f aca="false">+J542/J565*100</f>
        <v>16.8730439786196</v>
      </c>
      <c r="K545" s="81" t="n">
        <f aca="false">+K542/K565*100</f>
        <v>14.6475760580635</v>
      </c>
      <c r="L545" s="81" t="n">
        <f aca="false">+L542/L565*100</f>
        <v>11.9376407734242</v>
      </c>
      <c r="M545" s="81" t="n">
        <f aca="false">+M542/M565*100</f>
        <v>12.1918738697491</v>
      </c>
      <c r="N545" s="81" t="n">
        <f aca="false">+N542/N565*100</f>
        <v>11.6121881721103</v>
      </c>
      <c r="O545" s="81" t="n">
        <f aca="false">+O542/O565*100</f>
        <v>12.2771201169752</v>
      </c>
      <c r="P545" s="81" t="n">
        <f aca="false">+P542/P565*100</f>
        <v>9.87935342529341</v>
      </c>
      <c r="Q545" s="81" t="n">
        <f aca="false">+Q542/Q565*100</f>
        <v>9.38549048053664</v>
      </c>
      <c r="R545" s="81" t="n">
        <f aca="false">+R542/R565*100</f>
        <v>8.1573232351477</v>
      </c>
      <c r="S545" s="81" t="n">
        <f aca="false">+S542/S565*100</f>
        <v>7.19179389899831</v>
      </c>
      <c r="T545" s="81" t="n">
        <f aca="false">+T542/T565*100</f>
        <v>8.53545688061288</v>
      </c>
      <c r="U545" s="81" t="n">
        <f aca="false">+U542/U565*100</f>
        <v>6.90109550085812</v>
      </c>
      <c r="V545" s="81" t="n">
        <f aca="false">+V542/V565*100</f>
        <v>5.34752915458606</v>
      </c>
      <c r="W545" s="81" t="n">
        <f aca="false">+W542/W565*100</f>
        <v>4.41841369159143</v>
      </c>
      <c r="X545" s="81" t="n">
        <f aca="false">+X542/X565*100</f>
        <v>8.42194611898688</v>
      </c>
      <c r="Y545" s="81" t="n">
        <f aca="false">+Y542/Y565*100</f>
        <v>8.33972294242689</v>
      </c>
      <c r="Z545" s="81" t="n">
        <f aca="false">+Z542/Z565*100</f>
        <v>8.42273349177603</v>
      </c>
      <c r="AA545" s="81" t="n">
        <f aca="false">+AA542/AA565*100</f>
        <v>7.57297082352799</v>
      </c>
      <c r="AB545" s="75"/>
      <c r="AC545" s="75"/>
      <c r="AD545" s="75"/>
      <c r="AE545" s="75"/>
      <c r="AF545" s="82"/>
      <c r="AG545" s="82"/>
      <c r="AH545" s="75"/>
      <c r="AI545" s="75"/>
      <c r="AJ545" s="75"/>
      <c r="AK545" s="75"/>
      <c r="AL545" s="75"/>
      <c r="AM545" s="75"/>
      <c r="AN545" s="75"/>
      <c r="AO545" s="75"/>
    </row>
    <row r="546" customFormat="false" ht="12" hidden="false" customHeight="true" outlineLevel="0" collapsed="false">
      <c r="A546" s="69" t="s">
        <v>219</v>
      </c>
      <c r="B546" s="81" t="n">
        <f aca="false">+B542/B655*100</f>
        <v>7.86254095346262</v>
      </c>
      <c r="C546" s="81" t="n">
        <f aca="false">+C542/C655*100</f>
        <v>10.8090788575918</v>
      </c>
      <c r="D546" s="81" t="n">
        <f aca="false">+D542/D655*100</f>
        <v>9.54475408579442</v>
      </c>
      <c r="E546" s="81" t="n">
        <f aca="false">+E542/E655*100</f>
        <v>9.0479085954037</v>
      </c>
      <c r="F546" s="81" t="n">
        <f aca="false">+F542/F655*100</f>
        <v>8.68778477399957</v>
      </c>
      <c r="G546" s="81" t="n">
        <f aca="false">+G542/G655*100</f>
        <v>9.92801320340028</v>
      </c>
      <c r="H546" s="81" t="n">
        <f aca="false">+H542/H655*100</f>
        <v>8.25902440400875</v>
      </c>
      <c r="I546" s="81" t="n">
        <f aca="false">+I542/I655*100</f>
        <v>9.57133478892285</v>
      </c>
      <c r="J546" s="81" t="n">
        <f aca="false">+J542/J655*100</f>
        <v>9.76447665079836</v>
      </c>
      <c r="K546" s="81" t="n">
        <f aca="false">+K542/K655*100</f>
        <v>8.29984093964222</v>
      </c>
      <c r="L546" s="81" t="n">
        <f aca="false">+L542/L655*100</f>
        <v>7.13797517562651</v>
      </c>
      <c r="M546" s="81" t="n">
        <f aca="false">+M542/M655*100</f>
        <v>7.41769161451216</v>
      </c>
      <c r="N546" s="81" t="n">
        <f aca="false">+N542/N655*100</f>
        <v>7.32334957709816</v>
      </c>
      <c r="O546" s="81" t="n">
        <f aca="false">+O542/O655*100</f>
        <v>7.84555636542418</v>
      </c>
      <c r="P546" s="81" t="n">
        <f aca="false">+P542/P655*100</f>
        <v>6.49919798591572</v>
      </c>
      <c r="Q546" s="81" t="n">
        <f aca="false">+Q542/Q655*100</f>
        <v>6.05691489183081</v>
      </c>
      <c r="R546" s="81" t="n">
        <f aca="false">+R542/R655*100</f>
        <v>5.44802471037847</v>
      </c>
      <c r="S546" s="81" t="n">
        <f aca="false">+S542/S655*100</f>
        <v>4.76796260405746</v>
      </c>
      <c r="T546" s="81" t="n">
        <f aca="false">+T542/T655*100</f>
        <v>5.73339047206331</v>
      </c>
      <c r="U546" s="81" t="n">
        <f aca="false">+U542/U655*100</f>
        <v>4.78589309540189</v>
      </c>
      <c r="V546" s="81" t="n">
        <f aca="false">+V542/V655*100</f>
        <v>3.668656157924</v>
      </c>
      <c r="W546" s="81" t="n">
        <f aca="false">+W542/W655*100</f>
        <v>3.18090825551625</v>
      </c>
      <c r="X546" s="81" t="n">
        <f aca="false">+X542/X655*100</f>
        <v>5.79365216608236</v>
      </c>
      <c r="Y546" s="81" t="n">
        <f aca="false">+Y542/Y655*100</f>
        <v>5.50400750279566</v>
      </c>
      <c r="Z546" s="81" t="n">
        <f aca="false">+Z542/Z655*100</f>
        <v>5.51097616641728</v>
      </c>
      <c r="AA546" s="81" t="n">
        <f aca="false">+AA542/AA655*100</f>
        <v>5.31653025441724</v>
      </c>
      <c r="AB546" s="75"/>
      <c r="AC546" s="75"/>
      <c r="AD546" s="75"/>
      <c r="AE546" s="75"/>
      <c r="AF546" s="82"/>
      <c r="AG546" s="82"/>
      <c r="AH546" s="75"/>
      <c r="AI546" s="75"/>
      <c r="AJ546" s="75"/>
      <c r="AK546" s="75"/>
      <c r="AL546" s="75"/>
      <c r="AM546" s="75"/>
      <c r="AN546" s="75"/>
      <c r="AO546" s="75"/>
    </row>
    <row r="547" customFormat="false" ht="12" hidden="false" customHeight="true" outlineLevel="0" collapsed="false">
      <c r="A547" s="69" t="s">
        <v>481</v>
      </c>
      <c r="B547" s="75"/>
      <c r="C547" s="81" t="n">
        <f aca="false">(100*C542)/B542-100</f>
        <v>70.1517796463361</v>
      </c>
      <c r="D547" s="81" t="n">
        <f aca="false">(100*D542)/C542-100</f>
        <v>13.1203646416628</v>
      </c>
      <c r="E547" s="81" t="n">
        <f aca="false">(100*E542)/D542-100</f>
        <v>25.8903350872334</v>
      </c>
      <c r="F547" s="81" t="n">
        <f aca="false">(100*F542)/E542-100</f>
        <v>18.6068765261004</v>
      </c>
      <c r="G547" s="81" t="n">
        <f aca="false">(100*G542)/F542-100</f>
        <v>-7.27593082023461</v>
      </c>
      <c r="H547" s="81" t="n">
        <f aca="false">(100*H542)/G542-100</f>
        <v>-15.5402094230365</v>
      </c>
      <c r="I547" s="81" t="n">
        <f aca="false">(100*I542)/H542-100</f>
        <v>47.2649658675793</v>
      </c>
      <c r="J547" s="81" t="n">
        <f aca="false">(100*J542)/I542-100</f>
        <v>2.32981683096665</v>
      </c>
      <c r="K547" s="81" t="n">
        <f aca="false">(100*K542)/J542-100</f>
        <v>-14.2240312422651</v>
      </c>
      <c r="L547" s="81" t="n">
        <f aca="false">(100*L542)/K542-100</f>
        <v>0.502924565895484</v>
      </c>
      <c r="M547" s="81" t="n">
        <f aca="false">(100*M542)/L542-100</f>
        <v>32.7644117928548</v>
      </c>
      <c r="N547" s="81" t="n">
        <f aca="false">(100*N542)/M542-100</f>
        <v>20.9513478629515</v>
      </c>
      <c r="O547" s="81" t="n">
        <f aca="false">(100*O542)/N542-100</f>
        <v>34.7819053376359</v>
      </c>
      <c r="P547" s="81" t="n">
        <f aca="false">(100*P542)/O542-100</f>
        <v>13.6534007159402</v>
      </c>
      <c r="Q547" s="81" t="n">
        <f aca="false">(100*Q542)/P542-100</f>
        <v>0.253084818616372</v>
      </c>
      <c r="R547" s="81" t="n">
        <f aca="false">(100*R542)/Q542-100</f>
        <v>-32.878179136805</v>
      </c>
      <c r="S547" s="81" t="n">
        <f aca="false">(100*S542)/R542-100</f>
        <v>3.34864903708754</v>
      </c>
      <c r="T547" s="81" t="n">
        <f aca="false">(100*T542)/S542-100</f>
        <v>84.7210896133737</v>
      </c>
      <c r="U547" s="81" t="n">
        <f aca="false">(100*U542)/T542-100</f>
        <v>-5.80453224574281</v>
      </c>
      <c r="V547" s="81" t="n">
        <f aca="false">(100*V542)/U542-100</f>
        <v>-25.3010978269757</v>
      </c>
      <c r="W547" s="81" t="n">
        <f aca="false">(100*W542)/V542-100</f>
        <v>-31.1445638913303</v>
      </c>
      <c r="X547" s="81" t="n">
        <f aca="false">(100*X542)/W542-100</f>
        <v>149.832584568012</v>
      </c>
      <c r="Y547" s="81" t="n">
        <f aca="false">(100*Y542)/X542-100</f>
        <v>31.116551323623</v>
      </c>
      <c r="Z547" s="81" t="n">
        <f aca="false">(100*Z542)/Y542-100</f>
        <v>6.83091503313115</v>
      </c>
      <c r="AA547" s="81" t="n">
        <f aca="false">(100*AA542)/Z542-100</f>
        <v>19.956094983324</v>
      </c>
      <c r="AB547" s="75"/>
      <c r="AC547" s="75"/>
      <c r="AD547" s="75"/>
      <c r="AE547" s="75"/>
      <c r="AF547" s="82"/>
      <c r="AG547" s="82"/>
      <c r="AH547" s="75"/>
      <c r="AI547" s="75"/>
      <c r="AJ547" s="75"/>
      <c r="AK547" s="75"/>
      <c r="AL547" s="75"/>
      <c r="AM547" s="75"/>
      <c r="AN547" s="75"/>
      <c r="AO547" s="75"/>
    </row>
    <row r="548" customFormat="false" ht="12" hidden="false" customHeight="true" outlineLevel="0" collapsed="false">
      <c r="I548" s="75"/>
      <c r="J548" s="75"/>
      <c r="K548" s="75"/>
      <c r="L548" s="75"/>
      <c r="M548" s="75"/>
    </row>
    <row r="549" customFormat="false" ht="12.75" hidden="false" customHeight="true" outlineLevel="0" collapsed="false">
      <c r="A549" s="73" t="s">
        <v>518</v>
      </c>
      <c r="U549" s="83"/>
      <c r="V549" s="83"/>
    </row>
    <row r="550" customFormat="false" ht="12" hidden="false" customHeight="true" outlineLevel="0" collapsed="false">
      <c r="A550" s="149" t="s">
        <v>519</v>
      </c>
      <c r="T550" s="48" t="n">
        <v>159.258</v>
      </c>
      <c r="U550" s="190" t="n">
        <v>157.01</v>
      </c>
      <c r="V550" s="190" t="n">
        <v>246.062</v>
      </c>
      <c r="W550" s="294" t="n">
        <v>37.118</v>
      </c>
      <c r="X550" s="48" t="n">
        <v>44.873</v>
      </c>
      <c r="Y550" s="48" t="n">
        <v>5.101</v>
      </c>
      <c r="Z550" s="48" t="n">
        <v>0</v>
      </c>
      <c r="AA550" s="48" t="n">
        <v>0</v>
      </c>
      <c r="AC550" s="285"/>
      <c r="AD550" s="285"/>
      <c r="AE550" s="285"/>
      <c r="AH550" s="285"/>
      <c r="AI550" s="285"/>
      <c r="AJ550" s="285"/>
      <c r="AK550" s="285"/>
      <c r="AL550" s="285"/>
      <c r="AM550" s="285"/>
      <c r="AN550" s="285"/>
      <c r="AO550" s="285"/>
    </row>
    <row r="551" customFormat="false" ht="12" hidden="false" customHeight="true" outlineLevel="0" collapsed="false">
      <c r="A551" s="149" t="s">
        <v>402</v>
      </c>
      <c r="T551" s="48" t="n">
        <v>0</v>
      </c>
      <c r="U551" s="190" t="n">
        <v>1565.863</v>
      </c>
      <c r="V551" s="190" t="n">
        <v>8906.365</v>
      </c>
      <c r="W551" s="190" t="n">
        <v>10007.618</v>
      </c>
      <c r="X551" s="190" t="n">
        <v>9384.097</v>
      </c>
      <c r="Y551" s="190" t="n">
        <v>10484.686</v>
      </c>
      <c r="Z551" s="190" t="n">
        <v>10234.616</v>
      </c>
      <c r="AA551" s="190" t="n">
        <v>13284.342</v>
      </c>
      <c r="AB551" s="41"/>
      <c r="AC551" s="41"/>
      <c r="AD551" s="41"/>
      <c r="AE551" s="41"/>
      <c r="AF551" s="180"/>
      <c r="AG551" s="180"/>
      <c r="AH551" s="41"/>
      <c r="AI551" s="41"/>
      <c r="AJ551" s="41"/>
      <c r="AK551" s="41"/>
      <c r="AL551" s="41"/>
      <c r="AM551" s="41"/>
      <c r="AN551" s="41"/>
      <c r="AO551" s="41"/>
    </row>
    <row r="552" customFormat="false" ht="12" hidden="false" customHeight="true" outlineLevel="0" collapsed="false">
      <c r="A552" s="234" t="s">
        <v>520</v>
      </c>
      <c r="U552" s="62" t="n">
        <f aca="false">+U551/U351*1000000</f>
        <v>489638.211382114</v>
      </c>
      <c r="V552" s="62" t="n">
        <f aca="false">+V551/V351*1000000</f>
        <v>354267.302141905</v>
      </c>
      <c r="W552" s="62" t="n">
        <f aca="false">+W551/W351*1000000</f>
        <v>492743.37764648</v>
      </c>
      <c r="X552" s="62" t="n">
        <f aca="false">+X551/X351*1000000</f>
        <v>512498.129488545</v>
      </c>
      <c r="Y552" s="62" t="n">
        <f aca="false">+Y551/Y351*1000000</f>
        <v>513257.015579298</v>
      </c>
      <c r="Z552" s="62" t="n">
        <f aca="false">+Z551/Z351*1000000</f>
        <v>447958.331965554</v>
      </c>
      <c r="AA552" s="62" t="n">
        <f aca="false">+AA551/AA351*1000000</f>
        <v>444310.949454409</v>
      </c>
      <c r="AB552" s="41"/>
      <c r="AC552" s="41"/>
      <c r="AD552" s="41"/>
      <c r="AE552" s="41"/>
      <c r="AF552" s="180"/>
      <c r="AG552" s="180"/>
      <c r="AH552" s="41"/>
      <c r="AI552" s="41"/>
      <c r="AJ552" s="41"/>
      <c r="AK552" s="41"/>
      <c r="AL552" s="41"/>
      <c r="AM552" s="41"/>
      <c r="AN552" s="41"/>
      <c r="AO552" s="41"/>
    </row>
    <row r="553" customFormat="false" ht="12" hidden="false" customHeight="true" outlineLevel="0" collapsed="false">
      <c r="A553" s="149" t="s">
        <v>521</v>
      </c>
      <c r="T553" s="48" t="n">
        <v>2574.439</v>
      </c>
      <c r="U553" s="190" t="n">
        <v>3350.864</v>
      </c>
      <c r="V553" s="190" t="n">
        <v>3964.967</v>
      </c>
      <c r="W553" s="48" t="n">
        <v>2645.54</v>
      </c>
      <c r="X553" s="48" t="n">
        <v>4482.902</v>
      </c>
      <c r="Y553" s="190" t="n">
        <v>4822.468</v>
      </c>
      <c r="Z553" s="190" t="n">
        <v>5841.823</v>
      </c>
      <c r="AA553" s="190" t="n">
        <v>6664.814</v>
      </c>
      <c r="AB553" s="41"/>
      <c r="AC553" s="297"/>
      <c r="AD553" s="297"/>
      <c r="AE553" s="297"/>
      <c r="AF553" s="180"/>
      <c r="AG553" s="180"/>
      <c r="AH553" s="297"/>
      <c r="AI553" s="297"/>
      <c r="AJ553" s="297"/>
      <c r="AK553" s="297"/>
      <c r="AL553" s="297"/>
    </row>
    <row r="554" customFormat="false" ht="12.75" hidden="false" customHeight="true" outlineLevel="0" collapsed="false">
      <c r="A554" s="59" t="s">
        <v>454</v>
      </c>
      <c r="B554" s="208" t="n">
        <v>479.2</v>
      </c>
      <c r="C554" s="208" t="n">
        <v>598.84</v>
      </c>
      <c r="D554" s="208" t="n">
        <v>665.5</v>
      </c>
      <c r="E554" s="208" t="n">
        <v>827.91</v>
      </c>
      <c r="F554" s="208" t="n">
        <v>691.5</v>
      </c>
      <c r="G554" s="208" t="n">
        <v>940.32</v>
      </c>
      <c r="H554" s="208" t="n">
        <v>535.99</v>
      </c>
      <c r="I554" s="208" t="n">
        <v>711</v>
      </c>
      <c r="J554" s="208" t="n">
        <v>699.39</v>
      </c>
      <c r="K554" s="208" t="n">
        <v>587.04</v>
      </c>
      <c r="L554" s="208" t="n">
        <v>583.33</v>
      </c>
      <c r="M554" s="208" t="n">
        <v>645.12</v>
      </c>
      <c r="N554" s="208" t="n">
        <v>716.66</v>
      </c>
      <c r="O554" s="208" t="n">
        <v>991.72</v>
      </c>
      <c r="P554" s="208" t="n">
        <v>1241.79</v>
      </c>
      <c r="Q554" s="208" t="n">
        <v>1635.27</v>
      </c>
      <c r="R554" s="208" t="n">
        <v>2021.917</v>
      </c>
      <c r="S554" s="208" t="n">
        <v>2448.836</v>
      </c>
      <c r="T554" s="208" t="n">
        <v>2733.697</v>
      </c>
      <c r="U554" s="67" t="n">
        <f aca="false">+U553+U551+U550</f>
        <v>5073.737</v>
      </c>
      <c r="V554" s="67" t="n">
        <f aca="false">+V553+V551+V550</f>
        <v>13117.394</v>
      </c>
      <c r="W554" s="67" t="n">
        <f aca="false">+W553+W551+W550</f>
        <v>12690.276</v>
      </c>
      <c r="X554" s="67" t="n">
        <f aca="false">+X553+X551+X550</f>
        <v>13911.872</v>
      </c>
      <c r="Y554" s="67" t="n">
        <f aca="false">+Y553+Y551+Y550</f>
        <v>15312.255</v>
      </c>
      <c r="Z554" s="67" t="n">
        <f aca="false">+Z553+Z551+Z550</f>
        <v>16076.439</v>
      </c>
      <c r="AA554" s="67" t="n">
        <f aca="false">+AA553+AA551+AA550</f>
        <v>19949.156</v>
      </c>
      <c r="AB554" s="145"/>
      <c r="AC554" s="145"/>
      <c r="AD554" s="145"/>
      <c r="AE554" s="145"/>
      <c r="AF554" s="252"/>
      <c r="AG554" s="252"/>
      <c r="AH554" s="145"/>
      <c r="AI554" s="145"/>
      <c r="AJ554" s="145"/>
      <c r="AK554" s="145"/>
      <c r="AL554" s="145"/>
      <c r="AM554" s="145"/>
      <c r="AN554" s="145"/>
      <c r="AO554" s="145"/>
    </row>
    <row r="555" customFormat="false" ht="12.75" hidden="false" customHeight="true" outlineLevel="0" collapsed="false">
      <c r="A555" s="59" t="s">
        <v>481</v>
      </c>
      <c r="B555" s="19"/>
      <c r="C555" s="165" t="n">
        <f aca="false">(100*C554)/B554-100</f>
        <v>24.966611018364</v>
      </c>
      <c r="D555" s="165" t="n">
        <f aca="false">(100*D554)/C554-100</f>
        <v>11.1315209404849</v>
      </c>
      <c r="E555" s="165" t="n">
        <f aca="false">(100*E554)/D554-100</f>
        <v>24.404207362885</v>
      </c>
      <c r="F555" s="165" t="n">
        <f aca="false">(100*F554)/E554-100</f>
        <v>-16.4764285973113</v>
      </c>
      <c r="G555" s="165" t="n">
        <f aca="false">(100*G554)/F554-100</f>
        <v>35.9826464208243</v>
      </c>
      <c r="H555" s="165" t="n">
        <f aca="false">(100*H554)/G554-100</f>
        <v>-42.9991917645057</v>
      </c>
      <c r="I555" s="165" t="n">
        <f aca="false">(100*I554)/H554-100</f>
        <v>32.6517285770257</v>
      </c>
      <c r="J555" s="165" t="n">
        <f aca="false">(100*J554)/I554-100</f>
        <v>-1.63291139240506</v>
      </c>
      <c r="K555" s="165" t="n">
        <f aca="false">(100*K554)/J554-100</f>
        <v>-16.0639986273753</v>
      </c>
      <c r="L555" s="165" t="n">
        <f aca="false">(100*L554)/K554-100</f>
        <v>-0.631984191877876</v>
      </c>
      <c r="M555" s="165" t="n">
        <f aca="false">(100*M554)/L554-100</f>
        <v>10.5926319578969</v>
      </c>
      <c r="N555" s="165" t="n">
        <f aca="false">(100*N554)/M554-100</f>
        <v>11.0894097222222</v>
      </c>
      <c r="O555" s="165" t="n">
        <f aca="false">(100*O554)/N554-100</f>
        <v>38.3808221471828</v>
      </c>
      <c r="P555" s="165" t="n">
        <f aca="false">(100*P554)/O554-100</f>
        <v>25.2157867139918</v>
      </c>
      <c r="Q555" s="165" t="n">
        <f aca="false">(100*Q554)/P554-100</f>
        <v>31.6865170439446</v>
      </c>
      <c r="R555" s="165" t="n">
        <f aca="false">(100*R554)/Q554-100</f>
        <v>23.644230004831</v>
      </c>
      <c r="S555" s="165" t="n">
        <f aca="false">(100*S554)/R554-100</f>
        <v>21.1145660281802</v>
      </c>
      <c r="T555" s="165" t="n">
        <f aca="false">(100*T554)/S554-100</f>
        <v>11.6325062192813</v>
      </c>
      <c r="U555" s="165" t="n">
        <f aca="false">(100*U554)/T554-100</f>
        <v>85.5998305591293</v>
      </c>
      <c r="V555" s="165" t="n">
        <f aca="false">(100*V554)/U554-100</f>
        <v>158.535158602032</v>
      </c>
      <c r="W555" s="165" t="n">
        <f aca="false">(100*W554)/V554-100</f>
        <v>-3.25611931760226</v>
      </c>
      <c r="X555" s="165" t="n">
        <f aca="false">(100*X554)/W554-100</f>
        <v>9.62623665553058</v>
      </c>
      <c r="Y555" s="165" t="n">
        <f aca="false">(100*Y554)/X554-100</f>
        <v>10.0661003781518</v>
      </c>
      <c r="Z555" s="165" t="n">
        <f aca="false">(100*Z554)/Y554-100</f>
        <v>4.99066923846293</v>
      </c>
      <c r="AA555" s="165" t="n">
        <f aca="false">(100*AA554)/Z554-100</f>
        <v>24.0893956677844</v>
      </c>
      <c r="AB555" s="157"/>
      <c r="AC555" s="157"/>
      <c r="AD555" s="157"/>
      <c r="AE555" s="157"/>
      <c r="AF555" s="158"/>
      <c r="AG555" s="158"/>
      <c r="AH555" s="157"/>
      <c r="AI555" s="157"/>
      <c r="AJ555" s="157"/>
      <c r="AK555" s="157"/>
      <c r="AL555" s="157"/>
      <c r="AM555" s="157"/>
      <c r="AN555" s="157"/>
      <c r="AO555" s="157"/>
    </row>
    <row r="556" customFormat="false" ht="12" hidden="false" customHeight="true" outlineLevel="0" collapsed="false">
      <c r="A556" s="69" t="s">
        <v>505</v>
      </c>
      <c r="B556" s="81" t="n">
        <f aca="false">+B554/B565*100</f>
        <v>8.03980980950751</v>
      </c>
      <c r="C556" s="81" t="n">
        <f aca="false">+C554/C565*100</f>
        <v>7.85965907002872</v>
      </c>
      <c r="D556" s="81" t="n">
        <f aca="false">+D554/D565*100</f>
        <v>6.8010456543822</v>
      </c>
      <c r="E556" s="81" t="n">
        <f aca="false">+E554/E565*100</f>
        <v>6.35188674613015</v>
      </c>
      <c r="F556" s="81" t="n">
        <f aca="false">+F554/F565*100</f>
        <v>4.40189316417502</v>
      </c>
      <c r="G556" s="81" t="n">
        <f aca="false">+G554/G565*100</f>
        <v>7.5631225388001</v>
      </c>
      <c r="H556" s="81" t="n">
        <f aca="false">+H554/H565*100</f>
        <v>4.18759199592483</v>
      </c>
      <c r="I556" s="81" t="n">
        <f aca="false">+I554/I565*100</f>
        <v>4.55350950056775</v>
      </c>
      <c r="J556" s="81" t="n">
        <f aca="false">+J554/J565*100</f>
        <v>4.63637972718287</v>
      </c>
      <c r="K556" s="81" t="n">
        <f aca="false">+K554/K565*100</f>
        <v>3.93852825818883</v>
      </c>
      <c r="L556" s="81" t="n">
        <f aca="false">+L554/L565*100</f>
        <v>3.17361783619686</v>
      </c>
      <c r="M556" s="81" t="n">
        <f aca="false">+M554/M565*100</f>
        <v>2.69992127740695</v>
      </c>
      <c r="N556" s="81" t="n">
        <f aca="false">+N554/N565*100</f>
        <v>2.36187360057687</v>
      </c>
      <c r="O556" s="81" t="n">
        <f aca="false">+O554/O565*100</f>
        <v>2.56379565432862</v>
      </c>
      <c r="P556" s="81" t="n">
        <f aca="false">+P554/P565*100</f>
        <v>2.27296147960038</v>
      </c>
      <c r="Q556" s="81" t="n">
        <f aca="false">+Q554/Q565*100</f>
        <v>2.83637790342505</v>
      </c>
      <c r="R556" s="81" t="n">
        <f aca="false">+R554/R565*100</f>
        <v>4.54114026469152</v>
      </c>
      <c r="S556" s="81" t="n">
        <f aca="false">+S554/S565*100</f>
        <v>4.69187087267573</v>
      </c>
      <c r="T556" s="81" t="n">
        <f aca="false">+T554/T565*100</f>
        <v>3.36519150757532</v>
      </c>
      <c r="U556" s="81" t="n">
        <f aca="false">+U554/U565*100</f>
        <v>5.36103468810448</v>
      </c>
      <c r="V556" s="81" t="n">
        <f aca="false">+V554/V565*100</f>
        <v>14.3776905981475</v>
      </c>
      <c r="W556" s="81" t="n">
        <f aca="false">+W554/W565*100</f>
        <v>16.6912022441747</v>
      </c>
      <c r="X556" s="81" t="n">
        <f aca="false">+X554/X565*100</f>
        <v>13.960440652238</v>
      </c>
      <c r="Y556" s="81" t="n">
        <f aca="false">+Y554/Y565*100</f>
        <v>11.6047116345392</v>
      </c>
      <c r="Z556" s="81" t="n">
        <f aca="false">+Z554/Z565*100</f>
        <v>11.5183307479891</v>
      </c>
      <c r="AA556" s="81" t="n">
        <f aca="false">+AA554/AA565*100</f>
        <v>10.7130990339775</v>
      </c>
      <c r="AB556" s="75"/>
      <c r="AC556" s="75"/>
      <c r="AD556" s="75"/>
      <c r="AE556" s="75"/>
      <c r="AF556" s="82"/>
      <c r="AG556" s="82"/>
      <c r="AH556" s="75"/>
      <c r="AI556" s="75"/>
      <c r="AJ556" s="75"/>
      <c r="AK556" s="75"/>
      <c r="AL556" s="75"/>
      <c r="AM556" s="75"/>
      <c r="AN556" s="75"/>
      <c r="AO556" s="75"/>
    </row>
    <row r="557" customFormat="false" ht="12" hidden="false" customHeight="true" outlineLevel="0" collapsed="false">
      <c r="A557" s="69" t="s">
        <v>219</v>
      </c>
      <c r="B557" s="81" t="n">
        <f aca="false">+B554/B655*100</f>
        <v>5.0207609302657</v>
      </c>
      <c r="C557" s="81" t="n">
        <f aca="false">+C554/C655*100</f>
        <v>5.06935614673401</v>
      </c>
      <c r="D557" s="81" t="n">
        <f aca="false">+D554/D655*100</f>
        <v>4.39769720582677</v>
      </c>
      <c r="E557" s="81" t="n">
        <f aca="false">+E554/E655*100</f>
        <v>4.1195659854048</v>
      </c>
      <c r="F557" s="81" t="n">
        <f aca="false">+F554/F655*100</f>
        <v>2.78555347114606</v>
      </c>
      <c r="G557" s="81" t="n">
        <f aca="false">+G554/G655*100</f>
        <v>4.66826819721237</v>
      </c>
      <c r="H557" s="81" t="n">
        <f aca="false">+H554/H655*100</f>
        <v>2.62091668510231</v>
      </c>
      <c r="I557" s="81" t="n">
        <f aca="false">+I554/I655*100</f>
        <v>2.73596442553598</v>
      </c>
      <c r="J557" s="81" t="n">
        <f aca="false">+J554/J655*100</f>
        <v>2.68308561559358</v>
      </c>
      <c r="K557" s="81" t="n">
        <f aca="false">+K554/K655*100</f>
        <v>2.23171110016241</v>
      </c>
      <c r="L557" s="81" t="n">
        <f aca="false">+L554/L655*100</f>
        <v>1.89762833056007</v>
      </c>
      <c r="M557" s="81" t="n">
        <f aca="false">+M554/M655*100</f>
        <v>1.6426665525926</v>
      </c>
      <c r="N557" s="81" t="n">
        <f aca="false">+N554/N655*100</f>
        <v>1.48954062555469</v>
      </c>
      <c r="O557" s="81" t="n">
        <f aca="false">+O554/O655*100</f>
        <v>1.63836495235175</v>
      </c>
      <c r="P557" s="81" t="n">
        <f aca="false">+P554/P655*100</f>
        <v>1.4952827411217</v>
      </c>
      <c r="Q557" s="81" t="n">
        <f aca="false">+Q554/Q655*100</f>
        <v>1.83045303788244</v>
      </c>
      <c r="R557" s="81" t="n">
        <f aca="false">+R554/R655*100</f>
        <v>3.03288758605703</v>
      </c>
      <c r="S557" s="81" t="n">
        <f aca="false">+S554/S655*100</f>
        <v>3.11058202976314</v>
      </c>
      <c r="T557" s="81" t="n">
        <f aca="false">+T554/T655*100</f>
        <v>2.26044805756377</v>
      </c>
      <c r="U557" s="81" t="n">
        <f aca="false">+U554/U655*100</f>
        <v>3.71786463392934</v>
      </c>
      <c r="V557" s="81" t="n">
        <f aca="false">+V554/V655*100</f>
        <v>9.86377102860371</v>
      </c>
      <c r="W557" s="81" t="n">
        <f aca="false">+W554/W655*100</f>
        <v>12.0163449416308</v>
      </c>
      <c r="X557" s="81" t="n">
        <f aca="false">+X554/X655*100</f>
        <v>9.60371107598968</v>
      </c>
      <c r="Y557" s="81" t="n">
        <f aca="false">+Y554/Y655*100</f>
        <v>7.65881796616333</v>
      </c>
      <c r="Z557" s="81" t="n">
        <f aca="false">+Z554/Z655*100</f>
        <v>7.53641870433852</v>
      </c>
      <c r="AA557" s="81" t="n">
        <f aca="false">+AA554/AA655*100</f>
        <v>7.52102661689319</v>
      </c>
      <c r="AB557" s="75"/>
      <c r="AC557" s="75"/>
      <c r="AD557" s="75"/>
      <c r="AE557" s="75"/>
      <c r="AF557" s="82"/>
      <c r="AG557" s="82"/>
      <c r="AH557" s="75"/>
      <c r="AI557" s="75"/>
      <c r="AJ557" s="75"/>
      <c r="AK557" s="75"/>
      <c r="AL557" s="75"/>
      <c r="AM557" s="75"/>
      <c r="AN557" s="75"/>
      <c r="AO557" s="75"/>
    </row>
    <row r="558" customFormat="false" ht="12" hidden="false" customHeight="true" outlineLevel="0" collapsed="false">
      <c r="B558" s="75"/>
      <c r="C558" s="75"/>
      <c r="D558" s="75"/>
      <c r="E558" s="75"/>
      <c r="F558" s="75"/>
      <c r="G558" s="75"/>
      <c r="W558" s="36" t="n">
        <f aca="false">+W554-12690.278</f>
        <v>-0.00200000000040745</v>
      </c>
    </row>
    <row r="559" customFormat="false" ht="12.75" hidden="false" customHeight="true" outlineLevel="0" collapsed="false">
      <c r="A559" s="73" t="s">
        <v>522</v>
      </c>
      <c r="P559" s="75"/>
    </row>
    <row r="560" customFormat="false" ht="12.75" hidden="false" customHeight="true" outlineLevel="0" collapsed="false">
      <c r="A560" s="59" t="s">
        <v>454</v>
      </c>
      <c r="B560" s="209" t="n">
        <f aca="false">527.78-51.65</f>
        <v>476.13</v>
      </c>
      <c r="C560" s="209" t="n">
        <f aca="false">-63.49+159.1</f>
        <v>95.61</v>
      </c>
      <c r="D560" s="209" t="n">
        <f aca="false">-34.76-78.81</f>
        <v>-113.57</v>
      </c>
      <c r="E560" s="209" t="n">
        <f aca="false">-37.06-408.85</f>
        <v>-445.91</v>
      </c>
      <c r="F560" s="209" t="n">
        <f aca="false">-61.75-1235.97</f>
        <v>-1297.72</v>
      </c>
      <c r="G560" s="209" t="n">
        <f aca="false">-160.23-761.42</f>
        <v>-921.65</v>
      </c>
      <c r="H560" s="209" t="n">
        <f aca="false">-119.78+1639.92</f>
        <v>1520.14</v>
      </c>
      <c r="I560" s="209" t="n">
        <f aca="false">-151.71-288.47</f>
        <v>-440.18</v>
      </c>
      <c r="J560" s="209" t="n">
        <f aca="false">-147.38-795.15</f>
        <v>-942.53</v>
      </c>
      <c r="K560" s="209" t="n">
        <f aca="false">-151.96-1045.91</f>
        <v>-1197.87</v>
      </c>
      <c r="L560" s="209" t="n">
        <f aca="false">1605.82-140.95</f>
        <v>1464.87</v>
      </c>
      <c r="M560" s="209" t="n">
        <f aca="false">-530.3-155.52</f>
        <v>-685.82</v>
      </c>
      <c r="N560" s="209" t="n">
        <f aca="false">-79.42-212.23-102.55</f>
        <v>-394.2</v>
      </c>
      <c r="O560" s="209" t="n">
        <f aca="false">351.53-301.33-3006.04</f>
        <v>-2955.84</v>
      </c>
      <c r="P560" s="209" t="n">
        <f aca="false">185.1-385.1-489.8</f>
        <v>-689.8</v>
      </c>
      <c r="Q560" s="209" t="n">
        <f aca="false">17.3-974.75-504.95</f>
        <v>-1462.4</v>
      </c>
      <c r="R560" s="209" t="n">
        <f aca="false">-429.652-10.466-275.938</f>
        <v>-716.056</v>
      </c>
      <c r="S560" s="209" t="n">
        <f aca="false">-366.255-2518.45+76.707</f>
        <v>-2807.998</v>
      </c>
      <c r="T560" s="209" t="n">
        <f aca="false">-514.739-1755.36+103.12</f>
        <v>-2166.979</v>
      </c>
      <c r="U560" s="208" t="n">
        <v>-1670.13</v>
      </c>
      <c r="V560" s="208" t="n">
        <v>2719.769</v>
      </c>
      <c r="W560" s="208" t="n">
        <v>4238.71</v>
      </c>
      <c r="X560" s="208" t="n">
        <v>-526.126</v>
      </c>
      <c r="Y560" s="208" t="n">
        <v>-4290.214</v>
      </c>
      <c r="Z560" s="208" t="n">
        <v>-7090.813</v>
      </c>
      <c r="AA560" s="208" t="n">
        <v>12785.188</v>
      </c>
      <c r="AB560" s="208" t="n">
        <v>-9588</v>
      </c>
      <c r="AC560" s="208" t="n">
        <v>11914.7</v>
      </c>
      <c r="AD560" s="208" t="n">
        <v>-4623.1</v>
      </c>
      <c r="AE560" s="208" t="n">
        <v>-489.9</v>
      </c>
      <c r="AF560" s="208" t="n">
        <v>-5584.9</v>
      </c>
      <c r="AG560" s="208" t="n">
        <v>-5109.4</v>
      </c>
      <c r="AH560" s="208" t="n">
        <v>2305.8</v>
      </c>
      <c r="AI560" s="208" t="n">
        <v>-1109.3</v>
      </c>
      <c r="AJ560" s="145"/>
      <c r="AK560" s="145"/>
      <c r="AL560" s="145"/>
      <c r="AM560" s="296"/>
      <c r="AN560" s="296"/>
      <c r="AO560" s="296"/>
    </row>
    <row r="561" customFormat="false" ht="12" hidden="false" customHeight="true" outlineLevel="0" collapsed="false">
      <c r="A561" s="69" t="s">
        <v>505</v>
      </c>
      <c r="B561" s="81" t="n">
        <f aca="false">+B560/B565*100</f>
        <v>7.98830268071956</v>
      </c>
      <c r="C561" s="81" t="n">
        <f aca="false">+C560/C565*100</f>
        <v>1.25486274077457</v>
      </c>
      <c r="D561" s="81" t="n">
        <f aca="false">+D560/D565*100</f>
        <v>-1.16062322309269</v>
      </c>
      <c r="E561" s="81" t="n">
        <f aca="false">+E560/E565*100</f>
        <v>-3.42110835594073</v>
      </c>
      <c r="F561" s="81" t="n">
        <f aca="false">+F560/F565*100</f>
        <v>-8.2609180000191</v>
      </c>
      <c r="G561" s="81" t="n">
        <f aca="false">+G560/G565*100</f>
        <v>-7.41295717190436</v>
      </c>
      <c r="H561" s="81" t="n">
        <f aca="false">+H560/H565*100</f>
        <v>11.8765762359096</v>
      </c>
      <c r="I561" s="81" t="n">
        <f aca="false">+I560/I565*100</f>
        <v>-2.81907709136415</v>
      </c>
      <c r="J561" s="81" t="n">
        <f aca="false">+J560/J565*100</f>
        <v>-6.24819769264884</v>
      </c>
      <c r="K561" s="81" t="n">
        <f aca="false">+K560/K565*100</f>
        <v>-8.03666674270349</v>
      </c>
      <c r="L561" s="81" t="n">
        <f aca="false">+L560/L565*100</f>
        <v>7.96965278608968</v>
      </c>
      <c r="M561" s="81" t="n">
        <f aca="false">+M560/M565*100</f>
        <v>-2.87025671266002</v>
      </c>
      <c r="N561" s="81" t="n">
        <f aca="false">+N560/N565*100</f>
        <v>-1.29915242004215</v>
      </c>
      <c r="O561" s="81" t="n">
        <f aca="false">+O560/O565*100</f>
        <v>-7.64144087735521</v>
      </c>
      <c r="P561" s="81" t="n">
        <f aca="false">+P560/P565*100</f>
        <v>-1.26260384495635</v>
      </c>
      <c r="Q561" s="81" t="n">
        <f aca="false">+Q560/Q565*100</f>
        <v>-2.53653466765048</v>
      </c>
      <c r="R561" s="81" t="n">
        <f aca="false">+R560/R565*100</f>
        <v>-1.60823156112439</v>
      </c>
      <c r="S561" s="81" t="n">
        <f aca="false">+S560/S565*100</f>
        <v>-5.38001075887961</v>
      </c>
      <c r="T561" s="81" t="n">
        <f aca="false">+T560/T565*100</f>
        <v>-2.6675594727192</v>
      </c>
      <c r="U561" s="81" t="n">
        <f aca="false">+U560/U565*100</f>
        <v>-1.76470023251973</v>
      </c>
      <c r="V561" s="81" t="n">
        <f aca="false">+V560/V565*100</f>
        <v>2.98107971601927</v>
      </c>
      <c r="W561" s="81" t="n">
        <f aca="false">+W560/W565*100</f>
        <v>5.57506912098728</v>
      </c>
      <c r="X561" s="81" t="n">
        <f aca="false">+X560/X565*100</f>
        <v>-0.527962793116508</v>
      </c>
      <c r="Y561" s="81" t="n">
        <f aca="false">+Y560/Y565*100</f>
        <v>-3.25142810908405</v>
      </c>
      <c r="Z561" s="81" t="n">
        <f aca="false">+Z560/Z565*100</f>
        <v>-5.08037441663175</v>
      </c>
      <c r="AA561" s="81" t="n">
        <f aca="false">+AA560/AA565*100</f>
        <v>6.86590376114263</v>
      </c>
      <c r="AB561" s="81" t="n">
        <f aca="false">+AB560/AB565*100</f>
        <v>-4.63646004244769</v>
      </c>
      <c r="AC561" s="81" t="n">
        <f aca="false">+AC560/AC565*100</f>
        <v>9.63259399392844</v>
      </c>
      <c r="AD561" s="81" t="n">
        <f aca="false">+AD560/AD565*100</f>
        <v>-4.05417374429003</v>
      </c>
      <c r="AE561" s="81" t="n">
        <f aca="false">+AE560/AE565*100</f>
        <v>-0.292284442461012</v>
      </c>
      <c r="AF561" s="81" t="n">
        <f aca="false">+AF560/AF565*100</f>
        <v>-2.0054112962155</v>
      </c>
      <c r="AG561" s="81" t="n">
        <f aca="false">+AG560/AG565*100</f>
        <v>-1.83053818051799</v>
      </c>
      <c r="AH561" s="81" t="n">
        <f aca="false">+AH560/AH565*100</f>
        <v>0.834745814867294</v>
      </c>
      <c r="AI561" s="81" t="n">
        <f aca="false">+AI560/AI565*100</f>
        <v>-0.353087518469218</v>
      </c>
      <c r="AJ561" s="81" t="n">
        <f aca="false">+AJ560/AJ565*100</f>
        <v>0</v>
      </c>
      <c r="AK561" s="81" t="n">
        <f aca="false">+AK560/AK565*100</f>
        <v>0</v>
      </c>
      <c r="AL561" s="81" t="n">
        <f aca="false">+AL560/AL565*100</f>
        <v>0</v>
      </c>
      <c r="AM561" s="75"/>
      <c r="AN561" s="75"/>
      <c r="AO561" s="75"/>
    </row>
    <row r="562" customFormat="false" ht="12" hidden="false" customHeight="true" outlineLevel="0" collapsed="false">
      <c r="A562" s="69" t="s">
        <v>219</v>
      </c>
      <c r="B562" s="81" t="n">
        <f aca="false">+B560/B655*100</f>
        <v>4.98859537088357</v>
      </c>
      <c r="C562" s="81" t="n">
        <f aca="false">+C560/C655*100</f>
        <v>0.809366677558677</v>
      </c>
      <c r="D562" s="81" t="n">
        <f aca="false">+D560/D655*100</f>
        <v>-0.750483052841091</v>
      </c>
      <c r="E562" s="81" t="n">
        <f aca="false">+E560/E655*100</f>
        <v>-2.2187866658838</v>
      </c>
      <c r="F562" s="81" t="n">
        <f aca="false">+F560/F655*100</f>
        <v>-5.2275754889019</v>
      </c>
      <c r="G562" s="81" t="n">
        <f aca="false">+G560/G655*100</f>
        <v>-4.57557999825674</v>
      </c>
      <c r="H562" s="81" t="n">
        <f aca="false">+H560/H655*100</f>
        <v>7.43327354930395</v>
      </c>
      <c r="I562" s="81" t="n">
        <f aca="false">+I560/I655*100</f>
        <v>-1.6938351910442</v>
      </c>
      <c r="J562" s="81" t="n">
        <f aca="false">+J560/J655*100</f>
        <v>-3.61584907600254</v>
      </c>
      <c r="K562" s="81" t="n">
        <f aca="false">+K560/K655*100</f>
        <v>-4.55386306819219</v>
      </c>
      <c r="L562" s="81" t="n">
        <f aca="false">+L560/L655*100</f>
        <v>4.76536233793484</v>
      </c>
      <c r="M562" s="81" t="n">
        <f aca="false">+M560/M655*100</f>
        <v>-1.74630080465504</v>
      </c>
      <c r="N562" s="81" t="n">
        <f aca="false">+N560/N655*100</f>
        <v>-0.819324246635304</v>
      </c>
      <c r="O562" s="81" t="n">
        <f aca="false">+O560/O655*100</f>
        <v>-4.88317736937785</v>
      </c>
      <c r="P562" s="81" t="n">
        <f aca="false">+P560/P655*100</f>
        <v>-0.83061228937723</v>
      </c>
      <c r="Q562" s="81" t="n">
        <f aca="false">+Q560/Q655*100</f>
        <v>-1.63694956955077</v>
      </c>
      <c r="R562" s="81" t="n">
        <f aca="false">+R560/R655*100</f>
        <v>-1.0740882802418</v>
      </c>
      <c r="S562" s="81" t="n">
        <f aca="false">+S560/S655*100</f>
        <v>-3.56679994838806</v>
      </c>
      <c r="T562" s="81" t="n">
        <f aca="false">+T560/T655*100</f>
        <v>-1.79183847783111</v>
      </c>
      <c r="U562" s="81" t="n">
        <f aca="false">+U560/U655*100</f>
        <v>-1.22381535760809</v>
      </c>
      <c r="V562" s="81" t="n">
        <f aca="false">+V560/V655*100</f>
        <v>2.04516069782569</v>
      </c>
      <c r="W562" s="81" t="n">
        <f aca="false">+W560/W655*100</f>
        <v>4.0136086455125</v>
      </c>
      <c r="X562" s="81" t="n">
        <f aca="false">+X560/X655*100</f>
        <v>-0.363197856734604</v>
      </c>
      <c r="Y562" s="81" t="n">
        <f aca="false">+Y560/Y655*100</f>
        <v>-2.14586081944726</v>
      </c>
      <c r="Z562" s="81" t="n">
        <f aca="false">+Z560/Z655*100</f>
        <v>-3.32407790818394</v>
      </c>
      <c r="AA562" s="81" t="n">
        <f aca="false">+AA560/AA655*100</f>
        <v>4.82014072424835</v>
      </c>
      <c r="AB562" s="81" t="n">
        <f aca="false">+AB560/AB655*100</f>
        <v>-3.29995405257968</v>
      </c>
      <c r="AC562" s="81" t="n">
        <f aca="false">+AC560/AC655*100</f>
        <v>6.82107941218734</v>
      </c>
      <c r="AD562" s="81" t="n">
        <f aca="false">+AD560/AD655*100</f>
        <v>-3.02134765005931</v>
      </c>
      <c r="AE562" s="81" t="n">
        <f aca="false">+AE560/AE655*100</f>
        <v>-0.225882261810406</v>
      </c>
      <c r="AF562" s="81" t="n">
        <f aca="false">+AF560/AF655*100</f>
        <v>-1.54517440448161</v>
      </c>
      <c r="AG562" s="81" t="n">
        <f aca="false">+AG560/AG655*100</f>
        <v>-1.33171631997577</v>
      </c>
      <c r="AH562" s="81" t="n">
        <f aca="false">+AH560/AH655*100</f>
        <v>0.595003088813849</v>
      </c>
      <c r="AI562" s="81" t="n">
        <f aca="false">+AI560/AI655*100</f>
        <v>-0.25207336191513</v>
      </c>
      <c r="AJ562" s="81" t="n">
        <f aca="false">+AJ560/AJ655*100</f>
        <v>0</v>
      </c>
      <c r="AK562" s="81" t="n">
        <f aca="false">+AK560/AK655*100</f>
        <v>0</v>
      </c>
      <c r="AL562" s="81" t="n">
        <f aca="false">+AL560/AL655*100</f>
        <v>0</v>
      </c>
      <c r="AM562" s="75"/>
      <c r="AN562" s="75"/>
      <c r="AO562" s="75"/>
    </row>
    <row r="563" customFormat="false" ht="12" hidden="false" customHeight="true" outlineLevel="0" collapsed="false">
      <c r="B563" s="75"/>
      <c r="C563" s="75"/>
      <c r="D563" s="75"/>
      <c r="E563" s="75"/>
      <c r="F563" s="75"/>
      <c r="G563" s="75"/>
      <c r="L563" s="41"/>
      <c r="M563" s="41"/>
      <c r="N563" s="41"/>
      <c r="O563" s="41"/>
      <c r="P563" s="41"/>
      <c r="Q563" s="41"/>
      <c r="R563" s="41"/>
      <c r="S563" s="41"/>
      <c r="T563" s="41"/>
      <c r="U563" s="41"/>
      <c r="V563" s="41"/>
      <c r="W563" s="41"/>
      <c r="X563" s="41"/>
      <c r="Y563" s="41"/>
      <c r="Z563" s="41"/>
      <c r="AA563" s="180"/>
      <c r="AB563" s="41"/>
      <c r="AC563" s="41"/>
      <c r="AD563" s="41"/>
      <c r="AE563" s="41"/>
      <c r="AF563" s="180"/>
      <c r="AG563" s="180"/>
      <c r="AH563" s="41"/>
      <c r="AI563" s="41"/>
      <c r="AJ563" s="41"/>
      <c r="AK563" s="41"/>
      <c r="AL563" s="41"/>
      <c r="AM563" s="41"/>
      <c r="AN563" s="41"/>
      <c r="AO563" s="41"/>
    </row>
    <row r="564" customFormat="false" ht="12" hidden="false" customHeight="true" outlineLevel="0" collapsed="false">
      <c r="A564" s="69" t="s">
        <v>523</v>
      </c>
      <c r="B564" s="75"/>
      <c r="C564" s="75"/>
      <c r="D564" s="75"/>
      <c r="E564" s="75"/>
      <c r="F564" s="75"/>
      <c r="G564" s="75"/>
      <c r="L564" s="41"/>
      <c r="M564" s="41"/>
      <c r="N564" s="41"/>
      <c r="O564" s="41"/>
      <c r="P564" s="41"/>
      <c r="Q564" s="41"/>
      <c r="R564" s="41"/>
      <c r="S564" s="41"/>
      <c r="T564" s="41"/>
      <c r="U564" s="41"/>
      <c r="V564" s="41"/>
      <c r="W564" s="41"/>
      <c r="X564" s="41"/>
      <c r="Y564" s="190" t="n">
        <v>242.577</v>
      </c>
      <c r="Z564" s="190" t="n">
        <v>348.046</v>
      </c>
      <c r="AA564" s="190" t="n">
        <v>402.184</v>
      </c>
      <c r="AB564" s="41"/>
      <c r="AC564" s="41"/>
      <c r="AD564" s="41"/>
      <c r="AE564" s="41"/>
      <c r="AF564" s="180"/>
      <c r="AG564" s="180"/>
      <c r="AH564" s="41"/>
      <c r="AI564" s="41"/>
      <c r="AJ564" s="41"/>
      <c r="AK564" s="41"/>
      <c r="AL564" s="41"/>
      <c r="AM564" s="41"/>
      <c r="AN564" s="41"/>
      <c r="AO564" s="41"/>
    </row>
    <row r="565" customFormat="false" ht="12.75" hidden="false" customHeight="true" outlineLevel="0" collapsed="false">
      <c r="A565" s="59" t="s">
        <v>524</v>
      </c>
      <c r="B565" s="67" t="n">
        <f aca="false">+B560+B554+B542+B534+B525+B516+B503+B494+B485</f>
        <v>5960.34</v>
      </c>
      <c r="C565" s="67" t="n">
        <f aca="false">+C560+C554+C542+C534+C525+C516+C503+C494+C485</f>
        <v>7619.16</v>
      </c>
      <c r="D565" s="67" t="n">
        <f aca="false">+D560+D554+D542+D534+D525+D516+D503+D494+D485</f>
        <v>9785.26</v>
      </c>
      <c r="E565" s="67" t="n">
        <f aca="false">+E560+E554+E542+E534+E525+E516+E503+E494+E485</f>
        <v>13034.08</v>
      </c>
      <c r="F565" s="67" t="n">
        <f aca="false">+F560+F554+F542+F534+F525+F516+F503+F494+F485</f>
        <v>15709.15</v>
      </c>
      <c r="G565" s="67" t="n">
        <f aca="false">+G560+G554+G542+G534+G525+G516+G503+G494+G485</f>
        <v>12432.96</v>
      </c>
      <c r="H565" s="67" t="n">
        <f aca="false">+H560+H554+H542+H534+H525+H516+H503+H494+H485</f>
        <v>12799.48</v>
      </c>
      <c r="I565" s="67" t="n">
        <f aca="false">+I560+I554+I542+I534+I525+I516+I503+I494+I485</f>
        <v>15614.33</v>
      </c>
      <c r="J565" s="67" t="n">
        <f aca="false">+J560+J554+J542+J534+J525+J516+J503+J494+J485</f>
        <v>15084.83</v>
      </c>
      <c r="K565" s="67" t="n">
        <f aca="false">+K560+K554+K542+K534+K525+K516+K503+K494+K485</f>
        <v>14905.06</v>
      </c>
      <c r="L565" s="67" t="n">
        <f aca="false">+L560+L554+L542+L534+L525+L516+L503+L494+L485</f>
        <v>18380.6</v>
      </c>
      <c r="M565" s="67" t="n">
        <f aca="false">+M560+M554+M542+M534+M525+M516+M503+M494+M485</f>
        <v>23894.03</v>
      </c>
      <c r="N565" s="67" t="n">
        <f aca="false">+N560+N554+N542+N534+N525+N516+N503+N494+N485</f>
        <v>30342.86</v>
      </c>
      <c r="O565" s="67" t="n">
        <f aca="false">+O560+O554+O542+O534+O525+O516+O503+O494+O485</f>
        <v>38681.71</v>
      </c>
      <c r="P565" s="67" t="n">
        <f aca="false">+P560+P554+P542+P534+P525+P516+P503+P494+P485</f>
        <v>54633.13</v>
      </c>
      <c r="Q565" s="67" t="n">
        <f aca="false">+Q560+Q554+Q542+Q534+Q525+Q516+Q503+Q494+Q485</f>
        <v>57653.46</v>
      </c>
      <c r="R565" s="67" t="n">
        <f aca="false">+R560+R554+R542+R534+R525+R516+R503+R494+R485</f>
        <v>44524.434</v>
      </c>
      <c r="S565" s="67" t="n">
        <f aca="false">+S560+S554+S542+S534+S525+S516+S503+S494+S485</f>
        <v>52193.167</v>
      </c>
      <c r="T565" s="67" t="n">
        <f aca="false">+T560+T554+T542+T534+T525+T516+T503+T494+T485</f>
        <v>81234.515</v>
      </c>
      <c r="U565" s="67" t="n">
        <f aca="false">+U560+U554+U542+U534+U525+U516+U511</f>
        <v>94641.003</v>
      </c>
      <c r="V565" s="67" t="n">
        <f aca="false">+V560+V554+V542+V534+V525+V516+V511</f>
        <v>91234.36</v>
      </c>
      <c r="W565" s="67" t="n">
        <f aca="false">+W560+W554+W542+W534+W525+W516+W511</f>
        <v>76029.73</v>
      </c>
      <c r="X565" s="67" t="n">
        <f aca="false">+X560+X554+X542+X534+X525+X516+X511</f>
        <v>99652.098</v>
      </c>
      <c r="Y565" s="67" t="n">
        <f aca="false">+Y560+Y554+Y542+Y534+Y525+Y516+Y511-Y564</f>
        <v>131948.604</v>
      </c>
      <c r="Z565" s="67" t="n">
        <f aca="false">+Z560+Z554+Z542+Z534+Z525+Z516+Z511-Z564</f>
        <v>139572.646</v>
      </c>
      <c r="AA565" s="67" t="n">
        <f aca="false">+AA560+AA554+AA542+AA534+AA525+AA516+AA511-AA564</f>
        <v>186212.747</v>
      </c>
      <c r="AB565" s="67" t="n">
        <f aca="false">+AB560+AB554+AB542+AB534+AB525+AB516+AB511</f>
        <v>206795.7</v>
      </c>
      <c r="AC565" s="67" t="n">
        <f aca="false">+AC560+AC554+AC542+AC534+AC525+AC516+AC511</f>
        <v>123691.5</v>
      </c>
      <c r="AD565" s="67" t="n">
        <f aca="false">+AD560+AD554+AD542+AD534+AD525+AD516+AD511</f>
        <v>114033.1</v>
      </c>
      <c r="AE565" s="67" t="n">
        <f aca="false">+AE560+AE554+AE542+AE534+AE525+AE516+AE511</f>
        <v>167610.7</v>
      </c>
      <c r="AF565" s="67" t="n">
        <f aca="false">+AF560+AF554+AF542+AF534+AF525+AF516+AF511</f>
        <v>278491.5</v>
      </c>
      <c r="AG565" s="67" t="n">
        <f aca="false">+AG560+AG554+AG542+AG534+AG525+AG516+AG511</f>
        <v>279120.1</v>
      </c>
      <c r="AH565" s="67" t="n">
        <f aca="false">+AH560+AH554+AH542+AH534+AH525+AH516+AH511</f>
        <v>276227.8</v>
      </c>
      <c r="AI565" s="67" t="n">
        <f aca="false">+AI560+AI554+AI542+AI534+AI525+AI516+AI511</f>
        <v>314171.4</v>
      </c>
      <c r="AJ565" s="67" t="n">
        <f aca="false">+AJ560+AJ554+AJ542+AJ534+AJ525+AJ516+AJ511</f>
        <v>347869.127987938</v>
      </c>
      <c r="AK565" s="67" t="n">
        <f aca="false">+AK560+AK554+AK542+AK534+AK525+AK516+AK511</f>
        <v>373186.611619762</v>
      </c>
      <c r="AL565" s="67" t="n">
        <f aca="false">+AL560+AL554+AL542+AL534+AL525+AL516+AL511</f>
        <v>401195.306230658</v>
      </c>
      <c r="AM565" s="157"/>
      <c r="AN565" s="157"/>
      <c r="AO565" s="157"/>
      <c r="AP565" s="157"/>
      <c r="AQ565" s="19"/>
    </row>
    <row r="566" customFormat="false" ht="12.75" hidden="false" customHeight="true" outlineLevel="0" collapsed="false">
      <c r="A566" s="59" t="s">
        <v>525</v>
      </c>
      <c r="B566" s="165" t="n">
        <f aca="false">+B565/(B661)*100</f>
        <v>72.5652167031704</v>
      </c>
      <c r="C566" s="165" t="n">
        <f aca="false">+C565/(C661)*100</f>
        <v>71.9502072337761</v>
      </c>
      <c r="D566" s="165" t="n">
        <f aca="false">+D565/(D661)*100</f>
        <v>73.3440317083646</v>
      </c>
      <c r="E566" s="165" t="n">
        <f aca="false">+E565/(E661)*100</f>
        <v>72.8250806384475</v>
      </c>
      <c r="F566" s="165" t="n">
        <f aca="false">+F565/(F661)*100</f>
        <v>72.0175070233476</v>
      </c>
      <c r="G566" s="165" t="n">
        <f aca="false">+G565/(G661)*100</f>
        <v>70.2907574795067</v>
      </c>
      <c r="H566" s="165" t="n">
        <f aca="false">+H565/(H661)*100</f>
        <v>70.3781336244889</v>
      </c>
      <c r="I566" s="165" t="n">
        <f aca="false">+I565/(I661)*100</f>
        <v>69.2968036448621</v>
      </c>
      <c r="J566" s="165" t="n">
        <f aca="false">+J565/(J661)*100</f>
        <v>66.9837904948997</v>
      </c>
      <c r="K566" s="165" t="n">
        <f aca="false">+K565/(K661)*100</f>
        <v>65.9151937337258</v>
      </c>
      <c r="L566" s="165" t="n">
        <f aca="false">+L565/(L661)*100</f>
        <v>68.5747330131045</v>
      </c>
      <c r="M566" s="165" t="n">
        <f aca="false">+M565/(M661)*100</f>
        <v>70.4032017594002</v>
      </c>
      <c r="N566" s="165" t="n">
        <f aca="false">+N565/(N661)*100</f>
        <v>72.5493009001099</v>
      </c>
      <c r="O566" s="165" t="n">
        <f aca="false">+O565/(O661)*100</f>
        <v>73.7123443853133</v>
      </c>
      <c r="P566" s="165" t="n">
        <f aca="false">+P565/(P661)*100</f>
        <v>76.2162229275621</v>
      </c>
      <c r="Q566" s="165" t="n">
        <f aca="false">+Q565/(Q661)*100</f>
        <v>74.5924990454932</v>
      </c>
      <c r="R566" s="165" t="n">
        <f aca="false">+R565/(R661)*100</f>
        <v>74.4422092641995</v>
      </c>
      <c r="S566" s="165" t="n">
        <f aca="false">+S565/(S661)*100</f>
        <v>72.0431368513621</v>
      </c>
      <c r="T566" s="165" t="n">
        <f aca="false">+T565/(T661)*100</f>
        <v>73.0676751837991</v>
      </c>
      <c r="U566" s="165" t="n">
        <f aca="false">+U565/(U661)*100</f>
        <v>73.762905945864</v>
      </c>
      <c r="V566" s="165" t="n">
        <f aca="false">+V565/(V661)*100</f>
        <v>73.0974265295004</v>
      </c>
      <c r="W566" s="165" t="n">
        <f aca="false">+W565/(W661)*100</f>
        <v>76.4623024776761</v>
      </c>
      <c r="X566" s="165" t="n">
        <f aca="false">+X565/(X661)*100</f>
        <v>73.4779154589826</v>
      </c>
      <c r="Y566" s="165" t="n">
        <f aca="false">+Y565/(Y661)*100</f>
        <v>69.6765516358611</v>
      </c>
      <c r="Z566" s="165" t="n">
        <f aca="false">+Z565/(Z661)*100</f>
        <v>69.7212841972494</v>
      </c>
      <c r="AA566" s="165" t="n">
        <f aca="false">+AA565/(AA661)*100</f>
        <v>70.9438434900939</v>
      </c>
      <c r="AB566" s="165" t="n">
        <f aca="false">+AB565/(AB661)*100</f>
        <v>71.1739996110818</v>
      </c>
      <c r="AC566" s="165" t="n">
        <f aca="false">+AC565/(AC661)*100</f>
        <v>70.8124874409402</v>
      </c>
      <c r="AD566" s="165" t="n">
        <f aca="false">+AD565/(AD661)*100</f>
        <v>74.524375140918</v>
      </c>
      <c r="AE566" s="165" t="n">
        <f aca="false">+AE565/(AE661)*100</f>
        <v>77.2816575211785</v>
      </c>
      <c r="AF566" s="165" t="n">
        <f aca="false">+AF565/(AF661)*100</f>
        <v>77.0502493626906</v>
      </c>
      <c r="AG566" s="165" t="n">
        <f aca="false">+AG565/(AG661)*100</f>
        <v>72.7499887273005</v>
      </c>
      <c r="AH566" s="165" t="n">
        <f aca="false">+AH565/(AH661)*100</f>
        <v>71.27955339416</v>
      </c>
      <c r="AI566" s="165" t="n">
        <f aca="false">+AI565/(AI661)*100</f>
        <v>71.3911845448329</v>
      </c>
      <c r="AJ566" s="165" t="n">
        <f aca="false">+AJ565/(AJ661)*100</f>
        <v>72.5</v>
      </c>
      <c r="AK566" s="165" t="n">
        <f aca="false">+AK565/(AK661)*100</f>
        <v>72</v>
      </c>
      <c r="AL566" s="165" t="n">
        <f aca="false">+AL565/(AL661)*100</f>
        <v>72</v>
      </c>
      <c r="AM566" s="157"/>
      <c r="AN566" s="157"/>
      <c r="AO566" s="157"/>
      <c r="AP566" s="157"/>
    </row>
    <row r="567" customFormat="false" ht="12.75" hidden="false" customHeight="true" outlineLevel="0" collapsed="false">
      <c r="A567" s="59" t="s">
        <v>526</v>
      </c>
      <c r="B567" s="157"/>
      <c r="C567" s="165" t="n">
        <f aca="false">+C565/B565*100-100</f>
        <v>27.8309626632038</v>
      </c>
      <c r="D567" s="165" t="n">
        <f aca="false">+D565/C565*100-100</f>
        <v>28.4296431627634</v>
      </c>
      <c r="E567" s="165" t="n">
        <f aca="false">+E565/D565*100-100</f>
        <v>33.2011617473629</v>
      </c>
      <c r="F567" s="165" t="n">
        <f aca="false">+F565/E565*100-100</f>
        <v>20.5236579796963</v>
      </c>
      <c r="G567" s="165" t="n">
        <f aca="false">+G565/F565*100-100</f>
        <v>-20.8552977086603</v>
      </c>
      <c r="H567" s="165" t="n">
        <f aca="false">+H565/G565*100-100</f>
        <v>2.94797055568425</v>
      </c>
      <c r="I567" s="165" t="n">
        <f aca="false">+I565/H565*100-100</f>
        <v>21.991909046305</v>
      </c>
      <c r="J567" s="165" t="n">
        <f aca="false">+J565/I565*100-100</f>
        <v>-3.39111572510635</v>
      </c>
      <c r="K567" s="165" t="n">
        <f aca="false">+K565/J565*100-100</f>
        <v>-1.19172705293997</v>
      </c>
      <c r="L567" s="165" t="n">
        <f aca="false">+L565/K565*100-100</f>
        <v>23.3178531317553</v>
      </c>
      <c r="M567" s="165" t="n">
        <f aca="false">+M565/L565*100-100</f>
        <v>29.9959196108941</v>
      </c>
      <c r="N567" s="165" t="n">
        <f aca="false">+N565/M565*100-100</f>
        <v>26.989293978454</v>
      </c>
      <c r="O567" s="165" t="n">
        <f aca="false">+O565/N565*100-100</f>
        <v>27.4820830996156</v>
      </c>
      <c r="P567" s="165" t="n">
        <f aca="false">+P565/O565*100-100</f>
        <v>41.2376288431923</v>
      </c>
      <c r="Q567" s="165" t="n">
        <f aca="false">+Q565/P565*100-100</f>
        <v>5.52838543206291</v>
      </c>
      <c r="R567" s="165" t="n">
        <f aca="false">+R565/Q565*100-100</f>
        <v>-22.7723123642536</v>
      </c>
      <c r="S567" s="165" t="n">
        <f aca="false">+S565/R565*100-100</f>
        <v>17.2236507262507</v>
      </c>
      <c r="T567" s="165" t="n">
        <f aca="false">+T565/S565*100-100</f>
        <v>55.642049849169</v>
      </c>
      <c r="U567" s="165" t="n">
        <f aca="false">+U565/T565*100-100</f>
        <v>16.5034382245035</v>
      </c>
      <c r="V567" s="165" t="n">
        <f aca="false">+V565/U565*100-100</f>
        <v>-3.59954236748739</v>
      </c>
      <c r="W567" s="165" t="n">
        <f aca="false">+W565/V565*100-100</f>
        <v>-16.6654646341576</v>
      </c>
      <c r="X567" s="165" t="n">
        <f aca="false">+X565/W565*100-100</f>
        <v>31.0699091000323</v>
      </c>
      <c r="Y567" s="165" t="n">
        <f aca="false">+Y565/X565*100-100</f>
        <v>32.4092584583618</v>
      </c>
      <c r="Z567" s="165" t="n">
        <f aca="false">+Z565/Y565*100-100</f>
        <v>5.77803915227477</v>
      </c>
      <c r="AA567" s="165" t="n">
        <f aca="false">+AA565/Z565*100-100</f>
        <v>33.4163622576876</v>
      </c>
      <c r="AB567" s="165" t="n">
        <f aca="false">+AB565/AA565*100-100</f>
        <v>11.0534608030888</v>
      </c>
      <c r="AC567" s="165" t="n">
        <f aca="false">+AC565/AB565*100-100</f>
        <v>-40.1866189674157</v>
      </c>
      <c r="AD567" s="165" t="n">
        <f aca="false">+AD565/AC565*100-100</f>
        <v>-7.8084589482705</v>
      </c>
      <c r="AE567" s="165" t="n">
        <f aca="false">+AE565/AD565*100-100</f>
        <v>46.9842528178222</v>
      </c>
      <c r="AF567" s="165" t="n">
        <f aca="false">+AF565/AE565*100-100</f>
        <v>66.1537718057379</v>
      </c>
      <c r="AG567" s="165" t="n">
        <f aca="false">+AG565/AF565*100-100</f>
        <v>0.225716045193479</v>
      </c>
      <c r="AH567" s="165" t="n">
        <f aca="false">+AH565/AG565*100-100</f>
        <v>-1.036220608978</v>
      </c>
      <c r="AI567" s="165" t="n">
        <f aca="false">+AI565/AH565*100-100</f>
        <v>13.7363436989326</v>
      </c>
      <c r="AJ567" s="165" t="n">
        <f aca="false">+AJ565/AI565*100-100</f>
        <v>10.7259056642131</v>
      </c>
      <c r="AK567" s="165" t="n">
        <f aca="false">+AK565/AJ565*100-100</f>
        <v>7.27787595819724</v>
      </c>
      <c r="AL567" s="165" t="n">
        <f aca="false">+AL565/AK565*100-100</f>
        <v>7.50527852254072</v>
      </c>
      <c r="AM567" s="157"/>
      <c r="AN567" s="157"/>
      <c r="AO567" s="157"/>
    </row>
    <row r="568" customFormat="false" ht="12.75" hidden="false" customHeight="true" outlineLevel="0" collapsed="false">
      <c r="A568" s="167"/>
      <c r="B568" s="157"/>
      <c r="C568" s="157"/>
      <c r="D568" s="157"/>
      <c r="E568" s="157"/>
      <c r="F568" s="157"/>
      <c r="G568" s="157"/>
      <c r="H568" s="157"/>
      <c r="I568" s="157"/>
      <c r="J568" s="157"/>
      <c r="K568" s="157"/>
      <c r="L568" s="157"/>
      <c r="M568" s="157"/>
      <c r="N568" s="157"/>
      <c r="O568" s="157"/>
      <c r="P568" s="157"/>
      <c r="Q568" s="157"/>
      <c r="R568" s="157"/>
      <c r="S568" s="157"/>
      <c r="T568" s="157"/>
      <c r="U568" s="157"/>
      <c r="V568" s="157"/>
      <c r="W568" s="66"/>
      <c r="X568" s="66"/>
      <c r="Y568" s="66"/>
      <c r="Z568" s="66"/>
      <c r="AA568" s="158"/>
      <c r="AB568" s="158"/>
      <c r="AC568" s="298" t="n">
        <f aca="false">+AC565-103844.6-7932.2-11914.7</f>
        <v>0</v>
      </c>
      <c r="AD568" s="157"/>
      <c r="AE568" s="157"/>
      <c r="AF568" s="158"/>
      <c r="AG568" s="158"/>
      <c r="AH568" s="157"/>
      <c r="AI568" s="157"/>
      <c r="AJ568" s="157"/>
      <c r="AK568" s="157"/>
      <c r="AL568" s="157"/>
      <c r="AM568" s="157"/>
      <c r="AN568" s="157"/>
      <c r="AO568" s="157"/>
    </row>
    <row r="569" customFormat="false" ht="25.5" hidden="false" customHeight="true" outlineLevel="0" collapsed="false">
      <c r="A569" s="59" t="s">
        <v>527</v>
      </c>
      <c r="B569" s="67" t="n">
        <f aca="false">B565/B378*1000000</f>
        <v>289744.786349716</v>
      </c>
      <c r="C569" s="67" t="n">
        <f aca="false">C565/C378*1000000</f>
        <v>314503.426071163</v>
      </c>
      <c r="D569" s="67" t="n">
        <f aca="false">D565/D378*1000000</f>
        <v>321777.704702401</v>
      </c>
      <c r="E569" s="67" t="n">
        <f aca="false">E565/E378*1000000</f>
        <v>348514.131393888</v>
      </c>
      <c r="F569" s="67" t="n">
        <f aca="false">F565/F378*1000000</f>
        <v>362362.751430153</v>
      </c>
      <c r="G569" s="67" t="n">
        <f aca="false">G565/G378*1000000</f>
        <v>394109.107046629</v>
      </c>
      <c r="H569" s="67" t="n">
        <f aca="false">H565/H378*1000000</f>
        <v>430364.816246932</v>
      </c>
      <c r="I569" s="67" t="n">
        <f aca="false">I565/I378*1000000</f>
        <v>412433.76740009</v>
      </c>
      <c r="J569" s="67" t="n">
        <f aca="false">J565/J378*1000000</f>
        <v>464505.927636644</v>
      </c>
      <c r="K569" s="67" t="n">
        <f aca="false">K565/K378*1000000</f>
        <v>502310.517979308</v>
      </c>
      <c r="L569" s="67" t="n">
        <f aca="false">L565/L378*1000000</f>
        <v>504351.882340029</v>
      </c>
      <c r="M569" s="67" t="n">
        <f aca="false">M565/M378*1000000</f>
        <v>491101.039996712</v>
      </c>
      <c r="N569" s="67" t="n">
        <f aca="false">N565/N378*1000000</f>
        <v>554308.732188528</v>
      </c>
      <c r="O569" s="67" t="n">
        <f aca="false">O565/O378*1000000</f>
        <v>627389.668315627</v>
      </c>
      <c r="P569" s="67" t="n">
        <f aca="false">P565/P378*1000000</f>
        <v>657509.597910725</v>
      </c>
      <c r="Q569" s="67" t="n">
        <f aca="false">Q565/Q378*1000000</f>
        <v>692043.596730245</v>
      </c>
      <c r="R569" s="67" t="n">
        <f aca="false">R565/R378*1000000</f>
        <v>817997.721886425</v>
      </c>
      <c r="S569" s="67" t="n">
        <f aca="false">S565/S378*1000000</f>
        <v>816462.268873385</v>
      </c>
      <c r="T569" s="67" t="n">
        <f aca="false">T565/T274*1000000</f>
        <v>852077.524990297</v>
      </c>
      <c r="U569" s="67" t="n">
        <f aca="false">U565/U274*1000000</f>
        <v>927943.945484852</v>
      </c>
      <c r="V569" s="67" t="n">
        <f aca="false">V565/V274*1000000</f>
        <v>796034.935564649</v>
      </c>
      <c r="W569" s="67" t="n">
        <f aca="false">W565/W274*1000000</f>
        <v>851044.136248139</v>
      </c>
      <c r="X569" s="67" t="n">
        <f aca="false">X565/X274*1000000</f>
        <v>949954.223942346</v>
      </c>
      <c r="Y569" s="67" t="n">
        <f aca="false">Y565/Y290*1000000</f>
        <v>1099303.74471223</v>
      </c>
      <c r="Z569" s="67" t="n">
        <f aca="false">Z565/Z290*1000000</f>
        <v>1141990.45563794</v>
      </c>
      <c r="AA569" s="67" t="n">
        <f aca="false">AA565/AA290*1000000</f>
        <v>1284453.94268292</v>
      </c>
      <c r="AB569" s="67" t="n">
        <f aca="false">AB565/AB290*1000000</f>
        <v>1047777.73274019</v>
      </c>
      <c r="AC569" s="67" t="n">
        <f aca="false">AC565/AC290*1000000</f>
        <v>987533.23273694</v>
      </c>
      <c r="AD569" s="67" t="n">
        <f aca="false">AD565/AD290*1000000</f>
        <v>1132235.51606017</v>
      </c>
      <c r="AE569" s="67" t="n">
        <f aca="false">AE565/AE290*1000000</f>
        <v>1306132.0387139</v>
      </c>
      <c r="AF569" s="67" t="n">
        <f aca="false">AF565/AF290*1000000</f>
        <v>1448929.52836815</v>
      </c>
      <c r="AG569" s="67" t="n">
        <f aca="false">AG565/AG290*1000000</f>
        <v>1433715.83548641</v>
      </c>
      <c r="AH569" s="67" t="n">
        <f aca="false">AH565/AH290*1000000</f>
        <v>1415877.55583235</v>
      </c>
      <c r="AI569" s="67" t="n">
        <f aca="false">AI565/AI290*1000000</f>
        <v>1425220.81138829</v>
      </c>
      <c r="AJ569" s="67" t="n">
        <f aca="false">AJ565/AJ290*1000000</f>
        <v>1465356.01069985</v>
      </c>
      <c r="AK569" s="67" t="n">
        <f aca="false">AK565/AK290*1000000</f>
        <v>1468129.49011869</v>
      </c>
      <c r="AL569" s="67" t="n">
        <f aca="false">AL565/AL290*1000000</f>
        <v>1484216.06982527</v>
      </c>
      <c r="AM569" s="145"/>
      <c r="AN569" s="145"/>
      <c r="AO569" s="145"/>
    </row>
    <row r="570" customFormat="false" ht="12.75" hidden="false" customHeight="true" outlineLevel="0" collapsed="false">
      <c r="A570" s="167"/>
      <c r="B570" s="157"/>
      <c r="C570" s="157"/>
      <c r="D570" s="157"/>
      <c r="E570" s="157"/>
      <c r="F570" s="157"/>
      <c r="G570" s="157"/>
      <c r="H570" s="157"/>
      <c r="I570" s="157"/>
      <c r="J570" s="157"/>
      <c r="K570" s="157"/>
      <c r="L570" s="157"/>
      <c r="M570" s="157"/>
      <c r="N570" s="67" t="n">
        <f aca="false">N569-M569</f>
        <v>63207.6921918161</v>
      </c>
      <c r="O570" s="67" t="n">
        <f aca="false">O569-N569</f>
        <v>73080.9361270998</v>
      </c>
      <c r="P570" s="67" t="n">
        <f aca="false">P569-O569</f>
        <v>30119.9295950971</v>
      </c>
      <c r="Q570" s="67" t="n">
        <f aca="false">Q569-P569</f>
        <v>34533.9988195207</v>
      </c>
      <c r="R570" s="67" t="n">
        <f aca="false">R569-Q569</f>
        <v>125954.12515618</v>
      </c>
      <c r="S570" s="67" t="n">
        <f aca="false">S569-R569</f>
        <v>-1535.45301304024</v>
      </c>
      <c r="T570" s="67" t="n">
        <f aca="false">T569-S569</f>
        <v>35615.2561169127</v>
      </c>
      <c r="U570" s="67" t="n">
        <f aca="false">U569-T569</f>
        <v>75866.4204945542</v>
      </c>
      <c r="V570" s="67" t="n">
        <f aca="false">V569-U569</f>
        <v>-131909.009920203</v>
      </c>
      <c r="W570" s="67" t="n">
        <f aca="false">W569-V569</f>
        <v>55009.2006834901</v>
      </c>
      <c r="X570" s="67" t="n">
        <f aca="false">X569-W569</f>
        <v>98910.087694207</v>
      </c>
      <c r="Y570" s="67" t="n">
        <f aca="false">Y569-X569</f>
        <v>149349.52076988</v>
      </c>
      <c r="Z570" s="67" t="n">
        <f aca="false">Z569-Y569</f>
        <v>42686.7109257178</v>
      </c>
      <c r="AA570" s="67" t="n">
        <f aca="false">AA569-Z569</f>
        <v>142463.48704498</v>
      </c>
      <c r="AB570" s="67" t="n">
        <f aca="false">AB569-AA569</f>
        <v>-236676.209942736</v>
      </c>
      <c r="AC570" s="67" t="n">
        <f aca="false">AC569-AB569</f>
        <v>-60244.5000032479</v>
      </c>
      <c r="AD570" s="67" t="n">
        <f aca="false">AD569-AC569</f>
        <v>144702.283323229</v>
      </c>
      <c r="AE570" s="67" t="n">
        <f aca="false">AE569-AD569</f>
        <v>173896.522653731</v>
      </c>
      <c r="AF570" s="67" t="n">
        <f aca="false">AF569-AE569</f>
        <v>142797.489654248</v>
      </c>
      <c r="AG570" s="67" t="n">
        <f aca="false">AG569-AF569</f>
        <v>-15213.6928817427</v>
      </c>
      <c r="AH570" s="67" t="n">
        <f aca="false">AH569-AG569</f>
        <v>-17838.2796540593</v>
      </c>
      <c r="AI570" s="67" t="n">
        <f aca="false">AI569-AH569</f>
        <v>9343.25555594126</v>
      </c>
      <c r="AJ570" s="67" t="n">
        <f aca="false">AJ569-AI569</f>
        <v>40135.1993115621</v>
      </c>
      <c r="AK570" s="67" t="n">
        <f aca="false">AK569-AJ569</f>
        <v>2773.47941884282</v>
      </c>
      <c r="AL570" s="67" t="n">
        <f aca="false">AL569-AK569</f>
        <v>16086.5797065755</v>
      </c>
      <c r="AM570" s="145"/>
      <c r="AN570" s="145"/>
      <c r="AO570" s="145"/>
    </row>
    <row r="571" customFormat="false" ht="12.75" hidden="false" customHeight="true" outlineLevel="0" collapsed="false">
      <c r="A571" s="299"/>
      <c r="B571" s="300"/>
      <c r="C571" s="300"/>
      <c r="D571" s="300"/>
      <c r="E571" s="19"/>
      <c r="F571" s="19"/>
      <c r="G571" s="19"/>
      <c r="N571" s="31"/>
      <c r="O571" s="31"/>
      <c r="P571" s="31"/>
      <c r="Q571" s="31"/>
      <c r="R571" s="31"/>
      <c r="S571" s="31"/>
      <c r="T571" s="31"/>
      <c r="U571" s="31"/>
      <c r="V571" s="31"/>
      <c r="W571" s="31"/>
      <c r="X571" s="19"/>
      <c r="Y571" s="19"/>
      <c r="Z571" s="19"/>
      <c r="AA571" s="201"/>
      <c r="AB571" s="19"/>
      <c r="AC571" s="19"/>
      <c r="AD571" s="19"/>
      <c r="AE571" s="19"/>
      <c r="AF571" s="201"/>
      <c r="AG571" s="201"/>
      <c r="AH571" s="19"/>
      <c r="AI571" s="19"/>
      <c r="AJ571" s="19"/>
      <c r="AK571" s="19"/>
      <c r="AL571" s="19"/>
      <c r="AM571" s="19"/>
      <c r="AN571" s="19"/>
      <c r="AO571" s="19"/>
      <c r="AQ571" s="19"/>
    </row>
    <row r="572" customFormat="false" ht="12.75" hidden="false" customHeight="true" outlineLevel="0" collapsed="false">
      <c r="A572" s="59" t="s">
        <v>528</v>
      </c>
      <c r="B572" s="208" t="n">
        <v>1330.6</v>
      </c>
      <c r="C572" s="208" t="n">
        <v>1223.45</v>
      </c>
      <c r="D572" s="208" t="n">
        <v>1791.33</v>
      </c>
      <c r="E572" s="208" t="n">
        <v>2199.23</v>
      </c>
      <c r="F572" s="208" t="n">
        <v>3011.55</v>
      </c>
      <c r="G572" s="208" t="n">
        <v>2454.9</v>
      </c>
      <c r="H572" s="208" t="n">
        <v>2263.75</v>
      </c>
      <c r="I572" s="208" t="n">
        <v>3454.64</v>
      </c>
      <c r="J572" s="208" t="n">
        <v>3546.51</v>
      </c>
      <c r="K572" s="208" t="n">
        <v>3692</v>
      </c>
      <c r="L572" s="208" t="n">
        <v>3936.2</v>
      </c>
      <c r="M572" s="208" t="n">
        <v>5333.89</v>
      </c>
      <c r="N572" s="208" t="n">
        <v>6289.04</v>
      </c>
      <c r="O572" s="208" t="n">
        <v>8054.51</v>
      </c>
      <c r="P572" s="208" t="n">
        <v>11365.41</v>
      </c>
      <c r="Q572" s="208" t="n">
        <v>12045.67</v>
      </c>
      <c r="R572" s="208" t="n">
        <v>6855.664</v>
      </c>
      <c r="S572" s="208" t="n">
        <v>6278.869</v>
      </c>
      <c r="T572" s="208" t="n">
        <v>9758.978</v>
      </c>
      <c r="U572" s="208" t="n">
        <v>8164.785</v>
      </c>
      <c r="V572" s="208" t="n">
        <v>8173.589</v>
      </c>
      <c r="W572" s="208" t="n">
        <v>6174.186</v>
      </c>
      <c r="X572" s="208" t="n">
        <v>9237.499</v>
      </c>
      <c r="Y572" s="208" t="n">
        <v>10556.702</v>
      </c>
      <c r="Z572" s="208" t="n">
        <v>13130.123</v>
      </c>
      <c r="AA572" s="208" t="n">
        <v>2766.04</v>
      </c>
      <c r="AB572" s="145"/>
      <c r="AC572" s="145"/>
      <c r="AD572" s="145"/>
      <c r="AE572" s="145"/>
      <c r="AF572" s="252"/>
      <c r="AG572" s="252"/>
      <c r="AH572" s="145"/>
      <c r="AI572" s="145"/>
      <c r="AJ572" s="145"/>
      <c r="AK572" s="145"/>
      <c r="AL572" s="145"/>
      <c r="AM572" s="301"/>
      <c r="AN572" s="301"/>
      <c r="AO572" s="301"/>
    </row>
    <row r="573" customFormat="false" ht="12.75" hidden="false" customHeight="true" outlineLevel="0" collapsed="false">
      <c r="A573" s="69" t="s">
        <v>526</v>
      </c>
      <c r="B573" s="300"/>
      <c r="C573" s="165" t="n">
        <f aca="false">(100*C572)/B572-100</f>
        <v>-8.05275815421614</v>
      </c>
      <c r="D573" s="165" t="n">
        <f aca="false">(100*D572)/C572-100</f>
        <v>46.4162818259839</v>
      </c>
      <c r="E573" s="165" t="n">
        <f aca="false">(100*E572)/D572-100</f>
        <v>22.7707904182926</v>
      </c>
      <c r="F573" s="165" t="n">
        <f aca="false">(100*F572)/E572-100</f>
        <v>36.9365641610928</v>
      </c>
      <c r="G573" s="165" t="n">
        <f aca="false">(100*G572)/F572-100</f>
        <v>-18.4838372266773</v>
      </c>
      <c r="H573" s="165" t="n">
        <f aca="false">(100*H572)/G572-100</f>
        <v>-7.7864678805654</v>
      </c>
      <c r="I573" s="165" t="n">
        <f aca="false">(100*I572)/H572-100</f>
        <v>52.6069574820541</v>
      </c>
      <c r="J573" s="165" t="n">
        <f aca="false">(100*J572)/I572-100</f>
        <v>2.65932195539912</v>
      </c>
      <c r="K573" s="165" t="n">
        <f aca="false">(100*K572)/J572-100</f>
        <v>4.10234286664918</v>
      </c>
      <c r="L573" s="165" t="n">
        <f aca="false">(100*L572)/K572-100</f>
        <v>6.61430119176598</v>
      </c>
      <c r="M573" s="165" t="n">
        <f aca="false">(100*M572)/L572-100</f>
        <v>35.5086123672578</v>
      </c>
      <c r="N573" s="165" t="n">
        <f aca="false">(100*N572)/M572-100</f>
        <v>17.907193436685</v>
      </c>
      <c r="O573" s="165" t="n">
        <f aca="false">(100*O572)/N572-100</f>
        <v>28.0721699973287</v>
      </c>
      <c r="P573" s="165" t="n">
        <f aca="false">(100*P572)/O572-100</f>
        <v>41.1061628826583</v>
      </c>
      <c r="Q573" s="165" t="n">
        <f aca="false">(100*Q572)/P572-100</f>
        <v>5.98535380597797</v>
      </c>
      <c r="R573" s="165" t="n">
        <f aca="false">(100*R572)/Q572-100</f>
        <v>-43.0860715925308</v>
      </c>
      <c r="S573" s="165" t="n">
        <f aca="false">(100*S572)/R572-100</f>
        <v>-8.41340824171078</v>
      </c>
      <c r="T573" s="165" t="n">
        <f aca="false">(100*T572)/S572-100</f>
        <v>55.4257303345555</v>
      </c>
      <c r="U573" s="165" t="n">
        <f aca="false">(100*U572)/T572-100</f>
        <v>-16.3356552294718</v>
      </c>
      <c r="V573" s="165" t="n">
        <f aca="false">(100*V572)/U572-100</f>
        <v>0.107828926297515</v>
      </c>
      <c r="W573" s="165" t="n">
        <f aca="false">(100*W572)/V572-100</f>
        <v>-24.4617511352724</v>
      </c>
      <c r="X573" s="165" t="n">
        <f aca="false">(100*X572)/W572-100</f>
        <v>49.614848013973</v>
      </c>
      <c r="Y573" s="165" t="n">
        <f aca="false">(100*Y572)/X572-100</f>
        <v>14.280954184677</v>
      </c>
      <c r="Z573" s="165" t="n">
        <f aca="false">(100*Z572)/Y572-100</f>
        <v>24.3771302817869</v>
      </c>
      <c r="AA573" s="165" t="n">
        <f aca="false">(100*AA572)/Z572-100</f>
        <v>-78.9336322287308</v>
      </c>
      <c r="AB573" s="165" t="n">
        <f aca="false">(100*AB572)/AA572-100</f>
        <v>-100</v>
      </c>
      <c r="AC573" s="165" t="e">
        <f aca="false">(100*AC572)/AB572-100</f>
        <v>#DIV/0!</v>
      </c>
      <c r="AD573" s="165" t="e">
        <f aca="false">(100*AD572)/AC572-100</f>
        <v>#DIV/0!</v>
      </c>
      <c r="AE573" s="165" t="e">
        <f aca="false">(100*AE572)/AD572-100</f>
        <v>#DIV/0!</v>
      </c>
      <c r="AF573" s="165" t="e">
        <f aca="false">(100*AF572)/AE572-100</f>
        <v>#DIV/0!</v>
      </c>
      <c r="AG573" s="165" t="e">
        <f aca="false">(100*AG572)/AF572-100</f>
        <v>#DIV/0!</v>
      </c>
      <c r="AH573" s="165" t="e">
        <f aca="false">(100*AH572)/AG572-100</f>
        <v>#DIV/0!</v>
      </c>
      <c r="AI573" s="165" t="e">
        <f aca="false">(100*AI572)/AH572-100</f>
        <v>#DIV/0!</v>
      </c>
      <c r="AJ573" s="165" t="e">
        <f aca="false">(100*AJ572)/AI572-100</f>
        <v>#DIV/0!</v>
      </c>
      <c r="AK573" s="165" t="e">
        <f aca="false">(100*AK572)/AJ572-100</f>
        <v>#DIV/0!</v>
      </c>
      <c r="AL573" s="165" t="e">
        <f aca="false">(100*AL572)/AK572-100</f>
        <v>#DIV/0!</v>
      </c>
      <c r="AM573" s="157"/>
      <c r="AN573" s="157"/>
      <c r="AO573" s="157"/>
    </row>
    <row r="574" customFormat="false" ht="25.5" hidden="false" customHeight="true" outlineLevel="0" collapsed="false">
      <c r="A574" s="59" t="s">
        <v>529</v>
      </c>
      <c r="B574" s="165" t="n">
        <f aca="false">+B572/B436*100</f>
        <v>13.9412030338304</v>
      </c>
      <c r="C574" s="165" t="n">
        <f aca="false">+C572/C436*100</f>
        <v>10.3568628978053</v>
      </c>
      <c r="D574" s="165" t="n">
        <f aca="false">+D572/D436*100</f>
        <v>11.8373056885254</v>
      </c>
      <c r="E574" s="165" t="n">
        <f aca="false">+E572/E436*100</f>
        <v>10.9430651907596</v>
      </c>
      <c r="F574" s="165" t="n">
        <f aca="false">+F572/F436*100</f>
        <v>12.1313572755313</v>
      </c>
      <c r="G574" s="165" t="n">
        <f aca="false">+G572/G436*100</f>
        <v>12.1874804293609</v>
      </c>
      <c r="H574" s="165" t="n">
        <f aca="false">+H572/H436*100</f>
        <v>11.0694232092023</v>
      </c>
      <c r="I574" s="165" t="n">
        <f aca="false">+I572/I436*100</f>
        <v>13.2936317060951</v>
      </c>
      <c r="J574" s="165" t="n">
        <f aca="false">+J572/J436*100</f>
        <v>13.6055562226494</v>
      </c>
      <c r="K574" s="165" t="n">
        <f aca="false">+K572/K436*100</f>
        <v>14.0356319531882</v>
      </c>
      <c r="L574" s="165" t="n">
        <f aca="false">+L572/L436*100</f>
        <v>12.8048354014889</v>
      </c>
      <c r="M574" s="165" t="n">
        <f aca="false">+M572/M436*100</f>
        <v>13.5816634086808</v>
      </c>
      <c r="N574" s="165" t="n">
        <f aca="false">+N572/N436*100</f>
        <v>13.0714433284102</v>
      </c>
      <c r="O574" s="165" t="n">
        <f aca="false">+O572/O436*100</f>
        <v>13.3064039167978</v>
      </c>
      <c r="P574" s="165" t="n">
        <f aca="false">+P572/P436*100</f>
        <v>13.6854874163683</v>
      </c>
      <c r="Q574" s="165" t="n">
        <f aca="false">+Q572/Q436*100</f>
        <v>13.4834206246243</v>
      </c>
      <c r="R574" s="165" t="n">
        <f aca="false">+R572/R436*100</f>
        <v>10.2835369798949</v>
      </c>
      <c r="S574" s="165" t="n">
        <f aca="false">+S572/S436*100</f>
        <v>7.97560027647292</v>
      </c>
      <c r="T574" s="165" t="n">
        <f aca="false">+T572/T436*100</f>
        <v>8.06953472309022</v>
      </c>
      <c r="U574" s="165" t="n">
        <f aca="false">+U572/U436*100</f>
        <v>5.98288113773669</v>
      </c>
      <c r="V574" s="165" t="n">
        <f aca="false">+V572/V436*100</f>
        <v>6.14622160300392</v>
      </c>
      <c r="W574" s="165" t="n">
        <f aca="false">+W572/W436*100</f>
        <v>5.84629906471597</v>
      </c>
      <c r="X574" s="165" t="n">
        <f aca="false">+X572/X436*100</f>
        <v>6.37687519413229</v>
      </c>
      <c r="Y574" s="165" t="n">
        <f aca="false">+Y572/Y436*100</f>
        <v>5.28020588352482</v>
      </c>
      <c r="Z574" s="165" t="n">
        <f aca="false">+Z572/Z436*100</f>
        <v>6.15522533114861</v>
      </c>
      <c r="AA574" s="165" t="n">
        <f aca="false">+AA572/AA436*100</f>
        <v>1.04282409057262</v>
      </c>
      <c r="AB574" s="296"/>
      <c r="AC574" s="296"/>
      <c r="AD574" s="296"/>
      <c r="AE574" s="296"/>
      <c r="AF574" s="158"/>
      <c r="AG574" s="158"/>
      <c r="AH574" s="296"/>
      <c r="AI574" s="296"/>
      <c r="AJ574" s="296"/>
      <c r="AK574" s="296"/>
      <c r="AL574" s="296"/>
      <c r="AM574" s="296"/>
      <c r="AN574" s="296"/>
      <c r="AO574" s="296"/>
    </row>
    <row r="575" customFormat="false" ht="12.75" hidden="false" customHeight="true" outlineLevel="0" collapsed="false">
      <c r="A575" s="299"/>
      <c r="B575" s="300"/>
      <c r="C575" s="300"/>
      <c r="D575" s="300"/>
      <c r="E575" s="19"/>
      <c r="F575" s="19"/>
      <c r="G575" s="19"/>
      <c r="N575" s="75"/>
    </row>
    <row r="576" customFormat="false" ht="12.75" hidden="false" customHeight="true" outlineLevel="0" collapsed="false">
      <c r="A576" s="59" t="s">
        <v>530</v>
      </c>
      <c r="B576" s="300"/>
      <c r="C576" s="300"/>
      <c r="D576" s="300"/>
      <c r="E576" s="19"/>
      <c r="F576" s="19"/>
      <c r="G576" s="19"/>
      <c r="N576" s="75"/>
      <c r="R576" s="75"/>
      <c r="S576" s="75"/>
      <c r="T576" s="302" t="n">
        <f aca="false">0.1*(T369-18000)/T369</f>
        <v>0.0808726329883323</v>
      </c>
      <c r="U576" s="102"/>
      <c r="V576" s="102"/>
      <c r="W576" s="102"/>
    </row>
    <row r="577" customFormat="false" ht="12.75" hidden="false" customHeight="true" outlineLevel="0" collapsed="false">
      <c r="A577" s="299"/>
      <c r="B577" s="300"/>
      <c r="C577" s="300"/>
      <c r="D577" s="300"/>
      <c r="E577" s="19"/>
      <c r="F577" s="19"/>
      <c r="G577" s="19"/>
      <c r="M577" s="75"/>
      <c r="N577" s="75"/>
    </row>
    <row r="578" customFormat="false" ht="12.75" hidden="false" customHeight="true" outlineLevel="0" collapsed="false">
      <c r="A578" s="59" t="s">
        <v>531</v>
      </c>
      <c r="B578" s="300"/>
      <c r="C578" s="300"/>
      <c r="D578" s="300"/>
      <c r="E578" s="19"/>
      <c r="F578" s="19"/>
      <c r="G578" s="19"/>
      <c r="N578" s="75"/>
      <c r="R578" s="75"/>
      <c r="S578" s="75"/>
    </row>
    <row r="579" customFormat="false" ht="12.75" hidden="false" customHeight="true" outlineLevel="0" collapsed="false">
      <c r="A579" s="299"/>
      <c r="B579" s="300"/>
      <c r="C579" s="300"/>
      <c r="D579" s="300"/>
      <c r="E579" s="19"/>
      <c r="F579" s="19"/>
      <c r="G579" s="19"/>
    </row>
    <row r="580" customFormat="false" ht="12.75" hidden="false" customHeight="true" outlineLevel="0" collapsed="false">
      <c r="A580" s="73" t="s">
        <v>532</v>
      </c>
      <c r="B580" s="208" t="n">
        <v>82.84</v>
      </c>
      <c r="C580" s="208" t="n">
        <v>132.1</v>
      </c>
      <c r="D580" s="208" t="n">
        <v>123.6</v>
      </c>
      <c r="E580" s="208" t="n">
        <v>237.2</v>
      </c>
      <c r="F580" s="208" t="n">
        <v>295.4</v>
      </c>
      <c r="G580" s="208" t="n">
        <v>217.18</v>
      </c>
      <c r="H580" s="208" t="n">
        <v>163.68</v>
      </c>
      <c r="I580" s="208" t="n">
        <v>230.14</v>
      </c>
      <c r="J580" s="208" t="n">
        <v>228.13</v>
      </c>
      <c r="K580" s="208" t="n">
        <v>240.11</v>
      </c>
      <c r="L580" s="208" t="n">
        <v>209.12</v>
      </c>
      <c r="M580" s="208" t="n">
        <v>283.52</v>
      </c>
      <c r="N580" s="208" t="n">
        <v>289.77</v>
      </c>
      <c r="O580" s="208" t="n">
        <v>342.28</v>
      </c>
      <c r="P580" s="208" t="n">
        <v>378.88</v>
      </c>
      <c r="Q580" s="208" t="n">
        <v>412.75</v>
      </c>
      <c r="R580" s="208" t="n">
        <v>303.099</v>
      </c>
      <c r="S580" s="208" t="n">
        <v>341.219</v>
      </c>
      <c r="T580" s="208" t="n">
        <v>660.255</v>
      </c>
      <c r="U580" s="208" t="n">
        <v>710.862</v>
      </c>
      <c r="V580" s="208" t="n">
        <v>739.831</v>
      </c>
      <c r="W580" s="208" t="n">
        <v>502.502</v>
      </c>
      <c r="X580" s="208" t="n">
        <v>611.43</v>
      </c>
      <c r="Y580" s="208" t="n">
        <v>762.528</v>
      </c>
      <c r="Z580" s="208" t="n">
        <v>916.756</v>
      </c>
      <c r="AA580" s="208" t="n">
        <v>1082.912</v>
      </c>
      <c r="AB580" s="208" t="n">
        <v>1321</v>
      </c>
      <c r="AC580" s="208" t="n">
        <v>565.6</v>
      </c>
      <c r="AD580" s="208" t="n">
        <v>550.4</v>
      </c>
      <c r="AE580" s="208" t="n">
        <v>680.4</v>
      </c>
      <c r="AF580" s="208" t="n">
        <v>1063.6</v>
      </c>
      <c r="AG580" s="208" t="n">
        <v>1085.5</v>
      </c>
      <c r="AH580" s="208" t="n">
        <v>922.2</v>
      </c>
      <c r="AI580" s="67" t="n">
        <f aca="false">AI582*AI655/100</f>
        <v>1232.19684</v>
      </c>
      <c r="AJ580" s="67" t="n">
        <f aca="false">AJ582*AJ655/100</f>
        <v>1919.27794751966</v>
      </c>
      <c r="AK580" s="67" t="n">
        <f aca="false">AK582*AK655/100</f>
        <v>3109.88843016469</v>
      </c>
      <c r="AL580" s="67" t="n">
        <f aca="false">AL582*AL655/100</f>
        <v>3900.50992168695</v>
      </c>
      <c r="AM580" s="157"/>
      <c r="AN580" s="157"/>
      <c r="AO580" s="157"/>
    </row>
    <row r="581" customFormat="false" ht="12" hidden="false" customHeight="true" outlineLevel="0" collapsed="false">
      <c r="A581" s="69" t="s">
        <v>526</v>
      </c>
      <c r="C581" s="81" t="n">
        <f aca="false">+C580/B580*100-100</f>
        <v>59.4640270400772</v>
      </c>
      <c r="D581" s="81" t="n">
        <f aca="false">+D580/C580*100-100</f>
        <v>-6.43451930355791</v>
      </c>
      <c r="E581" s="81" t="n">
        <f aca="false">+E580/D580*100-100</f>
        <v>91.9093851132686</v>
      </c>
      <c r="F581" s="81" t="n">
        <f aca="false">+F580/E580*100-100</f>
        <v>24.5362563237774</v>
      </c>
      <c r="G581" s="81" t="n">
        <f aca="false">+G580/F580*100-100</f>
        <v>-26.4793500338524</v>
      </c>
      <c r="H581" s="81" t="n">
        <f aca="false">+H580/G580*100-100</f>
        <v>-24.6339441937563</v>
      </c>
      <c r="I581" s="81" t="n">
        <f aca="false">+I580/H580*100-100</f>
        <v>40.6036168132942</v>
      </c>
      <c r="J581" s="81" t="n">
        <f aca="false">+J580/I580*100-100</f>
        <v>-0.873381420005217</v>
      </c>
      <c r="K581" s="81" t="n">
        <f aca="false">+K580/J580*100-100</f>
        <v>5.25139175031781</v>
      </c>
      <c r="L581" s="81" t="n">
        <f aca="false">+L580/K580*100-100</f>
        <v>-12.9065844821124</v>
      </c>
      <c r="M581" s="81" t="n">
        <f aca="false">+M580/L580*100-100</f>
        <v>35.5776587605203</v>
      </c>
      <c r="N581" s="81" t="n">
        <f aca="false">+N580/M580*100-100</f>
        <v>2.20443002257336</v>
      </c>
      <c r="O581" s="81" t="n">
        <f aca="false">+O580/N580*100-100</f>
        <v>18.1212685923319</v>
      </c>
      <c r="P581" s="81" t="n">
        <f aca="false">+P580/O580*100-100</f>
        <v>10.6929998831366</v>
      </c>
      <c r="Q581" s="81" t="n">
        <f aca="false">+Q580/P580*100-100</f>
        <v>8.93950591216218</v>
      </c>
      <c r="R581" s="81" t="n">
        <f aca="false">+R580/Q580*100-100</f>
        <v>-26.5659600242277</v>
      </c>
      <c r="S581" s="81" t="n">
        <f aca="false">+S580/R580*100-100</f>
        <v>12.5767488510355</v>
      </c>
      <c r="T581" s="81" t="n">
        <f aca="false">+T580/S580*100-100</f>
        <v>93.4988966030614</v>
      </c>
      <c r="U581" s="81" t="n">
        <f aca="false">+U580/T580*100-100</f>
        <v>7.66476588590773</v>
      </c>
      <c r="V581" s="81" t="n">
        <f aca="false">+V580/U580*100-100</f>
        <v>4.07519321612352</v>
      </c>
      <c r="W581" s="81" t="n">
        <f aca="false">+W580/V580*100-100</f>
        <v>-32.0788125936869</v>
      </c>
      <c r="X581" s="81" t="n">
        <f aca="false">+X580/W580*100-100</f>
        <v>21.6771276532233</v>
      </c>
      <c r="Y581" s="81" t="n">
        <f aca="false">+Y580/X580*100-100</f>
        <v>24.7122319807664</v>
      </c>
      <c r="Z581" s="81" t="n">
        <f aca="false">+Z580/Y580*100-100</f>
        <v>20.2258802299719</v>
      </c>
      <c r="AA581" s="81" t="n">
        <f aca="false">+AA580/Z580*100-100</f>
        <v>18.1243427913207</v>
      </c>
      <c r="AB581" s="81" t="n">
        <f aca="false">+AB580/AA580*100-100</f>
        <v>21.9859046718478</v>
      </c>
      <c r="AC581" s="81" t="n">
        <f aca="false">+AC580/AB580*100-100</f>
        <v>-57.1839515518547</v>
      </c>
      <c r="AD581" s="81" t="n">
        <f aca="false">+AD580/AC580*100-100</f>
        <v>-2.68741159830269</v>
      </c>
      <c r="AE581" s="81" t="n">
        <f aca="false">+AE580/AD580*100-100</f>
        <v>23.6191860465116</v>
      </c>
      <c r="AF581" s="81" t="n">
        <f aca="false">+AF580/AE580*100-100</f>
        <v>56.3198118753674</v>
      </c>
      <c r="AG581" s="81" t="n">
        <f aca="false">+AG580/AF580*100-100</f>
        <v>2.05904475366681</v>
      </c>
      <c r="AH581" s="81" t="n">
        <f aca="false">+AH580/AG580*100-100</f>
        <v>-15.043758636573</v>
      </c>
      <c r="AI581" s="81" t="n">
        <f aca="false">+AI580/AH580*100-100</f>
        <v>33.61492517892</v>
      </c>
      <c r="AJ581" s="81" t="n">
        <f aca="false">+AJ580/AI580*100-100</f>
        <v>55.7606613826128</v>
      </c>
      <c r="AK581" s="81" t="n">
        <f aca="false">+AK580/AJ580*100-100</f>
        <v>62.0342918118604</v>
      </c>
      <c r="AL581" s="81" t="n">
        <f aca="false">+AL580/AK580*100-100</f>
        <v>25.4228249429642</v>
      </c>
      <c r="AM581" s="75"/>
      <c r="AN581" s="75"/>
      <c r="AO581" s="75"/>
    </row>
    <row r="582" customFormat="false" ht="12.75" hidden="false" customHeight="true" outlineLevel="0" collapsed="false">
      <c r="A582" s="69" t="s">
        <v>219</v>
      </c>
      <c r="B582" s="81" t="n">
        <f aca="false">+B580/B655*100</f>
        <v>0.867946234272142</v>
      </c>
      <c r="C582" s="81" t="n">
        <f aca="false">+C580/C655*100</f>
        <v>1.11826522440646</v>
      </c>
      <c r="D582" s="81" t="n">
        <f aca="false">+D580/D655*100</f>
        <v>0.816762396153551</v>
      </c>
      <c r="E582" s="81" t="n">
        <f aca="false">+E580/E655*100</f>
        <v>1.1802744884565</v>
      </c>
      <c r="F582" s="81" t="n">
        <f aca="false">+F580/F655*100</f>
        <v>1.18995299403694</v>
      </c>
      <c r="G582" s="81" t="n">
        <f aca="false">+G580/G655*100</f>
        <v>1.07820155592839</v>
      </c>
      <c r="H582" s="81" t="n">
        <f aca="false">+H580/H655*100</f>
        <v>0.800372475265483</v>
      </c>
      <c r="I582" s="81" t="n">
        <f aca="false">+I580/I655*100</f>
        <v>0.885590510397819</v>
      </c>
      <c r="J582" s="81" t="n">
        <f aca="false">+J580/J655*100</f>
        <v>0.875180259204968</v>
      </c>
      <c r="K582" s="81" t="n">
        <f aca="false">+K580/K655*100</f>
        <v>0.912810289349951</v>
      </c>
      <c r="L582" s="81" t="n">
        <f aca="false">+L580/L655*100</f>
        <v>0.680287378476543</v>
      </c>
      <c r="M582" s="81" t="n">
        <f aca="false">+M580/M655*100</f>
        <v>0.721925875792185</v>
      </c>
      <c r="N582" s="81" t="n">
        <f aca="false">+N580/N655*100</f>
        <v>0.602271910064719</v>
      </c>
      <c r="O582" s="81" t="n">
        <f aca="false">+O580/O655*100</f>
        <v>0.565461577754767</v>
      </c>
      <c r="P582" s="81" t="n">
        <f aca="false">+P580/P655*100</f>
        <v>0.456222650332335</v>
      </c>
      <c r="Q582" s="81" t="n">
        <f aca="false">+Q580/Q655*100</f>
        <v>0.462015135962855</v>
      </c>
      <c r="R582" s="81" t="n">
        <f aca="false">+R580/R655*100</f>
        <v>0.454650311781493</v>
      </c>
      <c r="S582" s="81" t="n">
        <f aca="false">+S580/S655*100</f>
        <v>0.433426203148658</v>
      </c>
      <c r="T582" s="81" t="n">
        <f aca="false">+T580/T655*100</f>
        <v>0.545953751365556</v>
      </c>
      <c r="U582" s="81" t="n">
        <f aca="false">+U580/U655*100</f>
        <v>0.520895878009498</v>
      </c>
      <c r="V582" s="81" t="n">
        <f aca="false">+V580/V655*100</f>
        <v>0.556324189382656</v>
      </c>
      <c r="W582" s="81" t="n">
        <f aca="false">+W580/W655*100</f>
        <v>0.475816078851188</v>
      </c>
      <c r="X582" s="81" t="n">
        <f aca="false">+X580/X655*100</f>
        <v>0.422085328501612</v>
      </c>
      <c r="Y582" s="81" t="n">
        <f aca="false">+Y580/Y655*100</f>
        <v>0.38139798129685</v>
      </c>
      <c r="Z582" s="81" t="n">
        <f aca="false">+Z580/Z655*100</f>
        <v>0.429762901206826</v>
      </c>
      <c r="AA582" s="81" t="n">
        <f aca="false">+AA580/AA655*100</f>
        <v>0.408268398710854</v>
      </c>
      <c r="AB582" s="81" t="n">
        <f aca="false">+AB580/AB655*100</f>
        <v>0.454655747127426</v>
      </c>
      <c r="AC582" s="81" t="n">
        <f aca="false">+AC580/AC655*100</f>
        <v>0.323801901477432</v>
      </c>
      <c r="AD582" s="81" t="n">
        <f aca="false">+AD580/AD655*100</f>
        <v>0.359704472451957</v>
      </c>
      <c r="AE582" s="81" t="n">
        <f aca="false">+AE580/AE655*100</f>
        <v>0.31371767898714</v>
      </c>
      <c r="AF582" s="81" t="n">
        <f aca="false">+AF580/AF655*100</f>
        <v>0.294266235135211</v>
      </c>
      <c r="AG582" s="81" t="n">
        <f aca="false">+AG580/AG655*100</f>
        <v>0.282925209483246</v>
      </c>
      <c r="AH582" s="81" t="n">
        <f aca="false">+AH580/AH655*100</f>
        <v>0.237970269973168</v>
      </c>
      <c r="AI582" s="164" t="n">
        <v>0.28</v>
      </c>
      <c r="AJ582" s="164" t="n">
        <v>0.4</v>
      </c>
      <c r="AK582" s="164" t="n">
        <v>0.6</v>
      </c>
      <c r="AL582" s="164" t="n">
        <v>0.7</v>
      </c>
      <c r="AM582" s="296"/>
      <c r="AN582" s="296"/>
      <c r="AO582" s="296"/>
    </row>
    <row r="583" customFormat="false" ht="12" hidden="false" customHeight="true" outlineLevel="0" collapsed="false">
      <c r="F583" s="75"/>
      <c r="G583" s="75"/>
    </row>
    <row r="584" customFormat="false" ht="12.75" hidden="false" customHeight="true" outlineLevel="0" collapsed="false">
      <c r="A584" s="59" t="s">
        <v>533</v>
      </c>
      <c r="B584" s="67" t="n">
        <f aca="false">+B580</f>
        <v>82.84</v>
      </c>
      <c r="C584" s="67" t="n">
        <f aca="false">+C580</f>
        <v>132.1</v>
      </c>
      <c r="D584" s="67" t="n">
        <f aca="false">+D580</f>
        <v>123.6</v>
      </c>
      <c r="E584" s="67" t="n">
        <f aca="false">+E580</f>
        <v>237.2</v>
      </c>
      <c r="F584" s="67" t="n">
        <f aca="false">+F580</f>
        <v>295.4</v>
      </c>
      <c r="G584" s="67" t="n">
        <f aca="false">+G580</f>
        <v>217.18</v>
      </c>
      <c r="H584" s="67" t="n">
        <f aca="false">+H580</f>
        <v>163.68</v>
      </c>
      <c r="I584" s="67" t="n">
        <f aca="false">+I580</f>
        <v>230.14</v>
      </c>
      <c r="J584" s="67" t="n">
        <f aca="false">+J580</f>
        <v>228.13</v>
      </c>
      <c r="K584" s="67" t="n">
        <f aca="false">+K580</f>
        <v>240.11</v>
      </c>
      <c r="L584" s="132" t="n">
        <f aca="false">+L580+-251.72</f>
        <v>-42.6</v>
      </c>
      <c r="M584" s="132" t="n">
        <f aca="false">+M580+37.75</f>
        <v>321.27</v>
      </c>
      <c r="N584" s="132" t="n">
        <f aca="false">+N580+102.55</f>
        <v>392.32</v>
      </c>
      <c r="O584" s="67" t="n">
        <f aca="false">+O580</f>
        <v>342.28</v>
      </c>
      <c r="P584" s="67" t="n">
        <f aca="false">+P580</f>
        <v>378.88</v>
      </c>
      <c r="Q584" s="67" t="n">
        <f aca="false">+Q580</f>
        <v>412.75</v>
      </c>
      <c r="R584" s="67" t="n">
        <f aca="false">+R580</f>
        <v>303.099</v>
      </c>
      <c r="S584" s="67" t="n">
        <f aca="false">+S580</f>
        <v>341.219</v>
      </c>
      <c r="T584" s="67" t="n">
        <f aca="false">+T580</f>
        <v>660.255</v>
      </c>
      <c r="U584" s="67" t="n">
        <f aca="false">+U580</f>
        <v>710.862</v>
      </c>
      <c r="V584" s="67" t="n">
        <f aca="false">+V580</f>
        <v>739.831</v>
      </c>
      <c r="W584" s="67" t="n">
        <f aca="false">+W580</f>
        <v>502.502</v>
      </c>
      <c r="X584" s="67" t="n">
        <f aca="false">+X580</f>
        <v>611.43</v>
      </c>
      <c r="Y584" s="67" t="n">
        <f aca="false">+Y580</f>
        <v>762.528</v>
      </c>
      <c r="Z584" s="67" t="n">
        <f aca="false">+Z580</f>
        <v>916.756</v>
      </c>
      <c r="AA584" s="67" t="n">
        <f aca="false">+AA580</f>
        <v>1082.912</v>
      </c>
      <c r="AB584" s="67" t="n">
        <f aca="false">+AB580</f>
        <v>1321</v>
      </c>
      <c r="AC584" s="67" t="n">
        <f aca="false">+AC580</f>
        <v>565.6</v>
      </c>
      <c r="AD584" s="67" t="n">
        <f aca="false">+AD580</f>
        <v>550.4</v>
      </c>
      <c r="AE584" s="67" t="n">
        <f aca="false">+AE580</f>
        <v>680.4</v>
      </c>
      <c r="AF584" s="67" t="n">
        <f aca="false">+AF580</f>
        <v>1063.6</v>
      </c>
      <c r="AG584" s="67" t="n">
        <f aca="false">+AG580</f>
        <v>1085.5</v>
      </c>
      <c r="AH584" s="67" t="n">
        <f aca="false">+AH580</f>
        <v>922.2</v>
      </c>
      <c r="AI584" s="67" t="n">
        <f aca="false">+AI580</f>
        <v>1232.19684</v>
      </c>
      <c r="AJ584" s="67" t="n">
        <f aca="false">+AJ580</f>
        <v>1919.27794751966</v>
      </c>
      <c r="AK584" s="67" t="n">
        <f aca="false">+AK580</f>
        <v>3109.88843016469</v>
      </c>
      <c r="AL584" s="67" t="n">
        <f aca="false">+AL580</f>
        <v>3900.50992168695</v>
      </c>
      <c r="AM584" s="157"/>
      <c r="AN584" s="157"/>
      <c r="AO584" s="157"/>
    </row>
    <row r="585" customFormat="false" ht="12" hidden="false" customHeight="true" outlineLevel="0" collapsed="false">
      <c r="A585" s="69" t="s">
        <v>219</v>
      </c>
      <c r="B585" s="81" t="n">
        <f aca="false">+B584/B655*100</f>
        <v>0.867946234272142</v>
      </c>
      <c r="C585" s="90" t="n">
        <f aca="false">+C584/C655*100</f>
        <v>1.11826522440646</v>
      </c>
      <c r="D585" s="90" t="n">
        <f aca="false">+D584/D655*100</f>
        <v>0.816762396153551</v>
      </c>
      <c r="E585" s="90" t="n">
        <f aca="false">+E584/E655*100</f>
        <v>1.1802744884565</v>
      </c>
      <c r="F585" s="90" t="n">
        <f aca="false">+F584/F655*100</f>
        <v>1.18995299403694</v>
      </c>
      <c r="G585" s="90" t="n">
        <f aca="false">+G584/G655*100</f>
        <v>1.07820155592839</v>
      </c>
      <c r="H585" s="90" t="n">
        <f aca="false">+H584/H655*100</f>
        <v>0.800372475265483</v>
      </c>
      <c r="I585" s="90" t="n">
        <f aca="false">+I584/I655*100</f>
        <v>0.885590510397819</v>
      </c>
      <c r="J585" s="90" t="n">
        <f aca="false">+J584/J655*100</f>
        <v>0.875180259204968</v>
      </c>
      <c r="K585" s="90" t="n">
        <f aca="false">+K584/K655*100</f>
        <v>0.912810289349951</v>
      </c>
      <c r="L585" s="90" t="n">
        <f aca="false">+L584/L655*100</f>
        <v>-0.138581877979632</v>
      </c>
      <c r="M585" s="90" t="n">
        <f aca="false">+M584/M655*100</f>
        <v>0.818048554302184</v>
      </c>
      <c r="N585" s="90" t="n">
        <f aca="false">+N584/N655*100</f>
        <v>0.815416764180524</v>
      </c>
      <c r="O585" s="90" t="n">
        <f aca="false">+O584/O655*100</f>
        <v>0.565461577754767</v>
      </c>
      <c r="P585" s="90" t="n">
        <f aca="false">+P584/P655*100</f>
        <v>0.456222650332335</v>
      </c>
      <c r="Q585" s="90" t="n">
        <f aca="false">+Q584/Q655*100</f>
        <v>0.462015135962855</v>
      </c>
      <c r="R585" s="90" t="n">
        <f aca="false">+R584/R655*100</f>
        <v>0.454650311781493</v>
      </c>
      <c r="S585" s="90" t="n">
        <f aca="false">+S584/S655*100</f>
        <v>0.433426203148658</v>
      </c>
      <c r="T585" s="90" t="n">
        <f aca="false">+T584/T655*100</f>
        <v>0.545953751365556</v>
      </c>
      <c r="U585" s="90" t="n">
        <f aca="false">+U584/U655*100</f>
        <v>0.520895878009498</v>
      </c>
      <c r="V585" s="90" t="n">
        <f aca="false">+V584/V655*100</f>
        <v>0.556324189382656</v>
      </c>
      <c r="W585" s="90" t="n">
        <f aca="false">+W584/W655*100</f>
        <v>0.475816078851188</v>
      </c>
      <c r="X585" s="90" t="n">
        <f aca="false">+X584/X655*100</f>
        <v>0.422085328501612</v>
      </c>
      <c r="Y585" s="90" t="n">
        <f aca="false">+Y584/Y655*100</f>
        <v>0.38139798129685</v>
      </c>
      <c r="Z585" s="90" t="n">
        <f aca="false">+Z584/Z655*100</f>
        <v>0.429762901206826</v>
      </c>
      <c r="AA585" s="90" t="n">
        <f aca="false">+AA584/AA655*100</f>
        <v>0.408268398710854</v>
      </c>
      <c r="AB585" s="90" t="n">
        <f aca="false">+AB584/AB655*100</f>
        <v>0.454655747127426</v>
      </c>
      <c r="AC585" s="90" t="n">
        <f aca="false">+AC584/AC655*100</f>
        <v>0.323801901477432</v>
      </c>
      <c r="AD585" s="90" t="n">
        <f aca="false">+AD584/AD655*100</f>
        <v>0.359704472451957</v>
      </c>
      <c r="AE585" s="90" t="n">
        <f aca="false">+AE584/AE655*100</f>
        <v>0.31371767898714</v>
      </c>
      <c r="AF585" s="90" t="n">
        <f aca="false">+AF584/AF655*100</f>
        <v>0.294266235135211</v>
      </c>
      <c r="AG585" s="90" t="n">
        <f aca="false">+AG584/AG655*100</f>
        <v>0.282925209483246</v>
      </c>
      <c r="AH585" s="90" t="n">
        <f aca="false">+AH584/AH655*100</f>
        <v>0.237970269973168</v>
      </c>
      <c r="AI585" s="90" t="n">
        <f aca="false">+AI584/AI655*100</f>
        <v>0.28</v>
      </c>
      <c r="AJ585" s="90" t="n">
        <f aca="false">+AJ584/AJ655*100</f>
        <v>0.4</v>
      </c>
      <c r="AK585" s="90" t="n">
        <f aca="false">+AK584/AK655*100</f>
        <v>0.6</v>
      </c>
      <c r="AL585" s="90" t="n">
        <f aca="false">+AL584/AL655*100</f>
        <v>0.7</v>
      </c>
      <c r="AM585" s="40"/>
      <c r="AN585" s="40"/>
      <c r="AO585" s="40"/>
    </row>
    <row r="586" customFormat="false" ht="12" hidden="false" customHeight="true" outlineLevel="0" collapsed="false">
      <c r="A586" s="69" t="s">
        <v>481</v>
      </c>
      <c r="C586" s="90" t="n">
        <f aca="false">(100*C584)/B584-100</f>
        <v>59.4640270400772</v>
      </c>
      <c r="D586" s="90" t="n">
        <f aca="false">(100*D584)/C584-100</f>
        <v>-6.43451930355791</v>
      </c>
      <c r="E586" s="90" t="n">
        <f aca="false">(100*E584)/D584-100</f>
        <v>91.9093851132686</v>
      </c>
      <c r="F586" s="90" t="n">
        <f aca="false">(100*F584)/E584-100</f>
        <v>24.5362563237774</v>
      </c>
      <c r="G586" s="90" t="n">
        <f aca="false">(100*G584)/F584-100</f>
        <v>-26.4793500338524</v>
      </c>
      <c r="H586" s="90" t="n">
        <f aca="false">(100*H584)/G584-100</f>
        <v>-24.6339441937563</v>
      </c>
      <c r="I586" s="90" t="n">
        <f aca="false">(100*I584)/H584-100</f>
        <v>40.6036168132942</v>
      </c>
      <c r="J586" s="90" t="n">
        <f aca="false">(100*J584)/I584-100</f>
        <v>-0.873381420005202</v>
      </c>
      <c r="K586" s="90" t="n">
        <f aca="false">(100*K584)/J584-100</f>
        <v>5.25139175031781</v>
      </c>
      <c r="L586" s="90" t="n">
        <f aca="false">(100*L584)/K584-100</f>
        <v>-117.741868310358</v>
      </c>
      <c r="M586" s="90" t="n">
        <f aca="false">(100*M584)/L584-100</f>
        <v>-854.154929577465</v>
      </c>
      <c r="N586" s="90" t="n">
        <f aca="false">(100*N584)/M584-100</f>
        <v>22.1153546860896</v>
      </c>
      <c r="O586" s="90" t="n">
        <f aca="false">(100*O584)/N584-100</f>
        <v>-12.7548939641109</v>
      </c>
      <c r="P586" s="90" t="n">
        <f aca="false">(100*P584)/O584-100</f>
        <v>10.6929998831366</v>
      </c>
      <c r="Q586" s="90" t="n">
        <f aca="false">(100*Q584)/P584-100</f>
        <v>8.93950591216216</v>
      </c>
      <c r="R586" s="90" t="n">
        <f aca="false">(100*R584)/Q584-100</f>
        <v>-26.5659600242278</v>
      </c>
      <c r="S586" s="90" t="n">
        <f aca="false">(100*S584)/R584-100</f>
        <v>12.5767488510355</v>
      </c>
      <c r="T586" s="90" t="n">
        <f aca="false">(100*T584)/S584-100</f>
        <v>93.4988966030614</v>
      </c>
      <c r="U586" s="90" t="n">
        <f aca="false">(100*U584)/T584-100</f>
        <v>7.66476588590771</v>
      </c>
      <c r="V586" s="90" t="n">
        <f aca="false">(100*V584)/U584-100</f>
        <v>4.07519321612354</v>
      </c>
      <c r="W586" s="90" t="n">
        <f aca="false">(100*W584)/V584-100</f>
        <v>-32.0788125936869</v>
      </c>
      <c r="X586" s="90" t="n">
        <f aca="false">(100*X584)/W584-100</f>
        <v>21.6771276532233</v>
      </c>
      <c r="Y586" s="90" t="n">
        <f aca="false">(100*Y584)/X584-100</f>
        <v>24.7122319807664</v>
      </c>
      <c r="Z586" s="90" t="n">
        <f aca="false">(100*Z584)/Y584-100</f>
        <v>20.2258802299719</v>
      </c>
      <c r="AA586" s="90" t="n">
        <f aca="false">(100*AA584)/Z584-100</f>
        <v>18.1243427913207</v>
      </c>
      <c r="AB586" s="90" t="n">
        <f aca="false">(100*AB584)/AA584-100</f>
        <v>21.9859046718478</v>
      </c>
      <c r="AC586" s="90" t="n">
        <f aca="false">(100*AC584)/AB584-100</f>
        <v>-57.1839515518547</v>
      </c>
      <c r="AD586" s="90" t="n">
        <f aca="false">(100*AD584)/AC584-100</f>
        <v>-2.68741159830269</v>
      </c>
      <c r="AE586" s="90" t="n">
        <f aca="false">(100*AE584)/AD584-100</f>
        <v>23.6191860465116</v>
      </c>
      <c r="AF586" s="90" t="n">
        <f aca="false">(100*AF584)/AE584-100</f>
        <v>56.3198118753674</v>
      </c>
      <c r="AG586" s="90" t="n">
        <f aca="false">(100*AG584)/AF584-100</f>
        <v>2.0590447536668</v>
      </c>
      <c r="AH586" s="90" t="n">
        <f aca="false">(100*AH584)/AG584-100</f>
        <v>-15.043758636573</v>
      </c>
      <c r="AI586" s="90" t="n">
        <f aca="false">(100*AI584)/AH584-100</f>
        <v>33.6149251789201</v>
      </c>
      <c r="AJ586" s="90" t="n">
        <f aca="false">(100*AJ584)/AI584-100</f>
        <v>55.7606613826128</v>
      </c>
      <c r="AK586" s="90" t="n">
        <f aca="false">(100*AK584)/AJ584-100</f>
        <v>62.0342918118604</v>
      </c>
      <c r="AL586" s="90" t="n">
        <f aca="false">(100*AL584)/AK584-100</f>
        <v>25.4228249429642</v>
      </c>
      <c r="AM586" s="40"/>
      <c r="AN586" s="40"/>
      <c r="AO586" s="40"/>
    </row>
    <row r="587" customFormat="false" ht="12" hidden="false" customHeight="true" outlineLevel="0" collapsed="false">
      <c r="F587" s="75"/>
      <c r="G587" s="75"/>
    </row>
    <row r="588" customFormat="false" ht="12.75" hidden="false" customHeight="true" outlineLevel="0" collapsed="false">
      <c r="A588" s="59" t="s">
        <v>534</v>
      </c>
      <c r="B588" s="67" t="n">
        <f aca="false">+B584+B572+B565</f>
        <v>7373.78</v>
      </c>
      <c r="C588" s="67" t="n">
        <f aca="false">+C584+C572+C565</f>
        <v>8974.71</v>
      </c>
      <c r="D588" s="67" t="n">
        <f aca="false">+D584+D572+D565</f>
        <v>11700.19</v>
      </c>
      <c r="E588" s="67" t="n">
        <f aca="false">+E584+E572+E565</f>
        <v>15470.51</v>
      </c>
      <c r="F588" s="67" t="n">
        <f aca="false">+F584+F572+F565</f>
        <v>19016.1</v>
      </c>
      <c r="G588" s="67" t="n">
        <f aca="false">+G584+G572+G565</f>
        <v>15105.04</v>
      </c>
      <c r="H588" s="67" t="n">
        <f aca="false">+H584+H572+H565</f>
        <v>15226.91</v>
      </c>
      <c r="I588" s="67" t="n">
        <f aca="false">+I584+I572+I565</f>
        <v>19299.11</v>
      </c>
      <c r="J588" s="67" t="n">
        <f aca="false">+J584+J572+J565</f>
        <v>18859.47</v>
      </c>
      <c r="K588" s="67" t="n">
        <f aca="false">+K584+K572+K565</f>
        <v>18837.17</v>
      </c>
      <c r="L588" s="67" t="n">
        <f aca="false">+L584+L572+L565</f>
        <v>22274.2</v>
      </c>
      <c r="M588" s="67" t="n">
        <f aca="false">+M584+M572+M565</f>
        <v>29549.19</v>
      </c>
      <c r="N588" s="67" t="n">
        <f aca="false">+N584+N572+N565</f>
        <v>37024.22</v>
      </c>
      <c r="O588" s="67" t="n">
        <f aca="false">+O584+O572+O565</f>
        <v>47078.5</v>
      </c>
      <c r="P588" s="67" t="n">
        <f aca="false">+P584+P572+P565</f>
        <v>66377.42</v>
      </c>
      <c r="Q588" s="67" t="n">
        <f aca="false">+Q584+Q572+Q565</f>
        <v>70111.88</v>
      </c>
      <c r="R588" s="67" t="n">
        <f aca="false">+R584+R572+R565</f>
        <v>51683.197</v>
      </c>
      <c r="S588" s="67" t="n">
        <f aca="false">+S584+S572+S565</f>
        <v>58813.255</v>
      </c>
      <c r="T588" s="67" t="n">
        <f aca="false">+T584+T572+T565</f>
        <v>91653.748</v>
      </c>
      <c r="U588" s="67" t="n">
        <f aca="false">+U584+U572+U565</f>
        <v>103516.65</v>
      </c>
      <c r="V588" s="67" t="n">
        <f aca="false">+V584+V572+V565</f>
        <v>100147.78</v>
      </c>
      <c r="W588" s="67" t="n">
        <f aca="false">+W584+W572+W565</f>
        <v>82706.418</v>
      </c>
      <c r="X588" s="67" t="n">
        <f aca="false">+X584+X572+X565</f>
        <v>109501.027</v>
      </c>
      <c r="Y588" s="67" t="n">
        <f aca="false">+Y584+Y572+Y565</f>
        <v>143267.834</v>
      </c>
      <c r="Z588" s="67" t="n">
        <f aca="false">+Z584+Z572+Z565</f>
        <v>153619.525</v>
      </c>
      <c r="AA588" s="67" t="n">
        <f aca="false">+AA584+AA572+AA565</f>
        <v>190061.699</v>
      </c>
      <c r="AB588" s="67" t="n">
        <f aca="false">+AB584+AB572+AB565</f>
        <v>208116.7</v>
      </c>
      <c r="AC588" s="67" t="n">
        <f aca="false">+AC584+AC572+AC565</f>
        <v>124257.1</v>
      </c>
      <c r="AD588" s="67" t="n">
        <f aca="false">+AD584+AD572+AD565</f>
        <v>114583.5</v>
      </c>
      <c r="AE588" s="67" t="n">
        <f aca="false">+AE584+AE572+AE565</f>
        <v>168291.1</v>
      </c>
      <c r="AF588" s="67" t="n">
        <f aca="false">+AF584+AF572+AF565</f>
        <v>279555.1</v>
      </c>
      <c r="AG588" s="67" t="n">
        <f aca="false">+AG584+AG572+AG565</f>
        <v>280205.6</v>
      </c>
      <c r="AH588" s="67" t="n">
        <f aca="false">+AH584+AH572+AH565</f>
        <v>277150</v>
      </c>
      <c r="AI588" s="67" t="n">
        <f aca="false">+AI584+AI572+AI565</f>
        <v>315403.59684</v>
      </c>
      <c r="AJ588" s="67" t="n">
        <f aca="false">+AJ584+AJ572+AJ565</f>
        <v>349788.405935457</v>
      </c>
      <c r="AK588" s="67" t="n">
        <f aca="false">+AK584+AK572+AK565</f>
        <v>376296.500049927</v>
      </c>
      <c r="AL588" s="67" t="n">
        <f aca="false">+AL584+AL572+AL565</f>
        <v>405095.816152345</v>
      </c>
      <c r="AM588" s="157"/>
      <c r="AN588" s="157"/>
      <c r="AO588" s="157"/>
    </row>
    <row r="589" customFormat="false" ht="12" hidden="false" customHeight="true" outlineLevel="0" collapsed="false">
      <c r="A589" s="69" t="s">
        <v>219</v>
      </c>
      <c r="B589" s="81" t="n">
        <f aca="false">+B588/B655*100</f>
        <v>77.2579017787449</v>
      </c>
      <c r="C589" s="81" t="n">
        <f aca="false">+C588/C655*100</f>
        <v>75.9735510380989</v>
      </c>
      <c r="D589" s="81" t="n">
        <f aca="false">+D588/D655*100</f>
        <v>77.3161425554355</v>
      </c>
      <c r="E589" s="81" t="n">
        <f aca="false">+E588/E655*100</f>
        <v>76.9791242681751</v>
      </c>
      <c r="F589" s="81" t="n">
        <f aca="false">+F588/F655*100</f>
        <v>76.6021162149827</v>
      </c>
      <c r="G589" s="81" t="n">
        <f aca="false">+G588/G655*100</f>
        <v>74.9897671533316</v>
      </c>
      <c r="H589" s="81" t="n">
        <f aca="false">+H588/H655*100</f>
        <v>74.4574758513241</v>
      </c>
      <c r="I589" s="81" t="n">
        <f aca="false">+I588/I655*100</f>
        <v>74.2639640007111</v>
      </c>
      <c r="J589" s="81" t="n">
        <f aca="false">+J588/J655*100</f>
        <v>72.3510097009088</v>
      </c>
      <c r="K589" s="81" t="n">
        <f aca="false">+K588/K655*100</f>
        <v>71.6120219825672</v>
      </c>
      <c r="L589" s="81" t="n">
        <f aca="false">+L588/L655*100</f>
        <v>72.4601048472753</v>
      </c>
      <c r="M589" s="81" t="n">
        <f aca="false">+M588/M655*100</f>
        <v>75.240987830487</v>
      </c>
      <c r="N589" s="81" t="n">
        <f aca="false">+N588/N655*100</f>
        <v>76.952920240385</v>
      </c>
      <c r="O589" s="81" t="n">
        <f aca="false">+O588/O655*100</f>
        <v>77.7757475994151</v>
      </c>
      <c r="P589" s="81" t="n">
        <f aca="false">+P588/P655*100</f>
        <v>79.92737139628</v>
      </c>
      <c r="Q589" s="81" t="n">
        <f aca="false">+Q588/Q655*100</f>
        <v>78.4803144053577</v>
      </c>
      <c r="R589" s="81" t="n">
        <f aca="false">+R588/R655*100</f>
        <v>77.5251044375412</v>
      </c>
      <c r="S589" s="81" t="n">
        <f aca="false">+S588/S655*100</f>
        <v>74.7062907090867</v>
      </c>
      <c r="T589" s="81" t="n">
        <f aca="false">+T588/T655*100</f>
        <v>75.7869422379434</v>
      </c>
      <c r="U589" s="81" t="n">
        <f aca="false">+U588/U655*100</f>
        <v>75.8535359751286</v>
      </c>
      <c r="V589" s="81" t="n">
        <f aca="false">+V588/V655*100</f>
        <v>75.3072425012909</v>
      </c>
      <c r="W589" s="81" t="n">
        <f aca="false">+W588/W655*100</f>
        <v>78.3142027466305</v>
      </c>
      <c r="X589" s="81" t="n">
        <f aca="false">+X588/X655*100</f>
        <v>75.5912810175471</v>
      </c>
      <c r="Y589" s="75"/>
      <c r="Z589" s="75"/>
      <c r="AA589" s="82"/>
      <c r="AB589" s="75"/>
      <c r="AC589" s="75"/>
      <c r="AD589" s="75"/>
      <c r="AE589" s="75"/>
      <c r="AF589" s="82"/>
      <c r="AG589" s="82"/>
      <c r="AH589" s="75"/>
      <c r="AI589" s="75"/>
      <c r="AJ589" s="75"/>
      <c r="AK589" s="75"/>
      <c r="AL589" s="75"/>
      <c r="AM589" s="75"/>
      <c r="AN589" s="75"/>
      <c r="AO589" s="75"/>
    </row>
    <row r="590" customFormat="false" ht="12" hidden="false" customHeight="true" outlineLevel="0" collapsed="false">
      <c r="A590" s="69" t="s">
        <v>481</v>
      </c>
      <c r="C590" s="81" t="n">
        <f aca="false">(100*C588)/B588-100</f>
        <v>21.7111169576527</v>
      </c>
      <c r="D590" s="81" t="n">
        <f aca="false">(100*D588)/C588-100</f>
        <v>30.3684464456233</v>
      </c>
      <c r="E590" s="81" t="n">
        <f aca="false">(100*E588)/D588-100</f>
        <v>32.2244339621835</v>
      </c>
      <c r="F590" s="81" t="n">
        <f aca="false">(100*F588)/E588-100</f>
        <v>22.9183782564376</v>
      </c>
      <c r="G590" s="81" t="n">
        <f aca="false">(100*G588)/F588-100</f>
        <v>-20.5670984060875</v>
      </c>
      <c r="H590" s="81" t="n">
        <f aca="false">(100*H588)/G588-100</f>
        <v>0.806816797572225</v>
      </c>
      <c r="I590" s="81" t="n">
        <f aca="false">(100*I588)/H588-100</f>
        <v>26.7434430229114</v>
      </c>
      <c r="J590" s="81" t="n">
        <f aca="false">(100*J588)/I588-100</f>
        <v>-2.27803251030747</v>
      </c>
      <c r="K590" s="81" t="n">
        <f aca="false">(100*K588)/J588-100</f>
        <v>-0.11824298349849</v>
      </c>
      <c r="L590" s="81" t="n">
        <f aca="false">(100*L588)/K588-100</f>
        <v>18.2459997972094</v>
      </c>
      <c r="M590" s="81" t="n">
        <f aca="false">(100*M588)/L588-100</f>
        <v>32.6610607788383</v>
      </c>
      <c r="N590" s="81" t="n">
        <f aca="false">(100*N588)/M588-100</f>
        <v>25.2969032315268</v>
      </c>
      <c r="O590" s="81" t="n">
        <f aca="false">(100*O588)/N588-100</f>
        <v>27.1559535892991</v>
      </c>
      <c r="P590" s="81" t="n">
        <f aca="false">(100*P588)/O588-100</f>
        <v>40.993064774791</v>
      </c>
      <c r="Q590" s="81" t="n">
        <f aca="false">(100*Q588)/P588-100</f>
        <v>5.62609995989601</v>
      </c>
      <c r="R590" s="81" t="n">
        <f aca="false">(100*R588)/Q588-100</f>
        <v>-26.2846795721353</v>
      </c>
      <c r="S590" s="81" t="n">
        <f aca="false">(100*S588)/R588-100</f>
        <v>13.7956984356057</v>
      </c>
      <c r="T590" s="81" t="n">
        <f aca="false">(100*T588)/S588-100</f>
        <v>55.8385911475228</v>
      </c>
      <c r="U590" s="81" t="n">
        <f aca="false">(100*U588)/T588-100</f>
        <v>12.943171729322</v>
      </c>
      <c r="V590" s="81" t="n">
        <f aca="false">(100*V588)/U588-100</f>
        <v>-3.25442332223851</v>
      </c>
      <c r="W590" s="81" t="n">
        <f aca="false">(100*W588)/V588-100</f>
        <v>-17.4156251890956</v>
      </c>
      <c r="X590" s="81" t="n">
        <f aca="false">(100*X588)/W588-100</f>
        <v>32.397254829728</v>
      </c>
      <c r="Y590" s="75"/>
      <c r="Z590" s="75"/>
      <c r="AA590" s="82"/>
      <c r="AB590" s="75"/>
      <c r="AC590" s="75"/>
      <c r="AD590" s="75"/>
      <c r="AE590" s="75"/>
      <c r="AF590" s="82"/>
      <c r="AG590" s="82"/>
      <c r="AH590" s="75"/>
      <c r="AI590" s="75"/>
      <c r="AJ590" s="75"/>
      <c r="AK590" s="75"/>
      <c r="AL590" s="75"/>
      <c r="AM590" s="75"/>
      <c r="AN590" s="75"/>
      <c r="AO590" s="75"/>
    </row>
    <row r="591" customFormat="false" ht="12" hidden="false" customHeight="true" outlineLevel="0" collapsed="false">
      <c r="F591" s="75"/>
      <c r="G591" s="75"/>
      <c r="N591" s="75"/>
      <c r="O591" s="75"/>
      <c r="P591" s="75"/>
    </row>
    <row r="592" customFormat="false" ht="12.75" hidden="false" customHeight="true" outlineLevel="0" collapsed="false">
      <c r="A592" s="59" t="s">
        <v>535</v>
      </c>
      <c r="F592" s="75"/>
      <c r="G592" s="75"/>
    </row>
    <row r="593" customFormat="false" ht="12" hidden="false" customHeight="true" outlineLevel="0" collapsed="false">
      <c r="F593" s="75"/>
      <c r="G593" s="75"/>
      <c r="N593" s="75"/>
      <c r="O593" s="75"/>
    </row>
    <row r="594" customFormat="false" ht="12.75" hidden="false" customHeight="true" outlineLevel="0" collapsed="false">
      <c r="A594" s="73" t="s">
        <v>536</v>
      </c>
      <c r="B594" s="208" t="n">
        <v>105.71</v>
      </c>
      <c r="C594" s="208" t="n">
        <v>143.06</v>
      </c>
      <c r="D594" s="208" t="n">
        <v>210.48</v>
      </c>
      <c r="E594" s="208" t="n">
        <v>266.01</v>
      </c>
      <c r="F594" s="208" t="n">
        <v>330.92</v>
      </c>
      <c r="G594" s="208" t="n">
        <v>322.87</v>
      </c>
      <c r="H594" s="208" t="n">
        <v>311.33</v>
      </c>
      <c r="I594" s="208" t="n">
        <v>385.18</v>
      </c>
      <c r="J594" s="208" t="n">
        <v>405.55</v>
      </c>
      <c r="K594" s="208" t="n">
        <v>397.64</v>
      </c>
      <c r="L594" s="208" t="n">
        <v>408.11</v>
      </c>
      <c r="M594" s="208" t="n">
        <v>486.73</v>
      </c>
      <c r="N594" s="208" t="n">
        <v>496.61</v>
      </c>
      <c r="O594" s="208" t="n">
        <v>414.06</v>
      </c>
      <c r="P594" s="208" t="n">
        <v>454.35</v>
      </c>
      <c r="Q594" s="208" t="n">
        <v>452.78</v>
      </c>
      <c r="R594" s="208" t="n">
        <v>384.199</v>
      </c>
      <c r="S594" s="208" t="n">
        <v>444.715</v>
      </c>
      <c r="T594" s="208" t="n">
        <v>651.851</v>
      </c>
      <c r="U594" s="208" t="n">
        <v>767.455</v>
      </c>
      <c r="V594" s="208" t="n">
        <v>859.982</v>
      </c>
      <c r="W594" s="208" t="n">
        <v>610.371</v>
      </c>
      <c r="X594" s="208" t="n">
        <v>824.943</v>
      </c>
      <c r="Y594" s="208" t="n">
        <v>1159.635</v>
      </c>
      <c r="Z594" s="208" t="n">
        <v>1687.253</v>
      </c>
      <c r="AA594" s="208" t="n">
        <v>2287.42</v>
      </c>
      <c r="AB594" s="208" t="n">
        <v>2498</v>
      </c>
      <c r="AC594" s="208" t="n">
        <v>1731.9</v>
      </c>
      <c r="AD594" s="208" t="n">
        <v>1618.7</v>
      </c>
      <c r="AE594" s="208" t="n">
        <v>1795.3</v>
      </c>
      <c r="AF594" s="208" t="n">
        <v>2539.1</v>
      </c>
      <c r="AG594" s="208" t="n">
        <v>2585.2</v>
      </c>
      <c r="AH594" s="208" t="n">
        <v>2588</v>
      </c>
      <c r="AI594" s="67" t="n">
        <f aca="false">AH594*(1+AI595/100)</f>
        <v>2639.76</v>
      </c>
      <c r="AJ594" s="67" t="n">
        <f aca="false">AI594*(1+AJ595/100)</f>
        <v>2850.9408</v>
      </c>
      <c r="AK594" s="67" t="n">
        <f aca="false">AJ594*(1+AK595/100)</f>
        <v>3079.016064</v>
      </c>
      <c r="AL594" s="67" t="n">
        <f aca="false">AK594*(1+AL595/100)</f>
        <v>3263.75702784</v>
      </c>
      <c r="AM594" s="157"/>
      <c r="AN594" s="157"/>
      <c r="AO594" s="157"/>
    </row>
    <row r="595" customFormat="false" ht="12.75" hidden="false" customHeight="true" outlineLevel="0" collapsed="false">
      <c r="A595" s="69" t="s">
        <v>526</v>
      </c>
      <c r="C595" s="81" t="n">
        <f aca="false">+C594/B594*100-100</f>
        <v>35.3325134802763</v>
      </c>
      <c r="D595" s="81" t="n">
        <f aca="false">+D594/C594*100-100</f>
        <v>47.1270795470432</v>
      </c>
      <c r="E595" s="81" t="n">
        <f aca="false">+E594/D594*100-100</f>
        <v>26.3825541619156</v>
      </c>
      <c r="F595" s="81" t="n">
        <f aca="false">+F594/E594*100-100</f>
        <v>24.4013382955528</v>
      </c>
      <c r="G595" s="81" t="n">
        <f aca="false">+G594/F594*100-100</f>
        <v>-2.43261211168863</v>
      </c>
      <c r="H595" s="81" t="n">
        <f aca="false">+H594/G594*100-100</f>
        <v>-3.57419394802862</v>
      </c>
      <c r="I595" s="81" t="n">
        <f aca="false">+I594/H594*100-100</f>
        <v>23.7208107153182</v>
      </c>
      <c r="J595" s="81" t="n">
        <f aca="false">+J594/I594*100-100</f>
        <v>5.28843657510774</v>
      </c>
      <c r="K595" s="81" t="n">
        <f aca="false">+K594/J594*100-100</f>
        <v>-1.95043767722845</v>
      </c>
      <c r="L595" s="81" t="n">
        <f aca="false">+L594/K594*100-100</f>
        <v>2.63303490594508</v>
      </c>
      <c r="M595" s="81" t="n">
        <f aca="false">+M594/L594*100-100</f>
        <v>19.2644140060278</v>
      </c>
      <c r="N595" s="81" t="n">
        <f aca="false">+N594/M594*100-100</f>
        <v>2.02987282476938</v>
      </c>
      <c r="O595" s="81" t="n">
        <f aca="false">+O594/N594*100-100</f>
        <v>-16.6227019190109</v>
      </c>
      <c r="P595" s="81" t="n">
        <f aca="false">+P594/O594*100-100</f>
        <v>9.73047384437038</v>
      </c>
      <c r="Q595" s="81" t="n">
        <f aca="false">+Q594/P594*100-100</f>
        <v>-0.345548585891947</v>
      </c>
      <c r="R595" s="81" t="n">
        <f aca="false">+R594/Q594*100-100</f>
        <v>-15.1466495869959</v>
      </c>
      <c r="S595" s="81" t="n">
        <f aca="false">+S594/R594*100-100</f>
        <v>15.7512122623953</v>
      </c>
      <c r="T595" s="81" t="n">
        <f aca="false">+T594/S594*100-100</f>
        <v>46.5772461014358</v>
      </c>
      <c r="U595" s="81" t="n">
        <f aca="false">+U594/T594*100-100</f>
        <v>17.7347277215192</v>
      </c>
      <c r="V595" s="81" t="n">
        <f aca="false">+V594/U594*100-100</f>
        <v>12.0563420656586</v>
      </c>
      <c r="W595" s="81" t="n">
        <f aca="false">+W594/V594*100-100</f>
        <v>-29.0251423867011</v>
      </c>
      <c r="X595" s="81" t="n">
        <f aca="false">+X594/W594*100-100</f>
        <v>35.1543569402872</v>
      </c>
      <c r="Y595" s="81" t="n">
        <f aca="false">+Y594/X594*100-100</f>
        <v>40.5715303966456</v>
      </c>
      <c r="Z595" s="81" t="n">
        <f aca="false">+Z594/Y594*100-100</f>
        <v>45.4986267230637</v>
      </c>
      <c r="AA595" s="81" t="n">
        <f aca="false">+AA594/Z594*100-100</f>
        <v>35.5706583422877</v>
      </c>
      <c r="AB595" s="81" t="n">
        <f aca="false">+AB594/AA594*100-100</f>
        <v>9.20600501875475</v>
      </c>
      <c r="AC595" s="81" t="n">
        <f aca="false">+AC594/AB594*100-100</f>
        <v>-30.6685348278623</v>
      </c>
      <c r="AD595" s="81" t="n">
        <f aca="false">+AD594/AC594*100-100</f>
        <v>-6.5361741440037</v>
      </c>
      <c r="AE595" s="81" t="n">
        <f aca="false">+AE594/AD594*100-100</f>
        <v>10.9099894977451</v>
      </c>
      <c r="AF595" s="81" t="n">
        <f aca="false">+AF594/AE594*100-100</f>
        <v>41.4304016041887</v>
      </c>
      <c r="AG595" s="81" t="n">
        <f aca="false">+AG594/AF594*100-100</f>
        <v>1.81560395415698</v>
      </c>
      <c r="AH595" s="81" t="n">
        <f aca="false">+AH594/AG594*100-100</f>
        <v>0.108308834906396</v>
      </c>
      <c r="AI595" s="164" t="n">
        <v>2</v>
      </c>
      <c r="AJ595" s="164" t="n">
        <v>8</v>
      </c>
      <c r="AK595" s="164" t="n">
        <v>8</v>
      </c>
      <c r="AL595" s="164" t="n">
        <v>6</v>
      </c>
      <c r="AM595" s="296"/>
      <c r="AN595" s="296"/>
      <c r="AO595" s="296"/>
    </row>
    <row r="596" customFormat="false" ht="12" hidden="false" customHeight="true" outlineLevel="0" collapsed="false">
      <c r="A596" s="69" t="s">
        <v>219</v>
      </c>
      <c r="B596" s="81" t="n">
        <f aca="false">+B594/B655*100</f>
        <v>1.10756393559764</v>
      </c>
      <c r="C596" s="81" t="n">
        <f aca="false">+C594/C655*100</f>
        <v>1.21104483727167</v>
      </c>
      <c r="D596" s="81" t="n">
        <f aca="false">+D594/D655*100</f>
        <v>1.39087499306148</v>
      </c>
      <c r="E596" s="81" t="n">
        <f aca="false">+E594/E655*100</f>
        <v>1.32362907535545</v>
      </c>
      <c r="F596" s="81" t="n">
        <f aca="false">+F594/F655*100</f>
        <v>1.33303738925763</v>
      </c>
      <c r="G596" s="81" t="n">
        <f aca="false">+G594/G655*100</f>
        <v>1.60290513105534</v>
      </c>
      <c r="H596" s="81" t="n">
        <f aca="false">+H594/H655*100</f>
        <v>1.52236047607773</v>
      </c>
      <c r="I596" s="81" t="n">
        <f aca="false">+I594/I655*100</f>
        <v>1.48219237331638</v>
      </c>
      <c r="J596" s="81" t="n">
        <f aca="false">+J594/J655*100</f>
        <v>1.5558206028167</v>
      </c>
      <c r="K596" s="81" t="n">
        <f aca="false">+K594/K655*100</f>
        <v>1.51168166031034</v>
      </c>
      <c r="L596" s="81" t="n">
        <f aca="false">+L594/L655*100</f>
        <v>1.32762089723633</v>
      </c>
      <c r="M596" s="81" t="n">
        <f aca="false">+M594/M655*100</f>
        <v>1.23935871022972</v>
      </c>
      <c r="N596" s="81" t="n">
        <f aca="false">+N594/N655*100</f>
        <v>1.03217811801512</v>
      </c>
      <c r="O596" s="81" t="n">
        <f aca="false">+O594/O655*100</f>
        <v>0.684045287148354</v>
      </c>
      <c r="P596" s="81" t="n">
        <f aca="false">+P594/P655*100</f>
        <v>0.547098715103718</v>
      </c>
      <c r="Q596" s="81" t="n">
        <f aca="false">+Q594/Q655*100</f>
        <v>0.506823048482766</v>
      </c>
      <c r="R596" s="81" t="n">
        <f aca="false">+R594/R655*100</f>
        <v>0.576300796558674</v>
      </c>
      <c r="S596" s="81" t="n">
        <f aca="false">+S594/S655*100</f>
        <v>0.564889803713321</v>
      </c>
      <c r="T596" s="81" t="n">
        <f aca="false">+T594/T655*100</f>
        <v>0.539004625154507</v>
      </c>
      <c r="U596" s="81" t="n">
        <f aca="false">+U594/U655*100</f>
        <v>0.562365333999819</v>
      </c>
      <c r="V596" s="81" t="n">
        <f aca="false">+V594/V655*100</f>
        <v>0.646673076734653</v>
      </c>
      <c r="W596" s="81" t="n">
        <f aca="false">+W594/W655*100</f>
        <v>0.577956577017561</v>
      </c>
      <c r="X596" s="81" t="n">
        <f aca="false">+X594/X655*100</f>
        <v>0.569478660108442</v>
      </c>
      <c r="Y596" s="81" t="n">
        <f aca="false">+Y594/Y655*100</f>
        <v>0.580021255666903</v>
      </c>
      <c r="Z596" s="81" t="n">
        <f aca="false">+Z594/Z655*100</f>
        <v>0.790961547401839</v>
      </c>
      <c r="AA596" s="81" t="n">
        <f aca="false">+AA594/AA655*100</f>
        <v>0.86237967681509</v>
      </c>
      <c r="AB596" s="81" t="n">
        <f aca="false">+AB594/AB655*100</f>
        <v>0.859750231888198</v>
      </c>
      <c r="AC596" s="81" t="n">
        <f aca="false">+AC594/AC655*100</f>
        <v>0.991500200086217</v>
      </c>
      <c r="AD596" s="81" t="n">
        <f aca="false">+AD594/AD655*100</f>
        <v>1.05787360021436</v>
      </c>
      <c r="AE596" s="81" t="n">
        <f aca="false">+AE594/AE655*100</f>
        <v>0.827773881666097</v>
      </c>
      <c r="AF596" s="81" t="n">
        <f aca="false">+AF594/AF655*100</f>
        <v>0.702492852229988</v>
      </c>
      <c r="AG596" s="81" t="n">
        <f aca="false">+AG594/AG655*100</f>
        <v>0.673807693741215</v>
      </c>
      <c r="AH596" s="81" t="n">
        <f aca="false">+AH594/AH655*100</f>
        <v>0.667823746140273</v>
      </c>
      <c r="AI596" s="81" t="n">
        <f aca="false">+AI594/AI655*100</f>
        <v>0.599849614936522</v>
      </c>
      <c r="AJ596" s="81" t="n">
        <f aca="false">+AJ594/AJ655*100</f>
        <v>0.594169448710514</v>
      </c>
      <c r="AK596" s="81" t="n">
        <f aca="false">+AK594/AK655*100</f>
        <v>0.594043702816107</v>
      </c>
      <c r="AL596" s="81" t="n">
        <f aca="false">+AL594/AL655*100</f>
        <v>0.585725960286728</v>
      </c>
      <c r="AM596" s="75"/>
      <c r="AN596" s="75"/>
      <c r="AO596" s="75"/>
    </row>
    <row r="597" customFormat="false" ht="12" hidden="false" customHeight="true" outlineLevel="0" collapsed="false">
      <c r="C597" s="75"/>
      <c r="D597" s="75"/>
      <c r="E597" s="75"/>
      <c r="F597" s="75"/>
      <c r="G597" s="75"/>
      <c r="H597" s="75"/>
      <c r="I597" s="75"/>
      <c r="J597" s="75"/>
      <c r="K597" s="75"/>
      <c r="L597" s="75"/>
      <c r="AN597" s="58" t="n">
        <f aca="false">13.8*0.9</f>
        <v>12.42</v>
      </c>
    </row>
    <row r="598" customFormat="false" ht="12.75" hidden="false" customHeight="true" outlineLevel="0" collapsed="false">
      <c r="A598" s="73" t="s">
        <v>537</v>
      </c>
      <c r="B598" s="209" t="n">
        <f aca="false">21.94+114.69</f>
        <v>136.63</v>
      </c>
      <c r="C598" s="209" t="n">
        <f aca="false">23.55+116.02</f>
        <v>139.57</v>
      </c>
      <c r="D598" s="209" t="n">
        <f aca="false">36.24+162.76</f>
        <v>199</v>
      </c>
      <c r="E598" s="209" t="n">
        <f aca="false">44+230.35</f>
        <v>274.35</v>
      </c>
      <c r="F598" s="209" t="n">
        <f aca="false">55.16+123.73</f>
        <v>178.89</v>
      </c>
      <c r="G598" s="209" t="n">
        <f aca="false">55.63+152.65</f>
        <v>208.28</v>
      </c>
      <c r="H598" s="209" t="n">
        <f aca="false">56.55+123.4</f>
        <v>179.95</v>
      </c>
      <c r="I598" s="209" t="n">
        <f aca="false">65.38+165.64</f>
        <v>231.02</v>
      </c>
      <c r="J598" s="209" t="n">
        <f aca="false">52.74+174.31</f>
        <v>227.05</v>
      </c>
      <c r="K598" s="209" t="n">
        <f aca="false">61.87+180.68</f>
        <v>242.55</v>
      </c>
      <c r="L598" s="209" t="n">
        <f aca="false">70.08+189.27</f>
        <v>259.35</v>
      </c>
      <c r="M598" s="209" t="n">
        <f aca="false">68.62+221.7</f>
        <v>290.32</v>
      </c>
      <c r="N598" s="209" t="n">
        <f aca="false">99.51+285.7</f>
        <v>385.21</v>
      </c>
      <c r="O598" s="209" t="n">
        <f aca="false">120.89+332.86</f>
        <v>453.75</v>
      </c>
      <c r="P598" s="209" t="n">
        <f aca="false">131.5+416.97</f>
        <v>548.47</v>
      </c>
      <c r="Q598" s="209" t="n">
        <f aca="false">169.28+574.84</f>
        <v>744.12</v>
      </c>
      <c r="R598" s="209" t="n">
        <f aca="false">128.881+502.966</f>
        <v>631.847</v>
      </c>
      <c r="S598" s="209" t="n">
        <f aca="false">107.165+455.072</f>
        <v>562.237</v>
      </c>
      <c r="T598" s="209" t="n">
        <f aca="false">176.594+860.359</f>
        <v>1036.953</v>
      </c>
      <c r="U598" s="209" t="n">
        <f aca="false">278.376+996.727</f>
        <v>1275.103</v>
      </c>
      <c r="V598" s="209" t="n">
        <f aca="false">287.52+1103.371</f>
        <v>1390.891</v>
      </c>
      <c r="W598" s="209" t="n">
        <f aca="false">225.547+1016.978</f>
        <v>1242.525</v>
      </c>
      <c r="X598" s="209" t="n">
        <f aca="false">300.037+1013.694</f>
        <v>1313.731</v>
      </c>
      <c r="Y598" s="209" t="n">
        <f aca="false">405.307+1256.801</f>
        <v>1662.108</v>
      </c>
      <c r="Z598" s="209" t="n">
        <f aca="false">512.433+1492.324</f>
        <v>2004.757</v>
      </c>
      <c r="AA598" s="209" t="n">
        <f aca="false">574.043+1800.184</f>
        <v>2374.227</v>
      </c>
      <c r="AB598" s="209" t="n">
        <f aca="false">538.5+1978.6</f>
        <v>2517.1</v>
      </c>
      <c r="AC598" s="209" t="n">
        <f aca="false">434.5+1588.1</f>
        <v>2022.6</v>
      </c>
      <c r="AD598" s="209" t="n">
        <f aca="false">330.9+1240.7</f>
        <v>1571.6</v>
      </c>
      <c r="AE598" s="209" t="n">
        <f aca="false">448+1577.1</f>
        <v>2025.1</v>
      </c>
      <c r="AF598" s="209" t="n">
        <f aca="false">564.4+1773.7</f>
        <v>2338.1</v>
      </c>
      <c r="AG598" s="209" t="n">
        <f aca="false">656.2+1170+863.8</f>
        <v>2690</v>
      </c>
      <c r="AH598" s="209" t="n">
        <f aca="false">696.9+1277.8+924.4</f>
        <v>2899.1</v>
      </c>
      <c r="AI598" s="67" t="n">
        <f aca="false">AH598*(1+AI599/100)</f>
        <v>3044.055</v>
      </c>
      <c r="AJ598" s="67" t="n">
        <f aca="false">AI598*(1+AJ599/100)</f>
        <v>3287.5794</v>
      </c>
      <c r="AK598" s="67" t="n">
        <f aca="false">AJ598*(1+AK599/100)</f>
        <v>3550.585752</v>
      </c>
      <c r="AL598" s="67" t="n">
        <f aca="false">AK598*(1+AL599/100)</f>
        <v>3834.63261216</v>
      </c>
      <c r="AM598" s="157"/>
      <c r="AN598" s="157"/>
      <c r="AO598" s="157"/>
    </row>
    <row r="599" customFormat="false" ht="12.75" hidden="false" customHeight="true" outlineLevel="0" collapsed="false">
      <c r="A599" s="69" t="s">
        <v>526</v>
      </c>
      <c r="C599" s="81" t="n">
        <f aca="false">+C598/B598*100-100</f>
        <v>2.15179682353801</v>
      </c>
      <c r="D599" s="81" t="n">
        <f aca="false">+D598/C598*100-100</f>
        <v>42.580783836068</v>
      </c>
      <c r="E599" s="81" t="n">
        <f aca="false">+E598/D598*100-100</f>
        <v>37.8643216080402</v>
      </c>
      <c r="F599" s="81" t="n">
        <f aca="false">+F598/E598*100-100</f>
        <v>-34.7949699289229</v>
      </c>
      <c r="G599" s="81" t="n">
        <f aca="false">+G598/F598*100-100</f>
        <v>16.4290905025435</v>
      </c>
      <c r="H599" s="81" t="n">
        <f aca="false">+H598/G598*100-100</f>
        <v>-13.601882081813</v>
      </c>
      <c r="I599" s="81" t="n">
        <f aca="false">+I598/H598*100-100</f>
        <v>28.3801055848847</v>
      </c>
      <c r="J599" s="81" t="n">
        <f aca="false">+J598/I598*100-100</f>
        <v>-1.71846593368539</v>
      </c>
      <c r="K599" s="81" t="n">
        <f aca="false">+K598/J598*100-100</f>
        <v>6.82669015635322</v>
      </c>
      <c r="L599" s="81" t="n">
        <f aca="false">+L598/K598*100-100</f>
        <v>6.92640692640694</v>
      </c>
      <c r="M599" s="81" t="n">
        <f aca="false">+M598/L598*100-100</f>
        <v>11.9413919413919</v>
      </c>
      <c r="N599" s="81" t="n">
        <f aca="false">+N598/M598*100-100</f>
        <v>32.6846238633232</v>
      </c>
      <c r="O599" s="81" t="n">
        <f aca="false">+O598/N598*100-100</f>
        <v>17.7928921886763</v>
      </c>
      <c r="P599" s="81" t="n">
        <f aca="false">+P598/O598*100-100</f>
        <v>20.8749311294766</v>
      </c>
      <c r="Q599" s="81" t="n">
        <f aca="false">+Q598/P598*100-100</f>
        <v>35.6719601801375</v>
      </c>
      <c r="R599" s="81" t="n">
        <f aca="false">+R598/Q598*100-100</f>
        <v>-15.08802343708</v>
      </c>
      <c r="S599" s="81" t="n">
        <f aca="false">+S598/R598*100-100</f>
        <v>-11.0169075741437</v>
      </c>
      <c r="T599" s="81" t="n">
        <f aca="false">+T598/S598*100-100</f>
        <v>84.4334328761715</v>
      </c>
      <c r="U599" s="81" t="n">
        <f aca="false">+U598/T598*100-100</f>
        <v>22.9663253782958</v>
      </c>
      <c r="V599" s="81" t="n">
        <f aca="false">+V598/U598*100-100</f>
        <v>9.08067818835028</v>
      </c>
      <c r="W599" s="81" t="n">
        <f aca="false">+W598/V598*100-100</f>
        <v>-10.6669753417054</v>
      </c>
      <c r="X599" s="81" t="n">
        <f aca="false">+X598/W598*100-100</f>
        <v>5.73074988430817</v>
      </c>
      <c r="Y599" s="81" t="n">
        <f aca="false">+Y598/X598*100-100</f>
        <v>26.5181380358688</v>
      </c>
      <c r="Z599" s="81" t="n">
        <f aca="false">+Z598/Y598*100-100</f>
        <v>20.6153270425267</v>
      </c>
      <c r="AA599" s="81" t="n">
        <f aca="false">+AA598/Z598*100-100</f>
        <v>18.4296650416983</v>
      </c>
      <c r="AB599" s="81" t="n">
        <f aca="false">+AB598/AA598*100-100</f>
        <v>6.01766385438292</v>
      </c>
      <c r="AC599" s="81" t="n">
        <f aca="false">+AC598/AB598*100-100</f>
        <v>-19.6456239323031</v>
      </c>
      <c r="AD599" s="81" t="n">
        <f aca="false">+AD598/AC598*100-100</f>
        <v>-22.2980322357362</v>
      </c>
      <c r="AE599" s="81" t="n">
        <f aca="false">+AE598/AD598*100-100</f>
        <v>28.8559429880377</v>
      </c>
      <c r="AF599" s="81" t="n">
        <f aca="false">+AF598/AE598*100-100</f>
        <v>15.456026862871</v>
      </c>
      <c r="AG599" s="81" t="n">
        <f aca="false">+AG598/AF598*100-100</f>
        <v>15.0506821778367</v>
      </c>
      <c r="AH599" s="81" t="n">
        <f aca="false">+AH598/AG598*100-100</f>
        <v>7.7732342007435</v>
      </c>
      <c r="AI599" s="164" t="n">
        <v>5</v>
      </c>
      <c r="AJ599" s="164" t="n">
        <v>8</v>
      </c>
      <c r="AK599" s="164" t="n">
        <v>8</v>
      </c>
      <c r="AL599" s="164" t="n">
        <v>8</v>
      </c>
      <c r="AM599" s="296"/>
      <c r="AN599" s="296"/>
      <c r="AO599" s="296"/>
    </row>
    <row r="600" customFormat="false" ht="12" hidden="false" customHeight="true" outlineLevel="0" collapsed="false">
      <c r="A600" s="69" t="s">
        <v>219</v>
      </c>
      <c r="B600" s="81" t="n">
        <f aca="false">+B598/B655*100</f>
        <v>1.43152455321828</v>
      </c>
      <c r="C600" s="81" t="n">
        <f aca="false">+C598/C655*100</f>
        <v>1.18150096419689</v>
      </c>
      <c r="D600" s="81" t="n">
        <f aca="false">+D598/D655*100</f>
        <v>1.31501389024722</v>
      </c>
      <c r="E600" s="81" t="n">
        <f aca="false">+E598/E655*100</f>
        <v>1.36512776521096</v>
      </c>
      <c r="F600" s="81" t="n">
        <f aca="false">+F598/F655*100</f>
        <v>0.720618453294748</v>
      </c>
      <c r="G600" s="81" t="n">
        <f aca="false">+G598/G655*100</f>
        <v>1.03401703687616</v>
      </c>
      <c r="H600" s="81" t="n">
        <f aca="false">+H598/H655*100</f>
        <v>0.879930516397994</v>
      </c>
      <c r="I600" s="81" t="n">
        <f aca="false">+I598/I655*100</f>
        <v>0.888976795481464</v>
      </c>
      <c r="J600" s="81" t="n">
        <f aca="false">+J598/J655*100</f>
        <v>0.871037030870504</v>
      </c>
      <c r="K600" s="81" t="n">
        <f aca="false">+K598/K655*100</f>
        <v>0.922086275797887</v>
      </c>
      <c r="L600" s="81" t="n">
        <f aca="false">+L598/L655*100</f>
        <v>0.843690376854875</v>
      </c>
      <c r="M600" s="81" t="n">
        <f aca="false">+M598/M655*100</f>
        <v>0.739240689404582</v>
      </c>
      <c r="N600" s="81" t="n">
        <f aca="false">+N598/N655*100</f>
        <v>0.800638998088243</v>
      </c>
      <c r="O600" s="81" t="n">
        <f aca="false">+O598/O655*100</f>
        <v>0.749614908572588</v>
      </c>
      <c r="P600" s="81" t="n">
        <f aca="false">+P598/P655*100</f>
        <v>0.660431896716047</v>
      </c>
      <c r="Q600" s="81" t="n">
        <f aca="false">+Q598/Q655*100</f>
        <v>0.832936893937443</v>
      </c>
      <c r="R600" s="81" t="n">
        <f aca="false">+R598/R655*100</f>
        <v>0.947774276880493</v>
      </c>
      <c r="S600" s="81" t="n">
        <f aca="false">+S598/S655*100</f>
        <v>0.71416963351892</v>
      </c>
      <c r="T600" s="81" t="n">
        <f aca="false">+T598/T655*100</f>
        <v>0.857438989995937</v>
      </c>
      <c r="U600" s="81" t="n">
        <f aca="false">+U598/U655*100</f>
        <v>0.934352795250758</v>
      </c>
      <c r="V600" s="81" t="n">
        <f aca="false">+V598/V655*100</f>
        <v>1.04589603314085</v>
      </c>
      <c r="W600" s="81" t="n">
        <f aca="false">+W598/W655*100</f>
        <v>1.17653934387241</v>
      </c>
      <c r="X600" s="81" t="n">
        <f aca="false">+X598/X655*100</f>
        <v>0.906901167259949</v>
      </c>
      <c r="Y600" s="81" t="n">
        <f aca="false">+Y598/Y655*100</f>
        <v>0.831346043551639</v>
      </c>
      <c r="Z600" s="81" t="n">
        <f aca="false">+Z598/Z655*100</f>
        <v>0.939803158675474</v>
      </c>
      <c r="AA600" s="81" t="n">
        <f aca="false">+AA598/AA655*100</f>
        <v>0.895106763491471</v>
      </c>
      <c r="AB600" s="81" t="n">
        <f aca="false">+AB598/AB655*100</f>
        <v>0.866323982660442</v>
      </c>
      <c r="AC600" s="81" t="n">
        <f aca="false">+AC598/AC655*100</f>
        <v>1.15792384357895</v>
      </c>
      <c r="AD600" s="81" t="n">
        <f aca="false">+AD598/AD655*100</f>
        <v>1.02709220368004</v>
      </c>
      <c r="AE600" s="81" t="n">
        <f aca="false">+AE598/AE655*100</f>
        <v>0.933729676244646</v>
      </c>
      <c r="AF600" s="81" t="n">
        <f aca="false">+AF598/AF655*100</f>
        <v>0.646882177857877</v>
      </c>
      <c r="AG600" s="81" t="n">
        <f aca="false">+AG598/AG655*100</f>
        <v>0.701122812998556</v>
      </c>
      <c r="AH600" s="81" t="n">
        <f aca="false">+AH598/AH655*100</f>
        <v>0.748101940662776</v>
      </c>
      <c r="AI600" s="81" t="n">
        <f aca="false">+AI598/AI655*100</f>
        <v>0.691720163801102</v>
      </c>
      <c r="AJ600" s="81" t="n">
        <f aca="false">+AJ598/AJ655*100</f>
        <v>0.685170046214232</v>
      </c>
      <c r="AK600" s="81" t="n">
        <f aca="false">+AK598/AK655*100</f>
        <v>0.685025041585555</v>
      </c>
      <c r="AL600" s="81" t="n">
        <f aca="false">+AL598/AL655*100</f>
        <v>0.68817741331397</v>
      </c>
      <c r="AM600" s="75"/>
      <c r="AN600" s="75"/>
      <c r="AO600" s="75"/>
    </row>
    <row r="601" customFormat="false" ht="12" hidden="false" customHeight="true" outlineLevel="0" collapsed="false">
      <c r="F601" s="75"/>
      <c r="G601" s="75"/>
    </row>
    <row r="602" customFormat="false" ht="12.75" hidden="false" customHeight="true" outlineLevel="0" collapsed="false">
      <c r="A602" s="73" t="s">
        <v>538</v>
      </c>
    </row>
    <row r="603" customFormat="false" ht="12" hidden="false" customHeight="true" outlineLevel="0" collapsed="false">
      <c r="A603" s="69" t="s">
        <v>539</v>
      </c>
      <c r="B603" s="190" t="n">
        <v>588.6</v>
      </c>
      <c r="C603" s="190" t="n">
        <v>743.4</v>
      </c>
      <c r="D603" s="190" t="n">
        <v>910.09</v>
      </c>
      <c r="E603" s="190" t="n">
        <v>1257.15</v>
      </c>
      <c r="F603" s="190" t="n">
        <v>1472.56</v>
      </c>
      <c r="G603" s="190" t="n">
        <v>1432.13</v>
      </c>
      <c r="H603" s="190" t="n">
        <v>1582.2</v>
      </c>
      <c r="I603" s="190" t="n">
        <v>1744.94</v>
      </c>
      <c r="J603" s="205" t="n">
        <f aca="false">1925.42-29.08</f>
        <v>1896.34</v>
      </c>
      <c r="K603" s="205" t="n">
        <f aca="false">1996.82-29.68</f>
        <v>1967.14</v>
      </c>
      <c r="L603" s="190" t="n">
        <v>2149.42</v>
      </c>
      <c r="M603" s="190" t="n">
        <v>2343.48</v>
      </c>
      <c r="N603" s="190" t="n">
        <v>2604.82</v>
      </c>
      <c r="O603" s="190" t="n">
        <v>3088.9</v>
      </c>
      <c r="P603" s="190" t="n">
        <v>4442.28</v>
      </c>
      <c r="Q603" s="190" t="n">
        <v>4984.56</v>
      </c>
      <c r="R603" s="190" t="n">
        <v>4482.746</v>
      </c>
      <c r="S603" s="190" t="n">
        <v>5407.245</v>
      </c>
      <c r="T603" s="239" t="n">
        <f aca="false">7713.586+T692</f>
        <v>7213.586</v>
      </c>
      <c r="U603" s="190" t="n">
        <v>8046.495</v>
      </c>
      <c r="V603" s="190" t="n">
        <v>8425.195</v>
      </c>
      <c r="W603" s="190" t="n">
        <v>7745.543</v>
      </c>
      <c r="X603" s="190" t="n">
        <v>9391.556</v>
      </c>
      <c r="Y603" s="190" t="n">
        <v>11050.618</v>
      </c>
      <c r="Z603" s="205" t="n">
        <f aca="false">11988.982+181.152</f>
        <v>12170.134</v>
      </c>
      <c r="AA603" s="190" t="n">
        <v>15083.731</v>
      </c>
      <c r="AB603" s="190" t="n">
        <v>18355.7</v>
      </c>
      <c r="AC603" s="190" t="n">
        <v>13834.2</v>
      </c>
    </row>
    <row r="604" customFormat="false" ht="12" hidden="false" customHeight="true" outlineLevel="0" collapsed="false">
      <c r="A604" s="69" t="s">
        <v>540</v>
      </c>
      <c r="B604" s="190" t="n">
        <v>49.58</v>
      </c>
      <c r="C604" s="190" t="n">
        <v>82.16</v>
      </c>
      <c r="D604" s="190" t="n">
        <v>83.59</v>
      </c>
      <c r="E604" s="190" t="n">
        <v>140</v>
      </c>
      <c r="F604" s="190" t="n">
        <v>168</v>
      </c>
      <c r="G604" s="190" t="n">
        <v>184.04</v>
      </c>
      <c r="H604" s="190" t="n">
        <v>233.65</v>
      </c>
      <c r="I604" s="190" t="n">
        <v>254.53</v>
      </c>
      <c r="J604" s="190" t="n">
        <v>318.66</v>
      </c>
      <c r="K604" s="190" t="n">
        <v>300.33</v>
      </c>
      <c r="L604" s="190" t="n">
        <v>377.27</v>
      </c>
      <c r="M604" s="190" t="n">
        <v>378.02</v>
      </c>
      <c r="N604" s="190" t="n">
        <v>500.71</v>
      </c>
      <c r="O604" s="190" t="n">
        <v>474.23</v>
      </c>
      <c r="P604" s="190" t="n">
        <v>534.74</v>
      </c>
      <c r="Q604" s="190" t="n">
        <v>506.4</v>
      </c>
      <c r="R604" s="190" t="n">
        <v>489.407</v>
      </c>
      <c r="S604" s="190" t="n">
        <v>543.93</v>
      </c>
      <c r="T604" s="190" t="n">
        <v>850.607</v>
      </c>
      <c r="U604" s="190" t="n">
        <v>874.445</v>
      </c>
      <c r="V604" s="190" t="n">
        <v>916.161</v>
      </c>
      <c r="W604" s="190" t="n">
        <v>860.807</v>
      </c>
      <c r="X604" s="190" t="n">
        <v>833.549</v>
      </c>
      <c r="Y604" s="190" t="n">
        <v>814.085</v>
      </c>
      <c r="Z604" s="190" t="n">
        <v>900.054</v>
      </c>
      <c r="AA604" s="190" t="n">
        <v>984.578</v>
      </c>
      <c r="AB604" s="190" t="n">
        <v>1073.2</v>
      </c>
      <c r="AC604" s="190" t="n">
        <v>1269.9</v>
      </c>
    </row>
    <row r="605" customFormat="false" ht="12" hidden="false" customHeight="true" outlineLevel="0" collapsed="false">
      <c r="A605" s="69" t="s">
        <v>541</v>
      </c>
      <c r="B605" s="190" t="n">
        <v>80.1</v>
      </c>
      <c r="C605" s="190" t="n">
        <v>108.85</v>
      </c>
      <c r="D605" s="190" t="n">
        <v>145.27</v>
      </c>
      <c r="E605" s="190" t="n">
        <v>174.47</v>
      </c>
      <c r="F605" s="190" t="n">
        <v>223.78</v>
      </c>
      <c r="G605" s="190" t="n">
        <v>230.57</v>
      </c>
      <c r="H605" s="190" t="n">
        <v>268.03</v>
      </c>
      <c r="I605" s="190" t="n">
        <v>286.57</v>
      </c>
      <c r="J605" s="190" t="n">
        <v>287.22</v>
      </c>
      <c r="K605" s="190" t="n">
        <v>303.21</v>
      </c>
      <c r="L605" s="190" t="n">
        <v>379.77</v>
      </c>
      <c r="M605" s="190" t="n">
        <v>375.92</v>
      </c>
      <c r="N605" s="190" t="n">
        <v>434.92</v>
      </c>
      <c r="O605" s="190" t="n">
        <v>475.74</v>
      </c>
      <c r="P605" s="205" t="n">
        <f aca="false">611.47-781.54</f>
        <v>-170.07</v>
      </c>
      <c r="Q605" s="190" t="n">
        <v>670.76</v>
      </c>
      <c r="R605" s="190" t="n">
        <v>690.458</v>
      </c>
      <c r="S605" s="190" t="n">
        <v>764.973</v>
      </c>
      <c r="T605" s="190" t="n">
        <v>1181.808</v>
      </c>
      <c r="U605" s="190" t="n">
        <v>1440.987</v>
      </c>
      <c r="V605" s="190" t="n">
        <v>1526.022</v>
      </c>
      <c r="W605" s="190" t="n">
        <v>1436.755</v>
      </c>
      <c r="X605" s="190" t="n">
        <v>1635.214</v>
      </c>
      <c r="Y605" s="190" t="n">
        <v>1996.237</v>
      </c>
      <c r="Z605" s="190" t="n">
        <v>2471.563</v>
      </c>
      <c r="AA605" s="205" t="n">
        <f aca="false">528.037+1812.566</f>
        <v>2340.603</v>
      </c>
      <c r="AB605" s="205" t="n">
        <f aca="false">2107.5+24.3</f>
        <v>2131.8</v>
      </c>
      <c r="AC605" s="58" t="n">
        <f aca="false">1600+160.6</f>
        <v>1760.6</v>
      </c>
    </row>
    <row r="606" customFormat="false" ht="12" hidden="false" customHeight="true" outlineLevel="0" collapsed="false">
      <c r="A606" s="69" t="s">
        <v>542</v>
      </c>
      <c r="B606" s="41"/>
      <c r="C606" s="41"/>
      <c r="D606" s="41"/>
      <c r="E606" s="41"/>
      <c r="F606" s="41"/>
      <c r="G606" s="41"/>
      <c r="H606" s="41"/>
      <c r="I606" s="41"/>
      <c r="J606" s="41"/>
      <c r="K606" s="41"/>
      <c r="L606" s="41"/>
      <c r="M606" s="41"/>
      <c r="N606" s="41"/>
      <c r="O606" s="41"/>
      <c r="P606" s="41"/>
      <c r="Q606" s="41"/>
      <c r="R606" s="41"/>
      <c r="S606" s="41"/>
      <c r="T606" s="41"/>
      <c r="U606" s="41"/>
      <c r="V606" s="41"/>
      <c r="W606" s="190" t="n">
        <v>46.382</v>
      </c>
      <c r="X606" s="190" t="n">
        <v>20.281</v>
      </c>
      <c r="Y606" s="190" t="n">
        <v>10.312</v>
      </c>
      <c r="Z606" s="190" t="n">
        <v>232.401</v>
      </c>
      <c r="AA606" s="190" t="n">
        <v>289.688</v>
      </c>
      <c r="AB606" s="190" t="n">
        <v>573</v>
      </c>
      <c r="AC606" s="190" t="n">
        <v>714.1</v>
      </c>
    </row>
    <row r="607" customFormat="false" ht="12.75" hidden="false" customHeight="true" outlineLevel="0" collapsed="false">
      <c r="A607" s="59" t="s">
        <v>543</v>
      </c>
      <c r="B607" s="67" t="n">
        <f aca="false">SUM(B603:B605)</f>
        <v>718.28</v>
      </c>
      <c r="C607" s="67" t="n">
        <f aca="false">SUM(C603:C605)</f>
        <v>934.41</v>
      </c>
      <c r="D607" s="67" t="n">
        <f aca="false">SUM(D603:D605)</f>
        <v>1138.95</v>
      </c>
      <c r="E607" s="67" t="n">
        <f aca="false">SUM(E603:E605)</f>
        <v>1571.62</v>
      </c>
      <c r="F607" s="67" t="n">
        <f aca="false">SUM(F603:F605)</f>
        <v>1864.34</v>
      </c>
      <c r="G607" s="67" t="n">
        <f aca="false">SUM(G603:G605)</f>
        <v>1846.74</v>
      </c>
      <c r="H607" s="67" t="n">
        <f aca="false">SUM(H603:H605)</f>
        <v>2083.88</v>
      </c>
      <c r="I607" s="67" t="n">
        <f aca="false">SUM(I603:I605)</f>
        <v>2286.04</v>
      </c>
      <c r="J607" s="67" t="n">
        <f aca="false">SUM(J603:J605)</f>
        <v>2502.22</v>
      </c>
      <c r="K607" s="67" t="n">
        <f aca="false">SUM(K603:K605)</f>
        <v>2570.68</v>
      </c>
      <c r="L607" s="67" t="n">
        <f aca="false">SUM(L603:L605)</f>
        <v>2906.46</v>
      </c>
      <c r="M607" s="67" t="n">
        <f aca="false">SUM(M603:M605)</f>
        <v>3097.42</v>
      </c>
      <c r="N607" s="67" t="n">
        <f aca="false">SUM(N603:N605)</f>
        <v>3540.45</v>
      </c>
      <c r="O607" s="67" t="n">
        <f aca="false">SUM(O603:O605)</f>
        <v>4038.87</v>
      </c>
      <c r="P607" s="67" t="n">
        <f aca="false">SUM(P603:P605)</f>
        <v>4806.95</v>
      </c>
      <c r="Q607" s="67" t="n">
        <f aca="false">SUM(Q603:Q605)</f>
        <v>6161.72</v>
      </c>
      <c r="R607" s="67" t="n">
        <f aca="false">SUM(R603:R605)</f>
        <v>5662.611</v>
      </c>
      <c r="S607" s="67" t="n">
        <f aca="false">SUM(S603:S605)</f>
        <v>6716.148</v>
      </c>
      <c r="T607" s="67" t="n">
        <f aca="false">SUM(T603:T605)</f>
        <v>9246.001</v>
      </c>
      <c r="U607" s="67" t="n">
        <f aca="false">SUM(U603:U605)</f>
        <v>10361.927</v>
      </c>
      <c r="V607" s="67" t="n">
        <f aca="false">SUM(V603:V605)</f>
        <v>10867.378</v>
      </c>
      <c r="W607" s="67" t="n">
        <f aca="false">SUM(W603:W605)-W606</f>
        <v>9996.723</v>
      </c>
      <c r="X607" s="67" t="n">
        <f aca="false">+X603+X604+X605-X606</f>
        <v>11840.038</v>
      </c>
      <c r="Y607" s="67" t="n">
        <f aca="false">+Y603+Y604+Y605-Y606</f>
        <v>13850.628</v>
      </c>
      <c r="Z607" s="67" t="n">
        <f aca="false">+Z603+Z604+Z605-Z606</f>
        <v>15309.35</v>
      </c>
      <c r="AA607" s="67" t="n">
        <f aca="false">+AA603+AA604+AA605-AA606</f>
        <v>18119.224</v>
      </c>
      <c r="AB607" s="67" t="n">
        <f aca="false">+AB603+AB604+AB605-AB606</f>
        <v>20987.7</v>
      </c>
      <c r="AC607" s="67" t="n">
        <f aca="false">+AC603+AC604+AC605-AC606</f>
        <v>16150.6</v>
      </c>
      <c r="AD607" s="303" t="n">
        <v>15838.9</v>
      </c>
      <c r="AE607" s="303" t="n">
        <v>16946</v>
      </c>
      <c r="AF607" s="303" t="n">
        <v>21138.6</v>
      </c>
      <c r="AG607" s="303" t="n">
        <v>22333.8</v>
      </c>
      <c r="AH607" s="303" t="n">
        <v>24062.7</v>
      </c>
      <c r="AI607" s="303" t="n">
        <v>26066.9</v>
      </c>
      <c r="AJ607" s="304" t="n">
        <f aca="false">AI607*(1+AJ608/100)</f>
        <v>28673.59</v>
      </c>
      <c r="AK607" s="304" t="n">
        <f aca="false">AJ607*(1+AK608/100)</f>
        <v>30967.4772</v>
      </c>
      <c r="AL607" s="304" t="n">
        <f aca="false">AK607*(1+AL608/100)</f>
        <v>33444.875376</v>
      </c>
      <c r="AM607" s="305"/>
      <c r="AN607" s="305"/>
      <c r="AO607" s="305"/>
    </row>
    <row r="608" customFormat="false" ht="12.75" hidden="false" customHeight="true" outlineLevel="0" collapsed="false">
      <c r="A608" s="69" t="s">
        <v>526</v>
      </c>
      <c r="C608" s="81" t="n">
        <f aca="false">+C607/B607*100-100</f>
        <v>30.089937071894</v>
      </c>
      <c r="D608" s="81" t="n">
        <f aca="false">+D607/C607*100-100</f>
        <v>21.8897486114233</v>
      </c>
      <c r="E608" s="81" t="n">
        <f aca="false">+E607/D607*100-100</f>
        <v>37.9884981781465</v>
      </c>
      <c r="F608" s="81" t="n">
        <f aca="false">+F607/E607*100-100</f>
        <v>18.6253674552373</v>
      </c>
      <c r="G608" s="81" t="n">
        <f aca="false">+G607/F607*100-100</f>
        <v>-0.944033813574777</v>
      </c>
      <c r="H608" s="81" t="n">
        <f aca="false">+H607/G607*100-100</f>
        <v>12.8410063138287</v>
      </c>
      <c r="I608" s="81" t="n">
        <f aca="false">+I607/H607*100-100</f>
        <v>9.70113442232758</v>
      </c>
      <c r="J608" s="81" t="n">
        <f aca="false">+J607/I607*100-100</f>
        <v>9.45652744483911</v>
      </c>
      <c r="K608" s="81" t="n">
        <f aca="false">+K607/J607*100-100</f>
        <v>2.73597045823306</v>
      </c>
      <c r="L608" s="81" t="n">
        <f aca="false">+L607/K607*100-100</f>
        <v>13.0619135792864</v>
      </c>
      <c r="M608" s="81" t="n">
        <f aca="false">+M607/L607*100-100</f>
        <v>6.57019191731523</v>
      </c>
      <c r="N608" s="81" t="n">
        <f aca="false">+N607/M607*100-100</f>
        <v>14.3031942713613</v>
      </c>
      <c r="O608" s="81" t="n">
        <f aca="false">+O607/N607*100-100</f>
        <v>14.0778714570181</v>
      </c>
      <c r="P608" s="81" t="n">
        <f aca="false">+P607/O607*100-100</f>
        <v>19.017200355545</v>
      </c>
      <c r="Q608" s="81" t="n">
        <f aca="false">+Q607/P607*100-100</f>
        <v>28.1835675428286</v>
      </c>
      <c r="R608" s="81" t="n">
        <f aca="false">+R607/Q607*100-100</f>
        <v>-8.10015709899184</v>
      </c>
      <c r="S608" s="81" t="n">
        <f aca="false">+S607/R607*100-100</f>
        <v>18.6051452236433</v>
      </c>
      <c r="T608" s="81" t="n">
        <f aca="false">+T607/S607*100-100</f>
        <v>37.6682139821814</v>
      </c>
      <c r="U608" s="81" t="n">
        <f aca="false">+U607/T607*100-100</f>
        <v>12.0692827093573</v>
      </c>
      <c r="V608" s="81" t="n">
        <f aca="false">+V607/U607*100-100</f>
        <v>4.87796333635626</v>
      </c>
      <c r="W608" s="81" t="n">
        <f aca="false">+W607/V607*100-100</f>
        <v>-8.01163813387184</v>
      </c>
      <c r="X608" s="81" t="n">
        <f aca="false">+X607/W607*100-100</f>
        <v>18.4391925233899</v>
      </c>
      <c r="Y608" s="81" t="n">
        <f aca="false">+Y607/X607*100-100</f>
        <v>16.9812799587299</v>
      </c>
      <c r="Z608" s="81" t="n">
        <f aca="false">+Z607/Y607*100-100</f>
        <v>10.5318112651643</v>
      </c>
      <c r="AA608" s="81" t="n">
        <f aca="false">+AA607/Z607*100-100</f>
        <v>18.3539732255125</v>
      </c>
      <c r="AB608" s="81" t="n">
        <f aca="false">+AB607/AA607*100-100</f>
        <v>15.8311194784059</v>
      </c>
      <c r="AC608" s="81" t="n">
        <f aca="false">+AC607/AB607*100-100</f>
        <v>-23.04730866174</v>
      </c>
      <c r="AD608" s="81" t="n">
        <f aca="false">+AD607/AC607*100-100</f>
        <v>-1.92995925847956</v>
      </c>
      <c r="AE608" s="81" t="n">
        <f aca="false">+AE607/AD607*100-100</f>
        <v>6.98975307628686</v>
      </c>
      <c r="AF608" s="81" t="n">
        <f aca="false">+AF607/AE607*100-100</f>
        <v>24.7409418151776</v>
      </c>
      <c r="AG608" s="81" t="n">
        <f aca="false">+AG607/AF607*100-100</f>
        <v>5.65411143595129</v>
      </c>
      <c r="AH608" s="81" t="n">
        <f aca="false">+AH607/AG607*100-100</f>
        <v>7.74118152755017</v>
      </c>
      <c r="AI608" s="81" t="n">
        <f aca="false">+AI607/AH607*100-100</f>
        <v>8.32907362847894</v>
      </c>
      <c r="AJ608" s="164" t="n">
        <v>10</v>
      </c>
      <c r="AK608" s="164" t="n">
        <v>8</v>
      </c>
      <c r="AL608" s="164" t="n">
        <v>8</v>
      </c>
      <c r="AM608" s="296"/>
      <c r="AN608" s="296"/>
      <c r="AO608" s="296"/>
    </row>
    <row r="609" customFormat="false" ht="12.75" hidden="false" customHeight="true" outlineLevel="0" collapsed="false">
      <c r="A609" s="59" t="s">
        <v>219</v>
      </c>
      <c r="B609" s="165" t="n">
        <f aca="false">+B607/B655*100</f>
        <v>7.5256931573273</v>
      </c>
      <c r="C609" s="165" t="n">
        <f aca="false">+C607/C655*100</f>
        <v>7.91005456727961</v>
      </c>
      <c r="D609" s="165" t="n">
        <f aca="false">+D607/D655*100</f>
        <v>7.52630688591495</v>
      </c>
      <c r="E609" s="165" t="n">
        <f aca="false">+E607/E655*100</f>
        <v>7.8201643825801</v>
      </c>
      <c r="F609" s="165" t="n">
        <f aca="false">+F607/F655*100</f>
        <v>7.51007774171575</v>
      </c>
      <c r="G609" s="165" t="n">
        <f aca="false">+G607/G655*100</f>
        <v>9.16823805781008</v>
      </c>
      <c r="H609" s="165" t="n">
        <f aca="false">+H607/H655*100</f>
        <v>10.1898838816974</v>
      </c>
      <c r="I609" s="165" t="n">
        <f aca="false">+I607/I655*100</f>
        <v>8.79679903706366</v>
      </c>
      <c r="J609" s="165" t="n">
        <f aca="false">+J607/J655*100</f>
        <v>9.59932296579957</v>
      </c>
      <c r="K609" s="165" t="n">
        <f aca="false">+K607/K655*100</f>
        <v>9.77278395163105</v>
      </c>
      <c r="L609" s="165" t="n">
        <f aca="false">+L607/L655*100</f>
        <v>9.45499260733996</v>
      </c>
      <c r="M609" s="165" t="n">
        <f aca="false">+M607/M655*100</f>
        <v>7.88694852636932</v>
      </c>
      <c r="N609" s="165" t="n">
        <f aca="false">+N607/N655*100</f>
        <v>7.35864162607804</v>
      </c>
      <c r="O609" s="165" t="n">
        <f aca="false">+O607/O655*100</f>
        <v>6.67239044801447</v>
      </c>
      <c r="P609" s="165" t="n">
        <f aca="false">+P607/P655*100</f>
        <v>5.78821650394589</v>
      </c>
      <c r="Q609" s="165" t="n">
        <f aca="false">+Q607/Q655*100</f>
        <v>6.89717238901283</v>
      </c>
      <c r="R609" s="165" t="n">
        <f aca="false">+R607/R655*100</f>
        <v>8.49395034839214</v>
      </c>
      <c r="S609" s="165" t="n">
        <f aca="false">+S607/S655*100</f>
        <v>8.53104465878059</v>
      </c>
      <c r="T609" s="165" t="n">
        <f aca="false">+T607/T655*100</f>
        <v>7.64536267211863</v>
      </c>
      <c r="U609" s="165" t="n">
        <f aca="false">+U607/U655*100</f>
        <v>7.59287324759985</v>
      </c>
      <c r="V609" s="165" t="n">
        <f aca="false">+V607/V655*100</f>
        <v>8.17184634945671</v>
      </c>
      <c r="W609" s="165" t="n">
        <f aca="false">+W607/W655*100</f>
        <v>9.46583603492421</v>
      </c>
      <c r="X609" s="165" t="n">
        <f aca="false">+X607/X655*100</f>
        <v>8.17347256219283</v>
      </c>
      <c r="Y609" s="165" t="n">
        <f aca="false">+Y607/Y655*100</f>
        <v>6.92774764847143</v>
      </c>
      <c r="Z609" s="165" t="n">
        <f aca="false">+Z607/Z655*100</f>
        <v>7.1768176827757</v>
      </c>
      <c r="AA609" s="165" t="n">
        <f aca="false">+AA607/AA655*100</f>
        <v>6.83112438348018</v>
      </c>
      <c r="AB609" s="165" t="n">
        <f aca="false">+AB607/AB655*100</f>
        <v>7.22345073730982</v>
      </c>
      <c r="AC609" s="165" t="n">
        <f aca="false">+AC607/AC655*100</f>
        <v>9.24610146747068</v>
      </c>
      <c r="AD609" s="165" t="n">
        <f aca="false">+AD607/AD655*100</f>
        <v>10.3512412222371</v>
      </c>
      <c r="AE609" s="165" t="n">
        <f aca="false">+AE607/AE655*100</f>
        <v>7.81343296313356</v>
      </c>
      <c r="AF609" s="165" t="n">
        <f aca="false">+AF607/AF655*100</f>
        <v>5.84841692180254</v>
      </c>
      <c r="AG609" s="165" t="n">
        <f aca="false">+AG607/AG655*100</f>
        <v>5.82109170295433</v>
      </c>
      <c r="AH609" s="165" t="n">
        <f aca="false">+AH607/AH655*100</f>
        <v>6.2092899753669</v>
      </c>
      <c r="AI609" s="165" t="n">
        <f aca="false">+AI607/AI655*100</f>
        <v>5.92334906491076</v>
      </c>
      <c r="AJ609" s="165" t="n">
        <f aca="false">+AJ607/AJ655*100</f>
        <v>5.97591193856123</v>
      </c>
      <c r="AK609" s="165" t="n">
        <f aca="false">+AK607/AK655*100</f>
        <v>5.97464723807345</v>
      </c>
      <c r="AL609" s="165" t="n">
        <f aca="false">+AL607/AL655*100</f>
        <v>6.0021415746264</v>
      </c>
      <c r="AM609" s="157"/>
      <c r="AN609" s="157"/>
      <c r="AO609" s="157"/>
    </row>
    <row r="610" customFormat="false" ht="12.75" hidden="false" customHeight="true" outlineLevel="0" collapsed="false">
      <c r="A610" s="289"/>
      <c r="B610" s="300"/>
      <c r="C610" s="300"/>
      <c r="D610" s="300"/>
      <c r="E610" s="300"/>
      <c r="F610" s="300"/>
      <c r="G610" s="300"/>
      <c r="H610" s="300"/>
      <c r="I610" s="300"/>
      <c r="J610" s="300"/>
      <c r="K610" s="300"/>
      <c r="L610" s="300"/>
      <c r="R610" s="75"/>
      <c r="S610" s="75"/>
      <c r="Y610" s="74"/>
      <c r="AF610" s="284" t="n">
        <f aca="false">3179.3+4503.5</f>
        <v>7682.8</v>
      </c>
      <c r="AG610" s="163"/>
    </row>
    <row r="611" customFormat="false" ht="12.75" hidden="false" customHeight="true" outlineLevel="0" collapsed="false">
      <c r="A611" s="59" t="s">
        <v>544</v>
      </c>
      <c r="B611" s="208" t="n">
        <v>390.39</v>
      </c>
      <c r="C611" s="208" t="n">
        <v>480.83</v>
      </c>
      <c r="D611" s="208" t="n">
        <v>517.15</v>
      </c>
      <c r="E611" s="208" t="n">
        <v>748.38</v>
      </c>
      <c r="F611" s="208" t="n">
        <v>851.79</v>
      </c>
      <c r="G611" s="208" t="n">
        <v>723.65</v>
      </c>
      <c r="H611" s="208" t="n">
        <v>647.32</v>
      </c>
      <c r="I611" s="208" t="n">
        <v>769.7</v>
      </c>
      <c r="J611" s="208" t="n">
        <v>795.39</v>
      </c>
      <c r="K611" s="208" t="n">
        <v>899.85</v>
      </c>
      <c r="L611" s="208" t="n">
        <v>1214.16</v>
      </c>
      <c r="M611" s="208" t="n">
        <v>1379.78</v>
      </c>
      <c r="N611" s="208" t="n">
        <v>1793.08</v>
      </c>
      <c r="O611" s="208" t="n">
        <v>2452.09</v>
      </c>
      <c r="P611" s="208" t="n">
        <v>3250.43</v>
      </c>
      <c r="Q611" s="208" t="n">
        <v>3315.36</v>
      </c>
      <c r="R611" s="208" t="n">
        <v>3142.64</v>
      </c>
      <c r="S611" s="208" t="n">
        <v>4101.099</v>
      </c>
      <c r="T611" s="208" t="n">
        <v>5142.932</v>
      </c>
      <c r="U611" s="209" t="n">
        <f aca="false">3383.694+1648.215+2322.123</f>
        <v>7354.032</v>
      </c>
      <c r="V611" s="209" t="n">
        <f aca="false">3537.017+2136.883+3036.132</f>
        <v>8710.032</v>
      </c>
      <c r="W611" s="209" t="n">
        <f aca="false">2655.4+1333.694+3082.398</f>
        <v>7071.492</v>
      </c>
      <c r="X611" s="209" t="n">
        <f aca="false">3064.718+1716.446+4037.269</f>
        <v>8818.433</v>
      </c>
      <c r="Y611" s="209" t="n">
        <f aca="false">4176.403+7179.787+2792.703</f>
        <v>14148.893</v>
      </c>
      <c r="Z611" s="209" t="n">
        <f aca="false">5932.003+6996.963+2739.89</f>
        <v>15668.856</v>
      </c>
      <c r="AA611" s="209" t="n">
        <f aca="false">9388.582+7710.879+4768.822</f>
        <v>21868.283</v>
      </c>
      <c r="AB611" s="209" t="n">
        <f aca="false">5391.9+7387.3+9774.7</f>
        <v>22553.9</v>
      </c>
      <c r="AC611" s="209" t="n">
        <f aca="false">4359.4+5789.7+5776.3</f>
        <v>15925.4</v>
      </c>
      <c r="AD611" s="209" t="n">
        <f aca="false">2747.3+4236.1+4314.2</f>
        <v>11297.6</v>
      </c>
      <c r="AE611" s="209" t="n">
        <f aca="false">3887.3+5454.4+5301.4</f>
        <v>14643.1</v>
      </c>
      <c r="AF611" s="209" t="n">
        <f aca="false">7668+7951.9+7682.8</f>
        <v>23302.7</v>
      </c>
      <c r="AG611" s="209" t="n">
        <f aca="false">10109.7+7860.1+4627.6+3738.8</f>
        <v>26336.2</v>
      </c>
      <c r="AH611" s="209" t="n">
        <f aca="false">9134.4+8874.4+3883.9+5826.3</f>
        <v>27719</v>
      </c>
      <c r="AI611" s="67" t="n">
        <f aca="false">AH611*(1+AI612/100)</f>
        <v>30490.9</v>
      </c>
      <c r="AJ611" s="67" t="n">
        <f aca="false">AI611*(1+AJ612/100)</f>
        <v>32320.354</v>
      </c>
      <c r="AK611" s="67" t="n">
        <f aca="false">AJ611*(1+AK612/100)</f>
        <v>34259.57524</v>
      </c>
      <c r="AL611" s="67" t="n">
        <f aca="false">AK611*(1+AL612/100)</f>
        <v>36315.1497544</v>
      </c>
      <c r="AM611" s="157"/>
      <c r="AN611" s="157"/>
      <c r="AO611" s="157"/>
    </row>
    <row r="612" customFormat="false" ht="12.75" hidden="false" customHeight="true" outlineLevel="0" collapsed="false">
      <c r="A612" s="69" t="s">
        <v>526</v>
      </c>
      <c r="C612" s="81" t="n">
        <f aca="false">+C611/B611*100-100</f>
        <v>23.1665770127309</v>
      </c>
      <c r="D612" s="81" t="n">
        <f aca="false">+D611/C611*100-100</f>
        <v>7.55360522429965</v>
      </c>
      <c r="E612" s="81" t="n">
        <f aca="false">+E611/D611*100-100</f>
        <v>44.7123658513004</v>
      </c>
      <c r="F612" s="81" t="n">
        <f aca="false">+F611/E611*100-100</f>
        <v>13.8178465485449</v>
      </c>
      <c r="G612" s="81" t="n">
        <f aca="false">+G611/F611*100-100</f>
        <v>-15.0436140363235</v>
      </c>
      <c r="H612" s="81" t="n">
        <f aca="false">+H611/G611*100-100</f>
        <v>-10.5479168106129</v>
      </c>
      <c r="I612" s="81" t="n">
        <f aca="false">+I611/H611*100-100</f>
        <v>18.9056417227955</v>
      </c>
      <c r="J612" s="81" t="n">
        <f aca="false">+J611/I611*100-100</f>
        <v>3.33766402494477</v>
      </c>
      <c r="K612" s="81" t="n">
        <f aca="false">+K611/J611*100-100</f>
        <v>13.1331799494588</v>
      </c>
      <c r="L612" s="81" t="n">
        <f aca="false">+L611/K611*100-100</f>
        <v>34.9291548591432</v>
      </c>
      <c r="M612" s="81" t="n">
        <f aca="false">+M611/L611*100-100</f>
        <v>13.6407063319496</v>
      </c>
      <c r="N612" s="81" t="n">
        <f aca="false">+N611/M611*100-100</f>
        <v>29.9540506457551</v>
      </c>
      <c r="O612" s="81" t="n">
        <f aca="false">+O611/N611*100-100</f>
        <v>36.7529613848797</v>
      </c>
      <c r="P612" s="81" t="n">
        <f aca="false">+P611/O611*100-100</f>
        <v>32.5575325538622</v>
      </c>
      <c r="Q612" s="81" t="n">
        <f aca="false">+Q611/P611*100-100</f>
        <v>1.99758185840028</v>
      </c>
      <c r="R612" s="81" t="n">
        <f aca="false">+R611/Q611*100-100</f>
        <v>-5.20969065199557</v>
      </c>
      <c r="S612" s="81" t="n">
        <f aca="false">+S611/R611*100-100</f>
        <v>30.4985298984294</v>
      </c>
      <c r="T612" s="81" t="n">
        <f aca="false">+T611/S611*100-100</f>
        <v>25.4037515309921</v>
      </c>
      <c r="U612" s="81" t="n">
        <f aca="false">+U611/T611*100-100</f>
        <v>42.9929853243247</v>
      </c>
      <c r="V612" s="81" t="n">
        <f aca="false">+V611/U611*100-100</f>
        <v>18.4388645575652</v>
      </c>
      <c r="W612" s="81" t="n">
        <f aca="false">+W611/V611*100-100</f>
        <v>-18.8121008051405</v>
      </c>
      <c r="X612" s="81" t="n">
        <f aca="false">+X611/W611*100-100</f>
        <v>24.7039945742709</v>
      </c>
      <c r="Y612" s="81" t="n">
        <f aca="false">+Y611/X611*100-100</f>
        <v>60.4467936650423</v>
      </c>
      <c r="Z612" s="81" t="n">
        <f aca="false">+Z611/Y611*100-100</f>
        <v>10.7426284162301</v>
      </c>
      <c r="AA612" s="81" t="n">
        <f aca="false">+AA611/Z611*100-100</f>
        <v>39.5652816006478</v>
      </c>
      <c r="AB612" s="81" t="n">
        <f aca="false">+AB611/AA611*100-100</f>
        <v>3.13521184996554</v>
      </c>
      <c r="AC612" s="81" t="n">
        <f aca="false">+AC611/AB611*100-100</f>
        <v>-29.3895955910064</v>
      </c>
      <c r="AD612" s="81" t="n">
        <f aca="false">+AD611/AC611*100-100</f>
        <v>-29.0592387004408</v>
      </c>
      <c r="AE612" s="81" t="n">
        <f aca="false">+AE611/AD611*100-100</f>
        <v>29.6124840674125</v>
      </c>
      <c r="AF612" s="81" t="n">
        <f aca="false">+AF611/AE611*100-100</f>
        <v>59.1377508860829</v>
      </c>
      <c r="AG612" s="81" t="n">
        <f aca="false">+AG611/AF611*100-100</f>
        <v>13.0178048037352</v>
      </c>
      <c r="AH612" s="81" t="n">
        <f aca="false">+AH611/AG611*100-100</f>
        <v>5.25056765972312</v>
      </c>
      <c r="AI612" s="164" t="n">
        <v>10</v>
      </c>
      <c r="AJ612" s="164" t="n">
        <v>6</v>
      </c>
      <c r="AK612" s="164" t="n">
        <v>6</v>
      </c>
      <c r="AL612" s="164" t="n">
        <v>6</v>
      </c>
      <c r="AM612" s="296"/>
      <c r="AN612" s="296"/>
      <c r="AO612" s="296"/>
    </row>
    <row r="613" customFormat="false" ht="12" hidden="false" customHeight="true" outlineLevel="0" collapsed="false">
      <c r="A613" s="69" t="s">
        <v>219</v>
      </c>
      <c r="B613" s="81" t="n">
        <f aca="false">+B611/B655*100</f>
        <v>4.09026473198336</v>
      </c>
      <c r="C613" s="81" t="n">
        <f aca="false">+C611/C655*100</f>
        <v>4.07036690273548</v>
      </c>
      <c r="D613" s="81" t="n">
        <f aca="false">+D611/D655*100</f>
        <v>3.41738408714247</v>
      </c>
      <c r="E613" s="81" t="n">
        <f aca="false">+E611/E655*100</f>
        <v>3.72383567314955</v>
      </c>
      <c r="F613" s="81" t="n">
        <f aca="false">+F611/F655*100</f>
        <v>3.43124597424078</v>
      </c>
      <c r="G613" s="81" t="n">
        <f aca="false">+G611/G655*100</f>
        <v>3.59259856316226</v>
      </c>
      <c r="H613" s="81" t="n">
        <f aca="false">+H611/H655*100</f>
        <v>3.16530492845095</v>
      </c>
      <c r="I613" s="81" t="n">
        <f aca="false">+I611/I655*100</f>
        <v>2.96184503282003</v>
      </c>
      <c r="J613" s="81" t="n">
        <f aca="false">+J611/J655*100</f>
        <v>3.05137257865708</v>
      </c>
      <c r="K613" s="81" t="n">
        <f aca="false">+K611/K655*100</f>
        <v>3.42090016605536</v>
      </c>
      <c r="L613" s="81" t="n">
        <f aca="false">+L611/L655*100</f>
        <v>3.94977870816316</v>
      </c>
      <c r="M613" s="81" t="n">
        <f aca="false">+M611/M655*100</f>
        <v>3.51332845972256</v>
      </c>
      <c r="N613" s="81" t="n">
        <f aca="false">+N611/N655*100</f>
        <v>3.72682374469008</v>
      </c>
      <c r="O613" s="81" t="n">
        <f aca="false">+O611/O655*100</f>
        <v>4.05096026702316</v>
      </c>
      <c r="P613" s="81" t="n">
        <f aca="false">+P611/P655*100</f>
        <v>3.913956369615</v>
      </c>
      <c r="Q613" s="81" t="n">
        <f aca="false">+Q611/Q655*100</f>
        <v>3.71107571451438</v>
      </c>
      <c r="R613" s="81" t="n">
        <f aca="false">+R611/R655*100</f>
        <v>4.71397878520546</v>
      </c>
      <c r="S613" s="81" t="n">
        <f aca="false">+S611/S655*100</f>
        <v>5.20933408839121</v>
      </c>
      <c r="T613" s="81" t="n">
        <f aca="false">+T611/T655*100</f>
        <v>4.25260394607835</v>
      </c>
      <c r="U613" s="81" t="n">
        <f aca="false">+U611/U655*100</f>
        <v>5.38878847870605</v>
      </c>
      <c r="V613" s="81" t="n">
        <f aca="false">+V611/V655*100</f>
        <v>6.54960591256245</v>
      </c>
      <c r="W613" s="81" t="n">
        <f aca="false">+W611/W655*100</f>
        <v>6.69595264310898</v>
      </c>
      <c r="X613" s="81" t="n">
        <f aca="false">+X611/X655*100</f>
        <v>6.08758351679579</v>
      </c>
      <c r="Y613" s="81" t="n">
        <f aca="false">+Y611/Y655*100</f>
        <v>7.07693255563747</v>
      </c>
      <c r="Z613" s="81" t="n">
        <f aca="false">+Z611/Z655*100</f>
        <v>7.34534926758263</v>
      </c>
      <c r="AA613" s="81" t="n">
        <f aca="false">+AA611/AA655*100</f>
        <v>8.24455623630156</v>
      </c>
      <c r="AB613" s="81" t="n">
        <f aca="false">+AB611/AB655*100</f>
        <v>7.7624983006338</v>
      </c>
      <c r="AC613" s="81" t="n">
        <f aca="false">+AC611/AC655*100</f>
        <v>9.11717609934352</v>
      </c>
      <c r="AD613" s="81" t="n">
        <f aca="false">+AD611/AD655*100</f>
        <v>7.3833525580909</v>
      </c>
      <c r="AE613" s="81" t="n">
        <f aca="false">+AE611/AE655*100</f>
        <v>6.75161573365166</v>
      </c>
      <c r="AF613" s="81" t="n">
        <f aca="false">+AF611/AF655*100</f>
        <v>6.4471585158756</v>
      </c>
      <c r="AG613" s="81" t="n">
        <f aca="false">+AG611/AG655*100</f>
        <v>6.86427904375189</v>
      </c>
      <c r="AH613" s="81" t="n">
        <f aca="false">+AH611/AH655*100</f>
        <v>7.15278455149236</v>
      </c>
      <c r="AI613" s="81" t="n">
        <f aca="false">+AI611/AI655*100</f>
        <v>6.9286429918129</v>
      </c>
      <c r="AJ613" s="81" t="n">
        <f aca="false">+AJ611/AJ655*100</f>
        <v>6.7359402616528</v>
      </c>
      <c r="AK613" s="81" t="n">
        <f aca="false">+AK611/AK655*100</f>
        <v>6.60980147860528</v>
      </c>
      <c r="AL613" s="81" t="n">
        <f aca="false">+AL611/AL655*100</f>
        <v>6.51725167695144</v>
      </c>
      <c r="AM613" s="75"/>
      <c r="AN613" s="75"/>
      <c r="AO613" s="75"/>
    </row>
    <row r="614" customFormat="false" ht="12.75" hidden="false" customHeight="true" outlineLevel="0" collapsed="false">
      <c r="A614" s="289"/>
      <c r="B614" s="300"/>
      <c r="C614" s="300"/>
      <c r="D614" s="300"/>
      <c r="E614" s="300"/>
      <c r="F614" s="300"/>
      <c r="G614" s="300"/>
    </row>
    <row r="615" customFormat="false" ht="12.75" hidden="false" customHeight="true" outlineLevel="0" collapsed="false">
      <c r="A615" s="73" t="s">
        <v>545</v>
      </c>
      <c r="B615" s="209" t="n">
        <f aca="false">34.59+80.45</f>
        <v>115.04</v>
      </c>
      <c r="C615" s="209" t="n">
        <f aca="false">39.1+103.28</f>
        <v>142.38</v>
      </c>
      <c r="D615" s="209" t="n">
        <f aca="false">40.32+156.75</f>
        <v>197.07</v>
      </c>
      <c r="E615" s="209" t="n">
        <f aca="false">51.6+173.22</f>
        <v>224.82</v>
      </c>
      <c r="F615" s="209" t="n">
        <f aca="false">52.12+191.24</f>
        <v>243.36</v>
      </c>
      <c r="G615" s="209" t="n">
        <f aca="false">52.81+160.41</f>
        <v>213.22</v>
      </c>
      <c r="H615" s="209" t="n">
        <f aca="false">73.31+132.12</f>
        <v>205.43</v>
      </c>
      <c r="I615" s="209" t="n">
        <f aca="false">74.51+156.35</f>
        <v>230.86</v>
      </c>
      <c r="J615" s="209" t="n">
        <f aca="false">78.95+136.85</f>
        <v>215.8</v>
      </c>
      <c r="K615" s="209" t="n">
        <f aca="false">85.02+118.11</f>
        <v>203.13</v>
      </c>
      <c r="L615" s="209" t="n">
        <f aca="false">163.11+98.56</f>
        <v>261.67</v>
      </c>
      <c r="M615" s="209" t="n">
        <f aca="false">222.92+101.8</f>
        <v>324.72</v>
      </c>
      <c r="N615" s="209" t="n">
        <f aca="false">275.98+118.12</f>
        <v>394.1</v>
      </c>
      <c r="O615" s="209" t="n">
        <f aca="false">119.4+306.92</f>
        <v>426.32</v>
      </c>
      <c r="P615" s="209" t="n">
        <f aca="false">112.56+275.95</f>
        <v>388.51</v>
      </c>
      <c r="Q615" s="209" t="n">
        <f aca="false">130.47+11.63</f>
        <v>142.1</v>
      </c>
      <c r="R615" s="209" t="n">
        <f aca="false">177.136+42.952</f>
        <v>220.088</v>
      </c>
      <c r="S615" s="209" t="n">
        <f aca="false">155.754+55.705</f>
        <v>211.459</v>
      </c>
      <c r="T615" s="209" t="n">
        <f aca="false">170.15+52.702</f>
        <v>222.852</v>
      </c>
      <c r="U615" s="209" t="n">
        <f aca="false">137.798+68.006</f>
        <v>205.804</v>
      </c>
      <c r="V615" s="209" t="n">
        <f aca="false">299.448+97.449</f>
        <v>396.897</v>
      </c>
      <c r="W615" s="209" t="n">
        <f aca="false">282.009+75.171</f>
        <v>357.18</v>
      </c>
      <c r="X615" s="209" t="n">
        <f aca="false">197.85+267.45</f>
        <v>465.3</v>
      </c>
      <c r="Y615" s="209" t="n">
        <f aca="false">214.428+544.674</f>
        <v>759.102</v>
      </c>
      <c r="Z615" s="209" t="n">
        <f aca="false">213.784+524.906</f>
        <v>738.69</v>
      </c>
      <c r="AA615" s="209" t="n">
        <f aca="false">243.736+413.314</f>
        <v>657.05</v>
      </c>
      <c r="AB615" s="209" t="n">
        <f aca="false">229.3+254.7</f>
        <v>484</v>
      </c>
      <c r="AC615" s="209" t="n">
        <f aca="false">335.2+92</f>
        <v>427.2</v>
      </c>
      <c r="AD615" s="209" t="n">
        <f aca="false">118.7+47.9</f>
        <v>166.6</v>
      </c>
      <c r="AE615" s="209" t="n">
        <f aca="false">129.2+72.5</f>
        <v>201.7</v>
      </c>
      <c r="AF615" s="209" t="n">
        <f aca="false">86+49.2</f>
        <v>135.2</v>
      </c>
      <c r="AG615" s="209" t="n">
        <f aca="false">177.7+55</f>
        <v>232.7</v>
      </c>
      <c r="AH615" s="209" t="n">
        <f aca="false">205.7+71.8</f>
        <v>277.5</v>
      </c>
      <c r="AI615" s="67" t="n">
        <f aca="false">AH615*(1+AI616/100)</f>
        <v>305.25</v>
      </c>
      <c r="AJ615" s="67" t="n">
        <f aca="false">AI615*(1+AJ616/100)</f>
        <v>335.775</v>
      </c>
      <c r="AK615" s="67" t="n">
        <f aca="false">AJ615*(1+AK616/100)</f>
        <v>369.3525</v>
      </c>
      <c r="AL615" s="67" t="n">
        <f aca="false">AK615*(1+AL616/100)</f>
        <v>406.28775</v>
      </c>
      <c r="AM615" s="157"/>
      <c r="AN615" s="157"/>
      <c r="AO615" s="157"/>
      <c r="AP615" s="274"/>
    </row>
    <row r="616" customFormat="false" ht="12.75" hidden="false" customHeight="true" outlineLevel="0" collapsed="false">
      <c r="A616" s="69" t="s">
        <v>526</v>
      </c>
      <c r="C616" s="81" t="n">
        <f aca="false">+C615/B615*100-100</f>
        <v>23.7656467315716</v>
      </c>
      <c r="D616" s="81" t="n">
        <f aca="false">+D615/C615*100-100</f>
        <v>38.4112937210282</v>
      </c>
      <c r="E616" s="81" t="n">
        <f aca="false">+E615/D615*100-100</f>
        <v>14.0812909118587</v>
      </c>
      <c r="F616" s="81" t="n">
        <f aca="false">+F615/E615*100-100</f>
        <v>8.24659727782226</v>
      </c>
      <c r="G616" s="81" t="n">
        <f aca="false">+G615/F615*100-100</f>
        <v>-12.3849441157134</v>
      </c>
      <c r="H616" s="81" t="n">
        <f aca="false">+H615/G615*100-100</f>
        <v>-3.65350342369383</v>
      </c>
      <c r="I616" s="81" t="n">
        <f aca="false">+I615/H615*100-100</f>
        <v>12.3789125249477</v>
      </c>
      <c r="J616" s="81" t="n">
        <f aca="false">+J615/I615*100-100</f>
        <v>-6.52343411591441</v>
      </c>
      <c r="K616" s="81" t="n">
        <f aca="false">+K615/J615*100-100</f>
        <v>-5.87117701575534</v>
      </c>
      <c r="L616" s="81" t="n">
        <f aca="false">+L615/K615*100-100</f>
        <v>28.8189829173436</v>
      </c>
      <c r="M616" s="81" t="n">
        <f aca="false">+M615/L615*100-100</f>
        <v>24.095234455612</v>
      </c>
      <c r="N616" s="81" t="n">
        <f aca="false">+N615/M615*100-100</f>
        <v>21.3661000246366</v>
      </c>
      <c r="O616" s="81" t="n">
        <f aca="false">+O615/N615*100-100</f>
        <v>8.17558995178888</v>
      </c>
      <c r="P616" s="81" t="n">
        <f aca="false">+P615/O615*100-100</f>
        <v>-8.8689247513605</v>
      </c>
      <c r="Q616" s="81" t="n">
        <f aca="false">+Q615/P615*100-100</f>
        <v>-63.4243648812128</v>
      </c>
      <c r="R616" s="81" t="n">
        <f aca="false">+R615/Q615*100-100</f>
        <v>54.8824771287826</v>
      </c>
      <c r="S616" s="81" t="n">
        <f aca="false">+S615/R615*100-100</f>
        <v>-3.92070444549452</v>
      </c>
      <c r="T616" s="81" t="n">
        <f aca="false">+T615/S615*100-100</f>
        <v>5.38780567391315</v>
      </c>
      <c r="U616" s="81" t="n">
        <f aca="false">+U615/T615*100-100</f>
        <v>-7.64992012636189</v>
      </c>
      <c r="V616" s="81" t="n">
        <f aca="false">+V615/U615*100-100</f>
        <v>92.8519367942314</v>
      </c>
      <c r="W616" s="81" t="n">
        <f aca="false">+W615/V615*100-100</f>
        <v>-10.0068783588689</v>
      </c>
      <c r="X616" s="81" t="n">
        <f aca="false">+X615/W615*100-100</f>
        <v>30.2704518730052</v>
      </c>
      <c r="Y616" s="81" t="n">
        <f aca="false">+Y615/X615*100-100</f>
        <v>63.1424887169568</v>
      </c>
      <c r="Z616" s="81" t="n">
        <f aca="false">+Z615/Y615*100-100</f>
        <v>-2.68896670012725</v>
      </c>
      <c r="AA616" s="81" t="n">
        <f aca="false">+AA615/Z615*100-100</f>
        <v>-11.051997454954</v>
      </c>
      <c r="AB616" s="81" t="n">
        <f aca="false">+AB615/AA615*100-100</f>
        <v>-26.337417243741</v>
      </c>
      <c r="AC616" s="81" t="n">
        <f aca="false">+AC615/AB615*100-100</f>
        <v>-11.7355371900827</v>
      </c>
      <c r="AD616" s="81" t="n">
        <f aca="false">+AD615/AC615*100-100</f>
        <v>-61.001872659176</v>
      </c>
      <c r="AE616" s="81" t="n">
        <f aca="false">+AE615/AD615*100-100</f>
        <v>21.0684273709484</v>
      </c>
      <c r="AF616" s="81" t="n">
        <f aca="false">+AF615/AE615*100-100</f>
        <v>-32.9697570649479</v>
      </c>
      <c r="AG616" s="81" t="n">
        <f aca="false">+AG615/AF615*100-100</f>
        <v>72.1153846153846</v>
      </c>
      <c r="AH616" s="81" t="n">
        <f aca="false">+AH615/AG615*100-100</f>
        <v>19.2522561237645</v>
      </c>
      <c r="AI616" s="164" t="n">
        <v>10</v>
      </c>
      <c r="AJ616" s="164" t="n">
        <v>10</v>
      </c>
      <c r="AK616" s="164" t="n">
        <v>10</v>
      </c>
      <c r="AL616" s="164" t="n">
        <v>10</v>
      </c>
      <c r="AM616" s="296"/>
      <c r="AN616" s="296"/>
      <c r="AO616" s="296"/>
    </row>
    <row r="617" customFormat="false" ht="12" hidden="false" customHeight="true" outlineLevel="0" collapsed="false">
      <c r="A617" s="69" t="s">
        <v>219</v>
      </c>
      <c r="B617" s="81" t="n">
        <f aca="false">+B615/B655*100</f>
        <v>1.20531789945277</v>
      </c>
      <c r="C617" s="81" t="n">
        <f aca="false">+C615/C655*100</f>
        <v>1.20528843793332</v>
      </c>
      <c r="D617" s="81" t="n">
        <f aca="false">+D615/D655*100</f>
        <v>1.30226023794483</v>
      </c>
      <c r="E617" s="81" t="n">
        <f aca="false">+E615/E655*100</f>
        <v>1.11867331574532</v>
      </c>
      <c r="F617" s="81" t="n">
        <f aca="false">+F615/F655*100</f>
        <v>0.980321464552573</v>
      </c>
      <c r="G617" s="81" t="n">
        <f aca="false">+G615/G655*100</f>
        <v>1.0585419272265</v>
      </c>
      <c r="H617" s="81" t="n">
        <f aca="false">+H615/H655*100</f>
        <v>1.00452417884768</v>
      </c>
      <c r="I617" s="81" t="n">
        <f aca="false">+I615/I655*100</f>
        <v>0.888361107284438</v>
      </c>
      <c r="J617" s="81" t="n">
        <f aca="false">+J615/J655*100</f>
        <v>0.8278784023865</v>
      </c>
      <c r="K617" s="81" t="n">
        <f aca="false">+K615/K655*100</f>
        <v>0.772225871790661</v>
      </c>
      <c r="L617" s="81" t="n">
        <f aca="false">+L615/L655*100</f>
        <v>0.851237558942028</v>
      </c>
      <c r="M617" s="81" t="n">
        <f aca="false">+M615/M655*100</f>
        <v>0.826833275914356</v>
      </c>
      <c r="N617" s="81" t="n">
        <f aca="false">+N615/N655*100</f>
        <v>0.81911640182388</v>
      </c>
      <c r="O617" s="81" t="n">
        <f aca="false">+O615/O655*100</f>
        <v>0.704299345063726</v>
      </c>
      <c r="P617" s="81" t="n">
        <f aca="false">+P615/P655*100</f>
        <v>0.467818469912942</v>
      </c>
      <c r="Q617" s="81" t="n">
        <f aca="false">+Q615/Q655*100</f>
        <v>0.15906081361677</v>
      </c>
      <c r="R617" s="81" t="n">
        <f aca="false">+R615/R655*100</f>
        <v>0.330133315581263</v>
      </c>
      <c r="S617" s="81" t="n">
        <f aca="false">+S615/S655*100</f>
        <v>0.268601313208268</v>
      </c>
      <c r="T617" s="81" t="n">
        <f aca="false">+T615/T655*100</f>
        <v>0.184272569536493</v>
      </c>
      <c r="U617" s="81" t="n">
        <f aca="false">+U615/U655*100</f>
        <v>0.150806282060184</v>
      </c>
      <c r="V617" s="81" t="n">
        <f aca="false">+V615/V655*100</f>
        <v>0.298451135182775</v>
      </c>
      <c r="W617" s="81" t="n">
        <f aca="false">+W615/W655*100</f>
        <v>0.338211563424757</v>
      </c>
      <c r="X617" s="81" t="n">
        <f aca="false">+X615/X655*100</f>
        <v>0.321208156864727</v>
      </c>
      <c r="Y617" s="81" t="n">
        <f aca="false">+Y615/Y655*100</f>
        <v>0.379684379325613</v>
      </c>
      <c r="Z617" s="81" t="n">
        <f aca="false">+Z615/Z655*100</f>
        <v>0.346287951747761</v>
      </c>
      <c r="AA617" s="81" t="n">
        <f aca="false">+AA615/AA655*100</f>
        <v>0.247714266138862</v>
      </c>
      <c r="AB617" s="81" t="n">
        <f aca="false">+AB615/AB655*100</f>
        <v>0.166580909621252</v>
      </c>
      <c r="AC617" s="81" t="n">
        <f aca="false">+AC615/AC655*100</f>
        <v>0.244568904369093</v>
      </c>
      <c r="AD617" s="81" t="n">
        <f aca="false">+AD615/AD655*100</f>
        <v>0.10887857033157</v>
      </c>
      <c r="AE617" s="81" t="n">
        <f aca="false">+AE615/AE655*100</f>
        <v>0.092999494197099</v>
      </c>
      <c r="AF617" s="81" t="n">
        <f aca="false">+AF615/AF655*100</f>
        <v>0.037405786940843</v>
      </c>
      <c r="AG617" s="81" t="n">
        <f aca="false">+AG615/AG655*100</f>
        <v>0.0606510329311391</v>
      </c>
      <c r="AH617" s="81" t="n">
        <f aca="false">+AH615/AH655*100</f>
        <v>0.0716078398585494</v>
      </c>
      <c r="AI617" s="81" t="n">
        <f aca="false">+AI615/AI655*100</f>
        <v>0.0693639175377206</v>
      </c>
      <c r="AJ617" s="81" t="n">
        <f aca="false">+AJ615/AJ655*100</f>
        <v>0.0699794420988232</v>
      </c>
      <c r="AK617" s="81" t="n">
        <f aca="false">+AK615/AK655*100</f>
        <v>0.0712602734716964</v>
      </c>
      <c r="AL617" s="81" t="n">
        <f aca="false">+AL615/AL655*100</f>
        <v>0.0729139088760472</v>
      </c>
      <c r="AM617" s="75"/>
      <c r="AN617" s="75"/>
      <c r="AO617" s="75"/>
    </row>
    <row r="619" customFormat="false" ht="12.75" hidden="false" customHeight="true" outlineLevel="0" collapsed="false">
      <c r="A619" s="59" t="s">
        <v>546</v>
      </c>
      <c r="B619" s="208" t="n">
        <v>53.99</v>
      </c>
      <c r="C619" s="208" t="n">
        <v>69.38</v>
      </c>
      <c r="D619" s="208" t="n">
        <v>58.07</v>
      </c>
      <c r="E619" s="208" t="n">
        <v>74.87</v>
      </c>
      <c r="F619" s="208" t="n">
        <v>97.43</v>
      </c>
      <c r="G619" s="208" t="n">
        <v>104.22</v>
      </c>
      <c r="H619" s="208" t="n">
        <v>86.22</v>
      </c>
      <c r="I619" s="208" t="n">
        <v>92.66</v>
      </c>
      <c r="J619" s="208" t="n">
        <v>76.9</v>
      </c>
      <c r="K619" s="208" t="n">
        <v>74.94</v>
      </c>
      <c r="L619" s="208" t="n">
        <v>60.83</v>
      </c>
      <c r="M619" s="208" t="n">
        <v>55.36</v>
      </c>
      <c r="N619" s="208" t="n">
        <v>59.01</v>
      </c>
      <c r="O619" s="208" t="n">
        <v>65.46</v>
      </c>
      <c r="P619" s="208" t="n">
        <v>60.56</v>
      </c>
      <c r="Q619" s="208" t="n">
        <v>39.81</v>
      </c>
      <c r="R619" s="208" t="n">
        <v>49.512</v>
      </c>
      <c r="S619" s="208" t="n">
        <v>47.547</v>
      </c>
      <c r="T619" s="208" t="n">
        <v>65.025</v>
      </c>
      <c r="U619" s="208" t="n">
        <v>74.89</v>
      </c>
      <c r="V619" s="208" t="n">
        <v>66.562</v>
      </c>
      <c r="W619" s="208" t="n">
        <v>64.772</v>
      </c>
      <c r="X619" s="208" t="n">
        <v>52.135</v>
      </c>
      <c r="Y619" s="208" t="n">
        <v>75.981</v>
      </c>
      <c r="Z619" s="208" t="n">
        <v>125.829</v>
      </c>
      <c r="AA619" s="208" t="n">
        <v>277.686</v>
      </c>
      <c r="AB619" s="208" t="n">
        <v>165.7</v>
      </c>
      <c r="AC619" s="208" t="n">
        <v>222.8</v>
      </c>
      <c r="AD619" s="208" t="n">
        <v>194.9</v>
      </c>
      <c r="AE619" s="208" t="n">
        <v>306.3</v>
      </c>
      <c r="AF619" s="208" t="n">
        <v>280.7</v>
      </c>
      <c r="AG619" s="208" t="n">
        <v>262.3</v>
      </c>
      <c r="AH619" s="208" t="n">
        <v>314.9</v>
      </c>
      <c r="AI619" s="67" t="n">
        <f aca="false">AH619*(1+AI620/100)</f>
        <v>340.092</v>
      </c>
      <c r="AJ619" s="67" t="n">
        <f aca="false">AI619*(1+AJ620/100)</f>
        <v>367.29936</v>
      </c>
      <c r="AK619" s="67" t="n">
        <f aca="false">AJ619*(1+AK620/100)</f>
        <v>396.6833088</v>
      </c>
      <c r="AL619" s="67" t="n">
        <f aca="false">AK619*(1+AL620/100)</f>
        <v>428.417973504</v>
      </c>
      <c r="AM619" s="157"/>
      <c r="AN619" s="157"/>
      <c r="AO619" s="157"/>
    </row>
    <row r="620" customFormat="false" ht="12.75" hidden="false" customHeight="true" outlineLevel="0" collapsed="false">
      <c r="A620" s="69" t="s">
        <v>526</v>
      </c>
      <c r="C620" s="81" t="n">
        <f aca="false">+C619/B619*100-100</f>
        <v>28.505278755325</v>
      </c>
      <c r="D620" s="81" t="n">
        <f aca="false">+D619/C619*100-100</f>
        <v>-16.3015278178149</v>
      </c>
      <c r="E620" s="81" t="n">
        <f aca="false">+E619/D619*100-100</f>
        <v>28.9306009987946</v>
      </c>
      <c r="F620" s="81" t="n">
        <f aca="false">+F619/E619*100-100</f>
        <v>30.1322291972753</v>
      </c>
      <c r="G620" s="81" t="n">
        <f aca="false">+G619/F619*100-100</f>
        <v>6.96910602483834</v>
      </c>
      <c r="H620" s="81" t="n">
        <f aca="false">+H619/G619*100-100</f>
        <v>-17.2711571675302</v>
      </c>
      <c r="I620" s="81" t="n">
        <f aca="false">+I619/H619*100-100</f>
        <v>7.46926467176989</v>
      </c>
      <c r="J620" s="81" t="n">
        <f aca="false">+J619/I619*100-100</f>
        <v>-17.0084178717893</v>
      </c>
      <c r="K620" s="81" t="n">
        <f aca="false">+K619/J619*100-100</f>
        <v>-2.54876462938883</v>
      </c>
      <c r="L620" s="81" t="n">
        <f aca="false">+L619/K619*100-100</f>
        <v>-18.8283960501735</v>
      </c>
      <c r="M620" s="81" t="n">
        <f aca="false">+M619/L619*100-100</f>
        <v>-8.99227354923558</v>
      </c>
      <c r="N620" s="81" t="n">
        <f aca="false">+N619/M619*100-100</f>
        <v>6.59320809248554</v>
      </c>
      <c r="O620" s="81" t="n">
        <f aca="false">+O619/N619*100-100</f>
        <v>10.930350788002</v>
      </c>
      <c r="P620" s="81" t="n">
        <f aca="false">+P619/O619*100-100</f>
        <v>-7.48548732050107</v>
      </c>
      <c r="Q620" s="81" t="n">
        <f aca="false">+Q619/P619*100-100</f>
        <v>-34.2635402906209</v>
      </c>
      <c r="R620" s="81" t="n">
        <f aca="false">+R619/Q619*100-100</f>
        <v>24.3707611152977</v>
      </c>
      <c r="S620" s="81" t="n">
        <f aca="false">+S619/R619*100-100</f>
        <v>-3.96873485215707</v>
      </c>
      <c r="T620" s="81" t="n">
        <f aca="false">+T619/S619*100-100</f>
        <v>36.7594169979179</v>
      </c>
      <c r="U620" s="81" t="n">
        <f aca="false">+U619/T619*100-100</f>
        <v>15.1710880430604</v>
      </c>
      <c r="V620" s="81" t="n">
        <f aca="false">+V619/U619*100-100</f>
        <v>-11.1203097876886</v>
      </c>
      <c r="W620" s="81" t="n">
        <f aca="false">+W619/V619*100-100</f>
        <v>-2.68922207866349</v>
      </c>
      <c r="X620" s="81" t="n">
        <f aca="false">+X619/W619*100-100</f>
        <v>-19.5099734453159</v>
      </c>
      <c r="Y620" s="81" t="n">
        <f aca="false">+Y619/X619*100-100</f>
        <v>45.7389469646111</v>
      </c>
      <c r="Z620" s="81" t="n">
        <f aca="false">+Z619/Y619*100-100</f>
        <v>65.6058751529988</v>
      </c>
      <c r="AA620" s="81" t="n">
        <f aca="false">+AA619/Z619*100-100</f>
        <v>120.68521564981</v>
      </c>
      <c r="AB620" s="81" t="n">
        <f aca="false">+AB619/AA619*100-100</f>
        <v>-40.3282844651873</v>
      </c>
      <c r="AC620" s="81" t="n">
        <f aca="false">+AC619/AB619*100-100</f>
        <v>34.4598672299337</v>
      </c>
      <c r="AD620" s="81" t="n">
        <f aca="false">+AD619/AC619*100-100</f>
        <v>-12.5224416517056</v>
      </c>
      <c r="AE620" s="81" t="n">
        <f aca="false">+AE619/AD619*100-100</f>
        <v>57.1575166752181</v>
      </c>
      <c r="AF620" s="81" t="n">
        <f aca="false">+AF619/AE619*100-100</f>
        <v>-8.35781913157037</v>
      </c>
      <c r="AG620" s="81" t="n">
        <f aca="false">+AG619/AF619*100-100</f>
        <v>-6.55504096900604</v>
      </c>
      <c r="AH620" s="81" t="n">
        <f aca="false">+AH619/AG619*100-100</f>
        <v>20.0533739992375</v>
      </c>
      <c r="AI620" s="164" t="n">
        <v>8</v>
      </c>
      <c r="AJ620" s="164" t="n">
        <v>8</v>
      </c>
      <c r="AK620" s="164" t="n">
        <v>8</v>
      </c>
      <c r="AL620" s="164" t="n">
        <v>8</v>
      </c>
      <c r="AM620" s="296"/>
      <c r="AN620" s="296"/>
      <c r="AO620" s="296"/>
    </row>
    <row r="621" customFormat="false" ht="12" hidden="false" customHeight="true" outlineLevel="0" collapsed="false">
      <c r="A621" s="69" t="s">
        <v>219</v>
      </c>
      <c r="B621" s="81" t="n">
        <f aca="false">+B619/B655*100</f>
        <v>0.565673795127389</v>
      </c>
      <c r="C621" s="81" t="n">
        <f aca="false">+C619/C655*100</f>
        <v>0.587322038374867</v>
      </c>
      <c r="D621" s="81" t="n">
        <f aca="false">+D619/D655*100</f>
        <v>0.383732947772142</v>
      </c>
      <c r="E621" s="81" t="n">
        <f aca="false">+E619/E655*100</f>
        <v>0.372542794901931</v>
      </c>
      <c r="F621" s="81" t="n">
        <f aca="false">+F619/F655*100</f>
        <v>0.392475017633782</v>
      </c>
      <c r="G621" s="81" t="n">
        <f aca="false">+G619/G655*100</f>
        <v>0.517405682654281</v>
      </c>
      <c r="H621" s="81" t="n">
        <f aca="false">+H619/H655*100</f>
        <v>0.421603829529508</v>
      </c>
      <c r="I621" s="81" t="n">
        <f aca="false">+I619/I655*100</f>
        <v>0.356560427102902</v>
      </c>
      <c r="J621" s="81" t="n">
        <f aca="false">+J619/J655*100</f>
        <v>0.295013202703994</v>
      </c>
      <c r="K621" s="81" t="n">
        <f aca="false">+K619/K655*100</f>
        <v>0.284894436232916</v>
      </c>
      <c r="L621" s="81" t="n">
        <f aca="false">+L619/L655*100</f>
        <v>0.197885813086879</v>
      </c>
      <c r="M621" s="81" t="n">
        <f aca="false">+M619/M655*100</f>
        <v>0.140962953173869</v>
      </c>
      <c r="N621" s="81" t="n">
        <f aca="false">+N619/N655*100</f>
        <v>0.122649223221586</v>
      </c>
      <c r="O621" s="81" t="n">
        <f aca="false">+O619/O655*100</f>
        <v>0.10814279209953</v>
      </c>
      <c r="P621" s="81" t="n">
        <f aca="false">+P619/P655*100</f>
        <v>0.0729224126481372</v>
      </c>
      <c r="Q621" s="81" t="n">
        <f aca="false">+Q619/Q655*100</f>
        <v>0.0445616536951696</v>
      </c>
      <c r="R621" s="81" t="n">
        <f aca="false">+R619/R655*100</f>
        <v>0.0742682959591594</v>
      </c>
      <c r="S621" s="81" t="n">
        <f aca="false">+S619/S655*100</f>
        <v>0.060395569065935</v>
      </c>
      <c r="T621" s="81" t="n">
        <f aca="false">+T619/T655*100</f>
        <v>0.0537680785189742</v>
      </c>
      <c r="U621" s="81" t="n">
        <f aca="false">+U619/U655*100</f>
        <v>0.0548768851115002</v>
      </c>
      <c r="V621" s="81" t="n">
        <f aca="false">+V619/V655*100</f>
        <v>0.0500520398492201</v>
      </c>
      <c r="W621" s="81" t="n">
        <f aca="false">+W619/W655*100</f>
        <v>0.0613322117311954</v>
      </c>
      <c r="X621" s="81" t="n">
        <f aca="false">+X619/X655*100</f>
        <v>0.0359900865208307</v>
      </c>
      <c r="Y621" s="81" t="n">
        <f aca="false">+Y619/Y655*100</f>
        <v>0.0380038503725974</v>
      </c>
      <c r="Z621" s="81" t="n">
        <f aca="false">+Z619/Z655*100</f>
        <v>0.0589869453769091</v>
      </c>
      <c r="AA621" s="81" t="n">
        <f aca="false">+AA619/AA655*100</f>
        <v>0.104690333623067</v>
      </c>
      <c r="AB621" s="81" t="n">
        <f aca="false">+AB619/AB655*100</f>
        <v>0.0570298692649617</v>
      </c>
      <c r="AC621" s="81" t="n">
        <f aca="false">+AC619/AC655*100</f>
        <v>0.127551385518338</v>
      </c>
      <c r="AD621" s="81" t="n">
        <f aca="false">+AD619/AD655*100</f>
        <v>0.127373549565564</v>
      </c>
      <c r="AE621" s="81" t="n">
        <f aca="false">+AE619/AE655*100</f>
        <v>0.14122828494086</v>
      </c>
      <c r="AF621" s="81" t="n">
        <f aca="false">+AF619/AF655*100</f>
        <v>0.0776612751057295</v>
      </c>
      <c r="AG621" s="81" t="n">
        <f aca="false">+AG619/AG655*100</f>
        <v>0.0683659902786325</v>
      </c>
      <c r="AH621" s="81" t="n">
        <f aca="false">+AH619/AH655*100</f>
        <v>0.0812587703475935</v>
      </c>
      <c r="AI621" s="81" t="n">
        <f aca="false">+AI619/AI655*100</f>
        <v>0.0772812889213382</v>
      </c>
      <c r="AJ621" s="81" t="n">
        <f aca="false">+AJ619/AJ655*100</f>
        <v>0.0765494878893748</v>
      </c>
      <c r="AK621" s="81" t="n">
        <f aca="false">+AK619/AK655*100</f>
        <v>0.0765332874875502</v>
      </c>
      <c r="AL621" s="81" t="n">
        <f aca="false">+AL619/AL655*100</f>
        <v>0.0768854809945204</v>
      </c>
      <c r="AM621" s="75"/>
      <c r="AN621" s="75"/>
      <c r="AO621" s="75"/>
    </row>
    <row r="623" customFormat="false" ht="12.75" hidden="false" customHeight="true" outlineLevel="0" collapsed="false">
      <c r="A623" s="73" t="s">
        <v>547</v>
      </c>
      <c r="B623" s="209" t="n">
        <f aca="false">24.93+0.6</f>
        <v>25.53</v>
      </c>
      <c r="C623" s="209" t="n">
        <f aca="false">33.1+19</f>
        <v>52.1</v>
      </c>
      <c r="D623" s="209" t="n">
        <f aca="false">28.35+2.66</f>
        <v>31.01</v>
      </c>
      <c r="E623" s="209" t="n">
        <f aca="false">53.07+1.5</f>
        <v>54.57</v>
      </c>
      <c r="F623" s="209" t="n">
        <f aca="false">34.54-5.7</f>
        <v>28.84</v>
      </c>
      <c r="G623" s="209" t="n">
        <f aca="false">22.23+53.21</f>
        <v>75.44</v>
      </c>
      <c r="H623" s="209" t="n">
        <f aca="false">30.3+23.42</f>
        <v>53.72</v>
      </c>
      <c r="I623" s="209" t="n">
        <f aca="false">68.61+18.26</f>
        <v>86.87</v>
      </c>
      <c r="J623" s="209" t="n">
        <f aca="false">48.78+66.77</f>
        <v>115.55</v>
      </c>
      <c r="K623" s="209" t="n">
        <f aca="false">74.23+45.46</f>
        <v>119.69</v>
      </c>
      <c r="L623" s="209" t="n">
        <f aca="false">87.22-0.35</f>
        <v>86.87</v>
      </c>
      <c r="M623" s="209" t="n">
        <f aca="false">3.13+143.69</f>
        <v>146.82</v>
      </c>
      <c r="N623" s="209" t="n">
        <f aca="false">188+11.74</f>
        <v>199.74</v>
      </c>
      <c r="O623" s="209" t="n">
        <f aca="false">197.35+8.08</f>
        <v>205.43</v>
      </c>
      <c r="P623" s="209" t="n">
        <f aca="false">294.85-168.13+8.16</f>
        <v>134.88</v>
      </c>
      <c r="Q623" s="209" t="n">
        <f aca="false">305.66+30.25</f>
        <v>335.91</v>
      </c>
      <c r="R623" s="209" t="n">
        <f aca="false">10.09+233.377+36.48</f>
        <v>279.947</v>
      </c>
      <c r="S623" s="209" t="n">
        <f aca="false">396.879-14.424-28.805</f>
        <v>353.65</v>
      </c>
      <c r="T623" s="209" t="n">
        <f aca="false">475.735+6.001</f>
        <v>481.736</v>
      </c>
      <c r="U623" s="209" t="n">
        <f aca="false">694.365+21.8+2.654</f>
        <v>718.819</v>
      </c>
      <c r="V623" s="208" t="n">
        <v>568.269</v>
      </c>
      <c r="W623" s="209" t="n">
        <f aca="false">732.203+52.485</f>
        <v>784.688</v>
      </c>
      <c r="X623" s="209" t="n">
        <f aca="false">412.77+4.886</f>
        <v>417.656</v>
      </c>
      <c r="Y623" s="209" t="n">
        <f aca="false">678.387+433.308</f>
        <v>1111.695</v>
      </c>
      <c r="Z623" s="209" t="n">
        <f aca="false">841.699+269.47</f>
        <v>1111.169</v>
      </c>
      <c r="AA623" s="209" t="n">
        <f aca="false">1231.895+287.327</f>
        <v>1519.222</v>
      </c>
      <c r="AB623" s="209" t="n">
        <f aca="false">2169.7+222.7-330.4</f>
        <v>2062</v>
      </c>
      <c r="AC623" s="209" t="n">
        <f aca="false">3302.8+308.6+88.5</f>
        <v>3699.9</v>
      </c>
      <c r="AD623" s="209" t="n">
        <f aca="false">1376.4+653.6-16.1</f>
        <v>2013.9</v>
      </c>
      <c r="AE623" s="209" t="n">
        <f aca="false">1345.1+66.5-120.3</f>
        <v>1291.3</v>
      </c>
      <c r="AF623" s="209" t="n">
        <f aca="false">1356+81.6+16.6</f>
        <v>1454.2</v>
      </c>
      <c r="AG623" s="209" t="n">
        <f aca="false">1109.1+34.2+8.5</f>
        <v>1151.8</v>
      </c>
      <c r="AH623" s="209" t="n">
        <f aca="false">1521.1+210.6</f>
        <v>1731.7</v>
      </c>
      <c r="AI623" s="67" t="n">
        <f aca="false">AH623*(1+AI624/100)</f>
        <v>1904.87</v>
      </c>
      <c r="AJ623" s="67" t="n">
        <f aca="false">AI623*(1+AJ624/100)</f>
        <v>2095.357</v>
      </c>
      <c r="AK623" s="67" t="n">
        <f aca="false">AJ623*(1+AK624/100)</f>
        <v>2304.8927</v>
      </c>
      <c r="AL623" s="67" t="n">
        <f aca="false">AK623*(1+AL624/100)</f>
        <v>2489.284116</v>
      </c>
      <c r="AM623" s="157"/>
      <c r="AN623" s="157"/>
      <c r="AO623" s="157"/>
    </row>
    <row r="624" customFormat="false" ht="12.75" hidden="false" customHeight="true" outlineLevel="0" collapsed="false">
      <c r="A624" s="69" t="s">
        <v>526</v>
      </c>
      <c r="C624" s="81" t="n">
        <f aca="false">+C623/B623*100-100</f>
        <v>104.073638856248</v>
      </c>
      <c r="D624" s="81" t="n">
        <f aca="false">+D623/C623*100-100</f>
        <v>-40.4798464491363</v>
      </c>
      <c r="E624" s="81" t="n">
        <f aca="false">+E623/D623*100-100</f>
        <v>75.9754917768462</v>
      </c>
      <c r="F624" s="81" t="n">
        <f aca="false">+F623/E623*100-100</f>
        <v>-47.1504489646326</v>
      </c>
      <c r="G624" s="81" t="n">
        <f aca="false">+G623/F623*100-100</f>
        <v>161.581137309293</v>
      </c>
      <c r="H624" s="81" t="n">
        <f aca="false">+H623/G623*100-100</f>
        <v>-28.7910922587487</v>
      </c>
      <c r="I624" s="81" t="n">
        <f aca="false">+I623/H623*100-100</f>
        <v>61.7088607594937</v>
      </c>
      <c r="J624" s="81" t="n">
        <f aca="false">+J623/I623*100-100</f>
        <v>33.0148497755266</v>
      </c>
      <c r="K624" s="81" t="n">
        <f aca="false">+K623/J623*100-100</f>
        <v>3.5828645607962</v>
      </c>
      <c r="L624" s="81" t="n">
        <f aca="false">+L623/K623*100-100</f>
        <v>-27.4208371626702</v>
      </c>
      <c r="M624" s="81" t="n">
        <f aca="false">+M623/L623*100-100</f>
        <v>69.0111661102797</v>
      </c>
      <c r="N624" s="81" t="n">
        <f aca="false">+N623/M623*100-100</f>
        <v>36.0441356763384</v>
      </c>
      <c r="O624" s="81" t="n">
        <f aca="false">+O623/N623*100-100</f>
        <v>2.84870331430859</v>
      </c>
      <c r="P624" s="81" t="n">
        <f aca="false">+P623/O623*100-100</f>
        <v>-34.3425984520274</v>
      </c>
      <c r="Q624" s="81" t="n">
        <f aca="false">+Q623/P623*100-100</f>
        <v>149.04359430605</v>
      </c>
      <c r="R624" s="81" t="n">
        <f aca="false">+R623/Q623*100-100</f>
        <v>-16.6601172933226</v>
      </c>
      <c r="S624" s="81" t="n">
        <f aca="false">+S623/R623*100-100</f>
        <v>26.3274834165038</v>
      </c>
      <c r="T624" s="81" t="n">
        <f aca="false">+T623/S623*100-100</f>
        <v>36.2182949243602</v>
      </c>
      <c r="U624" s="81" t="n">
        <f aca="false">+U623/T623*100-100</f>
        <v>49.2142999485195</v>
      </c>
      <c r="V624" s="81" t="n">
        <f aca="false">+V623/U623*100-100</f>
        <v>-20.9440763251945</v>
      </c>
      <c r="W624" s="81" t="n">
        <f aca="false">+W623/V623*100-100</f>
        <v>38.0839004063216</v>
      </c>
      <c r="X624" s="81" t="n">
        <f aca="false">+X623/W623*100-100</f>
        <v>-46.7742593234509</v>
      </c>
      <c r="Y624" s="81" t="n">
        <f aca="false">+Y623/X623*100-100</f>
        <v>166.174794567778</v>
      </c>
      <c r="Z624" s="81" t="n">
        <f aca="false">+Z623/Y623*100-100</f>
        <v>-0.047315135896099</v>
      </c>
      <c r="AA624" s="81" t="n">
        <f aca="false">+AA623/Z623*100-100</f>
        <v>36.7228567391639</v>
      </c>
      <c r="AB624" s="81" t="n">
        <f aca="false">+AB623/AA623*100-100</f>
        <v>35.7273657174527</v>
      </c>
      <c r="AC624" s="81" t="n">
        <f aca="false">+AC623/AB623*100-100</f>
        <v>79.4325897187197</v>
      </c>
      <c r="AD624" s="81" t="n">
        <f aca="false">+AD623/AC623*100-100</f>
        <v>-45.568799156734</v>
      </c>
      <c r="AE624" s="81" t="n">
        <f aca="false">+AE623/AD623*100-100</f>
        <v>-35.8806296241124</v>
      </c>
      <c r="AF624" s="81" t="n">
        <f aca="false">+AF623/AE623*100-100</f>
        <v>12.6151939905522</v>
      </c>
      <c r="AG624" s="81" t="n">
        <f aca="false">+AG623/AF623*100-100</f>
        <v>-20.7949387979645</v>
      </c>
      <c r="AH624" s="81" t="n">
        <f aca="false">+AH623/AG623*100-100</f>
        <v>50.3472825143254</v>
      </c>
      <c r="AI624" s="164" t="n">
        <v>10</v>
      </c>
      <c r="AJ624" s="164" t="n">
        <v>10</v>
      </c>
      <c r="AK624" s="164" t="n">
        <v>10</v>
      </c>
      <c r="AL624" s="164" t="n">
        <v>8</v>
      </c>
      <c r="AM624" s="296"/>
      <c r="AN624" s="296"/>
      <c r="AO624" s="296"/>
    </row>
    <row r="625" customFormat="false" ht="12" hidden="false" customHeight="true" outlineLevel="0" collapsed="false">
      <c r="A625" s="69" t="s">
        <v>219</v>
      </c>
      <c r="B625" s="81" t="n">
        <f aca="false">+B623/B655*100</f>
        <v>0.267487534536067</v>
      </c>
      <c r="C625" s="81" t="n">
        <f aca="false">+C623/C655*100</f>
        <v>0.441041772835552</v>
      </c>
      <c r="D625" s="81" t="n">
        <f aca="false">+D623/D655*100</f>
        <v>0.204917491138525</v>
      </c>
      <c r="E625" s="81" t="n">
        <f aca="false">+E623/E655*100</f>
        <v>0.271532794414296</v>
      </c>
      <c r="F625" s="81" t="n">
        <f aca="false">+F623/F655*100</f>
        <v>0.116175505578962</v>
      </c>
      <c r="G625" s="81" t="n">
        <f aca="false">+G623/G655*100</f>
        <v>0.374525855876405</v>
      </c>
      <c r="H625" s="81" t="n">
        <f aca="false">+H623/H655*100</f>
        <v>0.262683341711032</v>
      </c>
      <c r="I625" s="81" t="n">
        <f aca="false">+I623/I655*100</f>
        <v>0.33428021047301</v>
      </c>
      <c r="J625" s="81" t="n">
        <f aca="false">+J623/J655*100</f>
        <v>0.443287068562373</v>
      </c>
      <c r="K625" s="81" t="n">
        <f aca="false">+K623/K655*100</f>
        <v>0.455017548341575</v>
      </c>
      <c r="L625" s="81" t="n">
        <f aca="false">+L623/L655*100</f>
        <v>0.282596425823725</v>
      </c>
      <c r="M625" s="81" t="n">
        <f aca="false">+M623/M655*100</f>
        <v>0.373847196260611</v>
      </c>
      <c r="N625" s="81" t="n">
        <f aca="false">+N623/N655*100</f>
        <v>0.415149226339258</v>
      </c>
      <c r="O625" s="81" t="n">
        <f aca="false">+O623/O655*100</f>
        <v>0.33937937337315</v>
      </c>
      <c r="P625" s="81" t="n">
        <f aca="false">+P623/P655*100</f>
        <v>0.162413722225574</v>
      </c>
      <c r="Q625" s="81" t="n">
        <f aca="false">+Q623/Q655*100</f>
        <v>0.376003644630606</v>
      </c>
      <c r="R625" s="81" t="n">
        <f aca="false">+R623/R655*100</f>
        <v>0.419922173389861</v>
      </c>
      <c r="S625" s="81" t="n">
        <f aca="false">+S623/S655*100</f>
        <v>0.449216417443117</v>
      </c>
      <c r="T625" s="81" t="n">
        <f aca="false">+T623/T655*100</f>
        <v>0.398339393670381</v>
      </c>
      <c r="U625" s="81" t="n">
        <f aca="false">+U623/U655*100</f>
        <v>0.526726501254687</v>
      </c>
      <c r="V625" s="81" t="n">
        <f aca="false">+V623/V655*100</f>
        <v>0.427316225970921</v>
      </c>
      <c r="W625" s="81" t="n">
        <f aca="false">+W623/W655*100</f>
        <v>0.743016281092575</v>
      </c>
      <c r="X625" s="81" t="n">
        <f aca="false">+X623/X655*100</f>
        <v>0.288318319285395</v>
      </c>
      <c r="Y625" s="81" t="n">
        <f aca="false">+Y623/Y655*100</f>
        <v>0.556042832286554</v>
      </c>
      <c r="Z625" s="81" t="n">
        <f aca="false">+Z623/Z655*100</f>
        <v>0.520901104733525</v>
      </c>
      <c r="AA625" s="81" t="n">
        <f aca="false">+AA623/AA655*100</f>
        <v>0.572761529308293</v>
      </c>
      <c r="AB625" s="81" t="n">
        <f aca="false">+AB623/AB655*100</f>
        <v>0.70968974305583</v>
      </c>
      <c r="AC625" s="81" t="n">
        <f aca="false">+AC623/AC655*100</f>
        <v>2.11816593931462</v>
      </c>
      <c r="AD625" s="81" t="n">
        <f aca="false">+AD623/AD655*100</f>
        <v>1.31614977665515</v>
      </c>
      <c r="AE625" s="81" t="n">
        <f aca="false">+AE623/AE655*100</f>
        <v>0.595390415749697</v>
      </c>
      <c r="AF625" s="81" t="n">
        <f aca="false">+AF623/AF655*100</f>
        <v>0.402333545631463</v>
      </c>
      <c r="AG625" s="81" t="n">
        <f aca="false">+AG623/AG655*100</f>
        <v>0.300205671379828</v>
      </c>
      <c r="AH625" s="81" t="n">
        <f aca="false">+AH623/AH655*100</f>
        <v>0.446858725344324</v>
      </c>
      <c r="AI625" s="81" t="n">
        <f aca="false">+AI623/AI655*100</f>
        <v>0.432855841441697</v>
      </c>
      <c r="AJ625" s="81" t="n">
        <f aca="false">+AJ623/AJ655*100</f>
        <v>0.436696936513629</v>
      </c>
      <c r="AK625" s="81" t="n">
        <f aca="false">+AK623/AK655*100</f>
        <v>0.444689785841213</v>
      </c>
      <c r="AL625" s="81" t="n">
        <f aca="false">+AL623/AL655*100</f>
        <v>0.446736174547757</v>
      </c>
      <c r="AM625" s="75"/>
      <c r="AN625" s="75"/>
      <c r="AO625" s="75"/>
    </row>
    <row r="626" customFormat="false" ht="12" hidden="false" customHeight="true" outlineLevel="0" collapsed="false">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82"/>
      <c r="AB626" s="75"/>
      <c r="AC626" s="75"/>
      <c r="AD626" s="75"/>
      <c r="AE626" s="75"/>
      <c r="AF626" s="82"/>
      <c r="AG626" s="82"/>
      <c r="AH626" s="75"/>
      <c r="AI626" s="75"/>
      <c r="AJ626" s="75"/>
      <c r="AK626" s="75"/>
      <c r="AL626" s="75"/>
      <c r="AM626" s="75"/>
      <c r="AN626" s="75"/>
      <c r="AO626" s="75"/>
    </row>
    <row r="627" customFormat="false" ht="12.75" hidden="false" customHeight="true" outlineLevel="0" collapsed="false">
      <c r="A627" s="69" t="s">
        <v>373</v>
      </c>
      <c r="B627" s="75"/>
      <c r="C627" s="75"/>
      <c r="D627" s="75"/>
      <c r="E627" s="75"/>
      <c r="F627" s="75"/>
      <c r="G627" s="75"/>
      <c r="H627" s="75"/>
      <c r="I627" s="75"/>
      <c r="J627" s="75"/>
      <c r="K627" s="75"/>
      <c r="L627" s="75"/>
      <c r="M627" s="75"/>
      <c r="N627" s="75"/>
      <c r="O627" s="75"/>
      <c r="P627" s="75"/>
      <c r="Q627" s="75"/>
      <c r="R627" s="75"/>
      <c r="S627" s="75"/>
      <c r="T627" s="75"/>
      <c r="U627" s="75"/>
      <c r="V627" s="208" t="n">
        <v>1418.176</v>
      </c>
      <c r="W627" s="208" t="n">
        <v>1260.026</v>
      </c>
      <c r="X627" s="208" t="n">
        <v>1375.765</v>
      </c>
      <c r="Y627" s="208" t="n">
        <v>1381.765</v>
      </c>
      <c r="Z627" s="208" t="n">
        <v>1484.384</v>
      </c>
      <c r="AA627" s="208" t="n">
        <v>1640.913</v>
      </c>
      <c r="AB627" s="208" t="n">
        <v>1886</v>
      </c>
      <c r="AC627" s="208" t="n">
        <v>2082.7</v>
      </c>
      <c r="AD627" s="208" t="n">
        <v>1688.3</v>
      </c>
      <c r="AE627" s="208" t="n">
        <v>2160.4</v>
      </c>
      <c r="AF627" s="208" t="n">
        <v>2463.9</v>
      </c>
      <c r="AG627" s="208" t="n">
        <v>2468.3</v>
      </c>
      <c r="AH627" s="208" t="n">
        <v>2475.6</v>
      </c>
      <c r="AI627" s="132" t="n">
        <f aca="false">42509.5-AI623-AI619-AI615-AI611-AI598-AI594-AI584+AI643</f>
        <v>3452.37616</v>
      </c>
      <c r="AJ627" s="67" t="n">
        <f aca="false">+AJ628*AJ655</f>
        <v>3454.70030553538</v>
      </c>
      <c r="AK627" s="67" t="n">
        <f aca="false">+AK628*AK655</f>
        <v>4146.51790688625</v>
      </c>
      <c r="AL627" s="67" t="n">
        <f aca="false">+AL628*AL655</f>
        <v>4569.16876540471</v>
      </c>
      <c r="AM627" s="75"/>
      <c r="AN627" s="75"/>
      <c r="AO627" s="75"/>
    </row>
    <row r="628" s="61" customFormat="true" ht="12.75" hidden="false" customHeight="true" outlineLevel="0" collapsed="false">
      <c r="A628" s="306" t="s">
        <v>219</v>
      </c>
      <c r="B628" s="123" t="n">
        <f aca="false">+B627/B655</f>
        <v>0</v>
      </c>
      <c r="C628" s="123" t="n">
        <f aca="false">+C627/C655</f>
        <v>0</v>
      </c>
      <c r="D628" s="123" t="n">
        <f aca="false">+D627/D655</f>
        <v>0</v>
      </c>
      <c r="E628" s="123" t="n">
        <f aca="false">+E627/E655</f>
        <v>0</v>
      </c>
      <c r="F628" s="123" t="n">
        <f aca="false">+F627/F655</f>
        <v>0</v>
      </c>
      <c r="G628" s="123" t="n">
        <f aca="false">+G627/G655</f>
        <v>0</v>
      </c>
      <c r="H628" s="123" t="n">
        <f aca="false">+H627/H655</f>
        <v>0</v>
      </c>
      <c r="I628" s="123" t="n">
        <f aca="false">+I627/I655</f>
        <v>0</v>
      </c>
      <c r="J628" s="123" t="n">
        <f aca="false">+J627/J655</f>
        <v>0</v>
      </c>
      <c r="K628" s="123" t="n">
        <f aca="false">+K627/K655</f>
        <v>0</v>
      </c>
      <c r="L628" s="123" t="n">
        <f aca="false">+L627/L655</f>
        <v>0</v>
      </c>
      <c r="M628" s="123" t="n">
        <f aca="false">+M627/M655</f>
        <v>0</v>
      </c>
      <c r="N628" s="123" t="n">
        <f aca="false">+N627/N655</f>
        <v>0</v>
      </c>
      <c r="O628" s="123" t="n">
        <f aca="false">+O627/O655</f>
        <v>0</v>
      </c>
      <c r="P628" s="123" t="n">
        <f aca="false">+P627/P655</f>
        <v>0</v>
      </c>
      <c r="Q628" s="123" t="n">
        <f aca="false">+Q627/Q655</f>
        <v>0</v>
      </c>
      <c r="R628" s="123" t="n">
        <f aca="false">+R627/R655</f>
        <v>0</v>
      </c>
      <c r="S628" s="123" t="n">
        <f aca="false">+S627/S655</f>
        <v>0</v>
      </c>
      <c r="T628" s="123" t="n">
        <f aca="false">+T627/T655</f>
        <v>0</v>
      </c>
      <c r="U628" s="123" t="n">
        <f aca="false">+U627/U655</f>
        <v>0</v>
      </c>
      <c r="V628" s="123" t="n">
        <f aca="false">+V627/V655</f>
        <v>0.0106641329384946</v>
      </c>
      <c r="W628" s="123" t="n">
        <f aca="false">+W627/W655</f>
        <v>0.0119311093402722</v>
      </c>
      <c r="X628" s="123" t="n">
        <f aca="false">+X627/X655</f>
        <v>0.00949724779559426</v>
      </c>
      <c r="Y628" s="123" t="n">
        <f aca="false">+Y627/Y655</f>
        <v>0.00691125285401509</v>
      </c>
      <c r="Z628" s="123" t="n">
        <f aca="false">+Z627/Z655</f>
        <v>0.00695859284635162</v>
      </c>
      <c r="AA628" s="123" t="n">
        <f aca="false">+AA627/AA655</f>
        <v>0.00618640224629355</v>
      </c>
      <c r="AB628" s="123" t="n">
        <f aca="false">+AB627/AB655</f>
        <v>0.00649114866829921</v>
      </c>
      <c r="AC628" s="123" t="n">
        <f aca="false">+AC627/AC655</f>
        <v>0.011923306580747</v>
      </c>
      <c r="AD628" s="123" t="n">
        <f aca="false">+AD627/AD655</f>
        <v>0.0110335948553895</v>
      </c>
      <c r="AE628" s="123" t="n">
        <f aca="false">+AE627/AE655</f>
        <v>0.0099611357096387</v>
      </c>
      <c r="AF628" s="123" t="n">
        <f aca="false">+AF627/AF655</f>
        <v>0.00681687266594253</v>
      </c>
      <c r="AG628" s="123" t="n">
        <f aca="false">+AG627/AG655</f>
        <v>0.00643338825027635</v>
      </c>
      <c r="AH628" s="123" t="n">
        <f aca="false">+AH627/AH655</f>
        <v>0.00638819345419188</v>
      </c>
      <c r="AI628" s="123" t="n">
        <f aca="false">+AI627/AI655</f>
        <v>0.00784505602854816</v>
      </c>
      <c r="AJ628" s="307" t="n">
        <v>0.0072</v>
      </c>
      <c r="AK628" s="307" t="n">
        <v>0.008</v>
      </c>
      <c r="AL628" s="307" t="n">
        <v>0.0082</v>
      </c>
    </row>
    <row r="629" customFormat="false" ht="12" hidden="false" customHeight="true" outlineLevel="0" collapsed="false">
      <c r="B629" s="75"/>
      <c r="C629" s="75"/>
      <c r="D629" s="75"/>
      <c r="E629" s="75"/>
      <c r="F629" s="75"/>
      <c r="G629" s="75"/>
      <c r="H629" s="75"/>
      <c r="I629" s="75"/>
      <c r="J629" s="75"/>
      <c r="K629" s="75"/>
      <c r="L629" s="75"/>
      <c r="M629" s="75"/>
      <c r="N629" s="75"/>
      <c r="O629" s="75"/>
      <c r="P629" s="75"/>
      <c r="Q629" s="75"/>
      <c r="R629" s="75"/>
      <c r="S629" s="75"/>
      <c r="T629" s="75"/>
      <c r="U629" s="75"/>
      <c r="V629" s="75"/>
      <c r="W629" s="75"/>
    </row>
    <row r="630" customFormat="false" ht="12" hidden="false" customHeight="true" outlineLevel="0" collapsed="false">
      <c r="A630" s="69" t="s">
        <v>548</v>
      </c>
      <c r="B630" s="75"/>
      <c r="C630" s="75"/>
      <c r="D630" s="75"/>
      <c r="E630" s="75"/>
      <c r="F630" s="75"/>
      <c r="G630" s="75"/>
      <c r="H630" s="75"/>
      <c r="I630" s="75"/>
      <c r="J630" s="75"/>
      <c r="K630" s="75"/>
      <c r="L630" s="75"/>
      <c r="M630" s="75"/>
      <c r="N630" s="75"/>
      <c r="O630" s="75"/>
      <c r="P630" s="75"/>
      <c r="Q630" s="75"/>
      <c r="R630" s="41"/>
      <c r="S630" s="41"/>
      <c r="T630" s="75"/>
      <c r="U630" s="75"/>
      <c r="V630" s="75"/>
      <c r="W630" s="75"/>
    </row>
    <row r="631" customFormat="false" ht="12" hidden="false" customHeight="true" outlineLevel="0" collapsed="false">
      <c r="R631" s="75"/>
      <c r="S631" s="75"/>
      <c r="Y631" s="308"/>
      <c r="AH631" s="32"/>
      <c r="AI631" s="32"/>
      <c r="AM631" s="32"/>
    </row>
    <row r="632" customFormat="false" ht="12.75" hidden="false" customHeight="true" outlineLevel="0" collapsed="false">
      <c r="A632" s="59" t="s">
        <v>549</v>
      </c>
      <c r="B632" s="67" t="n">
        <f aca="false">+B623+B619+B615+B611+B607+B598+B594</f>
        <v>1545.57</v>
      </c>
      <c r="C632" s="67" t="n">
        <f aca="false">+C623+C619+C615+C611+C607+C598+C594</f>
        <v>1961.73</v>
      </c>
      <c r="D632" s="67" t="n">
        <f aca="false">+D623+D619+D615+D611+D607+D598+D594</f>
        <v>2351.73</v>
      </c>
      <c r="E632" s="67" t="n">
        <f aca="false">+E623+E619+E615+E611+E607+E598+E594</f>
        <v>3214.62</v>
      </c>
      <c r="F632" s="67" t="n">
        <f aca="false">+F623+F619+F615+F611+F607+F598+F594</f>
        <v>3595.57</v>
      </c>
      <c r="G632" s="67" t="n">
        <f aca="false">+G623+G619+G615+G611+G607+G598+G594</f>
        <v>3494.42</v>
      </c>
      <c r="H632" s="67" t="n">
        <f aca="false">+H623+H619+H615+H611+H607+H598+H594</f>
        <v>3567.85</v>
      </c>
      <c r="I632" s="67" t="n">
        <f aca="false">+I623+I619+I615+I611+I607+I598+I594</f>
        <v>4082.33</v>
      </c>
      <c r="J632" s="67" t="n">
        <f aca="false">+J623+J619+J615+J611+J607+J598+J594</f>
        <v>4338.46</v>
      </c>
      <c r="K632" s="67" t="n">
        <f aca="false">+K623+K619+K615+K611+K607+K598+K594</f>
        <v>4508.48</v>
      </c>
      <c r="L632" s="67" t="n">
        <f aca="false">+L623+L619+L615+L611+L607+L598+L594</f>
        <v>5197.45</v>
      </c>
      <c r="M632" s="67" t="n">
        <f aca="false">+M623+M619+M615+M611+M607+M598+M594</f>
        <v>5781.15</v>
      </c>
      <c r="N632" s="67" t="n">
        <f aca="false">+N623+N619+N615+N611+N607+N598+N594</f>
        <v>6868.2</v>
      </c>
      <c r="O632" s="67" t="n">
        <f aca="false">+O623+O619+O615+O611+O607+O598+O594</f>
        <v>8055.98</v>
      </c>
      <c r="P632" s="67" t="n">
        <f aca="false">+P623+P619+P615+P611+P607+P598+P594</f>
        <v>9644.15</v>
      </c>
      <c r="Q632" s="67" t="n">
        <f aca="false">+Q623+Q619+Q615+Q611+Q607+Q598+Q594</f>
        <v>11191.8</v>
      </c>
      <c r="R632" s="67" t="n">
        <f aca="false">+R623+R619+R615+R611+R607+R598+R594+R630</f>
        <v>10370.844</v>
      </c>
      <c r="S632" s="67" t="n">
        <f aca="false">+S623+S619+S615+S611+S607+S598+S594+S630</f>
        <v>12436.855</v>
      </c>
      <c r="T632" s="67" t="n">
        <f aca="false">+T623+T619+T615+T611+T607+T598+T594</f>
        <v>16847.35</v>
      </c>
      <c r="U632" s="67" t="n">
        <f aca="false">+U623+U619+U615+U611+U607+U598+U594</f>
        <v>20758.03</v>
      </c>
      <c r="V632" s="67" t="n">
        <f aca="false">+V623+V619+V615+V611+V607+V598+V594+V627</f>
        <v>24278.187</v>
      </c>
      <c r="W632" s="67" t="n">
        <f aca="false">+W623+W619+W615+W611+W607+W598+W594+W627</f>
        <v>21387.777</v>
      </c>
      <c r="X632" s="67" t="n">
        <f aca="false">+X623+X619+X615+X611+X607+X598+X594+X627</f>
        <v>25108.001</v>
      </c>
      <c r="Y632" s="67" t="n">
        <f aca="false">+Y623+Y619+Y615+Y611+Y607+Y598+Y594+Y627</f>
        <v>34149.807</v>
      </c>
      <c r="Z632" s="67" t="n">
        <f aca="false">+Z623+Z619+Z615+Z611+Z607+Z598+Z594+Z627</f>
        <v>38130.288</v>
      </c>
      <c r="AA632" s="67" t="n">
        <f aca="false">+AA623+AA619+AA615+AA611+AA607+AA598+AA594+AA627</f>
        <v>48744.025</v>
      </c>
      <c r="AB632" s="67" t="n">
        <f aca="false">+AB623+AB619+AB615+AB611+AB607+AB598+AB594+AB627</f>
        <v>53154.4</v>
      </c>
      <c r="AC632" s="67" t="n">
        <f aca="false">+AC623+AC619+AC615+AC611+AC607+AC598+AC594+AC627</f>
        <v>42263.1</v>
      </c>
      <c r="AD632" s="67" t="n">
        <f aca="false">+AD623+AD619+AD615+AD611+AD607+AD598+AD594+AD627</f>
        <v>34390.5</v>
      </c>
      <c r="AE632" s="67" t="n">
        <f aca="false">+AE623+AE619+AE615+AE611+AE607+AE598+AE594+AE627</f>
        <v>39369.2</v>
      </c>
      <c r="AF632" s="67" t="n">
        <f aca="false">+AF623+AF619+AF615+AF611+AF607+AF598+AF594+AF627</f>
        <v>53652.5</v>
      </c>
      <c r="AG632" s="67" t="n">
        <f aca="false">+AG623+AG619+AG615+AG611+AG607+AG598+AG594+AG627</f>
        <v>58060.3</v>
      </c>
      <c r="AH632" s="67" t="n">
        <f aca="false">+AH623+AH619+AH615+AH611+AH607+AH598+AH594+AH627</f>
        <v>62068.5</v>
      </c>
      <c r="AI632" s="67" t="n">
        <f aca="false">+AI623+AI619+AI615+AI611+AI607+AI598+AI594+AI627</f>
        <v>68244.20316</v>
      </c>
      <c r="AJ632" s="67" t="n">
        <f aca="false">+AJ623+AJ619+AJ615+AJ611+AJ607+AJ598+AJ594+AJ627</f>
        <v>73385.5958655354</v>
      </c>
      <c r="AK632" s="67" t="n">
        <f aca="false">+AK623+AK619+AK615+AK611+AK607+AK598+AK594+AK627</f>
        <v>79074.1006716863</v>
      </c>
      <c r="AL632" s="67" t="n">
        <f aca="false">+AL623+AL619+AL615+AL611+AL607+AL598+AL594+AL627</f>
        <v>84751.5733753087</v>
      </c>
      <c r="AM632" s="157"/>
      <c r="AN632" s="157"/>
      <c r="AO632" s="157"/>
    </row>
    <row r="633" customFormat="false" ht="12" hidden="false" customHeight="true" outlineLevel="0" collapsed="false">
      <c r="A633" s="69" t="s">
        <v>526</v>
      </c>
      <c r="C633" s="81" t="n">
        <f aca="false">(100*C632)/B632-100</f>
        <v>26.9259884702731</v>
      </c>
      <c r="D633" s="90" t="n">
        <f aca="false">(100*D632)/C632-100</f>
        <v>19.880411677448</v>
      </c>
      <c r="E633" s="90" t="n">
        <f aca="false">(100*E632)/D632-100</f>
        <v>36.6917120587823</v>
      </c>
      <c r="F633" s="90" t="n">
        <f aca="false">(100*F632)/E632-100</f>
        <v>11.8505453210644</v>
      </c>
      <c r="G633" s="90" t="n">
        <f aca="false">(100*G632)/F632-100</f>
        <v>-2.81318400142398</v>
      </c>
      <c r="H633" s="90" t="n">
        <f aca="false">(100*H632)/G632-100</f>
        <v>2.10135015252888</v>
      </c>
      <c r="I633" s="90" t="n">
        <f aca="false">(100*I632)/H632-100</f>
        <v>14.419888728506</v>
      </c>
      <c r="J633" s="90" t="n">
        <f aca="false">(100*J632)/I632-100</f>
        <v>6.27411306778237</v>
      </c>
      <c r="K633" s="90" t="n">
        <f aca="false">(100*K632)/J632-100</f>
        <v>3.91890209890147</v>
      </c>
      <c r="L633" s="90" t="n">
        <f aca="false">(100*L632)/K632-100</f>
        <v>15.2816470295976</v>
      </c>
      <c r="M633" s="90" t="n">
        <f aca="false">(100*M632)/L632-100</f>
        <v>11.2305072679872</v>
      </c>
      <c r="N633" s="90" t="n">
        <f aca="false">(100*N632)/M632-100</f>
        <v>18.8033522742015</v>
      </c>
      <c r="O633" s="90" t="n">
        <f aca="false">(100*O632)/N632-100</f>
        <v>17.29390524446</v>
      </c>
      <c r="P633" s="90" t="n">
        <f aca="false">(100*P632)/O632-100</f>
        <v>19.7141750600175</v>
      </c>
      <c r="Q633" s="90" t="n">
        <f aca="false">(100*Q632)/P632-100</f>
        <v>16.047552143009</v>
      </c>
      <c r="R633" s="90" t="n">
        <f aca="false">(100*R632)/Q632-100</f>
        <v>-7.33533479869193</v>
      </c>
      <c r="S633" s="90" t="n">
        <f aca="false">(100*S632)/R632-100</f>
        <v>19.921339092556</v>
      </c>
      <c r="T633" s="90" t="n">
        <f aca="false">(100*T632)/S632-100</f>
        <v>35.4631054233566</v>
      </c>
      <c r="U633" s="90" t="n">
        <f aca="false">(100*U632)/T632-100</f>
        <v>23.2124340029738</v>
      </c>
      <c r="V633" s="90" t="n">
        <f aca="false">(100*V632)/U632-100</f>
        <v>16.958049487355</v>
      </c>
      <c r="W633" s="90" t="n">
        <f aca="false">(100*W632)/V632-100</f>
        <v>-11.9053782722738</v>
      </c>
      <c r="X633" s="90" t="n">
        <f aca="false">(100*X632)/W632-100</f>
        <v>17.3941592901403</v>
      </c>
      <c r="Y633" s="90" t="n">
        <f aca="false">(100*Y632)/X632-100</f>
        <v>36.0116522219352</v>
      </c>
      <c r="Z633" s="90" t="n">
        <f aca="false">(100*Z632)/Y632-100</f>
        <v>11.6559399588993</v>
      </c>
      <c r="AA633" s="90" t="n">
        <f aca="false">(100*AA632)/Z632-100</f>
        <v>27.8354493414789</v>
      </c>
      <c r="AB633" s="90" t="n">
        <f aca="false">(100*AB632)/AA632-100</f>
        <v>9.04803204085015</v>
      </c>
      <c r="AC633" s="90" t="n">
        <f aca="false">(100*AC632)/AB632-100</f>
        <v>-20.4899312192406</v>
      </c>
      <c r="AD633" s="90" t="n">
        <f aca="false">(100*AD632)/AC632-100</f>
        <v>-18.627597123732</v>
      </c>
      <c r="AE633" s="90" t="n">
        <f aca="false">(100*AE632)/AD632-100</f>
        <v>14.4769631148137</v>
      </c>
      <c r="AF633" s="90" t="n">
        <f aca="false">(100*AF632)/AE632-100</f>
        <v>36.2803917783445</v>
      </c>
      <c r="AG633" s="90" t="n">
        <f aca="false">(100*AG632)/AF632-100</f>
        <v>8.21546060295421</v>
      </c>
      <c r="AH633" s="90" t="n">
        <f aca="false">(100*AH632)/AG632-100</f>
        <v>6.90351238281579</v>
      </c>
      <c r="AI633" s="90" t="n">
        <f aca="false">(100*AI632)/AH632-100</f>
        <v>9.94981860363954</v>
      </c>
      <c r="AJ633" s="90" t="n">
        <f aca="false">(100*AJ632)/AI632-100</f>
        <v>7.53381601288724</v>
      </c>
      <c r="AK633" s="90" t="n">
        <f aca="false">(100*AK632)/AJ632-100</f>
        <v>7.75152772019993</v>
      </c>
      <c r="AL633" s="90" t="n">
        <f aca="false">(100*AL632)/AK632-100</f>
        <v>7.17993964571939</v>
      </c>
      <c r="AM633" s="40"/>
      <c r="AN633" s="40"/>
      <c r="AO633" s="40"/>
    </row>
    <row r="634" customFormat="false" ht="12" hidden="false" customHeight="true" outlineLevel="0" collapsed="false">
      <c r="A634" s="69" t="s">
        <v>219</v>
      </c>
      <c r="B634" s="81" t="n">
        <f aca="false">+B632/B655*100</f>
        <v>16.1935256072428</v>
      </c>
      <c r="C634" s="90" t="n">
        <f aca="false">+C632/C655*100</f>
        <v>16.6066195206274</v>
      </c>
      <c r="D634" s="90" t="n">
        <f aca="false">+D632/D655*100</f>
        <v>15.5404905332216</v>
      </c>
      <c r="E634" s="90" t="n">
        <f aca="false">+E632/E655*100</f>
        <v>15.9955058013576</v>
      </c>
      <c r="F634" s="90" t="n">
        <f aca="false">+F632/F655*100</f>
        <v>14.4839515462742</v>
      </c>
      <c r="G634" s="90" t="n">
        <f aca="false">+G632/G655*100</f>
        <v>17.348232254661</v>
      </c>
      <c r="H634" s="90" t="n">
        <f aca="false">+H632/H655*100</f>
        <v>17.4462911527123</v>
      </c>
      <c r="I634" s="90" t="n">
        <f aca="false">+I632/I655*100</f>
        <v>15.7090149835419</v>
      </c>
      <c r="J634" s="90" t="n">
        <f aca="false">+J632/J655*100</f>
        <v>16.6437318517967</v>
      </c>
      <c r="K634" s="90" t="n">
        <f aca="false">+K632/K655*100</f>
        <v>17.1395899101598</v>
      </c>
      <c r="L634" s="90" t="n">
        <f aca="false">+L632/L655*100</f>
        <v>16.907802387447</v>
      </c>
      <c r="M634" s="90" t="n">
        <f aca="false">+M632/M655*100</f>
        <v>14.720519811075</v>
      </c>
      <c r="N634" s="90" t="n">
        <f aca="false">+N632/N655*100</f>
        <v>14.2751973382562</v>
      </c>
      <c r="O634" s="90" t="n">
        <f aca="false">+O632/O655*100</f>
        <v>13.308832421295</v>
      </c>
      <c r="P634" s="90" t="n">
        <f aca="false">+P632/P655*100</f>
        <v>11.6128580901673</v>
      </c>
      <c r="Q634" s="90" t="n">
        <f aca="false">+Q632/Q655*100</f>
        <v>12.52763415789</v>
      </c>
      <c r="R634" s="90" t="n">
        <f aca="false">+R632/R655*100</f>
        <v>15.556327991967</v>
      </c>
      <c r="S634" s="90" t="n">
        <f aca="false">+S632/S655*100</f>
        <v>15.7976514841214</v>
      </c>
      <c r="T634" s="90" t="n">
        <f aca="false">+T632/T655*100</f>
        <v>13.9307902750733</v>
      </c>
      <c r="U634" s="90" t="n">
        <f aca="false">+U632/U655*100</f>
        <v>15.2107895239828</v>
      </c>
      <c r="V634" s="90" t="n">
        <f aca="false">+V632/V655*100</f>
        <v>18.256254066747</v>
      </c>
      <c r="W634" s="90" t="n">
        <f aca="false">+W632/W655*100</f>
        <v>20.2519555891989</v>
      </c>
      <c r="X634" s="90" t="n">
        <f aca="false">+X632/X655*100</f>
        <v>17.3326772485874</v>
      </c>
      <c r="Y634" s="90" t="n">
        <f aca="false">+Y632/Y655*100</f>
        <v>17.0809038507137</v>
      </c>
      <c r="Z634" s="90" t="n">
        <f aca="false">+Z632/Z655*100</f>
        <v>17.874966942929</v>
      </c>
      <c r="AA634" s="90" t="n">
        <f aca="false">+AA632/AA655*100</f>
        <v>18.3769734137879</v>
      </c>
      <c r="AB634" s="90" t="n">
        <f aca="false">+AB632/AB655*100</f>
        <v>18.2944386412642</v>
      </c>
      <c r="AC634" s="90" t="n">
        <f aca="false">+AC632/AC655*100</f>
        <v>24.1953184977561</v>
      </c>
      <c r="AD634" s="90" t="n">
        <f aca="false">+AD632/AD655*100</f>
        <v>22.4753209663137</v>
      </c>
      <c r="AE634" s="90" t="n">
        <f aca="false">+AE632/AE655*100</f>
        <v>18.1522840205475</v>
      </c>
      <c r="AF634" s="90" t="n">
        <f aca="false">+AF632/AF655*100</f>
        <v>14.8440383420383</v>
      </c>
      <c r="AG634" s="90" t="n">
        <f aca="false">+AG632/AG655*100</f>
        <v>15.1328627730632</v>
      </c>
      <c r="AH634" s="90" t="n">
        <f aca="false">+AH632/AH655*100</f>
        <v>16.016544894632</v>
      </c>
      <c r="AI634" s="90" t="n">
        <f aca="false">+AI632/AI655*100</f>
        <v>15.5075684862169</v>
      </c>
      <c r="AJ634" s="90" t="n">
        <f aca="false">+AJ632/AJ655*100</f>
        <v>15.2944175616406</v>
      </c>
      <c r="AK634" s="90" t="n">
        <f aca="false">+AK632/AK655*100</f>
        <v>15.2560008078809</v>
      </c>
      <c r="AL634" s="90" t="n">
        <f aca="false">+AL632/AL655*100</f>
        <v>15.2098321895969</v>
      </c>
      <c r="AM634" s="40"/>
      <c r="AN634" s="40"/>
      <c r="AO634" s="40"/>
    </row>
    <row r="635" customFormat="false" ht="12" hidden="false" customHeight="true" outlineLevel="0" collapsed="false">
      <c r="B635" s="75"/>
      <c r="C635" s="40"/>
      <c r="D635" s="40"/>
      <c r="E635" s="40"/>
      <c r="F635" s="40"/>
      <c r="G635" s="40"/>
      <c r="H635" s="40"/>
    </row>
    <row r="636" customFormat="false" ht="12.75" hidden="false" customHeight="true" outlineLevel="0" collapsed="false">
      <c r="A636" s="59" t="s">
        <v>530</v>
      </c>
      <c r="B636" s="67" t="n">
        <f aca="false">+B632+B584</f>
        <v>1628.41</v>
      </c>
      <c r="C636" s="67" t="n">
        <f aca="false">+C632+C584</f>
        <v>2093.83</v>
      </c>
      <c r="D636" s="67" t="n">
        <f aca="false">+D632+D584</f>
        <v>2475.33</v>
      </c>
      <c r="E636" s="67" t="n">
        <f aca="false">+E632+E584</f>
        <v>3451.82</v>
      </c>
      <c r="F636" s="67" t="n">
        <f aca="false">+F632+F584</f>
        <v>3890.97</v>
      </c>
      <c r="G636" s="67" t="n">
        <f aca="false">+G632+G584</f>
        <v>3711.6</v>
      </c>
      <c r="H636" s="67" t="n">
        <f aca="false">+H632+H584</f>
        <v>3731.53</v>
      </c>
      <c r="I636" s="67" t="n">
        <f aca="false">+I632+I584</f>
        <v>4312.47</v>
      </c>
      <c r="J636" s="67" t="n">
        <f aca="false">+J632+J584</f>
        <v>4566.59</v>
      </c>
      <c r="K636" s="67" t="n">
        <f aca="false">+K632+K584</f>
        <v>4748.59</v>
      </c>
      <c r="L636" s="67" t="n">
        <f aca="false">+L632+L584</f>
        <v>5154.85</v>
      </c>
      <c r="M636" s="67" t="n">
        <f aca="false">+M632+M584</f>
        <v>6102.42</v>
      </c>
      <c r="N636" s="67" t="n">
        <f aca="false">+N632+N584</f>
        <v>7260.52</v>
      </c>
      <c r="O636" s="67" t="n">
        <f aca="false">+O632+O584</f>
        <v>8398.26</v>
      </c>
      <c r="P636" s="67" t="n">
        <f aca="false">+P632+P584</f>
        <v>10023.03</v>
      </c>
      <c r="Q636" s="67" t="n">
        <f aca="false">+Q632+Q584</f>
        <v>11604.55</v>
      </c>
      <c r="R636" s="67" t="n">
        <f aca="false">+R632+R584</f>
        <v>10673.943</v>
      </c>
      <c r="S636" s="67" t="n">
        <f aca="false">+S632+S584</f>
        <v>12778.074</v>
      </c>
      <c r="T636" s="67" t="n">
        <f aca="false">+T632+T584</f>
        <v>17507.605</v>
      </c>
      <c r="U636" s="67" t="n">
        <f aca="false">+U632+U584</f>
        <v>21468.892</v>
      </c>
      <c r="V636" s="67" t="n">
        <f aca="false">+V632+V584</f>
        <v>25018.018</v>
      </c>
      <c r="W636" s="67" t="n">
        <f aca="false">+W632+W584</f>
        <v>21890.279</v>
      </c>
      <c r="X636" s="67" t="n">
        <f aca="false">+X632+X584</f>
        <v>25719.431</v>
      </c>
      <c r="Y636" s="67" t="n">
        <f aca="false">+Y632+Y584</f>
        <v>34912.335</v>
      </c>
      <c r="Z636" s="67" t="n">
        <f aca="false">+Z632+Z584</f>
        <v>39047.044</v>
      </c>
      <c r="AA636" s="67" t="n">
        <f aca="false">+AA632+AA584</f>
        <v>49826.937</v>
      </c>
      <c r="AB636" s="67" t="n">
        <f aca="false">+AB632+AB584</f>
        <v>54475.4</v>
      </c>
      <c r="AC636" s="67" t="n">
        <f aca="false">+AC632+AC584</f>
        <v>42828.7</v>
      </c>
      <c r="AD636" s="67" t="n">
        <f aca="false">+AD632+AD584</f>
        <v>34940.9</v>
      </c>
      <c r="AE636" s="67" t="n">
        <f aca="false">+AE632+AE584</f>
        <v>40049.6</v>
      </c>
      <c r="AF636" s="67" t="n">
        <f aca="false">+AF632+AF584</f>
        <v>54716.1</v>
      </c>
      <c r="AG636" s="67" t="n">
        <f aca="false">+AG632+AG584</f>
        <v>59145.8</v>
      </c>
      <c r="AH636" s="67" t="n">
        <f aca="false">+AH632+AH584</f>
        <v>62990.7</v>
      </c>
      <c r="AI636" s="67" t="n">
        <f aca="false">+AI632+AI584</f>
        <v>69476.4</v>
      </c>
      <c r="AJ636" s="67" t="n">
        <f aca="false">+AJ632+AJ584</f>
        <v>75304.8738130551</v>
      </c>
      <c r="AK636" s="67" t="n">
        <f aca="false">+AK632+AK584</f>
        <v>82183.989101851</v>
      </c>
      <c r="AL636" s="67" t="n">
        <f aca="false">+AL632+AL584</f>
        <v>88652.0832969957</v>
      </c>
      <c r="AM636" s="157"/>
      <c r="AN636" s="157"/>
      <c r="AO636" s="157"/>
    </row>
    <row r="637" customFormat="false" ht="12.75" hidden="false" customHeight="true" outlineLevel="0" collapsed="false">
      <c r="A637" s="59" t="s">
        <v>526</v>
      </c>
      <c r="C637" s="81" t="n">
        <f aca="false">(100*C636)/B636-100</f>
        <v>28.5812541067667</v>
      </c>
      <c r="D637" s="90" t="n">
        <f aca="false">(100*D636)/C636-100</f>
        <v>18.220199347607</v>
      </c>
      <c r="E637" s="90" t="n">
        <f aca="false">(100*E636)/D636-100</f>
        <v>39.4488815632663</v>
      </c>
      <c r="F637" s="90" t="n">
        <f aca="false">(100*F636)/E636-100</f>
        <v>12.7222740467348</v>
      </c>
      <c r="G637" s="90" t="n">
        <f aca="false">(100*G636)/F636-100</f>
        <v>-4.60990447112161</v>
      </c>
      <c r="H637" s="90" t="n">
        <f aca="false">(100*H636)/G636-100</f>
        <v>0.53696519021446</v>
      </c>
      <c r="I637" s="90" t="n">
        <f aca="false">(100*I636)/H636-100</f>
        <v>15.5684129566157</v>
      </c>
      <c r="J637" s="90" t="n">
        <f aca="false">(100*J636)/I636-100</f>
        <v>5.89267867370671</v>
      </c>
      <c r="K637" s="90" t="n">
        <f aca="false">(100*K636)/J636-100</f>
        <v>3.985468369177</v>
      </c>
      <c r="L637" s="90" t="n">
        <f aca="false">(100*L636)/K636-100</f>
        <v>8.55538170277913</v>
      </c>
      <c r="M637" s="90" t="n">
        <f aca="false">(100*M636)/L636-100</f>
        <v>18.3821061718576</v>
      </c>
      <c r="N637" s="90" t="n">
        <f aca="false">(100*N636)/M636-100</f>
        <v>18.9777170368477</v>
      </c>
      <c r="O637" s="90" t="n">
        <f aca="false">(100*O636)/N636-100</f>
        <v>15.6702274768198</v>
      </c>
      <c r="P637" s="90" t="n">
        <f aca="false">(100*P636)/O636-100</f>
        <v>19.3465074908374</v>
      </c>
      <c r="Q637" s="90" t="n">
        <f aca="false">(100*Q636)/P636-100</f>
        <v>15.7788612824665</v>
      </c>
      <c r="R637" s="90" t="n">
        <f aca="false">(100*R636)/Q636-100</f>
        <v>-8.0193286254099</v>
      </c>
      <c r="S637" s="90" t="n">
        <f aca="false">(100*S636)/R636-100</f>
        <v>19.7127809282849</v>
      </c>
      <c r="T637" s="90" t="n">
        <f aca="false">(100*T636)/S636-100</f>
        <v>37.0128628148499</v>
      </c>
      <c r="U637" s="90" t="n">
        <f aca="false">(100*U636)/T636-100</f>
        <v>22.6260930607014</v>
      </c>
      <c r="V637" s="90" t="n">
        <f aca="false">(100*V636)/U636-100</f>
        <v>16.5314819227746</v>
      </c>
      <c r="W637" s="90" t="n">
        <f aca="false">(100*W636)/V636-100</f>
        <v>-12.5019455977688</v>
      </c>
      <c r="X637" s="90" t="n">
        <f aca="false">(100*X636)/W636-100</f>
        <v>17.4924769117835</v>
      </c>
      <c r="Y637" s="90" t="n">
        <f aca="false">(100*Y636)/X636-100</f>
        <v>35.7430302404435</v>
      </c>
      <c r="Z637" s="90" t="n">
        <f aca="false">(100*Z636)/Y636-100</f>
        <v>11.8431179123367</v>
      </c>
      <c r="AA637" s="90" t="n">
        <f aca="false">(100*AA636)/Z636-100</f>
        <v>27.6074496189776</v>
      </c>
      <c r="AB637" s="90" t="n">
        <f aca="false">(100*AB636)/AA636-100</f>
        <v>9.32921684509728</v>
      </c>
      <c r="AC637" s="90" t="n">
        <f aca="false">(100*AC636)/AB636-100</f>
        <v>-21.3797420487046</v>
      </c>
      <c r="AD637" s="90" t="n">
        <f aca="false">(100*AD636)/AC636-100</f>
        <v>-18.4170894750483</v>
      </c>
      <c r="AE637" s="90" t="n">
        <f aca="false">(100*AE636)/AD636-100</f>
        <v>14.6209742737022</v>
      </c>
      <c r="AF637" s="90" t="n">
        <f aca="false">(100*AF636)/AE636-100</f>
        <v>36.6208401582038</v>
      </c>
      <c r="AG637" s="90" t="n">
        <f aca="false">(100*AG636)/AF636-100</f>
        <v>8.09578899080894</v>
      </c>
      <c r="AH637" s="90" t="n">
        <f aca="false">(100*AH636)/AG636-100</f>
        <v>6.50071518180496</v>
      </c>
      <c r="AI637" s="90" t="n">
        <f aca="false">(100*AI636)/AH636-100</f>
        <v>10.29628183208</v>
      </c>
      <c r="AJ637" s="90" t="n">
        <f aca="false">(100*AJ636)/AI636-100</f>
        <v>8.38914194324265</v>
      </c>
      <c r="AK637" s="90" t="n">
        <f aca="false">(100*AK636)/AJ636-100</f>
        <v>9.13502000663776</v>
      </c>
      <c r="AL637" s="90" t="n">
        <f aca="false">(100*AL636)/AK636-100</f>
        <v>7.87026069898943</v>
      </c>
      <c r="AM637" s="40"/>
      <c r="AN637" s="40"/>
      <c r="AO637" s="40"/>
    </row>
    <row r="638" customFormat="false" ht="12.75" hidden="false" customHeight="true" outlineLevel="0" collapsed="false">
      <c r="A638" s="59" t="s">
        <v>219</v>
      </c>
      <c r="B638" s="81" t="n">
        <f aca="false">+B636/B655*100</f>
        <v>17.0614718415149</v>
      </c>
      <c r="C638" s="90" t="n">
        <f aca="false">+C636/C655*100</f>
        <v>17.7248847450338</v>
      </c>
      <c r="D638" s="90" t="n">
        <f aca="false">+D636/D655*100</f>
        <v>16.3572529293752</v>
      </c>
      <c r="E638" s="90" t="n">
        <f aca="false">+E636/E655*100</f>
        <v>17.1757802898141</v>
      </c>
      <c r="F638" s="90" t="n">
        <f aca="false">+F636/F655*100</f>
        <v>15.6739045403112</v>
      </c>
      <c r="G638" s="90" t="n">
        <f aca="false">+G636/G655*100</f>
        <v>18.4264338105894</v>
      </c>
      <c r="H638" s="90" t="n">
        <f aca="false">+H636/H655*100</f>
        <v>18.2466636279778</v>
      </c>
      <c r="I638" s="90" t="n">
        <f aca="false">+I636/I655*100</f>
        <v>16.5946054939397</v>
      </c>
      <c r="J638" s="90" t="n">
        <f aca="false">+J636/J655*100</f>
        <v>17.5189121110017</v>
      </c>
      <c r="K638" s="90" t="n">
        <f aca="false">+K636/K655*100</f>
        <v>18.0524001995097</v>
      </c>
      <c r="L638" s="90" t="n">
        <f aca="false">+L636/L655*100</f>
        <v>16.7692205094673</v>
      </c>
      <c r="M638" s="90" t="n">
        <f aca="false">+M636/M655*100</f>
        <v>15.5385683653772</v>
      </c>
      <c r="N638" s="90" t="n">
        <f aca="false">+N636/N655*100</f>
        <v>15.0906141024367</v>
      </c>
      <c r="O638" s="90" t="n">
        <f aca="false">+O636/O655*100</f>
        <v>13.8742939990497</v>
      </c>
      <c r="P638" s="90" t="n">
        <f aca="false">+P636/P655*100</f>
        <v>12.0690807404996</v>
      </c>
      <c r="Q638" s="90" t="n">
        <f aca="false">+Q636/Q655*100</f>
        <v>12.9896492938528</v>
      </c>
      <c r="R638" s="90" t="n">
        <f aca="false">+R636/R655*100</f>
        <v>16.0109783037485</v>
      </c>
      <c r="S638" s="90" t="n">
        <f aca="false">+S636/S655*100</f>
        <v>16.23107768727</v>
      </c>
      <c r="T638" s="90" t="n">
        <f aca="false">+T636/T655*100</f>
        <v>14.4767440264388</v>
      </c>
      <c r="U638" s="90" t="n">
        <f aca="false">+U636/U655*100</f>
        <v>15.7316854019923</v>
      </c>
      <c r="V638" s="90" t="n">
        <f aca="false">+V636/V655*100</f>
        <v>18.8125782561297</v>
      </c>
      <c r="W638" s="90" t="n">
        <f aca="false">+W636/W655*100</f>
        <v>20.7277716680501</v>
      </c>
      <c r="X638" s="90" t="n">
        <f aca="false">+X636/X655*100</f>
        <v>17.754762577089</v>
      </c>
      <c r="Y638" s="90" t="n">
        <f aca="false">+Y636/Y655*100</f>
        <v>17.4623018320106</v>
      </c>
      <c r="Z638" s="90" t="n">
        <f aca="false">+Z636/Z655*100</f>
        <v>18.3047298441358</v>
      </c>
      <c r="AA638" s="90" t="n">
        <f aca="false">+AA636/AA655*100</f>
        <v>18.7852418124987</v>
      </c>
      <c r="AB638" s="90" t="n">
        <f aca="false">+AB636/AB655*100</f>
        <v>18.7490943883917</v>
      </c>
      <c r="AC638" s="90" t="n">
        <f aca="false">+AC636/AC655*100</f>
        <v>24.5191203992335</v>
      </c>
      <c r="AD638" s="90" t="n">
        <f aca="false">+AD636/AD655*100</f>
        <v>22.8350254387656</v>
      </c>
      <c r="AE638" s="90" t="n">
        <f aca="false">+AE636/AE655*100</f>
        <v>18.4660016995346</v>
      </c>
      <c r="AF638" s="90" t="n">
        <f aca="false">+AF636/AF655*100</f>
        <v>15.1383045771735</v>
      </c>
      <c r="AG638" s="90" t="n">
        <f aca="false">+AG636/AG655*100</f>
        <v>15.4157879825465</v>
      </c>
      <c r="AH638" s="90" t="n">
        <f aca="false">+AH636/AH655*100</f>
        <v>16.2545151646051</v>
      </c>
      <c r="AI638" s="90" t="n">
        <f aca="false">+AI636/AI655*100</f>
        <v>15.7875684862169</v>
      </c>
      <c r="AJ638" s="90" t="n">
        <f aca="false">+AJ636/AJ655*100</f>
        <v>15.6944175616406</v>
      </c>
      <c r="AK638" s="90" t="n">
        <f aca="false">+AK636/AK655*100</f>
        <v>15.8560008078809</v>
      </c>
      <c r="AL638" s="90" t="n">
        <f aca="false">+AL636/AL655*100</f>
        <v>15.9098321895969</v>
      </c>
      <c r="AM638" s="40"/>
      <c r="AN638" s="40"/>
      <c r="AO638" s="40"/>
    </row>
    <row r="639" customFormat="false" ht="12.75" hidden="false" customHeight="true" outlineLevel="0" collapsed="false">
      <c r="A639" s="167"/>
      <c r="O639" s="40"/>
    </row>
    <row r="640" customFormat="false" ht="12.75" hidden="false" customHeight="true" outlineLevel="0" collapsed="false">
      <c r="A640" s="59" t="s">
        <v>550</v>
      </c>
      <c r="B640" s="67" t="n">
        <f aca="false">+B565+B572+B636</f>
        <v>8919.35</v>
      </c>
      <c r="C640" s="67" t="n">
        <f aca="false">+C565+C572+C636</f>
        <v>10936.44</v>
      </c>
      <c r="D640" s="67" t="n">
        <f aca="false">+D565+D572+D636</f>
        <v>14051.92</v>
      </c>
      <c r="E640" s="67" t="n">
        <f aca="false">+E565+E572+E636</f>
        <v>18685.13</v>
      </c>
      <c r="F640" s="67" t="n">
        <f aca="false">+F565+F572+F636</f>
        <v>22611.67</v>
      </c>
      <c r="G640" s="67" t="n">
        <f aca="false">+G565+G572+G636</f>
        <v>18599.46</v>
      </c>
      <c r="H640" s="67" t="n">
        <f aca="false">+H565+H572+H636</f>
        <v>18794.76</v>
      </c>
      <c r="I640" s="67" t="n">
        <f aca="false">+I565+I572+I636</f>
        <v>23381.44</v>
      </c>
      <c r="J640" s="67" t="n">
        <f aca="false">+J565+J572+J636</f>
        <v>23197.93</v>
      </c>
      <c r="K640" s="67" t="n">
        <f aca="false">+K565+K572+K636</f>
        <v>23345.65</v>
      </c>
      <c r="L640" s="67" t="n">
        <f aca="false">+L565+L572+L636</f>
        <v>27471.65</v>
      </c>
      <c r="M640" s="67" t="n">
        <f aca="false">+M565+M572+M636</f>
        <v>35330.34</v>
      </c>
      <c r="N640" s="67" t="n">
        <f aca="false">+N565+N572+N636</f>
        <v>43892.42</v>
      </c>
      <c r="O640" s="67" t="n">
        <f aca="false">+O565+O572+O636</f>
        <v>55134.48</v>
      </c>
      <c r="P640" s="67" t="n">
        <f aca="false">+P565+P572+P636</f>
        <v>76021.57</v>
      </c>
      <c r="Q640" s="67" t="n">
        <f aca="false">+Q565+Q572+Q636</f>
        <v>81303.68</v>
      </c>
      <c r="R640" s="67" t="n">
        <f aca="false">+R565+R572+R636</f>
        <v>62054.041</v>
      </c>
      <c r="S640" s="67" t="n">
        <f aca="false">+S565+S572+S636</f>
        <v>71250.11</v>
      </c>
      <c r="T640" s="67" t="n">
        <f aca="false">+T565+T572+T636</f>
        <v>108501.098</v>
      </c>
      <c r="U640" s="67" t="n">
        <f aca="false">+U565+U572+U636</f>
        <v>124274.68</v>
      </c>
      <c r="V640" s="67" t="n">
        <f aca="false">+V565+V572+V636</f>
        <v>124425.967</v>
      </c>
      <c r="W640" s="67" t="n">
        <f aca="false">+W565+W572+W636</f>
        <v>104094.195</v>
      </c>
      <c r="X640" s="67" t="n">
        <f aca="false">+X565+X572+X636</f>
        <v>134609.028</v>
      </c>
      <c r="Y640" s="67" t="n">
        <f aca="false">+Y565+Y572+Y636</f>
        <v>177417.641</v>
      </c>
      <c r="Z640" s="67" t="n">
        <f aca="false">+Z565+Z572+Z636</f>
        <v>191749.813</v>
      </c>
      <c r="AA640" s="67" t="n">
        <f aca="false">+AA565+AA572+AA636</f>
        <v>238805.724</v>
      </c>
      <c r="AB640" s="67" t="n">
        <f aca="false">+AB565+AB572+AB636</f>
        <v>261271.1</v>
      </c>
      <c r="AC640" s="67" t="n">
        <f aca="false">+AC565+AC572+AC636</f>
        <v>166520.2</v>
      </c>
      <c r="AD640" s="67" t="n">
        <f aca="false">+AD565+AD572+AD636</f>
        <v>148974</v>
      </c>
      <c r="AE640" s="67" t="n">
        <f aca="false">+AE565+AE572+AE636</f>
        <v>207660.3</v>
      </c>
      <c r="AF640" s="67" t="n">
        <f aca="false">+AF565+AF572+AF636</f>
        <v>333207.6</v>
      </c>
      <c r="AG640" s="67" t="n">
        <f aca="false">+AG565+AG572+AG636</f>
        <v>338265.9</v>
      </c>
      <c r="AH640" s="67" t="n">
        <f aca="false">+AH565+AH572+AH636</f>
        <v>339218.5</v>
      </c>
      <c r="AI640" s="67" t="n">
        <f aca="false">+AI565+AI572+AI636</f>
        <v>383647.8</v>
      </c>
      <c r="AJ640" s="67" t="n">
        <f aca="false">+AJ565+AJ572+AJ636</f>
        <v>423174.001800993</v>
      </c>
      <c r="AK640" s="67" t="n">
        <f aca="false">+AK565+AK572+AK636</f>
        <v>455370.600721613</v>
      </c>
      <c r="AL640" s="67" t="n">
        <f aca="false">+AL565+AL572+AL636</f>
        <v>489847.389527653</v>
      </c>
      <c r="AM640" s="118"/>
      <c r="AN640" s="118"/>
      <c r="AO640" s="118"/>
    </row>
    <row r="641" customFormat="false" ht="12.75" hidden="false" customHeight="true" outlineLevel="0" collapsed="false">
      <c r="A641" s="59" t="s">
        <v>219</v>
      </c>
      <c r="B641" s="117" t="n">
        <f aca="false">+B640/B655*100</f>
        <v>93.4514273859877</v>
      </c>
      <c r="C641" s="117" t="n">
        <f aca="false">+C640/C655*100</f>
        <v>92.5801705587263</v>
      </c>
      <c r="D641" s="117" t="n">
        <f aca="false">+D640/D655*100</f>
        <v>92.8566330886571</v>
      </c>
      <c r="E641" s="117" t="n">
        <f aca="false">+E640/E655*100</f>
        <v>92.9746300695327</v>
      </c>
      <c r="F641" s="117" t="n">
        <f aca="false">+F640/F655*100</f>
        <v>91.0860677612569</v>
      </c>
      <c r="G641" s="117" t="n">
        <f aca="false">+G640/G655*100</f>
        <v>92.3379994079926</v>
      </c>
      <c r="H641" s="117" t="n">
        <f aca="false">+H640/H655*100</f>
        <v>91.9037670040364</v>
      </c>
      <c r="I641" s="117" t="n">
        <f aca="false">+I640/I655*100</f>
        <v>89.972978984253</v>
      </c>
      <c r="J641" s="117" t="n">
        <f aca="false">+J640/J655*100</f>
        <v>88.9947415527055</v>
      </c>
      <c r="K641" s="117" t="n">
        <f aca="false">+K640/K655*100</f>
        <v>88.751611892727</v>
      </c>
      <c r="L641" s="117" t="n">
        <f aca="false">+L640/L655*100</f>
        <v>89.3679072347222</v>
      </c>
      <c r="M641" s="117" t="n">
        <f aca="false">+M640/M655*100</f>
        <v>89.961507641562</v>
      </c>
      <c r="N641" s="117" t="n">
        <f aca="false">+N640/N655*100</f>
        <v>91.2281175786412</v>
      </c>
      <c r="O641" s="117" t="n">
        <f aca="false">+O640/O655*100</f>
        <v>91.08458002071</v>
      </c>
      <c r="P641" s="117" t="n">
        <f aca="false">+P640/P655*100</f>
        <v>91.5402294864473</v>
      </c>
      <c r="Q641" s="117" t="n">
        <f aca="false">+Q640/Q655*100</f>
        <v>91.0079485632477</v>
      </c>
      <c r="R641" s="117" t="n">
        <f aca="false">+R640/R655*100</f>
        <v>93.0814324295082</v>
      </c>
      <c r="S641" s="117" t="n">
        <f aca="false">+S640/S655*100</f>
        <v>90.503942193208</v>
      </c>
      <c r="T641" s="117" t="n">
        <f aca="false">+T640/T655*100</f>
        <v>89.7177325130167</v>
      </c>
      <c r="U641" s="117" t="n">
        <f aca="false">+U640/U655*100</f>
        <v>91.0643254991115</v>
      </c>
      <c r="V641" s="117" t="n">
        <f aca="false">+V640/V655*100</f>
        <v>93.5634965680379</v>
      </c>
      <c r="W641" s="117" t="n">
        <f aca="false">+W640/W655*100</f>
        <v>98.5661583358294</v>
      </c>
      <c r="X641" s="117" t="n">
        <f aca="false">+X640/X655*100</f>
        <v>92.9239582661345</v>
      </c>
      <c r="Y641" s="117" t="n">
        <f aca="false">+Y640/Y655*100</f>
        <v>88.7399939724826</v>
      </c>
      <c r="Z641" s="117" t="n">
        <f aca="false">+Z640/Z655*100</f>
        <v>89.8897372264227</v>
      </c>
      <c r="AA641" s="117" t="n">
        <f aca="false">+AA640/AA655*100</f>
        <v>90.0320899024725</v>
      </c>
      <c r="AB641" s="117" t="n">
        <f aca="false">+AB640/AB655*100</f>
        <v>89.9230939994734</v>
      </c>
      <c r="AC641" s="117" t="n">
        <f aca="false">+AC640/AC655*100</f>
        <v>95.3316078401738</v>
      </c>
      <c r="AD641" s="117" t="n">
        <f aca="false">+AD640/AD655*100</f>
        <v>97.3594005796836</v>
      </c>
      <c r="AE641" s="117" t="n">
        <f aca="false">+AE640/AE655*100</f>
        <v>95.7476592207131</v>
      </c>
      <c r="AF641" s="117" t="n">
        <f aca="false">+AF640/AF655*100</f>
        <v>92.1885539398641</v>
      </c>
      <c r="AG641" s="117" t="n">
        <f aca="false">+AG640/AG655*100</f>
        <v>88.165776709847</v>
      </c>
      <c r="AH641" s="117" t="n">
        <f aca="false">+AH640/AH655*100</f>
        <v>87.5340685587651</v>
      </c>
      <c r="AI641" s="117" t="n">
        <f aca="false">+AI640/AI655*100</f>
        <v>87.1787530310498</v>
      </c>
      <c r="AJ641" s="117" t="n">
        <f aca="false">+AJ640/AJ655*100</f>
        <v>88.1944175616406</v>
      </c>
      <c r="AK641" s="117" t="n">
        <f aca="false">+AK640/AK655*100</f>
        <v>87.8560008078809</v>
      </c>
      <c r="AL641" s="117" t="n">
        <f aca="false">+AL640/AL655*100</f>
        <v>87.9098321895969</v>
      </c>
      <c r="AM641" s="118"/>
      <c r="AN641" s="118"/>
      <c r="AO641" s="118"/>
    </row>
    <row r="642" customFormat="false" ht="12" hidden="false" customHeight="true" outlineLevel="0" collapsed="false">
      <c r="U642" s="85"/>
      <c r="V642" s="85"/>
    </row>
    <row r="643" customFormat="false" ht="12.75" hidden="false" customHeight="true" outlineLevel="0" collapsed="false">
      <c r="A643" s="59" t="s">
        <v>551</v>
      </c>
      <c r="B643" s="267" t="n">
        <v>1.3</v>
      </c>
      <c r="C643" s="267" t="n">
        <v>0.83</v>
      </c>
      <c r="D643" s="267" t="n">
        <v>-0.4</v>
      </c>
      <c r="E643" s="267" t="n">
        <v>42.29</v>
      </c>
      <c r="F643" s="267" t="n">
        <v>77.21</v>
      </c>
      <c r="G643" s="267" t="n">
        <v>4.28</v>
      </c>
      <c r="H643" s="267" t="n">
        <v>0</v>
      </c>
      <c r="I643" s="267" t="n">
        <v>2.47</v>
      </c>
      <c r="J643" s="199" t="n">
        <f aca="false">3.56</f>
        <v>3.56</v>
      </c>
      <c r="K643" s="267" t="n">
        <v>2.9</v>
      </c>
      <c r="L643" s="267" t="n">
        <v>1.99</v>
      </c>
      <c r="M643" s="267" t="n">
        <v>3.65</v>
      </c>
      <c r="N643" s="267" t="n">
        <v>8.1</v>
      </c>
      <c r="O643" s="267" t="n">
        <v>4.1</v>
      </c>
      <c r="P643" s="267" t="n">
        <v>1.25</v>
      </c>
      <c r="Q643" s="267" t="n">
        <v>6.67</v>
      </c>
      <c r="R643" s="267" t="n">
        <v>81.991</v>
      </c>
      <c r="S643" s="267" t="n">
        <v>152.527</v>
      </c>
      <c r="T643" s="267" t="n">
        <v>240.604</v>
      </c>
      <c r="U643" s="199" t="n">
        <f aca="false">22.563+70.364+157.985</f>
        <v>250.912</v>
      </c>
      <c r="V643" s="199" t="n">
        <f aca="false">3.033+112.244+89.784</f>
        <v>205.061</v>
      </c>
      <c r="W643" s="199" t="n">
        <f aca="false">3.797+147.568</f>
        <v>151.365</v>
      </c>
      <c r="X643" s="267" t="n">
        <v>16.03</v>
      </c>
      <c r="Y643" s="267" t="n">
        <v>34.21</v>
      </c>
      <c r="Z643" s="208" t="n">
        <v>458.494</v>
      </c>
      <c r="AA643" s="208" t="n">
        <v>950.412</v>
      </c>
      <c r="AB643" s="208" t="n">
        <v>2079</v>
      </c>
      <c r="AC643" s="208" t="n">
        <v>3582</v>
      </c>
      <c r="AD643" s="208" t="n">
        <v>1310.9</v>
      </c>
      <c r="AE643" s="208" t="n">
        <v>722.6</v>
      </c>
      <c r="AF643" s="208" t="n">
        <v>1073.2</v>
      </c>
      <c r="AG643" s="208" t="n">
        <v>661.4</v>
      </c>
      <c r="AH643" s="208" t="n">
        <v>996.7</v>
      </c>
      <c r="AI643" s="309" t="n">
        <v>900</v>
      </c>
      <c r="AJ643" s="208" t="n">
        <v>900</v>
      </c>
      <c r="AK643" s="208" t="n">
        <v>900</v>
      </c>
      <c r="AL643" s="208" t="n">
        <v>900</v>
      </c>
      <c r="AM643" s="310"/>
      <c r="AN643" s="310"/>
      <c r="AO643" s="310"/>
    </row>
    <row r="644" customFormat="false" ht="12.75" hidden="false" customHeight="true" outlineLevel="0" collapsed="false">
      <c r="A644" s="59" t="s">
        <v>552</v>
      </c>
      <c r="Q644" s="75"/>
    </row>
    <row r="645" customFormat="false" ht="12.75" hidden="false" customHeight="true" outlineLevel="0" collapsed="false">
      <c r="A645" s="59" t="s">
        <v>553</v>
      </c>
      <c r="Q645" s="75"/>
    </row>
    <row r="646" customFormat="false" ht="12.75" hidden="false" customHeight="true" outlineLevel="0" collapsed="false">
      <c r="A646" s="167"/>
      <c r="Q646" s="75"/>
    </row>
    <row r="647" customFormat="false" ht="12" hidden="false" customHeight="true" outlineLevel="0" collapsed="false">
      <c r="M647" s="40"/>
      <c r="N647" s="40"/>
      <c r="O647" s="75"/>
      <c r="P647" s="75"/>
      <c r="Q647" s="75"/>
    </row>
    <row r="648" customFormat="false" ht="12.75" hidden="false" customHeight="true" outlineLevel="0" collapsed="false">
      <c r="A648" s="59" t="s">
        <v>554</v>
      </c>
      <c r="B648" s="67" t="n">
        <f aca="false">+B640-B643</f>
        <v>8918.05</v>
      </c>
      <c r="C648" s="67" t="n">
        <f aca="false">+C640-C643</f>
        <v>10935.61</v>
      </c>
      <c r="D648" s="67" t="n">
        <f aca="false">+D640-D643</f>
        <v>14052.32</v>
      </c>
      <c r="E648" s="67" t="n">
        <f aca="false">+E640-E643</f>
        <v>18642.84</v>
      </c>
      <c r="F648" s="67" t="n">
        <f aca="false">+F640-F643</f>
        <v>22534.46</v>
      </c>
      <c r="G648" s="67" t="n">
        <f aca="false">+G640-G643</f>
        <v>18595.18</v>
      </c>
      <c r="H648" s="67" t="n">
        <f aca="false">+H640-H643</f>
        <v>18794.76</v>
      </c>
      <c r="I648" s="67" t="n">
        <f aca="false">+I640-I643</f>
        <v>23378.97</v>
      </c>
      <c r="J648" s="67" t="n">
        <f aca="false">+J640-J643</f>
        <v>23194.37</v>
      </c>
      <c r="K648" s="67" t="n">
        <f aca="false">+K640-K643</f>
        <v>23342.75</v>
      </c>
      <c r="L648" s="67" t="n">
        <f aca="false">+L640-L643</f>
        <v>27469.66</v>
      </c>
      <c r="M648" s="67" t="n">
        <f aca="false">+M640-M643</f>
        <v>35326.69</v>
      </c>
      <c r="N648" s="67" t="n">
        <f aca="false">+N640-N643</f>
        <v>43884.32</v>
      </c>
      <c r="O648" s="67" t="n">
        <f aca="false">+O640-O643</f>
        <v>55130.38</v>
      </c>
      <c r="P648" s="67" t="n">
        <f aca="false">+P640-P643-P645</f>
        <v>76020.32</v>
      </c>
      <c r="Q648" s="67" t="n">
        <f aca="false">+Q640-Q643</f>
        <v>81297.01</v>
      </c>
      <c r="R648" s="67" t="n">
        <f aca="false">+R640-R643</f>
        <v>61972.05</v>
      </c>
      <c r="S648" s="67" t="n">
        <f aca="false">+S640-S643</f>
        <v>71097.583</v>
      </c>
      <c r="T648" s="67" t="n">
        <f aca="false">+T640-T643</f>
        <v>108260.494</v>
      </c>
      <c r="U648" s="67" t="n">
        <f aca="false">+U640-U643</f>
        <v>124023.768</v>
      </c>
      <c r="V648" s="67" t="n">
        <f aca="false">+V640-V643</f>
        <v>124220.906</v>
      </c>
      <c r="W648" s="67" t="n">
        <f aca="false">+W640-W643</f>
        <v>103942.83</v>
      </c>
      <c r="X648" s="67" t="n">
        <f aca="false">+X640-X643</f>
        <v>134592.998</v>
      </c>
      <c r="Y648" s="67" t="n">
        <f aca="false">+Y640-Y643</f>
        <v>177383.431</v>
      </c>
      <c r="Z648" s="67" t="n">
        <f aca="false">+Z640-Z643</f>
        <v>191291.319</v>
      </c>
      <c r="AA648" s="67" t="n">
        <f aca="false">+AA640-AA643</f>
        <v>237855.312</v>
      </c>
      <c r="AB648" s="67" t="n">
        <f aca="false">+AB640-AB643</f>
        <v>259192.1</v>
      </c>
      <c r="AC648" s="67" t="n">
        <f aca="false">+AC640-AC643</f>
        <v>162938.2</v>
      </c>
      <c r="AD648" s="67" t="n">
        <f aca="false">+AD640-AD643</f>
        <v>147663.1</v>
      </c>
      <c r="AE648" s="67" t="n">
        <f aca="false">+AE640-AE643</f>
        <v>206937.7</v>
      </c>
      <c r="AF648" s="67" t="n">
        <f aca="false">+AF640-AF643</f>
        <v>332134.4</v>
      </c>
      <c r="AG648" s="67" t="n">
        <f aca="false">+AG640-AG643</f>
        <v>337604.5</v>
      </c>
      <c r="AH648" s="67" t="n">
        <f aca="false">+AH640-AH643</f>
        <v>338221.8</v>
      </c>
      <c r="AI648" s="67" t="n">
        <f aca="false">+AI640-AI643</f>
        <v>382747.8</v>
      </c>
      <c r="AJ648" s="67" t="n">
        <f aca="false">+AJ640-AJ643</f>
        <v>422274.001800993</v>
      </c>
      <c r="AK648" s="67" t="n">
        <f aca="false">+AK640-AK643</f>
        <v>454470.600721613</v>
      </c>
      <c r="AL648" s="67" t="n">
        <f aca="false">+AL640-AL643</f>
        <v>488947.389527653</v>
      </c>
      <c r="AM648" s="118"/>
      <c r="AN648" s="118"/>
      <c r="AO648" s="118"/>
    </row>
    <row r="649" customFormat="false" ht="12.75" hidden="false" customHeight="true" outlineLevel="0" collapsed="false">
      <c r="A649" s="59" t="s">
        <v>219</v>
      </c>
      <c r="B649" s="90" t="n">
        <f aca="false">+B648/B655*100</f>
        <v>93.4378067908097</v>
      </c>
      <c r="C649" s="90" t="n">
        <f aca="false">+C648/C655*100</f>
        <v>92.5731443654162</v>
      </c>
      <c r="D649" s="90" t="n">
        <f aca="false">+D648/D655*100</f>
        <v>92.8592763326575</v>
      </c>
      <c r="E649" s="90" t="n">
        <f aca="false">+E648/E655*100</f>
        <v>92.7642008616203</v>
      </c>
      <c r="F649" s="90" t="n">
        <f aca="false">+F648/F655*100</f>
        <v>90.775044502389</v>
      </c>
      <c r="G649" s="90" t="n">
        <f aca="false">+G648/G655*100</f>
        <v>92.3167511224259</v>
      </c>
      <c r="H649" s="90" t="n">
        <f aca="false">+H648/H655*100</f>
        <v>91.9037670040364</v>
      </c>
      <c r="I649" s="90" t="n">
        <f aca="false">+I648/I655*100</f>
        <v>89.9634742977114</v>
      </c>
      <c r="J649" s="90" t="n">
        <f aca="false">+J648/J655*100</f>
        <v>88.9810842444919</v>
      </c>
      <c r="K649" s="90" t="n">
        <f aca="false">+K648/K655*100</f>
        <v>88.7405871547356</v>
      </c>
      <c r="L649" s="90" t="n">
        <f aca="false">+L648/L655*100</f>
        <v>89.3614335742251</v>
      </c>
      <c r="M649" s="90" t="n">
        <f aca="false">+M648/M655*100</f>
        <v>89.9522136607259</v>
      </c>
      <c r="N649" s="90" t="n">
        <f aca="false">+N648/N655*100</f>
        <v>91.2112821489158</v>
      </c>
      <c r="O649" s="90" t="n">
        <f aca="false">+O648/O655*100</f>
        <v>91.0778066408199</v>
      </c>
      <c r="P649" s="90" t="n">
        <f aca="false">+P648/P655*100</f>
        <v>91.5387243177582</v>
      </c>
      <c r="Q649" s="90" t="n">
        <f aca="false">+Q648/Q655*100</f>
        <v>91.0004824434248</v>
      </c>
      <c r="R649" s="90" t="n">
        <f aca="false">+R648/R655*100</f>
        <v>92.9584454394051</v>
      </c>
      <c r="S649" s="90" t="n">
        <f aca="false">+S648/S655*100</f>
        <v>90.3101980040285</v>
      </c>
      <c r="T649" s="90" t="n">
        <f aca="false">+T648/T655*100</f>
        <v>89.51878111334</v>
      </c>
      <c r="U649" s="90" t="n">
        <f aca="false">+U648/U655*100</f>
        <v>90.8804655846089</v>
      </c>
      <c r="V649" s="90" t="n">
        <f aca="false">+V648/V655*100</f>
        <v>93.409298657165</v>
      </c>
      <c r="W649" s="90" t="n">
        <f aca="false">+W648/W655*100</f>
        <v>98.4228317405616</v>
      </c>
      <c r="X649" s="90" t="n">
        <f aca="false">+X648/X655*100</f>
        <v>92.9128923586457</v>
      </c>
      <c r="Y649" s="90" t="n">
        <f aca="false">+Y648/Y655*100</f>
        <v>88.7228829615556</v>
      </c>
      <c r="Z649" s="90" t="n">
        <f aca="false">+Z648/Z655*100</f>
        <v>89.6748013965771</v>
      </c>
      <c r="AA649" s="90" t="n">
        <f aca="false">+AA648/AA655*100</f>
        <v>89.6737752976333</v>
      </c>
      <c r="AB649" s="90" t="n">
        <f aca="false">+AB648/AB655*100</f>
        <v>89.2075532740549</v>
      </c>
      <c r="AC649" s="90" t="n">
        <f aca="false">+AC648/AC655*100</f>
        <v>93.2809387965172</v>
      </c>
      <c r="AD649" s="90" t="n">
        <f aca="false">+AD648/AD655*100</f>
        <v>96.5026843861203</v>
      </c>
      <c r="AE649" s="90" t="n">
        <f aca="false">+AE648/AE655*100</f>
        <v>95.4144840372385</v>
      </c>
      <c r="AF649" s="90" t="n">
        <f aca="false">+AF648/AF655*100</f>
        <v>91.8916316725201</v>
      </c>
      <c r="AG649" s="90" t="n">
        <f aca="false">+AG648/AG655*100</f>
        <v>87.9933891156026</v>
      </c>
      <c r="AH649" s="90" t="n">
        <f aca="false">+AH648/AH655*100</f>
        <v>87.2768738416948</v>
      </c>
      <c r="AI649" s="90" t="n">
        <f aca="false">+AI648/AI655*100</f>
        <v>86.9742402520688</v>
      </c>
      <c r="AJ649" s="90" t="n">
        <f aca="false">+AJ648/AJ655*100</f>
        <v>88.0068470221754</v>
      </c>
      <c r="AK649" s="90" t="n">
        <f aca="false">+AK648/AK655*100</f>
        <v>87.6823611381222</v>
      </c>
      <c r="AL649" s="90" t="n">
        <f aca="false">+AL648/AL655*100</f>
        <v>87.7483148463138</v>
      </c>
      <c r="AM649" s="40"/>
      <c r="AN649" s="40"/>
      <c r="AO649" s="40"/>
    </row>
    <row r="651" customFormat="false" ht="12.75" hidden="false" customHeight="true" outlineLevel="0" collapsed="false">
      <c r="A651" s="59" t="s">
        <v>555</v>
      </c>
      <c r="B651" s="67" t="n">
        <f aca="false">+B655-B648</f>
        <v>626.320000000002</v>
      </c>
      <c r="C651" s="67" t="n">
        <f aca="false">+C655-C648</f>
        <v>877.330000000002</v>
      </c>
      <c r="D651" s="67" t="n">
        <f aca="false">+D655-D648</f>
        <v>1080.6</v>
      </c>
      <c r="E651" s="67" t="n">
        <f aca="false">+E655-E648</f>
        <v>1454.18</v>
      </c>
      <c r="F651" s="67" t="n">
        <f aca="false">+F655-F648</f>
        <v>2290.05</v>
      </c>
      <c r="G651" s="67" t="n">
        <f aca="false">+G655-G648</f>
        <v>1547.621576</v>
      </c>
      <c r="H651" s="67" t="n">
        <f aca="false">+H655-H648</f>
        <v>1655.718378296</v>
      </c>
      <c r="I651" s="67" t="n">
        <f aca="false">+I655-I648</f>
        <v>2608.21</v>
      </c>
      <c r="J651" s="67" t="n">
        <f aca="false">+J655-J648</f>
        <v>2872.26</v>
      </c>
      <c r="K651" s="67" t="n">
        <f aca="false">+K655-K648</f>
        <v>2961.73</v>
      </c>
      <c r="L651" s="67" t="n">
        <f aca="false">+L655-L648</f>
        <v>3270.29</v>
      </c>
      <c r="M651" s="67" t="n">
        <f aca="false">+M655-M648</f>
        <v>3946.04</v>
      </c>
      <c r="N651" s="67" t="n">
        <f aca="false">+N655-N648</f>
        <v>4228.5</v>
      </c>
      <c r="O651" s="67" t="n">
        <f aca="false">+O655-O648</f>
        <v>5400.69999999999</v>
      </c>
      <c r="P651" s="67" t="n">
        <f aca="false">+P655-P648</f>
        <v>7026.84999999999</v>
      </c>
      <c r="Q651" s="67" t="n">
        <f aca="false">+Q655-Q648</f>
        <v>8039.89</v>
      </c>
      <c r="R651" s="67" t="n">
        <f aca="false">+R655-R648</f>
        <v>4694.35100000001</v>
      </c>
      <c r="S651" s="67" t="n">
        <f aca="false">+S655-S648</f>
        <v>7628.39100000003</v>
      </c>
      <c r="T651" s="67" t="n">
        <f aca="false">+T655-T648</f>
        <v>12675.574</v>
      </c>
      <c r="U651" s="67" t="n">
        <f aca="false">+U655-U648</f>
        <v>12445.348</v>
      </c>
      <c r="V651" s="67" t="n">
        <f aca="false">+V655-V648</f>
        <v>8764.68300000002</v>
      </c>
      <c r="W651" s="67" t="n">
        <f aca="false">+W655-W648</f>
        <v>1665.62299999998</v>
      </c>
      <c r="X651" s="67" t="n">
        <f aca="false">+X655-X648</f>
        <v>10266.337</v>
      </c>
      <c r="Y651" s="67" t="n">
        <f aca="false">+Y655-Y648</f>
        <v>22546.311</v>
      </c>
      <c r="Z651" s="67" t="n">
        <f aca="false">+Z655-Z648</f>
        <v>22025.372</v>
      </c>
      <c r="AA651" s="67" t="n">
        <f aca="false">+AA655-AA648</f>
        <v>27389.807</v>
      </c>
      <c r="AB651" s="67" t="n">
        <f aca="false">+AB655-AB648</f>
        <v>31357.3999999999</v>
      </c>
      <c r="AC651" s="67" t="n">
        <f aca="false">+AC655-AC648</f>
        <v>11736.5</v>
      </c>
      <c r="AD651" s="67" t="n">
        <f aca="false">+AD655-AD648</f>
        <v>5351.39999999999</v>
      </c>
      <c r="AE651" s="67" t="n">
        <f aca="false">+AE655-AE648</f>
        <v>9945.20000000001</v>
      </c>
      <c r="AF651" s="67" t="n">
        <f aca="false">+AF655-AF648</f>
        <v>29307</v>
      </c>
      <c r="AG651" s="67" t="n">
        <f aca="false">+AG655-AG648</f>
        <v>46065.8000000001</v>
      </c>
      <c r="AH651" s="67" t="n">
        <f aca="false">+AH655-AH648</f>
        <v>49305.6</v>
      </c>
      <c r="AI651" s="67" t="n">
        <f aca="false">+AI655-AI648</f>
        <v>57322.5000000002</v>
      </c>
      <c r="AJ651" s="67" t="n">
        <f aca="false">+AJ655-AJ648</f>
        <v>57545.4850789213</v>
      </c>
      <c r="AK651" s="67" t="n">
        <f aca="false">+AK655-AK648</f>
        <v>63844.1376391677</v>
      </c>
      <c r="AL651" s="67" t="n">
        <f aca="false">+AL655-AL648</f>
        <v>68268.3135704823</v>
      </c>
      <c r="AM651" s="118"/>
      <c r="AN651" s="118"/>
      <c r="AO651" s="118"/>
    </row>
    <row r="652" customFormat="false" ht="12" hidden="false" customHeight="true" outlineLevel="0" collapsed="false">
      <c r="A652" s="69" t="s">
        <v>401</v>
      </c>
      <c r="C652" s="81" t="n">
        <f aca="false">+C651/B651*100-100</f>
        <v>40.0769574658321</v>
      </c>
      <c r="D652" s="81" t="n">
        <f aca="false">+D651/C651*100-100</f>
        <v>23.169160977055</v>
      </c>
      <c r="E652" s="81" t="n">
        <f aca="false">+E651/D651*100-100</f>
        <v>34.5715343327786</v>
      </c>
      <c r="F652" s="81" t="n">
        <f aca="false">+F651/E651*100-100</f>
        <v>57.4805044767491</v>
      </c>
      <c r="G652" s="81" t="n">
        <f aca="false">+G651/F651*100-100</f>
        <v>-32.4197473417609</v>
      </c>
      <c r="H652" s="81" t="n">
        <f aca="false">+H651/G651*100-100</f>
        <v>6.98470504497522</v>
      </c>
      <c r="I652" s="81" t="n">
        <f aca="false">+I651/H651*100-100</f>
        <v>57.5273931961949</v>
      </c>
      <c r="J652" s="81" t="n">
        <f aca="false">+J651/I651*100-100</f>
        <v>10.1238013810237</v>
      </c>
      <c r="K652" s="81" t="n">
        <f aca="false">+K651/J651*100-100</f>
        <v>3.11496870060515</v>
      </c>
      <c r="L652" s="81" t="n">
        <f aca="false">+L651/K651*100-100</f>
        <v>10.4182352881595</v>
      </c>
      <c r="M652" s="81" t="n">
        <f aca="false">+M651/L651*100-100</f>
        <v>20.663305089151</v>
      </c>
      <c r="N652" s="81" t="n">
        <f aca="false">+N651/M651*100-100</f>
        <v>7.15806225988584</v>
      </c>
      <c r="O652" s="81" t="n">
        <f aca="false">+O651/N651*100-100</f>
        <v>27.7214142130777</v>
      </c>
      <c r="P652" s="81" t="n">
        <f aca="false">+P651/O651*100-100</f>
        <v>30.109985742589</v>
      </c>
      <c r="Q652" s="81" t="n">
        <f aca="false">+Q651/P651*100-100</f>
        <v>14.4167016515225</v>
      </c>
      <c r="R652" s="81" t="n">
        <f aca="false">+R651/Q651*100-100</f>
        <v>-41.6117509070397</v>
      </c>
      <c r="S652" s="81" t="n">
        <f aca="false">+S651/R651*100-100</f>
        <v>62.5015044678171</v>
      </c>
      <c r="T652" s="81" t="n">
        <f aca="false">+T651/S651*100-100</f>
        <v>66.1631397761333</v>
      </c>
      <c r="U652" s="81" t="n">
        <f aca="false">+U651/T651*100-100</f>
        <v>-1.81629644543149</v>
      </c>
      <c r="V652" s="81" t="n">
        <f aca="false">+V651/U651*100-100</f>
        <v>-29.5746249924066</v>
      </c>
      <c r="W652" s="81" t="n">
        <f aca="false">+W651/V651*100-100</f>
        <v>-80.9961980370542</v>
      </c>
      <c r="X652" s="81" t="n">
        <f aca="false">+X651/W651*100-100</f>
        <v>516.366188507253</v>
      </c>
      <c r="Y652" s="81" t="n">
        <f aca="false">+Y651/X651*100-100</f>
        <v>119.613977215047</v>
      </c>
      <c r="Z652" s="81" t="n">
        <f aca="false">+Z651/Y651*100-100</f>
        <v>-2.31052876011505</v>
      </c>
      <c r="AA652" s="81" t="n">
        <f aca="false">+AA651/Z651*100-100</f>
        <v>24.355706682275</v>
      </c>
      <c r="AB652" s="81" t="n">
        <f aca="false">+AB651/AA651*100-100</f>
        <v>14.485655192824</v>
      </c>
      <c r="AC652" s="81" t="n">
        <f aca="false">+AC651/AB651*100-100</f>
        <v>-62.5718331239196</v>
      </c>
      <c r="AD652" s="81" t="n">
        <f aca="false">+AD651/AC651*100-100</f>
        <v>-54.4037830699102</v>
      </c>
      <c r="AE652" s="81" t="n">
        <f aca="false">+AE651/AD651*100-100</f>
        <v>85.8429569832198</v>
      </c>
      <c r="AF652" s="81" t="n">
        <f aca="false">+AF651/AE651*100-100</f>
        <v>194.684873104613</v>
      </c>
      <c r="AG652" s="81" t="n">
        <f aca="false">+AG651/AF651*100-100</f>
        <v>57.183608011738</v>
      </c>
      <c r="AH652" s="81" t="n">
        <f aca="false">+AH651/AG651*100-100</f>
        <v>7.03298325438826</v>
      </c>
      <c r="AI652" s="81" t="n">
        <f aca="false">+AI651/AH651*100-100</f>
        <v>16.2596135124613</v>
      </c>
      <c r="AJ652" s="81" t="n">
        <f aca="false">+AJ651/AI651*100-100</f>
        <v>0.389000966324105</v>
      </c>
      <c r="AK652" s="81" t="n">
        <f aca="false">+AK651/AJ651*100-100</f>
        <v>10.9455199684354</v>
      </c>
      <c r="AL652" s="81" t="n">
        <f aca="false">+AL651/AK651*100-100</f>
        <v>6.92965101403527</v>
      </c>
      <c r="AM652" s="75"/>
      <c r="AN652" s="75"/>
      <c r="AO652" s="75"/>
    </row>
    <row r="653" customFormat="false" ht="12" hidden="false" customHeight="true" outlineLevel="0" collapsed="false">
      <c r="A653" s="69" t="s">
        <v>556</v>
      </c>
      <c r="B653" s="81" t="n">
        <f aca="false">+B651/B661*100</f>
        <v>7.62524395009845</v>
      </c>
      <c r="C653" s="81" t="n">
        <f aca="false">+C651/C661*100</f>
        <v>8.28491268229161</v>
      </c>
      <c r="D653" s="81" t="n">
        <f aca="false">+D651/D661*100</f>
        <v>8.09948439428883</v>
      </c>
      <c r="E653" s="81" t="n">
        <f aca="false">+E651/E661*100</f>
        <v>8.12491374633407</v>
      </c>
      <c r="F653" s="81" t="n">
        <f aca="false">+F651/F661*100</f>
        <v>10.498575158988</v>
      </c>
      <c r="G653" s="81" t="n">
        <f aca="false">+G651/G661*100</f>
        <v>8.74960531270655</v>
      </c>
      <c r="H653" s="81" t="n">
        <f aca="false">+H651/H661*100</f>
        <v>9.10399244908682</v>
      </c>
      <c r="I653" s="81" t="n">
        <f aca="false">+I651/I661*100</f>
        <v>11.5753039825958</v>
      </c>
      <c r="J653" s="81" t="n">
        <f aca="false">+J651/J661*100</f>
        <v>12.75419491548</v>
      </c>
      <c r="K653" s="81" t="n">
        <f aca="false">+K651/K661*100</f>
        <v>13.097767250651</v>
      </c>
      <c r="L653" s="81" t="n">
        <f aca="false">+L651/L661*100</f>
        <v>12.20086741594</v>
      </c>
      <c r="M653" s="81" t="n">
        <f aca="false">+M651/M661*100</f>
        <v>11.6269147678589</v>
      </c>
      <c r="N653" s="81" t="n">
        <f aca="false">+N651/N661*100</f>
        <v>10.1102769763996</v>
      </c>
      <c r="O653" s="81" t="n">
        <f aca="false">+O651/O661*100</f>
        <v>10.2916406312379</v>
      </c>
      <c r="P653" s="81" t="n">
        <f aca="false">+P651/P661*100</f>
        <v>9.80284245252906</v>
      </c>
      <c r="Q653" s="81" t="n">
        <f aca="false">+Q651/Q661*100</f>
        <v>10.402072783678</v>
      </c>
      <c r="R653" s="81" t="n">
        <f aca="false">+R651/R661*100</f>
        <v>7.84867606630564</v>
      </c>
      <c r="S653" s="81" t="n">
        <f aca="false">+S651/S661*100</f>
        <v>10.5296008722502</v>
      </c>
      <c r="T653" s="81" t="n">
        <f aca="false">+T651/T661*100</f>
        <v>11.4012464258599</v>
      </c>
      <c r="U653" s="81" t="n">
        <f aca="false">+U651/U661*100</f>
        <v>9.69986586033482</v>
      </c>
      <c r="V653" s="81" t="n">
        <f aca="false">+V651/V661*100</f>
        <v>7.02230795115856</v>
      </c>
      <c r="W653" s="81" t="n">
        <f aca="false">+W651/W661*100</f>
        <v>1.67509959117009</v>
      </c>
      <c r="X653" s="81" t="n">
        <f aca="false">+X651/X661*100</f>
        <v>7.56982599763657</v>
      </c>
      <c r="Y653" s="81" t="n">
        <f aca="false">+Y651/Y661*100</f>
        <v>11.9057659949906</v>
      </c>
      <c r="Z653" s="81" t="n">
        <f aca="false">+Z651/Z661*100</f>
        <v>11.0024225001949</v>
      </c>
      <c r="AA653" s="81" t="n">
        <f aca="false">+AA651/AA661*100</f>
        <v>10.4350438535332</v>
      </c>
      <c r="AB653" s="81" t="n">
        <f aca="false">+AB651/AB661*100</f>
        <v>10.7924467259451</v>
      </c>
      <c r="AC653" s="81" t="n">
        <f aca="false">+AC651/AC661*100</f>
        <v>6.71906120348282</v>
      </c>
      <c r="AD653" s="81" t="n">
        <f aca="false">+AD651/AD661*100</f>
        <v>3.49731561387973</v>
      </c>
      <c r="AE653" s="81" t="n">
        <f aca="false">+AE651/AE661*100</f>
        <v>4.58551596276148</v>
      </c>
      <c r="AF653" s="81" t="n">
        <f aca="false">+AF651/AF661*100</f>
        <v>8.10836832747992</v>
      </c>
      <c r="AG653" s="81" t="n">
        <f aca="false">+AG651/AG661*100</f>
        <v>12.0066108843974</v>
      </c>
      <c r="AH653" s="81" t="n">
        <f aca="false">+AH651/AH661*100</f>
        <v>12.7231261583052</v>
      </c>
      <c r="AI653" s="81" t="n">
        <f aca="false">+AI651/AI661*100</f>
        <v>13.0257597479312</v>
      </c>
      <c r="AJ653" s="81" t="n">
        <f aca="false">+AJ651/AJ661*100</f>
        <v>11.9931529778246</v>
      </c>
      <c r="AK653" s="81" t="n">
        <f aca="false">+AK651/AK661*100</f>
        <v>12.3176388618778</v>
      </c>
      <c r="AL653" s="81" t="n">
        <f aca="false">+AL651/AL661*100</f>
        <v>12.2516851536862</v>
      </c>
      <c r="AM653" s="75"/>
      <c r="AN653" s="75"/>
      <c r="AO653" s="75"/>
    </row>
    <row r="654" customFormat="false" ht="12.75" hidden="false" customHeight="true" outlineLevel="0" collapsed="false">
      <c r="F654" s="19"/>
      <c r="G654" s="19"/>
      <c r="H654" s="19"/>
      <c r="I654" s="118"/>
      <c r="J654" s="19"/>
      <c r="K654" s="19"/>
      <c r="L654" s="19"/>
      <c r="N654" s="75"/>
    </row>
    <row r="655" customFormat="false" ht="12.75" hidden="false" customHeight="true" outlineLevel="0" collapsed="false">
      <c r="A655" s="59" t="s">
        <v>557</v>
      </c>
      <c r="B655" s="67" t="n">
        <f aca="false">+B436</f>
        <v>9544.37</v>
      </c>
      <c r="C655" s="67" t="n">
        <f aca="false">+C436</f>
        <v>11812.94</v>
      </c>
      <c r="D655" s="67" t="n">
        <f aca="false">+D436</f>
        <v>15132.92</v>
      </c>
      <c r="E655" s="67" t="n">
        <f aca="false">+E436</f>
        <v>20097.02</v>
      </c>
      <c r="F655" s="67" t="n">
        <f aca="false">+F436</f>
        <v>24824.51</v>
      </c>
      <c r="G655" s="67" t="n">
        <f aca="false">+G436</f>
        <v>20142.801576</v>
      </c>
      <c r="H655" s="67" t="n">
        <f aca="false">+H436</f>
        <v>20450.478378296</v>
      </c>
      <c r="I655" s="67" t="n">
        <f aca="false">+I436</f>
        <v>25987.18</v>
      </c>
      <c r="J655" s="67" t="n">
        <f aca="false">+J436</f>
        <v>26066.63</v>
      </c>
      <c r="K655" s="67" t="n">
        <f aca="false">+K436</f>
        <v>26304.48</v>
      </c>
      <c r="L655" s="67" t="n">
        <f aca="false">+L436</f>
        <v>30739.95</v>
      </c>
      <c r="M655" s="67" t="n">
        <f aca="false">+M436</f>
        <v>39272.73</v>
      </c>
      <c r="N655" s="67" t="n">
        <f aca="false">+N436</f>
        <v>48112.82</v>
      </c>
      <c r="O655" s="67" t="n">
        <f aca="false">+O436</f>
        <v>60531.08</v>
      </c>
      <c r="P655" s="67" t="n">
        <f aca="false">+P436</f>
        <v>83047.17</v>
      </c>
      <c r="Q655" s="67" t="n">
        <f aca="false">+Q436</f>
        <v>89336.9</v>
      </c>
      <c r="R655" s="67" t="n">
        <f aca="false">+R436</f>
        <v>66666.401</v>
      </c>
      <c r="S655" s="67" t="n">
        <f aca="false">+S436</f>
        <v>78725.974</v>
      </c>
      <c r="T655" s="67" t="n">
        <f aca="false">+T436</f>
        <v>120936.068</v>
      </c>
      <c r="U655" s="67" t="n">
        <f aca="false">+U436</f>
        <v>136469.116</v>
      </c>
      <c r="V655" s="67" t="n">
        <f aca="false">+V436</f>
        <v>132985.589</v>
      </c>
      <c r="W655" s="67" t="n">
        <f aca="false">+W436</f>
        <v>105608.453</v>
      </c>
      <c r="X655" s="67" t="n">
        <f aca="false">+X436</f>
        <v>144859.335</v>
      </c>
      <c r="Y655" s="67" t="n">
        <f aca="false">+Y436</f>
        <v>199929.742</v>
      </c>
      <c r="Z655" s="67" t="n">
        <f aca="false">+Z436</f>
        <v>213316.691</v>
      </c>
      <c r="AA655" s="67" t="n">
        <f aca="false">+AA436</f>
        <v>265245.119</v>
      </c>
      <c r="AB655" s="67" t="n">
        <f aca="false">+AB436</f>
        <v>290549.5</v>
      </c>
      <c r="AC655" s="67" t="n">
        <f aca="false">+AC436</f>
        <v>174674.7</v>
      </c>
      <c r="AD655" s="67" t="n">
        <f aca="false">+AD436</f>
        <v>153014.5</v>
      </c>
      <c r="AE655" s="67" t="n">
        <f aca="false">+AE436</f>
        <v>216882.9</v>
      </c>
      <c r="AF655" s="67" t="n">
        <f aca="false">+AF436</f>
        <v>361441.4</v>
      </c>
      <c r="AG655" s="67" t="n">
        <f aca="false">+AG436</f>
        <v>383670.3</v>
      </c>
      <c r="AH655" s="67" t="n">
        <f aca="false">+AH436</f>
        <v>387527.4</v>
      </c>
      <c r="AI655" s="67" t="n">
        <f aca="false">+AI436</f>
        <v>440070.3</v>
      </c>
      <c r="AJ655" s="67" t="n">
        <f aca="false">+AJ436</f>
        <v>479819.486879914</v>
      </c>
      <c r="AK655" s="67" t="n">
        <f aca="false">+AK436</f>
        <v>518314.738360781</v>
      </c>
      <c r="AL655" s="67" t="n">
        <f aca="false">+AL436</f>
        <v>557215.703098136</v>
      </c>
      <c r="AM655" s="157"/>
      <c r="AN655" s="157"/>
      <c r="AO655" s="157"/>
    </row>
    <row r="656" customFormat="false" ht="12.75" hidden="false" customHeight="true" outlineLevel="0" collapsed="false">
      <c r="A656" s="59" t="s">
        <v>526</v>
      </c>
      <c r="B656" s="19"/>
      <c r="C656" s="165" t="n">
        <f aca="false">+C655/B655*100-100</f>
        <v>23.7686720024475</v>
      </c>
      <c r="D656" s="165" t="n">
        <f aca="false">+D655/C655*100-100</f>
        <v>28.1046039343296</v>
      </c>
      <c r="E656" s="165" t="n">
        <f aca="false">+E655/D655*100-100</f>
        <v>32.8033188571671</v>
      </c>
      <c r="F656" s="165" t="n">
        <f aca="false">+F655/E655*100-100</f>
        <v>23.5233382859747</v>
      </c>
      <c r="G656" s="165" t="n">
        <f aca="false">+G655/F655*100-100</f>
        <v>-18.859217861702</v>
      </c>
      <c r="H656" s="165" t="n">
        <f aca="false">+H655/G655*100-100</f>
        <v>1.52747770033437</v>
      </c>
      <c r="I656" s="165" t="n">
        <f aca="false">+I655/H655*100-100</f>
        <v>27.073702234663</v>
      </c>
      <c r="J656" s="165" t="n">
        <f aca="false">+J655/I655*100-100</f>
        <v>0.305727670335926</v>
      </c>
      <c r="K656" s="165" t="n">
        <f aca="false">+K655/J655*100-100</f>
        <v>0.91246931421513</v>
      </c>
      <c r="L656" s="165" t="n">
        <f aca="false">+L655/K655*100-100</f>
        <v>16.8620326271419</v>
      </c>
      <c r="M656" s="165" t="n">
        <f aca="false">+M655/L655*100-100</f>
        <v>27.7579501593203</v>
      </c>
      <c r="N656" s="165" t="n">
        <f aca="false">+N655/M655*100-100</f>
        <v>22.5094868627671</v>
      </c>
      <c r="O656" s="165" t="n">
        <f aca="false">+O655/N655*100-100</f>
        <v>25.8107090792018</v>
      </c>
      <c r="P656" s="165" t="n">
        <f aca="false">+P655/O655*100-100</f>
        <v>37.1975685879056</v>
      </c>
      <c r="Q656" s="165" t="n">
        <f aca="false">+Q655/P655*100-100</f>
        <v>7.5736837269711</v>
      </c>
      <c r="R656" s="165" t="n">
        <f aca="false">+R655/Q655*100-100</f>
        <v>-25.3764110910497</v>
      </c>
      <c r="S656" s="165" t="n">
        <f aca="false">+S655/R655*100-100</f>
        <v>18.0894315863849</v>
      </c>
      <c r="T656" s="165" t="n">
        <f aca="false">+T655/S655*100-100</f>
        <v>53.6164773267842</v>
      </c>
      <c r="U656" s="165" t="n">
        <f aca="false">+U655/T655*100-100</f>
        <v>12.8440160630987</v>
      </c>
      <c r="V656" s="165" t="n">
        <f aca="false">+V655/U655*100-100</f>
        <v>-2.55261197705714</v>
      </c>
      <c r="W656" s="165" t="n">
        <f aca="false">+W655/V655*100-100</f>
        <v>-20.5865434035864</v>
      </c>
      <c r="X656" s="165" t="n">
        <f aca="false">+X655/W655*100-100</f>
        <v>37.1664207598989</v>
      </c>
      <c r="Y656" s="165" t="n">
        <f aca="false">+Y655/X655*100-100</f>
        <v>38.0164709440368</v>
      </c>
      <c r="Z656" s="165" t="n">
        <f aca="false">+Z655/Y655*100-100</f>
        <v>6.69582667695335</v>
      </c>
      <c r="AA656" s="165" t="n">
        <f aca="false">+AA655/Z655*100-100</f>
        <v>24.3433496725298</v>
      </c>
      <c r="AB656" s="165" t="n">
        <f aca="false">+AB655/AA655*100-100</f>
        <v>9.53999873603706</v>
      </c>
      <c r="AC656" s="165" t="n">
        <f aca="false">+AC655/AB655*100-100</f>
        <v>-39.8812594755799</v>
      </c>
      <c r="AD656" s="165" t="n">
        <f aca="false">+AD655/AC655*100-100</f>
        <v>-12.4003075431073</v>
      </c>
      <c r="AE656" s="165" t="n">
        <f aca="false">+AE655/AD655*100-100</f>
        <v>41.7400965267998</v>
      </c>
      <c r="AF656" s="165" t="n">
        <f aca="false">+AF655/AE655*100-100</f>
        <v>66.6527882096744</v>
      </c>
      <c r="AG656" s="165" t="n">
        <f aca="false">+AG655/AF655*100-100</f>
        <v>6.15007024651852</v>
      </c>
      <c r="AH656" s="165" t="n">
        <f aca="false">+AH655/AG655*100-100</f>
        <v>1.00531628327761</v>
      </c>
      <c r="AI656" s="165" t="n">
        <f aca="false">+AI655/AH655*100-100</f>
        <v>13.558499347401</v>
      </c>
      <c r="AJ656" s="165" t="n">
        <f aca="false">+AJ655/AI655*100-100</f>
        <v>9.03246296782898</v>
      </c>
      <c r="AK656" s="165" t="n">
        <f aca="false">+AK655/AJ655*100-100</f>
        <v>8.02286120790694</v>
      </c>
      <c r="AL656" s="165" t="n">
        <f aca="false">+AL655/AK655*100-100</f>
        <v>7.50527852254072</v>
      </c>
      <c r="AM656" s="157"/>
      <c r="AN656" s="157"/>
      <c r="AO656" s="157"/>
    </row>
    <row r="657" customFormat="false" ht="12.75" hidden="false" customHeight="true" outlineLevel="0" collapsed="false">
      <c r="A657" s="59" t="s">
        <v>513</v>
      </c>
      <c r="B657" s="43" t="n">
        <f aca="false">+B378</f>
        <v>20571</v>
      </c>
      <c r="C657" s="43" t="n">
        <f aca="false">+C378</f>
        <v>24226</v>
      </c>
      <c r="D657" s="43" t="n">
        <f aca="false">+D378</f>
        <v>30410</v>
      </c>
      <c r="E657" s="43" t="n">
        <f aca="false">+E378</f>
        <v>37399</v>
      </c>
      <c r="F657" s="43" t="n">
        <f aca="false">+F378</f>
        <v>43352</v>
      </c>
      <c r="G657" s="43" t="n">
        <f aca="false">+G378</f>
        <v>31547</v>
      </c>
      <c r="H657" s="43" t="n">
        <f aca="false">+H378</f>
        <v>29741</v>
      </c>
      <c r="I657" s="43" t="n">
        <f aca="false">+I378</f>
        <v>37859</v>
      </c>
      <c r="J657" s="43" t="n">
        <f aca="false">+J378</f>
        <v>32475</v>
      </c>
      <c r="K657" s="43" t="n">
        <f aca="false">+K378</f>
        <v>29673</v>
      </c>
      <c r="L657" s="43" t="n">
        <f aca="false">+L378</f>
        <v>36444</v>
      </c>
      <c r="M657" s="43" t="n">
        <f aca="false">+M378</f>
        <v>48654</v>
      </c>
      <c r="N657" s="43" t="n">
        <f aca="false">+N378</f>
        <v>54740</v>
      </c>
      <c r="O657" s="43" t="n">
        <f aca="false">+O378</f>
        <v>61655</v>
      </c>
      <c r="P657" s="43" t="n">
        <f aca="false">+P378</f>
        <v>83091</v>
      </c>
      <c r="Q657" s="43" t="n">
        <f aca="false">+Q378</f>
        <v>83309</v>
      </c>
      <c r="R657" s="43" t="n">
        <f aca="false">+R378</f>
        <v>54431</v>
      </c>
      <c r="S657" s="43" t="n">
        <f aca="false">+S378</f>
        <v>63926</v>
      </c>
      <c r="T657" s="43" t="n">
        <f aca="false">+T378</f>
        <v>94106</v>
      </c>
      <c r="U657" s="43" t="n">
        <f aca="false">+U378</f>
        <v>98792</v>
      </c>
      <c r="V657" s="43" t="n">
        <f aca="false">+V378</f>
        <v>89470.76</v>
      </c>
      <c r="W657" s="43" t="n">
        <f aca="false">+W378</f>
        <v>69027</v>
      </c>
      <c r="X657" s="43" t="n">
        <f aca="false">+X378</f>
        <v>86591.5</v>
      </c>
      <c r="Y657" s="43" t="n">
        <f aca="false">+Y378</f>
        <v>120029.25</v>
      </c>
      <c r="Z657" s="43" t="n">
        <f aca="false">+Z378</f>
        <v>122218.75</v>
      </c>
      <c r="AA657" s="43" t="n">
        <f aca="false">+AA378</f>
        <v>144974.25</v>
      </c>
      <c r="AB657" s="43" t="n">
        <f aca="false">+AB378</f>
        <v>197366</v>
      </c>
      <c r="AC657" s="43" t="n">
        <f aca="false">+AC378</f>
        <v>125253</v>
      </c>
      <c r="AD657" s="43" t="n">
        <f aca="false">+AD378</f>
        <v>100715</v>
      </c>
      <c r="AE657" s="43" t="n">
        <f aca="false">+AE378</f>
        <v>128326</v>
      </c>
      <c r="AF657" s="43" t="n">
        <f aca="false">+AF378</f>
        <v>192205</v>
      </c>
      <c r="AG657" s="43" t="n">
        <f aca="false">+AG378</f>
        <v>194683</v>
      </c>
      <c r="AH657" s="43" t="n">
        <f aca="false">+AH378</f>
        <v>195093</v>
      </c>
      <c r="AI657" s="43" t="n">
        <f aca="false">+AI378</f>
        <v>220437</v>
      </c>
      <c r="AJ657" s="43" t="n">
        <f aca="false">+AJ378</f>
        <v>237395.64</v>
      </c>
      <c r="AK657" s="43" t="n">
        <f aca="false">+AK378</f>
        <v>254191.8912</v>
      </c>
      <c r="AL657" s="43" t="n">
        <f aca="false">+AL378</f>
        <v>270307.884672</v>
      </c>
      <c r="AM657" s="112"/>
      <c r="AN657" s="112"/>
      <c r="AO657" s="112"/>
    </row>
    <row r="658" customFormat="false" ht="12.75" hidden="false" customHeight="true" outlineLevel="0" collapsed="false">
      <c r="A658" s="59" t="s">
        <v>526</v>
      </c>
      <c r="B658" s="19"/>
      <c r="C658" s="165" t="n">
        <f aca="false">+C657/B657*100-100</f>
        <v>17.7677312721793</v>
      </c>
      <c r="D658" s="165" t="n">
        <f aca="false">+D657/C657*100-100</f>
        <v>25.5262940642285</v>
      </c>
      <c r="E658" s="165" t="n">
        <f aca="false">+E657/D657*100-100</f>
        <v>22.9825715225255</v>
      </c>
      <c r="F658" s="165" t="n">
        <f aca="false">+F657/E657*100-100</f>
        <v>15.9175379020829</v>
      </c>
      <c r="G658" s="165" t="n">
        <f aca="false">+G657/F657*100-100</f>
        <v>-27.2305775973427</v>
      </c>
      <c r="H658" s="165" t="n">
        <f aca="false">+H657/G657*100-100</f>
        <v>-5.72479158081592</v>
      </c>
      <c r="I658" s="165" t="n">
        <f aca="false">+I657/H657*100-100</f>
        <v>27.2956524662923</v>
      </c>
      <c r="J658" s="165" t="n">
        <f aca="false">+J657/I657*100-100</f>
        <v>-14.2211891492115</v>
      </c>
      <c r="K658" s="165" t="n">
        <f aca="false">+K657/J657*100-100</f>
        <v>-8.62817551963049</v>
      </c>
      <c r="L658" s="165" t="n">
        <f aca="false">+L657/K657*100-100</f>
        <v>22.8187240926094</v>
      </c>
      <c r="M658" s="165" t="n">
        <f aca="false">+M657/L657*100-100</f>
        <v>33.5034573592361</v>
      </c>
      <c r="N658" s="165" t="n">
        <f aca="false">+N657/M657*100-100</f>
        <v>12.5087351502446</v>
      </c>
      <c r="O658" s="165" t="n">
        <f aca="false">+O657/N657*100-100</f>
        <v>12.6324442820606</v>
      </c>
      <c r="P658" s="165" t="n">
        <f aca="false">+P657/O657*100-100</f>
        <v>34.7676587462493</v>
      </c>
      <c r="Q658" s="165" t="n">
        <f aca="false">+Q657/P657*100-100</f>
        <v>0.262362951462848</v>
      </c>
      <c r="R658" s="165" t="n">
        <f aca="false">+R657/Q657*100-100</f>
        <v>-34.6637218067676</v>
      </c>
      <c r="S658" s="165" t="n">
        <f aca="false">+S657/R657*100-100</f>
        <v>17.4441035439364</v>
      </c>
      <c r="T658" s="165" t="n">
        <f aca="false">+T657/S657*100-100</f>
        <v>47.2108375308951</v>
      </c>
      <c r="U658" s="165" t="n">
        <f aca="false">+U657/T657*100-100</f>
        <v>4.97949121203749</v>
      </c>
      <c r="V658" s="165" t="n">
        <f aca="false">+V657/U657*100-100</f>
        <v>-9.43521742651225</v>
      </c>
      <c r="W658" s="165" t="n">
        <f aca="false">+W657/V657*100-100</f>
        <v>-22.8496550157839</v>
      </c>
      <c r="X658" s="165" t="n">
        <f aca="false">+X657/W657*100-100</f>
        <v>25.44584003361</v>
      </c>
      <c r="Y658" s="165" t="n">
        <f aca="false">+Y657/X657*100-100</f>
        <v>38.615510760294</v>
      </c>
      <c r="Z658" s="165" t="n">
        <f aca="false">+Z657/Y657*100-100</f>
        <v>1.82413869952534</v>
      </c>
      <c r="AA658" s="165" t="n">
        <f aca="false">+AA657/Z657*100-100</f>
        <v>18.6186653029916</v>
      </c>
      <c r="AB658" s="165" t="n">
        <f aca="false">+AB657/AA657*100-100</f>
        <v>36.1386591067034</v>
      </c>
      <c r="AC658" s="165" t="n">
        <f aca="false">+AC657/AB657*100-100</f>
        <v>-36.5377015291388</v>
      </c>
      <c r="AD658" s="165" t="n">
        <f aca="false">+AD657/AC657*100-100</f>
        <v>-19.5907483253894</v>
      </c>
      <c r="AE658" s="165" t="n">
        <f aca="false">+AE657/AD657*100-100</f>
        <v>27.4149828724619</v>
      </c>
      <c r="AF658" s="165" t="n">
        <f aca="false">+AF657/AE657*100-100</f>
        <v>49.7786886523386</v>
      </c>
      <c r="AG658" s="165" t="n">
        <f aca="false">+AG657/AF657*100-100</f>
        <v>1.28924845867692</v>
      </c>
      <c r="AH658" s="165" t="n">
        <f aca="false">+AH657/AG657*100-100</f>
        <v>0.210598768254044</v>
      </c>
      <c r="AI658" s="165" t="n">
        <f aca="false">+AI657/AH657*100-100</f>
        <v>12.9907274991927</v>
      </c>
      <c r="AJ658" s="165" t="n">
        <f aca="false">+AJ657/AI657*100-100</f>
        <v>7.69319125192232</v>
      </c>
      <c r="AK658" s="165" t="n">
        <f aca="false">+AK657/AJ657*100-100</f>
        <v>7.07521469223276</v>
      </c>
      <c r="AL658" s="165" t="n">
        <f aca="false">+AL657/AK657*100-100</f>
        <v>6.34008952682122</v>
      </c>
      <c r="AM658" s="157"/>
      <c r="AN658" s="157"/>
      <c r="AO658" s="157"/>
    </row>
    <row r="660" customFormat="false" ht="12.75" hidden="false" customHeight="true" outlineLevel="0" collapsed="false">
      <c r="A660" s="311"/>
      <c r="B660" s="157"/>
      <c r="C660" s="157"/>
      <c r="D660" s="157"/>
      <c r="E660" s="157"/>
      <c r="F660" s="157"/>
      <c r="G660" s="157"/>
      <c r="H660" s="157"/>
      <c r="I660" s="157"/>
      <c r="J660" s="157"/>
    </row>
    <row r="661" customFormat="false" ht="12.75" hidden="false" customHeight="true" outlineLevel="0" collapsed="false">
      <c r="A661" s="59" t="s">
        <v>558</v>
      </c>
      <c r="B661" s="62" t="n">
        <f aca="false">B655-B572</f>
        <v>8213.77</v>
      </c>
      <c r="C661" s="62" t="n">
        <f aca="false">C655-C572</f>
        <v>10589.49</v>
      </c>
      <c r="D661" s="62" t="n">
        <f aca="false">D655-D572</f>
        <v>13341.59</v>
      </c>
      <c r="E661" s="62" t="n">
        <f aca="false">E655-E572</f>
        <v>17897.79</v>
      </c>
      <c r="F661" s="62" t="n">
        <f aca="false">F655-F572</f>
        <v>21812.96</v>
      </c>
      <c r="G661" s="62" t="n">
        <f aca="false">G655-G572</f>
        <v>17687.901576</v>
      </c>
      <c r="H661" s="62" t="n">
        <f aca="false">H655-H572</f>
        <v>18186.728378296</v>
      </c>
      <c r="I661" s="62" t="n">
        <f aca="false">I655-I572</f>
        <v>22532.54</v>
      </c>
      <c r="J661" s="62" t="n">
        <f aca="false">J655-J572</f>
        <v>22520.12</v>
      </c>
      <c r="K661" s="62" t="n">
        <f aca="false">K655-K572</f>
        <v>22612.48</v>
      </c>
      <c r="L661" s="62" t="n">
        <f aca="false">L655-L572</f>
        <v>26803.75</v>
      </c>
      <c r="M661" s="62" t="n">
        <f aca="false">M655-M572</f>
        <v>33938.84</v>
      </c>
      <c r="N661" s="62" t="n">
        <f aca="false">N655-N572</f>
        <v>41823.78</v>
      </c>
      <c r="O661" s="62" t="n">
        <f aca="false">O655-O572</f>
        <v>52476.57</v>
      </c>
      <c r="P661" s="62" t="n">
        <f aca="false">P655-P572</f>
        <v>71681.76</v>
      </c>
      <c r="Q661" s="62" t="n">
        <f aca="false">Q655-Q572</f>
        <v>77291.23</v>
      </c>
      <c r="R661" s="62" t="n">
        <f aca="false">R655-R572</f>
        <v>59810.737</v>
      </c>
      <c r="S661" s="62" t="n">
        <f aca="false">S655-S572</f>
        <v>72447.105</v>
      </c>
      <c r="T661" s="62" t="n">
        <f aca="false">T655-T572</f>
        <v>111177.09</v>
      </c>
      <c r="U661" s="62" t="n">
        <f aca="false">U655-U572</f>
        <v>128304.331</v>
      </c>
      <c r="V661" s="62" t="n">
        <f aca="false">V655-V572</f>
        <v>124812</v>
      </c>
      <c r="W661" s="62" t="n">
        <f aca="false">W655-W572</f>
        <v>99434.267</v>
      </c>
      <c r="X661" s="62" t="n">
        <f aca="false">X655-X572</f>
        <v>135621.836</v>
      </c>
      <c r="Y661" s="62" t="n">
        <f aca="false">Y655-Y572</f>
        <v>189373.04</v>
      </c>
      <c r="Z661" s="62" t="n">
        <f aca="false">Z655-Z572</f>
        <v>200186.568</v>
      </c>
      <c r="AA661" s="62" t="n">
        <f aca="false">AA655-AA572</f>
        <v>262479.079</v>
      </c>
      <c r="AB661" s="62" t="n">
        <f aca="false">AB655-AB572</f>
        <v>290549.5</v>
      </c>
      <c r="AC661" s="62" t="n">
        <f aca="false">AC655-AC572</f>
        <v>174674.7</v>
      </c>
      <c r="AD661" s="62" t="n">
        <f aca="false">AD655-AD572</f>
        <v>153014.5</v>
      </c>
      <c r="AE661" s="62" t="n">
        <f aca="false">AE655-AE572</f>
        <v>216882.9</v>
      </c>
      <c r="AF661" s="62" t="n">
        <f aca="false">AF655-AF572</f>
        <v>361441.4</v>
      </c>
      <c r="AG661" s="62" t="n">
        <f aca="false">AG655-AG572</f>
        <v>383670.3</v>
      </c>
      <c r="AH661" s="62" t="n">
        <f aca="false">AH655-AH572</f>
        <v>387527.4</v>
      </c>
      <c r="AI661" s="62" t="n">
        <f aca="false">AI655-AI572</f>
        <v>440070.3</v>
      </c>
      <c r="AJ661" s="62" t="n">
        <f aca="false">AJ655-AJ572</f>
        <v>479819.486879914</v>
      </c>
      <c r="AK661" s="62" t="n">
        <f aca="false">AK655-AK572</f>
        <v>518314.738360781</v>
      </c>
      <c r="AL661" s="62" t="n">
        <f aca="false">AL655-AL572</f>
        <v>557215.703098136</v>
      </c>
      <c r="AM661" s="41"/>
      <c r="AN661" s="41"/>
      <c r="AO661" s="41"/>
    </row>
    <row r="663" customFormat="false" ht="12.75" hidden="false" customHeight="true" outlineLevel="0" collapsed="false">
      <c r="A663" s="59" t="s">
        <v>559</v>
      </c>
      <c r="G663" s="70" t="n">
        <f aca="false">G565/G661*100</f>
        <v>70.2907574795067</v>
      </c>
      <c r="H663" s="70" t="n">
        <f aca="false">H565/H661*100</f>
        <v>70.3781336244889</v>
      </c>
      <c r="I663" s="70" t="n">
        <f aca="false">I565/I661*100</f>
        <v>69.2968036448621</v>
      </c>
      <c r="J663" s="70" t="n">
        <f aca="false">J565/J661*100</f>
        <v>66.9837904948997</v>
      </c>
      <c r="K663" s="70" t="n">
        <f aca="false">K565/K661*100</f>
        <v>65.9151937337258</v>
      </c>
      <c r="L663" s="70" t="n">
        <f aca="false">L565/L661*100</f>
        <v>68.5747330131045</v>
      </c>
      <c r="M663" s="70" t="n">
        <f aca="false">M565/M661*100</f>
        <v>70.4032017594002</v>
      </c>
      <c r="N663" s="70" t="n">
        <f aca="false">N565/N661*100</f>
        <v>72.5493009001099</v>
      </c>
      <c r="O663" s="70" t="n">
        <f aca="false">O565/O661*100</f>
        <v>73.7123443853133</v>
      </c>
      <c r="P663" s="70" t="n">
        <f aca="false">P565/P661*100</f>
        <v>76.2162229275621</v>
      </c>
      <c r="Q663" s="70" t="n">
        <f aca="false">Q565/Q661*100</f>
        <v>74.5924990454932</v>
      </c>
      <c r="R663" s="70" t="n">
        <f aca="false">R565/R661*100</f>
        <v>74.4422092641995</v>
      </c>
      <c r="S663" s="70" t="n">
        <f aca="false">S565/S661*100</f>
        <v>72.0431368513621</v>
      </c>
      <c r="T663" s="70" t="n">
        <f aca="false">T565/T661*100</f>
        <v>73.0676751837991</v>
      </c>
      <c r="U663" s="70" t="n">
        <f aca="false">U565/U661*100</f>
        <v>73.762905945864</v>
      </c>
      <c r="V663" s="70" t="n">
        <f aca="false">V565/V661*100</f>
        <v>73.0974265295004</v>
      </c>
      <c r="W663" s="70" t="n">
        <f aca="false">W565/W661*100</f>
        <v>76.4623024776761</v>
      </c>
      <c r="X663" s="70" t="n">
        <f aca="false">X565/X661*100</f>
        <v>73.4779154589826</v>
      </c>
      <c r="Y663" s="70" t="n">
        <f aca="false">Y565/Y661*100</f>
        <v>69.6765516358611</v>
      </c>
      <c r="Z663" s="70" t="n">
        <f aca="false">Z565/Z661*100</f>
        <v>69.7212841972494</v>
      </c>
      <c r="AA663" s="70" t="n">
        <f aca="false">AA565/AA661*100</f>
        <v>70.9438434900939</v>
      </c>
      <c r="AB663" s="70" t="n">
        <f aca="false">AB565/AB661*100</f>
        <v>71.1739996110818</v>
      </c>
      <c r="AC663" s="70" t="n">
        <f aca="false">AC565/AC661*100</f>
        <v>70.8124874409402</v>
      </c>
      <c r="AD663" s="70" t="n">
        <f aca="false">AD565/AD661*100</f>
        <v>74.524375140918</v>
      </c>
      <c r="AE663" s="70" t="n">
        <f aca="false">AE565/AE661*100</f>
        <v>77.2816575211785</v>
      </c>
      <c r="AF663" s="70" t="n">
        <f aca="false">AF565/AF661*100</f>
        <v>77.0502493626906</v>
      </c>
      <c r="AG663" s="70" t="n">
        <f aca="false">AG565/AG661*100</f>
        <v>72.7499887273005</v>
      </c>
      <c r="AH663" s="70" t="n">
        <f aca="false">AH565/AH661*100</f>
        <v>71.27955339416</v>
      </c>
      <c r="AI663" s="70" t="n">
        <f aca="false">AI565/AI661*100</f>
        <v>71.3911845448329</v>
      </c>
      <c r="AJ663" s="70" t="n">
        <f aca="false">AJ565/AJ661*100</f>
        <v>72.5</v>
      </c>
      <c r="AK663" s="70" t="n">
        <f aca="false">AK565/AK661*100</f>
        <v>72</v>
      </c>
      <c r="AL663" s="70" t="n">
        <f aca="false">AL565/AL661*100</f>
        <v>72</v>
      </c>
      <c r="AM663" s="115"/>
      <c r="AN663" s="115"/>
      <c r="AO663" s="115"/>
    </row>
    <row r="664" customFormat="false" ht="12.75" hidden="false" customHeight="true" outlineLevel="0" collapsed="false">
      <c r="A664" s="167"/>
      <c r="G664" s="115"/>
      <c r="H664" s="115"/>
      <c r="I664" s="115"/>
      <c r="J664" s="115"/>
      <c r="K664" s="115"/>
      <c r="L664" s="115"/>
      <c r="M664" s="115"/>
      <c r="N664" s="115"/>
      <c r="O664" s="115"/>
      <c r="P664" s="115"/>
      <c r="Q664" s="115"/>
      <c r="R664" s="115"/>
      <c r="S664" s="115"/>
      <c r="T664" s="115"/>
      <c r="U664" s="115"/>
      <c r="V664" s="115"/>
      <c r="W664" s="115"/>
      <c r="X664" s="115"/>
      <c r="Y664" s="115"/>
      <c r="Z664" s="115"/>
      <c r="AA664" s="291"/>
      <c r="AB664" s="115"/>
      <c r="AC664" s="115"/>
      <c r="AD664" s="115"/>
      <c r="AE664" s="115"/>
      <c r="AF664" s="291"/>
      <c r="AG664" s="291"/>
      <c r="AH664" s="115"/>
      <c r="AI664" s="115"/>
      <c r="AJ664" s="115"/>
      <c r="AK664" s="115"/>
      <c r="AL664" s="115"/>
      <c r="AM664" s="115"/>
      <c r="AN664" s="115"/>
      <c r="AO664" s="115"/>
    </row>
    <row r="665" customFormat="false" ht="12.75" hidden="false" customHeight="true" outlineLevel="0" collapsed="false">
      <c r="A665" s="59" t="s">
        <v>560</v>
      </c>
      <c r="G665" s="70" t="n">
        <f aca="false">G534/G661*100</f>
        <v>45.2001610572508</v>
      </c>
      <c r="H665" s="70" t="n">
        <f aca="false">H534/H661*100</f>
        <v>39.2399878172517</v>
      </c>
      <c r="I665" s="70" t="n">
        <f aca="false">I534/I661*100</f>
        <v>45.6309408526513</v>
      </c>
      <c r="J665" s="70" t="n">
        <f aca="false">J534/J661*100</f>
        <v>45.5739134604967</v>
      </c>
      <c r="K665" s="70" t="n">
        <f aca="false">K534/K661*100</f>
        <v>48.5673398052757</v>
      </c>
      <c r="L665" s="70" t="n">
        <f aca="false">L534/L661*100</f>
        <v>44.2870120785338</v>
      </c>
      <c r="M665" s="70" t="n">
        <f aca="false">M534/M661*100</f>
        <v>52.3211753848983</v>
      </c>
      <c r="N665" s="70" t="n">
        <f aca="false">N534/N661*100</f>
        <v>54.8430820934885</v>
      </c>
      <c r="O665" s="70" t="n">
        <f aca="false">O534/O661*100</f>
        <v>60.0548016000284</v>
      </c>
      <c r="P665" s="70" t="n">
        <f aca="false">P534/P661*100</f>
        <v>57.8757552827944</v>
      </c>
      <c r="Q665" s="70" t="n">
        <f aca="false">Q534/Q661*100</f>
        <v>58.6238179933221</v>
      </c>
      <c r="R665" s="70" t="n">
        <f aca="false">R534/R661*100</f>
        <v>57.9290337117899</v>
      </c>
      <c r="S665" s="70" t="n">
        <f aca="false">S534/S661*100</f>
        <v>58.6484801566605</v>
      </c>
      <c r="T665" s="70" t="n">
        <f aca="false">T534/T661*100</f>
        <v>56.6397906259284</v>
      </c>
      <c r="U665" s="70" t="n">
        <f aca="false">U534/U661*100</f>
        <v>56.7322493579737</v>
      </c>
      <c r="V665" s="70" t="n">
        <f aca="false">V534/V661*100</f>
        <v>47.5838589238214</v>
      </c>
      <c r="W665" s="70" t="n">
        <f aca="false">W534/W661*100</f>
        <v>45.8271301984858</v>
      </c>
      <c r="X665" s="70" t="n">
        <f aca="false">X534/X661*100</f>
        <v>44.6394369709019</v>
      </c>
      <c r="Y665" s="70" t="n">
        <f aca="false">Y534/Y661*100</f>
        <v>46.6029113753468</v>
      </c>
      <c r="Z665" s="115"/>
      <c r="AA665" s="291"/>
      <c r="AB665" s="115"/>
      <c r="AC665" s="115"/>
      <c r="AD665" s="115"/>
      <c r="AE665" s="115"/>
      <c r="AF665" s="291"/>
      <c r="AG665" s="291"/>
      <c r="AH665" s="115"/>
      <c r="AI665" s="115"/>
      <c r="AJ665" s="115"/>
      <c r="AK665" s="115"/>
      <c r="AL665" s="115"/>
      <c r="AM665" s="115"/>
      <c r="AN665" s="115"/>
      <c r="AO665" s="115"/>
    </row>
    <row r="666" customFormat="false" ht="12" hidden="false" customHeight="true" outlineLevel="0" collapsed="false">
      <c r="A666" s="76"/>
      <c r="G666" s="115"/>
      <c r="H666" s="115"/>
      <c r="I666" s="115"/>
      <c r="J666" s="115"/>
      <c r="K666" s="115"/>
      <c r="L666" s="115"/>
      <c r="M666" s="115"/>
      <c r="N666" s="115"/>
      <c r="O666" s="115"/>
      <c r="P666" s="115"/>
      <c r="Q666" s="115"/>
      <c r="R666" s="115"/>
      <c r="S666" s="115"/>
      <c r="T666" s="115"/>
      <c r="U666" s="115"/>
      <c r="V666" s="115"/>
      <c r="W666" s="115"/>
      <c r="X666" s="115"/>
      <c r="Y666" s="115"/>
      <c r="Z666" s="115"/>
      <c r="AA666" s="291"/>
      <c r="AB666" s="115"/>
      <c r="AC666" s="115"/>
      <c r="AD666" s="115"/>
      <c r="AE666" s="115"/>
      <c r="AF666" s="291"/>
      <c r="AG666" s="291"/>
      <c r="AH666" s="115"/>
      <c r="AI666" s="115"/>
      <c r="AJ666" s="115"/>
      <c r="AK666" s="115"/>
      <c r="AL666" s="115"/>
      <c r="AM666" s="115"/>
      <c r="AN666" s="115"/>
      <c r="AO666" s="115"/>
    </row>
    <row r="667" customFormat="false" ht="12.75" hidden="false" customHeight="true" outlineLevel="0" collapsed="false">
      <c r="A667" s="73" t="s">
        <v>561</v>
      </c>
      <c r="G667" s="70" t="n">
        <f aca="false">G607/G661*100</f>
        <v>10.4406958172233</v>
      </c>
      <c r="H667" s="70" t="n">
        <f aca="false">H607/H661*100</f>
        <v>11.4582455769609</v>
      </c>
      <c r="I667" s="70" t="n">
        <f aca="false">I607/I661*100</f>
        <v>10.1455051228135</v>
      </c>
      <c r="J667" s="70" t="n">
        <f aca="false">J607/J661*100</f>
        <v>11.1110420370762</v>
      </c>
      <c r="K667" s="70" t="n">
        <f aca="false">K607/K661*100</f>
        <v>11.3684124872637</v>
      </c>
      <c r="L667" s="70" t="n">
        <f aca="false">L607/L661*100</f>
        <v>10.8434827216341</v>
      </c>
      <c r="M667" s="70" t="n">
        <f aca="false">M607/M661*100</f>
        <v>9.12647574283623</v>
      </c>
      <c r="N667" s="70" t="n">
        <f aca="false">N607/N661*100</f>
        <v>8.46516025093858</v>
      </c>
      <c r="O667" s="70" t="n">
        <f aca="false">O607/O661*100</f>
        <v>7.696520561462</v>
      </c>
      <c r="P667" s="70" t="n">
        <f aca="false">P607/P661*100</f>
        <v>6.70595978670167</v>
      </c>
      <c r="Q667" s="70" t="n">
        <f aca="false">Q607/Q661*100</f>
        <v>7.97208169672031</v>
      </c>
      <c r="R667" s="70" t="n">
        <f aca="false">R607/R661*100</f>
        <v>9.46754927965526</v>
      </c>
      <c r="S667" s="70" t="n">
        <f aca="false">S607/S661*100</f>
        <v>9.27041598142534</v>
      </c>
      <c r="T667" s="70" t="n">
        <f aca="false">T607/T661*100</f>
        <v>8.31646250140204</v>
      </c>
      <c r="U667" s="70" t="n">
        <f aca="false">U607/U661*100</f>
        <v>8.0760539564327</v>
      </c>
      <c r="V667" s="70" t="n">
        <f aca="false">V607/V661*100</f>
        <v>8.70699772457776</v>
      </c>
      <c r="W667" s="70" t="n">
        <f aca="false">W607/W661*100</f>
        <v>10.0535995302304</v>
      </c>
      <c r="X667" s="70" t="n">
        <f aca="false">X607/X661*100</f>
        <v>8.7301856022654</v>
      </c>
      <c r="Y667" s="70" t="n">
        <f aca="false">Y607/Y661*100</f>
        <v>7.31393866835533</v>
      </c>
      <c r="Z667" s="115"/>
      <c r="AA667" s="291"/>
      <c r="AB667" s="115"/>
      <c r="AC667" s="115"/>
      <c r="AD667" s="115"/>
      <c r="AE667" s="115"/>
      <c r="AF667" s="291"/>
      <c r="AG667" s="291"/>
      <c r="AH667" s="115"/>
      <c r="AI667" s="115"/>
      <c r="AJ667" s="115"/>
      <c r="AK667" s="115"/>
      <c r="AL667" s="115"/>
      <c r="AM667" s="115"/>
      <c r="AN667" s="115"/>
      <c r="AO667" s="115"/>
    </row>
    <row r="669" customFormat="false" ht="12" hidden="false" customHeight="true" outlineLevel="0" collapsed="false">
      <c r="A669" s="69" t="s">
        <v>562</v>
      </c>
    </row>
    <row r="670" customFormat="false" ht="12.75" hidden="false" customHeight="true" outlineLevel="0" collapsed="false">
      <c r="A670" s="312" t="s">
        <v>563</v>
      </c>
    </row>
    <row r="672" customFormat="false" ht="12.75" hidden="false" customHeight="true" outlineLevel="0" collapsed="false">
      <c r="A672" s="59" t="s">
        <v>206</v>
      </c>
      <c r="B672" s="39" t="s">
        <v>165</v>
      </c>
      <c r="C672" s="39" t="s">
        <v>166</v>
      </c>
      <c r="D672" s="39" t="s">
        <v>167</v>
      </c>
      <c r="E672" s="39" t="s">
        <v>207</v>
      </c>
      <c r="F672" s="47" t="s">
        <v>169</v>
      </c>
      <c r="G672" s="39" t="s">
        <v>170</v>
      </c>
      <c r="H672" s="39" t="s">
        <v>171</v>
      </c>
      <c r="I672" s="39" t="s">
        <v>564</v>
      </c>
      <c r="J672" s="39" t="s">
        <v>173</v>
      </c>
      <c r="K672" s="39" t="s">
        <v>174</v>
      </c>
      <c r="L672" s="39" t="s">
        <v>211</v>
      </c>
      <c r="M672" s="39" t="s">
        <v>176</v>
      </c>
      <c r="N672" s="39" t="s">
        <v>212</v>
      </c>
      <c r="O672" s="39" t="s">
        <v>213</v>
      </c>
      <c r="P672" s="39" t="s">
        <v>214</v>
      </c>
      <c r="Q672" s="39" t="s">
        <v>565</v>
      </c>
      <c r="R672" s="39" t="s">
        <v>566</v>
      </c>
      <c r="S672" s="39" t="str">
        <f aca="false">+S3</f>
        <v>FY2010</v>
      </c>
      <c r="T672" s="39" t="str">
        <f aca="false">+T3</f>
        <v>FY2011</v>
      </c>
      <c r="U672" s="39" t="str">
        <f aca="false">+U3</f>
        <v>FY2012</v>
      </c>
      <c r="V672" s="39" t="str">
        <f aca="false">+V3</f>
        <v>FY2013</v>
      </c>
      <c r="W672" s="39" t="str">
        <f aca="false">+W3</f>
        <v>FY2014</v>
      </c>
      <c r="X672" s="39" t="str">
        <f aca="false">+X3</f>
        <v>FY2015</v>
      </c>
      <c r="Y672" s="39" t="str">
        <f aca="false">+Y3</f>
        <v>FY2016</v>
      </c>
      <c r="Z672" s="39" t="str">
        <f aca="false">+Z3</f>
        <v>FY2017</v>
      </c>
      <c r="AA672" s="39" t="str">
        <f aca="false">+AA3</f>
        <v>FY2018</v>
      </c>
      <c r="AB672" s="39" t="str">
        <f aca="false">+AB3</f>
        <v>FY2019</v>
      </c>
      <c r="AC672" s="39" t="str">
        <f aca="false">+AC3</f>
        <v>FY2020</v>
      </c>
      <c r="AD672" s="39" t="str">
        <f aca="false">+AD3</f>
        <v>FY2021</v>
      </c>
      <c r="AE672" s="39" t="str">
        <f aca="false">+AE3</f>
        <v>FY2022</v>
      </c>
      <c r="AF672" s="39" t="str">
        <f aca="false">+AF3</f>
        <v>FY2023</v>
      </c>
      <c r="AG672" s="39" t="str">
        <f aca="false">+AG3</f>
        <v>FY2024</v>
      </c>
      <c r="AH672" s="39" t="str">
        <f aca="false">+AH3</f>
        <v>FY2025</v>
      </c>
      <c r="AI672" s="39" t="str">
        <f aca="false">+AI3</f>
        <v>FY2026</v>
      </c>
      <c r="AJ672" s="39" t="str">
        <f aca="false">+AJ3</f>
        <v>FY2027E</v>
      </c>
      <c r="AK672" s="39" t="str">
        <f aca="false">+AK3</f>
        <v>FY2028E</v>
      </c>
      <c r="AL672" s="39" t="str">
        <f aca="false">+AL3</f>
        <v>FY2029E</v>
      </c>
      <c r="AM672" s="19"/>
      <c r="AN672" s="19"/>
      <c r="AO672" s="19"/>
    </row>
    <row r="674" customFormat="false" ht="12.75" hidden="false" customHeight="true" outlineLevel="0" collapsed="false">
      <c r="A674" s="59" t="s">
        <v>261</v>
      </c>
      <c r="B674" s="90" t="n">
        <f aca="false">+B651+B474</f>
        <v>1195.63</v>
      </c>
      <c r="C674" s="90" t="n">
        <f aca="false">+C651+C474</f>
        <v>1352.97</v>
      </c>
      <c r="D674" s="90" t="n">
        <f aca="false">+D651+D474</f>
        <v>1849.36</v>
      </c>
      <c r="E674" s="90" t="n">
        <f aca="false">+E651+E474</f>
        <v>2872.34</v>
      </c>
      <c r="F674" s="90" t="n">
        <f aca="false">+F651+F474</f>
        <v>3595.78</v>
      </c>
      <c r="G674" s="90" t="n">
        <f aca="false">+G651+G474</f>
        <v>2636.551576</v>
      </c>
      <c r="H674" s="90" t="n">
        <f aca="false">+H651+H474</f>
        <v>2533.158378296</v>
      </c>
      <c r="I674" s="90" t="n">
        <f aca="false">+I651+I474</f>
        <v>3157.97</v>
      </c>
      <c r="J674" s="90" t="n">
        <f aca="false">+J651+J474</f>
        <v>3306.96</v>
      </c>
      <c r="K674" s="90" t="n">
        <f aca="false">+K651+K474</f>
        <v>3468.57</v>
      </c>
      <c r="L674" s="90" t="n">
        <f aca="false">+L651+L474</f>
        <v>3794.27</v>
      </c>
      <c r="M674" s="90" t="n">
        <f aca="false">+M651+M474</f>
        <v>4518.42</v>
      </c>
      <c r="N674" s="90" t="n">
        <f aca="false">+N651+N474</f>
        <v>4773.4916</v>
      </c>
      <c r="O674" s="90" t="n">
        <f aca="false">+O651+O474</f>
        <v>5949.64999999999</v>
      </c>
      <c r="P674" s="90" t="n">
        <f aca="false">+P651+P474</f>
        <v>7969.92999999999</v>
      </c>
      <c r="Q674" s="90" t="n">
        <f aca="false">+Q651+Q474</f>
        <v>9045.6</v>
      </c>
      <c r="R674" s="90" t="n">
        <f aca="false">+R651+R474</f>
        <v>6061.67500000001</v>
      </c>
      <c r="S674" s="90" t="n">
        <f aca="false">+S651+S474</f>
        <v>8540.05600000003</v>
      </c>
      <c r="T674" s="90" t="n">
        <f aca="false">+T651+T474</f>
        <v>13081.537</v>
      </c>
      <c r="U674" s="90" t="n">
        <f aca="false">+U651+U474</f>
        <v>12964.452</v>
      </c>
      <c r="V674" s="90" t="n">
        <f aca="false">+V651+V474</f>
        <v>9388.19800000002</v>
      </c>
      <c r="W674" s="90" t="n">
        <f aca="false">+W651+W474</f>
        <v>2330.82999999998</v>
      </c>
      <c r="X674" s="90" t="n">
        <f aca="false">+X651+X474</f>
        <v>11511.05</v>
      </c>
      <c r="Y674" s="90" t="n">
        <f aca="false">+Y651+Y474</f>
        <v>23722.513</v>
      </c>
      <c r="Z674" s="90" t="n">
        <f aca="false">+Z651+Z474</f>
        <v>23388.073</v>
      </c>
      <c r="AA674" s="90" t="n">
        <f aca="false">+AA651+AA474</f>
        <v>29287.454</v>
      </c>
      <c r="AB674" s="90" t="n">
        <f aca="false">+AB651+AB474</f>
        <v>32456.7999999999</v>
      </c>
      <c r="AC674" s="90" t="n">
        <f aca="false">+AC651+AC474</f>
        <v>12969.9</v>
      </c>
      <c r="AD674" s="90" t="n">
        <f aca="false">+AD651+AD474</f>
        <v>6546.39999999999</v>
      </c>
      <c r="AE674" s="90" t="n">
        <f aca="false">+AE651+AE474</f>
        <v>10706.5</v>
      </c>
      <c r="AF674" s="90" t="n">
        <f aca="false">+AF651+AF474</f>
        <v>30468.4</v>
      </c>
      <c r="AG674" s="90" t="n">
        <f aca="false">+AG651+AG474</f>
        <v>48531.5</v>
      </c>
      <c r="AH674" s="90" t="n">
        <f aca="false">+AH651+AH474</f>
        <v>51808.1</v>
      </c>
      <c r="AI674" s="90" t="n">
        <f aca="false">+AI651+AI474</f>
        <v>60474.2000000002</v>
      </c>
      <c r="AJ674" s="90" t="n">
        <f aca="false">+AJ651+AJ474</f>
        <v>60987.9436817523</v>
      </c>
      <c r="AK674" s="90" t="n">
        <f aca="false">+AK651+AK474</f>
        <v>67646.766177821</v>
      </c>
      <c r="AL674" s="90" t="n">
        <f aca="false">+AL651+AL474</f>
        <v>72567.7256908518</v>
      </c>
      <c r="AM674" s="40"/>
      <c r="AN674" s="40"/>
      <c r="AO674" s="40"/>
      <c r="AP674" s="85"/>
    </row>
    <row r="676" customFormat="false" ht="12" hidden="false" customHeight="true" outlineLevel="0" collapsed="false">
      <c r="W676" s="278" t="n">
        <f aca="false">+W677-4529.25</f>
        <v>-0.00200000000040745</v>
      </c>
    </row>
    <row r="677" customFormat="false" ht="12.75" hidden="false" customHeight="true" outlineLevel="0" collapsed="false">
      <c r="A677" s="73" t="s">
        <v>567</v>
      </c>
      <c r="B677" s="208" t="n">
        <v>835.55</v>
      </c>
      <c r="C677" s="208" t="n">
        <v>671.57</v>
      </c>
      <c r="D677" s="208" t="n">
        <v>751.67</v>
      </c>
      <c r="E677" s="208" t="n">
        <v>990.46</v>
      </c>
      <c r="F677" s="208" t="n">
        <v>1369.45</v>
      </c>
      <c r="G677" s="208" t="n">
        <v>1724.3</v>
      </c>
      <c r="H677" s="208" t="n">
        <v>1538.27</v>
      </c>
      <c r="I677" s="208" t="n">
        <v>1400.67</v>
      </c>
      <c r="J677" s="209" t="n">
        <f aca="false">1351.87-2.5</f>
        <v>1349.37</v>
      </c>
      <c r="K677" s="209" t="n">
        <f aca="false">1170.49-17.96</f>
        <v>1152.53</v>
      </c>
      <c r="L677" s="208" t="n">
        <v>956.15</v>
      </c>
      <c r="M677" s="208" t="n">
        <v>594.09</v>
      </c>
      <c r="N677" s="208" t="n">
        <v>304.01</v>
      </c>
      <c r="O677" s="208" t="n">
        <v>383.74</v>
      </c>
      <c r="P677" s="209" t="n">
        <f aca="false">318.2-29.83</f>
        <v>288.37</v>
      </c>
      <c r="Q677" s="209" t="n">
        <f aca="false">836.3-73.18</f>
        <v>763.12</v>
      </c>
      <c r="R677" s="209" t="n">
        <f aca="false">1766.037-162.854</f>
        <v>1603.183</v>
      </c>
      <c r="S677" s="209" t="n">
        <f aca="false">1379.842-361.327</f>
        <v>1018.515</v>
      </c>
      <c r="T677" s="209" t="n">
        <f aca="false">1906.768-17.534</f>
        <v>1889.234</v>
      </c>
      <c r="U677" s="209" t="n">
        <f aca="false">2568.211-15.679</f>
        <v>2552.532</v>
      </c>
      <c r="V677" s="209" t="n">
        <f aca="false">4039.132-270.275</f>
        <v>3768.857</v>
      </c>
      <c r="W677" s="208" t="n">
        <v>4529.248</v>
      </c>
      <c r="X677" s="208" t="n">
        <v>3935.075</v>
      </c>
      <c r="Y677" s="208" t="n">
        <v>2476.387</v>
      </c>
      <c r="Z677" s="208" t="n">
        <v>1553.787</v>
      </c>
      <c r="AA677" s="208" t="n">
        <v>1312.459</v>
      </c>
      <c r="AB677" s="208" t="n">
        <v>703.8</v>
      </c>
      <c r="AC677" s="208" t="n">
        <v>1094.5</v>
      </c>
      <c r="AD677" s="208" t="n">
        <v>3067.9</v>
      </c>
      <c r="AE677" s="208" t="n">
        <v>3011.1</v>
      </c>
      <c r="AF677" s="208" t="n">
        <v>2890.9</v>
      </c>
      <c r="AG677" s="208" t="n">
        <v>2494.4</v>
      </c>
      <c r="AH677" s="208" t="n">
        <v>2169.1</v>
      </c>
      <c r="AI677" s="208" t="n">
        <v>1697.3</v>
      </c>
      <c r="AJ677" s="67" t="n">
        <f aca="false">(AJ803+AI803)/2*AJ679/100</f>
        <v>1314.048</v>
      </c>
      <c r="AK677" s="67" t="n">
        <f aca="false">(AK803+AJ803)/2*AK679/100</f>
        <v>1074.048</v>
      </c>
      <c r="AL677" s="67" t="n">
        <f aca="false">(AL803+AK803)/2*AL679/100</f>
        <v>764.544</v>
      </c>
      <c r="AM677" s="157"/>
      <c r="AN677" s="157"/>
      <c r="AO677" s="157"/>
    </row>
    <row r="678" customFormat="false" ht="12.75" hidden="false" customHeight="true" outlineLevel="0" collapsed="false">
      <c r="A678" s="59" t="s">
        <v>568</v>
      </c>
      <c r="B678" s="19"/>
      <c r="C678" s="117" t="n">
        <f aca="false">(100*C677*2)/(B803+C803)</f>
        <v>12.8372043234791</v>
      </c>
      <c r="D678" s="117" t="n">
        <f aca="false">(100*D677*2)/(C803+D803)</f>
        <v>13.3789818610289</v>
      </c>
      <c r="E678" s="117" t="n">
        <f aca="false">(100*E677*2)/(D803+E803)</f>
        <v>13.4056722969155</v>
      </c>
      <c r="F678" s="117" t="n">
        <f aca="false">(100*F677*2)/(E803+F803)</f>
        <v>13.2788005106149</v>
      </c>
      <c r="G678" s="117" t="n">
        <f aca="false">(100*G677*2)/(F803+G803)</f>
        <v>14.230484664245</v>
      </c>
      <c r="H678" s="117" t="n">
        <f aca="false">(100*H677*2)/(G803+H803)</f>
        <v>13.9240827151721</v>
      </c>
      <c r="I678" s="117" t="n">
        <f aca="false">(100*I677*2)/(H803+I803)</f>
        <v>14.5308495391515</v>
      </c>
      <c r="J678" s="117" t="n">
        <f aca="false">(100*J677*2)/(I803+J803)</f>
        <v>14.2136273311357</v>
      </c>
      <c r="K678" s="117" t="n">
        <f aca="false">(100*K677*2)/(J803+K803)</f>
        <v>12.6550338547657</v>
      </c>
      <c r="L678" s="117" t="n">
        <f aca="false">(100*L677*2)/(K803+L803)</f>
        <v>11.9074379300747</v>
      </c>
      <c r="M678" s="117" t="n">
        <f aca="false">(100*M677*2)/(L803+M803)</f>
        <v>9.76643829705037</v>
      </c>
      <c r="N678" s="117" t="n">
        <f aca="false">(100*N677*2)/(M803+N803)</f>
        <v>4.40760605996902</v>
      </c>
      <c r="O678" s="117" t="n">
        <f aca="false">(100*O677*2)/(N803+O803)</f>
        <v>4.88115120578707</v>
      </c>
      <c r="P678" s="117" t="n">
        <f aca="false">(100*P677*2)/(O803+P803)</f>
        <v>4.3288204238302</v>
      </c>
      <c r="Q678" s="117" t="n">
        <f aca="false">(100*Q677*2)/(P803+Q803)</f>
        <v>9.98914195244581</v>
      </c>
      <c r="R678" s="117" t="n">
        <f aca="false">(100*R677*2)/(Q803+R803)</f>
        <v>11.2676251348157</v>
      </c>
      <c r="S678" s="117" t="n">
        <f aca="false">(100*S677*2)/(R803+S803)</f>
        <v>4.89431169463539</v>
      </c>
      <c r="T678" s="117" t="n">
        <f aca="false">(100*T677*2)/(S803+T803)</f>
        <v>7.91773681525875</v>
      </c>
      <c r="U678" s="117" t="n">
        <f aca="false">(100*U677*2)/(T803+U803)</f>
        <v>9.0097450687089</v>
      </c>
      <c r="V678" s="117" t="n">
        <f aca="false">(100*V677*2)/(U803+V803)</f>
        <v>10.1132222074607</v>
      </c>
      <c r="W678" s="117" t="n">
        <f aca="false">(100*W677*2)/(V803+W803)</f>
        <v>10.0140869417697</v>
      </c>
      <c r="X678" s="117" t="n">
        <f aca="false">(100*X677*2)/(W803+X803)</f>
        <v>9.7886848541857</v>
      </c>
      <c r="Y678" s="117" t="n">
        <f aca="false">(100*Y677*2)/(X803+Y803)</f>
        <v>8.59153836232741</v>
      </c>
      <c r="Z678" s="117" t="n">
        <f aca="false">(100*Z677*2)/(Y803+Z803)</f>
        <v>6.81509976980753</v>
      </c>
      <c r="AA678" s="117" t="n">
        <f aca="false">(100*AA677*2)/(Z803+AA803)</f>
        <v>8.34056681657278</v>
      </c>
      <c r="AB678" s="117" t="n">
        <f aca="false">(100*AB677*2)/(AA803+AB803)</f>
        <v>8.61087384035981</v>
      </c>
      <c r="AC678" s="117" t="n">
        <f aca="false">(100*AC677*2)/(AB803+AC803)</f>
        <v>5.59314411863905</v>
      </c>
      <c r="AD678" s="117" t="n">
        <f aca="false">(100*AD677*2)/(AC803+AD803)</f>
        <v>8.61453877160198</v>
      </c>
      <c r="AE678" s="117" t="n">
        <f aca="false">(100*AE677*2)/(AD803+AE803)</f>
        <v>8.1434673900256</v>
      </c>
      <c r="AF678" s="117" t="n">
        <f aca="false">(100*AF677*2)/(AE803+AF803)</f>
        <v>8.52935145477532</v>
      </c>
      <c r="AG678" s="117" t="n">
        <f aca="false">(100*AG677*2)/(AF803+AG803)</f>
        <v>9.0307608481182</v>
      </c>
      <c r="AH678" s="117" t="n">
        <f aca="false">(100*AH677*2)/(AG803+AH803)</f>
        <v>11.4733200744753</v>
      </c>
      <c r="AI678" s="117" t="n">
        <f aca="false">(100*AI677*2)/(AH803+AI803)</f>
        <v>12.6817495778478</v>
      </c>
      <c r="AJ678" s="117" t="n">
        <f aca="false">(100*AJ677*2)/(AI803+AJ803)</f>
        <v>12</v>
      </c>
      <c r="AK678" s="117" t="n">
        <f aca="false">(100*AK677*2)/(AJ803+AK803)</f>
        <v>12</v>
      </c>
      <c r="AL678" s="117" t="n">
        <f aca="false">(100*AL677*2)/(AK803+AL803)</f>
        <v>11</v>
      </c>
      <c r="AM678" s="118"/>
      <c r="AN678" s="118"/>
      <c r="AO678" s="118"/>
    </row>
    <row r="679" customFormat="false" ht="12.75" hidden="false" customHeight="true" outlineLevel="0" collapsed="false">
      <c r="A679" s="167"/>
      <c r="B679" s="19"/>
      <c r="C679" s="118"/>
      <c r="D679" s="118"/>
      <c r="E679" s="118"/>
      <c r="F679" s="118"/>
      <c r="G679" s="118"/>
      <c r="H679" s="118"/>
      <c r="I679" s="118"/>
      <c r="J679" s="118"/>
      <c r="K679" s="118"/>
      <c r="L679" s="118"/>
      <c r="Q679" s="214"/>
      <c r="R679" s="268"/>
      <c r="S679" s="268"/>
      <c r="T679" s="196" t="n">
        <v>7</v>
      </c>
      <c r="U679" s="196" t="n">
        <v>8</v>
      </c>
      <c r="V679" s="196" t="n">
        <v>10</v>
      </c>
      <c r="W679" s="196" t="n">
        <v>10.0949005345556</v>
      </c>
      <c r="X679" s="196" t="n">
        <v>9.5</v>
      </c>
      <c r="Y679" s="196" t="n">
        <v>9.1</v>
      </c>
      <c r="Z679" s="196" t="n">
        <v>9.1</v>
      </c>
      <c r="AA679" s="196" t="n">
        <v>7</v>
      </c>
      <c r="AB679" s="268"/>
      <c r="AC679" s="268"/>
      <c r="AD679" s="268"/>
      <c r="AE679" s="268"/>
      <c r="AF679" s="77"/>
      <c r="AG679" s="77"/>
      <c r="AH679" s="268"/>
      <c r="AI679" s="268"/>
      <c r="AJ679" s="196" t="n">
        <v>12</v>
      </c>
      <c r="AK679" s="196" t="n">
        <v>12</v>
      </c>
      <c r="AL679" s="196" t="n">
        <v>11</v>
      </c>
      <c r="AM679" s="268"/>
      <c r="AN679" s="268"/>
      <c r="AO679" s="268"/>
    </row>
    <row r="680" customFormat="false" ht="12.75" hidden="false" customHeight="true" outlineLevel="0" collapsed="false">
      <c r="A680" s="167"/>
      <c r="B680" s="19"/>
      <c r="C680" s="118"/>
      <c r="D680" s="118"/>
      <c r="E680" s="118"/>
      <c r="F680" s="118"/>
      <c r="G680" s="118"/>
      <c r="H680" s="118"/>
      <c r="I680" s="118"/>
      <c r="J680" s="118"/>
      <c r="K680" s="118"/>
      <c r="L680" s="118"/>
      <c r="M680" s="118"/>
    </row>
    <row r="681" customFormat="false" ht="12.75" hidden="false" customHeight="true" outlineLevel="0" collapsed="false">
      <c r="A681" s="167"/>
      <c r="B681" s="19"/>
      <c r="C681" s="118"/>
      <c r="D681" s="118"/>
      <c r="E681" s="118"/>
      <c r="F681" s="118"/>
      <c r="G681" s="118"/>
      <c r="H681" s="118"/>
      <c r="I681" s="118"/>
      <c r="J681" s="118"/>
      <c r="K681" s="118"/>
      <c r="L681" s="118"/>
      <c r="M681" s="118"/>
      <c r="N681" s="75"/>
      <c r="O681" s="75"/>
    </row>
    <row r="682" customFormat="false" ht="12.75" hidden="false" customHeight="true" outlineLevel="0" collapsed="false">
      <c r="A682" s="167"/>
      <c r="B682" s="19"/>
      <c r="C682" s="118"/>
      <c r="D682" s="118"/>
      <c r="E682" s="118"/>
      <c r="F682" s="118"/>
      <c r="G682" s="118"/>
      <c r="H682" s="118"/>
      <c r="I682" s="118"/>
      <c r="J682" s="118"/>
      <c r="K682" s="118"/>
      <c r="L682" s="118"/>
      <c r="M682" s="118"/>
    </row>
    <row r="683" customFormat="false" ht="12.75" hidden="false" customHeight="true" outlineLevel="0" collapsed="false">
      <c r="A683" s="59" t="s">
        <v>569</v>
      </c>
      <c r="B683" s="67" t="n">
        <f aca="false">+B677-B680</f>
        <v>835.55</v>
      </c>
      <c r="C683" s="67" t="n">
        <f aca="false">+C677-C680</f>
        <v>671.57</v>
      </c>
      <c r="D683" s="67" t="n">
        <f aca="false">+D677-D680</f>
        <v>751.67</v>
      </c>
      <c r="E683" s="67" t="n">
        <f aca="false">+E677-E680</f>
        <v>990.46</v>
      </c>
      <c r="F683" s="67" t="n">
        <f aca="false">+F677-F680</f>
        <v>1369.45</v>
      </c>
      <c r="G683" s="67" t="n">
        <f aca="false">+G677-G680</f>
        <v>1724.3</v>
      </c>
      <c r="H683" s="132" t="n">
        <f aca="false">+H677-H680-3.7</f>
        <v>1534.57</v>
      </c>
      <c r="I683" s="67" t="n">
        <f aca="false">+I677-I680</f>
        <v>1400.67</v>
      </c>
      <c r="J683" s="67" t="n">
        <f aca="false">+J677-J680</f>
        <v>1349.37</v>
      </c>
      <c r="K683" s="67" t="n">
        <f aca="false">+K677-K680</f>
        <v>1152.53</v>
      </c>
      <c r="L683" s="67" t="n">
        <f aca="false">+L677-L680</f>
        <v>956.15</v>
      </c>
      <c r="M683" s="67" t="n">
        <f aca="false">+M677-M680</f>
        <v>594.09</v>
      </c>
      <c r="N683" s="67" t="n">
        <f aca="false">+N677-N680</f>
        <v>304.01</v>
      </c>
      <c r="O683" s="67" t="n">
        <f aca="false">+O677-O680</f>
        <v>383.74</v>
      </c>
      <c r="P683" s="67" t="n">
        <f aca="false">+P677-P680</f>
        <v>288.37</v>
      </c>
      <c r="Q683" s="67" t="n">
        <f aca="false">+Q677-Q680</f>
        <v>763.12</v>
      </c>
      <c r="R683" s="67" t="n">
        <f aca="false">+R677-R680</f>
        <v>1603.183</v>
      </c>
      <c r="S683" s="67" t="n">
        <f aca="false">+S677-S680</f>
        <v>1018.515</v>
      </c>
      <c r="T683" s="67" t="n">
        <f aca="false">+T677-T680</f>
        <v>1889.234</v>
      </c>
      <c r="U683" s="67" t="n">
        <f aca="false">+U677-U680</f>
        <v>2552.532</v>
      </c>
      <c r="V683" s="67" t="n">
        <f aca="false">+V677-V680</f>
        <v>3768.857</v>
      </c>
      <c r="W683" s="67" t="n">
        <f aca="false">+W677-W680</f>
        <v>4529.248</v>
      </c>
      <c r="X683" s="67" t="n">
        <f aca="false">+X677-X680</f>
        <v>3935.075</v>
      </c>
      <c r="Y683" s="67" t="n">
        <f aca="false">+Y677-Y680</f>
        <v>2476.387</v>
      </c>
      <c r="Z683" s="67" t="n">
        <f aca="false">+Z677-Z680</f>
        <v>1553.787</v>
      </c>
      <c r="AA683" s="67" t="n">
        <f aca="false">+AA677-AA680</f>
        <v>1312.459</v>
      </c>
      <c r="AB683" s="67" t="n">
        <f aca="false">+AB677-AB680</f>
        <v>703.8</v>
      </c>
      <c r="AC683" s="67" t="n">
        <f aca="false">+AC677-AC680</f>
        <v>1094.5</v>
      </c>
      <c r="AD683" s="67" t="n">
        <f aca="false">+AD677-AD680</f>
        <v>3067.9</v>
      </c>
      <c r="AE683" s="67" t="n">
        <f aca="false">+AE677-AE680</f>
        <v>3011.1</v>
      </c>
      <c r="AF683" s="67" t="n">
        <f aca="false">+AF677-AF680</f>
        <v>2890.9</v>
      </c>
      <c r="AG683" s="67" t="n">
        <f aca="false">+AG677-AG680</f>
        <v>2494.4</v>
      </c>
      <c r="AH683" s="67" t="n">
        <f aca="false">+AH677-AH680</f>
        <v>2169.1</v>
      </c>
      <c r="AI683" s="67" t="n">
        <f aca="false">+AI677-AI680</f>
        <v>1697.3</v>
      </c>
      <c r="AJ683" s="67" t="n">
        <f aca="false">+AJ677-AJ680</f>
        <v>1314.048</v>
      </c>
      <c r="AK683" s="67" t="n">
        <f aca="false">+AK677-AK680</f>
        <v>1074.048</v>
      </c>
      <c r="AL683" s="67" t="n">
        <f aca="false">+AL677-AL680</f>
        <v>764.544</v>
      </c>
      <c r="AM683" s="145"/>
      <c r="AN683" s="145"/>
      <c r="AO683" s="145"/>
    </row>
    <row r="684" customFormat="false" ht="12.75" hidden="false" customHeight="true" outlineLevel="0" collapsed="false">
      <c r="A684" s="167"/>
      <c r="B684" s="19"/>
      <c r="C684" s="118"/>
      <c r="D684" s="118"/>
      <c r="E684" s="118"/>
      <c r="F684" s="118"/>
      <c r="G684" s="118"/>
      <c r="H684" s="118"/>
      <c r="I684" s="118"/>
      <c r="J684" s="118"/>
    </row>
    <row r="686" customFormat="false" ht="12.75" hidden="false" customHeight="true" outlineLevel="0" collapsed="false">
      <c r="A686" s="59" t="s">
        <v>254</v>
      </c>
      <c r="B686" s="67" t="n">
        <f aca="false">+B674-B683</f>
        <v>360.080000000002</v>
      </c>
      <c r="C686" s="67" t="n">
        <f aca="false">+C674-C683</f>
        <v>681.400000000002</v>
      </c>
      <c r="D686" s="67" t="n">
        <f aca="false">+D674-D683</f>
        <v>1097.69</v>
      </c>
      <c r="E686" s="67" t="n">
        <f aca="false">+E674-E683</f>
        <v>1881.88</v>
      </c>
      <c r="F686" s="67" t="n">
        <f aca="false">+F674-F683</f>
        <v>2226.33</v>
      </c>
      <c r="G686" s="67" t="n">
        <f aca="false">+G674-G683</f>
        <v>912.251576000001</v>
      </c>
      <c r="H686" s="67" t="n">
        <f aca="false">+H674-H683</f>
        <v>998.588378295998</v>
      </c>
      <c r="I686" s="67" t="n">
        <f aca="false">+I674-I683</f>
        <v>1757.3</v>
      </c>
      <c r="J686" s="67" t="n">
        <f aca="false">+J674-J683</f>
        <v>1957.59</v>
      </c>
      <c r="K686" s="67" t="n">
        <f aca="false">+K674-K683</f>
        <v>2316.04</v>
      </c>
      <c r="L686" s="67" t="n">
        <f aca="false">+L674-L683</f>
        <v>2838.12</v>
      </c>
      <c r="M686" s="67" t="n">
        <f aca="false">+M674-M683</f>
        <v>3924.33</v>
      </c>
      <c r="N686" s="67" t="n">
        <f aca="false">+N674-N683</f>
        <v>4469.4816</v>
      </c>
      <c r="O686" s="67" t="n">
        <f aca="false">+O674-O683</f>
        <v>5565.90999999999</v>
      </c>
      <c r="P686" s="67" t="n">
        <f aca="false">+P674-P683</f>
        <v>7681.55999999999</v>
      </c>
      <c r="Q686" s="67" t="n">
        <f aca="false">+Q674-Q683</f>
        <v>8282.48</v>
      </c>
      <c r="R686" s="67" t="n">
        <f aca="false">+R674-R683</f>
        <v>4458.49200000001</v>
      </c>
      <c r="S686" s="67" t="n">
        <f aca="false">+S674-S683</f>
        <v>7521.54100000003</v>
      </c>
      <c r="T686" s="67" t="n">
        <f aca="false">+T674-T683</f>
        <v>11192.303</v>
      </c>
      <c r="U686" s="67" t="n">
        <f aca="false">+U674-U683</f>
        <v>10411.92</v>
      </c>
      <c r="V686" s="67" t="n">
        <f aca="false">+V674-V683</f>
        <v>5619.34100000002</v>
      </c>
      <c r="W686" s="67" t="n">
        <f aca="false">+W674-W683</f>
        <v>-2198.41800000002</v>
      </c>
      <c r="X686" s="67" t="n">
        <f aca="false">+X674-X683</f>
        <v>7575.97500000003</v>
      </c>
      <c r="Y686" s="67" t="n">
        <f aca="false">+Y674-Y683</f>
        <v>21246.126</v>
      </c>
      <c r="Z686" s="67" t="n">
        <f aca="false">+Z674-Z683</f>
        <v>21834.286</v>
      </c>
      <c r="AA686" s="67" t="n">
        <f aca="false">+AA674-AA683</f>
        <v>27974.995</v>
      </c>
      <c r="AB686" s="67" t="n">
        <f aca="false">+AB674-AB683</f>
        <v>31752.9999999999</v>
      </c>
      <c r="AC686" s="67" t="n">
        <f aca="false">+AC674-AC683</f>
        <v>11875.4</v>
      </c>
      <c r="AD686" s="67" t="n">
        <f aca="false">+AD674-AD683</f>
        <v>3478.49999999999</v>
      </c>
      <c r="AE686" s="67" t="n">
        <f aca="false">+AE674-AE683</f>
        <v>7695.40000000001</v>
      </c>
      <c r="AF686" s="67" t="n">
        <f aca="false">+AF674-AF683</f>
        <v>27577.5</v>
      </c>
      <c r="AG686" s="67" t="n">
        <f aca="false">+AG674-AG683</f>
        <v>46037.1</v>
      </c>
      <c r="AH686" s="67" t="n">
        <f aca="false">+AH674-AH683</f>
        <v>49639</v>
      </c>
      <c r="AI686" s="67" t="n">
        <f aca="false">+AI674-AI683</f>
        <v>58776.9000000002</v>
      </c>
      <c r="AJ686" s="67" t="n">
        <f aca="false">+AJ674-AJ683</f>
        <v>59673.8956817523</v>
      </c>
      <c r="AK686" s="67" t="n">
        <f aca="false">+AK674-AK683</f>
        <v>66572.718177821</v>
      </c>
      <c r="AL686" s="67" t="n">
        <f aca="false">+AL674-AL683</f>
        <v>71803.1816908518</v>
      </c>
      <c r="AM686" s="157"/>
      <c r="AN686" s="157"/>
      <c r="AO686" s="157"/>
    </row>
    <row r="687" customFormat="false" ht="12.75" hidden="false" customHeight="true" outlineLevel="0" collapsed="false">
      <c r="A687" s="167"/>
      <c r="B687" s="157"/>
      <c r="C687" s="157"/>
      <c r="D687" s="157"/>
      <c r="E687" s="157"/>
      <c r="F687" s="157"/>
      <c r="G687" s="157"/>
      <c r="P687" s="32"/>
    </row>
    <row r="688" customFormat="false" ht="24.75" hidden="false" customHeight="true" outlineLevel="0" collapsed="false">
      <c r="A688" s="69" t="s">
        <v>256</v>
      </c>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190" t="n">
        <v>50.48</v>
      </c>
      <c r="Z688" s="190" t="n">
        <v>153.974</v>
      </c>
      <c r="AA688" s="190" t="n">
        <v>3.913</v>
      </c>
      <c r="AB688" s="190" t="n">
        <v>-26.3</v>
      </c>
      <c r="AC688" s="190" t="n">
        <v>0.1</v>
      </c>
      <c r="AD688" s="41"/>
      <c r="AE688" s="41"/>
      <c r="AF688" s="180"/>
      <c r="AG688" s="180"/>
      <c r="AH688" s="41"/>
      <c r="AI688" s="41"/>
      <c r="AJ688" s="41"/>
      <c r="AK688" s="41"/>
      <c r="AL688" s="41"/>
      <c r="AM688" s="41"/>
      <c r="AN688" s="41"/>
      <c r="AO688" s="41"/>
    </row>
    <row r="689" customFormat="false" ht="12.75" hidden="false" customHeight="true" outlineLevel="0" collapsed="false">
      <c r="A689" s="59" t="s">
        <v>257</v>
      </c>
      <c r="B689" s="208" t="n">
        <v>315.83</v>
      </c>
      <c r="C689" s="208" t="n">
        <v>328.1</v>
      </c>
      <c r="D689" s="208" t="n">
        <v>391.79</v>
      </c>
      <c r="E689" s="208" t="n">
        <v>546.05</v>
      </c>
      <c r="F689" s="208" t="n">
        <v>655.98</v>
      </c>
      <c r="G689" s="208" t="n">
        <v>705.57</v>
      </c>
      <c r="H689" s="208" t="n">
        <v>761.9</v>
      </c>
      <c r="I689" s="208" t="n">
        <v>824.43</v>
      </c>
      <c r="J689" s="208" t="n">
        <v>883.5</v>
      </c>
      <c r="K689" s="208" t="n">
        <v>953.55</v>
      </c>
      <c r="L689" s="208" t="n">
        <v>1029.69</v>
      </c>
      <c r="M689" s="208" t="n">
        <v>964.54</v>
      </c>
      <c r="N689" s="208" t="n">
        <v>1092.14</v>
      </c>
      <c r="O689" s="208" t="n">
        <v>1260.06</v>
      </c>
      <c r="P689" s="208" t="n">
        <v>1505.74</v>
      </c>
      <c r="Q689" s="208" t="n">
        <v>1773.61</v>
      </c>
      <c r="R689" s="208" t="n">
        <v>1784.142</v>
      </c>
      <c r="S689" s="208" t="n">
        <v>2041.079</v>
      </c>
      <c r="T689" s="208" t="n">
        <v>2674.31</v>
      </c>
      <c r="U689" s="209" t="n">
        <f aca="false">2998.903+653.547-124.318</f>
        <v>3528.132</v>
      </c>
      <c r="V689" s="209" t="n">
        <f aca="false">3123.47+808.065-123.7</f>
        <v>3807.835</v>
      </c>
      <c r="W689" s="209" t="n">
        <f aca="false">3203.558+684.964-118.162</f>
        <v>3770.36</v>
      </c>
      <c r="X689" s="209" t="n">
        <f aca="false">3529.983+752.002-118.618</f>
        <v>4163.367</v>
      </c>
      <c r="Y689" s="208" t="n">
        <v>4879.004</v>
      </c>
      <c r="Z689" s="208" t="n">
        <v>5178.939</v>
      </c>
      <c r="AA689" s="208" t="n">
        <v>5546.094</v>
      </c>
      <c r="AB689" s="208" t="n">
        <v>6210.1</v>
      </c>
      <c r="AC689" s="208" t="n">
        <v>6698</v>
      </c>
      <c r="AD689" s="208" t="n">
        <v>7477.1</v>
      </c>
      <c r="AE689" s="208" t="n">
        <v>7527.6</v>
      </c>
      <c r="AF689" s="208" t="n">
        <v>7319.6</v>
      </c>
      <c r="AG689" s="208" t="n">
        <v>7178.1</v>
      </c>
      <c r="AH689" s="208" t="n">
        <v>7193.4</v>
      </c>
      <c r="AI689" s="208" t="n">
        <v>7151.9</v>
      </c>
      <c r="AJ689" s="67" t="n">
        <f aca="false">AJ735</f>
        <v>7551.4454</v>
      </c>
      <c r="AK689" s="67" t="n">
        <f aca="false">AK735</f>
        <v>8111.9454</v>
      </c>
      <c r="AL689" s="67" t="n">
        <f aca="false">AL735</f>
        <v>8467.4548</v>
      </c>
      <c r="AM689" s="112"/>
      <c r="AN689" s="112"/>
      <c r="AO689" s="112"/>
    </row>
    <row r="690" customFormat="false" ht="12" hidden="false" customHeight="true" outlineLevel="0" collapsed="false">
      <c r="A690" s="69" t="s">
        <v>570</v>
      </c>
      <c r="B690" s="75"/>
      <c r="C690" s="81" t="n">
        <f aca="false">(100*C689*2)/(C827+B827)</f>
        <v>10.4788458897438</v>
      </c>
      <c r="D690" s="81" t="n">
        <f aca="false">(100*D689*2)/(D827+C827)</f>
        <v>8.47049412476894</v>
      </c>
      <c r="E690" s="81" t="n">
        <f aca="false">(100*E689*2)/(E827+D827)</f>
        <v>8.59609905073753</v>
      </c>
      <c r="F690" s="81" t="n">
        <f aca="false">(100*F689*2)/(F827+E827)</f>
        <v>8.75138829132606</v>
      </c>
      <c r="G690" s="81" t="n">
        <f aca="false">(100*G689*2)/(G827+F827)</f>
        <v>8.75345435597778</v>
      </c>
      <c r="H690" s="81" t="n">
        <f aca="false">(100*H689*2)/(H827+G827)</f>
        <v>8.97216908281681</v>
      </c>
      <c r="I690" s="81" t="n">
        <f aca="false">(100*I689*2)/(I827+H827)</f>
        <v>9.11700728869583</v>
      </c>
      <c r="J690" s="81" t="n">
        <f aca="false">(100*J689*2)/(J827+I827)</f>
        <v>9.78093906978675</v>
      </c>
      <c r="K690" s="81" t="n">
        <f aca="false">(100*K689*2)/(K827+J827)</f>
        <v>10.3218159381698</v>
      </c>
      <c r="L690" s="81" t="n">
        <f aca="false">(100*L689*2)/(L827+K827)</f>
        <v>11.0801681679614</v>
      </c>
      <c r="M690" s="81" t="n">
        <f aca="false">(100*M689*2)/(M827+L827)</f>
        <v>10.8536988817047</v>
      </c>
      <c r="N690" s="81" t="n">
        <f aca="false">(100*N689*2)/(N827+M827)</f>
        <v>12.3498098859316</v>
      </c>
      <c r="O690" s="81" t="n">
        <f aca="false">(100*O689*2)/(O827+N827)</f>
        <v>13.7177980498792</v>
      </c>
      <c r="P690" s="81" t="n">
        <f aca="false">(100*P689*2)/(P827+O827)</f>
        <v>13.3825474247035</v>
      </c>
      <c r="Q690" s="81" t="n">
        <f aca="false">(100*Q689*2)/(Q827+P827)</f>
        <v>12.5229163629098</v>
      </c>
      <c r="R690" s="81" t="n">
        <f aca="false">(100*R689*2)/(R827+Q827)</f>
        <v>7.24573764520857</v>
      </c>
      <c r="S690" s="81" t="n">
        <f aca="false">(100*S689*2)/(S827+R827)</f>
        <v>5.33707829545128</v>
      </c>
      <c r="T690" s="81" t="n">
        <f aca="false">(100*T689*2)/(T827+S827)</f>
        <v>6.02094862625602</v>
      </c>
      <c r="U690" s="81" t="n">
        <f aca="false">(100*U689*2)/(U827+T827)</f>
        <v>7.67026545115045</v>
      </c>
      <c r="V690" s="81" t="n">
        <f aca="false">(100*V689*2)/(V827+U827)</f>
        <v>8.02989477166143</v>
      </c>
      <c r="W690" s="81" t="n">
        <f aca="false">(100*W689*2)/(W827+V827)</f>
        <v>7.43634260286507</v>
      </c>
      <c r="X690" s="81" t="n">
        <f aca="false">(100*X689*2)/(X827+W827)</f>
        <v>8.24069292516832</v>
      </c>
      <c r="Y690" s="81" t="n">
        <f aca="false">(100*Y689*2)/(Y827+X827)</f>
        <v>10.4518138252213</v>
      </c>
      <c r="Z690" s="81" t="n">
        <f aca="false">(100*Z689*2)/(Z827+Y827)</f>
        <v>11.3700394833059</v>
      </c>
      <c r="AA690" s="81" t="n">
        <f aca="false">(100*AA689*2)/(AA827+Z827)</f>
        <v>11.8712597189074</v>
      </c>
      <c r="AB690" s="81" t="n">
        <f aca="false">(100*AB689*2)/(AB827+AA827)</f>
        <v>13.0826854752066</v>
      </c>
      <c r="AC690" s="81" t="n">
        <f aca="false">(100*AC689*2)/(AC827+AB827)</f>
        <v>13.6101696292865</v>
      </c>
      <c r="AD690" s="81" t="n">
        <f aca="false">(100*AD689*2)/(AD827+AC827)</f>
        <v>14.453641487988</v>
      </c>
      <c r="AE690" s="81" t="n">
        <f aca="false">(100*AE689*2)/(AE827+AD827)</f>
        <v>14.6354836012824</v>
      </c>
      <c r="AF690" s="81" t="n">
        <f aca="false">(100*AF689*2)/(AF827+AE827)</f>
        <v>15.0532083903601</v>
      </c>
      <c r="AG690" s="81" t="n">
        <f aca="false">(100*AG689*2)/(AG827+AF827)</f>
        <v>15.5200987668201</v>
      </c>
      <c r="AH690" s="81" t="n">
        <f aca="false">(100*AH689*2)/(AH827+AG827)</f>
        <v>16.1488675318728</v>
      </c>
      <c r="AI690" s="81" t="n">
        <f aca="false">(100*AI689*2)/(AI827+AH827)</f>
        <v>15.0904023108557</v>
      </c>
      <c r="AJ690" s="81" t="n">
        <f aca="false">(100*AJ689*2)/(AJ827+AI827)</f>
        <v>14.5373088613775</v>
      </c>
      <c r="AK690" s="81" t="n">
        <f aca="false">(100*AK689*2)/(AK827+AJ827)</f>
        <v>15.2728268548576</v>
      </c>
      <c r="AL690" s="81" t="n">
        <f aca="false">(100*AL689*2)/(AL827+AK827)</f>
        <v>16.0295959165954</v>
      </c>
      <c r="AM690" s="75"/>
      <c r="AN690" s="75"/>
      <c r="AO690" s="75"/>
    </row>
    <row r="691" customFormat="false" ht="12.75" hidden="false" customHeight="true" outlineLevel="0" collapsed="false">
      <c r="A691" s="167"/>
      <c r="B691" s="19"/>
      <c r="C691" s="19"/>
      <c r="D691" s="19"/>
      <c r="E691" s="19"/>
      <c r="F691" s="157"/>
      <c r="G691" s="157"/>
      <c r="R691" s="32"/>
      <c r="S691" s="32"/>
    </row>
    <row r="692" customFormat="false" ht="12.75" hidden="false" customHeight="true" outlineLevel="0" collapsed="false">
      <c r="A692" s="59" t="s">
        <v>571</v>
      </c>
      <c r="B692" s="19"/>
      <c r="C692" s="19"/>
      <c r="D692" s="19"/>
      <c r="E692" s="19"/>
      <c r="F692" s="157"/>
      <c r="G692" s="157"/>
      <c r="J692" s="215" t="n">
        <f aca="false">-(25.6+29.08)</f>
        <v>-54.68</v>
      </c>
      <c r="K692" s="215" t="n">
        <f aca="false">-29.68-10.75</f>
        <v>-40.43</v>
      </c>
      <c r="L692" s="215" t="n">
        <f aca="false">-20.72-86.69</f>
        <v>-107.41</v>
      </c>
      <c r="M692" s="42" t="n">
        <v>-95.19</v>
      </c>
      <c r="N692" s="199" t="n">
        <f aca="false">-95.83+268.5884+186</f>
        <v>358.7584</v>
      </c>
      <c r="O692" s="199" t="n">
        <f aca="false">301.66-84.51</f>
        <v>217.15</v>
      </c>
      <c r="P692" s="267" t="n">
        <v>-130.76</v>
      </c>
      <c r="Q692" s="267" t="n">
        <v>-127.37</v>
      </c>
      <c r="R692" s="199" t="n">
        <f aca="false">-134.887-455</f>
        <v>-589.887</v>
      </c>
      <c r="S692" s="267" t="n">
        <v>-32.715</v>
      </c>
      <c r="T692" s="267" t="n">
        <v>-500</v>
      </c>
      <c r="U692" s="267" t="n">
        <v>15.978</v>
      </c>
      <c r="V692" s="267" t="n">
        <v>2895.561</v>
      </c>
      <c r="W692" s="313" t="n">
        <v>5056.589</v>
      </c>
      <c r="X692" s="267" t="n">
        <v>1009.359</v>
      </c>
      <c r="Y692" s="314" t="n">
        <v>-8152.235</v>
      </c>
      <c r="Z692" s="199" t="n">
        <f aca="false">-3508.459+3240</f>
        <v>-268.459</v>
      </c>
      <c r="AA692" s="48" t="n">
        <v>-125.66</v>
      </c>
      <c r="AB692" s="48" t="n">
        <v>-548.6</v>
      </c>
      <c r="AC692" s="267" t="n">
        <v>-1558.3</v>
      </c>
      <c r="AD692" s="267" t="n">
        <v>-120.5</v>
      </c>
      <c r="AE692" s="267" t="n">
        <v>5108.3</v>
      </c>
      <c r="AF692" s="267" t="n">
        <v>846.1</v>
      </c>
      <c r="AG692" s="267" t="n">
        <v>-937.2</v>
      </c>
      <c r="AH692" s="48" t="n">
        <v>1037.3</v>
      </c>
      <c r="AI692" s="196" t="n">
        <v>-3484.8</v>
      </c>
      <c r="AJ692" s="310"/>
      <c r="AK692" s="310"/>
      <c r="AL692" s="310"/>
      <c r="AM692" s="118"/>
      <c r="AN692" s="118"/>
      <c r="AO692" s="118"/>
    </row>
    <row r="693" customFormat="false" ht="12.75" hidden="false" customHeight="true" outlineLevel="0" collapsed="false">
      <c r="A693" s="167"/>
      <c r="B693" s="19"/>
      <c r="C693" s="19"/>
      <c r="D693" s="19"/>
      <c r="E693" s="19"/>
      <c r="F693" s="157"/>
      <c r="G693" s="157"/>
      <c r="Q693" s="75"/>
      <c r="R693" s="115"/>
      <c r="S693" s="115"/>
    </row>
    <row r="694" customFormat="false" ht="12.75" hidden="false" customHeight="true" outlineLevel="0" collapsed="false">
      <c r="A694" s="59" t="s">
        <v>241</v>
      </c>
      <c r="B694" s="67" t="n">
        <f aca="false">+B686-B689+B692</f>
        <v>44.2500000000015</v>
      </c>
      <c r="C694" s="67" t="n">
        <f aca="false">+C686-C689+C692</f>
        <v>353.300000000002</v>
      </c>
      <c r="D694" s="67" t="n">
        <f aca="false">+D686-D689+D692</f>
        <v>705.899999999999</v>
      </c>
      <c r="E694" s="67" t="n">
        <f aca="false">+E686-E689+E692</f>
        <v>1335.83</v>
      </c>
      <c r="F694" s="67" t="n">
        <f aca="false">+F686-F689+F692</f>
        <v>1570.35</v>
      </c>
      <c r="G694" s="67" t="n">
        <f aca="false">+G686-G689+G692</f>
        <v>206.681576000001</v>
      </c>
      <c r="H694" s="67" t="n">
        <f aca="false">+H686-H689+H692</f>
        <v>236.688378295998</v>
      </c>
      <c r="I694" s="67" t="n">
        <f aca="false">+I686-I689+I692</f>
        <v>932.869999999999</v>
      </c>
      <c r="J694" s="67" t="n">
        <f aca="false">+J686-J689+J692</f>
        <v>1019.41</v>
      </c>
      <c r="K694" s="67" t="n">
        <f aca="false">+K686-K689+K692</f>
        <v>1322.06</v>
      </c>
      <c r="L694" s="67" t="n">
        <f aca="false">+L686-L689+L692</f>
        <v>1701.02</v>
      </c>
      <c r="M694" s="67" t="n">
        <f aca="false">+M686-M689+M692</f>
        <v>2864.6</v>
      </c>
      <c r="N694" s="67" t="n">
        <f aca="false">+N686-N689+N692</f>
        <v>3736.1</v>
      </c>
      <c r="O694" s="67" t="n">
        <f aca="false">+O686-O689+O692</f>
        <v>4522.99999999999</v>
      </c>
      <c r="P694" s="67" t="n">
        <f aca="false">+P686-P689+P692</f>
        <v>6045.05999999999</v>
      </c>
      <c r="Q694" s="67" t="n">
        <f aca="false">+Q686-Q689+Q692</f>
        <v>6381.5</v>
      </c>
      <c r="R694" s="67" t="n">
        <f aca="false">+R686-R689+R692</f>
        <v>2084.46300000001</v>
      </c>
      <c r="S694" s="67" t="n">
        <f aca="false">+S686-S689+S692</f>
        <v>5447.74700000003</v>
      </c>
      <c r="T694" s="67" t="n">
        <f aca="false">+T686-T689+T692</f>
        <v>8017.99300000002</v>
      </c>
      <c r="U694" s="67" t="n">
        <f aca="false">+U686-U689+U692</f>
        <v>6899.76599999998</v>
      </c>
      <c r="V694" s="67" t="n">
        <f aca="false">+V686-V689+V692</f>
        <v>4707.06700000002</v>
      </c>
      <c r="W694" s="67" t="n">
        <f aca="false">+W686-W689+W692</f>
        <v>-912.189000000022</v>
      </c>
      <c r="X694" s="67" t="n">
        <f aca="false">+X686-X689+X692</f>
        <v>4421.96700000003</v>
      </c>
      <c r="Y694" s="67" t="n">
        <f aca="false">+Y686-Y689+Y692+Y688</f>
        <v>8265.36700000002</v>
      </c>
      <c r="Z694" s="67" t="n">
        <f aca="false">+Z686-Z689+Z692+Z688</f>
        <v>16540.862</v>
      </c>
      <c r="AA694" s="67" t="n">
        <f aca="false">+AA686-AA689+AA692+AA688</f>
        <v>22307.154</v>
      </c>
      <c r="AB694" s="67" t="n">
        <f aca="false">+AB686-AB689+AB692+AB688</f>
        <v>24967.9999999999</v>
      </c>
      <c r="AC694" s="67" t="n">
        <f aca="false">+AC686-AC689+AC692+AC688</f>
        <v>3619.2</v>
      </c>
      <c r="AD694" s="67" t="n">
        <f aca="false">+AD686-AD689+AD692</f>
        <v>-4119.10000000001</v>
      </c>
      <c r="AE694" s="67" t="n">
        <f aca="false">+AE686-AE689+AE692</f>
        <v>5276.10000000001</v>
      </c>
      <c r="AF694" s="67" t="n">
        <f aca="false">+AF686-AF689+AF692</f>
        <v>21104</v>
      </c>
      <c r="AG694" s="67" t="n">
        <f aca="false">+AG686-AG689+AG692</f>
        <v>37921.8000000001</v>
      </c>
      <c r="AH694" s="67" t="n">
        <f aca="false">+AH686-AH689+AH692</f>
        <v>43482.9</v>
      </c>
      <c r="AI694" s="67" t="n">
        <f aca="false">+AI686-AI689+AI692</f>
        <v>48140.2000000002</v>
      </c>
      <c r="AJ694" s="67" t="n">
        <f aca="false">+AJ686-AJ689+AJ692</f>
        <v>52122.4502817523</v>
      </c>
      <c r="AK694" s="67" t="n">
        <f aca="false">+AK686-AK689+AK692</f>
        <v>58460.772777821</v>
      </c>
      <c r="AL694" s="67" t="n">
        <f aca="false">+AL686-AL689+AL692</f>
        <v>63335.7268908518</v>
      </c>
      <c r="AM694" s="157"/>
      <c r="AN694" s="157"/>
      <c r="AO694" s="157"/>
    </row>
    <row r="695" customFormat="false" ht="12.75" hidden="false" customHeight="true" outlineLevel="0" collapsed="false">
      <c r="A695" s="167"/>
      <c r="B695" s="157"/>
      <c r="C695" s="157"/>
      <c r="D695" s="157"/>
      <c r="E695" s="157"/>
      <c r="F695" s="157"/>
      <c r="G695" s="157"/>
      <c r="Q695" s="75"/>
      <c r="Y695" s="278" t="n">
        <f aca="false">+Y694-8265.367</f>
        <v>0</v>
      </c>
      <c r="Z695" s="278" t="n">
        <f aca="false">+Z694-13300.862</f>
        <v>3240.00000000003</v>
      </c>
    </row>
    <row r="696" customFormat="false" ht="12.75" hidden="false" customHeight="true" outlineLevel="0" collapsed="false">
      <c r="A696" s="59" t="s">
        <v>572</v>
      </c>
      <c r="B696" s="164" t="n">
        <v>0</v>
      </c>
      <c r="C696" s="164" t="n">
        <v>0</v>
      </c>
      <c r="D696" s="164" t="n">
        <v>0</v>
      </c>
      <c r="E696" s="164" t="n">
        <v>0</v>
      </c>
      <c r="F696" s="164" t="n">
        <v>0</v>
      </c>
      <c r="G696" s="164" t="n">
        <v>0</v>
      </c>
      <c r="H696" s="164" t="n">
        <v>0</v>
      </c>
      <c r="I696" s="164" t="n">
        <v>0</v>
      </c>
      <c r="J696" s="164" t="n">
        <v>0</v>
      </c>
      <c r="K696" s="164" t="n">
        <v>0</v>
      </c>
      <c r="L696" s="164" t="n">
        <v>0</v>
      </c>
      <c r="M696" s="164" t="n">
        <v>0</v>
      </c>
      <c r="N696" s="164" t="n">
        <v>0</v>
      </c>
      <c r="O696" s="164" t="n">
        <v>0</v>
      </c>
      <c r="P696" s="164" t="n">
        <v>0</v>
      </c>
      <c r="Q696" s="164" t="n">
        <v>0</v>
      </c>
      <c r="R696" s="164" t="n">
        <v>0</v>
      </c>
      <c r="S696" s="164" t="n">
        <v>0</v>
      </c>
      <c r="T696" s="164" t="n">
        <v>0</v>
      </c>
      <c r="U696" s="157"/>
      <c r="V696" s="157"/>
      <c r="W696" s="157"/>
      <c r="X696" s="157"/>
      <c r="Y696" s="157"/>
      <c r="Z696" s="157"/>
      <c r="AA696" s="158"/>
      <c r="AB696" s="157"/>
      <c r="AC696" s="157"/>
      <c r="AD696" s="157"/>
      <c r="AE696" s="157"/>
      <c r="AF696" s="158"/>
      <c r="AG696" s="158"/>
      <c r="AH696" s="157"/>
      <c r="AI696" s="157"/>
      <c r="AJ696" s="157"/>
      <c r="AK696" s="157"/>
      <c r="AL696" s="157"/>
      <c r="AM696" s="157"/>
      <c r="AN696" s="157"/>
      <c r="AO696" s="157"/>
    </row>
    <row r="697" customFormat="false" ht="12.75" hidden="false" customHeight="true" outlineLevel="0" collapsed="false">
      <c r="A697" s="167"/>
      <c r="B697" s="157"/>
      <c r="C697" s="157"/>
      <c r="D697" s="157"/>
      <c r="E697" s="157"/>
      <c r="F697" s="157"/>
      <c r="G697" s="157"/>
    </row>
    <row r="698" customFormat="false" ht="12.75" hidden="false" customHeight="true" outlineLevel="0" collapsed="false">
      <c r="A698" s="167"/>
      <c r="B698" s="157"/>
      <c r="C698" s="157"/>
      <c r="D698" s="157"/>
      <c r="E698" s="157"/>
      <c r="F698" s="157"/>
      <c r="G698" s="157"/>
      <c r="H698" s="157"/>
      <c r="I698" s="157"/>
      <c r="J698" s="157"/>
      <c r="K698" s="157"/>
      <c r="L698" s="157"/>
      <c r="M698" s="157"/>
      <c r="P698" s="168" t="n">
        <v>6045.05999999999</v>
      </c>
      <c r="Q698" s="168" t="n">
        <v>6381.5</v>
      </c>
      <c r="R698" s="168" t="n">
        <v>2084.46300000001</v>
      </c>
      <c r="S698" s="75"/>
    </row>
    <row r="699" customFormat="false" ht="12.75" hidden="false" customHeight="true" outlineLevel="0" collapsed="false">
      <c r="B699" s="157"/>
      <c r="C699" s="157"/>
      <c r="D699" s="157"/>
      <c r="E699" s="157"/>
      <c r="F699" s="157"/>
      <c r="G699" s="157"/>
      <c r="H699" s="157"/>
      <c r="I699" s="157"/>
      <c r="J699" s="157"/>
      <c r="K699" s="157"/>
      <c r="L699" s="157"/>
      <c r="M699" s="157"/>
      <c r="O699" s="40"/>
    </row>
    <row r="700" customFormat="false" ht="12.75" hidden="false" customHeight="true" outlineLevel="0" collapsed="false">
      <c r="A700" s="167"/>
      <c r="B700" s="157"/>
      <c r="C700" s="157"/>
      <c r="D700" s="157"/>
      <c r="E700" s="157"/>
      <c r="F700" s="157"/>
      <c r="G700" s="157"/>
      <c r="H700" s="157"/>
      <c r="I700" s="157"/>
      <c r="J700" s="157"/>
      <c r="K700" s="157"/>
      <c r="L700" s="157"/>
      <c r="M700" s="157"/>
      <c r="W700" s="36" t="n">
        <f aca="false">+W701+1206</f>
        <v>0</v>
      </c>
      <c r="X700" s="40"/>
      <c r="Y700" s="40"/>
      <c r="Z700" s="40"/>
      <c r="AA700" s="77"/>
      <c r="AB700" s="40"/>
      <c r="AC700" s="40"/>
      <c r="AD700" s="40"/>
      <c r="AE700" s="40"/>
      <c r="AF700" s="77"/>
      <c r="AG700" s="77"/>
      <c r="AH700" s="40"/>
      <c r="AI700" s="40"/>
      <c r="AJ700" s="40"/>
      <c r="AK700" s="40"/>
      <c r="AL700" s="40"/>
      <c r="AM700" s="40"/>
      <c r="AN700" s="40"/>
      <c r="AO700" s="40"/>
    </row>
    <row r="701" customFormat="false" ht="12.75" hidden="false" customHeight="true" outlineLevel="0" collapsed="false">
      <c r="A701" s="59" t="s">
        <v>242</v>
      </c>
      <c r="B701" s="67" t="n">
        <f aca="false">+B698</f>
        <v>0</v>
      </c>
      <c r="C701" s="208" t="n">
        <v>0</v>
      </c>
      <c r="D701" s="208" t="n">
        <v>0</v>
      </c>
      <c r="E701" s="208" t="n">
        <v>205</v>
      </c>
      <c r="F701" s="208" t="n">
        <v>321</v>
      </c>
      <c r="G701" s="208" t="n">
        <v>22.5</v>
      </c>
      <c r="H701" s="208" t="n">
        <v>29.5</v>
      </c>
      <c r="I701" s="208" t="n">
        <v>148</v>
      </c>
      <c r="J701" s="208" t="n">
        <v>102.6</v>
      </c>
      <c r="K701" s="209" t="n">
        <f aca="false">307+92.5</f>
        <v>399.5</v>
      </c>
      <c r="L701" s="209" t="n">
        <f aca="false">442.5+56.4</f>
        <v>498.9</v>
      </c>
      <c r="M701" s="209" t="n">
        <f aca="false">738.35+190.45</f>
        <v>928.8</v>
      </c>
      <c r="N701" s="209" t="n">
        <f aca="false">895+127</f>
        <v>1022</v>
      </c>
      <c r="O701" s="209" t="n">
        <f aca="false">1130.5+72.3+47</f>
        <v>1249.8</v>
      </c>
      <c r="P701" s="209" t="n">
        <f aca="false">1350.5+230.2+51.5</f>
        <v>1632.2</v>
      </c>
      <c r="Q701" s="209" t="n">
        <f aca="false">1014+604.4+70</f>
        <v>1688.4</v>
      </c>
      <c r="R701" s="209" t="n">
        <f aca="false">124.5+60</f>
        <v>184.5</v>
      </c>
      <c r="S701" s="209" t="n">
        <f aca="false">1211+0</f>
        <v>1211</v>
      </c>
      <c r="T701" s="209" t="n">
        <f aca="false">1111.5+593.5</f>
        <v>1705</v>
      </c>
      <c r="U701" s="209" t="n">
        <f aca="false">775.2+464.8</f>
        <v>1240</v>
      </c>
      <c r="V701" s="208" t="n">
        <v>370</v>
      </c>
      <c r="W701" s="208" t="n">
        <v>-1206</v>
      </c>
      <c r="X701" s="208" t="n">
        <v>1073.907</v>
      </c>
      <c r="Y701" s="208" t="n">
        <v>4369.382</v>
      </c>
      <c r="Z701" s="209" t="n">
        <f aca="false">3137.19-2067.1+3240</f>
        <v>4310.09</v>
      </c>
      <c r="AA701" s="209" t="n">
        <f aca="false">6772.721-91.463</f>
        <v>6681.258</v>
      </c>
      <c r="AB701" s="209" t="n">
        <f aca="false">3782+1354</f>
        <v>5136</v>
      </c>
      <c r="AC701" s="209" t="n">
        <f aca="false">717.4+506.6</f>
        <v>1224</v>
      </c>
      <c r="AD701" s="209" t="n">
        <f aca="false">-982.5+0.2</f>
        <v>-982.3</v>
      </c>
      <c r="AE701" s="209" t="n">
        <f aca="false">101.1-243.3</f>
        <v>-142.2</v>
      </c>
      <c r="AF701" s="209" t="n">
        <f aca="false">7800-497.1</f>
        <v>7302.9</v>
      </c>
      <c r="AG701" s="209" t="n">
        <f aca="false">12854.4-1111.3</f>
        <v>11743.1</v>
      </c>
      <c r="AH701" s="209" t="n">
        <f aca="false">14974-4524</f>
        <v>10450</v>
      </c>
      <c r="AI701" s="209" t="n">
        <f aca="false">12270.6+214.3</f>
        <v>12484.9</v>
      </c>
      <c r="AJ701" s="67" t="n">
        <f aca="false">AJ702/100*(AJ694-AJ692)</f>
        <v>13030.6125704381</v>
      </c>
      <c r="AK701" s="67" t="n">
        <f aca="false">AK702/100*(AK694-AK692)</f>
        <v>14615.1931944552</v>
      </c>
      <c r="AL701" s="67" t="n">
        <f aca="false">AL702/100*(AL694-AL692)</f>
        <v>15833.9317227129</v>
      </c>
      <c r="AM701" s="145"/>
      <c r="AN701" s="145"/>
      <c r="AO701" s="145"/>
    </row>
    <row r="702" customFormat="false" ht="12.75" hidden="false" customHeight="true" outlineLevel="0" collapsed="false">
      <c r="A702" s="59" t="s">
        <v>573</v>
      </c>
      <c r="B702" s="117" t="n">
        <f aca="false">B701/B694*100</f>
        <v>0</v>
      </c>
      <c r="C702" s="117" t="n">
        <f aca="false">C701/C694*100</f>
        <v>0</v>
      </c>
      <c r="D702" s="117" t="n">
        <f aca="false">D701/D694*100</f>
        <v>0</v>
      </c>
      <c r="E702" s="117" t="n">
        <f aca="false">E701/E694*100</f>
        <v>15.3462641204344</v>
      </c>
      <c r="F702" s="117" t="n">
        <f aca="false">F701/F694*100</f>
        <v>20.4413028942593</v>
      </c>
      <c r="G702" s="117" t="n">
        <f aca="false">G701/G694*100</f>
        <v>10.8863114146178</v>
      </c>
      <c r="H702" s="117" t="n">
        <f aca="false">H701/H694*100</f>
        <v>12.4636453265601</v>
      </c>
      <c r="I702" s="117" t="n">
        <f aca="false">I701/I694*100</f>
        <v>15.8650187057146</v>
      </c>
      <c r="J702" s="117" t="n">
        <f aca="false">J701/J694*100</f>
        <v>10.0646452359698</v>
      </c>
      <c r="K702" s="117" t="n">
        <f aca="false">K701/K694*100</f>
        <v>30.2179931319305</v>
      </c>
      <c r="L702" s="117" t="n">
        <f aca="false">L701/L694*100</f>
        <v>29.3294611468412</v>
      </c>
      <c r="M702" s="117" t="n">
        <f aca="false">M701/M694*100</f>
        <v>32.4233749912728</v>
      </c>
      <c r="N702" s="117" t="n">
        <f aca="false">N701/N694*100</f>
        <v>27.3547281925002</v>
      </c>
      <c r="O702" s="117" t="n">
        <f aca="false">O701/O694*100</f>
        <v>27.6321025867788</v>
      </c>
      <c r="P702" s="117" t="n">
        <f aca="false">P701/P694*100</f>
        <v>27.0005591342353</v>
      </c>
      <c r="Q702" s="117" t="n">
        <f aca="false">Q701/Q694*100</f>
        <v>26.4577293739716</v>
      </c>
      <c r="R702" s="117" t="n">
        <f aca="false">R701/R694*100</f>
        <v>8.85120052502727</v>
      </c>
      <c r="S702" s="117" t="n">
        <f aca="false">S701/S694*100</f>
        <v>22.2293729866676</v>
      </c>
      <c r="T702" s="117" t="n">
        <f aca="false">T701/T694*100</f>
        <v>21.2646730921316</v>
      </c>
      <c r="U702" s="117" t="n">
        <f aca="false">U701/U694*100</f>
        <v>17.9716239652186</v>
      </c>
      <c r="V702" s="117" t="n">
        <f aca="false">V701/(V694-V692)*100</f>
        <v>20.4249944521297</v>
      </c>
      <c r="W702" s="117" t="n">
        <f aca="false">W701/(W694-W692)*100</f>
        <v>20.2051408177687</v>
      </c>
      <c r="X702" s="117" t="n">
        <f aca="false">X701/(X694-X692)*100</f>
        <v>31.4688062619554</v>
      </c>
      <c r="Y702" s="117" t="n">
        <f aca="false">Y701/(Y694-Y692)*100</f>
        <v>26.6140085500915</v>
      </c>
      <c r="Z702" s="117" t="n">
        <f aca="false">Z701/(Z694-Z692)*100</f>
        <v>25.6410714031816</v>
      </c>
      <c r="AA702" s="117" t="n">
        <f aca="false">AA701/(AA694-AA692)*100</f>
        <v>29.7834145997021</v>
      </c>
      <c r="AB702" s="117" t="n">
        <f aca="false">AB701/(AB694-AB692)*100</f>
        <v>20.1280734894148</v>
      </c>
      <c r="AC702" s="117" t="n">
        <f aca="false">AC701/(AC694-AC692)*100</f>
        <v>23.640753259295</v>
      </c>
      <c r="AD702" s="117" t="n">
        <f aca="false">AD701/(AD694-AD692)*100</f>
        <v>24.566098134347</v>
      </c>
      <c r="AE702" s="117" t="n">
        <f aca="false">AE701/(AE694-AE692)*100</f>
        <v>-84.7437425506504</v>
      </c>
      <c r="AF702" s="117" t="n">
        <f aca="false">AF701/(AF694-AF692)*100</f>
        <v>36.0496398935724</v>
      </c>
      <c r="AG702" s="117" t="n">
        <f aca="false">AG701/(AG694-AG692)*100</f>
        <v>30.2197689081036</v>
      </c>
      <c r="AH702" s="117" t="n">
        <f aca="false">AH701/(AH694-AH692)*100</f>
        <v>24.6197485722902</v>
      </c>
      <c r="AI702" s="117" t="n">
        <f aca="false">AI701/(AI694-AI692)*100</f>
        <v>24.1838256658595</v>
      </c>
      <c r="AJ702" s="267" t="n">
        <v>25</v>
      </c>
      <c r="AK702" s="267" t="n">
        <v>25</v>
      </c>
      <c r="AL702" s="267" t="n">
        <v>25</v>
      </c>
      <c r="AM702" s="310"/>
      <c r="AN702" s="310"/>
      <c r="AO702" s="310"/>
    </row>
    <row r="703" customFormat="false" ht="12.75" hidden="false" customHeight="true" outlineLevel="0" collapsed="false">
      <c r="A703" s="167"/>
      <c r="B703" s="118"/>
      <c r="C703" s="118"/>
      <c r="D703" s="118"/>
      <c r="E703" s="118"/>
      <c r="F703" s="118"/>
      <c r="G703" s="118"/>
      <c r="H703" s="118"/>
      <c r="I703" s="118"/>
      <c r="J703" s="118"/>
      <c r="K703" s="118"/>
      <c r="L703" s="118"/>
      <c r="M703" s="118"/>
      <c r="R703" s="315"/>
      <c r="S703" s="315"/>
      <c r="T703" s="316"/>
      <c r="W703" s="85"/>
    </row>
    <row r="704" customFormat="false" ht="12.75" hidden="false" customHeight="true" outlineLevel="0" collapsed="false">
      <c r="A704" s="59" t="s">
        <v>244</v>
      </c>
      <c r="B704" s="67" t="n">
        <f aca="false">+B694-B701-B696</f>
        <v>44.2500000000015</v>
      </c>
      <c r="C704" s="67" t="n">
        <f aca="false">+C694-C701-C696</f>
        <v>353.300000000002</v>
      </c>
      <c r="D704" s="67" t="n">
        <f aca="false">+D694-D701-D696</f>
        <v>705.899999999999</v>
      </c>
      <c r="E704" s="67" t="n">
        <f aca="false">+E694-E701-E696</f>
        <v>1130.83</v>
      </c>
      <c r="F704" s="67" t="n">
        <f aca="false">+F694-F701-F696</f>
        <v>1249.35</v>
      </c>
      <c r="G704" s="67" t="n">
        <f aca="false">+G694-G701-G696</f>
        <v>184.181576000001</v>
      </c>
      <c r="H704" s="67" t="n">
        <f aca="false">+H694-H701-H696</f>
        <v>207.188378295998</v>
      </c>
      <c r="I704" s="67" t="n">
        <f aca="false">+I694-I701-I696</f>
        <v>784.869999999999</v>
      </c>
      <c r="J704" s="67" t="n">
        <f aca="false">+J694-J701-J696</f>
        <v>916.809999999998</v>
      </c>
      <c r="K704" s="67" t="n">
        <f aca="false">+K694-K701-K696</f>
        <v>922.56</v>
      </c>
      <c r="L704" s="67" t="n">
        <f aca="false">+L694-L701-L696</f>
        <v>1202.12</v>
      </c>
      <c r="M704" s="67" t="n">
        <f aca="false">+M694-M701-M696</f>
        <v>1935.8</v>
      </c>
      <c r="N704" s="67" t="n">
        <f aca="false">+N694-N701-N696</f>
        <v>2714.1</v>
      </c>
      <c r="O704" s="67" t="n">
        <f aca="false">+O694-O701-O696</f>
        <v>3273.19999999999</v>
      </c>
      <c r="P704" s="67" t="n">
        <f aca="false">+P694-P701-P696</f>
        <v>4412.85999999999</v>
      </c>
      <c r="Q704" s="67" t="n">
        <f aca="false">+Q694-Q701-Q696</f>
        <v>4693.1</v>
      </c>
      <c r="R704" s="67" t="n">
        <f aca="false">+R694-R701-R696</f>
        <v>1899.96300000001</v>
      </c>
      <c r="S704" s="67" t="n">
        <f aca="false">+S694-S701-S696</f>
        <v>4236.74700000003</v>
      </c>
      <c r="T704" s="67" t="n">
        <f aca="false">+T694-T701-T696</f>
        <v>6312.99300000002</v>
      </c>
      <c r="U704" s="67" t="n">
        <f aca="false">+U694-U701-U696</f>
        <v>5659.76599999998</v>
      </c>
      <c r="V704" s="67" t="n">
        <f aca="false">+V694-V701-V696</f>
        <v>4337.06700000002</v>
      </c>
      <c r="W704" s="67" t="n">
        <f aca="false">+W694-W701-W696</f>
        <v>293.810999999978</v>
      </c>
      <c r="X704" s="67" t="n">
        <f aca="false">+X694-X701-X696</f>
        <v>3348.06000000003</v>
      </c>
      <c r="Y704" s="67" t="n">
        <f aca="false">+Y694-Y701-Y696</f>
        <v>3895.98500000002</v>
      </c>
      <c r="Z704" s="67" t="n">
        <f aca="false">+Z694-Z701-Z696</f>
        <v>12230.772</v>
      </c>
      <c r="AA704" s="67" t="n">
        <f aca="false">+AA694-AA701-AA696</f>
        <v>15625.896</v>
      </c>
      <c r="AB704" s="67" t="n">
        <f aca="false">+AB694-AB701-AB696</f>
        <v>19831.9999999999</v>
      </c>
      <c r="AC704" s="67" t="n">
        <f aca="false">+AC694-AC701-AC696</f>
        <v>2395.2</v>
      </c>
      <c r="AD704" s="67" t="n">
        <f aca="false">+AD694-AD701-AD696</f>
        <v>-3136.80000000001</v>
      </c>
      <c r="AE704" s="67" t="n">
        <f aca="false">+AE694-AE701-AE696</f>
        <v>5418.30000000001</v>
      </c>
      <c r="AF704" s="67" t="n">
        <f aca="false">+AF694-AF701-AF696</f>
        <v>13801.1</v>
      </c>
      <c r="AG704" s="67" t="n">
        <f aca="false">+AG694-AG701-AG696</f>
        <v>26178.7</v>
      </c>
      <c r="AH704" s="67" t="n">
        <f aca="false">+AH694-AH701-AH696</f>
        <v>33032.9</v>
      </c>
      <c r="AI704" s="67" t="n">
        <f aca="false">+AI694-AI701-AI696</f>
        <v>35655.3000000002</v>
      </c>
      <c r="AJ704" s="67" t="n">
        <f aca="false">+AJ694-AJ701-AJ696</f>
        <v>39091.8377113142</v>
      </c>
      <c r="AK704" s="67" t="n">
        <f aca="false">+AK694-AK701-AK696</f>
        <v>43845.5795833658</v>
      </c>
      <c r="AL704" s="67" t="n">
        <f aca="false">+AL694-AL701-AL696</f>
        <v>47501.7951681388</v>
      </c>
      <c r="AM704" s="118"/>
      <c r="AN704" s="118"/>
      <c r="AO704" s="118"/>
      <c r="AP704" s="119"/>
    </row>
    <row r="705" customFormat="false" ht="12.75" hidden="false" customHeight="true" outlineLevel="0" collapsed="false">
      <c r="A705" s="59" t="s">
        <v>216</v>
      </c>
      <c r="B705" s="157"/>
      <c r="C705" s="117" t="n">
        <f aca="false">C704/B704*100-100</f>
        <v>698.418079096021</v>
      </c>
      <c r="D705" s="117" t="n">
        <f aca="false">D704/C704*100-100</f>
        <v>99.801868100763</v>
      </c>
      <c r="E705" s="117" t="n">
        <f aca="false">E704/D704*100-100</f>
        <v>60.1969117438739</v>
      </c>
      <c r="F705" s="117" t="n">
        <f aca="false">F704/E704*100-100</f>
        <v>10.480797290485</v>
      </c>
      <c r="G705" s="117" t="n">
        <f aca="false">G704/F704*100-100</f>
        <v>-85.2578079801495</v>
      </c>
      <c r="H705" s="117" t="n">
        <f aca="false">H704/G704*100-100</f>
        <v>12.4913700901314</v>
      </c>
      <c r="I705" s="117" t="n">
        <f aca="false">I704/H704*100-100</f>
        <v>278.819510271325</v>
      </c>
      <c r="J705" s="117" t="n">
        <f aca="false">J704/I704*100-100</f>
        <v>16.8104272045051</v>
      </c>
      <c r="K705" s="117" t="n">
        <f aca="false">K704/J704*100-100</f>
        <v>0.627174659962421</v>
      </c>
      <c r="L705" s="117" t="n">
        <f aca="false">L704/K704*100-100</f>
        <v>30.3026361429072</v>
      </c>
      <c r="M705" s="117" t="n">
        <f aca="false">M704/L704*100-100</f>
        <v>61.0321764882036</v>
      </c>
      <c r="N705" s="117" t="n">
        <f aca="false">N704/M704*100-100</f>
        <v>40.2055997520404</v>
      </c>
      <c r="O705" s="117" t="n">
        <f aca="false">O704/N704*100-100</f>
        <v>20.599830514719</v>
      </c>
      <c r="P705" s="117" t="n">
        <f aca="false">P704/O704*100-100</f>
        <v>34.8179151900283</v>
      </c>
      <c r="Q705" s="117" t="n">
        <f aca="false">Q704/P704*100-100</f>
        <v>6.35053004174185</v>
      </c>
      <c r="R705" s="117" t="n">
        <f aca="false">R704/Q704*100-100</f>
        <v>-59.5158210990601</v>
      </c>
      <c r="S705" s="117" t="n">
        <f aca="false">S704/R704*100-100</f>
        <v>122.991026667362</v>
      </c>
      <c r="T705" s="117" t="n">
        <f aca="false">T704/S704*100-100</f>
        <v>49.0056640153395</v>
      </c>
      <c r="U705" s="117" t="n">
        <f aca="false">U704/T704*100-100</f>
        <v>-10.3473423778553</v>
      </c>
      <c r="V705" s="117" t="n">
        <f aca="false">V704/U704*100-100</f>
        <v>-23.3702064714331</v>
      </c>
      <c r="W705" s="117" t="n">
        <f aca="false">W704/V704*100-100</f>
        <v>-93.2255830956733</v>
      </c>
      <c r="X705" s="117" t="n">
        <f aca="false">X704/W704*100-100</f>
        <v>1039.5284723854</v>
      </c>
      <c r="Y705" s="117" t="n">
        <f aca="false">Y704/X704*100-100</f>
        <v>16.3654474531515</v>
      </c>
      <c r="Z705" s="117" t="n">
        <f aca="false">Z704/Y704*100-100</f>
        <v>213.932728180421</v>
      </c>
      <c r="AA705" s="117" t="n">
        <f aca="false">AA704/Z704*100-100</f>
        <v>27.7588691866706</v>
      </c>
      <c r="AB705" s="117" t="n">
        <f aca="false">AB704/AA704*100-100</f>
        <v>26.9175220416159</v>
      </c>
      <c r="AC705" s="117" t="n">
        <f aca="false">AC704/AB704*100-100</f>
        <v>-87.9225494150867</v>
      </c>
      <c r="AD705" s="117" t="n">
        <f aca="false">AD704/AC704*100-100</f>
        <v>-230.961923847696</v>
      </c>
      <c r="AE705" s="117" t="n">
        <f aca="false">AE704/AD704*100-100</f>
        <v>-272.733358837031</v>
      </c>
      <c r="AF705" s="117" t="n">
        <f aca="false">AF704/AE704*100-100</f>
        <v>154.712732775962</v>
      </c>
      <c r="AG705" s="117" t="n">
        <f aca="false">AG704/AF704*100-100</f>
        <v>89.6856047706346</v>
      </c>
      <c r="AH705" s="117" t="n">
        <f aca="false">AH704/AG704*100-100</f>
        <v>26.1823543567862</v>
      </c>
      <c r="AI705" s="117" t="n">
        <f aca="false">AI704/AH704*100-100</f>
        <v>7.93875197151968</v>
      </c>
      <c r="AJ705" s="117" t="n">
        <f aca="false">AJ704/AI704*100-100</f>
        <v>9.63822408257408</v>
      </c>
      <c r="AK705" s="117" t="n">
        <f aca="false">AK704/AJ704*100-100</f>
        <v>12.1604461451953</v>
      </c>
      <c r="AL705" s="117" t="n">
        <f aca="false">AL704/AK704*100-100</f>
        <v>8.33884651432497</v>
      </c>
      <c r="AM705" s="118"/>
      <c r="AN705" s="118"/>
      <c r="AO705" s="118"/>
    </row>
    <row r="706" customFormat="false" ht="12.75" hidden="false" customHeight="true" outlineLevel="0" collapsed="false">
      <c r="A706" s="167"/>
      <c r="B706" s="157"/>
      <c r="C706" s="157"/>
      <c r="D706" s="157"/>
      <c r="E706" s="157"/>
      <c r="F706" s="157"/>
      <c r="G706" s="157"/>
      <c r="H706" s="157"/>
      <c r="I706" s="118"/>
      <c r="J706" s="157"/>
      <c r="K706" s="157"/>
      <c r="L706" s="157"/>
      <c r="M706" s="157"/>
      <c r="O706" s="75"/>
      <c r="AA706" s="85"/>
      <c r="AB706" s="317" t="n">
        <f aca="false">+AB704-19832</f>
        <v>0</v>
      </c>
      <c r="AC706" s="318" t="n">
        <f aca="false">+AC704-2395.2</f>
        <v>0</v>
      </c>
      <c r="AD706" s="143" t="n">
        <f aca="false">+AD704+3136.8</f>
        <v>0</v>
      </c>
      <c r="AE706" s="143" t="n">
        <f aca="false">+AE704-5418.3</f>
        <v>0</v>
      </c>
      <c r="AF706" s="143" t="n">
        <f aca="false">+AF704-13801.1</f>
        <v>0</v>
      </c>
      <c r="AG706" s="143" t="n">
        <f aca="false">+AG704-26178.7</f>
        <v>0</v>
      </c>
      <c r="AH706" s="143" t="n">
        <f aca="false">+AH704-33032.9</f>
        <v>0</v>
      </c>
      <c r="AI706" s="319" t="n">
        <f aca="false">+AI704-35655.3</f>
        <v>1.60071067512035E-010</v>
      </c>
    </row>
    <row r="707" customFormat="false" ht="12.75" hidden="false" customHeight="true" outlineLevel="0" collapsed="false">
      <c r="A707" s="59" t="s">
        <v>574</v>
      </c>
      <c r="B707" s="67" t="n">
        <f aca="false">B704-(B692*(1-B702/100))</f>
        <v>44.2500000000015</v>
      </c>
      <c r="C707" s="67" t="n">
        <f aca="false">C704-(C692*(1-C702/100))</f>
        <v>353.300000000002</v>
      </c>
      <c r="D707" s="67" t="n">
        <f aca="false">D704-(D692*(1-D702/100))</f>
        <v>705.899999999999</v>
      </c>
      <c r="E707" s="67" t="n">
        <f aca="false">E704-(E692*(1-E702/100))</f>
        <v>1130.83</v>
      </c>
      <c r="F707" s="67" t="n">
        <f aca="false">F704-(F692*(1-F702/100))</f>
        <v>1249.35</v>
      </c>
      <c r="G707" s="67" t="n">
        <f aca="false">G704-(G692*(1-G702/100))</f>
        <v>184.181576000001</v>
      </c>
      <c r="H707" s="67" t="n">
        <f aca="false">H704-(H692*(1-H702/100))</f>
        <v>207.188378295998</v>
      </c>
      <c r="I707" s="67" t="n">
        <f aca="false">I704-(I692*(1-I702/100))</f>
        <v>784.869999999999</v>
      </c>
      <c r="J707" s="67" t="n">
        <f aca="false">J704-J692</f>
        <v>971.489999999998</v>
      </c>
      <c r="K707" s="67" t="n">
        <f aca="false">K704-K692</f>
        <v>962.99</v>
      </c>
      <c r="L707" s="67" t="n">
        <f aca="false">L704-L692</f>
        <v>1309.53</v>
      </c>
      <c r="M707" s="67" t="n">
        <f aca="false">M704-M692</f>
        <v>2030.99</v>
      </c>
      <c r="N707" s="67" t="n">
        <f aca="false">N704-N692</f>
        <v>2355.3416</v>
      </c>
      <c r="O707" s="132" t="n">
        <f aca="false">O704+(84.51*(1-O702/100))-240</f>
        <v>3094.3581101039</v>
      </c>
      <c r="P707" s="67" t="n">
        <f aca="false">P704-P692</f>
        <v>4543.61999999999</v>
      </c>
      <c r="Q707" s="67" t="n">
        <f aca="false">Q704-Q692</f>
        <v>4820.47</v>
      </c>
      <c r="R707" s="67" t="n">
        <f aca="false">R704-R692</f>
        <v>2489.85000000001</v>
      </c>
      <c r="S707" s="67" t="n">
        <f aca="false">S704-S692</f>
        <v>4269.46200000003</v>
      </c>
      <c r="T707" s="67" t="n">
        <f aca="false">T704-T692</f>
        <v>6812.99300000002</v>
      </c>
      <c r="U707" s="67" t="n">
        <f aca="false">U704-U692</f>
        <v>5643.78799999998</v>
      </c>
      <c r="V707" s="67" t="n">
        <f aca="false">V704-V692</f>
        <v>1441.50600000002</v>
      </c>
      <c r="W707" s="67" t="n">
        <f aca="false">W704-W692</f>
        <v>-4762.77800000002</v>
      </c>
      <c r="X707" s="67" t="n">
        <f aca="false">X704-(X692)</f>
        <v>2338.70100000003</v>
      </c>
      <c r="Y707" s="67" t="n">
        <f aca="false">Y704-(Y692*(1-Y702/100))</f>
        <v>9878.58348007646</v>
      </c>
      <c r="Z707" s="67" t="n">
        <f aca="false">Z704-(Z692*(1-Z702/100))</f>
        <v>12430.3952361218</v>
      </c>
      <c r="AA707" s="67" t="n">
        <f aca="false">AA704-(AA692+AA688)</f>
        <v>15747.643</v>
      </c>
      <c r="AB707" s="132" t="n">
        <f aca="false">AB704-(AB692+AB688)*0.8</f>
        <v>20291.9199999999</v>
      </c>
      <c r="AC707" s="67" t="n">
        <f aca="false">AC704-(AC692+AC688)*0.75</f>
        <v>3563.85</v>
      </c>
      <c r="AD707" s="67" t="n">
        <f aca="false">AD704-(AD692+AD688)*0.75</f>
        <v>-3046.42500000001</v>
      </c>
      <c r="AE707" s="67" t="n">
        <f aca="false">AE704-(AE692+AE688)*0.75</f>
        <v>1587.07500000001</v>
      </c>
      <c r="AF707" s="67" t="n">
        <f aca="false">AF704-(AF692+AF688)*0.75</f>
        <v>13166.525</v>
      </c>
      <c r="AG707" s="67" t="n">
        <f aca="false">AG704-(AG692+AG688)*0.75</f>
        <v>26881.6000000001</v>
      </c>
      <c r="AH707" s="67" t="n">
        <f aca="false">AH704-(AH692+AH688)*0.75</f>
        <v>32254.925</v>
      </c>
      <c r="AI707" s="67" t="n">
        <f aca="false">AI704-(AI692+AI688)*1</f>
        <v>39140.1000000002</v>
      </c>
      <c r="AJ707" s="67" t="n">
        <f aca="false">AJ704-(AJ692+AJ688)*0.75</f>
        <v>39091.8377113142</v>
      </c>
      <c r="AK707" s="67" t="n">
        <f aca="false">AK704-(AK692+AK688)*0.75</f>
        <v>43845.5795833658</v>
      </c>
      <c r="AL707" s="67" t="n">
        <f aca="false">AL704-(AL692+AL688)*0.75</f>
        <v>47501.7951681388</v>
      </c>
      <c r="AM707" s="157"/>
      <c r="AN707" s="157"/>
      <c r="AO707" s="157"/>
    </row>
    <row r="708" customFormat="false" ht="12.75" hidden="false" customHeight="true" outlineLevel="0" collapsed="false">
      <c r="A708" s="59" t="s">
        <v>216</v>
      </c>
      <c r="B708" s="157"/>
      <c r="C708" s="117" t="n">
        <f aca="false">C707/B707*100-100</f>
        <v>698.418079096021</v>
      </c>
      <c r="D708" s="117" t="n">
        <f aca="false">D707/C707*100-100</f>
        <v>99.801868100763</v>
      </c>
      <c r="E708" s="117" t="n">
        <f aca="false">E707/D707*100-100</f>
        <v>60.1969117438739</v>
      </c>
      <c r="F708" s="117" t="n">
        <f aca="false">F707/E707*100-100</f>
        <v>10.480797290485</v>
      </c>
      <c r="G708" s="117" t="n">
        <f aca="false">G707/F707*100-100</f>
        <v>-85.2578079801495</v>
      </c>
      <c r="H708" s="117" t="n">
        <f aca="false">H707/G707*100-100</f>
        <v>12.4913700901314</v>
      </c>
      <c r="I708" s="117" t="n">
        <f aca="false">I707/H707*100-100</f>
        <v>278.819510271325</v>
      </c>
      <c r="J708" s="117" t="n">
        <f aca="false">J707/I707*100-100</f>
        <v>23.7771860308075</v>
      </c>
      <c r="K708" s="117" t="n">
        <f aca="false">K707/J707*100-100</f>
        <v>-0.874944672616124</v>
      </c>
      <c r="L708" s="117" t="n">
        <f aca="false">L707/K707*100-100</f>
        <v>35.9858357823035</v>
      </c>
      <c r="M708" s="117" t="n">
        <f aca="false">M707/L707*100-100</f>
        <v>55.0930486510423</v>
      </c>
      <c r="N708" s="117" t="n">
        <f aca="false">N707/M707*100-100</f>
        <v>15.9701229449677</v>
      </c>
      <c r="O708" s="117" t="n">
        <f aca="false">O707/N707*100-100</f>
        <v>31.3761923155394</v>
      </c>
      <c r="P708" s="117" t="n">
        <f aca="false">P707/O707*100-100</f>
        <v>46.8356227148973</v>
      </c>
      <c r="Q708" s="117" t="n">
        <f aca="false">Q707/P707*100-100</f>
        <v>6.09315919905293</v>
      </c>
      <c r="R708" s="117" t="n">
        <f aca="false">R707/Q707*100-100</f>
        <v>-48.348397562893</v>
      </c>
      <c r="S708" s="117" t="n">
        <f aca="false">S707/R707*100-100</f>
        <v>71.474667148624</v>
      </c>
      <c r="T708" s="117" t="n">
        <f aca="false">T707/S707*100-100</f>
        <v>59.5749768940435</v>
      </c>
      <c r="U708" s="117" t="n">
        <f aca="false">U707/T707*100-100</f>
        <v>-17.1614002832534</v>
      </c>
      <c r="V708" s="117" t="n">
        <f aca="false">V707/U707*100-100</f>
        <v>-74.4585374220289</v>
      </c>
      <c r="W708" s="117" t="n">
        <f aca="false">W707/V707*100-100</f>
        <v>-430.402925828957</v>
      </c>
      <c r="X708" s="117" t="n">
        <f aca="false">X707/W707*100-100</f>
        <v>-149.103716360494</v>
      </c>
      <c r="Y708" s="117" t="n">
        <f aca="false">Y707/X707*100-100</f>
        <v>322.396171211127</v>
      </c>
      <c r="Z708" s="117" t="n">
        <f aca="false">Z707/Y707*100-100</f>
        <v>25.8317577736919</v>
      </c>
      <c r="AA708" s="117" t="n">
        <f aca="false">AA707/Z707*100-100</f>
        <v>26.6865831766841</v>
      </c>
      <c r="AB708" s="117" t="n">
        <f aca="false">AB707/AA707*100-100</f>
        <v>28.8568708345749</v>
      </c>
      <c r="AC708" s="117" t="n">
        <f aca="false">AC707/AB707*100-100</f>
        <v>-82.4370981159003</v>
      </c>
      <c r="AD708" s="117" t="n">
        <f aca="false">AD707/AC707*100-100</f>
        <v>-185.481291300139</v>
      </c>
      <c r="AE708" s="117" t="n">
        <f aca="false">AE707/AD707*100-100</f>
        <v>-152.096309608804</v>
      </c>
      <c r="AF708" s="117" t="n">
        <f aca="false">AF707/AE707*100-100</f>
        <v>729.609501756371</v>
      </c>
      <c r="AG708" s="117" t="n">
        <f aca="false">AG707/AF707*100-100</f>
        <v>104.166247358358</v>
      </c>
      <c r="AH708" s="117" t="n">
        <f aca="false">AH707/AG707*100-100</f>
        <v>19.9888585500862</v>
      </c>
      <c r="AI708" s="117" t="n">
        <f aca="false">AI707/AH707*100-100</f>
        <v>21.3461200111305</v>
      </c>
      <c r="AJ708" s="117" t="n">
        <f aca="false">AJ707/AI707*100-100</f>
        <v>-0.123306503268878</v>
      </c>
      <c r="AK708" s="117" t="n">
        <f aca="false">AK707/AJ707*100-100</f>
        <v>12.1604461451953</v>
      </c>
      <c r="AL708" s="117" t="n">
        <f aca="false">AL707/AK707*100-100</f>
        <v>8.33884651432497</v>
      </c>
      <c r="AM708" s="118"/>
      <c r="AN708" s="118"/>
      <c r="AO708" s="118"/>
    </row>
    <row r="709" customFormat="false" ht="12.75" hidden="false" customHeight="true" outlineLevel="0" collapsed="false">
      <c r="A709" s="167"/>
      <c r="B709" s="157"/>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c r="Z709" s="118"/>
      <c r="AA709" s="320"/>
      <c r="AB709" s="118"/>
      <c r="AC709" s="118"/>
      <c r="AD709" s="118"/>
      <c r="AE709" s="118"/>
      <c r="AF709" s="320"/>
      <c r="AG709" s="320"/>
      <c r="AH709" s="118"/>
      <c r="AI709" s="118"/>
      <c r="AJ709" s="118"/>
      <c r="AK709" s="118"/>
      <c r="AL709" s="118"/>
      <c r="AM709" s="118"/>
      <c r="AN709" s="118"/>
      <c r="AO709" s="118"/>
    </row>
    <row r="710" customFormat="false" ht="12.75" hidden="false" customHeight="true" outlineLevel="0" collapsed="false">
      <c r="A710" s="59" t="s">
        <v>575</v>
      </c>
      <c r="B710" s="157"/>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c r="Z710" s="118"/>
      <c r="AA710" s="320"/>
      <c r="AB710" s="118"/>
      <c r="AC710" s="118"/>
      <c r="AD710" s="118"/>
      <c r="AE710" s="118"/>
      <c r="AF710" s="320"/>
      <c r="AG710" s="196" t="n">
        <v>-210.6</v>
      </c>
      <c r="AH710" s="196" t="n">
        <v>-119.6</v>
      </c>
      <c r="AI710" s="196" t="n">
        <v>-150</v>
      </c>
      <c r="AJ710" s="196" t="n">
        <v>-150</v>
      </c>
      <c r="AK710" s="196" t="n">
        <v>-150</v>
      </c>
      <c r="AL710" s="196" t="n">
        <v>-150</v>
      </c>
      <c r="AM710" s="40"/>
      <c r="AN710" s="118"/>
      <c r="AO710" s="118"/>
    </row>
    <row r="711" customFormat="false" ht="12.75" hidden="false" customHeight="true" outlineLevel="0" collapsed="false">
      <c r="A711" s="59" t="s">
        <v>576</v>
      </c>
      <c r="B711" s="157"/>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c r="Z711" s="118"/>
      <c r="AA711" s="320"/>
      <c r="AB711" s="118"/>
      <c r="AC711" s="118"/>
      <c r="AD711" s="118"/>
      <c r="AE711" s="118"/>
      <c r="AF711" s="320"/>
      <c r="AG711" s="117" t="n">
        <f aca="false">+AG704+AG710</f>
        <v>25968.1000000001</v>
      </c>
      <c r="AH711" s="117" t="n">
        <f aca="false">+AH704+AH710</f>
        <v>32913.3</v>
      </c>
      <c r="AI711" s="117" t="n">
        <f aca="false">+AI704+AI710</f>
        <v>35505.3000000002</v>
      </c>
      <c r="AJ711" s="117" t="n">
        <f aca="false">+AJ704+AJ710</f>
        <v>38941.8377113142</v>
      </c>
      <c r="AK711" s="117" t="n">
        <f aca="false">+AK704+AK710</f>
        <v>43695.5795833658</v>
      </c>
      <c r="AL711" s="117" t="n">
        <f aca="false">+AL704+AL710</f>
        <v>47351.7951681388</v>
      </c>
      <c r="AM711" s="118"/>
      <c r="AN711" s="118"/>
      <c r="AO711" s="118"/>
    </row>
    <row r="712" customFormat="false" ht="12.75" hidden="false" customHeight="true" outlineLevel="0" collapsed="false">
      <c r="A712" s="167"/>
      <c r="B712" s="157"/>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c r="Z712" s="118"/>
      <c r="AA712" s="320"/>
      <c r="AB712" s="118"/>
      <c r="AC712" s="118"/>
      <c r="AD712" s="118"/>
      <c r="AE712" s="118"/>
      <c r="AF712" s="320"/>
      <c r="AG712" s="156" t="n">
        <f aca="false">+AG711-25968.1</f>
        <v>0</v>
      </c>
      <c r="AH712" s="156" t="n">
        <f aca="false">+AH711-32913.3</f>
        <v>0</v>
      </c>
      <c r="AI712" s="118"/>
      <c r="AJ712" s="118"/>
      <c r="AK712" s="118"/>
      <c r="AL712" s="118"/>
      <c r="AM712" s="118"/>
      <c r="AN712" s="118"/>
      <c r="AO712" s="118"/>
    </row>
    <row r="713" customFormat="false" ht="12.75" hidden="false" customHeight="true" outlineLevel="0" collapsed="false">
      <c r="A713" s="59" t="s">
        <v>577</v>
      </c>
      <c r="B713" s="19"/>
      <c r="C713" s="19"/>
      <c r="D713" s="19"/>
      <c r="E713" s="19"/>
      <c r="F713" s="19"/>
      <c r="G713" s="19"/>
      <c r="S713" s="32"/>
      <c r="AE713" s="79" t="n">
        <f aca="false">+AE714/AE704</f>
        <v>0.541775095509661</v>
      </c>
      <c r="AF713" s="79" t="n">
        <f aca="false">+AF714/AF704</f>
        <v>0.553134170464673</v>
      </c>
      <c r="AG713" s="79" t="n">
        <f aca="false">+AG714/AG704</f>
        <v>0.555210342759571</v>
      </c>
      <c r="AH713" s="79" t="n">
        <f aca="false">+AH714/AH704</f>
        <v>0.555601385285578</v>
      </c>
      <c r="AI713" s="79" t="n">
        <f aca="false">+AI714/AI704</f>
        <v>0.576594503481948</v>
      </c>
      <c r="AJ713" s="321" t="n">
        <v>0.5</v>
      </c>
      <c r="AK713" s="321" t="n">
        <v>0.5</v>
      </c>
      <c r="AL713" s="321" t="n">
        <v>0.5</v>
      </c>
    </row>
    <row r="714" customFormat="false" ht="12.75" hidden="false" customHeight="true" outlineLevel="0" collapsed="false">
      <c r="A714" s="59" t="s">
        <v>486</v>
      </c>
      <c r="B714" s="208" t="n">
        <v>69.48</v>
      </c>
      <c r="C714" s="208" t="n">
        <v>194.34</v>
      </c>
      <c r="D714" s="208" t="n">
        <v>295.11</v>
      </c>
      <c r="E714" s="208" t="n">
        <v>475.72</v>
      </c>
      <c r="F714" s="208" t="n">
        <v>594.6</v>
      </c>
      <c r="G714" s="208" t="n">
        <v>118.929</v>
      </c>
      <c r="H714" s="208" t="n">
        <v>118.929</v>
      </c>
      <c r="I714" s="208" t="n">
        <v>416.25</v>
      </c>
      <c r="J714" s="208" t="n">
        <v>475.72</v>
      </c>
      <c r="K714" s="208" t="n">
        <v>535.18</v>
      </c>
      <c r="L714" s="208" t="n">
        <v>594.64</v>
      </c>
      <c r="M714" s="208" t="n">
        <v>891.97</v>
      </c>
      <c r="N714" s="208" t="n">
        <v>1189.29</v>
      </c>
      <c r="O714" s="209" t="n">
        <f aca="false">1597.86</f>
        <v>1597.86</v>
      </c>
      <c r="P714" s="209" t="n">
        <f aca="false">1985.81</f>
        <v>1985.81</v>
      </c>
      <c r="Q714" s="209" t="n">
        <f aca="false">1997.71</f>
        <v>1997.71</v>
      </c>
      <c r="R714" s="208" t="n">
        <v>1330.388</v>
      </c>
      <c r="S714" s="208" t="n">
        <v>1995.507</v>
      </c>
      <c r="T714" s="208" t="n">
        <v>2660.677</v>
      </c>
      <c r="U714" s="208" t="n">
        <v>2660.677</v>
      </c>
      <c r="V714" s="208" t="n">
        <v>1596.406</v>
      </c>
      <c r="W714" s="208" t="n">
        <v>0</v>
      </c>
      <c r="X714" s="208" t="n">
        <v>1280.644</v>
      </c>
      <c r="Y714" s="208" t="n">
        <v>2703.583</v>
      </c>
      <c r="Z714" s="132" t="n">
        <f aca="false">1.56*Z773</f>
        <v>4439.5728</v>
      </c>
      <c r="AA714" s="132" t="n">
        <f aca="false">2.43*AA773</f>
        <v>7112.87244</v>
      </c>
      <c r="AB714" s="132" t="n">
        <f aca="false">3.1*AB773</f>
        <v>9100.05</v>
      </c>
      <c r="AC714" s="67" t="n">
        <f aca="false">0.5*AC773</f>
        <v>1467.75</v>
      </c>
      <c r="AD714" s="132" t="n">
        <f aca="false">0.6*AD773</f>
        <v>1761.3</v>
      </c>
      <c r="AE714" s="276" t="n">
        <f aca="false">1*AE773</f>
        <v>2935.5</v>
      </c>
      <c r="AF714" s="132" t="n">
        <f aca="false">2.6*AF773</f>
        <v>7633.86</v>
      </c>
      <c r="AG714" s="276" t="n">
        <f aca="false">+AG717+AG718</f>
        <v>14534.685</v>
      </c>
      <c r="AH714" s="276" t="n">
        <f aca="false">+AH717+AH718</f>
        <v>18353.125</v>
      </c>
      <c r="AI714" s="276" t="n">
        <f aca="false">+AI717+AI718</f>
        <v>20558.65</v>
      </c>
      <c r="AJ714" s="276" t="n">
        <f aca="false">+AJ713*AJ704</f>
        <v>19545.9188556571</v>
      </c>
      <c r="AK714" s="276" t="n">
        <f aca="false">+AK713*AK704</f>
        <v>21922.7897916829</v>
      </c>
      <c r="AL714" s="276" t="n">
        <f aca="false">+AL713*AL704</f>
        <v>23750.8975840694</v>
      </c>
      <c r="AM714" s="157"/>
      <c r="AN714" s="157"/>
      <c r="AO714" s="157"/>
    </row>
    <row r="715" customFormat="false" ht="12.75" hidden="false" customHeight="true" outlineLevel="0" collapsed="false">
      <c r="A715" s="59" t="s">
        <v>578</v>
      </c>
      <c r="B715" s="19"/>
      <c r="C715" s="19"/>
      <c r="D715" s="19"/>
      <c r="E715" s="19"/>
      <c r="F715" s="42" t="n">
        <v>59.46</v>
      </c>
      <c r="G715" s="298" t="n">
        <f aca="false">+G714*0.1</f>
        <v>11.8929</v>
      </c>
      <c r="H715" s="298" t="n">
        <f aca="false">+H714*0.1</f>
        <v>11.8929</v>
      </c>
      <c r="I715" s="298" t="n">
        <f aca="false">+I714*0.1</f>
        <v>41.625</v>
      </c>
      <c r="J715" s="164" t="n">
        <v>48.52</v>
      </c>
      <c r="K715" s="164" t="n">
        <v>0</v>
      </c>
      <c r="L715" s="164" t="n">
        <v>76.19</v>
      </c>
      <c r="M715" s="164" t="n">
        <v>114.28</v>
      </c>
      <c r="N715" s="164" t="n">
        <v>169.09</v>
      </c>
      <c r="O715" s="164" t="n">
        <v>224.1</v>
      </c>
      <c r="P715" s="164" t="n">
        <v>278.51</v>
      </c>
      <c r="Q715" s="164" t="n">
        <v>339.51</v>
      </c>
      <c r="R715" s="164" t="n">
        <v>226.091</v>
      </c>
      <c r="S715" s="164" t="n">
        <v>331.429</v>
      </c>
      <c r="T715" s="164" t="n">
        <v>431.628</v>
      </c>
      <c r="U715" s="164" t="n">
        <v>431.628</v>
      </c>
      <c r="V715" s="164" t="n">
        <v>271.309</v>
      </c>
      <c r="W715" s="298" t="n">
        <f aca="false">0.165*W714</f>
        <v>0</v>
      </c>
      <c r="X715" s="164" t="n">
        <v>260.709</v>
      </c>
      <c r="Y715" s="164" t="n">
        <v>550.386</v>
      </c>
      <c r="Z715" s="298" t="n">
        <f aca="false">5494.799-Z714</f>
        <v>1055.2262</v>
      </c>
      <c r="AA715" s="298" t="n">
        <f aca="false">0.17*AA714</f>
        <v>1209.1883148</v>
      </c>
      <c r="AB715" s="132" t="n">
        <f aca="false">10970.7-AB714</f>
        <v>1870.65</v>
      </c>
      <c r="AC715" s="298" t="n">
        <f aca="false">0.17*AC714</f>
        <v>249.5175</v>
      </c>
      <c r="AD715" s="157"/>
      <c r="AE715" s="157"/>
      <c r="AF715" s="158"/>
      <c r="AG715" s="158"/>
      <c r="AH715" s="157"/>
      <c r="AI715" s="157"/>
      <c r="AJ715" s="157"/>
      <c r="AK715" s="157"/>
      <c r="AL715" s="157"/>
      <c r="AM715" s="157"/>
      <c r="AN715" s="157"/>
      <c r="AO715" s="157"/>
    </row>
    <row r="716" customFormat="false" ht="12.75" hidden="false" customHeight="true" outlineLevel="0" collapsed="false">
      <c r="A716" s="167"/>
      <c r="B716" s="19"/>
      <c r="C716" s="19"/>
      <c r="D716" s="19"/>
      <c r="E716" s="19"/>
      <c r="F716" s="19"/>
      <c r="G716" s="157"/>
      <c r="H716" s="157"/>
      <c r="I716" s="157"/>
      <c r="J716" s="157"/>
      <c r="K716" s="157"/>
      <c r="L716" s="157"/>
      <c r="M716" s="157"/>
      <c r="N716" s="157"/>
      <c r="O716" s="157"/>
      <c r="P716" s="157"/>
      <c r="Q716" s="157"/>
      <c r="R716" s="157"/>
      <c r="S716" s="157"/>
      <c r="T716" s="157"/>
      <c r="U716" s="157"/>
      <c r="V716" s="157"/>
      <c r="W716" s="157"/>
      <c r="X716" s="157"/>
      <c r="Y716" s="157"/>
      <c r="Z716" s="157"/>
      <c r="AA716" s="158"/>
      <c r="AB716" s="145"/>
      <c r="AC716" s="157"/>
      <c r="AD716" s="157"/>
      <c r="AE716" s="157"/>
      <c r="AF716" s="158"/>
      <c r="AG716" s="158"/>
      <c r="AH716" s="157"/>
      <c r="AI716" s="157"/>
      <c r="AJ716" s="157"/>
      <c r="AK716" s="157"/>
      <c r="AL716" s="157"/>
      <c r="AM716" s="157"/>
      <c r="AN716" s="157"/>
      <c r="AO716" s="157"/>
    </row>
    <row r="717" customFormat="false" ht="12" hidden="false" customHeight="true" outlineLevel="0" collapsed="false">
      <c r="A717" s="69" t="s">
        <v>579</v>
      </c>
      <c r="G717" s="75"/>
      <c r="H717" s="75"/>
      <c r="I717" s="75"/>
      <c r="J717" s="75"/>
      <c r="K717" s="75"/>
      <c r="L717" s="75"/>
      <c r="M717" s="75"/>
      <c r="N717" s="75"/>
      <c r="O717" s="75"/>
      <c r="P717" s="75"/>
      <c r="Q717" s="75"/>
      <c r="R717" s="75"/>
      <c r="S717" s="75"/>
      <c r="T717" s="75"/>
      <c r="U717" s="75"/>
      <c r="V717" s="75"/>
      <c r="W717" s="75"/>
      <c r="X717" s="75"/>
      <c r="Y717" s="75"/>
      <c r="Z717" s="75"/>
      <c r="AA717" s="82"/>
      <c r="AB717" s="41"/>
      <c r="AC717" s="75"/>
      <c r="AD717" s="75"/>
      <c r="AE717" s="75"/>
      <c r="AF717" s="82"/>
      <c r="AG717" s="82"/>
      <c r="AH717" s="81" t="n">
        <f aca="false">2*AH773</f>
        <v>5873</v>
      </c>
      <c r="AI717" s="81" t="n">
        <f aca="false">1*AI773</f>
        <v>5873.9</v>
      </c>
      <c r="AJ717" s="75"/>
      <c r="AK717" s="75"/>
      <c r="AL717" s="75"/>
      <c r="AM717" s="75"/>
      <c r="AN717" s="75"/>
      <c r="AO717" s="75"/>
    </row>
    <row r="718" customFormat="false" ht="12.75" hidden="false" customHeight="true" outlineLevel="0" collapsed="false">
      <c r="A718" s="69" t="s">
        <v>580</v>
      </c>
      <c r="G718" s="75"/>
      <c r="H718" s="75"/>
      <c r="I718" s="75"/>
      <c r="J718" s="75"/>
      <c r="K718" s="75"/>
      <c r="L718" s="75"/>
      <c r="M718" s="75"/>
      <c r="N718" s="75"/>
      <c r="O718" s="75"/>
      <c r="P718" s="75"/>
      <c r="Q718" s="75"/>
      <c r="R718" s="75"/>
      <c r="S718" s="75"/>
      <c r="T718" s="75"/>
      <c r="U718" s="75"/>
      <c r="V718" s="75"/>
      <c r="W718" s="75"/>
      <c r="X718" s="75"/>
      <c r="Y718" s="75"/>
      <c r="Z718" s="75"/>
      <c r="AA718" s="82"/>
      <c r="AB718" s="41"/>
      <c r="AC718" s="75"/>
      <c r="AD718" s="75"/>
      <c r="AE718" s="75"/>
      <c r="AF718" s="82"/>
      <c r="AG718" s="132" t="n">
        <f aca="false">4.95*AG773</f>
        <v>14534.685</v>
      </c>
      <c r="AH718" s="278" t="n">
        <f aca="false">4.25*AH773</f>
        <v>12480.125</v>
      </c>
      <c r="AI718" s="81" t="n">
        <f aca="false">2.5*AI773</f>
        <v>14684.75</v>
      </c>
      <c r="AJ718" s="81" t="n">
        <f aca="false">+AJ713*AJ704</f>
        <v>19545.9188556571</v>
      </c>
      <c r="AK718" s="81" t="n">
        <f aca="false">+AK713*AK704</f>
        <v>21922.7897916829</v>
      </c>
      <c r="AL718" s="81" t="n">
        <f aca="false">+AL713*AL704</f>
        <v>23750.8975840694</v>
      </c>
      <c r="AM718" s="75"/>
      <c r="AN718" s="75"/>
      <c r="AO718" s="75"/>
    </row>
    <row r="719" customFormat="false" ht="12.75" hidden="false" customHeight="true" outlineLevel="0" collapsed="false">
      <c r="A719" s="167"/>
      <c r="B719" s="19"/>
      <c r="C719" s="19"/>
      <c r="D719" s="19"/>
      <c r="E719" s="19"/>
      <c r="F719" s="19"/>
      <c r="G719" s="157"/>
      <c r="H719" s="157"/>
      <c r="I719" s="157"/>
      <c r="J719" s="157"/>
      <c r="K719" s="157"/>
      <c r="L719" s="157"/>
      <c r="M719" s="157"/>
      <c r="N719" s="157"/>
      <c r="O719" s="157"/>
      <c r="P719" s="157"/>
      <c r="Q719" s="157"/>
      <c r="R719" s="157"/>
      <c r="S719" s="157"/>
      <c r="T719" s="157"/>
      <c r="U719" s="157"/>
      <c r="V719" s="157"/>
      <c r="W719" s="157"/>
      <c r="X719" s="157"/>
      <c r="Y719" s="157"/>
      <c r="Z719" s="157"/>
      <c r="AA719" s="158"/>
      <c r="AB719" s="145"/>
      <c r="AC719" s="157"/>
      <c r="AD719" s="157"/>
      <c r="AE719" s="157"/>
      <c r="AF719" s="158"/>
      <c r="AG719" s="158"/>
      <c r="AH719" s="157"/>
      <c r="AI719" s="157"/>
      <c r="AJ719" s="157"/>
      <c r="AK719" s="157"/>
      <c r="AL719" s="157"/>
      <c r="AM719" s="157"/>
      <c r="AN719" s="157"/>
      <c r="AO719" s="157"/>
    </row>
    <row r="720" customFormat="false" ht="12.75" hidden="false" customHeight="true" outlineLevel="0" collapsed="false">
      <c r="A720" s="167"/>
      <c r="B720" s="19"/>
      <c r="C720" s="19"/>
      <c r="D720" s="19"/>
      <c r="E720" s="19"/>
      <c r="F720" s="19"/>
      <c r="G720" s="19"/>
      <c r="Q720" s="97" t="n">
        <f aca="false">+Q715/Q714</f>
        <v>0.169949592283164</v>
      </c>
      <c r="R720" s="97" t="n">
        <f aca="false">+R715/R714</f>
        <v>0.169943655535077</v>
      </c>
      <c r="S720" s="97" t="n">
        <f aca="false">+S715/S714</f>
        <v>0.16608761582896</v>
      </c>
      <c r="T720" s="97" t="n">
        <f aca="false">+T715/T714</f>
        <v>0.162224877352644</v>
      </c>
      <c r="U720" s="97" t="n">
        <f aca="false">+U715/U714</f>
        <v>0.162224877352644</v>
      </c>
      <c r="V720" s="97" t="n">
        <f aca="false">+V715/V714</f>
        <v>0.169949874906509</v>
      </c>
      <c r="W720" s="97" t="e">
        <f aca="false">+W715/W714</f>
        <v>#DIV/0!</v>
      </c>
      <c r="X720" s="97" t="n">
        <f aca="false">+X715/X714</f>
        <v>0.203576481832578</v>
      </c>
      <c r="Y720" s="97" t="n">
        <f aca="false">+Y715/Y714</f>
        <v>0.20357651309392</v>
      </c>
      <c r="Z720" s="97" t="n">
        <f aca="false">+Z715/Z714</f>
        <v>0.237686427847292</v>
      </c>
      <c r="AA720" s="97" t="n">
        <f aca="false">+AA715/AA714</f>
        <v>0.17</v>
      </c>
      <c r="AB720" s="97" t="n">
        <f aca="false">+AB715/AB714</f>
        <v>0.205564804588986</v>
      </c>
      <c r="AC720" s="97" t="n">
        <f aca="false">+AC715/AC714</f>
        <v>0.17</v>
      </c>
      <c r="AD720" s="97" t="n">
        <f aca="false">+AD715/AD714</f>
        <v>0</v>
      </c>
      <c r="AE720" s="97" t="n">
        <f aca="false">+AE715/AE714</f>
        <v>0</v>
      </c>
      <c r="AF720" s="97" t="n">
        <f aca="false">+AF715/AF714</f>
        <v>0</v>
      </c>
      <c r="AG720" s="97" t="n">
        <f aca="false">+AG715/AG714</f>
        <v>0</v>
      </c>
      <c r="AH720" s="97" t="n">
        <f aca="false">+AH715/AH714</f>
        <v>0</v>
      </c>
      <c r="AI720" s="97" t="n">
        <f aca="false">+AI715/AI714</f>
        <v>0</v>
      </c>
      <c r="AJ720" s="97" t="n">
        <f aca="false">+AJ715/AJ714</f>
        <v>0</v>
      </c>
      <c r="AK720" s="97" t="n">
        <f aca="false">+AK715/AK714</f>
        <v>0</v>
      </c>
      <c r="AL720" s="97" t="n">
        <f aca="false">+AL715/AL714</f>
        <v>0</v>
      </c>
      <c r="AM720" s="61"/>
      <c r="AN720" s="61"/>
      <c r="AO720" s="61"/>
    </row>
    <row r="721" customFormat="false" ht="12.75" hidden="false" customHeight="true" outlineLevel="0" collapsed="false">
      <c r="A721" s="59" t="s">
        <v>581</v>
      </c>
      <c r="B721" s="19"/>
      <c r="C721" s="19"/>
      <c r="D721" s="19"/>
      <c r="E721" s="19"/>
      <c r="F721" s="19"/>
      <c r="G721" s="42" t="n">
        <v>11.2</v>
      </c>
      <c r="H721" s="42" t="n">
        <v>15</v>
      </c>
      <c r="I721" s="42" t="n">
        <v>0</v>
      </c>
      <c r="J721" s="42" t="n">
        <v>0</v>
      </c>
      <c r="K721" s="42" t="n">
        <v>0</v>
      </c>
      <c r="L721" s="42" t="n">
        <v>0</v>
      </c>
      <c r="M721" s="42" t="n">
        <v>0</v>
      </c>
      <c r="R721" s="40"/>
      <c r="S721" s="40"/>
    </row>
    <row r="722" customFormat="false" ht="12.75" hidden="false" customHeight="true" outlineLevel="0" collapsed="false">
      <c r="A722" s="59" t="s">
        <v>582</v>
      </c>
      <c r="B722" s="19"/>
      <c r="C722" s="19"/>
      <c r="D722" s="19"/>
      <c r="E722" s="19"/>
      <c r="F722" s="19"/>
      <c r="G722" s="19"/>
      <c r="R722" s="40"/>
      <c r="S722" s="40"/>
      <c r="X722" s="48" t="n">
        <v>2338.70100000003</v>
      </c>
    </row>
    <row r="723" customFormat="false" ht="12.75" hidden="false" customHeight="true" outlineLevel="0" collapsed="false">
      <c r="A723" s="167"/>
      <c r="B723" s="19"/>
      <c r="C723" s="19"/>
      <c r="D723" s="19"/>
      <c r="E723" s="19"/>
      <c r="F723" s="19"/>
      <c r="G723" s="19"/>
    </row>
    <row r="724" customFormat="false" ht="12.75" hidden="false" customHeight="true" outlineLevel="0" collapsed="false">
      <c r="A724" s="59" t="s">
        <v>583</v>
      </c>
      <c r="B724" s="42" t="n">
        <v>123.35</v>
      </c>
      <c r="C724" s="42" t="n">
        <v>123.35</v>
      </c>
      <c r="D724" s="42" t="n">
        <v>99.61</v>
      </c>
      <c r="E724" s="42" t="n">
        <v>99.61</v>
      </c>
      <c r="F724" s="42" t="n">
        <v>615.02</v>
      </c>
      <c r="G724" s="42" t="n">
        <v>416.74</v>
      </c>
      <c r="H724" s="42" t="n">
        <v>500</v>
      </c>
      <c r="I724" s="42" t="n">
        <v>0</v>
      </c>
      <c r="J724" s="42" t="n">
        <v>0</v>
      </c>
      <c r="K724" s="42" t="n">
        <v>0</v>
      </c>
      <c r="L724" s="42" t="n">
        <v>437.5</v>
      </c>
      <c r="M724" s="42" t="n">
        <v>187.5</v>
      </c>
      <c r="N724" s="42" t="n">
        <v>0</v>
      </c>
    </row>
    <row r="725" customFormat="false" ht="12.75" hidden="false" customHeight="true" outlineLevel="0" collapsed="false">
      <c r="A725" s="167"/>
      <c r="B725" s="19"/>
      <c r="C725" s="19"/>
      <c r="D725" s="19"/>
      <c r="E725" s="19"/>
      <c r="F725" s="19"/>
      <c r="G725" s="19"/>
    </row>
    <row r="726" customFormat="false" ht="12.75" hidden="false" customHeight="true" outlineLevel="0" collapsed="false">
      <c r="A726" s="59" t="s">
        <v>584</v>
      </c>
      <c r="B726" s="19"/>
      <c r="C726" s="19"/>
      <c r="D726" s="19"/>
      <c r="E726" s="19"/>
      <c r="F726" s="19"/>
      <c r="G726" s="165" t="n">
        <f aca="false">+G704+G721-G714-G715-G724</f>
        <v>-352.180323999999</v>
      </c>
      <c r="H726" s="165" t="n">
        <f aca="false">+H704+H721-H714-H715-H724</f>
        <v>-408.633521704002</v>
      </c>
      <c r="I726" s="165" t="n">
        <f aca="false">+I704+I721-I714-I715-I724</f>
        <v>326.994999999999</v>
      </c>
      <c r="J726" s="165" t="n">
        <f aca="false">+J704+J721-J714-J715-J724</f>
        <v>392.569999999998</v>
      </c>
      <c r="K726" s="165" t="n">
        <f aca="false">+K704+K721-K714-K715-K724</f>
        <v>387.38</v>
      </c>
      <c r="L726" s="165" t="n">
        <f aca="false">+L704+L721-L714-L715-L724</f>
        <v>93.7900000000045</v>
      </c>
      <c r="M726" s="165" t="n">
        <f aca="false">+M704+M721-M714-M715-M724</f>
        <v>742.050000000001</v>
      </c>
      <c r="N726" s="165" t="n">
        <f aca="false">+N704+N721-N714-N715-N724</f>
        <v>1355.72</v>
      </c>
    </row>
    <row r="727" customFormat="false" ht="12.75" hidden="false" customHeight="true" outlineLevel="0" collapsed="false">
      <c r="A727" s="59" t="s">
        <v>585</v>
      </c>
      <c r="B727" s="62" t="n">
        <f aca="false">B704-B714-B715</f>
        <v>-25.2299999999985</v>
      </c>
      <c r="C727" s="62" t="n">
        <f aca="false">C704-C714-C715</f>
        <v>158.960000000002</v>
      </c>
      <c r="D727" s="62" t="n">
        <f aca="false">D704-D714-D715</f>
        <v>410.789999999999</v>
      </c>
      <c r="E727" s="62" t="n">
        <f aca="false">E704-E714-E715</f>
        <v>655.110000000004</v>
      </c>
      <c r="F727" s="62" t="n">
        <f aca="false">F704-F714-F715</f>
        <v>595.289999999995</v>
      </c>
      <c r="G727" s="62" t="n">
        <f aca="false">G704-G714-G715</f>
        <v>53.3596760000012</v>
      </c>
      <c r="H727" s="62" t="n">
        <f aca="false">H704-H714-H715</f>
        <v>76.366478295998</v>
      </c>
      <c r="I727" s="62" t="n">
        <f aca="false">I704-I714-I715</f>
        <v>326.994999999999</v>
      </c>
      <c r="J727" s="62" t="n">
        <f aca="false">J704-J714-J715</f>
        <v>392.569999999998</v>
      </c>
      <c r="K727" s="62" t="n">
        <f aca="false">K704-K714-K715</f>
        <v>387.38</v>
      </c>
      <c r="L727" s="62" t="n">
        <f aca="false">L704-L714-L715</f>
        <v>531.290000000005</v>
      </c>
      <c r="M727" s="62" t="n">
        <f aca="false">M704-M714-M715</f>
        <v>929.550000000001</v>
      </c>
      <c r="N727" s="62" t="n">
        <f aca="false">N704-N714-N715</f>
        <v>1355.72</v>
      </c>
      <c r="O727" s="62" t="n">
        <f aca="false">O704-O714-O715</f>
        <v>1451.23999999999</v>
      </c>
      <c r="P727" s="62" t="n">
        <f aca="false">P704-P714-P715</f>
        <v>2148.53999999999</v>
      </c>
      <c r="Q727" s="62" t="n">
        <f aca="false">Q704-Q714-Q715</f>
        <v>2355.88</v>
      </c>
      <c r="R727" s="62" t="n">
        <f aca="false">R704-R714-R715</f>
        <v>343.484000000011</v>
      </c>
      <c r="S727" s="62" t="n">
        <f aca="false">S704-S714-S715</f>
        <v>1909.81100000003</v>
      </c>
      <c r="T727" s="62" t="n">
        <f aca="false">T704-T714-T715</f>
        <v>3220.68800000002</v>
      </c>
      <c r="U727" s="62" t="n">
        <f aca="false">U704-U714-U715</f>
        <v>2567.46099999998</v>
      </c>
      <c r="V727" s="62" t="n">
        <f aca="false">V704-V714-V715</f>
        <v>2469.35200000002</v>
      </c>
      <c r="W727" s="62" t="n">
        <f aca="false">W704-W714-W715</f>
        <v>293.810999999978</v>
      </c>
      <c r="X727" s="62" t="n">
        <f aca="false">X704-X714-X715</f>
        <v>1806.70700000003</v>
      </c>
      <c r="Y727" s="62" t="n">
        <f aca="false">Y704-Y714-Y715</f>
        <v>642.016000000017</v>
      </c>
      <c r="Z727" s="62" t="n">
        <f aca="false">Z704</f>
        <v>12230.772</v>
      </c>
      <c r="AA727" s="62" t="n">
        <f aca="false">AA704</f>
        <v>15625.896</v>
      </c>
      <c r="AB727" s="62" t="n">
        <f aca="false">AB704</f>
        <v>19831.9999999999</v>
      </c>
      <c r="AC727" s="62" t="n">
        <f aca="false">AC704</f>
        <v>2395.2</v>
      </c>
      <c r="AD727" s="62" t="n">
        <f aca="false">AD704</f>
        <v>-3136.80000000001</v>
      </c>
      <c r="AE727" s="62" t="n">
        <f aca="false">AE704</f>
        <v>5418.30000000001</v>
      </c>
      <c r="AF727" s="62" t="n">
        <f aca="false">AF704</f>
        <v>13801.1</v>
      </c>
      <c r="AG727" s="62" t="n">
        <f aca="false">AG704</f>
        <v>26178.7</v>
      </c>
      <c r="AH727" s="62" t="n">
        <f aca="false">AH704</f>
        <v>33032.9</v>
      </c>
      <c r="AI727" s="62" t="n">
        <f aca="false">AI704</f>
        <v>35655.3000000002</v>
      </c>
      <c r="AJ727" s="62" t="n">
        <f aca="false">AJ704</f>
        <v>39091.8377113142</v>
      </c>
      <c r="AK727" s="62" t="n">
        <f aca="false">AK704</f>
        <v>43845.5795833658</v>
      </c>
      <c r="AL727" s="62" t="n">
        <f aca="false">AL704</f>
        <v>47501.7951681388</v>
      </c>
      <c r="AM727" s="41"/>
      <c r="AN727" s="41"/>
      <c r="AO727" s="41"/>
    </row>
    <row r="728" customFormat="false" ht="12.75" hidden="false" customHeight="true" outlineLevel="0" collapsed="false">
      <c r="A728" s="167"/>
      <c r="B728" s="19"/>
      <c r="C728" s="19"/>
      <c r="D728" s="19"/>
      <c r="E728" s="19"/>
      <c r="F728" s="19"/>
      <c r="G728" s="19"/>
    </row>
    <row r="729" customFormat="false" ht="12.75" hidden="false" customHeight="true" outlineLevel="0" collapsed="false">
      <c r="A729" s="59" t="s">
        <v>586</v>
      </c>
      <c r="B729" s="19"/>
      <c r="C729" s="19"/>
      <c r="D729" s="19"/>
      <c r="E729" s="19"/>
      <c r="F729" s="19"/>
      <c r="G729" s="19"/>
    </row>
    <row r="730" customFormat="false" ht="12.75" hidden="false" customHeight="true" outlineLevel="0" collapsed="false">
      <c r="A730" s="167"/>
      <c r="B730" s="19"/>
      <c r="C730" s="19"/>
      <c r="D730" s="19"/>
      <c r="E730" s="19"/>
      <c r="F730" s="19"/>
      <c r="G730" s="19"/>
    </row>
    <row r="731" customFormat="false" ht="12.75" hidden="false" customHeight="true" outlineLevel="0" collapsed="false">
      <c r="A731" s="59" t="s">
        <v>587</v>
      </c>
      <c r="B731" s="19"/>
      <c r="C731" s="67" t="n">
        <f aca="false">+B825+B831+B832</f>
        <v>4752.81</v>
      </c>
      <c r="D731" s="67" t="n">
        <f aca="false">+C825+C831+C832</f>
        <v>5709.6</v>
      </c>
      <c r="E731" s="67" t="n">
        <f aca="false">+D825+D831+D832</f>
        <v>8417.8</v>
      </c>
      <c r="F731" s="67" t="n">
        <f aca="false">+E825+E831+E832</f>
        <v>10081.37</v>
      </c>
      <c r="G731" s="67" t="n">
        <f aca="false">+F825+F831+F832</f>
        <v>11882.02</v>
      </c>
      <c r="H731" s="67" t="n">
        <f aca="false">+G825+G831+G832</f>
        <v>12510.5</v>
      </c>
      <c r="I731" s="67" t="n">
        <f aca="false">+H825+H831+H832</f>
        <v>14087.7</v>
      </c>
      <c r="J731" s="67" t="n">
        <f aca="false">+I825+I831+I832</f>
        <v>14944.23</v>
      </c>
      <c r="K731" s="67" t="n">
        <f aca="false">+J825+J831+J832</f>
        <v>15493.71</v>
      </c>
      <c r="L731" s="67" t="n">
        <f aca="false">+K825+K831+K832</f>
        <v>16904.31</v>
      </c>
      <c r="M731" s="67" t="n">
        <f aca="false">+L825+L831+L832</f>
        <v>18120.69</v>
      </c>
      <c r="N731" s="67" t="n">
        <f aca="false">+M825+M831+M832</f>
        <v>18756.42</v>
      </c>
      <c r="O731" s="67" t="n">
        <f aca="false">+N825+N831+N832</f>
        <v>20022.5</v>
      </c>
      <c r="P731" s="67" t="n">
        <f aca="false">+O825+O831+O832</f>
        <v>21384.99</v>
      </c>
      <c r="Q731" s="67" t="n">
        <f aca="false">+P825+P831+P832</f>
        <v>26201.97</v>
      </c>
      <c r="R731" s="67" t="n">
        <f aca="false">+Q825+Q831+Q832</f>
        <v>29424.38</v>
      </c>
      <c r="S731" s="67" t="n">
        <f aca="false">+R825+R831+R832</f>
        <v>49532.722</v>
      </c>
      <c r="T731" s="67" t="n">
        <f aca="false">+S825+S831+S832</f>
        <v>60186.337</v>
      </c>
      <c r="U731" s="67" t="n">
        <f aca="false">+T825+T831+T832</f>
        <v>66918.887</v>
      </c>
      <c r="V731" s="67" t="n">
        <f aca="false">+U825+U831+U832</f>
        <v>71742.962</v>
      </c>
      <c r="W731" s="67" t="n">
        <f aca="false">+V825+V831+V832</f>
        <v>78416.771</v>
      </c>
      <c r="X731" s="67" t="n">
        <f aca="false">+W825+W831+W832</f>
        <v>83542.627</v>
      </c>
      <c r="Y731" s="67" t="n">
        <f aca="false">+X825+X831+X832</f>
        <v>81859.99</v>
      </c>
      <c r="Z731" s="67" t="n">
        <f aca="false">+Y825+Y831+Y832</f>
        <v>52284.402</v>
      </c>
      <c r="AA731" s="67" t="n">
        <f aca="false">+Z825+Z831+Z832</f>
        <v>57640.437</v>
      </c>
      <c r="AB731" s="67" t="n">
        <f aca="false">+AA825+AA831+AA832</f>
        <v>62908.711</v>
      </c>
      <c r="AC731" s="67" t="n">
        <f aca="false">+AB825+AB831+AB832</f>
        <v>76875</v>
      </c>
      <c r="AD731" s="67" t="n">
        <f aca="false">+AC825+AC831+AC832</f>
        <v>89699.6</v>
      </c>
      <c r="AE731" s="67" t="n">
        <f aca="false">+AD825+AD831+AD832</f>
        <v>98267.6</v>
      </c>
      <c r="AF731" s="67" t="n">
        <f aca="false">+AE825+AE831+AE832</f>
        <v>98399</v>
      </c>
      <c r="AG731" s="67" t="n">
        <f aca="false">+AF825+AF831+AF832</f>
        <v>101346.4</v>
      </c>
      <c r="AH731" s="67" t="n">
        <f aca="false">+AG825+AG831+AG832</f>
        <v>102918.9</v>
      </c>
      <c r="AI731" s="67" t="n">
        <f aca="false">+AH825+AH831+AH832</f>
        <v>109067.8</v>
      </c>
      <c r="AJ731" s="67" t="n">
        <f aca="false">+AI825+AI831+AI832</f>
        <v>122990.6</v>
      </c>
      <c r="AK731" s="67" t="n">
        <f aca="false">+AJ825+AJ831+AJ832</f>
        <v>133490.6</v>
      </c>
      <c r="AL731" s="67" t="n">
        <f aca="false">+AK825+AK831+AK832</f>
        <v>141990.6</v>
      </c>
      <c r="AM731" s="145"/>
      <c r="AN731" s="145"/>
      <c r="AO731" s="145"/>
    </row>
    <row r="732" customFormat="false" ht="12.75" hidden="false" customHeight="true" outlineLevel="0" collapsed="false">
      <c r="A732" s="59" t="s">
        <v>588</v>
      </c>
      <c r="B732" s="19"/>
      <c r="C732" s="67" t="n">
        <f aca="false">+C824</f>
        <v>956.79</v>
      </c>
      <c r="D732" s="67" t="n">
        <f aca="false">+D824</f>
        <v>2708.2</v>
      </c>
      <c r="E732" s="67" t="n">
        <f aca="false">+E824</f>
        <v>1663.57</v>
      </c>
      <c r="F732" s="67" t="n">
        <f aca="false">+F824</f>
        <v>1800.65</v>
      </c>
      <c r="G732" s="67" t="n">
        <f aca="false">+G824</f>
        <v>628.48</v>
      </c>
      <c r="H732" s="67" t="n">
        <f aca="false">+H824</f>
        <v>1577.2</v>
      </c>
      <c r="I732" s="67" t="n">
        <f aca="false">+I824</f>
        <v>856.529999999999</v>
      </c>
      <c r="J732" s="67" t="n">
        <f aca="false">+J824</f>
        <v>549.48</v>
      </c>
      <c r="K732" s="67" t="n">
        <f aca="false">+K824</f>
        <v>1410.6</v>
      </c>
      <c r="L732" s="67" t="n">
        <f aca="false">+L824</f>
        <v>1216.38</v>
      </c>
      <c r="M732" s="67" t="n">
        <f aca="false">+M824</f>
        <v>635.73</v>
      </c>
      <c r="N732" s="67" t="n">
        <f aca="false">+N824</f>
        <v>1266.08</v>
      </c>
      <c r="O732" s="67" t="n">
        <f aca="false">+O824</f>
        <v>1362.49</v>
      </c>
      <c r="P732" s="67" t="n">
        <f aca="false">+P824</f>
        <v>4816.98</v>
      </c>
      <c r="Q732" s="67" t="n">
        <f aca="false">+Q824</f>
        <v>3222.41</v>
      </c>
      <c r="R732" s="67" t="n">
        <f aca="false">+R824</f>
        <v>20108.342</v>
      </c>
      <c r="S732" s="67" t="n">
        <f aca="false">+S824</f>
        <v>10653.615</v>
      </c>
      <c r="T732" s="67" t="n">
        <f aca="false">+T824</f>
        <v>6732.55</v>
      </c>
      <c r="U732" s="67" t="n">
        <f aca="false">+U824</f>
        <v>215.955999999991</v>
      </c>
      <c r="V732" s="67" t="n">
        <f aca="false">+V824</f>
        <v>6384.35100000001</v>
      </c>
      <c r="W732" s="67" t="n">
        <f aca="false">+W824</f>
        <v>5380.06199999999</v>
      </c>
      <c r="X732" s="67" t="n">
        <f aca="false">+X824</f>
        <v>-1273.431</v>
      </c>
      <c r="Y732" s="67" t="n">
        <f aca="false">+Y824</f>
        <v>-28935.314</v>
      </c>
      <c r="Z732" s="67" t="n">
        <f aca="false">+Z824</f>
        <v>5320.15</v>
      </c>
      <c r="AA732" s="67" t="n">
        <f aca="false">+AA824</f>
        <v>4149.087</v>
      </c>
      <c r="AB732" s="67" t="n">
        <f aca="false">+AB824</f>
        <v>6800.152</v>
      </c>
      <c r="AC732" s="67" t="n">
        <f aca="false">+AC824</f>
        <v>9403.49999999999</v>
      </c>
      <c r="AD732" s="67" t="n">
        <f aca="false">+AD824</f>
        <v>7961.60000000001</v>
      </c>
      <c r="AE732" s="67" t="n">
        <f aca="false">+AE824</f>
        <v>1970.39999999999</v>
      </c>
      <c r="AF732" s="67" t="n">
        <f aca="false">+AF824</f>
        <v>3022.10000000001</v>
      </c>
      <c r="AG732" s="67" t="n">
        <f aca="false">+AG824</f>
        <v>2398.60000000001</v>
      </c>
      <c r="AH732" s="67" t="n">
        <f aca="false">+AH824</f>
        <v>6237.59999999998</v>
      </c>
      <c r="AI732" s="67" t="n">
        <f aca="false">+AI824</f>
        <v>13806.5</v>
      </c>
      <c r="AJ732" s="67" t="n">
        <f aca="false">+AJ824</f>
        <v>10000</v>
      </c>
      <c r="AK732" s="67" t="n">
        <f aca="false">+AK824</f>
        <v>8000</v>
      </c>
      <c r="AL732" s="67" t="n">
        <f aca="false">+AL824</f>
        <v>8000</v>
      </c>
      <c r="AM732" s="145"/>
      <c r="AN732" s="145"/>
      <c r="AO732" s="145"/>
    </row>
    <row r="733" customFormat="false" ht="12.75" hidden="false" customHeight="true" outlineLevel="0" collapsed="false">
      <c r="A733" s="59" t="s">
        <v>589</v>
      </c>
      <c r="B733" s="19"/>
      <c r="C733" s="67" t="n">
        <f aca="false">+C731+C732</f>
        <v>5709.6</v>
      </c>
      <c r="D733" s="67" t="n">
        <f aca="false">+D731+D732</f>
        <v>8417.8</v>
      </c>
      <c r="E733" s="67" t="n">
        <f aca="false">+E731+E732</f>
        <v>10081.37</v>
      </c>
      <c r="F733" s="67" t="n">
        <f aca="false">+F731+F732</f>
        <v>11882.02</v>
      </c>
      <c r="G733" s="67" t="n">
        <f aca="false">+G731+G732</f>
        <v>12510.5</v>
      </c>
      <c r="H733" s="67" t="n">
        <f aca="false">+H731+H732</f>
        <v>14087.7</v>
      </c>
      <c r="I733" s="67" t="n">
        <f aca="false">+I731+I732</f>
        <v>14944.23</v>
      </c>
      <c r="J733" s="67" t="n">
        <f aca="false">+J731+J732</f>
        <v>15493.71</v>
      </c>
      <c r="K733" s="67" t="n">
        <f aca="false">+K731+K732</f>
        <v>16904.31</v>
      </c>
      <c r="L733" s="67" t="n">
        <f aca="false">+L731+L732</f>
        <v>18120.69</v>
      </c>
      <c r="M733" s="67" t="n">
        <f aca="false">+M731+M732</f>
        <v>18756.42</v>
      </c>
      <c r="N733" s="67" t="n">
        <f aca="false">+N731+N732</f>
        <v>20022.5</v>
      </c>
      <c r="O733" s="67" t="n">
        <f aca="false">+O731+O732</f>
        <v>21384.99</v>
      </c>
      <c r="P733" s="67" t="n">
        <f aca="false">+P731+P732</f>
        <v>26201.97</v>
      </c>
      <c r="Q733" s="67" t="n">
        <f aca="false">+Q731+Q732</f>
        <v>29424.38</v>
      </c>
      <c r="R733" s="67" t="n">
        <f aca="false">+R731+R732</f>
        <v>49532.722</v>
      </c>
      <c r="S733" s="67" t="n">
        <f aca="false">+S731+S732</f>
        <v>60186.337</v>
      </c>
      <c r="T733" s="67" t="n">
        <f aca="false">+T731+T732</f>
        <v>66918.887</v>
      </c>
      <c r="U733" s="67" t="n">
        <f aca="false">+U731+U732</f>
        <v>67134.843</v>
      </c>
      <c r="V733" s="67" t="n">
        <f aca="false">+V731+V732</f>
        <v>78127.313</v>
      </c>
      <c r="W733" s="67" t="n">
        <f aca="false">+W731+W732</f>
        <v>83796.833</v>
      </c>
      <c r="X733" s="67" t="n">
        <f aca="false">+X731+X732</f>
        <v>82269.196</v>
      </c>
      <c r="Y733" s="67" t="n">
        <f aca="false">+Y731+Y732</f>
        <v>52924.676</v>
      </c>
      <c r="Z733" s="67" t="n">
        <f aca="false">+Z731+Z732</f>
        <v>57604.552</v>
      </c>
      <c r="AA733" s="67" t="n">
        <f aca="false">+AA731+AA732</f>
        <v>61789.524</v>
      </c>
      <c r="AB733" s="67" t="n">
        <f aca="false">+AB731+AB732</f>
        <v>69708.863</v>
      </c>
      <c r="AC733" s="67" t="n">
        <f aca="false">+AC731+AC732</f>
        <v>86278.5</v>
      </c>
      <c r="AD733" s="67" t="n">
        <f aca="false">+AD731+AD732</f>
        <v>97661.2</v>
      </c>
      <c r="AE733" s="67" t="n">
        <f aca="false">+AE731+AE732</f>
        <v>100238</v>
      </c>
      <c r="AF733" s="67" t="n">
        <f aca="false">+AF731+AF732</f>
        <v>101421.1</v>
      </c>
      <c r="AG733" s="67" t="n">
        <f aca="false">+AG731+AG732</f>
        <v>103745</v>
      </c>
      <c r="AH733" s="67" t="n">
        <f aca="false">+AH731+AH732</f>
        <v>109156.5</v>
      </c>
      <c r="AI733" s="67" t="n">
        <f aca="false">+AI731+AI732</f>
        <v>122874.3</v>
      </c>
      <c r="AJ733" s="67" t="n">
        <f aca="false">+AJ731+AJ732</f>
        <v>132990.6</v>
      </c>
      <c r="AK733" s="67" t="n">
        <f aca="false">+AK731+AK732</f>
        <v>141490.6</v>
      </c>
      <c r="AL733" s="67" t="n">
        <f aca="false">+AL731+AL732</f>
        <v>149990.6</v>
      </c>
      <c r="AM733" s="145"/>
      <c r="AN733" s="145"/>
      <c r="AO733" s="145"/>
    </row>
    <row r="734" customFormat="false" ht="12.75" hidden="false" customHeight="true" outlineLevel="0" collapsed="false">
      <c r="A734" s="73" t="s">
        <v>590</v>
      </c>
      <c r="B734" s="19"/>
      <c r="C734" s="117" t="n">
        <f aca="false">+C736/((C731+C733)/2)*100</f>
        <v>6.27197748893419</v>
      </c>
      <c r="D734" s="117" t="n">
        <f aca="false">+D736/((D731+D733)/2)*100</f>
        <v>5.5465266078684</v>
      </c>
      <c r="E734" s="117" t="n">
        <f aca="false">+E736/((E731+E733)/2)*100</f>
        <v>5.90350810333653</v>
      </c>
      <c r="F734" s="117" t="n">
        <f aca="false">+F736/((F731+F733)/2)*100</f>
        <v>5.9733948174667</v>
      </c>
      <c r="G734" s="117" t="n">
        <f aca="false">+G736/((G731+G733)/2)*100</f>
        <v>5.78513413128287</v>
      </c>
      <c r="H734" s="117" t="n">
        <f aca="false">+H736/((H731+H733)/2)*100</f>
        <v>5.72895910249566</v>
      </c>
      <c r="I734" s="117" t="n">
        <f aca="false">+I736/((I731+I733)/2)*100</f>
        <v>5.67947084468721</v>
      </c>
      <c r="J734" s="117" t="n">
        <f aca="false">+J736/((J731+J733)/2)*100</f>
        <v>5.8052548891285</v>
      </c>
      <c r="K734" s="117" t="n">
        <f aca="false">+K736/((K731+K733)/2)*100</f>
        <v>5.88647083988466</v>
      </c>
      <c r="L734" s="117" t="n">
        <f aca="false">+L736/((L731+L733)/2)*100</f>
        <v>5.87974304068523</v>
      </c>
      <c r="M734" s="117" t="n">
        <f aca="false">+M736/((M731+M733)/2)*100</f>
        <v>5.23110406428269</v>
      </c>
      <c r="N734" s="117" t="n">
        <f aca="false">+N736/((N731+N733)/2)*100</f>
        <v>5.63264784063094</v>
      </c>
      <c r="O734" s="117" t="n">
        <f aca="false">+O736/((O731+O733)/2)*100</f>
        <v>6.08614528434348</v>
      </c>
      <c r="P734" s="117" t="n">
        <f aca="false">+P736/((P731+P733)/2)*100</f>
        <v>6.32837231039764</v>
      </c>
      <c r="Q734" s="117" t="n">
        <f aca="false">+Q736/((Q731+Q733)/2)*100</f>
        <v>6.37686995461683</v>
      </c>
      <c r="R734" s="117" t="n">
        <f aca="false">+R736/((R731+R733)/2)*100</f>
        <v>4.51926921026053</v>
      </c>
      <c r="S734" s="117" t="n">
        <f aca="false">+S736/((S731+S733)/2)*100</f>
        <v>3.72055505871592</v>
      </c>
      <c r="T734" s="117" t="n">
        <f aca="false">+T736/((T731+T733)/2)*100</f>
        <v>4.20802531294859</v>
      </c>
      <c r="U734" s="117" t="n">
        <f aca="false">+U736/((U731+U733)/2)*100</f>
        <v>5.26375804686673</v>
      </c>
      <c r="V734" s="117" t="n">
        <f aca="false">+V736/((V731+V733)/2)*100</f>
        <v>5.0815079908274</v>
      </c>
      <c r="W734" s="117" t="n">
        <f aca="false">+W736/((W731+W733)/2)*100</f>
        <v>4.64863600465963</v>
      </c>
      <c r="X734" s="117" t="n">
        <f aca="false">+X736/((X731+X733)/2)*100</f>
        <v>5.02179751078426</v>
      </c>
      <c r="Y734" s="117" t="n">
        <f aca="false">+Y736/((Y731+Y733)/2)*100</f>
        <v>7.23970188122142</v>
      </c>
      <c r="Z734" s="117" t="n">
        <f aca="false">+Z736/((Z731+Z733)/2)*100</f>
        <v>9.42576812588461</v>
      </c>
      <c r="AA734" s="273" t="n">
        <v>8.5</v>
      </c>
      <c r="AB734" s="273" t="n">
        <v>9.35</v>
      </c>
      <c r="AC734" s="273" t="n">
        <v>8.2</v>
      </c>
      <c r="AD734" s="273" t="n">
        <v>8</v>
      </c>
      <c r="AE734" s="273" t="n">
        <v>7.6</v>
      </c>
      <c r="AF734" s="273" t="n">
        <v>7.35</v>
      </c>
      <c r="AG734" s="273" t="n">
        <v>6.9</v>
      </c>
      <c r="AH734" s="273" t="n">
        <v>6.78</v>
      </c>
      <c r="AI734" s="273" t="n">
        <v>6.2</v>
      </c>
      <c r="AJ734" s="273" t="n">
        <v>5.9</v>
      </c>
      <c r="AK734" s="273" t="n">
        <v>5.9</v>
      </c>
      <c r="AL734" s="273" t="n">
        <v>5.8</v>
      </c>
      <c r="AM734" s="322"/>
      <c r="AN734" s="322"/>
      <c r="AO734" s="322"/>
    </row>
    <row r="735" customFormat="false" ht="12.75" hidden="false" customHeight="true" outlineLevel="0" collapsed="false">
      <c r="A735" s="59" t="s">
        <v>257</v>
      </c>
      <c r="B735" s="19"/>
      <c r="C735" s="67" t="n">
        <f aca="false">(+C731+C733)/2*(C734/100)</f>
        <v>328.1</v>
      </c>
      <c r="D735" s="67" t="n">
        <f aca="false">(+D731+D733)/2*(D734/100)</f>
        <v>391.79</v>
      </c>
      <c r="E735" s="67" t="n">
        <f aca="false">(+E731+E733)/2*(E734/100)</f>
        <v>546.05</v>
      </c>
      <c r="F735" s="67" t="n">
        <f aca="false">(+F731+F733)/2*(F734/100)</f>
        <v>655.98</v>
      </c>
      <c r="G735" s="67" t="n">
        <f aca="false">(+G731+G733)/2*(G734/100)</f>
        <v>705.57</v>
      </c>
      <c r="H735" s="67" t="n">
        <f aca="false">(+H731+H733)/2*(H734/100)</f>
        <v>761.9</v>
      </c>
      <c r="I735" s="67" t="n">
        <f aca="false">(+I731+I733)/2*(I734/100)</f>
        <v>824.43</v>
      </c>
      <c r="J735" s="67" t="n">
        <f aca="false">(+J731+J733)/2*(J734/100)</f>
        <v>883.5</v>
      </c>
      <c r="K735" s="67" t="n">
        <f aca="false">(+K731+K733)/2*(K734/100)</f>
        <v>953.55</v>
      </c>
      <c r="L735" s="67" t="n">
        <f aca="false">(+L731+L733)/2*(L734/100)</f>
        <v>1029.69</v>
      </c>
      <c r="M735" s="67" t="n">
        <f aca="false">(+M731+M733)/2*(M734/100)</f>
        <v>964.54</v>
      </c>
      <c r="N735" s="67" t="n">
        <f aca="false">(+N731+N733)/2*(N734/100)</f>
        <v>1092.14</v>
      </c>
      <c r="O735" s="67" t="n">
        <f aca="false">(+O731+O733)/2*(O734/100)</f>
        <v>1260.06</v>
      </c>
      <c r="P735" s="67" t="n">
        <f aca="false">(+P731+P733)/2*(P734/100)</f>
        <v>1505.74</v>
      </c>
      <c r="Q735" s="67" t="n">
        <f aca="false">(+Q731+Q733)/2*(Q734/100)</f>
        <v>1773.61</v>
      </c>
      <c r="R735" s="67" t="n">
        <f aca="false">(+R731+R733)/2*(R734/100)</f>
        <v>1784.142</v>
      </c>
      <c r="S735" s="67" t="n">
        <f aca="false">(+S731+S733)/2*(S734/100)</f>
        <v>2041.079</v>
      </c>
      <c r="T735" s="67" t="n">
        <f aca="false">(+T731+T733)/2*(T734/100)</f>
        <v>2674.31</v>
      </c>
      <c r="U735" s="67" t="n">
        <f aca="false">(+U731+U733)/2*(U734/100)</f>
        <v>3528.132</v>
      </c>
      <c r="V735" s="67" t="n">
        <f aca="false">(+V731+V733)/2*(V734/100)+(U831-V831)</f>
        <v>3651.165</v>
      </c>
      <c r="W735" s="67" t="n">
        <f aca="false">(+W731+W733)/2*(W734/100)+(V831-W831)</f>
        <v>3025.444</v>
      </c>
      <c r="X735" s="67" t="n">
        <f aca="false">(+X731+X733)/2*(X734/100)+(W831-X831)</f>
        <v>4812.07</v>
      </c>
      <c r="Y735" s="67" t="n">
        <f aca="false">(+Y731+Y733)/2*(Y734/100)+(X831-Y831)</f>
        <v>5226.872</v>
      </c>
      <c r="Z735" s="67" t="n">
        <f aca="false">(+Z731+Z733)/2*(Z734/100)+(Y831-Z831)</f>
        <v>5414.652</v>
      </c>
      <c r="AA735" s="67" t="n">
        <f aca="false">(+AA731+AA733)/2*(AA734/100)+(Z831-AA831)</f>
        <v>5357.0313425</v>
      </c>
      <c r="AB735" s="67" t="n">
        <f aca="false">(+AB731+AB733)/2*(AB734/100)</f>
        <v>6199.8715845</v>
      </c>
      <c r="AC735" s="67" t="n">
        <f aca="false">(+AC731+AC733)/2*(AC734/100)</f>
        <v>6689.2935</v>
      </c>
      <c r="AD735" s="67" t="n">
        <f aca="false">(+AD731+AD733)/2*(AD734/100)</f>
        <v>7494.432</v>
      </c>
      <c r="AE735" s="67" t="n">
        <f aca="false">(+AE731+AE733)/2*(AE734/100)</f>
        <v>7543.2128</v>
      </c>
      <c r="AF735" s="67" t="n">
        <f aca="false">(+AF731+AF733)/2*(AF734/100)</f>
        <v>7343.388675</v>
      </c>
      <c r="AG735" s="67" t="n">
        <f aca="false">(+AG731+AG733)/2*(AG734/100)</f>
        <v>7075.6533</v>
      </c>
      <c r="AH735" s="67" t="n">
        <f aca="false">(+AH731+AH733)/2*(AH734/100)</f>
        <v>7189.35606</v>
      </c>
      <c r="AI735" s="67" t="n">
        <f aca="false">(+AI731+AI733)/2*(AI734/100)</f>
        <v>7190.2051</v>
      </c>
      <c r="AJ735" s="67" t="n">
        <f aca="false">(+AJ731+AJ733)/2*(AJ734/100)</f>
        <v>7551.4454</v>
      </c>
      <c r="AK735" s="67" t="n">
        <f aca="false">(+AK731+AK733)/2*(AK734/100)</f>
        <v>8111.9454</v>
      </c>
      <c r="AL735" s="67" t="n">
        <f aca="false">(+AL731+AL733)/2*(AL734/100)</f>
        <v>8467.4548</v>
      </c>
      <c r="AM735" s="145"/>
      <c r="AN735" s="145"/>
      <c r="AO735" s="145"/>
    </row>
    <row r="736" customFormat="false" ht="12.75" hidden="false" customHeight="true" outlineLevel="0" collapsed="false">
      <c r="A736" s="167"/>
      <c r="B736" s="19"/>
      <c r="C736" s="62" t="n">
        <f aca="false">C689</f>
        <v>328.1</v>
      </c>
      <c r="D736" s="62" t="n">
        <f aca="false">D689</f>
        <v>391.79</v>
      </c>
      <c r="E736" s="62" t="n">
        <f aca="false">E689</f>
        <v>546.05</v>
      </c>
      <c r="F736" s="62" t="n">
        <f aca="false">F689</f>
        <v>655.98</v>
      </c>
      <c r="G736" s="62" t="n">
        <f aca="false">G689</f>
        <v>705.57</v>
      </c>
      <c r="H736" s="62" t="n">
        <f aca="false">H689</f>
        <v>761.9</v>
      </c>
      <c r="I736" s="62" t="n">
        <f aca="false">I689</f>
        <v>824.43</v>
      </c>
      <c r="J736" s="62" t="n">
        <f aca="false">J689</f>
        <v>883.5</v>
      </c>
      <c r="K736" s="62" t="n">
        <f aca="false">K689</f>
        <v>953.55</v>
      </c>
      <c r="L736" s="62" t="n">
        <f aca="false">L689</f>
        <v>1029.69</v>
      </c>
      <c r="M736" s="62" t="n">
        <f aca="false">M689</f>
        <v>964.54</v>
      </c>
      <c r="N736" s="62" t="n">
        <f aca="false">N689</f>
        <v>1092.14</v>
      </c>
      <c r="O736" s="62" t="n">
        <f aca="false">O689</f>
        <v>1260.06</v>
      </c>
      <c r="P736" s="62" t="n">
        <f aca="false">P689</f>
        <v>1505.74</v>
      </c>
      <c r="Q736" s="62" t="n">
        <f aca="false">Q689</f>
        <v>1773.61</v>
      </c>
      <c r="R736" s="62" t="n">
        <f aca="false">R689</f>
        <v>1784.142</v>
      </c>
      <c r="S736" s="62" t="n">
        <f aca="false">S689</f>
        <v>2041.079</v>
      </c>
      <c r="T736" s="62" t="n">
        <f aca="false">T689</f>
        <v>2674.31</v>
      </c>
      <c r="U736" s="62" t="n">
        <f aca="false">U689</f>
        <v>3528.132</v>
      </c>
      <c r="V736" s="62" t="n">
        <f aca="false">V689</f>
        <v>3807.835</v>
      </c>
      <c r="W736" s="62" t="n">
        <f aca="false">W689</f>
        <v>3770.36</v>
      </c>
      <c r="X736" s="62" t="n">
        <f aca="false">X689</f>
        <v>4163.367</v>
      </c>
      <c r="Y736" s="62" t="n">
        <f aca="false">Y689</f>
        <v>4879.004</v>
      </c>
      <c r="Z736" s="62" t="n">
        <f aca="false">Z689</f>
        <v>5178.939</v>
      </c>
      <c r="AA736" s="62" t="n">
        <f aca="false">AA689</f>
        <v>5546.094</v>
      </c>
      <c r="AB736" s="62" t="n">
        <f aca="false">AB689</f>
        <v>6210.1</v>
      </c>
      <c r="AC736" s="62" t="n">
        <f aca="false">AC689</f>
        <v>6698</v>
      </c>
      <c r="AD736" s="62" t="n">
        <f aca="false">AD689</f>
        <v>7477.1</v>
      </c>
      <c r="AE736" s="62" t="n">
        <f aca="false">AE689</f>
        <v>7527.6</v>
      </c>
      <c r="AF736" s="62" t="n">
        <f aca="false">AF689</f>
        <v>7319.6</v>
      </c>
      <c r="AG736" s="62" t="n">
        <f aca="false">AG689</f>
        <v>7178.1</v>
      </c>
      <c r="AH736" s="62" t="n">
        <f aca="false">AH689</f>
        <v>7193.4</v>
      </c>
      <c r="AI736" s="62" t="n">
        <f aca="false">AI689</f>
        <v>7151.9</v>
      </c>
      <c r="AJ736" s="62" t="n">
        <f aca="false">AJ689</f>
        <v>7551.4454</v>
      </c>
      <c r="AK736" s="62" t="n">
        <f aca="false">AK689</f>
        <v>8111.9454</v>
      </c>
      <c r="AL736" s="62" t="n">
        <f aca="false">AL689</f>
        <v>8467.4548</v>
      </c>
      <c r="AM736" s="41"/>
      <c r="AN736" s="41"/>
      <c r="AO736" s="41"/>
    </row>
    <row r="737" customFormat="false" ht="12.75" hidden="false" customHeight="true" outlineLevel="0" collapsed="false">
      <c r="A737" s="59" t="s">
        <v>591</v>
      </c>
      <c r="B737" s="19"/>
      <c r="C737" s="19"/>
      <c r="D737" s="19"/>
      <c r="E737" s="19"/>
      <c r="F737" s="19"/>
      <c r="G737" s="19"/>
      <c r="R737" s="31"/>
      <c r="S737" s="37" t="n">
        <f aca="false">S735-S736</f>
        <v>0</v>
      </c>
      <c r="T737" s="37" t="n">
        <f aca="false">T736-T735</f>
        <v>0</v>
      </c>
      <c r="W737" s="119"/>
    </row>
    <row r="738" customFormat="false" ht="12.75" hidden="false" customHeight="true" outlineLevel="0" collapsed="false">
      <c r="A738" s="167"/>
      <c r="B738" s="19"/>
      <c r="C738" s="19"/>
      <c r="D738" s="19"/>
      <c r="E738" s="19"/>
      <c r="F738" s="19"/>
      <c r="G738" s="19"/>
    </row>
    <row r="739" customFormat="false" ht="12.75" hidden="false" customHeight="true" outlineLevel="0" collapsed="false">
      <c r="A739" s="59" t="s">
        <v>241</v>
      </c>
      <c r="B739" s="19"/>
      <c r="C739" s="19"/>
      <c r="D739" s="19"/>
      <c r="E739" s="19"/>
      <c r="F739" s="298" t="n">
        <f aca="false">+F694+500</f>
        <v>2070.35</v>
      </c>
      <c r="G739" s="165" t="n">
        <f aca="false">+G694</f>
        <v>206.681576000001</v>
      </c>
      <c r="H739" s="165" t="n">
        <f aca="false">+H694</f>
        <v>236.688378295998</v>
      </c>
      <c r="I739" s="165" t="n">
        <f aca="false">+I694</f>
        <v>932.869999999999</v>
      </c>
      <c r="J739" s="165" t="n">
        <f aca="false">+J694</f>
        <v>1019.41</v>
      </c>
      <c r="K739" s="165" t="n">
        <f aca="false">+K694</f>
        <v>1322.06</v>
      </c>
      <c r="L739" s="165" t="n">
        <f aca="false">+L694</f>
        <v>1701.02</v>
      </c>
      <c r="M739" s="165" t="n">
        <f aca="false">+M694</f>
        <v>2864.6</v>
      </c>
      <c r="N739" s="165" t="n">
        <f aca="false">+N694</f>
        <v>3736.1</v>
      </c>
      <c r="O739" s="165" t="n">
        <f aca="false">+O694</f>
        <v>4522.99999999999</v>
      </c>
      <c r="P739" s="165" t="n">
        <f aca="false">+P694</f>
        <v>6045.05999999999</v>
      </c>
      <c r="Q739" s="165" t="n">
        <f aca="false">+Q694</f>
        <v>6381.5</v>
      </c>
      <c r="R739" s="165" t="n">
        <f aca="false">+R694</f>
        <v>2084.46300000001</v>
      </c>
      <c r="S739" s="165" t="n">
        <f aca="false">+S694</f>
        <v>5447.74700000003</v>
      </c>
      <c r="T739" s="165" t="n">
        <f aca="false">+T694</f>
        <v>8017.99300000002</v>
      </c>
      <c r="U739" s="165" t="n">
        <f aca="false">+U694</f>
        <v>6899.76599999998</v>
      </c>
      <c r="V739" s="165" t="n">
        <f aca="false">+V694</f>
        <v>4707.06700000002</v>
      </c>
      <c r="W739" s="165" t="n">
        <f aca="false">+W694</f>
        <v>-912.189000000022</v>
      </c>
      <c r="X739" s="165" t="n">
        <f aca="false">+X694</f>
        <v>4421.96700000003</v>
      </c>
      <c r="Y739" s="165" t="n">
        <f aca="false">+Y694</f>
        <v>8265.36700000002</v>
      </c>
      <c r="Z739" s="165" t="n">
        <f aca="false">+Z694</f>
        <v>16540.862</v>
      </c>
      <c r="AA739" s="165" t="n">
        <f aca="false">+AA694</f>
        <v>22307.154</v>
      </c>
      <c r="AB739" s="165" t="n">
        <f aca="false">+AB694</f>
        <v>24967.9999999999</v>
      </c>
      <c r="AC739" s="165" t="n">
        <f aca="false">+AC694</f>
        <v>3619.2</v>
      </c>
      <c r="AD739" s="165" t="n">
        <f aca="false">+AD694</f>
        <v>-4119.10000000001</v>
      </c>
      <c r="AE739" s="165" t="n">
        <f aca="false">+AE694</f>
        <v>5276.10000000001</v>
      </c>
      <c r="AF739" s="165" t="n">
        <f aca="false">+AF694</f>
        <v>21104</v>
      </c>
      <c r="AG739" s="165" t="n">
        <f aca="false">+AG694</f>
        <v>37921.8000000001</v>
      </c>
      <c r="AH739" s="165" t="n">
        <f aca="false">+AH694</f>
        <v>43482.9</v>
      </c>
      <c r="AI739" s="165" t="n">
        <f aca="false">+AI694</f>
        <v>48140.2000000002</v>
      </c>
      <c r="AJ739" s="165" t="n">
        <f aca="false">+AJ694</f>
        <v>52122.4502817523</v>
      </c>
      <c r="AK739" s="165" t="n">
        <f aca="false">+AK694</f>
        <v>58460.772777821</v>
      </c>
      <c r="AL739" s="165" t="n">
        <f aca="false">+AL694</f>
        <v>63335.7268908518</v>
      </c>
      <c r="AM739" s="157"/>
      <c r="AN739" s="157"/>
      <c r="AO739" s="157"/>
    </row>
    <row r="740" customFormat="false" ht="12.75" hidden="false" customHeight="true" outlineLevel="0" collapsed="false">
      <c r="A740" s="59" t="s">
        <v>592</v>
      </c>
      <c r="B740" s="19"/>
      <c r="C740" s="19"/>
      <c r="D740" s="19"/>
      <c r="E740" s="19"/>
      <c r="F740" s="165" t="n">
        <f aca="false">+F689</f>
        <v>655.98</v>
      </c>
      <c r="G740" s="165" t="n">
        <f aca="false">+G689</f>
        <v>705.57</v>
      </c>
      <c r="H740" s="165" t="n">
        <f aca="false">+H689</f>
        <v>761.9</v>
      </c>
      <c r="I740" s="165" t="n">
        <f aca="false">+I689</f>
        <v>824.43</v>
      </c>
      <c r="J740" s="165" t="n">
        <f aca="false">+J689</f>
        <v>883.5</v>
      </c>
      <c r="K740" s="165" t="n">
        <f aca="false">+K689</f>
        <v>953.55</v>
      </c>
      <c r="L740" s="165" t="n">
        <f aca="false">+L689</f>
        <v>1029.69</v>
      </c>
      <c r="M740" s="165" t="n">
        <f aca="false">+M689</f>
        <v>964.54</v>
      </c>
      <c r="N740" s="165" t="n">
        <f aca="false">+N689</f>
        <v>1092.14</v>
      </c>
      <c r="O740" s="165" t="n">
        <f aca="false">+O689</f>
        <v>1260.06</v>
      </c>
      <c r="P740" s="165" t="n">
        <f aca="false">+P689</f>
        <v>1505.74</v>
      </c>
      <c r="Q740" s="165" t="n">
        <f aca="false">+Q689</f>
        <v>1773.61</v>
      </c>
      <c r="R740" s="165" t="n">
        <f aca="false">+R689</f>
        <v>1784.142</v>
      </c>
      <c r="S740" s="165" t="n">
        <f aca="false">+S689</f>
        <v>2041.079</v>
      </c>
      <c r="T740" s="165" t="n">
        <f aca="false">+T689</f>
        <v>2674.31</v>
      </c>
      <c r="U740" s="165" t="n">
        <f aca="false">+U689</f>
        <v>3528.132</v>
      </c>
      <c r="V740" s="165" t="n">
        <f aca="false">+V689</f>
        <v>3807.835</v>
      </c>
      <c r="W740" s="165" t="n">
        <f aca="false">+W689</f>
        <v>3770.36</v>
      </c>
      <c r="X740" s="165" t="n">
        <f aca="false">+X689</f>
        <v>4163.367</v>
      </c>
      <c r="Y740" s="165" t="n">
        <f aca="false">+Y689</f>
        <v>4879.004</v>
      </c>
      <c r="Z740" s="165" t="n">
        <f aca="false">+Z689</f>
        <v>5178.939</v>
      </c>
      <c r="AA740" s="165" t="n">
        <f aca="false">+AA689</f>
        <v>5546.094</v>
      </c>
      <c r="AB740" s="165" t="n">
        <f aca="false">+AB689</f>
        <v>6210.1</v>
      </c>
      <c r="AC740" s="165" t="n">
        <f aca="false">+AC689</f>
        <v>6698</v>
      </c>
      <c r="AD740" s="165" t="n">
        <f aca="false">+AD689</f>
        <v>7477.1</v>
      </c>
      <c r="AE740" s="165" t="n">
        <f aca="false">+AE689</f>
        <v>7527.6</v>
      </c>
      <c r="AF740" s="165" t="n">
        <f aca="false">+AF689</f>
        <v>7319.6</v>
      </c>
      <c r="AG740" s="165" t="n">
        <f aca="false">+AG689</f>
        <v>7178.1</v>
      </c>
      <c r="AH740" s="165" t="n">
        <f aca="false">+AH689</f>
        <v>7193.4</v>
      </c>
      <c r="AI740" s="165" t="n">
        <f aca="false">+AI689</f>
        <v>7151.9</v>
      </c>
      <c r="AJ740" s="165" t="n">
        <f aca="false">+AJ689</f>
        <v>7551.4454</v>
      </c>
      <c r="AK740" s="165" t="n">
        <f aca="false">+AK689</f>
        <v>8111.9454</v>
      </c>
      <c r="AL740" s="165" t="n">
        <f aca="false">+AL689</f>
        <v>8467.4548</v>
      </c>
      <c r="AM740" s="157"/>
      <c r="AN740" s="157"/>
      <c r="AO740" s="157"/>
    </row>
    <row r="741" customFormat="false" ht="12.75" hidden="false" customHeight="true" outlineLevel="0" collapsed="false">
      <c r="A741" s="59" t="s">
        <v>593</v>
      </c>
      <c r="B741" s="19"/>
      <c r="C741" s="19"/>
      <c r="D741" s="19"/>
      <c r="E741" s="19"/>
      <c r="F741" s="164" t="n">
        <v>23.3</v>
      </c>
      <c r="G741" s="164" t="n">
        <v>0</v>
      </c>
      <c r="H741" s="164" t="n">
        <v>0</v>
      </c>
      <c r="I741" s="323" t="n">
        <f aca="false">0.38+70.4</f>
        <v>70.78</v>
      </c>
      <c r="J741" s="323" t="n">
        <f aca="false">63.18+0.37</f>
        <v>63.55</v>
      </c>
      <c r="K741" s="323" t="n">
        <f aca="false">60.19+0.13</f>
        <v>60.32</v>
      </c>
      <c r="L741" s="323" t="n">
        <f aca="false">77.04+9.68</f>
        <v>86.72</v>
      </c>
      <c r="M741" s="323" t="n">
        <f aca="false">61.79</f>
        <v>61.79</v>
      </c>
      <c r="N741" s="42" t="n">
        <v>29.51</v>
      </c>
      <c r="O741" s="42" t="n">
        <v>27.91</v>
      </c>
      <c r="P741" s="48" t="n">
        <v>0</v>
      </c>
      <c r="Q741" s="48" t="n">
        <v>0</v>
      </c>
      <c r="R741" s="48" t="n">
        <v>0</v>
      </c>
      <c r="S741" s="48" t="n">
        <v>0</v>
      </c>
      <c r="T741" s="48" t="n">
        <v>1</v>
      </c>
      <c r="U741" s="48" t="n">
        <v>1</v>
      </c>
      <c r="V741" s="48" t="n">
        <v>1</v>
      </c>
      <c r="W741" s="48" t="n">
        <v>1</v>
      </c>
      <c r="X741" s="48" t="n">
        <v>1</v>
      </c>
      <c r="Y741" s="48" t="n">
        <v>1</v>
      </c>
      <c r="Z741" s="48" t="n">
        <v>1</v>
      </c>
      <c r="AA741" s="48" t="n">
        <v>1</v>
      </c>
      <c r="AB741" s="48" t="n">
        <v>1</v>
      </c>
      <c r="AC741" s="48" t="n">
        <v>1</v>
      </c>
      <c r="AD741" s="48" t="n">
        <v>1</v>
      </c>
      <c r="AE741" s="48" t="n">
        <v>1</v>
      </c>
      <c r="AF741" s="48" t="n">
        <v>1</v>
      </c>
      <c r="AG741" s="48" t="n">
        <v>1</v>
      </c>
      <c r="AH741" s="48" t="n">
        <v>1</v>
      </c>
      <c r="AI741" s="48" t="n">
        <v>1</v>
      </c>
      <c r="AJ741" s="48" t="n">
        <v>1</v>
      </c>
      <c r="AK741" s="48" t="n">
        <v>1</v>
      </c>
      <c r="AL741" s="48" t="n">
        <v>1</v>
      </c>
    </row>
    <row r="742" customFormat="false" ht="12.75" hidden="false" customHeight="true" outlineLevel="0" collapsed="false">
      <c r="A742" s="59" t="s">
        <v>254</v>
      </c>
      <c r="B742" s="19"/>
      <c r="C742" s="19"/>
      <c r="D742" s="19"/>
      <c r="E742" s="19"/>
      <c r="F742" s="165" t="n">
        <f aca="false">+F739+F740+F741</f>
        <v>2749.63</v>
      </c>
      <c r="G742" s="165" t="n">
        <f aca="false">+G739+G740+G741</f>
        <v>912.251576000001</v>
      </c>
      <c r="H742" s="165" t="n">
        <f aca="false">+H739+H740+H741</f>
        <v>998.588378295998</v>
      </c>
      <c r="I742" s="165" t="n">
        <f aca="false">+I739+I740+I741</f>
        <v>1828.08</v>
      </c>
      <c r="J742" s="165" t="n">
        <f aca="false">+J739+J740+J741</f>
        <v>1966.46</v>
      </c>
      <c r="K742" s="165" t="n">
        <f aca="false">+K739+K740+K741</f>
        <v>2335.93</v>
      </c>
      <c r="L742" s="165" t="n">
        <f aca="false">+L739+L740+L741</f>
        <v>2817.43</v>
      </c>
      <c r="M742" s="165" t="n">
        <f aca="false">+M739+M740+M741</f>
        <v>3890.93</v>
      </c>
      <c r="N742" s="165" t="n">
        <f aca="false">+N739+N740+N741</f>
        <v>4857.75</v>
      </c>
      <c r="O742" s="165" t="n">
        <f aca="false">+O739+O740+O741</f>
        <v>5810.96999999999</v>
      </c>
      <c r="P742" s="165" t="n">
        <f aca="false">+P739+P740+P741</f>
        <v>7550.79999999999</v>
      </c>
      <c r="Q742" s="165" t="n">
        <f aca="false">+Q739+Q740+Q741</f>
        <v>8155.11</v>
      </c>
      <c r="R742" s="165" t="n">
        <f aca="false">+R739+R740+R741</f>
        <v>3868.60500000001</v>
      </c>
      <c r="S742" s="165" t="n">
        <f aca="false">+S739+S740+S741</f>
        <v>7488.82600000003</v>
      </c>
      <c r="T742" s="165" t="n">
        <f aca="false">+T739+T740+T741</f>
        <v>10693.303</v>
      </c>
      <c r="U742" s="165" t="n">
        <f aca="false">+U739+U740+U741</f>
        <v>10428.898</v>
      </c>
      <c r="V742" s="165" t="n">
        <f aca="false">+V739+V740+V741</f>
        <v>8515.90200000002</v>
      </c>
      <c r="W742" s="165" t="n">
        <f aca="false">+W739+W740+W741</f>
        <v>2859.17099999998</v>
      </c>
      <c r="X742" s="165" t="n">
        <f aca="false">+X739+X740+X741</f>
        <v>8586.33400000003</v>
      </c>
      <c r="Y742" s="165" t="n">
        <f aca="false">+Y739+Y740+Y741</f>
        <v>13145.371</v>
      </c>
      <c r="Z742" s="165" t="n">
        <f aca="false">+Z739+Z740+Z741</f>
        <v>21720.801</v>
      </c>
      <c r="AA742" s="165" t="n">
        <f aca="false">+AA739+AA740+AA741</f>
        <v>27854.248</v>
      </c>
      <c r="AB742" s="165" t="n">
        <f aca="false">+AB739+AB740+AB741</f>
        <v>31179.0999999999</v>
      </c>
      <c r="AC742" s="165" t="n">
        <f aca="false">+AC739+AC740+AC741</f>
        <v>10318.2</v>
      </c>
      <c r="AD742" s="165" t="n">
        <f aca="false">+AD739+AD740+AD741</f>
        <v>3358.99999999999</v>
      </c>
      <c r="AE742" s="165" t="n">
        <f aca="false">+AE739+AE740+AE741</f>
        <v>12804.7</v>
      </c>
      <c r="AF742" s="165" t="n">
        <f aca="false">+AF739+AF740+AF741</f>
        <v>28424.6</v>
      </c>
      <c r="AG742" s="165" t="n">
        <f aca="false">+AG739+AG740+AG741</f>
        <v>45100.9</v>
      </c>
      <c r="AH742" s="165" t="n">
        <f aca="false">+AH739+AH740+AH741</f>
        <v>50677.3</v>
      </c>
      <c r="AI742" s="165" t="n">
        <f aca="false">+AI739+AI740+AI741</f>
        <v>55293.1000000002</v>
      </c>
      <c r="AJ742" s="165" t="n">
        <f aca="false">+AJ739+AJ740+AJ741</f>
        <v>59674.8956817523</v>
      </c>
      <c r="AK742" s="165" t="n">
        <f aca="false">+AK739+AK740+AK741</f>
        <v>66573.718177821</v>
      </c>
      <c r="AL742" s="165" t="n">
        <f aca="false">+AL739+AL740+AL741</f>
        <v>71804.1816908518</v>
      </c>
      <c r="AM742" s="157"/>
      <c r="AN742" s="157"/>
      <c r="AO742" s="157"/>
    </row>
    <row r="743" customFormat="false" ht="12.75" hidden="false" customHeight="true" outlineLevel="0" collapsed="false">
      <c r="A743" s="167"/>
      <c r="B743" s="19"/>
      <c r="C743" s="19"/>
      <c r="D743" s="19"/>
      <c r="E743" s="19"/>
      <c r="F743" s="157"/>
      <c r="G743" s="157"/>
      <c r="N743" s="32"/>
    </row>
    <row r="744" customFormat="false" ht="12.75" hidden="false" customHeight="true" outlineLevel="0" collapsed="false">
      <c r="A744" s="59" t="s">
        <v>594</v>
      </c>
      <c r="B744" s="19"/>
      <c r="C744" s="19"/>
      <c r="D744" s="19"/>
      <c r="E744" s="19"/>
      <c r="F744" s="164" t="n">
        <v>3565</v>
      </c>
      <c r="G744" s="165" t="n">
        <f aca="false">+F744+F745-F746</f>
        <v>4136.778125</v>
      </c>
      <c r="H744" s="165" t="n">
        <f aca="false">+G744+G745-G746</f>
        <v>3613.22359375</v>
      </c>
      <c r="I744" s="165" t="n">
        <f aca="false">+H744+H745-H746</f>
        <v>3991.3926953125</v>
      </c>
      <c r="J744" s="165" t="n">
        <f aca="false">+I744+I745-I746</f>
        <v>3689.47514648437</v>
      </c>
      <c r="K744" s="165" t="n">
        <f aca="false">+J744+J745-J746</f>
        <v>3213.55885986328</v>
      </c>
      <c r="L744" s="165" t="n">
        <f aca="false">+K744+K745-K746</f>
        <v>3556.28164489746</v>
      </c>
      <c r="M744" s="165" t="n">
        <f aca="false">+L744+L745-L746</f>
        <v>3655.51998367309</v>
      </c>
      <c r="N744" s="165" t="n">
        <f aca="false">+M744+M745-M746</f>
        <v>3258.17061275482</v>
      </c>
      <c r="O744" s="165" t="n">
        <f aca="false">+N744+N745-N746</f>
        <v>3472.31795956612</v>
      </c>
      <c r="P744" s="165" t="n">
        <f aca="false">+O744+O745-O746</f>
        <v>3711.26159467459</v>
      </c>
      <c r="Q744" s="165" t="n">
        <f aca="false">+P744+P745-P746</f>
        <v>6697.24244600594</v>
      </c>
      <c r="R744" s="165" t="n">
        <f aca="false">+Q744+Q745-Q746</f>
        <v>7641.13995950446</v>
      </c>
      <c r="S744" s="165" t="n">
        <f aca="false">+R744+R745-R746</f>
        <v>22068.8828446283</v>
      </c>
      <c r="T744" s="165" t="n">
        <f aca="false">+S744+S745-S746</f>
        <v>25207.7243209713</v>
      </c>
      <c r="U744" s="165" t="n">
        <f aca="false">+T744+T745-T746</f>
        <v>24375.9901157284</v>
      </c>
      <c r="V744" s="165" t="n">
        <f aca="false">+U744+U745-U746</f>
        <v>18457.4568367963</v>
      </c>
      <c r="W744" s="165" t="n">
        <f aca="false">+V744+V745-V746</f>
        <v>19030.3778150973</v>
      </c>
      <c r="X744" s="165" t="n">
        <f aca="false">+W744+W745-W746</f>
        <v>18644.0837363229</v>
      </c>
      <c r="Y744" s="165" t="n">
        <f aca="false">+X744+X745-X746</f>
        <v>12948.4001147422</v>
      </c>
      <c r="Z744" s="165" t="n">
        <f aca="false">+Y744+Y745-Y746</f>
        <v>-13798.6425389434</v>
      </c>
      <c r="AA744" s="165" t="n">
        <f aca="false">+Z744+Z745-Z746</f>
        <v>-6026.36002920751</v>
      </c>
      <c r="AB744" s="165" t="n">
        <f aca="false">+AA744+AA745-AA746</f>
        <v>-1148.63683440563</v>
      </c>
      <c r="AC744" s="165" t="n">
        <f aca="false">+AB744+AB745-AB746</f>
        <v>4663.64587419578</v>
      </c>
      <c r="AD744" s="165" t="n">
        <f aca="false">+AC744+AC745-AC746</f>
        <v>11138.0781556468</v>
      </c>
      <c r="AE744" s="165" t="n">
        <f aca="false">+AD744+AD745-AD746</f>
        <v>14822.3586167351</v>
      </c>
      <c r="AF744" s="165" t="n">
        <f aca="false">+AE744+AE745-AE746</f>
        <v>12717.7189625513</v>
      </c>
      <c r="AG744" s="165" t="n">
        <f aca="false">+AF744+AF745-AF746</f>
        <v>11993.7454719135</v>
      </c>
      <c r="AH744" s="165" t="n">
        <f aca="false">+AG744+AG745-AG746</f>
        <v>10944.1716039351</v>
      </c>
      <c r="AI744" s="165" t="n">
        <f aca="false">+AH744+AH745-AH746</f>
        <v>13276.1787029513</v>
      </c>
      <c r="AJ744" s="165" t="n">
        <f aca="false">+AI744+AI745-AI746</f>
        <v>21174.9152772135</v>
      </c>
      <c r="AK744" s="165" t="n">
        <f aca="false">+AJ744+AJ745-AJ746</f>
        <v>24006.1864579101</v>
      </c>
      <c r="AL744" s="165" t="n">
        <f aca="false">+AK744+AK745-AK746</f>
        <v>24504.6398434326</v>
      </c>
      <c r="AM744" s="157"/>
      <c r="AN744" s="157"/>
      <c r="AO744" s="157"/>
    </row>
    <row r="745" customFormat="false" ht="12.75" hidden="false" customHeight="true" outlineLevel="0" collapsed="false">
      <c r="A745" s="59" t="s">
        <v>595</v>
      </c>
      <c r="B745" s="19"/>
      <c r="C745" s="19"/>
      <c r="D745" s="19"/>
      <c r="E745" s="19"/>
      <c r="F745" s="165" t="n">
        <f aca="false">+F824</f>
        <v>1800.65</v>
      </c>
      <c r="G745" s="165" t="n">
        <f aca="false">+G824</f>
        <v>628.48</v>
      </c>
      <c r="H745" s="165" t="n">
        <f aca="false">+H824</f>
        <v>1577.2</v>
      </c>
      <c r="I745" s="165" t="n">
        <f aca="false">+I824</f>
        <v>856.529999999999</v>
      </c>
      <c r="J745" s="165" t="n">
        <f aca="false">+J824</f>
        <v>549.48</v>
      </c>
      <c r="K745" s="165" t="n">
        <f aca="false">+K824</f>
        <v>1410.6</v>
      </c>
      <c r="L745" s="165" t="n">
        <f aca="false">+L824</f>
        <v>1216.38</v>
      </c>
      <c r="M745" s="165" t="n">
        <f aca="false">+M824</f>
        <v>635.73</v>
      </c>
      <c r="N745" s="165" t="n">
        <f aca="false">+N824</f>
        <v>1266.08</v>
      </c>
      <c r="O745" s="165" t="n">
        <f aca="false">+O824</f>
        <v>1362.49</v>
      </c>
      <c r="P745" s="165" t="n">
        <f aca="false">+P824</f>
        <v>4816.98</v>
      </c>
      <c r="Q745" s="165" t="n">
        <f aca="false">+Q824</f>
        <v>3222.41</v>
      </c>
      <c r="R745" s="165" t="n">
        <f aca="false">+R824</f>
        <v>20108.342</v>
      </c>
      <c r="S745" s="165" t="n">
        <f aca="false">+S824</f>
        <v>10653.615</v>
      </c>
      <c r="T745" s="165" t="n">
        <f aca="false">+T824</f>
        <v>6732.55</v>
      </c>
      <c r="U745" s="165" t="n">
        <f aca="false">+U824</f>
        <v>215.955999999991</v>
      </c>
      <c r="V745" s="165" t="n">
        <f aca="false">+V824</f>
        <v>6384.35100000001</v>
      </c>
      <c r="W745" s="165" t="n">
        <f aca="false">+W824</f>
        <v>5380.06199999999</v>
      </c>
      <c r="X745" s="165" t="n">
        <f aca="false">+X824</f>
        <v>-1273.431</v>
      </c>
      <c r="Y745" s="165" t="n">
        <f aca="false">+Y824</f>
        <v>-28935.314</v>
      </c>
      <c r="Z745" s="165" t="n">
        <f aca="false">+Z824</f>
        <v>5320.15</v>
      </c>
      <c r="AA745" s="165" t="n">
        <f aca="false">+AA824</f>
        <v>4149.087</v>
      </c>
      <c r="AB745" s="165" t="n">
        <f aca="false">+AB824</f>
        <v>6800.152</v>
      </c>
      <c r="AC745" s="165" t="n">
        <f aca="false">+AC824</f>
        <v>9403.49999999999</v>
      </c>
      <c r="AD745" s="165" t="n">
        <f aca="false">+AD824</f>
        <v>7961.60000000001</v>
      </c>
      <c r="AE745" s="165" t="n">
        <f aca="false">+AE824</f>
        <v>1970.39999999999</v>
      </c>
      <c r="AF745" s="165" t="n">
        <f aca="false">+AF824</f>
        <v>3022.10000000001</v>
      </c>
      <c r="AG745" s="165" t="n">
        <f aca="false">+AG824</f>
        <v>2398.60000000001</v>
      </c>
      <c r="AH745" s="165" t="n">
        <f aca="false">+AH824</f>
        <v>6237.59999999998</v>
      </c>
      <c r="AI745" s="165" t="n">
        <f aca="false">+AI824</f>
        <v>13806.5</v>
      </c>
      <c r="AJ745" s="165" t="n">
        <f aca="false">+AJ824</f>
        <v>10000</v>
      </c>
      <c r="AK745" s="165" t="n">
        <f aca="false">+AK824</f>
        <v>8000</v>
      </c>
      <c r="AL745" s="165" t="n">
        <f aca="false">+AL824</f>
        <v>8000</v>
      </c>
      <c r="AM745" s="157"/>
      <c r="AN745" s="157"/>
      <c r="AO745" s="157"/>
    </row>
    <row r="746" customFormat="false" ht="12.75" hidden="false" customHeight="true" outlineLevel="0" collapsed="false">
      <c r="A746" s="59" t="s">
        <v>596</v>
      </c>
      <c r="B746" s="19"/>
      <c r="C746" s="19"/>
      <c r="D746" s="19"/>
      <c r="E746" s="19"/>
      <c r="F746" s="165" t="n">
        <f aca="false">(+F744+(F745*0.75))*0.25</f>
        <v>1228.871875</v>
      </c>
      <c r="G746" s="165" t="n">
        <f aca="false">(+G744+(G745*0.75))*0.25</f>
        <v>1152.03453125</v>
      </c>
      <c r="H746" s="165" t="n">
        <f aca="false">(+H744+(H745*0.75))*0.25</f>
        <v>1199.0308984375</v>
      </c>
      <c r="I746" s="165" t="n">
        <f aca="false">(+I744+(I745*0.75))*0.25</f>
        <v>1158.44754882812</v>
      </c>
      <c r="J746" s="165" t="n">
        <f aca="false">(+J744+(J745*0.75))*0.25</f>
        <v>1025.39628662109</v>
      </c>
      <c r="K746" s="165" t="n">
        <f aca="false">(+K744+(K745*0.75))*0.25</f>
        <v>1067.87721496582</v>
      </c>
      <c r="L746" s="165" t="n">
        <f aca="false">(+L744+(L745*0.75))*0.25</f>
        <v>1117.14166122437</v>
      </c>
      <c r="M746" s="165" t="n">
        <f aca="false">(+M744+(M745*0.75))*0.25</f>
        <v>1033.07937091827</v>
      </c>
      <c r="N746" s="165" t="n">
        <f aca="false">(+N744+(N745*0.75))*0.25</f>
        <v>1051.93265318871</v>
      </c>
      <c r="O746" s="165" t="n">
        <f aca="false">(+O744+(O745*0.75))*0.25</f>
        <v>1123.54636489153</v>
      </c>
      <c r="P746" s="165" t="n">
        <f aca="false">(+P744+(P745*0.75))*0.25</f>
        <v>1830.99914866865</v>
      </c>
      <c r="Q746" s="165" t="n">
        <f aca="false">(+Q744+(Q745*0.75))*0.25</f>
        <v>2278.51248650149</v>
      </c>
      <c r="R746" s="165" t="n">
        <f aca="false">(+R744+(R745*0.75))*0.25</f>
        <v>5680.59911487611</v>
      </c>
      <c r="S746" s="165" t="n">
        <f aca="false">(+S744+(S745*0.75))*0.25</f>
        <v>7514.77352365709</v>
      </c>
      <c r="T746" s="165" t="n">
        <f aca="false">(+T744+(T745*0.75))*0.25</f>
        <v>7564.28420524281</v>
      </c>
      <c r="U746" s="165" t="n">
        <f aca="false">(+U744+(U745*0.75))*0.25</f>
        <v>6134.48927893211</v>
      </c>
      <c r="V746" s="165" t="n">
        <f aca="false">(+V744+(V745*0.75))*0.25</f>
        <v>5811.43002169908</v>
      </c>
      <c r="W746" s="165" t="n">
        <f aca="false">(+W744+(W745*0.75))*0.25</f>
        <v>5766.35607877431</v>
      </c>
      <c r="X746" s="165" t="n">
        <f aca="false">(+X744+(X745*0.75))*0.25</f>
        <v>4422.25262158073</v>
      </c>
      <c r="Y746" s="165" t="n">
        <f aca="false">(+Y744+(Y745*0.75))*0.25</f>
        <v>-2188.27134631445</v>
      </c>
      <c r="Z746" s="165" t="n">
        <f aca="false">(+Z744+(Z745*0.75))*0.25</f>
        <v>-2452.13250973584</v>
      </c>
      <c r="AA746" s="165" t="n">
        <f aca="false">(+AA744+(AA745*0.75))*0.25</f>
        <v>-728.636194801878</v>
      </c>
      <c r="AB746" s="165" t="n">
        <f aca="false">(+AB744+(AB745*0.75))*0.25</f>
        <v>987.869291398592</v>
      </c>
      <c r="AC746" s="165" t="n">
        <f aca="false">(+AC744+(AC745*0.75))*0.25</f>
        <v>2929.06771854894</v>
      </c>
      <c r="AD746" s="165" t="n">
        <f aca="false">(+AD744+(AD745*0.75))*0.25</f>
        <v>4277.31953891171</v>
      </c>
      <c r="AE746" s="165" t="n">
        <f aca="false">(+AE744+(AE745*0.75))*0.25</f>
        <v>4075.03965418378</v>
      </c>
      <c r="AF746" s="165" t="n">
        <f aca="false">(+AF744+(AF745*0.75))*0.25</f>
        <v>3746.07349063784</v>
      </c>
      <c r="AG746" s="165" t="n">
        <f aca="false">(+AG744+(AG745*0.75))*0.25</f>
        <v>3448.17386797838</v>
      </c>
      <c r="AH746" s="165" t="n">
        <f aca="false">(+AH744+(AH745*0.75))*0.25</f>
        <v>3905.59290098378</v>
      </c>
      <c r="AI746" s="165" t="n">
        <f aca="false">(+AI744+(AI745*0.75))*0.25</f>
        <v>5907.76342573783</v>
      </c>
      <c r="AJ746" s="165" t="n">
        <f aca="false">(+AJ744+(AJ745*0.75))*0.25</f>
        <v>7168.72881930338</v>
      </c>
      <c r="AK746" s="165" t="n">
        <f aca="false">(+AK744+(AK745*0.75))*0.25</f>
        <v>7501.54661447753</v>
      </c>
      <c r="AL746" s="165" t="n">
        <f aca="false">(+AL744+(AL745*0.75))*0.25</f>
        <v>7626.15996085815</v>
      </c>
      <c r="AM746" s="157"/>
      <c r="AN746" s="157"/>
      <c r="AO746" s="157"/>
    </row>
    <row r="747" customFormat="false" ht="12.75" hidden="false" customHeight="true" outlineLevel="0" collapsed="false">
      <c r="A747" s="59" t="s">
        <v>597</v>
      </c>
      <c r="B747" s="19"/>
      <c r="C747" s="19"/>
      <c r="D747" s="19"/>
      <c r="E747" s="19"/>
      <c r="F747" s="165" t="n">
        <f aca="false">+F742-F746</f>
        <v>1520.758125</v>
      </c>
      <c r="G747" s="165" t="n">
        <f aca="false">+G742-G746</f>
        <v>-239.782955249999</v>
      </c>
      <c r="H747" s="165" t="n">
        <f aca="false">+H742-H746</f>
        <v>-200.442520141502</v>
      </c>
      <c r="I747" s="165" t="n">
        <f aca="false">+I742-I746</f>
        <v>669.632451171875</v>
      </c>
      <c r="J747" s="165" t="n">
        <f aca="false">+J742-J746</f>
        <v>941.063713378905</v>
      </c>
      <c r="K747" s="165" t="n">
        <f aca="false">+K742-K746</f>
        <v>1268.05278503418</v>
      </c>
      <c r="L747" s="165" t="n">
        <f aca="false">+L742-L746</f>
        <v>1700.28833877564</v>
      </c>
      <c r="M747" s="165" t="n">
        <f aca="false">+M742-M746</f>
        <v>2857.85062908173</v>
      </c>
      <c r="N747" s="165" t="n">
        <f aca="false">+N742-N746</f>
        <v>3805.81734681129</v>
      </c>
      <c r="O747" s="165" t="n">
        <f aca="false">+O742-O746</f>
        <v>4687.42363510846</v>
      </c>
      <c r="P747" s="165" t="n">
        <f aca="false">+P742-P746</f>
        <v>5719.80085133134</v>
      </c>
      <c r="Q747" s="165" t="n">
        <f aca="false">+Q742-Q746</f>
        <v>5876.59751349851</v>
      </c>
      <c r="R747" s="165" t="n">
        <f aca="false">+R742-R746</f>
        <v>-1811.9941148761</v>
      </c>
      <c r="S747" s="165" t="n">
        <f aca="false">+S742-S746</f>
        <v>-25.9475236570534</v>
      </c>
      <c r="T747" s="165" t="n">
        <f aca="false">+T742-T746</f>
        <v>3129.01879475721</v>
      </c>
      <c r="U747" s="165" t="n">
        <f aca="false">+U742-U746</f>
        <v>4294.40872106787</v>
      </c>
      <c r="V747" s="165" t="n">
        <f aca="false">+V742-V746</f>
        <v>2704.47197830094</v>
      </c>
      <c r="W747" s="165" t="n">
        <f aca="false">+W742-W746</f>
        <v>-2907.18507877433</v>
      </c>
      <c r="X747" s="165" t="n">
        <f aca="false">+X742-X746</f>
        <v>4164.0813784193</v>
      </c>
      <c r="Y747" s="165" t="n">
        <f aca="false">+Y742-Y746</f>
        <v>15333.6423463145</v>
      </c>
      <c r="Z747" s="165" t="n">
        <f aca="false">+Z742-Z746</f>
        <v>24172.9335097359</v>
      </c>
      <c r="AA747" s="165" t="n">
        <f aca="false">+AA742-AA746</f>
        <v>28582.8841948019</v>
      </c>
      <c r="AB747" s="165" t="n">
        <f aca="false">+AB742-AB746</f>
        <v>30191.2307086014</v>
      </c>
      <c r="AC747" s="165" t="n">
        <f aca="false">+AC742-AC746</f>
        <v>7389.13228145106</v>
      </c>
      <c r="AD747" s="165" t="n">
        <f aca="false">+AD742-AD746</f>
        <v>-918.319538911713</v>
      </c>
      <c r="AE747" s="165" t="n">
        <f aca="false">+AE742-AE746</f>
        <v>8729.66034581623</v>
      </c>
      <c r="AF747" s="165" t="n">
        <f aca="false">+AF742-AF746</f>
        <v>24678.5265093622</v>
      </c>
      <c r="AG747" s="165" t="n">
        <f aca="false">+AG742-AG746</f>
        <v>41652.7261320217</v>
      </c>
      <c r="AH747" s="165" t="n">
        <f aca="false">+AH742-AH746</f>
        <v>46771.7070990163</v>
      </c>
      <c r="AI747" s="165" t="n">
        <f aca="false">+AI742-AI746</f>
        <v>49385.3365742623</v>
      </c>
      <c r="AJ747" s="165" t="n">
        <f aca="false">+AJ742-AJ746</f>
        <v>52506.1668624489</v>
      </c>
      <c r="AK747" s="165" t="n">
        <f aca="false">+AK742-AK746</f>
        <v>59072.1715633435</v>
      </c>
      <c r="AL747" s="165" t="n">
        <f aca="false">+AL742-AL746</f>
        <v>64178.0217299936</v>
      </c>
      <c r="AM747" s="157"/>
      <c r="AN747" s="157"/>
      <c r="AO747" s="157"/>
    </row>
    <row r="748" customFormat="false" ht="12.75" hidden="false" customHeight="true" outlineLevel="0" collapsed="false">
      <c r="A748" s="59" t="s">
        <v>598</v>
      </c>
      <c r="B748" s="19"/>
      <c r="C748" s="19"/>
      <c r="D748" s="19"/>
      <c r="E748" s="19"/>
      <c r="F748" s="42" t="n">
        <v>5</v>
      </c>
      <c r="G748" s="42" t="n">
        <v>7.7</v>
      </c>
      <c r="H748" s="42" t="n">
        <v>7</v>
      </c>
      <c r="I748" s="324" t="n">
        <f aca="false">1511.79/I429*100</f>
        <v>5.64847694114904</v>
      </c>
      <c r="J748" s="324" t="n">
        <f aca="false">1631.16/J429*100</f>
        <v>6.11006019560763</v>
      </c>
      <c r="K748" s="324" t="n">
        <f aca="false">1591.32/K429*100</f>
        <v>5.90119579946051</v>
      </c>
      <c r="L748" s="324" t="n">
        <f aca="false">2034.16/L429*100</f>
        <v>6.5078167640203</v>
      </c>
      <c r="M748" s="324" t="n">
        <f aca="false">2941.55/M429*100</f>
        <v>7.39162588128218</v>
      </c>
      <c r="N748" s="324" t="n">
        <f aca="false">5228.75/N429*100</f>
        <v>10.6986628385079</v>
      </c>
      <c r="O748" s="324" t="n">
        <f aca="false">4513.05/O429*100</f>
        <v>7.31402202253076</v>
      </c>
      <c r="P748" s="88" t="n">
        <f aca="false">P372-3</f>
        <v>4.247475659217</v>
      </c>
      <c r="Q748" s="88" t="n">
        <f aca="false">Q372-3</f>
        <v>5.74575376009795</v>
      </c>
      <c r="R748" s="88" t="n">
        <f aca="false">R372-3</f>
        <v>9.51492715548125</v>
      </c>
      <c r="S748" s="88" t="n">
        <f aca="false">S372-3</f>
        <v>6.35300190845665</v>
      </c>
      <c r="T748" s="88" t="n">
        <f aca="false">T372-3</f>
        <v>7.9514802456804</v>
      </c>
      <c r="U748" s="88" t="n">
        <f aca="false">U372-3</f>
        <v>9.6571232473772</v>
      </c>
      <c r="V748" s="88" t="n">
        <f aca="false">V372-3</f>
        <v>4.65895071153729</v>
      </c>
      <c r="W748" s="88" t="n">
        <f aca="false">W372-3</f>
        <v>7.5286723306133</v>
      </c>
      <c r="X748" s="88" t="n">
        <f aca="false">X372-3</f>
        <v>8.96736001220187</v>
      </c>
      <c r="Y748" s="88" t="n">
        <f aca="false">Y372-3</f>
        <v>6.35019258563119</v>
      </c>
      <c r="Z748" s="88" t="n">
        <f aca="false">Z372-3</f>
        <v>5.13698592364855</v>
      </c>
      <c r="AA748" s="88" t="n">
        <f aca="false">AA372-3</f>
        <v>6.28616767597056</v>
      </c>
      <c r="AB748" s="88" t="n">
        <f aca="false">AB372-3</f>
        <v>3.23258311968627</v>
      </c>
      <c r="AC748" s="88" t="n">
        <f aca="false">AC372-3</f>
        <v>4.12158591011792</v>
      </c>
      <c r="AD748" s="88" t="n">
        <f aca="false">AD372-3</f>
        <v>4.94419897731222</v>
      </c>
      <c r="AE748" s="88" t="n">
        <f aca="false">AE372-3</f>
        <v>5.58282810965821</v>
      </c>
      <c r="AF748" s="88" t="n">
        <f aca="false">AF372-3</f>
        <v>2.87341640435993</v>
      </c>
      <c r="AG748" s="88" t="n">
        <f aca="false">AG372-3</f>
        <v>3.08835902467088</v>
      </c>
      <c r="AH748" s="88" t="n">
        <f aca="false">AH372-3</f>
        <v>4.81934769571435</v>
      </c>
      <c r="AI748" s="88" t="n">
        <f aca="false">AI372-3</f>
        <v>5.20279717107382</v>
      </c>
      <c r="AJ748" s="88" t="n">
        <f aca="false">AJ372-3</f>
        <v>4.40535925596612</v>
      </c>
      <c r="AK748" s="88" t="n">
        <f aca="false">AK372-3</f>
        <v>4.51282816688056</v>
      </c>
      <c r="AL748" s="88" t="n">
        <f aca="false">AL372-3</f>
        <v>4.63869689744897</v>
      </c>
      <c r="AM748" s="162"/>
      <c r="AN748" s="162"/>
      <c r="AO748" s="162"/>
    </row>
    <row r="749" customFormat="false" ht="12.75" hidden="false" customHeight="true" outlineLevel="0" collapsed="false">
      <c r="A749" s="59" t="s">
        <v>599</v>
      </c>
      <c r="B749" s="19"/>
      <c r="C749" s="19"/>
      <c r="D749" s="19"/>
      <c r="E749" s="19"/>
      <c r="F749" s="165" t="n">
        <f aca="false">(+F747*F748)/100</f>
        <v>76.0379062499998</v>
      </c>
      <c r="G749" s="165" t="n">
        <f aca="false">(+G747*G748)/100</f>
        <v>-18.4632875542499</v>
      </c>
      <c r="H749" s="165" t="n">
        <f aca="false">(+H747*H748)/100</f>
        <v>-14.0309764099052</v>
      </c>
      <c r="I749" s="165" t="n">
        <f aca="false">(+I747*I748)/100</f>
        <v>37.8240345948945</v>
      </c>
      <c r="J749" s="165" t="n">
        <f aca="false">(+J747*J748)/100</f>
        <v>57.4995593664716</v>
      </c>
      <c r="K749" s="165" t="n">
        <f aca="false">(+K747*K748)/100</f>
        <v>74.830277685379</v>
      </c>
      <c r="L749" s="165" t="n">
        <f aca="false">(+L747*L748)/100</f>
        <v>110.651649547523</v>
      </c>
      <c r="M749" s="165" t="n">
        <f aca="false">(+M747*M748)/100</f>
        <v>211.241626747591</v>
      </c>
      <c r="N749" s="165" t="n">
        <f aca="false">(+N747*N748)/100</f>
        <v>407.171566184789</v>
      </c>
      <c r="O749" s="165" t="n">
        <f aca="false">(+O747*O748)/100</f>
        <v>342.839196961145</v>
      </c>
      <c r="P749" s="165" t="n">
        <f aca="false">(+P747*P748)/100</f>
        <v>242.947148915986</v>
      </c>
      <c r="Q749" s="165" t="n">
        <f aca="false">(+Q747*Q748)/100</f>
        <v>337.654822597663</v>
      </c>
      <c r="R749" s="165" t="n">
        <f aca="false">(+R747*R748)/100</f>
        <v>-172.409920092069</v>
      </c>
      <c r="S749" s="165" t="n">
        <f aca="false">(+S747*S748)/100</f>
        <v>-1.64844667312984</v>
      </c>
      <c r="T749" s="165" t="n">
        <f aca="false">(+T747*T748)/100</f>
        <v>248.803311348746</v>
      </c>
      <c r="U749" s="165" t="n">
        <f aca="false">(+U747*U748)/100</f>
        <v>414.716342939639</v>
      </c>
      <c r="V749" s="165" t="n">
        <f aca="false">(+V747*V748)/100</f>
        <v>126.000016476378</v>
      </c>
      <c r="W749" s="165" t="n">
        <f aca="false">(+W747*W748)/100</f>
        <v>-218.872438625402</v>
      </c>
      <c r="X749" s="165" t="n">
        <f aca="false">(+X747*X748)/100</f>
        <v>373.408168403916</v>
      </c>
      <c r="Y749" s="165" t="n">
        <f aca="false">(+Y747*Y748)/100</f>
        <v>973.715819382866</v>
      </c>
      <c r="Z749" s="165" t="n">
        <f aca="false">(+Z747*Z748)/100</f>
        <v>1241.76019172805</v>
      </c>
      <c r="AA749" s="165" t="n">
        <f aca="false">(+AA747*AA748)/100</f>
        <v>1796.76802711373</v>
      </c>
      <c r="AB749" s="165" t="n">
        <f aca="false">(+AB747*AB748)/100</f>
        <v>975.956627511784</v>
      </c>
      <c r="AC749" s="165" t="n">
        <f aca="false">(+AC747*AC748)/100</f>
        <v>304.549434992262</v>
      </c>
      <c r="AD749" s="165" t="n">
        <f aca="false">(+AD747*AD748)/100</f>
        <v>-45.4035452513312</v>
      </c>
      <c r="AE749" s="165" t="n">
        <f aca="false">(+AE747*AE748)/100</f>
        <v>487.361931663915</v>
      </c>
      <c r="AF749" s="165" t="n">
        <f aca="false">(+AF747*AF748)/100</f>
        <v>709.116829074326</v>
      </c>
      <c r="AG749" s="165" t="n">
        <f aca="false">(+AG747*AG748)/100</f>
        <v>1286.38572651974</v>
      </c>
      <c r="AH749" s="165" t="n">
        <f aca="false">(+AH747*AH748)/100</f>
        <v>2254.09118832271</v>
      </c>
      <c r="AI749" s="165" t="n">
        <f aca="false">(+AI747*AI748)/100</f>
        <v>2569.41889421101</v>
      </c>
      <c r="AJ749" s="165" t="n">
        <f aca="false">(+AJ747*AJ748)/100</f>
        <v>2313.08528182791</v>
      </c>
      <c r="AK749" s="165" t="n">
        <f aca="false">(+AK747*AK748)/100</f>
        <v>2665.82559709857</v>
      </c>
      <c r="AL749" s="165" t="n">
        <f aca="false">(+AL747*AL748)/100</f>
        <v>2977.02390283334</v>
      </c>
      <c r="AM749" s="157"/>
      <c r="AN749" s="157"/>
      <c r="AO749" s="157"/>
    </row>
    <row r="750" customFormat="false" ht="25.5" hidden="false" customHeight="true" outlineLevel="0" collapsed="false">
      <c r="A750" s="59" t="s">
        <v>600</v>
      </c>
      <c r="B750" s="19"/>
      <c r="C750" s="19"/>
      <c r="D750" s="19"/>
      <c r="E750" s="19"/>
      <c r="F750" s="194" t="n">
        <f aca="false">+F461</f>
        <v>97.58</v>
      </c>
      <c r="G750" s="194" t="n">
        <f aca="false">+G461</f>
        <v>72.47</v>
      </c>
      <c r="H750" s="194" t="n">
        <f aca="false">+H461</f>
        <v>57.11</v>
      </c>
      <c r="I750" s="194" t="n">
        <f aca="false">+I461</f>
        <v>42.86</v>
      </c>
      <c r="J750" s="194" t="n">
        <f aca="false">+J461</f>
        <v>48.51</v>
      </c>
      <c r="K750" s="194" t="n">
        <f aca="false">+K461</f>
        <v>135.57</v>
      </c>
      <c r="L750" s="194" t="n">
        <f aca="false">+L461</f>
        <v>92.06</v>
      </c>
      <c r="M750" s="194" t="n">
        <f aca="false">+M461</f>
        <v>108.97</v>
      </c>
      <c r="N750" s="325" t="n">
        <f aca="false">N461+277.5578</f>
        <v>401.9378</v>
      </c>
      <c r="O750" s="194" t="n">
        <f aca="false">+O461</f>
        <v>127.24</v>
      </c>
      <c r="P750" s="194" t="n">
        <f aca="false">+P461</f>
        <v>164.38</v>
      </c>
      <c r="Q750" s="194" t="n">
        <f aca="false">+Q461</f>
        <v>42.69</v>
      </c>
      <c r="R750" s="194" t="n">
        <f aca="false">+R461</f>
        <v>86.332</v>
      </c>
      <c r="S750" s="194" t="n">
        <f aca="false">+S461</f>
        <v>52.177</v>
      </c>
      <c r="T750" s="194" t="n">
        <f aca="false">+T461</f>
        <v>82.987</v>
      </c>
      <c r="U750" s="194" t="n">
        <f aca="false">+U461</f>
        <v>90.606</v>
      </c>
      <c r="V750" s="194" t="n">
        <f aca="false">+V461</f>
        <v>75.627</v>
      </c>
      <c r="W750" s="194" t="n">
        <f aca="false">+W461</f>
        <v>47.052</v>
      </c>
      <c r="X750" s="194" t="n">
        <f aca="false">+X461</f>
        <v>27.732</v>
      </c>
      <c r="Y750" s="194" t="n">
        <f aca="false">+Y461</f>
        <v>39.809</v>
      </c>
      <c r="Z750" s="194" t="n">
        <f aca="false">+Z461</f>
        <v>11.587</v>
      </c>
      <c r="AA750" s="194" t="n">
        <f aca="false">+AA461</f>
        <v>12.877</v>
      </c>
      <c r="AB750" s="194" t="n">
        <f aca="false">+AB461</f>
        <v>15.4</v>
      </c>
      <c r="AC750" s="194" t="n">
        <f aca="false">+AC461</f>
        <v>189</v>
      </c>
      <c r="AD750" s="194" t="n">
        <f aca="false">+AD461</f>
        <v>100</v>
      </c>
      <c r="AE750" s="194" t="n">
        <f aca="false">+AE461</f>
        <v>0.7</v>
      </c>
      <c r="AF750" s="194" t="n">
        <f aca="false">+AF461</f>
        <v>8.2</v>
      </c>
      <c r="AG750" s="194" t="n">
        <f aca="false">+AG461</f>
        <v>10</v>
      </c>
      <c r="AH750" s="194" t="n">
        <f aca="false">+AH461</f>
        <v>12</v>
      </c>
      <c r="AI750" s="194" t="n">
        <f aca="false">+AI461</f>
        <v>12</v>
      </c>
      <c r="AJ750" s="194" t="n">
        <f aca="false">+AJ461</f>
        <v>12</v>
      </c>
      <c r="AK750" s="194" t="n">
        <f aca="false">+AK461</f>
        <v>12</v>
      </c>
      <c r="AL750" s="194" t="n">
        <f aca="false">+AL461</f>
        <v>12</v>
      </c>
      <c r="AM750" s="301"/>
      <c r="AN750" s="301"/>
      <c r="AO750" s="301"/>
    </row>
    <row r="751" customFormat="false" ht="12.75" hidden="false" customHeight="true" outlineLevel="0" collapsed="false">
      <c r="A751" s="59" t="s">
        <v>241</v>
      </c>
      <c r="B751" s="19"/>
      <c r="C751" s="19"/>
      <c r="D751" s="19"/>
      <c r="E751" s="19"/>
      <c r="F751" s="298" t="n">
        <f aca="false">+F747-F749-F750-600</f>
        <v>747.140218749996</v>
      </c>
      <c r="G751" s="165" t="n">
        <f aca="false">+G747-G749-G750</f>
        <v>-293.789667695749</v>
      </c>
      <c r="H751" s="165" t="n">
        <f aca="false">+H747-H749-H750</f>
        <v>-243.521543731597</v>
      </c>
      <c r="I751" s="165" t="n">
        <f aca="false">+I747-I749-I750</f>
        <v>588.94841657698</v>
      </c>
      <c r="J751" s="165" t="n">
        <f aca="false">+J747-J749-J750</f>
        <v>835.054154012434</v>
      </c>
      <c r="K751" s="165" t="n">
        <f aca="false">+K747-K749-K750</f>
        <v>1057.6525073488</v>
      </c>
      <c r="L751" s="165" t="n">
        <f aca="false">+L747-L749-L750</f>
        <v>1497.57668922812</v>
      </c>
      <c r="M751" s="165" t="n">
        <f aca="false">+M747-M749-M750</f>
        <v>2537.63900233414</v>
      </c>
      <c r="N751" s="165" t="n">
        <f aca="false">+N747-N749-N750</f>
        <v>2996.70798062651</v>
      </c>
      <c r="O751" s="165" t="n">
        <f aca="false">+O747-O749-O750</f>
        <v>4217.34443814732</v>
      </c>
      <c r="P751" s="165" t="n">
        <f aca="false">+P747-P749-P750</f>
        <v>5312.47370241536</v>
      </c>
      <c r="Q751" s="165" t="n">
        <f aca="false">+Q747-Q749-Q750</f>
        <v>5496.25269090085</v>
      </c>
      <c r="R751" s="165" t="n">
        <f aca="false">+R747-R749-R750</f>
        <v>-1725.91619478404</v>
      </c>
      <c r="S751" s="165" t="n">
        <f aca="false">+S747-S749-S750</f>
        <v>-76.4760769839235</v>
      </c>
      <c r="T751" s="165" t="n">
        <f aca="false">+T747-T749-T750</f>
        <v>2797.22848340846</v>
      </c>
      <c r="U751" s="165" t="n">
        <f aca="false">+U747-U749-U750</f>
        <v>3789.08637812823</v>
      </c>
      <c r="V751" s="165" t="n">
        <f aca="false">+V747-V749-V750</f>
        <v>2502.84496182456</v>
      </c>
      <c r="W751" s="165" t="n">
        <f aca="false">+W747-W749-W750</f>
        <v>-2735.36464014893</v>
      </c>
      <c r="X751" s="165" t="n">
        <f aca="false">+X747-X749-X750</f>
        <v>3762.94121001538</v>
      </c>
      <c r="Y751" s="165" t="n">
        <f aca="false">+Y747-Y749-Y750</f>
        <v>14320.1175269316</v>
      </c>
      <c r="Z751" s="165" t="n">
        <f aca="false">+Z747-Z749-Z750</f>
        <v>22919.5863180078</v>
      </c>
      <c r="AA751" s="165" t="n">
        <f aca="false">+AA747-AA749-AA750</f>
        <v>26773.2391676881</v>
      </c>
      <c r="AB751" s="165" t="n">
        <f aca="false">+AB747-AB749-AB750</f>
        <v>29199.8740810896</v>
      </c>
      <c r="AC751" s="165" t="n">
        <f aca="false">+AC747-AC749-AC750</f>
        <v>6895.58284645879</v>
      </c>
      <c r="AD751" s="165" t="n">
        <f aca="false">+AD747-AD749-AD750</f>
        <v>-972.915993660382</v>
      </c>
      <c r="AE751" s="165" t="n">
        <f aca="false">+AE747-AE749-AE750</f>
        <v>8241.59841415232</v>
      </c>
      <c r="AF751" s="165" t="n">
        <f aca="false">+AF747-AF749-AF750</f>
        <v>23961.2096802878</v>
      </c>
      <c r="AG751" s="165" t="n">
        <f aca="false">+AG747-AG749-AG750</f>
        <v>40356.3404055019</v>
      </c>
      <c r="AH751" s="165" t="n">
        <f aca="false">+AH747-AH749-AH750</f>
        <v>44505.6159106936</v>
      </c>
      <c r="AI751" s="165" t="n">
        <f aca="false">+AI747-AI749-AI750</f>
        <v>46803.9176800513</v>
      </c>
      <c r="AJ751" s="165" t="n">
        <f aca="false">+AJ747-AJ749-AJ750</f>
        <v>50181.081580621</v>
      </c>
      <c r="AK751" s="165" t="n">
        <f aca="false">+AK747-AK749-AK750</f>
        <v>56394.3459662449</v>
      </c>
      <c r="AL751" s="165" t="n">
        <f aca="false">+AL747-AL749-AL750</f>
        <v>61188.9978271603</v>
      </c>
      <c r="AM751" s="157"/>
      <c r="AN751" s="157"/>
      <c r="AO751" s="157"/>
    </row>
    <row r="752" customFormat="false" ht="12.75" hidden="false" customHeight="true" outlineLevel="0" collapsed="false">
      <c r="A752" s="59" t="s">
        <v>601</v>
      </c>
      <c r="B752" s="19"/>
      <c r="C752" s="19"/>
      <c r="D752" s="19"/>
      <c r="E752" s="19"/>
      <c r="F752" s="298" t="n">
        <f aca="false">+F751*0.43</f>
        <v>321.270294062498</v>
      </c>
      <c r="G752" s="298" t="n">
        <f aca="false">+G751*0.35</f>
        <v>-102.826383693512</v>
      </c>
      <c r="H752" s="298" t="n">
        <f aca="false">+H751*0.33</f>
        <v>-80.362109431427</v>
      </c>
      <c r="I752" s="298" t="n">
        <f aca="false">+I751*0.385</f>
        <v>226.745140382137</v>
      </c>
      <c r="J752" s="298" t="n">
        <f aca="false">+J751*0.385</f>
        <v>321.495849294787</v>
      </c>
      <c r="K752" s="298" t="n">
        <f aca="false">+K751*0.36</f>
        <v>380.754902645568</v>
      </c>
      <c r="L752" s="298" t="n">
        <f aca="false">+L751*0.36</f>
        <v>539.127608122122</v>
      </c>
      <c r="M752" s="298" t="n">
        <f aca="false">+M751*0.35</f>
        <v>888.173650816948</v>
      </c>
      <c r="N752" s="298" t="n">
        <f aca="false">+N751*0.341</f>
        <v>1021.87742139364</v>
      </c>
      <c r="O752" s="298" t="n">
        <f aca="false">+O751*0.29635</f>
        <v>1249.81002424496</v>
      </c>
      <c r="P752" s="298" t="n">
        <f aca="false">+P751*0.34</f>
        <v>1806.24105882122</v>
      </c>
      <c r="Q752" s="298" t="n">
        <f aca="false">+Q751*0.34</f>
        <v>1868.72591490629</v>
      </c>
      <c r="R752" s="298" t="n">
        <f aca="false">+R751*0.34</f>
        <v>-586.811506226572</v>
      </c>
      <c r="S752" s="298" t="n">
        <f aca="false">+S751*0.34</f>
        <v>-26.001866174534</v>
      </c>
      <c r="T752" s="298" t="n">
        <f aca="false">+T751*0.34</f>
        <v>951.057684358877</v>
      </c>
      <c r="U752" s="298" t="n">
        <f aca="false">+U751*0.34</f>
        <v>1288.2893685636</v>
      </c>
      <c r="V752" s="298" t="n">
        <f aca="false">+V751*0.34</f>
        <v>850.96728702035</v>
      </c>
      <c r="W752" s="298" t="n">
        <f aca="false">+W751*0.34</f>
        <v>-930.023977650637</v>
      </c>
      <c r="X752" s="298" t="n">
        <f aca="false">+X751*0.34</f>
        <v>1279.40001140523</v>
      </c>
      <c r="Y752" s="298" t="n">
        <f aca="false">+Y751*0.34</f>
        <v>4868.83995915675</v>
      </c>
      <c r="Z752" s="298" t="n">
        <f aca="false">+Z751*0.34</f>
        <v>7792.65934812266</v>
      </c>
      <c r="AA752" s="298" t="n">
        <f aca="false">+AA751*0.34</f>
        <v>9102.90131701396</v>
      </c>
      <c r="AB752" s="298" t="n">
        <f aca="false">+AB751*0.34</f>
        <v>9927.95718757045</v>
      </c>
      <c r="AC752" s="298" t="n">
        <f aca="false">+AC751*0.34</f>
        <v>2344.49816779599</v>
      </c>
      <c r="AD752" s="298" t="n">
        <f aca="false">+AD751*0.34</f>
        <v>-330.79143784453</v>
      </c>
      <c r="AE752" s="298" t="n">
        <f aca="false">+AE751*0.34</f>
        <v>2802.14346081179</v>
      </c>
      <c r="AF752" s="298" t="n">
        <f aca="false">+AF751*0.34</f>
        <v>8146.81129129787</v>
      </c>
      <c r="AG752" s="298" t="n">
        <f aca="false">+AG751*0.34</f>
        <v>13721.1557378707</v>
      </c>
      <c r="AH752" s="298" t="n">
        <f aca="false">+AH751*0.34</f>
        <v>15131.9094096358</v>
      </c>
      <c r="AI752" s="298" t="n">
        <f aca="false">+AI751*0.34</f>
        <v>15913.3320112175</v>
      </c>
      <c r="AJ752" s="298" t="n">
        <f aca="false">+AJ751*0.34</f>
        <v>17061.5677374111</v>
      </c>
      <c r="AK752" s="298" t="n">
        <f aca="false">+AK751*0.34</f>
        <v>19174.0776285233</v>
      </c>
      <c r="AL752" s="298" t="n">
        <f aca="false">+AL751*0.34</f>
        <v>20804.2592612345</v>
      </c>
      <c r="AM752" s="157"/>
      <c r="AN752" s="157"/>
      <c r="AO752" s="157"/>
    </row>
    <row r="753" customFormat="false" ht="12.75" hidden="false" customHeight="true" outlineLevel="0" collapsed="false">
      <c r="A753" s="167"/>
      <c r="B753" s="19"/>
      <c r="C753" s="19"/>
      <c r="D753" s="19"/>
      <c r="E753" s="19"/>
      <c r="F753" s="81" t="n">
        <f aca="false">F701</f>
        <v>321</v>
      </c>
      <c r="G753" s="81" t="n">
        <f aca="false">G701</f>
        <v>22.5</v>
      </c>
      <c r="H753" s="81" t="n">
        <f aca="false">H701</f>
        <v>29.5</v>
      </c>
      <c r="I753" s="81" t="n">
        <f aca="false">I701</f>
        <v>148</v>
      </c>
      <c r="J753" s="81" t="n">
        <f aca="false">J701</f>
        <v>102.6</v>
      </c>
      <c r="K753" s="81" t="n">
        <f aca="false">K701</f>
        <v>399.5</v>
      </c>
      <c r="L753" s="81" t="n">
        <f aca="false">L701</f>
        <v>498.9</v>
      </c>
      <c r="M753" s="81" t="n">
        <f aca="false">M701</f>
        <v>928.8</v>
      </c>
      <c r="N753" s="81" t="n">
        <f aca="false">N701</f>
        <v>1022</v>
      </c>
      <c r="O753" s="81" t="n">
        <f aca="false">O701</f>
        <v>1249.8</v>
      </c>
      <c r="P753" s="81" t="n">
        <f aca="false">P701</f>
        <v>1632.2</v>
      </c>
      <c r="Q753" s="81" t="n">
        <f aca="false">Q701</f>
        <v>1688.4</v>
      </c>
      <c r="R753" s="81" t="n">
        <f aca="false">R701</f>
        <v>184.5</v>
      </c>
      <c r="S753" s="81" t="n">
        <f aca="false">S701</f>
        <v>1211</v>
      </c>
      <c r="T753" s="81" t="n">
        <f aca="false">T701</f>
        <v>1705</v>
      </c>
      <c r="U753" s="81" t="n">
        <f aca="false">U701</f>
        <v>1240</v>
      </c>
      <c r="V753" s="81" t="n">
        <f aca="false">V701</f>
        <v>370</v>
      </c>
      <c r="W753" s="81" t="n">
        <f aca="false">W701</f>
        <v>-1206</v>
      </c>
      <c r="X753" s="81" t="n">
        <f aca="false">X701</f>
        <v>1073.907</v>
      </c>
      <c r="Y753" s="81" t="n">
        <f aca="false">Y701</f>
        <v>4369.382</v>
      </c>
      <c r="Z753" s="81" t="n">
        <f aca="false">Z701</f>
        <v>4310.09</v>
      </c>
      <c r="AA753" s="81" t="n">
        <f aca="false">AA701</f>
        <v>6681.258</v>
      </c>
      <c r="AB753" s="81" t="n">
        <f aca="false">AB701</f>
        <v>5136</v>
      </c>
      <c r="AC753" s="81" t="n">
        <f aca="false">AC701</f>
        <v>1224</v>
      </c>
      <c r="AD753" s="81" t="n">
        <f aca="false">AD701</f>
        <v>-982.3</v>
      </c>
      <c r="AE753" s="81" t="n">
        <f aca="false">AE701</f>
        <v>-142.2</v>
      </c>
      <c r="AF753" s="81" t="n">
        <f aca="false">AF701</f>
        <v>7302.9</v>
      </c>
      <c r="AG753" s="81" t="n">
        <f aca="false">AG701</f>
        <v>11743.1</v>
      </c>
      <c r="AH753" s="81" t="n">
        <f aca="false">AH701</f>
        <v>10450</v>
      </c>
      <c r="AI753" s="81" t="n">
        <f aca="false">AI701</f>
        <v>12484.9</v>
      </c>
      <c r="AJ753" s="81" t="n">
        <f aca="false">AJ701</f>
        <v>13030.6125704381</v>
      </c>
      <c r="AK753" s="81" t="n">
        <f aca="false">AK701</f>
        <v>14615.1931944552</v>
      </c>
      <c r="AL753" s="81" t="n">
        <f aca="false">AL701</f>
        <v>15833.9317227129</v>
      </c>
      <c r="AM753" s="75"/>
      <c r="AN753" s="75"/>
      <c r="AO753" s="75"/>
    </row>
    <row r="754" customFormat="false" ht="12.75" hidden="false" customHeight="true" outlineLevel="0" collapsed="false">
      <c r="B754" s="19"/>
      <c r="C754" s="19"/>
      <c r="D754" s="19"/>
      <c r="E754" s="19"/>
      <c r="F754" s="19"/>
      <c r="G754" s="19"/>
    </row>
    <row r="755" customFormat="false" ht="12.75" hidden="false" customHeight="true" outlineLevel="0" collapsed="false">
      <c r="A755" s="286" t="s">
        <v>602</v>
      </c>
      <c r="B755" s="67" t="n">
        <f aca="false">B686</f>
        <v>360.080000000002</v>
      </c>
      <c r="C755" s="67" t="n">
        <f aca="false">C686</f>
        <v>681.400000000002</v>
      </c>
      <c r="D755" s="67" t="n">
        <f aca="false">D686</f>
        <v>1097.69</v>
      </c>
      <c r="E755" s="67" t="n">
        <f aca="false">E686</f>
        <v>1881.88</v>
      </c>
      <c r="F755" s="67" t="n">
        <f aca="false">F686</f>
        <v>2226.33</v>
      </c>
      <c r="G755" s="67" t="n">
        <f aca="false">G686</f>
        <v>912.251576000001</v>
      </c>
      <c r="H755" s="67" t="n">
        <f aca="false">H686</f>
        <v>998.588378295998</v>
      </c>
      <c r="I755" s="67" t="n">
        <f aca="false">I686</f>
        <v>1757.3</v>
      </c>
      <c r="J755" s="67" t="n">
        <f aca="false">J686</f>
        <v>1957.59</v>
      </c>
      <c r="K755" s="67" t="n">
        <f aca="false">K686</f>
        <v>2316.04</v>
      </c>
      <c r="L755" s="67" t="n">
        <f aca="false">L686</f>
        <v>2838.12</v>
      </c>
      <c r="M755" s="67" t="n">
        <f aca="false">M686</f>
        <v>3924.33</v>
      </c>
      <c r="N755" s="67" t="n">
        <f aca="false">N686</f>
        <v>4469.4816</v>
      </c>
      <c r="O755" s="67" t="n">
        <f aca="false">O686</f>
        <v>5565.90999999999</v>
      </c>
      <c r="P755" s="67" t="n">
        <f aca="false">P686</f>
        <v>7681.55999999999</v>
      </c>
      <c r="Q755" s="67" t="n">
        <f aca="false">Q686</f>
        <v>8282.48</v>
      </c>
      <c r="R755" s="67" t="n">
        <f aca="false">R686</f>
        <v>4458.49200000001</v>
      </c>
      <c r="S755" s="67" t="n">
        <f aca="false">S686</f>
        <v>7521.54100000003</v>
      </c>
      <c r="T755" s="67" t="n">
        <f aca="false">T686</f>
        <v>11192.303</v>
      </c>
      <c r="U755" s="67" t="n">
        <f aca="false">U686</f>
        <v>10411.92</v>
      </c>
      <c r="V755" s="67" t="n">
        <f aca="false">V686</f>
        <v>5619.34100000002</v>
      </c>
      <c r="W755" s="67" t="n">
        <f aca="false">W686</f>
        <v>-2198.41800000002</v>
      </c>
      <c r="X755" s="67" t="n">
        <f aca="false">X686</f>
        <v>7575.97500000003</v>
      </c>
      <c r="Y755" s="67" t="n">
        <f aca="false">Y686</f>
        <v>21246.126</v>
      </c>
      <c r="Z755" s="67" t="n">
        <f aca="false">Z686</f>
        <v>21834.286</v>
      </c>
      <c r="AA755" s="67" t="n">
        <f aca="false">AA686</f>
        <v>27974.995</v>
      </c>
      <c r="AB755" s="67" t="n">
        <f aca="false">AB686</f>
        <v>31752.9999999999</v>
      </c>
      <c r="AC755" s="67" t="n">
        <f aca="false">AC686</f>
        <v>11875.4</v>
      </c>
      <c r="AD755" s="67" t="n">
        <f aca="false">AD686</f>
        <v>3478.49999999999</v>
      </c>
      <c r="AE755" s="67" t="n">
        <f aca="false">AE686</f>
        <v>7695.40000000001</v>
      </c>
      <c r="AF755" s="67" t="n">
        <f aca="false">AF686</f>
        <v>27577.5</v>
      </c>
      <c r="AG755" s="67" t="n">
        <f aca="false">AG686</f>
        <v>46037.1</v>
      </c>
      <c r="AH755" s="67" t="n">
        <f aca="false">AH686</f>
        <v>49639</v>
      </c>
      <c r="AI755" s="67" t="n">
        <f aca="false">AI686</f>
        <v>58776.9000000002</v>
      </c>
      <c r="AJ755" s="67" t="n">
        <f aca="false">AJ686</f>
        <v>59673.8956817523</v>
      </c>
      <c r="AK755" s="67" t="n">
        <f aca="false">AK686</f>
        <v>66572.718177821</v>
      </c>
      <c r="AL755" s="67" t="n">
        <f aca="false">AL686</f>
        <v>71803.1816908518</v>
      </c>
      <c r="AM755" s="145"/>
      <c r="AN755" s="145"/>
      <c r="AO755" s="145"/>
    </row>
    <row r="757" customFormat="false" ht="12.75" hidden="false" customHeight="true" outlineLevel="0" collapsed="false">
      <c r="A757" s="286" t="s">
        <v>603</v>
      </c>
      <c r="B757" s="67" t="n">
        <f aca="false">(+B758+B759)</f>
        <v>315.83</v>
      </c>
      <c r="C757" s="67" t="n">
        <f aca="false">(+C758+C759)</f>
        <v>328.1</v>
      </c>
      <c r="D757" s="67" t="n">
        <f aca="false">(+D758+D759)</f>
        <v>391.79</v>
      </c>
      <c r="E757" s="67" t="n">
        <f aca="false">(+E758+E759)</f>
        <v>546.05</v>
      </c>
      <c r="F757" s="67" t="n">
        <f aca="false">+F758+F759</f>
        <v>655.98</v>
      </c>
      <c r="G757" s="67" t="n">
        <f aca="false">+G758+G759</f>
        <v>705.57</v>
      </c>
      <c r="H757" s="67" t="n">
        <f aca="false">+H758+H759</f>
        <v>761.9</v>
      </c>
      <c r="I757" s="67" t="n">
        <f aca="false">+I758+I759</f>
        <v>824.43</v>
      </c>
      <c r="J757" s="67" t="n">
        <f aca="false">+J758+J759</f>
        <v>883.5</v>
      </c>
      <c r="K757" s="67" t="n">
        <f aca="false">+K758+K759</f>
        <v>953.55</v>
      </c>
      <c r="L757" s="67" t="n">
        <f aca="false">+L758+L759</f>
        <v>1029.69</v>
      </c>
      <c r="M757" s="67" t="n">
        <f aca="false">+M758+M759</f>
        <v>964.54</v>
      </c>
      <c r="N757" s="67" t="n">
        <f aca="false">+N758+N759</f>
        <v>1092.14</v>
      </c>
      <c r="O757" s="67" t="n">
        <f aca="false">+O758+O759</f>
        <v>1260.06</v>
      </c>
      <c r="P757" s="67" t="n">
        <f aca="false">+P758+P759</f>
        <v>1505.74</v>
      </c>
      <c r="Q757" s="67" t="n">
        <f aca="false">+Q758+Q759</f>
        <v>1773.61</v>
      </c>
      <c r="R757" s="67" t="n">
        <f aca="false">+R758+R759</f>
        <v>1784.142</v>
      </c>
      <c r="S757" s="67" t="n">
        <f aca="false">+S758+S759</f>
        <v>2041.079</v>
      </c>
      <c r="T757" s="67" t="n">
        <f aca="false">+T758+T759</f>
        <v>2674.31</v>
      </c>
      <c r="U757" s="67" t="n">
        <f aca="false">+U758+U759</f>
        <v>3528.132</v>
      </c>
      <c r="V757" s="67" t="n">
        <f aca="false">+V758+V759</f>
        <v>3807.835</v>
      </c>
      <c r="W757" s="67" t="n">
        <f aca="false">+W758+W759</f>
        <v>3770.36</v>
      </c>
      <c r="X757" s="67" t="n">
        <f aca="false">+X758+X759</f>
        <v>4163.367</v>
      </c>
      <c r="Y757" s="67" t="n">
        <f aca="false">+Y758+Y759</f>
        <v>4879.004</v>
      </c>
      <c r="Z757" s="67" t="n">
        <f aca="false">+Z758+Z759</f>
        <v>5178.939</v>
      </c>
      <c r="AA757" s="67" t="n">
        <f aca="false">+AA758+AA759</f>
        <v>5546.094</v>
      </c>
      <c r="AB757" s="67" t="n">
        <f aca="false">+AB758+AB759</f>
        <v>6210.1</v>
      </c>
      <c r="AC757" s="67" t="n">
        <f aca="false">+AC758+AC759</f>
        <v>6698</v>
      </c>
      <c r="AD757" s="67" t="n">
        <f aca="false">+AD758+AD759</f>
        <v>7477.1</v>
      </c>
      <c r="AE757" s="67" t="n">
        <f aca="false">+AE758+AE759</f>
        <v>7527.6</v>
      </c>
      <c r="AF757" s="67" t="n">
        <f aca="false">+AF758+AF759</f>
        <v>7319.6</v>
      </c>
      <c r="AG757" s="67" t="n">
        <f aca="false">+AG758+AG759</f>
        <v>7178.1</v>
      </c>
      <c r="AH757" s="67" t="n">
        <f aca="false">+AH758+AH759</f>
        <v>7193.4</v>
      </c>
      <c r="AI757" s="67" t="n">
        <f aca="false">+AI758+AI759</f>
        <v>7151.9</v>
      </c>
      <c r="AJ757" s="67" t="n">
        <f aca="false">+AJ758+AJ759</f>
        <v>7551.4454</v>
      </c>
      <c r="AK757" s="67" t="n">
        <f aca="false">+AK758+AK759</f>
        <v>8111.9454</v>
      </c>
      <c r="AL757" s="67" t="n">
        <f aca="false">+AL758+AL759</f>
        <v>8467.4548</v>
      </c>
      <c r="AM757" s="145"/>
      <c r="AN757" s="145"/>
      <c r="AO757" s="145"/>
    </row>
    <row r="758" customFormat="false" ht="12" hidden="false" customHeight="true" outlineLevel="0" collapsed="false">
      <c r="A758" s="69" t="s">
        <v>257</v>
      </c>
      <c r="B758" s="62" t="n">
        <f aca="false">+B689</f>
        <v>315.83</v>
      </c>
      <c r="C758" s="62" t="n">
        <f aca="false">+C689</f>
        <v>328.1</v>
      </c>
      <c r="D758" s="62" t="n">
        <f aca="false">+D689</f>
        <v>391.79</v>
      </c>
      <c r="E758" s="62" t="n">
        <f aca="false">+E689</f>
        <v>546.05</v>
      </c>
      <c r="F758" s="62" t="n">
        <f aca="false">+F689</f>
        <v>655.98</v>
      </c>
      <c r="G758" s="62" t="n">
        <f aca="false">+G689</f>
        <v>705.57</v>
      </c>
      <c r="H758" s="62" t="n">
        <f aca="false">+H689</f>
        <v>761.9</v>
      </c>
      <c r="I758" s="62" t="n">
        <f aca="false">+I689</f>
        <v>824.43</v>
      </c>
      <c r="J758" s="62" t="n">
        <f aca="false">+J689</f>
        <v>883.5</v>
      </c>
      <c r="K758" s="62" t="n">
        <f aca="false">+K689</f>
        <v>953.55</v>
      </c>
      <c r="L758" s="62" t="n">
        <f aca="false">+L689</f>
        <v>1029.69</v>
      </c>
      <c r="M758" s="62" t="n">
        <f aca="false">+M689</f>
        <v>964.54</v>
      </c>
      <c r="N758" s="62" t="n">
        <f aca="false">+N689</f>
        <v>1092.14</v>
      </c>
      <c r="O758" s="62" t="n">
        <f aca="false">+O689</f>
        <v>1260.06</v>
      </c>
      <c r="P758" s="62" t="n">
        <f aca="false">+P689</f>
        <v>1505.74</v>
      </c>
      <c r="Q758" s="62" t="n">
        <f aca="false">+Q689</f>
        <v>1773.61</v>
      </c>
      <c r="R758" s="62" t="n">
        <f aca="false">+R689</f>
        <v>1784.142</v>
      </c>
      <c r="S758" s="62" t="n">
        <f aca="false">+S689</f>
        <v>2041.079</v>
      </c>
      <c r="T758" s="62" t="n">
        <f aca="false">+T689</f>
        <v>2674.31</v>
      </c>
      <c r="U758" s="62" t="n">
        <f aca="false">+U689</f>
        <v>3528.132</v>
      </c>
      <c r="V758" s="62" t="n">
        <f aca="false">+V689</f>
        <v>3807.835</v>
      </c>
      <c r="W758" s="62" t="n">
        <f aca="false">+W689</f>
        <v>3770.36</v>
      </c>
      <c r="X758" s="62" t="n">
        <f aca="false">+X689</f>
        <v>4163.367</v>
      </c>
      <c r="Y758" s="62" t="n">
        <f aca="false">+Y689</f>
        <v>4879.004</v>
      </c>
      <c r="Z758" s="62" t="n">
        <f aca="false">+Z689</f>
        <v>5178.939</v>
      </c>
      <c r="AA758" s="62" t="n">
        <f aca="false">+AA689</f>
        <v>5546.094</v>
      </c>
      <c r="AB758" s="62" t="n">
        <f aca="false">+AB689</f>
        <v>6210.1</v>
      </c>
      <c r="AC758" s="62" t="n">
        <f aca="false">+AC689</f>
        <v>6698</v>
      </c>
      <c r="AD758" s="62" t="n">
        <f aca="false">+AD689</f>
        <v>7477.1</v>
      </c>
      <c r="AE758" s="62" t="n">
        <f aca="false">+AE689</f>
        <v>7527.6</v>
      </c>
      <c r="AF758" s="62" t="n">
        <f aca="false">+AF689</f>
        <v>7319.6</v>
      </c>
      <c r="AG758" s="62" t="n">
        <f aca="false">+AG689</f>
        <v>7178.1</v>
      </c>
      <c r="AH758" s="62" t="n">
        <f aca="false">+AH689</f>
        <v>7193.4</v>
      </c>
      <c r="AI758" s="62" t="n">
        <f aca="false">+AI689</f>
        <v>7151.9</v>
      </c>
      <c r="AJ758" s="62" t="n">
        <f aca="false">+AJ689</f>
        <v>7551.4454</v>
      </c>
      <c r="AK758" s="62" t="n">
        <f aca="false">+AK689</f>
        <v>8111.9454</v>
      </c>
      <c r="AL758" s="62" t="n">
        <f aca="false">+AL689</f>
        <v>8467.4548</v>
      </c>
      <c r="AM758" s="41"/>
      <c r="AN758" s="41"/>
      <c r="AO758" s="41"/>
    </row>
    <row r="759" customFormat="false" ht="12" hidden="false" customHeight="true" outlineLevel="0" collapsed="false">
      <c r="A759" s="69" t="s">
        <v>373</v>
      </c>
      <c r="B759" s="48" t="n">
        <v>0</v>
      </c>
      <c r="C759" s="48" t="n">
        <v>0</v>
      </c>
      <c r="D759" s="48" t="n">
        <v>0</v>
      </c>
      <c r="E759" s="48" t="n">
        <v>0</v>
      </c>
      <c r="F759" s="48" t="n">
        <v>0</v>
      </c>
      <c r="G759" s="48" t="n">
        <v>0</v>
      </c>
      <c r="H759" s="48" t="n">
        <v>0</v>
      </c>
      <c r="I759" s="48" t="n">
        <v>0</v>
      </c>
      <c r="J759" s="48" t="n">
        <v>0</v>
      </c>
      <c r="K759" s="48" t="n">
        <v>0</v>
      </c>
      <c r="L759" s="48" t="n">
        <v>0</v>
      </c>
      <c r="M759" s="48" t="n">
        <v>0</v>
      </c>
      <c r="N759" s="48" t="n">
        <v>0</v>
      </c>
      <c r="O759" s="48" t="n">
        <v>0</v>
      </c>
      <c r="P759" s="48" t="n">
        <v>0</v>
      </c>
      <c r="Q759" s="48" t="n">
        <v>0</v>
      </c>
      <c r="R759" s="48" t="n">
        <v>0</v>
      </c>
      <c r="S759" s="48" t="n">
        <v>0</v>
      </c>
      <c r="T759" s="48" t="n">
        <v>0</v>
      </c>
      <c r="U759" s="48" t="n">
        <v>0</v>
      </c>
      <c r="V759" s="48" t="n">
        <v>0</v>
      </c>
      <c r="W759" s="48" t="n">
        <v>0</v>
      </c>
      <c r="X759" s="48" t="n">
        <v>0</v>
      </c>
      <c r="Y759" s="48" t="n">
        <v>0</v>
      </c>
      <c r="Z759" s="48" t="n">
        <v>0</v>
      </c>
      <c r="AA759" s="48" t="n">
        <v>0</v>
      </c>
      <c r="AB759" s="48" t="n">
        <v>0</v>
      </c>
      <c r="AC759" s="48" t="n">
        <v>0</v>
      </c>
      <c r="AD759" s="48" t="n">
        <v>0</v>
      </c>
      <c r="AE759" s="48" t="n">
        <v>0</v>
      </c>
      <c r="AF759" s="48" t="n">
        <v>0</v>
      </c>
      <c r="AG759" s="48" t="n">
        <v>0</v>
      </c>
      <c r="AH759" s="48" t="n">
        <v>0</v>
      </c>
      <c r="AI759" s="48" t="n">
        <v>0</v>
      </c>
      <c r="AJ759" s="48" t="n">
        <v>0</v>
      </c>
      <c r="AK759" s="48" t="n">
        <v>0</v>
      </c>
      <c r="AL759" s="48" t="n">
        <v>0</v>
      </c>
    </row>
    <row r="760" customFormat="false" ht="12.75" hidden="false" customHeight="true" outlineLevel="0" collapsed="false">
      <c r="A760" s="167"/>
    </row>
    <row r="761" customFormat="false" ht="12" hidden="false" customHeight="true" outlineLevel="0" collapsed="false">
      <c r="A761" s="326" t="s">
        <v>604</v>
      </c>
      <c r="B761" s="41"/>
      <c r="C761" s="62" t="n">
        <f aca="false">+C893</f>
        <v>-367.009999999999</v>
      </c>
      <c r="D761" s="62" t="n">
        <f aca="false">+D893</f>
        <v>4086</v>
      </c>
      <c r="E761" s="62" t="n">
        <f aca="false">+E893</f>
        <v>3728.77</v>
      </c>
      <c r="F761" s="62" t="n">
        <f aca="false">+F893</f>
        <v>2428.32999999999</v>
      </c>
      <c r="G761" s="62" t="n">
        <f aca="false">+G893</f>
        <v>-629.129999999999</v>
      </c>
      <c r="H761" s="62" t="n">
        <f aca="false">+H893</f>
        <v>-4181.87</v>
      </c>
      <c r="I761" s="62" t="n">
        <f aca="false">+I893</f>
        <v>505.660000000002</v>
      </c>
      <c r="J761" s="62" t="n">
        <f aca="false">+J893</f>
        <v>-1121.67</v>
      </c>
      <c r="K761" s="62" t="n">
        <f aca="false">+K893</f>
        <v>-1609</v>
      </c>
      <c r="L761" s="62" t="n">
        <f aca="false">+L893</f>
        <v>-1474.22</v>
      </c>
      <c r="M761" s="62" t="n">
        <f aca="false">+M893</f>
        <v>-1671.81</v>
      </c>
      <c r="N761" s="62" t="n">
        <f aca="false">+N893</f>
        <v>-392.940000000001</v>
      </c>
      <c r="O761" s="62" t="n">
        <f aca="false">+O893</f>
        <v>848.919999999999</v>
      </c>
      <c r="P761" s="62" t="n">
        <f aca="false">+P893</f>
        <v>2455.03</v>
      </c>
      <c r="Q761" s="62" t="n">
        <f aca="false">+Q893</f>
        <v>-1403.09</v>
      </c>
      <c r="R761" s="62" t="n">
        <f aca="false">+R893</f>
        <v>6174.628</v>
      </c>
      <c r="S761" s="62" t="n">
        <f aca="false">+S893</f>
        <v>-171.548999999995</v>
      </c>
      <c r="T761" s="62" t="n">
        <f aca="false">+T893</f>
        <v>1912.269</v>
      </c>
      <c r="U761" s="62" t="n">
        <f aca="false">+U893</f>
        <v>-648.101000000002</v>
      </c>
      <c r="V761" s="62" t="n">
        <f aca="false">+V893</f>
        <v>3055.413</v>
      </c>
      <c r="W761" s="62" t="n">
        <f aca="false">+W893</f>
        <v>-6467.731</v>
      </c>
      <c r="X761" s="62" t="n">
        <f aca="false">+X893</f>
        <v>-6775.482</v>
      </c>
      <c r="Y761" s="62" t="n">
        <f aca="false">+Y893</f>
        <v>-128.473000000002</v>
      </c>
      <c r="Z761" s="62" t="n">
        <f aca="false">+Z893</f>
        <v>-715.747999999992</v>
      </c>
      <c r="AA761" s="62" t="n">
        <f aca="false">+AA893</f>
        <v>-22564.345</v>
      </c>
      <c r="AB761" s="62" t="n">
        <f aca="false">+AB893</f>
        <v>21378.639</v>
      </c>
      <c r="AC761" s="62" t="n">
        <f aca="false">+AC893</f>
        <v>-3768.19999999999</v>
      </c>
      <c r="AD761" s="62" t="n">
        <f aca="false">+AD893</f>
        <v>-23.8000000000066</v>
      </c>
      <c r="AE761" s="62" t="n">
        <f aca="false">+AE893</f>
        <v>-15035.1</v>
      </c>
      <c r="AF761" s="62" t="n">
        <f aca="false">+AF893</f>
        <v>13510.5</v>
      </c>
      <c r="AG761" s="62" t="n">
        <f aca="false">+AG893</f>
        <v>8883.29999999998</v>
      </c>
      <c r="AH761" s="62" t="n">
        <f aca="false">+AH893</f>
        <v>-20104.5</v>
      </c>
      <c r="AI761" s="62" t="n">
        <f aca="false">+AI893</f>
        <v>-4327.80000000001</v>
      </c>
      <c r="AJ761" s="62" t="n">
        <f aca="false">+AJ893</f>
        <v>3810.03954296324</v>
      </c>
      <c r="AK761" s="62" t="n">
        <f aca="false">+AK893</f>
        <v>-427.219797744896</v>
      </c>
      <c r="AL761" s="62" t="n">
        <f aca="false">+AL893</f>
        <v>-1228.57626395888</v>
      </c>
      <c r="AM761" s="41"/>
      <c r="AN761" s="41"/>
      <c r="AO761" s="41"/>
    </row>
    <row r="762" customFormat="false" ht="12.75" hidden="false" customHeight="true" outlineLevel="0" collapsed="false">
      <c r="A762" s="167"/>
    </row>
    <row r="763" customFormat="false" ht="12.75" hidden="false" customHeight="true" outlineLevel="0" collapsed="false">
      <c r="A763" s="59" t="s">
        <v>605</v>
      </c>
      <c r="B763" s="19"/>
      <c r="C763" s="67" t="n">
        <f aca="false">+C755-C757-C761</f>
        <v>720.310000000001</v>
      </c>
      <c r="D763" s="67" t="n">
        <f aca="false">+D755-D757-D761</f>
        <v>-3380.1</v>
      </c>
      <c r="E763" s="67" t="n">
        <f aca="false">+E755-E757-E761</f>
        <v>-2392.94</v>
      </c>
      <c r="F763" s="67" t="n">
        <f aca="false">+F755-F757-F761</f>
        <v>-857.979999999999</v>
      </c>
      <c r="G763" s="67" t="n">
        <f aca="false">+G755-G757-G761</f>
        <v>835.811576</v>
      </c>
      <c r="H763" s="67" t="n">
        <f aca="false">+H755-H757-H761</f>
        <v>4418.558378296</v>
      </c>
      <c r="I763" s="67" t="n">
        <f aca="false">+I755-I757-I761</f>
        <v>427.209999999998</v>
      </c>
      <c r="J763" s="67" t="n">
        <f aca="false">+J755-J757-J761</f>
        <v>2195.76</v>
      </c>
      <c r="K763" s="67" t="n">
        <f aca="false">+K755-K757-K761</f>
        <v>2971.49</v>
      </c>
      <c r="L763" s="67" t="n">
        <f aca="false">+L755-L757-L761</f>
        <v>3282.65</v>
      </c>
      <c r="M763" s="67" t="n">
        <f aca="false">+M755-M757-M761</f>
        <v>4631.6</v>
      </c>
      <c r="N763" s="67" t="n">
        <f aca="false">+N755-N757-N761</f>
        <v>3770.2816</v>
      </c>
      <c r="O763" s="67" t="n">
        <f aca="false">+O755-O757-O761</f>
        <v>3456.92999999999</v>
      </c>
      <c r="P763" s="67" t="n">
        <f aca="false">+P755-P757-P761</f>
        <v>3720.78999999999</v>
      </c>
      <c r="Q763" s="67" t="n">
        <f aca="false">+Q755-Q757-Q761</f>
        <v>7911.96</v>
      </c>
      <c r="R763" s="67" t="n">
        <f aca="false">+R755-R757-R761</f>
        <v>-3500.27799999999</v>
      </c>
      <c r="S763" s="67" t="n">
        <f aca="false">+S755-S757-S761</f>
        <v>5652.01100000003</v>
      </c>
      <c r="T763" s="67" t="n">
        <f aca="false">+T755-T757-T761</f>
        <v>6605.72400000002</v>
      </c>
      <c r="U763" s="67" t="n">
        <f aca="false">+U755-U757-U761</f>
        <v>7531.88899999999</v>
      </c>
      <c r="V763" s="67" t="n">
        <f aca="false">+V755-V757-V761</f>
        <v>-1243.90699999998</v>
      </c>
      <c r="W763" s="67" t="n">
        <f aca="false">+W755-W757-W761</f>
        <v>498.952999999978</v>
      </c>
      <c r="X763" s="67" t="n">
        <f aca="false">+X755-X757-X761</f>
        <v>10188.09</v>
      </c>
      <c r="Y763" s="67" t="n">
        <f aca="false">+Y755-Y757-Y761</f>
        <v>16495.595</v>
      </c>
      <c r="Z763" s="67" t="n">
        <f aca="false">+Z755-Z757-Z761</f>
        <v>17371.095</v>
      </c>
      <c r="AA763" s="67" t="n">
        <f aca="false">+AA755-AA757-AA761</f>
        <v>44993.246</v>
      </c>
      <c r="AB763" s="67" t="n">
        <f aca="false">+AB755-AB757-AB761</f>
        <v>4164.26099999994</v>
      </c>
      <c r="AC763" s="67" t="n">
        <f aca="false">+AC755-AC757-AC761</f>
        <v>8945.59999999999</v>
      </c>
      <c r="AD763" s="67" t="n">
        <f aca="false">+AD755-AD757-AD761</f>
        <v>-3974.8</v>
      </c>
      <c r="AE763" s="67" t="n">
        <f aca="false">+AE755-AE757-AE761</f>
        <v>15202.9</v>
      </c>
      <c r="AF763" s="67" t="n">
        <f aca="false">+AF755-AF757-AF761</f>
        <v>6747.4</v>
      </c>
      <c r="AG763" s="67" t="n">
        <f aca="false">+AG755-AG757-AG761</f>
        <v>29975.7000000001</v>
      </c>
      <c r="AH763" s="67" t="n">
        <f aca="false">+AH755-AH757-AH761</f>
        <v>62550.1</v>
      </c>
      <c r="AI763" s="67" t="n">
        <f aca="false">+AI755-AI757-AI761</f>
        <v>55952.8000000002</v>
      </c>
      <c r="AJ763" s="67" t="n">
        <f aca="false">+AJ755-AJ757-AJ761</f>
        <v>48312.4107387891</v>
      </c>
      <c r="AK763" s="67" t="n">
        <f aca="false">+AK755-AK757-AK761</f>
        <v>58887.9925755659</v>
      </c>
      <c r="AL763" s="67" t="n">
        <f aca="false">+AL755-AL757-AL761</f>
        <v>64564.3031548106</v>
      </c>
      <c r="AM763" s="145"/>
      <c r="AN763" s="145"/>
      <c r="AO763" s="145"/>
    </row>
    <row r="766" customFormat="false" ht="12" hidden="false" customHeight="true" outlineLevel="0" collapsed="false">
      <c r="Y766" s="41"/>
    </row>
    <row r="767" s="52" customFormat="true" ht="12.75" hidden="false" customHeight="true" outlineLevel="0" collapsed="false">
      <c r="A767" s="49" t="s">
        <v>606</v>
      </c>
      <c r="B767" s="50"/>
      <c r="C767" s="50"/>
      <c r="D767" s="50"/>
      <c r="E767" s="50"/>
      <c r="F767" s="50"/>
      <c r="G767" s="51"/>
      <c r="H767" s="50"/>
      <c r="I767" s="50"/>
      <c r="J767" s="50"/>
      <c r="K767" s="50"/>
      <c r="L767" s="50"/>
      <c r="M767" s="50"/>
      <c r="N767" s="50"/>
      <c r="O767" s="50"/>
      <c r="P767" s="50"/>
      <c r="Q767" s="50"/>
      <c r="R767" s="50"/>
      <c r="S767" s="50"/>
      <c r="T767" s="50"/>
      <c r="U767" s="50"/>
      <c r="V767" s="50"/>
      <c r="W767" s="50"/>
      <c r="AA767" s="53"/>
      <c r="AF767" s="53"/>
      <c r="AG767" s="53"/>
    </row>
    <row r="769" customFormat="false" ht="12.75" hidden="false" customHeight="true" outlineLevel="0" collapsed="false">
      <c r="A769" s="59" t="s">
        <v>331</v>
      </c>
      <c r="B769" s="39" t="s">
        <v>165</v>
      </c>
      <c r="C769" s="39" t="s">
        <v>166</v>
      </c>
      <c r="D769" s="39" t="s">
        <v>167</v>
      </c>
      <c r="E769" s="39" t="s">
        <v>207</v>
      </c>
      <c r="F769" s="47" t="s">
        <v>169</v>
      </c>
      <c r="G769" s="39" t="s">
        <v>170</v>
      </c>
      <c r="H769" s="39" t="s">
        <v>171</v>
      </c>
      <c r="I769" s="39" t="s">
        <v>172</v>
      </c>
      <c r="J769" s="39" t="s">
        <v>173</v>
      </c>
      <c r="K769" s="39" t="s">
        <v>174</v>
      </c>
      <c r="L769" s="39" t="s">
        <v>211</v>
      </c>
      <c r="M769" s="39" t="s">
        <v>176</v>
      </c>
      <c r="N769" s="39" t="s">
        <v>212</v>
      </c>
      <c r="O769" s="39" t="s">
        <v>213</v>
      </c>
      <c r="P769" s="39" t="s">
        <v>214</v>
      </c>
      <c r="Q769" s="39" t="s">
        <v>565</v>
      </c>
      <c r="R769" s="39" t="s">
        <v>566</v>
      </c>
      <c r="S769" s="39" t="s">
        <v>607</v>
      </c>
      <c r="T769" s="39" t="s">
        <v>608</v>
      </c>
      <c r="U769" s="39" t="s">
        <v>609</v>
      </c>
      <c r="V769" s="39" t="str">
        <f aca="false">+V3</f>
        <v>FY2013</v>
      </c>
      <c r="W769" s="39" t="str">
        <f aca="false">+W3</f>
        <v>FY2014</v>
      </c>
      <c r="X769" s="39" t="str">
        <f aca="false">+X3</f>
        <v>FY2015</v>
      </c>
      <c r="Y769" s="39" t="str">
        <f aca="false">+Y3</f>
        <v>FY2016</v>
      </c>
      <c r="Z769" s="39" t="str">
        <f aca="false">+Z3</f>
        <v>FY2017</v>
      </c>
      <c r="AA769" s="39" t="str">
        <f aca="false">+AA3</f>
        <v>FY2018</v>
      </c>
      <c r="AB769" s="39" t="str">
        <f aca="false">+AB3</f>
        <v>FY2019</v>
      </c>
      <c r="AC769" s="39" t="str">
        <f aca="false">+AC3</f>
        <v>FY2020</v>
      </c>
      <c r="AD769" s="39" t="str">
        <f aca="false">+AD3</f>
        <v>FY2021</v>
      </c>
      <c r="AE769" s="39" t="str">
        <f aca="false">+AE3</f>
        <v>FY2022</v>
      </c>
      <c r="AF769" s="39" t="str">
        <f aca="false">+AF3</f>
        <v>FY2023</v>
      </c>
      <c r="AG769" s="39" t="str">
        <f aca="false">+AG3</f>
        <v>FY2024</v>
      </c>
      <c r="AH769" s="39" t="str">
        <f aca="false">+AH3</f>
        <v>FY2025</v>
      </c>
      <c r="AI769" s="39" t="str">
        <f aca="false">+AI3</f>
        <v>FY2026</v>
      </c>
      <c r="AJ769" s="39" t="str">
        <f aca="false">+AJ3</f>
        <v>FY2027E</v>
      </c>
      <c r="AK769" s="39" t="str">
        <f aca="false">+AK3</f>
        <v>FY2028E</v>
      </c>
      <c r="AL769" s="39" t="str">
        <f aca="false">+AL3</f>
        <v>FY2029E</v>
      </c>
      <c r="AM769" s="19"/>
      <c r="AN769" s="19"/>
      <c r="AO769" s="19"/>
    </row>
    <row r="770" customFormat="false" ht="12" hidden="false" customHeight="true" outlineLevel="0" collapsed="false">
      <c r="A770" s="69" t="s">
        <v>206</v>
      </c>
    </row>
    <row r="771" customFormat="false" ht="12.75" hidden="false" customHeight="true" outlineLevel="0" collapsed="false">
      <c r="A771" s="59" t="s">
        <v>610</v>
      </c>
      <c r="P771" s="40"/>
    </row>
    <row r="772" customFormat="false" ht="12" hidden="false" customHeight="true" outlineLevel="0" collapsed="false">
      <c r="O772" s="46" t="s">
        <v>611</v>
      </c>
      <c r="X772" s="31"/>
    </row>
    <row r="773" customFormat="false" ht="12.75" hidden="false" customHeight="true" outlineLevel="0" collapsed="false">
      <c r="A773" s="59" t="s">
        <v>342</v>
      </c>
      <c r="B773" s="42" t="n">
        <v>693.62</v>
      </c>
      <c r="C773" s="42" t="n">
        <v>779.98</v>
      </c>
      <c r="D773" s="42" t="n">
        <v>1189.25</v>
      </c>
      <c r="E773" s="267" t="n">
        <v>1189.29</v>
      </c>
      <c r="F773" s="267" t="n">
        <v>1189.29</v>
      </c>
      <c r="G773" s="267" t="n">
        <v>1189.29</v>
      </c>
      <c r="H773" s="267" t="n">
        <v>1189.29</v>
      </c>
      <c r="I773" s="267" t="n">
        <v>1189.29</v>
      </c>
      <c r="J773" s="267" t="n">
        <v>1189.29</v>
      </c>
      <c r="K773" s="267" t="n">
        <v>1189.29</v>
      </c>
      <c r="L773" s="267" t="n">
        <v>1189.29</v>
      </c>
      <c r="M773" s="267" t="n">
        <v>1189.29</v>
      </c>
      <c r="N773" s="267" t="n">
        <v>1189.29</v>
      </c>
      <c r="O773" s="267" t="n">
        <v>1221.59</v>
      </c>
      <c r="P773" s="208" t="n">
        <v>1323.87</v>
      </c>
      <c r="Q773" s="208" t="n">
        <v>1330.34</v>
      </c>
      <c r="R773" s="209" t="n">
        <f aca="false">1330.342</f>
        <v>1330.342</v>
      </c>
      <c r="S773" s="208" t="n">
        <v>1330.342</v>
      </c>
      <c r="T773" s="208" t="n">
        <v>1330.342</v>
      </c>
      <c r="U773" s="208" t="n">
        <v>2660.68</v>
      </c>
      <c r="V773" s="208" t="n">
        <v>2660.68</v>
      </c>
      <c r="W773" s="208" t="n">
        <v>2660.68</v>
      </c>
      <c r="X773" s="208" t="n">
        <v>2845.88</v>
      </c>
      <c r="Y773" s="208" t="n">
        <v>2845.88</v>
      </c>
      <c r="Z773" s="208" t="n">
        <v>2845.88</v>
      </c>
      <c r="AA773" s="208" t="n">
        <v>2927.108</v>
      </c>
      <c r="AB773" s="208" t="n">
        <v>2935.5</v>
      </c>
      <c r="AC773" s="208" t="n">
        <v>2935.5</v>
      </c>
      <c r="AD773" s="208" t="n">
        <v>2935.5</v>
      </c>
      <c r="AE773" s="208" t="n">
        <v>2935.5</v>
      </c>
      <c r="AF773" s="208" t="n">
        <v>2936.1</v>
      </c>
      <c r="AG773" s="208" t="n">
        <v>2936.3</v>
      </c>
      <c r="AH773" s="208" t="n">
        <v>2936.5</v>
      </c>
      <c r="AI773" s="208" t="n">
        <v>5873.9</v>
      </c>
      <c r="AJ773" s="67" t="n">
        <f aca="false">+AI773</f>
        <v>5873.9</v>
      </c>
      <c r="AK773" s="67" t="n">
        <f aca="false">+AJ773</f>
        <v>5873.9</v>
      </c>
      <c r="AL773" s="67" t="n">
        <f aca="false">+AK773</f>
        <v>5873.9</v>
      </c>
      <c r="AM773" s="145"/>
      <c r="AN773" s="145"/>
      <c r="AO773" s="145"/>
    </row>
    <row r="774" customFormat="false" ht="12.75" hidden="false" customHeight="true" outlineLevel="0" collapsed="false">
      <c r="P774" s="41"/>
      <c r="Q774" s="41"/>
      <c r="R774" s="41"/>
      <c r="S774" s="41"/>
      <c r="T774" s="41"/>
      <c r="U774" s="41"/>
      <c r="V774" s="41"/>
      <c r="W774" s="41"/>
      <c r="X774" s="41"/>
      <c r="Y774" s="19"/>
      <c r="Z774" s="19"/>
      <c r="AA774" s="201"/>
      <c r="AB774" s="19"/>
      <c r="AC774" s="19"/>
      <c r="AD774" s="19"/>
      <c r="AE774" s="19"/>
      <c r="AF774" s="201"/>
      <c r="AG774" s="201"/>
      <c r="AH774" s="19"/>
      <c r="AI774" s="19"/>
      <c r="AJ774" s="19"/>
      <c r="AK774" s="19"/>
      <c r="AL774" s="19"/>
      <c r="AM774" s="19"/>
      <c r="AN774" s="19"/>
      <c r="AO774" s="19"/>
    </row>
    <row r="775" customFormat="false" ht="12" hidden="false" customHeight="true" outlineLevel="0" collapsed="false">
      <c r="A775" s="149" t="s">
        <v>612</v>
      </c>
      <c r="B775" s="48" t="n">
        <v>0</v>
      </c>
      <c r="C775" s="48" t="n">
        <v>0</v>
      </c>
      <c r="D775" s="48" t="n">
        <v>6.01</v>
      </c>
      <c r="E775" s="48" t="n">
        <v>8.95</v>
      </c>
      <c r="F775" s="48" t="n">
        <v>8.95</v>
      </c>
      <c r="G775" s="46" t="n">
        <f aca="false">+F775</f>
        <v>8.95</v>
      </c>
      <c r="H775" s="48" t="n">
        <v>8.95</v>
      </c>
      <c r="I775" s="46" t="n">
        <f aca="false">+H775</f>
        <v>8.95</v>
      </c>
      <c r="J775" s="48" t="n">
        <v>8.95</v>
      </c>
      <c r="K775" s="48" t="n">
        <v>8.95</v>
      </c>
      <c r="L775" s="48" t="n">
        <v>8.95</v>
      </c>
      <c r="M775" s="48" t="n">
        <v>8.95</v>
      </c>
      <c r="N775" s="48" t="n">
        <v>8.95</v>
      </c>
      <c r="O775" s="48" t="n">
        <v>8.95</v>
      </c>
      <c r="P775" s="190" t="n">
        <v>8.95</v>
      </c>
      <c r="Q775" s="190" t="n">
        <v>8.95</v>
      </c>
      <c r="R775" s="190" t="n">
        <v>8.95</v>
      </c>
      <c r="S775" s="190" t="n">
        <v>8.95</v>
      </c>
      <c r="T775" s="190" t="n">
        <v>8.95</v>
      </c>
      <c r="U775" s="190" t="n">
        <v>8.95</v>
      </c>
      <c r="V775" s="190" t="n">
        <v>8.95</v>
      </c>
      <c r="W775" s="190" t="n">
        <v>888.26</v>
      </c>
      <c r="X775" s="190" t="n">
        <v>888.26</v>
      </c>
      <c r="Y775" s="190" t="n">
        <v>879.31</v>
      </c>
      <c r="Z775" s="205" t="n">
        <f aca="false">2638.642+33.333</f>
        <v>2671.975</v>
      </c>
      <c r="AA775" s="205" t="n">
        <f aca="false">2638.642+33.333</f>
        <v>2671.975</v>
      </c>
      <c r="AB775" s="205" t="n">
        <f aca="false">2638.7+33.3</f>
        <v>2672</v>
      </c>
      <c r="AC775" s="205" t="n">
        <f aca="false">2638.7+33.3</f>
        <v>2672</v>
      </c>
      <c r="AD775" s="205" t="n">
        <f aca="false">2638.7+33.3</f>
        <v>2672</v>
      </c>
      <c r="AE775" s="205" t="n">
        <f aca="false">2638.7+33.3</f>
        <v>2672</v>
      </c>
      <c r="AF775" s="205" t="n">
        <f aca="false">2638.7+33.3</f>
        <v>2672</v>
      </c>
      <c r="AG775" s="62" t="n">
        <f aca="false">+AF775</f>
        <v>2672</v>
      </c>
      <c r="AH775" s="62" t="n">
        <f aca="false">+AG775</f>
        <v>2672</v>
      </c>
      <c r="AI775" s="62" t="n">
        <f aca="false">+AH775</f>
        <v>2672</v>
      </c>
      <c r="AJ775" s="62" t="n">
        <f aca="false">+AI775</f>
        <v>2672</v>
      </c>
      <c r="AK775" s="62" t="n">
        <f aca="false">+AJ775</f>
        <v>2672</v>
      </c>
      <c r="AL775" s="62" t="n">
        <f aca="false">+AK775</f>
        <v>2672</v>
      </c>
      <c r="AM775" s="297"/>
      <c r="AN775" s="297"/>
      <c r="AO775" s="297"/>
    </row>
    <row r="776" customFormat="false" ht="12" hidden="false" customHeight="true" outlineLevel="0" collapsed="false">
      <c r="A776" s="149" t="s">
        <v>613</v>
      </c>
      <c r="B776" s="48" t="n">
        <v>1817.45</v>
      </c>
      <c r="C776" s="48" t="n">
        <v>2162.88</v>
      </c>
      <c r="D776" s="48" t="n">
        <v>6384.88</v>
      </c>
      <c r="E776" s="48" t="n">
        <v>6385.05</v>
      </c>
      <c r="F776" s="48" t="n">
        <v>6385.05</v>
      </c>
      <c r="G776" s="46" t="n">
        <f aca="false">+F776</f>
        <v>6385.05</v>
      </c>
      <c r="H776" s="48" t="n">
        <v>6388.36</v>
      </c>
      <c r="I776" s="48" t="n">
        <v>6388.36</v>
      </c>
      <c r="J776" s="48" t="n">
        <v>6388.36</v>
      </c>
      <c r="K776" s="48" t="n">
        <v>6388.36</v>
      </c>
      <c r="L776" s="48" t="n">
        <v>4789.22</v>
      </c>
      <c r="M776" s="48" t="n">
        <v>4789.22</v>
      </c>
      <c r="N776" s="48" t="n">
        <v>4678.51</v>
      </c>
      <c r="O776" s="48" t="n">
        <v>5647.29</v>
      </c>
      <c r="P776" s="190" t="n">
        <v>8715.8</v>
      </c>
      <c r="Q776" s="190" t="n">
        <v>8903.37</v>
      </c>
      <c r="R776" s="190" t="n">
        <v>8903.366</v>
      </c>
      <c r="S776" s="190" t="n">
        <v>8903.366</v>
      </c>
      <c r="T776" s="190" t="n">
        <v>8903.366</v>
      </c>
      <c r="U776" s="239" t="n">
        <f aca="false">+T776-1330.338-12.574</f>
        <v>7560.454</v>
      </c>
      <c r="V776" s="190" t="n">
        <v>7547.683</v>
      </c>
      <c r="W776" s="205" t="n">
        <f aca="false">7547.683-11.733</f>
        <v>7535.95</v>
      </c>
      <c r="X776" s="205" t="n">
        <f aca="false">7535.95+6482-148.285</f>
        <v>13869.665</v>
      </c>
      <c r="Y776" s="190" t="n">
        <v>13869.665</v>
      </c>
      <c r="Z776" s="190" t="n">
        <v>18964.556</v>
      </c>
      <c r="AA776" s="190" t="n">
        <v>19009.521</v>
      </c>
      <c r="AB776" s="190" t="n">
        <v>19087.5</v>
      </c>
      <c r="AC776" s="190" t="n">
        <v>19087.5</v>
      </c>
      <c r="AD776" s="190" t="n">
        <v>19087.5</v>
      </c>
      <c r="AE776" s="190" t="n">
        <v>19087.5</v>
      </c>
      <c r="AF776" s="190" t="n">
        <v>19137</v>
      </c>
      <c r="AG776" s="62" t="n">
        <f aca="false">AF776</f>
        <v>19137</v>
      </c>
      <c r="AH776" s="62" t="n">
        <f aca="false">AG776</f>
        <v>19137</v>
      </c>
      <c r="AI776" s="239" t="n">
        <f aca="false">+AH776-2936.5</f>
        <v>16200.5</v>
      </c>
      <c r="AJ776" s="62" t="n">
        <f aca="false">AI776</f>
        <v>16200.5</v>
      </c>
      <c r="AK776" s="62" t="n">
        <f aca="false">AJ776</f>
        <v>16200.5</v>
      </c>
      <c r="AL776" s="62" t="n">
        <f aca="false">AK776</f>
        <v>16200.5</v>
      </c>
      <c r="AM776" s="41"/>
      <c r="AN776" s="41"/>
      <c r="AO776" s="41"/>
    </row>
    <row r="777" customFormat="false" ht="12" hidden="false" customHeight="true" outlineLevel="0" collapsed="false">
      <c r="A777" s="149" t="s">
        <v>614</v>
      </c>
      <c r="B777" s="48" t="n">
        <v>332.59</v>
      </c>
      <c r="C777" s="48" t="n">
        <v>326.73</v>
      </c>
      <c r="D777" s="48" t="n">
        <v>320.86</v>
      </c>
      <c r="E777" s="48" t="n">
        <v>314.36</v>
      </c>
      <c r="F777" s="48" t="n">
        <v>308.52</v>
      </c>
      <c r="G777" s="48" t="n">
        <v>302.68</v>
      </c>
      <c r="H777" s="48" t="n">
        <v>294.52</v>
      </c>
      <c r="I777" s="48" t="n">
        <v>278.1</v>
      </c>
      <c r="J777" s="48" t="n">
        <v>271.66</v>
      </c>
      <c r="K777" s="48" t="n">
        <v>265.21</v>
      </c>
      <c r="L777" s="48" t="n">
        <v>258.77</v>
      </c>
      <c r="M777" s="48" t="n">
        <v>252.33</v>
      </c>
      <c r="N777" s="48" t="n">
        <v>245.89</v>
      </c>
      <c r="O777" s="217" t="n">
        <f aca="false">N777-6.44</f>
        <v>239.45</v>
      </c>
      <c r="P777" s="190" t="n">
        <v>229.55</v>
      </c>
      <c r="Q777" s="190" t="n">
        <v>223.77</v>
      </c>
      <c r="R777" s="190" t="n">
        <v>13648.644</v>
      </c>
      <c r="S777" s="190" t="n">
        <v>13331.74</v>
      </c>
      <c r="T777" s="190" t="n">
        <v>13062.76</v>
      </c>
      <c r="U777" s="190" t="n">
        <v>13133.57</v>
      </c>
      <c r="V777" s="190" t="n">
        <v>12966.512</v>
      </c>
      <c r="W777" s="190" t="n">
        <v>11739.267</v>
      </c>
      <c r="X777" s="190" t="n">
        <v>10218.09</v>
      </c>
      <c r="Y777" s="41"/>
      <c r="Z777" s="41"/>
      <c r="AA777" s="180"/>
      <c r="AB777" s="41"/>
      <c r="AC777" s="41"/>
      <c r="AD777" s="180"/>
      <c r="AE777" s="180"/>
      <c r="AF777" s="180"/>
      <c r="AG777" s="180"/>
      <c r="AH777" s="41"/>
      <c r="AI777" s="41"/>
      <c r="AJ777" s="41"/>
      <c r="AK777" s="41"/>
      <c r="AL777" s="41"/>
      <c r="AM777" s="41"/>
      <c r="AN777" s="41"/>
      <c r="AO777" s="41"/>
    </row>
    <row r="778" customFormat="false" ht="12" hidden="false" customHeight="true" outlineLevel="0" collapsed="false">
      <c r="A778" s="149" t="s">
        <v>615</v>
      </c>
      <c r="B778" s="48" t="n">
        <v>178.22</v>
      </c>
      <c r="C778" s="48" t="n">
        <v>147.42</v>
      </c>
      <c r="D778" s="48" t="n">
        <v>139.42</v>
      </c>
      <c r="E778" s="48" t="n">
        <v>120.42</v>
      </c>
      <c r="F778" s="48" t="n">
        <v>105.42</v>
      </c>
      <c r="G778" s="48" t="n">
        <v>94.22</v>
      </c>
      <c r="H778" s="48" t="n">
        <v>72.1</v>
      </c>
      <c r="I778" s="48" t="n">
        <v>53.4</v>
      </c>
      <c r="J778" s="48" t="n">
        <v>0</v>
      </c>
      <c r="K778" s="48" t="n">
        <v>0</v>
      </c>
      <c r="L778" s="48" t="n">
        <v>0</v>
      </c>
      <c r="M778" s="48" t="n">
        <v>0</v>
      </c>
      <c r="N778" s="48" t="n">
        <v>0</v>
      </c>
      <c r="O778" s="48" t="n">
        <v>0</v>
      </c>
      <c r="P778" s="190" t="n">
        <v>0</v>
      </c>
      <c r="Q778" s="190" t="n">
        <v>0</v>
      </c>
      <c r="R778" s="190" t="n">
        <v>0</v>
      </c>
      <c r="S778" s="190" t="n">
        <v>0</v>
      </c>
      <c r="T778" s="190" t="n">
        <v>0</v>
      </c>
      <c r="U778" s="190" t="n">
        <v>0</v>
      </c>
      <c r="V778" s="190" t="n">
        <v>0</v>
      </c>
      <c r="W778" s="190" t="n">
        <v>0</v>
      </c>
      <c r="X778" s="41"/>
      <c r="AD778" s="30"/>
      <c r="AE778" s="30"/>
    </row>
    <row r="779" customFormat="false" ht="24.75" hidden="false" customHeight="true" outlineLevel="0" collapsed="false">
      <c r="A779" s="149" t="s">
        <v>616</v>
      </c>
      <c r="B779" s="48" t="n">
        <v>0</v>
      </c>
      <c r="C779" s="48" t="n">
        <v>0</v>
      </c>
      <c r="D779" s="48" t="n">
        <v>0</v>
      </c>
      <c r="E779" s="196" t="n">
        <v>0</v>
      </c>
      <c r="F779" s="48" t="n">
        <v>0</v>
      </c>
      <c r="G779" s="48" t="n">
        <v>0</v>
      </c>
      <c r="H779" s="48" t="n">
        <v>0</v>
      </c>
      <c r="I779" s="48" t="n">
        <v>0</v>
      </c>
      <c r="J779" s="48" t="n">
        <v>0</v>
      </c>
      <c r="K779" s="48" t="n">
        <v>0</v>
      </c>
      <c r="L779" s="48" t="n">
        <v>0</v>
      </c>
      <c r="M779" s="48" t="n">
        <v>0</v>
      </c>
      <c r="N779" s="48" t="n">
        <v>0</v>
      </c>
      <c r="O779" s="48" t="n">
        <v>0</v>
      </c>
      <c r="P779" s="190" t="n">
        <v>0</v>
      </c>
      <c r="Q779" s="190" t="n">
        <v>0</v>
      </c>
      <c r="R779" s="190" t="n">
        <v>0</v>
      </c>
      <c r="S779" s="190" t="n">
        <v>0</v>
      </c>
      <c r="T779" s="190" t="n">
        <v>0</v>
      </c>
      <c r="U779" s="190" t="n">
        <v>0</v>
      </c>
      <c r="V779" s="190" t="n">
        <v>0</v>
      </c>
      <c r="W779" s="190" t="n">
        <v>0</v>
      </c>
      <c r="X779" s="41"/>
      <c r="AD779" s="30"/>
      <c r="AE779" s="30"/>
    </row>
    <row r="780" customFormat="false" ht="12" hidden="false" customHeight="true" outlineLevel="0" collapsed="false">
      <c r="A780" s="149" t="s">
        <v>617</v>
      </c>
      <c r="B780" s="48" t="n">
        <v>280.03</v>
      </c>
      <c r="C780" s="48" t="n">
        <v>403.38</v>
      </c>
      <c r="D780" s="48" t="n">
        <v>502.99</v>
      </c>
      <c r="E780" s="48" t="n">
        <v>602.6</v>
      </c>
      <c r="F780" s="48" t="n">
        <v>1144.88</v>
      </c>
      <c r="G780" s="48" t="n">
        <v>1424.88</v>
      </c>
      <c r="H780" s="48" t="n">
        <v>1797.7</v>
      </c>
      <c r="I780" s="48" t="n">
        <v>1007.28</v>
      </c>
      <c r="J780" s="48" t="n">
        <v>1059.58</v>
      </c>
      <c r="K780" s="48" t="n">
        <v>1084.17</v>
      </c>
      <c r="L780" s="48" t="n">
        <v>942.5</v>
      </c>
      <c r="M780" s="48" t="n">
        <v>505</v>
      </c>
      <c r="N780" s="48" t="n">
        <v>415.83</v>
      </c>
      <c r="O780" s="48" t="n">
        <v>347.5</v>
      </c>
      <c r="P780" s="190" t="n">
        <v>212.5</v>
      </c>
      <c r="Q780" s="190" t="n">
        <v>162.5</v>
      </c>
      <c r="R780" s="190" t="n">
        <v>458.333</v>
      </c>
      <c r="S780" s="190" t="n">
        <v>416.666</v>
      </c>
      <c r="T780" s="190" t="n">
        <v>900</v>
      </c>
      <c r="U780" s="190" t="n">
        <v>900</v>
      </c>
      <c r="V780" s="190" t="n">
        <v>900</v>
      </c>
      <c r="W780" s="190" t="n">
        <v>725</v>
      </c>
      <c r="X780" s="190" t="n">
        <v>2687.5</v>
      </c>
      <c r="Y780" s="190" t="n">
        <v>1525</v>
      </c>
      <c r="Z780" s="190" t="n">
        <v>1000</v>
      </c>
      <c r="AA780" s="190" t="n">
        <v>375</v>
      </c>
      <c r="AB780" s="190" t="n">
        <v>0</v>
      </c>
      <c r="AC780" s="62" t="n">
        <f aca="false">AB780</f>
        <v>0</v>
      </c>
      <c r="AD780" s="62" t="n">
        <f aca="false">AC780</f>
        <v>0</v>
      </c>
      <c r="AE780" s="62" t="n">
        <f aca="false">AD780</f>
        <v>0</v>
      </c>
      <c r="AF780" s="62" t="n">
        <f aca="false">AE780</f>
        <v>0</v>
      </c>
      <c r="AG780" s="62" t="n">
        <f aca="false">AF780</f>
        <v>0</v>
      </c>
      <c r="AH780" s="62" t="n">
        <f aca="false">AG780</f>
        <v>0</v>
      </c>
      <c r="AI780" s="62" t="n">
        <f aca="false">AH780</f>
        <v>0</v>
      </c>
      <c r="AJ780" s="62" t="n">
        <f aca="false">AI780</f>
        <v>0</v>
      </c>
      <c r="AK780" s="62" t="n">
        <f aca="false">AJ780</f>
        <v>0</v>
      </c>
      <c r="AL780" s="62" t="n">
        <f aca="false">AK780</f>
        <v>0</v>
      </c>
      <c r="AM780" s="297"/>
      <c r="AN780" s="297"/>
      <c r="AO780" s="297"/>
    </row>
    <row r="781" customFormat="false" ht="12" hidden="false" customHeight="true" outlineLevel="0" collapsed="false">
      <c r="A781" s="149" t="s">
        <v>618</v>
      </c>
      <c r="B781" s="48" t="n">
        <v>762.82</v>
      </c>
      <c r="C781" s="48" t="n">
        <v>813.32</v>
      </c>
      <c r="D781" s="48" t="n">
        <v>1063.32</v>
      </c>
      <c r="E781" s="48" t="n">
        <v>1513.3</v>
      </c>
      <c r="F781" s="48" t="n">
        <v>1663.32</v>
      </c>
      <c r="G781" s="170" t="n">
        <f aca="false">1383.32+239.86</f>
        <v>1623.18</v>
      </c>
      <c r="H781" s="170" t="n">
        <f aca="false">1133.32+210.83</f>
        <v>1344.15</v>
      </c>
      <c r="I781" s="170" t="n">
        <f aca="false">1833.32</f>
        <v>1833.32</v>
      </c>
      <c r="J781" s="168" t="n">
        <v>2133.32</v>
      </c>
      <c r="K781" s="168" t="n">
        <v>634.32</v>
      </c>
      <c r="L781" s="168" t="n">
        <v>1433.94</v>
      </c>
      <c r="M781" s="168" t="n">
        <v>2433.94</v>
      </c>
      <c r="N781" s="168" t="n">
        <v>3356.05</v>
      </c>
      <c r="O781" s="168" t="n">
        <v>4356.05</v>
      </c>
      <c r="P781" s="190" t="n">
        <v>4838.15</v>
      </c>
      <c r="Q781" s="190" t="n">
        <v>5838.15</v>
      </c>
      <c r="R781" s="190" t="n">
        <v>5911.869</v>
      </c>
      <c r="S781" s="190" t="n">
        <v>6925.333</v>
      </c>
      <c r="T781" s="190" t="n">
        <v>7925.333</v>
      </c>
      <c r="U781" s="205" t="n">
        <f aca="false">8934.148</f>
        <v>8934.148</v>
      </c>
      <c r="V781" s="190" t="n">
        <v>9434.148</v>
      </c>
      <c r="W781" s="190" t="n">
        <v>9434.148</v>
      </c>
      <c r="X781" s="190" t="n">
        <v>9434.148</v>
      </c>
      <c r="Y781" s="190" t="n">
        <v>9432.186</v>
      </c>
      <c r="Z781" s="190" t="n">
        <v>9521.111</v>
      </c>
      <c r="AA781" s="190" t="n">
        <v>9542.415</v>
      </c>
      <c r="AB781" s="190" t="n">
        <v>10183.3</v>
      </c>
      <c r="AC781" s="190" t="n">
        <v>10183.3</v>
      </c>
      <c r="AD781" s="190" t="n">
        <v>10183.3</v>
      </c>
      <c r="AE781" s="190" t="n">
        <v>10205.5</v>
      </c>
      <c r="AF781" s="190" t="n">
        <v>10205.5</v>
      </c>
      <c r="AG781" s="62" t="n">
        <f aca="false">+AF781</f>
        <v>10205.5</v>
      </c>
      <c r="AH781" s="62" t="n">
        <f aca="false">+AG781</f>
        <v>10205.5</v>
      </c>
      <c r="AI781" s="62" t="n">
        <f aca="false">+AH781</f>
        <v>10205.5</v>
      </c>
      <c r="AJ781" s="62" t="n">
        <f aca="false">+AI781</f>
        <v>10205.5</v>
      </c>
      <c r="AK781" s="62" t="n">
        <f aca="false">+AJ781</f>
        <v>10205.5</v>
      </c>
      <c r="AL781" s="62" t="n">
        <f aca="false">+AK781</f>
        <v>10205.5</v>
      </c>
      <c r="AM781" s="41"/>
      <c r="AN781" s="41"/>
      <c r="AO781" s="41"/>
    </row>
    <row r="782" customFormat="false" ht="12" hidden="false" customHeight="true" outlineLevel="0" collapsed="false">
      <c r="A782" s="69" t="s">
        <v>619</v>
      </c>
      <c r="B782" s="48" t="n">
        <v>47.26</v>
      </c>
      <c r="C782" s="48" t="n">
        <v>63.8</v>
      </c>
      <c r="D782" s="48" t="n">
        <v>132.95</v>
      </c>
      <c r="E782" s="48" t="n">
        <v>257.45</v>
      </c>
      <c r="F782" s="48" t="n">
        <v>175.39</v>
      </c>
      <c r="I782" s="48" t="n">
        <v>642.77</v>
      </c>
      <c r="J782" s="48" t="n">
        <v>736.44</v>
      </c>
      <c r="K782" s="48" t="n">
        <v>799.23</v>
      </c>
      <c r="L782" s="48" t="n">
        <v>972.19</v>
      </c>
      <c r="M782" s="48" t="n">
        <v>1339.24</v>
      </c>
      <c r="N782" s="48" t="n">
        <v>1784.13</v>
      </c>
      <c r="O782" s="48" t="n">
        <v>2303.7</v>
      </c>
      <c r="P782" s="190" t="n">
        <v>3616.86</v>
      </c>
      <c r="Q782" s="190" t="n">
        <v>5022.74</v>
      </c>
      <c r="R782" s="190" t="n">
        <v>4823.019</v>
      </c>
      <c r="S782" s="190" t="n">
        <v>5774.498</v>
      </c>
      <c r="T782" s="190" t="n">
        <v>7511.852</v>
      </c>
      <c r="U782" s="190" t="n">
        <v>9079.313</v>
      </c>
      <c r="V782" s="190" t="n">
        <v>11048.665</v>
      </c>
      <c r="W782" s="190" t="n">
        <v>11516.999</v>
      </c>
      <c r="X782" s="190" t="n">
        <v>11361.206</v>
      </c>
      <c r="Y782" s="190" t="n">
        <v>25685.343</v>
      </c>
      <c r="Z782" s="190" t="n">
        <v>25942.747</v>
      </c>
      <c r="AA782" s="190" t="n">
        <v>36473.618</v>
      </c>
      <c r="AB782" s="190" t="n">
        <v>48459.1</v>
      </c>
      <c r="AC782" s="190" t="n">
        <v>37682</v>
      </c>
      <c r="AD782" s="190" t="n">
        <v>34599.1</v>
      </c>
      <c r="AE782" s="190" t="n">
        <v>37989.4</v>
      </c>
      <c r="AF782" s="190" t="n">
        <v>48751.4</v>
      </c>
      <c r="AG782" s="239" t="n">
        <f aca="false">85167.4-AG783-AG786-AG781-AG775-AG776</f>
        <v>52596.9</v>
      </c>
      <c r="AH782" s="239" t="n">
        <f aca="false">112251.4-AH775-AH776-AH781-AH783-AH786</f>
        <v>79680.9</v>
      </c>
      <c r="AI782" s="239" t="n">
        <f aca="false">125260.3-AI775-AI776-AI781-AI783-AI786</f>
        <v>95626.3</v>
      </c>
      <c r="AJ782" s="62" t="n">
        <f aca="false">+AI782+AJ711-AI718-AJ717</f>
        <v>119883.387711314</v>
      </c>
      <c r="AK782" s="62" t="n">
        <f aca="false">+AJ782+AK711-AJ718-AK717</f>
        <v>144033.048439023</v>
      </c>
      <c r="AL782" s="62" t="n">
        <f aca="false">+AK782+AL711-AK718-AL717</f>
        <v>169462.053815479</v>
      </c>
      <c r="AM782" s="41"/>
      <c r="AN782" s="41"/>
      <c r="AO782" s="41"/>
    </row>
    <row r="783" customFormat="false" ht="12" hidden="false" customHeight="true" outlineLevel="0" collapsed="false">
      <c r="A783" s="149" t="s">
        <v>620</v>
      </c>
      <c r="P783" s="41"/>
      <c r="Q783" s="41"/>
      <c r="R783" s="190" t="n">
        <v>-345.533</v>
      </c>
      <c r="S783" s="190" t="n">
        <v>-3.314</v>
      </c>
      <c r="T783" s="190" t="n">
        <v>-12.982</v>
      </c>
      <c r="U783" s="190" t="n">
        <v>-195.38</v>
      </c>
      <c r="V783" s="190" t="n">
        <v>-5.957</v>
      </c>
      <c r="W783" s="190" t="n">
        <v>37.828</v>
      </c>
      <c r="X783" s="190" t="n">
        <v>24.674</v>
      </c>
      <c r="Y783" s="327" t="n">
        <v>76.939</v>
      </c>
      <c r="Z783" s="327" t="n">
        <v>167.546</v>
      </c>
      <c r="AA783" s="327" t="n">
        <v>38.132</v>
      </c>
      <c r="AB783" s="327" t="n">
        <v>-2.8</v>
      </c>
      <c r="AC783" s="327" t="n">
        <v>-152.3</v>
      </c>
      <c r="AD783" s="327" t="n">
        <v>-127.5</v>
      </c>
      <c r="AE783" s="327" t="n">
        <v>100.1</v>
      </c>
      <c r="AF783" s="327" t="n">
        <v>177.3</v>
      </c>
      <c r="AG783" s="37" t="n">
        <f aca="false">+AF783</f>
        <v>177.3</v>
      </c>
      <c r="AH783" s="37" t="n">
        <f aca="false">+AG783</f>
        <v>177.3</v>
      </c>
      <c r="AI783" s="37" t="n">
        <f aca="false">+AH783</f>
        <v>177.3</v>
      </c>
      <c r="AJ783" s="37" t="n">
        <f aca="false">+AI783</f>
        <v>177.3</v>
      </c>
      <c r="AK783" s="37" t="n">
        <f aca="false">+AJ783</f>
        <v>177.3</v>
      </c>
      <c r="AL783" s="37" t="n">
        <f aca="false">+AK783</f>
        <v>177.3</v>
      </c>
    </row>
    <row r="784" customFormat="false" ht="12" hidden="false" customHeight="true" outlineLevel="0" collapsed="false">
      <c r="A784" s="149" t="s">
        <v>621</v>
      </c>
      <c r="P784" s="41"/>
      <c r="Q784" s="41"/>
      <c r="R784" s="41"/>
      <c r="S784" s="41"/>
      <c r="T784" s="41"/>
      <c r="U784" s="41"/>
      <c r="V784" s="41"/>
      <c r="W784" s="41"/>
      <c r="X784" s="41"/>
      <c r="Y784" s="327" t="n">
        <v>0</v>
      </c>
      <c r="Z784" s="327" t="n">
        <v>80.658</v>
      </c>
      <c r="AA784" s="38"/>
      <c r="AB784" s="31"/>
      <c r="AC784" s="31"/>
      <c r="AD784" s="38"/>
      <c r="AE784" s="38"/>
      <c r="AF784" s="38"/>
      <c r="AG784" s="38"/>
      <c r="AH784" s="31"/>
      <c r="AI784" s="31"/>
      <c r="AJ784" s="31"/>
      <c r="AK784" s="31"/>
      <c r="AL784" s="31"/>
    </row>
    <row r="785" customFormat="false" ht="24.75" hidden="false" customHeight="true" outlineLevel="0" collapsed="false">
      <c r="A785" s="149" t="s">
        <v>622</v>
      </c>
      <c r="P785" s="41"/>
      <c r="Q785" s="41"/>
      <c r="R785" s="41"/>
      <c r="S785" s="41"/>
      <c r="T785" s="41"/>
      <c r="U785" s="41"/>
      <c r="V785" s="41"/>
      <c r="W785" s="41"/>
      <c r="X785" s="41"/>
      <c r="Y785" s="327" t="n">
        <v>-242.853</v>
      </c>
      <c r="Z785" s="327" t="n">
        <v>-114.949</v>
      </c>
      <c r="AA785" s="327" t="n">
        <v>-77.679</v>
      </c>
      <c r="AB785" s="327" t="n">
        <v>-81.6</v>
      </c>
      <c r="AC785" s="327" t="n">
        <v>0</v>
      </c>
      <c r="AD785" s="38"/>
      <c r="AE785" s="38"/>
      <c r="AF785" s="38"/>
      <c r="AG785" s="38"/>
      <c r="AH785" s="31"/>
      <c r="AI785" s="31"/>
      <c r="AJ785" s="31"/>
      <c r="AK785" s="31"/>
      <c r="AL785" s="31"/>
    </row>
    <row r="786" customFormat="false" ht="12" hidden="false" customHeight="true" outlineLevel="0" collapsed="false">
      <c r="A786" s="149" t="s">
        <v>623</v>
      </c>
      <c r="P786" s="41"/>
      <c r="Q786" s="41"/>
      <c r="R786" s="41"/>
      <c r="S786" s="41"/>
      <c r="T786" s="41"/>
      <c r="U786" s="41"/>
      <c r="V786" s="41"/>
      <c r="W786" s="41"/>
      <c r="X786" s="41"/>
      <c r="Y786" s="31"/>
      <c r="Z786" s="327" t="n">
        <v>181.152</v>
      </c>
      <c r="AA786" s="327" t="n">
        <v>687.885</v>
      </c>
      <c r="AB786" s="327" t="n">
        <v>71.3</v>
      </c>
      <c r="AC786" s="327" t="n">
        <v>231.9</v>
      </c>
      <c r="AD786" s="327" t="n">
        <v>422.1</v>
      </c>
      <c r="AE786" s="327" t="n">
        <v>379</v>
      </c>
      <c r="AF786" s="327" t="n">
        <v>378.7</v>
      </c>
      <c r="AG786" s="37" t="n">
        <f aca="false">+AF786</f>
        <v>378.7</v>
      </c>
      <c r="AH786" s="37" t="n">
        <f aca="false">+AG786</f>
        <v>378.7</v>
      </c>
      <c r="AI786" s="37" t="n">
        <f aca="false">+AH786</f>
        <v>378.7</v>
      </c>
      <c r="AJ786" s="37" t="n">
        <f aca="false">+AI786</f>
        <v>378.7</v>
      </c>
      <c r="AK786" s="37" t="n">
        <f aca="false">+AJ786</f>
        <v>378.7</v>
      </c>
      <c r="AL786" s="37" t="n">
        <f aca="false">+AK786</f>
        <v>378.7</v>
      </c>
    </row>
    <row r="787" customFormat="false" ht="12.75" hidden="false" customHeight="true" outlineLevel="0" collapsed="false">
      <c r="A787" s="59" t="s">
        <v>343</v>
      </c>
      <c r="B787" s="39" t="n">
        <f aca="false">SUM(B775:B783)</f>
        <v>3418.37</v>
      </c>
      <c r="C787" s="39" t="n">
        <f aca="false">SUM(C775:C783)</f>
        <v>3917.53</v>
      </c>
      <c r="D787" s="39" t="n">
        <f aca="false">SUM(D775:D783)</f>
        <v>8550.43</v>
      </c>
      <c r="E787" s="39" t="n">
        <f aca="false">SUM(E775:E783)</f>
        <v>9202.13</v>
      </c>
      <c r="F787" s="39" t="n">
        <f aca="false">SUM(F775:F783)</f>
        <v>9791.53</v>
      </c>
      <c r="G787" s="165" t="n">
        <f aca="false">SUM(G775:G783)</f>
        <v>9838.96</v>
      </c>
      <c r="H787" s="165" t="n">
        <f aca="false">SUM(H775:H783)</f>
        <v>9905.78</v>
      </c>
      <c r="I787" s="117" t="n">
        <f aca="false">SUM(I775:I783)</f>
        <v>10212.18</v>
      </c>
      <c r="J787" s="39" t="n">
        <f aca="false">SUM(J775:J783)</f>
        <v>10598.31</v>
      </c>
      <c r="K787" s="39" t="n">
        <f aca="false">SUM(K775:K783)</f>
        <v>9180.24</v>
      </c>
      <c r="L787" s="39" t="n">
        <f aca="false">SUM(L775:L783)</f>
        <v>8405.57</v>
      </c>
      <c r="M787" s="39" t="n">
        <f aca="false">SUM(M775:M783)</f>
        <v>9328.68</v>
      </c>
      <c r="N787" s="39" t="n">
        <f aca="false">SUM(N775:N783)</f>
        <v>10489.36</v>
      </c>
      <c r="O787" s="39" t="n">
        <f aca="false">SUM(O775:O783)</f>
        <v>12902.94</v>
      </c>
      <c r="P787" s="67" t="n">
        <f aca="false">SUM(P775:P783)</f>
        <v>17621.81</v>
      </c>
      <c r="Q787" s="67" t="n">
        <f aca="false">SUM(Q775:Q783)</f>
        <v>20159.48</v>
      </c>
      <c r="R787" s="67" t="n">
        <f aca="false">SUM(R775:R783)</f>
        <v>33408.648</v>
      </c>
      <c r="S787" s="67" t="n">
        <f aca="false">SUM(S775:S783)</f>
        <v>35357.239</v>
      </c>
      <c r="T787" s="67" t="n">
        <f aca="false">SUM(T775:T783)</f>
        <v>38299.279</v>
      </c>
      <c r="U787" s="67" t="n">
        <f aca="false">SUM(U775:U783)</f>
        <v>39421.055</v>
      </c>
      <c r="V787" s="67" t="n">
        <f aca="false">SUM(V775:V783)</f>
        <v>41900.001</v>
      </c>
      <c r="W787" s="67" t="n">
        <f aca="false">SUM(W775:W783)</f>
        <v>41877.452</v>
      </c>
      <c r="X787" s="67" t="n">
        <f aca="false">SUM(X775:X783)</f>
        <v>48483.543</v>
      </c>
      <c r="Y787" s="67" t="n">
        <f aca="false">SUM(Y775:Y785)</f>
        <v>51225.59</v>
      </c>
      <c r="Z787" s="67" t="n">
        <f aca="false">SUM(Z775:Z786)</f>
        <v>58414.796</v>
      </c>
      <c r="AA787" s="67" t="n">
        <f aca="false">SUM(AA775:AA786)</f>
        <v>68720.867</v>
      </c>
      <c r="AB787" s="67" t="n">
        <f aca="false">SUM(AB775:AB786)</f>
        <v>80388.8</v>
      </c>
      <c r="AC787" s="67" t="n">
        <f aca="false">SUM(AC775:AC786)</f>
        <v>69704.4</v>
      </c>
      <c r="AD787" s="67" t="n">
        <f aca="false">SUM(AD775:AD786)</f>
        <v>66836.5</v>
      </c>
      <c r="AE787" s="67" t="n">
        <f aca="false">SUM(AE775:AE786)</f>
        <v>70433.5</v>
      </c>
      <c r="AF787" s="67" t="n">
        <f aca="false">SUM(AF775:AF786)</f>
        <v>81321.9</v>
      </c>
      <c r="AG787" s="67" t="n">
        <f aca="false">SUM(AG775:AG786)</f>
        <v>85167.4</v>
      </c>
      <c r="AH787" s="67" t="n">
        <f aca="false">SUM(AH775:AH786)</f>
        <v>112251.4</v>
      </c>
      <c r="AI787" s="67" t="n">
        <f aca="false">SUM(AI775:AI786)</f>
        <v>125260.3</v>
      </c>
      <c r="AJ787" s="67" t="n">
        <f aca="false">SUM(AJ775:AJ786)</f>
        <v>149517.387711314</v>
      </c>
      <c r="AK787" s="67" t="n">
        <f aca="false">SUM(AK775:AK786)</f>
        <v>173667.048439023</v>
      </c>
      <c r="AL787" s="67" t="n">
        <f aca="false">SUM(AL775:AL786)</f>
        <v>199096.053815479</v>
      </c>
      <c r="AM787" s="145"/>
      <c r="AN787" s="145"/>
      <c r="AO787" s="145"/>
    </row>
    <row r="788" customFormat="false" ht="12" hidden="false" customHeight="true" outlineLevel="0" collapsed="false">
      <c r="P788" s="41"/>
      <c r="Q788" s="41"/>
      <c r="R788" s="41"/>
      <c r="S788" s="41"/>
      <c r="T788" s="41"/>
      <c r="U788" s="41"/>
      <c r="V788" s="41"/>
      <c r="W788" s="328"/>
      <c r="X788" s="328"/>
      <c r="Y788" s="78" t="n">
        <f aca="false">+Y787-51225.59</f>
        <v>0</v>
      </c>
      <c r="Z788" s="36" t="n">
        <f aca="false">+Z787-58414.796</f>
        <v>0</v>
      </c>
      <c r="AA788" s="36" t="n">
        <f aca="false">+AA787-68720.867</f>
        <v>0</v>
      </c>
      <c r="AD788" s="30"/>
      <c r="AE788" s="36" t="n">
        <f aca="false">+AE787-70433.5</f>
        <v>0</v>
      </c>
      <c r="AF788" s="36" t="n">
        <f aca="false">+AF787-81321.9</f>
        <v>0</v>
      </c>
      <c r="AG788" s="38"/>
    </row>
    <row r="789" customFormat="false" ht="12.75" hidden="false" customHeight="true" outlineLevel="0" collapsed="false">
      <c r="A789" s="59" t="s">
        <v>344</v>
      </c>
      <c r="B789" s="39" t="n">
        <f aca="false">+B787+B773</f>
        <v>4111.99</v>
      </c>
      <c r="C789" s="39" t="n">
        <f aca="false">+C787+C773</f>
        <v>4697.51</v>
      </c>
      <c r="D789" s="39" t="n">
        <f aca="false">+D787+D773</f>
        <v>9739.68</v>
      </c>
      <c r="E789" s="39" t="n">
        <f aca="false">+E787+E773</f>
        <v>10391.42</v>
      </c>
      <c r="F789" s="39" t="n">
        <f aca="false">+F787+F773</f>
        <v>10980.82</v>
      </c>
      <c r="G789" s="39" t="n">
        <f aca="false">+G787+G773</f>
        <v>11028.25</v>
      </c>
      <c r="H789" s="165" t="n">
        <f aca="false">+H787+H773</f>
        <v>11095.07</v>
      </c>
      <c r="I789" s="165" t="n">
        <f aca="false">+I787+I773</f>
        <v>11401.47</v>
      </c>
      <c r="J789" s="165" t="n">
        <f aca="false">+J787+J773</f>
        <v>11787.6</v>
      </c>
      <c r="K789" s="165" t="n">
        <f aca="false">+K787+K773</f>
        <v>10369.53</v>
      </c>
      <c r="L789" s="165" t="n">
        <f aca="false">+L787+L773</f>
        <v>9594.86</v>
      </c>
      <c r="M789" s="165" t="n">
        <f aca="false">+M787+M773</f>
        <v>10517.97</v>
      </c>
      <c r="N789" s="165" t="n">
        <f aca="false">+N787+N773</f>
        <v>11678.65</v>
      </c>
      <c r="O789" s="165" t="n">
        <f aca="false">+O787+O773</f>
        <v>14124.53</v>
      </c>
      <c r="P789" s="67" t="n">
        <f aca="false">+P787+P773</f>
        <v>18945.68</v>
      </c>
      <c r="Q789" s="67" t="n">
        <f aca="false">+Q787+Q773</f>
        <v>21489.82</v>
      </c>
      <c r="R789" s="67" t="n">
        <f aca="false">+R787+R773</f>
        <v>34738.99</v>
      </c>
      <c r="S789" s="67" t="n">
        <f aca="false">+S787+S773</f>
        <v>36687.581</v>
      </c>
      <c r="T789" s="67" t="n">
        <f aca="false">+T787+T773</f>
        <v>39629.621</v>
      </c>
      <c r="U789" s="67" t="n">
        <f aca="false">+U787+U773</f>
        <v>42081.735</v>
      </c>
      <c r="V789" s="67" t="n">
        <f aca="false">+V787+V773</f>
        <v>44560.681</v>
      </c>
      <c r="W789" s="67" t="n">
        <f aca="false">+W787+W773</f>
        <v>44538.132</v>
      </c>
      <c r="X789" s="67" t="n">
        <f aca="false">+X787+X773</f>
        <v>51329.423</v>
      </c>
      <c r="Y789" s="67" t="n">
        <f aca="false">+Y787+Y773</f>
        <v>54071.47</v>
      </c>
      <c r="Z789" s="67" t="n">
        <f aca="false">+Z787+Z773</f>
        <v>61260.676</v>
      </c>
      <c r="AA789" s="67" t="n">
        <f aca="false">+AA787+AA773</f>
        <v>71647.975</v>
      </c>
      <c r="AB789" s="67" t="n">
        <f aca="false">+AB787+AB773</f>
        <v>83324.3</v>
      </c>
      <c r="AC789" s="67" t="n">
        <f aca="false">+AC787+AC773</f>
        <v>72639.9</v>
      </c>
      <c r="AD789" s="67" t="n">
        <f aca="false">+AD787+AD773</f>
        <v>69772</v>
      </c>
      <c r="AE789" s="67" t="n">
        <f aca="false">+AE787+AE773</f>
        <v>73369</v>
      </c>
      <c r="AF789" s="67" t="n">
        <f aca="false">+AF787+AF773</f>
        <v>84258</v>
      </c>
      <c r="AG789" s="67" t="n">
        <f aca="false">+AG787+AG773</f>
        <v>88103.7</v>
      </c>
      <c r="AH789" s="67" t="n">
        <f aca="false">+AH787+AH773</f>
        <v>115187.9</v>
      </c>
      <c r="AI789" s="67" t="n">
        <f aca="false">+AI787+AI773</f>
        <v>131134.2</v>
      </c>
      <c r="AJ789" s="67" t="n">
        <f aca="false">+AJ787+AJ773</f>
        <v>155391.287711314</v>
      </c>
      <c r="AK789" s="67" t="n">
        <f aca="false">+AK787+AK773</f>
        <v>179540.948439023</v>
      </c>
      <c r="AL789" s="67" t="n">
        <f aca="false">+AL787+AL773</f>
        <v>204969.953815479</v>
      </c>
      <c r="AM789" s="145"/>
      <c r="AN789" s="145"/>
      <c r="AO789" s="145"/>
      <c r="AP789" s="329"/>
    </row>
    <row r="790" customFormat="false" ht="12" hidden="false" customHeight="true" outlineLevel="0" collapsed="false">
      <c r="P790" s="41"/>
      <c r="Q790" s="41"/>
      <c r="R790" s="41"/>
      <c r="S790" s="41"/>
      <c r="T790" s="330"/>
      <c r="U790" s="41"/>
      <c r="V790" s="41"/>
      <c r="W790" s="102"/>
      <c r="X790" s="102"/>
      <c r="Y790" s="331"/>
      <c r="Z790" s="83"/>
      <c r="AA790" s="108"/>
      <c r="AB790" s="83"/>
      <c r="AC790" s="78" t="n">
        <f aca="false">+AC789-72639.9</f>
        <v>0</v>
      </c>
      <c r="AD790" s="108"/>
      <c r="AE790" s="108"/>
      <c r="AF790" s="108"/>
      <c r="AG790" s="78" t="n">
        <f aca="false">+AG789-88103.7</f>
        <v>0</v>
      </c>
      <c r="AH790" s="78" t="n">
        <f aca="false">+AH789-115187.9</f>
        <v>0</v>
      </c>
      <c r="AI790" s="83"/>
      <c r="AJ790" s="83"/>
      <c r="AK790" s="83"/>
      <c r="AL790" s="83"/>
      <c r="AM790" s="41"/>
      <c r="AN790" s="41"/>
      <c r="AO790" s="41"/>
    </row>
    <row r="791" customFormat="false" ht="12.75" hidden="false" customHeight="true" outlineLevel="0" collapsed="false">
      <c r="A791" s="59" t="s">
        <v>624</v>
      </c>
      <c r="B791" s="39" t="n">
        <f aca="false">+B793+B794+B795</f>
        <v>4445.76</v>
      </c>
      <c r="C791" s="39" t="n">
        <f aca="false">+C793+C794+C795</f>
        <v>4378.78</v>
      </c>
      <c r="D791" s="39" t="n">
        <f aca="false">+D793+D794+D795</f>
        <v>3660.06</v>
      </c>
      <c r="E791" s="39" t="n">
        <f aca="false">+E793+E794+E795</f>
        <v>6552.82</v>
      </c>
      <c r="F791" s="39" t="n">
        <f aca="false">+F793+F794+F795</f>
        <v>8851.35</v>
      </c>
      <c r="G791" s="39" t="n">
        <f aca="false">+G793+G794+G795</f>
        <v>9407.82</v>
      </c>
      <c r="H791" s="39" t="n">
        <f aca="false">+H793+H794+H795</f>
        <v>5525.08</v>
      </c>
      <c r="I791" s="39" t="n">
        <f aca="false">+I793+I794+I795</f>
        <v>5500.96</v>
      </c>
      <c r="J791" s="39" t="n">
        <f aca="false">+J793+J794+J795</f>
        <v>6388.69</v>
      </c>
      <c r="K791" s="39" t="n">
        <f aca="false">+K793+K794+K795</f>
        <v>5919.93</v>
      </c>
      <c r="L791" s="39" t="n">
        <f aca="false">+L793+L794+L795</f>
        <v>5045.62</v>
      </c>
      <c r="M791" s="39" t="n">
        <f aca="false">+M793+M794+M795</f>
        <v>3103.56</v>
      </c>
      <c r="N791" s="39" t="n">
        <f aca="false">+N793+N794+N795</f>
        <v>2711.75</v>
      </c>
      <c r="O791" s="39" t="n">
        <f aca="false">+O793+O794+O795</f>
        <v>1846.91</v>
      </c>
      <c r="P791" s="67" t="n">
        <f aca="false">+P793+P794+P795</f>
        <v>3602.16</v>
      </c>
      <c r="Q791" s="67" t="n">
        <f aca="false">+Q793+Q794+Q795</f>
        <v>1902.4</v>
      </c>
      <c r="R791" s="67" t="n">
        <f aca="false">+R793+R794+R795</f>
        <v>3044.133</v>
      </c>
      <c r="S791" s="67" t="n">
        <f aca="false">+S793+S794+S795</f>
        <v>7115.668</v>
      </c>
      <c r="T791" s="67" t="n">
        <f aca="false">+T793+T794+T795</f>
        <v>11822.975</v>
      </c>
      <c r="U791" s="67" t="n">
        <f aca="false">+U793+U794+U795+U805+U806</f>
        <v>11433.334</v>
      </c>
      <c r="V791" s="67" t="n">
        <f aca="false">+V793+V794+V795+V805+V806</f>
        <v>22401.265</v>
      </c>
      <c r="W791" s="67" t="n">
        <f aca="false">+W793+W794+W795+W805+W806</f>
        <v>23023.032</v>
      </c>
      <c r="X791" s="67" t="n">
        <f aca="false">+X793+X794+X795+X805+X806</f>
        <v>14583.333</v>
      </c>
      <c r="Y791" s="67" t="n">
        <f aca="false">+Y793+Y794+Y795+Y805+Y806</f>
        <v>6741.303</v>
      </c>
      <c r="Z791" s="67" t="n">
        <f aca="false">+Z793+Z794+Z795+Z805+Z806</f>
        <v>4187.72</v>
      </c>
      <c r="AA791" s="67" t="n">
        <f aca="false">+AA793+AA794+AA795+AA805+AA806</f>
        <v>1000</v>
      </c>
      <c r="AB791" s="67" t="n">
        <f aca="false">+AB793+AB794+AB795+AB805+AB806</f>
        <v>311.8</v>
      </c>
      <c r="AC791" s="67" t="n">
        <f aca="false">+AC793+AC794+AC795+AC805+AC806</f>
        <v>13731.8</v>
      </c>
      <c r="AD791" s="67" t="n">
        <f aca="false">+AD793+AD794+AD795+AD805+AD806</f>
        <v>25580.1</v>
      </c>
      <c r="AE791" s="67" t="n">
        <f aca="false">+AE793+AE794+AE795+AE805+AE806</f>
        <v>28506.1</v>
      </c>
      <c r="AF791" s="252"/>
      <c r="AG791" s="67" t="n">
        <f aca="false">+AG793+AG794+AG795+AG805+AG806</f>
        <v>0</v>
      </c>
      <c r="AH791" s="67" t="n">
        <f aca="false">+AH793+AH794+AH795+AH805+AH806</f>
        <v>0</v>
      </c>
      <c r="AI791" s="67" t="n">
        <f aca="false">+AI793+AI794+AI795+AI805+AI806</f>
        <v>0</v>
      </c>
      <c r="AJ791" s="67" t="n">
        <f aca="false">+AJ793+AJ794+AJ795+AJ805+AJ806</f>
        <v>0</v>
      </c>
      <c r="AK791" s="67" t="n">
        <f aca="false">+AK793+AK794+AK795+AK805+AK806</f>
        <v>0</v>
      </c>
      <c r="AL791" s="67" t="n">
        <f aca="false">+AL793+AL794+AL795+AL805+AL806</f>
        <v>0</v>
      </c>
      <c r="AM791" s="145"/>
      <c r="AN791" s="145"/>
      <c r="AO791" s="145"/>
      <c r="AP791" s="162"/>
    </row>
    <row r="792" customFormat="false" ht="12" hidden="false" customHeight="true" outlineLevel="0" collapsed="false">
      <c r="N792" s="115"/>
      <c r="O792" s="115"/>
      <c r="P792" s="41"/>
      <c r="Q792" s="41"/>
      <c r="R792" s="41"/>
      <c r="S792" s="41"/>
      <c r="T792" s="41"/>
      <c r="U792" s="41"/>
      <c r="V792" s="41"/>
      <c r="W792" s="41"/>
      <c r="X792" s="41"/>
      <c r="Y792" s="31"/>
      <c r="Z792" s="31"/>
      <c r="AA792" s="38"/>
      <c r="AB792" s="31"/>
      <c r="AC792" s="31"/>
      <c r="AD792" s="38"/>
      <c r="AE792" s="38"/>
      <c r="AF792" s="38"/>
      <c r="AG792" s="38"/>
      <c r="AH792" s="31"/>
      <c r="AI792" s="31"/>
      <c r="AJ792" s="31"/>
      <c r="AK792" s="31"/>
      <c r="AL792" s="31"/>
      <c r="AM792" s="31"/>
      <c r="AN792" s="31"/>
      <c r="AO792" s="31"/>
      <c r="AP792" s="31"/>
      <c r="AQ792" s="31"/>
    </row>
    <row r="793" customFormat="false" ht="12" hidden="false" customHeight="true" outlineLevel="0" collapsed="false">
      <c r="A793" s="69" t="s">
        <v>625</v>
      </c>
      <c r="B793" s="58" t="n">
        <f aca="false">1157.98+200+41.73+83.46+242.45</f>
        <v>1725.62</v>
      </c>
      <c r="C793" s="58" t="n">
        <f aca="false">1157.98+200+31.3+62.59+242.45+2</f>
        <v>1696.32</v>
      </c>
      <c r="D793" s="58" t="n">
        <f aca="false">20.86+41.73+193.96+1159.64+200</f>
        <v>1616.19</v>
      </c>
      <c r="E793" s="58" t="n">
        <f aca="false">10.43+20.87+145.47+1159.64+200</f>
        <v>1536.41</v>
      </c>
      <c r="F793" s="58" t="n">
        <f aca="false">96.98+1159.64+200+458.33+330+100+50+100+520+800</f>
        <v>3814.95</v>
      </c>
      <c r="G793" s="48" t="n">
        <v>5749.8</v>
      </c>
      <c r="H793" s="48" t="n">
        <v>4622.1</v>
      </c>
      <c r="I793" s="48" t="n">
        <v>3814.56</v>
      </c>
      <c r="J793" s="48" t="n">
        <v>5116.68</v>
      </c>
      <c r="K793" s="48" t="n">
        <v>4336.7</v>
      </c>
      <c r="L793" s="48" t="n">
        <v>3770</v>
      </c>
      <c r="M793" s="48" t="n">
        <v>2020</v>
      </c>
      <c r="N793" s="48" t="n">
        <v>1663.33</v>
      </c>
      <c r="O793" s="48" t="n">
        <v>1390</v>
      </c>
      <c r="P793" s="190" t="n">
        <v>850</v>
      </c>
      <c r="Q793" s="239" t="n">
        <f aca="false">P793-133.33-16.67-50</f>
        <v>650</v>
      </c>
      <c r="R793" s="190" t="n">
        <v>1833.333</v>
      </c>
      <c r="S793" s="190" t="n">
        <v>1666.667</v>
      </c>
      <c r="T793" s="190" t="n">
        <v>3600</v>
      </c>
      <c r="U793" s="190" t="n">
        <v>3600</v>
      </c>
      <c r="V793" s="190" t="n">
        <v>8900</v>
      </c>
      <c r="W793" s="190" t="n">
        <v>10750</v>
      </c>
      <c r="X793" s="190" t="n">
        <v>6100</v>
      </c>
      <c r="Y793" s="190" t="n">
        <v>3991.303</v>
      </c>
      <c r="Z793" s="190" t="n">
        <v>1497.163</v>
      </c>
      <c r="AA793" s="190" t="n">
        <v>0</v>
      </c>
      <c r="AB793" s="190" t="n">
        <v>0</v>
      </c>
      <c r="AC793" s="190" t="n">
        <v>0</v>
      </c>
      <c r="AD793" s="190" t="n">
        <v>0</v>
      </c>
      <c r="AE793" s="190" t="n">
        <v>0</v>
      </c>
      <c r="AF793" s="180"/>
      <c r="AG793" s="190" t="n">
        <v>0</v>
      </c>
      <c r="AH793" s="190" t="n">
        <v>0</v>
      </c>
      <c r="AI793" s="190" t="n">
        <v>0</v>
      </c>
      <c r="AJ793" s="190" t="n">
        <v>0</v>
      </c>
      <c r="AK793" s="190" t="n">
        <v>0</v>
      </c>
      <c r="AL793" s="190" t="n">
        <v>0</v>
      </c>
      <c r="AM793" s="240"/>
      <c r="AN793" s="297"/>
      <c r="AO793" s="297"/>
    </row>
    <row r="794" customFormat="false" ht="12" hidden="false" customHeight="true" outlineLevel="0" collapsed="false">
      <c r="A794" s="149" t="s">
        <v>626</v>
      </c>
      <c r="B794" s="58" t="n">
        <f aca="false">181.77+1783.4</f>
        <v>1965.17</v>
      </c>
      <c r="C794" s="58" t="n">
        <f aca="false">77.47+2186.16</f>
        <v>2263.63</v>
      </c>
      <c r="D794" s="58" t="n">
        <f aca="false">224.78+1272.84</f>
        <v>1497.62</v>
      </c>
      <c r="E794" s="58" t="n">
        <f aca="false">961.33+1818.05</f>
        <v>2779.38</v>
      </c>
      <c r="F794" s="58" t="n">
        <f aca="false">569.41+1327.5</f>
        <v>1896.91</v>
      </c>
      <c r="G794" s="58" t="n">
        <f aca="false">507.24+1746.46</f>
        <v>2253.7</v>
      </c>
      <c r="H794" s="58" t="n">
        <f aca="false">348.95+243.91</f>
        <v>592.86</v>
      </c>
      <c r="I794" s="58" t="n">
        <f aca="false">500.17+56.18</f>
        <v>556.35</v>
      </c>
      <c r="J794" s="58" t="n">
        <f aca="false">400+691.46</f>
        <v>1091.46</v>
      </c>
      <c r="K794" s="58" t="n">
        <f aca="false">1430+34.55</f>
        <v>1464.55</v>
      </c>
      <c r="L794" s="58" t="n">
        <f aca="false">1230+27.64</f>
        <v>1257.64</v>
      </c>
      <c r="M794" s="58" t="n">
        <f aca="false">1062.83+20.73</f>
        <v>1083.56</v>
      </c>
      <c r="N794" s="58" t="n">
        <f aca="false">957.81+13.82</f>
        <v>971.63</v>
      </c>
      <c r="O794" s="48" t="n">
        <v>456.91</v>
      </c>
      <c r="P794" s="190" t="n">
        <v>1319.4</v>
      </c>
      <c r="Q794" s="190" t="n">
        <v>1252.4</v>
      </c>
      <c r="R794" s="205" t="n">
        <f aca="false">450+760.8</f>
        <v>1210.8</v>
      </c>
      <c r="S794" s="205" t="n">
        <f aca="false">5000+449.001</f>
        <v>5449.001</v>
      </c>
      <c r="T794" s="205" t="n">
        <f aca="false">8000+222.975</f>
        <v>8222.975</v>
      </c>
      <c r="U794" s="190" t="n">
        <v>6000</v>
      </c>
      <c r="V794" s="190" t="n">
        <v>3333.333</v>
      </c>
      <c r="W794" s="190" t="n">
        <v>5833.333</v>
      </c>
      <c r="X794" s="190" t="n">
        <v>3000</v>
      </c>
      <c r="Y794" s="190" t="n">
        <v>2500</v>
      </c>
      <c r="Z794" s="190" t="n">
        <v>2554.179</v>
      </c>
      <c r="AA794" s="180"/>
      <c r="AB794" s="190" t="n">
        <v>311.8</v>
      </c>
      <c r="AC794" s="190" t="n">
        <v>311.8</v>
      </c>
      <c r="AD794" s="180"/>
      <c r="AE794" s="180"/>
      <c r="AF794" s="180"/>
      <c r="AG794" s="180"/>
      <c r="AH794" s="297"/>
      <c r="AI794" s="297"/>
      <c r="AJ794" s="297"/>
      <c r="AK794" s="297"/>
      <c r="AL794" s="297"/>
      <c r="AM794" s="297"/>
      <c r="AN794" s="297"/>
      <c r="AQ794" s="297"/>
    </row>
    <row r="795" customFormat="false" ht="12" hidden="false" customHeight="true" outlineLevel="0" collapsed="false">
      <c r="A795" s="69" t="s">
        <v>627</v>
      </c>
      <c r="B795" s="58" t="n">
        <f aca="false">742.4+12.57</f>
        <v>754.97</v>
      </c>
      <c r="C795" s="58" t="n">
        <f aca="false">60.36+358.47</f>
        <v>418.83</v>
      </c>
      <c r="D795" s="58" t="n">
        <f aca="false">139.05+407.2</f>
        <v>546.25</v>
      </c>
      <c r="E795" s="170" t="n">
        <f aca="false">1788.37+448.66</f>
        <v>2237.03</v>
      </c>
      <c r="F795" s="58" t="n">
        <f aca="false">2710.53+428.96</f>
        <v>3139.49</v>
      </c>
      <c r="G795" s="58" t="n">
        <f aca="false">1026.77+377.55</f>
        <v>1404.32</v>
      </c>
      <c r="H795" s="58" t="n">
        <f aca="false">310.12</f>
        <v>310.12</v>
      </c>
      <c r="I795" s="58" t="n">
        <f aca="false">961.98+168.07</f>
        <v>1130.05</v>
      </c>
      <c r="J795" s="48" t="n">
        <v>180.55</v>
      </c>
      <c r="K795" s="48" t="n">
        <v>118.68</v>
      </c>
      <c r="L795" s="48" t="n">
        <v>17.98</v>
      </c>
      <c r="M795" s="48" t="n">
        <v>0</v>
      </c>
      <c r="N795" s="48" t="n">
        <v>76.79</v>
      </c>
      <c r="O795" s="48" t="n">
        <v>0</v>
      </c>
      <c r="P795" s="190" t="n">
        <v>1432.76</v>
      </c>
      <c r="Q795" s="41"/>
      <c r="R795" s="41"/>
      <c r="S795" s="41"/>
      <c r="T795" s="41"/>
      <c r="U795" s="41"/>
      <c r="V795" s="190" t="n">
        <v>6801.265</v>
      </c>
      <c r="W795" s="190" t="n">
        <v>2789.699</v>
      </c>
      <c r="X795" s="41"/>
      <c r="Y795" s="48" t="n">
        <v>250</v>
      </c>
      <c r="Z795" s="190" t="n">
        <v>136.378</v>
      </c>
      <c r="AA795" s="190" t="n">
        <v>1000</v>
      </c>
      <c r="AB795" s="41"/>
      <c r="AC795" s="205" t="n">
        <f aca="false">5000+8420</f>
        <v>13420</v>
      </c>
      <c r="AD795" s="190" t="n">
        <v>25580.1</v>
      </c>
      <c r="AE795" s="190" t="n">
        <v>28506.1</v>
      </c>
      <c r="AF795" s="180"/>
      <c r="AG795" s="180"/>
    </row>
    <row r="796" customFormat="false" ht="12" hidden="false" customHeight="true" outlineLevel="0" collapsed="false">
      <c r="E796" s="75"/>
      <c r="P796" s="41"/>
      <c r="Q796" s="41"/>
      <c r="R796" s="41"/>
      <c r="S796" s="41"/>
      <c r="T796" s="41"/>
      <c r="U796" s="41"/>
      <c r="V796" s="41"/>
      <c r="W796" s="41"/>
      <c r="X796" s="41"/>
      <c r="AD796" s="30"/>
      <c r="AE796" s="30"/>
    </row>
    <row r="797" customFormat="false" ht="12" hidden="false" customHeight="true" outlineLevel="0" collapsed="false">
      <c r="P797" s="41"/>
      <c r="Q797" s="41"/>
      <c r="R797" s="41"/>
      <c r="S797" s="41"/>
      <c r="T797" s="41"/>
      <c r="U797" s="41"/>
      <c r="V797" s="41"/>
      <c r="W797" s="41"/>
      <c r="X797" s="41"/>
      <c r="AD797" s="30"/>
      <c r="AE797" s="30"/>
    </row>
    <row r="798" customFormat="false" ht="12.75" hidden="false" customHeight="true" outlineLevel="0" collapsed="false">
      <c r="A798" s="59" t="s">
        <v>628</v>
      </c>
      <c r="B798" s="117" t="n">
        <f aca="false">+B799+B800+B801</f>
        <v>691.6</v>
      </c>
      <c r="C798" s="39" t="n">
        <f aca="false">+C799+C800+C801</f>
        <v>946.73</v>
      </c>
      <c r="D798" s="117" t="n">
        <f aca="false">+D799+D800+D801</f>
        <v>2251.01</v>
      </c>
      <c r="E798" s="39" t="n">
        <f aca="false">+E799+E800+E801</f>
        <v>2312.84</v>
      </c>
      <c r="F798" s="39" t="n">
        <f aca="false">+F799+F800+F801</f>
        <v>2909.1</v>
      </c>
      <c r="G798" s="39" t="n">
        <f aca="false">+G799+G800+G801</f>
        <v>3065.62</v>
      </c>
      <c r="H798" s="39" t="n">
        <f aca="false">+H799+H800+H801</f>
        <v>4096.58</v>
      </c>
      <c r="I798" s="39" t="n">
        <f aca="false">+I799+I800+I801</f>
        <v>4155.95</v>
      </c>
      <c r="J798" s="39" t="n">
        <f aca="false">+J799+J800+J801</f>
        <v>2941.39</v>
      </c>
      <c r="K798" s="39" t="n">
        <f aca="false">+K799+K800+K801</f>
        <v>2964.56</v>
      </c>
      <c r="L798" s="39" t="n">
        <f aca="false">+L799+L800+L801</f>
        <v>2129.6</v>
      </c>
      <c r="M798" s="39" t="n">
        <f aca="false">+M799+M800+M801</f>
        <v>1887.17</v>
      </c>
      <c r="N798" s="39" t="n">
        <f aca="false">+N799+N800+N801</f>
        <v>6092.31</v>
      </c>
      <c r="O798" s="39" t="n">
        <f aca="false">+O799+O800+O801</f>
        <v>5072.37</v>
      </c>
      <c r="P798" s="208" t="n">
        <v>2801.82</v>
      </c>
      <c r="Q798" s="208" t="n">
        <v>6972.61</v>
      </c>
      <c r="R798" s="67" t="n">
        <f aca="false">+R799+R800+R801</f>
        <v>16537.306</v>
      </c>
      <c r="S798" s="67" t="n">
        <f aca="false">+S799+S800+S801</f>
        <v>14923.25</v>
      </c>
      <c r="T798" s="67" t="n">
        <f aca="false">+T799+T800+T801</f>
        <v>13859.673</v>
      </c>
      <c r="U798" s="67" t="n">
        <f aca="false">+U799+U800+U801+U802+U807+U808+U809</f>
        <v>19545.599</v>
      </c>
      <c r="V798" s="67" t="n">
        <f aca="false">+V799+V800+V801+V802+V807+V808+V809</f>
        <v>21153.06</v>
      </c>
      <c r="W798" s="67" t="n">
        <f aca="false">+W799+W800+W801+W802+W807+W808+W809</f>
        <v>23880.176</v>
      </c>
      <c r="X798" s="67" t="n">
        <f aca="false">+X799+X800+X801+X802+X807+X808+X809</f>
        <v>18913.943</v>
      </c>
      <c r="Y798" s="67" t="n">
        <f aca="false">+Y799+Y800+Y801+Y802+Y807+Y808+Y809</f>
        <v>11719.141</v>
      </c>
      <c r="Z798" s="67" t="n">
        <f aca="false">+Z799+Z800+Z801+Z802+Z807+Z808+Z809</f>
        <v>9261.877</v>
      </c>
      <c r="AA798" s="67" t="n">
        <f aca="false">+AA799+AA800+AA801+AA802+AA807+AA808+AA809</f>
        <v>4156.872</v>
      </c>
      <c r="AB798" s="67" t="n">
        <f aca="false">+AB799+AB800+AB801+AB802+AB807+AB808+AB809</f>
        <v>3672.2</v>
      </c>
      <c r="AC798" s="67" t="n">
        <f aca="false">+AC799+AC800+AC801+AC802+AC807+AC808+AC809</f>
        <v>16916.5</v>
      </c>
      <c r="AD798" s="208" t="n">
        <v>11582.4</v>
      </c>
      <c r="AE798" s="208" t="n">
        <v>6564.9</v>
      </c>
      <c r="AF798" s="252"/>
      <c r="AG798" s="67" t="n">
        <f aca="false">+AG799+AG800+AG801+AG802+AG807+AG808+AG809</f>
        <v>0</v>
      </c>
      <c r="AH798" s="67" t="n">
        <f aca="false">+AH799+AH800+AH801+AH802+AH807+AH808+AH809</f>
        <v>0</v>
      </c>
      <c r="AI798" s="67" t="n">
        <f aca="false">+AI799+AI800+AI801+AI802+AI807+AI808+AI809</f>
        <v>0</v>
      </c>
      <c r="AJ798" s="67" t="n">
        <f aca="false">+AJ799+AJ800+AJ801+AJ802+AJ807+AJ808+AJ809</f>
        <v>0</v>
      </c>
      <c r="AK798" s="67" t="n">
        <f aca="false">+AK799+AK800+AK801+AK802+AK807+AK808+AK809</f>
        <v>0</v>
      </c>
      <c r="AL798" s="67" t="n">
        <f aca="false">+AL799+AL800+AL801+AL802+AL807+AL808+AL809</f>
        <v>0</v>
      </c>
      <c r="AM798" s="145"/>
      <c r="AN798" s="145"/>
      <c r="AQ798" s="145"/>
    </row>
    <row r="799" customFormat="false" ht="12" hidden="false" customHeight="true" outlineLevel="0" collapsed="false">
      <c r="A799" s="69" t="s">
        <v>629</v>
      </c>
      <c r="B799" s="48" t="n">
        <v>276.08</v>
      </c>
      <c r="C799" s="48" t="n">
        <v>282.65</v>
      </c>
      <c r="D799" s="48" t="n">
        <v>286.9</v>
      </c>
      <c r="E799" s="48" t="n">
        <v>273.36</v>
      </c>
      <c r="F799" s="48" t="n">
        <v>266.9</v>
      </c>
      <c r="G799" s="48" t="n">
        <v>314.96</v>
      </c>
      <c r="H799" s="48" t="n">
        <v>292.35</v>
      </c>
      <c r="I799" s="48" t="n">
        <v>159.66</v>
      </c>
      <c r="J799" s="48" t="n">
        <v>52.27</v>
      </c>
      <c r="K799" s="48" t="n">
        <v>0</v>
      </c>
      <c r="L799" s="48" t="n">
        <v>0.52</v>
      </c>
      <c r="M799" s="48" t="n">
        <v>0.52</v>
      </c>
      <c r="N799" s="48" t="n">
        <v>0.48</v>
      </c>
      <c r="O799" s="48" t="n">
        <v>0</v>
      </c>
      <c r="P799" s="190" t="n">
        <v>0</v>
      </c>
      <c r="Q799" s="190" t="n">
        <v>0</v>
      </c>
      <c r="R799" s="190" t="n">
        <v>0</v>
      </c>
      <c r="S799" s="190" t="n">
        <v>0</v>
      </c>
      <c r="T799" s="41"/>
      <c r="U799" s="41"/>
      <c r="V799" s="41"/>
      <c r="W799" s="41"/>
      <c r="X799" s="41"/>
      <c r="AD799" s="30"/>
      <c r="AE799" s="30"/>
    </row>
    <row r="800" customFormat="false" ht="12" hidden="false" customHeight="true" outlineLevel="0" collapsed="false">
      <c r="A800" s="149" t="s">
        <v>630</v>
      </c>
      <c r="B800" s="48" t="n">
        <v>415.28</v>
      </c>
      <c r="C800" s="58" t="n">
        <f aca="false">81.68+541.1</f>
        <v>622.78</v>
      </c>
      <c r="D800" s="58" t="n">
        <f aca="false">1181.3+725.88</f>
        <v>1907.18</v>
      </c>
      <c r="E800" s="195" t="n">
        <f aca="false">951.94+1070.44</f>
        <v>2022.38</v>
      </c>
      <c r="F800" s="58" t="n">
        <f aca="false">1134.2+1508</f>
        <v>2642.2</v>
      </c>
      <c r="G800" s="58" t="n">
        <f aca="false">889+1861.66</f>
        <v>2750.66</v>
      </c>
      <c r="H800" s="58" t="n">
        <f aca="false">1845.5+1958.73</f>
        <v>3804.23</v>
      </c>
      <c r="I800" s="58" t="n">
        <f aca="false">1727.45+2268.84</f>
        <v>3996.29</v>
      </c>
      <c r="J800" s="58" t="n">
        <f aca="false">839.25+2049.87</f>
        <v>2889.12</v>
      </c>
      <c r="K800" s="58" t="n">
        <f aca="false">823.78+2140.78</f>
        <v>2964.56</v>
      </c>
      <c r="L800" s="58" t="n">
        <f aca="false">53.07+2076.01</f>
        <v>2129.08</v>
      </c>
      <c r="M800" s="48" t="n">
        <v>1886.65</v>
      </c>
      <c r="N800" s="58" t="n">
        <f aca="false">1717.33+4374.5</f>
        <v>6091.83</v>
      </c>
      <c r="O800" s="58" t="n">
        <f aca="false">1623.63+3448.74</f>
        <v>5072.37</v>
      </c>
      <c r="P800" s="62" t="n">
        <f aca="false">P798</f>
        <v>2801.82</v>
      </c>
      <c r="Q800" s="62" t="n">
        <f aca="false">Q798</f>
        <v>6972.61</v>
      </c>
      <c r="R800" s="190" t="n">
        <v>16537.306</v>
      </c>
      <c r="S800" s="190" t="n">
        <v>14923.25</v>
      </c>
      <c r="T800" s="190" t="n">
        <v>13859.673</v>
      </c>
      <c r="U800" s="205" t="n">
        <f aca="false">12549.167+669.217+115.127</f>
        <v>13333.511</v>
      </c>
      <c r="V800" s="205" t="n">
        <f aca="false">14476+571.476+97.609</f>
        <v>15145.085</v>
      </c>
      <c r="W800" s="205" t="n">
        <f aca="false">15577.9+793.122+10.696</f>
        <v>16381.718</v>
      </c>
      <c r="X800" s="205" t="n">
        <f aca="false">15416.667+1146.694</f>
        <v>16563.361</v>
      </c>
      <c r="Y800" s="240"/>
      <c r="Z800" s="240"/>
      <c r="AA800" s="180"/>
      <c r="AB800" s="240"/>
      <c r="AC800" s="240"/>
      <c r="AD800" s="180"/>
      <c r="AE800" s="180"/>
      <c r="AF800" s="180"/>
      <c r="AG800" s="180"/>
      <c r="AH800" s="240"/>
      <c r="AI800" s="240"/>
      <c r="AJ800" s="240"/>
      <c r="AK800" s="240"/>
      <c r="AL800" s="240"/>
      <c r="AM800" s="240"/>
      <c r="AN800" s="240"/>
      <c r="AO800" s="297"/>
      <c r="AQ800" s="297"/>
    </row>
    <row r="801" customFormat="false" ht="12" hidden="false" customHeight="true" outlineLevel="0" collapsed="false">
      <c r="A801" s="149" t="s">
        <v>631</v>
      </c>
      <c r="B801" s="48" t="n">
        <v>0.24</v>
      </c>
      <c r="C801" s="48" t="n">
        <v>41.3</v>
      </c>
      <c r="D801" s="58" t="n">
        <f aca="false">0.05+56.88</f>
        <v>56.93</v>
      </c>
      <c r="E801" s="196" t="n">
        <v>17.1</v>
      </c>
      <c r="F801" s="48" t="n">
        <v>0</v>
      </c>
      <c r="G801" s="48" t="n">
        <v>0</v>
      </c>
      <c r="H801" s="48" t="n">
        <v>0</v>
      </c>
      <c r="I801" s="48" t="n">
        <v>0</v>
      </c>
      <c r="P801" s="41"/>
      <c r="Q801" s="41"/>
      <c r="R801" s="41"/>
      <c r="S801" s="41"/>
      <c r="T801" s="41"/>
      <c r="U801" s="41"/>
      <c r="V801" s="41"/>
      <c r="W801" s="41"/>
      <c r="X801" s="41"/>
      <c r="Z801" s="48" t="n">
        <v>1850</v>
      </c>
      <c r="AD801" s="30"/>
      <c r="AE801" s="30"/>
    </row>
    <row r="802" customFormat="false" ht="12" hidden="false" customHeight="true" outlineLevel="0" collapsed="false">
      <c r="A802" s="69" t="s">
        <v>632</v>
      </c>
      <c r="P802" s="41"/>
      <c r="Q802" s="41"/>
      <c r="R802" s="41"/>
      <c r="S802" s="41"/>
      <c r="T802" s="41"/>
      <c r="U802" s="190" t="n">
        <v>1017.5</v>
      </c>
      <c r="V802" s="190" t="n">
        <v>868.56</v>
      </c>
      <c r="W802" s="190" t="n">
        <v>3084.382</v>
      </c>
      <c r="X802" s="190" t="n">
        <v>250</v>
      </c>
      <c r="Y802" s="41"/>
      <c r="Z802" s="102"/>
      <c r="AA802" s="180"/>
      <c r="AB802" s="190" t="n">
        <v>1000</v>
      </c>
      <c r="AC802" s="190" t="n">
        <v>8250</v>
      </c>
      <c r="AD802" s="180"/>
      <c r="AE802" s="180"/>
      <c r="AF802" s="180"/>
      <c r="AG802" s="180"/>
      <c r="AH802" s="41"/>
      <c r="AI802" s="41"/>
      <c r="AJ802" s="41"/>
      <c r="AK802" s="41"/>
      <c r="AL802" s="41"/>
      <c r="AP802" s="332"/>
      <c r="AQ802" s="285"/>
    </row>
    <row r="803" customFormat="false" ht="12.75" hidden="false" customHeight="true" outlineLevel="0" collapsed="false">
      <c r="A803" s="59" t="s">
        <v>345</v>
      </c>
      <c r="B803" s="39" t="n">
        <f aca="false">+B798+B791</f>
        <v>5137.36</v>
      </c>
      <c r="C803" s="39" t="n">
        <f aca="false">+C798+C791</f>
        <v>5325.51</v>
      </c>
      <c r="D803" s="39" t="n">
        <f aca="false">+D798+D791</f>
        <v>5911.07</v>
      </c>
      <c r="E803" s="39" t="n">
        <f aca="false">+E798+E791</f>
        <v>8865.66</v>
      </c>
      <c r="F803" s="39" t="n">
        <f aca="false">+F798+F791</f>
        <v>11760.45</v>
      </c>
      <c r="G803" s="39" t="n">
        <f aca="false">+G798+G791</f>
        <v>12473.44</v>
      </c>
      <c r="H803" s="39" t="n">
        <f aca="false">+H798+H791</f>
        <v>9621.66</v>
      </c>
      <c r="I803" s="39" t="n">
        <f aca="false">+I798+I791</f>
        <v>9656.91</v>
      </c>
      <c r="J803" s="39" t="n">
        <f aca="false">+J798+J791</f>
        <v>9330.08</v>
      </c>
      <c r="K803" s="39" t="n">
        <f aca="false">+K798+K791</f>
        <v>8884.49</v>
      </c>
      <c r="L803" s="39" t="n">
        <f aca="false">+L798+L791</f>
        <v>7175.22</v>
      </c>
      <c r="M803" s="39" t="n">
        <f aca="false">+M798+M791</f>
        <v>4990.73</v>
      </c>
      <c r="N803" s="39" t="n">
        <f aca="false">+N798+N791</f>
        <v>8804.06</v>
      </c>
      <c r="O803" s="39" t="n">
        <f aca="false">+O798+O791</f>
        <v>6919.28</v>
      </c>
      <c r="P803" s="67" t="n">
        <f aca="false">+P798+P791</f>
        <v>6403.98</v>
      </c>
      <c r="Q803" s="67" t="n">
        <f aca="false">+Q798+Q791</f>
        <v>8875.01</v>
      </c>
      <c r="R803" s="67" t="n">
        <f aca="false">+R798+R791</f>
        <v>19581.439</v>
      </c>
      <c r="S803" s="67" t="n">
        <f aca="false">+S798+S791</f>
        <v>22038.918</v>
      </c>
      <c r="T803" s="67" t="n">
        <f aca="false">+T798+T791</f>
        <v>25682.648</v>
      </c>
      <c r="U803" s="67" t="n">
        <f aca="false">+U798+U791</f>
        <v>30978.933</v>
      </c>
      <c r="V803" s="67" t="n">
        <f aca="false">+V798+V791</f>
        <v>43554.325</v>
      </c>
      <c r="W803" s="67" t="n">
        <f aca="false">+W798+W791</f>
        <v>46903.208</v>
      </c>
      <c r="X803" s="67" t="n">
        <f aca="false">+X798+X791</f>
        <v>33497.276</v>
      </c>
      <c r="Y803" s="67" t="n">
        <f aca="false">+Y798+Y791+Y810</f>
        <v>24149.839</v>
      </c>
      <c r="Z803" s="67" t="n">
        <f aca="false">+Z798+Z791+Z810</f>
        <v>21448.525</v>
      </c>
      <c r="AA803" s="67" t="n">
        <f aca="false">+AA798+AA791+AA810</f>
        <v>10023.173</v>
      </c>
      <c r="AB803" s="67" t="n">
        <f aca="false">+AB798+AB791+AB810</f>
        <v>6323.6</v>
      </c>
      <c r="AC803" s="67" t="n">
        <f aca="false">+AC798+AC791+AC810</f>
        <v>32813.6</v>
      </c>
      <c r="AD803" s="67" t="n">
        <f aca="false">+AD798+AD791+AD810</f>
        <v>38412.5</v>
      </c>
      <c r="AE803" s="209" t="n">
        <f aca="false">28506.1+6564.9+123.6+344.2</f>
        <v>35538.8</v>
      </c>
      <c r="AF803" s="209" t="n">
        <f aca="false">17662.3+14138.7+310.2+137.1</f>
        <v>32248.3</v>
      </c>
      <c r="AG803" s="209" t="n">
        <f aca="false">11316.4+294+11228.9+154.7</f>
        <v>22994</v>
      </c>
      <c r="AH803" s="209" t="n">
        <f aca="false">9022.3+317.4+5332.1+145.4</f>
        <v>14817.2</v>
      </c>
      <c r="AI803" s="209" t="n">
        <f aca="false">5178.8+296+6338.2+137.4</f>
        <v>11950.4</v>
      </c>
      <c r="AJ803" s="132" t="n">
        <f aca="false">+AI803-2000</f>
        <v>9950.4</v>
      </c>
      <c r="AK803" s="132" t="n">
        <f aca="false">+AJ803-2000</f>
        <v>7950.4</v>
      </c>
      <c r="AL803" s="132" t="n">
        <f aca="false">+AK803-2000</f>
        <v>5950.4</v>
      </c>
      <c r="AM803" s="145"/>
      <c r="AN803" s="145"/>
      <c r="AO803" s="145"/>
      <c r="AQ803" s="41"/>
    </row>
    <row r="804" customFormat="false" ht="12.75" hidden="false" customHeight="true" outlineLevel="0" collapsed="false">
      <c r="A804" s="167"/>
      <c r="B804" s="19"/>
      <c r="C804" s="19"/>
      <c r="D804" s="19"/>
      <c r="E804" s="19"/>
      <c r="F804" s="19"/>
      <c r="G804" s="19"/>
      <c r="H804" s="19"/>
      <c r="I804" s="19"/>
      <c r="J804" s="19"/>
      <c r="K804" s="19"/>
      <c r="L804" s="19"/>
      <c r="M804" s="19"/>
      <c r="P804" s="41"/>
      <c r="Q804" s="41"/>
      <c r="R804" s="41"/>
      <c r="S804" s="41"/>
      <c r="T804" s="331"/>
      <c r="U804" s="41"/>
      <c r="V804" s="41"/>
      <c r="W804" s="41"/>
      <c r="X804" s="41"/>
      <c r="Y804" s="31"/>
      <c r="Z804" s="31"/>
      <c r="AC804" s="333"/>
      <c r="AD804" s="30"/>
      <c r="AE804" s="30"/>
      <c r="AO804" s="31"/>
      <c r="AP804" s="119"/>
      <c r="AQ804" s="31"/>
    </row>
    <row r="805" customFormat="false" ht="12" hidden="false" customHeight="true" outlineLevel="0" collapsed="false">
      <c r="A805" s="234" t="s">
        <v>633</v>
      </c>
      <c r="G805" s="75"/>
      <c r="H805" s="75"/>
      <c r="I805" s="75"/>
      <c r="J805" s="75"/>
      <c r="K805" s="75"/>
      <c r="L805" s="75"/>
      <c r="M805" s="75"/>
      <c r="P805" s="41"/>
      <c r="Q805" s="41"/>
      <c r="R805" s="41"/>
      <c r="S805" s="41"/>
      <c r="T805" s="41"/>
      <c r="U805" s="41"/>
      <c r="V805" s="190" t="n">
        <v>700</v>
      </c>
      <c r="W805" s="58" t="n">
        <f aca="false">700+450</f>
        <v>1150</v>
      </c>
      <c r="X805" s="58" t="n">
        <f aca="false">700+450+1500+2000</f>
        <v>4650</v>
      </c>
      <c r="AB805" s="285"/>
      <c r="AC805" s="285"/>
      <c r="AD805" s="30"/>
      <c r="AE805" s="30"/>
      <c r="AH805" s="285"/>
      <c r="AI805" s="285"/>
      <c r="AJ805" s="285"/>
      <c r="AK805" s="285"/>
      <c r="AL805" s="285"/>
      <c r="AM805" s="285"/>
      <c r="AP805" s="31"/>
    </row>
    <row r="806" customFormat="false" ht="12" hidden="false" customHeight="true" outlineLevel="0" collapsed="false">
      <c r="A806" s="234" t="s">
        <v>634</v>
      </c>
      <c r="G806" s="75"/>
      <c r="H806" s="75"/>
      <c r="I806" s="75"/>
      <c r="J806" s="75"/>
      <c r="K806" s="75"/>
      <c r="L806" s="75"/>
      <c r="M806" s="75"/>
      <c r="P806" s="41"/>
      <c r="Q806" s="41"/>
      <c r="R806" s="41"/>
      <c r="S806" s="41"/>
      <c r="T806" s="41"/>
      <c r="U806" s="190" t="n">
        <v>1833.334</v>
      </c>
      <c r="V806" s="205" t="n">
        <f aca="false">333.33+500+666.67+500+500+166.667</f>
        <v>2666.667</v>
      </c>
      <c r="W806" s="205" t="n">
        <f aca="false">333.33+500+666.67+500+500</f>
        <v>2500</v>
      </c>
      <c r="X806" s="205" t="n">
        <f aca="false">333.333+500</f>
        <v>833.333</v>
      </c>
      <c r="Y806" s="41"/>
      <c r="Z806" s="41"/>
      <c r="AA806" s="41"/>
      <c r="AB806" s="297"/>
      <c r="AC806" s="297"/>
      <c r="AD806" s="180"/>
      <c r="AE806" s="180"/>
      <c r="AF806" s="180"/>
      <c r="AG806" s="180"/>
      <c r="AH806" s="297"/>
      <c r="AI806" s="297"/>
      <c r="AJ806" s="297"/>
      <c r="AK806" s="297"/>
      <c r="AL806" s="297"/>
      <c r="AM806" s="297"/>
      <c r="AN806" s="297"/>
    </row>
    <row r="807" customFormat="false" ht="12" hidden="false" customHeight="true" outlineLevel="0" collapsed="false">
      <c r="A807" s="234" t="s">
        <v>635</v>
      </c>
      <c r="G807" s="75"/>
      <c r="H807" s="75"/>
      <c r="I807" s="75"/>
      <c r="J807" s="75"/>
      <c r="K807" s="75"/>
      <c r="L807" s="75"/>
      <c r="M807" s="75"/>
      <c r="P807" s="41"/>
      <c r="Q807" s="41"/>
      <c r="R807" s="41"/>
      <c r="S807" s="41"/>
      <c r="T807" s="41"/>
      <c r="U807" s="190" t="n">
        <v>5002.707</v>
      </c>
      <c r="V807" s="190" t="n">
        <v>4885.65</v>
      </c>
      <c r="W807" s="205" t="n">
        <f aca="false">299.575+3994.333</f>
        <v>4293.908</v>
      </c>
      <c r="X807" s="205" t="n">
        <f aca="false">520.833+312.5+1250</f>
        <v>2083.333</v>
      </c>
      <c r="Y807" s="190" t="n">
        <v>10588.391</v>
      </c>
      <c r="Z807" s="190" t="n">
        <v>6322.473</v>
      </c>
      <c r="AA807" s="190" t="n">
        <v>3142.805</v>
      </c>
      <c r="AB807" s="190" t="n">
        <v>1842.8</v>
      </c>
      <c r="AC807" s="190" t="n">
        <v>7562.7</v>
      </c>
      <c r="AD807" s="180"/>
      <c r="AE807" s="180"/>
      <c r="AF807" s="180"/>
      <c r="AG807" s="180"/>
      <c r="AH807" s="297"/>
      <c r="AI807" s="297"/>
      <c r="AJ807" s="297"/>
      <c r="AK807" s="297"/>
      <c r="AL807" s="297"/>
      <c r="AM807" s="297"/>
      <c r="AN807" s="297"/>
      <c r="AO807" s="83"/>
    </row>
    <row r="808" customFormat="false" ht="12" hidden="false" customHeight="true" outlineLevel="0" collapsed="false">
      <c r="A808" s="234" t="s">
        <v>636</v>
      </c>
      <c r="G808" s="75"/>
      <c r="H808" s="75"/>
      <c r="I808" s="75"/>
      <c r="J808" s="75"/>
      <c r="K808" s="75"/>
      <c r="L808" s="75"/>
      <c r="M808" s="75"/>
      <c r="P808" s="41"/>
      <c r="Q808" s="41"/>
      <c r="R808" s="41"/>
      <c r="S808" s="41"/>
      <c r="T808" s="41"/>
      <c r="U808" s="190" t="n">
        <v>136.837</v>
      </c>
      <c r="V808" s="190" t="n">
        <v>146.841</v>
      </c>
      <c r="W808" s="205" t="n">
        <f aca="false">21.43+11.824</f>
        <v>33.254</v>
      </c>
      <c r="X808" s="190" t="n">
        <v>6.553</v>
      </c>
      <c r="Y808" s="190" t="n">
        <v>1130.75</v>
      </c>
      <c r="Z808" s="190" t="n">
        <v>1089.404</v>
      </c>
      <c r="AA808" s="190" t="n">
        <v>1014.067</v>
      </c>
      <c r="AB808" s="190" t="n">
        <v>829.4</v>
      </c>
      <c r="AC808" s="190" t="n">
        <v>664.1</v>
      </c>
      <c r="AD808" s="180"/>
      <c r="AE808" s="180"/>
      <c r="AF808" s="180"/>
      <c r="AG808" s="180"/>
      <c r="AH808" s="297"/>
      <c r="AI808" s="297"/>
      <c r="AJ808" s="297"/>
      <c r="AK808" s="297"/>
      <c r="AL808" s="297"/>
      <c r="AM808" s="297"/>
      <c r="AN808" s="297"/>
    </row>
    <row r="809" customFormat="false" ht="12" hidden="false" customHeight="true" outlineLevel="0" collapsed="false">
      <c r="A809" s="234" t="s">
        <v>637</v>
      </c>
      <c r="G809" s="75"/>
      <c r="H809" s="75"/>
      <c r="I809" s="75"/>
      <c r="J809" s="75"/>
      <c r="K809" s="75"/>
      <c r="L809" s="75"/>
      <c r="M809" s="75"/>
      <c r="P809" s="41"/>
      <c r="Q809" s="41"/>
      <c r="R809" s="41"/>
      <c r="S809" s="41"/>
      <c r="T809" s="41"/>
      <c r="U809" s="190" t="n">
        <v>55.044</v>
      </c>
      <c r="V809" s="190" t="n">
        <v>106.924</v>
      </c>
      <c r="W809" s="190" t="n">
        <v>86.914</v>
      </c>
      <c r="X809" s="190" t="n">
        <v>10.696</v>
      </c>
      <c r="AC809" s="58" t="n">
        <f aca="false">289.4+150.3</f>
        <v>439.7</v>
      </c>
      <c r="AD809" s="30"/>
      <c r="AE809" s="30"/>
    </row>
    <row r="810" s="334" customFormat="true" ht="12.75" hidden="false" customHeight="true" outlineLevel="0" collapsed="false">
      <c r="A810" s="59" t="s">
        <v>638</v>
      </c>
      <c r="G810" s="335"/>
      <c r="H810" s="335"/>
      <c r="I810" s="335"/>
      <c r="J810" s="335"/>
      <c r="K810" s="335"/>
      <c r="L810" s="335"/>
      <c r="M810" s="335"/>
      <c r="P810" s="336"/>
      <c r="Q810" s="336"/>
      <c r="R810" s="336"/>
      <c r="S810" s="336"/>
      <c r="T810" s="336"/>
      <c r="U810" s="67" t="n">
        <f aca="false">+U806+U807+U808+U809</f>
        <v>7027.922</v>
      </c>
      <c r="V810" s="67" t="n">
        <f aca="false">+V806+V807+V808+V809+V805</f>
        <v>8506.082</v>
      </c>
      <c r="W810" s="67" t="n">
        <f aca="false">+W806+W807+W808+W809+W805</f>
        <v>8064.076</v>
      </c>
      <c r="X810" s="67" t="n">
        <f aca="false">+X806+X807+X808+X809+X805</f>
        <v>7583.915</v>
      </c>
      <c r="Y810" s="208" t="n">
        <v>5689.395</v>
      </c>
      <c r="Z810" s="208" t="n">
        <v>7998.928</v>
      </c>
      <c r="AA810" s="208" t="n">
        <v>4866.301</v>
      </c>
      <c r="AB810" s="208" t="n">
        <v>2339.6</v>
      </c>
      <c r="AC810" s="208" t="n">
        <v>2165.3</v>
      </c>
      <c r="AD810" s="208" t="n">
        <v>1250</v>
      </c>
      <c r="AE810" s="252"/>
      <c r="AF810" s="67" t="n">
        <f aca="false">+AF806+AF807+AF808+AF809+AF805</f>
        <v>0</v>
      </c>
      <c r="AG810" s="67" t="n">
        <f aca="false">+AG806+AG807+AG808+AG809+AG805</f>
        <v>0</v>
      </c>
      <c r="AH810" s="67" t="n">
        <f aca="false">+AH806+AH807+AH808+AH809+AH805</f>
        <v>0</v>
      </c>
      <c r="AI810" s="67" t="n">
        <f aca="false">+AI806+AI807+AI808+AI809+AI805</f>
        <v>0</v>
      </c>
      <c r="AJ810" s="67" t="n">
        <f aca="false">+AJ806+AJ807+AJ808+AJ809+AJ805</f>
        <v>0</v>
      </c>
      <c r="AK810" s="67" t="n">
        <f aca="false">+AK806+AK807+AK808+AK809+AK805</f>
        <v>0</v>
      </c>
      <c r="AL810" s="67" t="n">
        <f aca="false">+AL806+AL807+AL808+AL809+AL805</f>
        <v>0</v>
      </c>
      <c r="AM810" s="336"/>
      <c r="AN810" s="336"/>
    </row>
    <row r="811" customFormat="false" ht="12.75" hidden="false" customHeight="true" outlineLevel="0" collapsed="false">
      <c r="A811" s="167"/>
      <c r="G811" s="75"/>
      <c r="H811" s="75"/>
      <c r="I811" s="75"/>
      <c r="J811" s="75"/>
      <c r="K811" s="75"/>
      <c r="L811" s="75"/>
      <c r="M811" s="75"/>
      <c r="P811" s="41"/>
      <c r="Q811" s="41"/>
      <c r="R811" s="41"/>
      <c r="S811" s="41"/>
      <c r="T811" s="41"/>
      <c r="U811" s="41"/>
      <c r="V811" s="41"/>
      <c r="W811" s="41"/>
      <c r="X811" s="239" t="n">
        <f aca="false">+X810-7583.915</f>
        <v>0</v>
      </c>
      <c r="Y811" s="31"/>
      <c r="AD811" s="30"/>
      <c r="AE811" s="30"/>
      <c r="AM811" s="31"/>
    </row>
    <row r="812" customFormat="false" ht="12" hidden="false" customHeight="true" outlineLevel="0" collapsed="false">
      <c r="G812" s="75"/>
      <c r="H812" s="75"/>
      <c r="I812" s="75"/>
      <c r="J812" s="75"/>
      <c r="K812" s="75"/>
      <c r="L812" s="75"/>
      <c r="M812" s="75"/>
      <c r="P812" s="41"/>
      <c r="Q812" s="41"/>
      <c r="R812" s="41"/>
      <c r="S812" s="41"/>
      <c r="T812" s="41"/>
      <c r="U812" s="41"/>
      <c r="V812" s="41"/>
      <c r="W812" s="41"/>
      <c r="X812" s="41"/>
      <c r="Y812" s="31"/>
      <c r="AD812" s="30"/>
      <c r="AE812" s="30"/>
    </row>
    <row r="813" customFormat="false" ht="12" hidden="false" customHeight="true" outlineLevel="0" collapsed="false">
      <c r="G813" s="75"/>
      <c r="H813" s="75"/>
      <c r="I813" s="75"/>
      <c r="J813" s="75"/>
      <c r="K813" s="75"/>
      <c r="L813" s="75"/>
      <c r="M813" s="75"/>
      <c r="P813" s="41"/>
      <c r="Q813" s="41"/>
      <c r="R813" s="41"/>
      <c r="S813" s="41"/>
      <c r="T813" s="41"/>
      <c r="U813" s="41"/>
      <c r="V813" s="41"/>
      <c r="W813" s="41"/>
      <c r="X813" s="41"/>
      <c r="AD813" s="30"/>
      <c r="AE813" s="30"/>
    </row>
    <row r="814" customFormat="false" ht="12.75" hidden="false" customHeight="true" outlineLevel="0" collapsed="false">
      <c r="A814" s="59" t="s">
        <v>639</v>
      </c>
      <c r="B814" s="19"/>
      <c r="C814" s="19"/>
      <c r="D814" s="19"/>
      <c r="E814" s="19"/>
      <c r="F814" s="19"/>
      <c r="G814" s="19"/>
      <c r="H814" s="19"/>
      <c r="I814" s="19"/>
      <c r="J814" s="19"/>
      <c r="K814" s="42" t="n">
        <v>1891.5</v>
      </c>
      <c r="L814" s="42" t="n">
        <v>1684.99</v>
      </c>
      <c r="M814" s="42" t="n">
        <v>1802.86</v>
      </c>
      <c r="N814" s="42" t="n">
        <v>1708.48</v>
      </c>
      <c r="O814" s="42" t="n">
        <v>1796.89</v>
      </c>
      <c r="P814" s="208" t="n">
        <v>1969.29</v>
      </c>
      <c r="Q814" s="208" t="n">
        <v>2538.2</v>
      </c>
      <c r="R814" s="208" t="n">
        <v>2634.369</v>
      </c>
      <c r="S814" s="208" t="n">
        <v>3845.369</v>
      </c>
      <c r="T814" s="208" t="n">
        <v>4438.869</v>
      </c>
      <c r="U814" s="208" t="n">
        <v>4903.669</v>
      </c>
      <c r="V814" s="208" t="n">
        <v>5273.669</v>
      </c>
      <c r="W814" s="208" t="n">
        <v>4067.669</v>
      </c>
      <c r="X814" s="208" t="n">
        <v>5102.669</v>
      </c>
      <c r="Y814" s="208" t="n">
        <v>3291.042</v>
      </c>
      <c r="Z814" s="208" t="n">
        <v>1269.021</v>
      </c>
      <c r="AA814" s="208" t="n">
        <v>2983.886</v>
      </c>
      <c r="AB814" s="208" t="n">
        <v>2497.3</v>
      </c>
      <c r="AC814" s="208" t="n">
        <v>2648.2</v>
      </c>
      <c r="AD814" s="208" t="n">
        <v>1707.9</v>
      </c>
      <c r="AE814" s="208" t="n">
        <v>1443.6</v>
      </c>
      <c r="AF814" s="208" t="n">
        <v>5035.1</v>
      </c>
      <c r="AG814" s="208" t="n">
        <v>5563.1</v>
      </c>
      <c r="AH814" s="208" t="n">
        <v>5478.9</v>
      </c>
      <c r="AI814" s="208" t="n">
        <v>5357.1</v>
      </c>
      <c r="AJ814" s="132" t="n">
        <f aca="false">+AI814*1.05</f>
        <v>5624.955</v>
      </c>
      <c r="AK814" s="132" t="n">
        <f aca="false">+AJ814*1.05</f>
        <v>5906.20275</v>
      </c>
      <c r="AL814" s="132" t="n">
        <f aca="false">+AK814*1.05</f>
        <v>6201.5128875</v>
      </c>
      <c r="AM814" s="337"/>
      <c r="AN814" s="337"/>
      <c r="AO814" s="337"/>
    </row>
    <row r="815" customFormat="false" ht="25.5" hidden="false" customHeight="true" outlineLevel="0" collapsed="false">
      <c r="A815" s="59" t="s">
        <v>640</v>
      </c>
      <c r="P815" s="41"/>
      <c r="Q815" s="41"/>
      <c r="R815" s="190" t="n">
        <v>38.411</v>
      </c>
      <c r="S815" s="190" t="n">
        <v>-124.501</v>
      </c>
      <c r="T815" s="41"/>
      <c r="U815" s="190" t="n">
        <v>35.903</v>
      </c>
      <c r="V815" s="205" t="n">
        <f aca="false">17.785</f>
        <v>17.785</v>
      </c>
      <c r="W815" s="190" t="n">
        <v>23.712</v>
      </c>
      <c r="X815" s="190" t="n">
        <v>20.604</v>
      </c>
      <c r="Y815" s="41"/>
      <c r="Z815" s="145"/>
      <c r="AA815" s="145"/>
      <c r="AB815" s="251"/>
      <c r="AC815" s="251"/>
      <c r="AD815" s="252"/>
      <c r="AE815" s="252"/>
      <c r="AF815" s="252"/>
      <c r="AG815" s="252"/>
      <c r="AH815" s="251"/>
      <c r="AI815" s="251"/>
      <c r="AJ815" s="251"/>
      <c r="AK815" s="251"/>
      <c r="AL815" s="251"/>
      <c r="AM815" s="251"/>
      <c r="AN815" s="251"/>
      <c r="AO815" s="251"/>
    </row>
    <row r="816" customFormat="false" ht="12.75" hidden="false" customHeight="true" outlineLevel="0" collapsed="false">
      <c r="A816" s="59" t="s">
        <v>348</v>
      </c>
      <c r="P816" s="41"/>
      <c r="Q816" s="41"/>
      <c r="R816" s="41"/>
      <c r="S816" s="190" t="n">
        <v>765.485</v>
      </c>
      <c r="T816" s="190" t="n">
        <v>899.267</v>
      </c>
      <c r="U816" s="190" t="n">
        <v>4.307</v>
      </c>
      <c r="V816" s="240"/>
      <c r="W816" s="251"/>
      <c r="X816" s="145"/>
      <c r="Y816" s="19"/>
      <c r="Z816" s="19"/>
      <c r="AA816" s="19"/>
      <c r="AB816" s="338"/>
      <c r="AC816" s="338"/>
      <c r="AD816" s="201"/>
      <c r="AE816" s="201"/>
      <c r="AF816" s="201"/>
      <c r="AG816" s="201"/>
      <c r="AH816" s="338"/>
      <c r="AI816" s="338"/>
      <c r="AJ816" s="338"/>
      <c r="AK816" s="338"/>
      <c r="AL816" s="338"/>
      <c r="AM816" s="338"/>
      <c r="AN816" s="338"/>
      <c r="AO816" s="338"/>
    </row>
    <row r="817" customFormat="false" ht="12.75" hidden="false" customHeight="true" outlineLevel="0" collapsed="false">
      <c r="A817" s="167"/>
      <c r="P817" s="41"/>
      <c r="Q817" s="41"/>
      <c r="R817" s="41"/>
      <c r="S817" s="41"/>
      <c r="T817" s="41"/>
      <c r="U817" s="297"/>
      <c r="V817" s="297"/>
      <c r="W817" s="297"/>
      <c r="X817" s="41"/>
      <c r="AD817" s="30"/>
      <c r="AE817" s="30"/>
    </row>
    <row r="818" customFormat="false" ht="12.75" hidden="false" customHeight="true" outlineLevel="0" collapsed="false">
      <c r="A818" s="59" t="s">
        <v>641</v>
      </c>
      <c r="P818" s="41"/>
      <c r="Q818" s="41"/>
      <c r="R818" s="41"/>
      <c r="S818" s="41"/>
      <c r="T818" s="41"/>
      <c r="U818" s="240"/>
      <c r="V818" s="240"/>
      <c r="W818" s="297"/>
      <c r="X818" s="41"/>
      <c r="Y818" s="339" t="n">
        <f aca="false">1740.509+294.213</f>
        <v>2034.722</v>
      </c>
      <c r="Z818" s="339" t="n">
        <f aca="false">472.168+392.636</f>
        <v>864.804</v>
      </c>
      <c r="AA818" s="339" t="n">
        <f aca="false">14.383+2037.422</f>
        <v>2051.805</v>
      </c>
      <c r="AB818" s="205" t="n">
        <f aca="false">345.9+16.4+2690.2</f>
        <v>3052.5</v>
      </c>
      <c r="AC818" s="58" t="n">
        <f aca="false">275.5+499.2+2498.5</f>
        <v>3273.2</v>
      </c>
      <c r="AD818" s="58" t="n">
        <f aca="false">221.2+448.8+2135</f>
        <v>2805</v>
      </c>
      <c r="AE818" s="58" t="n">
        <f aca="false">294.1+1905.8</f>
        <v>2199.9</v>
      </c>
      <c r="AF818" s="58" t="n">
        <f aca="false">230.1+2500.4</f>
        <v>2730.5</v>
      </c>
      <c r="AG818" s="58" t="n">
        <f aca="false">213.1+2834.5</f>
        <v>3047.6</v>
      </c>
      <c r="AH818" s="58" t="n">
        <f aca="false">125.7+3728.6</f>
        <v>3854.3</v>
      </c>
      <c r="AI818" s="58" t="n">
        <f aca="false">109.9+4239.7</f>
        <v>4349.6</v>
      </c>
      <c r="AJ818" s="217" t="n">
        <f aca="false">+AI818*1.1</f>
        <v>4784.56</v>
      </c>
      <c r="AK818" s="217" t="n">
        <f aca="false">+AJ818*1.1</f>
        <v>5263.016</v>
      </c>
      <c r="AL818" s="217" t="n">
        <f aca="false">+AK818*1.1</f>
        <v>5789.3176</v>
      </c>
    </row>
    <row r="819" customFormat="false" ht="12.75" hidden="false" customHeight="true" outlineLevel="0" collapsed="false">
      <c r="A819" s="59" t="s">
        <v>349</v>
      </c>
      <c r="P819" s="41"/>
      <c r="Q819" s="41"/>
      <c r="R819" s="41"/>
      <c r="S819" s="41"/>
      <c r="T819" s="41"/>
      <c r="U819" s="190" t="n">
        <v>765.63</v>
      </c>
      <c r="V819" s="190" t="n">
        <v>785.126</v>
      </c>
      <c r="W819" s="208" t="n">
        <v>678.662</v>
      </c>
      <c r="X819" s="208" t="n">
        <v>786.136</v>
      </c>
      <c r="Y819" s="208" t="n">
        <v>1228.065</v>
      </c>
      <c r="Z819" s="212" t="n">
        <v>1325.538</v>
      </c>
      <c r="AA819" s="212" t="n">
        <v>2550.463</v>
      </c>
      <c r="AB819" s="212" t="n">
        <v>2496.3</v>
      </c>
      <c r="AC819" s="212" t="n">
        <v>1806.9</v>
      </c>
      <c r="AD819" s="212" t="n">
        <v>1895.7</v>
      </c>
      <c r="AE819" s="212" t="n">
        <v>2002.1</v>
      </c>
      <c r="AF819" s="212" t="n">
        <v>5192.2</v>
      </c>
      <c r="AG819" s="212" t="n">
        <v>7240.7</v>
      </c>
      <c r="AH819" s="212" t="n">
        <v>7089.7</v>
      </c>
      <c r="AI819" s="212" t="n">
        <v>6354.5</v>
      </c>
      <c r="AJ819" s="340" t="n">
        <f aca="false">AI819*1.1</f>
        <v>6989.95</v>
      </c>
      <c r="AK819" s="340" t="n">
        <f aca="false">AJ819*1.1</f>
        <v>7688.945</v>
      </c>
      <c r="AL819" s="340" t="n">
        <f aca="false">AK819*1.1</f>
        <v>8457.8395</v>
      </c>
      <c r="AM819" s="338"/>
      <c r="AN819" s="338"/>
      <c r="AO819" s="338"/>
    </row>
    <row r="820" customFormat="false" ht="12.75" hidden="false" customHeight="true" outlineLevel="0" collapsed="false">
      <c r="A820" s="167"/>
      <c r="P820" s="41"/>
      <c r="Q820" s="41"/>
      <c r="R820" s="41"/>
      <c r="S820" s="41"/>
      <c r="T820" s="41"/>
      <c r="U820" s="297"/>
      <c r="V820" s="297"/>
      <c r="W820" s="297"/>
      <c r="X820" s="297"/>
      <c r="AD820" s="30"/>
      <c r="AE820" s="30"/>
    </row>
    <row r="821" s="344" customFormat="true" ht="13.5" hidden="false" customHeight="true" outlineLevel="0" collapsed="false">
      <c r="A821" s="187" t="s">
        <v>420</v>
      </c>
      <c r="B821" s="341" t="n">
        <f aca="false">+B803+B789+B814</f>
        <v>9249.35</v>
      </c>
      <c r="C821" s="341" t="n">
        <f aca="false">+C803+C789+C814</f>
        <v>10023.02</v>
      </c>
      <c r="D821" s="341" t="n">
        <f aca="false">+D803+D789+D814</f>
        <v>15650.75</v>
      </c>
      <c r="E821" s="341" t="n">
        <f aca="false">+E803+E789+E814</f>
        <v>19257.08</v>
      </c>
      <c r="F821" s="341" t="n">
        <f aca="false">+F803+F789+F814</f>
        <v>22741.27</v>
      </c>
      <c r="G821" s="341" t="n">
        <f aca="false">+G803+G789+G814</f>
        <v>23501.69</v>
      </c>
      <c r="H821" s="341" t="n">
        <f aca="false">+H803+H789+H814</f>
        <v>20716.73</v>
      </c>
      <c r="I821" s="341" t="n">
        <f aca="false">+I803+I789+I814</f>
        <v>21058.38</v>
      </c>
      <c r="J821" s="341" t="n">
        <f aca="false">+J803+J789+J814</f>
        <v>21117.68</v>
      </c>
      <c r="K821" s="341" t="n">
        <f aca="false">+K803+K789+K814</f>
        <v>21145.52</v>
      </c>
      <c r="L821" s="341" t="n">
        <f aca="false">+L803+L789+L814</f>
        <v>18455.07</v>
      </c>
      <c r="M821" s="341" t="n">
        <f aca="false">+M803+M789+M814</f>
        <v>17311.56</v>
      </c>
      <c r="N821" s="341" t="n">
        <f aca="false">+N803+N789+N814</f>
        <v>22191.19</v>
      </c>
      <c r="O821" s="341" t="n">
        <f aca="false">+O803+O789+O814</f>
        <v>22840.7</v>
      </c>
      <c r="P821" s="222" t="n">
        <f aca="false">+P803+P789+P814</f>
        <v>27318.95</v>
      </c>
      <c r="Q821" s="222" t="n">
        <f aca="false">+Q803+Q789+Q814</f>
        <v>32903.03</v>
      </c>
      <c r="R821" s="222" t="n">
        <f aca="false">+R803+R789+R814+R815</f>
        <v>56993.209</v>
      </c>
      <c r="S821" s="222" t="n">
        <f aca="false">+S803+S789+S814+S815+S816</f>
        <v>63212.852</v>
      </c>
      <c r="T821" s="222" t="n">
        <f aca="false">+T803+T789+T814+T816</f>
        <v>70650.405</v>
      </c>
      <c r="U821" s="222" t="n">
        <f aca="false">+U803+U789+U814+U816+U819+U815</f>
        <v>78770.177</v>
      </c>
      <c r="V821" s="222" t="n">
        <f aca="false">+V803+V789+V814+V816+V819+V815</f>
        <v>94191.586</v>
      </c>
      <c r="W821" s="222" t="n">
        <f aca="false">+W803+W789+W814+W816+W819+W815</f>
        <v>96211.383</v>
      </c>
      <c r="X821" s="222" t="n">
        <f aca="false">+X803+X789+X814+X816+X819+X815</f>
        <v>90736.108</v>
      </c>
      <c r="Y821" s="222" t="n">
        <f aca="false">+Y803+Y789+Y814+Y816+Y819+Y815+Y818</f>
        <v>84775.138</v>
      </c>
      <c r="Z821" s="222" t="n">
        <f aca="false">+Z803+Z789+Z814+Z816+Z819+Z815+Z818</f>
        <v>86168.564</v>
      </c>
      <c r="AA821" s="222" t="n">
        <f aca="false">+AA803+AA789+AA814+AA816+AA819+AA815+AA818</f>
        <v>89257.302</v>
      </c>
      <c r="AB821" s="222" t="n">
        <f aca="false">+AB803+AB789+AB814+AB816+AB819+AB815+AB818</f>
        <v>97694</v>
      </c>
      <c r="AC821" s="222" t="n">
        <f aca="false">+AC803+AC789+AC814+AC816+AC819+AC815+AC818</f>
        <v>113181.8</v>
      </c>
      <c r="AD821" s="222" t="n">
        <f aca="false">+AD803+AD789+AD814+AD816+AD819+AD815+AD818</f>
        <v>114593.1</v>
      </c>
      <c r="AE821" s="222" t="n">
        <f aca="false">+AE803+AE789+AE814+AE816+AE819+AE815+AE818</f>
        <v>114553.4</v>
      </c>
      <c r="AF821" s="342" t="n">
        <f aca="false">+AF803+AF789+AF814+AF816+AF819+AF815+AF818</f>
        <v>129464.1</v>
      </c>
      <c r="AG821" s="342" t="n">
        <f aca="false">+AG803+AG789+AG814+AG816+AG819+AG815+AG818</f>
        <v>126949.1</v>
      </c>
      <c r="AH821" s="222" t="n">
        <f aca="false">+AH803+AH789+AH814+AH816+AH819+AH815+AH818</f>
        <v>146428</v>
      </c>
      <c r="AI821" s="222" t="n">
        <f aca="false">+AI803+AI789+AI814+AI816+AI819+AI815+AI818</f>
        <v>159145.8</v>
      </c>
      <c r="AJ821" s="222" t="n">
        <f aca="false">+AJ803+AJ789+AJ814+AJ816+AJ819+AJ815+AJ818</f>
        <v>182741.152711314</v>
      </c>
      <c r="AK821" s="222" t="n">
        <f aca="false">+AK803+AK789+AK814+AK816+AK819+AK815+AK818</f>
        <v>206349.512189023</v>
      </c>
      <c r="AL821" s="222" t="n">
        <f aca="false">+AL803+AL789+AL814+AL816+AL819+AL815+AL818</f>
        <v>231369.023802979</v>
      </c>
      <c r="AM821" s="221"/>
      <c r="AN821" s="221"/>
      <c r="AO821" s="221"/>
      <c r="AP821" s="343"/>
    </row>
    <row r="822" s="200" customFormat="true" ht="12.75" hidden="false" customHeight="true" outlineLevel="0" collapsed="false">
      <c r="A822" s="183"/>
      <c r="B822" s="345" t="n">
        <f aca="false">+B821-B890</f>
        <v>-0.06999999999789</v>
      </c>
      <c r="C822" s="345" t="n">
        <f aca="false">+C821-C890</f>
        <v>0.139999999999418</v>
      </c>
      <c r="D822" s="345" t="n">
        <f aca="false">+D821-D890</f>
        <v>-0.0100000000020373</v>
      </c>
      <c r="E822" s="345" t="n">
        <f aca="false">+E821-E890</f>
        <v>0.0100000000020373</v>
      </c>
      <c r="F822" s="345" t="n">
        <f aca="false">+F821-F890</f>
        <v>0.0100000000020373</v>
      </c>
      <c r="G822" s="345" t="n">
        <f aca="false">+G821-G890</f>
        <v>0</v>
      </c>
      <c r="H822" s="345" t="n">
        <f aca="false">+H821-H890</f>
        <v>0.00999999999839929</v>
      </c>
      <c r="I822" s="345" t="n">
        <f aca="false">+I821-I890</f>
        <v>0</v>
      </c>
      <c r="J822" s="345" t="n">
        <f aca="false">+J821-J890</f>
        <v>0</v>
      </c>
      <c r="K822" s="345" t="n">
        <f aca="false">+K821-K890</f>
        <v>0</v>
      </c>
      <c r="L822" s="345" t="n">
        <f aca="false">+L821-L890</f>
        <v>0</v>
      </c>
      <c r="M822" s="345" t="n">
        <f aca="false">+M821-M890</f>
        <v>0</v>
      </c>
      <c r="N822" s="345" t="n">
        <f aca="false">+N821-N890</f>
        <v>0</v>
      </c>
      <c r="O822" s="345" t="n">
        <f aca="false">+O821-O890</f>
        <v>0</v>
      </c>
      <c r="P822" s="111" t="n">
        <f aca="false">+P821-P890</f>
        <v>0</v>
      </c>
      <c r="Q822" s="111" t="n">
        <f aca="false">+Q821-Q890</f>
        <v>0</v>
      </c>
      <c r="R822" s="111" t="n">
        <f aca="false">+R821-R890</f>
        <v>0</v>
      </c>
      <c r="S822" s="346" t="n">
        <f aca="false">+S821-S890</f>
        <v>0</v>
      </c>
      <c r="T822" s="347" t="n">
        <f aca="false">+T821-T890</f>
        <v>0</v>
      </c>
      <c r="U822" s="111" t="n">
        <f aca="false">+U821-U890</f>
        <v>0</v>
      </c>
      <c r="V822" s="111" t="n">
        <f aca="false">+V821-V890</f>
        <v>0</v>
      </c>
      <c r="W822" s="111" t="n">
        <f aca="false">+W821-W890</f>
        <v>0</v>
      </c>
      <c r="X822" s="111" t="n">
        <f aca="false">+X821-X890</f>
        <v>0</v>
      </c>
      <c r="Y822" s="111" t="n">
        <f aca="false">+Y821-Y890</f>
        <v>0</v>
      </c>
      <c r="Z822" s="111" t="n">
        <f aca="false">+Z821-Z890</f>
        <v>0</v>
      </c>
      <c r="AA822" s="111" t="n">
        <f aca="false">+AA821-AA890</f>
        <v>0</v>
      </c>
      <c r="AB822" s="111" t="n">
        <f aca="false">+AB821-AB890</f>
        <v>0</v>
      </c>
      <c r="AC822" s="111" t="n">
        <f aca="false">+AC821-AC890</f>
        <v>0</v>
      </c>
      <c r="AD822" s="111" t="n">
        <f aca="false">+AD821-AD890</f>
        <v>0</v>
      </c>
      <c r="AE822" s="111" t="n">
        <f aca="false">+AE821-AE890</f>
        <v>0</v>
      </c>
      <c r="AF822" s="346" t="n">
        <f aca="false">+AF821-AF890</f>
        <v>0</v>
      </c>
      <c r="AG822" s="346" t="n">
        <f aca="false">+AG821-AG890</f>
        <v>0</v>
      </c>
      <c r="AH822" s="111" t="n">
        <f aca="false">+AH821-AH890</f>
        <v>0</v>
      </c>
      <c r="AI822" s="111" t="n">
        <f aca="false">+AI821-AI890</f>
        <v>0</v>
      </c>
      <c r="AJ822" s="111" t="n">
        <f aca="false">+AJ821-AJ890</f>
        <v>0</v>
      </c>
      <c r="AK822" s="111" t="n">
        <f aca="false">+AK821-AK890</f>
        <v>0</v>
      </c>
      <c r="AL822" s="111" t="n">
        <f aca="false">+AL821-AL890</f>
        <v>0</v>
      </c>
      <c r="AM822" s="348"/>
      <c r="AN822" s="348"/>
      <c r="AO822" s="348"/>
      <c r="AQ822" s="349"/>
    </row>
    <row r="823" customFormat="false" ht="12.75" hidden="false" customHeight="true" outlineLevel="0" collapsed="false">
      <c r="A823" s="59" t="s">
        <v>642</v>
      </c>
      <c r="P823" s="41"/>
      <c r="Q823" s="41"/>
      <c r="R823" s="41"/>
      <c r="S823" s="102"/>
      <c r="T823" s="331"/>
      <c r="U823" s="41"/>
      <c r="V823" s="41"/>
      <c r="W823" s="41"/>
      <c r="X823" s="41"/>
      <c r="Y823" s="31"/>
      <c r="Z823" s="31"/>
      <c r="AA823" s="38"/>
      <c r="AB823" s="31"/>
      <c r="AD823" s="30"/>
      <c r="AE823" s="30"/>
    </row>
    <row r="824" customFormat="false" ht="12" hidden="false" customHeight="true" outlineLevel="0" collapsed="false">
      <c r="C824" s="46" t="n">
        <f aca="false">+C825-B825</f>
        <v>956.79</v>
      </c>
      <c r="D824" s="46" t="n">
        <f aca="false">+D825-C825</f>
        <v>2708.2</v>
      </c>
      <c r="E824" s="46" t="n">
        <f aca="false">+E825-D825</f>
        <v>1663.57</v>
      </c>
      <c r="F824" s="46" t="n">
        <f aca="false">+F825-E825</f>
        <v>1800.65</v>
      </c>
      <c r="G824" s="46" t="n">
        <f aca="false">+G825-F825</f>
        <v>628.48</v>
      </c>
      <c r="H824" s="46" t="n">
        <f aca="false">+H825-G825</f>
        <v>1577.2</v>
      </c>
      <c r="I824" s="46" t="n">
        <f aca="false">+I825-H825</f>
        <v>856.529999999999</v>
      </c>
      <c r="J824" s="46" t="n">
        <f aca="false">+J825-I825</f>
        <v>549.48</v>
      </c>
      <c r="K824" s="46" t="n">
        <f aca="false">+K825-J825</f>
        <v>1410.6</v>
      </c>
      <c r="L824" s="46" t="n">
        <f aca="false">+L825-K825</f>
        <v>1216.38</v>
      </c>
      <c r="M824" s="46" t="n">
        <f aca="false">+M825-L825</f>
        <v>635.73</v>
      </c>
      <c r="N824" s="46" t="n">
        <f aca="false">+N825-M825</f>
        <v>1266.08</v>
      </c>
      <c r="O824" s="46" t="n">
        <f aca="false">+O825-N825</f>
        <v>1362.49</v>
      </c>
      <c r="P824" s="62" t="n">
        <f aca="false">+P825-O825</f>
        <v>4816.98</v>
      </c>
      <c r="Q824" s="62" t="n">
        <f aca="false">+Q825-P825</f>
        <v>3222.41</v>
      </c>
      <c r="R824" s="62" t="n">
        <f aca="false">+R825-Q825</f>
        <v>20108.342</v>
      </c>
      <c r="S824" s="62" t="n">
        <f aca="false">+S825-R825</f>
        <v>10653.615</v>
      </c>
      <c r="T824" s="62" t="n">
        <f aca="false">+T825-S825</f>
        <v>6732.55</v>
      </c>
      <c r="U824" s="62" t="n">
        <f aca="false">+U825-T825</f>
        <v>215.955999999991</v>
      </c>
      <c r="V824" s="62" t="n">
        <f aca="false">+V825-U825</f>
        <v>6384.35100000001</v>
      </c>
      <c r="W824" s="62" t="n">
        <f aca="false">+W825-V825</f>
        <v>5380.06199999999</v>
      </c>
      <c r="X824" s="62" t="n">
        <f aca="false">+X825-W825</f>
        <v>-1273.431</v>
      </c>
      <c r="Y824" s="62" t="n">
        <f aca="false">+Y825-X825</f>
        <v>-28935.314</v>
      </c>
      <c r="Z824" s="62" t="n">
        <f aca="false">+Z825-Y825</f>
        <v>5320.15</v>
      </c>
      <c r="AA824" s="62" t="n">
        <f aca="false">+AA825-Z825</f>
        <v>4149.087</v>
      </c>
      <c r="AB824" s="62" t="n">
        <f aca="false">+AB825-AA825</f>
        <v>6800.152</v>
      </c>
      <c r="AC824" s="62" t="n">
        <f aca="false">+AC825-AB825</f>
        <v>9403.49999999999</v>
      </c>
      <c r="AD824" s="62" t="n">
        <f aca="false">+AD825-AC825</f>
        <v>7961.60000000001</v>
      </c>
      <c r="AE824" s="62" t="n">
        <f aca="false">+AE825-AD825</f>
        <v>1970.39999999999</v>
      </c>
      <c r="AF824" s="62" t="n">
        <f aca="false">+AF825-AE825</f>
        <v>3022.10000000001</v>
      </c>
      <c r="AG824" s="62" t="n">
        <f aca="false">+AG825-AF825</f>
        <v>2398.60000000001</v>
      </c>
      <c r="AH824" s="190" t="n">
        <v>6237.59999999998</v>
      </c>
      <c r="AI824" s="190" t="n">
        <v>13806.5</v>
      </c>
      <c r="AJ824" s="190" t="n">
        <v>10000</v>
      </c>
      <c r="AK824" s="190" t="n">
        <v>8000</v>
      </c>
      <c r="AL824" s="190" t="n">
        <v>8000</v>
      </c>
      <c r="AM824" s="297"/>
      <c r="AN824" s="297"/>
      <c r="AO824" s="297"/>
    </row>
    <row r="825" customFormat="false" ht="12" hidden="false" customHeight="true" outlineLevel="0" collapsed="false">
      <c r="A825" s="69" t="s">
        <v>352</v>
      </c>
      <c r="B825" s="48" t="n">
        <v>4752.81</v>
      </c>
      <c r="C825" s="48" t="n">
        <v>5709.6</v>
      </c>
      <c r="D825" s="48" t="n">
        <v>8417.8</v>
      </c>
      <c r="E825" s="48" t="n">
        <v>10081.37</v>
      </c>
      <c r="F825" s="48" t="n">
        <v>11882.02</v>
      </c>
      <c r="G825" s="48" t="n">
        <v>12510.5</v>
      </c>
      <c r="H825" s="48" t="n">
        <v>14087.7</v>
      </c>
      <c r="I825" s="48" t="n">
        <v>14944.23</v>
      </c>
      <c r="J825" s="48" t="n">
        <v>15493.71</v>
      </c>
      <c r="K825" s="48" t="n">
        <v>16904.31</v>
      </c>
      <c r="L825" s="48" t="n">
        <v>18120.69</v>
      </c>
      <c r="M825" s="48" t="n">
        <v>18756.42</v>
      </c>
      <c r="N825" s="48" t="n">
        <v>20022.5</v>
      </c>
      <c r="O825" s="195" t="n">
        <f aca="false">21384.99</f>
        <v>21384.99</v>
      </c>
      <c r="P825" s="190" t="n">
        <v>26201.97</v>
      </c>
      <c r="Q825" s="190" t="n">
        <v>29424.38</v>
      </c>
      <c r="R825" s="190" t="n">
        <v>49532.722</v>
      </c>
      <c r="S825" s="190" t="n">
        <v>60186.337</v>
      </c>
      <c r="T825" s="190" t="n">
        <v>66918.887</v>
      </c>
      <c r="U825" s="190" t="n">
        <v>67134.843</v>
      </c>
      <c r="V825" s="190" t="n">
        <v>73519.194</v>
      </c>
      <c r="W825" s="190" t="n">
        <v>78899.256</v>
      </c>
      <c r="X825" s="190" t="n">
        <v>77625.825</v>
      </c>
      <c r="Y825" s="190" t="n">
        <v>48690.511</v>
      </c>
      <c r="Z825" s="190" t="n">
        <v>54010.661</v>
      </c>
      <c r="AA825" s="190" t="n">
        <v>58159.748</v>
      </c>
      <c r="AB825" s="190" t="n">
        <v>64959.9</v>
      </c>
      <c r="AC825" s="190" t="n">
        <v>74363.4</v>
      </c>
      <c r="AD825" s="190" t="n">
        <v>82325</v>
      </c>
      <c r="AE825" s="190" t="n">
        <v>84295.4</v>
      </c>
      <c r="AF825" s="190" t="n">
        <v>87317.5</v>
      </c>
      <c r="AG825" s="190" t="n">
        <v>89716.1</v>
      </c>
      <c r="AH825" s="62" t="n">
        <f aca="false">AG825+AH824</f>
        <v>95953.7</v>
      </c>
      <c r="AI825" s="62" t="n">
        <f aca="false">AH825+AI824</f>
        <v>109760.2</v>
      </c>
      <c r="AJ825" s="62" t="n">
        <f aca="false">AI825+AJ824</f>
        <v>119760.2</v>
      </c>
      <c r="AK825" s="62" t="n">
        <f aca="false">AJ825+AK824</f>
        <v>127760.2</v>
      </c>
      <c r="AL825" s="62" t="n">
        <f aca="false">AK825+AL824</f>
        <v>135760.2</v>
      </c>
      <c r="AM825" s="41"/>
      <c r="AN825" s="41"/>
      <c r="AO825" s="41"/>
    </row>
    <row r="826" customFormat="false" ht="12" hidden="false" customHeight="true" outlineLevel="0" collapsed="false">
      <c r="A826" s="69" t="s">
        <v>353</v>
      </c>
      <c r="B826" s="48" t="n">
        <v>1955.7</v>
      </c>
      <c r="C826" s="48" t="n">
        <v>2244.57</v>
      </c>
      <c r="D826" s="48" t="n">
        <v>2632.13</v>
      </c>
      <c r="E826" s="196" t="n">
        <v>3162.44</v>
      </c>
      <c r="F826" s="48" t="n">
        <v>3809.5</v>
      </c>
      <c r="G826" s="196" t="n">
        <v>4462.07</v>
      </c>
      <c r="H826" s="196" t="n">
        <v>5152.5</v>
      </c>
      <c r="I826" s="196" t="n">
        <v>5793.89</v>
      </c>
      <c r="J826" s="196" t="n">
        <v>6578.3</v>
      </c>
      <c r="K826" s="196" t="n">
        <v>7343.32</v>
      </c>
      <c r="L826" s="196" t="n">
        <v>9095.5</v>
      </c>
      <c r="M826" s="196" t="n">
        <v>10008.13</v>
      </c>
      <c r="N826" s="196" t="n">
        <v>11084.04</v>
      </c>
      <c r="O826" s="196" t="n">
        <v>11952.28</v>
      </c>
      <c r="P826" s="190" t="n">
        <v>13131.64</v>
      </c>
      <c r="Q826" s="190" t="n">
        <v>14168.88</v>
      </c>
      <c r="R826" s="190" t="n">
        <v>15541.559</v>
      </c>
      <c r="S826" s="190" t="n">
        <v>17690.745</v>
      </c>
      <c r="T826" s="190" t="n">
        <v>20580.969</v>
      </c>
      <c r="U826" s="190" t="n">
        <v>21477.718</v>
      </c>
      <c r="V826" s="190" t="n">
        <v>24334.852</v>
      </c>
      <c r="W826" s="190" t="n">
        <v>26679.986</v>
      </c>
      <c r="X826" s="190" t="n">
        <v>28800.995</v>
      </c>
      <c r="Y826" s="190" t="n">
        <v>4153.479</v>
      </c>
      <c r="Z826" s="190" t="n">
        <v>7449.698</v>
      </c>
      <c r="AA826" s="190" t="n">
        <v>11283.382</v>
      </c>
      <c r="AB826" s="190" t="n">
        <v>16900.1</v>
      </c>
      <c r="AC826" s="190" t="n">
        <v>23996.8</v>
      </c>
      <c r="AD826" s="190" t="n">
        <v>29228.4</v>
      </c>
      <c r="AE826" s="190" t="n">
        <v>34524.2</v>
      </c>
      <c r="AF826" s="190" t="n">
        <v>39839</v>
      </c>
      <c r="AG826" s="190" t="n">
        <v>44693.9</v>
      </c>
      <c r="AH826" s="62" t="n">
        <f aca="false">AG826+AH689</f>
        <v>51887.3</v>
      </c>
      <c r="AI826" s="62" t="n">
        <f aca="false">AH826+AI689</f>
        <v>59039.2</v>
      </c>
      <c r="AJ826" s="62" t="n">
        <f aca="false">AI826+AJ689</f>
        <v>66590.6454</v>
      </c>
      <c r="AK826" s="62" t="n">
        <f aca="false">AJ826+AK689</f>
        <v>74702.5908</v>
      </c>
      <c r="AL826" s="62" t="n">
        <f aca="false">AK826+AL689</f>
        <v>83170.0456</v>
      </c>
      <c r="AM826" s="41"/>
      <c r="AN826" s="41"/>
      <c r="AO826" s="41"/>
    </row>
    <row r="827" customFormat="false" ht="12" hidden="false" customHeight="true" outlineLevel="0" collapsed="false">
      <c r="A827" s="69" t="s">
        <v>354</v>
      </c>
      <c r="B827" s="46" t="n">
        <f aca="false">+B825-B826</f>
        <v>2797.11</v>
      </c>
      <c r="C827" s="46" t="n">
        <f aca="false">+C825-C826</f>
        <v>3465.03</v>
      </c>
      <c r="D827" s="46" t="n">
        <f aca="false">+D825-D826</f>
        <v>5785.67</v>
      </c>
      <c r="E827" s="46" t="n">
        <f aca="false">+E825-E826</f>
        <v>6918.93</v>
      </c>
      <c r="F827" s="90" t="n">
        <f aca="false">+F825-F826</f>
        <v>8072.52</v>
      </c>
      <c r="G827" s="90" t="n">
        <f aca="false">+G825-G826</f>
        <v>8048.43</v>
      </c>
      <c r="H827" s="90" t="n">
        <f aca="false">+H825-H826</f>
        <v>8935.2</v>
      </c>
      <c r="I827" s="81" t="n">
        <f aca="false">+I825-I826</f>
        <v>9150.34</v>
      </c>
      <c r="J827" s="81" t="n">
        <f aca="false">+J825-J826</f>
        <v>8915.41</v>
      </c>
      <c r="K827" s="81" t="n">
        <f aca="false">+K825-K826</f>
        <v>9560.99</v>
      </c>
      <c r="L827" s="81" t="n">
        <f aca="false">+L825-L826</f>
        <v>9025.19</v>
      </c>
      <c r="M827" s="81" t="n">
        <f aca="false">+M825-M826</f>
        <v>8748.29</v>
      </c>
      <c r="N827" s="81" t="n">
        <f aca="false">+N825-N826</f>
        <v>8938.46</v>
      </c>
      <c r="O827" s="81" t="n">
        <f aca="false">+O825-O826</f>
        <v>9432.71</v>
      </c>
      <c r="P827" s="62" t="n">
        <f aca="false">+P825-P826</f>
        <v>13070.33</v>
      </c>
      <c r="Q827" s="62" t="n">
        <f aca="false">+Q825-Q826</f>
        <v>15255.5</v>
      </c>
      <c r="R827" s="62" t="n">
        <f aca="false">+R825-R826</f>
        <v>33991.163</v>
      </c>
      <c r="S827" s="62" t="n">
        <f aca="false">+S825-S826</f>
        <v>42495.592</v>
      </c>
      <c r="T827" s="62" t="n">
        <f aca="false">+T825-T826</f>
        <v>46337.918</v>
      </c>
      <c r="U827" s="62" t="n">
        <f aca="false">+U825-U826</f>
        <v>45657.125</v>
      </c>
      <c r="V827" s="62" t="n">
        <f aca="false">+V825-V826</f>
        <v>49184.342</v>
      </c>
      <c r="W827" s="62" t="n">
        <f aca="false">+W825-W826</f>
        <v>52219.27</v>
      </c>
      <c r="X827" s="62" t="n">
        <f aca="false">+X825-X826</f>
        <v>48824.83</v>
      </c>
      <c r="Y827" s="62" t="n">
        <f aca="false">+Y825-Y826</f>
        <v>44537.032</v>
      </c>
      <c r="Z827" s="62" t="n">
        <f aca="false">+Z825-Z826</f>
        <v>46560.963</v>
      </c>
      <c r="AA827" s="62" t="n">
        <f aca="false">+AA825-AA826</f>
        <v>46876.366</v>
      </c>
      <c r="AB827" s="62" t="n">
        <f aca="false">+AB825-AB826</f>
        <v>48059.8</v>
      </c>
      <c r="AC827" s="62" t="n">
        <f aca="false">+AC825-AC826</f>
        <v>50366.6</v>
      </c>
      <c r="AD827" s="62" t="n">
        <f aca="false">+AD825-AD826</f>
        <v>53096.6</v>
      </c>
      <c r="AE827" s="62" t="n">
        <f aca="false">+AE825-AE826</f>
        <v>49771.2</v>
      </c>
      <c r="AF827" s="62" t="n">
        <f aca="false">+AF825-AF826</f>
        <v>47478.5</v>
      </c>
      <c r="AG827" s="62" t="n">
        <f aca="false">+AG825-AG826</f>
        <v>45022.2</v>
      </c>
      <c r="AH827" s="62" t="n">
        <f aca="false">+AH825-AH826</f>
        <v>44066.4</v>
      </c>
      <c r="AI827" s="62" t="n">
        <f aca="false">+AI825-AI826</f>
        <v>50721</v>
      </c>
      <c r="AJ827" s="62" t="n">
        <f aca="false">+AJ825-AJ826</f>
        <v>53169.5546</v>
      </c>
      <c r="AK827" s="62" t="n">
        <f aca="false">+AK825-AK826</f>
        <v>53057.6092</v>
      </c>
      <c r="AL827" s="62" t="n">
        <f aca="false">+AL825-AL826</f>
        <v>52590.1544</v>
      </c>
      <c r="AM827" s="41"/>
      <c r="AN827" s="41"/>
      <c r="AO827" s="41"/>
    </row>
    <row r="828" customFormat="false" ht="12" hidden="false" customHeight="true" outlineLevel="0" collapsed="false">
      <c r="N828" s="75"/>
      <c r="P828" s="41"/>
      <c r="Q828" s="41"/>
      <c r="R828" s="41"/>
      <c r="S828" s="41"/>
      <c r="T828" s="41"/>
      <c r="U828" s="41"/>
      <c r="V828" s="41"/>
      <c r="W828" s="41"/>
      <c r="X828" s="41"/>
      <c r="Y828" s="41"/>
      <c r="Z828" s="41"/>
      <c r="AA828" s="41"/>
      <c r="AB828" s="41"/>
      <c r="AC828" s="41"/>
      <c r="AD828" s="180"/>
      <c r="AE828" s="180"/>
      <c r="AF828" s="180"/>
      <c r="AG828" s="180"/>
      <c r="AH828" s="41"/>
      <c r="AI828" s="41"/>
      <c r="AJ828" s="41"/>
      <c r="AK828" s="41"/>
      <c r="AL828" s="41"/>
      <c r="AM828" s="41"/>
      <c r="AN828" s="41"/>
      <c r="AO828" s="41"/>
    </row>
    <row r="829" customFormat="false" ht="12" hidden="false" customHeight="true" outlineLevel="0" collapsed="false">
      <c r="A829" s="69" t="s">
        <v>355</v>
      </c>
      <c r="B829" s="48" t="n">
        <v>470.52</v>
      </c>
      <c r="C829" s="48" t="n">
        <v>1556.11</v>
      </c>
      <c r="D829" s="48" t="n">
        <v>118.17</v>
      </c>
      <c r="E829" s="48" t="n">
        <v>223.04</v>
      </c>
      <c r="F829" s="48" t="n">
        <v>326.35</v>
      </c>
      <c r="G829" s="196" t="n">
        <v>977.66</v>
      </c>
      <c r="H829" s="196" t="n">
        <v>612.3</v>
      </c>
      <c r="I829" s="196" t="n">
        <v>308</v>
      </c>
      <c r="J829" s="196" t="n">
        <v>697.54</v>
      </c>
      <c r="K829" s="196" t="n">
        <v>537.35</v>
      </c>
      <c r="L829" s="195" t="n">
        <f aca="false">225.24+147.95</f>
        <v>373.19</v>
      </c>
      <c r="M829" s="195" t="n">
        <f aca="false">204.53+258.18</f>
        <v>462.71</v>
      </c>
      <c r="N829" s="196" t="n">
        <v>851.55</v>
      </c>
      <c r="O829" s="196" t="n">
        <v>1414.17</v>
      </c>
      <c r="P829" s="190" t="n">
        <v>2374.91</v>
      </c>
      <c r="Q829" s="190" t="n">
        <v>5292.45</v>
      </c>
      <c r="R829" s="190" t="n">
        <v>9982.894</v>
      </c>
      <c r="S829" s="190" t="n">
        <v>5614.697</v>
      </c>
      <c r="T829" s="190" t="n">
        <v>3579.661</v>
      </c>
      <c r="U829" s="190" t="n">
        <v>4351.906</v>
      </c>
      <c r="V829" s="190" t="n">
        <v>5626.183</v>
      </c>
      <c r="W829" s="190" t="n">
        <v>1551.303</v>
      </c>
      <c r="X829" s="190" t="n">
        <v>697.97</v>
      </c>
      <c r="Y829" s="190" t="n">
        <v>547.499</v>
      </c>
      <c r="Z829" s="190" t="n">
        <v>1575.95</v>
      </c>
      <c r="AA829" s="190" t="n">
        <v>2129.295</v>
      </c>
      <c r="AB829" s="190" t="n">
        <v>2746.4</v>
      </c>
      <c r="AC829" s="190" t="n">
        <v>4209.7</v>
      </c>
      <c r="AD829" s="190" t="n">
        <v>2287.8</v>
      </c>
      <c r="AE829" s="190" t="n">
        <v>1111.1</v>
      </c>
      <c r="AF829" s="190" t="n">
        <v>489.5</v>
      </c>
      <c r="AG829" s="190" t="n">
        <v>955.3</v>
      </c>
      <c r="AH829" s="190" t="n">
        <v>2768.7</v>
      </c>
      <c r="AI829" s="190" t="n">
        <v>2099.8</v>
      </c>
      <c r="AJ829" s="190" t="n">
        <v>1200</v>
      </c>
      <c r="AK829" s="190" t="n">
        <v>1200</v>
      </c>
      <c r="AL829" s="190" t="n">
        <v>1200</v>
      </c>
      <c r="AM829" s="297"/>
      <c r="AN829" s="297"/>
      <c r="AO829" s="297"/>
    </row>
    <row r="830" customFormat="false" ht="12" hidden="false" customHeight="true" outlineLevel="0" collapsed="false">
      <c r="G830" s="40"/>
      <c r="H830" s="40"/>
      <c r="I830" s="40"/>
      <c r="J830" s="40"/>
      <c r="K830" s="40"/>
      <c r="L830" s="40"/>
      <c r="M830" s="40"/>
      <c r="N830" s="40"/>
      <c r="O830" s="40"/>
      <c r="P830" s="41"/>
      <c r="Q830" s="41"/>
      <c r="R830" s="41"/>
      <c r="S830" s="41"/>
      <c r="T830" s="41"/>
      <c r="U830" s="297"/>
      <c r="V830" s="297"/>
      <c r="W830" s="41"/>
      <c r="X830" s="41"/>
      <c r="AD830" s="30"/>
      <c r="AE830" s="30"/>
    </row>
    <row r="831" customFormat="false" ht="12" hidden="false" customHeight="true" outlineLevel="0" collapsed="false">
      <c r="A831" s="69" t="s">
        <v>643</v>
      </c>
      <c r="G831" s="40"/>
      <c r="H831" s="40"/>
      <c r="I831" s="40"/>
      <c r="J831" s="40"/>
      <c r="K831" s="40"/>
      <c r="L831" s="40"/>
      <c r="M831" s="40"/>
      <c r="N831" s="40"/>
      <c r="O831" s="40"/>
      <c r="P831" s="41"/>
      <c r="Q831" s="41"/>
      <c r="R831" s="41"/>
      <c r="S831" s="41"/>
      <c r="T831" s="41"/>
      <c r="U831" s="190" t="n">
        <v>3477.816</v>
      </c>
      <c r="V831" s="190" t="n">
        <v>3634.486</v>
      </c>
      <c r="W831" s="190" t="n">
        <v>4379.402</v>
      </c>
      <c r="X831" s="190" t="n">
        <v>3730.699</v>
      </c>
      <c r="Y831" s="190" t="n">
        <v>3382.831</v>
      </c>
      <c r="Z831" s="190" t="n">
        <v>3147.118</v>
      </c>
      <c r="AA831" s="190" t="n">
        <v>2865.86</v>
      </c>
      <c r="AB831" s="205" t="n">
        <f aca="false">3586.3+4499</f>
        <v>8085.3</v>
      </c>
      <c r="AC831" s="205" t="n">
        <f aca="false">9105.5+4499</f>
        <v>13604.5</v>
      </c>
      <c r="AD831" s="205" t="n">
        <f aca="false">10012.9+4499</f>
        <v>14511.9</v>
      </c>
      <c r="AE831" s="205" t="n">
        <f aca="false">8773+4499</f>
        <v>13272</v>
      </c>
      <c r="AF831" s="205" t="n">
        <f aca="false">4499+8694.2</f>
        <v>13193.2</v>
      </c>
      <c r="AG831" s="205" t="n">
        <f aca="false">4499+7643.8</f>
        <v>12142.8</v>
      </c>
      <c r="AH831" s="205" t="n">
        <f aca="false">4499+7136.2</f>
        <v>11635.2</v>
      </c>
      <c r="AI831" s="205" t="n">
        <f aca="false">4499+6038.3</f>
        <v>10537.3</v>
      </c>
      <c r="AJ831" s="239" t="n">
        <f aca="false">+AI831+500</f>
        <v>11037.3</v>
      </c>
      <c r="AK831" s="239" t="n">
        <f aca="false">+AJ831+500</f>
        <v>11537.3</v>
      </c>
      <c r="AL831" s="239" t="n">
        <f aca="false">+AK831+500</f>
        <v>12037.3</v>
      </c>
      <c r="AM831" s="240"/>
      <c r="AN831" s="240"/>
      <c r="AO831" s="240"/>
    </row>
    <row r="832" customFormat="false" ht="12" hidden="false" customHeight="true" outlineLevel="0" collapsed="false">
      <c r="A832" s="69" t="s">
        <v>357</v>
      </c>
      <c r="G832" s="40"/>
      <c r="H832" s="40"/>
      <c r="I832" s="40"/>
      <c r="J832" s="40"/>
      <c r="K832" s="40"/>
      <c r="L832" s="40"/>
      <c r="M832" s="40"/>
      <c r="N832" s="40"/>
      <c r="O832" s="40"/>
      <c r="P832" s="41"/>
      <c r="Q832" s="41"/>
      <c r="R832" s="41"/>
      <c r="S832" s="41"/>
      <c r="T832" s="41"/>
      <c r="U832" s="190" t="n">
        <v>1130.303</v>
      </c>
      <c r="V832" s="190" t="n">
        <v>1263.091</v>
      </c>
      <c r="W832" s="190" t="n">
        <v>263.969</v>
      </c>
      <c r="X832" s="190" t="n">
        <v>503.466</v>
      </c>
      <c r="Y832" s="190" t="n">
        <v>211.06</v>
      </c>
      <c r="Z832" s="190" t="n">
        <v>482.658</v>
      </c>
      <c r="AA832" s="190" t="n">
        <v>1883.103</v>
      </c>
      <c r="AB832" s="190" t="n">
        <v>3829.8</v>
      </c>
      <c r="AC832" s="190" t="n">
        <v>1731.7</v>
      </c>
      <c r="AD832" s="190" t="n">
        <v>1430.7</v>
      </c>
      <c r="AE832" s="190" t="n">
        <v>831.6</v>
      </c>
      <c r="AF832" s="190" t="n">
        <v>835.7</v>
      </c>
      <c r="AG832" s="190" t="n">
        <v>1060</v>
      </c>
      <c r="AH832" s="190" t="n">
        <v>1478.9</v>
      </c>
      <c r="AI832" s="190" t="n">
        <v>2693.1</v>
      </c>
      <c r="AJ832" s="62" t="n">
        <f aca="false">+AI832</f>
        <v>2693.1</v>
      </c>
      <c r="AK832" s="62" t="n">
        <f aca="false">+AJ832</f>
        <v>2693.1</v>
      </c>
      <c r="AL832" s="62" t="n">
        <f aca="false">+AK832</f>
        <v>2693.1</v>
      </c>
      <c r="AM832" s="297"/>
      <c r="AN832" s="297"/>
      <c r="AO832" s="297"/>
    </row>
    <row r="833" customFormat="false" ht="12" hidden="false" customHeight="true" outlineLevel="0" collapsed="false">
      <c r="A833" s="69" t="s">
        <v>358</v>
      </c>
      <c r="N833" s="40"/>
      <c r="P833" s="41"/>
      <c r="Q833" s="41"/>
      <c r="R833" s="41"/>
      <c r="S833" s="41"/>
      <c r="T833" s="41"/>
      <c r="U833" s="41"/>
      <c r="V833" s="41"/>
      <c r="W833" s="41"/>
      <c r="X833" s="41"/>
      <c r="AC833" s="48" t="n">
        <v>4064.6</v>
      </c>
      <c r="AD833" s="48" t="n">
        <v>2895.4</v>
      </c>
      <c r="AE833" s="48" t="n">
        <v>2965.8</v>
      </c>
      <c r="AF833" s="48" t="n">
        <v>2369.8</v>
      </c>
      <c r="AG833" s="48" t="n">
        <v>2353</v>
      </c>
      <c r="AH833" s="48" t="n">
        <v>2753.3</v>
      </c>
      <c r="AI833" s="48" t="n">
        <v>2630.4</v>
      </c>
      <c r="AJ833" s="217" t="n">
        <f aca="false">+AI833+200</f>
        <v>2830.4</v>
      </c>
      <c r="AK833" s="217" t="n">
        <f aca="false">+AJ833+200</f>
        <v>3030.4</v>
      </c>
      <c r="AL833" s="217" t="n">
        <f aca="false">+AK833+200</f>
        <v>3230.4</v>
      </c>
    </row>
    <row r="834" customFormat="false" ht="12.75" hidden="false" customHeight="true" outlineLevel="0" collapsed="false">
      <c r="A834" s="59" t="s">
        <v>644</v>
      </c>
      <c r="B834" s="39" t="n">
        <f aca="false">+B827+B829</f>
        <v>3267.63</v>
      </c>
      <c r="C834" s="39" t="n">
        <f aca="false">+C827+C829</f>
        <v>5021.14</v>
      </c>
      <c r="D834" s="39" t="n">
        <f aca="false">+D827+D829</f>
        <v>5903.84</v>
      </c>
      <c r="E834" s="39" t="n">
        <f aca="false">+E827+E829</f>
        <v>7141.97</v>
      </c>
      <c r="F834" s="39" t="n">
        <f aca="false">+F827+F829</f>
        <v>8398.87</v>
      </c>
      <c r="G834" s="117" t="n">
        <f aca="false">+G827+G829</f>
        <v>9026.09</v>
      </c>
      <c r="H834" s="165" t="n">
        <f aca="false">+H827+H829</f>
        <v>9547.5</v>
      </c>
      <c r="I834" s="165" t="n">
        <f aca="false">+I827+I829</f>
        <v>9458.34</v>
      </c>
      <c r="J834" s="165" t="n">
        <f aca="false">+J827+J829</f>
        <v>9612.95</v>
      </c>
      <c r="K834" s="165" t="n">
        <f aca="false">+K827+K829</f>
        <v>10098.34</v>
      </c>
      <c r="L834" s="165" t="n">
        <f aca="false">+L827+L829</f>
        <v>9398.38</v>
      </c>
      <c r="M834" s="165" t="n">
        <f aca="false">+M827+M829</f>
        <v>9211</v>
      </c>
      <c r="N834" s="165" t="n">
        <f aca="false">+N827+N829</f>
        <v>9790.01</v>
      </c>
      <c r="O834" s="165" t="n">
        <f aca="false">+O827+O829</f>
        <v>10846.88</v>
      </c>
      <c r="P834" s="67" t="n">
        <f aca="false">+P827+P829</f>
        <v>15445.24</v>
      </c>
      <c r="Q834" s="67" t="n">
        <f aca="false">+Q827+Q829</f>
        <v>20547.95</v>
      </c>
      <c r="R834" s="67" t="n">
        <f aca="false">+R827+R829</f>
        <v>43974.057</v>
      </c>
      <c r="S834" s="67" t="n">
        <f aca="false">+S827+S829</f>
        <v>48110.289</v>
      </c>
      <c r="T834" s="67" t="n">
        <f aca="false">+T827+T829</f>
        <v>49917.579</v>
      </c>
      <c r="U834" s="67" t="n">
        <f aca="false">+U827+U829+U831+U832</f>
        <v>54617.15</v>
      </c>
      <c r="V834" s="67" t="n">
        <f aca="false">+V827+V829+V831+V832</f>
        <v>59708.102</v>
      </c>
      <c r="W834" s="67" t="n">
        <f aca="false">+W827+W829+W831+W832</f>
        <v>58413.944</v>
      </c>
      <c r="X834" s="67" t="n">
        <f aca="false">+X827+X829+X831+X832</f>
        <v>53756.965</v>
      </c>
      <c r="Y834" s="67" t="n">
        <f aca="false">+Y827+Y829+Y831+Y832</f>
        <v>48678.422</v>
      </c>
      <c r="Z834" s="67" t="n">
        <f aca="false">+Z827+Z829+Z831+Z832</f>
        <v>51766.689</v>
      </c>
      <c r="AA834" s="67" t="n">
        <f aca="false">+AA827+AA829+AA831+AA832</f>
        <v>53754.624</v>
      </c>
      <c r="AB834" s="67" t="n">
        <f aca="false">+AB827+AB829+AB831+AB832</f>
        <v>62721.3</v>
      </c>
      <c r="AC834" s="67" t="n">
        <f aca="false">+AC827+AC829+AC831+AC832+AC833</f>
        <v>73977.1</v>
      </c>
      <c r="AD834" s="67" t="n">
        <f aca="false">+AD827+AD829+AD831+AD832+AD833</f>
        <v>74222.4</v>
      </c>
      <c r="AE834" s="67" t="n">
        <f aca="false">+AE827+AE829+AE831+AE832+AE833</f>
        <v>67951.7</v>
      </c>
      <c r="AF834" s="67" t="n">
        <f aca="false">+AF827+AF829+AF831+AF832+AF833</f>
        <v>64366.7</v>
      </c>
      <c r="AG834" s="67" t="n">
        <f aca="false">+AG827+AG829+AG831+AG832+AG833</f>
        <v>61533.3</v>
      </c>
      <c r="AH834" s="67" t="n">
        <f aca="false">+AH827+AH829+AH831+AH832+AH833</f>
        <v>62702.5</v>
      </c>
      <c r="AI834" s="67" t="n">
        <f aca="false">+AI827+AI829+AI831+AI832+AI833</f>
        <v>68681.6</v>
      </c>
      <c r="AJ834" s="67" t="n">
        <f aca="false">+AJ827+AJ829+AJ831+AJ832+AJ833</f>
        <v>70930.3546</v>
      </c>
      <c r="AK834" s="67" t="n">
        <f aca="false">+AK827+AK829+AK831+AK832+AK833</f>
        <v>71518.4092</v>
      </c>
      <c r="AL834" s="67" t="n">
        <f aca="false">+AL827+AL829+AL831+AL832+AL833</f>
        <v>71750.9544</v>
      </c>
      <c r="AM834" s="145"/>
      <c r="AN834" s="145"/>
      <c r="AO834" s="145"/>
      <c r="AP834" s="31"/>
    </row>
    <row r="835" customFormat="false" ht="12" hidden="false" customHeight="true" outlineLevel="0" collapsed="false">
      <c r="P835" s="41"/>
      <c r="Q835" s="41"/>
      <c r="R835" s="41"/>
      <c r="S835" s="41"/>
      <c r="T835" s="41"/>
      <c r="U835" s="41"/>
      <c r="V835" s="41"/>
      <c r="W835" s="41"/>
      <c r="X835" s="41"/>
      <c r="Y835" s="83"/>
      <c r="Z835" s="31"/>
      <c r="AA835" s="31"/>
      <c r="AB835" s="31"/>
      <c r="AC835" s="143" t="n">
        <f aca="false">+AC834-50366.6-4209.7-4064.6-4499-9105.5-1731.7</f>
        <v>-8.41282599139959E-012</v>
      </c>
      <c r="AD835" s="143" t="n">
        <f aca="false">+AD834-53096.6-2287.8-2895.4-4499-10012.9-1430.7</f>
        <v>0</v>
      </c>
      <c r="AE835" s="143" t="n">
        <f aca="false">+AE834-10*(4977.12+111.11+296.58+449.9+877.3+83.16)</f>
        <v>0</v>
      </c>
      <c r="AF835" s="143" t="n">
        <f aca="false">+AF834-10*(4747.85+48.95+236.98+449.9+869.42+83.57)</f>
        <v>0</v>
      </c>
      <c r="AG835" s="143" t="n">
        <f aca="false">+AG834-45022.2-955.3-2353-4499-7643.8-1060</f>
        <v>6.3664629124105E-012</v>
      </c>
      <c r="AH835" s="143" t="n">
        <f aca="false">+AH834-44066.4-2768.7-2753.3-4499-7136.2-1478.9</f>
        <v>-2.31921148952097E-011</v>
      </c>
      <c r="AI835" s="143" t="n">
        <f aca="false">+AI834-50721-2099.8-2630.4-4499-6038.3-2693.1</f>
        <v>-2.22826201934367E-011</v>
      </c>
    </row>
    <row r="836" customFormat="false" ht="12.75" hidden="false" customHeight="true" outlineLevel="0" collapsed="false">
      <c r="A836" s="59" t="s">
        <v>360</v>
      </c>
      <c r="B836" s="117" t="n">
        <f aca="false">+B837+B838+B839-B840</f>
        <v>277.49</v>
      </c>
      <c r="C836" s="117" t="n">
        <f aca="false">+C837+C838+C839-C840</f>
        <v>523.18</v>
      </c>
      <c r="D836" s="117" t="n">
        <f aca="false">+D837+D838+D839-D840</f>
        <v>681.18</v>
      </c>
      <c r="E836" s="117" t="n">
        <f aca="false">+E837+E838+E839-E840</f>
        <v>781.41</v>
      </c>
      <c r="F836" s="117" t="n">
        <f aca="false">+F837+F838+F839-F840</f>
        <v>583.06</v>
      </c>
      <c r="G836" s="117" t="n">
        <f aca="false">+G837+G838+G839-G840</f>
        <v>484.8</v>
      </c>
      <c r="H836" s="117" t="n">
        <f aca="false">+H837+H838+H839-H840</f>
        <v>624.72</v>
      </c>
      <c r="I836" s="165" t="n">
        <f aca="false">+I837+I838+I839-I840</f>
        <v>1203.84</v>
      </c>
      <c r="J836" s="117" t="n">
        <f aca="false">+J837+J838+J839-J840</f>
        <v>1179.64</v>
      </c>
      <c r="K836" s="117" t="n">
        <f aca="false">+K837+K838+K839-K840</f>
        <v>1173.38</v>
      </c>
      <c r="L836" s="117" t="n">
        <f aca="false">+L837+L838+L839-L840</f>
        <v>1575.76</v>
      </c>
      <c r="M836" s="117" t="n">
        <f aca="false">+M837+M838+M839-M840</f>
        <v>1466.02</v>
      </c>
      <c r="N836" s="117" t="n">
        <f aca="false">+N837+N838+N839-N840</f>
        <v>2291.9</v>
      </c>
      <c r="O836" s="117" t="n">
        <f aca="false">+O837+O838+O839-O840</f>
        <v>3681.78</v>
      </c>
      <c r="P836" s="67" t="n">
        <f aca="false">+P837+P838+P839-P840</f>
        <v>2210.94</v>
      </c>
      <c r="Q836" s="67" t="n">
        <f aca="false">+Q837+Q838+Q839-Q840</f>
        <v>6099</v>
      </c>
      <c r="R836" s="67" t="n">
        <f aca="false">+R837+R838+R839-R840</f>
        <v>2635.571</v>
      </c>
      <c r="S836" s="67" t="n">
        <f aca="false">+S837+S838+S839-S840</f>
        <v>3261.549</v>
      </c>
      <c r="T836" s="67" t="n">
        <f aca="false">+T837+T838+T839-T840</f>
        <v>12299.968</v>
      </c>
      <c r="U836" s="67" t="n">
        <f aca="false">+U837+U838+U839-U840</f>
        <v>15344.789</v>
      </c>
      <c r="V836" s="67" t="n">
        <f aca="false">+V837+V838+V839-V840</f>
        <v>23376.319</v>
      </c>
      <c r="W836" s="67" t="n">
        <f aca="false">+W837+W838+W839-W840</f>
        <v>27896.859</v>
      </c>
      <c r="X836" s="67" t="n">
        <f aca="false">+X837+X838+X839-X840</f>
        <v>26488.333</v>
      </c>
      <c r="Y836" s="67" t="n">
        <f aca="false">+Y837+Y838+Y839-Y840</f>
        <v>19804.373</v>
      </c>
      <c r="Z836" s="67" t="n">
        <f aca="false">+Z837+Z838+Z839-Z840</f>
        <v>28788.554</v>
      </c>
      <c r="AA836" s="67" t="n">
        <f aca="false">+AA837+AA838+AA839-AA840</f>
        <v>58026.268</v>
      </c>
      <c r="AB836" s="67" t="n">
        <f aca="false">+AB837+AB838+AB839-AB840</f>
        <v>26365</v>
      </c>
      <c r="AC836" s="67" t="n">
        <f aca="false">+AC837+AC838+AC839-AC840</f>
        <v>27196.3</v>
      </c>
      <c r="AD836" s="67" t="n">
        <f aca="false">+AD837+AD838+AD839-AD840</f>
        <v>30687.2</v>
      </c>
      <c r="AE836" s="67" t="n">
        <f aca="false">+AE837+AE838+AE839-AE840</f>
        <v>48196.3</v>
      </c>
      <c r="AF836" s="67" t="n">
        <f aca="false">+AF837+AF838+AF839-AF840</f>
        <v>66636</v>
      </c>
      <c r="AG836" s="67" t="n">
        <f aca="false">+AG837+AG838+AG839-AG840</f>
        <v>55597.7</v>
      </c>
      <c r="AH836" s="67" t="n">
        <f aca="false">+AH837+AH838+AH839-AH840</f>
        <v>86729.6</v>
      </c>
      <c r="AI836" s="67" t="n">
        <f aca="false">+AI837+AI838+AI839-AI840</f>
        <v>106790</v>
      </c>
      <c r="AJ836" s="67" t="n">
        <f aca="false">+AJ837+AJ838+AJ839-AJ840</f>
        <v>118849.855</v>
      </c>
      <c r="AK836" s="67" t="n">
        <f aca="false">+AK837+AK838+AK839-AK840</f>
        <v>124012.70275</v>
      </c>
      <c r="AL836" s="67" t="n">
        <f aca="false">+AL837+AL838+AL839-AL840</f>
        <v>129283.6928875</v>
      </c>
      <c r="AM836" s="145"/>
      <c r="AN836" s="145"/>
      <c r="AO836" s="145"/>
      <c r="AP836" s="274"/>
      <c r="AQ836" s="274"/>
    </row>
    <row r="837" customFormat="false" ht="12" hidden="false" customHeight="true" outlineLevel="0" collapsed="false">
      <c r="A837" s="149" t="s">
        <v>645</v>
      </c>
      <c r="B837" s="58" t="n">
        <f aca="false">4.46+0.03+10.4+12.5+105.3+5.75+4.4+0.96+3.25+2.5</f>
        <v>149.55</v>
      </c>
      <c r="C837" s="58" t="n">
        <f aca="false">23.2+18.75+0.03+128.24+5.75+4.4+0.96+3.25+2.5</f>
        <v>187.08</v>
      </c>
      <c r="D837" s="58" t="n">
        <f aca="false">23.2+18.75+0.03+239.02+5.75+7.92+0.96+3.25+2.5</f>
        <v>301.38</v>
      </c>
      <c r="E837" s="58" t="n">
        <f aca="false">23.2+18.75+0.03+239.02+5.75+7.92+0.96+3.25+2.5</f>
        <v>301.38</v>
      </c>
      <c r="F837" s="195" t="n">
        <f aca="false">239.02+10.27+23.2+0.96+3.25+5.75+2.5+0.03+18.75</f>
        <v>303.73</v>
      </c>
      <c r="G837" s="58" t="n">
        <f aca="false">239.02+11.23+23.2+3.25+5.75+0.03+18.75</f>
        <v>301.23</v>
      </c>
      <c r="H837" s="58" t="n">
        <f aca="false">239.02+11.23+23.2+3.25+5.75+0.05+150+15+2.5</f>
        <v>450</v>
      </c>
      <c r="I837" s="58" t="n">
        <f aca="false">239.02+11.23+23.2+3.25+5.75+0.03+150+11.25+2.5</f>
        <v>446.23</v>
      </c>
      <c r="J837" s="58" t="n">
        <f aca="false">239.02+11.23+23.2+3.25+5.75+0.03+150+7.5+2.5</f>
        <v>442.48</v>
      </c>
      <c r="K837" s="58" t="n">
        <f aca="false">239.02+11.23+23.2+0.19+5.75+0.03+495+150+3.75+2.13</f>
        <v>930.3</v>
      </c>
      <c r="L837" s="58" t="n">
        <f aca="false">239.02+11.23+23.2+5.75+0.03+495+500+150+2.13</f>
        <v>1426.36</v>
      </c>
      <c r="M837" s="58" t="n">
        <f aca="false">734.02+11.23+23.2+14+5.75+0.03+250+2.13</f>
        <v>1040.36</v>
      </c>
      <c r="N837" s="58" t="n">
        <f aca="false">11.23+23.2+14+40+22.6+5.75+0.03+250+0.83</f>
        <v>367.64</v>
      </c>
      <c r="O837" s="58" t="n">
        <f aca="false">11.23+143.06+14+6+40+35.4+5.75+0.03+250</f>
        <v>505.47</v>
      </c>
      <c r="P837" s="205" t="n">
        <f aca="false">11.23+143.06+14+6+30+35.4+5.75+250+0.15+30.26</f>
        <v>525.85</v>
      </c>
      <c r="Q837" s="205" t="n">
        <f aca="false">6+0.05+11.23+0.25+143.06+14+42+35.4+5.75+250+0.15+30.26+69.11+0.64</f>
        <v>607.9</v>
      </c>
      <c r="R837" s="205" t="n">
        <f aca="false">6+250+24.745+0.2+11.227+25+143.059+9+30.5+28.435+57.84+60+35.4+5.746+216.667+0.152+30.259+69.115+0.636</f>
        <v>1003.981</v>
      </c>
      <c r="S837" s="205" t="n">
        <f aca="false">250+292.408+360.045+0.2+48.827+50+143.058+72+30.5+132.64+255.04+0.04+83.8+60+57.919+5.746+216.667+0.152+12.35+69.115+0.636</f>
        <v>2141.143</v>
      </c>
      <c r="T837" s="205" t="n">
        <f aca="false">40+350+0.176+423.682+1688.415+75.2+48.827+157.518+313.616+242.126+1092+36.75+544.307+255.04+60+57.919+5.746+216.667+1306.848+116.852+69.115+596.318+502.524</f>
        <v>8199.646</v>
      </c>
      <c r="U837" s="205" t="n">
        <f aca="false">242.126+40+0.176+48.827+234.1+36.75+57.919+5.746+116.852+69.115+584.279+596.318+0.008+400+608.682+2070.615+157.518+735.407+255.04+570+0.001+216.667+63.918</f>
        <v>7110.064</v>
      </c>
      <c r="V837" s="205" t="n">
        <f aca="false">242.126+40+0.176+234.1+36.75+19.6+57.919+5.746+193.793+341.115+584.279+596.318+3.079+1.425+425+1103.682+2536.115+157.518+735.407+255.04+305+150+66.667+3000+74.758</f>
        <v>11165.613</v>
      </c>
      <c r="W837" s="190" t="n">
        <v>21771.729</v>
      </c>
      <c r="X837" s="205" t="n">
        <f aca="false">20122.437+2281.376</f>
        <v>22403.813</v>
      </c>
      <c r="Y837" s="190" t="n">
        <v>19804.373</v>
      </c>
      <c r="Z837" s="190" t="n">
        <v>20016.831</v>
      </c>
      <c r="AA837" s="190" t="n">
        <v>27474.683</v>
      </c>
      <c r="AB837" s="190" t="n">
        <v>26365</v>
      </c>
      <c r="AC837" s="190" t="n">
        <v>27196.3</v>
      </c>
      <c r="AD837" s="190" t="n">
        <v>30687.2</v>
      </c>
      <c r="AE837" s="205" t="n">
        <f aca="false">35215.8</f>
        <v>35215.8</v>
      </c>
      <c r="AF837" s="190" t="n">
        <v>38921.8</v>
      </c>
      <c r="AG837" s="190" t="n">
        <v>53107.1</v>
      </c>
      <c r="AH837" s="190" t="n">
        <v>56542.6</v>
      </c>
      <c r="AI837" s="190" t="n">
        <v>65592.9</v>
      </c>
      <c r="AJ837" s="62" t="n">
        <f aca="false">+AI837+10000</f>
        <v>75592.9</v>
      </c>
      <c r="AK837" s="239" t="n">
        <f aca="false">+AJ837+3000</f>
        <v>78592.9</v>
      </c>
      <c r="AL837" s="239" t="n">
        <f aca="false">+AK837+3000</f>
        <v>81592.9</v>
      </c>
      <c r="AM837" s="297"/>
      <c r="AN837" s="297"/>
      <c r="AO837" s="297"/>
      <c r="AQ837" s="274"/>
      <c r="AR837" s="31"/>
    </row>
    <row r="838" customFormat="false" ht="12.75" hidden="false" customHeight="true" outlineLevel="0" collapsed="false">
      <c r="A838" s="149" t="s">
        <v>646</v>
      </c>
      <c r="B838" s="195" t="n">
        <f aca="false">1.16+0.12+0.8+9.25+5.83+2.42+107.1+1+0.26</f>
        <v>127.94</v>
      </c>
      <c r="C838" s="58" t="n">
        <f aca="false">12+10+7.2+1.16+0.12+0.8+15.08+2.42+266.32+1+20</f>
        <v>336.1</v>
      </c>
      <c r="D838" s="350" t="n">
        <f aca="false">12+10+7.2+1.96+0.12+15.08+0.01+14.42+49.65+1+20+248.36</f>
        <v>379.8</v>
      </c>
      <c r="E838" s="350" t="n">
        <f aca="false">12+10+20+20+7.2+1.96+0.12+15.08+0.01+14.42+49.65+20+44.59+20+30+15+30+50+50+50+20</f>
        <v>480.03</v>
      </c>
      <c r="F838" s="58" t="n">
        <f aca="false">14.4+20+7.2+12+0.01+44.59+1.96+15.08+20+20+30+5+50+0.12+2.6+26.37+10</f>
        <v>279.33</v>
      </c>
      <c r="G838" s="58" t="n">
        <f aca="false">7.5+7.5+30+7.2+14.42+12+0.01+44.59+7.57+1.96+1.73+20+0.12+2.6+26.37</f>
        <v>183.57</v>
      </c>
      <c r="H838" s="58" t="n">
        <f aca="false">7.5+7.5+14.42+30+7.2+0.01+44.59+10.72+1.96+1.73+20+0.12+2.6+26.37</f>
        <v>174.72</v>
      </c>
      <c r="I838" s="58" t="n">
        <f aca="false">153.65+379.24+50+7.5+7.5+14.42+30+7.2+0.01+1.73+2.08+44.59+10.72+20+2.6+26.37</f>
        <v>757.61</v>
      </c>
      <c r="J838" s="58" t="n">
        <f aca="false">7.5+7.5+14.42+7.2+0.01+1.32+157.17+1.99+30.96+10.72+495+2.6+26.37</f>
        <v>762.76</v>
      </c>
      <c r="K838" s="58" t="n">
        <f aca="false">100+15+14.42+7.2+0.71+113.81+1.92+26.37</f>
        <v>279.43</v>
      </c>
      <c r="L838" s="58" t="n">
        <f aca="false">20.1+30.01+15+14.42+7.2+0.34+104.81+1.92+84.3+86.7</f>
        <v>364.8</v>
      </c>
      <c r="M838" s="58" t="n">
        <f aca="false">220+17.77+15+14.42+0.11+104.81+1.92+88.83+86.7+84.3</f>
        <v>633.86</v>
      </c>
      <c r="N838" s="58" t="n">
        <f aca="false">100+200+99.97+100+100+150+37.51+30+400+165.02+7.5+7.5+14.42+34.81+1.05+512.38+84.3+86.7</f>
        <v>2131.16</v>
      </c>
      <c r="O838" s="58" t="n">
        <f aca="false">200+200+150+50+200+250+50+1400+20.34+147.38+7.5+7.5+14.42+0.81+1.05+512.38+84.3+86.7</f>
        <v>3382.38</v>
      </c>
      <c r="P838" s="205" t="n">
        <f aca="false">1140+20.05+7.5+7.5+34.42+0.81+1.05+511.67+0.03</f>
        <v>1723.03</v>
      </c>
      <c r="Q838" s="239" t="n">
        <f aca="false">6099-Q837+Q840</f>
        <v>5529.04</v>
      </c>
      <c r="R838" s="239" t="n">
        <f aca="false">2635.571-R837+74.424</f>
        <v>1706.014</v>
      </c>
      <c r="S838" s="239" t="n">
        <f aca="false">3261.549-S837+S840</f>
        <v>1180.406</v>
      </c>
      <c r="T838" s="239" t="n">
        <f aca="false">12299.968-T837+T840</f>
        <v>4160.322</v>
      </c>
      <c r="U838" s="239" t="n">
        <f aca="false">15344.789-U837+U840</f>
        <v>8297.379</v>
      </c>
      <c r="V838" s="239" t="n">
        <f aca="false">23376.319-V837+V840</f>
        <v>12674.99</v>
      </c>
      <c r="W838" s="239" t="n">
        <f aca="false">24053.111-W837+W840+3843.748</f>
        <v>6125.13</v>
      </c>
      <c r="X838" s="205" t="n">
        <f aca="false">211.48+3873.04</f>
        <v>4084.52</v>
      </c>
      <c r="Y838" s="190" t="n">
        <v>0</v>
      </c>
      <c r="Z838" s="190" t="n">
        <v>8771.723</v>
      </c>
      <c r="AA838" s="190" t="n">
        <v>30551.585</v>
      </c>
      <c r="AB838" s="297"/>
      <c r="AC838" s="239" t="n">
        <f aca="false">+AB838*1.05</f>
        <v>0</v>
      </c>
      <c r="AD838" s="239" t="n">
        <f aca="false">+AC838*1.05</f>
        <v>0</v>
      </c>
      <c r="AE838" s="190" t="n">
        <v>12980.5</v>
      </c>
      <c r="AF838" s="190" t="n">
        <v>27714.2</v>
      </c>
      <c r="AG838" s="190" t="n">
        <v>2490.6</v>
      </c>
      <c r="AH838" s="190" t="n">
        <v>30187</v>
      </c>
      <c r="AI838" s="190" t="n">
        <v>41197.1</v>
      </c>
      <c r="AJ838" s="239" t="n">
        <f aca="false">+AI838*1.05</f>
        <v>43256.955</v>
      </c>
      <c r="AK838" s="239" t="n">
        <f aca="false">+AJ838*1.05</f>
        <v>45419.80275</v>
      </c>
      <c r="AL838" s="239" t="n">
        <f aca="false">+AK838*1.05</f>
        <v>47690.7928875</v>
      </c>
      <c r="AM838" s="297"/>
      <c r="AN838" s="351"/>
      <c r="AO838" s="297"/>
      <c r="AQ838" s="269"/>
    </row>
    <row r="839" customFormat="false" ht="12" hidden="false" customHeight="true" outlineLevel="0" collapsed="false">
      <c r="A839" s="69" t="s">
        <v>647</v>
      </c>
      <c r="B839" s="196" t="n">
        <v>0</v>
      </c>
      <c r="C839" s="196" t="n">
        <v>0</v>
      </c>
      <c r="D839" s="196" t="n">
        <v>0</v>
      </c>
      <c r="E839" s="196" t="n">
        <v>0</v>
      </c>
      <c r="F839" s="196" t="n">
        <v>0</v>
      </c>
      <c r="P839" s="41"/>
      <c r="Q839" s="41"/>
      <c r="R839" s="41"/>
      <c r="S839" s="41"/>
      <c r="T839" s="41"/>
      <c r="U839" s="41"/>
      <c r="V839" s="41"/>
      <c r="W839" s="41"/>
      <c r="X839" s="41"/>
      <c r="AD839" s="30"/>
      <c r="AE839" s="30"/>
    </row>
    <row r="840" customFormat="false" ht="24.75" hidden="false" customHeight="true" outlineLevel="0" collapsed="false">
      <c r="A840" s="69" t="s">
        <v>648</v>
      </c>
      <c r="B840" s="40"/>
      <c r="C840" s="40"/>
      <c r="D840" s="40"/>
      <c r="E840" s="40"/>
      <c r="F840" s="40"/>
      <c r="J840" s="48" t="n">
        <v>25.6</v>
      </c>
      <c r="K840" s="48" t="n">
        <v>36.35</v>
      </c>
      <c r="L840" s="48" t="n">
        <v>215.4</v>
      </c>
      <c r="M840" s="48" t="n">
        <v>208.2</v>
      </c>
      <c r="N840" s="48" t="n">
        <v>206.9</v>
      </c>
      <c r="O840" s="48" t="n">
        <v>206.07</v>
      </c>
      <c r="P840" s="190" t="n">
        <v>37.94</v>
      </c>
      <c r="Q840" s="190" t="n">
        <v>37.94</v>
      </c>
      <c r="R840" s="190" t="n">
        <v>74.424</v>
      </c>
      <c r="S840" s="190" t="n">
        <v>60</v>
      </c>
      <c r="T840" s="62" t="n">
        <f aca="false">S840</f>
        <v>60</v>
      </c>
      <c r="U840" s="190" t="n">
        <v>62.654</v>
      </c>
      <c r="V840" s="190" t="n">
        <v>464.284</v>
      </c>
      <c r="W840" s="41"/>
      <c r="X840" s="41"/>
      <c r="Y840" s="41"/>
      <c r="Z840" s="41"/>
      <c r="AA840" s="41"/>
      <c r="AB840" s="297"/>
      <c r="AC840" s="297"/>
      <c r="AD840" s="180"/>
      <c r="AE840" s="180"/>
      <c r="AF840" s="180"/>
      <c r="AG840" s="180"/>
      <c r="AH840" s="297"/>
      <c r="AI840" s="297"/>
      <c r="AJ840" s="297"/>
      <c r="AK840" s="297"/>
      <c r="AL840" s="297"/>
      <c r="AM840" s="297"/>
      <c r="AN840" s="297"/>
      <c r="AO840" s="297"/>
    </row>
    <row r="841" customFormat="false" ht="12" hidden="false" customHeight="true" outlineLevel="0" collapsed="false">
      <c r="P841" s="41"/>
      <c r="Q841" s="41"/>
      <c r="R841" s="41"/>
      <c r="S841" s="41"/>
      <c r="T841" s="41"/>
      <c r="U841" s="41"/>
      <c r="V841" s="41"/>
      <c r="W841" s="41"/>
      <c r="X841" s="41"/>
      <c r="AD841" s="30"/>
      <c r="AE841" s="30"/>
    </row>
    <row r="842" customFormat="false" ht="12.75" hidden="false" customHeight="true" outlineLevel="0" collapsed="false">
      <c r="A842" s="73" t="s">
        <v>649</v>
      </c>
      <c r="B842" s="48" t="n">
        <v>147.3</v>
      </c>
      <c r="C842" s="48" t="n">
        <v>190.61</v>
      </c>
      <c r="D842" s="48" t="n">
        <v>301.39</v>
      </c>
      <c r="E842" s="48" t="n">
        <v>345.98</v>
      </c>
      <c r="F842" s="48" t="n">
        <v>372.36</v>
      </c>
      <c r="G842" s="48" t="n">
        <v>371.01</v>
      </c>
      <c r="H842" s="48" t="n">
        <v>355.26</v>
      </c>
      <c r="I842" s="48" t="n">
        <v>934.39</v>
      </c>
      <c r="J842" s="48" t="n">
        <v>490.79</v>
      </c>
      <c r="K842" s="48" t="n">
        <v>903.98</v>
      </c>
      <c r="L842" s="48" t="n">
        <v>914.41</v>
      </c>
      <c r="M842" s="48" t="n">
        <v>1190.66</v>
      </c>
      <c r="N842" s="48" t="n">
        <v>1953.95</v>
      </c>
      <c r="O842" s="48" t="n">
        <v>3325.03</v>
      </c>
      <c r="P842" s="190" t="n">
        <v>1816.65</v>
      </c>
      <c r="Q842" s="190" t="n">
        <v>1882.23</v>
      </c>
      <c r="R842" s="41"/>
      <c r="S842" s="41"/>
      <c r="T842" s="41"/>
      <c r="U842" s="41"/>
      <c r="V842" s="102"/>
      <c r="W842" s="41"/>
      <c r="X842" s="41"/>
      <c r="AD842" s="30"/>
      <c r="AE842" s="30"/>
    </row>
    <row r="843" customFormat="false" ht="12.75" hidden="false" customHeight="true" outlineLevel="0" collapsed="false">
      <c r="A843" s="59" t="s">
        <v>650</v>
      </c>
      <c r="B843" s="42" t="n">
        <v>534.75</v>
      </c>
      <c r="C843" s="42" t="n">
        <v>1165.89</v>
      </c>
      <c r="D843" s="267" t="n">
        <v>1305.94</v>
      </c>
      <c r="E843" s="267" t="n">
        <v>1113.94</v>
      </c>
      <c r="F843" s="42" t="n">
        <v>738.86</v>
      </c>
      <c r="G843" s="42" t="n">
        <v>492.64</v>
      </c>
      <c r="H843" s="42" t="n">
        <v>284.45</v>
      </c>
      <c r="I843" s="42" t="n">
        <v>1005.42</v>
      </c>
      <c r="J843" s="42" t="n">
        <v>414.88</v>
      </c>
      <c r="K843" s="42" t="n">
        <v>1015.96</v>
      </c>
      <c r="L843" s="42" t="n">
        <v>1080.36</v>
      </c>
      <c r="M843" s="42" t="n">
        <v>2120.13</v>
      </c>
      <c r="N843" s="42" t="n">
        <v>3543.57</v>
      </c>
      <c r="O843" s="42" t="n">
        <v>4698.02</v>
      </c>
      <c r="P843" s="208" t="n">
        <v>2813.85</v>
      </c>
      <c r="Q843" s="208" t="n">
        <v>3918.38</v>
      </c>
      <c r="R843" s="41"/>
      <c r="S843" s="41"/>
      <c r="T843" s="41"/>
      <c r="U843" s="41"/>
      <c r="V843" s="41"/>
      <c r="W843" s="41"/>
      <c r="X843" s="41"/>
      <c r="AD843" s="30"/>
      <c r="AE843" s="30"/>
    </row>
    <row r="844" customFormat="false" ht="12" hidden="false" customHeight="true" outlineLevel="0" collapsed="false">
      <c r="P844" s="41"/>
      <c r="Q844" s="41"/>
      <c r="R844" s="41"/>
      <c r="S844" s="41"/>
      <c r="T844" s="41"/>
      <c r="U844" s="41"/>
      <c r="V844" s="41"/>
      <c r="W844" s="41"/>
      <c r="X844" s="41"/>
      <c r="AD844" s="30"/>
      <c r="AE844" s="30"/>
    </row>
    <row r="845" customFormat="false" ht="12" hidden="false" customHeight="true" outlineLevel="0" collapsed="false">
      <c r="A845" s="69" t="s">
        <v>361</v>
      </c>
      <c r="P845" s="41"/>
      <c r="Q845" s="41"/>
      <c r="R845" s="41"/>
      <c r="S845" s="41"/>
      <c r="T845" s="41"/>
      <c r="U845" s="190" t="n">
        <v>6082.395</v>
      </c>
      <c r="V845" s="190" t="n">
        <v>4796.955</v>
      </c>
      <c r="W845" s="190" t="n">
        <v>6727.653</v>
      </c>
      <c r="X845" s="190" t="n">
        <v>9829.176</v>
      </c>
      <c r="Y845" s="190" t="n">
        <v>976.206</v>
      </c>
      <c r="Z845" s="41"/>
      <c r="AA845" s="190" t="n">
        <v>335.411</v>
      </c>
      <c r="AB845" s="205" t="n">
        <f aca="false">317.1+1.4</f>
        <v>318.5</v>
      </c>
      <c r="AC845" s="205" t="n">
        <f aca="false">324.2+5.8</f>
        <v>330</v>
      </c>
      <c r="AD845" s="205" t="n">
        <f aca="false">205</f>
        <v>205</v>
      </c>
      <c r="AE845" s="180"/>
      <c r="AF845" s="180"/>
      <c r="AG845" s="180"/>
      <c r="AH845" s="297"/>
      <c r="AI845" s="297"/>
      <c r="AJ845" s="297"/>
      <c r="AK845" s="297"/>
      <c r="AL845" s="297"/>
      <c r="AM845" s="297"/>
      <c r="AN845" s="297"/>
      <c r="AO845" s="297"/>
    </row>
    <row r="846" customFormat="false" ht="12" hidden="false" customHeight="true" outlineLevel="0" collapsed="false">
      <c r="A846" s="69" t="s">
        <v>651</v>
      </c>
      <c r="P846" s="41"/>
      <c r="Q846" s="41"/>
      <c r="R846" s="41"/>
      <c r="S846" s="41"/>
      <c r="T846" s="41"/>
      <c r="U846" s="83"/>
      <c r="V846" s="83"/>
      <c r="W846" s="83"/>
      <c r="X846" s="83"/>
      <c r="Y846" s="205" t="n">
        <f aca="false">5352.429+743.642+371.034+1.936</f>
        <v>6469.041</v>
      </c>
      <c r="Z846" s="205" t="n">
        <f aca="false">5876.921+1110.568+626.674+1.795+1230-1.5</f>
        <v>8844.458</v>
      </c>
      <c r="AA846" s="204" t="n">
        <f aca="false">244.058+599.932+4753.759</f>
        <v>5597.749</v>
      </c>
      <c r="AB846" s="204" t="n">
        <f aca="false">414.4+1023.4+9538</f>
        <v>10975.8</v>
      </c>
      <c r="AC846" s="204" t="n">
        <f aca="false">693.7+1247.1+6217</f>
        <v>8157.8</v>
      </c>
      <c r="AD846" s="204" t="n">
        <f aca="false">370.4+1002.6+3493.1</f>
        <v>4866.1</v>
      </c>
      <c r="AE846" s="204" t="n">
        <f aca="false">686.3+887.5+3378.1</f>
        <v>4951.9</v>
      </c>
      <c r="AF846" s="204" t="n">
        <f aca="false">973+1339.1+3273.2</f>
        <v>5585.3</v>
      </c>
      <c r="AG846" s="204" t="n">
        <f aca="false">649.4+503.4+3690.9</f>
        <v>4843.7</v>
      </c>
      <c r="AH846" s="204" t="n">
        <f aca="false">5750.1+343.2+6596.9</f>
        <v>12690.2</v>
      </c>
      <c r="AI846" s="204" t="n">
        <f aca="false">1284+145.3+3612.9</f>
        <v>5042.2</v>
      </c>
      <c r="AJ846" s="36" t="n">
        <f aca="false">+AI846*1.1</f>
        <v>5546.42</v>
      </c>
      <c r="AK846" s="36" t="n">
        <f aca="false">+AJ846*1.1</f>
        <v>6101.062</v>
      </c>
      <c r="AL846" s="36" t="n">
        <f aca="false">+AK846*1.1</f>
        <v>6711.1682</v>
      </c>
    </row>
    <row r="847" customFormat="false" ht="12.75" hidden="false" customHeight="true" outlineLevel="0" collapsed="false">
      <c r="A847" s="59" t="s">
        <v>363</v>
      </c>
      <c r="P847" s="41"/>
      <c r="Q847" s="41"/>
      <c r="R847" s="41"/>
      <c r="S847" s="41"/>
      <c r="T847" s="41"/>
      <c r="U847" s="41"/>
      <c r="V847" s="41"/>
      <c r="W847" s="41"/>
      <c r="X847" s="41"/>
      <c r="Y847" s="31"/>
      <c r="Z847" s="31"/>
      <c r="AA847" s="31"/>
      <c r="AD847" s="30"/>
      <c r="AE847" s="30"/>
    </row>
    <row r="848" customFormat="false" ht="12" hidden="false" customHeight="true" outlineLevel="0" collapsed="false">
      <c r="P848" s="41"/>
      <c r="Q848" s="41"/>
      <c r="R848" s="41"/>
      <c r="S848" s="41"/>
      <c r="T848" s="41"/>
      <c r="U848" s="41"/>
      <c r="V848" s="41"/>
      <c r="W848" s="352"/>
      <c r="X848" s="352"/>
      <c r="Y848" s="119"/>
      <c r="Z848" s="31"/>
      <c r="AD848" s="30"/>
      <c r="AE848" s="30"/>
      <c r="AF848" s="36" t="n">
        <f aca="false">+AF849-27744.8</f>
        <v>0</v>
      </c>
      <c r="AG848" s="36" t="n">
        <f aca="false">+AG849-31906.9</f>
        <v>0</v>
      </c>
      <c r="AH848" s="36" t="n">
        <f aca="false">+AH849-29573.2</f>
        <v>0</v>
      </c>
    </row>
    <row r="849" customFormat="false" ht="12.75" hidden="false" customHeight="true" outlineLevel="0" collapsed="false">
      <c r="A849" s="59" t="s">
        <v>364</v>
      </c>
      <c r="B849" s="39" t="n">
        <f aca="false">SUM(B850:B856)</f>
        <v>2617.41</v>
      </c>
      <c r="C849" s="39" t="n">
        <f aca="false">SUM(C850:C856)</f>
        <v>2540.98</v>
      </c>
      <c r="D849" s="39" t="n">
        <f aca="false">SUM(D850:D856)</f>
        <v>3041.86</v>
      </c>
      <c r="E849" s="39" t="n">
        <f aca="false">SUM(E850:E856)</f>
        <v>4324.04</v>
      </c>
      <c r="F849" s="39" t="n">
        <f aca="false">SUM(F850:F856)</f>
        <v>6529.24</v>
      </c>
      <c r="G849" s="165" t="n">
        <f aca="false">SUM(G850:G856)</f>
        <v>6576.04</v>
      </c>
      <c r="H849" s="165" t="n">
        <f aca="false">SUM(H850:H856)</f>
        <v>4277.47</v>
      </c>
      <c r="I849" s="165" t="n">
        <f aca="false">SUM(I850:I856)</f>
        <v>4577.94</v>
      </c>
      <c r="J849" s="165" t="n">
        <f aca="false">SUM(J850:J856)</f>
        <v>5176.74</v>
      </c>
      <c r="K849" s="165" t="n">
        <f aca="false">SUM(K850:K856)</f>
        <v>5953.4</v>
      </c>
      <c r="L849" s="165" t="n">
        <f aca="false">SUM(L850:L856)</f>
        <v>4104.56</v>
      </c>
      <c r="M849" s="165" t="n">
        <f aca="false">SUM(M850:M856)</f>
        <v>5069.41</v>
      </c>
      <c r="N849" s="165" t="n">
        <f aca="false">SUM(N850:N856)</f>
        <v>5680.81</v>
      </c>
      <c r="O849" s="165" t="n">
        <f aca="false">SUM(O850:O856)</f>
        <v>9025.61</v>
      </c>
      <c r="P849" s="67" t="n">
        <f aca="false">SUM(P850:P856)</f>
        <v>10703.21</v>
      </c>
      <c r="Q849" s="67" t="n">
        <f aca="false">SUM(Q850:Q856)</f>
        <v>12239.14</v>
      </c>
      <c r="R849" s="67" t="n">
        <f aca="false">SUM(R850:R856)</f>
        <v>13300.144</v>
      </c>
      <c r="S849" s="67" t="n">
        <f aca="false">SUM(S850:S856)</f>
        <v>16382.4</v>
      </c>
      <c r="T849" s="67" t="n">
        <f aca="false">SUM(T850:T856)</f>
        <v>22089.034</v>
      </c>
      <c r="U849" s="67" t="n">
        <f aca="false">SUM(U850:U856)</f>
        <v>22306.252</v>
      </c>
      <c r="V849" s="67" t="n">
        <f aca="false">SUM(V850:V857)</f>
        <v>18960.208</v>
      </c>
      <c r="W849" s="67" t="n">
        <f aca="false">SUM(W850:W857)</f>
        <v>11887.031</v>
      </c>
      <c r="X849" s="67" t="n">
        <f aca="false">SUM(X850:X856)</f>
        <v>13985.272</v>
      </c>
      <c r="Y849" s="67" t="n">
        <f aca="false">SUM(Y850:Y856)</f>
        <v>16250.135</v>
      </c>
      <c r="Z849" s="67" t="n">
        <f aca="false">SUM(Z850:Z856)</f>
        <v>25011.167</v>
      </c>
      <c r="AA849" s="67" t="n">
        <f aca="false">SUM(AA850:AA856)</f>
        <v>17098.751</v>
      </c>
      <c r="AB849" s="67" t="n">
        <f aca="false">SUM(AB850:AB856)</f>
        <v>26846.7</v>
      </c>
      <c r="AC849" s="67" t="n">
        <f aca="false">SUM(AC850:AC856)</f>
        <v>12380</v>
      </c>
      <c r="AD849" s="88" t="n">
        <f aca="false">SUM(AD850:AD856)</f>
        <v>21422.9</v>
      </c>
      <c r="AE849" s="67" t="n">
        <f aca="false">SUM(AE850:AE856)</f>
        <v>20752</v>
      </c>
      <c r="AF849" s="67" t="n">
        <f aca="false">SUM(AF850:AF856)</f>
        <v>27744.8</v>
      </c>
      <c r="AG849" s="67" t="n">
        <f aca="false">SUM(AG850:AG856)</f>
        <v>31906.9</v>
      </c>
      <c r="AH849" s="67" t="n">
        <f aca="false">SUM(AH850:AH856)</f>
        <v>29573.2</v>
      </c>
      <c r="AI849" s="67" t="n">
        <f aca="false">SUM(AI850:AI856)</f>
        <v>34860.2</v>
      </c>
      <c r="AJ849" s="67" t="n">
        <f aca="false">SUM(AJ850:AJ856)</f>
        <v>38115.3206454936</v>
      </c>
      <c r="AK849" s="67" t="n">
        <f aca="false">SUM(AK850:AK856)</f>
        <v>41576.3673083312</v>
      </c>
      <c r="AL849" s="67" t="n">
        <f aca="false">SUM(AL850:AL856)</f>
        <v>44710.4594078117</v>
      </c>
      <c r="AM849" s="145"/>
      <c r="AN849" s="145"/>
      <c r="AO849" s="145"/>
      <c r="AP849" s="353"/>
    </row>
    <row r="850" customFormat="false" ht="12" hidden="false" customHeight="true" outlineLevel="0" collapsed="false">
      <c r="A850" s="69" t="s">
        <v>652</v>
      </c>
      <c r="B850" s="48" t="n">
        <v>1514.31</v>
      </c>
      <c r="C850" s="48" t="n">
        <v>1593.22</v>
      </c>
      <c r="D850" s="48" t="n">
        <v>1932.01</v>
      </c>
      <c r="E850" s="196" t="n">
        <v>2734.37</v>
      </c>
      <c r="F850" s="168" t="n">
        <v>3541.54</v>
      </c>
      <c r="G850" s="168" t="n">
        <v>2811.97</v>
      </c>
      <c r="H850" s="168" t="n">
        <v>2172.39</v>
      </c>
      <c r="I850" s="168" t="n">
        <v>2177.58</v>
      </c>
      <c r="J850" s="168" t="n">
        <v>1989.95</v>
      </c>
      <c r="K850" s="168" t="n">
        <v>1745.21</v>
      </c>
      <c r="L850" s="168" t="n">
        <v>1512.6</v>
      </c>
      <c r="M850" s="168" t="n">
        <v>1913.68</v>
      </c>
      <c r="N850" s="168" t="n">
        <v>2306.29</v>
      </c>
      <c r="O850" s="168" t="n">
        <v>2728.32</v>
      </c>
      <c r="P850" s="190" t="n">
        <v>3853.39</v>
      </c>
      <c r="Q850" s="190" t="n">
        <v>4229.29</v>
      </c>
      <c r="R850" s="190" t="n">
        <v>5325.743</v>
      </c>
      <c r="S850" s="190" t="n">
        <v>5860.654</v>
      </c>
      <c r="T850" s="190" t="n">
        <v>9484.145</v>
      </c>
      <c r="U850" s="190" t="n">
        <v>7898.815</v>
      </c>
      <c r="V850" s="190" t="n">
        <v>7408.92</v>
      </c>
      <c r="W850" s="190" t="n">
        <v>5055.6</v>
      </c>
      <c r="X850" s="190" t="n">
        <v>6368.796</v>
      </c>
      <c r="Y850" s="190" t="n">
        <v>3876.887</v>
      </c>
      <c r="Z850" s="190" t="n">
        <v>5246.334</v>
      </c>
      <c r="AA850" s="190" t="n">
        <v>8252.985</v>
      </c>
      <c r="AB850" s="190" t="n">
        <v>8165.6</v>
      </c>
      <c r="AC850" s="190" t="n">
        <v>5635.8</v>
      </c>
      <c r="AD850" s="190" t="n">
        <v>10115.1</v>
      </c>
      <c r="AE850" s="190" t="n">
        <v>8948.6</v>
      </c>
      <c r="AF850" s="190" t="n">
        <v>10365.3</v>
      </c>
      <c r="AG850" s="190" t="n">
        <v>9034.3</v>
      </c>
      <c r="AH850" s="239" t="n">
        <f aca="false">AH954/365*AH565</f>
        <v>9838.2504109589</v>
      </c>
      <c r="AI850" s="239" t="n">
        <f aca="false">AI954/365*AI565</f>
        <v>11189.6663013699</v>
      </c>
      <c r="AJ850" s="239" t="n">
        <f aca="false">AJ954/365*AJ565</f>
        <v>12389.859352995</v>
      </c>
      <c r="AK850" s="239" t="n">
        <f aca="false">AK954/365*AK565</f>
        <v>13291.5779481011</v>
      </c>
      <c r="AL850" s="239" t="n">
        <f aca="false">AL954/365*AL565</f>
        <v>14289.1478931467</v>
      </c>
      <c r="AM850" s="41"/>
      <c r="AN850" s="41"/>
      <c r="AO850" s="41"/>
    </row>
    <row r="851" customFormat="false" ht="12" hidden="false" customHeight="true" outlineLevel="0" collapsed="false">
      <c r="A851" s="69" t="s">
        <v>653</v>
      </c>
      <c r="B851" s="48" t="n">
        <v>20.02</v>
      </c>
      <c r="C851" s="48" t="n">
        <v>23.78</v>
      </c>
      <c r="D851" s="58" t="n">
        <f aca="false">35.98+71.08</f>
        <v>107.06</v>
      </c>
      <c r="E851" s="58" t="n">
        <f aca="false">49.48+128.55</f>
        <v>178.03</v>
      </c>
      <c r="F851" s="170" t="n">
        <f aca="false">40.15+181.75+118.19</f>
        <v>340.09</v>
      </c>
      <c r="G851" s="170" t="n">
        <f aca="false">26.95+196.87+131.22</f>
        <v>355.04</v>
      </c>
      <c r="H851" s="170" t="n">
        <f aca="false">35.59+180.72+119.66</f>
        <v>335.97</v>
      </c>
      <c r="I851" s="170" t="n">
        <f aca="false">164.73+178.05</f>
        <v>342.78</v>
      </c>
      <c r="J851" s="168" t="n">
        <v>173.63</v>
      </c>
      <c r="K851" s="168" t="n">
        <v>190.98</v>
      </c>
      <c r="L851" s="168" t="n">
        <v>181.91</v>
      </c>
      <c r="M851" s="168" t="n">
        <v>201.9</v>
      </c>
      <c r="N851" s="197" t="n">
        <v>227.37</v>
      </c>
      <c r="O851" s="197" t="n">
        <v>233.26</v>
      </c>
      <c r="P851" s="190" t="n">
        <v>279.17</v>
      </c>
      <c r="Q851" s="190" t="n">
        <v>418.33</v>
      </c>
      <c r="R851" s="190" t="n">
        <v>364.749</v>
      </c>
      <c r="S851" s="190" t="n">
        <v>364.068</v>
      </c>
      <c r="T851" s="190" t="n">
        <v>532.738</v>
      </c>
      <c r="U851" s="190" t="n">
        <v>977.36</v>
      </c>
      <c r="V851" s="190" t="n">
        <v>914.339</v>
      </c>
      <c r="W851" s="190" t="n">
        <v>806.465</v>
      </c>
      <c r="X851" s="190" t="n">
        <v>805.023</v>
      </c>
      <c r="Y851" s="190" t="n">
        <v>774.45</v>
      </c>
      <c r="Z851" s="190" t="n">
        <v>809.326</v>
      </c>
      <c r="AA851" s="190" t="n">
        <v>833.246</v>
      </c>
      <c r="AB851" s="190" t="n">
        <v>979.4</v>
      </c>
      <c r="AC851" s="190" t="n">
        <v>957.2</v>
      </c>
      <c r="AD851" s="190" t="n">
        <v>897.7</v>
      </c>
      <c r="AE851" s="190" t="n">
        <v>903.4</v>
      </c>
      <c r="AF851" s="190" t="n">
        <v>894.6</v>
      </c>
      <c r="AG851" s="190" t="n">
        <v>1278.3</v>
      </c>
      <c r="AH851" s="62" t="n">
        <f aca="false">AH964/100*AH580</f>
        <v>968.31</v>
      </c>
      <c r="AI851" s="62" t="n">
        <f aca="false">AI964/100*AI580</f>
        <v>1293.806682</v>
      </c>
      <c r="AJ851" s="62" t="n">
        <f aca="false">AJ964/100*AJ580</f>
        <v>2015.24184489564</v>
      </c>
      <c r="AK851" s="62" t="n">
        <f aca="false">AK964/100*AK580</f>
        <v>3265.38285167292</v>
      </c>
      <c r="AL851" s="62" t="n">
        <f aca="false">AL964/100*AL580</f>
        <v>4095.5354177713</v>
      </c>
      <c r="AM851" s="41"/>
      <c r="AN851" s="41"/>
      <c r="AO851" s="41"/>
    </row>
    <row r="852" customFormat="false" ht="12" hidden="false" customHeight="true" outlineLevel="0" collapsed="false">
      <c r="A852" s="69" t="s">
        <v>654</v>
      </c>
      <c r="B852" s="48" t="n">
        <v>0</v>
      </c>
      <c r="C852" s="48" t="n">
        <v>0</v>
      </c>
      <c r="D852" s="48" t="n">
        <v>0</v>
      </c>
      <c r="E852" s="48" t="n">
        <v>0</v>
      </c>
      <c r="F852" s="168" t="n">
        <v>0</v>
      </c>
      <c r="G852" s="168" t="n">
        <v>0</v>
      </c>
      <c r="H852" s="75"/>
      <c r="I852" s="168" t="n">
        <v>0</v>
      </c>
      <c r="J852" s="168" t="n">
        <v>160.43</v>
      </c>
      <c r="K852" s="168" t="n">
        <v>118.57</v>
      </c>
      <c r="L852" s="168" t="n">
        <v>117.23</v>
      </c>
      <c r="M852" s="168" t="n">
        <v>130.71</v>
      </c>
      <c r="N852" s="168" t="n">
        <v>142.06</v>
      </c>
      <c r="O852" s="168" t="n">
        <v>133.06</v>
      </c>
      <c r="P852" s="190" t="n">
        <v>149.88</v>
      </c>
      <c r="Q852" s="190" t="n">
        <v>196</v>
      </c>
      <c r="R852" s="190" t="n">
        <v>203.664</v>
      </c>
      <c r="S852" s="190" t="n">
        <v>233.24</v>
      </c>
      <c r="T852" s="190" t="n">
        <v>392.353</v>
      </c>
      <c r="U852" s="297"/>
      <c r="V852" s="297"/>
      <c r="W852" s="41"/>
      <c r="X852" s="41"/>
      <c r="AD852" s="30"/>
      <c r="AE852" s="30"/>
    </row>
    <row r="853" customFormat="false" ht="12" hidden="false" customHeight="true" outlineLevel="0" collapsed="false">
      <c r="A853" s="69" t="s">
        <v>655</v>
      </c>
      <c r="B853" s="48" t="n">
        <v>354.48</v>
      </c>
      <c r="C853" s="48" t="n">
        <v>368.58</v>
      </c>
      <c r="D853" s="48" t="n">
        <v>467.77</v>
      </c>
      <c r="E853" s="48" t="n">
        <v>632.65</v>
      </c>
      <c r="F853" s="168" t="n">
        <v>882.88</v>
      </c>
      <c r="G853" s="168" t="n">
        <v>822.68</v>
      </c>
      <c r="H853" s="168" t="n">
        <v>581.14</v>
      </c>
      <c r="I853" s="168" t="n">
        <v>714.48</v>
      </c>
      <c r="J853" s="168" t="n">
        <v>816.72</v>
      </c>
      <c r="K853" s="168" t="n">
        <v>571.28</v>
      </c>
      <c r="L853" s="168" t="n">
        <v>559.77</v>
      </c>
      <c r="M853" s="168" t="n">
        <v>706.29</v>
      </c>
      <c r="N853" s="168" t="n">
        <v>912.41</v>
      </c>
      <c r="O853" s="168" t="n">
        <v>1437.3</v>
      </c>
      <c r="P853" s="190" t="n">
        <v>1095.07</v>
      </c>
      <c r="Q853" s="190" t="n">
        <v>1140.47</v>
      </c>
      <c r="R853" s="190" t="n">
        <v>940.824</v>
      </c>
      <c r="S853" s="190" t="n">
        <v>3465.626</v>
      </c>
      <c r="T853" s="190" t="n">
        <v>2628.203</v>
      </c>
      <c r="U853" s="190" t="n">
        <v>1722.995</v>
      </c>
      <c r="V853" s="190" t="n">
        <v>1209.513</v>
      </c>
      <c r="W853" s="190" t="n">
        <v>295.869</v>
      </c>
      <c r="X853" s="190" t="n">
        <v>416.319</v>
      </c>
      <c r="Y853" s="190" t="n">
        <v>152.999</v>
      </c>
      <c r="Z853" s="190" t="n">
        <v>9842.193</v>
      </c>
      <c r="AA853" s="190" t="n">
        <v>3757.014</v>
      </c>
      <c r="AB853" s="190" t="n">
        <v>3912.8</v>
      </c>
      <c r="AC853" s="190" t="n">
        <v>2461.8</v>
      </c>
      <c r="AD853" s="190" t="n">
        <v>2929.5</v>
      </c>
      <c r="AE853" s="190" t="n">
        <v>2667.5</v>
      </c>
      <c r="AF853" s="190" t="n">
        <v>2844.3</v>
      </c>
      <c r="AG853" s="190" t="n">
        <v>3441.8</v>
      </c>
      <c r="AH853" s="62" t="n">
        <f aca="false">+AG853</f>
        <v>3441.8</v>
      </c>
      <c r="AI853" s="62" t="n">
        <f aca="false">+AH853</f>
        <v>3441.8</v>
      </c>
      <c r="AJ853" s="62" t="n">
        <f aca="false">+AI853</f>
        <v>3441.8</v>
      </c>
      <c r="AK853" s="62" t="n">
        <f aca="false">+AJ853</f>
        <v>3441.8</v>
      </c>
      <c r="AL853" s="62" t="n">
        <f aca="false">+AK853</f>
        <v>3441.8</v>
      </c>
      <c r="AM853" s="297"/>
      <c r="AN853" s="297"/>
      <c r="AO853" s="297"/>
    </row>
    <row r="854" customFormat="false" ht="12" hidden="false" customHeight="true" outlineLevel="0" collapsed="false">
      <c r="A854" s="69" t="s">
        <v>656</v>
      </c>
      <c r="B854" s="48" t="n">
        <v>728.6</v>
      </c>
      <c r="C854" s="48" t="n">
        <v>555.4</v>
      </c>
      <c r="D854" s="48" t="n">
        <v>535.02</v>
      </c>
      <c r="E854" s="48" t="n">
        <v>778.99</v>
      </c>
      <c r="F854" s="168" t="n">
        <v>1764.73</v>
      </c>
      <c r="G854" s="168" t="n">
        <v>2586.35</v>
      </c>
      <c r="H854" s="168" t="n">
        <v>1187.97</v>
      </c>
      <c r="I854" s="168" t="n">
        <v>1343.1</v>
      </c>
      <c r="J854" s="168" t="n">
        <v>2036.01</v>
      </c>
      <c r="K854" s="168" t="n">
        <v>3327.36</v>
      </c>
      <c r="L854" s="168" t="n">
        <v>1733.05</v>
      </c>
      <c r="M854" s="168" t="n">
        <v>2116.83</v>
      </c>
      <c r="N854" s="190" t="n">
        <v>2092.68</v>
      </c>
      <c r="O854" s="190" t="n">
        <v>4493.67</v>
      </c>
      <c r="P854" s="190" t="n">
        <v>5325.7</v>
      </c>
      <c r="Q854" s="190" t="n">
        <v>6255.05</v>
      </c>
      <c r="R854" s="190" t="n">
        <v>6465.164</v>
      </c>
      <c r="S854" s="190" t="n">
        <v>6458.812</v>
      </c>
      <c r="T854" s="190" t="n">
        <v>9051.595</v>
      </c>
      <c r="U854" s="190" t="n">
        <v>10055.762</v>
      </c>
      <c r="V854" s="190" t="n">
        <v>7117.161</v>
      </c>
      <c r="W854" s="190" t="n">
        <v>4065.112</v>
      </c>
      <c r="X854" s="190" t="n">
        <v>4389.851</v>
      </c>
      <c r="Y854" s="190" t="n">
        <v>9236.139</v>
      </c>
      <c r="Z854" s="190" t="n">
        <v>6437.678</v>
      </c>
      <c r="AA854" s="190" t="n">
        <v>2515.121</v>
      </c>
      <c r="AB854" s="190" t="n">
        <v>12293.3</v>
      </c>
      <c r="AC854" s="190" t="n">
        <v>1842.2</v>
      </c>
      <c r="AD854" s="190" t="n">
        <v>5738.8</v>
      </c>
      <c r="AE854" s="190" t="n">
        <v>6027.9</v>
      </c>
      <c r="AF854" s="190" t="n">
        <v>10993.4</v>
      </c>
      <c r="AG854" s="190" t="n">
        <v>15264.9</v>
      </c>
      <c r="AH854" s="239" t="n">
        <f aca="false">AH949/365*AH429</f>
        <v>13005.4717808219</v>
      </c>
      <c r="AI854" s="239" t="n">
        <f aca="false">AI949/365*AI429</f>
        <v>14763.3312831982</v>
      </c>
      <c r="AJ854" s="239" t="n">
        <f aca="false">AJ949/365*AJ429</f>
        <v>16096.823714171</v>
      </c>
      <c r="AK854" s="239" t="n">
        <f aca="false">AK949/365*AK429</f>
        <v>17406.0107751252</v>
      </c>
      <c r="AL854" s="239" t="n">
        <f aca="false">AL949/365*AL429</f>
        <v>18712.3803634618</v>
      </c>
      <c r="AM854" s="41"/>
      <c r="AN854" s="41"/>
      <c r="AO854" s="41"/>
    </row>
    <row r="855" s="355" customFormat="true" ht="12" hidden="false" customHeight="true" outlineLevel="0" collapsed="false">
      <c r="A855" s="149" t="s">
        <v>657</v>
      </c>
      <c r="B855" s="354" t="n">
        <v>0</v>
      </c>
      <c r="C855" s="354" t="n">
        <v>0</v>
      </c>
      <c r="D855" s="354" t="n">
        <v>0</v>
      </c>
      <c r="E855" s="354" t="n">
        <v>0</v>
      </c>
      <c r="F855" s="354" t="n">
        <v>0</v>
      </c>
      <c r="G855" s="354" t="n">
        <v>0</v>
      </c>
      <c r="I855" s="354" t="n">
        <v>0</v>
      </c>
      <c r="U855" s="241" t="n">
        <f aca="false">21.016+4.062+1626.242</f>
        <v>1651.32</v>
      </c>
      <c r="V855" s="241" t="n">
        <f aca="false">65.665+85.392+2158.779</f>
        <v>2309.836</v>
      </c>
      <c r="W855" s="205" t="n">
        <f aca="false">2.858+103.745+1556.567</f>
        <v>1663.17</v>
      </c>
      <c r="X855" s="205" t="n">
        <f aca="false">156.337+1848.946</f>
        <v>2005.283</v>
      </c>
      <c r="Y855" s="205" t="n">
        <f aca="false">94.496+2115.164</f>
        <v>2209.66</v>
      </c>
      <c r="Z855" s="205" t="n">
        <f aca="false">97.722+2577.914</f>
        <v>2675.636</v>
      </c>
      <c r="AA855" s="205" t="n">
        <f aca="false">94.562+1645.823</f>
        <v>1740.385</v>
      </c>
      <c r="AB855" s="190" t="n">
        <v>1495.6</v>
      </c>
      <c r="AC855" s="190" t="n">
        <v>1483</v>
      </c>
      <c r="AD855" s="190" t="n">
        <v>1741.8</v>
      </c>
      <c r="AE855" s="190" t="n">
        <v>2204.6</v>
      </c>
      <c r="AF855" s="190" t="n">
        <v>2647.2</v>
      </c>
      <c r="AG855" s="190" t="n">
        <v>2887.6</v>
      </c>
      <c r="AH855" s="239" t="n">
        <f aca="false">29573.2-AH854-AH853-AH851-AH850</f>
        <v>2319.36780821918</v>
      </c>
      <c r="AI855" s="239" t="n">
        <f aca="false">34860.2-AI854-AI853-AI851-AI850</f>
        <v>4171.59573343192</v>
      </c>
      <c r="AJ855" s="62" t="n">
        <f aca="false">+AI855</f>
        <v>4171.59573343192</v>
      </c>
      <c r="AK855" s="62" t="n">
        <f aca="false">+AJ855</f>
        <v>4171.59573343192</v>
      </c>
      <c r="AL855" s="62" t="n">
        <f aca="false">+AK855</f>
        <v>4171.59573343192</v>
      </c>
      <c r="AM855" s="297"/>
      <c r="AN855" s="297"/>
      <c r="AO855" s="297"/>
    </row>
    <row r="856" customFormat="false" ht="12" hidden="false" customHeight="true" outlineLevel="0" collapsed="false">
      <c r="A856" s="149" t="s">
        <v>658</v>
      </c>
      <c r="B856" s="48" t="n">
        <v>0</v>
      </c>
      <c r="C856" s="48" t="n">
        <v>0</v>
      </c>
      <c r="D856" s="48" t="n">
        <v>0</v>
      </c>
      <c r="E856" s="48" t="n">
        <v>0</v>
      </c>
      <c r="F856" s="168" t="n">
        <v>0</v>
      </c>
      <c r="G856" s="168" t="n">
        <v>0</v>
      </c>
      <c r="H856" s="75"/>
      <c r="I856" s="168" t="n">
        <v>0</v>
      </c>
      <c r="J856" s="75"/>
      <c r="K856" s="75"/>
      <c r="L856" s="75"/>
      <c r="M856" s="75"/>
      <c r="P856" s="41"/>
      <c r="Q856" s="41"/>
      <c r="R856" s="41"/>
      <c r="S856" s="41"/>
      <c r="T856" s="41"/>
      <c r="U856" s="41"/>
      <c r="V856" s="41"/>
      <c r="W856" s="41"/>
      <c r="X856" s="41"/>
      <c r="AD856" s="30"/>
      <c r="AE856" s="30"/>
    </row>
    <row r="857" customFormat="false" ht="12" hidden="false" customHeight="true" outlineLevel="0" collapsed="false">
      <c r="A857" s="69" t="s">
        <v>659</v>
      </c>
      <c r="F857" s="75"/>
      <c r="G857" s="75"/>
      <c r="P857" s="41"/>
      <c r="Q857" s="41"/>
      <c r="R857" s="41"/>
      <c r="S857" s="41"/>
      <c r="T857" s="41"/>
      <c r="U857" s="41"/>
      <c r="V857" s="190" t="n">
        <v>0.439</v>
      </c>
      <c r="W857" s="190" t="n">
        <v>0.815</v>
      </c>
      <c r="X857" s="41"/>
      <c r="AD857" s="30"/>
      <c r="AE857" s="30"/>
    </row>
    <row r="858" customFormat="false" ht="12" hidden="false" customHeight="true" outlineLevel="0" collapsed="false">
      <c r="F858" s="75"/>
      <c r="G858" s="75"/>
      <c r="P858" s="41"/>
      <c r="Q858" s="41"/>
      <c r="R858" s="41"/>
      <c r="S858" s="41"/>
      <c r="T858" s="41"/>
      <c r="U858" s="41"/>
      <c r="V858" s="41"/>
      <c r="W858" s="41"/>
      <c r="X858" s="41"/>
      <c r="Y858" s="36" t="n">
        <f aca="false">+Y859-12509.495</f>
        <v>0</v>
      </c>
      <c r="AD858" s="30"/>
      <c r="AE858" s="30"/>
    </row>
    <row r="859" customFormat="false" ht="12.75" hidden="false" customHeight="true" outlineLevel="0" collapsed="false">
      <c r="A859" s="59" t="s">
        <v>365</v>
      </c>
      <c r="B859" s="42" t="n">
        <v>3177.93</v>
      </c>
      <c r="C859" s="42" t="n">
        <v>3172.05</v>
      </c>
      <c r="D859" s="42" t="n">
        <v>4770.84</v>
      </c>
      <c r="E859" s="42" t="n">
        <v>7092.52</v>
      </c>
      <c r="F859" s="164" t="n">
        <v>10513.03</v>
      </c>
      <c r="G859" s="164" t="n">
        <v>9011.99</v>
      </c>
      <c r="H859" s="164" t="n">
        <v>7605.75</v>
      </c>
      <c r="I859" s="164" t="n">
        <v>7561.83</v>
      </c>
      <c r="J859" s="164" t="n">
        <v>6679.52</v>
      </c>
      <c r="K859" s="164" t="n">
        <v>4928.46</v>
      </c>
      <c r="L859" s="164" t="n">
        <v>5181.5</v>
      </c>
      <c r="M859" s="164" t="n">
        <v>4056.19</v>
      </c>
      <c r="N859" s="164" t="n">
        <v>4587.66</v>
      </c>
      <c r="O859" s="164" t="n">
        <v>4243.37</v>
      </c>
      <c r="P859" s="208" t="n">
        <v>5228.75</v>
      </c>
      <c r="Q859" s="208" t="n">
        <v>3758.35</v>
      </c>
      <c r="R859" s="208" t="n">
        <v>9579.742</v>
      </c>
      <c r="S859" s="208" t="n">
        <v>10220.615</v>
      </c>
      <c r="T859" s="208" t="n">
        <v>11852.133</v>
      </c>
      <c r="U859" s="208" t="n">
        <v>12302.479</v>
      </c>
      <c r="V859" s="208" t="n">
        <v>14194.113</v>
      </c>
      <c r="W859" s="208" t="n">
        <v>12990.105</v>
      </c>
      <c r="X859" s="208" t="n">
        <v>12576.925</v>
      </c>
      <c r="Y859" s="208" t="n">
        <v>12509.495</v>
      </c>
      <c r="Z859" s="208" t="n">
        <v>8599.016</v>
      </c>
      <c r="AA859" s="209" t="n">
        <f aca="false">0.255+9804.801</f>
        <v>9805.056</v>
      </c>
      <c r="AB859" s="208" t="n">
        <v>25055.3</v>
      </c>
      <c r="AC859" s="208" t="n">
        <v>11798.2</v>
      </c>
      <c r="AD859" s="209" t="n">
        <f aca="false">28160+3.1</f>
        <v>28163.1</v>
      </c>
      <c r="AE859" s="209" t="n">
        <f aca="false">31110.2+0.3</f>
        <v>31110.5</v>
      </c>
      <c r="AF859" s="209" t="n">
        <f aca="false">40620.8+6.3</f>
        <v>40627.1</v>
      </c>
      <c r="AG859" s="209" t="n">
        <f aca="false">35696.5+2.5</f>
        <v>35699</v>
      </c>
      <c r="AH859" s="208" t="n">
        <v>28873.2</v>
      </c>
      <c r="AI859" s="208" t="n">
        <v>29504.1</v>
      </c>
      <c r="AJ859" s="132" t="n">
        <f aca="false">AJ958/365*AJ429</f>
        <v>33535.0494045229</v>
      </c>
      <c r="AK859" s="132" t="n">
        <f aca="false">AK958/365*AK429</f>
        <v>36262.5224481775</v>
      </c>
      <c r="AL859" s="132" t="n">
        <f aca="false">AL958/365*AL429</f>
        <v>38984.1257572121</v>
      </c>
      <c r="AM859" s="145"/>
      <c r="AN859" s="145"/>
      <c r="AO859" s="145"/>
    </row>
    <row r="860" customFormat="false" ht="12" hidden="false" customHeight="true" outlineLevel="0" collapsed="false">
      <c r="P860" s="41"/>
      <c r="Q860" s="41"/>
      <c r="R860" s="41"/>
      <c r="S860" s="41"/>
      <c r="T860" s="41"/>
      <c r="U860" s="41"/>
      <c r="V860" s="41"/>
      <c r="W860" s="41"/>
      <c r="X860" s="41"/>
      <c r="AD860" s="30"/>
      <c r="AE860" s="30"/>
    </row>
    <row r="861" customFormat="false" ht="12.75" hidden="false" customHeight="true" outlineLevel="0" collapsed="false">
      <c r="A861" s="59" t="s">
        <v>366</v>
      </c>
      <c r="B861" s="208" t="n">
        <v>797.86</v>
      </c>
      <c r="C861" s="208" t="n">
        <v>34.77</v>
      </c>
      <c r="D861" s="356" t="n">
        <v>851.2</v>
      </c>
      <c r="E861" s="356" t="n">
        <v>25.52</v>
      </c>
      <c r="F861" s="208" t="n">
        <v>65.42</v>
      </c>
      <c r="G861" s="208" t="n">
        <v>25.11</v>
      </c>
      <c r="H861" s="208" t="n">
        <v>621.55</v>
      </c>
      <c r="I861" s="208" t="n">
        <v>372.84</v>
      </c>
      <c r="J861" s="208" t="n">
        <v>1649.2</v>
      </c>
      <c r="K861" s="208" t="n">
        <v>2748.94</v>
      </c>
      <c r="L861" s="208" t="n">
        <v>2219.23</v>
      </c>
      <c r="M861" s="208" t="n">
        <v>3249.74</v>
      </c>
      <c r="N861" s="208" t="n">
        <v>7966.82</v>
      </c>
      <c r="O861" s="208" t="n">
        <v>6028.76</v>
      </c>
      <c r="P861" s="208" t="n">
        <v>4349.39</v>
      </c>
      <c r="Q861" s="208" t="n">
        <v>4513.7</v>
      </c>
      <c r="R861" s="208" t="n">
        <v>880.836</v>
      </c>
      <c r="S861" s="208" t="n">
        <v>5189.205</v>
      </c>
      <c r="T861" s="208" t="n">
        <v>1795.272</v>
      </c>
      <c r="U861" s="208" t="n">
        <v>325.558</v>
      </c>
      <c r="V861" s="208" t="n">
        <v>139.424</v>
      </c>
      <c r="W861" s="208" t="n">
        <v>116.906</v>
      </c>
      <c r="X861" s="208" t="n">
        <v>7512.879</v>
      </c>
      <c r="Y861" s="209" t="n">
        <f aca="false">15627.32+303.994</f>
        <v>15931.314</v>
      </c>
      <c r="Z861" s="209" t="n">
        <f aca="false">8686.111+433.637</f>
        <v>9119.748</v>
      </c>
      <c r="AA861" s="209" t="n">
        <f aca="false">9937.191+106.853</f>
        <v>10044.044</v>
      </c>
      <c r="AB861" s="209" t="n">
        <f aca="false">13649.8+86.1</f>
        <v>13735.9</v>
      </c>
      <c r="AC861" s="209" t="n">
        <f aca="false">12790.4+434.3</f>
        <v>13224.7</v>
      </c>
      <c r="AD861" s="209" t="n">
        <f aca="false">5301.3+2928.2</f>
        <v>8229.5</v>
      </c>
      <c r="AE861" s="209" t="n">
        <f aca="false">9942.5+527.1</f>
        <v>10469.6</v>
      </c>
      <c r="AF861" s="209" t="n">
        <f aca="false">4541.1+471.8</f>
        <v>5012.9</v>
      </c>
      <c r="AG861" s="209" t="n">
        <f aca="false">19418.7+14963.1</f>
        <v>34381.8</v>
      </c>
      <c r="AH861" s="209" t="n">
        <f aca="false">26598.2+461.3</f>
        <v>27059.5</v>
      </c>
      <c r="AI861" s="209" t="n">
        <f aca="false">20310.9+9459.6</f>
        <v>29770.5</v>
      </c>
      <c r="AJ861" s="309" t="n">
        <v>36417.633568351</v>
      </c>
      <c r="AK861" s="309" t="n">
        <v>56156.0249938045</v>
      </c>
      <c r="AL861" s="309" t="n">
        <v>78664.2170592194</v>
      </c>
      <c r="AM861" s="251"/>
      <c r="AN861" s="251"/>
      <c r="AO861" s="251"/>
      <c r="AQ861" s="269"/>
    </row>
    <row r="862" customFormat="false" ht="12" hidden="false" customHeight="true" outlineLevel="0" collapsed="false">
      <c r="P862" s="41"/>
      <c r="Q862" s="41"/>
      <c r="R862" s="41"/>
      <c r="S862" s="41"/>
      <c r="T862" s="41"/>
      <c r="U862" s="41"/>
      <c r="V862" s="41"/>
      <c r="W862" s="41"/>
      <c r="X862" s="41"/>
      <c r="AC862" s="30"/>
      <c r="AD862" s="30"/>
      <c r="AE862" s="30"/>
    </row>
    <row r="863" customFormat="false" ht="12.75" hidden="false" customHeight="true" outlineLevel="0" collapsed="false">
      <c r="A863" s="59" t="s">
        <v>367</v>
      </c>
      <c r="B863" s="42" t="n">
        <v>1415.74</v>
      </c>
      <c r="C863" s="42" t="n">
        <v>1530.4</v>
      </c>
      <c r="D863" s="42" t="n">
        <v>4127.53</v>
      </c>
      <c r="E863" s="42" t="n">
        <v>5130.49</v>
      </c>
      <c r="F863" s="42" t="n">
        <v>2761.44</v>
      </c>
      <c r="G863" s="165" t="n">
        <f aca="false">SUM(G864:G867)</f>
        <v>2875.71</v>
      </c>
      <c r="H863" s="165" t="n">
        <f aca="false">SUM(H864:H867)</f>
        <v>1956.27</v>
      </c>
      <c r="I863" s="165" t="n">
        <f aca="false">SUM(I864:I867)</f>
        <v>2129.77</v>
      </c>
      <c r="J863" s="165" t="n">
        <f aca="false">SUM(J864:J867)</f>
        <v>2128.54</v>
      </c>
      <c r="K863" s="165" t="n">
        <f aca="false">SUM(K864:K867)</f>
        <v>1920.96</v>
      </c>
      <c r="L863" s="165" t="n">
        <f aca="false">SUM(L864:L867)</f>
        <v>1899.41</v>
      </c>
      <c r="M863" s="165" t="n">
        <f aca="false">SUM(M864:M867)</f>
        <v>2261.33</v>
      </c>
      <c r="N863" s="165" t="n">
        <f aca="false">SUM(N864:N867)</f>
        <v>3337.34</v>
      </c>
      <c r="O863" s="165" t="n">
        <f aca="false">SUM(O864:O867)</f>
        <v>3026.39</v>
      </c>
      <c r="P863" s="67" t="n">
        <f aca="false">SUM(P864:P867)</f>
        <v>6695.79</v>
      </c>
      <c r="Q863" s="67" t="n">
        <f aca="false">SUM(Q864:Q867)</f>
        <v>8241.37</v>
      </c>
      <c r="R863" s="67" t="n">
        <f aca="false">SUM(R864:R867)</f>
        <v>7895.435</v>
      </c>
      <c r="S863" s="67" t="n">
        <f aca="false">SUM(S864:S867)</f>
        <v>9604.623</v>
      </c>
      <c r="T863" s="67" t="n">
        <f aca="false">SUM(T864:T867)</f>
        <v>7936.014</v>
      </c>
      <c r="U863" s="209" t="n">
        <f aca="false">7270.906</f>
        <v>7270.906</v>
      </c>
      <c r="V863" s="208" t="n">
        <v>8909.804</v>
      </c>
      <c r="W863" s="208" t="n">
        <v>8007.11</v>
      </c>
      <c r="X863" s="208" t="n">
        <v>5688.217</v>
      </c>
      <c r="Y863" s="208" t="n">
        <v>706.005</v>
      </c>
      <c r="Z863" s="208" t="n">
        <v>34.646</v>
      </c>
      <c r="AA863" s="208" t="n">
        <v>241.016</v>
      </c>
      <c r="AB863" s="208" t="n">
        <v>224.6</v>
      </c>
      <c r="AC863" s="208" t="n">
        <v>230</v>
      </c>
      <c r="AD863" s="208" t="n">
        <v>206.2</v>
      </c>
      <c r="AE863" s="252"/>
      <c r="AF863" s="252"/>
      <c r="AG863" s="208" t="n">
        <v>950</v>
      </c>
      <c r="AH863" s="251"/>
      <c r="AI863" s="251"/>
      <c r="AJ863" s="251"/>
      <c r="AK863" s="251"/>
      <c r="AL863" s="251"/>
      <c r="AM863" s="251"/>
      <c r="AN863" s="251"/>
      <c r="AO863" s="251"/>
    </row>
    <row r="864" customFormat="false" ht="12.75" hidden="false" customHeight="true" outlineLevel="0" collapsed="false">
      <c r="A864" s="149" t="s">
        <v>660</v>
      </c>
      <c r="B864" s="19"/>
      <c r="C864" s="19"/>
      <c r="D864" s="19"/>
      <c r="E864" s="19"/>
      <c r="F864" s="19"/>
      <c r="G864" s="42" t="n">
        <v>2450.8</v>
      </c>
      <c r="H864" s="42" t="n">
        <v>1740.44</v>
      </c>
      <c r="I864" s="42" t="n">
        <v>2047.24</v>
      </c>
      <c r="J864" s="215" t="n">
        <f aca="false">2101.05-160.43</f>
        <v>1940.62</v>
      </c>
      <c r="K864" s="215" t="n">
        <f aca="false">1943.77-185.77</f>
        <v>1758</v>
      </c>
      <c r="L864" s="215" t="n">
        <f aca="false">1918.21-144.15</f>
        <v>1774.06</v>
      </c>
      <c r="M864" s="215" t="n">
        <f aca="false">2250.36-147.26</f>
        <v>2103.1</v>
      </c>
      <c r="N864" s="215" t="n">
        <f aca="false">2399.78+520.95-147.26</f>
        <v>2773.47</v>
      </c>
      <c r="O864" s="215" t="n">
        <f aca="false">2327.3+602.26-147.26</f>
        <v>2782.3</v>
      </c>
      <c r="P864" s="209" t="n">
        <f aca="false">5718.07-147.26+507.61</f>
        <v>6078.42</v>
      </c>
      <c r="Q864" s="209" t="n">
        <f aca="false">7443.54+454.15-142.81</f>
        <v>7754.88</v>
      </c>
      <c r="R864" s="132" t="n">
        <f aca="false">7895.435-R866</f>
        <v>7312.537</v>
      </c>
      <c r="S864" s="132" t="n">
        <f aca="false">9604.623-S866</f>
        <v>9085.451</v>
      </c>
      <c r="T864" s="132" t="n">
        <f aca="false">7936.014-T866</f>
        <v>6974.423</v>
      </c>
      <c r="U864" s="145"/>
      <c r="V864" s="145"/>
      <c r="W864" s="145"/>
      <c r="X864" s="145"/>
      <c r="Y864" s="145"/>
      <c r="Z864" s="145"/>
      <c r="AA864" s="145"/>
      <c r="AB864" s="251"/>
      <c r="AC864" s="252"/>
      <c r="AD864" s="252"/>
      <c r="AE864" s="252"/>
      <c r="AF864" s="252"/>
      <c r="AG864" s="252"/>
      <c r="AH864" s="251"/>
      <c r="AI864" s="251"/>
      <c r="AJ864" s="251"/>
      <c r="AK864" s="251"/>
      <c r="AL864" s="251"/>
      <c r="AM864" s="251"/>
      <c r="AN864" s="251"/>
      <c r="AO864" s="251"/>
    </row>
    <row r="865" customFormat="false" ht="12.75" hidden="false" customHeight="true" outlineLevel="0" collapsed="false">
      <c r="A865" s="149" t="s">
        <v>661</v>
      </c>
      <c r="B865" s="19"/>
      <c r="C865" s="19"/>
      <c r="D865" s="19"/>
      <c r="E865" s="19"/>
      <c r="F865" s="19"/>
      <c r="G865" s="164" t="n">
        <v>0</v>
      </c>
      <c r="H865" s="164" t="n">
        <v>0</v>
      </c>
      <c r="I865" s="164" t="n">
        <v>0</v>
      </c>
      <c r="J865" s="157"/>
      <c r="K865" s="157"/>
      <c r="L865" s="157"/>
      <c r="M865" s="157"/>
      <c r="P865" s="41"/>
      <c r="Q865" s="41"/>
      <c r="R865" s="41"/>
      <c r="S865" s="41"/>
      <c r="T865" s="41"/>
      <c r="U865" s="41"/>
      <c r="V865" s="41"/>
      <c r="W865" s="41"/>
      <c r="X865" s="41"/>
      <c r="Y865" s="41"/>
      <c r="Z865" s="41"/>
      <c r="AA865" s="180"/>
      <c r="AB865" s="41"/>
      <c r="AC865" s="180"/>
      <c r="AD865" s="180"/>
      <c r="AE865" s="180"/>
      <c r="AF865" s="180"/>
      <c r="AG865" s="180"/>
      <c r="AH865" s="41"/>
      <c r="AI865" s="41"/>
      <c r="AJ865" s="41"/>
      <c r="AK865" s="41"/>
      <c r="AL865" s="41"/>
      <c r="AM865" s="41"/>
      <c r="AN865" s="41"/>
      <c r="AO865" s="41"/>
    </row>
    <row r="866" customFormat="false" ht="12.75" hidden="false" customHeight="true" outlineLevel="0" collapsed="false">
      <c r="A866" s="149" t="s">
        <v>662</v>
      </c>
      <c r="B866" s="19"/>
      <c r="C866" s="19"/>
      <c r="D866" s="19"/>
      <c r="E866" s="19"/>
      <c r="F866" s="19"/>
      <c r="G866" s="42" t="n">
        <v>424.91</v>
      </c>
      <c r="H866" s="42" t="n">
        <v>215.83</v>
      </c>
      <c r="I866" s="42" t="n">
        <v>82.53</v>
      </c>
      <c r="J866" s="42" t="n">
        <v>187.92</v>
      </c>
      <c r="K866" s="42" t="n">
        <v>162.96</v>
      </c>
      <c r="L866" s="42" t="n">
        <v>125.35</v>
      </c>
      <c r="M866" s="42" t="n">
        <v>158.23</v>
      </c>
      <c r="N866" s="42" t="n">
        <v>563.87</v>
      </c>
      <c r="O866" s="42" t="n">
        <v>244.09</v>
      </c>
      <c r="P866" s="208" t="n">
        <v>617.37</v>
      </c>
      <c r="Q866" s="208" t="n">
        <v>486.49</v>
      </c>
      <c r="R866" s="208" t="n">
        <v>582.898</v>
      </c>
      <c r="S866" s="208" t="n">
        <v>519.172</v>
      </c>
      <c r="T866" s="208" t="n">
        <v>961.591</v>
      </c>
      <c r="U866" s="145"/>
      <c r="V866" s="145"/>
      <c r="W866" s="251"/>
      <c r="X866" s="251"/>
      <c r="Y866" s="145"/>
      <c r="Z866" s="251"/>
      <c r="AA866" s="252"/>
      <c r="AB866" s="251"/>
      <c r="AC866" s="252"/>
      <c r="AD866" s="252"/>
      <c r="AE866" s="252"/>
      <c r="AF866" s="252"/>
      <c r="AG866" s="252"/>
      <c r="AH866" s="251"/>
      <c r="AI866" s="251"/>
      <c r="AJ866" s="251"/>
      <c r="AK866" s="251"/>
      <c r="AL866" s="251"/>
      <c r="AM866" s="251"/>
      <c r="AN866" s="251"/>
      <c r="AO866" s="251"/>
    </row>
    <row r="867" customFormat="false" ht="12.75" hidden="false" customHeight="true" outlineLevel="0" collapsed="false">
      <c r="A867" s="149" t="s">
        <v>663</v>
      </c>
      <c r="B867" s="19"/>
      <c r="C867" s="19"/>
      <c r="D867" s="19"/>
      <c r="E867" s="19"/>
      <c r="F867" s="19"/>
      <c r="G867" s="164" t="n">
        <v>0</v>
      </c>
      <c r="H867" s="164" t="n">
        <v>0</v>
      </c>
      <c r="I867" s="164" t="n">
        <v>0</v>
      </c>
      <c r="J867" s="157"/>
      <c r="K867" s="157"/>
      <c r="L867" s="157"/>
      <c r="M867" s="157"/>
      <c r="P867" s="41"/>
      <c r="Q867" s="41"/>
      <c r="R867" s="41"/>
      <c r="S867" s="41"/>
      <c r="T867" s="41"/>
      <c r="U867" s="41"/>
      <c r="V867" s="41"/>
      <c r="W867" s="41"/>
      <c r="X867" s="41"/>
      <c r="AC867" s="30"/>
      <c r="AD867" s="30"/>
      <c r="AE867" s="30"/>
    </row>
    <row r="868" customFormat="false" ht="12" hidden="false" customHeight="true" outlineLevel="0" collapsed="false">
      <c r="P868" s="41"/>
      <c r="Q868" s="41"/>
      <c r="R868" s="41"/>
      <c r="S868" s="41"/>
      <c r="T868" s="41"/>
      <c r="U868" s="41"/>
      <c r="V868" s="41"/>
      <c r="W868" s="41"/>
      <c r="X868" s="41"/>
      <c r="AC868" s="30"/>
      <c r="AD868" s="30"/>
      <c r="AE868" s="30"/>
    </row>
    <row r="869" customFormat="false" ht="12.75" hidden="false" customHeight="true" outlineLevel="0" collapsed="false">
      <c r="A869" s="149" t="s">
        <v>368</v>
      </c>
      <c r="P869" s="41"/>
      <c r="Q869" s="41"/>
      <c r="R869" s="41"/>
      <c r="S869" s="41"/>
      <c r="T869" s="41"/>
      <c r="U869" s="190" t="n">
        <v>833.668</v>
      </c>
      <c r="V869" s="190" t="n">
        <v>761.775</v>
      </c>
      <c r="W869" s="208" t="n">
        <v>1709.45</v>
      </c>
      <c r="X869" s="208" t="n">
        <v>3082.139</v>
      </c>
      <c r="Y869" s="209" t="n">
        <f aca="false">1256.955+5155.592</f>
        <v>6412.547</v>
      </c>
      <c r="Z869" s="209" t="n">
        <f aca="false">4317.059+1512.724</f>
        <v>5829.783</v>
      </c>
      <c r="AA869" s="209" t="n">
        <f aca="false">3775.713+7182.19</f>
        <v>10957.903</v>
      </c>
      <c r="AB869" s="209" t="n">
        <f aca="false">4650.6+110.4+11239.9</f>
        <v>16000.9</v>
      </c>
      <c r="AC869" s="209" t="n">
        <f aca="false">9031.7+85.3+7485</f>
        <v>16602</v>
      </c>
      <c r="AD869" s="209" t="n">
        <f aca="false">8088.1+8408.6</f>
        <v>16496.7</v>
      </c>
      <c r="AE869" s="209" t="n">
        <f aca="false">9955.8+9313.7+636.3</f>
        <v>19905.8</v>
      </c>
      <c r="AF869" s="209" t="n">
        <f aca="false">5814.4+9409.9+719.2</f>
        <v>15943.5</v>
      </c>
      <c r="AG869" s="209" t="n">
        <f aca="false">2418+8126.9+660.2</f>
        <v>11205.1</v>
      </c>
      <c r="AH869" s="209" t="n">
        <f aca="false">1182.1+6211.2+236.8</f>
        <v>7630.1</v>
      </c>
      <c r="AI869" s="209" t="n">
        <f aca="false">2429.4+8858.6</f>
        <v>11288</v>
      </c>
      <c r="AJ869" s="132" t="n">
        <f aca="false">+AI869+2000</f>
        <v>13288</v>
      </c>
      <c r="AK869" s="132" t="n">
        <f aca="false">+AJ869+2000</f>
        <v>15288</v>
      </c>
      <c r="AL869" s="132" t="n">
        <f aca="false">+AK869+2000</f>
        <v>17288</v>
      </c>
      <c r="AM869" s="251"/>
      <c r="AN869" s="251"/>
      <c r="AO869" s="251"/>
    </row>
    <row r="870" customFormat="false" ht="12.75" hidden="false" customHeight="true" outlineLevel="0" collapsed="false">
      <c r="A870" s="59" t="s">
        <v>369</v>
      </c>
      <c r="B870" s="67" t="n">
        <f aca="false">+B849+B859+B861+B863</f>
        <v>8008.94</v>
      </c>
      <c r="C870" s="67" t="n">
        <f aca="false">+C849+C859+C861+C863</f>
        <v>7278.2</v>
      </c>
      <c r="D870" s="67" t="n">
        <f aca="false">+D849+D859+D861+D863</f>
        <v>12791.43</v>
      </c>
      <c r="E870" s="67" t="n">
        <f aca="false">+E849+E859+E861+E863</f>
        <v>16572.57</v>
      </c>
      <c r="F870" s="67" t="n">
        <f aca="false">+F849+F859+F861+F863</f>
        <v>19869.13</v>
      </c>
      <c r="G870" s="67" t="n">
        <f aca="false">+G849+G859+G861+G863</f>
        <v>18488.85</v>
      </c>
      <c r="H870" s="67" t="n">
        <f aca="false">+H849+H859+H861+H863</f>
        <v>14461.04</v>
      </c>
      <c r="I870" s="67" t="n">
        <f aca="false">+I849+I859+I861+I863</f>
        <v>14642.38</v>
      </c>
      <c r="J870" s="67" t="n">
        <f aca="false">+J849+J859+J861+J863</f>
        <v>15634</v>
      </c>
      <c r="K870" s="67" t="n">
        <f aca="false">+K849+K859+K861+K863</f>
        <v>15551.76</v>
      </c>
      <c r="L870" s="67" t="n">
        <f aca="false">+L849+L859+L861+L863</f>
        <v>13404.7</v>
      </c>
      <c r="M870" s="67" t="n">
        <f aca="false">+M849+M859+M861+M863</f>
        <v>14636.67</v>
      </c>
      <c r="N870" s="67" t="n">
        <f aca="false">+N849+N859+N861+N863</f>
        <v>21572.63</v>
      </c>
      <c r="O870" s="67" t="n">
        <f aca="false">+O849+O859+O861+O863</f>
        <v>22324.13</v>
      </c>
      <c r="P870" s="67" t="n">
        <f aca="false">+P849+P859+P861+P863</f>
        <v>26977.14</v>
      </c>
      <c r="Q870" s="67" t="n">
        <f aca="false">+Q849+Q859+Q861+Q863</f>
        <v>28752.56</v>
      </c>
      <c r="R870" s="67" t="n">
        <f aca="false">+R849+R859+R861+R863</f>
        <v>31656.157</v>
      </c>
      <c r="S870" s="67" t="n">
        <f aca="false">+S849+S859+S861+S863</f>
        <v>41396.843</v>
      </c>
      <c r="T870" s="67" t="n">
        <f aca="false">+T849+T859+T861+T863</f>
        <v>43672.453</v>
      </c>
      <c r="U870" s="67" t="n">
        <f aca="false">+U849+U859+U861+U863+U869</f>
        <v>43038.863</v>
      </c>
      <c r="V870" s="67" t="n">
        <f aca="false">+V849+V859+V861+V863+V869</f>
        <v>42965.324</v>
      </c>
      <c r="W870" s="67" t="n">
        <f aca="false">+W849+W859+W861+W863+W869</f>
        <v>34710.602</v>
      </c>
      <c r="X870" s="67" t="n">
        <f aca="false">+X849+X859+X861+X863+X869</f>
        <v>42845.432</v>
      </c>
      <c r="Y870" s="67" t="n">
        <f aca="false">+Y849+Y859+Y861+Y863+Y869</f>
        <v>51809.496</v>
      </c>
      <c r="Z870" s="67" t="n">
        <f aca="false">+Z849+Z859+Z861+Z863+Z869</f>
        <v>48594.36</v>
      </c>
      <c r="AA870" s="67" t="n">
        <f aca="false">+AA849+AA859+AA861+AA863+AA869</f>
        <v>48146.77</v>
      </c>
      <c r="AB870" s="67" t="n">
        <f aca="false">+AB849+AB859+AB861+AB863+AB869</f>
        <v>81863.4</v>
      </c>
      <c r="AC870" s="67" t="n">
        <f aca="false">+AC849+AC859+AC861+AC863+AC869</f>
        <v>54234.9</v>
      </c>
      <c r="AD870" s="67" t="n">
        <f aca="false">+AD849+AD859+AD861+AD863+AD869</f>
        <v>74518.4</v>
      </c>
      <c r="AE870" s="67" t="n">
        <f aca="false">+AE849+AE859+AE861+AE863+AE869</f>
        <v>82237.9</v>
      </c>
      <c r="AF870" s="67" t="n">
        <f aca="false">+AF849+AF859+AF861+AF863+AF869</f>
        <v>89328.3</v>
      </c>
      <c r="AG870" s="67" t="n">
        <f aca="false">+AG849+AG859+AG861+AG863+AG869</f>
        <v>114142.8</v>
      </c>
      <c r="AH870" s="67" t="n">
        <f aca="false">+AH849+AH859+AH861+AH863+AH869</f>
        <v>93136</v>
      </c>
      <c r="AI870" s="67" t="n">
        <f aca="false">+AI849+AI859+AI861+AI863+AI869</f>
        <v>105422.8</v>
      </c>
      <c r="AJ870" s="67" t="n">
        <f aca="false">+AJ849+AJ859+AJ861+AJ863+AJ869</f>
        <v>121356.003618368</v>
      </c>
      <c r="AK870" s="67" t="n">
        <f aca="false">+AK849+AK859+AK861+AK863+AK869</f>
        <v>149282.914750313</v>
      </c>
      <c r="AL870" s="67" t="n">
        <f aca="false">+AL849+AL859+AL861+AL863+AL869</f>
        <v>179646.802224243</v>
      </c>
      <c r="AM870" s="145"/>
      <c r="AN870" s="145"/>
      <c r="AO870" s="145"/>
      <c r="AP870" s="274"/>
    </row>
    <row r="871" customFormat="false" ht="12" hidden="false" customHeight="true" outlineLevel="0" collapsed="false">
      <c r="P871" s="41"/>
      <c r="Q871" s="41"/>
      <c r="R871" s="41"/>
      <c r="S871" s="41"/>
      <c r="T871" s="41"/>
      <c r="U871" s="41"/>
      <c r="V871" s="41"/>
      <c r="W871" s="41"/>
      <c r="X871" s="41"/>
      <c r="Y871" s="31"/>
      <c r="Z871" s="31"/>
      <c r="AD871" s="30"/>
      <c r="AE871" s="30"/>
    </row>
    <row r="872" customFormat="false" ht="12.75" hidden="false" customHeight="true" outlineLevel="0" collapsed="false">
      <c r="A872" s="59" t="s">
        <v>370</v>
      </c>
      <c r="P872" s="41"/>
      <c r="Q872" s="41"/>
      <c r="R872" s="41"/>
      <c r="S872" s="41"/>
      <c r="T872" s="41"/>
      <c r="U872" s="41"/>
      <c r="V872" s="41"/>
      <c r="W872" s="41"/>
      <c r="X872" s="41"/>
      <c r="Y872" s="31"/>
      <c r="Z872" s="31"/>
      <c r="AD872" s="30"/>
      <c r="AE872" s="30"/>
    </row>
    <row r="873" customFormat="false" ht="12.75" hidden="false" customHeight="true" outlineLevel="0" collapsed="false">
      <c r="A873" s="59" t="s">
        <v>371</v>
      </c>
      <c r="I873" s="48" t="n">
        <v>0</v>
      </c>
      <c r="J873" s="48" t="n">
        <v>907.34</v>
      </c>
      <c r="K873" s="48" t="n">
        <v>939.73</v>
      </c>
      <c r="L873" s="48" t="n">
        <v>959.79</v>
      </c>
      <c r="M873" s="48" t="n">
        <v>1407.15</v>
      </c>
      <c r="N873" s="48" t="n">
        <v>2264.79</v>
      </c>
      <c r="O873" s="48" t="n">
        <v>3539.72</v>
      </c>
      <c r="P873" s="190" t="n">
        <v>4199.76</v>
      </c>
      <c r="Q873" s="190" t="n">
        <v>4425.5</v>
      </c>
      <c r="R873" s="190" t="n">
        <v>6612.493</v>
      </c>
      <c r="S873" s="190" t="n">
        <v>7691.259</v>
      </c>
      <c r="T873" s="190" t="n">
        <v>5790.155</v>
      </c>
      <c r="U873" s="357"/>
      <c r="V873" s="357"/>
      <c r="W873" s="357"/>
      <c r="X873" s="41"/>
      <c r="AD873" s="30"/>
      <c r="AE873" s="30"/>
    </row>
    <row r="874" customFormat="false" ht="12.75" hidden="false" customHeight="true" outlineLevel="0" collapsed="false">
      <c r="A874" s="59" t="s">
        <v>372</v>
      </c>
      <c r="B874" s="48" t="n">
        <v>1525.27</v>
      </c>
      <c r="C874" s="48" t="n">
        <v>1924.63</v>
      </c>
      <c r="D874" s="48" t="n">
        <v>2535.43</v>
      </c>
      <c r="E874" s="48" t="n">
        <v>3413.48</v>
      </c>
      <c r="F874" s="168" t="n">
        <v>4241.81</v>
      </c>
      <c r="G874" s="168" t="n">
        <v>3530.97</v>
      </c>
      <c r="H874" s="168" t="n">
        <v>3088.59</v>
      </c>
      <c r="I874" s="168" t="n">
        <v>3012.98</v>
      </c>
      <c r="J874" s="170" t="n">
        <f aca="false">158.26+2784.31</f>
        <v>2942.57</v>
      </c>
      <c r="K874" s="170" t="n">
        <f aca="false">176.43+3160.77</f>
        <v>3337.2</v>
      </c>
      <c r="L874" s="170" t="n">
        <f aca="false">221.31+2952.7</f>
        <v>3174.01</v>
      </c>
      <c r="M874" s="170" t="n">
        <f aca="false">301.36+4298.56</f>
        <v>4599.92</v>
      </c>
      <c r="N874" s="358" t="n">
        <f aca="false">127.83+6226.27</f>
        <v>6354.1</v>
      </c>
      <c r="O874" s="358" t="n">
        <f aca="false">557.8+6362.01</f>
        <v>6919.81</v>
      </c>
      <c r="P874" s="205" t="n">
        <f aca="false">347.79+9789.33</f>
        <v>10137.12</v>
      </c>
      <c r="Q874" s="205" t="n">
        <f aca="false">663.55+12262.03</f>
        <v>12925.58</v>
      </c>
      <c r="R874" s="205" t="n">
        <f aca="false">10802.633+297.787</f>
        <v>11100.42</v>
      </c>
      <c r="S874" s="205" t="n">
        <f aca="false">14737.104+888.416</f>
        <v>15625.52</v>
      </c>
      <c r="T874" s="205" t="n">
        <f aca="false">1778.239+19505.659</f>
        <v>21283.898</v>
      </c>
      <c r="U874" s="190" t="n">
        <v>27724.61</v>
      </c>
      <c r="V874" s="190" t="n">
        <v>24853.685</v>
      </c>
      <c r="W874" s="190" t="n">
        <v>22141.537</v>
      </c>
      <c r="X874" s="190" t="n">
        <v>28283.187</v>
      </c>
      <c r="Y874" s="190" t="n">
        <v>25626.881</v>
      </c>
      <c r="Z874" s="190" t="n">
        <v>30521.823</v>
      </c>
      <c r="AA874" s="190" t="n">
        <v>46586.162</v>
      </c>
      <c r="AB874" s="205" t="n">
        <f aca="false">129.4+50059.9</f>
        <v>50189.3</v>
      </c>
      <c r="AC874" s="205" t="n">
        <f aca="false">126.8+26112.3</f>
        <v>26239.1</v>
      </c>
      <c r="AD874" s="205" t="n">
        <f aca="false">371.8+51275.1</f>
        <v>51646.9</v>
      </c>
      <c r="AE874" s="205" t="n">
        <f aca="false">598.4+68153.9</f>
        <v>68752.3</v>
      </c>
      <c r="AF874" s="205" t="n">
        <f aca="false">737.5+71013.7</f>
        <v>71751.2</v>
      </c>
      <c r="AG874" s="205" t="n">
        <f aca="false">795.4+62256.5</f>
        <v>63051.9</v>
      </c>
      <c r="AH874" s="205" t="n">
        <f aca="false">565.8+72481.1</f>
        <v>73046.9</v>
      </c>
      <c r="AI874" s="205" t="n">
        <f aca="false">2310.8+80981.8</f>
        <v>83292.6</v>
      </c>
      <c r="AJ874" s="239" t="n">
        <f aca="false">AJ962/365*AJ648</f>
        <v>86768.6305070533</v>
      </c>
      <c r="AK874" s="239" t="n">
        <f aca="false">AK962/365*AK648</f>
        <v>93384.3700112904</v>
      </c>
      <c r="AL874" s="239" t="n">
        <f aca="false">AL962/365*AL648</f>
        <v>100468.641683764</v>
      </c>
      <c r="AM874" s="41"/>
      <c r="AN874" s="41"/>
      <c r="AO874" s="41"/>
    </row>
    <row r="875" customFormat="false" ht="12.75" hidden="false" customHeight="true" outlineLevel="0" collapsed="false">
      <c r="A875" s="59" t="s">
        <v>373</v>
      </c>
      <c r="B875" s="58" t="n">
        <f aca="false">9.72+554.43+137.3</f>
        <v>701.45</v>
      </c>
      <c r="C875" s="58" t="n">
        <f aca="false">1.79+521.35+112.53</f>
        <v>635.67</v>
      </c>
      <c r="D875" s="58" t="n">
        <f aca="false">2.9+775.49+108.19</f>
        <v>886.58</v>
      </c>
      <c r="E875" s="58" t="n">
        <f aca="false">2.75+1152.99+123.17</f>
        <v>1278.91</v>
      </c>
      <c r="F875" s="170" t="n">
        <f aca="false">3.67+1042.79+95.03</f>
        <v>1141.49</v>
      </c>
      <c r="G875" s="58" t="n">
        <f aca="false">4.47+605.02+143.28</f>
        <v>752.77</v>
      </c>
      <c r="H875" s="48" t="n">
        <v>561.25</v>
      </c>
      <c r="I875" s="48" t="n">
        <v>624.05</v>
      </c>
      <c r="J875" s="58" t="n">
        <f aca="false">5.34+189.24+626.31</f>
        <v>820.89</v>
      </c>
      <c r="K875" s="58" t="n">
        <f aca="false">6.64+165.86+489.38</f>
        <v>661.88</v>
      </c>
      <c r="L875" s="58" t="n">
        <f aca="false">206.46+588.39</f>
        <v>794.85</v>
      </c>
      <c r="M875" s="58" t="n">
        <f aca="false">723.96+89.98</f>
        <v>813.94</v>
      </c>
      <c r="N875" s="58" t="n">
        <f aca="false">911.46+81.52</f>
        <v>992.98</v>
      </c>
      <c r="O875" s="58" t="n">
        <f aca="false">951.13+58.29</f>
        <v>1009.42</v>
      </c>
      <c r="P875" s="205" t="n">
        <f aca="false">2127.3+52.07</f>
        <v>2179.37</v>
      </c>
      <c r="Q875" s="205" t="n">
        <f aca="false">1834.77+81.24</f>
        <v>1916.01</v>
      </c>
      <c r="R875" s="205" t="n">
        <f aca="false">645.887+329.841</f>
        <v>975.728</v>
      </c>
      <c r="S875" s="205" t="n">
        <f aca="false">2312.203+291.675</f>
        <v>2603.878</v>
      </c>
      <c r="T875" s="205" t="n">
        <f aca="false">2893.399+412.025</f>
        <v>3305.424</v>
      </c>
      <c r="U875" s="205" t="n">
        <f aca="false">442.217+3.401+50.927+5.624+7956.771</f>
        <v>8458.94</v>
      </c>
      <c r="V875" s="205" t="n">
        <f aca="false">706.6+17.35+61.315+8059.287</f>
        <v>8844.552</v>
      </c>
      <c r="W875" s="205" t="n">
        <f aca="false">895.745+19.132+65.959+1416.295+1598.409+4909.519</f>
        <v>8905.059</v>
      </c>
      <c r="X875" s="205" t="n">
        <f aca="false">731.86+10.878+59.028+2869.087+2443.409+5563.37</f>
        <v>11677.632</v>
      </c>
      <c r="Y875" s="239" t="n">
        <f aca="false">6210.339+14924.061-Y810</f>
        <v>15445.005</v>
      </c>
      <c r="Z875" s="239" t="n">
        <f aca="false">6018.01+18440.784-Z810</f>
        <v>16459.866</v>
      </c>
      <c r="AA875" s="239" t="n">
        <f aca="false">16479.441+12125.974+115.901-AA810</f>
        <v>23855.015</v>
      </c>
      <c r="AB875" s="205" t="n">
        <f aca="false">32.2+86.1+4528.2+1356.1+55+7606.2+7902.3+4766.9</f>
        <v>26333</v>
      </c>
      <c r="AC875" s="205" t="n">
        <f aca="false">129.2+38.2+115.7+2082.1+2141.1+110.1+6755.4+6112.3+742.6</f>
        <v>18226.7</v>
      </c>
      <c r="AD875" s="239" t="n">
        <f aca="false">79.4+7844.3+4794.3+1607+534.5-AD810</f>
        <v>13609.5</v>
      </c>
      <c r="AE875" s="205" t="n">
        <f aca="false">6997.3+4162+2817.8+1234.7+117.8</f>
        <v>15329.6</v>
      </c>
      <c r="AF875" s="205" t="n">
        <f aca="false">9394.8+3628.3+5141.3+1234.7+108.7</f>
        <v>19507.8</v>
      </c>
      <c r="AG875" s="205" t="n">
        <f aca="false">24637.7+4760.2+4781.1+5262.4+168.3</f>
        <v>39609.7</v>
      </c>
      <c r="AH875" s="205" t="n">
        <f aca="false">12112.2+4228.5+4927.8+6216.9+46.5</f>
        <v>27531.9</v>
      </c>
      <c r="AI875" s="205" t="n">
        <f aca="false">13657.9+6741.1+2190.2+7405.6</f>
        <v>29994.8</v>
      </c>
      <c r="AJ875" s="239" t="n">
        <f aca="false">+AI875*1.1</f>
        <v>32994.28</v>
      </c>
      <c r="AK875" s="239" t="n">
        <f aca="false">+AJ875*1.1</f>
        <v>36293.708</v>
      </c>
      <c r="AL875" s="239" t="n">
        <f aca="false">+AK875*1.1</f>
        <v>39923.0788</v>
      </c>
      <c r="AN875" s="297"/>
      <c r="AP875" s="297"/>
    </row>
    <row r="876" customFormat="false" ht="12" hidden="false" customHeight="true" outlineLevel="0" collapsed="false">
      <c r="P876" s="41"/>
      <c r="Q876" s="41"/>
      <c r="R876" s="41"/>
      <c r="S876" s="41"/>
      <c r="T876" s="41"/>
      <c r="U876" s="41"/>
      <c r="V876" s="41"/>
      <c r="W876" s="41"/>
      <c r="X876" s="41"/>
      <c r="Y876" s="332"/>
      <c r="AD876" s="30"/>
      <c r="AE876" s="30"/>
    </row>
    <row r="877" customFormat="false" ht="12.75" hidden="false" customHeight="true" outlineLevel="0" collapsed="false">
      <c r="A877" s="59" t="s">
        <v>374</v>
      </c>
      <c r="P877" s="41"/>
      <c r="Q877" s="41"/>
      <c r="R877" s="41"/>
      <c r="S877" s="41"/>
      <c r="T877" s="41"/>
      <c r="U877" s="41"/>
      <c r="V877" s="41"/>
      <c r="W877" s="41"/>
      <c r="X877" s="41"/>
      <c r="AD877" s="30"/>
      <c r="AE877" s="30"/>
    </row>
    <row r="878" customFormat="false" ht="12" hidden="false" customHeight="true" outlineLevel="0" collapsed="false">
      <c r="A878" s="69" t="s">
        <v>664</v>
      </c>
      <c r="B878" s="48" t="n">
        <v>0</v>
      </c>
      <c r="C878" s="48" t="n">
        <v>0</v>
      </c>
      <c r="D878" s="48" t="n">
        <v>0</v>
      </c>
      <c r="E878" s="48" t="n">
        <v>0</v>
      </c>
      <c r="F878" s="48" t="n">
        <v>0</v>
      </c>
      <c r="G878" s="168" t="n">
        <v>0</v>
      </c>
      <c r="H878" s="168" t="n">
        <v>0</v>
      </c>
      <c r="I878" s="168" t="n">
        <v>0</v>
      </c>
      <c r="J878" s="75"/>
      <c r="K878" s="75"/>
      <c r="L878" s="75"/>
      <c r="M878" s="168" t="n">
        <v>66.46</v>
      </c>
      <c r="N878" s="48" t="n">
        <v>259.98</v>
      </c>
      <c r="O878" s="197" t="n">
        <v>285.69</v>
      </c>
      <c r="P878" s="205" t="n">
        <f aca="false">124.56+1.3</f>
        <v>125.86</v>
      </c>
      <c r="Q878" s="190" t="n">
        <v>1.3</v>
      </c>
      <c r="R878" s="190" t="n">
        <v>13.707</v>
      </c>
      <c r="S878" s="190" t="n">
        <v>0</v>
      </c>
      <c r="T878" s="190" t="n">
        <v>0</v>
      </c>
      <c r="U878" s="41"/>
      <c r="V878" s="41"/>
      <c r="W878" s="41"/>
      <c r="X878" s="41"/>
      <c r="AD878" s="30"/>
      <c r="AE878" s="30"/>
    </row>
    <row r="879" customFormat="false" ht="12" hidden="false" customHeight="true" outlineLevel="0" collapsed="false">
      <c r="A879" s="69" t="s">
        <v>665</v>
      </c>
      <c r="B879" s="48" t="n">
        <v>69.48</v>
      </c>
      <c r="C879" s="48" t="n">
        <v>194.34</v>
      </c>
      <c r="D879" s="48" t="n">
        <v>295.11</v>
      </c>
      <c r="E879" s="48" t="n">
        <v>475.72</v>
      </c>
      <c r="F879" s="170" t="n">
        <f aca="false">594.65+59.46</f>
        <v>654.11</v>
      </c>
      <c r="G879" s="170" t="n">
        <f aca="false">118.93+11.89</f>
        <v>130.82</v>
      </c>
      <c r="H879" s="170" t="n">
        <f aca="false">118.93+13.08</f>
        <v>132.01</v>
      </c>
      <c r="I879" s="170" t="n">
        <f aca="false">416.25+45.79</f>
        <v>462.04</v>
      </c>
      <c r="J879" s="170" t="n">
        <f aca="false">475.72+48.52</f>
        <v>524.24</v>
      </c>
      <c r="K879" s="168" t="n">
        <v>535.18</v>
      </c>
      <c r="L879" s="170" t="n">
        <f aca="false">594.64+76.19</f>
        <v>670.83</v>
      </c>
      <c r="M879" s="170" t="n">
        <f aca="false">891.97+114.28</f>
        <v>1006.25</v>
      </c>
      <c r="N879" s="168" t="n">
        <v>1356.1</v>
      </c>
      <c r="O879" s="170" t="n">
        <f aca="false">1597.86+224.1</f>
        <v>1821.96</v>
      </c>
      <c r="P879" s="190" t="n">
        <v>0</v>
      </c>
      <c r="Q879" s="205" t="n">
        <f aca="false">1997.71+339.51</f>
        <v>2337.22</v>
      </c>
      <c r="R879" s="205" t="n">
        <f aca="false">1330.338+226.091</f>
        <v>1556.429</v>
      </c>
      <c r="S879" s="205" t="n">
        <f aca="false">1995.507+331.429</f>
        <v>2326.936</v>
      </c>
      <c r="T879" s="205" t="n">
        <f aca="false">2660.677+431.628</f>
        <v>3092.305</v>
      </c>
      <c r="U879" s="205" t="n">
        <f aca="false">2660.677+431.628</f>
        <v>3092.305</v>
      </c>
      <c r="V879" s="205" t="n">
        <f aca="false">1596.406+271.309</f>
        <v>1867.715</v>
      </c>
      <c r="W879" s="62" t="n">
        <f aca="false">+W715+W714</f>
        <v>0</v>
      </c>
      <c r="X879" s="62" t="n">
        <f aca="false">+X715+X714</f>
        <v>1541.353</v>
      </c>
      <c r="Y879" s="41"/>
      <c r="Z879" s="41"/>
      <c r="AA879" s="41"/>
      <c r="AB879" s="41"/>
      <c r="AC879" s="41"/>
      <c r="AD879" s="180"/>
      <c r="AE879" s="180"/>
      <c r="AF879" s="180"/>
      <c r="AG879" s="180"/>
      <c r="AH879" s="41"/>
      <c r="AI879" s="41"/>
      <c r="AJ879" s="41"/>
      <c r="AK879" s="41"/>
      <c r="AL879" s="41"/>
      <c r="AM879" s="41"/>
      <c r="AN879" s="41"/>
      <c r="AO879" s="41"/>
    </row>
    <row r="880" customFormat="false" ht="12" hidden="false" customHeight="true" outlineLevel="0" collapsed="false">
      <c r="A880" s="69" t="s">
        <v>647</v>
      </c>
      <c r="B880" s="48" t="n">
        <v>26.8</v>
      </c>
      <c r="C880" s="48" t="n">
        <v>60.15</v>
      </c>
      <c r="D880" s="48" t="n">
        <v>73.93</v>
      </c>
      <c r="E880" s="48" t="n">
        <v>120.57</v>
      </c>
      <c r="F880" s="168" t="n">
        <v>159.57</v>
      </c>
      <c r="G880" s="48" t="n">
        <v>159.8</v>
      </c>
      <c r="H880" s="48" t="n">
        <v>188.55</v>
      </c>
      <c r="I880" s="48" t="n">
        <v>213.89</v>
      </c>
      <c r="J880" s="48" t="n">
        <v>216.11</v>
      </c>
      <c r="K880" s="48" t="n">
        <v>253.02</v>
      </c>
      <c r="L880" s="48" t="n">
        <v>324.29</v>
      </c>
      <c r="M880" s="48" t="n">
        <v>431.65</v>
      </c>
      <c r="N880" s="58" t="n">
        <f aca="false">248.38+180.34</f>
        <v>428.72</v>
      </c>
      <c r="O880" s="58" t="n">
        <f aca="false">273.91+234.65</f>
        <v>508.56</v>
      </c>
      <c r="P880" s="205" t="n">
        <f aca="false">357.29+559.15</f>
        <v>916.44</v>
      </c>
      <c r="Q880" s="205" t="n">
        <f aca="false">502.65+611.14</f>
        <v>1113.79</v>
      </c>
      <c r="R880" s="205" t="n">
        <f aca="false">557.311+553.37</f>
        <v>1110.681</v>
      </c>
      <c r="S880" s="205" t="n">
        <f aca="false">809.456+550.523</f>
        <v>1359.979</v>
      </c>
      <c r="T880" s="205" t="n">
        <f aca="false">1145.951+665.007</f>
        <v>1810.958</v>
      </c>
      <c r="U880" s="205" t="n">
        <f aca="false">119.779+8.652+5.135+977.873</f>
        <v>1111.439</v>
      </c>
      <c r="V880" s="205" t="n">
        <f aca="false">131.847+8.637+4.122+1074.512</f>
        <v>1219.118</v>
      </c>
      <c r="W880" s="190" t="n">
        <v>881.267</v>
      </c>
      <c r="X880" s="205" t="n">
        <f aca="false">110.202+12.714+3.114+893.077</f>
        <v>1019.107</v>
      </c>
      <c r="Y880" s="190" t="n">
        <v>1890.514</v>
      </c>
      <c r="Z880" s="190" t="n">
        <v>4843.808</v>
      </c>
      <c r="AA880" s="190" t="n">
        <v>6162.343</v>
      </c>
      <c r="AB880" s="190" t="n">
        <v>8027.7</v>
      </c>
      <c r="AC880" s="190" t="n">
        <v>6248.5</v>
      </c>
      <c r="AD880" s="190" t="n">
        <v>4649.6</v>
      </c>
      <c r="AE880" s="190" t="n">
        <v>4702.5</v>
      </c>
      <c r="AF880" s="190" t="n">
        <v>5193.2</v>
      </c>
      <c r="AG880" s="190" t="n">
        <v>6506.8</v>
      </c>
      <c r="AH880" s="190" t="n">
        <v>8251.5</v>
      </c>
      <c r="AI880" s="190" t="n">
        <v>13503.4</v>
      </c>
      <c r="AJ880" s="239" t="n">
        <f aca="false">+AI880*1.05</f>
        <v>14178.57</v>
      </c>
      <c r="AK880" s="239" t="n">
        <f aca="false">+AJ880*1.05</f>
        <v>14887.4985</v>
      </c>
      <c r="AL880" s="239" t="n">
        <f aca="false">+AK880*1.05</f>
        <v>15631.873425</v>
      </c>
      <c r="AM880" s="297"/>
      <c r="AN880" s="297"/>
      <c r="AO880" s="297"/>
      <c r="AP880" s="359"/>
    </row>
    <row r="881" customFormat="false" ht="12" hidden="false" customHeight="true" outlineLevel="0" collapsed="false">
      <c r="P881" s="41"/>
      <c r="Q881" s="41"/>
      <c r="R881" s="41"/>
      <c r="S881" s="41"/>
      <c r="T881" s="41"/>
      <c r="U881" s="41"/>
      <c r="V881" s="41"/>
      <c r="W881" s="41"/>
      <c r="X881" s="41"/>
    </row>
    <row r="882" customFormat="false" ht="12.75" hidden="false" customHeight="true" outlineLevel="0" collapsed="false">
      <c r="A882" s="59" t="s">
        <v>666</v>
      </c>
      <c r="B882" s="165" t="n">
        <f aca="false">+B874+B875+B878+B879+B880+B873</f>
        <v>2323</v>
      </c>
      <c r="C882" s="165" t="n">
        <f aca="false">+C874+C875+C878+C879+C880+C873</f>
        <v>2814.79</v>
      </c>
      <c r="D882" s="165" t="n">
        <f aca="false">+D874+D875+D878+D879+D880+D873</f>
        <v>3791.05</v>
      </c>
      <c r="E882" s="165" t="n">
        <f aca="false">+E874+E875+E878+E879+E880+E873</f>
        <v>5288.68</v>
      </c>
      <c r="F882" s="165" t="n">
        <f aca="false">+F874+F875+F878+F879+F880+F873</f>
        <v>6196.98</v>
      </c>
      <c r="G882" s="165" t="n">
        <f aca="false">+G874+G875+G878+G879+G880+G873</f>
        <v>4574.36</v>
      </c>
      <c r="H882" s="165" t="n">
        <f aca="false">+H874+H875+H878+H879+H880+H873</f>
        <v>3970.4</v>
      </c>
      <c r="I882" s="165" t="n">
        <f aca="false">+I874+I875+I878+I879+I880+I873</f>
        <v>4312.96</v>
      </c>
      <c r="J882" s="165" t="n">
        <f aca="false">+J874+J875+J878+J879+J880+J873</f>
        <v>5411.15</v>
      </c>
      <c r="K882" s="165" t="n">
        <f aca="false">+K874+K875+K878+K879+K880+K873</f>
        <v>5727.01</v>
      </c>
      <c r="L882" s="165" t="n">
        <f aca="false">+L874+L875+L878+L879+L880+L873</f>
        <v>5923.77</v>
      </c>
      <c r="M882" s="165" t="n">
        <f aca="false">+M874+M875+M878+M879+M880+M873</f>
        <v>8325.37</v>
      </c>
      <c r="N882" s="165" t="n">
        <f aca="false">+N874+N875+N878+N879+N880+N873</f>
        <v>11656.67</v>
      </c>
      <c r="O882" s="165" t="n">
        <f aca="false">+O874+O875+O878+O879+O880+O873</f>
        <v>14085.16</v>
      </c>
      <c r="P882" s="67" t="n">
        <f aca="false">+P874+P875+P878+P879+P880+P873</f>
        <v>17558.55</v>
      </c>
      <c r="Q882" s="67" t="n">
        <f aca="false">+Q874+Q875+Q878+Q879+Q880+Q873</f>
        <v>22719.4</v>
      </c>
      <c r="R882" s="67" t="n">
        <f aca="false">+R874+R875+R878+R879+R880+R873</f>
        <v>21369.458</v>
      </c>
      <c r="S882" s="67" t="n">
        <f aca="false">+S874+S875+S878+S879+S880+S873</f>
        <v>29607.572</v>
      </c>
      <c r="T882" s="67" t="n">
        <f aca="false">+T874+T875+T878+T879+T880+T873</f>
        <v>35282.74</v>
      </c>
      <c r="U882" s="67" t="n">
        <f aca="false">+U874+U875+U878+U879+U880+U873</f>
        <v>40387.294</v>
      </c>
      <c r="V882" s="67" t="n">
        <f aca="false">+V874+V875+V878+V879+V880+V873</f>
        <v>36785.07</v>
      </c>
      <c r="W882" s="67" t="n">
        <f aca="false">+W874+W875+W878+W879+W880+W873</f>
        <v>31927.863</v>
      </c>
      <c r="X882" s="67" t="n">
        <f aca="false">+X874+X875+X878+X879+X880+X873</f>
        <v>42521.279</v>
      </c>
      <c r="Y882" s="67" t="n">
        <f aca="false">+Y874+Y875+Y878+Y879+Y880+Y873</f>
        <v>42962.4</v>
      </c>
      <c r="Z882" s="67" t="n">
        <f aca="false">+Z874+Z875+Z878+Z879+Z880+Z873</f>
        <v>51825.497</v>
      </c>
      <c r="AA882" s="67" t="n">
        <f aca="false">+AA874+AA875+AA878+AA879+AA880+AA873</f>
        <v>76603.52</v>
      </c>
      <c r="AB882" s="67" t="n">
        <f aca="false">+AB874+AB875+AB878+AB879+AB880+AB873</f>
        <v>84550</v>
      </c>
      <c r="AC882" s="67" t="n">
        <f aca="false">+AC874+AC875+AC878+AC879+AC880+AC873</f>
        <v>50714.3</v>
      </c>
      <c r="AD882" s="67" t="n">
        <f aca="false">+AD874+AD875+AD878+AD879+AD880+AD873</f>
        <v>69906</v>
      </c>
      <c r="AE882" s="67" t="n">
        <f aca="false">+AE874+AE875+AE878+AE879+AE880+AE873</f>
        <v>88784.4</v>
      </c>
      <c r="AF882" s="276" t="n">
        <f aca="false">+AF874+AF875+AF878+AF879+AF880+AF873</f>
        <v>96452.2</v>
      </c>
      <c r="AG882" s="276" t="n">
        <f aca="false">+AG874+AG875+AG878+AG879+AG880+AG873</f>
        <v>109168.4</v>
      </c>
      <c r="AH882" s="67" t="n">
        <f aca="false">+AH874+AH875+AH878+AH879+AH880+AH873</f>
        <v>108830.3</v>
      </c>
      <c r="AI882" s="67" t="n">
        <f aca="false">+AI874+AI875+AI878+AI879+AI880+AI873</f>
        <v>126790.8</v>
      </c>
      <c r="AJ882" s="67" t="n">
        <f aca="false">+AJ874+AJ875+AJ878+AJ879+AJ880+AJ873</f>
        <v>133941.480507053</v>
      </c>
      <c r="AK882" s="67" t="n">
        <f aca="false">+AK874+AK875+AK878+AK879+AK880+AK873</f>
        <v>144565.57651129</v>
      </c>
      <c r="AL882" s="67" t="n">
        <f aca="false">+AL874+AL875+AL878+AL879+AL880+AL873</f>
        <v>156023.593908764</v>
      </c>
      <c r="AM882" s="145"/>
      <c r="AN882" s="145"/>
      <c r="AO882" s="145"/>
      <c r="AP882" s="274"/>
    </row>
    <row r="883" customFormat="false" ht="12.75" hidden="false" customHeight="true" outlineLevel="0" collapsed="false">
      <c r="B883" s="19"/>
      <c r="C883" s="19"/>
      <c r="D883" s="19"/>
      <c r="P883" s="41"/>
      <c r="Q883" s="41"/>
      <c r="R883" s="41"/>
      <c r="S883" s="41"/>
      <c r="T883" s="41"/>
      <c r="U883" s="41"/>
      <c r="V883" s="41"/>
      <c r="W883" s="41"/>
      <c r="X883" s="41"/>
      <c r="Y883" s="31"/>
      <c r="Z883" s="31"/>
      <c r="AA883" s="31"/>
      <c r="AB883" s="31"/>
      <c r="AC883" s="31"/>
      <c r="AD883" s="31"/>
      <c r="AE883" s="31"/>
      <c r="AF883" s="38"/>
      <c r="AG883" s="38"/>
      <c r="AH883" s="31"/>
      <c r="AI883" s="31"/>
      <c r="AJ883" s="31"/>
      <c r="AK883" s="31"/>
      <c r="AL883" s="31"/>
    </row>
    <row r="884" customFormat="false" ht="12.75" hidden="false" customHeight="true" outlineLevel="0" collapsed="false">
      <c r="A884" s="59" t="s">
        <v>376</v>
      </c>
      <c r="B884" s="39" t="n">
        <f aca="false">+B870-B882</f>
        <v>5685.94</v>
      </c>
      <c r="C884" s="39" t="n">
        <f aca="false">+C870-C882</f>
        <v>4463.41</v>
      </c>
      <c r="D884" s="39" t="n">
        <f aca="false">+D870-D882</f>
        <v>9000.38</v>
      </c>
      <c r="E884" s="39" t="n">
        <f aca="false">+E870-E882</f>
        <v>11283.89</v>
      </c>
      <c r="F884" s="39" t="n">
        <f aca="false">+F870-F882</f>
        <v>13672.15</v>
      </c>
      <c r="G884" s="165" t="n">
        <f aca="false">+G870-G882</f>
        <v>13914.49</v>
      </c>
      <c r="H884" s="165" t="n">
        <f aca="false">+H870-H882</f>
        <v>10490.64</v>
      </c>
      <c r="I884" s="39" t="n">
        <f aca="false">+I870-I882</f>
        <v>10329.42</v>
      </c>
      <c r="J884" s="39" t="n">
        <f aca="false">+J870-J882</f>
        <v>10222.85</v>
      </c>
      <c r="K884" s="39" t="n">
        <f aca="false">+K870-K882</f>
        <v>9824.75</v>
      </c>
      <c r="L884" s="39" t="n">
        <f aca="false">+L870-L882</f>
        <v>7480.93</v>
      </c>
      <c r="M884" s="39" t="n">
        <f aca="false">+M870-M882</f>
        <v>6311.3</v>
      </c>
      <c r="N884" s="39" t="n">
        <f aca="false">+N870-N882</f>
        <v>9915.96</v>
      </c>
      <c r="O884" s="39" t="n">
        <f aca="false">+O870-O882</f>
        <v>8238.97</v>
      </c>
      <c r="P884" s="67" t="n">
        <f aca="false">+P870-P882</f>
        <v>9418.59</v>
      </c>
      <c r="Q884" s="67" t="n">
        <f aca="false">+Q870-Q882</f>
        <v>6033.16</v>
      </c>
      <c r="R884" s="67" t="n">
        <f aca="false">+R870-R882</f>
        <v>10286.699</v>
      </c>
      <c r="S884" s="67" t="n">
        <f aca="false">+S870-S882</f>
        <v>11789.271</v>
      </c>
      <c r="T884" s="67" t="n">
        <f aca="false">+T870-T882</f>
        <v>8389.713</v>
      </c>
      <c r="U884" s="67" t="n">
        <f aca="false">+U870-U882</f>
        <v>2651.569</v>
      </c>
      <c r="V884" s="67" t="n">
        <f aca="false">+V870-V882</f>
        <v>6180.254</v>
      </c>
      <c r="W884" s="67" t="n">
        <f aca="false">+W870-W882</f>
        <v>2782.73899999999</v>
      </c>
      <c r="X884" s="67" t="n">
        <f aca="false">+X870-X882</f>
        <v>324.152999999991</v>
      </c>
      <c r="Y884" s="67" t="n">
        <f aca="false">+Y870-Y882</f>
        <v>8847.09599999999</v>
      </c>
      <c r="Z884" s="67" t="n">
        <f aca="false">+Z870-Z882</f>
        <v>-3231.13699999999</v>
      </c>
      <c r="AA884" s="67" t="n">
        <f aca="false">+AA870-AA882</f>
        <v>-28456.75</v>
      </c>
      <c r="AB884" s="67" t="n">
        <f aca="false">+AB870-AB882</f>
        <v>-2686.60000000001</v>
      </c>
      <c r="AC884" s="67" t="n">
        <f aca="false">+AC870-AC882</f>
        <v>3520.60000000001</v>
      </c>
      <c r="AD884" s="67" t="n">
        <f aca="false">+AD870-AD882</f>
        <v>4612.39999999999</v>
      </c>
      <c r="AE884" s="67" t="n">
        <f aca="false">+AE870-AE882</f>
        <v>-6546.5</v>
      </c>
      <c r="AF884" s="67" t="n">
        <f aca="false">+AF870-AF882</f>
        <v>-7123.89999999999</v>
      </c>
      <c r="AG884" s="67" t="n">
        <f aca="false">+AG870-AG882</f>
        <v>4974.39999999999</v>
      </c>
      <c r="AH884" s="67" t="n">
        <f aca="false">+AH870-AH882</f>
        <v>-15694.3</v>
      </c>
      <c r="AI884" s="67" t="n">
        <f aca="false">+AI870-AI882</f>
        <v>-21368</v>
      </c>
      <c r="AJ884" s="67" t="n">
        <f aca="false">+AJ870-AJ882</f>
        <v>-12585.4768886858</v>
      </c>
      <c r="AK884" s="67" t="n">
        <f aca="false">+AK870-AK882</f>
        <v>4717.33823902282</v>
      </c>
      <c r="AL884" s="67" t="n">
        <f aca="false">+AL870-AL882</f>
        <v>23623.2083154788</v>
      </c>
      <c r="AM884" s="145"/>
      <c r="AN884" s="145"/>
      <c r="AO884" s="145"/>
    </row>
    <row r="885" customFormat="false" ht="12" hidden="false" customHeight="true" outlineLevel="0" collapsed="false">
      <c r="P885" s="41"/>
      <c r="Q885" s="41"/>
      <c r="R885" s="41"/>
      <c r="S885" s="41"/>
      <c r="T885" s="41"/>
      <c r="U885" s="41"/>
      <c r="V885" s="41"/>
      <c r="W885" s="41"/>
      <c r="X885" s="41"/>
    </row>
    <row r="886" customFormat="false" ht="25.5" hidden="false" customHeight="true" outlineLevel="0" collapsed="false">
      <c r="A886" s="59" t="s">
        <v>377</v>
      </c>
      <c r="B886" s="42" t="n">
        <v>18.36</v>
      </c>
      <c r="C886" s="42" t="n">
        <v>15.15</v>
      </c>
      <c r="D886" s="42" t="n">
        <v>65.36</v>
      </c>
      <c r="E886" s="42" t="n">
        <v>49.8</v>
      </c>
      <c r="F886" s="42" t="n">
        <v>87.18</v>
      </c>
      <c r="G886" s="42" t="n">
        <v>76.31</v>
      </c>
      <c r="H886" s="42" t="n">
        <v>53.86</v>
      </c>
      <c r="I886" s="42" t="n">
        <v>66.78</v>
      </c>
      <c r="J886" s="42" t="n">
        <v>102.24</v>
      </c>
      <c r="K886" s="42" t="n">
        <v>49.05</v>
      </c>
      <c r="L886" s="42" t="n">
        <v>0</v>
      </c>
      <c r="M886" s="42" t="n">
        <v>323.24</v>
      </c>
      <c r="N886" s="267" t="n">
        <v>193.32</v>
      </c>
      <c r="O886" s="267" t="n">
        <v>73.07</v>
      </c>
      <c r="P886" s="208" t="n">
        <v>244.18</v>
      </c>
      <c r="Q886" s="208" t="n">
        <v>222.92</v>
      </c>
      <c r="R886" s="208" t="n">
        <v>96.882</v>
      </c>
      <c r="S886" s="208" t="n">
        <v>51.743</v>
      </c>
      <c r="T886" s="208" t="n">
        <v>43.145</v>
      </c>
      <c r="U886" s="208" t="n">
        <v>74.274</v>
      </c>
      <c r="V886" s="209" t="n">
        <f aca="false">120.321+9.635</f>
        <v>129.956</v>
      </c>
      <c r="W886" s="209" t="n">
        <f aca="false">330.899+59.289</f>
        <v>390.188</v>
      </c>
      <c r="X886" s="209" t="n">
        <f aca="false">194.996+142.485</f>
        <v>337.481</v>
      </c>
      <c r="Y886" s="145"/>
      <c r="Z886" s="67" t="n">
        <f aca="false">Y886</f>
        <v>0</v>
      </c>
      <c r="AA886" s="67" t="n">
        <f aca="false">Z886</f>
        <v>0</v>
      </c>
      <c r="AB886" s="67" t="n">
        <f aca="false">AA886</f>
        <v>0</v>
      </c>
      <c r="AC886" s="67" t="n">
        <f aca="false">AB886</f>
        <v>0</v>
      </c>
      <c r="AD886" s="67" t="n">
        <f aca="false">AC886</f>
        <v>0</v>
      </c>
      <c r="AE886" s="67" t="n">
        <f aca="false">AD886</f>
        <v>0</v>
      </c>
      <c r="AF886" s="67" t="n">
        <f aca="false">AE886</f>
        <v>0</v>
      </c>
      <c r="AG886" s="67" t="n">
        <f aca="false">AF886</f>
        <v>0</v>
      </c>
      <c r="AH886" s="67" t="n">
        <f aca="false">AG886</f>
        <v>0</v>
      </c>
      <c r="AI886" s="67" t="n">
        <f aca="false">AH886</f>
        <v>0</v>
      </c>
      <c r="AJ886" s="67" t="n">
        <f aca="false">AI886</f>
        <v>0</v>
      </c>
      <c r="AK886" s="67" t="n">
        <f aca="false">AJ886</f>
        <v>0</v>
      </c>
      <c r="AL886" s="67" t="n">
        <f aca="false">AK886</f>
        <v>0</v>
      </c>
      <c r="AM886" s="251"/>
      <c r="AN886" s="251"/>
      <c r="AO886" s="251"/>
    </row>
    <row r="887" customFormat="false" ht="12.75" hidden="false" customHeight="true" outlineLevel="0" collapsed="false">
      <c r="A887" s="167"/>
      <c r="B887" s="19"/>
      <c r="C887" s="19"/>
      <c r="D887" s="19"/>
      <c r="E887" s="19"/>
      <c r="F887" s="19"/>
      <c r="G887" s="19"/>
      <c r="H887" s="19"/>
      <c r="I887" s="19"/>
      <c r="J887" s="19"/>
      <c r="K887" s="19"/>
      <c r="L887" s="19"/>
      <c r="M887" s="19"/>
      <c r="N887" s="118"/>
      <c r="O887" s="118"/>
      <c r="P887" s="145"/>
      <c r="Q887" s="145"/>
      <c r="R887" s="145"/>
      <c r="S887" s="145"/>
      <c r="T887" s="145"/>
      <c r="U887" s="145"/>
      <c r="V887" s="145"/>
      <c r="W887" s="360"/>
      <c r="X887" s="145"/>
    </row>
    <row r="888" customFormat="false" ht="12.75" hidden="false" customHeight="true" outlineLevel="0" collapsed="false">
      <c r="A888" s="167"/>
      <c r="B888" s="19"/>
      <c r="C888" s="19"/>
      <c r="D888" s="19"/>
      <c r="E888" s="19"/>
      <c r="F888" s="19"/>
      <c r="G888" s="19"/>
      <c r="H888" s="19"/>
      <c r="I888" s="19"/>
      <c r="J888" s="19"/>
      <c r="K888" s="19"/>
      <c r="L888" s="19"/>
      <c r="M888" s="19"/>
      <c r="N888" s="118"/>
      <c r="O888" s="118"/>
      <c r="P888" s="145"/>
      <c r="Q888" s="145"/>
      <c r="R888" s="145"/>
      <c r="S888" s="145"/>
      <c r="T888" s="145"/>
      <c r="U888" s="145"/>
      <c r="V888" s="145"/>
      <c r="W888" s="360"/>
      <c r="X888" s="145"/>
    </row>
    <row r="889" customFormat="false" ht="12" hidden="false" customHeight="true" outlineLevel="0" collapsed="false">
      <c r="N889" s="40"/>
      <c r="O889" s="40"/>
      <c r="P889" s="41"/>
      <c r="Q889" s="41"/>
      <c r="R889" s="41"/>
      <c r="S889" s="41"/>
      <c r="T889" s="41"/>
      <c r="U889" s="41"/>
      <c r="V889" s="41"/>
      <c r="W889" s="41"/>
      <c r="X889" s="41"/>
    </row>
    <row r="890" s="344" customFormat="true" ht="13.5" hidden="false" customHeight="true" outlineLevel="0" collapsed="false">
      <c r="A890" s="187" t="s">
        <v>420</v>
      </c>
      <c r="B890" s="361" t="n">
        <f aca="false">+B886+B884+B836+B834</f>
        <v>9249.42</v>
      </c>
      <c r="C890" s="361" t="n">
        <f aca="false">+C886+C884+C836+C834</f>
        <v>10022.88</v>
      </c>
      <c r="D890" s="361" t="n">
        <f aca="false">+D886+D884+D836+D834</f>
        <v>15650.76</v>
      </c>
      <c r="E890" s="362" t="n">
        <f aca="false">+E886+E884+E836+E834</f>
        <v>19257.07</v>
      </c>
      <c r="F890" s="361" t="n">
        <f aca="false">+F886+F884+F836+F834</f>
        <v>22741.26</v>
      </c>
      <c r="G890" s="361" t="n">
        <f aca="false">+G886+G884+G836+G834</f>
        <v>23501.69</v>
      </c>
      <c r="H890" s="361" t="n">
        <f aca="false">+H886+H884+H836+H834</f>
        <v>20716.72</v>
      </c>
      <c r="I890" s="361" t="n">
        <f aca="false">+I886+I884+I836+I834</f>
        <v>21058.38</v>
      </c>
      <c r="J890" s="361" t="n">
        <f aca="false">+J886+J884+J836+J834</f>
        <v>21117.68</v>
      </c>
      <c r="K890" s="361" t="n">
        <f aca="false">+K886+K884+K836+K834</f>
        <v>21145.52</v>
      </c>
      <c r="L890" s="361" t="n">
        <f aca="false">+L886+L884+L836+L834</f>
        <v>18455.07</v>
      </c>
      <c r="M890" s="361" t="n">
        <f aca="false">+M886+M884+M836+M834</f>
        <v>17311.56</v>
      </c>
      <c r="N890" s="361" t="n">
        <f aca="false">+N886+N884+N836+N834</f>
        <v>22191.19</v>
      </c>
      <c r="O890" s="361" t="n">
        <f aca="false">+O886+O884+O836+O834</f>
        <v>22840.7</v>
      </c>
      <c r="P890" s="222" t="n">
        <f aca="false">+P886+P884+P836+P834</f>
        <v>27318.95</v>
      </c>
      <c r="Q890" s="222" t="n">
        <f aca="false">+Q886+Q884+Q836+Q834</f>
        <v>32903.03</v>
      </c>
      <c r="R890" s="222" t="n">
        <f aca="false">+R886+R884+R836+R834+R845</f>
        <v>56993.209</v>
      </c>
      <c r="S890" s="222" t="n">
        <f aca="false">+S886+S884+S836+S834+S845</f>
        <v>63212.852</v>
      </c>
      <c r="T890" s="222" t="n">
        <f aca="false">+T886+T884+T836+T834+T845</f>
        <v>70650.405</v>
      </c>
      <c r="U890" s="222" t="n">
        <f aca="false">+U886+U884+U836+U834+U845</f>
        <v>78770.177</v>
      </c>
      <c r="V890" s="222" t="n">
        <f aca="false">+V886+V884+V836+V834+V845</f>
        <v>94191.586</v>
      </c>
      <c r="W890" s="222" t="n">
        <f aca="false">+W886+W884+W836+W834+W845</f>
        <v>96211.383</v>
      </c>
      <c r="X890" s="222" t="n">
        <f aca="false">+X886+X884+X836+X834+X845</f>
        <v>90736.108</v>
      </c>
      <c r="Y890" s="222" t="n">
        <f aca="false">+Y886+Y884+Y836+Y834+Y845+Y846</f>
        <v>84775.138</v>
      </c>
      <c r="Z890" s="222" t="n">
        <f aca="false">+Z886+Z884+Z836+Z834+Z845+Z846</f>
        <v>86168.564</v>
      </c>
      <c r="AA890" s="222" t="n">
        <f aca="false">+AA886+AA884+AA836+AA834+AA845+AA846</f>
        <v>89257.302</v>
      </c>
      <c r="AB890" s="222" t="n">
        <f aca="false">+AB886+AB884+AB836+AB834+AB845+AB846</f>
        <v>97694</v>
      </c>
      <c r="AC890" s="222" t="n">
        <f aca="false">+AC886+AC884+AC836+AC834+AC845+AC846</f>
        <v>113181.8</v>
      </c>
      <c r="AD890" s="222" t="n">
        <f aca="false">+AD886+AD884+AD836+AD834+AD845+AD846</f>
        <v>114593.1</v>
      </c>
      <c r="AE890" s="222" t="n">
        <f aca="false">+AE886+AE884+AE836+AE834+AE845+AE846</f>
        <v>114553.4</v>
      </c>
      <c r="AF890" s="222" t="n">
        <f aca="false">+AF886+AF884+AF836+AF834+AF845+AF846</f>
        <v>129464.1</v>
      </c>
      <c r="AG890" s="222" t="n">
        <f aca="false">+AG886+AG884+AG836+AG834+AG845+AG846</f>
        <v>126949.1</v>
      </c>
      <c r="AH890" s="222" t="n">
        <f aca="false">+AH886+AH884+AH836+AH834+AH845+AH846</f>
        <v>146428</v>
      </c>
      <c r="AI890" s="222" t="n">
        <f aca="false">+AI886+AI884+AI836+AI834+AI845+AI846</f>
        <v>159145.8</v>
      </c>
      <c r="AJ890" s="222" t="n">
        <f aca="false">+AJ886+AJ884+AJ836+AJ834+AJ845+AJ846</f>
        <v>182741.152711314</v>
      </c>
      <c r="AK890" s="222" t="n">
        <f aca="false">+AK886+AK884+AK836+AK834+AK845+AK846</f>
        <v>206349.512189023</v>
      </c>
      <c r="AL890" s="222" t="n">
        <f aca="false">+AL886+AL884+AL836+AL834+AL845+AL846</f>
        <v>231369.023802979</v>
      </c>
      <c r="AM890" s="221"/>
      <c r="AN890" s="221"/>
      <c r="AO890" s="221"/>
    </row>
    <row r="891" s="192" customFormat="true" ht="13.5" hidden="false" customHeight="true" outlineLevel="0" collapsed="false">
      <c r="A891" s="363"/>
      <c r="B891" s="87" t="n">
        <f aca="false">+B890-B821</f>
        <v>0.06999999999789</v>
      </c>
      <c r="C891" s="87" t="n">
        <f aca="false">+C890-C821</f>
        <v>-0.139999999999418</v>
      </c>
      <c r="D891" s="87" t="n">
        <f aca="false">+D890-D821</f>
        <v>0.0100000000020373</v>
      </c>
      <c r="E891" s="87" t="n">
        <f aca="false">+E890-E821</f>
        <v>-0.0100000000020373</v>
      </c>
      <c r="F891" s="87" t="n">
        <f aca="false">+F890-F821</f>
        <v>-0.0100000000020373</v>
      </c>
      <c r="G891" s="87" t="n">
        <f aca="false">+G890-G821</f>
        <v>0</v>
      </c>
      <c r="H891" s="87" t="n">
        <f aca="false">+H890-H821</f>
        <v>-0.00999999999839929</v>
      </c>
      <c r="I891" s="87" t="n">
        <f aca="false">+I890-I821</f>
        <v>0</v>
      </c>
      <c r="J891" s="87" t="n">
        <f aca="false">+J890-J821</f>
        <v>0</v>
      </c>
      <c r="K891" s="87" t="n">
        <f aca="false">+K890-K821</f>
        <v>0</v>
      </c>
      <c r="L891" s="87" t="n">
        <f aca="false">+L890-L821</f>
        <v>0</v>
      </c>
      <c r="M891" s="87" t="n">
        <f aca="false">+M890-M821</f>
        <v>0</v>
      </c>
      <c r="N891" s="87" t="n">
        <f aca="false">+N890-N821</f>
        <v>0</v>
      </c>
      <c r="O891" s="87" t="n">
        <f aca="false">+O890-O821</f>
        <v>0</v>
      </c>
      <c r="P891" s="87" t="n">
        <f aca="false">+P890-P821</f>
        <v>0</v>
      </c>
      <c r="Q891" s="87" t="n">
        <f aca="false">+Q890-Q821</f>
        <v>0</v>
      </c>
      <c r="R891" s="87" t="n">
        <f aca="false">+R890-R821</f>
        <v>0</v>
      </c>
      <c r="S891" s="87" t="n">
        <f aca="false">+S890-S821</f>
        <v>0</v>
      </c>
      <c r="T891" s="87" t="n">
        <f aca="false">+T890-T821</f>
        <v>0</v>
      </c>
      <c r="U891" s="87" t="n">
        <f aca="false">+U890-U821</f>
        <v>0</v>
      </c>
      <c r="V891" s="87" t="n">
        <f aca="false">+V890-V821</f>
        <v>0</v>
      </c>
      <c r="W891" s="364" t="n">
        <f aca="false">+W890-W821</f>
        <v>0</v>
      </c>
      <c r="X891" s="364" t="n">
        <f aca="false">+X890-X821</f>
        <v>0</v>
      </c>
      <c r="Y891" s="87" t="n">
        <f aca="false">+Y890-Y821</f>
        <v>0</v>
      </c>
      <c r="Z891" s="87" t="n">
        <f aca="false">+Z890-Z821</f>
        <v>0</v>
      </c>
      <c r="AA891" s="87" t="n">
        <f aca="false">+AA890-AA821</f>
        <v>0</v>
      </c>
      <c r="AB891" s="87" t="n">
        <f aca="false">+AB890-AB821</f>
        <v>0</v>
      </c>
      <c r="AC891" s="87" t="n">
        <f aca="false">+AC890-AC821</f>
        <v>0</v>
      </c>
      <c r="AD891" s="87" t="n">
        <f aca="false">+AD890-AD821</f>
        <v>0</v>
      </c>
      <c r="AE891" s="87" t="n">
        <f aca="false">+AE890-AE821</f>
        <v>0</v>
      </c>
      <c r="AF891" s="87" t="n">
        <f aca="false">+AF890-AF821</f>
        <v>0</v>
      </c>
      <c r="AG891" s="87" t="n">
        <f aca="false">+AG890-AG821</f>
        <v>0</v>
      </c>
      <c r="AH891" s="87" t="n">
        <f aca="false">+AH890-AH821</f>
        <v>0</v>
      </c>
      <c r="AI891" s="87" t="n">
        <f aca="false">+AI890-AI821</f>
        <v>0</v>
      </c>
      <c r="AJ891" s="87" t="n">
        <f aca="false">+AJ890-AJ821</f>
        <v>0</v>
      </c>
      <c r="AK891" s="87" t="n">
        <f aca="false">+AK890-AK821</f>
        <v>0</v>
      </c>
      <c r="AL891" s="87" t="n">
        <f aca="false">+AL890-AL821</f>
        <v>0</v>
      </c>
      <c r="AM891" s="365"/>
      <c r="AN891" s="365"/>
      <c r="AO891" s="365"/>
    </row>
    <row r="892" customFormat="false" ht="12.75" hidden="false" customHeight="true" outlineLevel="0" collapsed="false">
      <c r="A892" s="59" t="s">
        <v>667</v>
      </c>
      <c r="B892" s="165" t="n">
        <f aca="false">+B849+B859+B863-B874-B873</f>
        <v>5685.81</v>
      </c>
      <c r="C892" s="165" t="n">
        <f aca="false">+C849+C859+C863-C874-C873</f>
        <v>5318.8</v>
      </c>
      <c r="D892" s="165" t="n">
        <f aca="false">+D849+D859+D863-D874-D873</f>
        <v>9404.8</v>
      </c>
      <c r="E892" s="165" t="n">
        <f aca="false">+E849+E859+E863-E874-E873</f>
        <v>13133.57</v>
      </c>
      <c r="F892" s="165" t="n">
        <f aca="false">+F849+F859+F863-F874-F873</f>
        <v>15561.9</v>
      </c>
      <c r="G892" s="165" t="n">
        <f aca="false">+G849+G859+G863-G874-G873</f>
        <v>14932.77</v>
      </c>
      <c r="H892" s="165" t="n">
        <f aca="false">+H849+H859+H863-H874-H873</f>
        <v>10750.9</v>
      </c>
      <c r="I892" s="165" t="n">
        <f aca="false">+I849+I859+I863-I874-I873</f>
        <v>11256.56</v>
      </c>
      <c r="J892" s="165" t="n">
        <f aca="false">+J849+J859+J863-J874-J873</f>
        <v>10134.89</v>
      </c>
      <c r="K892" s="165" t="n">
        <f aca="false">+K849+K859+K863-K874-K873</f>
        <v>8525.89</v>
      </c>
      <c r="L892" s="165" t="n">
        <f aca="false">+L849+L859+L863-L874-L873</f>
        <v>7051.67</v>
      </c>
      <c r="M892" s="165" t="n">
        <f aca="false">+M849+M859+M863-M874-M873</f>
        <v>5379.86</v>
      </c>
      <c r="N892" s="165" t="n">
        <f aca="false">+N849+N859+N863-N874-N873</f>
        <v>4986.92</v>
      </c>
      <c r="O892" s="165" t="n">
        <f aca="false">+O849+O859+O863-O874-O873</f>
        <v>5835.84</v>
      </c>
      <c r="P892" s="165" t="n">
        <f aca="false">+P849+P859+P863-P874-P873</f>
        <v>8290.87</v>
      </c>
      <c r="Q892" s="165" t="n">
        <f aca="false">+Q849+Q859+Q863-Q874-Q873</f>
        <v>6887.78</v>
      </c>
      <c r="R892" s="165" t="n">
        <f aca="false">+R849+R859+R863-R874-R873</f>
        <v>13062.408</v>
      </c>
      <c r="S892" s="165" t="n">
        <f aca="false">+S849+S859+S863-S874-S873</f>
        <v>12890.859</v>
      </c>
      <c r="T892" s="165" t="n">
        <f aca="false">+T849+T859+T863-T874-T873</f>
        <v>14803.128</v>
      </c>
      <c r="U892" s="165" t="n">
        <f aca="false">+U849+U859+U863-U874-U873</f>
        <v>14155.027</v>
      </c>
      <c r="V892" s="165" t="n">
        <f aca="false">+V849+V859+V863-V874-V873</f>
        <v>17210.44</v>
      </c>
      <c r="W892" s="165" t="n">
        <f aca="false">+W849+W859+W863-W874-W873</f>
        <v>10742.709</v>
      </c>
      <c r="X892" s="165" t="n">
        <f aca="false">+X849+X859+X863-X874-X873</f>
        <v>3967.227</v>
      </c>
      <c r="Y892" s="165" t="n">
        <f aca="false">+Y849+Y859+Y863-Y874-Y873</f>
        <v>3838.754</v>
      </c>
      <c r="Z892" s="165" t="n">
        <f aca="false">+Z849+Z859+Z863-Z874-Z873</f>
        <v>3123.00600000001</v>
      </c>
      <c r="AA892" s="165" t="n">
        <f aca="false">+AA849+AA859+AA863-AA874-AA873</f>
        <v>-19441.339</v>
      </c>
      <c r="AB892" s="165" t="n">
        <f aca="false">+AB849+AB859+AB863-AB874-AB873</f>
        <v>1937.3</v>
      </c>
      <c r="AC892" s="165" t="n">
        <f aca="false">+AC849+AC859+AC863-AC874-AC873</f>
        <v>-1830.9</v>
      </c>
      <c r="AD892" s="165" t="n">
        <f aca="false">+AD849+AD859+AD863-AD874-AD873</f>
        <v>-1854.7</v>
      </c>
      <c r="AE892" s="165" t="n">
        <f aca="false">+AE849+AE859+AE863-AE874-AE873</f>
        <v>-16889.8</v>
      </c>
      <c r="AF892" s="165" t="n">
        <f aca="false">+AF849+AF859+AF863-AF874-AF873</f>
        <v>-3379.29999999999</v>
      </c>
      <c r="AG892" s="165" t="n">
        <f aca="false">+AG849+AG859+AG863-AG874-AG873</f>
        <v>5503.99999999999</v>
      </c>
      <c r="AH892" s="165" t="n">
        <f aca="false">+AH849+AH859+AH863-AH874-AH873</f>
        <v>-14600.5</v>
      </c>
      <c r="AI892" s="165" t="n">
        <f aca="false">+AI849+AI859+AI863-AI874-AI873</f>
        <v>-18928.3</v>
      </c>
      <c r="AJ892" s="165" t="n">
        <f aca="false">+AJ849+AJ859+AJ863-AJ874-AJ873</f>
        <v>-15118.2604570368</v>
      </c>
      <c r="AK892" s="165" t="n">
        <f aca="false">+AK849+AK859+AK863-AK874-AK873</f>
        <v>-15545.4802547817</v>
      </c>
      <c r="AL892" s="165" t="n">
        <f aca="false">+AL849+AL859+AL863-AL874-AL873</f>
        <v>-16774.0565187405</v>
      </c>
      <c r="AM892" s="157"/>
      <c r="AN892" s="157"/>
      <c r="AO892" s="157"/>
    </row>
    <row r="893" customFormat="false" ht="12.75" hidden="false" customHeight="true" outlineLevel="0" collapsed="false">
      <c r="A893" s="59" t="s">
        <v>668</v>
      </c>
      <c r="B893" s="19"/>
      <c r="C893" s="39" t="n">
        <f aca="false">+C892-B892</f>
        <v>-367.009999999999</v>
      </c>
      <c r="D893" s="39" t="n">
        <f aca="false">+D892-C892</f>
        <v>4086</v>
      </c>
      <c r="E893" s="39" t="n">
        <f aca="false">+E892-D892</f>
        <v>3728.77</v>
      </c>
      <c r="F893" s="39" t="n">
        <f aca="false">+F892-E892</f>
        <v>2428.32999999999</v>
      </c>
      <c r="G893" s="165" t="n">
        <f aca="false">+G892-F892</f>
        <v>-629.129999999999</v>
      </c>
      <c r="H893" s="165" t="n">
        <f aca="false">+H892-G892</f>
        <v>-4181.87</v>
      </c>
      <c r="I893" s="165" t="n">
        <f aca="false">+I892-H892</f>
        <v>505.660000000002</v>
      </c>
      <c r="J893" s="165" t="n">
        <f aca="false">+J892-I892</f>
        <v>-1121.67</v>
      </c>
      <c r="K893" s="165" t="n">
        <f aca="false">+K892-J892</f>
        <v>-1609</v>
      </c>
      <c r="L893" s="165" t="n">
        <f aca="false">+L892-K892</f>
        <v>-1474.22</v>
      </c>
      <c r="M893" s="165" t="n">
        <f aca="false">+M892-L892</f>
        <v>-1671.81</v>
      </c>
      <c r="N893" s="165" t="n">
        <f aca="false">+N892-M892</f>
        <v>-392.940000000001</v>
      </c>
      <c r="O893" s="165" t="n">
        <f aca="false">+O892-N892</f>
        <v>848.919999999999</v>
      </c>
      <c r="P893" s="165" t="n">
        <f aca="false">+P892-O892</f>
        <v>2455.03</v>
      </c>
      <c r="Q893" s="165" t="n">
        <f aca="false">+Q892-P892</f>
        <v>-1403.09</v>
      </c>
      <c r="R893" s="165" t="n">
        <f aca="false">+R892-Q892</f>
        <v>6174.628</v>
      </c>
      <c r="S893" s="165" t="n">
        <f aca="false">+S892-R892</f>
        <v>-171.548999999995</v>
      </c>
      <c r="T893" s="165" t="n">
        <f aca="false">+T892-S892</f>
        <v>1912.269</v>
      </c>
      <c r="U893" s="165" t="n">
        <f aca="false">+U892-T892</f>
        <v>-648.101000000002</v>
      </c>
      <c r="V893" s="165" t="n">
        <f aca="false">+V892-U892</f>
        <v>3055.413</v>
      </c>
      <c r="W893" s="165" t="n">
        <f aca="false">+W892-V892</f>
        <v>-6467.731</v>
      </c>
      <c r="X893" s="165" t="n">
        <f aca="false">+X892-W892</f>
        <v>-6775.482</v>
      </c>
      <c r="Y893" s="165" t="n">
        <f aca="false">+Y892-X892</f>
        <v>-128.473000000002</v>
      </c>
      <c r="Z893" s="165" t="n">
        <f aca="false">+Z892-Y892</f>
        <v>-715.747999999992</v>
      </c>
      <c r="AA893" s="165" t="n">
        <f aca="false">+AA892-Z892</f>
        <v>-22564.345</v>
      </c>
      <c r="AB893" s="165" t="n">
        <f aca="false">+AB892-AA892</f>
        <v>21378.639</v>
      </c>
      <c r="AC893" s="165" t="n">
        <f aca="false">+AC892-AB892</f>
        <v>-3768.19999999999</v>
      </c>
      <c r="AD893" s="165" t="n">
        <f aca="false">+AD892-AC892</f>
        <v>-23.8000000000066</v>
      </c>
      <c r="AE893" s="165" t="n">
        <f aca="false">+AE892-AD892</f>
        <v>-15035.1</v>
      </c>
      <c r="AF893" s="165" t="n">
        <f aca="false">+AF892-AE892</f>
        <v>13510.5</v>
      </c>
      <c r="AG893" s="165" t="n">
        <f aca="false">+AG892-AF892</f>
        <v>8883.29999999998</v>
      </c>
      <c r="AH893" s="165" t="n">
        <f aca="false">+AH892-AG892</f>
        <v>-20104.5</v>
      </c>
      <c r="AI893" s="165" t="n">
        <f aca="false">+AI892-AH892</f>
        <v>-4327.80000000001</v>
      </c>
      <c r="AJ893" s="165" t="n">
        <f aca="false">+AJ892-AI892</f>
        <v>3810.03954296324</v>
      </c>
      <c r="AK893" s="165" t="n">
        <f aca="false">+AK892-AJ892</f>
        <v>-427.219797744896</v>
      </c>
      <c r="AL893" s="165" t="n">
        <f aca="false">+AL892-AK892</f>
        <v>-1228.57626395888</v>
      </c>
      <c r="AM893" s="157"/>
      <c r="AN893" s="157"/>
      <c r="AO893" s="157"/>
    </row>
    <row r="894" customFormat="false" ht="12.75" hidden="false" customHeight="true" outlineLevel="0" collapsed="false">
      <c r="A894" s="59" t="s">
        <v>245</v>
      </c>
      <c r="B894" s="37" t="n">
        <f aca="false">B803-B861</f>
        <v>4339.5</v>
      </c>
      <c r="C894" s="37" t="n">
        <f aca="false">C803-C861</f>
        <v>5290.74</v>
      </c>
      <c r="D894" s="37" t="n">
        <f aca="false">D803-D861</f>
        <v>5059.87</v>
      </c>
      <c r="E894" s="37" t="n">
        <f aca="false">E803-E861</f>
        <v>8840.14</v>
      </c>
      <c r="F894" s="37" t="n">
        <f aca="false">F803-F861</f>
        <v>11695.03</v>
      </c>
      <c r="G894" s="37" t="n">
        <f aca="false">G803-G861</f>
        <v>12448.33</v>
      </c>
      <c r="H894" s="37" t="n">
        <f aca="false">H803-H861</f>
        <v>9000.11</v>
      </c>
      <c r="I894" s="37" t="n">
        <f aca="false">I803-I861</f>
        <v>9284.07</v>
      </c>
      <c r="J894" s="37" t="n">
        <f aca="false">J803-J861</f>
        <v>7680.88</v>
      </c>
      <c r="K894" s="37" t="n">
        <f aca="false">K803-K861</f>
        <v>6135.55</v>
      </c>
      <c r="L894" s="37" t="n">
        <f aca="false">L803-L861</f>
        <v>4955.99</v>
      </c>
      <c r="M894" s="37" t="n">
        <f aca="false">M803-M861</f>
        <v>1740.99</v>
      </c>
      <c r="N894" s="37" t="n">
        <f aca="false">N803-N861</f>
        <v>837.24</v>
      </c>
      <c r="O894" s="37" t="n">
        <f aca="false">O803-O861</f>
        <v>890.52</v>
      </c>
      <c r="P894" s="37" t="n">
        <f aca="false">P803-P861</f>
        <v>2054.59</v>
      </c>
      <c r="Q894" s="37" t="n">
        <f aca="false">Q803-Q861</f>
        <v>4361.31</v>
      </c>
      <c r="R894" s="37" t="n">
        <f aca="false">R803-R861</f>
        <v>18700.603</v>
      </c>
      <c r="S894" s="37" t="n">
        <f aca="false">S803-S861</f>
        <v>16849.713</v>
      </c>
      <c r="T894" s="37" t="n">
        <f aca="false">T803-T861</f>
        <v>23887.376</v>
      </c>
      <c r="U894" s="37" t="n">
        <f aca="false">U803-U861</f>
        <v>30653.375</v>
      </c>
      <c r="V894" s="37" t="n">
        <f aca="false">V803-V861</f>
        <v>43414.901</v>
      </c>
      <c r="W894" s="37" t="n">
        <f aca="false">W803-W861</f>
        <v>46786.302</v>
      </c>
      <c r="X894" s="37" t="n">
        <f aca="false">X803-X861</f>
        <v>25984.397</v>
      </c>
      <c r="Y894" s="37" t="n">
        <f aca="false">Y803-Y861-Y838</f>
        <v>8218.525</v>
      </c>
      <c r="Z894" s="37" t="n">
        <f aca="false">Z803-Z861-Z838</f>
        <v>3557.054</v>
      </c>
      <c r="AA894" s="37" t="n">
        <f aca="false">AA803-AA861-AA838</f>
        <v>-30572.456</v>
      </c>
      <c r="AB894" s="37" t="n">
        <f aca="false">AB803-AB861-AB838</f>
        <v>-7412.3</v>
      </c>
      <c r="AC894" s="37" t="n">
        <f aca="false">AC803-AC861-AC838</f>
        <v>19588.9</v>
      </c>
      <c r="AD894" s="37" t="n">
        <f aca="false">AD803-AD861-AD838</f>
        <v>30183</v>
      </c>
      <c r="AE894" s="37" t="n">
        <f aca="false">AE803-AE861-AE838</f>
        <v>12088.7</v>
      </c>
      <c r="AF894" s="37" t="n">
        <f aca="false">AF803-AF861-AF838</f>
        <v>-478.800000000003</v>
      </c>
      <c r="AG894" s="37" t="n">
        <f aca="false">AG803-AG861-AG838</f>
        <v>-13878.4</v>
      </c>
      <c r="AH894" s="37" t="n">
        <f aca="false">AH803-AH861-AH838</f>
        <v>-42429.3</v>
      </c>
      <c r="AI894" s="37" t="n">
        <f aca="false">AI803-AI861-AI838</f>
        <v>-59017.2</v>
      </c>
      <c r="AJ894" s="37" t="n">
        <f aca="false">AJ803-AJ861-AJ838</f>
        <v>-69724.188568351</v>
      </c>
      <c r="AK894" s="37" t="n">
        <f aca="false">AK803-AK861-AK838</f>
        <v>-93625.4277438045</v>
      </c>
      <c r="AL894" s="37" t="n">
        <f aca="false">AL803-AL861-AL838</f>
        <v>-120404.609946719</v>
      </c>
      <c r="AM894" s="31"/>
      <c r="AN894" s="31"/>
      <c r="AO894" s="31"/>
    </row>
    <row r="895" customFormat="false" ht="12.75" hidden="false" customHeight="true" outlineLevel="0" collapsed="false">
      <c r="B895" s="19"/>
      <c r="C895" s="19"/>
      <c r="D895" s="19"/>
      <c r="Q895" s="122" t="n">
        <f aca="false">+Q837/Q890</f>
        <v>0.0184755021042135</v>
      </c>
      <c r="R895" s="122" t="n">
        <f aca="false">+R837/R890</f>
        <v>0.0176158005070394</v>
      </c>
      <c r="S895" s="122" t="n">
        <f aca="false">+S837/S890</f>
        <v>0.0338719569242027</v>
      </c>
      <c r="T895" s="122" t="n">
        <f aca="false">+T837/T890</f>
        <v>0.116059433771116</v>
      </c>
      <c r="U895" s="122" t="n">
        <f aca="false">+U837/U890</f>
        <v>0.0902634000682771</v>
      </c>
      <c r="V895" s="122" t="n">
        <f aca="false">+V837/V890</f>
        <v>0.11854151176518</v>
      </c>
      <c r="AD895" s="36" t="n">
        <f aca="false">+AD894-26070</f>
        <v>4113</v>
      </c>
      <c r="AE895" s="36" t="n">
        <f aca="false">+AE894-7200</f>
        <v>4888.7</v>
      </c>
      <c r="AF895" s="36" t="n">
        <f aca="false">+AF894+2430</f>
        <v>1951.2</v>
      </c>
      <c r="AG895" s="38"/>
    </row>
    <row r="896" customFormat="false" ht="12.75" hidden="false" customHeight="true" outlineLevel="0" collapsed="false">
      <c r="A896" s="59" t="s">
        <v>669</v>
      </c>
      <c r="B896" s="19"/>
      <c r="C896" s="19"/>
      <c r="D896" s="19"/>
      <c r="M896" s="19"/>
      <c r="N896" s="19"/>
      <c r="O896" s="19"/>
      <c r="P896" s="19"/>
      <c r="Q896" s="19"/>
      <c r="R896" s="19"/>
      <c r="S896" s="19"/>
      <c r="T896" s="19"/>
      <c r="U896" s="19"/>
      <c r="V896" s="19"/>
      <c r="W896" s="19"/>
    </row>
    <row r="897" customFormat="false" ht="12.75" hidden="false" customHeight="true" outlineLevel="0" collapsed="false">
      <c r="A897" s="59" t="s">
        <v>670</v>
      </c>
      <c r="B897" s="19"/>
      <c r="C897" s="19"/>
      <c r="D897" s="19"/>
      <c r="E897" s="19"/>
      <c r="F897" s="189"/>
      <c r="G897" s="19"/>
      <c r="H897" s="19"/>
    </row>
    <row r="898" customFormat="false" ht="12.75" hidden="false" customHeight="true" outlineLevel="0" collapsed="false">
      <c r="A898" s="167"/>
    </row>
    <row r="899" customFormat="false" ht="12.75" hidden="false" customHeight="true" outlineLevel="0" collapsed="false">
      <c r="A899" s="59" t="s">
        <v>644</v>
      </c>
      <c r="B899" s="117" t="n">
        <f aca="false">B834/B890*100</f>
        <v>35.3279448873551</v>
      </c>
      <c r="C899" s="117" t="n">
        <f aca="false">C834/C890*100</f>
        <v>50.0967785706304</v>
      </c>
      <c r="D899" s="117" t="n">
        <f aca="false">D834/D890*100</f>
        <v>37.7223853665892</v>
      </c>
      <c r="E899" s="117" t="n">
        <f aca="false">E834/E890*100</f>
        <v>37.087521621929</v>
      </c>
      <c r="F899" s="117" t="n">
        <f aca="false">F834/F890*100</f>
        <v>36.9322983862812</v>
      </c>
      <c r="G899" s="117" t="n">
        <f aca="false">G834/G890*100</f>
        <v>38.4061316441499</v>
      </c>
      <c r="H899" s="117" t="n">
        <f aca="false">H834/H890*100</f>
        <v>46.085963415058</v>
      </c>
      <c r="I899" s="117" t="n">
        <f aca="false">I834/I890*100</f>
        <v>44.9148509999345</v>
      </c>
      <c r="J899" s="117" t="n">
        <f aca="false">J834/J890*100</f>
        <v>45.5208621401593</v>
      </c>
      <c r="K899" s="117" t="n">
        <f aca="false">K834/K890*100</f>
        <v>47.7564041934178</v>
      </c>
      <c r="L899" s="117" t="n">
        <f aca="false">L834/L890*100</f>
        <v>50.9257347709871</v>
      </c>
      <c r="M899" s="117" t="n">
        <f aca="false">M834/M890*100</f>
        <v>53.2072210707758</v>
      </c>
      <c r="N899" s="117" t="n">
        <f aca="false">N834/N890*100</f>
        <v>44.116651698264</v>
      </c>
      <c r="O899" s="117" t="n">
        <f aca="false">O834/O890*100</f>
        <v>47.4892625882744</v>
      </c>
      <c r="P899" s="117" t="n">
        <f aca="false">P834/P890*100</f>
        <v>56.536726338311</v>
      </c>
      <c r="Q899" s="117" t="n">
        <f aca="false">Q834/Q890*100</f>
        <v>62.4500235996503</v>
      </c>
      <c r="R899" s="117" t="n">
        <f aca="false">R834/R890*100</f>
        <v>77.1566608927039</v>
      </c>
      <c r="S899" s="117" t="n">
        <f aca="false">S834/S890*100</f>
        <v>76.1083980200735</v>
      </c>
      <c r="T899" s="117" t="n">
        <f aca="false">T834/T890*100</f>
        <v>70.6543423211799</v>
      </c>
      <c r="U899" s="117" t="n">
        <f aca="false">U834/U890*100</f>
        <v>69.3373457825288</v>
      </c>
      <c r="V899" s="117" t="n">
        <f aca="false">V834/V890*100</f>
        <v>63.3900590653607</v>
      </c>
      <c r="W899" s="117" t="n">
        <f aca="false">W834/W890*100</f>
        <v>60.7141714198205</v>
      </c>
      <c r="X899" s="117" t="n">
        <f aca="false">X834/X890*100</f>
        <v>59.2453943473088</v>
      </c>
      <c r="Y899" s="117" t="n">
        <f aca="false">Y834/Y890*100</f>
        <v>57.4206343373927</v>
      </c>
      <c r="Z899" s="117" t="n">
        <f aca="false">Z834/Z890*100</f>
        <v>60.0760725222252</v>
      </c>
      <c r="AA899" s="117" t="n">
        <f aca="false">AA834/AA890*100</f>
        <v>60.2243433259948</v>
      </c>
      <c r="AB899" s="117" t="n">
        <f aca="false">AB834/AB890*100</f>
        <v>64.2017933547608</v>
      </c>
      <c r="AC899" s="117" t="n">
        <f aca="false">AC834/AC890*100</f>
        <v>65.3613036724986</v>
      </c>
      <c r="AD899" s="117" t="n">
        <f aca="false">AD834/AD890*100</f>
        <v>64.7703919345929</v>
      </c>
      <c r="AE899" s="117" t="n">
        <f aca="false">AE834/AE890*100</f>
        <v>59.3187980452784</v>
      </c>
      <c r="AF899" s="117" t="n">
        <f aca="false">AF834/AF890*100</f>
        <v>49.7177982158761</v>
      </c>
      <c r="AG899" s="117" t="n">
        <f aca="false">AG834/AG890*100</f>
        <v>48.470843826384</v>
      </c>
      <c r="AH899" s="117" t="n">
        <f aca="false">AH834/AH890*100</f>
        <v>42.8213866200453</v>
      </c>
      <c r="AI899" s="117" t="n">
        <f aca="false">AI834/AI890*100</f>
        <v>43.1564012371046</v>
      </c>
      <c r="AJ899" s="117" t="n">
        <f aca="false">AJ834/AJ890*100</f>
        <v>38.814658629221</v>
      </c>
      <c r="AK899" s="117" t="n">
        <f aca="false">AK834/AK890*100</f>
        <v>34.6588700120051</v>
      </c>
      <c r="AL899" s="117" t="n">
        <f aca="false">AL834/AL890*100</f>
        <v>31.0114782094163</v>
      </c>
      <c r="AM899" s="118"/>
      <c r="AN899" s="118"/>
      <c r="AO899" s="118"/>
    </row>
    <row r="900" customFormat="false" ht="12.75" hidden="false" customHeight="true" outlineLevel="0" collapsed="false">
      <c r="A900" s="167"/>
      <c r="B900" s="19"/>
      <c r="C900" s="19"/>
      <c r="D900" s="19"/>
      <c r="E900" s="19"/>
      <c r="F900" s="19"/>
      <c r="G900" s="19"/>
      <c r="H900" s="19"/>
      <c r="I900" s="19"/>
      <c r="J900" s="19"/>
      <c r="K900" s="19"/>
      <c r="L900" s="19"/>
      <c r="M900" s="19"/>
      <c r="N900" s="19"/>
    </row>
    <row r="901" customFormat="false" ht="12.75" hidden="false" customHeight="true" outlineLevel="0" collapsed="false">
      <c r="A901" s="59" t="s">
        <v>360</v>
      </c>
      <c r="B901" s="117" t="n">
        <f aca="false">B836/B890*100</f>
        <v>3.00008000501653</v>
      </c>
      <c r="C901" s="117" t="n">
        <f aca="false">C836/C890*100</f>
        <v>5.21985696725891</v>
      </c>
      <c r="D901" s="117" t="n">
        <f aca="false">D836/D890*100</f>
        <v>4.35237649801032</v>
      </c>
      <c r="E901" s="117" t="n">
        <f aca="false">E836/E890*100</f>
        <v>4.05778241445869</v>
      </c>
      <c r="F901" s="117" t="n">
        <f aca="false">F836/F890*100</f>
        <v>2.56388608194973</v>
      </c>
      <c r="G901" s="117" t="n">
        <f aca="false">G836/G890*100</f>
        <v>2.06283037517728</v>
      </c>
      <c r="H901" s="117" t="n">
        <f aca="false">H836/H890*100</f>
        <v>3.01553527778529</v>
      </c>
      <c r="I901" s="117" t="n">
        <f aca="false">I836/I890*100</f>
        <v>5.71667906078245</v>
      </c>
      <c r="J901" s="117" t="n">
        <f aca="false">J836/J890*100</f>
        <v>5.58603028362964</v>
      </c>
      <c r="K901" s="117" t="n">
        <f aca="false">K836/K890*100</f>
        <v>5.54907138722528</v>
      </c>
      <c r="L901" s="117" t="n">
        <f aca="false">L836/L890*100</f>
        <v>8.53835829395391</v>
      </c>
      <c r="M901" s="117" t="n">
        <f aca="false">M836/M890*100</f>
        <v>8.46844536252077</v>
      </c>
      <c r="N901" s="117" t="n">
        <f aca="false">N836/N890*100</f>
        <v>10.3279724971937</v>
      </c>
      <c r="O901" s="117" t="n">
        <f aca="false">O836/O890*100</f>
        <v>16.11938338142</v>
      </c>
      <c r="P901" s="117" t="n">
        <f aca="false">P836/P890*100</f>
        <v>8.09306360603171</v>
      </c>
      <c r="Q901" s="117" t="n">
        <f aca="false">Q836/Q890*100</f>
        <v>18.5362867796674</v>
      </c>
      <c r="R901" s="117" t="n">
        <f aca="false">R836/R890*100</f>
        <v>4.62435971976942</v>
      </c>
      <c r="S901" s="117" t="n">
        <f aca="false">S836/S890*100</f>
        <v>5.15962956393741</v>
      </c>
      <c r="T901" s="117" t="n">
        <f aca="false">T836/T890*100</f>
        <v>17.4096213602739</v>
      </c>
      <c r="U901" s="117" t="n">
        <f aca="false">U836/U890*100</f>
        <v>19.480455147384</v>
      </c>
      <c r="V901" s="117" t="n">
        <f aca="false">V836/V890*100</f>
        <v>24.8178420097948</v>
      </c>
      <c r="W901" s="117" t="n">
        <f aca="false">W836/W890*100</f>
        <v>28.9953830099293</v>
      </c>
      <c r="X901" s="117" t="n">
        <f aca="false">X836/X890*100</f>
        <v>29.1927145475537</v>
      </c>
      <c r="Y901" s="117" t="n">
        <f aca="false">Y836/Y890*100</f>
        <v>23.3610625322721</v>
      </c>
      <c r="Z901" s="117" t="n">
        <f aca="false">Z836/Z890*100</f>
        <v>33.4095784629764</v>
      </c>
      <c r="AA901" s="117" t="n">
        <f aca="false">AA836/AA890*100</f>
        <v>65.0101075203909</v>
      </c>
      <c r="AB901" s="117" t="n">
        <f aca="false">AB836/AB890*100</f>
        <v>26.9873277785739</v>
      </c>
      <c r="AC901" s="117" t="n">
        <f aca="false">AC836/AC890*100</f>
        <v>24.0288632978094</v>
      </c>
      <c r="AD901" s="117" t="n">
        <f aca="false">AD836/AD890*100</f>
        <v>26.7792737957172</v>
      </c>
      <c r="AE901" s="117" t="n">
        <f aca="false">AE836/AE890*100</f>
        <v>42.0732165086327</v>
      </c>
      <c r="AF901" s="117" t="n">
        <f aca="false">AF836/AF890*100</f>
        <v>51.4706393509861</v>
      </c>
      <c r="AG901" s="117" t="n">
        <f aca="false">AG836/AG890*100</f>
        <v>43.795269127548</v>
      </c>
      <c r="AH901" s="117" t="n">
        <f aca="false">AH836/AH890*100</f>
        <v>59.2302018739585</v>
      </c>
      <c r="AI901" s="117" t="n">
        <f aca="false">AI836/AI890*100</f>
        <v>67.1019907531333</v>
      </c>
      <c r="AJ901" s="117" t="n">
        <f aca="false">AJ836/AJ890*100</f>
        <v>65.0372689657668</v>
      </c>
      <c r="AK901" s="117" t="n">
        <f aca="false">AK836/AK890*100</f>
        <v>60.0983745657709</v>
      </c>
      <c r="AL901" s="117" t="n">
        <f aca="false">AL836/AL890*100</f>
        <v>55.8777016743568</v>
      </c>
      <c r="AM901" s="118"/>
      <c r="AN901" s="118"/>
      <c r="AO901" s="118"/>
    </row>
    <row r="902" customFormat="false" ht="12.75" hidden="false" customHeight="true" outlineLevel="0" collapsed="false">
      <c r="A902" s="167"/>
    </row>
    <row r="903" customFormat="false" ht="12.75" hidden="false" customHeight="true" outlineLevel="0" collapsed="false">
      <c r="A903" s="59" t="s">
        <v>376</v>
      </c>
      <c r="B903" s="88" t="n">
        <f aca="false">B884/B890*100</f>
        <v>61.4734761747223</v>
      </c>
      <c r="C903" s="88" t="n">
        <f aca="false">C884/C890*100</f>
        <v>44.5322103028271</v>
      </c>
      <c r="D903" s="88" t="n">
        <f aca="false">D884/D890*100</f>
        <v>57.5076226330223</v>
      </c>
      <c r="E903" s="88" t="n">
        <f aca="false">E884/E890*100</f>
        <v>58.5960896439593</v>
      </c>
      <c r="F903" s="88" t="n">
        <f aca="false">F884/F890*100</f>
        <v>60.1204594644272</v>
      </c>
      <c r="G903" s="88" t="n">
        <f aca="false">G884/G890*100</f>
        <v>59.2063379271874</v>
      </c>
      <c r="H903" s="88" t="n">
        <f aca="false">H884/H890*100</f>
        <v>50.6385180665665</v>
      </c>
      <c r="I903" s="88" t="n">
        <f aca="false">I884/I890*100</f>
        <v>49.0513515284652</v>
      </c>
      <c r="J903" s="88" t="n">
        <f aca="false">J884/J890*100</f>
        <v>48.4089634846252</v>
      </c>
      <c r="K903" s="88" t="n">
        <f aca="false">K884/K890*100</f>
        <v>46.4625603910426</v>
      </c>
      <c r="L903" s="88" t="n">
        <f aca="false">L884/L890*100</f>
        <v>40.535906935059</v>
      </c>
      <c r="M903" s="88" t="n">
        <f aca="false">M884/M890*100</f>
        <v>36.457141932905</v>
      </c>
      <c r="N903" s="88" t="n">
        <f aca="false">N884/N890*100</f>
        <v>44.6842192780108</v>
      </c>
      <c r="O903" s="88" t="n">
        <f aca="false">O884/O890*100</f>
        <v>36.0714426440521</v>
      </c>
      <c r="P903" s="88" t="n">
        <f aca="false">P884/P890*100</f>
        <v>34.4763982510309</v>
      </c>
      <c r="Q903" s="88" t="n">
        <f aca="false">Q884/Q890*100</f>
        <v>18.3361836280732</v>
      </c>
      <c r="R903" s="88" t="n">
        <f aca="false">R884/R890*100</f>
        <v>18.0489907139638</v>
      </c>
      <c r="S903" s="88" t="n">
        <f aca="false">S884/S890*100</f>
        <v>18.6501172261615</v>
      </c>
      <c r="T903" s="88" t="n">
        <f aca="false">T884/T890*100</f>
        <v>11.8749680203532</v>
      </c>
      <c r="U903" s="88" t="n">
        <f aca="false">U884/U890*100</f>
        <v>3.36620926978493</v>
      </c>
      <c r="V903" s="88" t="n">
        <f aca="false">V884/V890*100</f>
        <v>6.56136525825141</v>
      </c>
      <c r="W903" s="88" t="n">
        <f aca="false">W884/W890*100</f>
        <v>2.89231784559213</v>
      </c>
      <c r="X903" s="88" t="n">
        <f aca="false">X884/X890*100</f>
        <v>0.357248075925839</v>
      </c>
      <c r="Y903" s="88" t="n">
        <f aca="false">Y884/Y890*100</f>
        <v>10.4359558813104</v>
      </c>
      <c r="Z903" s="88" t="n">
        <f aca="false">Z884/Z890*100</f>
        <v>-3.74978629097264</v>
      </c>
      <c r="AA903" s="88" t="n">
        <f aca="false">AA884/AA890*100</f>
        <v>-31.8817053197507</v>
      </c>
      <c r="AB903" s="88" t="n">
        <f aca="false">AB884/AB890*100</f>
        <v>-2.75001535406474</v>
      </c>
      <c r="AC903" s="88" t="n">
        <f aca="false">AC884/AC890*100</f>
        <v>3.11057078081459</v>
      </c>
      <c r="AD903" s="88" t="n">
        <f aca="false">AD884/AD890*100</f>
        <v>4.0250241943014</v>
      </c>
      <c r="AE903" s="88" t="n">
        <f aca="false">AE884/AE890*100</f>
        <v>-5.71480200500378</v>
      </c>
      <c r="AF903" s="88" t="n">
        <f aca="false">AF884/AF890*100</f>
        <v>-5.50260651408382</v>
      </c>
      <c r="AG903" s="88" t="n">
        <f aca="false">AG884/AG890*100</f>
        <v>3.91842084741049</v>
      </c>
      <c r="AH903" s="88" t="n">
        <f aca="false">AH884/AH890*100</f>
        <v>-10.7181003633185</v>
      </c>
      <c r="AI903" s="88" t="n">
        <f aca="false">AI884/AI890*100</f>
        <v>-13.4266816969094</v>
      </c>
      <c r="AJ903" s="88" t="n">
        <f aca="false">AJ884/AJ890*100</f>
        <v>-6.88705127550975</v>
      </c>
      <c r="AK903" s="88" t="n">
        <f aca="false">AK884/AK890*100</f>
        <v>2.286091296742</v>
      </c>
      <c r="AL903" s="88" t="n">
        <f aca="false">AL884/AL890*100</f>
        <v>10.2101862761002</v>
      </c>
      <c r="AM903" s="162"/>
      <c r="AN903" s="162"/>
      <c r="AO903" s="162"/>
    </row>
    <row r="904" customFormat="false" ht="12.75" hidden="false" customHeight="true" outlineLevel="0" collapsed="false">
      <c r="A904" s="167"/>
      <c r="B904" s="19"/>
      <c r="C904" s="19"/>
      <c r="D904" s="19"/>
      <c r="E904" s="19"/>
      <c r="F904" s="19"/>
      <c r="G904" s="19"/>
      <c r="H904" s="19"/>
      <c r="I904" s="19"/>
      <c r="J904" s="19"/>
      <c r="K904" s="19"/>
      <c r="L904" s="19"/>
      <c r="M904" s="19"/>
      <c r="N904" s="19"/>
    </row>
    <row r="905" customFormat="false" ht="12.75" hidden="false" customHeight="true" outlineLevel="0" collapsed="false">
      <c r="A905" s="59" t="s">
        <v>671</v>
      </c>
      <c r="B905" s="88" t="n">
        <f aca="false">B861/B890*100</f>
        <v>8.62605439043746</v>
      </c>
      <c r="C905" s="88" t="n">
        <f aca="false">C861/C890*100</f>
        <v>0.346906278434941</v>
      </c>
      <c r="D905" s="88" t="n">
        <f aca="false">D861/D890*100</f>
        <v>5.43871351934347</v>
      </c>
      <c r="E905" s="88" t="n">
        <f aca="false">E861/E890*100</f>
        <v>0.132522756577195</v>
      </c>
      <c r="F905" s="88" t="n">
        <f aca="false">F861/F890*100</f>
        <v>0.287670955786971</v>
      </c>
      <c r="G905" s="88" t="n">
        <f aca="false">G861/G890*100</f>
        <v>0.106843380199467</v>
      </c>
      <c r="H905" s="88" t="n">
        <f aca="false">H861/H890*100</f>
        <v>3.00023362771713</v>
      </c>
      <c r="I905" s="88" t="n">
        <f aca="false">I861/I890*100</f>
        <v>1.77050656318292</v>
      </c>
      <c r="J905" s="88" t="n">
        <f aca="false">J861/J890*100</f>
        <v>7.80956999064291</v>
      </c>
      <c r="K905" s="88" t="n">
        <f aca="false">K861/K890*100</f>
        <v>13.0001059326042</v>
      </c>
      <c r="L905" s="88" t="n">
        <f aca="false">L861/L890*100</f>
        <v>12.0250424409119</v>
      </c>
      <c r="M905" s="88" t="n">
        <f aca="false">M861/M890*100</f>
        <v>18.7720806212727</v>
      </c>
      <c r="N905" s="88" t="n">
        <f aca="false">N861/N890*100</f>
        <v>35.9008237052632</v>
      </c>
      <c r="O905" s="88" t="n">
        <f aca="false">O861/O890*100</f>
        <v>26.3948127684353</v>
      </c>
      <c r="P905" s="88" t="n">
        <f aca="false">P861/P890*100</f>
        <v>15.9207802642488</v>
      </c>
      <c r="Q905" s="88" t="n">
        <f aca="false">Q861/Q890*100</f>
        <v>13.7181894798139</v>
      </c>
      <c r="R905" s="88" t="n">
        <f aca="false">R861/R890*100</f>
        <v>1.54551044844659</v>
      </c>
      <c r="S905" s="88" t="n">
        <f aca="false">S861/S890*100</f>
        <v>8.20909804860568</v>
      </c>
      <c r="T905" s="88" t="n">
        <f aca="false">T861/T890*100</f>
        <v>2.54106398965441</v>
      </c>
      <c r="U905" s="88" t="n">
        <f aca="false">U861/U890*100</f>
        <v>0.413301089827436</v>
      </c>
      <c r="V905" s="88" t="n">
        <f aca="false">V861/V890*100</f>
        <v>0.148021713956489</v>
      </c>
      <c r="W905" s="88" t="n">
        <f aca="false">W861/W890*100</f>
        <v>0.121509530738166</v>
      </c>
      <c r="X905" s="88" t="n">
        <f aca="false">X861/X890*100</f>
        <v>8.27992203500728</v>
      </c>
      <c r="Y905" s="88" t="n">
        <f aca="false">Y861/Y890*100</f>
        <v>18.7924365277943</v>
      </c>
      <c r="Z905" s="88" t="n">
        <f aca="false">Z861/Z890*100</f>
        <v>10.5836137642958</v>
      </c>
      <c r="AA905" s="88" t="n">
        <f aca="false">AA861/AA890*100</f>
        <v>11.2529101540622</v>
      </c>
      <c r="AB905" s="88" t="n">
        <f aca="false">AB861/AB890*100</f>
        <v>14.0601265174934</v>
      </c>
      <c r="AC905" s="88" t="n">
        <f aca="false">AC861/AC890*100</f>
        <v>11.6844757726065</v>
      </c>
      <c r="AD905" s="88" t="n">
        <f aca="false">AD861/AD890*100</f>
        <v>7.18149696622223</v>
      </c>
      <c r="AE905" s="88" t="n">
        <f aca="false">AE861/AE890*100</f>
        <v>9.13949302246813</v>
      </c>
      <c r="AF905" s="88" t="n">
        <f aca="false">AF861/AF890*100</f>
        <v>3.87203865782097</v>
      </c>
      <c r="AG905" s="88" t="n">
        <f aca="false">AG861/AG890*100</f>
        <v>27.0831380450905</v>
      </c>
      <c r="AH905" s="88" t="n">
        <f aca="false">AH861/AH890*100</f>
        <v>18.4797306526074</v>
      </c>
      <c r="AI905" s="88" t="n">
        <f aca="false">AI861/AI890*100</f>
        <v>18.7064314609622</v>
      </c>
      <c r="AJ905" s="88" t="n">
        <f aca="false">AJ861/AJ890*100</f>
        <v>19.9285344477836</v>
      </c>
      <c r="AK905" s="88" t="n">
        <f aca="false">AK861/AK890*100</f>
        <v>27.2140333156513</v>
      </c>
      <c r="AL905" s="88" t="n">
        <f aca="false">AL861/AL890*100</f>
        <v>33.9994592907154</v>
      </c>
      <c r="AM905" s="162"/>
      <c r="AN905" s="162"/>
      <c r="AO905" s="162"/>
    </row>
    <row r="906" customFormat="false" ht="12.75" hidden="false" customHeight="true" outlineLevel="0" collapsed="false">
      <c r="A906" s="167"/>
      <c r="B906" s="19"/>
      <c r="C906" s="19"/>
      <c r="D906" s="19"/>
      <c r="E906" s="19"/>
      <c r="F906" s="19"/>
      <c r="G906" s="19"/>
      <c r="H906" s="19"/>
      <c r="I906" s="19"/>
      <c r="J906" s="19"/>
      <c r="K906" s="19"/>
      <c r="L906" s="19"/>
      <c r="M906" s="19"/>
      <c r="N906" s="19"/>
    </row>
    <row r="907" customFormat="false" ht="12.75" hidden="false" customHeight="true" outlineLevel="0" collapsed="false">
      <c r="A907" s="59" t="s">
        <v>373</v>
      </c>
      <c r="B907" s="88" t="n">
        <f aca="false">B886/B890*100</f>
        <v>0.198498932906063</v>
      </c>
      <c r="C907" s="88" t="n">
        <f aca="false">C886/C890*100</f>
        <v>0.151154159283559</v>
      </c>
      <c r="D907" s="88" t="n">
        <f aca="false">D886/D890*100</f>
        <v>0.417615502378159</v>
      </c>
      <c r="E907" s="88" t="n">
        <f aca="false">E886/E890*100</f>
        <v>0.25860631965299</v>
      </c>
      <c r="F907" s="88" t="n">
        <f aca="false">F886/F890*100</f>
        <v>0.383356067341915</v>
      </c>
      <c r="G907" s="88" t="n">
        <f aca="false">G886/G890*100</f>
        <v>0.324700053485515</v>
      </c>
      <c r="H907" s="88" t="n">
        <f aca="false">H886/H890*100</f>
        <v>0.259983240590209</v>
      </c>
      <c r="I907" s="88" t="n">
        <f aca="false">I886/I890*100</f>
        <v>0.317118410817926</v>
      </c>
      <c r="J907" s="88" t="n">
        <f aca="false">J886/J890*100</f>
        <v>0.484144091585818</v>
      </c>
      <c r="K907" s="88" t="n">
        <f aca="false">K886/K890*100</f>
        <v>0.231964028314272</v>
      </c>
      <c r="L907" s="88" t="n">
        <f aca="false">L886/L890*100</f>
        <v>0</v>
      </c>
      <c r="M907" s="88" t="n">
        <f aca="false">M886/M890*100</f>
        <v>1.86719163379846</v>
      </c>
      <c r="N907" s="88" t="n">
        <f aca="false">N886/N890*100</f>
        <v>0.871156526531475</v>
      </c>
      <c r="O907" s="88" t="n">
        <f aca="false">O886/O890*100</f>
        <v>0.319911386253486</v>
      </c>
      <c r="P907" s="88" t="n">
        <f aca="false">P886/P890*100</f>
        <v>0.893811804626459</v>
      </c>
      <c r="Q907" s="88" t="n">
        <f aca="false">Q886/Q890*100</f>
        <v>0.677505992609191</v>
      </c>
      <c r="R907" s="88" t="n">
        <f aca="false">R886/R890*100</f>
        <v>0.169988673562845</v>
      </c>
      <c r="S907" s="88" t="n">
        <f aca="false">S886/S890*100</f>
        <v>0.081855189827537</v>
      </c>
      <c r="T907" s="88" t="n">
        <f aca="false">T886/T890*100</f>
        <v>0.0610682981930535</v>
      </c>
      <c r="U907" s="88" t="n">
        <f aca="false">U886/U890*100</f>
        <v>0.0942920313610569</v>
      </c>
      <c r="V907" s="88" t="n">
        <f aca="false">V886/V890*100</f>
        <v>0.137969860704968</v>
      </c>
      <c r="W907" s="88" t="n">
        <f aca="false">W886/W890*100</f>
        <v>0.405552843991443</v>
      </c>
      <c r="X907" s="88" t="n">
        <f aca="false">X886/X890*100</f>
        <v>0.37193682585548</v>
      </c>
      <c r="Y907" s="88" t="n">
        <f aca="false">Y886/Y890*100</f>
        <v>0</v>
      </c>
      <c r="Z907" s="88" t="n">
        <f aca="false">Z886/Z890*100</f>
        <v>0</v>
      </c>
      <c r="AA907" s="88" t="n">
        <f aca="false">AA886/AA890*100</f>
        <v>0</v>
      </c>
      <c r="AB907" s="88" t="n">
        <f aca="false">AB886/AB890*100</f>
        <v>0</v>
      </c>
      <c r="AC907" s="88" t="n">
        <f aca="false">AC886/AC890*100</f>
        <v>0</v>
      </c>
      <c r="AD907" s="88" t="n">
        <f aca="false">AD886/AD890*100</f>
        <v>0</v>
      </c>
      <c r="AE907" s="88" t="n">
        <f aca="false">AE886/AE890*100</f>
        <v>0</v>
      </c>
      <c r="AF907" s="88" t="n">
        <f aca="false">AF886/AF890*100</f>
        <v>0</v>
      </c>
      <c r="AG907" s="88" t="n">
        <f aca="false">AG886/AG890*100</f>
        <v>0</v>
      </c>
      <c r="AH907" s="88" t="n">
        <f aca="false">AH886/AH890*100</f>
        <v>0</v>
      </c>
      <c r="AI907" s="88" t="n">
        <f aca="false">AI886/AI890*100</f>
        <v>0</v>
      </c>
      <c r="AJ907" s="88" t="n">
        <f aca="false">AJ886/AJ890*100</f>
        <v>0</v>
      </c>
      <c r="AK907" s="88" t="n">
        <f aca="false">AK886/AK890*100</f>
        <v>0</v>
      </c>
      <c r="AL907" s="88" t="n">
        <f aca="false">AL886/AL890*100</f>
        <v>0</v>
      </c>
      <c r="AM907" s="162"/>
      <c r="AN907" s="162"/>
      <c r="AO907" s="162"/>
    </row>
    <row r="908" customFormat="false" ht="12.75" hidden="false" customHeight="true" outlineLevel="0" collapsed="false">
      <c r="A908" s="167"/>
    </row>
    <row r="909" customFormat="false" ht="12.75" hidden="false" customHeight="true" outlineLevel="0" collapsed="false">
      <c r="A909" s="59" t="s">
        <v>420</v>
      </c>
      <c r="B909" s="117" t="n">
        <f aca="false">B899+B901+B903+B905+B907-B905</f>
        <v>100</v>
      </c>
      <c r="C909" s="117" t="n">
        <f aca="false">C899+C901+C903+C905+C907-C905</f>
        <v>100</v>
      </c>
      <c r="D909" s="117" t="n">
        <f aca="false">D899+D901+D903+D905+D907-D905</f>
        <v>100</v>
      </c>
      <c r="E909" s="117" t="n">
        <f aca="false">E899+E901+E903+E905+E907-E905</f>
        <v>100</v>
      </c>
      <c r="F909" s="117" t="n">
        <f aca="false">F899+F901+F903+F905+F907-F905</f>
        <v>100</v>
      </c>
      <c r="G909" s="117" t="n">
        <f aca="false">G899+G901+G903+G905+G907-G905</f>
        <v>100</v>
      </c>
      <c r="H909" s="117" t="n">
        <f aca="false">H899+H901+H903+H905+H907-H905</f>
        <v>100</v>
      </c>
      <c r="I909" s="117" t="n">
        <f aca="false">I899+I901+I903+I905+I907-I905</f>
        <v>100</v>
      </c>
      <c r="J909" s="117" t="n">
        <f aca="false">J899+J901+J903+J905+J907-J905</f>
        <v>100</v>
      </c>
      <c r="K909" s="117" t="n">
        <f aca="false">K899+K901+K903+K905+K907-K905</f>
        <v>100</v>
      </c>
      <c r="L909" s="117" t="n">
        <f aca="false">L899+L901+L903+L905+L907-L905</f>
        <v>100</v>
      </c>
      <c r="M909" s="117" t="n">
        <f aca="false">M899+M901+M903+M905+M907-M905</f>
        <v>100</v>
      </c>
      <c r="N909" s="117" t="n">
        <f aca="false">N899+N901+N903+N905+N907-N905</f>
        <v>100</v>
      </c>
      <c r="O909" s="117" t="n">
        <f aca="false">O899+O901+O903+O905+O907-O905</f>
        <v>100</v>
      </c>
      <c r="P909" s="117" t="n">
        <f aca="false">P899+P901+P903+P905+P907-P905</f>
        <v>100</v>
      </c>
      <c r="Q909" s="117" t="n">
        <f aca="false">Q899+Q901+Q903+Q905+Q907-Q905</f>
        <v>100</v>
      </c>
      <c r="R909" s="117" t="n">
        <f aca="false">R899+R901+R903+R905+R907-R905</f>
        <v>100</v>
      </c>
      <c r="S909" s="117" t="n">
        <f aca="false">S899+S901+S903+S905+S907-S905</f>
        <v>100</v>
      </c>
      <c r="T909" s="117" t="n">
        <f aca="false">T899+T901+T903+T905+T907-T905</f>
        <v>100</v>
      </c>
      <c r="U909" s="117" t="n">
        <f aca="false">U899+U901+U903+U905+U907-U905</f>
        <v>92.2783022310588</v>
      </c>
      <c r="V909" s="117" t="n">
        <f aca="false">V899+V901+V903+V905+V907-V905</f>
        <v>94.9072361941119</v>
      </c>
      <c r="W909" s="117" t="n">
        <f aca="false">W899+W901+W903+W905+W907-W905</f>
        <v>93.0074251193333</v>
      </c>
      <c r="X909" s="117" t="n">
        <f aca="false">X899+X901+X903+X905+X907-X905</f>
        <v>89.1672937966438</v>
      </c>
      <c r="Y909" s="117" t="n">
        <f aca="false">Y899+Y901+Y903+Y905+Y907-Y905</f>
        <v>91.2176527509752</v>
      </c>
      <c r="Z909" s="117" t="n">
        <f aca="false">Z899+Z901+Z903+Z905+Z907-Z905</f>
        <v>89.7358646942289</v>
      </c>
      <c r="AA909" s="117" t="n">
        <f aca="false">AA899+AA901+AA903+AA905+AA907-AA905</f>
        <v>93.3527455266349</v>
      </c>
      <c r="AB909" s="117" t="n">
        <f aca="false">AB899+AB901+AB903+AB905+AB907-AB905</f>
        <v>88.43910577927</v>
      </c>
      <c r="AC909" s="117" t="n">
        <f aca="false">AC899+AC901+AC903+AC905+AC907-AC905</f>
        <v>92.5007377511225</v>
      </c>
      <c r="AD909" s="117" t="n">
        <f aca="false">AD899+AD901+AD903+AD905+AD907-AD905</f>
        <v>95.5746899246115</v>
      </c>
      <c r="AE909" s="117" t="n">
        <f aca="false">AE899+AE901+AE903+AE905+AE907-AE905</f>
        <v>95.6772125489073</v>
      </c>
      <c r="AF909" s="117" t="n">
        <f aca="false">AF899+AF901+AF903+AF905+AF907-AF905</f>
        <v>95.6858310527783</v>
      </c>
      <c r="AG909" s="117" t="n">
        <f aca="false">AG899+AG901+AG903+AG905+AG907-AG905</f>
        <v>96.1845338013424</v>
      </c>
      <c r="AH909" s="117" t="n">
        <f aca="false">AH899+AH901+AH903+AH905+AH907-AH905</f>
        <v>91.3334881306854</v>
      </c>
      <c r="AI909" s="117" t="n">
        <f aca="false">AI899+AI901+AI903+AI905+AI907-AI905</f>
        <v>96.8317102933285</v>
      </c>
      <c r="AJ909" s="117" t="n">
        <f aca="false">AJ899+AJ901+AJ903+AJ905+AJ907-AJ905</f>
        <v>96.964876319478</v>
      </c>
      <c r="AK909" s="117" t="n">
        <f aca="false">AK899+AK901+AK903+AK905+AK907-AK905</f>
        <v>97.043335874518</v>
      </c>
      <c r="AL909" s="117" t="n">
        <f aca="false">AL899+AL901+AL903+AL905+AL907-AL905</f>
        <v>97.0993661598733</v>
      </c>
      <c r="AM909" s="118"/>
      <c r="AN909" s="118"/>
      <c r="AO909" s="118"/>
    </row>
    <row r="910" customFormat="false" ht="12.75" hidden="false" customHeight="true" outlineLevel="0" collapsed="false">
      <c r="A910" s="167"/>
      <c r="B910" s="19"/>
      <c r="C910" s="19"/>
      <c r="D910" s="19"/>
    </row>
    <row r="911" customFormat="false" ht="12.75" hidden="false" customHeight="true" outlineLevel="0" collapsed="false">
      <c r="A911" s="167"/>
      <c r="B911" s="19"/>
      <c r="C911" s="19"/>
      <c r="D911" s="19"/>
    </row>
    <row r="912" customFormat="false" ht="12.75" hidden="false" customHeight="true" outlineLevel="0" collapsed="false">
      <c r="A912" s="59" t="s">
        <v>672</v>
      </c>
      <c r="B912" s="19"/>
      <c r="C912" s="19"/>
      <c r="D912" s="19"/>
    </row>
    <row r="913" customFormat="false" ht="12.75" hidden="false" customHeight="true" outlineLevel="0" collapsed="false">
      <c r="A913" s="167"/>
      <c r="B913" s="19"/>
      <c r="C913" s="19"/>
      <c r="D913" s="19"/>
    </row>
    <row r="914" customFormat="false" ht="12.75" hidden="false" customHeight="true" outlineLevel="0" collapsed="false">
      <c r="A914" s="59" t="s">
        <v>673</v>
      </c>
      <c r="B914" s="165" t="n">
        <f aca="false">+(B789)/B84</f>
        <v>1.48207592053286</v>
      </c>
      <c r="C914" s="165" t="n">
        <f aca="false">+(C789)/C84</f>
        <v>1.50565078591759</v>
      </c>
      <c r="D914" s="165" t="n">
        <f aca="false">+(D789)/D84</f>
        <v>2.04744166491486</v>
      </c>
      <c r="E914" s="165" t="n">
        <f aca="false">+(E789)/E84</f>
        <v>2.184374710962</v>
      </c>
      <c r="F914" s="165" t="n">
        <f aca="false">+(F789)/F84</f>
        <v>2.3082721623826</v>
      </c>
      <c r="G914" s="165" t="n">
        <f aca="false">+(G789)/G84</f>
        <v>2.3182423967241</v>
      </c>
      <c r="H914" s="165" t="n">
        <f aca="false">+(H789)/H84</f>
        <v>2.33228859235342</v>
      </c>
      <c r="I914" s="165" t="n">
        <f aca="false">+(I789)/I84</f>
        <v>2.39669676866029</v>
      </c>
      <c r="J914" s="165" t="n">
        <f aca="false">+(J789)/J84</f>
        <v>2.47786494463083</v>
      </c>
      <c r="K914" s="165" t="n">
        <f aca="false">+(K789)/K84</f>
        <v>2.17977322604243</v>
      </c>
      <c r="L914" s="165" t="n">
        <f aca="false">+(L789)/L84</f>
        <v>2.01693026932035</v>
      </c>
      <c r="M914" s="165" t="n">
        <f aca="false">+(M789)/M84</f>
        <v>2.21097671720102</v>
      </c>
      <c r="N914" s="165" t="n">
        <f aca="false">+(N789)/N84</f>
        <v>2.45496262475931</v>
      </c>
      <c r="O914" s="165" t="n">
        <f aca="false">+(O789)/O84</f>
        <v>2.89060363951899</v>
      </c>
      <c r="P914" s="165" t="n">
        <f aca="false">+(P789)/P84</f>
        <v>3.57770778097547</v>
      </c>
      <c r="Q914" s="165" t="n">
        <f aca="false">+(Q789)/Q84</f>
        <v>4.03840747478088</v>
      </c>
      <c r="R914" s="165" t="n">
        <f aca="false">+(R789)/R84</f>
        <v>6.52820665663416</v>
      </c>
      <c r="S914" s="165" t="n">
        <f aca="false">+(S789)/S84</f>
        <v>6.89438899921975</v>
      </c>
      <c r="T914" s="165" t="n">
        <f aca="false">+(T789)/T84</f>
        <v>7.44726186950423</v>
      </c>
      <c r="U914" s="165" t="n">
        <f aca="false">+(U789)/U84</f>
        <v>7.90807894974217</v>
      </c>
      <c r="V914" s="165" t="n">
        <f aca="false">+(V789)/V84</f>
        <v>8.37392715396064</v>
      </c>
      <c r="W914" s="165" t="n">
        <f aca="false">+(W789)/W84</f>
        <v>8.3696897033841</v>
      </c>
      <c r="X914" s="165" t="n">
        <f aca="false">+(X789)/X84</f>
        <v>9.01819876452978</v>
      </c>
      <c r="Y914" s="165" t="n">
        <f aca="false">+(Y789)/Y84</f>
        <v>9.49995607685496</v>
      </c>
      <c r="Z914" s="165" t="n">
        <f aca="false">+(Z789)/Z84</f>
        <v>10.7630462282317</v>
      </c>
      <c r="AA914" s="165" t="n">
        <f aca="false">+(AA789)/AA84</f>
        <v>12.2386968639353</v>
      </c>
      <c r="AB914" s="165" t="n">
        <f aca="false">+(AB789)/AB84</f>
        <v>14.1925225685573</v>
      </c>
      <c r="AC914" s="165" t="n">
        <f aca="false">+(AC789)/AC84</f>
        <v>12.3726622381196</v>
      </c>
      <c r="AD914" s="165" t="n">
        <f aca="false">+(AD789)/AD84</f>
        <v>11.8841764605689</v>
      </c>
      <c r="AE914" s="165" t="n">
        <f aca="false">+(AE789)/AE84</f>
        <v>12.4968489184125</v>
      </c>
      <c r="AF914" s="165" t="n">
        <f aca="false">+(AF789)/AF84</f>
        <v>14.3486257280065</v>
      </c>
      <c r="AG914" s="165" t="n">
        <f aca="false">+(AG789)/AG84</f>
        <v>15.0025031502231</v>
      </c>
      <c r="AH914" s="165" t="n">
        <f aca="false">+(AH789)/AH84</f>
        <v>19.6131278733186</v>
      </c>
      <c r="AI914" s="165" t="n">
        <f aca="false">+(AI789)/AI84</f>
        <v>22.3248948739338</v>
      </c>
      <c r="AJ914" s="165" t="n">
        <f aca="false">+(AJ789)/AJ84</f>
        <v>26.4545340763912</v>
      </c>
      <c r="AK914" s="165" t="n">
        <f aca="false">+(AK789)/AK84</f>
        <v>30.5658844105318</v>
      </c>
      <c r="AL914" s="165" t="n">
        <f aca="false">+(AL789)/AL84</f>
        <v>34.8950363158172</v>
      </c>
      <c r="AM914" s="157"/>
      <c r="AN914" s="157"/>
      <c r="AO914" s="157"/>
    </row>
    <row r="915" customFormat="false" ht="12.75" hidden="false" customHeight="true" outlineLevel="0" collapsed="false">
      <c r="A915" s="59" t="s">
        <v>674</v>
      </c>
      <c r="B915" s="165" t="n">
        <f aca="false">+(B789-B777)/B84</f>
        <v>1.3622012052709</v>
      </c>
      <c r="C915" s="165" t="n">
        <f aca="false">+(C789-C777)/C84</f>
        <v>1.40092694684479</v>
      </c>
      <c r="D915" s="165" t="n">
        <f aca="false">+(D789-D777)/D84</f>
        <v>1.97999159133908</v>
      </c>
      <c r="E915" s="165" t="n">
        <f aca="false">+(E789-E777)/E84</f>
        <v>2.11829326741165</v>
      </c>
      <c r="F915" s="165" t="n">
        <f aca="false">+(F789-F777)/F84</f>
        <v>2.243418342036</v>
      </c>
      <c r="G915" s="165" t="n">
        <f aca="false">+(G789-G777)/G84</f>
        <v>2.25461619958126</v>
      </c>
      <c r="H915" s="165" t="n">
        <f aca="false">+(H789-H777)/H84</f>
        <v>2.27037770434461</v>
      </c>
      <c r="I915" s="165" t="n">
        <f aca="false">+(I789-I777)/I84</f>
        <v>2.33823751986479</v>
      </c>
      <c r="J915" s="165" t="n">
        <f aca="false">+(J789-J777)/J84</f>
        <v>2.42075944471071</v>
      </c>
      <c r="K915" s="165" t="n">
        <f aca="false">+(K789-K777)/K84</f>
        <v>2.12402357709221</v>
      </c>
      <c r="L915" s="165" t="n">
        <f aca="false">+(L789-L777)/L84</f>
        <v>1.96253436924552</v>
      </c>
      <c r="M915" s="165" t="n">
        <f aca="false">+(M789-M777)/M84</f>
        <v>2.15793456600156</v>
      </c>
      <c r="N915" s="165" t="n">
        <f aca="false">+(N789-N777)/N84</f>
        <v>2.40327422243524</v>
      </c>
      <c r="O915" s="165" t="n">
        <f aca="false">+(O789-O777)/O84</f>
        <v>2.84159988212084</v>
      </c>
      <c r="P915" s="165" t="n">
        <f aca="false">+(P789-P777)/P84</f>
        <v>3.53435949149086</v>
      </c>
      <c r="Q915" s="165" t="n">
        <f aca="false">+(Q789-Q777)/Q84</f>
        <v>3.99635619465701</v>
      </c>
      <c r="R915" s="165" t="n">
        <f aca="false">+(R789-R777)/R84</f>
        <v>3.96333160946584</v>
      </c>
      <c r="S915" s="165" t="n">
        <f aca="false">+(S789-S777)/S84</f>
        <v>4.38906705944787</v>
      </c>
      <c r="T915" s="165" t="n">
        <f aca="false">+(T789-T777)/T84</f>
        <v>4.99248708226907</v>
      </c>
      <c r="U915" s="165" t="n">
        <f aca="false">+(U789-U777)/U84</f>
        <v>5.43999372340905</v>
      </c>
      <c r="V915" s="165" t="n">
        <f aca="false">+(V789-V777)/V84</f>
        <v>5.93723578183021</v>
      </c>
      <c r="W915" s="165" t="n">
        <f aca="false">+(W789-W777)/W84</f>
        <v>6.16362452455763</v>
      </c>
      <c r="X915" s="165" t="n">
        <f aca="false">+(X789-X777)/X84</f>
        <v>7.2229561682151</v>
      </c>
      <c r="Y915" s="165" t="n">
        <f aca="false">+(Y789-Y777)/Y84</f>
        <v>9.49995607685496</v>
      </c>
      <c r="Z915" s="165" t="n">
        <f aca="false">+(Z789-Z777)/Z84</f>
        <v>10.7630462282317</v>
      </c>
      <c r="AA915" s="165" t="n">
        <f aca="false">+(AA789-AA777)/AA84</f>
        <v>12.2386968639353</v>
      </c>
      <c r="AB915" s="165" t="n">
        <f aca="false">+(AB789-AB777)/AB84</f>
        <v>14.1925225685573</v>
      </c>
      <c r="AC915" s="165" t="n">
        <f aca="false">+(AC789-AC777)/AC84</f>
        <v>12.3726622381196</v>
      </c>
      <c r="AD915" s="165" t="n">
        <f aca="false">+(AD789-AD777)/AD84</f>
        <v>11.8841764605689</v>
      </c>
      <c r="AE915" s="165" t="n">
        <f aca="false">+(AE789-AE777)/AE84</f>
        <v>12.4968489184125</v>
      </c>
      <c r="AF915" s="165" t="n">
        <f aca="false">+(AF789-AF777)/AF84</f>
        <v>14.3486257280065</v>
      </c>
      <c r="AG915" s="165" t="n">
        <f aca="false">+(AG789-AG777)/AG84</f>
        <v>15.0025031502231</v>
      </c>
      <c r="AH915" s="165" t="n">
        <f aca="false">+(AH789-AH777)/AH84</f>
        <v>19.6131278733186</v>
      </c>
      <c r="AI915" s="165" t="n">
        <f aca="false">+(AI789-AI777)/AI84</f>
        <v>22.3248948739338</v>
      </c>
      <c r="AJ915" s="165" t="n">
        <f aca="false">+(AJ789-AJ777)/AJ84</f>
        <v>26.4545340763912</v>
      </c>
      <c r="AK915" s="165" t="n">
        <f aca="false">+(AK789-AK777)/AK84</f>
        <v>30.5658844105318</v>
      </c>
      <c r="AL915" s="165" t="n">
        <f aca="false">+(AL789-AL777)/AL84</f>
        <v>34.8950363158172</v>
      </c>
      <c r="AM915" s="157"/>
      <c r="AN915" s="157"/>
      <c r="AO915" s="157"/>
    </row>
    <row r="916" customFormat="false" ht="12.75" hidden="false" customHeight="true" outlineLevel="0" collapsed="false">
      <c r="A916" s="167"/>
      <c r="B916" s="19"/>
      <c r="C916" s="19"/>
      <c r="D916" s="19"/>
    </row>
    <row r="917" customFormat="false" ht="12.75" hidden="false" customHeight="true" outlineLevel="0" collapsed="false">
      <c r="A917" s="59" t="s">
        <v>675</v>
      </c>
      <c r="B917" s="165" t="n">
        <f aca="false">+B803/B789</f>
        <v>1.24936101498301</v>
      </c>
      <c r="C917" s="165" t="n">
        <f aca="false">+C803/C789</f>
        <v>1.13368784739149</v>
      </c>
      <c r="D917" s="165" t="n">
        <f aca="false">+D803/D789</f>
        <v>0.606905976377047</v>
      </c>
      <c r="E917" s="165" t="n">
        <f aca="false">+E803/E789</f>
        <v>0.853171173910784</v>
      </c>
      <c r="F917" s="165" t="n">
        <f aca="false">+F803/F789</f>
        <v>1.07099925142203</v>
      </c>
      <c r="G917" s="165" t="n">
        <f aca="false">+G803/G789</f>
        <v>1.13104436333961</v>
      </c>
      <c r="H917" s="165" t="n">
        <f aca="false">+H803/H789</f>
        <v>0.867201378630329</v>
      </c>
      <c r="I917" s="165" t="n">
        <f aca="false">+I803/I789</f>
        <v>0.846988151527829</v>
      </c>
      <c r="J917" s="165" t="n">
        <f aca="false">+J803/J789</f>
        <v>0.791516508873732</v>
      </c>
      <c r="K917" s="165" t="n">
        <f aca="false">+K803/K789</f>
        <v>0.856788109007834</v>
      </c>
      <c r="L917" s="165" t="n">
        <f aca="false">+L803/L789</f>
        <v>0.747819144833796</v>
      </c>
      <c r="M917" s="165" t="n">
        <f aca="false">+M803/M789</f>
        <v>0.47449555379983</v>
      </c>
      <c r="N917" s="165" t="n">
        <f aca="false">+N803/N789</f>
        <v>0.753859392994909</v>
      </c>
      <c r="O917" s="165" t="n">
        <f aca="false">+O803/O789</f>
        <v>0.489876831299873</v>
      </c>
      <c r="P917" s="165" t="n">
        <f aca="false">+P803/P789</f>
        <v>0.338017954488833</v>
      </c>
      <c r="Q917" s="165" t="n">
        <f aca="false">+Q803/Q789</f>
        <v>0.412986707194383</v>
      </c>
      <c r="R917" s="165" t="n">
        <f aca="false">+R803/(R789-R777)</f>
        <v>0.928455085563793</v>
      </c>
      <c r="S917" s="165" t="n">
        <f aca="false">+S803/(S789-S777)</f>
        <v>0.943614832794931</v>
      </c>
      <c r="T917" s="165" t="n">
        <f aca="false">+T803/(T789-T777)</f>
        <v>0.966717445467118</v>
      </c>
      <c r="U917" s="165" t="n">
        <f aca="false">+U803/(U789-U777)</f>
        <v>1.07015187318436</v>
      </c>
      <c r="V917" s="165" t="n">
        <f aca="false">+V803/(V789-V777)</f>
        <v>1.37855580249634</v>
      </c>
      <c r="W917" s="165" t="n">
        <f aca="false">+W803/(W789-W777)</f>
        <v>1.43002533776702</v>
      </c>
      <c r="X917" s="165" t="n">
        <f aca="false">+X803/(X789-X777)</f>
        <v>0.81479420771883</v>
      </c>
      <c r="Y917" s="165" t="n">
        <f aca="false">+Y803/(Y789-Y777)</f>
        <v>0.446628120152827</v>
      </c>
      <c r="Z917" s="165" t="n">
        <f aca="false">+Z803/(Z789-Z777)</f>
        <v>0.350118973548382</v>
      </c>
      <c r="AA917" s="165" t="n">
        <f aca="false">+AA803/(AA789-AA777)</f>
        <v>0.139894714400512</v>
      </c>
      <c r="AB917" s="165" t="n">
        <f aca="false">+AB803/(AB789-AB777)</f>
        <v>0.0758914266306468</v>
      </c>
      <c r="AC917" s="165" t="n">
        <f aca="false">+AC803/(AC789-AC777)</f>
        <v>0.45172969676445</v>
      </c>
      <c r="AD917" s="165" t="n">
        <f aca="false">+AD803/(AD789-AD777)</f>
        <v>0.550543197844408</v>
      </c>
      <c r="AE917" s="165" t="n">
        <f aca="false">+AE803/(AE789-AE777)</f>
        <v>0.484384413035478</v>
      </c>
      <c r="AF917" s="165" t="n">
        <f aca="false">+AF803/(AF789-AF777)</f>
        <v>0.382732796885756</v>
      </c>
      <c r="AG917" s="165" t="n">
        <f aca="false">+AG803/(AG789-AG777)</f>
        <v>0.260987904026732</v>
      </c>
      <c r="AH917" s="165" t="n">
        <f aca="false">+AH803/(AH789-AH777)</f>
        <v>0.128635038923359</v>
      </c>
      <c r="AI917" s="165" t="n">
        <f aca="false">+AI803/(AI789-AI777)</f>
        <v>0.0911310703081271</v>
      </c>
      <c r="AJ917" s="165" t="n">
        <f aca="false">+AJ803/(AJ789-AJ777)</f>
        <v>0.0640344780364125</v>
      </c>
      <c r="AK917" s="165" t="n">
        <f aca="false">+AK803/(AK789-AK777)</f>
        <v>0.0442818202149588</v>
      </c>
      <c r="AL917" s="165" t="n">
        <f aca="false">+AL803/(AL789-AL777)</f>
        <v>0.0290305963836864</v>
      </c>
      <c r="AM917" s="81" t="s">
        <v>676</v>
      </c>
      <c r="AN917" s="157"/>
      <c r="AO917" s="157"/>
    </row>
    <row r="918" customFormat="false" ht="12.75" hidden="false" customHeight="true" outlineLevel="0" collapsed="false">
      <c r="A918" s="167"/>
      <c r="B918" s="19"/>
      <c r="C918" s="19"/>
      <c r="D918" s="19"/>
    </row>
    <row r="919" customFormat="false" ht="12.75" hidden="false" customHeight="true" outlineLevel="0" collapsed="false">
      <c r="A919" s="59" t="s">
        <v>677</v>
      </c>
      <c r="B919" s="165" t="n">
        <f aca="false">+B890/B789</f>
        <v>2.24937803837072</v>
      </c>
      <c r="C919" s="165" t="n">
        <f aca="false">+C890/C789</f>
        <v>2.13365804436819</v>
      </c>
      <c r="D919" s="165" t="n">
        <f aca="false">+D890/D789</f>
        <v>1.60690700310483</v>
      </c>
      <c r="E919" s="165" t="n">
        <f aca="false">+E890/E789</f>
        <v>1.8531702115784</v>
      </c>
      <c r="F919" s="165" t="n">
        <f aca="false">+F890/F789</f>
        <v>2.07099834074322</v>
      </c>
      <c r="G919" s="165" t="n">
        <f aca="false">+G890/G789</f>
        <v>2.13104436333961</v>
      </c>
      <c r="H919" s="165" t="n">
        <f aca="false">+H890/H789</f>
        <v>1.86720047732912</v>
      </c>
      <c r="I919" s="165" t="n">
        <f aca="false">+I890/I789</f>
        <v>1.84698815152783</v>
      </c>
      <c r="J919" s="165" t="n">
        <f aca="false">+J890/J789</f>
        <v>1.79151650887373</v>
      </c>
      <c r="K919" s="165" t="n">
        <f aca="false">+K890/K789</f>
        <v>2.03919753354299</v>
      </c>
      <c r="L919" s="165" t="n">
        <f aca="false">+L890/L789</f>
        <v>1.92343296306564</v>
      </c>
      <c r="M919" s="165" t="n">
        <f aca="false">+M890/M789</f>
        <v>1.6459031543159</v>
      </c>
      <c r="N919" s="165" t="n">
        <f aca="false">+N890/N789</f>
        <v>1.90015027421834</v>
      </c>
      <c r="O919" s="165" t="n">
        <f aca="false">+O890/O789</f>
        <v>1.61709451571132</v>
      </c>
      <c r="P919" s="165" t="n">
        <f aca="false">+P890/P789</f>
        <v>1.44196196705529</v>
      </c>
      <c r="Q919" s="165" t="n">
        <f aca="false">+Q890/Q789</f>
        <v>1.53109844568265</v>
      </c>
      <c r="R919" s="165" t="n">
        <f aca="false">+R890/R789</f>
        <v>1.64061214790643</v>
      </c>
      <c r="S919" s="165" t="n">
        <f aca="false">+S890/S789</f>
        <v>1.7230040868598</v>
      </c>
      <c r="T919" s="165" t="n">
        <f aca="false">+T890/T789</f>
        <v>1.78276761718211</v>
      </c>
      <c r="U919" s="165" t="n">
        <f aca="false">+U890/U789</f>
        <v>1.87183767494377</v>
      </c>
      <c r="V919" s="165" t="n">
        <f aca="false">+V890/V789</f>
        <v>2.11378246216659</v>
      </c>
      <c r="W919" s="165" t="n">
        <f aca="false">+W890/W789</f>
        <v>2.16020247548775</v>
      </c>
      <c r="X919" s="165" t="n">
        <f aca="false">+X890/X789</f>
        <v>1.76772117621505</v>
      </c>
      <c r="Y919" s="165" t="n">
        <f aca="false">+Y890/Y789</f>
        <v>1.56783490443297</v>
      </c>
      <c r="Z919" s="165" t="n">
        <f aca="false">+Z890/Z789</f>
        <v>1.40658852670839</v>
      </c>
      <c r="AA919" s="165" t="n">
        <f aca="false">+AA890/AA789</f>
        <v>1.24577564125155</v>
      </c>
      <c r="AB919" s="165" t="n">
        <f aca="false">+AB890/AB789</f>
        <v>1.1724550941322</v>
      </c>
      <c r="AC919" s="165" t="n">
        <f aca="false">+AC890/AC789</f>
        <v>1.55812163838331</v>
      </c>
      <c r="AD919" s="165" t="n">
        <f aca="false">+AD890/AD789</f>
        <v>1.6423937969386</v>
      </c>
      <c r="AE919" s="165" t="n">
        <f aca="false">+AE890/AE789</f>
        <v>1.56133244285734</v>
      </c>
      <c r="AF919" s="165" t="n">
        <f aca="false">+AF890/AF789</f>
        <v>1.53651997436445</v>
      </c>
      <c r="AG919" s="165" t="n">
        <f aca="false">+AG890/AG789</f>
        <v>1.44090543302949</v>
      </c>
      <c r="AH919" s="165" t="n">
        <f aca="false">+AH890/AH789</f>
        <v>1.27120991006868</v>
      </c>
      <c r="AI919" s="165" t="n">
        <f aca="false">+AI890/AI789</f>
        <v>1.21361017949551</v>
      </c>
      <c r="AJ919" s="165" t="n">
        <f aca="false">+AJ890/AJ789</f>
        <v>1.1760064248313</v>
      </c>
      <c r="AK919" s="165" t="n">
        <f aca="false">+AK890/AK789</f>
        <v>1.14931726708075</v>
      </c>
      <c r="AL919" s="165" t="n">
        <f aca="false">+AL890/AL789</f>
        <v>1.12879482819841</v>
      </c>
      <c r="AM919" s="157"/>
      <c r="AN919" s="157"/>
      <c r="AO919" s="157"/>
    </row>
    <row r="920" customFormat="false" ht="12.75" hidden="false" customHeight="true" outlineLevel="0" collapsed="false">
      <c r="A920" s="167"/>
      <c r="B920" s="19"/>
      <c r="C920" s="19"/>
      <c r="D920" s="19"/>
    </row>
    <row r="921" customFormat="false" ht="12.75" hidden="false" customHeight="true" outlineLevel="0" collapsed="false">
      <c r="A921" s="59" t="s">
        <v>678</v>
      </c>
      <c r="B921" s="165" t="n">
        <f aca="false">+B803/B890</f>
        <v>0.555425096924997</v>
      </c>
      <c r="C921" s="165" t="n">
        <f aca="false">+C803/C890</f>
        <v>0.531335304822566</v>
      </c>
      <c r="D921" s="165" t="n">
        <f aca="false">+D803/D890</f>
        <v>0.377685812062801</v>
      </c>
      <c r="E921" s="165" t="n">
        <f aca="false">+E803/E890</f>
        <v>0.460384679496933</v>
      </c>
      <c r="F921" s="165" t="n">
        <f aca="false">+F803/F890</f>
        <v>0.517141530416521</v>
      </c>
      <c r="G921" s="165" t="n">
        <f aca="false">+G803/G890</f>
        <v>0.530746512272096</v>
      </c>
      <c r="H921" s="165" t="n">
        <f aca="false">+H803/H890</f>
        <v>0.464439351403118</v>
      </c>
      <c r="I921" s="165" t="n">
        <f aca="false">+I803/I890</f>
        <v>0.458578010274295</v>
      </c>
      <c r="J921" s="165" t="n">
        <f aca="false">+J803/J890</f>
        <v>0.441813684078933</v>
      </c>
      <c r="K921" s="165" t="n">
        <f aca="false">+K803/K890</f>
        <v>0.420159447485803</v>
      </c>
      <c r="L921" s="165" t="n">
        <f aca="false">+L803/L890</f>
        <v>0.388793973688531</v>
      </c>
      <c r="M921" s="165" t="n">
        <f aca="false">+M803/M890</f>
        <v>0.288288865936981</v>
      </c>
      <c r="N921" s="165" t="n">
        <f aca="false">+N803/N890</f>
        <v>0.396736722996829</v>
      </c>
      <c r="O921" s="165" t="n">
        <f aca="false">+O803/O890</f>
        <v>0.302936424890656</v>
      </c>
      <c r="P921" s="165" t="n">
        <f aca="false">+P803/P890</f>
        <v>0.234415305127027</v>
      </c>
      <c r="Q921" s="165" t="n">
        <f aca="false">+Q803/Q890</f>
        <v>0.269732301250067</v>
      </c>
      <c r="R921" s="165" t="n">
        <f aca="false">+R803/R890</f>
        <v>0.343574951184096</v>
      </c>
      <c r="S921" s="165" t="n">
        <f aca="false">+S803/S890</f>
        <v>0.348646158221116</v>
      </c>
      <c r="T921" s="165" t="n">
        <f aca="false">+T803/T890</f>
        <v>0.363517349971313</v>
      </c>
      <c r="U921" s="165" t="n">
        <f aca="false">+U803/U890</f>
        <v>0.393282510968587</v>
      </c>
      <c r="V921" s="165" t="n">
        <f aca="false">+V803/V890</f>
        <v>0.462401439975753</v>
      </c>
      <c r="W921" s="165" t="n">
        <f aca="false">+W803/W890</f>
        <v>0.487501650402427</v>
      </c>
      <c r="X921" s="165" t="n">
        <f aca="false">+X803/X890</f>
        <v>0.369172501866622</v>
      </c>
      <c r="Y921" s="165" t="n">
        <f aca="false">+Y803/Y890</f>
        <v>0.284869356390785</v>
      </c>
      <c r="Z921" s="165" t="n">
        <f aca="false">+Z803/Z890</f>
        <v>0.248913571311227</v>
      </c>
      <c r="AA921" s="165" t="n">
        <f aca="false">+AA803/AA890</f>
        <v>0.112295271931926</v>
      </c>
      <c r="AB921" s="165" t="n">
        <f aca="false">+AB803/AB890</f>
        <v>0.0647286424959568</v>
      </c>
      <c r="AC921" s="165" t="n">
        <f aca="false">+AC803/AC890</f>
        <v>0.289919404003117</v>
      </c>
      <c r="AD921" s="165" t="n">
        <f aca="false">+AD803/AD890</f>
        <v>0.335207791743133</v>
      </c>
      <c r="AE921" s="165" t="n">
        <f aca="false">+AE803/AE890</f>
        <v>0.310237845406596</v>
      </c>
      <c r="AF921" s="165" t="n">
        <f aca="false">+AF803/AF890</f>
        <v>0.249090674557657</v>
      </c>
      <c r="AG921" s="165" t="n">
        <f aca="false">+AG803/AG890</f>
        <v>0.181127711815208</v>
      </c>
      <c r="AH921" s="165" t="n">
        <f aca="false">+AH803/AH890</f>
        <v>0.101191029038162</v>
      </c>
      <c r="AI921" s="165" t="n">
        <f aca="false">+AI803/AI890</f>
        <v>0.0750908914969795</v>
      </c>
      <c r="AJ921" s="165" t="n">
        <f aca="false">+AJ803/AJ890</f>
        <v>0.0544507892850997</v>
      </c>
      <c r="AK921" s="165" t="n">
        <f aca="false">+AK803/AK890</f>
        <v>0.0385288044331172</v>
      </c>
      <c r="AL921" s="165" t="n">
        <f aca="false">+AL803/AL890</f>
        <v>0.0257182223540306</v>
      </c>
      <c r="AM921" s="157"/>
      <c r="AN921" s="157"/>
      <c r="AO921" s="157"/>
    </row>
    <row r="922" customFormat="false" ht="12.75" hidden="false" customHeight="true" outlineLevel="0" collapsed="false">
      <c r="A922" s="167"/>
      <c r="B922" s="19"/>
      <c r="C922" s="19"/>
      <c r="D922" s="19"/>
    </row>
    <row r="923" customFormat="false" ht="12.75" hidden="false" customHeight="true" outlineLevel="0" collapsed="false">
      <c r="A923" s="59" t="s">
        <v>679</v>
      </c>
      <c r="B923" s="165" t="n">
        <f aca="false">+B803/B821</f>
        <v>0.555429300437328</v>
      </c>
      <c r="C923" s="165" t="n">
        <f aca="false">+C803/C821</f>
        <v>0.531327883212844</v>
      </c>
      <c r="D923" s="165" t="n">
        <f aca="false">+D803/D821</f>
        <v>0.377686053384023</v>
      </c>
      <c r="E923" s="165" t="n">
        <f aca="false">+E803/E821</f>
        <v>0.460384440423989</v>
      </c>
      <c r="F923" s="165" t="n">
        <f aca="false">+F803/F821</f>
        <v>0.5171413030143</v>
      </c>
      <c r="G923" s="165" t="n">
        <f aca="false">+G803/G821</f>
        <v>0.530746512272096</v>
      </c>
      <c r="H923" s="165" t="n">
        <f aca="false">+H803/H821</f>
        <v>0.464439127217471</v>
      </c>
      <c r="I923" s="165" t="n">
        <f aca="false">+I803/I821</f>
        <v>0.458578010274295</v>
      </c>
      <c r="J923" s="165" t="n">
        <f aca="false">+J803/J821</f>
        <v>0.441813684078933</v>
      </c>
      <c r="K923" s="165" t="n">
        <f aca="false">+K803/K821</f>
        <v>0.420159447485803</v>
      </c>
      <c r="L923" s="165" t="n">
        <f aca="false">+L803/L821</f>
        <v>0.388793973688531</v>
      </c>
      <c r="M923" s="165" t="n">
        <f aca="false">+M803/M821</f>
        <v>0.288288865936981</v>
      </c>
      <c r="N923" s="165" t="n">
        <f aca="false">+N803/N821</f>
        <v>0.396736722996829</v>
      </c>
      <c r="O923" s="165" t="n">
        <f aca="false">+O803/O821</f>
        <v>0.302936424890656</v>
      </c>
      <c r="P923" s="165" t="n">
        <f aca="false">+P803/P821</f>
        <v>0.234415305127027</v>
      </c>
      <c r="Q923" s="165" t="n">
        <f aca="false">+Q803/Q821</f>
        <v>0.269732301250067</v>
      </c>
      <c r="R923" s="165" t="n">
        <f aca="false">+R803/R821</f>
        <v>0.343574951184096</v>
      </c>
      <c r="S923" s="165" t="n">
        <f aca="false">+S803/S821</f>
        <v>0.348646158221116</v>
      </c>
      <c r="T923" s="165" t="n">
        <f aca="false">+T803/T821</f>
        <v>0.363517349971313</v>
      </c>
      <c r="U923" s="165" t="n">
        <f aca="false">+U803/U821</f>
        <v>0.393282510968587</v>
      </c>
      <c r="V923" s="165" t="n">
        <f aca="false">+V803/V821</f>
        <v>0.462401439975753</v>
      </c>
      <c r="W923" s="165" t="n">
        <f aca="false">+W803/W821</f>
        <v>0.487501650402427</v>
      </c>
      <c r="X923" s="165" t="n">
        <f aca="false">+X803/X821</f>
        <v>0.369172501866622</v>
      </c>
      <c r="Y923" s="165" t="n">
        <f aca="false">+Y803/Y821</f>
        <v>0.284869356390785</v>
      </c>
      <c r="Z923" s="165" t="n">
        <f aca="false">+Z803/Z821</f>
        <v>0.248913571311227</v>
      </c>
      <c r="AA923" s="165" t="n">
        <f aca="false">+AA803/AA821</f>
        <v>0.112295271931926</v>
      </c>
      <c r="AB923" s="165" t="n">
        <f aca="false">+AB803/AB821</f>
        <v>0.0647286424959568</v>
      </c>
      <c r="AC923" s="165" t="n">
        <f aca="false">+AC803/AC821</f>
        <v>0.289919404003117</v>
      </c>
      <c r="AD923" s="165" t="n">
        <f aca="false">+AD803/AD821</f>
        <v>0.335207791743133</v>
      </c>
      <c r="AE923" s="165" t="n">
        <f aca="false">+AE803/AE821</f>
        <v>0.310237845406596</v>
      </c>
      <c r="AF923" s="165" t="n">
        <f aca="false">+AF803/AF821</f>
        <v>0.249090674557657</v>
      </c>
      <c r="AG923" s="165" t="n">
        <f aca="false">+AG803/AG821</f>
        <v>0.181127711815208</v>
      </c>
      <c r="AH923" s="165" t="n">
        <f aca="false">+AH803/AH821</f>
        <v>0.101191029038162</v>
      </c>
      <c r="AI923" s="165" t="n">
        <f aca="false">+AI803/AI821</f>
        <v>0.0750908914969795</v>
      </c>
      <c r="AJ923" s="165" t="n">
        <f aca="false">+AJ803/AJ821</f>
        <v>0.0544507892850997</v>
      </c>
      <c r="AK923" s="165" t="n">
        <f aca="false">+AK803/AK821</f>
        <v>0.0385288044331172</v>
      </c>
      <c r="AL923" s="165" t="n">
        <f aca="false">+AL803/AL821</f>
        <v>0.0257182223540306</v>
      </c>
      <c r="AM923" s="157"/>
      <c r="AN923" s="157"/>
      <c r="AO923" s="157"/>
    </row>
    <row r="924" customFormat="false" ht="12.75" hidden="false" customHeight="true" outlineLevel="0" collapsed="false">
      <c r="A924" s="167"/>
      <c r="B924" s="19"/>
      <c r="C924" s="19"/>
      <c r="D924" s="19"/>
    </row>
    <row r="925" customFormat="false" ht="12.75" hidden="false" customHeight="true" outlineLevel="0" collapsed="false">
      <c r="A925" s="59" t="s">
        <v>680</v>
      </c>
      <c r="B925" s="165" t="n">
        <f aca="false">B704/B789</f>
        <v>0.0107612129406933</v>
      </c>
      <c r="C925" s="165" t="n">
        <f aca="false">C704*2/(C789+B789)</f>
        <v>0.0802088654293664</v>
      </c>
      <c r="D925" s="165" t="n">
        <f aca="false">D704*2/(D789+C789)</f>
        <v>0.0977891127012942</v>
      </c>
      <c r="E925" s="165" t="n">
        <f aca="false">E704*2/(E789+D789)</f>
        <v>0.112346568245153</v>
      </c>
      <c r="F925" s="165" t="n">
        <f aca="false">F704*2/(F789+E789)</f>
        <v>0.116913341792905</v>
      </c>
      <c r="G925" s="298" t="n">
        <f aca="false">(G704-135)*2/(G789+F789)</f>
        <v>0.00446920983031098</v>
      </c>
      <c r="H925" s="165" t="n">
        <f aca="false">H704*2/(H789+G789)</f>
        <v>0.0187303151874129</v>
      </c>
      <c r="I925" s="165" t="n">
        <f aca="false">I704*2/(I789+H789)</f>
        <v>0.0697769523668973</v>
      </c>
      <c r="J925" s="165" t="n">
        <f aca="false">J704*2/(J789+I789)</f>
        <v>0.0790725975642834</v>
      </c>
      <c r="K925" s="165" t="n">
        <f aca="false">K704*2/(K789+J789)</f>
        <v>0.0832743229831661</v>
      </c>
      <c r="L925" s="165" t="n">
        <f aca="false">L704*2/(L789+K789)</f>
        <v>0.120426419239456</v>
      </c>
      <c r="M925" s="165" t="n">
        <f aca="false">M704*2/(M789+L789)</f>
        <v>0.192494044846001</v>
      </c>
      <c r="N925" s="165" t="n">
        <f aca="false">N704*2/(N789+M789)</f>
        <v>0.244550746915521</v>
      </c>
      <c r="O925" s="165" t="n">
        <f aca="false">O704*2/(O789+N789)</f>
        <v>0.253705163472098</v>
      </c>
      <c r="P925" s="165" t="n">
        <f aca="false">P704*2/(P789+O789)</f>
        <v>0.266878256896463</v>
      </c>
      <c r="Q925" s="165" t="n">
        <f aca="false">Q704*2/(Q789+P789)</f>
        <v>0.232127709562142</v>
      </c>
      <c r="R925" s="165" t="n">
        <f aca="false">R704*2/(R789+Q789)</f>
        <v>0.0675796980231312</v>
      </c>
      <c r="S925" s="165" t="n">
        <f aca="false">S704*2/(S789+R789)</f>
        <v>0.11863223841447</v>
      </c>
      <c r="T925" s="165" t="n">
        <f aca="false">T704*2/(T789+S789)</f>
        <v>0.165440892342988</v>
      </c>
      <c r="U925" s="165" t="n">
        <f aca="false">U704*2/(U789+T789)</f>
        <v>0.138530708020559</v>
      </c>
      <c r="V925" s="165" t="n">
        <f aca="false">V704*2/(V789+U789)</f>
        <v>0.100114175024852</v>
      </c>
      <c r="W925" s="165" t="n">
        <f aca="false">W704*2/(W789+V789)</f>
        <v>0.00659517203669095</v>
      </c>
      <c r="X925" s="165" t="n">
        <f aca="false">X704*2/(X789+W789)</f>
        <v>0.0698476142423791</v>
      </c>
      <c r="Y925" s="165" t="n">
        <f aca="false">Y704*2/(Y789+X789)</f>
        <v>0.0739269827628504</v>
      </c>
      <c r="Z925" s="165" t="n">
        <f aca="false">Z704*2/(Z789+Y789)</f>
        <v>0.212096495629242</v>
      </c>
      <c r="AA925" s="165" t="n">
        <f aca="false">AA704*2/(AA789+Z789)</f>
        <v>0.235137380184529</v>
      </c>
      <c r="AB925" s="366" t="n">
        <f aca="false">AB704*2/(AB789+AA789)</f>
        <v>0.255942554886026</v>
      </c>
      <c r="AC925" s="366" t="n">
        <f aca="false">AC704*2/(AC789+AB789)</f>
        <v>0.0307147409469609</v>
      </c>
      <c r="AD925" s="366" t="n">
        <f aca="false">AD704*2/(AD789+AC789)</f>
        <v>-0.0440524984218314</v>
      </c>
      <c r="AE925" s="366" t="n">
        <f aca="false">AE704*2/(AE789+AD789)</f>
        <v>0.0757057726297848</v>
      </c>
      <c r="AF925" s="366" t="n">
        <f aca="false">AF704*2/(AF789+AE789)</f>
        <v>0.175110862986671</v>
      </c>
      <c r="AG925" s="366" t="n">
        <f aca="false">AG704*2/(AG789+AF789)</f>
        <v>0.303764699466297</v>
      </c>
      <c r="AH925" s="366" t="n">
        <f aca="false">AH704*2/(AH789+AG789)</f>
        <v>0.324980471401672</v>
      </c>
      <c r="AI925" s="366" t="n">
        <f aca="false">AI704*2/(AI789+AH789)</f>
        <v>0.289501429226206</v>
      </c>
      <c r="AJ925" s="366" t="n">
        <f aca="false">AJ704*2/(AJ789+AI789)</f>
        <v>0.272868134863456</v>
      </c>
      <c r="AK925" s="366" t="n">
        <f aca="false">AK704*2/(AK789+AJ789)</f>
        <v>0.261817614734972</v>
      </c>
      <c r="AL925" s="366" t="n">
        <f aca="false">AL704*2/(AL789+AK789)</f>
        <v>0.247076454215585</v>
      </c>
      <c r="AM925" s="157"/>
      <c r="AN925" s="157"/>
      <c r="AO925" s="157"/>
    </row>
    <row r="926" customFormat="false" ht="12.75" hidden="false" customHeight="true" outlineLevel="0" collapsed="false">
      <c r="A926" s="167"/>
      <c r="B926" s="75"/>
      <c r="C926" s="75"/>
      <c r="D926" s="75"/>
      <c r="E926" s="75"/>
      <c r="F926" s="75"/>
      <c r="G926" s="75"/>
      <c r="H926" s="75"/>
      <c r="I926" s="75"/>
      <c r="J926" s="75"/>
      <c r="K926" s="75"/>
      <c r="L926" s="75"/>
      <c r="M926" s="85"/>
      <c r="N926" s="85"/>
      <c r="O926" s="85"/>
      <c r="P926" s="85"/>
      <c r="Q926" s="85"/>
      <c r="R926" s="85"/>
      <c r="S926" s="85"/>
      <c r="T926" s="85"/>
      <c r="U926" s="85"/>
      <c r="V926" s="85"/>
      <c r="W926" s="85"/>
      <c r="X926" s="85"/>
      <c r="Y926" s="85"/>
      <c r="Z926" s="85"/>
      <c r="AA926" s="154"/>
      <c r="AB926" s="85"/>
      <c r="AC926" s="85"/>
      <c r="AD926" s="85"/>
      <c r="AE926" s="85"/>
      <c r="AF926" s="154"/>
      <c r="AG926" s="154"/>
      <c r="AH926" s="85"/>
      <c r="AI926" s="85"/>
      <c r="AJ926" s="85"/>
      <c r="AK926" s="85"/>
      <c r="AL926" s="85"/>
      <c r="AM926" s="85"/>
      <c r="AN926" s="85"/>
      <c r="AO926" s="85"/>
    </row>
    <row r="927" customFormat="false" ht="12.75" hidden="false" customHeight="true" outlineLevel="0" collapsed="false">
      <c r="A927" s="59" t="s">
        <v>681</v>
      </c>
      <c r="B927" s="165" t="n">
        <f aca="false">(B674-B689)/B821</f>
        <v>0.0951201976355097</v>
      </c>
      <c r="C927" s="165" t="n">
        <f aca="false">(C674-C689)*2/(C821+B821)</f>
        <v>0.106356405569217</v>
      </c>
      <c r="D927" s="165" t="n">
        <f aca="false">(D674-D689)*2/(D821+C821)</f>
        <v>0.113545459042439</v>
      </c>
      <c r="E927" s="165" t="n">
        <f aca="false">(E674-E689)*2/(E821+D821)</f>
        <v>0.133281845362488</v>
      </c>
      <c r="F927" s="165" t="n">
        <f aca="false">(F674-F689)*2/(F821+E821)</f>
        <v>0.139995976032392</v>
      </c>
      <c r="G927" s="165" t="n">
        <f aca="false">(G674-G689)*2/(G821+F821)</f>
        <v>0.0835146182683808</v>
      </c>
      <c r="H927" s="165" t="n">
        <f aca="false">(H674-H689)*2/(H821+G821)</f>
        <v>0.0801140510355638</v>
      </c>
      <c r="I927" s="165" t="n">
        <f aca="false">(I674-I689)*2/(I821+H821)</f>
        <v>0.11171915525776</v>
      </c>
      <c r="J927" s="165" t="n">
        <f aca="false">(J674-J689)*2/(J821+I821)</f>
        <v>0.114921118757892</v>
      </c>
      <c r="K927" s="165" t="n">
        <f aca="false">(K674-K689)*2/(K821+J821)</f>
        <v>0.119017017168601</v>
      </c>
      <c r="L927" s="165" t="n">
        <f aca="false">(L674-L689)*2/(L821+K821)</f>
        <v>0.139623172281019</v>
      </c>
      <c r="M927" s="165" t="n">
        <f aca="false">(M674-M689)*2/(M821+L821)</f>
        <v>0.198726019197224</v>
      </c>
      <c r="N927" s="165" t="n">
        <f aca="false">(N674-N689)*2/(N821+M821)</f>
        <v>0.186384573225915</v>
      </c>
      <c r="O927" s="165" t="n">
        <f aca="false">(O674-O689)*2/(O821+N821)</f>
        <v>0.208278622105356</v>
      </c>
      <c r="P927" s="165" t="n">
        <f aca="false">(P674-P689)*2/(P821+O821)</f>
        <v>0.257744621423794</v>
      </c>
      <c r="Q927" s="165" t="n">
        <f aca="false">(Q674-Q689)*2/(Q821+P821)</f>
        <v>0.241506174323727</v>
      </c>
      <c r="R927" s="165" t="n">
        <f aca="false">(R674-R689)*2/(R821+Q821)</f>
        <v>0.0951660057769494</v>
      </c>
      <c r="S927" s="165" t="n">
        <f aca="false">(S674-S689)*2/(S821+R821)</f>
        <v>0.10813060416313</v>
      </c>
      <c r="T927" s="165" t="n">
        <f aca="false">(T674-T689)*2/(T821+S821)</f>
        <v>0.155490419600354</v>
      </c>
      <c r="U927" s="165" t="n">
        <f aca="false">(U674-U689)*2/(U821+T821)</f>
        <v>0.126305491167207</v>
      </c>
      <c r="V927" s="165" t="n">
        <f aca="false">(V674-V689)*2/(V821+U821)</f>
        <v>0.0645271290394978</v>
      </c>
      <c r="W927" s="165" t="n">
        <f aca="false">(W674-W689)*2/(W821+V821)</f>
        <v>-0.0151208776581632</v>
      </c>
      <c r="X927" s="165" t="n">
        <f aca="false">(X674-X689)*2/(X821+W821)</f>
        <v>0.0786069174900029</v>
      </c>
      <c r="Y927" s="165" t="n">
        <f aca="false">(Y674-Y689)*2/(Y821+X821)</f>
        <v>0.214727083642264</v>
      </c>
      <c r="Z927" s="165" t="n">
        <f aca="false">(Z674-Z689)*2/(Z821+Y821)</f>
        <v>0.213042467045671</v>
      </c>
      <c r="AA927" s="165" t="n">
        <f aca="false">(AA674-AA689)*2/(AA821+Z821)</f>
        <v>0.270671144926826</v>
      </c>
      <c r="AB927" s="165" t="n">
        <f aca="false">(AB674-AB689)*2/(AB821+AA821)</f>
        <v>0.280786490591009</v>
      </c>
      <c r="AC927" s="165" t="n">
        <f aca="false">(AC674-AC689)*2/(AC821+AB821)</f>
        <v>0.0594843030826676</v>
      </c>
      <c r="AD927" s="165" t="n">
        <f aca="false">(AD674-AD689)*2/(AD821+AC821)</f>
        <v>-0.0081721032475484</v>
      </c>
      <c r="AE927" s="165" t="n">
        <f aca="false">(AE674-AE689)*2/(AE821+AD821)</f>
        <v>0.0277455688827891</v>
      </c>
      <c r="AF927" s="165" t="n">
        <f aca="false">(AF674-AF689)*2/(AF821+AE821)</f>
        <v>0.18973065456371</v>
      </c>
      <c r="AG927" s="165" t="n">
        <f aca="false">(AG674-AG689)*2/(AG821+AF821)</f>
        <v>0.32255281709366</v>
      </c>
      <c r="AH927" s="165" t="n">
        <f aca="false">(AH674-AH689)*2/(AH821+AG821)</f>
        <v>0.326396761103984</v>
      </c>
      <c r="AI927" s="165" t="n">
        <f aca="false">(AI674-AI689)*2/(AI821+AH821)</f>
        <v>0.348997852564586</v>
      </c>
      <c r="AJ927" s="165" t="n">
        <f aca="false">(AJ674-AJ689)*2/(AJ821+AI821)</f>
        <v>0.312597470350812</v>
      </c>
      <c r="AK927" s="165" t="n">
        <f aca="false">(AK674-AK689)*2/(AK821+AJ821)</f>
        <v>0.306020298857956</v>
      </c>
      <c r="AL927" s="165" t="n">
        <f aca="false">(AL674-AL689)*2/(AL821+AK821)</f>
        <v>0.292883511298334</v>
      </c>
      <c r="AM927" s="157"/>
      <c r="AN927" s="157"/>
      <c r="AO927" s="157"/>
    </row>
    <row r="928" customFormat="false" ht="12.75" hidden="false" customHeight="true" outlineLevel="0" collapsed="false">
      <c r="A928" s="59" t="s">
        <v>682</v>
      </c>
      <c r="B928" s="19"/>
      <c r="C928" s="276" t="n">
        <f aca="false">((C651-C689)*2)/(C890+B890-C861-B861-C836-B836)</f>
        <v>0.0622745053574468</v>
      </c>
      <c r="D928" s="276" t="n">
        <f aca="false">((D651-D689)*2)/(D890+C890-D861-C861-D836-C836)</f>
        <v>0.0584150401279548</v>
      </c>
      <c r="E928" s="276" t="n">
        <f aca="false">((E651-E689)*2)/(E890+D890-E861-D861-E836-D836)</f>
        <v>0.0557673483474228</v>
      </c>
      <c r="F928" s="276" t="n">
        <f aca="false">((F651-F689)*2)/(F890+E890-F861-E861-F836-E836)</f>
        <v>0.0806093887662751</v>
      </c>
      <c r="G928" s="276" t="n">
        <f aca="false">((G651-G689)*2)/(G890+F890-G861-F861-G836-F836)</f>
        <v>0.0373543215681822</v>
      </c>
      <c r="H928" s="276" t="n">
        <f aca="false">((H651-H689)*2)/(H890+G890-H861-G861-H836-G836)</f>
        <v>0.0420994553652033</v>
      </c>
      <c r="I928" s="276" t="n">
        <f aca="false">((I651-I689)*2)/(I890+H890-I861-H861-I836-H836)</f>
        <v>0.0915882691969506</v>
      </c>
      <c r="J928" s="276" t="n">
        <f aca="false">((J651-J689)*2)/(J890+I890-J861-I861-J836-I836)</f>
        <v>0.105307469789947</v>
      </c>
      <c r="K928" s="276" t="n">
        <f aca="false">((K651-K689)*2)/(K890+J890-K861-J861-K836-J836)</f>
        <v>0.113098543479901</v>
      </c>
      <c r="L928" s="276" t="n">
        <f aca="false">((L651-L689)*2)/(L890+K890-L861-K861-L836-K836)</f>
        <v>0.140550156696551</v>
      </c>
      <c r="M928" s="276" t="n">
        <f aca="false">((M651-M689)*2)/(M890+L890-M861-L861-M836-L836)</f>
        <v>0.218778480093103</v>
      </c>
      <c r="N928" s="276" t="n">
        <f aca="false">((N651-N689)*2)/(N890+M890-N861-M861-N836-M836)</f>
        <v>0.255734301685361</v>
      </c>
      <c r="O928" s="276" t="n">
        <f aca="false">((O651-O689)*2)/(O890+N890-O861-N861-O836-N836)</f>
        <v>0.330423423240098</v>
      </c>
      <c r="P928" s="276" t="n">
        <f aca="false">((P651-P689)*2)/(P890+O890-P861-O861-P836-O836)</f>
        <v>0.325837046951823</v>
      </c>
      <c r="Q928" s="276" t="n">
        <f aca="false">((Q651-Q689)*2)/(Q890+P890-Q861-P861-Q836-P836)</f>
        <v>0.291123476879227</v>
      </c>
      <c r="R928" s="276" t="n">
        <f aca="false">((R651-R689)*2)/(R890+Q890-R861-Q861-R836-Q836)</f>
        <v>0.0768198273626091</v>
      </c>
      <c r="S928" s="276" t="n">
        <f aca="false">((S651-S689)*2)/(S890+R890-S861-R861-S836-R836)</f>
        <v>0.103240369220309</v>
      </c>
      <c r="T928" s="276" t="n">
        <f aca="false">((T651-T689)*2)/(T890+S890-T861-S861-T836-S836)</f>
        <v>0.179689362286962</v>
      </c>
      <c r="U928" s="276" t="n">
        <f aca="false">((U651-U689)*2)/(U890+T890-U861-T861-U836-T836)</f>
        <v>0.149048788142944</v>
      </c>
      <c r="V928" s="276" t="n">
        <f aca="false">((V651-V689)*2)/(V890+U890-V861-U861-V836-U836)</f>
        <v>0.0741068669488214</v>
      </c>
      <c r="W928" s="276" t="n">
        <f aca="false">((W651-W689)*2)/(W890+V890-W861-V861-W836-V836)</f>
        <v>-0.0303115798345376</v>
      </c>
      <c r="X928" s="276" t="n">
        <f aca="false">((X651-X689)*2)/(X890+W890-X861-W861-X836-W836)</f>
        <v>0.0977002672018595</v>
      </c>
      <c r="Y928" s="276" t="n">
        <f aca="false">((Y651-Y689)*2)/(Y890+X890-Y861-X861-Y836-X836)</f>
        <v>0.3340565553196</v>
      </c>
      <c r="Z928" s="276" t="n">
        <f aca="false">((Z651-Z689)*2)/(Z890+Y890-Z861-Y861-Z836-Y836)</f>
        <v>0.346279192005428</v>
      </c>
      <c r="AA928" s="276" t="n">
        <f aca="false">((AA651-AA689)*2)/(AA890+Z890-AA861-Z861-AA836-Z836)</f>
        <v>0.629073501713213</v>
      </c>
      <c r="AB928" s="276" t="n">
        <f aca="false">((AB651-AB689)*2)/(AB890+AA890-AB861-AA861-AB836-AA836)</f>
        <v>0.638417650957239</v>
      </c>
      <c r="AC928" s="276" t="n">
        <f aca="false">((AC651-AC689)*2)/(AC890+AB890-AC861-AB861-AC836-AB836)</f>
        <v>0.0773049367913043</v>
      </c>
      <c r="AD928" s="276" t="n">
        <f aca="false">((AD651-AD689)*2)/(AD890+AC890-AD861-AC861-AD836-AC836)</f>
        <v>-0.0286410684114226</v>
      </c>
      <c r="AE928" s="276" t="n">
        <f aca="false">((AE651-AE689)*2)/(AE890+AD890-AE861-AD861-AE836-AD836)</f>
        <v>0.0367517229270341</v>
      </c>
      <c r="AF928" s="276" t="n">
        <f aca="false">((AF651-AF689)*2)/(AF890+AE890-AF861-AE861-AF836-AE836)</f>
        <v>0.386752469378476</v>
      </c>
      <c r="AG928" s="276" t="n">
        <f aca="false">((AG651-AG689)*2)/(AG890+AF890-AG861-AF861-AG836-AF836)</f>
        <v>0.820547176340511</v>
      </c>
      <c r="AH928" s="276" t="n">
        <f aca="false">((AH651-AH689)*2)/(AH890+AG890-AH861-AG861-AH836-AG836)</f>
        <v>1.20997291997386</v>
      </c>
      <c r="AI928" s="276" t="n">
        <f aca="false">((AI651-AI689)*2)/(AI890+AH890-AI861-AH861-AI836-AH836)</f>
        <v>1.81697878828485</v>
      </c>
      <c r="AJ928" s="276" t="n">
        <f aca="false">((AJ651-AJ689)*2)/(AJ890+AI890-AJ861-AI861-AJ836-AI836)</f>
        <v>1.99740608040324</v>
      </c>
      <c r="AK928" s="276" t="n">
        <f aca="false">((AK651-AK689)*2)/(AK890+AJ890-AK861-AJ861-AK836-AJ836)</f>
        <v>2.07744907293461</v>
      </c>
      <c r="AL928" s="276" t="n">
        <f aca="false">((AL651-AL689)*2)/(AL890+AK890-AL861-AK861-AL836-AK836)</f>
        <v>2.41123266722639</v>
      </c>
      <c r="AM928" s="66"/>
      <c r="AN928" s="66"/>
      <c r="AO928" s="66"/>
    </row>
    <row r="929" customFormat="false" ht="12.75" hidden="false" customHeight="true" outlineLevel="0" collapsed="false">
      <c r="A929" s="59" t="s">
        <v>683</v>
      </c>
      <c r="B929" s="165" t="n">
        <f aca="false">+B870/B882</f>
        <v>3.44767111493758</v>
      </c>
      <c r="C929" s="165" t="n">
        <f aca="false">+C870/C882</f>
        <v>2.58569911076848</v>
      </c>
      <c r="D929" s="165" t="n">
        <f aca="false">+D870/D882</f>
        <v>3.37411271283681</v>
      </c>
      <c r="E929" s="165" t="n">
        <f aca="false">+E870/E882</f>
        <v>3.13359288139952</v>
      </c>
      <c r="F929" s="165" t="n">
        <f aca="false">+F870/F882</f>
        <v>3.20626014607115</v>
      </c>
      <c r="G929" s="165" t="n">
        <f aca="false">+G870/G882</f>
        <v>4.04184410496769</v>
      </c>
      <c r="H929" s="165" t="n">
        <f aca="false">+H870/H882</f>
        <v>3.64221237154947</v>
      </c>
      <c r="I929" s="165" t="n">
        <f aca="false">+I870/I882</f>
        <v>3.3949723623683</v>
      </c>
      <c r="J929" s="165" t="n">
        <f aca="false">+J870/J882</f>
        <v>2.88921948199551</v>
      </c>
      <c r="K929" s="165" t="n">
        <f aca="false">+K870/K882</f>
        <v>2.71551123535667</v>
      </c>
      <c r="L929" s="165" t="n">
        <f aca="false">+L870/L882</f>
        <v>2.26286638407636</v>
      </c>
      <c r="M929" s="165" t="n">
        <f aca="false">+M870/M882</f>
        <v>1.75808042165093</v>
      </c>
      <c r="N929" s="165" t="n">
        <f aca="false">+N870/N882</f>
        <v>1.85066832980603</v>
      </c>
      <c r="O929" s="165" t="n">
        <f aca="false">+O870/O882</f>
        <v>1.58493975219309</v>
      </c>
      <c r="P929" s="165" t="n">
        <f aca="false">+P870/P882</f>
        <v>1.53641046669571</v>
      </c>
      <c r="Q929" s="165" t="n">
        <f aca="false">+Q870/Q882</f>
        <v>1.26555102687571</v>
      </c>
      <c r="R929" s="165" t="n">
        <f aca="false">+R870/R882</f>
        <v>1.48137388416683</v>
      </c>
      <c r="S929" s="165" t="n">
        <f aca="false">+S870/S882</f>
        <v>1.39818432257802</v>
      </c>
      <c r="T929" s="165" t="n">
        <f aca="false">+T870/T882</f>
        <v>1.23778518901877</v>
      </c>
      <c r="U929" s="165" t="n">
        <f aca="false">+U870/U882</f>
        <v>1.06565354440434</v>
      </c>
      <c r="V929" s="165" t="n">
        <f aca="false">+V870/V882</f>
        <v>1.16800984747345</v>
      </c>
      <c r="W929" s="165" t="n">
        <f aca="false">+W870/W882</f>
        <v>1.08715707029938</v>
      </c>
      <c r="X929" s="165" t="n">
        <f aca="false">+X870/X882</f>
        <v>1.0076233125537</v>
      </c>
      <c r="Y929" s="165" t="n">
        <f aca="false">+Y870/Y882</f>
        <v>1.20592648455394</v>
      </c>
      <c r="Z929" s="165" t="n">
        <f aca="false">+Z870/Z882</f>
        <v>0.937653526024073</v>
      </c>
      <c r="AA929" s="165" t="n">
        <f aca="false">+AA870/AA882</f>
        <v>0.628519028890579</v>
      </c>
      <c r="AB929" s="165" t="n">
        <f aca="false">+AB870/AB882</f>
        <v>0.968224719101124</v>
      </c>
      <c r="AC929" s="165" t="n">
        <f aca="false">+AC870/AC882</f>
        <v>1.06942026213514</v>
      </c>
      <c r="AD929" s="165" t="n">
        <f aca="false">+AD870/AD882</f>
        <v>1.06598003032644</v>
      </c>
      <c r="AE929" s="165" t="n">
        <f aca="false">+AE870/AE882</f>
        <v>0.926265199742297</v>
      </c>
      <c r="AF929" s="165" t="n">
        <f aca="false">+AF870/AF882</f>
        <v>0.926140616802935</v>
      </c>
      <c r="AG929" s="165" t="n">
        <f aca="false">+AG870/AG882</f>
        <v>1.04556629940532</v>
      </c>
      <c r="AH929" s="165" t="n">
        <f aca="false">+AH870/AH882</f>
        <v>0.85579108024144</v>
      </c>
      <c r="AI929" s="165" t="n">
        <f aca="false">+AI870/AI882</f>
        <v>0.831470422144193</v>
      </c>
      <c r="AJ929" s="165" t="n">
        <f aca="false">+AJ870/AJ882</f>
        <v>0.906037496068867</v>
      </c>
      <c r="AK929" s="165" t="n">
        <f aca="false">+AK870/AK882</f>
        <v>1.03263113081871</v>
      </c>
      <c r="AL929" s="165" t="n">
        <f aca="false">+AL870/AL882</f>
        <v>1.15140792314586</v>
      </c>
      <c r="AM929" s="157"/>
      <c r="AN929" s="157"/>
      <c r="AO929" s="157"/>
    </row>
    <row r="930" customFormat="false" ht="12.75" hidden="false" customHeight="true" outlineLevel="0" collapsed="false">
      <c r="A930" s="167"/>
      <c r="B930" s="19"/>
      <c r="C930" s="19"/>
      <c r="D930" s="19"/>
      <c r="M930" s="35"/>
      <c r="N930" s="35"/>
      <c r="O930" s="35"/>
      <c r="P930" s="35"/>
      <c r="Q930" s="35"/>
      <c r="R930" s="35"/>
      <c r="S930" s="35"/>
      <c r="T930" s="35"/>
      <c r="U930" s="35"/>
      <c r="V930" s="35"/>
      <c r="W930" s="35"/>
      <c r="X930" s="35"/>
      <c r="Y930" s="35"/>
      <c r="Z930" s="35"/>
      <c r="AA930" s="367"/>
      <c r="AB930" s="35"/>
      <c r="AC930" s="35"/>
      <c r="AD930" s="35"/>
      <c r="AE930" s="35"/>
      <c r="AF930" s="367"/>
      <c r="AG930" s="367"/>
      <c r="AH930" s="35"/>
      <c r="AI930" s="35"/>
      <c r="AJ930" s="35"/>
      <c r="AK930" s="35"/>
      <c r="AL930" s="35"/>
      <c r="AM930" s="35"/>
      <c r="AN930" s="35"/>
      <c r="AO930" s="35"/>
    </row>
    <row r="931" customFormat="false" ht="12.75" hidden="false" customHeight="true" outlineLevel="0" collapsed="false">
      <c r="A931" s="59" t="s">
        <v>684</v>
      </c>
      <c r="B931" s="165" t="n">
        <f aca="false">(+B870-B849)/B882</f>
        <v>2.32093413689195</v>
      </c>
      <c r="C931" s="165" t="n">
        <f aca="false">(+C870-C849)/C882</f>
        <v>1.68297457359164</v>
      </c>
      <c r="D931" s="165" t="n">
        <f aca="false">(+D870-D849)/D882</f>
        <v>2.57173342477678</v>
      </c>
      <c r="E931" s="165" t="n">
        <f aca="false">(+E870-E849)/E882</f>
        <v>2.31599000128576</v>
      </c>
      <c r="F931" s="165" t="n">
        <f aca="false">(+F870-F849)/F882</f>
        <v>2.15264370709604</v>
      </c>
      <c r="G931" s="165" t="n">
        <f aca="false">(+G870-G849)/G882</f>
        <v>2.60425720756565</v>
      </c>
      <c r="H931" s="165" t="n">
        <f aca="false">(+H870-H849)/H882</f>
        <v>2.56487255692122</v>
      </c>
      <c r="I931" s="165" t="n">
        <f aca="false">(+I870-I849)/I882</f>
        <v>2.3335342780828</v>
      </c>
      <c r="J931" s="165" t="n">
        <f aca="false">(+J870-J849)/J882</f>
        <v>1.93253929386544</v>
      </c>
      <c r="K931" s="165" t="n">
        <f aca="false">(+K870-K849)/K882</f>
        <v>1.67598100928757</v>
      </c>
      <c r="L931" s="165" t="n">
        <f aca="false">(+L870-L849)/L882</f>
        <v>1.56996979963773</v>
      </c>
      <c r="M931" s="165" t="n">
        <f aca="false">(+M870-M849)/M882</f>
        <v>1.14916934622725</v>
      </c>
      <c r="N931" s="165" t="n">
        <f aca="false">(+N870-N849)/N882</f>
        <v>1.36332417405657</v>
      </c>
      <c r="O931" s="165" t="n">
        <f aca="false">(+O870-O849)/O882</f>
        <v>0.944151149152725</v>
      </c>
      <c r="P931" s="165" t="n">
        <f aca="false">(+P870-P849)/P882</f>
        <v>0.926837922265791</v>
      </c>
      <c r="Q931" s="165" t="n">
        <f aca="false">(+Q870-Q849)/Q882</f>
        <v>0.726842258158226</v>
      </c>
      <c r="R931" s="165" t="n">
        <f aca="false">(+R870-R849)/R882</f>
        <v>0.858983554940888</v>
      </c>
      <c r="S931" s="165" t="n">
        <f aca="false">(+S870-S849)/S882</f>
        <v>0.844866407822972</v>
      </c>
      <c r="T931" s="165" t="n">
        <f aca="false">(+T870-T849)/T882</f>
        <v>0.611727405524628</v>
      </c>
      <c r="U931" s="165" t="n">
        <f aca="false">(+U870-U849)/U882</f>
        <v>0.513344890103308</v>
      </c>
      <c r="V931" s="165" t="n">
        <f aca="false">(+V870-V849)/V882</f>
        <v>0.652577689807305</v>
      </c>
      <c r="W931" s="165" t="n">
        <f aca="false">(+W870-W849)/W882</f>
        <v>0.714848062333517</v>
      </c>
      <c r="X931" s="165" t="n">
        <f aca="false">(+X870-X849)/X882</f>
        <v>0.678722763724957</v>
      </c>
      <c r="Y931" s="165" t="n">
        <f aca="false">(+Y870-Y849)/Y882</f>
        <v>0.827685627432359</v>
      </c>
      <c r="Z931" s="165" t="n">
        <f aca="false">(+Z870-Z849)/Z882</f>
        <v>0.455050011387252</v>
      </c>
      <c r="AA931" s="165" t="n">
        <f aca="false">(+AA870-AA849)/AA882</f>
        <v>0.405307993679664</v>
      </c>
      <c r="AB931" s="165" t="n">
        <f aca="false">(+AB870-AB849)/AB882</f>
        <v>0.650700177409817</v>
      </c>
      <c r="AC931" s="165" t="n">
        <f aca="false">(+AC870-AC849)/AC882</f>
        <v>0.825307654842914</v>
      </c>
      <c r="AD931" s="165" t="n">
        <f aca="false">(+AD870-AD849)/AD882</f>
        <v>0.759527079220668</v>
      </c>
      <c r="AE931" s="165" t="n">
        <f aca="false">(+AE870-AE849)/AE882</f>
        <v>0.692530444537554</v>
      </c>
      <c r="AF931" s="165" t="n">
        <f aca="false">(+AF870-AF849)/AF882</f>
        <v>0.638487250679611</v>
      </c>
      <c r="AG931" s="165" t="n">
        <f aca="false">(+AG870-AG849)/AG882</f>
        <v>0.753293993499951</v>
      </c>
      <c r="AH931" s="165" t="n">
        <f aca="false">(+AH870-AH849)/AH882</f>
        <v>0.584054256948662</v>
      </c>
      <c r="AI931" s="165" t="n">
        <f aca="false">(+AI870-AI849)/AI882</f>
        <v>0.556527760689261</v>
      </c>
      <c r="AJ931" s="165" t="n">
        <f aca="false">(+AJ870-AJ849)/AJ882</f>
        <v>0.621470530695609</v>
      </c>
      <c r="AK931" s="165" t="n">
        <f aca="false">(+AK870-AK849)/AK882</f>
        <v>0.745035921006895</v>
      </c>
      <c r="AL931" s="165" t="n">
        <f aca="false">(+AL870-AL849)/AL882</f>
        <v>0.864845754644879</v>
      </c>
      <c r="AM931" s="157"/>
      <c r="AN931" s="157"/>
      <c r="AO931" s="157"/>
    </row>
    <row r="932" customFormat="false" ht="12.75" hidden="false" customHeight="true" outlineLevel="0" collapsed="false">
      <c r="A932" s="167"/>
      <c r="B932" s="19"/>
      <c r="C932" s="19"/>
      <c r="D932" s="19"/>
    </row>
    <row r="933" customFormat="false" ht="12.75" hidden="false" customHeight="true" outlineLevel="0" collapsed="false">
      <c r="A933" s="59" t="s">
        <v>685</v>
      </c>
      <c r="B933" s="165" t="n">
        <f aca="false">+B884/B429</f>
        <v>0.585368314417961</v>
      </c>
      <c r="C933" s="165" t="n">
        <f aca="false">+C884/C429</f>
        <v>0.368515348992352</v>
      </c>
      <c r="D933" s="165" t="n">
        <f aca="false">+D884/D429</f>
        <v>0.585373055505331</v>
      </c>
      <c r="E933" s="165" t="n">
        <f aca="false">+E884/E429</f>
        <v>0.551332464925747</v>
      </c>
      <c r="F933" s="165" t="n">
        <f aca="false">+F884/F429</f>
        <v>0.543235241880467</v>
      </c>
      <c r="G933" s="165" t="n">
        <f aca="false">+G884/G429</f>
        <v>0.674478377945811</v>
      </c>
      <c r="H933" s="165" t="n">
        <f aca="false">+H884/H429</f>
        <v>0.499198229527307</v>
      </c>
      <c r="I933" s="165" t="n">
        <f aca="false">+I884/I429</f>
        <v>0.385936477192227</v>
      </c>
      <c r="J933" s="165" t="n">
        <f aca="false">+J884/J429</f>
        <v>0.382931342545596</v>
      </c>
      <c r="K933" s="165" t="n">
        <f aca="false">+K884/K429</f>
        <v>0.364337615506307</v>
      </c>
      <c r="L933" s="165" t="n">
        <f aca="false">+L884/L429</f>
        <v>0.239334770443143</v>
      </c>
      <c r="M933" s="165" t="n">
        <f aca="false">+M884/M429</f>
        <v>0.158592471399555</v>
      </c>
      <c r="N933" s="165" t="n">
        <f aca="false">+N884/N429</f>
        <v>0.202892685173572</v>
      </c>
      <c r="O933" s="165" t="n">
        <f aca="false">+O884/O429</f>
        <v>0.133523909602088</v>
      </c>
      <c r="P933" s="165" t="n">
        <f aca="false">+P884/P429</f>
        <v>0.111128284954812</v>
      </c>
      <c r="Q933" s="165" t="n">
        <f aca="false">+Q884/Q429</f>
        <v>0.066092753291048</v>
      </c>
      <c r="R933" s="165" t="n">
        <f aca="false">+R884/R429</f>
        <v>0.151631917909352</v>
      </c>
      <c r="S933" s="165" t="n">
        <f aca="false">+S884/S429</f>
        <v>0.146721868365022</v>
      </c>
      <c r="T933" s="165" t="n">
        <f aca="false">+T884/T429</f>
        <v>0.0679775454465086</v>
      </c>
      <c r="U933" s="165" t="n">
        <f aca="false">+U884/U429</f>
        <v>0.0187754673488037</v>
      </c>
      <c r="V933" s="165" t="n">
        <f aca="false">+V884/V429</f>
        <v>0.0443093099490739</v>
      </c>
      <c r="W933" s="165" t="n">
        <f aca="false">+W884/W429</f>
        <v>0.0254869067122221</v>
      </c>
      <c r="X933" s="165" t="n">
        <f aca="false">+X884/X429</f>
        <v>0.00218428911545143</v>
      </c>
      <c r="Y933" s="165" t="n">
        <f aca="false">+Y884/Y429</f>
        <v>0.0433070205694759</v>
      </c>
      <c r="Z933" s="165" t="n">
        <f aca="false">+Z884/Z429</f>
        <v>-0.0148280471941999</v>
      </c>
      <c r="AA933" s="165" t="n">
        <f aca="false">+AA884/AA429</f>
        <v>-0.105682382977477</v>
      </c>
      <c r="AB933" s="165" t="n">
        <f aca="false">+AB884/AB429</f>
        <v>-0.00912447370235389</v>
      </c>
      <c r="AC933" s="165" t="n">
        <f aca="false">+AC884/AC429</f>
        <v>0.0196850371687453</v>
      </c>
      <c r="AD933" s="165" t="n">
        <f aca="false">+AD884/AD429</f>
        <v>0.0295696425858243</v>
      </c>
      <c r="AE933" s="165" t="n">
        <f aca="false">+AE884/AE429</f>
        <v>-0.0297619994753632</v>
      </c>
      <c r="AF933" s="165" t="n">
        <f aca="false">+AF884/AF429</f>
        <v>-0.0193894100871529</v>
      </c>
      <c r="AG933" s="165" t="n">
        <f aca="false">+AG884/AG429</f>
        <v>0.0127279310075724</v>
      </c>
      <c r="AH933" s="165" t="n">
        <f aca="false">+AH884/AH429</f>
        <v>-0.0396738384425422</v>
      </c>
      <c r="AI933" s="165" t="n">
        <f aca="false">+AI884/AI429</f>
        <v>-0.0475847608893397</v>
      </c>
      <c r="AJ933" s="165" t="n">
        <f aca="false">+AJ884/AJ429</f>
        <v>-0.0257050155072148</v>
      </c>
      <c r="AK933" s="165" t="n">
        <f aca="false">+AK884/AK429</f>
        <v>0.00891017328700525</v>
      </c>
      <c r="AL933" s="165" t="n">
        <f aca="false">+AL884/AL429</f>
        <v>0.0415047903572464</v>
      </c>
      <c r="AM933" s="157"/>
      <c r="AN933" s="157"/>
      <c r="AO933" s="157"/>
    </row>
    <row r="934" customFormat="false" ht="12.75" hidden="false" customHeight="true" outlineLevel="0" collapsed="false">
      <c r="A934" s="73" t="s">
        <v>686</v>
      </c>
      <c r="B934" s="165" t="n">
        <f aca="false">+B892/B429</f>
        <v>0.585354930899867</v>
      </c>
      <c r="C934" s="165" t="n">
        <f aca="false">+C892/C429</f>
        <v>0.439139455757038</v>
      </c>
      <c r="D934" s="165" t="n">
        <f aca="false">+D892/D429</f>
        <v>0.611676008392594</v>
      </c>
      <c r="E934" s="165" t="n">
        <f aca="false">+E892/E429</f>
        <v>0.641708091923516</v>
      </c>
      <c r="F934" s="165" t="n">
        <f aca="false">+F892/F429</f>
        <v>0.618320637984489</v>
      </c>
      <c r="G934" s="165" t="n">
        <f aca="false">+G892/G429</f>
        <v>0.723837559827048</v>
      </c>
      <c r="H934" s="165" t="n">
        <f aca="false">+H892/H429</f>
        <v>0.511582729540345</v>
      </c>
      <c r="I934" s="165" t="n">
        <f aca="false">+I892/I429</f>
        <v>0.420577061606841</v>
      </c>
      <c r="J934" s="165" t="n">
        <f aca="false">+J892/J429</f>
        <v>0.379636503935002</v>
      </c>
      <c r="K934" s="165" t="n">
        <f aca="false">+K892/K429</f>
        <v>0.316171142539919</v>
      </c>
      <c r="L934" s="165" t="n">
        <f aca="false">+L892/L429</f>
        <v>0.225601605775057</v>
      </c>
      <c r="M934" s="165" t="n">
        <f aca="false">+M892/M429</f>
        <v>0.135186933465944</v>
      </c>
      <c r="N934" s="165" t="n">
        <f aca="false">+N892/N429</f>
        <v>0.102038490428137</v>
      </c>
      <c r="O934" s="165" t="n">
        <f aca="false">+O892/O429</f>
        <v>0.0945778625983889</v>
      </c>
      <c r="P934" s="165" t="n">
        <f aca="false">+P892/P429</f>
        <v>0.0978225152473252</v>
      </c>
      <c r="Q934" s="165" t="n">
        <f aca="false">+Q892/Q429</f>
        <v>0.0754550425089033</v>
      </c>
      <c r="R934" s="165" t="n">
        <f aca="false">+R892/R429</f>
        <v>0.192547480737451</v>
      </c>
      <c r="S934" s="165" t="n">
        <f aca="false">+S892/S429</f>
        <v>0.160431541298021</v>
      </c>
      <c r="T934" s="165" t="n">
        <f aca="false">+T892/T429</f>
        <v>0.119942160878505</v>
      </c>
      <c r="U934" s="165" t="n">
        <f aca="false">+U892/U429</f>
        <v>0.100230183434764</v>
      </c>
      <c r="V934" s="165" t="n">
        <f aca="false">+V892/V429</f>
        <v>0.123390190810918</v>
      </c>
      <c r="W934" s="165" t="n">
        <f aca="false">+W892/W429</f>
        <v>0.0983917004503656</v>
      </c>
      <c r="X934" s="165" t="n">
        <f aca="false">+X892/X429</f>
        <v>0.0267329648487759</v>
      </c>
      <c r="Y934" s="165" t="n">
        <f aca="false">+Y892/Y429</f>
        <v>0.0187909115532552</v>
      </c>
      <c r="Z934" s="165" t="n">
        <f aca="false">+Z892/Z429</f>
        <v>0.014331822004381</v>
      </c>
      <c r="AA934" s="165" t="n">
        <f aca="false">+AA892/AA429</f>
        <v>-0.0722010431195747</v>
      </c>
      <c r="AB934" s="165" t="n">
        <f aca="false">+AB892/AB429</f>
        <v>0.00657963332969929</v>
      </c>
      <c r="AC934" s="165" t="n">
        <f aca="false">+AC892/AC429</f>
        <v>-0.0102372705085087</v>
      </c>
      <c r="AD934" s="165" t="n">
        <f aca="false">+AD892/AD429</f>
        <v>-0.0118902992160109</v>
      </c>
      <c r="AE934" s="165" t="n">
        <f aca="false">+AE892/AE429</f>
        <v>-0.0767851857846161</v>
      </c>
      <c r="AF934" s="165" t="n">
        <f aca="false">+AF892/AF429</f>
        <v>-0.00919757906589305</v>
      </c>
      <c r="AG934" s="165" t="n">
        <f aca="false">+AG892/AG429</f>
        <v>0.0140830114718717</v>
      </c>
      <c r="AH934" s="165" t="n">
        <f aca="false">+AH892/AH429</f>
        <v>-0.0369088062659906</v>
      </c>
      <c r="AI934" s="165" t="n">
        <f aca="false">+AI892/AI429</f>
        <v>-0.0421517516633138</v>
      </c>
      <c r="AJ934" s="165" t="n">
        <f aca="false">+AJ892/AJ429</f>
        <v>-0.0308780607145371</v>
      </c>
      <c r="AK934" s="165" t="n">
        <f aca="false">+AK892/AK429</f>
        <v>-0.0293625167163157</v>
      </c>
      <c r="AL934" s="165" t="n">
        <f aca="false">+AL892/AL429</f>
        <v>-0.0294711747004639</v>
      </c>
      <c r="AM934" s="157"/>
      <c r="AN934" s="157"/>
      <c r="AO934" s="157"/>
    </row>
    <row r="935" customFormat="false" ht="12.75" hidden="false" customHeight="true" outlineLevel="0" collapsed="false">
      <c r="A935" s="167"/>
      <c r="B935" s="19"/>
      <c r="C935" s="19"/>
      <c r="D935" s="19"/>
    </row>
    <row r="936" customFormat="false" ht="12.75" hidden="false" customHeight="true" outlineLevel="0" collapsed="false">
      <c r="A936" s="59" t="s">
        <v>687</v>
      </c>
      <c r="B936" s="19"/>
      <c r="C936" s="165" t="n">
        <f aca="false">(+C884-B884)/(C429-B429)</f>
        <v>-0.509720942449852</v>
      </c>
      <c r="D936" s="165" t="n">
        <f aca="false">(+D884-C884)/(D429-C429)</f>
        <v>1.39017768776103</v>
      </c>
      <c r="E936" s="165" t="n">
        <f aca="false">(+E884-D884)/(E429-D429)</f>
        <v>0.448528025267524</v>
      </c>
      <c r="F936" s="165" t="n">
        <f aca="false">(+F884-E884)/(F429-E429)</f>
        <v>0.507985868129484</v>
      </c>
      <c r="G936" s="165" t="n">
        <f aca="false">(+G884-F884)/(G429-F429)</f>
        <v>-0.0534022807710857</v>
      </c>
      <c r="H936" s="165" t="n">
        <f aca="false">(+H884-G884)/(H429-G429)</f>
        <v>-8.89365275928365</v>
      </c>
      <c r="I936" s="165" t="n">
        <f aca="false">(+I884-H884)/(I429-H429)</f>
        <v>-0.0280403011223305</v>
      </c>
      <c r="J936" s="165" t="n">
        <f aca="false">(+J884-I884)/(J429-I429)</f>
        <v>1.56123644887194</v>
      </c>
      <c r="K936" s="165" t="n">
        <f aca="false">(+K884-J884)/(K429-J429)</f>
        <v>-1.47575622775801</v>
      </c>
      <c r="L936" s="165" t="n">
        <f aca="false">(+L884-K884)/(L429-K429)</f>
        <v>-0.546202390052015</v>
      </c>
      <c r="M936" s="165" t="n">
        <f aca="false">(+M884-L884)/(M429-L429)</f>
        <v>-0.136982595364776</v>
      </c>
      <c r="N936" s="165" t="n">
        <f aca="false">(+N884-M884)/(N429-M429)</f>
        <v>0.397110569094944</v>
      </c>
      <c r="O936" s="165" t="n">
        <f aca="false">(+O884-N884)/(O429-N429)</f>
        <v>-0.130696780880903</v>
      </c>
      <c r="P936" s="165" t="n">
        <f aca="false">(+P884-O884)/(P429-O429)</f>
        <v>0.0511762840383112</v>
      </c>
      <c r="Q936" s="165" t="n">
        <f aca="false">(+Q884-P884)/(Q429-P429)</f>
        <v>-0.518520390502708</v>
      </c>
      <c r="R936" s="165" t="n">
        <f aca="false">(+R884-Q884)/(R429-Q429)</f>
        <v>-0.181439445934612</v>
      </c>
      <c r="S936" s="165" t="n">
        <f aca="false">(+S884-R884)/(S429-R429)</f>
        <v>0.120097969670261</v>
      </c>
      <c r="T936" s="165" t="n">
        <f aca="false">(+T884-S884)/(T429-S429)</f>
        <v>-0.0789351453254937</v>
      </c>
      <c r="U936" s="165" t="n">
        <f aca="false">(+U884-T884)/(U429-T429)</f>
        <v>-0.322253475819185</v>
      </c>
      <c r="V936" s="165" t="n">
        <f aca="false">(+V884-U884)/(V429-U429)</f>
        <v>-2.0217218426182</v>
      </c>
      <c r="W936" s="165" t="n">
        <f aca="false">(+W884-V884)/(W429-V429)</f>
        <v>0.112141325105558</v>
      </c>
      <c r="X936" s="165" t="n">
        <f aca="false">(+X884-W884)/(X429-W429)</f>
        <v>-0.0626886825732348</v>
      </c>
      <c r="Y936" s="165" t="n">
        <f aca="false">(+Y884-X884)/(Y429-X429)</f>
        <v>0.152506570414569</v>
      </c>
      <c r="Z936" s="165" t="n">
        <f aca="false">(+Z884-Y884)/(Z429-Y429)</f>
        <v>-0.886845850911004</v>
      </c>
      <c r="AA936" s="165" t="n">
        <f aca="false">(+AA884-Z884)/(AA429-Z429)</f>
        <v>-0.491156563725933</v>
      </c>
      <c r="AB936" s="165" t="n">
        <f aca="false">(+AB884-AA884)/(AB429-AA429)</f>
        <v>1.0237557219448</v>
      </c>
      <c r="AC936" s="165" t="n">
        <f aca="false">(+AC884-AB884)/(AC429-AB429)</f>
        <v>-0.0536990321162984</v>
      </c>
      <c r="AD936" s="165" t="n">
        <f aca="false">(+AD884-AC884)/(AD429-AC429)</f>
        <v>-0.0477556840549023</v>
      </c>
      <c r="AE936" s="165" t="n">
        <f aca="false">(+AE884-AD884)/(AE429-AD429)</f>
        <v>-0.174419404352162</v>
      </c>
      <c r="AF936" s="165" t="n">
        <f aca="false">(+AF884-AE884)/(AF429-AE429)</f>
        <v>-0.00391589838467492</v>
      </c>
      <c r="AG936" s="165" t="n">
        <f aca="false">(+AG884-AF884)/(AG429-AF429)</f>
        <v>0.516721051013085</v>
      </c>
      <c r="AH936" s="165" t="n">
        <f aca="false">(+AH884-AG884)/(AH429-AG429)</f>
        <v>-4.34435429628381</v>
      </c>
      <c r="AI936" s="165" t="n">
        <f aca="false">(+AI884-AH884)/(AI429-AH429)</f>
        <v>-0.106113487731852</v>
      </c>
      <c r="AJ936" s="165" t="n">
        <f aca="false">(+AJ884-AI884)/(AJ429-AI429)</f>
        <v>0.21652952738606</v>
      </c>
      <c r="AK936" s="165" t="n">
        <f aca="false">(+AK884-AJ884)/(AK429-AJ429)</f>
        <v>0.434513670656734</v>
      </c>
      <c r="AL936" s="165" t="n">
        <f aca="false">(+AL884-AK884)/(AL429-AK429)</f>
        <v>0.475794030554651</v>
      </c>
      <c r="AM936" s="157"/>
      <c r="AN936" s="157"/>
      <c r="AO936" s="157"/>
    </row>
    <row r="937" customFormat="false" ht="12.75" hidden="false" customHeight="true" outlineLevel="0" collapsed="false">
      <c r="A937" s="59" t="s">
        <v>688</v>
      </c>
      <c r="B937" s="19"/>
      <c r="C937" s="165" t="n">
        <f aca="false">+C893/(+C429-B429)</f>
        <v>-0.153020934528003</v>
      </c>
      <c r="D937" s="165" t="n">
        <f aca="false">+D893/(+D429-C429)</f>
        <v>1.25199550188596</v>
      </c>
      <c r="E937" s="165" t="n">
        <f aca="false">+E893/(+E429-D429)</f>
        <v>0.732406621725672</v>
      </c>
      <c r="F937" s="165" t="n">
        <f aca="false">+F893/(+F429-E429)</f>
        <v>0.516508806894923</v>
      </c>
      <c r="G937" s="165" t="n">
        <f aca="false">+G893/(+G429-F429)</f>
        <v>0.138635705626447</v>
      </c>
      <c r="H937" s="165" t="n">
        <f aca="false">+H893/(+H429-G429)</f>
        <v>-10.8626545159588</v>
      </c>
      <c r="I937" s="165" t="n">
        <f aca="false">+I893/(+I429-H429)</f>
        <v>0.0879472687353796</v>
      </c>
      <c r="J937" s="165" t="n">
        <f aca="false">+J893/(+J429-I429)</f>
        <v>16.4323176091411</v>
      </c>
      <c r="K937" s="165" t="n">
        <f aca="false">+K893/(+K429-J429)</f>
        <v>-5.96456109134049</v>
      </c>
      <c r="L937" s="165" t="n">
        <f aca="false">+L893/(+L429-K429)</f>
        <v>-0.343551333917485</v>
      </c>
      <c r="M937" s="165" t="n">
        <f aca="false">+M893/(+M429-L429)</f>
        <v>-0.19579599767173</v>
      </c>
      <c r="N937" s="165" t="n">
        <f aca="false">+N893/(+N429-M429)</f>
        <v>-0.0432885839497116</v>
      </c>
      <c r="O937" s="165" t="n">
        <f aca="false">+O893/(+O429-N429)</f>
        <v>0.0661608663292066</v>
      </c>
      <c r="P937" s="165" t="n">
        <f aca="false">+P893/(+P429-O429)</f>
        <v>0.106508293011797</v>
      </c>
      <c r="Q937" s="165" t="n">
        <f aca="false">+Q893/(+Q429-P429)</f>
        <v>-0.214900551690758</v>
      </c>
      <c r="R937" s="165" t="n">
        <f aca="false">+R893/(+R429-Q429)</f>
        <v>-0.263385637976363</v>
      </c>
      <c r="S937" s="165" t="n">
        <f aca="false">+S893/(+S429-R429)</f>
        <v>-0.0137116135526039</v>
      </c>
      <c r="T937" s="165" t="n">
        <f aca="false">+T893/(+T429-S429)</f>
        <v>0.044401428484655</v>
      </c>
      <c r="U937" s="165" t="n">
        <f aca="false">+U893/(+U429-T429)</f>
        <v>-0.0363972740893031</v>
      </c>
      <c r="V937" s="165" t="n">
        <f aca="false">+V893/(+V429-U429)</f>
        <v>-1.75056577742688</v>
      </c>
      <c r="W937" s="165" t="n">
        <f aca="false">+W893/(+W429-V429)</f>
        <v>0.213479535709568</v>
      </c>
      <c r="X937" s="165" t="n">
        <f aca="false">+X893/(+X429-W429)</f>
        <v>-0.172760294079063</v>
      </c>
      <c r="Y937" s="165" t="n">
        <f aca="false">+Y893/(+Y429-X429)</f>
        <v>-0.00229885106833064</v>
      </c>
      <c r="Z937" s="165" t="n">
        <f aca="false">+Z893/(+Z429-Y429)</f>
        <v>-0.0525538912933575</v>
      </c>
      <c r="AA937" s="165" t="n">
        <f aca="false">+AA893/(+AA429-Z429)</f>
        <v>-0.439340211590753</v>
      </c>
      <c r="AB937" s="165" t="n">
        <f aca="false">+AB893/(+AB429-AA429)</f>
        <v>0.849296725228304</v>
      </c>
      <c r="AC937" s="165" t="n">
        <f aca="false">+AC893/(+AC429-AB429)</f>
        <v>0.0325990290019067</v>
      </c>
      <c r="AD937" s="165" t="n">
        <f aca="false">+AD893/(+AD429-AC429)</f>
        <v>0.00104101967439733</v>
      </c>
      <c r="AE937" s="165" t="n">
        <f aca="false">+AE893/(+AE429-AD429)</f>
        <v>-0.235006424143525</v>
      </c>
      <c r="AF937" s="165" t="n">
        <f aca="false">+AF893/(+AF429-AE429)</f>
        <v>0.0916275461138744</v>
      </c>
      <c r="AG937" s="165" t="n">
        <f aca="false">+AG893/(+AG429-AF429)</f>
        <v>0.37940769467318</v>
      </c>
      <c r="AH937" s="165" t="n">
        <f aca="false">+AH893/(+AH429-AG429)</f>
        <v>-4.22576509164281</v>
      </c>
      <c r="AI937" s="165" t="n">
        <f aca="false">+AI893/(+AI429-AH429)</f>
        <v>-0.080941528844653</v>
      </c>
      <c r="AJ937" s="165" t="n">
        <f aca="false">+AJ893/(+AJ429-AI429)</f>
        <v>0.0939349718872052</v>
      </c>
      <c r="AK937" s="165" t="n">
        <f aca="false">+AK893/(+AK429-AJ429)</f>
        <v>-0.0107284763274209</v>
      </c>
      <c r="AL937" s="165" t="n">
        <f aca="false">+AL893/(+AL429-AK429)</f>
        <v>-0.0309189288886908</v>
      </c>
      <c r="AM937" s="157"/>
      <c r="AN937" s="157"/>
      <c r="AO937" s="157"/>
    </row>
    <row r="938" customFormat="false" ht="12.75" hidden="false" customHeight="true" outlineLevel="0" collapsed="false">
      <c r="A938" s="167"/>
      <c r="B938" s="19"/>
      <c r="C938" s="19"/>
      <c r="D938" s="19"/>
    </row>
    <row r="939" customFormat="false" ht="12.75" hidden="false" customHeight="true" outlineLevel="0" collapsed="false">
      <c r="A939" s="59" t="s">
        <v>689</v>
      </c>
      <c r="B939" s="165" t="n">
        <f aca="false">(+B648)/B849</f>
        <v>3.4072040681437</v>
      </c>
      <c r="C939" s="165" t="n">
        <f aca="false">(+C648)*2/(C849+B849)</f>
        <v>4.23993145148002</v>
      </c>
      <c r="D939" s="165" t="n">
        <f aca="false">(+D648)*2/(D849+C849)</f>
        <v>5.03411167076255</v>
      </c>
      <c r="E939" s="165" t="n">
        <f aca="false">(+E648)*2/(E849+D849)</f>
        <v>5.06193133222009</v>
      </c>
      <c r="F939" s="165" t="n">
        <f aca="false">(+F648)*2/(F849+E849)</f>
        <v>4.1525621747527</v>
      </c>
      <c r="G939" s="165" t="n">
        <f aca="false">(+G648)*2/(G849+F849)</f>
        <v>2.837814987547</v>
      </c>
      <c r="H939" s="165" t="n">
        <f aca="false">(+H648)*2/(H849+G849)</f>
        <v>3.46335148721474</v>
      </c>
      <c r="I939" s="165" t="n">
        <f aca="false">(+I648)*2/(I849+H849)</f>
        <v>5.28015529489883</v>
      </c>
      <c r="J939" s="165" t="n">
        <f aca="false">(+J648)*2/(J849+I849)</f>
        <v>4.75553682950133</v>
      </c>
      <c r="K939" s="165" t="n">
        <f aca="false">(+K648)*2/(K849+J849)</f>
        <v>4.19451147963997</v>
      </c>
      <c r="L939" s="165" t="n">
        <f aca="false">(+L648)*2/(L849+K849)</f>
        <v>5.46227266761848</v>
      </c>
      <c r="M939" s="165" t="n">
        <f aca="false">(+M648)*2/(M849+L849)</f>
        <v>7.70150545510831</v>
      </c>
      <c r="N939" s="165" t="n">
        <f aca="false">(+N648)*2/(N849+M849)</f>
        <v>8.16435756663585</v>
      </c>
      <c r="O939" s="165" t="n">
        <f aca="false">(+O648)*2/(O849+N849)</f>
        <v>7.49745757295113</v>
      </c>
      <c r="P939" s="165" t="n">
        <f aca="false">(+P648)*2/(P849+O849)</f>
        <v>7.70652476934759</v>
      </c>
      <c r="Q939" s="165" t="n">
        <f aca="false">(+Q648)*2/(Q849+P849)</f>
        <v>7.0870691101827</v>
      </c>
      <c r="R939" s="165" t="n">
        <f aca="false">(+R648)*2/(R849+Q849)</f>
        <v>4.85307653887243</v>
      </c>
      <c r="S939" s="165" t="n">
        <f aca="false">(+S648)*2/(S849+R849)</f>
        <v>4.79053163367668</v>
      </c>
      <c r="T939" s="165" t="n">
        <f aca="false">(+T648)*2/(T849+S849)</f>
        <v>5.62809766851945</v>
      </c>
      <c r="U939" s="165" t="n">
        <f aca="false">(+U648)*2/(U849+T849)</f>
        <v>5.58724942103087</v>
      </c>
      <c r="V939" s="165" t="n">
        <f aca="false">(+V648)*2/(V849+U849)</f>
        <v>6.02042947226392</v>
      </c>
      <c r="W939" s="165" t="n">
        <f aca="false">(+W648)*2/(W849+V849)</f>
        <v>6.73919827962561</v>
      </c>
      <c r="X939" s="165" t="n">
        <f aca="false">(+X648)*2/(X849+W849)</f>
        <v>10.4044079879553</v>
      </c>
      <c r="Y939" s="165" t="n">
        <f aca="false">(+Y648)*2/(Y849+X849)</f>
        <v>11.7334905397503</v>
      </c>
      <c r="Z939" s="165" t="n">
        <f aca="false">(+Z648)*2/(Z849+Y849)</f>
        <v>9.27219015047077</v>
      </c>
      <c r="AA939" s="165" t="n">
        <f aca="false">(+AA648)*2/(AA849+Z849)</f>
        <v>11.2968784218483</v>
      </c>
      <c r="AB939" s="165" t="n">
        <f aca="false">(+AB648)*2/(AB849+AA849)</f>
        <v>11.7960832851619</v>
      </c>
      <c r="AC939" s="165" t="n">
        <f aca="false">(+AC648)*2/(AC849+AB849)</f>
        <v>8.30751503440259</v>
      </c>
      <c r="AD939" s="165" t="n">
        <f aca="false">(+AD648)*2/(AD849+AC849)</f>
        <v>8.73671193891648</v>
      </c>
      <c r="AE939" s="165" t="n">
        <f aca="false">(+AE648)*2/(AE849+AD849)</f>
        <v>9.8133107606657</v>
      </c>
      <c r="AF939" s="165" t="n">
        <f aca="false">(+AF648)*2/(AF849+AE849)</f>
        <v>13.6971676481747</v>
      </c>
      <c r="AG939" s="165" t="n">
        <f aca="false">(+AG648)*2/(AG849+AF849)</f>
        <v>11.3191912384727</v>
      </c>
      <c r="AH939" s="165" t="n">
        <f aca="false">(+AH648)*2/(AH849+AG849)</f>
        <v>11.00264313168</v>
      </c>
      <c r="AI939" s="165" t="n">
        <f aca="false">(+AI648)*2/(AI849+AH849)</f>
        <v>11.8804160575105</v>
      </c>
      <c r="AJ939" s="165" t="n">
        <f aca="false">(+AJ648)*2/(AJ849+AI849)</f>
        <v>11.5730315608805</v>
      </c>
      <c r="AK939" s="165" t="n">
        <f aca="false">(+AK648)*2/(AK849+AJ849)</f>
        <v>11.4057215348467</v>
      </c>
      <c r="AL939" s="165" t="n">
        <f aca="false">(+AL648)*2/(AL849+AK849)</f>
        <v>11.333071527503</v>
      </c>
      <c r="AM939" s="157"/>
      <c r="AN939" s="157"/>
      <c r="AO939" s="157"/>
    </row>
    <row r="940" customFormat="false" ht="12.75" hidden="false" customHeight="true" outlineLevel="0" collapsed="false">
      <c r="A940" s="59" t="s">
        <v>690</v>
      </c>
      <c r="B940" s="19"/>
      <c r="C940" s="19"/>
      <c r="D940" s="19"/>
    </row>
    <row r="941" customFormat="false" ht="12.75" hidden="false" customHeight="true" outlineLevel="0" collapsed="false">
      <c r="A941" s="59" t="s">
        <v>691</v>
      </c>
      <c r="B941" s="156" t="n">
        <f aca="false">(+B849*365)/B648</f>
        <v>107.125958028941</v>
      </c>
      <c r="C941" s="156" t="n">
        <f aca="false">((+C849+B849)*365)/(C648*2)</f>
        <v>86.086297426481</v>
      </c>
      <c r="D941" s="156" t="n">
        <f aca="false">((+D849+C849)*365)/(D648*2)</f>
        <v>72.5053443132522</v>
      </c>
      <c r="E941" s="156" t="n">
        <f aca="false">((+E849+D849)*365)/(E648*2)</f>
        <v>72.1068651557381</v>
      </c>
      <c r="F941" s="156" t="n">
        <f aca="false">((+F849+E849)*365)/(F648*2)</f>
        <v>87.8975400342409</v>
      </c>
      <c r="G941" s="156" t="n">
        <f aca="false">((+G849+F849)*365)/(G648*2)</f>
        <v>128.62008326889</v>
      </c>
      <c r="H941" s="156" t="n">
        <f aca="false">((+H849+G849)*365)/(H648*2)</f>
        <v>105.389245459905</v>
      </c>
      <c r="I941" s="156" t="n">
        <f aca="false">((+I849+H849)*365)/(I648*2)</f>
        <v>69.1267547287156</v>
      </c>
      <c r="J941" s="156" t="n">
        <f aca="false">((+J849+I849)*365)/(J648*2)</f>
        <v>76.7526386791277</v>
      </c>
      <c r="K941" s="156" t="n">
        <f aca="false">((+K849+J849)*365)/(K648*2)</f>
        <v>87.018476828994</v>
      </c>
      <c r="L941" s="156" t="n">
        <f aca="false">((+L849+K849)*365)/(L648*2)</f>
        <v>66.822002893374</v>
      </c>
      <c r="M941" s="156" t="n">
        <f aca="false">((+M849+L849)*365)/(M648*2)</f>
        <v>47.3933313593773</v>
      </c>
      <c r="N941" s="156" t="n">
        <f aca="false">((+N849+M849)*365)/(N648*2)</f>
        <v>44.7065181823485</v>
      </c>
      <c r="O941" s="156" t="n">
        <f aca="false">((+O849+N849)*365)/(O648*2)</f>
        <v>48.6831697876924</v>
      </c>
      <c r="P941" s="156" t="n">
        <f aca="false">((+P849+O849)*365)/(P648*2)</f>
        <v>47.3624637465351</v>
      </c>
      <c r="Q941" s="156" t="n">
        <f aca="false">((+Q849+P849)*365)/(Q648*2)</f>
        <v>51.5022492832147</v>
      </c>
      <c r="R941" s="156" t="n">
        <f aca="false">((+R849+Q849)*365)/(R648*2)</f>
        <v>75.2100233895765</v>
      </c>
      <c r="S941" s="156" t="n">
        <f aca="false">((+S849+R849)*365)/(S648*2)</f>
        <v>76.1919611247544</v>
      </c>
      <c r="T941" s="156" t="n">
        <f aca="false">((+T849+S849)*365)/(T648*2)</f>
        <v>64.8531744645466</v>
      </c>
      <c r="U941" s="156" t="n">
        <f aca="false">((+U849+T849)*365)/(U648*2)</f>
        <v>65.3273144789473</v>
      </c>
      <c r="V941" s="156" t="n">
        <f aca="false">((+V849+U849)*365)/(V648*2)</f>
        <v>60.6269040575183</v>
      </c>
      <c r="W941" s="156" t="n">
        <f aca="false">((+W849+V849)*365)/(W648*2)</f>
        <v>54.1607450701506</v>
      </c>
      <c r="X941" s="156" t="n">
        <f aca="false">((+X849+W849)*365)/(X648*2)</f>
        <v>35.0812848191405</v>
      </c>
      <c r="Y941" s="156" t="n">
        <f aca="false">((+Y849+X849)*365)/(Y648*2)</f>
        <v>31.1075377581348</v>
      </c>
      <c r="Z941" s="156" t="n">
        <f aca="false">((+Z849+Y849)*365)/(Z648*2)</f>
        <v>39.365025315132</v>
      </c>
      <c r="AA941" s="156" t="n">
        <f aca="false">((+AA849+Z849)*365)/(AA648*2)</f>
        <v>32.309810406925</v>
      </c>
      <c r="AB941" s="156" t="n">
        <f aca="false">((+AB849+AA849)*365)/(AB648*2)</f>
        <v>30.9424739700786</v>
      </c>
      <c r="AC941" s="156" t="n">
        <f aca="false">((+AC849+AB849)*365)/(AC648*2)</f>
        <v>43.9361227140106</v>
      </c>
      <c r="AD941" s="156" t="n">
        <f aca="false">((+AD849+AC849)*365)/(AD648*2)</f>
        <v>41.7777308616709</v>
      </c>
      <c r="AE941" s="156" t="n">
        <f aca="false">((+AE849+AD849)*365)/(AE648*2)</f>
        <v>37.1943790329167</v>
      </c>
      <c r="AF941" s="156" t="n">
        <f aca="false">((+AF849+AE849)*365)/(AF648*2)</f>
        <v>26.6478449687837</v>
      </c>
      <c r="AG941" s="156" t="n">
        <f aca="false">((+AG849+AF849)*365)/(AG648*2)</f>
        <v>32.2461200902239</v>
      </c>
      <c r="AH941" s="156" t="n">
        <f aca="false">((+AH849+AG849)*365)/(AH648*2)</f>
        <v>33.1738470140009</v>
      </c>
      <c r="AI941" s="156" t="n">
        <f aca="false">((+AI849+AH849)*365)/(AI648*2)</f>
        <v>30.722829758917</v>
      </c>
      <c r="AJ941" s="156" t="n">
        <f aca="false">((+AJ849+AI849)*365)/(AJ648*2)</f>
        <v>31.5388408024206</v>
      </c>
      <c r="AK941" s="156" t="n">
        <f aca="false">((+AK849+AJ849)*365)/(AK648*2)</f>
        <v>32.0014826668223</v>
      </c>
      <c r="AL941" s="156" t="n">
        <f aca="false">((+AL849+AK849)*365)/(AL648*2)</f>
        <v>32.206626342578</v>
      </c>
      <c r="AM941" s="118"/>
      <c r="AN941" s="118"/>
      <c r="AO941" s="118"/>
    </row>
    <row r="942" customFormat="false" ht="12.75" hidden="false" customHeight="true" outlineLevel="0" collapsed="false">
      <c r="A942" s="167"/>
      <c r="B942" s="19"/>
      <c r="C942" s="19"/>
      <c r="D942" s="19"/>
      <c r="M942" s="41"/>
      <c r="N942" s="41"/>
      <c r="O942" s="41"/>
      <c r="P942" s="41"/>
      <c r="Q942" s="41"/>
      <c r="R942" s="41"/>
      <c r="S942" s="41"/>
      <c r="T942" s="41"/>
      <c r="U942" s="41"/>
      <c r="V942" s="41"/>
      <c r="W942" s="41"/>
      <c r="X942" s="41"/>
      <c r="Y942" s="41"/>
      <c r="Z942" s="41"/>
      <c r="AA942" s="180"/>
      <c r="AB942" s="41"/>
      <c r="AC942" s="41"/>
      <c r="AD942" s="41"/>
      <c r="AE942" s="41"/>
      <c r="AF942" s="180"/>
      <c r="AG942" s="180"/>
      <c r="AH942" s="41"/>
      <c r="AI942" s="41"/>
      <c r="AJ942" s="41"/>
      <c r="AK942" s="41"/>
      <c r="AL942" s="41"/>
      <c r="AM942" s="41"/>
      <c r="AN942" s="41"/>
      <c r="AO942" s="41"/>
    </row>
    <row r="943" customFormat="false" ht="12.75" hidden="false" customHeight="true" outlineLevel="0" collapsed="false">
      <c r="A943" s="59" t="s">
        <v>692</v>
      </c>
      <c r="B943" s="165" t="n">
        <f aca="false">+B436/B834</f>
        <v>2.92088455547293</v>
      </c>
      <c r="C943" s="165" t="n">
        <f aca="false">+C436/C834</f>
        <v>2.35264103370948</v>
      </c>
      <c r="D943" s="165" t="n">
        <f aca="false">+D436/D834</f>
        <v>2.56323342095992</v>
      </c>
      <c r="E943" s="165" t="n">
        <f aca="false">+E436/E834</f>
        <v>2.81393229039047</v>
      </c>
      <c r="F943" s="165" t="n">
        <f aca="false">+F436/F834</f>
        <v>2.95569642106617</v>
      </c>
      <c r="G943" s="165" t="n">
        <f aca="false">+G436/G834</f>
        <v>2.23161984602414</v>
      </c>
      <c r="H943" s="165" t="n">
        <f aca="false">+H436/H834</f>
        <v>2.14197207418654</v>
      </c>
      <c r="I943" s="165" t="n">
        <f aca="false">+I436/I834</f>
        <v>2.74754132331889</v>
      </c>
      <c r="J943" s="165" t="n">
        <f aca="false">+J436/J834</f>
        <v>2.71161610119682</v>
      </c>
      <c r="K943" s="165" t="n">
        <f aca="false">+K436/K834</f>
        <v>2.60483208131237</v>
      </c>
      <c r="L943" s="165" t="n">
        <f aca="false">+L436/L834</f>
        <v>3.27077113289737</v>
      </c>
      <c r="M943" s="165" t="n">
        <f aca="false">+M436/M834</f>
        <v>4.26367712517642</v>
      </c>
      <c r="N943" s="165" t="n">
        <f aca="false">+N436/N834</f>
        <v>4.91448119051973</v>
      </c>
      <c r="O943" s="165" t="n">
        <f aca="false">+O436/O834</f>
        <v>5.5805060994498</v>
      </c>
      <c r="P943" s="165" t="n">
        <f aca="false">+P436/P834</f>
        <v>5.37687792484934</v>
      </c>
      <c r="Q943" s="165" t="n">
        <f aca="false">+Q436/Q834</f>
        <v>4.34772811886344</v>
      </c>
      <c r="R943" s="165" t="n">
        <f aca="false">+R436/R834</f>
        <v>1.51603935474955</v>
      </c>
      <c r="S943" s="165" t="n">
        <f aca="false">+S436/S834</f>
        <v>1.63636460383765</v>
      </c>
      <c r="T943" s="165" t="n">
        <f aca="false">+T436/T834</f>
        <v>2.42271501187988</v>
      </c>
      <c r="U943" s="165" t="n">
        <f aca="false">+U436/U834</f>
        <v>2.49864952675121</v>
      </c>
      <c r="V943" s="165" t="n">
        <f aca="false">+V436/V834</f>
        <v>2.22726203891057</v>
      </c>
      <c r="W943" s="165" t="n">
        <f aca="false">+W436/W834</f>
        <v>1.80793224645129</v>
      </c>
      <c r="X943" s="165" t="n">
        <f aca="false">+X436/X834</f>
        <v>2.69470821129876</v>
      </c>
      <c r="Y943" s="165" t="n">
        <f aca="false">+Y436/Y834</f>
        <v>4.10715330911918</v>
      </c>
      <c r="Z943" s="165" t="n">
        <f aca="false">+Z436/Z834</f>
        <v>4.12073275538252</v>
      </c>
      <c r="AA943" s="165" t="n">
        <f aca="false">+AA436/AA834</f>
        <v>4.93436841824063</v>
      </c>
      <c r="AB943" s="165" t="n">
        <f aca="false">+AB436/AB834</f>
        <v>4.63238963478117</v>
      </c>
      <c r="AC943" s="165" t="n">
        <f aca="false">+AC436/AC834</f>
        <v>2.36119961447529</v>
      </c>
      <c r="AD943" s="165" t="n">
        <f aca="false">+AD436/AD834</f>
        <v>2.06156766690379</v>
      </c>
      <c r="AE943" s="165" t="n">
        <f aca="false">+AE436/AE834</f>
        <v>3.19172147275197</v>
      </c>
      <c r="AF943" s="165" t="n">
        <f aca="false">+AF436/AF834</f>
        <v>5.61534768754651</v>
      </c>
      <c r="AG943" s="165" t="n">
        <f aca="false">+AG436/AG834</f>
        <v>6.23516534949369</v>
      </c>
      <c r="AH943" s="165" t="n">
        <f aca="false">+AH436/AH834</f>
        <v>6.18041385909653</v>
      </c>
      <c r="AI943" s="165" t="n">
        <f aca="false">+AI436/AI834</f>
        <v>6.40739732330057</v>
      </c>
      <c r="AJ943" s="165" t="n">
        <f aca="false">+AJ436/AJ834</f>
        <v>6.76465653648254</v>
      </c>
      <c r="AK943" s="165" t="n">
        <f aca="false">+AK436/AK834</f>
        <v>7.24729121017391</v>
      </c>
      <c r="AL943" s="165" t="n">
        <f aca="false">+AL436/AL834</f>
        <v>7.76596921612705</v>
      </c>
      <c r="AM943" s="157"/>
      <c r="AN943" s="157"/>
      <c r="AO943" s="157"/>
    </row>
    <row r="944" customFormat="false" ht="12.75" hidden="false" customHeight="true" outlineLevel="0" collapsed="false">
      <c r="A944" s="167"/>
      <c r="B944" s="19"/>
      <c r="C944" s="19"/>
      <c r="D944" s="19"/>
      <c r="M944" s="115"/>
      <c r="N944" s="115"/>
      <c r="O944" s="115"/>
      <c r="P944" s="115"/>
      <c r="Q944" s="115"/>
      <c r="R944" s="115"/>
      <c r="S944" s="115"/>
      <c r="T944" s="115"/>
      <c r="U944" s="115"/>
      <c r="V944" s="115"/>
      <c r="W944" s="115"/>
      <c r="X944" s="115"/>
      <c r="Y944" s="115"/>
      <c r="Z944" s="115"/>
      <c r="AA944" s="291"/>
      <c r="AB944" s="115"/>
      <c r="AC944" s="115"/>
      <c r="AD944" s="115"/>
      <c r="AE944" s="115"/>
      <c r="AF944" s="291"/>
      <c r="AG944" s="291"/>
      <c r="AH944" s="115"/>
      <c r="AI944" s="115"/>
      <c r="AJ944" s="115"/>
      <c r="AK944" s="115"/>
      <c r="AL944" s="115"/>
      <c r="AM944" s="115"/>
      <c r="AN944" s="115"/>
      <c r="AO944" s="115"/>
    </row>
    <row r="945" customFormat="false" ht="12.75" hidden="false" customHeight="true" outlineLevel="0" collapsed="false">
      <c r="A945" s="59" t="s">
        <v>693</v>
      </c>
      <c r="B945" s="165" t="n">
        <f aca="false">B436/B890</f>
        <v>1.03188848598074</v>
      </c>
      <c r="C945" s="165" t="n">
        <f aca="false">C436/C890</f>
        <v>1.17859736921923</v>
      </c>
      <c r="D945" s="165" t="n">
        <f aca="false">D436/D890</f>
        <v>0.966912788899708</v>
      </c>
      <c r="E945" s="165" t="n">
        <f aca="false">E436/E890</f>
        <v>1.04361774662501</v>
      </c>
      <c r="F945" s="165" t="n">
        <f aca="false">F436/F890</f>
        <v>1.09160662162079</v>
      </c>
      <c r="G945" s="165" t="n">
        <f aca="false">G436/G890</f>
        <v>0.857078855861004</v>
      </c>
      <c r="H945" s="165" t="n">
        <f aca="false">H436/H890</f>
        <v>0.987148466470368</v>
      </c>
      <c r="I945" s="165" t="n">
        <f aca="false">I436/I890</f>
        <v>1.23405409153031</v>
      </c>
      <c r="J945" s="165" t="n">
        <f aca="false">J436/J890</f>
        <v>1.23435102719617</v>
      </c>
      <c r="K945" s="165" t="n">
        <f aca="false">K436/K890</f>
        <v>1.24397413731135</v>
      </c>
      <c r="L945" s="165" t="n">
        <f aca="false">L436/L890</f>
        <v>1.66566423210532</v>
      </c>
      <c r="M945" s="165" t="n">
        <f aca="false">M436/M890</f>
        <v>2.26858411373672</v>
      </c>
      <c r="N945" s="165" t="n">
        <f aca="false">N436/N890</f>
        <v>2.16810454959829</v>
      </c>
      <c r="O945" s="165" t="n">
        <f aca="false">O436/O890</f>
        <v>2.65014119532239</v>
      </c>
      <c r="P945" s="165" t="n">
        <f aca="false">P436/P890</f>
        <v>3.03991075791712</v>
      </c>
      <c r="Q945" s="165" t="n">
        <f aca="false">Q436/Q890</f>
        <v>2.71515723627885</v>
      </c>
      <c r="R945" s="165" t="n">
        <f aca="false">R436/R890</f>
        <v>1.16972534394405</v>
      </c>
      <c r="S945" s="165" t="n">
        <f aca="false">S436/S890</f>
        <v>1.24541088574836</v>
      </c>
      <c r="T945" s="165" t="n">
        <f aca="false">T436/T890</f>
        <v>1.71175335796023</v>
      </c>
      <c r="U945" s="165" t="n">
        <f aca="false">U436/U890</f>
        <v>1.73249726225701</v>
      </c>
      <c r="V945" s="165" t="n">
        <f aca="false">V436/V890</f>
        <v>1.41186272200576</v>
      </c>
      <c r="W945" s="165" t="n">
        <f aca="false">W436/W890</f>
        <v>1.09767108326465</v>
      </c>
      <c r="X945" s="165" t="n">
        <f aca="false">X436/X890</f>
        <v>1.59649050629326</v>
      </c>
      <c r="Y945" s="165" t="n">
        <f aca="false">Y436/Y890</f>
        <v>2.35835348330545</v>
      </c>
      <c r="Z945" s="165" t="n">
        <f aca="false">Z436/Z890</f>
        <v>2.47557439857069</v>
      </c>
      <c r="AA945" s="165" t="n">
        <f aca="false">AA436/AA890</f>
        <v>2.9716909771707</v>
      </c>
      <c r="AB945" s="165" t="n">
        <f aca="false">AB436/AB890</f>
        <v>2.97407722070956</v>
      </c>
      <c r="AC945" s="165" t="n">
        <f aca="false">AC436/AC890</f>
        <v>1.54331085033106</v>
      </c>
      <c r="AD945" s="165" t="n">
        <f aca="false">AD436/AD890</f>
        <v>1.33528545785043</v>
      </c>
      <c r="AE945" s="165" t="n">
        <f aca="false">AE436/AE890</f>
        <v>1.89329081458953</v>
      </c>
      <c r="AF945" s="165" t="n">
        <f aca="false">AF436/AF890</f>
        <v>2.79182723241424</v>
      </c>
      <c r="AG945" s="165" t="n">
        <f aca="false">AG436/AG890</f>
        <v>3.02223725886989</v>
      </c>
      <c r="AH945" s="165" t="n">
        <f aca="false">AH436/AH890</f>
        <v>2.64653891332259</v>
      </c>
      <c r="AI945" s="165" t="n">
        <f aca="false">AI436/AI890</f>
        <v>2.76520209769909</v>
      </c>
      <c r="AJ945" s="165" t="n">
        <f aca="false">AJ436/AJ890</f>
        <v>2.62567834207498</v>
      </c>
      <c r="AK945" s="165" t="n">
        <f aca="false">AK436/AK890</f>
        <v>2.51182923992565</v>
      </c>
      <c r="AL945" s="165" t="n">
        <f aca="false">AL436/AL890</f>
        <v>2.40834185120922</v>
      </c>
      <c r="AM945" s="157"/>
      <c r="AN945" s="157"/>
      <c r="AO945" s="157"/>
    </row>
    <row r="946" customFormat="false" ht="12.75" hidden="false" customHeight="true" outlineLevel="0" collapsed="false">
      <c r="A946" s="167"/>
      <c r="B946" s="19"/>
      <c r="C946" s="19"/>
      <c r="D946" s="19"/>
      <c r="M946" s="41"/>
      <c r="N946" s="41"/>
      <c r="O946" s="41"/>
      <c r="P946" s="41"/>
      <c r="Q946" s="41"/>
      <c r="R946" s="41"/>
      <c r="S946" s="41"/>
      <c r="T946" s="41"/>
      <c r="U946" s="41"/>
      <c r="V946" s="41"/>
      <c r="W946" s="41"/>
      <c r="X946" s="41"/>
      <c r="Y946" s="41"/>
      <c r="Z946" s="41"/>
      <c r="AA946" s="180"/>
      <c r="AB946" s="41"/>
      <c r="AC946" s="41"/>
      <c r="AD946" s="41"/>
      <c r="AE946" s="41"/>
      <c r="AF946" s="180"/>
      <c r="AG946" s="180"/>
      <c r="AH946" s="41"/>
      <c r="AI946" s="41"/>
      <c r="AJ946" s="41"/>
      <c r="AK946" s="41"/>
      <c r="AL946" s="41"/>
      <c r="AM946" s="41"/>
      <c r="AN946" s="41"/>
      <c r="AO946" s="41"/>
    </row>
    <row r="947" customFormat="false" ht="12.75" hidden="false" customHeight="true" outlineLevel="0" collapsed="false">
      <c r="A947" s="59" t="s">
        <v>694</v>
      </c>
      <c r="B947" s="165" t="n">
        <f aca="false">(+B854+B856)/B429*100</f>
        <v>7.50094714128054</v>
      </c>
      <c r="C947" s="165" t="n">
        <f aca="false">(+C854+C856)/C429*100</f>
        <v>4.58558422440135</v>
      </c>
      <c r="D947" s="165" t="n">
        <f aca="false">(+D854+D856)/D429*100</f>
        <v>3.47970076992818</v>
      </c>
      <c r="E947" s="165" t="n">
        <f aca="false">(+E854+E856)/E429*100</f>
        <v>3.80615618242032</v>
      </c>
      <c r="F947" s="165" t="n">
        <f aca="false">(+F854+F856)/F429*100</f>
        <v>7.01179791330344</v>
      </c>
      <c r="G947" s="165" t="n">
        <f aca="false">(+G854+G856)/G429*100</f>
        <v>12.5368385963133</v>
      </c>
      <c r="H947" s="165" t="n">
        <f aca="false">(+H854+H856)/H429*100</f>
        <v>5.65296798604809</v>
      </c>
      <c r="I947" s="165" t="n">
        <f aca="false">(+I854+I856)/I429*100</f>
        <v>5.01820317614039</v>
      </c>
      <c r="J947" s="165" t="n">
        <f aca="false">(+J854+J856)/J429*100</f>
        <v>7.62656248244139</v>
      </c>
      <c r="K947" s="165" t="n">
        <f aca="false">(+K854+K856)/K429*100</f>
        <v>12.339066218795</v>
      </c>
      <c r="L947" s="165" t="n">
        <f aca="false">(+L854+L856)/L429*100</f>
        <v>5.54448609887392</v>
      </c>
      <c r="M947" s="165" t="n">
        <f aca="false">(+M854+M856)/M429*100</f>
        <v>5.31924169715781</v>
      </c>
      <c r="N947" s="165" t="n">
        <f aca="false">(+N854+N856)/N429*100</f>
        <v>4.2818795599118</v>
      </c>
      <c r="O947" s="165" t="n">
        <f aca="false">(+O854+O856)/O429*100</f>
        <v>7.28261405080507</v>
      </c>
      <c r="P947" s="165" t="n">
        <f aca="false">(+P854+P856)/P429*100</f>
        <v>6.28369965338595</v>
      </c>
      <c r="Q947" s="165" t="n">
        <f aca="false">(+Q854+Q856)/Q429*100</f>
        <v>6.85235393182296</v>
      </c>
      <c r="R947" s="165" t="n">
        <f aca="false">(+R854+R856)/R429*100</f>
        <v>9.53002724118297</v>
      </c>
      <c r="S947" s="165" t="n">
        <f aca="false">(+S854+S856)/S429*100</f>
        <v>8.03823208456591</v>
      </c>
      <c r="T947" s="165" t="n">
        <f aca="false">(+T854+T856)/T429*100</f>
        <v>7.33404361360024</v>
      </c>
      <c r="U947" s="165" t="n">
        <f aca="false">(+U854+U856)/U429*100</f>
        <v>7.12037405394093</v>
      </c>
      <c r="V947" s="165" t="n">
        <f aca="false">(+V854+V856)/V429*100</f>
        <v>5.10264614862853</v>
      </c>
      <c r="W947" s="165" t="n">
        <f aca="false">(+W854+W856)/W429*100</f>
        <v>3.72320689503166</v>
      </c>
      <c r="X947" s="165" t="n">
        <f aca="false">(+X854+X856)/X429*100</f>
        <v>2.95807959752148</v>
      </c>
      <c r="Y947" s="165" t="n">
        <f aca="false">(+Y854+Y856)/Y429*100</f>
        <v>4.52114074104699</v>
      </c>
      <c r="Z947" s="165" t="n">
        <f aca="false">(+Z854+Z856)/Z429*100</f>
        <v>2.95432206078116</v>
      </c>
      <c r="AA947" s="165" t="n">
        <f aca="false">(+AA854+AA856)/AA429*100</f>
        <v>0.934063028127578</v>
      </c>
      <c r="AB947" s="165" t="n">
        <f aca="false">(+AB854+AB856)/AB429*100</f>
        <v>4.17516163794933</v>
      </c>
      <c r="AC947" s="165" t="n">
        <f aca="false">(+AC854+AC856)/AC429*100</f>
        <v>1.03004531819186</v>
      </c>
      <c r="AD947" s="165" t="n">
        <f aca="false">(+AD854+AD856)/AD429*100</f>
        <v>3.67908821592942</v>
      </c>
      <c r="AE947" s="165" t="n">
        <f aca="false">(+AE854+AE856)/AE429*100</f>
        <v>2.74043162968826</v>
      </c>
      <c r="AF947" s="165" t="n">
        <f aca="false">(+AF854+AF856)/AF429*100</f>
        <v>2.99211865483943</v>
      </c>
      <c r="AG947" s="165" t="n">
        <f aca="false">(+AG854+AG856)/AG429*100</f>
        <v>3.90580962603515</v>
      </c>
      <c r="AH947" s="165" t="n">
        <f aca="false">(+AH854+AH856)/AH429*100</f>
        <v>3.28767123287671</v>
      </c>
      <c r="AI947" s="165" t="n">
        <f aca="false">(+AI854+AI856)/AI429*100</f>
        <v>3.28767123287671</v>
      </c>
      <c r="AJ947" s="165" t="n">
        <f aca="false">(+AJ854+AJ856)/AJ429*100</f>
        <v>3.28767123287671</v>
      </c>
      <c r="AK947" s="165" t="n">
        <f aca="false">(+AK854+AK856)/AK429*100</f>
        <v>3.28767123287671</v>
      </c>
      <c r="AL947" s="165" t="n">
        <f aca="false">(+AL854+AL856)/AL429*100</f>
        <v>3.28767123287671</v>
      </c>
      <c r="AM947" s="157"/>
      <c r="AN947" s="157"/>
      <c r="AO947" s="157"/>
    </row>
    <row r="948" customFormat="false" ht="12.75" hidden="false" customHeight="true" outlineLevel="0" collapsed="false">
      <c r="A948" s="167"/>
      <c r="B948" s="19"/>
      <c r="C948" s="19"/>
      <c r="D948" s="19"/>
      <c r="M948" s="41"/>
      <c r="N948" s="41"/>
      <c r="O948" s="41"/>
      <c r="P948" s="41"/>
      <c r="Q948" s="41"/>
      <c r="R948" s="41"/>
      <c r="S948" s="41"/>
      <c r="T948" s="41"/>
      <c r="U948" s="41"/>
      <c r="V948" s="41"/>
      <c r="W948" s="41"/>
      <c r="X948" s="41"/>
      <c r="Y948" s="41"/>
      <c r="Z948" s="41"/>
    </row>
    <row r="949" customFormat="false" ht="12.75" hidden="false" customHeight="true" outlineLevel="0" collapsed="false">
      <c r="A949" s="73" t="s">
        <v>695</v>
      </c>
      <c r="B949" s="298" t="n">
        <f aca="false">(+B854+B856)/B429*365</f>
        <v>27.378457065674</v>
      </c>
      <c r="C949" s="298" t="n">
        <f aca="false">(+C854+C856)/C429*365</f>
        <v>16.7373824190649</v>
      </c>
      <c r="D949" s="298" t="n">
        <f aca="false">(+D854+D856)/D429*365</f>
        <v>12.7009078102379</v>
      </c>
      <c r="E949" s="298" t="n">
        <f aca="false">(+E854+E856)/E429*365</f>
        <v>13.8924700658342</v>
      </c>
      <c r="F949" s="298" t="n">
        <f aca="false">(+F854+F856)/F429*365</f>
        <v>25.5930623835575</v>
      </c>
      <c r="G949" s="298" t="n">
        <f aca="false">(+G854+G856)/G429*365</f>
        <v>45.7594608765434</v>
      </c>
      <c r="H949" s="298" t="n">
        <f aca="false">(+H854+H856)/H429*365</f>
        <v>20.6333331490755</v>
      </c>
      <c r="I949" s="298" t="n">
        <f aca="false">(+I854+I856)/I429*365</f>
        <v>18.3164415929124</v>
      </c>
      <c r="J949" s="298" t="n">
        <f aca="false">(+J854+J856)/J429*365</f>
        <v>27.8369530609111</v>
      </c>
      <c r="K949" s="298" t="n">
        <f aca="false">(+K854+K856)/K429*365</f>
        <v>45.0375916986019</v>
      </c>
      <c r="L949" s="298" t="n">
        <f aca="false">(+L854+L856)/L429*365</f>
        <v>20.2373742608898</v>
      </c>
      <c r="M949" s="298" t="n">
        <f aca="false">(+M854+M856)/M429*365</f>
        <v>19.415232194626</v>
      </c>
      <c r="N949" s="298" t="n">
        <f aca="false">(+N854+N856)/N429*365</f>
        <v>15.6288603936781</v>
      </c>
      <c r="O949" s="298" t="n">
        <f aca="false">(+O854+O856)/O429*365</f>
        <v>26.5815412854385</v>
      </c>
      <c r="P949" s="298" t="n">
        <f aca="false">(+P854+P856)/P429*365</f>
        <v>22.9355037348587</v>
      </c>
      <c r="Q949" s="298" t="n">
        <f aca="false">(+Q854+Q856)/Q429*365</f>
        <v>25.0110918511538</v>
      </c>
      <c r="R949" s="298" t="n">
        <f aca="false">(+R854+R856)/R429*365</f>
        <v>34.7845994303178</v>
      </c>
      <c r="S949" s="298" t="n">
        <f aca="false">(+S854+S856)/S429*365</f>
        <v>29.3395471086656</v>
      </c>
      <c r="T949" s="298" t="n">
        <f aca="false">(+T854+T856)/T429*365</f>
        <v>26.7692591896409</v>
      </c>
      <c r="U949" s="298" t="n">
        <f aca="false">(+U854+U856)/U429*365</f>
        <v>25.9893652968844</v>
      </c>
      <c r="V949" s="298" t="n">
        <f aca="false">(+V854+V856)/V429*365</f>
        <v>18.6246584424941</v>
      </c>
      <c r="W949" s="298" t="n">
        <f aca="false">(+W854+W856)/W429*365</f>
        <v>13.5897051668656</v>
      </c>
      <c r="X949" s="298" t="n">
        <f aca="false">(+X854+X856)/X429*365</f>
        <v>10.7969905309534</v>
      </c>
      <c r="Y949" s="298" t="n">
        <f aca="false">(+Y854+Y856)/Y429*365</f>
        <v>16.5021637048215</v>
      </c>
      <c r="Z949" s="298" t="n">
        <f aca="false">(+Z854+Z856)/Z429*365</f>
        <v>10.7832755218512</v>
      </c>
      <c r="AA949" s="298" t="n">
        <f aca="false">(+AA854+AA856)/AA429*365</f>
        <v>3.40933005266566</v>
      </c>
      <c r="AB949" s="298" t="n">
        <f aca="false">(+AB854+AB856)/AB429*365</f>
        <v>15.2393399785151</v>
      </c>
      <c r="AC949" s="298" t="n">
        <f aca="false">(+AC854+AC856)/AC429*365</f>
        <v>3.75966541140028</v>
      </c>
      <c r="AD949" s="298" t="n">
        <f aca="false">(+AD854+AD856)/AD429*365</f>
        <v>13.4286719881424</v>
      </c>
      <c r="AE949" s="298" t="n">
        <f aca="false">(+AE854+AE856)/AE429*365</f>
        <v>10.0025754483621</v>
      </c>
      <c r="AF949" s="298" t="n">
        <f aca="false">(+AF854+AF856)/AF429*365</f>
        <v>10.9212330901639</v>
      </c>
      <c r="AG949" s="298" t="n">
        <f aca="false">(+AG854+AG856)/AG429*365</f>
        <v>14.2562051350283</v>
      </c>
      <c r="AH949" s="273" t="n">
        <v>12</v>
      </c>
      <c r="AI949" s="273" t="n">
        <v>12</v>
      </c>
      <c r="AJ949" s="273" t="n">
        <v>12</v>
      </c>
      <c r="AK949" s="273" t="n">
        <v>12</v>
      </c>
      <c r="AL949" s="273" t="n">
        <v>12</v>
      </c>
      <c r="AM949" s="251"/>
      <c r="AN949" s="251"/>
      <c r="AO949" s="251"/>
    </row>
    <row r="950" customFormat="false" ht="12.75" hidden="false" customHeight="true" outlineLevel="0" collapsed="false">
      <c r="A950" s="167"/>
      <c r="B950" s="19"/>
      <c r="C950" s="19"/>
      <c r="D950" s="19"/>
      <c r="G950" s="74"/>
      <c r="H950" s="74"/>
      <c r="I950" s="74"/>
      <c r="J950" s="74"/>
      <c r="K950" s="74"/>
      <c r="L950" s="74"/>
      <c r="M950" s="41"/>
      <c r="N950" s="41"/>
      <c r="O950" s="41"/>
      <c r="P950" s="41"/>
      <c r="Q950" s="41"/>
      <c r="R950" s="41"/>
      <c r="S950" s="41"/>
      <c r="T950" s="41"/>
      <c r="U950" s="41"/>
      <c r="V950" s="41"/>
      <c r="W950" s="41"/>
      <c r="X950" s="41"/>
      <c r="Y950" s="41"/>
      <c r="Z950" s="41"/>
    </row>
    <row r="951" customFormat="false" ht="12.75" hidden="false" customHeight="true" outlineLevel="0" collapsed="false">
      <c r="A951" s="167"/>
      <c r="B951" s="19"/>
      <c r="C951" s="19"/>
      <c r="D951" s="19"/>
      <c r="M951" s="41"/>
      <c r="N951" s="41"/>
      <c r="O951" s="41"/>
      <c r="P951" s="41"/>
      <c r="Q951" s="41"/>
      <c r="R951" s="41"/>
      <c r="S951" s="41"/>
      <c r="T951" s="41"/>
      <c r="U951" s="41"/>
      <c r="V951" s="41"/>
      <c r="W951" s="41"/>
      <c r="X951" s="41"/>
      <c r="Y951" s="41"/>
      <c r="Z951" s="41"/>
    </row>
    <row r="952" customFormat="false" ht="12.75" hidden="false" customHeight="true" outlineLevel="0" collapsed="false">
      <c r="A952" s="59" t="s">
        <v>696</v>
      </c>
      <c r="B952" s="165" t="n">
        <f aca="false">+B850/B565*100</f>
        <v>25.4064365455662</v>
      </c>
      <c r="C952" s="165" t="n">
        <f aca="false">+C850/C565*100</f>
        <v>20.910704067115</v>
      </c>
      <c r="D952" s="165" t="n">
        <f aca="false">+D850/D565*100</f>
        <v>19.7440844699068</v>
      </c>
      <c r="E952" s="165" t="n">
        <f aca="false">+E850/E565*100</f>
        <v>20.9786191277021</v>
      </c>
      <c r="F952" s="165" t="n">
        <f aca="false">+F850/F565*100</f>
        <v>22.5444406603795</v>
      </c>
      <c r="G952" s="165" t="n">
        <f aca="false">+G850/G565*100</f>
        <v>22.6170598152009</v>
      </c>
      <c r="H952" s="165" t="n">
        <f aca="false">+H850/H565*100</f>
        <v>16.9724863822593</v>
      </c>
      <c r="I952" s="165" t="n">
        <f aca="false">+I850/I565*100</f>
        <v>13.9460354687009</v>
      </c>
      <c r="J952" s="165" t="n">
        <f aca="false">+J850/J565*100</f>
        <v>13.1917297046105</v>
      </c>
      <c r="K952" s="165" t="n">
        <f aca="false">+K850/K565*100</f>
        <v>11.7088425004663</v>
      </c>
      <c r="L952" s="165" t="n">
        <f aca="false">+L850/L565*100</f>
        <v>8.22932874878948</v>
      </c>
      <c r="M952" s="165" t="n">
        <f aca="false">+M850/M565*100</f>
        <v>8.00902987064133</v>
      </c>
      <c r="N952" s="165" t="n">
        <f aca="false">+N850/N565*100</f>
        <v>7.60076670425926</v>
      </c>
      <c r="O952" s="165" t="n">
        <f aca="false">+O850/O565*100</f>
        <v>7.05325591862407</v>
      </c>
      <c r="P952" s="165" t="n">
        <f aca="false">+P850/P565*100</f>
        <v>7.05321111933363</v>
      </c>
      <c r="Q952" s="165" t="n">
        <f aca="false">+Q850/Q565*100</f>
        <v>7.33570890628247</v>
      </c>
      <c r="R952" s="165" t="n">
        <f aca="false">+R850/R565*100</f>
        <v>11.9613940516347</v>
      </c>
      <c r="S952" s="165" t="n">
        <f aca="false">+S850/S565*100</f>
        <v>11.2287763645383</v>
      </c>
      <c r="T952" s="165" t="n">
        <f aca="false">+T850/T565*100</f>
        <v>11.6750189251453</v>
      </c>
      <c r="U952" s="165" t="n">
        <f aca="false">+U850/U565*100</f>
        <v>8.34608124345428</v>
      </c>
      <c r="V952" s="165" t="n">
        <f aca="false">+V850/V565*100</f>
        <v>8.12075625893578</v>
      </c>
      <c r="W952" s="165" t="n">
        <f aca="false">+W850/W565*100</f>
        <v>6.64950408215313</v>
      </c>
      <c r="X952" s="165" t="n">
        <f aca="false">+X850/X565*100</f>
        <v>6.39103052301016</v>
      </c>
      <c r="Y952" s="165" t="n">
        <f aca="false">+Y850/Y565*100</f>
        <v>2.93817962636422</v>
      </c>
      <c r="Z952" s="165" t="n">
        <f aca="false">+Z850/Z565*100</f>
        <v>3.75885544220463</v>
      </c>
      <c r="AA952" s="165" t="n">
        <f aca="false">+AA850/AA565*100</f>
        <v>4.43201936116651</v>
      </c>
      <c r="AB952" s="165" t="n">
        <f aca="false">+AB850/AB565*100</f>
        <v>3.94863142705578</v>
      </c>
      <c r="AC952" s="165" t="n">
        <f aca="false">+AC850/AC565*100</f>
        <v>4.55633572234147</v>
      </c>
      <c r="AD952" s="165" t="n">
        <f aca="false">+AD850/AD565*100</f>
        <v>8.87031923187215</v>
      </c>
      <c r="AE952" s="165" t="n">
        <f aca="false">+AE850/AE565*100</f>
        <v>5.33891929333867</v>
      </c>
      <c r="AF952" s="165" t="n">
        <f aca="false">+AF850/AF565*100</f>
        <v>3.7219448349411</v>
      </c>
      <c r="AG952" s="165" t="n">
        <f aca="false">+AG850/AG565*100</f>
        <v>3.23670706624138</v>
      </c>
      <c r="AH952" s="165" t="n">
        <f aca="false">+AH850/AH565*100</f>
        <v>3.56164383561644</v>
      </c>
      <c r="AI952" s="165" t="n">
        <f aca="false">+AI850/AI565*100</f>
        <v>3.56164383561644</v>
      </c>
      <c r="AJ952" s="165" t="n">
        <f aca="false">+AJ850/AJ565*100</f>
        <v>3.56164383561644</v>
      </c>
      <c r="AK952" s="165" t="n">
        <f aca="false">+AK850/AK565*100</f>
        <v>3.56164383561644</v>
      </c>
      <c r="AL952" s="165" t="n">
        <f aca="false">+AL850/AL565*100</f>
        <v>3.56164383561644</v>
      </c>
    </row>
    <row r="953" customFormat="false" ht="12.75" hidden="false" customHeight="true" outlineLevel="0" collapsed="false">
      <c r="A953" s="167"/>
      <c r="B953" s="19"/>
      <c r="C953" s="19"/>
      <c r="D953" s="19"/>
      <c r="M953" s="41"/>
      <c r="N953" s="41"/>
      <c r="O953" s="41"/>
      <c r="P953" s="41"/>
      <c r="Q953" s="41"/>
      <c r="R953" s="41"/>
      <c r="S953" s="41"/>
      <c r="T953" s="41"/>
      <c r="U953" s="41"/>
      <c r="V953" s="41"/>
      <c r="W953" s="41"/>
      <c r="X953" s="41"/>
      <c r="Y953" s="41"/>
      <c r="Z953" s="41"/>
    </row>
    <row r="954" customFormat="false" ht="12.75" hidden="false" customHeight="true" outlineLevel="0" collapsed="false">
      <c r="A954" s="59" t="s">
        <v>697</v>
      </c>
      <c r="B954" s="298" t="n">
        <f aca="false">+B850/B565*365</f>
        <v>92.7334933913166</v>
      </c>
      <c r="C954" s="298" t="n">
        <f aca="false">+C850/C565*365</f>
        <v>76.3240698449698</v>
      </c>
      <c r="D954" s="298" t="n">
        <f aca="false">+D850/D565*365</f>
        <v>72.0659083151598</v>
      </c>
      <c r="E954" s="298" t="n">
        <f aca="false">+E850/E565*365</f>
        <v>76.5719598161128</v>
      </c>
      <c r="F954" s="298" t="n">
        <f aca="false">+F850/F565*365</f>
        <v>82.287208410385</v>
      </c>
      <c r="G954" s="298" t="n">
        <f aca="false">+G850/G565*365</f>
        <v>82.5522683254832</v>
      </c>
      <c r="H954" s="298" t="n">
        <f aca="false">+H850/H565*365</f>
        <v>61.9495752952464</v>
      </c>
      <c r="I954" s="298" t="n">
        <f aca="false">+I850/I565*365</f>
        <v>50.9030294607582</v>
      </c>
      <c r="J954" s="298" t="n">
        <f aca="false">+J850/J565*365</f>
        <v>48.1498134218284</v>
      </c>
      <c r="K954" s="298" t="n">
        <f aca="false">+K850/K565*365</f>
        <v>42.7372751267019</v>
      </c>
      <c r="L954" s="298" t="n">
        <f aca="false">+L850/L565*365</f>
        <v>30.0370499330816</v>
      </c>
      <c r="M954" s="298" t="n">
        <f aca="false">+M850/M565*365</f>
        <v>29.2329590278408</v>
      </c>
      <c r="N954" s="298" t="n">
        <f aca="false">+N850/N565*365</f>
        <v>27.7427984705463</v>
      </c>
      <c r="O954" s="298" t="n">
        <f aca="false">+O850/O565*365</f>
        <v>25.7443841029779</v>
      </c>
      <c r="P954" s="298" t="n">
        <f aca="false">+P850/P565*365</f>
        <v>25.7442205855678</v>
      </c>
      <c r="Q954" s="298" t="n">
        <f aca="false">+Q850/Q565*365</f>
        <v>26.775337507931</v>
      </c>
      <c r="R954" s="298" t="n">
        <f aca="false">+R850/R565*365</f>
        <v>43.6590882884665</v>
      </c>
      <c r="S954" s="298" t="n">
        <f aca="false">+S850/S565*365</f>
        <v>40.9850337305648</v>
      </c>
      <c r="T954" s="298" t="n">
        <f aca="false">+T850/T565*365</f>
        <v>42.6138190767804</v>
      </c>
      <c r="U954" s="298" t="n">
        <f aca="false">+U850/U565*365</f>
        <v>30.4631965386081</v>
      </c>
      <c r="V954" s="298" t="n">
        <f aca="false">+V850/V565*365</f>
        <v>29.6407603451156</v>
      </c>
      <c r="W954" s="298" t="n">
        <f aca="false">+W850/W565*365</f>
        <v>24.2706898998589</v>
      </c>
      <c r="X954" s="298" t="n">
        <f aca="false">+X850/X565*365</f>
        <v>23.3272614089871</v>
      </c>
      <c r="Y954" s="298" t="n">
        <f aca="false">+Y850/Y565*365</f>
        <v>10.7243556362294</v>
      </c>
      <c r="Z954" s="298" t="n">
        <f aca="false">+Z850/Z565*365</f>
        <v>13.7198223640469</v>
      </c>
      <c r="AA954" s="298" t="n">
        <f aca="false">+AA850/AA565*365</f>
        <v>16.1768706682577</v>
      </c>
      <c r="AB954" s="298" t="n">
        <f aca="false">+AB850/AB565*365</f>
        <v>14.4125047087536</v>
      </c>
      <c r="AC954" s="298" t="n">
        <f aca="false">+AC850/AC565*365</f>
        <v>16.6306253865464</v>
      </c>
      <c r="AD954" s="298" t="n">
        <f aca="false">+AD850/AD565*365</f>
        <v>32.3766651963334</v>
      </c>
      <c r="AE954" s="298" t="n">
        <f aca="false">+AE850/AE565*365</f>
        <v>19.4870554206862</v>
      </c>
      <c r="AF954" s="298" t="n">
        <f aca="false">+AF850/AF565*365</f>
        <v>13.585098647535</v>
      </c>
      <c r="AG954" s="298" t="n">
        <f aca="false">+AG850/AG565*365</f>
        <v>11.813980791781</v>
      </c>
      <c r="AH954" s="273" t="n">
        <v>13</v>
      </c>
      <c r="AI954" s="273" t="n">
        <v>13</v>
      </c>
      <c r="AJ954" s="273" t="n">
        <v>13</v>
      </c>
      <c r="AK954" s="273" t="n">
        <v>13</v>
      </c>
      <c r="AL954" s="273" t="n">
        <v>13</v>
      </c>
      <c r="AM954" s="251"/>
      <c r="AN954" s="251"/>
      <c r="AO954" s="251"/>
    </row>
    <row r="955" customFormat="false" ht="12.75" hidden="false" customHeight="true" outlineLevel="0" collapsed="false">
      <c r="A955" s="167"/>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ustomFormat="false" ht="12.75" hidden="false" customHeight="true" outlineLevel="0" collapsed="false">
      <c r="A956" s="59" t="s">
        <v>698</v>
      </c>
      <c r="B956" s="165" t="n">
        <f aca="false">+B859/B429*100</f>
        <v>32.716833583159</v>
      </c>
      <c r="C956" s="165" t="n">
        <f aca="false">+C859/C429*100</f>
        <v>26.1895974775159</v>
      </c>
      <c r="D956" s="165" t="n">
        <f aca="false">+D859/D429*100</f>
        <v>31.028925313454</v>
      </c>
      <c r="E956" s="165" t="n">
        <f aca="false">+E859/E429*100</f>
        <v>34.6541532586294</v>
      </c>
      <c r="F956" s="165" t="n">
        <f aca="false">+F859/F429*100</f>
        <v>41.7713994868883</v>
      </c>
      <c r="G956" s="165" t="n">
        <f aca="false">+G859/G429*100</f>
        <v>43.6839035944822</v>
      </c>
      <c r="H956" s="165" t="n">
        <f aca="false">+H859/H429*100</f>
        <v>36.1920429471159</v>
      </c>
      <c r="I956" s="165" t="n">
        <f aca="false">+I859/I429*100</f>
        <v>28.2531452039563</v>
      </c>
      <c r="J956" s="165" t="n">
        <f aca="false">+J859/J429*100</f>
        <v>25.0203960848507</v>
      </c>
      <c r="K956" s="165" t="n">
        <f aca="false">+K859/K429*100</f>
        <v>18.276529830461</v>
      </c>
      <c r="L956" s="165" t="n">
        <f aca="false">+L859/L429*100</f>
        <v>16.5769912704857</v>
      </c>
      <c r="M956" s="165" t="n">
        <f aca="false">+M859/M429*100</f>
        <v>10.1925308029433</v>
      </c>
      <c r="N956" s="165" t="n">
        <f aca="false">+N859/N429*100</f>
        <v>9.38691418746533</v>
      </c>
      <c r="O956" s="165" t="n">
        <f aca="false">+O859/O429*100</f>
        <v>6.87696826530758</v>
      </c>
      <c r="P956" s="165" t="n">
        <f aca="false">+P859/P429*100</f>
        <v>6.16931005551229</v>
      </c>
      <c r="Q956" s="165" t="n">
        <f aca="false">+Q859/Q429*100</f>
        <v>4.11724037372472</v>
      </c>
      <c r="R956" s="165" t="n">
        <f aca="false">+R859/R429*100</f>
        <v>14.1210961119478</v>
      </c>
      <c r="S956" s="165" t="n">
        <f aca="false">+S859/S429*100</f>
        <v>12.719936021825</v>
      </c>
      <c r="T956" s="165" t="n">
        <f aca="false">+T859/T429*100</f>
        <v>9.60317605197655</v>
      </c>
      <c r="U956" s="165" t="n">
        <f aca="false">+U859/U429*100</f>
        <v>8.71124955729393</v>
      </c>
      <c r="V956" s="165" t="n">
        <f aca="false">+V859/V429*100</f>
        <v>10.1764644684374</v>
      </c>
      <c r="W956" s="165" t="n">
        <f aca="false">+W859/W429*100</f>
        <v>11.8975439060929</v>
      </c>
      <c r="X956" s="165" t="n">
        <f aca="false">+X859/X429*100</f>
        <v>8.47489931709707</v>
      </c>
      <c r="Y956" s="165" t="n">
        <f aca="false">+Y859/Y429*100</f>
        <v>6.12346647169598</v>
      </c>
      <c r="Z956" s="165" t="n">
        <f aca="false">+Z859/Z429*100</f>
        <v>3.94618411635534</v>
      </c>
      <c r="AA956" s="165" t="n">
        <f aca="false">+AA859/AA429*100</f>
        <v>3.64139152681739</v>
      </c>
      <c r="AB956" s="165" t="n">
        <f aca="false">+AB859/AB429*100</f>
        <v>8.50950740544133</v>
      </c>
      <c r="AC956" s="165" t="n">
        <f aca="false">+AC859/AC429*100</f>
        <v>6.59683024269415</v>
      </c>
      <c r="AD956" s="165" t="n">
        <f aca="false">+AD859/AD429*100</f>
        <v>18.0550863131738</v>
      </c>
      <c r="AE956" s="165" t="n">
        <f aca="false">+AE859/AE429*100</f>
        <v>14.1435986355806</v>
      </c>
      <c r="AF956" s="165" t="n">
        <f aca="false">+AF859/AF429*100</f>
        <v>11.0576440229617</v>
      </c>
      <c r="AG956" s="165" t="n">
        <f aca="false">+AG859/AG429*100</f>
        <v>9.13425556930139</v>
      </c>
      <c r="AH956" s="165" t="n">
        <f aca="false">+AH859/AH429*100</f>
        <v>7.29889623697271</v>
      </c>
      <c r="AI956" s="165" t="n">
        <f aca="false">+AI859/AI429*100</f>
        <v>6.57031796965166</v>
      </c>
      <c r="AJ956" s="165" t="n">
        <f aca="false">+AJ859/AJ429*100</f>
        <v>6.84931506849315</v>
      </c>
      <c r="AK956" s="165" t="n">
        <f aca="false">+AK859/AK429*100</f>
        <v>6.84931506849315</v>
      </c>
      <c r="AL956" s="165" t="n">
        <f aca="false">+AL859/AL429*100</f>
        <v>6.84931506849315</v>
      </c>
    </row>
    <row r="957" customFormat="false" ht="12.75" hidden="false" customHeight="true" outlineLevel="0" collapsed="false">
      <c r="A957" s="167"/>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ustomFormat="false" ht="12.75" hidden="false" customHeight="true" outlineLevel="0" collapsed="false">
      <c r="A958" s="59" t="s">
        <v>699</v>
      </c>
      <c r="B958" s="156" t="n">
        <f aca="false">(+B859*365)/B429</f>
        <v>119.41644257853</v>
      </c>
      <c r="C958" s="156" t="n">
        <f aca="false">(+C859*365)/C429</f>
        <v>95.5920307929329</v>
      </c>
      <c r="D958" s="156" t="n">
        <f aca="false">(+D859*365)/D429</f>
        <v>113.255577394107</v>
      </c>
      <c r="E958" s="156" t="n">
        <f aca="false">(+E859*365)/E429</f>
        <v>126.487659393997</v>
      </c>
      <c r="F958" s="156" t="n">
        <f aca="false">(+F859*365)/F429</f>
        <v>152.465608127142</v>
      </c>
      <c r="G958" s="156" t="n">
        <f aca="false">(+G859*365)/G429</f>
        <v>159.44624811986</v>
      </c>
      <c r="H958" s="156" t="n">
        <f aca="false">(+H859*365)/H429</f>
        <v>132.100956756973</v>
      </c>
      <c r="I958" s="156" t="n">
        <f aca="false">(+I859*365)/I429</f>
        <v>103.12397999444</v>
      </c>
      <c r="J958" s="156" t="n">
        <f aca="false">(+J859*365)/J429</f>
        <v>91.3244457097051</v>
      </c>
      <c r="K958" s="156" t="n">
        <f aca="false">(+K859*365)/K429</f>
        <v>66.7093338811825</v>
      </c>
      <c r="L958" s="156" t="n">
        <f aca="false">(+L859*365)/L429</f>
        <v>60.5060181372728</v>
      </c>
      <c r="M958" s="156" t="n">
        <f aca="false">(+M859*365)/M429</f>
        <v>37.2027374307432</v>
      </c>
      <c r="N958" s="156" t="n">
        <f aca="false">(+N859*365)/N429</f>
        <v>34.2622367842485</v>
      </c>
      <c r="O958" s="156" t="n">
        <f aca="false">(+O859*365)/O429</f>
        <v>25.1009341683727</v>
      </c>
      <c r="P958" s="156" t="n">
        <f aca="false">(+P859*365)/P429</f>
        <v>22.5179817026199</v>
      </c>
      <c r="Q958" s="156" t="n">
        <f aca="false">(+Q859*365)/Q429</f>
        <v>15.0279273640952</v>
      </c>
      <c r="R958" s="156" t="n">
        <f aca="false">(+R859*365)/R429</f>
        <v>51.5420008086093</v>
      </c>
      <c r="S958" s="156" t="n">
        <f aca="false">(+S859*365)/S429</f>
        <v>46.4277664796613</v>
      </c>
      <c r="T958" s="156" t="n">
        <f aca="false">(+T859*365)/T429</f>
        <v>35.0515925897144</v>
      </c>
      <c r="U958" s="156" t="n">
        <f aca="false">(+U859*365)/U429</f>
        <v>31.7960608841229</v>
      </c>
      <c r="V958" s="156" t="n">
        <f aca="false">(+V859*365)/V429</f>
        <v>37.1440953097964</v>
      </c>
      <c r="W958" s="156" t="n">
        <f aca="false">(+W859*365)/W429</f>
        <v>43.4260352572392</v>
      </c>
      <c r="X958" s="156" t="n">
        <f aca="false">(+X859*365)/X429</f>
        <v>30.9333825074043</v>
      </c>
      <c r="Y958" s="156" t="n">
        <f aca="false">(+Y859*365)/Y429</f>
        <v>22.3506526216903</v>
      </c>
      <c r="Z958" s="156" t="n">
        <f aca="false">(+Z859*365)/Z429</f>
        <v>14.403572024697</v>
      </c>
      <c r="AA958" s="156" t="n">
        <f aca="false">(+AA859*365)/AA429</f>
        <v>13.2910790728835</v>
      </c>
      <c r="AB958" s="156" t="n">
        <f aca="false">(+AB859*365)/AB429</f>
        <v>31.0597020298609</v>
      </c>
      <c r="AC958" s="156" t="n">
        <f aca="false">(+AC859*365)/AC429</f>
        <v>24.0784303858337</v>
      </c>
      <c r="AD958" s="156" t="n">
        <f aca="false">(+AD859*365)/AD429</f>
        <v>65.9010650430845</v>
      </c>
      <c r="AE958" s="156" t="n">
        <f aca="false">(+AE859*365)/AE429</f>
        <v>51.6241350198694</v>
      </c>
      <c r="AF958" s="156" t="n">
        <f aca="false">(+AF859*365)/AF429</f>
        <v>40.3604006838102</v>
      </c>
      <c r="AG958" s="156" t="n">
        <f aca="false">(+AG859*365)/AG429</f>
        <v>33.3400328279501</v>
      </c>
      <c r="AH958" s="156" t="n">
        <f aca="false">(+AH859*365)/AH429</f>
        <v>26.6409712649504</v>
      </c>
      <c r="AI958" s="42" t="n">
        <v>25</v>
      </c>
      <c r="AJ958" s="42" t="n">
        <v>25</v>
      </c>
      <c r="AK958" s="42" t="n">
        <v>25</v>
      </c>
      <c r="AL958" s="42" t="n">
        <v>25</v>
      </c>
      <c r="AM958" s="338"/>
      <c r="AN958" s="338"/>
      <c r="AO958" s="338"/>
    </row>
    <row r="959" customFormat="false" ht="12.75" hidden="false" customHeight="true" outlineLevel="0" collapsed="false">
      <c r="A959" s="167"/>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ustomFormat="false" ht="12.75" hidden="false" customHeight="true" outlineLevel="0" collapsed="false">
      <c r="A960" s="59" t="s">
        <v>700</v>
      </c>
      <c r="B960" s="165" t="n">
        <f aca="false">(+B874+B873)/B648*100</f>
        <v>17.1031783854094</v>
      </c>
      <c r="C960" s="165" t="n">
        <f aca="false">(+C874+C873)/C648*100</f>
        <v>17.5996583638224</v>
      </c>
      <c r="D960" s="165" t="n">
        <f aca="false">(+D874+D873)/D648*100</f>
        <v>18.0427858175732</v>
      </c>
      <c r="E960" s="165" t="n">
        <f aca="false">(+E874+E873)/E648*100</f>
        <v>18.3098712427935</v>
      </c>
      <c r="F960" s="165" t="n">
        <f aca="false">(+F874+F873)/F648*100</f>
        <v>18.8236594087455</v>
      </c>
      <c r="G960" s="165" t="n">
        <f aca="false">(+G874+G873)/G648*100</f>
        <v>18.9886303870143</v>
      </c>
      <c r="H960" s="165" t="n">
        <f aca="false">(+H874+H873)/H648*100</f>
        <v>16.4332505443007</v>
      </c>
      <c r="I960" s="165" t="n">
        <f aca="false">(+I874+I873)/I648*100</f>
        <v>12.8875651921364</v>
      </c>
      <c r="J960" s="165" t="n">
        <f aca="false">(+J874+J873)/J648*100</f>
        <v>16.5984676453812</v>
      </c>
      <c r="K960" s="165" t="n">
        <f aca="false">(+K874+K873)/K648*100</f>
        <v>18.3223056409378</v>
      </c>
      <c r="L960" s="165" t="n">
        <f aca="false">(+L874+L873)/L648*100</f>
        <v>15.0486027129568</v>
      </c>
      <c r="M960" s="165" t="n">
        <f aca="false">(+M874+M873)/M648*100</f>
        <v>17.004338645936</v>
      </c>
      <c r="N960" s="165" t="n">
        <f aca="false">(+N874+N873)/N648*100</f>
        <v>19.6400217663165</v>
      </c>
      <c r="O960" s="165" t="n">
        <f aca="false">(+O874+O873)/O648*100</f>
        <v>18.9723524488676</v>
      </c>
      <c r="P960" s="165" t="n">
        <f aca="false">(+P874+P873)/P648*100</f>
        <v>18.8592734153184</v>
      </c>
      <c r="Q960" s="165" t="n">
        <f aca="false">(+Q874+Q873)/Q648*100</f>
        <v>21.342826753407</v>
      </c>
      <c r="R960" s="165" t="n">
        <f aca="false">(+R874+R873)/R648*100</f>
        <v>28.5820995109892</v>
      </c>
      <c r="S960" s="165" t="n">
        <f aca="false">(+S874+S873)/S648*100</f>
        <v>32.7954594462093</v>
      </c>
      <c r="T960" s="165" t="n">
        <f aca="false">(+T874+T873)/T648*100</f>
        <v>25.0082481611436</v>
      </c>
      <c r="U960" s="165" t="n">
        <f aca="false">(+U874+U873)/U648*100</f>
        <v>22.3542716425129</v>
      </c>
      <c r="V960" s="165" t="n">
        <f aca="false">(+V874+V873)/V648*100</f>
        <v>20.007650725072</v>
      </c>
      <c r="W960" s="165" t="n">
        <f aca="false">(+W874+W873)/W648*100</f>
        <v>21.3016491854224</v>
      </c>
      <c r="X960" s="165" t="n">
        <f aca="false">(+X874+X873)/X648*100</f>
        <v>21.0138621029899</v>
      </c>
      <c r="Y960" s="165" t="n">
        <f aca="false">(+Y874+Y873)/Y648*100</f>
        <v>14.4471672779855</v>
      </c>
      <c r="Z960" s="165" t="n">
        <f aca="false">(+Z874+Z873)/Z648*100</f>
        <v>15.9556759603921</v>
      </c>
      <c r="AA960" s="165" t="n">
        <f aca="false">(+AA874+AA873)/AA648*100</f>
        <v>19.5859245724981</v>
      </c>
      <c r="AB960" s="165" t="n">
        <f aca="false">(+AB874+AB873)/AB648*100</f>
        <v>19.3637460400992</v>
      </c>
      <c r="AC960" s="165" t="n">
        <f aca="false">(+AC874+AC873)/AC648*100</f>
        <v>16.1037129414711</v>
      </c>
      <c r="AD960" s="165" t="n">
        <f aca="false">(+AD874+AD873)/AD648*100</f>
        <v>34.9761721107034</v>
      </c>
      <c r="AE960" s="165" t="n">
        <f aca="false">(+AE874+AE873)/AE648*100</f>
        <v>33.2236706989592</v>
      </c>
      <c r="AF960" s="165" t="n">
        <f aca="false">(+AF874+AF873)/AF648*100</f>
        <v>21.6030618930168</v>
      </c>
      <c r="AG960" s="165" t="n">
        <f aca="false">(+AG874+AG873)/AG648*100</f>
        <v>18.6762617204451</v>
      </c>
      <c r="AH960" s="165" t="n">
        <f aca="false">(+AH874+AH873)/AH648*100</f>
        <v>21.5973364224305</v>
      </c>
      <c r="AI960" s="165" t="n">
        <f aca="false">(+AI874+AI873)/AI648*100</f>
        <v>21.7617449401407</v>
      </c>
      <c r="AJ960" s="165" t="n">
        <f aca="false">(+AJ874+AJ873)/AJ648*100</f>
        <v>20.5479452054795</v>
      </c>
      <c r="AK960" s="165" t="n">
        <f aca="false">(+AK874+AK873)/AK648*100</f>
        <v>20.5479452054795</v>
      </c>
      <c r="AL960" s="165" t="n">
        <f aca="false">(+AL874+AL873)/AL648*100</f>
        <v>20.5479452054795</v>
      </c>
      <c r="AP960" s="157"/>
    </row>
    <row r="961" customFormat="false" ht="12.75" hidden="false" customHeight="true" outlineLevel="0" collapsed="false">
      <c r="A961" s="167"/>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ustomFormat="false" ht="12.75" hidden="false" customHeight="true" outlineLevel="0" collapsed="false">
      <c r="A962" s="59" t="s">
        <v>701</v>
      </c>
      <c r="B962" s="298" t="n">
        <f aca="false">(+B874+B873)/B648*365</f>
        <v>62.4266011067442</v>
      </c>
      <c r="C962" s="298" t="n">
        <f aca="false">(+C874+C873)/C648*365</f>
        <v>64.2387530279518</v>
      </c>
      <c r="D962" s="298" t="n">
        <f aca="false">(+D874+D873)/D648*365</f>
        <v>65.8561682341421</v>
      </c>
      <c r="E962" s="298" t="n">
        <f aca="false">(+E874+E873)/E648*365</f>
        <v>66.8310300361962</v>
      </c>
      <c r="F962" s="298" t="n">
        <f aca="false">(+F874+F873)/F648*365</f>
        <v>68.7063568419212</v>
      </c>
      <c r="G962" s="298" t="n">
        <f aca="false">(+G874+G873)/G648*365</f>
        <v>69.3085009126021</v>
      </c>
      <c r="H962" s="298" t="n">
        <f aca="false">(+H874+H873)/H648*365</f>
        <v>59.9813644866974</v>
      </c>
      <c r="I962" s="298" t="n">
        <f aca="false">(+I874+I873)/I648*365</f>
        <v>47.0396129512977</v>
      </c>
      <c r="J962" s="298" t="n">
        <f aca="false">(+J874+J873)/J648*365</f>
        <v>60.5844069056413</v>
      </c>
      <c r="K962" s="298" t="n">
        <f aca="false">(+K874+K873)/K648*365</f>
        <v>66.8764155894229</v>
      </c>
      <c r="L962" s="298" t="n">
        <f aca="false">(+L874+L873)/L648*365</f>
        <v>54.9273999022922</v>
      </c>
      <c r="M962" s="298" t="n">
        <f aca="false">(+M874+M873)/M648*365</f>
        <v>62.0658360576663</v>
      </c>
      <c r="N962" s="298" t="n">
        <f aca="false">(+N874+N873)/N648*365</f>
        <v>71.6860794470553</v>
      </c>
      <c r="O962" s="298" t="n">
        <f aca="false">(+O874+O873)/O648*365</f>
        <v>69.2490864383666</v>
      </c>
      <c r="P962" s="298" t="n">
        <f aca="false">(+P874+P873)/P648*365</f>
        <v>68.8363479659123</v>
      </c>
      <c r="Q962" s="298" t="n">
        <f aca="false">(+Q874+Q873)/Q648*365</f>
        <v>77.9013176499357</v>
      </c>
      <c r="R962" s="298" t="n">
        <f aca="false">(+R874+R873)/R648*365</f>
        <v>104.324663215111</v>
      </c>
      <c r="S962" s="298" t="n">
        <f aca="false">(+S874+S873)/S648*365</f>
        <v>119.703426978664</v>
      </c>
      <c r="T962" s="298" t="n">
        <f aca="false">(+T874+T873)/T648*365</f>
        <v>91.2801057881742</v>
      </c>
      <c r="U962" s="298" t="n">
        <f aca="false">(+U874+U873)/U648*365</f>
        <v>81.5930914951721</v>
      </c>
      <c r="V962" s="298" t="n">
        <f aca="false">(+V874+V873)/V648*365</f>
        <v>73.0279251465128</v>
      </c>
      <c r="W962" s="298" t="n">
        <f aca="false">(+W874+W873)/W648*365</f>
        <v>77.7510195267918</v>
      </c>
      <c r="X962" s="298" t="n">
        <f aca="false">(+X874+X873)/X648*365</f>
        <v>76.7005966759133</v>
      </c>
      <c r="Y962" s="298" t="n">
        <f aca="false">(+Y874+Y873)/Y648*365</f>
        <v>52.7321605646471</v>
      </c>
      <c r="Z962" s="298" t="n">
        <f aca="false">(+Z874+Z873)/Z648*365</f>
        <v>58.2382172554312</v>
      </c>
      <c r="AA962" s="132" t="n">
        <f aca="false">(+AA874+AA873)/AA648*365</f>
        <v>71.488624689618</v>
      </c>
      <c r="AB962" s="132" t="n">
        <f aca="false">(+AB874+AB873)/AB648*365</f>
        <v>70.6776730463621</v>
      </c>
      <c r="AC962" s="132" t="n">
        <f aca="false">(+AC874+AC873)/AC648*365</f>
        <v>58.7785522363694</v>
      </c>
      <c r="AD962" s="132" t="n">
        <f aca="false">(+AD874+AD873)/AD648*365</f>
        <v>127.663028204067</v>
      </c>
      <c r="AE962" s="132" t="n">
        <f aca="false">(+AE874+AE873)/AE648*365</f>
        <v>121.266398051201</v>
      </c>
      <c r="AF962" s="132" t="n">
        <f aca="false">(+AF874+AF873)/AF648*365</f>
        <v>78.8511759095113</v>
      </c>
      <c r="AG962" s="208" t="n">
        <v>80</v>
      </c>
      <c r="AH962" s="208" t="n">
        <v>75</v>
      </c>
      <c r="AI962" s="208" t="n">
        <v>75</v>
      </c>
      <c r="AJ962" s="208" t="n">
        <v>75</v>
      </c>
      <c r="AK962" s="208" t="n">
        <v>75</v>
      </c>
      <c r="AL962" s="208" t="n">
        <v>75</v>
      </c>
      <c r="AM962" s="251"/>
      <c r="AN962" s="251"/>
      <c r="AO962" s="251"/>
    </row>
    <row r="963" customFormat="false" ht="12.75" hidden="false" customHeight="true" outlineLevel="0" collapsed="false">
      <c r="A963" s="167"/>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ustomFormat="false" ht="12.75" hidden="false" customHeight="true" outlineLevel="0" collapsed="false">
      <c r="A964" s="59" t="s">
        <v>702</v>
      </c>
      <c r="B964" s="165" t="n">
        <f aca="false">(+B851+B852)/B580*100</f>
        <v>24.1670690487687</v>
      </c>
      <c r="C964" s="165" t="n">
        <f aca="false">(+C851+C852)/C580*100</f>
        <v>18.001514004542</v>
      </c>
      <c r="D964" s="165" t="n">
        <f aca="false">(+D851+D852)/D580*100</f>
        <v>86.6181229773463</v>
      </c>
      <c r="E964" s="165" t="n">
        <f aca="false">(+E851+E852)/E580*100</f>
        <v>75.0548060708263</v>
      </c>
      <c r="F964" s="165" t="n">
        <f aca="false">(+F851+F852)/F580*100</f>
        <v>115.128639133379</v>
      </c>
      <c r="G964" s="165" t="n">
        <f aca="false">(+G851+G852)/G580*100</f>
        <v>163.477299935537</v>
      </c>
      <c r="H964" s="165" t="n">
        <f aca="false">(+H851+H852)/H580*100</f>
        <v>205.260263929619</v>
      </c>
      <c r="I964" s="165" t="n">
        <f aca="false">(+I851+I852)/I580*100</f>
        <v>148.944120969844</v>
      </c>
      <c r="J964" s="165" t="n">
        <f aca="false">(+J851+J852)/J580*100</f>
        <v>146.434050760531</v>
      </c>
      <c r="K964" s="165" t="n">
        <f aca="false">(+K851+K852)/K580*100</f>
        <v>128.920078297447</v>
      </c>
      <c r="L964" s="165" t="n">
        <f aca="false">(+L851+L852)/L580*100</f>
        <v>143.047054322877</v>
      </c>
      <c r="M964" s="165" t="n">
        <f aca="false">(+M851+M852)/M580*100</f>
        <v>117.3144751693</v>
      </c>
      <c r="N964" s="165" t="n">
        <f aca="false">(+N851+N852)/N580*100</f>
        <v>127.490768540567</v>
      </c>
      <c r="O964" s="165" t="n">
        <f aca="false">(+O851+O852)/O580*100</f>
        <v>107.023489540727</v>
      </c>
      <c r="P964" s="165" t="n">
        <f aca="false">(+P851+P852)/P580*100</f>
        <v>113.241659628378</v>
      </c>
      <c r="Q964" s="165" t="n">
        <f aca="false">(+Q851+Q852)/Q580*100</f>
        <v>148.838279830406</v>
      </c>
      <c r="R964" s="165" t="n">
        <f aca="false">(+R851+R852)/R580*100</f>
        <v>187.53377609296</v>
      </c>
      <c r="S964" s="165" t="n">
        <f aca="false">(+S851+S852)/S580*100</f>
        <v>175.051213443566</v>
      </c>
      <c r="T964" s="165" t="n">
        <f aca="false">(+T851+T852)/T580*100</f>
        <v>140.111169169488</v>
      </c>
      <c r="U964" s="165" t="n">
        <f aca="false">(+U851+U852)/U580*100</f>
        <v>137.489414260433</v>
      </c>
      <c r="V964" s="165" t="n">
        <f aca="false">(+V851+V852)/V580*100</f>
        <v>123.587549048364</v>
      </c>
      <c r="W964" s="165" t="n">
        <f aca="false">(+W851+W852)/W580*100</f>
        <v>160.489908497877</v>
      </c>
      <c r="X964" s="165" t="n">
        <f aca="false">(+X851+X852)/X580*100</f>
        <v>131.662332564644</v>
      </c>
      <c r="Y964" s="165" t="n">
        <f aca="false">(+Y851+Y852)/Y580*100</f>
        <v>101.563483570439</v>
      </c>
      <c r="Z964" s="165" t="n">
        <f aca="false">(+Z851+Z852)/Z580*100</f>
        <v>88.2815056569033</v>
      </c>
      <c r="AA964" s="208" t="n">
        <v>108</v>
      </c>
      <c r="AB964" s="208" t="n">
        <v>108</v>
      </c>
      <c r="AC964" s="208" t="n">
        <v>108</v>
      </c>
      <c r="AD964" s="208" t="n">
        <v>108</v>
      </c>
      <c r="AE964" s="208" t="n">
        <v>108</v>
      </c>
      <c r="AF964" s="208" t="n">
        <v>108</v>
      </c>
      <c r="AG964" s="208" t="n">
        <v>105</v>
      </c>
      <c r="AH964" s="208" t="n">
        <v>105</v>
      </c>
      <c r="AI964" s="208" t="n">
        <v>105</v>
      </c>
      <c r="AJ964" s="208" t="n">
        <v>105</v>
      </c>
      <c r="AK964" s="208" t="n">
        <v>105</v>
      </c>
      <c r="AL964" s="208" t="n">
        <v>105</v>
      </c>
      <c r="AM964" s="251"/>
      <c r="AN964" s="251"/>
      <c r="AO964" s="251"/>
    </row>
    <row r="965" customFormat="false" ht="12.75" hidden="false" customHeight="true" outlineLevel="0" collapsed="false">
      <c r="A965" s="59" t="s">
        <v>703</v>
      </c>
      <c r="B965" s="19"/>
      <c r="C965" s="19"/>
      <c r="D965" s="19"/>
    </row>
    <row r="966" customFormat="false" ht="12.75" hidden="false" customHeight="true" outlineLevel="0" collapsed="false">
      <c r="A966" s="167"/>
      <c r="B966" s="19"/>
      <c r="C966" s="19"/>
      <c r="D966" s="19"/>
    </row>
    <row r="967" customFormat="false" ht="12.75" hidden="false" customHeight="true" outlineLevel="0" collapsed="false">
      <c r="A967" s="59" t="s">
        <v>704</v>
      </c>
      <c r="B967" s="19"/>
      <c r="C967" s="19"/>
      <c r="D967" s="19"/>
    </row>
    <row r="968" customFormat="false" ht="12.75" hidden="false" customHeight="true" outlineLevel="0" collapsed="false">
      <c r="A968" s="167"/>
      <c r="B968" s="19"/>
      <c r="C968" s="19"/>
      <c r="D968" s="19"/>
    </row>
    <row r="969" customFormat="false" ht="12.75" hidden="false" customHeight="true" outlineLevel="0" collapsed="false">
      <c r="A969" s="59" t="s">
        <v>705</v>
      </c>
      <c r="B969" s="368" t="n">
        <f aca="false">B651/B436</f>
        <v>0.0656219320919036</v>
      </c>
      <c r="C969" s="368" t="n">
        <f aca="false">C651/C436</f>
        <v>0.0742685563458378</v>
      </c>
      <c r="D969" s="368" t="n">
        <f aca="false">D651/D436</f>
        <v>0.0714072366734245</v>
      </c>
      <c r="E969" s="368" t="n">
        <f aca="false">E651/E436</f>
        <v>0.0723579913837974</v>
      </c>
      <c r="F969" s="368" t="n">
        <f aca="false">F651/F436</f>
        <v>0.0922495549761101</v>
      </c>
      <c r="G969" s="368" t="n">
        <f aca="false">G651/G436</f>
        <v>0.0768324887757412</v>
      </c>
      <c r="H969" s="368" t="n">
        <f aca="false">H651/H436</f>
        <v>0.0809623299596358</v>
      </c>
      <c r="I969" s="368" t="n">
        <f aca="false">I651/I436</f>
        <v>0.100365257022886</v>
      </c>
      <c r="J969" s="368" t="n">
        <f aca="false">J651/J436</f>
        <v>0.110189157555081</v>
      </c>
      <c r="K969" s="368" t="n">
        <f aca="false">K651/K436</f>
        <v>0.112594128452644</v>
      </c>
      <c r="L969" s="368" t="n">
        <f aca="false">L651/L436</f>
        <v>0.106385664257749</v>
      </c>
      <c r="M969" s="368" t="n">
        <f aca="false">M651/M436</f>
        <v>0.100477863392741</v>
      </c>
      <c r="N969" s="368" t="n">
        <f aca="false">N651/N436</f>
        <v>0.0878871785108418</v>
      </c>
      <c r="O969" s="368" t="n">
        <f aca="false">O651/O436</f>
        <v>0.0892219335918009</v>
      </c>
      <c r="P969" s="368" t="n">
        <f aca="false">P651/P436</f>
        <v>0.0846127568224178</v>
      </c>
      <c r="Q969" s="368" t="n">
        <f aca="false">Q651/Q436</f>
        <v>0.0899951755657517</v>
      </c>
      <c r="R969" s="368" t="n">
        <f aca="false">R651/R436</f>
        <v>0.0704155456059494</v>
      </c>
      <c r="S969" s="368" t="n">
        <f aca="false">S651/S436</f>
        <v>0.0968980199597153</v>
      </c>
      <c r="T969" s="368" t="n">
        <f aca="false">T651/T436</f>
        <v>0.1048121888666</v>
      </c>
      <c r="U969" s="368" t="n">
        <f aca="false">U651/U436</f>
        <v>0.0911953441539109</v>
      </c>
      <c r="V969" s="368" t="n">
        <f aca="false">V651/V436</f>
        <v>0.0659070134283499</v>
      </c>
      <c r="W969" s="368" t="n">
        <f aca="false">W651/W436</f>
        <v>0.0157716825943845</v>
      </c>
    </row>
    <row r="970" customFormat="false" ht="12.75" hidden="false" customHeight="true" outlineLevel="0" collapsed="false">
      <c r="A970" s="59" t="s">
        <v>706</v>
      </c>
      <c r="B970" s="368" t="n">
        <f aca="false">+B674/B651</f>
        <v>1.90897624217652</v>
      </c>
      <c r="C970" s="368" t="n">
        <f aca="false">+C674/C651</f>
        <v>1.54214491696397</v>
      </c>
      <c r="D970" s="368" t="n">
        <f aca="false">+D674/D651</f>
        <v>1.71141958171386</v>
      </c>
      <c r="E970" s="368" t="n">
        <f aca="false">+E674/E651</f>
        <v>1.97523002654417</v>
      </c>
      <c r="F970" s="368" t="n">
        <f aca="false">+F674/F651</f>
        <v>1.57017532368289</v>
      </c>
      <c r="G970" s="368" t="n">
        <f aca="false">+G674/G651</f>
        <v>1.70361515817999</v>
      </c>
      <c r="H970" s="368" t="n">
        <f aca="false">+H674/H651</f>
        <v>1.52994519569386</v>
      </c>
      <c r="I970" s="368" t="n">
        <f aca="false">+I674/I651</f>
        <v>1.21078057365013</v>
      </c>
      <c r="J970" s="368" t="n">
        <f aca="false">+J674/J651</f>
        <v>1.15134423763865</v>
      </c>
      <c r="K970" s="368" t="n">
        <f aca="false">+K674/K651</f>
        <v>1.17112971135114</v>
      </c>
      <c r="L970" s="368" t="n">
        <f aca="false">+L674/L651</f>
        <v>1.16022432261359</v>
      </c>
      <c r="M970" s="368" t="n">
        <f aca="false">+M674/M651</f>
        <v>1.14505174808162</v>
      </c>
      <c r="N970" s="368" t="n">
        <f aca="false">+N674/N651</f>
        <v>1.12888532576564</v>
      </c>
      <c r="O970" s="368" t="n">
        <f aca="false">+O674/O651</f>
        <v>1.10164423130335</v>
      </c>
      <c r="P970" s="368" t="n">
        <f aca="false">+P674/P651</f>
        <v>1.13421091954432</v>
      </c>
      <c r="Q970" s="368" t="n">
        <f aca="false">+Q674/Q651</f>
        <v>1.12509001988833</v>
      </c>
      <c r="R970" s="368" t="n">
        <f aca="false">+R674/R651</f>
        <v>1.29127008184944</v>
      </c>
      <c r="S970" s="368" t="n">
        <f aca="false">+S674/S651</f>
        <v>1.11950947454057</v>
      </c>
      <c r="T970" s="368" t="n">
        <f aca="false">+T674/T651</f>
        <v>1.03202718867011</v>
      </c>
      <c r="U970" s="368" t="n">
        <f aca="false">+U674/U651</f>
        <v>1.04171068579199</v>
      </c>
      <c r="V970" s="368" t="n">
        <f aca="false">+V674/V651</f>
        <v>1.07113948102858</v>
      </c>
      <c r="W970" s="368" t="n">
        <f aca="false">+W674/W651</f>
        <v>1.39937428817926</v>
      </c>
    </row>
    <row r="971" customFormat="false" ht="12.75" hidden="false" customHeight="true" outlineLevel="0" collapsed="false">
      <c r="A971" s="59" t="s">
        <v>707</v>
      </c>
      <c r="B971" s="165" t="n">
        <f aca="false">+B694/B674</f>
        <v>0.0370097772722343</v>
      </c>
      <c r="C971" s="165" t="n">
        <f aca="false">+C694/C674</f>
        <v>0.261129219420978</v>
      </c>
      <c r="D971" s="165" t="n">
        <f aca="false">+D694/D674</f>
        <v>0.381699615001946</v>
      </c>
      <c r="E971" s="165" t="n">
        <f aca="false">+E694/E674</f>
        <v>0.465066809639528</v>
      </c>
      <c r="F971" s="165" t="n">
        <f aca="false">+F694/F674</f>
        <v>0.436720266534659</v>
      </c>
      <c r="G971" s="165" t="n">
        <f aca="false">+G694/G674</f>
        <v>0.0783908715768666</v>
      </c>
      <c r="H971" s="165" t="n">
        <f aca="false">+H694/H674</f>
        <v>0.0934360758189992</v>
      </c>
      <c r="I971" s="165" t="n">
        <f aca="false">+I694/I674</f>
        <v>0.295401792923935</v>
      </c>
      <c r="J971" s="165" t="n">
        <f aca="false">+J694/J674</f>
        <v>0.308261968696325</v>
      </c>
      <c r="K971" s="165" t="n">
        <f aca="false">+K694/K674</f>
        <v>0.381154193226604</v>
      </c>
      <c r="L971" s="165" t="n">
        <f aca="false">+L694/L674</f>
        <v>0.448312850693283</v>
      </c>
      <c r="M971" s="165" t="n">
        <f aca="false">+M694/M674</f>
        <v>0.633982675359971</v>
      </c>
      <c r="N971" s="165" t="n">
        <f aca="false">+N694/N674</f>
        <v>0.782676563210041</v>
      </c>
      <c r="O971" s="165" t="n">
        <f aca="false">+O694/O674</f>
        <v>0.760212785626045</v>
      </c>
      <c r="P971" s="165" t="n">
        <f aca="false">+P694/P674</f>
        <v>0.758483449666433</v>
      </c>
      <c r="Q971" s="165" t="n">
        <f aca="false">+Q694/Q674</f>
        <v>0.705481117891572</v>
      </c>
      <c r="R971" s="165" t="n">
        <f aca="false">+R694/R674</f>
        <v>0.343875743915668</v>
      </c>
      <c r="S971" s="165" t="n">
        <f aca="false">+S694/S674</f>
        <v>0.637905301791933</v>
      </c>
      <c r="T971" s="165" t="n">
        <f aca="false">+T694/T674</f>
        <v>0.612924383426811</v>
      </c>
      <c r="U971" s="165" t="n">
        <f aca="false">+U694/U674</f>
        <v>0.532206529053445</v>
      </c>
      <c r="V971" s="165" t="n">
        <f aca="false">+V694/V674</f>
        <v>0.5013813087453</v>
      </c>
      <c r="W971" s="165" t="n">
        <f aca="false">+W694/W674</f>
        <v>-0.391358014097995</v>
      </c>
    </row>
    <row r="972" customFormat="false" ht="12.75" hidden="false" customHeight="true" outlineLevel="0" collapsed="false">
      <c r="A972" s="59" t="s">
        <v>708</v>
      </c>
      <c r="B972" s="368" t="n">
        <f aca="false">B436/(B436+B474)</f>
        <v>0.94370891703119</v>
      </c>
      <c r="C972" s="368" t="n">
        <f aca="false">C436/(C436+C474)</f>
        <v>0.961294144644865</v>
      </c>
      <c r="D972" s="368" t="n">
        <f aca="false">D436/(D436+D474)</f>
        <v>0.951655422571703</v>
      </c>
      <c r="E972" s="368" t="n">
        <f aca="false">E436/(E436+E474)</f>
        <v>0.934085608393702</v>
      </c>
      <c r="F972" s="368" t="n">
        <f aca="false">F436/(F436+F474)</f>
        <v>0.950029927011769</v>
      </c>
      <c r="G972" s="368" t="n">
        <f aca="false">G436/(G436+G474)</f>
        <v>0.948712143609101</v>
      </c>
      <c r="H972" s="368" t="n">
        <f aca="false">H436/(H436+H474)</f>
        <v>0.958859557485324</v>
      </c>
      <c r="I972" s="368" t="n">
        <f aca="false">I436/(I436+I474)</f>
        <v>0.979283218034936</v>
      </c>
      <c r="J972" s="368" t="n">
        <f aca="false">J436/(J436+J474)</f>
        <v>0.983597049657508</v>
      </c>
      <c r="K972" s="368" t="n">
        <f aca="false">K436/(K436+K474)</f>
        <v>0.981096044506574</v>
      </c>
      <c r="L972" s="368" t="n">
        <f aca="false">L436/(L436+L474)</f>
        <v>0.983240110888171</v>
      </c>
      <c r="M972" s="368" t="n">
        <f aca="false">M436/(M436+M474)</f>
        <v>0.985634874643338</v>
      </c>
      <c r="N972" s="368" t="n">
        <f aca="false">N436/(N436+N474)</f>
        <v>0.988799504497239</v>
      </c>
      <c r="O972" s="368" t="n">
        <f aca="false">O436/(O436+O474)</f>
        <v>0.991012610832051</v>
      </c>
      <c r="P972" s="368" t="n">
        <f aca="false">P436/(P436+P474)</f>
        <v>0.988771553841071</v>
      </c>
      <c r="Q972" s="368" t="n">
        <f aca="false">Q436/(Q436+Q474)</f>
        <v>0.98886782217162</v>
      </c>
      <c r="R972" s="368" t="n">
        <f aca="false">R436/(R436+R474)</f>
        <v>0.979902261709175</v>
      </c>
      <c r="S972" s="368" t="n">
        <f aca="false">S436/(S436+S474)</f>
        <v>0.988552335159007</v>
      </c>
      <c r="T972" s="368" t="n">
        <f aca="false">T436/(T436+T474)</f>
        <v>0.996654390925763</v>
      </c>
      <c r="U972" s="368" t="n">
        <f aca="false">U436/(U436+U474)</f>
        <v>0.996210593874422</v>
      </c>
      <c r="V972" s="368" t="n">
        <f aca="false">V436/(V436+V474)</f>
        <v>0.995333289563861</v>
      </c>
      <c r="W972" s="368" t="n">
        <f aca="false">W436/(W436+W474)</f>
        <v>0.993740622088296</v>
      </c>
    </row>
    <row r="973" customFormat="false" ht="12.75" hidden="false" customHeight="true" outlineLevel="0" collapsed="false">
      <c r="A973" s="59" t="s">
        <v>709</v>
      </c>
      <c r="B973" s="165" t="n">
        <f aca="false">(+B436+B474)/B890</f>
        <v>1.0934393724147</v>
      </c>
      <c r="C973" s="165" t="n">
        <f aca="false">(+C436+C474)/C890</f>
        <v>1.2260527912137</v>
      </c>
      <c r="D973" s="165" t="n">
        <f aca="false">(+D436+D474)/D890</f>
        <v>1.01603244826449</v>
      </c>
      <c r="E973" s="165" t="n">
        <f aca="false">(+E436+E474)/E890</f>
        <v>1.11726134868908</v>
      </c>
      <c r="F973" s="165" t="n">
        <f aca="false">(+F436+F474)/F890</f>
        <v>1.14902340503561</v>
      </c>
      <c r="G973" s="165" t="n">
        <f aca="false">(+G436+G474)/G890</f>
        <v>0.903412970556586</v>
      </c>
      <c r="H973" s="165" t="n">
        <f aca="false">(+H436+H474)/H890</f>
        <v>1.029502661536</v>
      </c>
      <c r="I973" s="165" t="n">
        <f aca="false">(+I436+I474)/I890</f>
        <v>1.26016056315823</v>
      </c>
      <c r="J973" s="165" t="n">
        <f aca="false">(+J436+J474)/J890</f>
        <v>1.25493567475215</v>
      </c>
      <c r="K973" s="165" t="n">
        <f aca="false">(+K436+K474)/K890</f>
        <v>1.26794328065708</v>
      </c>
      <c r="L973" s="165" t="n">
        <f aca="false">(+L436+L474)/L890</f>
        <v>1.69405643002167</v>
      </c>
      <c r="M973" s="165" t="n">
        <f aca="false">(+M436+M474)/M890</f>
        <v>2.30164756960089</v>
      </c>
      <c r="N973" s="165" t="n">
        <f aca="false">(+N436+N474)/N890</f>
        <v>2.19266346689835</v>
      </c>
      <c r="O973" s="165" t="n">
        <f aca="false">(+O436+O474)/O890</f>
        <v>2.67417504717456</v>
      </c>
      <c r="P973" s="165" t="n">
        <f aca="false">(+P436+P474)/P890</f>
        <v>3.07443185041885</v>
      </c>
      <c r="Q973" s="165" t="n">
        <f aca="false">(+Q436+Q474)/Q890</f>
        <v>2.74572311425422</v>
      </c>
      <c r="R973" s="165" t="n">
        <f aca="false">(+R436+R474)/R890</f>
        <v>1.19371634259092</v>
      </c>
      <c r="S973" s="165" t="n">
        <f aca="false">(+S436+S474)/S890</f>
        <v>1.25983303205494</v>
      </c>
      <c r="T973" s="165" t="n">
        <f aca="false">(+T436+T474)/T890</f>
        <v>1.71749943967059</v>
      </c>
      <c r="U973" s="165" t="n">
        <f aca="false">(+U436+U474)/U890</f>
        <v>1.73908737059205</v>
      </c>
      <c r="V973" s="165" t="n">
        <f aca="false">(+V436+V474)/V890</f>
        <v>1.41848236847822</v>
      </c>
      <c r="W973" s="165" t="n">
        <f aca="false">(+W436+W474)/W890</f>
        <v>1.10458509883389</v>
      </c>
    </row>
    <row r="974" customFormat="false" ht="12.75" hidden="false" customHeight="true" outlineLevel="0" collapsed="false">
      <c r="A974" s="59" t="s">
        <v>710</v>
      </c>
      <c r="B974" s="165" t="n">
        <f aca="false">+B890/B789</f>
        <v>2.24937803837072</v>
      </c>
      <c r="C974" s="165" t="n">
        <f aca="false">+C890/C789</f>
        <v>2.13365804436819</v>
      </c>
      <c r="D974" s="165" t="n">
        <f aca="false">+D890/D789</f>
        <v>1.60690700310483</v>
      </c>
      <c r="E974" s="165" t="n">
        <f aca="false">+E890/E789</f>
        <v>1.8531702115784</v>
      </c>
      <c r="F974" s="165" t="n">
        <f aca="false">+F890/F789</f>
        <v>2.07099834074322</v>
      </c>
      <c r="G974" s="165" t="n">
        <f aca="false">+G890/G789</f>
        <v>2.13104436333961</v>
      </c>
      <c r="H974" s="165" t="n">
        <f aca="false">+H890/H789</f>
        <v>1.86720047732912</v>
      </c>
      <c r="I974" s="165" t="n">
        <f aca="false">+I890/I789</f>
        <v>1.84698815152783</v>
      </c>
      <c r="J974" s="165" t="n">
        <f aca="false">+J890/J789</f>
        <v>1.79151650887373</v>
      </c>
      <c r="K974" s="165" t="n">
        <f aca="false">+K890/K789</f>
        <v>2.03919753354299</v>
      </c>
      <c r="L974" s="165" t="n">
        <f aca="false">+L890/L789</f>
        <v>1.92343296306564</v>
      </c>
      <c r="M974" s="165" t="n">
        <f aca="false">+M890/M789</f>
        <v>1.6459031543159</v>
      </c>
      <c r="N974" s="165" t="n">
        <f aca="false">+N890/N789</f>
        <v>1.90015027421834</v>
      </c>
      <c r="O974" s="165" t="n">
        <f aca="false">+O890/O789</f>
        <v>1.61709451571132</v>
      </c>
      <c r="P974" s="165" t="n">
        <f aca="false">+P890/P789</f>
        <v>1.44196196705529</v>
      </c>
      <c r="Q974" s="165" t="n">
        <f aca="false">+Q890/Q789</f>
        <v>1.53109844568265</v>
      </c>
      <c r="R974" s="165" t="n">
        <f aca="false">+R890/R789</f>
        <v>1.64061214790643</v>
      </c>
      <c r="S974" s="165" t="n">
        <f aca="false">+S890/S789</f>
        <v>1.7230040868598</v>
      </c>
      <c r="T974" s="165" t="n">
        <f aca="false">+T890/T789</f>
        <v>1.78276761718211</v>
      </c>
      <c r="U974" s="165" t="n">
        <f aca="false">+U890/U789</f>
        <v>1.87183767494377</v>
      </c>
      <c r="V974" s="165" t="n">
        <f aca="false">+V890/V789</f>
        <v>2.11378246216659</v>
      </c>
      <c r="W974" s="165" t="n">
        <f aca="false">+W890/W789</f>
        <v>2.16020247548775</v>
      </c>
    </row>
    <row r="975" customFormat="false" ht="12.75" hidden="false" customHeight="true" outlineLevel="0" collapsed="false">
      <c r="A975" s="59" t="s">
        <v>711</v>
      </c>
      <c r="B975" s="165" t="n">
        <f aca="false">+B704/B694</f>
        <v>1</v>
      </c>
      <c r="C975" s="165" t="n">
        <f aca="false">+C704/C694</f>
        <v>1</v>
      </c>
      <c r="D975" s="165" t="n">
        <f aca="false">+D704/D694</f>
        <v>1</v>
      </c>
      <c r="E975" s="165" t="n">
        <f aca="false">+E704/E694</f>
        <v>0.846537358795656</v>
      </c>
      <c r="F975" s="165" t="n">
        <f aca="false">+F704/F694</f>
        <v>0.795586971057407</v>
      </c>
      <c r="G975" s="165" t="n">
        <f aca="false">+G704/G694</f>
        <v>0.891136885853822</v>
      </c>
      <c r="H975" s="165" t="n">
        <f aca="false">+H704/H694</f>
        <v>0.875363546734399</v>
      </c>
      <c r="I975" s="165" t="n">
        <f aca="false">+I704/I694</f>
        <v>0.841349812942854</v>
      </c>
      <c r="J975" s="165" t="n">
        <f aca="false">+J704/J694</f>
        <v>0.899353547640302</v>
      </c>
      <c r="K975" s="165" t="n">
        <f aca="false">+K704/K694</f>
        <v>0.697820068680695</v>
      </c>
      <c r="L975" s="165" t="n">
        <f aca="false">+L704/L694</f>
        <v>0.706705388531588</v>
      </c>
      <c r="M975" s="165" t="n">
        <f aca="false">+M704/M694</f>
        <v>0.675766250087272</v>
      </c>
      <c r="N975" s="165" t="n">
        <f aca="false">+N704/N694</f>
        <v>0.726452718074998</v>
      </c>
      <c r="O975" s="165" t="n">
        <f aca="false">+O704/O694</f>
        <v>0.723678974132212</v>
      </c>
      <c r="P975" s="165" t="n">
        <f aca="false">+P704/P694</f>
        <v>0.729994408657647</v>
      </c>
      <c r="Q975" s="165" t="n">
        <f aca="false">+Q704/Q694</f>
        <v>0.735422706260284</v>
      </c>
      <c r="R975" s="165" t="n">
        <f aca="false">+R704/R694</f>
        <v>0.911487994749727</v>
      </c>
      <c r="S975" s="165" t="n">
        <f aca="false">+S704/S694</f>
        <v>0.777706270133324</v>
      </c>
      <c r="T975" s="165" t="n">
        <f aca="false">+T704/T694</f>
        <v>0.787353269078684</v>
      </c>
      <c r="U975" s="165" t="n">
        <f aca="false">+U704/U694</f>
        <v>0.820283760347814</v>
      </c>
      <c r="V975" s="165" t="n">
        <f aca="false">+V704/V694</f>
        <v>0.921394787879587</v>
      </c>
      <c r="W975" s="165" t="n">
        <f aca="false">+W704/W694</f>
        <v>-0.322094434377054</v>
      </c>
    </row>
    <row r="976" customFormat="false" ht="12.75" hidden="false" customHeight="true" outlineLevel="0" collapsed="false">
      <c r="A976" s="59" t="s">
        <v>712</v>
      </c>
      <c r="B976" s="368" t="n">
        <f aca="false">+B975*B974*B973*B972*B971*B970*B969</f>
        <v>0.0107612129406933</v>
      </c>
      <c r="C976" s="368" t="n">
        <f aca="false">+C975*C974*C973*C972*C971*C970*C969</f>
        <v>0.0752100580946079</v>
      </c>
      <c r="D976" s="368" t="n">
        <f aca="false">+D975*D974*D973*D972*D971*D970*D969</f>
        <v>0.0724767138140061</v>
      </c>
      <c r="E976" s="368" t="n">
        <f aca="false">+E975*E974*E973*E972*E971*E970*E969</f>
        <v>0.108823433178526</v>
      </c>
      <c r="F976" s="368" t="n">
        <f aca="false">+F975*F974*F973*F972*F971*F970*F969</f>
        <v>0.113775656098542</v>
      </c>
      <c r="G976" s="368" t="n">
        <f aca="false">+G975*G974*G973*G972*G971*G970*G969</f>
        <v>0.0167008887176117</v>
      </c>
      <c r="H976" s="368" t="n">
        <f aca="false">+H975*H974*H973*H972*H971*H970*H969</f>
        <v>0.018673913575669</v>
      </c>
      <c r="I976" s="368" t="n">
        <f aca="false">+I975*I974*I973*I972*I971*I970*I969</f>
        <v>0.0688393689585641</v>
      </c>
      <c r="J976" s="368" t="n">
        <f aca="false">+J975*J974*J973*J972*J971*J970*J969</f>
        <v>0.0777774949947401</v>
      </c>
      <c r="K976" s="368" t="n">
        <f aca="false">+K975*K974*K973*K972*K971*K970*K969</f>
        <v>0.0889683524711342</v>
      </c>
      <c r="L976" s="368" t="n">
        <f aca="false">+L975*L974*L973*L972*L971*L970*L969</f>
        <v>0.125287914570927</v>
      </c>
      <c r="M976" s="368" t="n">
        <f aca="false">+M975*M974*M973*M972*M971*M970*M969</f>
        <v>0.184046921601792</v>
      </c>
      <c r="N976" s="368" t="n">
        <f aca="false">+N975*N974*N973*N972*N971*N970*N969</f>
        <v>0.232398436463119</v>
      </c>
      <c r="O976" s="368" t="n">
        <f aca="false">+O975*O974*O973*O972*O971*O970*O969</f>
        <v>0.231738684402241</v>
      </c>
      <c r="P976" s="368" t="n">
        <f aca="false">+P975*P974*P973*P972*P971*P970*P969</f>
        <v>0.232921700355965</v>
      </c>
      <c r="Q976" s="368" t="n">
        <f aca="false">+Q975*Q974*Q973*Q972*Q971*Q970*Q969</f>
        <v>0.21838712469439</v>
      </c>
      <c r="R976" s="368" t="n">
        <f aca="false">+R975*R974*R973*R972*R971*R970*R969</f>
        <v>0.0546925227244664</v>
      </c>
      <c r="S976" s="368" t="n">
        <f aca="false">+S975*S974*S973*S972*S971*S970*S969</f>
        <v>0.115481775699522</v>
      </c>
      <c r="T976" s="368" t="n">
        <f aca="false">+T975*T974*T973*T972*T971*T970*T969</f>
        <v>0.159299858053147</v>
      </c>
      <c r="U976" s="368" t="n">
        <f aca="false">+U975*U974*U973*U972*U971*U970*U969</f>
        <v>0.134494597240346</v>
      </c>
      <c r="V976" s="368" t="n">
        <f aca="false">+V975*V974*V973*V972*V971*V970*V969</f>
        <v>0.0973294595744625</v>
      </c>
      <c r="W976" s="368" t="n">
        <f aca="false">+W975*W974*W973*W972*W971*W970*W969</f>
        <v>0.0065968415559049</v>
      </c>
    </row>
    <row r="977" customFormat="false" ht="12.75" hidden="false" customHeight="true" outlineLevel="0" collapsed="false">
      <c r="A977" s="167"/>
      <c r="B977" s="19"/>
      <c r="C977" s="19"/>
      <c r="D977" s="19"/>
    </row>
    <row r="978" customFormat="false" ht="12.75" hidden="false" customHeight="true" outlineLevel="0" collapsed="false">
      <c r="A978" s="59" t="s">
        <v>713</v>
      </c>
      <c r="B978" s="368" t="n">
        <f aca="false">+B925</f>
        <v>0.0107612129406933</v>
      </c>
      <c r="C978" s="368" t="n">
        <f aca="false">+C925</f>
        <v>0.0802088654293664</v>
      </c>
      <c r="D978" s="368" t="n">
        <f aca="false">+D925</f>
        <v>0.0977891127012942</v>
      </c>
      <c r="E978" s="368" t="n">
        <f aca="false">+E925</f>
        <v>0.112346568245153</v>
      </c>
      <c r="F978" s="368" t="n">
        <f aca="false">+F925</f>
        <v>0.116913341792905</v>
      </c>
      <c r="G978" s="368" t="n">
        <f aca="false">+G925</f>
        <v>0.00446920983031098</v>
      </c>
      <c r="H978" s="368" t="n">
        <f aca="false">+H925</f>
        <v>0.0187303151874129</v>
      </c>
      <c r="I978" s="368" t="n">
        <f aca="false">+I925</f>
        <v>0.0697769523668973</v>
      </c>
      <c r="J978" s="368" t="n">
        <f aca="false">+J925</f>
        <v>0.0790725975642834</v>
      </c>
      <c r="K978" s="368" t="n">
        <f aca="false">+K925</f>
        <v>0.0832743229831661</v>
      </c>
      <c r="L978" s="368" t="n">
        <f aca="false">+L925</f>
        <v>0.120426419239456</v>
      </c>
      <c r="M978" s="368" t="n">
        <f aca="false">+M925</f>
        <v>0.192494044846001</v>
      </c>
      <c r="N978" s="368" t="n">
        <f aca="false">+N925</f>
        <v>0.244550746915521</v>
      </c>
      <c r="O978" s="368" t="n">
        <f aca="false">+O925</f>
        <v>0.253705163472098</v>
      </c>
      <c r="P978" s="368" t="n">
        <f aca="false">+P925</f>
        <v>0.266878256896463</v>
      </c>
      <c r="Q978" s="368" t="n">
        <f aca="false">+Q925</f>
        <v>0.232127709562142</v>
      </c>
      <c r="R978" s="368" t="n">
        <f aca="false">+R925</f>
        <v>0.0675796980231312</v>
      </c>
      <c r="S978" s="368" t="n">
        <f aca="false">+S925</f>
        <v>0.11863223841447</v>
      </c>
      <c r="T978" s="368" t="n">
        <f aca="false">+T925</f>
        <v>0.165440892342988</v>
      </c>
      <c r="U978" s="368" t="n">
        <f aca="false">+U925</f>
        <v>0.138530708020559</v>
      </c>
      <c r="V978" s="368" t="n">
        <f aca="false">+V925</f>
        <v>0.100114175024852</v>
      </c>
      <c r="W978" s="368" t="n">
        <f aca="false">+W925</f>
        <v>0.00659517203669095</v>
      </c>
    </row>
    <row r="979" customFormat="false" ht="12.75" hidden="false" customHeight="true" outlineLevel="0" collapsed="false">
      <c r="A979" s="167"/>
      <c r="B979" s="19"/>
      <c r="C979" s="19"/>
      <c r="D979" s="19"/>
    </row>
    <row r="980" customFormat="false" ht="12.75" hidden="false" customHeight="true" outlineLevel="0" collapsed="false">
      <c r="A980" s="311"/>
      <c r="B980" s="75"/>
      <c r="C980" s="75"/>
      <c r="D980" s="75"/>
      <c r="E980" s="75"/>
      <c r="F980" s="75"/>
      <c r="G980" s="75"/>
      <c r="H980" s="75"/>
      <c r="I980" s="75"/>
      <c r="J980" s="75"/>
      <c r="K980" s="75"/>
      <c r="L980" s="75"/>
      <c r="M980" s="75"/>
    </row>
    <row r="981" customFormat="false" ht="12.75" hidden="false" customHeight="true" outlineLevel="0" collapsed="false">
      <c r="A981" s="59" t="s">
        <v>714</v>
      </c>
    </row>
    <row r="983" customFormat="false" ht="12.75" hidden="false" customHeight="true" outlineLevel="0" collapsed="false">
      <c r="A983" s="369" t="s">
        <v>262</v>
      </c>
      <c r="B983" s="81" t="n">
        <f aca="false">+B65</f>
        <v>310.490000000002</v>
      </c>
      <c r="C983" s="81" t="n">
        <f aca="false">+C65</f>
        <v>549.23</v>
      </c>
      <c r="D983" s="81" t="n">
        <f aca="false">+D65</f>
        <v>688.809999999997</v>
      </c>
      <c r="E983" s="81" t="n">
        <f aca="false">+E65</f>
        <v>908.13</v>
      </c>
      <c r="F983" s="81" t="n">
        <f aca="false">+F65</f>
        <v>1634.07</v>
      </c>
      <c r="G983" s="81" t="n">
        <f aca="false">+G65</f>
        <v>842.051576</v>
      </c>
      <c r="H983" s="81" t="n">
        <f aca="false">+H65</f>
        <v>893.818378295995</v>
      </c>
      <c r="I983" s="81" t="n">
        <f aca="false">+I65</f>
        <v>1783.78</v>
      </c>
      <c r="J983" s="81" t="n">
        <f aca="false">+J65</f>
        <v>1988.76</v>
      </c>
      <c r="K983" s="81" t="n">
        <f aca="false">+K65</f>
        <v>2008.18</v>
      </c>
      <c r="L983" s="81" t="n">
        <f aca="false">+L65</f>
        <v>2240.6</v>
      </c>
      <c r="M983" s="81" t="n">
        <f aca="false">+M65</f>
        <v>2981.5</v>
      </c>
      <c r="N983" s="81" t="n">
        <f aca="false">+N65</f>
        <v>3136.36</v>
      </c>
      <c r="O983" s="81" t="n">
        <f aca="false">+O65</f>
        <v>4140.63999999999</v>
      </c>
      <c r="P983" s="81" t="n">
        <f aca="false">+P65</f>
        <v>5521.11</v>
      </c>
      <c r="Q983" s="81" t="n">
        <f aca="false">+Q65</f>
        <v>6266.28</v>
      </c>
      <c r="R983" s="81" t="n">
        <f aca="false">+R65</f>
        <v>2910.20900000001</v>
      </c>
      <c r="S983" s="81" t="n">
        <f aca="false">+S65</f>
        <v>5587.31200000003</v>
      </c>
      <c r="T983" s="75"/>
      <c r="U983" s="75"/>
      <c r="V983" s="75"/>
    </row>
    <row r="984" customFormat="false" ht="12.75" hidden="false" customHeight="true" outlineLevel="0" collapsed="false">
      <c r="A984" s="369" t="s">
        <v>257</v>
      </c>
      <c r="B984" s="81" t="n">
        <f aca="false">+B53</f>
        <v>315.83</v>
      </c>
      <c r="C984" s="81" t="n">
        <f aca="false">+C53</f>
        <v>328.1</v>
      </c>
      <c r="D984" s="81" t="n">
        <f aca="false">+D53</f>
        <v>391.79</v>
      </c>
      <c r="E984" s="81" t="n">
        <f aca="false">+E53</f>
        <v>546.05</v>
      </c>
      <c r="F984" s="81" t="n">
        <f aca="false">+F53</f>
        <v>655.98</v>
      </c>
      <c r="G984" s="81" t="n">
        <f aca="false">+G53</f>
        <v>705.57</v>
      </c>
      <c r="H984" s="81" t="n">
        <f aca="false">+H53</f>
        <v>761.9</v>
      </c>
      <c r="I984" s="81" t="n">
        <f aca="false">+I53</f>
        <v>824.43</v>
      </c>
      <c r="J984" s="81" t="n">
        <f aca="false">+J53</f>
        <v>883.5</v>
      </c>
      <c r="K984" s="81" t="n">
        <f aca="false">+K53</f>
        <v>953.55</v>
      </c>
      <c r="L984" s="81" t="n">
        <f aca="false">+L53</f>
        <v>1029.69</v>
      </c>
      <c r="M984" s="81" t="n">
        <f aca="false">+M53</f>
        <v>964.54</v>
      </c>
      <c r="N984" s="81" t="n">
        <f aca="false">+N53</f>
        <v>1092.14</v>
      </c>
      <c r="O984" s="81" t="n">
        <f aca="false">+O53</f>
        <v>1260.06</v>
      </c>
      <c r="P984" s="81" t="n">
        <f aca="false">+P53</f>
        <v>1505.74</v>
      </c>
      <c r="Q984" s="81" t="n">
        <f aca="false">+Q53</f>
        <v>1773.61</v>
      </c>
      <c r="R984" s="81" t="n">
        <f aca="false">+R53</f>
        <v>1784.142</v>
      </c>
      <c r="S984" s="81" t="n">
        <f aca="false">+S53</f>
        <v>2041.079</v>
      </c>
      <c r="T984" s="75"/>
      <c r="U984" s="75"/>
      <c r="V984" s="75"/>
    </row>
    <row r="985" customFormat="false" ht="12.75" hidden="false" customHeight="true" outlineLevel="0" collapsed="false">
      <c r="A985" s="369" t="s">
        <v>715</v>
      </c>
      <c r="C985" s="46" t="n">
        <f aca="false">-C893</f>
        <v>367.009999999999</v>
      </c>
      <c r="D985" s="46" t="n">
        <f aca="false">-D893</f>
        <v>-4086</v>
      </c>
      <c r="E985" s="46" t="n">
        <f aca="false">-E893</f>
        <v>-3728.77</v>
      </c>
      <c r="F985" s="46" t="n">
        <f aca="false">-F893</f>
        <v>-2428.32999999999</v>
      </c>
      <c r="G985" s="46" t="n">
        <f aca="false">-G893</f>
        <v>629.129999999999</v>
      </c>
      <c r="H985" s="46" t="n">
        <f aca="false">-H893</f>
        <v>4181.87</v>
      </c>
      <c r="I985" s="46" t="n">
        <f aca="false">-I893</f>
        <v>-505.660000000002</v>
      </c>
      <c r="J985" s="46" t="n">
        <f aca="false">-J893</f>
        <v>1121.67</v>
      </c>
      <c r="K985" s="46" t="n">
        <f aca="false">-K893</f>
        <v>1609</v>
      </c>
      <c r="L985" s="46" t="n">
        <f aca="false">-L893</f>
        <v>1474.22</v>
      </c>
      <c r="M985" s="46" t="n">
        <f aca="false">-M893</f>
        <v>1671.81</v>
      </c>
      <c r="N985" s="46" t="n">
        <f aca="false">-N893</f>
        <v>392.940000000001</v>
      </c>
      <c r="O985" s="46" t="n">
        <f aca="false">-O893</f>
        <v>-848.919999999999</v>
      </c>
      <c r="P985" s="46" t="n">
        <f aca="false">-P893</f>
        <v>-2455.03</v>
      </c>
      <c r="Q985" s="46" t="n">
        <f aca="false">-Q893</f>
        <v>1403.09</v>
      </c>
      <c r="R985" s="46" t="n">
        <f aca="false">-R893</f>
        <v>-6174.628</v>
      </c>
      <c r="S985" s="46" t="n">
        <f aca="false">-S893</f>
        <v>171.548999999995</v>
      </c>
    </row>
    <row r="986" customFormat="false" ht="12.75" hidden="false" customHeight="true" outlineLevel="0" collapsed="false">
      <c r="A986" s="369" t="s">
        <v>484</v>
      </c>
      <c r="B986" s="81" t="n">
        <f aca="false">+B474</f>
        <v>569.31</v>
      </c>
      <c r="C986" s="81" t="n">
        <f aca="false">+C474</f>
        <v>475.64</v>
      </c>
      <c r="D986" s="81" t="n">
        <f aca="false">+D474</f>
        <v>768.76</v>
      </c>
      <c r="E986" s="81" t="n">
        <f aca="false">+E474</f>
        <v>1418.16</v>
      </c>
      <c r="F986" s="81" t="n">
        <f aca="false">+F474</f>
        <v>1305.73</v>
      </c>
      <c r="G986" s="81" t="n">
        <f aca="false">+G474</f>
        <v>1088.93</v>
      </c>
      <c r="H986" s="81" t="n">
        <f aca="false">+H474</f>
        <v>877.44</v>
      </c>
      <c r="I986" s="81" t="n">
        <f aca="false">+I474</f>
        <v>549.76</v>
      </c>
      <c r="J986" s="81" t="n">
        <f aca="false">+J474</f>
        <v>434.7</v>
      </c>
      <c r="K986" s="81" t="n">
        <f aca="false">+K474</f>
        <v>506.84</v>
      </c>
      <c r="L986" s="81" t="n">
        <f aca="false">+L474</f>
        <v>523.98</v>
      </c>
      <c r="M986" s="81" t="n">
        <f aca="false">+M474</f>
        <v>572.38</v>
      </c>
      <c r="N986" s="81" t="n">
        <f aca="false">+N474</f>
        <v>544.9916</v>
      </c>
      <c r="O986" s="81" t="n">
        <f aca="false">+O474</f>
        <v>548.95</v>
      </c>
      <c r="P986" s="81" t="n">
        <f aca="false">+P474</f>
        <v>943.08</v>
      </c>
      <c r="Q986" s="81" t="n">
        <f aca="false">+Q474</f>
        <v>1005.71</v>
      </c>
      <c r="R986" s="81" t="n">
        <f aca="false">+R474</f>
        <v>1367.324</v>
      </c>
      <c r="S986" s="81" t="n">
        <f aca="false">+S474</f>
        <v>911.665</v>
      </c>
      <c r="T986" s="75"/>
      <c r="U986" s="75"/>
      <c r="V986" s="75"/>
    </row>
    <row r="987" customFormat="false" ht="12.75" hidden="false" customHeight="true" outlineLevel="0" collapsed="false">
      <c r="A987" s="370" t="s">
        <v>716</v>
      </c>
      <c r="B987" s="165" t="n">
        <f aca="false">SUM(B983:B986)</f>
        <v>1195.63</v>
      </c>
      <c r="C987" s="165" t="n">
        <f aca="false">SUM(C983:C986)</f>
        <v>1719.98</v>
      </c>
      <c r="D987" s="165" t="n">
        <f aca="false">SUM(D983:D986)</f>
        <v>-2236.64</v>
      </c>
      <c r="E987" s="165" t="n">
        <f aca="false">SUM(E983:E986)</f>
        <v>-856.430000000004</v>
      </c>
      <c r="F987" s="165" t="n">
        <f aca="false">SUM(F983:F986)</f>
        <v>1167.45</v>
      </c>
      <c r="G987" s="165" t="n">
        <f aca="false">SUM(G983:G986)</f>
        <v>3265.681576</v>
      </c>
      <c r="H987" s="165" t="n">
        <f aca="false">SUM(H983:H986)</f>
        <v>6715.02837829599</v>
      </c>
      <c r="I987" s="165" t="n">
        <f aca="false">SUM(I983:I986)</f>
        <v>2652.31</v>
      </c>
      <c r="J987" s="165" t="n">
        <f aca="false">SUM(J983:J986)</f>
        <v>4428.63</v>
      </c>
      <c r="K987" s="165" t="n">
        <f aca="false">SUM(K983:K986)</f>
        <v>5077.57</v>
      </c>
      <c r="L987" s="165" t="n">
        <f aca="false">SUM(L983:L986)</f>
        <v>5268.49000000001</v>
      </c>
      <c r="M987" s="165" t="n">
        <f aca="false">SUM(M983:M986)</f>
        <v>6190.23</v>
      </c>
      <c r="N987" s="165" t="n">
        <f aca="false">SUM(N983:N986)</f>
        <v>5166.4316</v>
      </c>
      <c r="O987" s="165" t="n">
        <f aca="false">SUM(O983:O986)</f>
        <v>5100.72999999999</v>
      </c>
      <c r="P987" s="165" t="n">
        <f aca="false">SUM(P983:P986)</f>
        <v>5514.9</v>
      </c>
      <c r="Q987" s="165" t="n">
        <f aca="false">SUM(Q983:Q986)</f>
        <v>10448.69</v>
      </c>
      <c r="R987" s="165" t="n">
        <f aca="false">SUM(R983:R986)</f>
        <v>-112.952999999987</v>
      </c>
      <c r="S987" s="165" t="n">
        <f aca="false">SUM(S983:S986)</f>
        <v>8711.60500000002</v>
      </c>
      <c r="T987" s="157"/>
      <c r="U987" s="157"/>
      <c r="V987" s="157"/>
    </row>
    <row r="988" customFormat="false" ht="12.75" hidden="false" customHeight="true" outlineLevel="0" collapsed="false">
      <c r="A988" s="371"/>
    </row>
    <row r="989" customFormat="false" ht="12.75" hidden="false" customHeight="true" outlineLevel="0" collapsed="false">
      <c r="A989" s="369" t="s">
        <v>717</v>
      </c>
      <c r="B989" s="81" t="n">
        <f aca="false">-B49</f>
        <v>-835.55</v>
      </c>
      <c r="C989" s="81" t="n">
        <f aca="false">-C49</f>
        <v>-671.57</v>
      </c>
      <c r="D989" s="81" t="n">
        <f aca="false">-D49</f>
        <v>-751.67</v>
      </c>
      <c r="E989" s="81" t="n">
        <f aca="false">-E49</f>
        <v>-990.46</v>
      </c>
      <c r="F989" s="81" t="n">
        <f aca="false">-F49</f>
        <v>-1369.45</v>
      </c>
      <c r="G989" s="81" t="n">
        <f aca="false">-G49</f>
        <v>-1724.3</v>
      </c>
      <c r="H989" s="81" t="n">
        <f aca="false">-H49</f>
        <v>-1534.57</v>
      </c>
      <c r="I989" s="81" t="n">
        <f aca="false">-I49</f>
        <v>-1400.67</v>
      </c>
      <c r="J989" s="81" t="n">
        <f aca="false">-J49</f>
        <v>-1349.37</v>
      </c>
      <c r="K989" s="81" t="n">
        <f aca="false">-K49</f>
        <v>-1152.53</v>
      </c>
      <c r="L989" s="81" t="n">
        <f aca="false">-L49</f>
        <v>-956.15</v>
      </c>
      <c r="M989" s="81" t="n">
        <f aca="false">-M49</f>
        <v>-594.09</v>
      </c>
      <c r="N989" s="81" t="n">
        <f aca="false">-N49</f>
        <v>-304.01</v>
      </c>
      <c r="O989" s="81" t="n">
        <f aca="false">-O49</f>
        <v>-383.74</v>
      </c>
      <c r="P989" s="81" t="n">
        <f aca="false">-P49</f>
        <v>-288.37</v>
      </c>
      <c r="Q989" s="81" t="n">
        <f aca="false">-Q49</f>
        <v>-763.12</v>
      </c>
      <c r="R989" s="81" t="n">
        <f aca="false">-R49</f>
        <v>-1603.183</v>
      </c>
      <c r="S989" s="81" t="n">
        <f aca="false">-S49</f>
        <v>-1018.515</v>
      </c>
      <c r="T989" s="75"/>
      <c r="U989" s="75"/>
      <c r="V989" s="75"/>
    </row>
    <row r="990" customFormat="false" ht="12.75" hidden="false" customHeight="true" outlineLevel="0" collapsed="false">
      <c r="A990" s="369" t="s">
        <v>718</v>
      </c>
      <c r="B990" s="46" t="n">
        <f aca="false">-B714-B715</f>
        <v>-69.48</v>
      </c>
      <c r="C990" s="46" t="n">
        <f aca="false">-C714-C715</f>
        <v>-194.34</v>
      </c>
      <c r="D990" s="46" t="n">
        <f aca="false">-D714-D715</f>
        <v>-295.11</v>
      </c>
      <c r="E990" s="46" t="n">
        <f aca="false">-E714-E715</f>
        <v>-475.72</v>
      </c>
      <c r="F990" s="46" t="n">
        <f aca="false">-F714-F715</f>
        <v>-654.06</v>
      </c>
      <c r="G990" s="46" t="n">
        <f aca="false">-G714-G715</f>
        <v>-130.8219</v>
      </c>
      <c r="H990" s="46" t="n">
        <f aca="false">-H714-H715</f>
        <v>-130.8219</v>
      </c>
      <c r="I990" s="46" t="n">
        <f aca="false">-I714-I715</f>
        <v>-457.875</v>
      </c>
      <c r="J990" s="46" t="n">
        <f aca="false">-J714-J715</f>
        <v>-524.24</v>
      </c>
      <c r="K990" s="46" t="n">
        <f aca="false">-K714-K715</f>
        <v>-535.18</v>
      </c>
      <c r="L990" s="46" t="n">
        <f aca="false">-L714-L715</f>
        <v>-670.83</v>
      </c>
      <c r="M990" s="46" t="n">
        <f aca="false">-M714-M715</f>
        <v>-1006.25</v>
      </c>
      <c r="N990" s="46" t="n">
        <f aca="false">-N714-N715</f>
        <v>-1358.38</v>
      </c>
      <c r="O990" s="46" t="n">
        <f aca="false">-O714-O715</f>
        <v>-1821.96</v>
      </c>
      <c r="P990" s="46" t="n">
        <f aca="false">-P714-P715</f>
        <v>-2264.32</v>
      </c>
      <c r="Q990" s="46" t="n">
        <f aca="false">-Q714-Q715</f>
        <v>-2337.22</v>
      </c>
      <c r="R990" s="46" t="n">
        <f aca="false">-R714-R715</f>
        <v>-1556.479</v>
      </c>
      <c r="S990" s="46" t="n">
        <f aca="false">-S714-S715</f>
        <v>-2326.936</v>
      </c>
    </row>
    <row r="991" customFormat="false" ht="12.75" hidden="false" customHeight="true" outlineLevel="0" collapsed="false">
      <c r="A991" s="369" t="s">
        <v>719</v>
      </c>
      <c r="B991" s="81" t="n">
        <f aca="false">-B56</f>
        <v>-0</v>
      </c>
      <c r="C991" s="81" t="n">
        <f aca="false">-C56</f>
        <v>-0</v>
      </c>
      <c r="D991" s="81" t="n">
        <f aca="false">-D56</f>
        <v>-0</v>
      </c>
      <c r="E991" s="81" t="n">
        <f aca="false">-E56</f>
        <v>-205</v>
      </c>
      <c r="F991" s="81" t="n">
        <f aca="false">-F56</f>
        <v>-321</v>
      </c>
      <c r="G991" s="81" t="n">
        <f aca="false">-G56</f>
        <v>-22.5</v>
      </c>
      <c r="H991" s="81" t="n">
        <f aca="false">-H56</f>
        <v>-29.5</v>
      </c>
      <c r="I991" s="81" t="n">
        <f aca="false">-I56</f>
        <v>-148</v>
      </c>
      <c r="J991" s="81" t="n">
        <f aca="false">-J56</f>
        <v>-102.6</v>
      </c>
      <c r="K991" s="278" t="n">
        <f aca="false">-K56+92.5</f>
        <v>-307</v>
      </c>
      <c r="L991" s="278" t="n">
        <f aca="false">-L56+56.4</f>
        <v>-442.5</v>
      </c>
      <c r="M991" s="278" t="n">
        <f aca="false">-M56+190.45</f>
        <v>-738.35</v>
      </c>
      <c r="N991" s="170" t="n">
        <f aca="false">-895</f>
        <v>-895</v>
      </c>
      <c r="O991" s="81" t="n">
        <f aca="false">-O56</f>
        <v>-1249.8</v>
      </c>
      <c r="P991" s="81" t="n">
        <f aca="false">-P56</f>
        <v>-1632.2</v>
      </c>
      <c r="Q991" s="81" t="n">
        <f aca="false">-Q56</f>
        <v>-1688.4</v>
      </c>
      <c r="R991" s="81" t="n">
        <f aca="false">-R56</f>
        <v>-184.5</v>
      </c>
      <c r="S991" s="81" t="n">
        <f aca="false">-S56</f>
        <v>-1211</v>
      </c>
      <c r="T991" s="75"/>
      <c r="U991" s="75"/>
      <c r="V991" s="75"/>
    </row>
    <row r="992" customFormat="false" ht="12.75" hidden="false" customHeight="true" outlineLevel="0" collapsed="false">
      <c r="A992" s="369" t="s">
        <v>720</v>
      </c>
      <c r="C992" s="46" t="n">
        <f aca="false">-((C825-B825)+(C829-B829))</f>
        <v>-2042.38</v>
      </c>
      <c r="D992" s="46" t="n">
        <f aca="false">-((D825-C825)+(D829-C829))</f>
        <v>-1270.26</v>
      </c>
      <c r="E992" s="46" t="n">
        <f aca="false">-((E825-D825)+(E829-D829))</f>
        <v>-1768.44</v>
      </c>
      <c r="F992" s="46" t="n">
        <f aca="false">-((F825-E825)+(F829-E829))</f>
        <v>-1903.96</v>
      </c>
      <c r="G992" s="46" t="n">
        <f aca="false">-((G825-F825)+(G829-F829))</f>
        <v>-1279.79</v>
      </c>
      <c r="H992" s="46" t="n">
        <f aca="false">-((H825-G825)+(H829-G829))</f>
        <v>-1211.84</v>
      </c>
      <c r="I992" s="46" t="n">
        <f aca="false">-((I825-H825)+(I829-H829))</f>
        <v>-552.229999999999</v>
      </c>
      <c r="J992" s="46" t="n">
        <f aca="false">-((J825-I825)+(J829-I829))</f>
        <v>-939.02</v>
      </c>
      <c r="K992" s="46" t="n">
        <f aca="false">-((K825-J825)+(K829-J829))</f>
        <v>-1250.41</v>
      </c>
      <c r="L992" s="46" t="n">
        <f aca="false">-((L825-K825)+(L829-K829))</f>
        <v>-1052.22</v>
      </c>
      <c r="M992" s="46" t="n">
        <f aca="false">-((M825-L825)+(M829-L829))</f>
        <v>-725.25</v>
      </c>
      <c r="N992" s="90" t="n">
        <f aca="false">-((N825-M825)+(N829-M829))</f>
        <v>-1654.92</v>
      </c>
      <c r="O992" s="46" t="n">
        <f aca="false">-((O825-N825)+(O829-N829))</f>
        <v>-1925.11</v>
      </c>
      <c r="P992" s="46" t="n">
        <f aca="false">-((P825-O825)+(P829-O829))</f>
        <v>-5777.72</v>
      </c>
      <c r="Q992" s="46" t="n">
        <f aca="false">-((Q825-P825)+(Q829-P829))</f>
        <v>-6139.95</v>
      </c>
      <c r="R992" s="46" t="n">
        <f aca="false">-((R825-Q825)+(R829-Q829))</f>
        <v>-24798.786</v>
      </c>
      <c r="S992" s="46" t="n">
        <f aca="false">-((S825-R825)+(S829-R829))</f>
        <v>-6285.418</v>
      </c>
    </row>
    <row r="993" customFormat="false" ht="12.75" hidden="false" customHeight="true" outlineLevel="0" collapsed="false">
      <c r="A993" s="372" t="s">
        <v>721</v>
      </c>
      <c r="C993" s="48" t="n">
        <v>0</v>
      </c>
      <c r="D993" s="48" t="n">
        <v>0</v>
      </c>
      <c r="E993" s="48" t="n">
        <v>0</v>
      </c>
      <c r="F993" s="48" t="n">
        <v>0</v>
      </c>
      <c r="G993" s="48" t="n">
        <v>0</v>
      </c>
      <c r="H993" s="48" t="n">
        <v>0</v>
      </c>
      <c r="I993" s="48" t="n">
        <v>0</v>
      </c>
      <c r="J993" s="48" t="n">
        <v>0</v>
      </c>
      <c r="K993" s="48" t="n">
        <v>0</v>
      </c>
      <c r="L993" s="48" t="n">
        <v>0</v>
      </c>
      <c r="M993" s="48" t="n">
        <v>0</v>
      </c>
      <c r="N993" s="48" t="n">
        <v>0</v>
      </c>
      <c r="O993" s="48" t="n">
        <v>0</v>
      </c>
      <c r="P993" s="48" t="n">
        <v>0</v>
      </c>
      <c r="Q993" s="48" t="n">
        <v>0</v>
      </c>
      <c r="R993" s="48" t="n">
        <v>0</v>
      </c>
      <c r="S993" s="48" t="n">
        <v>0</v>
      </c>
    </row>
    <row r="994" customFormat="false" ht="12.75" hidden="false" customHeight="true" outlineLevel="0" collapsed="false">
      <c r="A994" s="372" t="s">
        <v>360</v>
      </c>
      <c r="C994" s="90" t="n">
        <f aca="false">-(C836-B836)</f>
        <v>-245.69</v>
      </c>
      <c r="D994" s="90" t="n">
        <f aca="false">-(D836-C836)</f>
        <v>-158</v>
      </c>
      <c r="E994" s="90" t="n">
        <f aca="false">-(E836-D836)</f>
        <v>-100.23</v>
      </c>
      <c r="F994" s="90" t="n">
        <f aca="false">-(F836-E836)</f>
        <v>198.35</v>
      </c>
      <c r="G994" s="90" t="n">
        <f aca="false">-(G836-F836)</f>
        <v>98.26</v>
      </c>
      <c r="H994" s="90" t="n">
        <f aca="false">-(H836-G836)</f>
        <v>-139.92</v>
      </c>
      <c r="I994" s="90" t="n">
        <f aca="false">-(I836-H836)</f>
        <v>-579.12</v>
      </c>
      <c r="J994" s="90" t="n">
        <f aca="false">-(J836-I836)</f>
        <v>24.2</v>
      </c>
      <c r="K994" s="90" t="n">
        <f aca="false">-(K836-J836)</f>
        <v>6.25999999999999</v>
      </c>
      <c r="L994" s="90" t="n">
        <f aca="false">-(L836-K836)</f>
        <v>-402.38</v>
      </c>
      <c r="M994" s="90" t="n">
        <f aca="false">-(M836-L836)</f>
        <v>109.74</v>
      </c>
      <c r="N994" s="90" t="n">
        <f aca="false">-(N836-M836)</f>
        <v>-825.879999999999</v>
      </c>
      <c r="O994" s="90" t="n">
        <f aca="false">-(O836-N836)</f>
        <v>-1389.88</v>
      </c>
      <c r="P994" s="90" t="n">
        <f aca="false">-(P836-O836)</f>
        <v>1470.84</v>
      </c>
      <c r="Q994" s="90" t="n">
        <f aca="false">-(Q836-P836)</f>
        <v>-3888.06</v>
      </c>
      <c r="R994" s="90" t="n">
        <f aca="false">-(R836-Q836)</f>
        <v>3463.429</v>
      </c>
      <c r="S994" s="90" t="n">
        <f aca="false">-(S836-R836)</f>
        <v>-625.978</v>
      </c>
      <c r="T994" s="40"/>
      <c r="U994" s="40"/>
      <c r="V994" s="40"/>
    </row>
    <row r="995" customFormat="false" ht="12.75" hidden="false" customHeight="true" outlineLevel="0" collapsed="false">
      <c r="A995" s="369" t="s">
        <v>373</v>
      </c>
      <c r="B995" s="19"/>
      <c r="C995" s="48" t="n">
        <v>50.9700000000007</v>
      </c>
      <c r="D995" s="48" t="n">
        <v>311.279999999999</v>
      </c>
      <c r="E995" s="48" t="n">
        <v>615.800000000002</v>
      </c>
      <c r="F995" s="48" t="n">
        <v>27.779999999997</v>
      </c>
      <c r="G995" s="48" t="n">
        <v>-959.83</v>
      </c>
      <c r="H995" s="48" t="n">
        <v>-220.16</v>
      </c>
      <c r="I995" s="48" t="n">
        <v>201.63</v>
      </c>
      <c r="J995" s="48" t="n">
        <v>120.269999999999</v>
      </c>
      <c r="K995" s="48" t="n">
        <v>-252.949999999998</v>
      </c>
      <c r="L995" s="48" t="n">
        <v>-457.44</v>
      </c>
      <c r="M995" s="48" t="n">
        <v>74.1599999999985</v>
      </c>
      <c r="N995" s="196" t="n">
        <v>416.75</v>
      </c>
      <c r="O995" s="196" t="n">
        <v>398.250000000012</v>
      </c>
      <c r="P995" s="196" t="n">
        <v>-1488.74999999999</v>
      </c>
      <c r="Q995" s="196" t="n">
        <v>558.041636261229</v>
      </c>
      <c r="R995" s="196" t="n">
        <v>766</v>
      </c>
      <c r="S995" s="196" t="n">
        <v>766</v>
      </c>
      <c r="T995" s="40"/>
      <c r="U995" s="40"/>
      <c r="V995" s="40"/>
    </row>
    <row r="996" customFormat="false" ht="12.75" hidden="false" customHeight="true" outlineLevel="0" collapsed="false">
      <c r="A996" s="369" t="s">
        <v>722</v>
      </c>
      <c r="C996" s="81" t="n">
        <f aca="false">+C54</f>
        <v>0</v>
      </c>
      <c r="D996" s="81" t="n">
        <f aca="false">+D54</f>
        <v>0</v>
      </c>
      <c r="E996" s="81" t="n">
        <f aca="false">+E54</f>
        <v>0</v>
      </c>
      <c r="F996" s="81" t="n">
        <f aca="false">+F54</f>
        <v>0</v>
      </c>
      <c r="G996" s="81" t="n">
        <f aca="false">+G54</f>
        <v>0</v>
      </c>
      <c r="H996" s="81" t="n">
        <f aca="false">+H54</f>
        <v>0</v>
      </c>
      <c r="I996" s="81" t="n">
        <f aca="false">+I54</f>
        <v>0</v>
      </c>
      <c r="J996" s="81" t="n">
        <f aca="false">+J54</f>
        <v>-54.68</v>
      </c>
      <c r="K996" s="81" t="n">
        <f aca="false">+K54</f>
        <v>-40.43</v>
      </c>
      <c r="L996" s="81" t="n">
        <f aca="false">+L54</f>
        <v>-107.41</v>
      </c>
      <c r="M996" s="81" t="n">
        <f aca="false">+M54</f>
        <v>-95.19</v>
      </c>
      <c r="N996" s="81" t="n">
        <f aca="false">+N54</f>
        <v>358.7584</v>
      </c>
      <c r="O996" s="81" t="n">
        <f aca="false">+O54</f>
        <v>217.15</v>
      </c>
      <c r="P996" s="81" t="n">
        <f aca="false">+P54</f>
        <v>-130.76</v>
      </c>
      <c r="Q996" s="81" t="n">
        <f aca="false">+Q54</f>
        <v>-127.37</v>
      </c>
      <c r="R996" s="81" t="n">
        <f aca="false">+R54</f>
        <v>-589.887</v>
      </c>
      <c r="S996" s="81" t="n">
        <f aca="false">+S54</f>
        <v>-32.715</v>
      </c>
      <c r="T996" s="75"/>
      <c r="U996" s="75"/>
      <c r="V996" s="75"/>
    </row>
    <row r="997" customFormat="false" ht="12.75" hidden="false" customHeight="true" outlineLevel="0" collapsed="false">
      <c r="A997" s="369" t="s">
        <v>723</v>
      </c>
      <c r="C997" s="46" t="n">
        <f aca="false">C773-B773+C776-B776</f>
        <v>431.79</v>
      </c>
      <c r="D997" s="46" t="n">
        <f aca="false">D773-C773+D776-C776</f>
        <v>4631.27</v>
      </c>
      <c r="E997" s="46" t="n">
        <f aca="false">E773-D773+E776-D776</f>
        <v>0.210000000000036</v>
      </c>
      <c r="F997" s="46" t="n">
        <f aca="false">F773-E773+F776-E776</f>
        <v>0</v>
      </c>
      <c r="G997" s="46" t="n">
        <f aca="false">G773-F773+G776-F776</f>
        <v>0</v>
      </c>
      <c r="H997" s="48" t="n">
        <v>0</v>
      </c>
      <c r="I997" s="46" t="n">
        <f aca="false">I773-H773+I776-H776</f>
        <v>0</v>
      </c>
      <c r="J997" s="46" t="n">
        <f aca="false">J773-I773+J776-I776</f>
        <v>0</v>
      </c>
      <c r="K997" s="46" t="n">
        <f aca="false">K773-J773+K776-J776</f>
        <v>0</v>
      </c>
      <c r="L997" s="48" t="n">
        <v>0</v>
      </c>
      <c r="M997" s="46" t="n">
        <f aca="false">M773-L773+M776-L776</f>
        <v>0</v>
      </c>
      <c r="N997" s="48" t="n">
        <v>0</v>
      </c>
      <c r="O997" s="62" t="n">
        <f aca="false">O773-N773+O776-N776</f>
        <v>1001.08</v>
      </c>
      <c r="P997" s="62" t="n">
        <f aca="false">P773-O773+P776-O776</f>
        <v>3170.79</v>
      </c>
      <c r="Q997" s="46" t="n">
        <f aca="false">Q773-P773+Q776-P776</f>
        <v>194.040000000001</v>
      </c>
      <c r="R997" s="46" t="n">
        <f aca="false">R773-Q773+R776-Q776</f>
        <v>-0.00200000000040745</v>
      </c>
      <c r="S997" s="46" t="n">
        <f aca="false">S773-R773+S776-R776</f>
        <v>0</v>
      </c>
    </row>
    <row r="998" s="145" customFormat="true" ht="12.75" hidden="false" customHeight="true" outlineLevel="0" collapsed="false">
      <c r="A998" s="286" t="s">
        <v>724</v>
      </c>
      <c r="C998" s="67" t="n">
        <f aca="false">C987+SUM(C989:C997)</f>
        <v>-951.24</v>
      </c>
      <c r="D998" s="67" t="n">
        <f aca="false">D987+SUM(D989:D997)</f>
        <v>230.869999999997</v>
      </c>
      <c r="E998" s="67" t="n">
        <f aca="false">E987+SUM(E989:E997)</f>
        <v>-3780.27</v>
      </c>
      <c r="F998" s="67" t="n">
        <f aca="false">F987+SUM(F989:F997)</f>
        <v>-2854.89</v>
      </c>
      <c r="G998" s="67" t="n">
        <f aca="false">G987+SUM(G989:G997)</f>
        <v>-753.300324000001</v>
      </c>
      <c r="H998" s="67" t="n">
        <f aca="false">H987+SUM(H989:H997)</f>
        <v>3448.21647829599</v>
      </c>
      <c r="I998" s="67" t="n">
        <f aca="false">I987+SUM(I989:I997)</f>
        <v>-283.954999999998</v>
      </c>
      <c r="J998" s="67" t="n">
        <f aca="false">J987+SUM(J989:J997)</f>
        <v>1603.19</v>
      </c>
      <c r="K998" s="67" t="n">
        <f aca="false">K987+SUM(K989:K997)</f>
        <v>1545.33</v>
      </c>
      <c r="L998" s="67" t="n">
        <f aca="false">L987+SUM(L989:L997)</f>
        <v>1179.56000000001</v>
      </c>
      <c r="M998" s="67" t="n">
        <f aca="false">M987+SUM(M989:M997)</f>
        <v>3215</v>
      </c>
      <c r="N998" s="67" t="n">
        <f aca="false">N987+SUM(N989:N997)</f>
        <v>903.750000000001</v>
      </c>
      <c r="O998" s="67" t="n">
        <f aca="false">O987+SUM(O989:O997)</f>
        <v>-53.2799999999988</v>
      </c>
      <c r="P998" s="67" t="n">
        <f aca="false">P987+SUM(P989:P997)</f>
        <v>-1425.58999999999</v>
      </c>
      <c r="Q998" s="67" t="n">
        <f aca="false">Q987+SUM(Q989:Q997)</f>
        <v>-3743.34836373877</v>
      </c>
      <c r="R998" s="67" t="n">
        <f aca="false">R987+SUM(R989:R997)</f>
        <v>-24616.361</v>
      </c>
      <c r="S998" s="67" t="n">
        <f aca="false">S987+SUM(S989:S997)</f>
        <v>-2022.95699999998</v>
      </c>
      <c r="AA998" s="252"/>
      <c r="AF998" s="252"/>
      <c r="AG998" s="252"/>
    </row>
    <row r="1000" customFormat="false" ht="12" hidden="false" customHeight="true" outlineLevel="0" collapsed="false">
      <c r="A1000" s="69" t="s">
        <v>245</v>
      </c>
      <c r="B1000" s="46" t="n">
        <f aca="false">B861-B803</f>
        <v>-4339.5</v>
      </c>
      <c r="C1000" s="46" t="n">
        <f aca="false">C861-C803</f>
        <v>-5290.74</v>
      </c>
      <c r="D1000" s="46" t="n">
        <f aca="false">D861-D803</f>
        <v>-5059.87</v>
      </c>
      <c r="E1000" s="46" t="n">
        <f aca="false">E861-E803</f>
        <v>-8840.14</v>
      </c>
      <c r="F1000" s="46" t="n">
        <f aca="false">F861-F803</f>
        <v>-11695.03</v>
      </c>
      <c r="G1000" s="46" t="n">
        <f aca="false">G861-G803</f>
        <v>-12448.33</v>
      </c>
      <c r="H1000" s="46" t="n">
        <f aca="false">H861-H803</f>
        <v>-9000.11</v>
      </c>
      <c r="I1000" s="46" t="n">
        <f aca="false">I861-I803</f>
        <v>-9284.07</v>
      </c>
      <c r="J1000" s="46" t="n">
        <f aca="false">J861-J803</f>
        <v>-7680.88</v>
      </c>
      <c r="K1000" s="46" t="n">
        <f aca="false">K861-K803</f>
        <v>-6135.55</v>
      </c>
      <c r="L1000" s="46" t="n">
        <f aca="false">L861-L803</f>
        <v>-4955.99</v>
      </c>
      <c r="M1000" s="46" t="n">
        <f aca="false">M861-M803</f>
        <v>-1740.99</v>
      </c>
      <c r="N1000" s="46" t="n">
        <f aca="false">N861-N803</f>
        <v>-837.24</v>
      </c>
      <c r="O1000" s="37" t="n">
        <f aca="false">O861-O803</f>
        <v>-890.52</v>
      </c>
      <c r="P1000" s="46" t="n">
        <f aca="false">P861-P803</f>
        <v>-2054.59</v>
      </c>
      <c r="Q1000" s="46" t="n">
        <f aca="false">Q861-Q803</f>
        <v>-4361.31</v>
      </c>
      <c r="R1000" s="46" t="n">
        <f aca="false">R861-R803</f>
        <v>-18700.603</v>
      </c>
      <c r="S1000" s="46" t="n">
        <f aca="false">S861-S803</f>
        <v>-16849.713</v>
      </c>
    </row>
    <row r="1001" customFormat="false" ht="12" hidden="false" customHeight="true" outlineLevel="0" collapsed="false">
      <c r="C1001" s="46" t="n">
        <f aca="false">C1000-B1000</f>
        <v>-951.239999999998</v>
      </c>
      <c r="D1001" s="46" t="n">
        <f aca="false">D1000-C1000</f>
        <v>230.869999999999</v>
      </c>
      <c r="E1001" s="46" t="n">
        <f aca="false">E1000-D1000</f>
        <v>-3780.27</v>
      </c>
      <c r="F1001" s="46" t="n">
        <f aca="false">F1000-E1000</f>
        <v>-2854.89</v>
      </c>
      <c r="G1001" s="46" t="n">
        <f aca="false">G1000-F1000</f>
        <v>-753.299999999998</v>
      </c>
      <c r="H1001" s="46" t="n">
        <f aca="false">H1000-G1000</f>
        <v>3448.22</v>
      </c>
      <c r="I1001" s="46" t="n">
        <f aca="false">I1000-H1000</f>
        <v>-283.959999999999</v>
      </c>
      <c r="J1001" s="46" t="n">
        <f aca="false">J1000-I1000</f>
        <v>1603.19</v>
      </c>
      <c r="K1001" s="46" t="n">
        <f aca="false">K1000-J1000</f>
        <v>1545.33</v>
      </c>
      <c r="L1001" s="46" t="n">
        <f aca="false">L1000-K1000</f>
        <v>1179.56</v>
      </c>
      <c r="M1001" s="46" t="n">
        <f aca="false">M1000-L1000</f>
        <v>3215</v>
      </c>
      <c r="N1001" s="46" t="n">
        <f aca="false">N1000-M1000</f>
        <v>903.75</v>
      </c>
      <c r="O1001" s="46" t="n">
        <f aca="false">O1000-N1000</f>
        <v>-53.2799999999997</v>
      </c>
      <c r="P1001" s="46" t="n">
        <f aca="false">P1000-O1000</f>
        <v>-1164.07</v>
      </c>
      <c r="Q1001" s="46" t="n">
        <f aca="false">Q1000-P1000</f>
        <v>-2306.72</v>
      </c>
      <c r="R1001" s="46" t="n">
        <f aca="false">R1000-Q1000</f>
        <v>-14339.293</v>
      </c>
      <c r="S1001" s="46" t="n">
        <f aca="false">S1000-R1000</f>
        <v>1850.89</v>
      </c>
    </row>
    <row r="1002" customFormat="false" ht="12" hidden="false" customHeight="true" outlineLevel="0" collapsed="false">
      <c r="A1002" s="76"/>
    </row>
    <row r="1003" customFormat="false" ht="12.75" hidden="false" customHeight="true" outlineLevel="0" collapsed="false">
      <c r="A1003" s="69" t="s">
        <v>725</v>
      </c>
      <c r="C1003" s="81" t="n">
        <f aca="false">C1001-C998</f>
        <v>0</v>
      </c>
      <c r="D1003" s="81" t="n">
        <f aca="false">D1001-D998</f>
        <v>1.81898940354586E-012</v>
      </c>
      <c r="E1003" s="81" t="n">
        <f aca="false">E1001-E998</f>
        <v>0</v>
      </c>
      <c r="F1003" s="81" t="n">
        <f aca="false">F1001-F998</f>
        <v>0</v>
      </c>
      <c r="G1003" s="81" t="n">
        <f aca="false">G1001-G998</f>
        <v>0.000324000003274705</v>
      </c>
      <c r="H1003" s="81" t="n">
        <f aca="false">H1001-H998</f>
        <v>0.00352170400492469</v>
      </c>
      <c r="I1003" s="81" t="n">
        <f aca="false">I1001-I998</f>
        <v>-0.00500000000147338</v>
      </c>
      <c r="J1003" s="81" t="n">
        <f aca="false">J1001-J998</f>
        <v>0</v>
      </c>
      <c r="K1003" s="81" t="n">
        <f aca="false">K1001-K998</f>
        <v>0</v>
      </c>
      <c r="L1003" s="81" t="n">
        <f aca="false">L1001-L998</f>
        <v>-6.82121026329696E-012</v>
      </c>
      <c r="M1003" s="81" t="n">
        <f aca="false">M1001-M998</f>
        <v>0</v>
      </c>
      <c r="N1003" s="81" t="n">
        <f aca="false">N1001-N998</f>
        <v>0</v>
      </c>
      <c r="O1003" s="81" t="n">
        <f aca="false">O1001-O998</f>
        <v>-9.09494701772928E-013</v>
      </c>
      <c r="P1003" s="81" t="n">
        <f aca="false">P1001-P998</f>
        <v>261.519999999992</v>
      </c>
      <c r="Q1003" s="81" t="n">
        <f aca="false">Q1001-Q998</f>
        <v>1436.62836373877</v>
      </c>
      <c r="R1003" s="81" t="n">
        <f aca="false">R1001-R998</f>
        <v>10277.068</v>
      </c>
      <c r="S1003" s="81" t="n">
        <f aca="false">S1001-S998</f>
        <v>3873.84699999998</v>
      </c>
      <c r="T1003" s="373"/>
      <c r="U1003" s="373"/>
      <c r="V1003" s="373"/>
    </row>
    <row r="1004" customFormat="false" ht="12" hidden="false" customHeight="true" outlineLevel="0" collapsed="false">
      <c r="B1004" s="40"/>
      <c r="C1004" s="40"/>
      <c r="D1004" s="40"/>
      <c r="E1004" s="40"/>
      <c r="F1004" s="40"/>
      <c r="G1004" s="40"/>
      <c r="H1004" s="40"/>
      <c r="I1004" s="40"/>
      <c r="J1004" s="40"/>
      <c r="K1004" s="40"/>
      <c r="L1004" s="40"/>
      <c r="M1004" s="40"/>
    </row>
    <row r="1005" s="376" customFormat="true" ht="12.75" hidden="false" customHeight="true" outlineLevel="0" collapsed="false">
      <c r="A1005" s="374" t="s">
        <v>726</v>
      </c>
      <c r="B1005" s="375"/>
      <c r="C1005" s="375"/>
      <c r="D1005" s="375"/>
      <c r="E1005" s="375"/>
      <c r="F1005" s="375"/>
      <c r="I1005" s="375"/>
      <c r="J1005" s="375"/>
      <c r="L1005" s="375"/>
      <c r="AA1005" s="377"/>
      <c r="AF1005" s="377"/>
      <c r="AG1005" s="377"/>
    </row>
    <row r="1006" customFormat="false" ht="12" hidden="false" customHeight="true" outlineLevel="0" collapsed="false">
      <c r="B1006" s="75"/>
      <c r="C1006" s="75"/>
      <c r="D1006" s="75"/>
      <c r="E1006" s="75"/>
      <c r="F1006" s="75"/>
      <c r="I1006" s="75"/>
      <c r="J1006" s="75"/>
      <c r="L1006" s="75"/>
    </row>
    <row r="1007" customFormat="false" ht="12.75" hidden="false" customHeight="true" outlineLevel="0" collapsed="false">
      <c r="A1007" s="369" t="s">
        <v>241</v>
      </c>
      <c r="B1007" s="75"/>
      <c r="C1007" s="62" t="n">
        <f aca="false">+C55-C54</f>
        <v>353.3</v>
      </c>
      <c r="D1007" s="62" t="n">
        <f aca="false">+D55-D54</f>
        <v>705.899999999997</v>
      </c>
      <c r="E1007" s="62" t="n">
        <f aca="false">+E55-E54</f>
        <v>1335.83</v>
      </c>
      <c r="F1007" s="62" t="n">
        <f aca="false">+F55-F54</f>
        <v>1570.35</v>
      </c>
      <c r="G1007" s="62" t="n">
        <f aca="false">+G55-G54</f>
        <v>206.681575999999</v>
      </c>
      <c r="H1007" s="62" t="n">
        <f aca="false">+H55-H54</f>
        <v>236.688378295995</v>
      </c>
      <c r="I1007" s="62" t="n">
        <f aca="false">+I55-I54</f>
        <v>932.870000000003</v>
      </c>
      <c r="J1007" s="62" t="n">
        <f aca="false">+J55-J54</f>
        <v>1074.09</v>
      </c>
      <c r="K1007" s="62" t="n">
        <f aca="false">+K55-K54</f>
        <v>1362.49</v>
      </c>
      <c r="L1007" s="62" t="n">
        <f aca="false">+L55-L54</f>
        <v>1808.43</v>
      </c>
      <c r="M1007" s="62" t="n">
        <f aca="false">+M55-M54</f>
        <v>2959.79</v>
      </c>
      <c r="N1007" s="62" t="n">
        <f aca="false">+N55-N54</f>
        <v>3377.3416</v>
      </c>
      <c r="O1007" s="62" t="n">
        <f aca="false">+O55-O54</f>
        <v>4305.84999999999</v>
      </c>
      <c r="P1007" s="62" t="n">
        <f aca="false">+P55-P54</f>
        <v>6175.82</v>
      </c>
      <c r="Q1007" s="62" t="n">
        <f aca="false">+Q55-Q54</f>
        <v>6508.87</v>
      </c>
      <c r="R1007" s="62" t="n">
        <f aca="false">+R55-R54</f>
        <v>2674.35000000001</v>
      </c>
      <c r="S1007" s="62" t="n">
        <f aca="false">+S55-S54</f>
        <v>5480.46200000003</v>
      </c>
      <c r="T1007" s="62" t="n">
        <f aca="false">+T55-T54</f>
        <v>8517.99300000001</v>
      </c>
      <c r="U1007" s="62" t="n">
        <f aca="false">+U55-U54</f>
        <v>6883.788</v>
      </c>
      <c r="V1007" s="62" t="n">
        <f aca="false">+V55-V54</f>
        <v>1811.506</v>
      </c>
      <c r="W1007" s="62" t="n">
        <f aca="false">+W55-W54</f>
        <v>-5968.77800000002</v>
      </c>
      <c r="X1007" s="62" t="n">
        <f aca="false">+X55-X54</f>
        <v>3412.60800000001</v>
      </c>
      <c r="Y1007" s="62" t="n">
        <f aca="false">+Y55</f>
        <v>8265.36700000002</v>
      </c>
      <c r="Z1007" s="62" t="n">
        <f aca="false">+Z55</f>
        <v>16540.862</v>
      </c>
      <c r="AA1007" s="62" t="n">
        <f aca="false">+AA55</f>
        <v>22307.154</v>
      </c>
      <c r="AB1007" s="62" t="n">
        <f aca="false">+AB55</f>
        <v>24967.9999999999</v>
      </c>
      <c r="AC1007" s="62" t="n">
        <f aca="false">+AC55</f>
        <v>3619.2</v>
      </c>
      <c r="AD1007" s="62" t="n">
        <f aca="false">+AD55</f>
        <v>-4119.10000000001</v>
      </c>
      <c r="AE1007" s="62" t="n">
        <f aca="false">+AE55</f>
        <v>5276.10000000001</v>
      </c>
      <c r="AF1007" s="62" t="n">
        <f aca="false">+AF55</f>
        <v>21104</v>
      </c>
      <c r="AG1007" s="62" t="n">
        <f aca="false">+AG55</f>
        <v>37921.8000000001</v>
      </c>
      <c r="AH1007" s="62" t="n">
        <f aca="false">+AH55</f>
        <v>43482.9</v>
      </c>
      <c r="AI1007" s="62" t="n">
        <f aca="false">+AI55</f>
        <v>48140.2000000002</v>
      </c>
      <c r="AJ1007" s="62" t="n">
        <f aca="false">+AJ55</f>
        <v>52122.4502817522</v>
      </c>
      <c r="AK1007" s="62" t="n">
        <f aca="false">+AK55</f>
        <v>58460.772777821</v>
      </c>
      <c r="AL1007" s="62" t="n">
        <f aca="false">+AL55</f>
        <v>63335.7268908518</v>
      </c>
    </row>
    <row r="1008" customFormat="false" ht="12.75" hidden="false" customHeight="true" outlineLevel="0" collapsed="false">
      <c r="A1008" s="369" t="s">
        <v>719</v>
      </c>
      <c r="B1008" s="75"/>
      <c r="C1008" s="62" t="n">
        <f aca="false">-C56</f>
        <v>-0</v>
      </c>
      <c r="D1008" s="62" t="n">
        <f aca="false">-D56</f>
        <v>-0</v>
      </c>
      <c r="E1008" s="62" t="n">
        <f aca="false">-E56</f>
        <v>-205</v>
      </c>
      <c r="F1008" s="62" t="n">
        <f aca="false">-F56</f>
        <v>-321</v>
      </c>
      <c r="G1008" s="62" t="n">
        <f aca="false">-G56</f>
        <v>-22.5</v>
      </c>
      <c r="H1008" s="62" t="n">
        <f aca="false">-H56</f>
        <v>-29.5</v>
      </c>
      <c r="I1008" s="62" t="n">
        <f aca="false">-I56</f>
        <v>-148</v>
      </c>
      <c r="J1008" s="62" t="n">
        <f aca="false">-J56</f>
        <v>-102.6</v>
      </c>
      <c r="K1008" s="62" t="n">
        <f aca="false">-K56</f>
        <v>-399.5</v>
      </c>
      <c r="L1008" s="62" t="n">
        <f aca="false">-L56</f>
        <v>-498.9</v>
      </c>
      <c r="M1008" s="62" t="n">
        <f aca="false">-M56</f>
        <v>-928.8</v>
      </c>
      <c r="N1008" s="62" t="n">
        <f aca="false">-N56</f>
        <v>-1022</v>
      </c>
      <c r="O1008" s="62" t="n">
        <f aca="false">-O56</f>
        <v>-1249.8</v>
      </c>
      <c r="P1008" s="62" t="n">
        <f aca="false">-P56</f>
        <v>-1632.2</v>
      </c>
      <c r="Q1008" s="62" t="n">
        <f aca="false">-Q56</f>
        <v>-1688.4</v>
      </c>
      <c r="R1008" s="62" t="n">
        <f aca="false">-R56</f>
        <v>-184.5</v>
      </c>
      <c r="S1008" s="62" t="n">
        <f aca="false">-S56</f>
        <v>-1211</v>
      </c>
      <c r="T1008" s="62" t="n">
        <f aca="false">-T56</f>
        <v>-1705</v>
      </c>
      <c r="U1008" s="62" t="n">
        <f aca="false">-U56</f>
        <v>-1240</v>
      </c>
      <c r="V1008" s="62" t="n">
        <f aca="false">-V56</f>
        <v>-370</v>
      </c>
      <c r="W1008" s="62" t="n">
        <f aca="false">-W56</f>
        <v>1206</v>
      </c>
      <c r="X1008" s="62" t="n">
        <f aca="false">-X56</f>
        <v>-1073.907</v>
      </c>
      <c r="Y1008" s="62" t="n">
        <f aca="false">-Y56</f>
        <v>-4369.382</v>
      </c>
      <c r="Z1008" s="62" t="n">
        <f aca="false">-Z56</f>
        <v>-4310.09</v>
      </c>
      <c r="AA1008" s="62" t="n">
        <f aca="false">-AA56</f>
        <v>-6681.258</v>
      </c>
      <c r="AB1008" s="62" t="n">
        <f aca="false">-AB56</f>
        <v>-5136</v>
      </c>
      <c r="AC1008" s="62" t="n">
        <f aca="false">-AC56</f>
        <v>-1224</v>
      </c>
      <c r="AD1008" s="62" t="n">
        <f aca="false">-AD56</f>
        <v>982.3</v>
      </c>
      <c r="AE1008" s="62" t="n">
        <f aca="false">-AE56</f>
        <v>142.2</v>
      </c>
      <c r="AF1008" s="62" t="n">
        <f aca="false">-AF56</f>
        <v>-7302.9</v>
      </c>
      <c r="AG1008" s="62" t="n">
        <f aca="false">-AG56</f>
        <v>-11743.1</v>
      </c>
      <c r="AH1008" s="62" t="n">
        <f aca="false">-AH56</f>
        <v>-10450</v>
      </c>
      <c r="AI1008" s="62" t="n">
        <f aca="false">-AI56</f>
        <v>-12484.9</v>
      </c>
      <c r="AJ1008" s="62" t="n">
        <f aca="false">-AJ56</f>
        <v>-13030.6125704381</v>
      </c>
      <c r="AK1008" s="62" t="n">
        <f aca="false">-AK56</f>
        <v>-14615.1931944552</v>
      </c>
      <c r="AL1008" s="62" t="n">
        <f aca="false">-AL56</f>
        <v>-15833.9317227129</v>
      </c>
    </row>
    <row r="1009" customFormat="false" ht="12.75" hidden="false" customHeight="true" outlineLevel="0" collapsed="false">
      <c r="A1009" s="369" t="s">
        <v>727</v>
      </c>
      <c r="B1009" s="75"/>
      <c r="C1009" s="62" t="n">
        <f aca="false">+C814-B814</f>
        <v>0</v>
      </c>
      <c r="D1009" s="62" t="n">
        <f aca="false">+D814-C814</f>
        <v>0</v>
      </c>
      <c r="E1009" s="62" t="n">
        <f aca="false">+E814-D814</f>
        <v>0</v>
      </c>
      <c r="F1009" s="62" t="n">
        <f aca="false">+F814-E814</f>
        <v>0</v>
      </c>
      <c r="G1009" s="62" t="n">
        <f aca="false">+G814-F814</f>
        <v>0</v>
      </c>
      <c r="H1009" s="62" t="n">
        <f aca="false">+H814-G814</f>
        <v>0</v>
      </c>
      <c r="I1009" s="62" t="n">
        <f aca="false">+I814-H814</f>
        <v>0</v>
      </c>
      <c r="J1009" s="62" t="n">
        <f aca="false">+J814-I814</f>
        <v>0</v>
      </c>
      <c r="K1009" s="62" t="n">
        <f aca="false">+K814-J814</f>
        <v>1891.5</v>
      </c>
      <c r="L1009" s="62" t="n">
        <f aca="false">+L814-K814</f>
        <v>-206.51</v>
      </c>
      <c r="M1009" s="62" t="n">
        <f aca="false">+M814-L814</f>
        <v>117.87</v>
      </c>
      <c r="N1009" s="62" t="n">
        <f aca="false">+N814-M814</f>
        <v>-94.3799999999999</v>
      </c>
      <c r="O1009" s="62" t="n">
        <f aca="false">+O814-N814</f>
        <v>88.4100000000001</v>
      </c>
      <c r="P1009" s="62" t="n">
        <f aca="false">+P814-O814</f>
        <v>172.4</v>
      </c>
      <c r="Q1009" s="62" t="n">
        <f aca="false">+Q814-P814</f>
        <v>568.91</v>
      </c>
      <c r="R1009" s="62" t="n">
        <f aca="false">+R814-Q814</f>
        <v>96.1690000000003</v>
      </c>
      <c r="S1009" s="62" t="n">
        <f aca="false">+S814-R814</f>
        <v>1211</v>
      </c>
      <c r="T1009" s="62" t="n">
        <f aca="false">+T814-S814</f>
        <v>593.5</v>
      </c>
      <c r="U1009" s="62" t="n">
        <f aca="false">+U814-T814</f>
        <v>464.8</v>
      </c>
      <c r="V1009" s="62" t="n">
        <f aca="false">+V814-U814</f>
        <v>370</v>
      </c>
      <c r="W1009" s="62" t="n">
        <f aca="false">+W814-V814</f>
        <v>-1206</v>
      </c>
      <c r="X1009" s="62" t="n">
        <f aca="false">+X814-W814</f>
        <v>1035</v>
      </c>
      <c r="Y1009" s="62" t="n">
        <f aca="false">+Y190-X190</f>
        <v>-1811.627</v>
      </c>
      <c r="Z1009" s="62" t="n">
        <f aca="false">+Z190-Y190</f>
        <v>-2022.021</v>
      </c>
      <c r="AA1009" s="62" t="n">
        <f aca="false">+AA190-Z190</f>
        <v>1714.865</v>
      </c>
      <c r="AB1009" s="62" t="n">
        <f aca="false">+AB190-AA190</f>
        <v>-486.586</v>
      </c>
      <c r="AC1009" s="62" t="n">
        <f aca="false">+AC190-AB190</f>
        <v>150.9</v>
      </c>
      <c r="AD1009" s="62" t="n">
        <f aca="false">+AD190-AC190</f>
        <v>-940.3</v>
      </c>
      <c r="AE1009" s="62" t="n">
        <f aca="false">+AE190-AD190</f>
        <v>-264.3</v>
      </c>
      <c r="AF1009" s="62" t="n">
        <f aca="false">+AF190-AE190</f>
        <v>3591.5</v>
      </c>
      <c r="AG1009" s="62" t="n">
        <f aca="false">+AG190-AF190</f>
        <v>528</v>
      </c>
      <c r="AH1009" s="62" t="n">
        <f aca="false">+AH190-AG190</f>
        <v>-84.2000000000007</v>
      </c>
      <c r="AI1009" s="62" t="n">
        <f aca="false">+AI190-AH190</f>
        <v>-121.799999999999</v>
      </c>
      <c r="AJ1009" s="62" t="n">
        <f aca="false">+AJ190-AI190</f>
        <v>267.855000000001</v>
      </c>
      <c r="AK1009" s="62" t="n">
        <f aca="false">+AK190-AJ190</f>
        <v>281.24775</v>
      </c>
      <c r="AL1009" s="62" t="n">
        <f aca="false">+AL190-AK190</f>
        <v>295.310137500001</v>
      </c>
    </row>
    <row r="1010" customFormat="false" ht="12.75" hidden="false" customHeight="true" outlineLevel="0" collapsed="false">
      <c r="A1010" s="369" t="s">
        <v>728</v>
      </c>
      <c r="B1010" s="75"/>
      <c r="C1010" s="62" t="n">
        <f aca="false">+C53</f>
        <v>328.1</v>
      </c>
      <c r="D1010" s="62" t="n">
        <f aca="false">+D53</f>
        <v>391.79</v>
      </c>
      <c r="E1010" s="62" t="n">
        <f aca="false">+E53</f>
        <v>546.05</v>
      </c>
      <c r="F1010" s="62" t="n">
        <f aca="false">+F53</f>
        <v>655.98</v>
      </c>
      <c r="G1010" s="62" t="n">
        <f aca="false">+G53</f>
        <v>705.57</v>
      </c>
      <c r="H1010" s="62" t="n">
        <f aca="false">+H53</f>
        <v>761.9</v>
      </c>
      <c r="I1010" s="62" t="n">
        <f aca="false">+I53</f>
        <v>824.43</v>
      </c>
      <c r="J1010" s="62" t="n">
        <f aca="false">+J53</f>
        <v>883.5</v>
      </c>
      <c r="K1010" s="62" t="n">
        <f aca="false">+K53</f>
        <v>953.55</v>
      </c>
      <c r="L1010" s="62" t="n">
        <f aca="false">+L53</f>
        <v>1029.69</v>
      </c>
      <c r="M1010" s="62" t="n">
        <f aca="false">+M53</f>
        <v>964.54</v>
      </c>
      <c r="N1010" s="62" t="n">
        <f aca="false">+N53</f>
        <v>1092.14</v>
      </c>
      <c r="O1010" s="62" t="n">
        <f aca="false">+O53</f>
        <v>1260.06</v>
      </c>
      <c r="P1010" s="62" t="n">
        <f aca="false">+P53</f>
        <v>1505.74</v>
      </c>
      <c r="Q1010" s="62" t="n">
        <f aca="false">+Q53</f>
        <v>1773.61</v>
      </c>
      <c r="R1010" s="62" t="n">
        <f aca="false">+R53</f>
        <v>1784.142</v>
      </c>
      <c r="S1010" s="62" t="n">
        <f aca="false">+S53</f>
        <v>2041.079</v>
      </c>
      <c r="T1010" s="62" t="n">
        <f aca="false">+T53</f>
        <v>2674.31</v>
      </c>
      <c r="U1010" s="62" t="n">
        <f aca="false">+U53</f>
        <v>3528.132</v>
      </c>
      <c r="V1010" s="62" t="n">
        <f aca="false">+V53</f>
        <v>3807.835</v>
      </c>
      <c r="W1010" s="62" t="n">
        <f aca="false">+W53</f>
        <v>3770.36</v>
      </c>
      <c r="X1010" s="62" t="n">
        <f aca="false">+X53</f>
        <v>4163.367</v>
      </c>
      <c r="Y1010" s="62" t="n">
        <f aca="false">+Y53</f>
        <v>4879.004</v>
      </c>
      <c r="Z1010" s="62" t="n">
        <f aca="false">+Z53</f>
        <v>5178.939</v>
      </c>
      <c r="AA1010" s="62" t="n">
        <f aca="false">+AA53</f>
        <v>5546.094</v>
      </c>
      <c r="AB1010" s="62" t="n">
        <f aca="false">+AB53</f>
        <v>6210.1</v>
      </c>
      <c r="AC1010" s="62" t="n">
        <f aca="false">+AC53</f>
        <v>6698</v>
      </c>
      <c r="AD1010" s="62" t="n">
        <f aca="false">+AD53</f>
        <v>7477.1</v>
      </c>
      <c r="AE1010" s="62" t="n">
        <f aca="false">+AE53</f>
        <v>7527.6</v>
      </c>
      <c r="AF1010" s="62" t="n">
        <f aca="false">+AF53</f>
        <v>7319.6</v>
      </c>
      <c r="AG1010" s="62" t="n">
        <f aca="false">+AG53</f>
        <v>7178.1</v>
      </c>
      <c r="AH1010" s="62" t="n">
        <f aca="false">+AH53</f>
        <v>7193.4</v>
      </c>
      <c r="AI1010" s="62" t="n">
        <f aca="false">+AI53</f>
        <v>7151.9</v>
      </c>
      <c r="AJ1010" s="62" t="n">
        <f aca="false">+AJ53</f>
        <v>7551.4454</v>
      </c>
      <c r="AK1010" s="62" t="n">
        <f aca="false">+AK53</f>
        <v>8111.9454</v>
      </c>
      <c r="AL1010" s="62" t="n">
        <f aca="false">+AL53</f>
        <v>8467.4548</v>
      </c>
    </row>
    <row r="1011" customFormat="false" ht="12.75" hidden="false" customHeight="true" outlineLevel="0" collapsed="false">
      <c r="A1011" s="369" t="s">
        <v>729</v>
      </c>
      <c r="B1011" s="75"/>
      <c r="C1011" s="62" t="n">
        <f aca="false">+B886-C886</f>
        <v>3.21</v>
      </c>
      <c r="D1011" s="62" t="n">
        <f aca="false">+C886-D886</f>
        <v>-50.21</v>
      </c>
      <c r="E1011" s="62" t="n">
        <f aca="false">+D886-E886</f>
        <v>15.56</v>
      </c>
      <c r="F1011" s="62" t="n">
        <f aca="false">+E886-F886</f>
        <v>-37.38</v>
      </c>
      <c r="G1011" s="62" t="n">
        <f aca="false">+F886-G886</f>
        <v>10.87</v>
      </c>
      <c r="H1011" s="62" t="n">
        <f aca="false">+G886-H886</f>
        <v>22.45</v>
      </c>
      <c r="I1011" s="62" t="n">
        <f aca="false">+H886-I886</f>
        <v>-12.92</v>
      </c>
      <c r="J1011" s="62" t="n">
        <f aca="false">+I886-J886</f>
        <v>-35.46</v>
      </c>
      <c r="K1011" s="62" t="n">
        <f aca="false">+J886-K886</f>
        <v>53.19</v>
      </c>
      <c r="L1011" s="62" t="n">
        <f aca="false">+K886-L886</f>
        <v>49.05</v>
      </c>
      <c r="M1011" s="62" t="n">
        <f aca="false">+L886-M886</f>
        <v>-323.24</v>
      </c>
      <c r="N1011" s="62" t="n">
        <f aca="false">+M886-N886</f>
        <v>129.92</v>
      </c>
      <c r="O1011" s="62" t="n">
        <f aca="false">+N886-O886</f>
        <v>120.25</v>
      </c>
      <c r="P1011" s="62" t="n">
        <f aca="false">+O886-P886</f>
        <v>-171.11</v>
      </c>
      <c r="Q1011" s="62" t="n">
        <f aca="false">+P886-Q886</f>
        <v>21.26</v>
      </c>
      <c r="R1011" s="62" t="n">
        <f aca="false">+Q886-R886</f>
        <v>126.038</v>
      </c>
      <c r="S1011" s="62" t="n">
        <f aca="false">+R886-S886</f>
        <v>45.139</v>
      </c>
      <c r="T1011" s="62" t="n">
        <f aca="false">+S886-T886</f>
        <v>8.598</v>
      </c>
      <c r="U1011" s="62" t="n">
        <f aca="false">+T886-U886</f>
        <v>-31.129</v>
      </c>
      <c r="V1011" s="62" t="n">
        <f aca="false">+U886-V886</f>
        <v>-55.682</v>
      </c>
      <c r="W1011" s="62" t="n">
        <f aca="false">+V886-W886</f>
        <v>-260.232</v>
      </c>
      <c r="X1011" s="62" t="n">
        <f aca="false">+W886-X886</f>
        <v>52.707</v>
      </c>
      <c r="Y1011" s="41"/>
      <c r="Z1011" s="41"/>
      <c r="AA1011" s="180"/>
      <c r="AB1011" s="41"/>
      <c r="AC1011" s="41"/>
      <c r="AD1011" s="41"/>
      <c r="AE1011" s="41"/>
      <c r="AF1011" s="180"/>
      <c r="AG1011" s="180"/>
      <c r="AH1011" s="41"/>
      <c r="AI1011" s="41"/>
      <c r="AJ1011" s="41"/>
      <c r="AK1011" s="41"/>
      <c r="AL1011" s="41"/>
    </row>
    <row r="1012" customFormat="false" ht="12.75" hidden="false" customHeight="true" outlineLevel="0" collapsed="false">
      <c r="A1012" s="371"/>
      <c r="B1012" s="75"/>
      <c r="C1012" s="41"/>
      <c r="D1012" s="41"/>
      <c r="E1012" s="41"/>
      <c r="F1012" s="41"/>
      <c r="G1012" s="41"/>
      <c r="H1012" s="41"/>
      <c r="I1012" s="41"/>
      <c r="J1012" s="41"/>
      <c r="K1012" s="41"/>
      <c r="L1012" s="41"/>
      <c r="M1012" s="41"/>
      <c r="N1012" s="41"/>
      <c r="O1012" s="41"/>
      <c r="P1012" s="41"/>
      <c r="Q1012" s="41"/>
      <c r="R1012" s="41"/>
      <c r="S1012" s="41"/>
      <c r="T1012" s="41"/>
      <c r="U1012" s="41"/>
      <c r="V1012" s="41"/>
      <c r="W1012" s="41"/>
      <c r="X1012" s="41"/>
      <c r="Y1012" s="41"/>
      <c r="Z1012" s="41"/>
      <c r="AA1012" s="180"/>
      <c r="AB1012" s="41"/>
      <c r="AC1012" s="41"/>
      <c r="AD1012" s="41"/>
      <c r="AE1012" s="41"/>
      <c r="AF1012" s="180"/>
      <c r="AG1012" s="180"/>
      <c r="AH1012" s="41"/>
      <c r="AI1012" s="41"/>
      <c r="AJ1012" s="41"/>
      <c r="AK1012" s="41"/>
      <c r="AL1012" s="41"/>
    </row>
    <row r="1013" customFormat="false" ht="12.75" hidden="false" customHeight="true" outlineLevel="0" collapsed="false">
      <c r="A1013" s="369" t="s">
        <v>730</v>
      </c>
      <c r="B1013" s="75"/>
      <c r="C1013" s="62" t="n">
        <f aca="false">+B859-C859</f>
        <v>5.87999999999965</v>
      </c>
      <c r="D1013" s="62" t="n">
        <f aca="false">+C859-D859</f>
        <v>-1598.79</v>
      </c>
      <c r="E1013" s="62" t="n">
        <f aca="false">+D859-E859</f>
        <v>-2321.68</v>
      </c>
      <c r="F1013" s="62" t="n">
        <f aca="false">+E859-F859</f>
        <v>-3420.51</v>
      </c>
      <c r="G1013" s="62" t="n">
        <f aca="false">+F859-G859</f>
        <v>1501.04</v>
      </c>
      <c r="H1013" s="62" t="n">
        <f aca="false">+G859-H859</f>
        <v>1406.24</v>
      </c>
      <c r="I1013" s="62" t="n">
        <f aca="false">+H859-I859</f>
        <v>43.9200000000001</v>
      </c>
      <c r="J1013" s="62" t="n">
        <f aca="false">+I859-J859</f>
        <v>882.31</v>
      </c>
      <c r="K1013" s="62" t="n">
        <f aca="false">+J859-K859</f>
        <v>1751.06</v>
      </c>
      <c r="L1013" s="62" t="n">
        <f aca="false">+K859-L859</f>
        <v>-253.04</v>
      </c>
      <c r="M1013" s="62" t="n">
        <f aca="false">+L859-M859</f>
        <v>1125.31</v>
      </c>
      <c r="N1013" s="62" t="n">
        <f aca="false">+M859-N859</f>
        <v>-531.47</v>
      </c>
      <c r="O1013" s="62" t="n">
        <f aca="false">+N859-O859</f>
        <v>344.29</v>
      </c>
      <c r="P1013" s="62" t="n">
        <f aca="false">+O859-P859</f>
        <v>-985.38</v>
      </c>
      <c r="Q1013" s="62" t="n">
        <f aca="false">+P859-Q859</f>
        <v>1470.4</v>
      </c>
      <c r="R1013" s="62" t="n">
        <f aca="false">+Q859-R859</f>
        <v>-5821.392</v>
      </c>
      <c r="S1013" s="62" t="n">
        <f aca="false">+R859-S859</f>
        <v>-640.873</v>
      </c>
      <c r="T1013" s="62" t="n">
        <f aca="false">+S859-T859</f>
        <v>-1631.518</v>
      </c>
      <c r="U1013" s="62" t="n">
        <f aca="false">+T859-U859</f>
        <v>-450.346</v>
      </c>
      <c r="V1013" s="62" t="n">
        <f aca="false">+U859-V859</f>
        <v>-1891.634</v>
      </c>
      <c r="W1013" s="62" t="n">
        <f aca="false">+V859-W859</f>
        <v>1204.008</v>
      </c>
      <c r="X1013" s="62" t="n">
        <f aca="false">+W859-X859</f>
        <v>413.18</v>
      </c>
      <c r="Y1013" s="62" t="n">
        <f aca="false">+X218-Y218</f>
        <v>67.4299999999985</v>
      </c>
      <c r="Z1013" s="62" t="n">
        <f aca="false">+Y218-Z218</f>
        <v>3910.479</v>
      </c>
      <c r="AA1013" s="62" t="n">
        <f aca="false">+Z218-AA218</f>
        <v>-1206.04</v>
      </c>
      <c r="AB1013" s="62" t="n">
        <f aca="false">+AA218-AB218</f>
        <v>-15250.244</v>
      </c>
      <c r="AC1013" s="62" t="n">
        <f aca="false">+AB218-AC218</f>
        <v>13257.1</v>
      </c>
      <c r="AD1013" s="62" t="n">
        <f aca="false">+AC218-AD218</f>
        <v>-16364.9</v>
      </c>
      <c r="AE1013" s="62" t="n">
        <f aca="false">+AD218-AE218</f>
        <v>-2947.4</v>
      </c>
      <c r="AF1013" s="62" t="n">
        <f aca="false">+AE218-AF218</f>
        <v>-9516.60000000001</v>
      </c>
      <c r="AG1013" s="62" t="n">
        <f aca="false">+AF218-AG218</f>
        <v>4928.10000000001</v>
      </c>
      <c r="AH1013" s="62" t="n">
        <f aca="false">+AG218-AH218</f>
        <v>6825.8</v>
      </c>
      <c r="AI1013" s="62" t="n">
        <f aca="false">+AH218-AI218</f>
        <v>-630.899999999998</v>
      </c>
      <c r="AJ1013" s="62" t="n">
        <f aca="false">+AI218-AJ218</f>
        <v>-4030.94940452294</v>
      </c>
      <c r="AK1013" s="62" t="n">
        <f aca="false">+AJ218-AK218</f>
        <v>-2727.4730436546</v>
      </c>
      <c r="AL1013" s="62" t="n">
        <f aca="false">+AK218-AL218</f>
        <v>-2721.60330903458</v>
      </c>
    </row>
    <row r="1014" customFormat="false" ht="12.75" hidden="false" customHeight="true" outlineLevel="0" collapsed="false">
      <c r="A1014" s="369" t="s">
        <v>731</v>
      </c>
      <c r="B1014" s="75"/>
      <c r="C1014" s="62" t="n">
        <f aca="false">+B863-C863</f>
        <v>-114.66</v>
      </c>
      <c r="D1014" s="62" t="n">
        <f aca="false">+C863-D863</f>
        <v>-2597.13</v>
      </c>
      <c r="E1014" s="62" t="n">
        <f aca="false">+D863-E863</f>
        <v>-1002.96</v>
      </c>
      <c r="F1014" s="62" t="n">
        <f aca="false">+E863-F863</f>
        <v>2369.05</v>
      </c>
      <c r="G1014" s="62" t="n">
        <f aca="false">+F863-G863</f>
        <v>-114.27</v>
      </c>
      <c r="H1014" s="62" t="n">
        <f aca="false">+G863-H863</f>
        <v>919.44</v>
      </c>
      <c r="I1014" s="62" t="n">
        <f aca="false">+H863-I863</f>
        <v>-173.5</v>
      </c>
      <c r="J1014" s="62" t="n">
        <f aca="false">+I863-J863</f>
        <v>1.23000000000002</v>
      </c>
      <c r="K1014" s="62" t="n">
        <f aca="false">+J863-K863</f>
        <v>207.58</v>
      </c>
      <c r="L1014" s="62" t="n">
        <f aca="false">+K863-L863</f>
        <v>21.5500000000002</v>
      </c>
      <c r="M1014" s="62" t="n">
        <f aca="false">+L863-M863</f>
        <v>-361.920000000001</v>
      </c>
      <c r="N1014" s="62" t="n">
        <f aca="false">+M863-N863</f>
        <v>-1076.01</v>
      </c>
      <c r="O1014" s="62" t="n">
        <f aca="false">+N863-O863</f>
        <v>310.95</v>
      </c>
      <c r="P1014" s="62" t="n">
        <f aca="false">+O863-P863</f>
        <v>-3669.4</v>
      </c>
      <c r="Q1014" s="62" t="n">
        <f aca="false">+P863-Q863</f>
        <v>-1545.58</v>
      </c>
      <c r="R1014" s="62" t="n">
        <f aca="false">+Q863-R863</f>
        <v>345.934999999999</v>
      </c>
      <c r="S1014" s="62" t="n">
        <f aca="false">+R863-S863</f>
        <v>-1709.188</v>
      </c>
      <c r="T1014" s="62" t="n">
        <f aca="false">+S863-T863</f>
        <v>1668.609</v>
      </c>
      <c r="U1014" s="62" t="n">
        <f aca="false">+T863-U863</f>
        <v>665.108</v>
      </c>
      <c r="V1014" s="62" t="n">
        <f aca="false">+U863-V863</f>
        <v>-1638.898</v>
      </c>
      <c r="W1014" s="62" t="n">
        <f aca="false">+V863-W863</f>
        <v>902.694</v>
      </c>
      <c r="X1014" s="62" t="n">
        <f aca="false">+W863-X863</f>
        <v>2318.893</v>
      </c>
      <c r="Y1014" s="62" t="n">
        <f aca="false">+X220-Y220</f>
        <v>4982.212</v>
      </c>
      <c r="Z1014" s="62" t="n">
        <f aca="false">+Y220-Z220</f>
        <v>671.359</v>
      </c>
      <c r="AA1014" s="62" t="n">
        <f aca="false">+Z220-AA220</f>
        <v>-206.37</v>
      </c>
      <c r="AB1014" s="62" t="n">
        <f aca="false">+AA220-AB220</f>
        <v>16.416</v>
      </c>
      <c r="AC1014" s="62" t="n">
        <f aca="false">+AB220-AC220</f>
        <v>-5.40000000000001</v>
      </c>
      <c r="AD1014" s="62" t="n">
        <f aca="false">+AC220-AD220</f>
        <v>23.8</v>
      </c>
      <c r="AE1014" s="62" t="n">
        <f aca="false">+AD220-AE220</f>
        <v>206.2</v>
      </c>
      <c r="AF1014" s="62" t="n">
        <f aca="false">+AE220-AF220</f>
        <v>0</v>
      </c>
      <c r="AG1014" s="62" t="n">
        <f aca="false">+AF220-AG220</f>
        <v>-950</v>
      </c>
      <c r="AH1014" s="62" t="n">
        <f aca="false">+AG220-AH220</f>
        <v>950</v>
      </c>
      <c r="AI1014" s="62" t="n">
        <f aca="false">+AH220-AI220</f>
        <v>0</v>
      </c>
      <c r="AJ1014" s="62" t="n">
        <f aca="false">+AI220-AJ220</f>
        <v>0</v>
      </c>
      <c r="AK1014" s="62" t="n">
        <f aca="false">+AJ220-AK220</f>
        <v>0</v>
      </c>
      <c r="AL1014" s="62" t="n">
        <f aca="false">+AK220-AL220</f>
        <v>0</v>
      </c>
    </row>
    <row r="1015" customFormat="false" ht="12.75" hidden="false" customHeight="true" outlineLevel="0" collapsed="false">
      <c r="A1015" s="369" t="s">
        <v>732</v>
      </c>
      <c r="C1015" s="62" t="n">
        <f aca="false">+B849-C849</f>
        <v>76.4299999999998</v>
      </c>
      <c r="D1015" s="62" t="n">
        <f aca="false">+C849-D849</f>
        <v>-500.88</v>
      </c>
      <c r="E1015" s="62" t="n">
        <f aca="false">+D849-E849</f>
        <v>-1282.18</v>
      </c>
      <c r="F1015" s="62" t="n">
        <f aca="false">+E849-F849</f>
        <v>-2205.2</v>
      </c>
      <c r="G1015" s="62" t="n">
        <f aca="false">+F849-G849</f>
        <v>-46.7999999999993</v>
      </c>
      <c r="H1015" s="62" t="n">
        <f aca="false">+G849-H849</f>
        <v>2298.57</v>
      </c>
      <c r="I1015" s="62" t="n">
        <f aca="false">+H849-I849</f>
        <v>-300.47</v>
      </c>
      <c r="J1015" s="62" t="n">
        <f aca="false">+I849-J849</f>
        <v>-598.8</v>
      </c>
      <c r="K1015" s="62" t="n">
        <f aca="false">+J849-K849</f>
        <v>-776.660000000001</v>
      </c>
      <c r="L1015" s="62" t="n">
        <f aca="false">+K849-L849</f>
        <v>1848.84</v>
      </c>
      <c r="M1015" s="62" t="n">
        <f aca="false">+L849-M849</f>
        <v>-964.85</v>
      </c>
      <c r="N1015" s="62" t="n">
        <f aca="false">+M849-N849</f>
        <v>-611.4</v>
      </c>
      <c r="O1015" s="62" t="n">
        <f aca="false">+N849-O849</f>
        <v>-3344.8</v>
      </c>
      <c r="P1015" s="62" t="n">
        <f aca="false">+O849-P849</f>
        <v>-1677.6</v>
      </c>
      <c r="Q1015" s="62" t="n">
        <f aca="false">+P849-Q849</f>
        <v>-1535.93</v>
      </c>
      <c r="R1015" s="62" t="n">
        <f aca="false">+Q849-R849</f>
        <v>-1061.004</v>
      </c>
      <c r="S1015" s="62" t="n">
        <f aca="false">+R849-S849</f>
        <v>-3082.256</v>
      </c>
      <c r="T1015" s="62" t="n">
        <f aca="false">+S849-T849+S869-T869</f>
        <v>-5706.634</v>
      </c>
      <c r="U1015" s="62" t="n">
        <f aca="false">+T849-U849+T869-U869</f>
        <v>-1050.886</v>
      </c>
      <c r="V1015" s="62" t="n">
        <f aca="false">+U849-V849+U869-V869</f>
        <v>3417.937</v>
      </c>
      <c r="W1015" s="62" t="n">
        <f aca="false">+V849-W849+V869-W869</f>
        <v>6125.502</v>
      </c>
      <c r="X1015" s="62" t="n">
        <f aca="false">+W849-X849+W869-X869</f>
        <v>-3470.93</v>
      </c>
      <c r="Y1015" s="62" t="n">
        <f aca="false">-Y221+X221-Y217+X217</f>
        <v>-5595.271</v>
      </c>
      <c r="Z1015" s="62" t="n">
        <f aca="false">-Z221+Y221-Z217+Y217</f>
        <v>-8178.268</v>
      </c>
      <c r="AA1015" s="62" t="n">
        <f aca="false">-AA221+Z221-AA217+Z217</f>
        <v>2784.296</v>
      </c>
      <c r="AB1015" s="62" t="n">
        <f aca="false">-AB221+AA221-AB217+AA217</f>
        <v>-14790.946</v>
      </c>
      <c r="AC1015" s="62" t="n">
        <f aca="false">-AC221+AB221-AC217+AB217</f>
        <v>13865.6</v>
      </c>
      <c r="AD1015" s="62" t="n">
        <f aca="false">-AD221+AC221-AD217+AC217</f>
        <v>-8937.6</v>
      </c>
      <c r="AE1015" s="62" t="n">
        <f aca="false">-AE221+AD221-AE217+AD217</f>
        <v>-2738.2</v>
      </c>
      <c r="AF1015" s="62" t="n">
        <f aca="false">-AF221+AE221-AF217+AE217</f>
        <v>-3030.5</v>
      </c>
      <c r="AG1015" s="62" t="n">
        <f aca="false">-AG221+AF221-AG217+AF217</f>
        <v>576.300000000003</v>
      </c>
      <c r="AH1015" s="62" t="n">
        <f aca="false">-AH221+AG221-AH217+AG217</f>
        <v>5908.69999999999</v>
      </c>
      <c r="AI1015" s="62" t="n">
        <f aca="false">-AI221+AH221-AI217+AH217</f>
        <v>-8944.89999999999</v>
      </c>
      <c r="AJ1015" s="62" t="n">
        <f aca="false">-AJ221+AI221-AJ217+AI217</f>
        <v>-5255.12064549361</v>
      </c>
      <c r="AK1015" s="62" t="n">
        <f aca="false">-AK221+AJ221-AK217+AJ217</f>
        <v>-5461.04666283757</v>
      </c>
      <c r="AL1015" s="62" t="n">
        <f aca="false">-AL221+AK221-AL217+AK217</f>
        <v>-5134.09209948057</v>
      </c>
    </row>
    <row r="1016" customFormat="false" ht="12.75" hidden="false" customHeight="true" outlineLevel="0" collapsed="false">
      <c r="A1016" s="369" t="s">
        <v>733</v>
      </c>
      <c r="B1016" s="378"/>
      <c r="C1016" s="62" t="n">
        <f aca="false">+C874+C875+C873-B874-B875-B873</f>
        <v>333.58</v>
      </c>
      <c r="D1016" s="62" t="n">
        <f aca="false">+D874+D875+D873-C874-C875-C873</f>
        <v>861.71</v>
      </c>
      <c r="E1016" s="62" t="n">
        <f aca="false">+E874+E875+E873-D874-D875-D873</f>
        <v>1270.38</v>
      </c>
      <c r="F1016" s="62" t="n">
        <f aca="false">+F874+F875+F873-E874-E875-E873</f>
        <v>690.91</v>
      </c>
      <c r="G1016" s="62" t="n">
        <f aca="false">+G874+G875+G873-F874-F875-F873</f>
        <v>-1099.56</v>
      </c>
      <c r="H1016" s="62" t="n">
        <f aca="false">+H874+H875+H873-G874-G875-G873</f>
        <v>-633.9</v>
      </c>
      <c r="I1016" s="62" t="n">
        <f aca="false">+I874+I875+I873-H874-H875-H873</f>
        <v>-12.8100000000004</v>
      </c>
      <c r="J1016" s="70" t="n">
        <f aca="false">+J874+J875+J873-I874-I875-I873</f>
        <v>1033.77</v>
      </c>
      <c r="K1016" s="70" t="n">
        <f aca="false">+K874+K875+K873-J874-J875-J873</f>
        <v>268.01</v>
      </c>
      <c r="L1016" s="62" t="n">
        <f aca="false">+L874+L875+L873-K874-K875-K873</f>
        <v>-10.1600000000002</v>
      </c>
      <c r="M1016" s="62" t="n">
        <f aca="false">+M874+M875+M873-L874-L875-L873</f>
        <v>1892.36</v>
      </c>
      <c r="N1016" s="62" t="n">
        <f aca="false">+N874+N875+N873-M874-M875-M873</f>
        <v>2790.86</v>
      </c>
      <c r="O1016" s="62" t="n">
        <f aca="false">+O874+O875+O873-N874-N875-N873</f>
        <v>1857.08</v>
      </c>
      <c r="P1016" s="62" t="n">
        <f aca="false">+P874+P875+P873-O874-O875-O873</f>
        <v>5047.3</v>
      </c>
      <c r="Q1016" s="62" t="n">
        <f aca="false">+Q874+Q875+Q873-P874-P875-P873</f>
        <v>2750.84</v>
      </c>
      <c r="R1016" s="62" t="n">
        <f aca="false">+R874+R875+R873-Q874-Q875-Q873</f>
        <v>-578.449000000001</v>
      </c>
      <c r="S1016" s="62" t="n">
        <f aca="false">+S874+S875+S873-R874-R875-R873</f>
        <v>7232.016</v>
      </c>
      <c r="T1016" s="62" t="n">
        <f aca="false">+T874+T875+T873-S874-S875-S873</f>
        <v>4458.82</v>
      </c>
      <c r="U1016" s="62" t="n">
        <f aca="false">+U874+U875+U873-T874-T875-T873</f>
        <v>5804.073</v>
      </c>
      <c r="V1016" s="62" t="n">
        <f aca="false">+V874+V875+V873-U874-U875-U873</f>
        <v>-2485.313</v>
      </c>
      <c r="W1016" s="62" t="n">
        <f aca="false">+W874+W875+W873-V874-V875-V873</f>
        <v>-2651.641</v>
      </c>
      <c r="X1016" s="62" t="n">
        <f aca="false">+X874+X875+X873-W874-W875-W873</f>
        <v>8914.223</v>
      </c>
      <c r="Y1016" s="87" t="n">
        <f aca="false">+Y226+Y227-X226-X227</f>
        <v>1111.067</v>
      </c>
      <c r="Z1016" s="87" t="n">
        <f aca="false">+Z226+Z227-Y226-Y227</f>
        <v>5909.803</v>
      </c>
      <c r="AA1016" s="87" t="n">
        <f aca="false">+AA226+AA227-Z226-Z227</f>
        <v>23459.488</v>
      </c>
      <c r="AB1016" s="87" t="n">
        <f aca="false">+AB226+AB227-AA226-AA227</f>
        <v>6081.123</v>
      </c>
      <c r="AC1016" s="87" t="n">
        <f aca="false">+AC226+AC227-AB226-AB227</f>
        <v>-32056.5</v>
      </c>
      <c r="AD1016" s="87" t="n">
        <f aca="false">+AD226+AD227-AC226-AC227</f>
        <v>20790.6</v>
      </c>
      <c r="AE1016" s="87" t="n">
        <f aca="false">+AE226+AE227-AD226-AD227</f>
        <v>18825.5</v>
      </c>
      <c r="AF1016" s="87" t="n">
        <f aca="false">+AF226+AF227-AE226-AE227</f>
        <v>7177.10000000001</v>
      </c>
      <c r="AG1016" s="87" t="n">
        <f aca="false">+AG226+AG227-AF226-AF227</f>
        <v>11402.6</v>
      </c>
      <c r="AH1016" s="87" t="n">
        <f aca="false">+AH226+AH227-AG226-AG227</f>
        <v>-2082.79999999999</v>
      </c>
      <c r="AI1016" s="87" t="n">
        <f aca="false">+AI226+AI227-AH226-AH227</f>
        <v>12708.6</v>
      </c>
      <c r="AJ1016" s="87" t="n">
        <f aca="false">+AJ226+AJ227-AI226-AI227</f>
        <v>6475.5105070533</v>
      </c>
      <c r="AK1016" s="87" t="n">
        <f aca="false">+AK226+AK227-AJ226-AJ227</f>
        <v>9915.16750423707</v>
      </c>
      <c r="AL1016" s="87" t="n">
        <f aca="false">+AL226+AL227-AK226-AK227</f>
        <v>10713.642472474</v>
      </c>
    </row>
    <row r="1017" customFormat="false" ht="12.75" hidden="false" customHeight="true" outlineLevel="0" collapsed="false">
      <c r="A1017" s="369" t="s">
        <v>734</v>
      </c>
      <c r="B1017" s="75"/>
      <c r="C1017" s="62" t="n">
        <f aca="false">+C878+C879+C880-B878-B879-B880</f>
        <v>158.21</v>
      </c>
      <c r="D1017" s="62" t="n">
        <f aca="false">+D878+D879+D880-C878-C879-C880</f>
        <v>114.55</v>
      </c>
      <c r="E1017" s="62" t="n">
        <f aca="false">+E878+E879+E880-D878-D879-D880</f>
        <v>227.25</v>
      </c>
      <c r="F1017" s="62" t="n">
        <f aca="false">+F878+F879+F880-E878-E879-E880</f>
        <v>217.39</v>
      </c>
      <c r="G1017" s="62" t="n">
        <f aca="false">+G878+G879+G880-F878-F879-F880</f>
        <v>-523.06</v>
      </c>
      <c r="H1017" s="62" t="n">
        <f aca="false">+H878+H879+H880-G878-G879-G880</f>
        <v>29.9400000000001</v>
      </c>
      <c r="I1017" s="62" t="n">
        <f aca="false">+I878+I879+I880-H878-H879-H880</f>
        <v>355.37</v>
      </c>
      <c r="J1017" s="62" t="n">
        <f aca="false">+J878+J879+J880-I878-I879-I880</f>
        <v>64.42</v>
      </c>
      <c r="K1017" s="62" t="n">
        <f aca="false">+K878+K879+K880-J878-J879-J880</f>
        <v>47.8499999999999</v>
      </c>
      <c r="L1017" s="62" t="n">
        <f aca="false">+L878+L879+L880-K878-K879-K880</f>
        <v>206.92</v>
      </c>
      <c r="M1017" s="62" t="n">
        <f aca="false">+M878+M879+M880-L878-L879-L880</f>
        <v>509.24</v>
      </c>
      <c r="N1017" s="62" t="n">
        <f aca="false">+N878+N879+N880-M878-M879-M880</f>
        <v>540.44</v>
      </c>
      <c r="O1017" s="62" t="n">
        <f aca="false">+O878+O879+O880-N878-N879-N880</f>
        <v>571.41</v>
      </c>
      <c r="P1017" s="62" t="n">
        <f aca="false">+P878+P879+P880-O878-O879-O880</f>
        <v>-1573.91</v>
      </c>
      <c r="Q1017" s="62" t="n">
        <f aca="false">+Q878+Q879+Q880-P878-P879-P880</f>
        <v>2410.01</v>
      </c>
      <c r="R1017" s="62" t="n">
        <f aca="false">+R878+R879+R880-Q878-Q879-Q880</f>
        <v>-771.493</v>
      </c>
      <c r="S1017" s="62" t="n">
        <f aca="false">+S878+S879+S880-R878-R879-R880</f>
        <v>1006.098</v>
      </c>
      <c r="T1017" s="62" t="n">
        <f aca="false">+T878+T879+T880-S878-S879-S880</f>
        <v>1216.348</v>
      </c>
      <c r="U1017" s="62" t="n">
        <f aca="false">+U878+U879+U880-T878-T879-T880</f>
        <v>-699.519</v>
      </c>
      <c r="V1017" s="62" t="n">
        <f aca="false">+V878+V879+V880-U878-U879-U880</f>
        <v>-1116.911</v>
      </c>
      <c r="W1017" s="62" t="n">
        <f aca="false">+W878+W879+W880-V878-V879-V880</f>
        <v>-2205.566</v>
      </c>
      <c r="X1017" s="62" t="n">
        <f aca="false">+X878+X879+X880-W878-W879-W880</f>
        <v>1679.193</v>
      </c>
      <c r="Y1017" s="62" t="n">
        <f aca="false">+Y228-X228</f>
        <v>-669.946</v>
      </c>
      <c r="Z1017" s="62" t="n">
        <f aca="false">+Z228-Y228</f>
        <v>2953.294</v>
      </c>
      <c r="AA1017" s="62" t="n">
        <f aca="false">+AA228-Z228</f>
        <v>1318.535</v>
      </c>
      <c r="AB1017" s="62" t="n">
        <f aca="false">+AB228-AA228</f>
        <v>1865.357</v>
      </c>
      <c r="AC1017" s="62" t="n">
        <f aca="false">+AC228-AB228</f>
        <v>-1779.2</v>
      </c>
      <c r="AD1017" s="62" t="n">
        <f aca="false">+AD228-AC228</f>
        <v>-1598.9</v>
      </c>
      <c r="AE1017" s="62" t="n">
        <f aca="false">+AE228-AD228</f>
        <v>52.8999999999996</v>
      </c>
      <c r="AF1017" s="62" t="n">
        <f aca="false">+AF228-AE228</f>
        <v>490.7</v>
      </c>
      <c r="AG1017" s="62" t="n">
        <f aca="false">+AG228-AF228</f>
        <v>1313.6</v>
      </c>
      <c r="AH1017" s="62" t="n">
        <f aca="false">+AH228-AG228</f>
        <v>1744.7</v>
      </c>
      <c r="AI1017" s="62" t="n">
        <f aca="false">+AI228-AH228</f>
        <v>5251.9</v>
      </c>
      <c r="AJ1017" s="62" t="n">
        <f aca="false">+AJ228-AI228</f>
        <v>675.17</v>
      </c>
      <c r="AK1017" s="62" t="n">
        <f aca="false">+AK228-AJ228</f>
        <v>708.9285</v>
      </c>
      <c r="AL1017" s="62" t="n">
        <f aca="false">+AL228-AK228</f>
        <v>744.374925</v>
      </c>
    </row>
    <row r="1018" customFormat="false" ht="12.75" hidden="false" customHeight="true" outlineLevel="0" collapsed="false">
      <c r="A1018" s="372" t="s">
        <v>735</v>
      </c>
      <c r="B1018" s="75"/>
      <c r="C1018" s="62" t="n">
        <f aca="false">SUM(C1013:C1017)</f>
        <v>459.44</v>
      </c>
      <c r="D1018" s="62" t="n">
        <f aca="false">SUM(D1013:D1017)</f>
        <v>-3720.54</v>
      </c>
      <c r="E1018" s="62" t="n">
        <f aca="false">SUM(E1013:E1017)</f>
        <v>-3109.19</v>
      </c>
      <c r="F1018" s="62" t="n">
        <f aca="false">SUM(F1013:F1017)</f>
        <v>-2348.36</v>
      </c>
      <c r="G1018" s="62" t="n">
        <f aca="false">SUM(G1013:G1017)</f>
        <v>-282.649999999999</v>
      </c>
      <c r="H1018" s="62" t="n">
        <f aca="false">SUM(H1013:H1017)</f>
        <v>4020.29</v>
      </c>
      <c r="I1018" s="62" t="n">
        <f aca="false">SUM(I1013:I1017)</f>
        <v>-87.4900000000005</v>
      </c>
      <c r="J1018" s="62" t="n">
        <f aca="false">SUM(J1013:J1017)</f>
        <v>1382.93</v>
      </c>
      <c r="K1018" s="62" t="n">
        <f aca="false">SUM(K1013:K1017)</f>
        <v>1497.84</v>
      </c>
      <c r="L1018" s="62" t="n">
        <f aca="false">SUM(L1013:L1017)</f>
        <v>1814.11</v>
      </c>
      <c r="M1018" s="62" t="n">
        <f aca="false">SUM(M1013:M1017)</f>
        <v>2200.14</v>
      </c>
      <c r="N1018" s="62" t="n">
        <f aca="false">SUM(N1013:N1017)</f>
        <v>1112.42</v>
      </c>
      <c r="O1018" s="62" t="n">
        <f aca="false">SUM(O1013:O1017)</f>
        <v>-261.070000000001</v>
      </c>
      <c r="P1018" s="62" t="n">
        <f aca="false">SUM(P1013:P1017)</f>
        <v>-2858.99</v>
      </c>
      <c r="Q1018" s="62" t="n">
        <f aca="false">SUM(Q1013:Q1017)</f>
        <v>3549.74</v>
      </c>
      <c r="R1018" s="62" t="n">
        <f aca="false">SUM(R1013:R1017)</f>
        <v>-7886.403</v>
      </c>
      <c r="S1018" s="62" t="n">
        <f aca="false">SUM(S1013:S1017)</f>
        <v>2805.797</v>
      </c>
      <c r="T1018" s="62" t="n">
        <f aca="false">SUM(T1013:T1017)</f>
        <v>5.62500000000159</v>
      </c>
      <c r="U1018" s="62" t="n">
        <f aca="false">SUM(U1013:U1017)</f>
        <v>4268.43</v>
      </c>
      <c r="V1018" s="62" t="n">
        <f aca="false">SUM(V1013:V1017)</f>
        <v>-3714.819</v>
      </c>
      <c r="W1018" s="62" t="n">
        <f aca="false">SUM(W1013:W1017)</f>
        <v>3374.997</v>
      </c>
      <c r="X1018" s="62" t="n">
        <f aca="false">SUM(X1013:X1017)</f>
        <v>9854.559</v>
      </c>
      <c r="Y1018" s="62" t="n">
        <f aca="false">SUM(Y1013:Y1017)</f>
        <v>-104.508000000004</v>
      </c>
      <c r="Z1018" s="62" t="n">
        <f aca="false">SUM(Z1013:Z1017)</f>
        <v>5266.66699999999</v>
      </c>
      <c r="AA1018" s="62" t="n">
        <f aca="false">SUM(AA1013:AA1017)</f>
        <v>26149.909</v>
      </c>
      <c r="AB1018" s="62" t="n">
        <f aca="false">SUM(AB1013:AB1017)</f>
        <v>-22078.294</v>
      </c>
      <c r="AC1018" s="62" t="n">
        <f aca="false">SUM(AC1013:AC1017)</f>
        <v>-6718.40000000001</v>
      </c>
      <c r="AD1018" s="62" t="n">
        <f aca="false">SUM(AD1013:AD1017)</f>
        <v>-6086.99999999999</v>
      </c>
      <c r="AE1018" s="62" t="n">
        <f aca="false">SUM(AE1013:AE1017)</f>
        <v>13399</v>
      </c>
      <c r="AF1018" s="62" t="n">
        <f aca="false">SUM(AF1013:AF1017)</f>
        <v>-4879.3</v>
      </c>
      <c r="AG1018" s="62" t="n">
        <f aca="false">SUM(AG1013:AG1017)</f>
        <v>17270.6</v>
      </c>
      <c r="AH1018" s="62" t="n">
        <f aca="false">SUM(AH1013:AH1017)</f>
        <v>13346.4</v>
      </c>
      <c r="AI1018" s="62" t="n">
        <f aca="false">SUM(AI1013:AI1017)</f>
        <v>8384.70000000001</v>
      </c>
      <c r="AJ1018" s="62" t="n">
        <f aca="false">SUM(AJ1013:AJ1017)</f>
        <v>-2135.38954296325</v>
      </c>
      <c r="AK1018" s="62" t="n">
        <f aca="false">SUM(AK1013:AK1017)</f>
        <v>2435.5762977449</v>
      </c>
      <c r="AL1018" s="62" t="n">
        <f aca="false">SUM(AL1013:AL1017)</f>
        <v>3602.32198895888</v>
      </c>
    </row>
    <row r="1019" s="19" customFormat="true" ht="12.75" hidden="false" customHeight="true" outlineLevel="0" collapsed="false">
      <c r="A1019" s="379" t="s">
        <v>736</v>
      </c>
      <c r="C1019" s="67" t="n">
        <f aca="false">C1018+SUM(C1007:C1011)</f>
        <v>1144.05</v>
      </c>
      <c r="D1019" s="67" t="n">
        <f aca="false">D1018+SUM(D1007:D1011)</f>
        <v>-2673.06</v>
      </c>
      <c r="E1019" s="67" t="n">
        <f aca="false">E1018+SUM(E1007:E1011)</f>
        <v>-1416.75</v>
      </c>
      <c r="F1019" s="67" t="n">
        <f aca="false">F1018+SUM(F1007:F1011)</f>
        <v>-480.410000000001</v>
      </c>
      <c r="G1019" s="67" t="n">
        <f aca="false">G1018+SUM(G1007:G1011)</f>
        <v>617.971576000001</v>
      </c>
      <c r="H1019" s="67" t="n">
        <f aca="false">H1018+SUM(H1007:H1011)</f>
        <v>5011.82837829599</v>
      </c>
      <c r="I1019" s="67" t="n">
        <f aca="false">I1018+SUM(I1007:I1011)</f>
        <v>1508.89</v>
      </c>
      <c r="J1019" s="67" t="n">
        <f aca="false">J1018+SUM(J1007:J1011)</f>
        <v>3202.46</v>
      </c>
      <c r="K1019" s="67" t="n">
        <f aca="false">K1018+SUM(K1007:K1011)</f>
        <v>5359.07</v>
      </c>
      <c r="L1019" s="67" t="n">
        <f aca="false">L1018+SUM(L1007:L1011)</f>
        <v>3995.87000000001</v>
      </c>
      <c r="M1019" s="67" t="n">
        <f aca="false">M1018+SUM(M1007:M1011)</f>
        <v>4990.3</v>
      </c>
      <c r="N1019" s="67" t="n">
        <f aca="false">N1018+SUM(N1007:N1011)</f>
        <v>4595.4416</v>
      </c>
      <c r="O1019" s="67" t="n">
        <f aca="false">O1018+SUM(O1007:O1011)</f>
        <v>4263.69999999999</v>
      </c>
      <c r="P1019" s="67" t="n">
        <f aca="false">P1018+SUM(P1007:P1011)</f>
        <v>3191.66</v>
      </c>
      <c r="Q1019" s="67" t="n">
        <f aca="false">Q1018+SUM(Q1007:Q1011)</f>
        <v>10733.99</v>
      </c>
      <c r="R1019" s="67" t="n">
        <f aca="false">R1018+SUM(R1007:R1011)</f>
        <v>-3390.20399999999</v>
      </c>
      <c r="S1019" s="67" t="n">
        <f aca="false">S1018+SUM(S1007:S1011)</f>
        <v>10372.477</v>
      </c>
      <c r="T1019" s="67" t="n">
        <f aca="false">T1018+SUM(T1007:T1011)</f>
        <v>10095.026</v>
      </c>
      <c r="U1019" s="67" t="n">
        <f aca="false">U1018+SUM(U1007:U1011)</f>
        <v>13874.021</v>
      </c>
      <c r="V1019" s="67" t="n">
        <f aca="false">V1018+SUM(V1007:V1011)</f>
        <v>1848.84</v>
      </c>
      <c r="W1019" s="67" t="n">
        <f aca="false">W1018+SUM(W1007:W1011)</f>
        <v>916.346999999977</v>
      </c>
      <c r="X1019" s="67" t="n">
        <f aca="false">X1018+SUM(X1007:X1011)</f>
        <v>17444.334</v>
      </c>
      <c r="Y1019" s="67" t="n">
        <f aca="false">Y1018+SUM(Y1007:Y1011)</f>
        <v>6858.85400000001</v>
      </c>
      <c r="Z1019" s="67" t="n">
        <f aca="false">Z1018+SUM(Z1007:Z1011)</f>
        <v>20654.357</v>
      </c>
      <c r="AA1019" s="67" t="n">
        <f aca="false">AA1018+SUM(AA1007:AA1011)</f>
        <v>49036.764</v>
      </c>
      <c r="AB1019" s="67" t="n">
        <f aca="false">AB1018+SUM(AB1007:AB1011)</f>
        <v>3477.21999999991</v>
      </c>
      <c r="AC1019" s="67" t="n">
        <f aca="false">AC1018+SUM(AC1007:AC1011)</f>
        <v>2525.69999999999</v>
      </c>
      <c r="AD1019" s="67" t="n">
        <f aca="false">AD1018+SUM(AD1007:AD1011)</f>
        <v>-2687</v>
      </c>
      <c r="AE1019" s="67" t="n">
        <f aca="false">AE1018+SUM(AE1007:AE1011)</f>
        <v>26080.6</v>
      </c>
      <c r="AF1019" s="67" t="n">
        <f aca="false">AF1018+SUM(AF1007:AF1011)</f>
        <v>19832.9</v>
      </c>
      <c r="AG1019" s="67" t="n">
        <f aca="false">AG1018+SUM(AG1007:AG1011)</f>
        <v>51155.4000000001</v>
      </c>
      <c r="AH1019" s="67" t="n">
        <f aca="false">AH1018+SUM(AH1007:AH1011)</f>
        <v>53488.5</v>
      </c>
      <c r="AI1019" s="67" t="n">
        <f aca="false">AI1018+SUM(AI1007:AI1011)</f>
        <v>51070.1000000002</v>
      </c>
      <c r="AJ1019" s="67" t="n">
        <f aca="false">AJ1018+SUM(AJ1007:AJ1011)</f>
        <v>44775.7485683509</v>
      </c>
      <c r="AK1019" s="67" t="n">
        <f aca="false">AK1018+SUM(AK1007:AK1011)</f>
        <v>54674.3490311106</v>
      </c>
      <c r="AL1019" s="67" t="n">
        <f aca="false">AL1018+SUM(AL1007:AL1011)</f>
        <v>59866.8820945977</v>
      </c>
    </row>
    <row r="1020" customFormat="false" ht="12.75" hidden="false" customHeight="true" outlineLevel="0" collapsed="false">
      <c r="A1020" s="380"/>
      <c r="C1020" s="41"/>
      <c r="D1020" s="41"/>
      <c r="E1020" s="41"/>
      <c r="F1020" s="41"/>
      <c r="G1020" s="41"/>
      <c r="H1020" s="41"/>
      <c r="I1020" s="41"/>
      <c r="J1020" s="41"/>
      <c r="K1020" s="41"/>
      <c r="L1020" s="41"/>
      <c r="M1020" s="41"/>
      <c r="N1020" s="41"/>
      <c r="O1020" s="41"/>
      <c r="P1020" s="41"/>
      <c r="Q1020" s="41"/>
      <c r="R1020" s="41"/>
      <c r="S1020" s="41"/>
      <c r="T1020" s="41"/>
      <c r="U1020" s="41"/>
      <c r="V1020" s="41"/>
      <c r="W1020" s="41"/>
      <c r="X1020" s="41"/>
      <c r="Y1020" s="41"/>
      <c r="Z1020" s="41"/>
      <c r="AA1020" s="180"/>
      <c r="AB1020" s="41"/>
      <c r="AC1020" s="41"/>
      <c r="AD1020" s="41"/>
      <c r="AE1020" s="41"/>
      <c r="AF1020" s="180"/>
      <c r="AG1020" s="180"/>
      <c r="AH1020" s="41"/>
      <c r="AI1020" s="41"/>
      <c r="AJ1020" s="41"/>
      <c r="AK1020" s="41"/>
      <c r="AL1020" s="41"/>
    </row>
    <row r="1021" customFormat="false" ht="12.75" hidden="false" customHeight="true" outlineLevel="0" collapsed="false">
      <c r="A1021" s="369" t="s">
        <v>737</v>
      </c>
      <c r="B1021" s="75"/>
      <c r="C1021" s="62" t="n">
        <f aca="false">+B834-C834-C53</f>
        <v>-2081.61</v>
      </c>
      <c r="D1021" s="62" t="n">
        <f aca="false">+C834-D834-D53</f>
        <v>-1274.49</v>
      </c>
      <c r="E1021" s="62" t="n">
        <f aca="false">+D834-E834-E53</f>
        <v>-1784.18</v>
      </c>
      <c r="F1021" s="62" t="n">
        <f aca="false">+E834-F834-F53</f>
        <v>-1912.88</v>
      </c>
      <c r="G1021" s="62" t="n">
        <f aca="false">+F834-G834-G53</f>
        <v>-1332.79</v>
      </c>
      <c r="H1021" s="62" t="n">
        <f aca="false">+G834-H834-H53</f>
        <v>-1283.31</v>
      </c>
      <c r="I1021" s="62" t="n">
        <f aca="false">+H834-I834-I53</f>
        <v>-735.27</v>
      </c>
      <c r="J1021" s="62" t="n">
        <f aca="false">+I834-J834-J53</f>
        <v>-1038.11</v>
      </c>
      <c r="K1021" s="62" t="n">
        <f aca="false">+J834-K834-K53</f>
        <v>-1438.94</v>
      </c>
      <c r="L1021" s="62" t="n">
        <f aca="false">+K834-L834-L53</f>
        <v>-329.729999999997</v>
      </c>
      <c r="M1021" s="62" t="n">
        <f aca="false">+L834-M834-M53</f>
        <v>-777.160000000001</v>
      </c>
      <c r="N1021" s="62" t="n">
        <f aca="false">+M834-N834-N53</f>
        <v>-1671.15</v>
      </c>
      <c r="O1021" s="62" t="n">
        <f aca="false">+N834-O834-O53</f>
        <v>-2316.93</v>
      </c>
      <c r="P1021" s="62" t="n">
        <f aca="false">+O834-P834-P53</f>
        <v>-6104.1</v>
      </c>
      <c r="Q1021" s="62" t="n">
        <f aca="false">+P834-Q834-Q53</f>
        <v>-6876.32</v>
      </c>
      <c r="R1021" s="62" t="n">
        <f aca="false">+Q834-R834-R53</f>
        <v>-25210.249</v>
      </c>
      <c r="S1021" s="62" t="n">
        <f aca="false">+R834-S834-S53</f>
        <v>-6177.311</v>
      </c>
      <c r="T1021" s="62" t="n">
        <f aca="false">+S834-T834-T53</f>
        <v>-4481.6</v>
      </c>
      <c r="U1021" s="62" t="n">
        <f aca="false">+T834-U834-U53</f>
        <v>-8227.70299999999</v>
      </c>
      <c r="V1021" s="62" t="n">
        <f aca="false">+U834-V834-V53</f>
        <v>-8898.787</v>
      </c>
      <c r="W1021" s="62" t="n">
        <f aca="false">+V834-W834-W53</f>
        <v>-2476.20199999999</v>
      </c>
      <c r="X1021" s="62" t="n">
        <f aca="false">+W834-X834-X53</f>
        <v>493.611999999985</v>
      </c>
      <c r="Y1021" s="62" t="n">
        <f aca="false">+X209-Y209-Y53</f>
        <v>199.539000000005</v>
      </c>
      <c r="Z1021" s="62" t="n">
        <f aca="false">+Y209-Z209-Z53</f>
        <v>-8267.20600000001</v>
      </c>
      <c r="AA1021" s="62" t="n">
        <f aca="false">+Z209-AA209-AA53</f>
        <v>-7534.029</v>
      </c>
      <c r="AB1021" s="62" t="n">
        <f aca="false">+AA209-AB209-AB53</f>
        <v>-15176.776</v>
      </c>
      <c r="AC1021" s="62" t="n">
        <f aca="false">+AB209-AC209-AC53</f>
        <v>-17953.8</v>
      </c>
      <c r="AD1021" s="62" t="n">
        <f aca="false">+AC209-AD209-AD53</f>
        <v>-7722.4</v>
      </c>
      <c r="AE1021" s="62" t="n">
        <f aca="false">+AD209-AE209-AE53</f>
        <v>-1256.9</v>
      </c>
      <c r="AF1021" s="62" t="n">
        <f aca="false">+AE209-AF209-AF53</f>
        <v>-3734.6</v>
      </c>
      <c r="AG1021" s="62" t="n">
        <f aca="false">+AF209-AG209-AG53</f>
        <v>-4344.70000000001</v>
      </c>
      <c r="AH1021" s="62" t="n">
        <f aca="false">+AG209-AH209-AH53</f>
        <v>-8362.59999999998</v>
      </c>
      <c r="AI1021" s="62" t="n">
        <f aca="false">+AH209-AI209-AI53</f>
        <v>-13131</v>
      </c>
      <c r="AJ1021" s="62" t="n">
        <f aca="false">+AI209-AJ209-AJ53</f>
        <v>-9800.2</v>
      </c>
      <c r="AK1021" s="62" t="n">
        <f aca="false">+AJ209-AK209-AK53</f>
        <v>-8700</v>
      </c>
      <c r="AL1021" s="62" t="n">
        <f aca="false">+AK209-AL209-AL53</f>
        <v>-8700.00000000001</v>
      </c>
    </row>
    <row r="1022" customFormat="false" ht="25.5" hidden="false" customHeight="true" outlineLevel="0" collapsed="false">
      <c r="A1022" s="369" t="s">
        <v>738</v>
      </c>
      <c r="B1022" s="75"/>
      <c r="C1022" s="62" t="n">
        <f aca="false">+B836-C836</f>
        <v>-245.69</v>
      </c>
      <c r="D1022" s="62" t="n">
        <f aca="false">+C836-D836</f>
        <v>-158</v>
      </c>
      <c r="E1022" s="62" t="n">
        <f aca="false">+D836-E836</f>
        <v>-100.23</v>
      </c>
      <c r="F1022" s="62" t="n">
        <f aca="false">+E836-F836</f>
        <v>198.35</v>
      </c>
      <c r="G1022" s="62" t="n">
        <f aca="false">+F836-G836</f>
        <v>98.26</v>
      </c>
      <c r="H1022" s="62" t="n">
        <f aca="false">+G836-H836</f>
        <v>-139.92</v>
      </c>
      <c r="I1022" s="62" t="n">
        <f aca="false">+H836-I836</f>
        <v>-579.12</v>
      </c>
      <c r="J1022" s="62" t="n">
        <f aca="false">+I836-J836</f>
        <v>24.2</v>
      </c>
      <c r="K1022" s="62" t="n">
        <f aca="false">+J836-K836</f>
        <v>6.25999999999999</v>
      </c>
      <c r="L1022" s="62" t="n">
        <f aca="false">+K836-L836</f>
        <v>-402.38</v>
      </c>
      <c r="M1022" s="62" t="n">
        <f aca="false">+L836-M836</f>
        <v>109.74</v>
      </c>
      <c r="N1022" s="62" t="n">
        <f aca="false">+M836-N836</f>
        <v>-825.879999999999</v>
      </c>
      <c r="O1022" s="62" t="n">
        <f aca="false">+N836-O836</f>
        <v>-1389.88</v>
      </c>
      <c r="P1022" s="62" t="n">
        <f aca="false">+O836-P836</f>
        <v>1470.84</v>
      </c>
      <c r="Q1022" s="62" t="n">
        <f aca="false">+P836-Q836</f>
        <v>-3888.06</v>
      </c>
      <c r="R1022" s="62" t="n">
        <f aca="false">+Q836-R836</f>
        <v>3463.429</v>
      </c>
      <c r="S1022" s="62" t="n">
        <f aca="false">+R836-S836</f>
        <v>-625.978</v>
      </c>
      <c r="T1022" s="62" t="n">
        <f aca="false">+S836-T836</f>
        <v>-9038.419</v>
      </c>
      <c r="U1022" s="62" t="n">
        <f aca="false">+T836-U836</f>
        <v>-3044.821</v>
      </c>
      <c r="V1022" s="62" t="n">
        <f aca="false">+U836-V836</f>
        <v>-8031.53</v>
      </c>
      <c r="W1022" s="62" t="n">
        <f aca="false">+V836-W836</f>
        <v>-4520.54</v>
      </c>
      <c r="X1022" s="62" t="n">
        <f aca="false">+W836-X836</f>
        <v>1408.526</v>
      </c>
      <c r="Y1022" s="62" t="n">
        <f aca="false">+X211-Y211</f>
        <v>6683.96</v>
      </c>
      <c r="Z1022" s="62" t="n">
        <f aca="false">+Y211-Z211</f>
        <v>-8984.181</v>
      </c>
      <c r="AA1022" s="62" t="n">
        <f aca="false">+Z211-AA211</f>
        <v>-29237.714</v>
      </c>
      <c r="AB1022" s="62" t="n">
        <f aca="false">+AA211-AB211</f>
        <v>31661.268</v>
      </c>
      <c r="AC1022" s="62" t="n">
        <f aca="false">+AB211-AC211</f>
        <v>-831.299999999999</v>
      </c>
      <c r="AD1022" s="62" t="n">
        <f aca="false">+AC211-AD211</f>
        <v>-3490.9</v>
      </c>
      <c r="AE1022" s="62" t="n">
        <f aca="false">+AD211-AE211</f>
        <v>-17509.1</v>
      </c>
      <c r="AF1022" s="62" t="n">
        <f aca="false">+AE211-AF211</f>
        <v>-18439.7</v>
      </c>
      <c r="AG1022" s="62" t="n">
        <f aca="false">+AF211-AG211</f>
        <v>11038.3</v>
      </c>
      <c r="AH1022" s="62" t="n">
        <f aca="false">+AG211-AH211</f>
        <v>-31131.9</v>
      </c>
      <c r="AI1022" s="62" t="n">
        <f aca="false">+AH211-AI211</f>
        <v>-20060.4</v>
      </c>
      <c r="AJ1022" s="62" t="n">
        <f aca="false">+AI211-AJ211</f>
        <v>-12059.855</v>
      </c>
      <c r="AK1022" s="62" t="n">
        <f aca="false">+AJ211-AK211</f>
        <v>-5162.84775</v>
      </c>
      <c r="AL1022" s="62" t="n">
        <f aca="false">+AK211-AL211</f>
        <v>-5270.9901375</v>
      </c>
    </row>
    <row r="1023" s="19" customFormat="true" ht="12.75" hidden="false" customHeight="true" outlineLevel="0" collapsed="false">
      <c r="A1023" s="370" t="s">
        <v>739</v>
      </c>
      <c r="B1023" s="157"/>
      <c r="C1023" s="67" t="n">
        <f aca="false">C1022+C1021</f>
        <v>-2327.3</v>
      </c>
      <c r="D1023" s="67" t="n">
        <f aca="false">D1022+D1021</f>
        <v>-1432.49</v>
      </c>
      <c r="E1023" s="67" t="n">
        <f aca="false">E1022+E1021</f>
        <v>-1884.41</v>
      </c>
      <c r="F1023" s="67" t="n">
        <f aca="false">F1022+F1021</f>
        <v>-1714.53</v>
      </c>
      <c r="G1023" s="67" t="n">
        <f aca="false">G1022+G1021</f>
        <v>-1234.53</v>
      </c>
      <c r="H1023" s="67" t="n">
        <f aca="false">H1022+H1021</f>
        <v>-1423.23</v>
      </c>
      <c r="I1023" s="67" t="n">
        <f aca="false">I1022+I1021</f>
        <v>-1314.39</v>
      </c>
      <c r="J1023" s="67" t="n">
        <f aca="false">J1022+J1021</f>
        <v>-1013.91</v>
      </c>
      <c r="K1023" s="67" t="n">
        <f aca="false">K1022+K1021</f>
        <v>-1432.68</v>
      </c>
      <c r="L1023" s="67" t="n">
        <f aca="false">L1022+L1021</f>
        <v>-732.109999999997</v>
      </c>
      <c r="M1023" s="67" t="n">
        <f aca="false">M1022+M1021</f>
        <v>-667.420000000001</v>
      </c>
      <c r="N1023" s="67" t="n">
        <f aca="false">N1022+N1021</f>
        <v>-2497.03</v>
      </c>
      <c r="O1023" s="67" t="n">
        <f aca="false">O1022+O1021</f>
        <v>-3706.81</v>
      </c>
      <c r="P1023" s="67" t="n">
        <f aca="false">P1022+P1021</f>
        <v>-4633.26</v>
      </c>
      <c r="Q1023" s="67" t="n">
        <f aca="false">Q1022+Q1021</f>
        <v>-10764.38</v>
      </c>
      <c r="R1023" s="67" t="n">
        <f aca="false">R1022+R1021</f>
        <v>-21746.82</v>
      </c>
      <c r="S1023" s="67" t="n">
        <f aca="false">S1022+S1021</f>
        <v>-6803.289</v>
      </c>
      <c r="T1023" s="67" t="n">
        <f aca="false">T1022+T1021</f>
        <v>-13520.019</v>
      </c>
      <c r="U1023" s="67" t="n">
        <f aca="false">U1022+U1021</f>
        <v>-11272.524</v>
      </c>
      <c r="V1023" s="67" t="n">
        <f aca="false">V1022+V1021</f>
        <v>-16930.317</v>
      </c>
      <c r="W1023" s="67" t="n">
        <f aca="false">W1022+W1021</f>
        <v>-6996.74199999999</v>
      </c>
      <c r="X1023" s="67" t="n">
        <f aca="false">X1022+X1021</f>
        <v>1902.13799999998</v>
      </c>
      <c r="Y1023" s="67" t="n">
        <f aca="false">Y1022+Y1021</f>
        <v>6883.49900000001</v>
      </c>
      <c r="Z1023" s="67" t="n">
        <f aca="false">Z1022+Z1021</f>
        <v>-17251.387</v>
      </c>
      <c r="AA1023" s="67" t="n">
        <f aca="false">AA1022+AA1021</f>
        <v>-36771.743</v>
      </c>
      <c r="AB1023" s="67" t="n">
        <f aca="false">AB1022+AB1021</f>
        <v>16484.492</v>
      </c>
      <c r="AC1023" s="67" t="n">
        <f aca="false">AC1022+AC1021</f>
        <v>-18785.1</v>
      </c>
      <c r="AD1023" s="67" t="n">
        <f aca="false">AD1022+AD1021</f>
        <v>-11213.3</v>
      </c>
      <c r="AE1023" s="67" t="n">
        <f aca="false">AE1022+AE1021</f>
        <v>-18766</v>
      </c>
      <c r="AF1023" s="67" t="n">
        <f aca="false">AF1022+AF1021</f>
        <v>-22174.3</v>
      </c>
      <c r="AG1023" s="67" t="n">
        <f aca="false">AG1022+AG1021</f>
        <v>6693.6</v>
      </c>
      <c r="AH1023" s="67" t="n">
        <f aca="false">AH1022+AH1021</f>
        <v>-39494.5</v>
      </c>
      <c r="AI1023" s="67" t="n">
        <f aca="false">AI1022+AI1021</f>
        <v>-33191.4</v>
      </c>
      <c r="AJ1023" s="67" t="n">
        <f aca="false">AJ1022+AJ1021</f>
        <v>-21860.055</v>
      </c>
      <c r="AK1023" s="67" t="n">
        <f aca="false">AK1022+AK1021</f>
        <v>-13862.84775</v>
      </c>
      <c r="AL1023" s="67" t="n">
        <f aca="false">AL1022+AL1021</f>
        <v>-13970.9901375</v>
      </c>
    </row>
    <row r="1024" customFormat="false" ht="12.75" hidden="false" customHeight="true" outlineLevel="0" collapsed="false">
      <c r="A1024" s="381"/>
      <c r="C1024" s="41"/>
      <c r="D1024" s="41"/>
      <c r="E1024" s="41"/>
      <c r="F1024" s="41"/>
      <c r="G1024" s="41"/>
      <c r="H1024" s="41"/>
      <c r="I1024" s="41"/>
      <c r="J1024" s="41"/>
      <c r="K1024" s="41"/>
      <c r="L1024" s="41"/>
      <c r="M1024" s="41"/>
      <c r="N1024" s="41"/>
      <c r="O1024" s="41"/>
      <c r="P1024" s="41"/>
      <c r="Q1024" s="41"/>
      <c r="R1024" s="41"/>
      <c r="S1024" s="41"/>
      <c r="T1024" s="41"/>
      <c r="U1024" s="41"/>
      <c r="V1024" s="41"/>
      <c r="W1024" s="41"/>
      <c r="X1024" s="62" t="n">
        <f aca="false">+Y1025+Y1027+Y1030</f>
        <v>-4791.35900000002</v>
      </c>
      <c r="Y1024" s="62" t="n">
        <f aca="false">+Y1018+Y1021+Y1022+Y1029+Y1034</f>
        <v>9500.40100000001</v>
      </c>
      <c r="Z1024" s="62" t="n">
        <f aca="false">+Z1018+Z1021+Z1022+Z1029+Z1034</f>
        <v>-13383.931</v>
      </c>
      <c r="AA1024" s="62" t="n">
        <f aca="false">+AA1018+AA1021+AA1022+AA1029+AA1034</f>
        <v>-7710.53600000001</v>
      </c>
      <c r="AB1024" s="62" t="n">
        <f aca="false">+AB1018+AB1021+AB1022+AB1029+AB1034</f>
        <v>-10954.942</v>
      </c>
      <c r="AC1024" s="62" t="n">
        <f aca="false">+AC1018+AC1021+AC1022+AC1029+AC1034</f>
        <v>-22697</v>
      </c>
      <c r="AD1024" s="62" t="n">
        <f aca="false">+AD1018+AD1021+AD1022+AD1029+AD1034</f>
        <v>-13883.6</v>
      </c>
      <c r="AE1024" s="62" t="n">
        <f aca="false">+AE1018+AE1021+AE1022+AE1029+AE1034</f>
        <v>-5247.80000000001</v>
      </c>
      <c r="AF1024" s="62" t="n">
        <f aca="false">+AF1018+AF1021+AF1022+AF1029+AF1034</f>
        <v>-27687</v>
      </c>
      <c r="AG1024" s="62" t="n">
        <f aca="false">+AG1018+AG1021+AG1022+AG1029+AG1034</f>
        <v>24705.8</v>
      </c>
      <c r="AH1024" s="62" t="n">
        <f aca="false">+AH1018+AH1021+AH1022+AH1029+AH1034</f>
        <v>-33994.6</v>
      </c>
      <c r="AI1024" s="62" t="n">
        <f aca="false">+AI1018+AI1021+AI1022+AI1029+AI1034</f>
        <v>-17158.7</v>
      </c>
      <c r="AJ1024" s="62" t="n">
        <f aca="false">+AJ1018+AJ1021+AJ1022+AJ1029+AJ1034</f>
        <v>-24499.6645429632</v>
      </c>
      <c r="AK1024" s="62" t="n">
        <f aca="false">+AK1018+AK1021+AK1022+AK1029+AK1034</f>
        <v>-11981.9134522551</v>
      </c>
      <c r="AL1024" s="62" t="n">
        <f aca="false">+AL1018+AL1021+AL1022+AL1029+AL1034</f>
        <v>-10978.7743485411</v>
      </c>
    </row>
    <row r="1025" customFormat="false" ht="12" hidden="false" customHeight="true" outlineLevel="0" collapsed="false">
      <c r="A1025" s="69" t="s">
        <v>740</v>
      </c>
      <c r="B1025" s="378"/>
      <c r="C1025" s="62" t="n">
        <f aca="false">+C803-B803</f>
        <v>188.149999999999</v>
      </c>
      <c r="D1025" s="62" t="n">
        <f aca="false">+D803-C803</f>
        <v>585.56</v>
      </c>
      <c r="E1025" s="62" t="n">
        <f aca="false">+E803-D803</f>
        <v>2954.59</v>
      </c>
      <c r="F1025" s="62" t="n">
        <f aca="false">+F803-E803</f>
        <v>2894.79</v>
      </c>
      <c r="G1025" s="62" t="n">
        <f aca="false">+G803-F803</f>
        <v>712.989999999998</v>
      </c>
      <c r="H1025" s="62" t="n">
        <f aca="false">+H803-G803</f>
        <v>-2851.78</v>
      </c>
      <c r="I1025" s="62" t="n">
        <f aca="false">+I803-H803</f>
        <v>35.25</v>
      </c>
      <c r="J1025" s="62" t="n">
        <f aca="false">+J803-I803</f>
        <v>-326.83</v>
      </c>
      <c r="K1025" s="62" t="n">
        <f aca="false">+K803-J803</f>
        <v>-445.589999999998</v>
      </c>
      <c r="L1025" s="62" t="n">
        <f aca="false">+L803-K803</f>
        <v>-1709.27</v>
      </c>
      <c r="M1025" s="62" t="n">
        <f aca="false">+M803-L803</f>
        <v>-2184.49</v>
      </c>
      <c r="N1025" s="62" t="n">
        <f aca="false">+N803-M803</f>
        <v>3813.33</v>
      </c>
      <c r="O1025" s="62" t="n">
        <f aca="false">+O803-N803</f>
        <v>-1884.78</v>
      </c>
      <c r="P1025" s="62" t="n">
        <f aca="false">+P803-O803</f>
        <v>-515.3</v>
      </c>
      <c r="Q1025" s="62" t="n">
        <f aca="false">+Q803-P803</f>
        <v>2471.03</v>
      </c>
      <c r="R1025" s="62" t="n">
        <f aca="false">+R803-Q803</f>
        <v>10706.429</v>
      </c>
      <c r="S1025" s="62" t="n">
        <f aca="false">+S803-R803</f>
        <v>2457.479</v>
      </c>
      <c r="T1025" s="62" t="n">
        <f aca="false">+T803-S803</f>
        <v>3643.73</v>
      </c>
      <c r="U1025" s="62" t="n">
        <f aca="false">+U803-T803</f>
        <v>5296.285</v>
      </c>
      <c r="V1025" s="62" t="n">
        <f aca="false">+V803-U803</f>
        <v>12575.392</v>
      </c>
      <c r="W1025" s="62" t="n">
        <f aca="false">+W803-V803</f>
        <v>3348.883</v>
      </c>
      <c r="X1025" s="62" t="n">
        <f aca="false">+X803-W803</f>
        <v>-13405.932</v>
      </c>
      <c r="Y1025" s="62" t="n">
        <f aca="false">+Y188-X188</f>
        <v>-9347.437</v>
      </c>
      <c r="Z1025" s="62" t="n">
        <f aca="false">+Z188-Y188</f>
        <v>-2701.314</v>
      </c>
      <c r="AA1025" s="62" t="n">
        <f aca="false">+AA188-Z188</f>
        <v>-11425.352</v>
      </c>
      <c r="AB1025" s="62" t="n">
        <f aca="false">+AB188-AA188</f>
        <v>-3699.573</v>
      </c>
      <c r="AC1025" s="62" t="n">
        <f aca="false">+AC188-AB188</f>
        <v>26490</v>
      </c>
      <c r="AD1025" s="62" t="n">
        <f aca="false">+AD188-AC188</f>
        <v>5598.9</v>
      </c>
      <c r="AE1025" s="62" t="n">
        <f aca="false">+AE188-AD188</f>
        <v>-2873.7</v>
      </c>
      <c r="AF1025" s="62" t="n">
        <f aca="false">+AF188-AE188</f>
        <v>-3290.5</v>
      </c>
      <c r="AG1025" s="62" t="n">
        <f aca="false">+AG188-AF188</f>
        <v>-9254.3</v>
      </c>
      <c r="AH1025" s="62" t="n">
        <f aca="false">+AH188-AG188</f>
        <v>-8176.8</v>
      </c>
      <c r="AI1025" s="62" t="n">
        <f aca="false">+AI188-AH188</f>
        <v>-2866.8</v>
      </c>
      <c r="AJ1025" s="62" t="n">
        <f aca="false">+AJ188-AI188</f>
        <v>-2000</v>
      </c>
      <c r="AK1025" s="62" t="n">
        <f aca="false">+AK188-AJ188</f>
        <v>-2000</v>
      </c>
      <c r="AL1025" s="62" t="n">
        <f aca="false">+AL188-AK188</f>
        <v>-2000</v>
      </c>
    </row>
    <row r="1026" customFormat="false" ht="12.75" hidden="false" customHeight="true" outlineLevel="0" collapsed="false">
      <c r="A1026" s="369" t="s">
        <v>741</v>
      </c>
      <c r="B1026" s="378"/>
      <c r="C1026" s="62" t="n">
        <f aca="false">+C773-B773</f>
        <v>86.36</v>
      </c>
      <c r="D1026" s="62" t="n">
        <f aca="false">+D773-C773</f>
        <v>409.27</v>
      </c>
      <c r="E1026" s="62" t="n">
        <f aca="false">+E773-D773</f>
        <v>0.0399999999999636</v>
      </c>
      <c r="F1026" s="62" t="n">
        <f aca="false">+F773-E773</f>
        <v>0</v>
      </c>
      <c r="G1026" s="62" t="n">
        <f aca="false">+G773-F773</f>
        <v>0</v>
      </c>
      <c r="H1026" s="62" t="n">
        <f aca="false">+H773-G773</f>
        <v>0</v>
      </c>
      <c r="I1026" s="62" t="n">
        <f aca="false">+I773-H773</f>
        <v>0</v>
      </c>
      <c r="J1026" s="62" t="n">
        <f aca="false">+J773-I773</f>
        <v>0</v>
      </c>
      <c r="K1026" s="62" t="n">
        <f aca="false">+K773-J773</f>
        <v>0</v>
      </c>
      <c r="L1026" s="62" t="n">
        <f aca="false">+L773-K773</f>
        <v>0</v>
      </c>
      <c r="M1026" s="62" t="n">
        <f aca="false">+M773-L773</f>
        <v>0</v>
      </c>
      <c r="N1026" s="62" t="n">
        <f aca="false">+N773-M773</f>
        <v>0</v>
      </c>
      <c r="O1026" s="62" t="n">
        <f aca="false">+O773-N773</f>
        <v>32.3</v>
      </c>
      <c r="P1026" s="62" t="n">
        <f aca="false">+P773-O773</f>
        <v>102.28</v>
      </c>
      <c r="Q1026" s="62" t="n">
        <f aca="false">+Q773-P773</f>
        <v>6.47000000000003</v>
      </c>
      <c r="R1026" s="62" t="n">
        <f aca="false">+R773-Q773</f>
        <v>0.00200000000018008</v>
      </c>
      <c r="S1026" s="62" t="n">
        <f aca="false">+S773-R773</f>
        <v>0</v>
      </c>
      <c r="T1026" s="62" t="n">
        <f aca="false">+T773-S773</f>
        <v>0</v>
      </c>
      <c r="U1026" s="62" t="n">
        <f aca="false">+U773-T773</f>
        <v>1330.338</v>
      </c>
      <c r="V1026" s="62" t="n">
        <f aca="false">+V773-U773</f>
        <v>0</v>
      </c>
      <c r="W1026" s="62" t="n">
        <f aca="false">+W773-V773</f>
        <v>0</v>
      </c>
      <c r="X1026" s="62" t="n">
        <f aca="false">+X773-W773</f>
        <v>185.2</v>
      </c>
      <c r="Y1026" s="62" t="n">
        <f aca="false">+Y184-X184</f>
        <v>0</v>
      </c>
      <c r="Z1026" s="62" t="n">
        <f aca="false">+Z184-Y184</f>
        <v>0</v>
      </c>
      <c r="AA1026" s="62" t="n">
        <f aca="false">+AA184-Z184</f>
        <v>81.2280000000001</v>
      </c>
      <c r="AB1026" s="62" t="n">
        <f aca="false">+AB184-AA184</f>
        <v>8.39199999999983</v>
      </c>
      <c r="AC1026" s="62" t="n">
        <f aca="false">+AC184-AB184</f>
        <v>0</v>
      </c>
      <c r="AD1026" s="62" t="n">
        <f aca="false">+AD184-AC184</f>
        <v>0</v>
      </c>
      <c r="AE1026" s="62" t="n">
        <f aca="false">+AE184-AD184</f>
        <v>0</v>
      </c>
      <c r="AF1026" s="62" t="n">
        <f aca="false">+AF184-AE184</f>
        <v>0.599999999999909</v>
      </c>
      <c r="AG1026" s="62" t="n">
        <f aca="false">+AG184-AF184</f>
        <v>0.200000000000273</v>
      </c>
      <c r="AH1026" s="62" t="n">
        <f aca="false">+AH184-AG184</f>
        <v>0.199999999999818</v>
      </c>
      <c r="AI1026" s="62" t="n">
        <f aca="false">+AI184-AH184</f>
        <v>2937.4</v>
      </c>
      <c r="AJ1026" s="62" t="n">
        <f aca="false">+AJ184-AI184</f>
        <v>0</v>
      </c>
      <c r="AK1026" s="62" t="n">
        <f aca="false">+AK184-AJ184</f>
        <v>0</v>
      </c>
      <c r="AL1026" s="62" t="n">
        <f aca="false">+AL184-AK184</f>
        <v>0</v>
      </c>
    </row>
    <row r="1027" customFormat="false" ht="12" hidden="false" customHeight="true" outlineLevel="0" collapsed="false">
      <c r="A1027" s="69" t="s">
        <v>742</v>
      </c>
      <c r="C1027" s="62" t="n">
        <f aca="false">+C787-B787+C714+C715-C704</f>
        <v>340.199999999999</v>
      </c>
      <c r="D1027" s="62" t="n">
        <f aca="false">+D787-C787+D714+D715-D704</f>
        <v>4222.11</v>
      </c>
      <c r="E1027" s="62" t="n">
        <f aca="false">+E787-D787+E714+E715-E704</f>
        <v>-3.41000000000304</v>
      </c>
      <c r="F1027" s="62" t="n">
        <f aca="false">+F787-E787+F714+F715-F704</f>
        <v>-5.88999999999578</v>
      </c>
      <c r="G1027" s="62" t="n">
        <f aca="false">+G787-F787+G714+G715-G704</f>
        <v>-5.92967600000091</v>
      </c>
      <c r="H1027" s="62" t="n">
        <f aca="false">+H787-G787+H714+H715-H704</f>
        <v>-9.54647829600006</v>
      </c>
      <c r="I1027" s="62" t="n">
        <f aca="false">+I787-H787+I714+I715-I704</f>
        <v>-20.5949999999979</v>
      </c>
      <c r="J1027" s="62" t="n">
        <f aca="false">+J787-I787+J714+J715-J704</f>
        <v>-6.43999999999915</v>
      </c>
      <c r="K1027" s="62" t="n">
        <f aca="false">+K787-J787+K714+K715-K704</f>
        <v>-1805.45</v>
      </c>
      <c r="L1027" s="62" t="n">
        <f aca="false">+L787-K787+L714+L715-L704</f>
        <v>-1305.96</v>
      </c>
      <c r="M1027" s="62" t="n">
        <f aca="false">+M787-L787+M714+M715-M704</f>
        <v>-6.44000000000028</v>
      </c>
      <c r="N1027" s="62" t="n">
        <f aca="false">+N787-M787+N714+N715-N704</f>
        <v>-195.04</v>
      </c>
      <c r="O1027" s="62" t="n">
        <f aca="false">+O787-N787+O714+O715-O704</f>
        <v>962.340000000009</v>
      </c>
      <c r="P1027" s="62" t="n">
        <f aca="false">+P787-O787+P714+P715-P704</f>
        <v>2570.33000000001</v>
      </c>
      <c r="Q1027" s="62" t="n">
        <f aca="false">+Q787-P787+Q714+Q715-Q704</f>
        <v>181.790000000002</v>
      </c>
      <c r="R1027" s="62" t="n">
        <f aca="false">+R787-Q787+R714+R715-R704</f>
        <v>12905.684</v>
      </c>
      <c r="S1027" s="62" t="n">
        <f aca="false">+S787-R787+S714+S715-S704</f>
        <v>38.779999999967</v>
      </c>
      <c r="T1027" s="62" t="n">
        <f aca="false">+T787-S787+T714+T715-T704</f>
        <v>-278.648000000022</v>
      </c>
      <c r="U1027" s="62" t="n">
        <f aca="false">+U787-T787+U714+U715-U704</f>
        <v>-1445.68499999999</v>
      </c>
      <c r="V1027" s="62" t="n">
        <f aca="false">+V787-U787+V714+V715-V704</f>
        <v>9.59399999998459</v>
      </c>
      <c r="W1027" s="62" t="n">
        <f aca="false">+W787-V787+W714+W715-W704</f>
        <v>-316.359999999984</v>
      </c>
      <c r="X1027" s="62" t="n">
        <f aca="false">+X787-W787+X714+X715-X704</f>
        <v>4799.38399999997</v>
      </c>
      <c r="Y1027" s="62" t="n">
        <f aca="false">+Y185-X185-Y57+Y714+Y715</f>
        <v>2100.03099999998</v>
      </c>
      <c r="Z1027" s="62" t="n">
        <f aca="false">+Z185-Y185-Z57+Z714+Z715</f>
        <v>453.232999999976</v>
      </c>
      <c r="AA1027" s="62" t="n">
        <f aca="false">+AA185-Z185-AA57+AA714+AA715</f>
        <v>3002.23575480004</v>
      </c>
      <c r="AB1027" s="62" t="n">
        <f aca="false">+AB185-AA185-AB57+AB714+AB715</f>
        <v>2806.63300000008</v>
      </c>
      <c r="AC1027" s="62" t="n">
        <f aca="false">+AC185-AB185-AC57+AC714+AC715</f>
        <v>-11362.3325</v>
      </c>
      <c r="AD1027" s="62" t="n">
        <f aca="false">+AD185-AC185-AD57+AD714+AD715</f>
        <v>2030.20000000001</v>
      </c>
      <c r="AE1027" s="62" t="n">
        <f aca="false">+AE185-AD185-AE57+AE714+AE715</f>
        <v>1114.19999999999</v>
      </c>
      <c r="AF1027" s="62" t="n">
        <f aca="false">+AF185-AE185-AF57+AF714+AF715</f>
        <v>4721.16000000001</v>
      </c>
      <c r="AG1027" s="62" t="n">
        <f aca="false">+AG185-AF185-AG57+AG714+AG715</f>
        <v>-7798.51500000006</v>
      </c>
      <c r="AH1027" s="62" t="n">
        <f aca="false">+AH185-AG185-AH57+AH714+AH715</f>
        <v>12404.225</v>
      </c>
      <c r="AI1027" s="62" t="n">
        <f aca="false">+AI185-AH185-AI57+AI714+AI715</f>
        <v>-2087.75000000015</v>
      </c>
      <c r="AJ1027" s="62" t="n">
        <f aca="false">+AJ185-AI185-AJ57+AJ714+AJ715</f>
        <v>4711.16885565717</v>
      </c>
      <c r="AK1027" s="62" t="n">
        <f aca="false">+AK185-AJ185-AK57+AK714+AK715</f>
        <v>2226.87093602577</v>
      </c>
      <c r="AL1027" s="62" t="n">
        <f aca="false">+AL185-AK185-AL57+AL714+AL715</f>
        <v>1678.10779238652</v>
      </c>
    </row>
    <row r="1028" customFormat="false" ht="12" hidden="false" customHeight="true" outlineLevel="0" collapsed="false">
      <c r="A1028" s="69" t="s">
        <v>743</v>
      </c>
      <c r="B1028" s="75"/>
      <c r="C1028" s="62" t="n">
        <f aca="false">-C714-C715</f>
        <v>-194.34</v>
      </c>
      <c r="D1028" s="62" t="n">
        <f aca="false">-D714-D715</f>
        <v>-295.11</v>
      </c>
      <c r="E1028" s="62" t="n">
        <f aca="false">-E714-E715</f>
        <v>-475.72</v>
      </c>
      <c r="F1028" s="62" t="n">
        <f aca="false">-F714-F715</f>
        <v>-654.06</v>
      </c>
      <c r="G1028" s="62" t="n">
        <f aca="false">-G714-G715</f>
        <v>-130.8219</v>
      </c>
      <c r="H1028" s="62" t="n">
        <f aca="false">-H714-H715</f>
        <v>-130.8219</v>
      </c>
      <c r="I1028" s="62" t="n">
        <f aca="false">-I714-I715</f>
        <v>-457.875</v>
      </c>
      <c r="J1028" s="62" t="n">
        <f aca="false">-J714-J715</f>
        <v>-524.24</v>
      </c>
      <c r="K1028" s="62" t="n">
        <f aca="false">-K714-K715</f>
        <v>-535.18</v>
      </c>
      <c r="L1028" s="62" t="n">
        <f aca="false">-L714-L715</f>
        <v>-670.83</v>
      </c>
      <c r="M1028" s="62" t="n">
        <f aca="false">-M714-M715</f>
        <v>-1006.25</v>
      </c>
      <c r="N1028" s="62" t="n">
        <f aca="false">-N714-N715</f>
        <v>-1358.38</v>
      </c>
      <c r="O1028" s="62" t="n">
        <f aca="false">-O714-O715</f>
        <v>-1821.96</v>
      </c>
      <c r="P1028" s="62" t="n">
        <f aca="false">-P714-P715</f>
        <v>-2264.32</v>
      </c>
      <c r="Q1028" s="62" t="n">
        <f aca="false">-Q714-Q715</f>
        <v>-2337.22</v>
      </c>
      <c r="R1028" s="62" t="n">
        <f aca="false">-R714-R715</f>
        <v>-1556.479</v>
      </c>
      <c r="S1028" s="62" t="n">
        <f aca="false">-S714-S715</f>
        <v>-2326.936</v>
      </c>
      <c r="T1028" s="62" t="n">
        <f aca="false">-T714-T715</f>
        <v>-3092.305</v>
      </c>
      <c r="U1028" s="62" t="n">
        <f aca="false">-U714-U715</f>
        <v>-3092.305</v>
      </c>
      <c r="V1028" s="62" t="n">
        <f aca="false">-V714-V715</f>
        <v>-1867.715</v>
      </c>
      <c r="W1028" s="62" t="n">
        <f aca="false">-W714-W715</f>
        <v>-0</v>
      </c>
      <c r="X1028" s="62" t="n">
        <f aca="false">-X714-X715</f>
        <v>-1541.353</v>
      </c>
      <c r="Y1028" s="62" t="n">
        <f aca="false">-Y714-Y715</f>
        <v>-3253.969</v>
      </c>
      <c r="Z1028" s="62" t="n">
        <f aca="false">-Z714-Z715</f>
        <v>-5494.799</v>
      </c>
      <c r="AA1028" s="62" t="n">
        <f aca="false">-AA714-AA715</f>
        <v>-8322.0607548</v>
      </c>
      <c r="AB1028" s="62" t="n">
        <f aca="false">-AB714-AB715</f>
        <v>-10970.7</v>
      </c>
      <c r="AC1028" s="62" t="n">
        <f aca="false">-AC714-AC715</f>
        <v>-1717.2675</v>
      </c>
      <c r="AD1028" s="62" t="n">
        <f aca="false">-AD714-AD715</f>
        <v>-1761.3</v>
      </c>
      <c r="AE1028" s="62" t="n">
        <f aca="false">-AE714-AE715</f>
        <v>-2935.5</v>
      </c>
      <c r="AF1028" s="62" t="n">
        <f aca="false">-AF714-AF715</f>
        <v>-7633.86</v>
      </c>
      <c r="AG1028" s="62" t="n">
        <f aca="false">-AG714-AG715</f>
        <v>-14534.685</v>
      </c>
      <c r="AH1028" s="62" t="n">
        <f aca="false">-AH714-AH715</f>
        <v>-18353.125</v>
      </c>
      <c r="AI1028" s="62" t="n">
        <f aca="false">-AI714-AI715</f>
        <v>-20558.65</v>
      </c>
      <c r="AJ1028" s="62" t="n">
        <f aca="false">-AJ714-AJ715</f>
        <v>-19545.9188556571</v>
      </c>
      <c r="AK1028" s="62" t="n">
        <f aca="false">-AK714-AK715</f>
        <v>-21922.7897916829</v>
      </c>
      <c r="AL1028" s="62" t="n">
        <f aca="false">-AL714-AL715</f>
        <v>-23750.8975840694</v>
      </c>
    </row>
    <row r="1029" customFormat="false" ht="25.5" hidden="false" customHeight="true" outlineLevel="0" collapsed="false">
      <c r="A1029" s="369" t="s">
        <v>744</v>
      </c>
      <c r="B1029" s="75"/>
      <c r="C1029" s="41"/>
      <c r="D1029" s="41"/>
      <c r="E1029" s="41"/>
      <c r="F1029" s="41"/>
      <c r="G1029" s="41"/>
      <c r="H1029" s="41"/>
      <c r="I1029" s="41"/>
      <c r="J1029" s="41"/>
      <c r="K1029" s="41"/>
      <c r="L1029" s="41"/>
      <c r="M1029" s="41"/>
      <c r="N1029" s="41"/>
      <c r="O1029" s="41"/>
      <c r="P1029" s="41"/>
      <c r="Q1029" s="41"/>
      <c r="R1029" s="41"/>
      <c r="S1029" s="41"/>
      <c r="T1029" s="62" t="n">
        <f aca="false">-T845+S845</f>
        <v>0</v>
      </c>
      <c r="U1029" s="62" t="n">
        <f aca="false">-U845+T845</f>
        <v>-6082.395</v>
      </c>
      <c r="V1029" s="62" t="n">
        <f aca="false">-V845+U845</f>
        <v>1285.44</v>
      </c>
      <c r="W1029" s="62" t="n">
        <f aca="false">-W845+V845</f>
        <v>-1930.698</v>
      </c>
      <c r="X1029" s="62" t="n">
        <f aca="false">-X845+W845</f>
        <v>-3101.523</v>
      </c>
      <c r="Y1029" s="62" t="n">
        <f aca="false">+X215+X213-Y215-Y213</f>
        <v>2383.929</v>
      </c>
      <c r="Z1029" s="62" t="n">
        <f aca="false">+Y215+Y213-Z215-Z213</f>
        <v>-1399.211</v>
      </c>
      <c r="AA1029" s="62" t="n">
        <f aca="false">+Z215+Z213-AA215-AA213</f>
        <v>2911.298</v>
      </c>
      <c r="AB1029" s="62" t="n">
        <f aca="false">+AA215+AA213-AB215-AB213</f>
        <v>-5361.14</v>
      </c>
      <c r="AC1029" s="62" t="n">
        <f aca="false">+AB215+AB213-AC215-AC213</f>
        <v>2806.5</v>
      </c>
      <c r="AD1029" s="62" t="n">
        <f aca="false">+AC215+AC213-AD215-AD213</f>
        <v>3416.7</v>
      </c>
      <c r="AE1029" s="62" t="n">
        <f aca="false">+AD215+AD213-AE215-AE213</f>
        <v>119.200000000001</v>
      </c>
      <c r="AF1029" s="62" t="n">
        <f aca="false">+AE215+AE213-AF215-AF213</f>
        <v>-633.4</v>
      </c>
      <c r="AG1029" s="62" t="n">
        <f aca="false">+AF215+AF213-AG215-AG213</f>
        <v>741.6</v>
      </c>
      <c r="AH1029" s="62" t="n">
        <f aca="false">+AG215+AG213-AH215-AH213</f>
        <v>-7846.5</v>
      </c>
      <c r="AI1029" s="62" t="n">
        <f aca="false">+AH215+AH213-AI215-AI213</f>
        <v>7648</v>
      </c>
      <c r="AJ1029" s="62" t="n">
        <f aca="false">+AI215+AI213-AJ215-AJ213</f>
        <v>-504.22</v>
      </c>
      <c r="AK1029" s="62" t="n">
        <f aca="false">+AJ215+AJ213-AK215-AK213</f>
        <v>-554.642000000001</v>
      </c>
      <c r="AL1029" s="62" t="n">
        <f aca="false">+AK215+AK213-AL215-AL213</f>
        <v>-610.1062</v>
      </c>
    </row>
    <row r="1030" customFormat="false" ht="24.75" hidden="false" customHeight="true" outlineLevel="0" collapsed="false">
      <c r="A1030" s="382" t="s">
        <v>745</v>
      </c>
      <c r="B1030" s="75"/>
      <c r="C1030" s="41"/>
      <c r="D1030" s="41"/>
      <c r="E1030" s="41"/>
      <c r="F1030" s="41"/>
      <c r="G1030" s="41"/>
      <c r="H1030" s="41"/>
      <c r="I1030" s="41"/>
      <c r="J1030" s="41"/>
      <c r="K1030" s="41"/>
      <c r="L1030" s="41"/>
      <c r="M1030" s="41"/>
      <c r="N1030" s="41"/>
      <c r="O1030" s="41"/>
      <c r="P1030" s="41"/>
      <c r="Q1030" s="41"/>
      <c r="R1030" s="41"/>
      <c r="S1030" s="41"/>
      <c r="T1030" s="62" t="n">
        <f aca="false">+T819-S819</f>
        <v>0</v>
      </c>
      <c r="U1030" s="62" t="n">
        <f aca="false">+U819-T819</f>
        <v>765.63</v>
      </c>
      <c r="V1030" s="62" t="n">
        <f aca="false">+V819-U819</f>
        <v>19.496</v>
      </c>
      <c r="W1030" s="62" t="n">
        <f aca="false">+W819-V819</f>
        <v>-106.464</v>
      </c>
      <c r="X1030" s="62" t="n">
        <f aca="false">+X819-W819</f>
        <v>107.474</v>
      </c>
      <c r="Y1030" s="62" t="n">
        <f aca="false">+Y194+Y191-X191-X194</f>
        <v>2456.047</v>
      </c>
      <c r="Z1030" s="62" t="n">
        <f aca="false">+Z194+Z191-Y191-Y194</f>
        <v>-1072.445</v>
      </c>
      <c r="AA1030" s="62" t="n">
        <f aca="false">+AA194+AA191-Z191-Z194</f>
        <v>2411.926</v>
      </c>
      <c r="AB1030" s="62" t="n">
        <f aca="false">+AB194+AB191-AA191-AA194</f>
        <v>946.532</v>
      </c>
      <c r="AC1030" s="62" t="n">
        <f aca="false">+AC194+AC191-AB191-AB194</f>
        <v>-468.7</v>
      </c>
      <c r="AD1030" s="62" t="n">
        <f aca="false">+AD194+AD191-AC191-AC194</f>
        <v>-379.4</v>
      </c>
      <c r="AE1030" s="62" t="n">
        <f aca="false">+AE194+AE191-AD191-AD194</f>
        <v>-498.7</v>
      </c>
      <c r="AF1030" s="62" t="n">
        <f aca="false">+AF194+AF191-AE191-AE194</f>
        <v>3720.7</v>
      </c>
      <c r="AG1030" s="62" t="n">
        <f aca="false">+AG194+AG191-AF191-AF194</f>
        <v>2365.6</v>
      </c>
      <c r="AH1030" s="62" t="n">
        <f aca="false">+AH194+AH191-AG191-AG194</f>
        <v>655.7</v>
      </c>
      <c r="AI1030" s="62" t="n">
        <f aca="false">+AI194+AI191-AH191-AH194</f>
        <v>-239.900000000001</v>
      </c>
      <c r="AJ1030" s="62" t="n">
        <f aca="false">+AJ194+AJ191-AI191-AI194</f>
        <v>1070.41</v>
      </c>
      <c r="AK1030" s="62" t="n">
        <f aca="false">+AK194+AK191-AJ191-AJ194</f>
        <v>1177.451</v>
      </c>
      <c r="AL1030" s="62" t="n">
        <f aca="false">+AL194+AL191-AK191-AK194</f>
        <v>1295.1961</v>
      </c>
    </row>
    <row r="1031" customFormat="false" ht="12" hidden="false" customHeight="true" outlineLevel="0" collapsed="false">
      <c r="B1031" s="75"/>
      <c r="C1031" s="41"/>
      <c r="D1031" s="41"/>
      <c r="E1031" s="41"/>
      <c r="F1031" s="41"/>
      <c r="G1031" s="41"/>
      <c r="H1031" s="41"/>
      <c r="I1031" s="41"/>
      <c r="J1031" s="41"/>
      <c r="K1031" s="41"/>
      <c r="L1031" s="41"/>
      <c r="M1031" s="41"/>
      <c r="N1031" s="41"/>
      <c r="O1031" s="41"/>
      <c r="P1031" s="41"/>
      <c r="Q1031" s="41"/>
      <c r="R1031" s="41"/>
      <c r="S1031" s="41"/>
      <c r="T1031" s="41"/>
      <c r="U1031" s="41"/>
      <c r="V1031" s="41"/>
      <c r="W1031" s="41"/>
      <c r="X1031" s="41"/>
      <c r="Y1031" s="41"/>
      <c r="Z1031" s="41"/>
      <c r="AA1031" s="180"/>
      <c r="AB1031" s="41"/>
      <c r="AC1031" s="41"/>
      <c r="AD1031" s="41"/>
      <c r="AE1031" s="41"/>
      <c r="AF1031" s="180"/>
      <c r="AG1031" s="180"/>
      <c r="AH1031" s="41"/>
      <c r="AI1031" s="41"/>
      <c r="AJ1031" s="41"/>
      <c r="AK1031" s="41"/>
      <c r="AL1031" s="41"/>
    </row>
    <row r="1032" s="19" customFormat="true" ht="12.75" hidden="false" customHeight="true" outlineLevel="0" collapsed="false">
      <c r="A1032" s="59" t="s">
        <v>746</v>
      </c>
      <c r="C1032" s="67" t="n">
        <f aca="false">SUM(C1025:C1028)</f>
        <v>420.369999999998</v>
      </c>
      <c r="D1032" s="67" t="n">
        <f aca="false">SUM(D1025:D1028)</f>
        <v>4921.83</v>
      </c>
      <c r="E1032" s="67" t="n">
        <f aca="false">SUM(E1025:E1028)</f>
        <v>2475.5</v>
      </c>
      <c r="F1032" s="67" t="n">
        <f aca="false">SUM(F1025:F1028)</f>
        <v>2234.84000000001</v>
      </c>
      <c r="G1032" s="67" t="n">
        <f aca="false">SUM(G1025:G1028)</f>
        <v>576.238423999997</v>
      </c>
      <c r="H1032" s="67" t="n">
        <f aca="false">SUM(H1025:H1028)</f>
        <v>-2992.148378296</v>
      </c>
      <c r="I1032" s="67" t="n">
        <f aca="false">SUM(I1025:I1028)</f>
        <v>-443.219999999998</v>
      </c>
      <c r="J1032" s="67" t="n">
        <f aca="false">SUM(J1025:J1028)</f>
        <v>-857.509999999999</v>
      </c>
      <c r="K1032" s="67" t="n">
        <f aca="false">SUM(K1025:K1028)</f>
        <v>-2786.22</v>
      </c>
      <c r="L1032" s="67" t="n">
        <f aca="false">SUM(L1025:L1028)</f>
        <v>-3686.06000000001</v>
      </c>
      <c r="M1032" s="67" t="n">
        <f aca="false">SUM(M1025:M1028)</f>
        <v>-3197.18</v>
      </c>
      <c r="N1032" s="67" t="n">
        <f aca="false">SUM(N1025:N1028)</f>
        <v>2259.91</v>
      </c>
      <c r="O1032" s="67" t="n">
        <f aca="false">SUM(O1025:O1028)</f>
        <v>-2712.09999999999</v>
      </c>
      <c r="P1032" s="67" t="n">
        <f aca="false">SUM(P1025:P1028)</f>
        <v>-107.009999999993</v>
      </c>
      <c r="Q1032" s="67" t="n">
        <f aca="false">SUM(Q1025:Q1028)</f>
        <v>322.070000000002</v>
      </c>
      <c r="R1032" s="67" t="n">
        <f aca="false">SUM(R1025:R1028)</f>
        <v>22055.636</v>
      </c>
      <c r="S1032" s="67" t="n">
        <f aca="false">SUM(S1025:S1028)</f>
        <v>169.322999999966</v>
      </c>
      <c r="T1032" s="67" t="n">
        <f aca="false">SUM(T1025:T1030)</f>
        <v>272.776999999981</v>
      </c>
      <c r="U1032" s="67" t="n">
        <f aca="false">SUM(U1025:U1030)</f>
        <v>-3228.13199999998</v>
      </c>
      <c r="V1032" s="67" t="n">
        <f aca="false">SUM(V1025:V1030)</f>
        <v>12022.207</v>
      </c>
      <c r="W1032" s="67" t="n">
        <f aca="false">SUM(W1025:W1030)</f>
        <v>995.361000000017</v>
      </c>
      <c r="X1032" s="67" t="n">
        <f aca="false">SUM(X1025:X1030)</f>
        <v>-12956.75</v>
      </c>
      <c r="Y1032" s="67" t="n">
        <f aca="false">SUM(Y1025:Y1030)</f>
        <v>-5661.39900000002</v>
      </c>
      <c r="Z1032" s="67" t="n">
        <f aca="false">SUM(Z1025:Z1030)</f>
        <v>-10214.536</v>
      </c>
      <c r="AA1032" s="67" t="n">
        <f aca="false">SUM(AA1025:AA1030)</f>
        <v>-11340.725</v>
      </c>
      <c r="AB1032" s="67" t="n">
        <f aca="false">SUM(AB1025:AB1030)</f>
        <v>-16269.8559999999</v>
      </c>
      <c r="AC1032" s="67" t="n">
        <f aca="false">SUM(AC1025:AC1030)</f>
        <v>15748.2</v>
      </c>
      <c r="AD1032" s="67" t="n">
        <f aca="false">SUM(AD1025:AD1030)</f>
        <v>8905.10000000001</v>
      </c>
      <c r="AE1032" s="67" t="n">
        <f aca="false">SUM(AE1025:AE1030)</f>
        <v>-5074.50000000002</v>
      </c>
      <c r="AF1032" s="67" t="n">
        <f aca="false">SUM(AF1025:AF1030)</f>
        <v>-3115.29999999999</v>
      </c>
      <c r="AG1032" s="67" t="n">
        <f aca="false">SUM(AG1025:AG1030)</f>
        <v>-28480.1000000001</v>
      </c>
      <c r="AH1032" s="67" t="n">
        <f aca="false">SUM(AH1025:AH1030)</f>
        <v>-21316.3</v>
      </c>
      <c r="AI1032" s="67" t="n">
        <f aca="false">SUM(AI1025:AI1030)</f>
        <v>-15167.7000000002</v>
      </c>
      <c r="AJ1032" s="67" t="n">
        <f aca="false">SUM(AJ1025:AJ1030)</f>
        <v>-16268.5599999999</v>
      </c>
      <c r="AK1032" s="67" t="n">
        <f aca="false">SUM(AK1025:AK1030)</f>
        <v>-21073.1098556571</v>
      </c>
      <c r="AL1032" s="67" t="n">
        <f aca="false">SUM(AL1025:AL1030)</f>
        <v>-23387.6998916829</v>
      </c>
    </row>
    <row r="1033" customFormat="false" ht="12" hidden="false" customHeight="true" outlineLevel="0" collapsed="false">
      <c r="C1033" s="41"/>
      <c r="D1033" s="41"/>
      <c r="E1033" s="41"/>
      <c r="F1033" s="41"/>
      <c r="G1033" s="41"/>
      <c r="H1033" s="41"/>
      <c r="I1033" s="41"/>
      <c r="J1033" s="41"/>
      <c r="K1033" s="41"/>
      <c r="L1033" s="41"/>
      <c r="M1033" s="41"/>
      <c r="N1033" s="41"/>
      <c r="O1033" s="41"/>
      <c r="P1033" s="41"/>
      <c r="Q1033" s="41"/>
      <c r="R1033" s="41"/>
      <c r="S1033" s="41"/>
      <c r="T1033" s="41"/>
      <c r="U1033" s="41"/>
      <c r="V1033" s="41"/>
      <c r="W1033" s="41"/>
      <c r="X1033" s="41"/>
      <c r="Y1033" s="41"/>
      <c r="Z1033" s="41"/>
      <c r="AA1033" s="180"/>
      <c r="AB1033" s="41"/>
      <c r="AC1033" s="41"/>
      <c r="AD1033" s="41"/>
      <c r="AE1033" s="41"/>
      <c r="AF1033" s="180"/>
      <c r="AG1033" s="180"/>
      <c r="AH1033" s="41"/>
      <c r="AI1033" s="41"/>
      <c r="AJ1033" s="41"/>
      <c r="AK1033" s="41"/>
      <c r="AL1033" s="41"/>
    </row>
    <row r="1034" s="19" customFormat="true" ht="25.5" hidden="false" customHeight="true" outlineLevel="0" collapsed="false">
      <c r="A1034" s="59" t="s">
        <v>747</v>
      </c>
      <c r="C1034" s="165" t="n">
        <f aca="false">+C54</f>
        <v>0</v>
      </c>
      <c r="D1034" s="165" t="n">
        <f aca="false">+D54</f>
        <v>0</v>
      </c>
      <c r="E1034" s="165" t="n">
        <f aca="false">+E54</f>
        <v>0</v>
      </c>
      <c r="F1034" s="165" t="n">
        <f aca="false">+F54</f>
        <v>0</v>
      </c>
      <c r="G1034" s="165" t="n">
        <f aca="false">+G54</f>
        <v>0</v>
      </c>
      <c r="H1034" s="165" t="n">
        <f aca="false">+H54</f>
        <v>0</v>
      </c>
      <c r="I1034" s="165" t="n">
        <f aca="false">+I54</f>
        <v>0</v>
      </c>
      <c r="J1034" s="165" t="n">
        <f aca="false">+J54</f>
        <v>-54.68</v>
      </c>
      <c r="K1034" s="165" t="n">
        <f aca="false">+K54</f>
        <v>-40.43</v>
      </c>
      <c r="L1034" s="165" t="n">
        <f aca="false">+L54</f>
        <v>-107.41</v>
      </c>
      <c r="M1034" s="165" t="n">
        <f aca="false">+M54</f>
        <v>-95.19</v>
      </c>
      <c r="N1034" s="165" t="n">
        <f aca="false">+N54</f>
        <v>358.7584</v>
      </c>
      <c r="O1034" s="165" t="n">
        <f aca="false">+O54</f>
        <v>217.15</v>
      </c>
      <c r="P1034" s="165" t="n">
        <f aca="false">+P54</f>
        <v>-130.76</v>
      </c>
      <c r="Q1034" s="165" t="n">
        <f aca="false">+Q54</f>
        <v>-127.37</v>
      </c>
      <c r="R1034" s="165" t="n">
        <f aca="false">+R54+R815</f>
        <v>-551.476</v>
      </c>
      <c r="S1034" s="165" t="n">
        <f aca="false">+S54+S815+S816-R815-R816</f>
        <v>569.858</v>
      </c>
      <c r="T1034" s="165" t="n">
        <f aca="false">+T54+T815+T816-S815-S816</f>
        <v>-241.717</v>
      </c>
      <c r="U1034" s="165" t="n">
        <f aca="false">+U54+U815+U816-T815-T816</f>
        <v>-843.079</v>
      </c>
      <c r="V1034" s="165" t="n">
        <f aca="false">+V54+V815+V816-U815-U816</f>
        <v>2873.136</v>
      </c>
      <c r="W1034" s="165" t="n">
        <f aca="false">+W54+W815+W816-V815-V816</f>
        <v>5062.516</v>
      </c>
      <c r="X1034" s="165" t="n">
        <f aca="false">+X54+X815+X816-W815-W816</f>
        <v>1006.251</v>
      </c>
      <c r="Y1034" s="165" t="n">
        <f aca="false">-Y234+X234</f>
        <v>337.481</v>
      </c>
      <c r="Z1034" s="165" t="n">
        <f aca="false">-Z234+Y234</f>
        <v>0</v>
      </c>
      <c r="AA1034" s="165" t="n">
        <f aca="false">-AA234+Z234</f>
        <v>0</v>
      </c>
      <c r="AB1034" s="165" t="n">
        <f aca="false">-AB234+AA234</f>
        <v>0</v>
      </c>
      <c r="AC1034" s="165" t="n">
        <f aca="false">-AC234+AB234</f>
        <v>0</v>
      </c>
      <c r="AD1034" s="165" t="n">
        <f aca="false">-AD234+AC234</f>
        <v>0</v>
      </c>
      <c r="AE1034" s="165" t="n">
        <f aca="false">-AE234+AD234</f>
        <v>0</v>
      </c>
      <c r="AF1034" s="165" t="n">
        <f aca="false">-AF234+AE234</f>
        <v>0</v>
      </c>
      <c r="AG1034" s="165" t="n">
        <f aca="false">-AG234+AF234</f>
        <v>0</v>
      </c>
      <c r="AH1034" s="165" t="n">
        <f aca="false">-AH234+AG234</f>
        <v>0</v>
      </c>
      <c r="AI1034" s="165" t="n">
        <f aca="false">-AI234+AH234</f>
        <v>0</v>
      </c>
      <c r="AJ1034" s="165" t="n">
        <f aca="false">-AJ234+AI234</f>
        <v>0</v>
      </c>
      <c r="AK1034" s="165" t="n">
        <f aca="false">-AK234+AJ234</f>
        <v>0</v>
      </c>
      <c r="AL1034" s="165" t="n">
        <f aca="false">-AL234+AK234</f>
        <v>0</v>
      </c>
    </row>
    <row r="1035" customFormat="false" ht="12" hidden="false" customHeight="true" outlineLevel="0" collapsed="false">
      <c r="C1035" s="41"/>
      <c r="D1035" s="41"/>
      <c r="E1035" s="41"/>
      <c r="F1035" s="41"/>
      <c r="G1035" s="41"/>
      <c r="H1035" s="41"/>
      <c r="I1035" s="41"/>
      <c r="J1035" s="41"/>
      <c r="K1035" s="41"/>
      <c r="L1035" s="41"/>
      <c r="M1035" s="41"/>
      <c r="N1035" s="41"/>
      <c r="O1035" s="41"/>
      <c r="P1035" s="41"/>
      <c r="Q1035" s="41"/>
      <c r="R1035" s="41"/>
      <c r="S1035" s="41"/>
      <c r="T1035" s="41"/>
      <c r="U1035" s="41"/>
      <c r="V1035" s="41"/>
      <c r="W1035" s="41"/>
      <c r="X1035" s="41"/>
      <c r="Y1035" s="41"/>
      <c r="Z1035" s="41"/>
      <c r="AA1035" s="180"/>
      <c r="AB1035" s="41"/>
      <c r="AC1035" s="41"/>
      <c r="AD1035" s="41"/>
      <c r="AE1035" s="41"/>
      <c r="AF1035" s="180"/>
      <c r="AG1035" s="180"/>
      <c r="AH1035" s="41"/>
      <c r="AI1035" s="41"/>
      <c r="AJ1035" s="41"/>
      <c r="AK1035" s="41"/>
      <c r="AL1035" s="41"/>
    </row>
    <row r="1036" s="19" customFormat="true" ht="12.75" hidden="false" customHeight="true" outlineLevel="0" collapsed="false">
      <c r="A1036" s="59" t="s">
        <v>748</v>
      </c>
      <c r="C1036" s="67" t="n">
        <f aca="false">C1034+C1032+C1023+C1019</f>
        <v>-762.880000000003</v>
      </c>
      <c r="D1036" s="67" t="n">
        <f aca="false">D1034+D1032+D1023+D1019</f>
        <v>816.279999999999</v>
      </c>
      <c r="E1036" s="67" t="n">
        <f aca="false">E1034+E1032+E1023+E1019</f>
        <v>-825.660000000003</v>
      </c>
      <c r="F1036" s="67" t="n">
        <f aca="false">F1034+F1032+F1023+F1019</f>
        <v>39.9000000000033</v>
      </c>
      <c r="G1036" s="67" t="n">
        <f aca="false">G1034+G1032+G1023+G1019</f>
        <v>-40.320000000002</v>
      </c>
      <c r="H1036" s="67" t="n">
        <f aca="false">H1034+H1032+H1023+H1019</f>
        <v>596.449999999995</v>
      </c>
      <c r="I1036" s="67" t="n">
        <f aca="false">I1034+I1032+I1023+I1019</f>
        <v>-248.719999999996</v>
      </c>
      <c r="J1036" s="67" t="n">
        <f aca="false">J1034+J1032+J1023+J1019</f>
        <v>1276.36</v>
      </c>
      <c r="K1036" s="67" t="n">
        <f aca="false">K1034+K1032+K1023+K1019</f>
        <v>1099.74</v>
      </c>
      <c r="L1036" s="67" t="n">
        <f aca="false">L1034+L1032+L1023+L1019</f>
        <v>-529.709999999997</v>
      </c>
      <c r="M1036" s="67" t="n">
        <f aca="false">M1034+M1032+M1023+M1019</f>
        <v>1030.51</v>
      </c>
      <c r="N1036" s="67" t="n">
        <f aca="false">N1034+N1032+N1023+N1019</f>
        <v>4717.08</v>
      </c>
      <c r="O1036" s="67" t="n">
        <f aca="false">O1034+O1032+O1023+O1019</f>
        <v>-1938.06</v>
      </c>
      <c r="P1036" s="67" t="n">
        <f aca="false">P1034+P1032+P1023+P1019</f>
        <v>-1679.36999999999</v>
      </c>
      <c r="Q1036" s="67" t="n">
        <f aca="false">Q1034+Q1032+Q1023+Q1019</f>
        <v>164.310000000001</v>
      </c>
      <c r="R1036" s="67" t="n">
        <f aca="false">R1034+R1032+R1023+R1019</f>
        <v>-3632.864</v>
      </c>
      <c r="S1036" s="67" t="n">
        <f aca="false">S1034+S1032+S1023+S1019</f>
        <v>4308.36899999999</v>
      </c>
      <c r="T1036" s="67" t="n">
        <f aca="false">T1034+T1032+T1023+T1019</f>
        <v>-3393.93300000001</v>
      </c>
      <c r="U1036" s="67" t="n">
        <f aca="false">U1034+U1032+U1023+U1019</f>
        <v>-1469.71399999997</v>
      </c>
      <c r="V1036" s="67" t="n">
        <f aca="false">V1034+V1032+V1023+V1019</f>
        <v>-186.134000000021</v>
      </c>
      <c r="W1036" s="67" t="n">
        <f aca="false">W1034+W1032+W1023+W1019</f>
        <v>-22.5179999999968</v>
      </c>
      <c r="X1036" s="67" t="n">
        <f aca="false">X1034+X1032+X1023+X1019</f>
        <v>7395.97299999997</v>
      </c>
      <c r="Y1036" s="67" t="n">
        <f aca="false">Y1034+Y1032+Y1023+Y1019</f>
        <v>8418.43500000001</v>
      </c>
      <c r="Z1036" s="67" t="n">
        <f aca="false">Z1034+Z1032+Z1023+Z1019</f>
        <v>-6811.566</v>
      </c>
      <c r="AA1036" s="67" t="n">
        <f aca="false">AA1034+AA1032+AA1023+AA1019</f>
        <v>924.296000000009</v>
      </c>
      <c r="AB1036" s="67" t="n">
        <f aca="false">AB1034+AB1032+AB1023+AB1019</f>
        <v>3691.85599999998</v>
      </c>
      <c r="AC1036" s="67" t="n">
        <f aca="false">AC1034+AC1032+AC1023+AC1019</f>
        <v>-511.2</v>
      </c>
      <c r="AD1036" s="67" t="n">
        <f aca="false">AD1034+AD1032+AD1023+AD1019</f>
        <v>-4995.19999999999</v>
      </c>
      <c r="AE1036" s="67" t="n">
        <f aca="false">AE1034+AE1032+AE1023+AE1019</f>
        <v>2240.09999999998</v>
      </c>
      <c r="AF1036" s="67" t="n">
        <f aca="false">AF1034+AF1032+AF1023+AF1019</f>
        <v>-5456.69999999998</v>
      </c>
      <c r="AG1036" s="67" t="n">
        <f aca="false">AG1034+AG1032+AG1023+AG1019</f>
        <v>29368.9</v>
      </c>
      <c r="AH1036" s="67" t="n">
        <f aca="false">AH1034+AH1032+AH1023+AH1019</f>
        <v>-7322.29999999998</v>
      </c>
      <c r="AI1036" s="67" t="n">
        <f aca="false">AI1034+AI1032+AI1023+AI1019</f>
        <v>2711.00000000002</v>
      </c>
      <c r="AJ1036" s="67" t="n">
        <f aca="false">AJ1034+AJ1032+AJ1023+AJ1019</f>
        <v>6647.13356835098</v>
      </c>
      <c r="AK1036" s="67" t="n">
        <f aca="false">AK1034+AK1032+AK1023+AK1019</f>
        <v>19738.3914254535</v>
      </c>
      <c r="AL1036" s="67" t="n">
        <f aca="false">AL1034+AL1032+AL1023+AL1019</f>
        <v>22508.1920654148</v>
      </c>
    </row>
    <row r="1037" s="19" customFormat="true" ht="12.75" hidden="false" customHeight="true" outlineLevel="0" collapsed="false">
      <c r="A1037" s="59" t="s">
        <v>749</v>
      </c>
      <c r="C1037" s="67" t="n">
        <f aca="false">+B861</f>
        <v>797.86</v>
      </c>
      <c r="D1037" s="67" t="n">
        <f aca="false">+C861</f>
        <v>34.77</v>
      </c>
      <c r="E1037" s="67" t="n">
        <f aca="false">+D861</f>
        <v>851.2</v>
      </c>
      <c r="F1037" s="67" t="n">
        <f aca="false">+E861</f>
        <v>25.52</v>
      </c>
      <c r="G1037" s="67" t="n">
        <f aca="false">+F861</f>
        <v>65.42</v>
      </c>
      <c r="H1037" s="67" t="n">
        <f aca="false">+G861</f>
        <v>25.11</v>
      </c>
      <c r="I1037" s="67" t="n">
        <f aca="false">+H861</f>
        <v>621.55</v>
      </c>
      <c r="J1037" s="67" t="n">
        <f aca="false">+I861</f>
        <v>372.84</v>
      </c>
      <c r="K1037" s="67" t="n">
        <f aca="false">+J861</f>
        <v>1649.2</v>
      </c>
      <c r="L1037" s="67" t="n">
        <f aca="false">+K861</f>
        <v>2748.94</v>
      </c>
      <c r="M1037" s="67" t="n">
        <f aca="false">+L861</f>
        <v>2219.23</v>
      </c>
      <c r="N1037" s="67" t="n">
        <f aca="false">+M861</f>
        <v>3249.74</v>
      </c>
      <c r="O1037" s="67" t="n">
        <f aca="false">+N861</f>
        <v>7966.82</v>
      </c>
      <c r="P1037" s="67" t="n">
        <f aca="false">+O861</f>
        <v>6028.76</v>
      </c>
      <c r="Q1037" s="67" t="n">
        <f aca="false">+P861</f>
        <v>4349.39</v>
      </c>
      <c r="R1037" s="67" t="n">
        <f aca="false">+Q861</f>
        <v>4513.7</v>
      </c>
      <c r="S1037" s="67" t="n">
        <f aca="false">+R861</f>
        <v>880.836</v>
      </c>
      <c r="T1037" s="67" t="n">
        <f aca="false">+S861</f>
        <v>5189.205</v>
      </c>
      <c r="U1037" s="67" t="n">
        <f aca="false">+T861</f>
        <v>1795.272</v>
      </c>
      <c r="V1037" s="67" t="n">
        <f aca="false">+U861</f>
        <v>325.558</v>
      </c>
      <c r="W1037" s="67" t="n">
        <f aca="false">+V861</f>
        <v>139.424</v>
      </c>
      <c r="X1037" s="67" t="n">
        <f aca="false">+W861</f>
        <v>116.906</v>
      </c>
      <c r="Y1037" s="67" t="n">
        <f aca="false">+X861</f>
        <v>7512.879</v>
      </c>
      <c r="Z1037" s="67" t="n">
        <f aca="false">+Y861</f>
        <v>15931.314</v>
      </c>
      <c r="AA1037" s="67" t="n">
        <f aca="false">+Z861</f>
        <v>9119.748</v>
      </c>
      <c r="AB1037" s="67" t="n">
        <f aca="false">+AA861</f>
        <v>10044.044</v>
      </c>
      <c r="AC1037" s="67" t="n">
        <f aca="false">+AB861</f>
        <v>13735.9</v>
      </c>
      <c r="AD1037" s="67" t="n">
        <f aca="false">+AC861</f>
        <v>13224.7</v>
      </c>
      <c r="AE1037" s="67" t="n">
        <f aca="false">+AD861</f>
        <v>8229.5</v>
      </c>
      <c r="AF1037" s="67" t="n">
        <f aca="false">+AE861</f>
        <v>10469.6</v>
      </c>
      <c r="AG1037" s="67" t="n">
        <f aca="false">+AF861</f>
        <v>5012.9</v>
      </c>
      <c r="AH1037" s="67" t="n">
        <f aca="false">+AG861</f>
        <v>34381.8</v>
      </c>
      <c r="AI1037" s="67" t="n">
        <f aca="false">+AH861</f>
        <v>27059.5</v>
      </c>
      <c r="AJ1037" s="67" t="n">
        <f aca="false">+AI861</f>
        <v>29770.5</v>
      </c>
      <c r="AK1037" s="67" t="n">
        <f aca="false">+AJ861</f>
        <v>36417.633568351</v>
      </c>
      <c r="AL1037" s="67" t="n">
        <f aca="false">+AK861</f>
        <v>56156.0249938045</v>
      </c>
    </row>
    <row r="1038" s="19" customFormat="true" ht="12.75" hidden="false" customHeight="true" outlineLevel="0" collapsed="false">
      <c r="A1038" s="59" t="s">
        <v>750</v>
      </c>
      <c r="C1038" s="67" t="n">
        <f aca="false">+C861</f>
        <v>34.77</v>
      </c>
      <c r="D1038" s="67" t="n">
        <f aca="false">+D861</f>
        <v>851.2</v>
      </c>
      <c r="E1038" s="67" t="n">
        <f aca="false">+E861</f>
        <v>25.52</v>
      </c>
      <c r="F1038" s="67" t="n">
        <f aca="false">+F861</f>
        <v>65.42</v>
      </c>
      <c r="G1038" s="67" t="n">
        <f aca="false">+G861</f>
        <v>25.11</v>
      </c>
      <c r="H1038" s="67" t="n">
        <f aca="false">+H861</f>
        <v>621.55</v>
      </c>
      <c r="I1038" s="67" t="n">
        <f aca="false">+I861</f>
        <v>372.84</v>
      </c>
      <c r="J1038" s="67" t="n">
        <f aca="false">+J861</f>
        <v>1649.2</v>
      </c>
      <c r="K1038" s="67" t="n">
        <f aca="false">+K861</f>
        <v>2748.94</v>
      </c>
      <c r="L1038" s="67" t="n">
        <f aca="false">+L861</f>
        <v>2219.23</v>
      </c>
      <c r="M1038" s="67" t="n">
        <f aca="false">+M861</f>
        <v>3249.74</v>
      </c>
      <c r="N1038" s="67" t="n">
        <f aca="false">+N861</f>
        <v>7966.82</v>
      </c>
      <c r="O1038" s="67" t="n">
        <f aca="false">+O861</f>
        <v>6028.76</v>
      </c>
      <c r="P1038" s="67" t="n">
        <f aca="false">+P861</f>
        <v>4349.39</v>
      </c>
      <c r="Q1038" s="67" t="n">
        <f aca="false">+Q861</f>
        <v>4513.7</v>
      </c>
      <c r="R1038" s="67" t="n">
        <f aca="false">+R861</f>
        <v>880.836</v>
      </c>
      <c r="S1038" s="67" t="n">
        <f aca="false">+S861</f>
        <v>5189.205</v>
      </c>
      <c r="T1038" s="67" t="n">
        <f aca="false">+T861</f>
        <v>1795.272</v>
      </c>
      <c r="U1038" s="67" t="n">
        <f aca="false">+U861</f>
        <v>325.558</v>
      </c>
      <c r="V1038" s="67" t="n">
        <f aca="false">+V861</f>
        <v>139.424</v>
      </c>
      <c r="W1038" s="67" t="n">
        <f aca="false">+W861</f>
        <v>116.906</v>
      </c>
      <c r="X1038" s="67" t="n">
        <f aca="false">+X861</f>
        <v>7512.879</v>
      </c>
      <c r="Y1038" s="67" t="n">
        <f aca="false">+Y861</f>
        <v>15931.314</v>
      </c>
      <c r="Z1038" s="67" t="n">
        <f aca="false">+Z861</f>
        <v>9119.748</v>
      </c>
      <c r="AA1038" s="67" t="n">
        <f aca="false">+AA861</f>
        <v>10044.044</v>
      </c>
      <c r="AB1038" s="67" t="n">
        <f aca="false">+AB861</f>
        <v>13735.9</v>
      </c>
      <c r="AC1038" s="67" t="n">
        <f aca="false">+AC861</f>
        <v>13224.7</v>
      </c>
      <c r="AD1038" s="67" t="n">
        <f aca="false">+AD861</f>
        <v>8229.5</v>
      </c>
      <c r="AE1038" s="67" t="n">
        <f aca="false">+AE861</f>
        <v>10469.6</v>
      </c>
      <c r="AF1038" s="67" t="n">
        <f aca="false">+AF861</f>
        <v>5012.9</v>
      </c>
      <c r="AG1038" s="67" t="n">
        <f aca="false">+AG861</f>
        <v>34381.8</v>
      </c>
      <c r="AH1038" s="67" t="n">
        <f aca="false">+AH861</f>
        <v>27059.5</v>
      </c>
      <c r="AI1038" s="67" t="n">
        <f aca="false">+AI861</f>
        <v>29770.5</v>
      </c>
      <c r="AJ1038" s="67" t="n">
        <f aca="false">+AJ861</f>
        <v>36417.633568351</v>
      </c>
      <c r="AK1038" s="67" t="n">
        <f aca="false">+AK861</f>
        <v>56156.0249938045</v>
      </c>
      <c r="AL1038" s="67" t="n">
        <f aca="false">+AL861</f>
        <v>78664.2170592194</v>
      </c>
    </row>
    <row r="1039" customFormat="false" ht="12.75" hidden="false" customHeight="true" outlineLevel="0" collapsed="false">
      <c r="A1039" s="167"/>
      <c r="C1039" s="41"/>
      <c r="D1039" s="41"/>
      <c r="E1039" s="41"/>
      <c r="F1039" s="41"/>
      <c r="G1039" s="41"/>
      <c r="H1039" s="41"/>
      <c r="I1039" s="41"/>
      <c r="J1039" s="41"/>
      <c r="K1039" s="41"/>
      <c r="L1039" s="41"/>
      <c r="M1039" s="41"/>
      <c r="N1039" s="41"/>
      <c r="O1039" s="41"/>
      <c r="P1039" s="41"/>
      <c r="Q1039" s="41"/>
      <c r="R1039" s="41"/>
      <c r="S1039" s="41"/>
      <c r="T1039" s="41"/>
      <c r="U1039" s="41"/>
      <c r="V1039" s="41"/>
      <c r="W1039" s="41"/>
      <c r="X1039" s="41"/>
      <c r="Y1039" s="41"/>
      <c r="Z1039" s="41"/>
      <c r="AA1039" s="180"/>
      <c r="AB1039" s="41"/>
      <c r="AC1039" s="41"/>
      <c r="AD1039" s="41"/>
      <c r="AE1039" s="41"/>
      <c r="AF1039" s="180"/>
      <c r="AG1039" s="180"/>
      <c r="AH1039" s="41"/>
      <c r="AI1039" s="41"/>
      <c r="AJ1039" s="41"/>
      <c r="AK1039" s="41"/>
      <c r="AL1039" s="41"/>
    </row>
    <row r="1040" customFormat="false" ht="12" hidden="false" customHeight="true" outlineLevel="0" collapsed="false">
      <c r="A1040" s="69" t="s">
        <v>751</v>
      </c>
      <c r="C1040" s="62" t="n">
        <f aca="false">C1037+C1036</f>
        <v>34.9799999999974</v>
      </c>
      <c r="D1040" s="62" t="n">
        <f aca="false">D1037+D1036</f>
        <v>851.049999999999</v>
      </c>
      <c r="E1040" s="62" t="n">
        <f aca="false">E1037+E1036</f>
        <v>25.5399999999968</v>
      </c>
      <c r="F1040" s="62" t="n">
        <f aca="false">F1037+F1036</f>
        <v>65.4200000000033</v>
      </c>
      <c r="G1040" s="62" t="n">
        <f aca="false">G1037+G1036</f>
        <v>25.099999999998</v>
      </c>
      <c r="H1040" s="62" t="n">
        <f aca="false">H1037+H1036</f>
        <v>621.559999999995</v>
      </c>
      <c r="I1040" s="62" t="n">
        <f aca="false">I1037+I1036</f>
        <v>372.830000000004</v>
      </c>
      <c r="J1040" s="62" t="n">
        <f aca="false">J1037+J1036</f>
        <v>1649.2</v>
      </c>
      <c r="K1040" s="62" t="n">
        <f aca="false">K1037+K1036</f>
        <v>2748.94</v>
      </c>
      <c r="L1040" s="62" t="n">
        <f aca="false">L1037+L1036</f>
        <v>2219.23</v>
      </c>
      <c r="M1040" s="62" t="n">
        <f aca="false">M1037+M1036</f>
        <v>3249.74</v>
      </c>
      <c r="N1040" s="62" t="n">
        <f aca="false">N1037+N1036</f>
        <v>7966.82</v>
      </c>
      <c r="O1040" s="62" t="n">
        <f aca="false">O1037+O1036</f>
        <v>6028.76</v>
      </c>
      <c r="P1040" s="62" t="n">
        <f aca="false">P1037+P1036</f>
        <v>4349.39000000001</v>
      </c>
      <c r="Q1040" s="62" t="n">
        <f aca="false">Q1037+Q1036</f>
        <v>4513.7</v>
      </c>
      <c r="R1040" s="62" t="n">
        <f aca="false">R1037+R1036</f>
        <v>880.835999999996</v>
      </c>
      <c r="S1040" s="62" t="n">
        <f aca="false">S1037+S1036</f>
        <v>5189.20499999999</v>
      </c>
      <c r="T1040" s="62" t="n">
        <f aca="false">T1037+T1036</f>
        <v>1795.27199999999</v>
      </c>
      <c r="U1040" s="62" t="n">
        <f aca="false">U1037+U1036</f>
        <v>325.558000000027</v>
      </c>
      <c r="V1040" s="62" t="n">
        <f aca="false">V1037+V1036</f>
        <v>139.423999999979</v>
      </c>
      <c r="W1040" s="62" t="n">
        <f aca="false">W1037+W1036</f>
        <v>116.906000000003</v>
      </c>
      <c r="X1040" s="62" t="n">
        <f aca="false">X1037+X1036</f>
        <v>7512.87899999997</v>
      </c>
      <c r="Y1040" s="62" t="n">
        <f aca="false">Y1037+Y1036</f>
        <v>15931.314</v>
      </c>
      <c r="Z1040" s="62" t="n">
        <f aca="false">Z1037+Z1036</f>
        <v>9119.748</v>
      </c>
      <c r="AA1040" s="62" t="n">
        <f aca="false">AA1037+AA1036</f>
        <v>10044.044</v>
      </c>
      <c r="AB1040" s="62" t="n">
        <f aca="false">AB1037+AB1036</f>
        <v>13735.9</v>
      </c>
      <c r="AC1040" s="62" t="n">
        <f aca="false">AC1037+AC1036</f>
        <v>13224.7</v>
      </c>
      <c r="AD1040" s="62" t="n">
        <f aca="false">AD1037+AD1036</f>
        <v>8229.50000000001</v>
      </c>
      <c r="AE1040" s="62" t="n">
        <f aca="false">AE1037+AE1036</f>
        <v>10469.6</v>
      </c>
      <c r="AF1040" s="62" t="n">
        <f aca="false">AF1037+AF1036</f>
        <v>5012.90000000003</v>
      </c>
      <c r="AG1040" s="62" t="n">
        <f aca="false">AG1037+AG1036</f>
        <v>34381.8</v>
      </c>
      <c r="AH1040" s="62" t="n">
        <f aca="false">AH1037+AH1036</f>
        <v>27059.5</v>
      </c>
      <c r="AI1040" s="62" t="n">
        <f aca="false">AI1037+AI1036</f>
        <v>29770.5</v>
      </c>
      <c r="AJ1040" s="62" t="n">
        <f aca="false">AJ1037+AJ1036</f>
        <v>36417.633568351</v>
      </c>
      <c r="AK1040" s="62" t="n">
        <f aca="false">AK1037+AK1036</f>
        <v>56156.0249938045</v>
      </c>
      <c r="AL1040" s="62" t="n">
        <f aca="false">AL1037+AL1036</f>
        <v>78664.2170592193</v>
      </c>
    </row>
    <row r="1041" customFormat="false" ht="12.75" hidden="false" customHeight="true" outlineLevel="0" collapsed="false">
      <c r="A1041" s="167"/>
    </row>
    <row r="1042" s="376" customFormat="true" ht="12" hidden="false" customHeight="true" outlineLevel="0" collapsed="false">
      <c r="A1042" s="383" t="s">
        <v>451</v>
      </c>
      <c r="C1042" s="384" t="n">
        <f aca="false">C1038-C1040</f>
        <v>-0.2099999999974</v>
      </c>
      <c r="D1042" s="384" t="n">
        <f aca="false">D1038-D1040</f>
        <v>0.150000000000773</v>
      </c>
      <c r="E1042" s="384" t="n">
        <f aca="false">E1038-E1040</f>
        <v>-0.0199999999967808</v>
      </c>
      <c r="F1042" s="384" t="n">
        <f aca="false">F1038-F1040</f>
        <v>-3.26849658449646E-012</v>
      </c>
      <c r="G1042" s="384" t="n">
        <f aca="false">G1038-G1040</f>
        <v>0.0100000000019804</v>
      </c>
      <c r="H1042" s="384" t="n">
        <f aca="false">H1038-H1040</f>
        <v>-0.00999999999532975</v>
      </c>
      <c r="I1042" s="384" t="n">
        <f aca="false">I1038-I1040</f>
        <v>0.0099999999961824</v>
      </c>
      <c r="J1042" s="384" t="n">
        <f aca="false">J1038-J1040</f>
        <v>0</v>
      </c>
      <c r="K1042" s="384" t="n">
        <f aca="false">K1038-K1040</f>
        <v>0</v>
      </c>
      <c r="L1042" s="384" t="n">
        <f aca="false">L1038-L1040</f>
        <v>0</v>
      </c>
      <c r="M1042" s="384" t="n">
        <f aca="false">M1038-M1040</f>
        <v>0</v>
      </c>
      <c r="N1042" s="384" t="n">
        <f aca="false">N1038-N1040</f>
        <v>0</v>
      </c>
      <c r="O1042" s="384" t="n">
        <f aca="false">O1038-O1040</f>
        <v>0</v>
      </c>
      <c r="P1042" s="384" t="n">
        <f aca="false">P1038-P1040</f>
        <v>0</v>
      </c>
      <c r="Q1042" s="384" t="n">
        <f aca="false">Q1038-Q1040</f>
        <v>0</v>
      </c>
      <c r="R1042" s="384" t="n">
        <f aca="false">R1038-R1040</f>
        <v>4.32009983342141E-012</v>
      </c>
      <c r="S1042" s="384" t="n">
        <f aca="false">S1038-S1040</f>
        <v>0</v>
      </c>
      <c r="T1042" s="385" t="n">
        <f aca="false">T1038-T1040</f>
        <v>1.18234311230481E-011</v>
      </c>
      <c r="U1042" s="385" t="n">
        <f aca="false">U1038-U1040</f>
        <v>-2.72848410531878E-011</v>
      </c>
      <c r="V1042" s="385" t="n">
        <f aca="false">V1038-V1040</f>
        <v>2.09467998502078E-011</v>
      </c>
      <c r="W1042" s="386" t="n">
        <f aca="false">W1038-W1040</f>
        <v>-3.15480974677485E-012</v>
      </c>
      <c r="X1042" s="385" t="n">
        <f aca="false">X1038-X1040</f>
        <v>2.72848410531878E-011</v>
      </c>
      <c r="Y1042" s="385" t="n">
        <f aca="false">Y1038-Y1040</f>
        <v>0</v>
      </c>
      <c r="Z1042" s="385" t="n">
        <f aca="false">Z1038-Z1040</f>
        <v>0</v>
      </c>
      <c r="AA1042" s="385" t="n">
        <f aca="false">AA1038-AA1040</f>
        <v>0</v>
      </c>
      <c r="AB1042" s="385" t="n">
        <f aca="false">AB1038-AB1040</f>
        <v>0</v>
      </c>
      <c r="AC1042" s="385" t="n">
        <f aca="false">AC1038-AC1040</f>
        <v>0</v>
      </c>
      <c r="AD1042" s="385" t="n">
        <f aca="false">AD1038-AD1040</f>
        <v>0</v>
      </c>
      <c r="AE1042" s="385" t="n">
        <f aca="false">AE1038-AE1040</f>
        <v>0</v>
      </c>
      <c r="AF1042" s="385" t="n">
        <f aca="false">AF1038-AF1040</f>
        <v>-2.45563569478691E-011</v>
      </c>
      <c r="AG1042" s="385" t="n">
        <f aca="false">AG1038-AG1040</f>
        <v>0</v>
      </c>
      <c r="AH1042" s="385" t="n">
        <f aca="false">AH1038-AH1040</f>
        <v>0</v>
      </c>
      <c r="AI1042" s="385" t="n">
        <f aca="false">AI1038-AI1040</f>
        <v>0</v>
      </c>
      <c r="AJ1042" s="385" t="n">
        <f aca="false">AJ1038-AJ1040</f>
        <v>0</v>
      </c>
      <c r="AK1042" s="385" t="n">
        <f aca="false">AK1038-AK1040</f>
        <v>0</v>
      </c>
      <c r="AL1042" s="385" t="n">
        <f aca="false">AL1038-AL1040</f>
        <v>0</v>
      </c>
    </row>
    <row r="1043" customFormat="false" ht="12.75" hidden="false" customHeight="true" outlineLevel="0" collapsed="false">
      <c r="J1043" s="387"/>
      <c r="K1043" s="387"/>
      <c r="L1043" s="387"/>
      <c r="M1043" s="387"/>
      <c r="N1043" s="387"/>
      <c r="O1043" s="387"/>
      <c r="P1043" s="387"/>
      <c r="Q1043" s="387"/>
      <c r="R1043" s="387"/>
      <c r="S1043" s="387"/>
      <c r="T1043" s="387"/>
      <c r="U1043" s="387"/>
      <c r="V1043" s="387"/>
      <c r="W1043" s="387"/>
      <c r="X1043" s="388"/>
    </row>
    <row r="1044" customFormat="false" ht="12.75" hidden="false" customHeight="true" outlineLevel="0" collapsed="false">
      <c r="J1044" s="389"/>
      <c r="K1044" s="389"/>
      <c r="L1044" s="389"/>
      <c r="M1044" s="389"/>
      <c r="N1044" s="389"/>
      <c r="O1044" s="389"/>
      <c r="P1044" s="389"/>
      <c r="Q1044" s="389"/>
      <c r="R1044" s="389"/>
      <c r="S1044" s="389"/>
      <c r="T1044" s="389"/>
      <c r="U1044" s="389"/>
      <c r="V1044" s="389"/>
      <c r="W1044" s="389"/>
      <c r="X1044" s="389"/>
    </row>
    <row r="1045" customFormat="false" ht="12" hidden="false" customHeight="true" outlineLevel="0" collapsed="false">
      <c r="A1045" s="69" t="s">
        <v>332</v>
      </c>
      <c r="L1045" s="390" t="e">
        <f aca="false">+L19-#REF!</f>
        <v>#REF!</v>
      </c>
      <c r="M1045" s="391" t="e">
        <f aca="false">+M19-#REF!</f>
        <v>#REF!</v>
      </c>
      <c r="N1045" s="391" t="e">
        <f aca="false">+N19-#REF!</f>
        <v>#REF!</v>
      </c>
      <c r="O1045" s="391" t="e">
        <f aca="false">+O19-#REF!</f>
        <v>#REF!</v>
      </c>
      <c r="P1045" s="391" t="e">
        <f aca="false">+P19-#REF!</f>
        <v>#REF!</v>
      </c>
      <c r="Q1045" s="391" t="e">
        <f aca="false">+Q19-#REF!</f>
        <v>#REF!</v>
      </c>
      <c r="R1045" s="391" t="e">
        <f aca="false">+R19-#REF!</f>
        <v>#REF!</v>
      </c>
      <c r="S1045" s="391" t="e">
        <f aca="false">+S19-#REF!</f>
        <v>#REF!</v>
      </c>
      <c r="T1045" s="391" t="e">
        <f aca="false">+T19-#REF!</f>
        <v>#REF!</v>
      </c>
      <c r="U1045" s="391" t="e">
        <f aca="false">+U19-#REF!</f>
        <v>#REF!</v>
      </c>
      <c r="V1045" s="391" t="e">
        <f aca="false">+V19-#REF!</f>
        <v>#REF!</v>
      </c>
      <c r="W1045" s="391" t="e">
        <f aca="false">+W19-#REF!</f>
        <v>#REF!</v>
      </c>
      <c r="X1045" s="391" t="e">
        <f aca="false">+X19-#REF!</f>
        <v>#REF!</v>
      </c>
      <c r="Y1045" s="391" t="e">
        <f aca="false">+Y19-#REF!</f>
        <v>#REF!</v>
      </c>
      <c r="Z1045" s="391" t="e">
        <f aca="false">+Z19-#REF!</f>
        <v>#REF!</v>
      </c>
      <c r="AA1045" s="391" t="e">
        <f aca="false">+AA19-#REF!</f>
        <v>#REF!</v>
      </c>
      <c r="AB1045" s="392" t="e">
        <f aca="false">+AB19-#REF!</f>
        <v>#REF!</v>
      </c>
      <c r="AC1045" s="392" t="e">
        <f aca="false">+AC19-#REF!</f>
        <v>#REF!</v>
      </c>
      <c r="AD1045" s="392" t="e">
        <f aca="false">+AD19-#REF!</f>
        <v>#REF!</v>
      </c>
      <c r="AE1045" s="392" t="e">
        <f aca="false">+AE19-#REF!</f>
        <v>#REF!</v>
      </c>
      <c r="AF1045" s="392" t="e">
        <f aca="false">+AF19-#REF!</f>
        <v>#REF!</v>
      </c>
      <c r="AG1045" s="392" t="e">
        <f aca="false">+AG19-#REF!</f>
        <v>#REF!</v>
      </c>
      <c r="AH1045" s="392" t="e">
        <f aca="false">+AH19-#REF!</f>
        <v>#REF!</v>
      </c>
      <c r="AI1045" s="392" t="e">
        <f aca="false">+AI19-#REF!</f>
        <v>#REF!</v>
      </c>
      <c r="AJ1045" s="392" t="e">
        <f aca="false">+AJ19-#REF!</f>
        <v>#REF!</v>
      </c>
      <c r="AK1045" s="392" t="e">
        <f aca="false">+AK19-#REF!</f>
        <v>#REF!</v>
      </c>
      <c r="AL1045" s="392" t="e">
        <f aca="false">+AL19-#REF!</f>
        <v>#REF!</v>
      </c>
    </row>
    <row r="1046" customFormat="false" ht="12" hidden="false" customHeight="true" outlineLevel="0" collapsed="false">
      <c r="A1046" s="69" t="s">
        <v>162</v>
      </c>
      <c r="L1046" s="393" t="e">
        <f aca="false">+L47-#REF!</f>
        <v>#REF!</v>
      </c>
      <c r="M1046" s="394" t="e">
        <f aca="false">+M47-#REF!</f>
        <v>#REF!</v>
      </c>
      <c r="N1046" s="394" t="e">
        <f aca="false">+N47-#REF!</f>
        <v>#REF!</v>
      </c>
      <c r="O1046" s="394" t="e">
        <f aca="false">+O47-#REF!</f>
        <v>#REF!</v>
      </c>
      <c r="P1046" s="394" t="e">
        <f aca="false">+P47-#REF!</f>
        <v>#REF!</v>
      </c>
      <c r="Q1046" s="394" t="e">
        <f aca="false">+Q47-#REF!</f>
        <v>#REF!</v>
      </c>
      <c r="R1046" s="394" t="e">
        <f aca="false">+R47-#REF!</f>
        <v>#REF!</v>
      </c>
      <c r="S1046" s="394" t="e">
        <f aca="false">+S47-#REF!</f>
        <v>#REF!</v>
      </c>
      <c r="T1046" s="394" t="e">
        <f aca="false">+T47-#REF!</f>
        <v>#REF!</v>
      </c>
      <c r="U1046" s="394" t="e">
        <f aca="false">+U47-#REF!</f>
        <v>#REF!</v>
      </c>
      <c r="V1046" s="394" t="e">
        <f aca="false">+V47-#REF!</f>
        <v>#REF!</v>
      </c>
      <c r="W1046" s="394" t="e">
        <f aca="false">+W47-#REF!</f>
        <v>#REF!</v>
      </c>
      <c r="X1046" s="394" t="e">
        <f aca="false">+X47/#REF!-1</f>
        <v>#REF!</v>
      </c>
      <c r="Y1046" s="394" t="e">
        <f aca="false">+Y47-#REF!</f>
        <v>#REF!</v>
      </c>
      <c r="Z1046" s="394" t="e">
        <f aca="false">+Z47-#REF!</f>
        <v>#REF!</v>
      </c>
      <c r="AA1046" s="394" t="e">
        <f aca="false">+AA47-#REF!</f>
        <v>#REF!</v>
      </c>
      <c r="AB1046" s="395" t="e">
        <f aca="false">+AB47-#REF!</f>
        <v>#REF!</v>
      </c>
      <c r="AC1046" s="395" t="e">
        <f aca="false">+AC47-#REF!</f>
        <v>#REF!</v>
      </c>
      <c r="AD1046" s="395" t="e">
        <f aca="false">+AD47-#REF!</f>
        <v>#REF!</v>
      </c>
      <c r="AE1046" s="395" t="e">
        <f aca="false">+AE47-#REF!</f>
        <v>#REF!</v>
      </c>
      <c r="AF1046" s="395" t="e">
        <f aca="false">+AF47-#REF!</f>
        <v>#REF!</v>
      </c>
      <c r="AG1046" s="395" t="e">
        <f aca="false">+AG47-#REF!</f>
        <v>#REF!</v>
      </c>
      <c r="AH1046" s="395" t="e">
        <f aca="false">+AH47-#REF!</f>
        <v>#REF!</v>
      </c>
      <c r="AI1046" s="395" t="e">
        <f aca="false">+AI47-#REF!</f>
        <v>#REF!</v>
      </c>
      <c r="AJ1046" s="395" t="e">
        <f aca="false">+AJ47-#REF!</f>
        <v>#REF!</v>
      </c>
      <c r="AK1046" s="395" t="e">
        <f aca="false">+AK47-#REF!</f>
        <v>#REF!</v>
      </c>
      <c r="AL1046" s="395" t="e">
        <f aca="false">+AL47-#REF!</f>
        <v>#REF!</v>
      </c>
    </row>
    <row r="1047" customFormat="false" ht="12" hidden="false" customHeight="true" outlineLevel="0" collapsed="false">
      <c r="A1047" s="69" t="s">
        <v>244</v>
      </c>
      <c r="L1047" s="393" t="e">
        <f aca="false">+L59-#REF!</f>
        <v>#REF!</v>
      </c>
      <c r="M1047" s="394" t="e">
        <f aca="false">+M59-#REF!</f>
        <v>#REF!</v>
      </c>
      <c r="N1047" s="394" t="e">
        <f aca="false">+N59-#REF!</f>
        <v>#REF!</v>
      </c>
      <c r="O1047" s="394" t="e">
        <f aca="false">+O59-#REF!</f>
        <v>#REF!</v>
      </c>
      <c r="P1047" s="394" t="e">
        <f aca="false">+P59-#REF!</f>
        <v>#REF!</v>
      </c>
      <c r="Q1047" s="394" t="e">
        <f aca="false">+Q59-#REF!</f>
        <v>#REF!</v>
      </c>
      <c r="R1047" s="394" t="e">
        <f aca="false">+R59-#REF!</f>
        <v>#REF!</v>
      </c>
      <c r="S1047" s="394" t="e">
        <f aca="false">+S59-#REF!</f>
        <v>#REF!</v>
      </c>
      <c r="T1047" s="394" t="e">
        <f aca="false">+T59-#REF!</f>
        <v>#REF!</v>
      </c>
      <c r="U1047" s="394" t="e">
        <f aca="false">+U59-#REF!</f>
        <v>#REF!</v>
      </c>
      <c r="V1047" s="394" t="e">
        <f aca="false">+V59-#REF!</f>
        <v>#REF!</v>
      </c>
      <c r="W1047" s="394" t="e">
        <f aca="false">+W59-#REF!</f>
        <v>#REF!</v>
      </c>
      <c r="X1047" s="394" t="e">
        <f aca="false">+X59-#REF!</f>
        <v>#REF!</v>
      </c>
      <c r="Y1047" s="394" t="e">
        <f aca="false">+Y59-#REF!</f>
        <v>#REF!</v>
      </c>
      <c r="Z1047" s="394" t="e">
        <f aca="false">+Z59-#REF!</f>
        <v>#REF!</v>
      </c>
      <c r="AA1047" s="394" t="e">
        <f aca="false">+AA59-#REF!</f>
        <v>#REF!</v>
      </c>
      <c r="AB1047" s="395" t="e">
        <f aca="false">+AB59-#REF!</f>
        <v>#REF!</v>
      </c>
      <c r="AC1047" s="395" t="e">
        <f aca="false">+AC59-#REF!</f>
        <v>#REF!</v>
      </c>
      <c r="AD1047" s="395" t="e">
        <f aca="false">+AD59-#REF!</f>
        <v>#REF!</v>
      </c>
      <c r="AE1047" s="395" t="e">
        <f aca="false">+AE59-#REF!</f>
        <v>#REF!</v>
      </c>
      <c r="AF1047" s="395" t="e">
        <f aca="false">+AF59-#REF!</f>
        <v>#REF!</v>
      </c>
      <c r="AG1047" s="395" t="e">
        <f aca="false">+AG59-#REF!</f>
        <v>#REF!</v>
      </c>
      <c r="AH1047" s="395" t="e">
        <f aca="false">+AH59-#REF!</f>
        <v>#REF!</v>
      </c>
      <c r="AI1047" s="395" t="e">
        <f aca="false">+AI59-#REF!</f>
        <v>#REF!</v>
      </c>
      <c r="AJ1047" s="395" t="e">
        <f aca="false">+AJ59-#REF!</f>
        <v>#REF!</v>
      </c>
      <c r="AK1047" s="395" t="e">
        <f aca="false">+AK59-#REF!</f>
        <v>#REF!</v>
      </c>
      <c r="AL1047" s="395" t="e">
        <f aca="false">+AL59-#REF!</f>
        <v>#REF!</v>
      </c>
    </row>
    <row r="1048" customFormat="false" ht="12.75" hidden="false" customHeight="true" outlineLevel="0" collapsed="false">
      <c r="A1048" s="69" t="s">
        <v>752</v>
      </c>
      <c r="L1048" s="396" t="e">
        <f aca="false">+L57-#REF!</f>
        <v>#REF!</v>
      </c>
      <c r="M1048" s="397" t="e">
        <f aca="false">+M57-#REF!</f>
        <v>#REF!</v>
      </c>
      <c r="N1048" s="397" t="e">
        <f aca="false">+N57-#REF!</f>
        <v>#REF!</v>
      </c>
      <c r="O1048" s="397" t="e">
        <f aca="false">+O57-#REF!</f>
        <v>#REF!</v>
      </c>
      <c r="P1048" s="397" t="e">
        <f aca="false">+P57-#REF!</f>
        <v>#REF!</v>
      </c>
      <c r="Q1048" s="397" t="e">
        <f aca="false">+Q57-#REF!</f>
        <v>#REF!</v>
      </c>
      <c r="R1048" s="397" t="e">
        <f aca="false">+R57-#REF!</f>
        <v>#REF!</v>
      </c>
      <c r="S1048" s="397" t="e">
        <f aca="false">+S57-#REF!</f>
        <v>#REF!</v>
      </c>
      <c r="T1048" s="397" t="e">
        <f aca="false">+T57-#REF!</f>
        <v>#REF!</v>
      </c>
      <c r="U1048" s="397" t="e">
        <f aca="false">+U57-#REF!</f>
        <v>#REF!</v>
      </c>
      <c r="V1048" s="397" t="e">
        <f aca="false">+V57-#REF!</f>
        <v>#REF!</v>
      </c>
      <c r="W1048" s="397" t="e">
        <f aca="false">+W57-#REF!</f>
        <v>#REF!</v>
      </c>
      <c r="X1048" s="397" t="e">
        <f aca="false">+X57-#REF!</f>
        <v>#REF!</v>
      </c>
      <c r="Y1048" s="397" t="e">
        <f aca="false">+Y57-#REF!</f>
        <v>#REF!</v>
      </c>
      <c r="Z1048" s="397" t="e">
        <f aca="false">+Z57-#REF!</f>
        <v>#REF!</v>
      </c>
      <c r="AA1048" s="397" t="e">
        <f aca="false">+AA57-#REF!</f>
        <v>#REF!</v>
      </c>
      <c r="AB1048" s="398" t="e">
        <f aca="false">+AB57-#REF!</f>
        <v>#REF!</v>
      </c>
      <c r="AC1048" s="398" t="e">
        <f aca="false">+AC57-#REF!</f>
        <v>#REF!</v>
      </c>
      <c r="AD1048" s="398" t="e">
        <f aca="false">+AD57-#REF!</f>
        <v>#REF!</v>
      </c>
      <c r="AE1048" s="398" t="e">
        <f aca="false">+AE57-#REF!</f>
        <v>#REF!</v>
      </c>
      <c r="AF1048" s="398" t="e">
        <f aca="false">+AF57-#REF!</f>
        <v>#REF!</v>
      </c>
      <c r="AG1048" s="398" t="e">
        <f aca="false">+AG57-#REF!</f>
        <v>#REF!</v>
      </c>
      <c r="AH1048" s="398" t="e">
        <f aca="false">+AH57-#REF!</f>
        <v>#REF!</v>
      </c>
      <c r="AI1048" s="398" t="e">
        <f aca="false">+AI57-#REF!</f>
        <v>#REF!</v>
      </c>
      <c r="AJ1048" s="398" t="e">
        <f aca="false">+AJ57-#REF!</f>
        <v>#REF!</v>
      </c>
      <c r="AK1048" s="398" t="e">
        <f aca="false">+AK57-#REF!</f>
        <v>#REF!</v>
      </c>
      <c r="AL1048" s="398" t="e">
        <f aca="false">+AL57-#REF!</f>
        <v>#REF!</v>
      </c>
    </row>
  </sheetData>
  <mergeCells count="2">
    <mergeCell ref="A198:R198"/>
    <mergeCell ref="A207:S20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CN1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20" width="40"/>
    <col collapsed="false" customWidth="true" hidden="false" outlineLevel="0" max="50" min="2" style="20" width="11.5"/>
    <col collapsed="false" customWidth="true" hidden="false" outlineLevel="0" max="51" min="51" style="20" width="2.5"/>
    <col collapsed="false" customWidth="true" hidden="false" outlineLevel="0" max="81" min="52" style="20" width="11.5"/>
    <col collapsed="false" customWidth="true" hidden="false" outlineLevel="0" max="82" min="82" style="20" width="2.5"/>
    <col collapsed="false" customWidth="true" hidden="false" outlineLevel="0" max="85" min="83" style="20" width="11.5"/>
    <col collapsed="false" customWidth="true" hidden="false" outlineLevel="0" max="86" min="86" style="20" width="2.5"/>
    <col collapsed="false" customWidth="true" hidden="false" outlineLevel="0" max="92" min="87" style="20" width="11.5"/>
  </cols>
  <sheetData>
    <row r="1" customFormat="false" ht="15.75" hidden="false" customHeight="true" outlineLevel="0" collapsed="false">
      <c r="A1" s="399" t="s">
        <v>753</v>
      </c>
    </row>
    <row r="2" customFormat="false" ht="15" hidden="false" customHeight="true" outlineLevel="0" collapsed="false">
      <c r="A2" s="400" t="s">
        <v>754</v>
      </c>
    </row>
    <row r="3" customFormat="false" ht="15" hidden="false" customHeight="true" outlineLevel="0" collapsed="false">
      <c r="B3" s="401" t="s">
        <v>755</v>
      </c>
      <c r="C3" s="401"/>
      <c r="D3" s="401"/>
      <c r="E3" s="401"/>
      <c r="F3" s="401"/>
      <c r="G3" s="401"/>
      <c r="H3" s="401"/>
      <c r="I3" s="401"/>
      <c r="J3" s="401"/>
      <c r="K3" s="401"/>
      <c r="L3" s="401"/>
      <c r="M3" s="401"/>
      <c r="N3" s="401"/>
      <c r="O3" s="401"/>
      <c r="P3" s="401"/>
      <c r="Q3" s="401"/>
      <c r="R3" s="401"/>
      <c r="S3" s="401"/>
      <c r="T3" s="401"/>
      <c r="U3" s="401"/>
      <c r="V3" s="401"/>
      <c r="W3" s="401"/>
      <c r="X3" s="401"/>
      <c r="Y3" s="401"/>
      <c r="Z3" s="401"/>
      <c r="AA3" s="401"/>
      <c r="AB3" s="401"/>
      <c r="AC3" s="401"/>
      <c r="AD3" s="401"/>
      <c r="AE3" s="401"/>
      <c r="AF3" s="401"/>
      <c r="AG3" s="401"/>
      <c r="AH3" s="401"/>
      <c r="AI3" s="401"/>
      <c r="AJ3" s="401"/>
      <c r="AK3" s="401"/>
      <c r="AL3" s="401"/>
      <c r="AM3" s="401"/>
      <c r="AN3" s="401"/>
      <c r="AO3" s="401"/>
      <c r="AP3" s="401"/>
      <c r="AQ3" s="401"/>
      <c r="AR3" s="401"/>
      <c r="AS3" s="401"/>
      <c r="AT3" s="401"/>
      <c r="AU3" s="401"/>
      <c r="AV3" s="401"/>
      <c r="AW3" s="401"/>
      <c r="AX3" s="401"/>
      <c r="AZ3" s="402" t="s">
        <v>756</v>
      </c>
      <c r="BA3" s="402"/>
      <c r="BB3" s="402"/>
      <c r="BC3" s="402"/>
      <c r="BD3" s="402"/>
      <c r="BE3" s="402"/>
      <c r="BF3" s="402"/>
      <c r="BG3" s="402"/>
      <c r="BH3" s="402"/>
      <c r="BI3" s="402"/>
      <c r="BJ3" s="402"/>
      <c r="BK3" s="402"/>
      <c r="BL3" s="402"/>
      <c r="BM3" s="402"/>
      <c r="BN3" s="402"/>
      <c r="BO3" s="402"/>
      <c r="BP3" s="402"/>
      <c r="BQ3" s="402"/>
      <c r="BR3" s="402"/>
      <c r="BS3" s="402"/>
      <c r="BT3" s="402"/>
      <c r="BU3" s="402"/>
      <c r="BV3" s="402"/>
      <c r="BW3" s="402"/>
      <c r="BX3" s="402"/>
      <c r="BY3" s="402"/>
      <c r="BZ3" s="402"/>
      <c r="CA3" s="402"/>
      <c r="CB3" s="402"/>
      <c r="CC3" s="402"/>
      <c r="CE3" s="403" t="s">
        <v>757</v>
      </c>
      <c r="CF3" s="403"/>
      <c r="CG3" s="403"/>
      <c r="CI3" s="404" t="s">
        <v>758</v>
      </c>
      <c r="CJ3" s="404"/>
      <c r="CK3" s="404"/>
      <c r="CL3" s="404"/>
      <c r="CM3" s="404"/>
      <c r="CN3" s="404"/>
    </row>
    <row r="4" customFormat="false" ht="15" hidden="false" customHeight="true" outlineLevel="0" collapsed="false">
      <c r="A4" s="405" t="s">
        <v>759</v>
      </c>
      <c r="B4" s="406" t="s">
        <v>760</v>
      </c>
      <c r="C4" s="406" t="s">
        <v>760</v>
      </c>
      <c r="D4" s="406" t="s">
        <v>760</v>
      </c>
      <c r="E4" s="406" t="s">
        <v>760</v>
      </c>
      <c r="F4" s="406" t="s">
        <v>761</v>
      </c>
      <c r="G4" s="406" t="s">
        <v>761</v>
      </c>
      <c r="H4" s="406" t="s">
        <v>761</v>
      </c>
      <c r="I4" s="406" t="s">
        <v>761</v>
      </c>
      <c r="J4" s="406" t="s">
        <v>762</v>
      </c>
      <c r="K4" s="406" t="s">
        <v>762</v>
      </c>
      <c r="L4" s="406" t="s">
        <v>762</v>
      </c>
      <c r="M4" s="406" t="s">
        <v>762</v>
      </c>
      <c r="N4" s="406" t="s">
        <v>762</v>
      </c>
      <c r="O4" s="406" t="s">
        <v>762</v>
      </c>
      <c r="P4" s="406" t="s">
        <v>221</v>
      </c>
      <c r="Q4" s="406" t="s">
        <v>221</v>
      </c>
      <c r="R4" s="406" t="s">
        <v>221</v>
      </c>
      <c r="S4" s="406" t="s">
        <v>221</v>
      </c>
      <c r="T4" s="406" t="s">
        <v>221</v>
      </c>
      <c r="U4" s="406" t="s">
        <v>221</v>
      </c>
      <c r="V4" s="406" t="s">
        <v>222</v>
      </c>
      <c r="W4" s="406" t="s">
        <v>222</v>
      </c>
      <c r="X4" s="406" t="s">
        <v>222</v>
      </c>
      <c r="Y4" s="406" t="s">
        <v>222</v>
      </c>
      <c r="Z4" s="406" t="s">
        <v>223</v>
      </c>
      <c r="AA4" s="406" t="s">
        <v>223</v>
      </c>
      <c r="AB4" s="406" t="s">
        <v>223</v>
      </c>
      <c r="AC4" s="406" t="s">
        <v>223</v>
      </c>
      <c r="AD4" s="406" t="s">
        <v>224</v>
      </c>
      <c r="AE4" s="406" t="s">
        <v>224</v>
      </c>
      <c r="AF4" s="406" t="s">
        <v>224</v>
      </c>
      <c r="AG4" s="406" t="s">
        <v>224</v>
      </c>
      <c r="AH4" s="406" t="s">
        <v>225</v>
      </c>
      <c r="AI4" s="406" t="s">
        <v>225</v>
      </c>
      <c r="AJ4" s="406" t="s">
        <v>225</v>
      </c>
      <c r="AK4" s="406" t="s">
        <v>225</v>
      </c>
      <c r="AL4" s="406" t="s">
        <v>226</v>
      </c>
      <c r="AM4" s="406" t="s">
        <v>226</v>
      </c>
      <c r="AN4" s="406" t="s">
        <v>226</v>
      </c>
      <c r="AO4" s="406" t="s">
        <v>226</v>
      </c>
      <c r="AP4" s="406" t="s">
        <v>227</v>
      </c>
      <c r="AQ4" s="406" t="s">
        <v>227</v>
      </c>
      <c r="AR4" s="406" t="s">
        <v>227</v>
      </c>
      <c r="AS4" s="406" t="s">
        <v>227</v>
      </c>
      <c r="AT4" s="406" t="s">
        <v>228</v>
      </c>
      <c r="AU4" s="406" t="s">
        <v>228</v>
      </c>
      <c r="AV4" s="406" t="s">
        <v>228</v>
      </c>
      <c r="AW4" s="406" t="s">
        <v>228</v>
      </c>
      <c r="AX4" s="406" t="s">
        <v>229</v>
      </c>
      <c r="AZ4" s="407" t="s">
        <v>221</v>
      </c>
      <c r="BA4" s="407" t="s">
        <v>222</v>
      </c>
      <c r="BB4" s="407" t="s">
        <v>222</v>
      </c>
      <c r="BC4" s="407" t="s">
        <v>222</v>
      </c>
      <c r="BD4" s="407" t="s">
        <v>222</v>
      </c>
      <c r="BE4" s="407" t="s">
        <v>223</v>
      </c>
      <c r="BF4" s="407" t="s">
        <v>223</v>
      </c>
      <c r="BG4" s="407" t="s">
        <v>223</v>
      </c>
      <c r="BH4" s="407" t="s">
        <v>223</v>
      </c>
      <c r="BI4" s="407" t="s">
        <v>224</v>
      </c>
      <c r="BJ4" s="407" t="s">
        <v>224</v>
      </c>
      <c r="BK4" s="407" t="s">
        <v>224</v>
      </c>
      <c r="BL4" s="407" t="s">
        <v>224</v>
      </c>
      <c r="BM4" s="407" t="s">
        <v>225</v>
      </c>
      <c r="BN4" s="407" t="s">
        <v>225</v>
      </c>
      <c r="BO4" s="407" t="s">
        <v>225</v>
      </c>
      <c r="BP4" s="407" t="s">
        <v>225</v>
      </c>
      <c r="BQ4" s="407" t="s">
        <v>226</v>
      </c>
      <c r="BR4" s="407" t="s">
        <v>226</v>
      </c>
      <c r="BS4" s="407" t="s">
        <v>226</v>
      </c>
      <c r="BT4" s="407" t="s">
        <v>226</v>
      </c>
      <c r="BU4" s="407" t="s">
        <v>227</v>
      </c>
      <c r="BV4" s="407" t="s">
        <v>227</v>
      </c>
      <c r="BW4" s="407" t="s">
        <v>227</v>
      </c>
      <c r="BX4" s="407" t="s">
        <v>227</v>
      </c>
      <c r="BY4" s="407" t="s">
        <v>228</v>
      </c>
      <c r="BZ4" s="407" t="s">
        <v>228</v>
      </c>
      <c r="CA4" s="407" t="s">
        <v>228</v>
      </c>
      <c r="CB4" s="407" t="s">
        <v>228</v>
      </c>
      <c r="CC4" s="407" t="s">
        <v>229</v>
      </c>
      <c r="CE4" s="408" t="s">
        <v>760</v>
      </c>
      <c r="CF4" s="408" t="s">
        <v>761</v>
      </c>
      <c r="CG4" s="408" t="s">
        <v>763</v>
      </c>
      <c r="CI4" s="409"/>
      <c r="CJ4" s="409" t="s">
        <v>228</v>
      </c>
      <c r="CK4" s="409"/>
      <c r="CL4" s="409"/>
      <c r="CM4" s="409"/>
      <c r="CN4" s="409"/>
    </row>
    <row r="5" customFormat="false" ht="15" hidden="false" customHeight="true" outlineLevel="0" collapsed="false">
      <c r="A5" s="405" t="s">
        <v>764</v>
      </c>
      <c r="B5" s="406" t="s">
        <v>765</v>
      </c>
      <c r="C5" s="406" t="s">
        <v>766</v>
      </c>
      <c r="D5" s="406" t="s">
        <v>767</v>
      </c>
      <c r="E5" s="406" t="s">
        <v>768</v>
      </c>
      <c r="F5" s="406" t="s">
        <v>765</v>
      </c>
      <c r="G5" s="406" t="s">
        <v>766</v>
      </c>
      <c r="H5" s="406" t="s">
        <v>767</v>
      </c>
      <c r="I5" s="406" t="s">
        <v>768</v>
      </c>
      <c r="J5" s="406" t="s">
        <v>765</v>
      </c>
      <c r="K5" s="406" t="s">
        <v>766</v>
      </c>
      <c r="L5" s="406" t="s">
        <v>767</v>
      </c>
      <c r="M5" s="406" t="s">
        <v>769</v>
      </c>
      <c r="N5" s="406" t="s">
        <v>768</v>
      </c>
      <c r="O5" s="406" t="s">
        <v>770</v>
      </c>
      <c r="P5" s="406" t="s">
        <v>765</v>
      </c>
      <c r="Q5" s="406" t="s">
        <v>771</v>
      </c>
      <c r="R5" s="406" t="s">
        <v>766</v>
      </c>
      <c r="S5" s="406" t="s">
        <v>772</v>
      </c>
      <c r="T5" s="406" t="s">
        <v>767</v>
      </c>
      <c r="U5" s="406" t="s">
        <v>768</v>
      </c>
      <c r="V5" s="406" t="s">
        <v>765</v>
      </c>
      <c r="W5" s="406" t="s">
        <v>766</v>
      </c>
      <c r="X5" s="406" t="s">
        <v>767</v>
      </c>
      <c r="Y5" s="406" t="s">
        <v>768</v>
      </c>
      <c r="Z5" s="406" t="s">
        <v>765</v>
      </c>
      <c r="AA5" s="406" t="s">
        <v>766</v>
      </c>
      <c r="AB5" s="406" t="s">
        <v>767</v>
      </c>
      <c r="AC5" s="406" t="s">
        <v>768</v>
      </c>
      <c r="AD5" s="406" t="s">
        <v>765</v>
      </c>
      <c r="AE5" s="406" t="s">
        <v>766</v>
      </c>
      <c r="AF5" s="406" t="s">
        <v>767</v>
      </c>
      <c r="AG5" s="406" t="s">
        <v>768</v>
      </c>
      <c r="AH5" s="406" t="s">
        <v>765</v>
      </c>
      <c r="AI5" s="406" t="s">
        <v>766</v>
      </c>
      <c r="AJ5" s="406" t="s">
        <v>767</v>
      </c>
      <c r="AK5" s="406" t="s">
        <v>768</v>
      </c>
      <c r="AL5" s="406" t="s">
        <v>765</v>
      </c>
      <c r="AM5" s="406" t="s">
        <v>766</v>
      </c>
      <c r="AN5" s="406" t="s">
        <v>767</v>
      </c>
      <c r="AO5" s="406" t="s">
        <v>768</v>
      </c>
      <c r="AP5" s="406" t="s">
        <v>765</v>
      </c>
      <c r="AQ5" s="406" t="s">
        <v>766</v>
      </c>
      <c r="AR5" s="406" t="s">
        <v>767</v>
      </c>
      <c r="AS5" s="406" t="s">
        <v>768</v>
      </c>
      <c r="AT5" s="406" t="s">
        <v>765</v>
      </c>
      <c r="AU5" s="406" t="s">
        <v>766</v>
      </c>
      <c r="AV5" s="406" t="s">
        <v>767</v>
      </c>
      <c r="AW5" s="406" t="s">
        <v>768</v>
      </c>
      <c r="AX5" s="406" t="s">
        <v>765</v>
      </c>
      <c r="AZ5" s="407" t="s">
        <v>768</v>
      </c>
      <c r="BA5" s="407" t="s">
        <v>765</v>
      </c>
      <c r="BB5" s="407" t="s">
        <v>766</v>
      </c>
      <c r="BC5" s="407" t="s">
        <v>767</v>
      </c>
      <c r="BD5" s="407" t="s">
        <v>768</v>
      </c>
      <c r="BE5" s="407" t="s">
        <v>765</v>
      </c>
      <c r="BF5" s="407" t="s">
        <v>766</v>
      </c>
      <c r="BG5" s="407" t="s">
        <v>767</v>
      </c>
      <c r="BH5" s="407" t="s">
        <v>768</v>
      </c>
      <c r="BI5" s="407" t="s">
        <v>765</v>
      </c>
      <c r="BJ5" s="407" t="s">
        <v>766</v>
      </c>
      <c r="BK5" s="407" t="s">
        <v>767</v>
      </c>
      <c r="BL5" s="407" t="s">
        <v>768</v>
      </c>
      <c r="BM5" s="407" t="s">
        <v>765</v>
      </c>
      <c r="BN5" s="407" t="s">
        <v>766</v>
      </c>
      <c r="BO5" s="407" t="s">
        <v>767</v>
      </c>
      <c r="BP5" s="407" t="s">
        <v>768</v>
      </c>
      <c r="BQ5" s="407" t="s">
        <v>765</v>
      </c>
      <c r="BR5" s="407" t="s">
        <v>766</v>
      </c>
      <c r="BS5" s="407" t="s">
        <v>767</v>
      </c>
      <c r="BT5" s="407" t="s">
        <v>768</v>
      </c>
      <c r="BU5" s="407" t="s">
        <v>765</v>
      </c>
      <c r="BV5" s="407" t="s">
        <v>766</v>
      </c>
      <c r="BW5" s="407" t="s">
        <v>767</v>
      </c>
      <c r="BX5" s="407" t="s">
        <v>768</v>
      </c>
      <c r="BY5" s="407" t="s">
        <v>765</v>
      </c>
      <c r="BZ5" s="407" t="s">
        <v>766</v>
      </c>
      <c r="CA5" s="407" t="s">
        <v>767</v>
      </c>
      <c r="CB5" s="407" t="s">
        <v>768</v>
      </c>
      <c r="CC5" s="407" t="s">
        <v>765</v>
      </c>
      <c r="CE5" s="408" t="s">
        <v>760</v>
      </c>
      <c r="CF5" s="408" t="s">
        <v>761</v>
      </c>
      <c r="CG5" s="408" t="s">
        <v>763</v>
      </c>
      <c r="CI5" s="409" t="s">
        <v>773</v>
      </c>
      <c r="CJ5" s="409" t="s">
        <v>768</v>
      </c>
      <c r="CK5" s="409" t="s">
        <v>774</v>
      </c>
      <c r="CL5" s="409" t="s">
        <v>775</v>
      </c>
      <c r="CM5" s="409" t="s">
        <v>776</v>
      </c>
      <c r="CN5" s="409" t="s">
        <v>777</v>
      </c>
    </row>
    <row r="6" customFormat="false" ht="15" hidden="false" customHeight="true" outlineLevel="0" collapsed="false">
      <c r="A6" s="410" t="s">
        <v>778</v>
      </c>
      <c r="B6" s="411" t="s">
        <v>779</v>
      </c>
      <c r="C6" s="411" t="s">
        <v>780</v>
      </c>
      <c r="D6" s="411" t="s">
        <v>781</v>
      </c>
      <c r="E6" s="411" t="s">
        <v>782</v>
      </c>
      <c r="F6" s="411" t="s">
        <v>783</v>
      </c>
      <c r="G6" s="411" t="s">
        <v>784</v>
      </c>
      <c r="H6" s="411" t="s">
        <v>785</v>
      </c>
      <c r="I6" s="411" t="s">
        <v>786</v>
      </c>
      <c r="J6" s="411" t="s">
        <v>787</v>
      </c>
      <c r="K6" s="411" t="s">
        <v>788</v>
      </c>
      <c r="L6" s="411" t="s">
        <v>789</v>
      </c>
      <c r="M6" s="411" t="s">
        <v>790</v>
      </c>
      <c r="N6" s="411" t="s">
        <v>791</v>
      </c>
      <c r="O6" s="411" t="s">
        <v>792</v>
      </c>
      <c r="P6" s="411" t="s">
        <v>793</v>
      </c>
      <c r="Q6" s="411" t="s">
        <v>794</v>
      </c>
      <c r="R6" s="411" t="s">
        <v>795</v>
      </c>
      <c r="S6" s="411" t="s">
        <v>796</v>
      </c>
      <c r="T6" s="411" t="s">
        <v>797</v>
      </c>
      <c r="U6" s="411" t="s">
        <v>798</v>
      </c>
      <c r="V6" s="411" t="s">
        <v>799</v>
      </c>
      <c r="W6" s="411" t="s">
        <v>800</v>
      </c>
      <c r="X6" s="411" t="s">
        <v>801</v>
      </c>
      <c r="Y6" s="411" t="s">
        <v>802</v>
      </c>
      <c r="Z6" s="411" t="s">
        <v>803</v>
      </c>
      <c r="AA6" s="411" t="s">
        <v>804</v>
      </c>
      <c r="AB6" s="411" t="s">
        <v>805</v>
      </c>
      <c r="AC6" s="411" t="s">
        <v>806</v>
      </c>
      <c r="AD6" s="411" t="s">
        <v>807</v>
      </c>
      <c r="AE6" s="411" t="s">
        <v>808</v>
      </c>
      <c r="AF6" s="411" t="s">
        <v>809</v>
      </c>
      <c r="AG6" s="411" t="s">
        <v>810</v>
      </c>
      <c r="AH6" s="411" t="s">
        <v>811</v>
      </c>
      <c r="AI6" s="411" t="s">
        <v>812</v>
      </c>
      <c r="AJ6" s="411" t="s">
        <v>813</v>
      </c>
      <c r="AK6" s="411" t="s">
        <v>814</v>
      </c>
      <c r="AL6" s="411" t="s">
        <v>815</v>
      </c>
      <c r="AM6" s="411" t="s">
        <v>816</v>
      </c>
      <c r="AN6" s="411" t="s">
        <v>817</v>
      </c>
      <c r="AO6" s="411" t="s">
        <v>818</v>
      </c>
      <c r="AP6" s="411" t="s">
        <v>819</v>
      </c>
      <c r="AQ6" s="411" t="s">
        <v>820</v>
      </c>
      <c r="AR6" s="411" t="s">
        <v>821</v>
      </c>
      <c r="AS6" s="411" t="s">
        <v>822</v>
      </c>
      <c r="AT6" s="411" t="s">
        <v>823</v>
      </c>
      <c r="AU6" s="411" t="s">
        <v>824</v>
      </c>
      <c r="AV6" s="411" t="s">
        <v>825</v>
      </c>
      <c r="AW6" s="411" t="s">
        <v>826</v>
      </c>
      <c r="AX6" s="411" t="s">
        <v>827</v>
      </c>
      <c r="AZ6" s="411" t="s">
        <v>828</v>
      </c>
      <c r="BA6" s="411" t="s">
        <v>829</v>
      </c>
      <c r="BB6" s="411" t="s">
        <v>830</v>
      </c>
      <c r="BC6" s="411" t="s">
        <v>831</v>
      </c>
      <c r="BD6" s="411" t="s">
        <v>832</v>
      </c>
      <c r="BE6" s="411" t="s">
        <v>833</v>
      </c>
      <c r="BF6" s="411" t="s">
        <v>834</v>
      </c>
      <c r="BG6" s="411" t="s">
        <v>835</v>
      </c>
      <c r="BH6" s="411" t="s">
        <v>836</v>
      </c>
      <c r="BI6" s="411" t="s">
        <v>837</v>
      </c>
      <c r="BJ6" s="411" t="s">
        <v>838</v>
      </c>
      <c r="BK6" s="411" t="s">
        <v>839</v>
      </c>
      <c r="BL6" s="411" t="s">
        <v>840</v>
      </c>
      <c r="BM6" s="411" t="s">
        <v>841</v>
      </c>
      <c r="BN6" s="411" t="s">
        <v>842</v>
      </c>
      <c r="BO6" s="411" t="s">
        <v>843</v>
      </c>
      <c r="BP6" s="411" t="s">
        <v>844</v>
      </c>
      <c r="BQ6" s="411" t="s">
        <v>845</v>
      </c>
      <c r="BR6" s="411" t="s">
        <v>846</v>
      </c>
      <c r="BS6" s="411" t="s">
        <v>847</v>
      </c>
      <c r="BT6" s="411" t="s">
        <v>848</v>
      </c>
      <c r="BU6" s="411" t="s">
        <v>849</v>
      </c>
      <c r="BV6" s="411" t="s">
        <v>850</v>
      </c>
      <c r="BW6" s="411" t="s">
        <v>851</v>
      </c>
      <c r="BX6" s="411" t="s">
        <v>852</v>
      </c>
      <c r="BY6" s="411" t="s">
        <v>853</v>
      </c>
      <c r="BZ6" s="411" t="s">
        <v>854</v>
      </c>
      <c r="CA6" s="411" t="s">
        <v>855</v>
      </c>
      <c r="CB6" s="411" t="s">
        <v>856</v>
      </c>
      <c r="CC6" s="411" t="s">
        <v>857</v>
      </c>
      <c r="CE6" s="411" t="s">
        <v>858</v>
      </c>
      <c r="CF6" s="411" t="s">
        <v>859</v>
      </c>
      <c r="CG6" s="411" t="s">
        <v>860</v>
      </c>
      <c r="CI6" s="411" t="s">
        <v>861</v>
      </c>
      <c r="CJ6" s="411" t="s">
        <v>862</v>
      </c>
      <c r="CK6" s="411" t="s">
        <v>863</v>
      </c>
      <c r="CL6" s="411" t="s">
        <v>864</v>
      </c>
      <c r="CM6" s="411" t="s">
        <v>865</v>
      </c>
      <c r="CN6" s="411" t="s">
        <v>866</v>
      </c>
    </row>
    <row r="8" customFormat="false" ht="15" hidden="false" customHeight="true" outlineLevel="0" collapsed="false">
      <c r="A8" s="412" t="s">
        <v>867</v>
      </c>
      <c r="B8" s="413"/>
      <c r="C8" s="413"/>
      <c r="D8" s="413"/>
      <c r="E8" s="413"/>
      <c r="F8" s="413"/>
      <c r="G8" s="413"/>
      <c r="H8" s="413"/>
      <c r="I8" s="413"/>
      <c r="J8" s="413"/>
      <c r="K8" s="413"/>
      <c r="L8" s="413"/>
      <c r="M8" s="413"/>
      <c r="N8" s="413"/>
      <c r="O8" s="413"/>
      <c r="P8" s="413"/>
      <c r="Q8" s="413"/>
      <c r="R8" s="413"/>
      <c r="S8" s="413"/>
      <c r="T8" s="413"/>
      <c r="U8" s="413"/>
      <c r="V8" s="413"/>
      <c r="W8" s="413"/>
      <c r="X8" s="413"/>
      <c r="Y8" s="413"/>
      <c r="Z8" s="413"/>
      <c r="AA8" s="413"/>
      <c r="AB8" s="413"/>
      <c r="AC8" s="413"/>
      <c r="AD8" s="413"/>
      <c r="AE8" s="413"/>
      <c r="AF8" s="413"/>
      <c r="AG8" s="413"/>
      <c r="AH8" s="413"/>
      <c r="AI8" s="413"/>
      <c r="AJ8" s="413"/>
      <c r="AK8" s="413"/>
      <c r="AL8" s="413"/>
      <c r="AM8" s="413"/>
      <c r="AN8" s="413"/>
      <c r="AO8" s="413"/>
      <c r="AP8" s="413"/>
      <c r="AQ8" s="413"/>
      <c r="AR8" s="413"/>
      <c r="AS8" s="413"/>
      <c r="AT8" s="413"/>
      <c r="AU8" s="413"/>
      <c r="AV8" s="413"/>
      <c r="AW8" s="413"/>
      <c r="AX8" s="413"/>
      <c r="AY8" s="413"/>
      <c r="AZ8" s="413"/>
      <c r="BA8" s="413"/>
      <c r="BB8" s="413"/>
      <c r="BC8" s="413"/>
      <c r="BD8" s="413"/>
      <c r="BE8" s="413"/>
      <c r="BF8" s="413"/>
      <c r="BG8" s="413"/>
      <c r="BH8" s="413"/>
      <c r="BI8" s="413"/>
      <c r="BJ8" s="413"/>
      <c r="BK8" s="413"/>
      <c r="BL8" s="413"/>
      <c r="BM8" s="413"/>
      <c r="BN8" s="413"/>
      <c r="BO8" s="413"/>
      <c r="BP8" s="413"/>
      <c r="BQ8" s="413"/>
      <c r="BR8" s="413"/>
      <c r="BS8" s="413"/>
      <c r="BT8" s="413"/>
      <c r="BU8" s="413"/>
      <c r="BV8" s="413"/>
      <c r="BW8" s="413"/>
      <c r="BX8" s="413"/>
      <c r="BY8" s="413"/>
      <c r="BZ8" s="413"/>
      <c r="CA8" s="413"/>
      <c r="CB8" s="413"/>
      <c r="CC8" s="413"/>
      <c r="CD8" s="413"/>
      <c r="CE8" s="413"/>
      <c r="CF8" s="413"/>
      <c r="CG8" s="413"/>
      <c r="CH8" s="413"/>
      <c r="CI8" s="413"/>
      <c r="CJ8" s="413"/>
      <c r="CK8" s="413"/>
      <c r="CL8" s="413"/>
      <c r="CM8" s="413"/>
      <c r="CN8" s="413"/>
    </row>
    <row r="9" customFormat="false" ht="15" hidden="false" customHeight="true" outlineLevel="0" collapsed="false">
      <c r="A9" s="414" t="s">
        <v>400</v>
      </c>
      <c r="B9" s="415" t="n">
        <v>21485</v>
      </c>
      <c r="C9" s="416" t="n">
        <f aca="false">8835+8903+12146</f>
        <v>29884</v>
      </c>
      <c r="D9" s="416" t="n">
        <f aca="false">7177+6296+9703</f>
        <v>23176</v>
      </c>
      <c r="E9" s="416" t="n">
        <f aca="false">11208+10801+13240</f>
        <v>35249</v>
      </c>
      <c r="F9" s="416" t="n">
        <f aca="false">7873+7469+8685</f>
        <v>24027</v>
      </c>
      <c r="G9" s="416" t="n">
        <f aca="false">8182+8201+8958</f>
        <v>25341</v>
      </c>
      <c r="H9" s="416" t="n">
        <f aca="false">9575+6928+8782</f>
        <v>25285</v>
      </c>
      <c r="I9" s="415" t="n">
        <v>38643</v>
      </c>
      <c r="J9" s="415" t="n">
        <v>19877</v>
      </c>
      <c r="K9" s="415" t="n">
        <v>31397</v>
      </c>
      <c r="L9" s="416" t="n">
        <f aca="false">9140+10638+15950</f>
        <v>35728</v>
      </c>
      <c r="M9" s="416" t="n">
        <f aca="false">9140+10638+15950</f>
        <v>35728</v>
      </c>
      <c r="N9" s="416" t="n">
        <f aca="false">13726+13643+17057</f>
        <v>44426</v>
      </c>
      <c r="O9" s="416" t="n">
        <f aca="false">13726+13643+17057</f>
        <v>44426</v>
      </c>
      <c r="P9" s="415" t="n">
        <v>30646</v>
      </c>
      <c r="Q9" s="415" t="n">
        <v>30646</v>
      </c>
      <c r="R9" s="415" t="n">
        <v>38387</v>
      </c>
      <c r="S9" s="415" t="n">
        <v>38387</v>
      </c>
      <c r="T9" s="416" t="n">
        <f aca="false">9797+8718+11295</f>
        <v>29810</v>
      </c>
      <c r="U9" s="416" t="n">
        <f aca="false">14694+13291+16034</f>
        <v>44019</v>
      </c>
      <c r="V9" s="415" t="n">
        <v>26719</v>
      </c>
      <c r="W9" s="415" t="n">
        <v>16815</v>
      </c>
      <c r="X9" s="416" t="n">
        <f aca="false">5126+5966+7025</f>
        <v>18117</v>
      </c>
      <c r="Y9" s="415" t="n">
        <v>16956</v>
      </c>
      <c r="Z9" s="415" t="n">
        <v>1021</v>
      </c>
      <c r="AA9" s="416" t="n">
        <f aca="false">1705+2589+3642</f>
        <v>7936</v>
      </c>
      <c r="AB9" s="416" t="n">
        <f aca="false">4588+5114+6884</f>
        <v>16586</v>
      </c>
      <c r="AC9" s="415" t="n">
        <v>26277</v>
      </c>
      <c r="AD9" s="415" t="n">
        <v>9050</v>
      </c>
      <c r="AE9" s="415" t="n">
        <v>13514</v>
      </c>
      <c r="AF9" s="415" t="n">
        <v>19305</v>
      </c>
      <c r="AG9" s="415" t="n">
        <v>32016</v>
      </c>
      <c r="AH9" s="415" t="n">
        <v>24987</v>
      </c>
      <c r="AI9" s="416" t="n">
        <f aca="false">8148+8379+11314</f>
        <v>27841</v>
      </c>
      <c r="AJ9" s="415" t="n">
        <v>30790</v>
      </c>
      <c r="AK9" s="415" t="n">
        <v>40491</v>
      </c>
      <c r="AL9" s="415" t="n">
        <v>26165</v>
      </c>
      <c r="AM9" s="415" t="n">
        <v>32086</v>
      </c>
      <c r="AN9" s="415" t="n">
        <v>29485</v>
      </c>
      <c r="AO9" s="415" t="n">
        <v>37149</v>
      </c>
      <c r="AP9" s="415" t="n">
        <v>27885</v>
      </c>
      <c r="AQ9" s="415" t="n">
        <v>28180</v>
      </c>
      <c r="AR9" s="415" t="n">
        <v>30058</v>
      </c>
      <c r="AS9" s="415" t="n">
        <v>39908</v>
      </c>
      <c r="AT9" s="415" t="n">
        <v>28071</v>
      </c>
      <c r="AU9" s="415" t="n">
        <v>30718</v>
      </c>
      <c r="AV9" s="415" t="n">
        <v>37376</v>
      </c>
      <c r="AW9" s="415" t="n">
        <v>46493</v>
      </c>
      <c r="AX9" s="415" t="n">
        <v>29424</v>
      </c>
      <c r="AZ9" s="416" t="n">
        <f aca="false">14694+13291+16034</f>
        <v>44019</v>
      </c>
      <c r="BA9" s="415" t="n">
        <v>26719</v>
      </c>
      <c r="BB9" s="415" t="n">
        <v>16815</v>
      </c>
      <c r="BC9" s="416" t="n">
        <f aca="false">5126+5966+7025</f>
        <v>18117</v>
      </c>
      <c r="BD9" s="417" t="n">
        <f aca="false">78607-X9-W9-V9</f>
        <v>16956</v>
      </c>
      <c r="BE9" s="415" t="n">
        <v>1021</v>
      </c>
      <c r="BF9" s="416" t="n">
        <f aca="false">1705+2589+3642</f>
        <v>7936</v>
      </c>
      <c r="BG9" s="416" t="n">
        <f aca="false">4588+5114+6884</f>
        <v>16586</v>
      </c>
      <c r="BH9" s="415" t="n">
        <v>26277</v>
      </c>
      <c r="BI9" s="415" t="n">
        <v>9050</v>
      </c>
      <c r="BJ9" s="415" t="n">
        <v>13514</v>
      </c>
      <c r="BK9" s="415" t="n">
        <v>19305</v>
      </c>
      <c r="BL9" s="415" t="n">
        <v>32016</v>
      </c>
      <c r="BM9" s="415" t="n">
        <v>24987</v>
      </c>
      <c r="BN9" s="416" t="n">
        <f aca="false">8148+8379+11314</f>
        <v>27841</v>
      </c>
      <c r="BO9" s="415" t="n">
        <v>30790</v>
      </c>
      <c r="BP9" s="415" t="n">
        <v>40491</v>
      </c>
      <c r="BQ9" s="415" t="n">
        <v>26165</v>
      </c>
      <c r="BR9" s="415" t="n">
        <v>32086</v>
      </c>
      <c r="BS9" s="417" t="n">
        <f aca="false">87736-AM9-AL9</f>
        <v>29485</v>
      </c>
      <c r="BT9" s="415" t="n">
        <v>37149</v>
      </c>
      <c r="BU9" s="415" t="n">
        <v>27885</v>
      </c>
      <c r="BV9" s="415" t="n">
        <v>28180</v>
      </c>
      <c r="BW9" s="415" t="n">
        <v>30058</v>
      </c>
      <c r="BX9" s="415" t="n">
        <v>39908</v>
      </c>
      <c r="BY9" s="415" t="n">
        <v>28071</v>
      </c>
      <c r="BZ9" s="415" t="n">
        <v>30718</v>
      </c>
      <c r="CA9" s="415" t="n">
        <v>37376</v>
      </c>
      <c r="CB9" s="415" t="n">
        <v>46493</v>
      </c>
      <c r="CC9" s="415" t="n">
        <v>29424</v>
      </c>
      <c r="CE9" s="418"/>
      <c r="CF9" s="418"/>
      <c r="CG9" s="419" t="n">
        <f aca="false">'Main Model'!AI294</f>
        <v>142658</v>
      </c>
      <c r="CI9" s="420" t="n">
        <f aca="false">+CC9/AW9-1</f>
        <v>-0.36713053577958</v>
      </c>
      <c r="CJ9" s="420" t="n">
        <f aca="false">CG9-AV9-AU9-AT9</f>
        <v>46493</v>
      </c>
      <c r="CK9" s="418"/>
      <c r="CL9" s="420" t="n">
        <f aca="false">+CA9/AU9-1</f>
        <v>0.216745881893353</v>
      </c>
      <c r="CM9" s="418"/>
      <c r="CN9" s="418"/>
    </row>
    <row r="10" customFormat="false" ht="15" hidden="false" customHeight="true" outlineLevel="0" collapsed="false">
      <c r="A10" s="414" t="s">
        <v>402</v>
      </c>
      <c r="B10" s="415" t="n">
        <v>6701</v>
      </c>
      <c r="C10" s="416" t="n">
        <f aca="false">2219+2641+2637</f>
        <v>7497</v>
      </c>
      <c r="D10" s="416" t="n">
        <f aca="false">2627+2674+2451</f>
        <v>7752</v>
      </c>
      <c r="E10" s="416" t="n">
        <f aca="false">2678+2605+3462</f>
        <v>8745</v>
      </c>
      <c r="F10" s="416" t="n">
        <f aca="false">2309+2406+2423</f>
        <v>7138</v>
      </c>
      <c r="G10" s="416" t="n">
        <f aca="false">2310+2696+3094</f>
        <v>8100</v>
      </c>
      <c r="H10" s="416" t="n">
        <f aca="false">2959+2646+1949</f>
        <v>7554</v>
      </c>
      <c r="I10" s="415" t="n">
        <v>8978</v>
      </c>
      <c r="J10" s="415" t="n">
        <v>8618</v>
      </c>
      <c r="K10" s="415" t="n">
        <v>9588</v>
      </c>
      <c r="L10" s="416" t="n">
        <f aca="false">3804+3819+3303</f>
        <v>10926</v>
      </c>
      <c r="M10" s="416" t="n">
        <f aca="false">3804+3819+3303</f>
        <v>10926</v>
      </c>
      <c r="N10" s="416" t="n">
        <f aca="false">4455+4458+5396</f>
        <v>14309</v>
      </c>
      <c r="O10" s="416" t="n">
        <f aca="false">4455+4458+5396</f>
        <v>14309</v>
      </c>
      <c r="P10" s="415" t="n">
        <v>11481</v>
      </c>
      <c r="Q10" s="415" t="n">
        <v>11481</v>
      </c>
      <c r="R10" s="415" t="n">
        <v>13572</v>
      </c>
      <c r="S10" s="415" t="n">
        <v>13572</v>
      </c>
      <c r="T10" s="416" t="n">
        <f aca="false">5352+4403+4198</f>
        <v>13953</v>
      </c>
      <c r="U10" s="416" t="n">
        <f aca="false">4954+5047+5501</f>
        <v>15502</v>
      </c>
      <c r="V10" s="415" t="n">
        <v>12889</v>
      </c>
      <c r="W10" s="415" t="n">
        <v>12123</v>
      </c>
      <c r="X10" s="416" t="n">
        <f aca="false">4731+4209+4143</f>
        <v>13083</v>
      </c>
      <c r="Y10" s="415" t="n">
        <v>8551</v>
      </c>
      <c r="Z10" s="415" t="n">
        <v>2793</v>
      </c>
      <c r="AA10" s="416" t="n">
        <f aca="false">3070+3736+4702</f>
        <v>11508</v>
      </c>
      <c r="AB10" s="416" t="n">
        <f aca="false">5401+5545+5878</f>
        <v>16824</v>
      </c>
      <c r="AC10" s="415" t="n">
        <v>17783</v>
      </c>
      <c r="AD10" s="415" t="n">
        <v>8937</v>
      </c>
      <c r="AE10" s="415" t="n">
        <v>14029</v>
      </c>
      <c r="AF10" s="415" t="n">
        <v>14772</v>
      </c>
      <c r="AG10" s="415" t="n">
        <v>16703</v>
      </c>
      <c r="AH10" s="415" t="n">
        <v>14664</v>
      </c>
      <c r="AI10" s="416" t="n">
        <f aca="false">5477+5742+6235</f>
        <v>17454</v>
      </c>
      <c r="AJ10" s="415" t="n">
        <v>16772</v>
      </c>
      <c r="AK10" s="415" t="n">
        <v>19206</v>
      </c>
      <c r="AL10" s="415" t="n">
        <v>15164</v>
      </c>
      <c r="AM10" s="415" t="n">
        <v>17760</v>
      </c>
      <c r="AN10" s="415" t="n">
        <v>17756</v>
      </c>
      <c r="AO10" s="415" t="n">
        <v>19120</v>
      </c>
      <c r="AP10" s="415" t="n">
        <v>16008</v>
      </c>
      <c r="AQ10" s="415" t="n">
        <v>17444</v>
      </c>
      <c r="AR10" s="415" t="n">
        <v>16346</v>
      </c>
      <c r="AS10" s="415" t="n">
        <v>19268</v>
      </c>
      <c r="AT10" s="415" t="n">
        <v>16167</v>
      </c>
      <c r="AU10" s="415" t="n">
        <v>18398</v>
      </c>
      <c r="AV10" s="415" t="n">
        <v>20249</v>
      </c>
      <c r="AW10" s="415" t="n">
        <v>22965</v>
      </c>
      <c r="AX10" s="415" t="n">
        <v>19339</v>
      </c>
      <c r="AZ10" s="416" t="n">
        <f aca="false">4954+5047+5501</f>
        <v>15502</v>
      </c>
      <c r="BA10" s="415" t="n">
        <v>12889</v>
      </c>
      <c r="BB10" s="415" t="n">
        <v>12123</v>
      </c>
      <c r="BC10" s="416" t="n">
        <f aca="false">4731+4209+4143</f>
        <v>13083</v>
      </c>
      <c r="BD10" s="417" t="n">
        <f aca="false">46646-X10-W10-V10</f>
        <v>8551</v>
      </c>
      <c r="BE10" s="415" t="n">
        <v>2793</v>
      </c>
      <c r="BF10" s="416" t="n">
        <f aca="false">3070+3736+4702</f>
        <v>11508</v>
      </c>
      <c r="BG10" s="416" t="n">
        <f aca="false">5401+5545+5878</f>
        <v>16824</v>
      </c>
      <c r="BH10" s="415" t="n">
        <v>17783</v>
      </c>
      <c r="BI10" s="415" t="n">
        <v>8937</v>
      </c>
      <c r="BJ10" s="415" t="n">
        <v>14029</v>
      </c>
      <c r="BK10" s="415" t="n">
        <v>14772</v>
      </c>
      <c r="BL10" s="415" t="n">
        <v>16703</v>
      </c>
      <c r="BM10" s="415" t="n">
        <v>14664</v>
      </c>
      <c r="BN10" s="416" t="n">
        <f aca="false">5477+5742+6235</f>
        <v>17454</v>
      </c>
      <c r="BO10" s="415" t="n">
        <v>16772</v>
      </c>
      <c r="BP10" s="415" t="n">
        <v>19206</v>
      </c>
      <c r="BQ10" s="415" t="n">
        <v>15164</v>
      </c>
      <c r="BR10" s="415" t="n">
        <v>17760</v>
      </c>
      <c r="BS10" s="417" t="n">
        <f aca="false">50680-AM10-AL10</f>
        <v>17756</v>
      </c>
      <c r="BT10" s="415" t="n">
        <v>19120</v>
      </c>
      <c r="BU10" s="415" t="n">
        <v>16008</v>
      </c>
      <c r="BV10" s="415" t="n">
        <v>17444</v>
      </c>
      <c r="BW10" s="415" t="n">
        <v>16346</v>
      </c>
      <c r="BX10" s="415" t="n">
        <v>19268</v>
      </c>
      <c r="BY10" s="415" t="n">
        <v>16167</v>
      </c>
      <c r="BZ10" s="415" t="n">
        <v>18398</v>
      </c>
      <c r="CA10" s="415" t="n">
        <v>20249</v>
      </c>
      <c r="CB10" s="415" t="n">
        <v>22965</v>
      </c>
      <c r="CC10" s="415" t="n">
        <v>19339</v>
      </c>
      <c r="CE10" s="418"/>
      <c r="CF10" s="418"/>
      <c r="CG10" s="419" t="n">
        <f aca="false">'Main Model'!AI296</f>
        <v>77779</v>
      </c>
      <c r="CI10" s="420" t="n">
        <f aca="false">+CC10/AW10-1</f>
        <v>-0.157892445025038</v>
      </c>
      <c r="CJ10" s="420" t="n">
        <f aca="false">CG10-AV10-AU10-AT10</f>
        <v>22965</v>
      </c>
      <c r="CK10" s="418"/>
      <c r="CL10" s="420" t="n">
        <f aca="false">+CA10/AU10-1</f>
        <v>0.100608761821937</v>
      </c>
      <c r="CM10" s="418"/>
      <c r="CN10" s="418"/>
    </row>
    <row r="11" customFormat="false" ht="15" hidden="false" customHeight="true" outlineLevel="0" collapsed="false">
      <c r="A11" s="421" t="s">
        <v>868</v>
      </c>
      <c r="B11" s="422" t="n">
        <f aca="false">+B10+B9</f>
        <v>28186</v>
      </c>
      <c r="C11" s="422" t="n">
        <f aca="false">+C10+C9</f>
        <v>37381</v>
      </c>
      <c r="D11" s="422" t="n">
        <f aca="false">+D10+D9</f>
        <v>30928</v>
      </c>
      <c r="E11" s="422" t="n">
        <f aca="false">+E10+E9</f>
        <v>43994</v>
      </c>
      <c r="F11" s="422" t="n">
        <f aca="false">+F10+F9</f>
        <v>31165</v>
      </c>
      <c r="G11" s="422" t="n">
        <f aca="false">+G10+G9</f>
        <v>33441</v>
      </c>
      <c r="H11" s="422" t="n">
        <f aca="false">+H10+H9</f>
        <v>32839</v>
      </c>
      <c r="I11" s="422" t="n">
        <f aca="false">+I10+I9</f>
        <v>47621</v>
      </c>
      <c r="J11" s="422" t="n">
        <f aca="false">+J10+J9</f>
        <v>28495</v>
      </c>
      <c r="K11" s="423" t="n">
        <v>40985</v>
      </c>
      <c r="L11" s="422" t="n">
        <f aca="false">+L10+L9</f>
        <v>46654</v>
      </c>
      <c r="M11" s="422" t="n">
        <f aca="false">+M10+M9</f>
        <v>46654</v>
      </c>
      <c r="N11" s="422" t="n">
        <f aca="false">+N10+N9</f>
        <v>58735</v>
      </c>
      <c r="O11" s="422" t="n">
        <f aca="false">+O10+O9</f>
        <v>58735</v>
      </c>
      <c r="P11" s="422" t="n">
        <f aca="false">+P10+P9</f>
        <v>42127</v>
      </c>
      <c r="Q11" s="422" t="n">
        <f aca="false">+Q10+Q9</f>
        <v>42127</v>
      </c>
      <c r="R11" s="422" t="n">
        <f aca="false">+R10+R9</f>
        <v>51959</v>
      </c>
      <c r="S11" s="422" t="n">
        <f aca="false">+S10+S9</f>
        <v>51959</v>
      </c>
      <c r="T11" s="422" t="n">
        <f aca="false">+T10+T9</f>
        <v>43763</v>
      </c>
      <c r="U11" s="422" t="n">
        <f aca="false">+U10+U9</f>
        <v>59521</v>
      </c>
      <c r="V11" s="422" t="n">
        <f aca="false">+V10+V9</f>
        <v>39608</v>
      </c>
      <c r="W11" s="422" t="n">
        <f aca="false">+W10+W9</f>
        <v>28938</v>
      </c>
      <c r="X11" s="422" t="n">
        <f aca="false">+X10+X9</f>
        <v>31200</v>
      </c>
      <c r="Y11" s="422" t="n">
        <f aca="false">+Y10+Y9</f>
        <v>25507</v>
      </c>
      <c r="Z11" s="422" t="n">
        <f aca="false">+Z10+Z9</f>
        <v>3814</v>
      </c>
      <c r="AA11" s="422" t="n">
        <f aca="false">+AA10+AA9</f>
        <v>19444</v>
      </c>
      <c r="AB11" s="422" t="n">
        <f aca="false">+AB10+AB9</f>
        <v>33410</v>
      </c>
      <c r="AC11" s="422" t="n">
        <f aca="false">+AC10+AC9</f>
        <v>44060</v>
      </c>
      <c r="AD11" s="422" t="n">
        <f aca="false">+AD10+AD9</f>
        <v>17987</v>
      </c>
      <c r="AE11" s="422" t="n">
        <f aca="false">+AE10+AE9</f>
        <v>27543</v>
      </c>
      <c r="AF11" s="422" t="n">
        <f aca="false">+AF10+AF9</f>
        <v>34077</v>
      </c>
      <c r="AG11" s="422" t="n">
        <f aca="false">+AG10+AG9</f>
        <v>48719</v>
      </c>
      <c r="AH11" s="422" t="n">
        <f aca="false">+AH10+AH9</f>
        <v>39651</v>
      </c>
      <c r="AI11" s="422" t="n">
        <f aca="false">+AI10+AI9</f>
        <v>45295</v>
      </c>
      <c r="AJ11" s="422" t="n">
        <f aca="false">+AJ10+AJ9</f>
        <v>47562</v>
      </c>
      <c r="AK11" s="422" t="n">
        <f aca="false">+AK10+AK9</f>
        <v>59697</v>
      </c>
      <c r="AL11" s="422" t="n">
        <f aca="false">+AL10+AL9</f>
        <v>41329</v>
      </c>
      <c r="AM11" s="422" t="n">
        <f aca="false">+AM10+AM9</f>
        <v>49846</v>
      </c>
      <c r="AN11" s="422" t="n">
        <f aca="false">+AN10+AN9</f>
        <v>47241</v>
      </c>
      <c r="AO11" s="422" t="n">
        <f aca="false">+AO10+AO9</f>
        <v>56269</v>
      </c>
      <c r="AP11" s="422" t="n">
        <f aca="false">+AP10+AP9</f>
        <v>43893</v>
      </c>
      <c r="AQ11" s="422" t="n">
        <f aca="false">+AQ10+AQ9</f>
        <v>45624</v>
      </c>
      <c r="AR11" s="422" t="n">
        <f aca="false">+AR10+AR9</f>
        <v>46404</v>
      </c>
      <c r="AS11" s="422" t="n">
        <f aca="false">+AS10+AS9</f>
        <v>59176</v>
      </c>
      <c r="AT11" s="422" t="n">
        <f aca="false">+AT10+AT9</f>
        <v>44238</v>
      </c>
      <c r="AU11" s="422" t="n">
        <f aca="false">+AU10+AU9</f>
        <v>49116</v>
      </c>
      <c r="AV11" s="422" t="n">
        <f aca="false">+AV10+AV9</f>
        <v>57625</v>
      </c>
      <c r="AW11" s="422" t="n">
        <f aca="false">+AW10+AW9</f>
        <v>69458</v>
      </c>
      <c r="AX11" s="422" t="n">
        <f aca="false">+AX10+AX9</f>
        <v>48763</v>
      </c>
      <c r="AY11" s="421"/>
      <c r="AZ11" s="422" t="n">
        <f aca="false">+AZ10+AZ9</f>
        <v>59521</v>
      </c>
      <c r="BA11" s="422" t="n">
        <f aca="false">+BA10+BA9</f>
        <v>39608</v>
      </c>
      <c r="BB11" s="422" t="n">
        <f aca="false">+BB10+BB9</f>
        <v>28938</v>
      </c>
      <c r="BC11" s="422" t="n">
        <f aca="false">+BC10+BC9</f>
        <v>31200</v>
      </c>
      <c r="BD11" s="422" t="n">
        <f aca="false">+BD10+BD9</f>
        <v>25507</v>
      </c>
      <c r="BE11" s="422" t="n">
        <f aca="false">+BE10+BE9</f>
        <v>3814</v>
      </c>
      <c r="BF11" s="422" t="n">
        <f aca="false">+BF10+BF9</f>
        <v>19444</v>
      </c>
      <c r="BG11" s="422" t="n">
        <f aca="false">+BG10+BG9</f>
        <v>33410</v>
      </c>
      <c r="BH11" s="422" t="n">
        <f aca="false">+BH10+BH9</f>
        <v>44060</v>
      </c>
      <c r="BI11" s="422" t="n">
        <f aca="false">+BI10+BI9</f>
        <v>17987</v>
      </c>
      <c r="BJ11" s="422" t="n">
        <f aca="false">+BJ10+BJ9</f>
        <v>27543</v>
      </c>
      <c r="BK11" s="422" t="n">
        <f aca="false">+BK10+BK9</f>
        <v>34077</v>
      </c>
      <c r="BL11" s="422" t="n">
        <f aca="false">+BL10+BL9</f>
        <v>48719</v>
      </c>
      <c r="BM11" s="422" t="n">
        <f aca="false">+BM10+BM9</f>
        <v>39651</v>
      </c>
      <c r="BN11" s="422" t="n">
        <f aca="false">+BN10+BN9</f>
        <v>45295</v>
      </c>
      <c r="BO11" s="422" t="n">
        <f aca="false">+BO10+BO9</f>
        <v>47562</v>
      </c>
      <c r="BP11" s="422" t="n">
        <f aca="false">+BP10+BP9</f>
        <v>59697</v>
      </c>
      <c r="BQ11" s="422" t="n">
        <f aca="false">+BQ10+BQ9</f>
        <v>41329</v>
      </c>
      <c r="BR11" s="422" t="n">
        <f aca="false">+BR10+BR9</f>
        <v>49846</v>
      </c>
      <c r="BS11" s="422" t="n">
        <f aca="false">+BS10+BS9</f>
        <v>47241</v>
      </c>
      <c r="BT11" s="422" t="n">
        <f aca="false">+BT10+BT9</f>
        <v>56269</v>
      </c>
      <c r="BU11" s="422" t="n">
        <f aca="false">+BU10+BU9</f>
        <v>43893</v>
      </c>
      <c r="BV11" s="422" t="n">
        <f aca="false">+BV10+BV9</f>
        <v>45624</v>
      </c>
      <c r="BW11" s="422" t="n">
        <f aca="false">+BW10+BW9</f>
        <v>46404</v>
      </c>
      <c r="BX11" s="422" t="n">
        <f aca="false">+BX10+BX9</f>
        <v>59176</v>
      </c>
      <c r="BY11" s="422" t="n">
        <f aca="false">+BY10+BY9</f>
        <v>44238</v>
      </c>
      <c r="BZ11" s="422" t="n">
        <f aca="false">+BZ10+BZ9</f>
        <v>49116</v>
      </c>
      <c r="CA11" s="422" t="n">
        <f aca="false">+CA10+CA9</f>
        <v>57625</v>
      </c>
      <c r="CB11" s="422" t="n">
        <f aca="false">+CB10+CB9</f>
        <v>69458</v>
      </c>
      <c r="CC11" s="422" t="n">
        <f aca="false">+CC10+CC9</f>
        <v>48763</v>
      </c>
      <c r="CD11" s="421"/>
      <c r="CE11" s="422" t="n">
        <f aca="false">+E11+D11+B11+C11</f>
        <v>140489</v>
      </c>
      <c r="CF11" s="422"/>
      <c r="CG11" s="422" t="n">
        <f aca="false">+CG10+CG9</f>
        <v>220437</v>
      </c>
      <c r="CH11" s="421"/>
      <c r="CI11" s="422"/>
      <c r="CJ11" s="422" t="n">
        <f aca="false">CG11-AV11-AU11-AT11</f>
        <v>69458</v>
      </c>
      <c r="CK11" s="422" t="n">
        <f aca="false">+CJ11/AS11-1</f>
        <v>0.173752872786265</v>
      </c>
      <c r="CL11" s="422" t="n">
        <f aca="false">+CM11-CA11-AU11-AT11</f>
        <v>69458</v>
      </c>
      <c r="CM11" s="424" t="n">
        <f aca="false">+'Main Model'!AI10</f>
        <v>220437</v>
      </c>
      <c r="CN11" s="422" t="n">
        <f aca="false">+CL11/BX11-1</f>
        <v>0.173752872786265</v>
      </c>
    </row>
    <row r="13" customFormat="false" ht="15" hidden="false" customHeight="true" outlineLevel="0" collapsed="false">
      <c r="A13" s="412" t="s">
        <v>869</v>
      </c>
      <c r="B13" s="413"/>
      <c r="C13" s="413"/>
      <c r="D13" s="413"/>
      <c r="E13" s="413"/>
      <c r="F13" s="413"/>
      <c r="G13" s="413"/>
      <c r="H13" s="413"/>
      <c r="I13" s="413"/>
      <c r="J13" s="413"/>
      <c r="K13" s="413"/>
      <c r="L13" s="413"/>
      <c r="M13" s="413"/>
      <c r="N13" s="413"/>
      <c r="O13" s="413"/>
      <c r="P13" s="413"/>
      <c r="Q13" s="413"/>
      <c r="R13" s="413"/>
      <c r="S13" s="413"/>
      <c r="T13" s="413"/>
      <c r="U13" s="413"/>
      <c r="V13" s="413"/>
      <c r="W13" s="413"/>
      <c r="X13" s="413"/>
      <c r="Y13" s="413"/>
      <c r="Z13" s="413"/>
      <c r="AA13" s="413"/>
      <c r="AB13" s="413"/>
      <c r="AC13" s="413"/>
      <c r="AD13" s="413"/>
      <c r="AE13" s="413"/>
      <c r="AF13" s="413"/>
      <c r="AG13" s="413"/>
      <c r="AH13" s="413"/>
      <c r="AI13" s="413"/>
      <c r="AJ13" s="413"/>
      <c r="AK13" s="413"/>
      <c r="AL13" s="413"/>
      <c r="AM13" s="413"/>
      <c r="AN13" s="413"/>
      <c r="AO13" s="413"/>
      <c r="AP13" s="413"/>
      <c r="AQ13" s="413"/>
      <c r="AR13" s="413"/>
      <c r="AS13" s="413"/>
      <c r="AT13" s="413"/>
      <c r="AU13" s="413"/>
      <c r="AV13" s="413"/>
      <c r="AW13" s="413"/>
      <c r="AX13" s="413"/>
      <c r="AY13" s="413"/>
      <c r="AZ13" s="413"/>
      <c r="BA13" s="413"/>
      <c r="BB13" s="413"/>
      <c r="BC13" s="413"/>
      <c r="BD13" s="413"/>
      <c r="BE13" s="413"/>
      <c r="BF13" s="413"/>
      <c r="BG13" s="413"/>
      <c r="BH13" s="413"/>
      <c r="BI13" s="413"/>
      <c r="BJ13" s="413"/>
      <c r="BK13" s="413"/>
      <c r="BL13" s="413"/>
      <c r="BM13" s="413"/>
      <c r="BN13" s="413"/>
      <c r="BO13" s="413"/>
      <c r="BP13" s="413"/>
      <c r="BQ13" s="413"/>
      <c r="BR13" s="413"/>
      <c r="BS13" s="413"/>
      <c r="BT13" s="413"/>
      <c r="BU13" s="413"/>
      <c r="BV13" s="413"/>
      <c r="BW13" s="413"/>
      <c r="BX13" s="413"/>
      <c r="BY13" s="413"/>
      <c r="BZ13" s="413"/>
      <c r="CA13" s="413"/>
      <c r="CB13" s="413"/>
      <c r="CC13" s="413"/>
      <c r="CD13" s="413"/>
      <c r="CE13" s="413"/>
      <c r="CF13" s="413"/>
      <c r="CG13" s="413"/>
      <c r="CH13" s="413"/>
      <c r="CI13" s="413"/>
      <c r="CJ13" s="413"/>
      <c r="CK13" s="413"/>
      <c r="CL13" s="413"/>
      <c r="CM13" s="413"/>
      <c r="CN13" s="413"/>
    </row>
    <row r="14" customFormat="false" ht="15" hidden="false" customHeight="true" outlineLevel="0" collapsed="false">
      <c r="A14" s="414" t="s">
        <v>870</v>
      </c>
      <c r="B14" s="420" t="n">
        <f aca="false">+B10/B11</f>
        <v>0.237742141488682</v>
      </c>
      <c r="C14" s="420" t="n">
        <f aca="false">+C10/C11</f>
        <v>0.200556432412188</v>
      </c>
      <c r="D14" s="420" t="n">
        <f aca="false">+D10/D11</f>
        <v>0.250646663217796</v>
      </c>
      <c r="E14" s="420" t="n">
        <f aca="false">+E10/E11</f>
        <v>0.198777105968996</v>
      </c>
      <c r="F14" s="420" t="n">
        <f aca="false">+F10/F11</f>
        <v>0.229038986042034</v>
      </c>
      <c r="G14" s="420" t="n">
        <f aca="false">+G10/G11</f>
        <v>0.242217637032385</v>
      </c>
      <c r="H14" s="420" t="n">
        <f aca="false">+H10/H11</f>
        <v>0.230031365145102</v>
      </c>
      <c r="I14" s="420" t="n">
        <f aca="false">+I10/I11</f>
        <v>0.188530270258919</v>
      </c>
      <c r="J14" s="419" t="n">
        <f aca="false">+J11/'New Qrtrly'!AV6-1</f>
        <v>269606.274253105</v>
      </c>
      <c r="K14" s="419" t="e">
        <f aca="false">+K11/'New Qrtrly'!AX6-1</f>
        <v>#DIV/0!</v>
      </c>
      <c r="L14" s="419" t="e">
        <f aca="false">+L11/'New Qrtrly'!AZ6-1</f>
        <v>#DIV/0!</v>
      </c>
      <c r="M14" s="419" t="e">
        <f aca="false">+M11/'New Qrtrly'!BA6-1</f>
        <v>#DIV/0!</v>
      </c>
      <c r="N14" s="419" t="e">
        <f aca="false">+N11/'New Qrtrly'!BB6-1</f>
        <v>#DIV/0!</v>
      </c>
      <c r="O14" s="419" t="e">
        <f aca="false">+O11/'New Qrtrly'!BA6-1</f>
        <v>#DIV/0!</v>
      </c>
      <c r="P14" s="419" t="e">
        <f aca="false">+P11/'New Qrtrly'!BD6-1</f>
        <v>#DIV/0!</v>
      </c>
      <c r="Q14" s="419" t="e">
        <f aca="false">+Q11/'New Qrtrly'!BE6-1</f>
        <v>#DIV/0!</v>
      </c>
      <c r="R14" s="419" t="e">
        <f aca="false">+R11/'New Qrtrly'!BF6-1</f>
        <v>#DIV/0!</v>
      </c>
      <c r="S14" s="419" t="e">
        <f aca="false">+S11/'New Qrtrly'!BH6-1</f>
        <v>#DIV/0!</v>
      </c>
      <c r="T14" s="419" t="e">
        <f aca="false">+T11/'New Qrtrly'!BH6-1</f>
        <v>#DIV/0!</v>
      </c>
      <c r="U14" s="419" t="e">
        <f aca="false">+U11/'New Qrtrly'!BJ6-1</f>
        <v>#DIV/0!</v>
      </c>
      <c r="V14" s="419" t="e">
        <f aca="false">+V11/'New Qrtrly'!BL6-1</f>
        <v>#DIV/0!</v>
      </c>
      <c r="W14" s="419" t="e">
        <f aca="false">+W11/'New Qrtrly'!BN6-1</f>
        <v>#DIV/0!</v>
      </c>
      <c r="X14" s="419" t="e">
        <f aca="false">+X11/'New Qrtrly'!BP6-1</f>
        <v>#DIV/0!</v>
      </c>
      <c r="Y14" s="419" t="e">
        <f aca="false">+Y11/'New Qrtrly'!BR6-1</f>
        <v>#DIV/0!</v>
      </c>
      <c r="Z14" s="419" t="e">
        <f aca="false">+Z11/'New Qrtrly'!BT6-1</f>
        <v>#DIV/0!</v>
      </c>
      <c r="AA14" s="419" t="e">
        <f aca="false">+AA11/'New Qrtrly'!BV6-1</f>
        <v>#DIV/0!</v>
      </c>
      <c r="AB14" s="419" t="e">
        <f aca="false">+AB11/'New Qrtrly'!BX6-1</f>
        <v>#DIV/0!</v>
      </c>
      <c r="AC14" s="419" t="e">
        <f aca="false">+AC11/'New Qrtrly'!BZ6-1</f>
        <v>#DIV/0!</v>
      </c>
      <c r="AD14" s="419" t="e">
        <f aca="false">+AD11/'New Qrtrly'!CB6-1</f>
        <v>#DIV/0!</v>
      </c>
      <c r="AE14" s="419" t="e">
        <f aca="false">+AE11/'New Qrtrly'!CD6-1</f>
        <v>#DIV/0!</v>
      </c>
      <c r="AF14" s="419" t="e">
        <f aca="false">+AF11/'New Qrtrly'!CF6-1</f>
        <v>#DIV/0!</v>
      </c>
      <c r="AG14" s="419" t="e">
        <f aca="false">+AG11/'New Qrtrly'!CH6-1</f>
        <v>#DIV/0!</v>
      </c>
      <c r="AH14" s="419" t="e">
        <f aca="false">+AH11/'New Qrtrly'!CJ6-1</f>
        <v>#DIV/0!</v>
      </c>
      <c r="AI14" s="419" t="e">
        <f aca="false">+AI11/'New Qrtrly'!CL6-1</f>
        <v>#DIV/0!</v>
      </c>
      <c r="AJ14" s="419" t="e">
        <f aca="false">+AJ11/'New Qrtrly'!CN6-1</f>
        <v>#DIV/0!</v>
      </c>
      <c r="AK14" s="419" t="e">
        <f aca="false">+AK11/'New Qrtrly'!CP6-1</f>
        <v>#DIV/0!</v>
      </c>
      <c r="AL14" s="419" t="e">
        <f aca="false">+AL11/'New Qrtrly'!CR6-1</f>
        <v>#DIV/0!</v>
      </c>
      <c r="AM14" s="419" t="e">
        <f aca="false">+AM11/'New Qrtrly'!CT6-1</f>
        <v>#DIV/0!</v>
      </c>
      <c r="AN14" s="419" t="e">
        <f aca="false">+AN11/'New Qrtrly'!CV6-1</f>
        <v>#DIV/0!</v>
      </c>
      <c r="AO14" s="419" t="e">
        <f aca="false">+AO11/'New Qrtrly'!CX6-1</f>
        <v>#DIV/0!</v>
      </c>
      <c r="AP14" s="419" t="e">
        <f aca="false">+AP11/'New Qrtrly'!CZ6-1</f>
        <v>#DIV/0!</v>
      </c>
      <c r="AQ14" s="419" t="e">
        <f aca="false">+AQ11/'New Qrtrly'!DB6-1</f>
        <v>#DIV/0!</v>
      </c>
      <c r="AR14" s="419" t="e">
        <f aca="false">+AR11/'New Qrtrly'!DD6-1</f>
        <v>#DIV/0!</v>
      </c>
      <c r="AS14" s="419" t="e">
        <f aca="false">+AS11/'New Qrtrly'!DF6-1</f>
        <v>#DIV/0!</v>
      </c>
      <c r="AT14" s="419" t="e">
        <f aca="false">+AT11/'New Qrtrly'!DH6-1</f>
        <v>#DIV/0!</v>
      </c>
      <c r="AU14" s="419" t="e">
        <f aca="false">+AU11/'New Qrtrly'!DJ6-1</f>
        <v>#DIV/0!</v>
      </c>
      <c r="AV14" s="419" t="e">
        <f aca="false">+AV11/'New Qrtrly'!DL6-1</f>
        <v>#DIV/0!</v>
      </c>
      <c r="AW14" s="419" t="e">
        <f aca="false">+AW11/'New Qrtrly'!DN6-1</f>
        <v>#DIV/0!</v>
      </c>
      <c r="AX14" s="419" t="e">
        <f aca="false">+AX11/'New Qrtrly'!DP6-1</f>
        <v>#DIV/0!</v>
      </c>
      <c r="AZ14" s="419" t="e">
        <f aca="false">+AZ11/'New Qrtrly'!BI6-1</f>
        <v>#DIV/0!</v>
      </c>
      <c r="BA14" s="419" t="e">
        <f aca="false">+BA11/'New Qrtrly'!BK6-1</f>
        <v>#DIV/0!</v>
      </c>
      <c r="BB14" s="419" t="e">
        <f aca="false">+BB11/'New Qrtrly'!BM6-1</f>
        <v>#DIV/0!</v>
      </c>
      <c r="BC14" s="419" t="e">
        <f aca="false">+BC11/'New Qrtrly'!BO6-1</f>
        <v>#DIV/0!</v>
      </c>
      <c r="BD14" s="419" t="e">
        <f aca="false">+BD11/'New Qrtrly'!BQ6-1</f>
        <v>#DIV/0!</v>
      </c>
      <c r="BE14" s="419" t="e">
        <f aca="false">+BE11/'New Qrtrly'!BS6-1</f>
        <v>#DIV/0!</v>
      </c>
      <c r="BF14" s="419" t="e">
        <f aca="false">+BF11/'New Qrtrly'!BU6-1</f>
        <v>#DIV/0!</v>
      </c>
      <c r="BG14" s="419" t="e">
        <f aca="false">+BG11/'New Qrtrly'!BW6-1</f>
        <v>#DIV/0!</v>
      </c>
      <c r="BH14" s="419" t="e">
        <f aca="false">+BH11/'New Qrtrly'!BY6-1</f>
        <v>#DIV/0!</v>
      </c>
      <c r="BI14" s="419" t="e">
        <f aca="false">+BI11/'New Qrtrly'!CA6-1</f>
        <v>#DIV/0!</v>
      </c>
      <c r="BJ14" s="419" t="e">
        <f aca="false">+BJ11/'New Qrtrly'!CC6-1</f>
        <v>#DIV/0!</v>
      </c>
      <c r="BK14" s="419" t="e">
        <f aca="false">+BK11/'New Qrtrly'!CE6-1</f>
        <v>#DIV/0!</v>
      </c>
      <c r="BL14" s="419" t="e">
        <f aca="false">+BL11/'New Qrtrly'!CG6-1</f>
        <v>#DIV/0!</v>
      </c>
      <c r="BM14" s="419" t="e">
        <f aca="false">+BM11/'New Qrtrly'!CI6-1</f>
        <v>#DIV/0!</v>
      </c>
      <c r="BN14" s="419" t="e">
        <f aca="false">+BN11/'New Qrtrly'!CK6-1</f>
        <v>#DIV/0!</v>
      </c>
      <c r="BO14" s="419" t="e">
        <f aca="false">+BO11/'New Qrtrly'!CM6-1</f>
        <v>#DIV/0!</v>
      </c>
      <c r="BP14" s="419" t="e">
        <f aca="false">+BP11/'New Qrtrly'!CO6-1</f>
        <v>#DIV/0!</v>
      </c>
      <c r="BQ14" s="419" t="e">
        <f aca="false">+BQ11/'New Qrtrly'!CQ6-1</f>
        <v>#DIV/0!</v>
      </c>
      <c r="BR14" s="419" t="e">
        <f aca="false">+BR11/'New Qrtrly'!CS6-1</f>
        <v>#DIV/0!</v>
      </c>
      <c r="BS14" s="419" t="e">
        <f aca="false">+BS11/'New Qrtrly'!CU6-1</f>
        <v>#DIV/0!</v>
      </c>
      <c r="BT14" s="419" t="e">
        <f aca="false">+BT11/'New Qrtrly'!CW6-1</f>
        <v>#DIV/0!</v>
      </c>
      <c r="BU14" s="419" t="e">
        <f aca="false">+BU11/'New Qrtrly'!CY6-1</f>
        <v>#DIV/0!</v>
      </c>
      <c r="BV14" s="419" t="e">
        <f aca="false">+BV11/'New Qrtrly'!DA6-1</f>
        <v>#DIV/0!</v>
      </c>
      <c r="BW14" s="419" t="e">
        <f aca="false">+BW11/'New Qrtrly'!DC6-1</f>
        <v>#DIV/0!</v>
      </c>
      <c r="BX14" s="419" t="e">
        <f aca="false">+BX11/'New Qrtrly'!DE6-1</f>
        <v>#DIV/0!</v>
      </c>
      <c r="BY14" s="419" t="e">
        <f aca="false">+BY11/'New Qrtrly'!DG6-1</f>
        <v>#DIV/0!</v>
      </c>
      <c r="BZ14" s="419" t="e">
        <f aca="false">+BZ11/'New Qrtrly'!DI6-1</f>
        <v>#DIV/0!</v>
      </c>
      <c r="CA14" s="419" t="e">
        <f aca="false">+CA11/'New Qrtrly'!DK6-1</f>
        <v>#DIV/0!</v>
      </c>
      <c r="CB14" s="419" t="e">
        <f aca="false">+CB11/'New Qrtrly'!DM6-1</f>
        <v>#DIV/0!</v>
      </c>
      <c r="CC14" s="419" t="e">
        <f aca="false">+CC11/'New Qrtrly'!DO6-1</f>
        <v>#DIV/0!</v>
      </c>
      <c r="CE14" s="418"/>
      <c r="CF14" s="418"/>
      <c r="CG14" s="418"/>
      <c r="CI14" s="418"/>
      <c r="CJ14" s="418"/>
      <c r="CK14" s="418"/>
      <c r="CL14" s="418"/>
      <c r="CM14" s="418"/>
      <c r="CN14" s="418"/>
    </row>
    <row r="15" customFormat="false" ht="15" hidden="false" customHeight="true" outlineLevel="0" collapsed="false">
      <c r="A15" s="414" t="s">
        <v>400</v>
      </c>
      <c r="B15" s="425"/>
      <c r="C15" s="425"/>
      <c r="D15" s="425"/>
      <c r="E15" s="425"/>
      <c r="F15" s="425"/>
      <c r="G15" s="425"/>
      <c r="H15" s="425"/>
      <c r="I15" s="425"/>
      <c r="J15" s="426" t="n">
        <f aca="false">+J10/J11</f>
        <v>0.302439024390244</v>
      </c>
      <c r="K15" s="426" t="n">
        <f aca="false">+K10/K11</f>
        <v>0.233939246065634</v>
      </c>
      <c r="L15" s="426" t="n">
        <f aca="false">+L10/L11</f>
        <v>0.234192137865992</v>
      </c>
      <c r="M15" s="426" t="n">
        <f aca="false">+M10/M11</f>
        <v>0.234192137865992</v>
      </c>
      <c r="N15" s="426" t="n">
        <f aca="false">+N10/N11</f>
        <v>0.243619647569592</v>
      </c>
      <c r="O15" s="426" t="n">
        <f aca="false">+O10/O11</f>
        <v>0.243619647569592</v>
      </c>
      <c r="P15" s="426" t="n">
        <f aca="false">+P10/P11</f>
        <v>0.272533054810454</v>
      </c>
      <c r="Q15" s="426" t="n">
        <f aca="false">+Q10/Q11</f>
        <v>0.272533054810454</v>
      </c>
      <c r="R15" s="426" t="n">
        <f aca="false">+R10/R11</f>
        <v>0.261205950845859</v>
      </c>
      <c r="S15" s="426" t="n">
        <f aca="false">+S10/S11</f>
        <v>0.261205950845859</v>
      </c>
      <c r="T15" s="426" t="n">
        <f aca="false">+T10/T11</f>
        <v>0.318830975938578</v>
      </c>
      <c r="U15" s="426" t="n">
        <f aca="false">+U10/U11</f>
        <v>0.260445893046152</v>
      </c>
      <c r="V15" s="426" t="n">
        <f aca="false">+V10/V11</f>
        <v>0.325414057766108</v>
      </c>
      <c r="W15" s="426" t="n">
        <f aca="false">+W10/W11</f>
        <v>0.418930126477296</v>
      </c>
      <c r="X15" s="426" t="n">
        <f aca="false">+X10/X11</f>
        <v>0.419326923076923</v>
      </c>
      <c r="Y15" s="426" t="n">
        <f aca="false">+Y10/Y11</f>
        <v>0.335241306308072</v>
      </c>
      <c r="Z15" s="426" t="n">
        <f aca="false">+Z10/Z11</f>
        <v>0.732302045097011</v>
      </c>
      <c r="AA15" s="426" t="n">
        <f aca="false">+AA10/AA11</f>
        <v>0.591853528080642</v>
      </c>
      <c r="AB15" s="426" t="n">
        <f aca="false">+AB10/AB11</f>
        <v>0.503561807841964</v>
      </c>
      <c r="AC15" s="426" t="n">
        <f aca="false">+AC10/AC11</f>
        <v>0.403608715388107</v>
      </c>
      <c r="AD15" s="426" t="n">
        <f aca="false">+AD10/AD11</f>
        <v>0.496858842497359</v>
      </c>
      <c r="AE15" s="426" t="n">
        <f aca="false">+AE10/AE11</f>
        <v>0.509349017899285</v>
      </c>
      <c r="AF15" s="426" t="n">
        <f aca="false">+AF10/AF11</f>
        <v>0.43348886345629</v>
      </c>
      <c r="AG15" s="426" t="n">
        <f aca="false">+AG10/AG11</f>
        <v>0.342843654426404</v>
      </c>
      <c r="AH15" s="426" t="n">
        <f aca="false">+AH10/AH11</f>
        <v>0.369826738291594</v>
      </c>
      <c r="AI15" s="426" t="n">
        <f aca="false">+AI10/AI11</f>
        <v>0.385340545314052</v>
      </c>
      <c r="AJ15" s="426" t="n">
        <f aca="false">+AJ10/AJ11</f>
        <v>0.352634456078382</v>
      </c>
      <c r="AK15" s="426" t="n">
        <f aca="false">+AK10/AK11</f>
        <v>0.321724709784411</v>
      </c>
      <c r="AL15" s="426" t="n">
        <f aca="false">+AL10/AL11</f>
        <v>0.36690943405357</v>
      </c>
      <c r="AM15" s="426" t="n">
        <f aca="false">+AM10/AM11</f>
        <v>0.356297395979617</v>
      </c>
      <c r="AN15" s="426" t="n">
        <f aca="false">+AN10/AN11</f>
        <v>0.3758599521602</v>
      </c>
      <c r="AO15" s="426" t="n">
        <f aca="false">+AO10/AO11</f>
        <v>0.339796335460022</v>
      </c>
      <c r="AP15" s="426" t="n">
        <f aca="false">+AP10/AP11</f>
        <v>0.364705078258492</v>
      </c>
      <c r="AQ15" s="426" t="n">
        <f aca="false">+AQ10/AQ11</f>
        <v>0.382342626687708</v>
      </c>
      <c r="AR15" s="426" t="n">
        <f aca="false">+AR10/AR11</f>
        <v>0.352254116024481</v>
      </c>
      <c r="AS15" s="426" t="n">
        <f aca="false">+AS10/AS11</f>
        <v>0.325604974989861</v>
      </c>
      <c r="AT15" s="426" t="n">
        <f aca="false">+AT10/AT11</f>
        <v>0.36545503865455</v>
      </c>
      <c r="AU15" s="426" t="n">
        <f aca="false">+AU10/AU11</f>
        <v>0.374582620734588</v>
      </c>
      <c r="AV15" s="426" t="n">
        <f aca="false">+AV10/AV11</f>
        <v>0.35139262472885</v>
      </c>
      <c r="AW15" s="426" t="n">
        <f aca="false">+AW10/AW11</f>
        <v>0.330631460738864</v>
      </c>
      <c r="AX15" s="426" t="n">
        <f aca="false">+AX10/AX11</f>
        <v>0.396591678116605</v>
      </c>
      <c r="AZ15" s="426" t="n">
        <f aca="false">+AZ10/AZ11</f>
        <v>0.260445893046152</v>
      </c>
      <c r="BA15" s="426" t="n">
        <f aca="false">+BA10/BA11</f>
        <v>0.325414057766108</v>
      </c>
      <c r="BB15" s="426" t="n">
        <f aca="false">+BB10/BB11</f>
        <v>0.418930126477296</v>
      </c>
      <c r="BC15" s="426" t="n">
        <f aca="false">+BC10/BC11</f>
        <v>0.419326923076923</v>
      </c>
      <c r="BD15" s="426" t="n">
        <f aca="false">+BD10/BD11</f>
        <v>0.335241306308072</v>
      </c>
      <c r="BE15" s="426" t="n">
        <f aca="false">+BE10/BE11</f>
        <v>0.732302045097011</v>
      </c>
      <c r="BF15" s="426" t="n">
        <f aca="false">+BF10/BF11</f>
        <v>0.591853528080642</v>
      </c>
      <c r="BG15" s="426" t="n">
        <f aca="false">+BG10/BG11</f>
        <v>0.503561807841964</v>
      </c>
      <c r="BH15" s="426" t="n">
        <f aca="false">+BH10/BH11</f>
        <v>0.403608715388107</v>
      </c>
      <c r="BI15" s="426" t="n">
        <f aca="false">+BI10/BI11</f>
        <v>0.496858842497359</v>
      </c>
      <c r="BJ15" s="426" t="n">
        <f aca="false">+BJ10/BJ11</f>
        <v>0.509349017899285</v>
      </c>
      <c r="BK15" s="426" t="n">
        <f aca="false">+BK10/BK11</f>
        <v>0.43348886345629</v>
      </c>
      <c r="BL15" s="426" t="n">
        <f aca="false">+BL10/BL11</f>
        <v>0.342843654426404</v>
      </c>
      <c r="BM15" s="426" t="n">
        <f aca="false">+BM10/BM11</f>
        <v>0.369826738291594</v>
      </c>
      <c r="BN15" s="426" t="n">
        <f aca="false">+BN10/BN11</f>
        <v>0.385340545314052</v>
      </c>
      <c r="BO15" s="426" t="n">
        <f aca="false">+BO10/BO11</f>
        <v>0.352634456078382</v>
      </c>
      <c r="BP15" s="426" t="n">
        <f aca="false">+BP10/BP11</f>
        <v>0.321724709784411</v>
      </c>
      <c r="BQ15" s="426" t="n">
        <f aca="false">+BQ10/BQ11</f>
        <v>0.36690943405357</v>
      </c>
      <c r="BR15" s="426" t="n">
        <f aca="false">+BR10/BR11</f>
        <v>0.356297395979617</v>
      </c>
      <c r="BS15" s="426" t="n">
        <f aca="false">+BS10/BS11</f>
        <v>0.3758599521602</v>
      </c>
      <c r="BT15" s="426" t="n">
        <f aca="false">+BT10/BT11</f>
        <v>0.339796335460022</v>
      </c>
      <c r="BU15" s="426" t="n">
        <f aca="false">+BU10/BU11</f>
        <v>0.364705078258492</v>
      </c>
      <c r="BV15" s="426" t="n">
        <f aca="false">+BV10/BV11</f>
        <v>0.382342626687708</v>
      </c>
      <c r="BW15" s="426" t="n">
        <f aca="false">+BW10/BW11</f>
        <v>0.352254116024481</v>
      </c>
      <c r="BX15" s="426" t="n">
        <f aca="false">+BX10/BX11</f>
        <v>0.325604974989861</v>
      </c>
      <c r="BY15" s="426" t="n">
        <f aca="false">+BY10/BY11</f>
        <v>0.36545503865455</v>
      </c>
      <c r="BZ15" s="426" t="n">
        <f aca="false">+BZ10/BZ11</f>
        <v>0.374582620734588</v>
      </c>
      <c r="CA15" s="426" t="n">
        <f aca="false">+CA10/CA11</f>
        <v>0.35139262472885</v>
      </c>
      <c r="CB15" s="426" t="n">
        <f aca="false">+CB10/CB11</f>
        <v>0.330631460738864</v>
      </c>
      <c r="CC15" s="426" t="n">
        <f aca="false">+CC10/CC11</f>
        <v>0.396591678116605</v>
      </c>
      <c r="CE15" s="425"/>
      <c r="CF15" s="425"/>
      <c r="CG15" s="425"/>
      <c r="CI15" s="425"/>
      <c r="CJ15" s="425"/>
      <c r="CK15" s="425"/>
      <c r="CL15" s="425"/>
      <c r="CM15" s="425"/>
      <c r="CN15" s="425"/>
    </row>
    <row r="16" customFormat="false" ht="15" hidden="false" customHeight="true" outlineLevel="0" collapsed="false">
      <c r="A16" s="414" t="s">
        <v>402</v>
      </c>
      <c r="B16" s="427"/>
      <c r="C16" s="427"/>
      <c r="D16" s="427"/>
      <c r="E16" s="427"/>
      <c r="F16" s="427"/>
      <c r="G16" s="427"/>
      <c r="H16" s="427"/>
      <c r="I16" s="427"/>
      <c r="J16" s="428" t="n">
        <f aca="false">J11+K11</f>
        <v>69480</v>
      </c>
      <c r="K16" s="429" t="n">
        <f aca="false">157000/J16*(J35+J34+K35+K34)</f>
        <v>163722.557872769</v>
      </c>
      <c r="L16" s="429" t="n">
        <f aca="false">157000/K16*(K35+K34+L35+L34)</f>
        <v>90003.7431277567</v>
      </c>
      <c r="M16" s="429" t="n">
        <f aca="false">157000/L16*(L35+L34+M35+M34)</f>
        <v>176050.220705914</v>
      </c>
      <c r="N16" s="429" t="n">
        <f aca="false">157000/L16*(L35+L34+N35+N34)</f>
        <v>198646.345003914</v>
      </c>
      <c r="O16" s="429" t="n">
        <f aca="false">157000/M16*(M35+M34+O35+O34)</f>
        <v>100402.466575301</v>
      </c>
      <c r="P16" s="429" t="n">
        <f aca="false">157000/N16*(N35+N34+P35+P34)</f>
        <v>84229.0670219497</v>
      </c>
      <c r="Q16" s="429" t="n">
        <f aca="false">157000/O16*(O35+O34+Q35+Q34)</f>
        <v>165203.257108828</v>
      </c>
      <c r="R16" s="429" t="n">
        <f aca="false">157000/P16*(P35+P34+R35+R34)</f>
        <v>184158.460130608</v>
      </c>
      <c r="S16" s="429" t="n">
        <f aca="false">157000/R16*(R35+R34+S35+S34)</f>
        <v>94003.1830670308</v>
      </c>
      <c r="T16" s="429" t="n">
        <f aca="false">157000/R16*(R35+R34+T35+T34)</f>
        <v>84950.1170345629</v>
      </c>
      <c r="U16" s="427"/>
      <c r="V16" s="427"/>
      <c r="W16" s="427"/>
      <c r="X16" s="427"/>
      <c r="Y16" s="427"/>
      <c r="Z16" s="429" t="n">
        <f aca="false">+Z33*0.2</f>
        <v>1301.74</v>
      </c>
      <c r="AA16" s="429" t="n">
        <f aca="false">0.45*AA33</f>
        <v>12764.61</v>
      </c>
      <c r="AB16" s="429" t="n">
        <f aca="false">0.56*AB33</f>
        <v>26955.656</v>
      </c>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Z16" s="427"/>
      <c r="BA16" s="427"/>
      <c r="BB16" s="427"/>
      <c r="BC16" s="427"/>
      <c r="BD16" s="427"/>
      <c r="BE16" s="427"/>
      <c r="BF16" s="429" t="n">
        <f aca="false">+Z16/Z9*BF9*1.05</f>
        <v>10624.0343506366</v>
      </c>
      <c r="BG16" s="427"/>
      <c r="BH16" s="427"/>
      <c r="BI16" s="427"/>
      <c r="BJ16" s="427"/>
      <c r="BK16" s="427"/>
      <c r="BL16" s="427"/>
      <c r="BM16" s="427"/>
      <c r="BN16" s="427"/>
      <c r="BO16" s="427"/>
      <c r="BP16" s="427"/>
      <c r="BQ16" s="427"/>
      <c r="BR16" s="427"/>
      <c r="BS16" s="427"/>
      <c r="BT16" s="427"/>
      <c r="BU16" s="427"/>
      <c r="BV16" s="427"/>
      <c r="BW16" s="427"/>
      <c r="BX16" s="427"/>
      <c r="BY16" s="427"/>
      <c r="BZ16" s="427"/>
      <c r="CA16" s="427"/>
      <c r="CB16" s="427"/>
      <c r="CC16" s="427"/>
      <c r="CE16" s="427"/>
      <c r="CF16" s="427"/>
      <c r="CG16" s="427"/>
      <c r="CI16" s="427"/>
      <c r="CJ16" s="427"/>
      <c r="CK16" s="427"/>
      <c r="CL16" s="427"/>
      <c r="CM16" s="427"/>
      <c r="CN16" s="427"/>
    </row>
    <row r="17" customFormat="false" ht="15" hidden="false" customHeight="true" outlineLevel="0" collapsed="false">
      <c r="A17" s="414" t="s">
        <v>405</v>
      </c>
      <c r="B17" s="427"/>
      <c r="C17" s="427"/>
      <c r="D17" s="427"/>
      <c r="E17" s="427"/>
      <c r="F17" s="427"/>
      <c r="G17" s="427"/>
      <c r="H17" s="427"/>
      <c r="I17" s="427"/>
      <c r="J17" s="427"/>
      <c r="K17" s="427"/>
      <c r="L17" s="427"/>
      <c r="M17" s="427"/>
      <c r="N17" s="427"/>
      <c r="O17" s="427"/>
      <c r="P17" s="427"/>
      <c r="Q17" s="427"/>
      <c r="R17" s="427"/>
      <c r="S17" s="427"/>
      <c r="T17" s="427"/>
      <c r="U17" s="427"/>
      <c r="V17" s="427"/>
      <c r="W17" s="427"/>
      <c r="X17" s="427"/>
      <c r="Y17" s="427"/>
      <c r="Z17" s="429" t="n">
        <f aca="false">+Z31*0.21</f>
        <v>1366.827</v>
      </c>
      <c r="AA17" s="429" t="n">
        <f aca="false">+AA31*0.21</f>
        <v>5956.818</v>
      </c>
      <c r="AB17" s="429" t="n">
        <f aca="false">+AB9*2+AB10*0.7</f>
        <v>44948.8</v>
      </c>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Z17" s="427"/>
      <c r="BA17" s="427"/>
      <c r="BB17" s="427"/>
      <c r="BC17" s="427"/>
      <c r="BD17" s="427"/>
      <c r="BE17" s="427"/>
      <c r="BF17" s="428" t="n">
        <f aca="false">+Z17/Z10*BF10</f>
        <v>5631.73831578947</v>
      </c>
      <c r="BG17" s="427"/>
      <c r="BH17" s="427"/>
      <c r="BI17" s="427"/>
      <c r="BJ17" s="427"/>
      <c r="BK17" s="427"/>
      <c r="BL17" s="427"/>
      <c r="BM17" s="427"/>
      <c r="BN17" s="427"/>
      <c r="BO17" s="427"/>
      <c r="BP17" s="427"/>
      <c r="BQ17" s="427"/>
      <c r="BR17" s="427"/>
      <c r="BS17" s="427"/>
      <c r="BT17" s="427"/>
      <c r="BU17" s="427"/>
      <c r="BV17" s="427"/>
      <c r="BW17" s="427"/>
      <c r="BX17" s="427"/>
      <c r="BY17" s="427"/>
      <c r="BZ17" s="427"/>
      <c r="CA17" s="427"/>
      <c r="CB17" s="427"/>
      <c r="CC17" s="427"/>
      <c r="CE17" s="427"/>
      <c r="CF17" s="427"/>
      <c r="CG17" s="427"/>
      <c r="CI17" s="427"/>
      <c r="CJ17" s="427"/>
      <c r="CK17" s="427"/>
      <c r="CL17" s="427"/>
      <c r="CM17" s="427"/>
      <c r="CN17" s="427"/>
    </row>
    <row r="18" customFormat="false" ht="15" hidden="false" customHeight="true" outlineLevel="0" collapsed="false">
      <c r="A18" s="414" t="s">
        <v>400</v>
      </c>
      <c r="B18" s="418"/>
      <c r="C18" s="418"/>
      <c r="D18" s="418"/>
      <c r="E18" s="418"/>
      <c r="F18" s="418"/>
      <c r="G18" s="418"/>
      <c r="H18" s="418"/>
      <c r="I18" s="418"/>
      <c r="J18" s="418"/>
      <c r="K18" s="418"/>
      <c r="L18" s="418"/>
      <c r="M18" s="418"/>
      <c r="N18" s="418"/>
      <c r="O18" s="418"/>
      <c r="P18" s="420" t="n">
        <f aca="false">+P11/J11-1</f>
        <v>0.478399719248991</v>
      </c>
      <c r="Q18" s="418"/>
      <c r="R18" s="420" t="n">
        <f aca="false">+R11/K11-1</f>
        <v>0.267756496279127</v>
      </c>
      <c r="S18" s="418"/>
      <c r="T18" s="420" t="n">
        <f aca="false">+T11/M11-1</f>
        <v>-0.0619668195653106</v>
      </c>
      <c r="U18" s="420" t="n">
        <f aca="false">+U11/O11-1</f>
        <v>0.013382140120882</v>
      </c>
      <c r="V18" s="418"/>
      <c r="W18" s="418"/>
      <c r="X18" s="418"/>
      <c r="Y18" s="418"/>
      <c r="Z18" s="420" t="n">
        <f aca="false">0.25*Z31</f>
        <v>1627.175</v>
      </c>
      <c r="AA18" s="420" t="n">
        <f aca="false">0.25*AA31</f>
        <v>7091.45</v>
      </c>
      <c r="AB18" s="418"/>
      <c r="AC18" s="417" t="n">
        <f aca="false">0.65*AC31</f>
        <v>45503.185</v>
      </c>
      <c r="AD18" s="417" t="n">
        <f aca="false">0.52*AD33</f>
        <v>15345.148</v>
      </c>
      <c r="AE18" s="417" t="n">
        <f aca="false">0.52*AE33</f>
        <v>23180.82</v>
      </c>
      <c r="AF18" s="417" t="n">
        <f aca="false">0.52*AF33</f>
        <v>28782.832</v>
      </c>
      <c r="AG18" s="417" t="n">
        <f aca="false">0.52*AG33</f>
        <v>45470.308</v>
      </c>
      <c r="AH18" s="417" t="n">
        <f aca="false">0.52*AH33</f>
        <v>37558.82</v>
      </c>
      <c r="AI18" s="417" t="n">
        <f aca="false">0.52*AI33</f>
        <v>42982.94</v>
      </c>
      <c r="AJ18" s="417" t="n">
        <f aca="false">0.52*AJ33</f>
        <v>46954.284</v>
      </c>
      <c r="AK18" s="417" t="n">
        <f aca="false">0.52*AK33</f>
        <v>60453.484</v>
      </c>
      <c r="AL18" s="417" t="n">
        <f aca="false">0.52*AL33</f>
        <v>42584.308</v>
      </c>
      <c r="AM18" s="417" t="n">
        <f aca="false">0.52*AM33</f>
        <v>50117.808</v>
      </c>
      <c r="AN18" s="417" t="n">
        <f aca="false">0.52*AN33</f>
        <v>48219.652</v>
      </c>
      <c r="AO18" s="417" t="n">
        <f aca="false">0.52*AO33</f>
        <v>58586.788</v>
      </c>
      <c r="AP18" s="417" t="n">
        <f aca="false">0.52*AP33</f>
        <v>44712.356</v>
      </c>
      <c r="AQ18" s="417" t="n">
        <f aca="false">0.52*AQ33</f>
        <v>45597.916</v>
      </c>
      <c r="AR18" s="417" t="n">
        <f aca="false">0.52*AR33</f>
        <v>49289.084</v>
      </c>
      <c r="AS18" s="417" t="n">
        <f aca="false">0.52*AS33</f>
        <v>61914.892</v>
      </c>
      <c r="AT18" s="418"/>
      <c r="AU18" s="418"/>
      <c r="AV18" s="418"/>
      <c r="AW18" s="418"/>
      <c r="AX18" s="418"/>
      <c r="AZ18" s="418"/>
      <c r="BA18" s="418"/>
      <c r="BB18" s="418"/>
      <c r="BC18" s="418"/>
      <c r="BD18" s="418"/>
      <c r="BE18" s="418"/>
      <c r="BF18" s="420" t="n">
        <f aca="false">+Z18*2</f>
        <v>3254.35</v>
      </c>
      <c r="BG18" s="418"/>
      <c r="BH18" s="418"/>
      <c r="BI18" s="418"/>
      <c r="BJ18" s="418"/>
      <c r="BK18" s="418"/>
      <c r="BL18" s="418"/>
      <c r="BM18" s="418"/>
      <c r="BN18" s="418"/>
      <c r="BO18" s="418"/>
      <c r="BP18" s="418"/>
      <c r="BQ18" s="418"/>
      <c r="BR18" s="418"/>
      <c r="BS18" s="418"/>
      <c r="BT18" s="418"/>
      <c r="BU18" s="418"/>
      <c r="BV18" s="418"/>
      <c r="BW18" s="418"/>
      <c r="BX18" s="417" t="n">
        <f aca="false">0.52*BX33</f>
        <v>63797.9871844186</v>
      </c>
      <c r="BY18" s="418"/>
      <c r="BZ18" s="418"/>
      <c r="CA18" s="418"/>
      <c r="CB18" s="418"/>
      <c r="CC18" s="418"/>
      <c r="CE18" s="418"/>
      <c r="CF18" s="418"/>
      <c r="CG18" s="418"/>
      <c r="CI18" s="418"/>
      <c r="CJ18" s="418"/>
      <c r="CK18" s="418"/>
      <c r="CL18" s="418"/>
      <c r="CM18" s="418"/>
      <c r="CN18" s="418"/>
    </row>
    <row r="19" customFormat="false" ht="15" hidden="false" customHeight="true" outlineLevel="0" collapsed="false">
      <c r="A19" s="414" t="s">
        <v>871</v>
      </c>
      <c r="B19" s="427"/>
      <c r="C19" s="427"/>
      <c r="D19" s="427"/>
      <c r="E19" s="427"/>
      <c r="F19" s="427"/>
      <c r="G19" s="427"/>
      <c r="H19" s="427"/>
      <c r="I19" s="427"/>
      <c r="J19" s="427"/>
      <c r="K19" s="427"/>
      <c r="L19" s="427"/>
      <c r="M19" s="427"/>
      <c r="N19" s="427"/>
      <c r="O19" s="427"/>
      <c r="P19" s="427"/>
      <c r="Q19" s="427"/>
      <c r="R19" s="427"/>
      <c r="S19" s="427"/>
      <c r="T19" s="427"/>
      <c r="U19" s="427"/>
      <c r="V19" s="427"/>
      <c r="W19" s="427"/>
      <c r="X19" s="427"/>
      <c r="Y19" s="427"/>
      <c r="Z19" s="428" t="n">
        <f aca="false">+Z31-Z18-Z17-Z16</f>
        <v>2212.958</v>
      </c>
      <c r="AA19" s="428" t="n">
        <f aca="false">+AA31-AA18-AA17-AA16</f>
        <v>2552.922</v>
      </c>
      <c r="AB19" s="427"/>
      <c r="AC19" s="428" t="n">
        <f aca="false">+AC31-AC18</f>
        <v>24501.715</v>
      </c>
      <c r="AD19" s="428" t="n">
        <f aca="false">+AD31-AD18</f>
        <v>14164.752</v>
      </c>
      <c r="AE19" s="428" t="n">
        <f aca="false">+AE31-AE18</f>
        <v>21397.68</v>
      </c>
      <c r="AF19" s="428" t="n">
        <f aca="false">+AF31-AF18</f>
        <v>26568.768</v>
      </c>
      <c r="AG19" s="428" t="n">
        <f aca="false">+AG31-AG18</f>
        <v>41972.592</v>
      </c>
      <c r="AH19" s="428" t="n">
        <f aca="false">+AH31-AH18</f>
        <v>34669.68</v>
      </c>
      <c r="AI19" s="428" t="n">
        <f aca="false">+AI31-AI18</f>
        <v>39676.56</v>
      </c>
      <c r="AJ19" s="428" t="n">
        <f aca="false">+AJ31-AJ18</f>
        <v>43342.416</v>
      </c>
      <c r="AK19" s="428" t="n">
        <f aca="false">+AK31-AK18</f>
        <v>55803.216</v>
      </c>
      <c r="AL19" s="428" t="n">
        <f aca="false">+AL31-AL18</f>
        <v>39308.592</v>
      </c>
      <c r="AM19" s="428" t="n">
        <f aca="false">+AM31-AM18</f>
        <v>46262.592</v>
      </c>
      <c r="AN19" s="428" t="n">
        <f aca="false">+AN31-AN18</f>
        <v>44510.448</v>
      </c>
      <c r="AO19" s="428" t="n">
        <f aca="false">+AO31-AO18</f>
        <v>54080.112</v>
      </c>
      <c r="AP19" s="428" t="n">
        <f aca="false">+AP31-AP18</f>
        <v>41272.944</v>
      </c>
      <c r="AQ19" s="428" t="n">
        <f aca="false">+AQ31-AQ18</f>
        <v>42090.384</v>
      </c>
      <c r="AR19" s="428" t="n">
        <f aca="false">+AR31-AR18</f>
        <v>45497.616</v>
      </c>
      <c r="AS19" s="428" t="n">
        <f aca="false">+AS31-AS18</f>
        <v>57152.208</v>
      </c>
      <c r="AT19" s="427"/>
      <c r="AU19" s="427"/>
      <c r="AV19" s="427"/>
      <c r="AW19" s="427"/>
      <c r="AX19" s="427"/>
      <c r="AZ19" s="427"/>
      <c r="BA19" s="427"/>
      <c r="BB19" s="427"/>
      <c r="BC19" s="427"/>
      <c r="BD19" s="427"/>
      <c r="BE19" s="427"/>
      <c r="BF19" s="429" t="n">
        <f aca="false">+Z19*1.2</f>
        <v>2655.5496</v>
      </c>
      <c r="BG19" s="427"/>
      <c r="BH19" s="427"/>
      <c r="BI19" s="427"/>
      <c r="BJ19" s="427"/>
      <c r="BK19" s="427"/>
      <c r="BL19" s="427"/>
      <c r="BM19" s="427"/>
      <c r="BN19" s="427"/>
      <c r="BO19" s="427"/>
      <c r="BP19" s="427"/>
      <c r="BQ19" s="427"/>
      <c r="BR19" s="427"/>
      <c r="BS19" s="427"/>
      <c r="BT19" s="427"/>
      <c r="BU19" s="427"/>
      <c r="BV19" s="427"/>
      <c r="BW19" s="427"/>
      <c r="BX19" s="428" t="n">
        <f aca="false">+BX31-BX18</f>
        <v>-63797.9871844186</v>
      </c>
      <c r="BY19" s="427"/>
      <c r="BZ19" s="427"/>
      <c r="CA19" s="427"/>
      <c r="CB19" s="427"/>
      <c r="CC19" s="427"/>
      <c r="CE19" s="427"/>
      <c r="CF19" s="427"/>
      <c r="CG19" s="427"/>
      <c r="CI19" s="427"/>
      <c r="CJ19" s="427"/>
      <c r="CK19" s="427"/>
      <c r="CL19" s="427"/>
      <c r="CM19" s="427"/>
      <c r="CN19" s="427"/>
    </row>
    <row r="20" customFormat="false" ht="15" hidden="false" customHeight="true" outlineLevel="0" collapsed="false">
      <c r="A20" s="414" t="s">
        <v>872</v>
      </c>
      <c r="B20" s="418"/>
      <c r="C20" s="418"/>
      <c r="D20" s="418"/>
      <c r="E20" s="418"/>
      <c r="F20" s="418"/>
      <c r="G20" s="418"/>
      <c r="H20" s="418"/>
      <c r="I20" s="418"/>
      <c r="J20" s="418"/>
      <c r="K20" s="418"/>
      <c r="L20" s="418"/>
      <c r="M20" s="418"/>
      <c r="N20" s="418"/>
      <c r="O20" s="418"/>
      <c r="P20" s="418"/>
      <c r="Q20" s="418"/>
      <c r="R20" s="418"/>
      <c r="S20" s="418"/>
      <c r="T20" s="418"/>
      <c r="U20" s="418"/>
      <c r="V20" s="418"/>
      <c r="W20" s="418"/>
      <c r="X20" s="418"/>
      <c r="Y20" s="418"/>
      <c r="Z20" s="418"/>
      <c r="AA20" s="420" t="n">
        <f aca="false">+AA10/AA11</f>
        <v>0.591853528080642</v>
      </c>
      <c r="AB20" s="420" t="n">
        <f aca="false">+AB10/AB11</f>
        <v>0.503561807841964</v>
      </c>
      <c r="AC20" s="420" t="n">
        <f aca="false">+AC10/AC11</f>
        <v>0.403608715388107</v>
      </c>
      <c r="AD20" s="420" t="n">
        <f aca="false">+AD10/AD11</f>
        <v>0.496858842497359</v>
      </c>
      <c r="AE20" s="420" t="n">
        <f aca="false">+AE10/AE11</f>
        <v>0.509349017899285</v>
      </c>
      <c r="AF20" s="420" t="n">
        <f aca="false">+AF10/AF11</f>
        <v>0.43348886345629</v>
      </c>
      <c r="AG20" s="420" t="n">
        <f aca="false">+AG10/AG11</f>
        <v>0.342843654426404</v>
      </c>
      <c r="AH20" s="420" t="n">
        <f aca="false">+AH10/AH11</f>
        <v>0.369826738291594</v>
      </c>
      <c r="AI20" s="420" t="n">
        <f aca="false">+AI10/AI11</f>
        <v>0.385340545314052</v>
      </c>
      <c r="AJ20" s="420" t="n">
        <f aca="false">+AJ10/AJ11</f>
        <v>0.352634456078382</v>
      </c>
      <c r="AK20" s="420" t="n">
        <f aca="false">+AK10/AK11</f>
        <v>0.321724709784411</v>
      </c>
      <c r="AL20" s="420" t="n">
        <f aca="false">+AL10/AL11</f>
        <v>0.36690943405357</v>
      </c>
      <c r="AM20" s="420" t="n">
        <f aca="false">+AM10/AM11</f>
        <v>0.356297395979617</v>
      </c>
      <c r="AN20" s="420" t="n">
        <f aca="false">+AN10/AN11</f>
        <v>0.3758599521602</v>
      </c>
      <c r="AO20" s="420" t="n">
        <f aca="false">+AO10/AO11</f>
        <v>0.339796335460022</v>
      </c>
      <c r="AP20" s="420" t="n">
        <f aca="false">+AP10/AP11</f>
        <v>0.364705078258492</v>
      </c>
      <c r="AQ20" s="420" t="n">
        <f aca="false">+AQ10/AQ11</f>
        <v>0.382342626687708</v>
      </c>
      <c r="AR20" s="420" t="n">
        <f aca="false">+AR10/AR11</f>
        <v>0.352254116024481</v>
      </c>
      <c r="AS20" s="420" t="n">
        <f aca="false">+AS10/AS11</f>
        <v>0.325604974989861</v>
      </c>
      <c r="AT20" s="420" t="n">
        <f aca="false">+AT10/AT11</f>
        <v>0.36545503865455</v>
      </c>
      <c r="AU20" s="420" t="n">
        <f aca="false">+AU10/AU11</f>
        <v>0.374582620734588</v>
      </c>
      <c r="AV20" s="420" t="n">
        <f aca="false">+AV10/AV11</f>
        <v>0.35139262472885</v>
      </c>
      <c r="AW20" s="420" t="n">
        <f aca="false">+AW10/AW11</f>
        <v>0.330631460738864</v>
      </c>
      <c r="AX20" s="420" t="n">
        <f aca="false">+AX10/AX11</f>
        <v>0.396591678116605</v>
      </c>
      <c r="AZ20" s="418"/>
      <c r="BA20" s="418"/>
      <c r="BB20" s="418"/>
      <c r="BC20" s="418"/>
      <c r="BD20" s="418"/>
      <c r="BE20" s="418"/>
      <c r="BF20" s="418"/>
      <c r="BG20" s="418"/>
      <c r="BH20" s="418"/>
      <c r="BI20" s="420" t="n">
        <f aca="false">+BI10/BI11</f>
        <v>0.496858842497359</v>
      </c>
      <c r="BJ20" s="420" t="n">
        <f aca="false">+BJ10/BJ11</f>
        <v>0.509349017899285</v>
      </c>
      <c r="BK20" s="420" t="n">
        <f aca="false">+BK10/BK11</f>
        <v>0.43348886345629</v>
      </c>
      <c r="BL20" s="420" t="n">
        <f aca="false">+BL10/BL11</f>
        <v>0.342843654426404</v>
      </c>
      <c r="BM20" s="420" t="n">
        <f aca="false">+BM10/BM11</f>
        <v>0.369826738291594</v>
      </c>
      <c r="BN20" s="420" t="n">
        <f aca="false">+BN10/BN11</f>
        <v>0.385340545314052</v>
      </c>
      <c r="BO20" s="420" t="n">
        <f aca="false">+BO10/BO11</f>
        <v>0.352634456078382</v>
      </c>
      <c r="BP20" s="420" t="n">
        <f aca="false">+BP10/BP11</f>
        <v>0.321724709784411</v>
      </c>
      <c r="BQ20" s="420" t="n">
        <f aca="false">+BQ10/BQ11</f>
        <v>0.36690943405357</v>
      </c>
      <c r="BR20" s="420" t="n">
        <f aca="false">+BR10/BR11</f>
        <v>0.356297395979617</v>
      </c>
      <c r="BS20" s="420" t="n">
        <f aca="false">+BS10/BS11</f>
        <v>0.3758599521602</v>
      </c>
      <c r="BT20" s="420" t="n">
        <f aca="false">+BT10/BT11</f>
        <v>0.339796335460022</v>
      </c>
      <c r="BU20" s="420" t="n">
        <f aca="false">+BU10/BU11</f>
        <v>0.364705078258492</v>
      </c>
      <c r="BV20" s="420" t="n">
        <f aca="false">+BV10/BV11</f>
        <v>0.382342626687708</v>
      </c>
      <c r="BW20" s="420" t="n">
        <f aca="false">+BW10/BW11</f>
        <v>0.352254116024481</v>
      </c>
      <c r="BX20" s="420" t="n">
        <f aca="false">+BX10/BX11</f>
        <v>0.325604974989861</v>
      </c>
      <c r="BY20" s="420" t="n">
        <f aca="false">+BY10/BY11</f>
        <v>0.36545503865455</v>
      </c>
      <c r="BZ20" s="420" t="n">
        <f aca="false">+BZ10/BZ11</f>
        <v>0.374582620734588</v>
      </c>
      <c r="CA20" s="420" t="n">
        <f aca="false">+CA10/CA11</f>
        <v>0.35139262472885</v>
      </c>
      <c r="CB20" s="420" t="n">
        <f aca="false">+CB10/CB11</f>
        <v>0.330631460738864</v>
      </c>
      <c r="CC20" s="420" t="n">
        <f aca="false">+CC10/CC11</f>
        <v>0.396591678116605</v>
      </c>
      <c r="CE20" s="418"/>
      <c r="CF20" s="418"/>
      <c r="CG20" s="418"/>
      <c r="CI20" s="418"/>
      <c r="CJ20" s="418"/>
      <c r="CK20" s="418"/>
      <c r="CL20" s="418"/>
      <c r="CM20" s="418"/>
      <c r="CN20" s="418"/>
    </row>
    <row r="22" customFormat="false" ht="15" hidden="false" customHeight="true" outlineLevel="0" collapsed="false">
      <c r="A22" s="412" t="s">
        <v>873</v>
      </c>
      <c r="B22" s="413"/>
      <c r="C22" s="413"/>
      <c r="D22" s="413"/>
      <c r="E22" s="413"/>
      <c r="F22" s="413"/>
      <c r="G22" s="413"/>
      <c r="H22" s="413"/>
      <c r="I22" s="413"/>
      <c r="J22" s="413"/>
      <c r="K22" s="413"/>
      <c r="L22" s="413"/>
      <c r="M22" s="413"/>
      <c r="N22" s="413"/>
      <c r="O22" s="413"/>
      <c r="P22" s="413"/>
      <c r="Q22" s="413"/>
      <c r="R22" s="413"/>
      <c r="S22" s="413"/>
      <c r="T22" s="413"/>
      <c r="U22" s="413"/>
      <c r="V22" s="413"/>
      <c r="W22" s="413"/>
      <c r="X22" s="413"/>
      <c r="Y22" s="413"/>
      <c r="Z22" s="413"/>
      <c r="AA22" s="413"/>
      <c r="AB22" s="413"/>
      <c r="AC22" s="413"/>
      <c r="AD22" s="413"/>
      <c r="AE22" s="413"/>
      <c r="AF22" s="413"/>
      <c r="AG22" s="413"/>
      <c r="AH22" s="413"/>
      <c r="AI22" s="413"/>
      <c r="AJ22" s="413"/>
      <c r="AK22" s="413"/>
      <c r="AL22" s="413"/>
      <c r="AM22" s="413"/>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3"/>
      <c r="BK22" s="413"/>
      <c r="BL22" s="413"/>
      <c r="BM22" s="413"/>
      <c r="BN22" s="413"/>
      <c r="BO22" s="413"/>
      <c r="BP22" s="413"/>
      <c r="BQ22" s="413"/>
      <c r="BR22" s="413"/>
      <c r="BS22" s="413"/>
      <c r="BT22" s="413"/>
      <c r="BU22" s="413"/>
      <c r="BV22" s="413"/>
      <c r="BW22" s="413"/>
      <c r="BX22" s="413"/>
      <c r="BY22" s="413"/>
      <c r="BZ22" s="413"/>
      <c r="CA22" s="413"/>
      <c r="CB22" s="413"/>
      <c r="CC22" s="413"/>
      <c r="CD22" s="413"/>
      <c r="CE22" s="413"/>
      <c r="CF22" s="413"/>
      <c r="CG22" s="413"/>
      <c r="CH22" s="413"/>
      <c r="CI22" s="413"/>
      <c r="CJ22" s="413"/>
      <c r="CK22" s="413"/>
      <c r="CL22" s="413"/>
      <c r="CM22" s="413"/>
      <c r="CN22" s="413"/>
    </row>
    <row r="23" customFormat="false" ht="15" hidden="false" customHeight="true" outlineLevel="0" collapsed="false">
      <c r="A23" s="414" t="s">
        <v>874</v>
      </c>
      <c r="B23" s="418"/>
      <c r="C23" s="418"/>
      <c r="D23" s="418"/>
      <c r="E23" s="418"/>
      <c r="F23" s="418"/>
      <c r="G23" s="418"/>
      <c r="H23" s="418"/>
      <c r="I23" s="418"/>
      <c r="J23" s="418"/>
      <c r="K23" s="418"/>
      <c r="L23" s="418"/>
      <c r="M23" s="418"/>
      <c r="N23" s="418"/>
      <c r="O23" s="418"/>
      <c r="P23" s="418"/>
      <c r="Q23" s="418"/>
      <c r="R23" s="418"/>
      <c r="S23" s="418"/>
      <c r="T23" s="418"/>
      <c r="U23" s="418"/>
      <c r="V23" s="418"/>
      <c r="W23" s="418"/>
      <c r="X23" s="418"/>
      <c r="Y23" s="418"/>
      <c r="Z23" s="418"/>
      <c r="AA23" s="418"/>
      <c r="AB23" s="418"/>
      <c r="AC23" s="418"/>
      <c r="AD23" s="418"/>
      <c r="AE23" s="418"/>
      <c r="AF23" s="418"/>
      <c r="AG23" s="418"/>
      <c r="AH23" s="418"/>
      <c r="AI23" s="418"/>
      <c r="AJ23" s="418"/>
      <c r="AK23" s="418"/>
      <c r="AL23" s="418"/>
      <c r="AM23" s="418"/>
      <c r="AN23" s="418"/>
      <c r="AO23" s="418"/>
      <c r="AP23" s="418"/>
      <c r="AQ23" s="418"/>
      <c r="AR23" s="418"/>
      <c r="AS23" s="418"/>
      <c r="AT23" s="418"/>
      <c r="AU23" s="418"/>
      <c r="AV23" s="418"/>
      <c r="AW23" s="418"/>
      <c r="AX23" s="418"/>
      <c r="AZ23" s="418"/>
      <c r="BA23" s="418"/>
      <c r="BB23" s="418"/>
      <c r="BC23" s="418"/>
      <c r="BD23" s="418"/>
      <c r="BE23" s="418"/>
      <c r="BF23" s="418"/>
      <c r="BG23" s="418"/>
      <c r="BH23" s="418"/>
      <c r="BI23" s="418"/>
      <c r="BJ23" s="418"/>
      <c r="BK23" s="418"/>
      <c r="BL23" s="418"/>
      <c r="BM23" s="418"/>
      <c r="BN23" s="418"/>
      <c r="BO23" s="418"/>
      <c r="BP23" s="418"/>
      <c r="BQ23" s="418"/>
      <c r="BR23" s="418"/>
      <c r="BS23" s="418"/>
      <c r="BT23" s="418"/>
      <c r="BU23" s="418"/>
      <c r="BV23" s="418"/>
      <c r="BW23" s="418"/>
      <c r="BX23" s="418"/>
      <c r="BY23" s="418"/>
      <c r="BZ23" s="418"/>
      <c r="CA23" s="418"/>
      <c r="CB23" s="418"/>
      <c r="CC23" s="418"/>
      <c r="CE23" s="418"/>
      <c r="CF23" s="418"/>
      <c r="CG23" s="418"/>
      <c r="CI23" s="418"/>
      <c r="CJ23" s="418"/>
      <c r="CK23" s="418"/>
      <c r="CL23" s="418"/>
      <c r="CM23" s="418"/>
      <c r="CN23" s="418"/>
    </row>
    <row r="24" customFormat="false" ht="15" hidden="false" customHeight="true" outlineLevel="0" collapsed="false">
      <c r="A24" s="414" t="s">
        <v>875</v>
      </c>
      <c r="B24" s="427"/>
      <c r="C24" s="427"/>
      <c r="D24" s="427"/>
      <c r="E24" s="427"/>
      <c r="F24" s="427"/>
      <c r="G24" s="427"/>
      <c r="H24" s="427"/>
      <c r="I24" s="427"/>
      <c r="J24" s="427"/>
      <c r="K24" s="427"/>
      <c r="L24" s="427"/>
      <c r="M24" s="427"/>
      <c r="N24" s="427"/>
      <c r="O24" s="427"/>
      <c r="P24" s="427"/>
      <c r="Q24" s="427"/>
      <c r="R24" s="427"/>
      <c r="S24" s="427"/>
      <c r="T24" s="427"/>
      <c r="U24" s="427"/>
      <c r="V24" s="427"/>
      <c r="W24" s="427"/>
      <c r="X24" s="428" t="n">
        <f aca="false">+(X35+X34)/X11*1000000</f>
        <v>946548.076923077</v>
      </c>
      <c r="Y24" s="428" t="n">
        <f aca="false">+(Y35+Y34)/Y11*1000000</f>
        <v>1069886.69776924</v>
      </c>
      <c r="Z24" s="428" t="n">
        <f aca="false">+(Z35+Z34)/Z11*1000000</f>
        <v>1094520.18877819</v>
      </c>
      <c r="AA24" s="428" t="n">
        <f aca="false">+(AA35+AA34)/AA11*1000000</f>
        <v>1038911.74655421</v>
      </c>
      <c r="AB24" s="428" t="n">
        <f aca="false">+(AB35+AB34)/AB11*1000000</f>
        <v>1072256.80933852</v>
      </c>
      <c r="AC24" s="428" t="n">
        <f aca="false">+(AC35+AC34)/AC11*1000000</f>
        <v>1221831.59328189</v>
      </c>
      <c r="AD24" s="428" t="n">
        <f aca="false">+(AD35+AD34)/AD11*1000000</f>
        <v>1216017.12347807</v>
      </c>
      <c r="AE24" s="428" t="n">
        <f aca="false">+(AE35+AE34)/AE11*1000000</f>
        <v>1241164.72424936</v>
      </c>
      <c r="AF24" s="428" t="n">
        <f aca="false">+(AF35+AF34)/AF11*1000000</f>
        <v>1265695.33703084</v>
      </c>
      <c r="AG24" s="428" t="n">
        <f aca="false">+(AG35+AG34)/AG11*1000000</f>
        <v>1404415.11525278</v>
      </c>
      <c r="AH24" s="428" t="n">
        <f aca="false">+(AH35+AH34)/AH11*1000000</f>
        <v>1444616.78141787</v>
      </c>
      <c r="AI24" s="428" t="n">
        <f aca="false">+(AI35+AI34)/AI11*1000000</f>
        <v>1423243.18357435</v>
      </c>
      <c r="AJ24" s="428" t="n">
        <f aca="false">+(AJ35+AJ34)/AJ11*1000000</f>
        <v>1447762.91997813</v>
      </c>
      <c r="AK24" s="428" t="n">
        <f aca="false">+(AK35+AK34)/AK11*1000000</f>
        <v>1472213.00902893</v>
      </c>
      <c r="AL24" s="428" t="n">
        <f aca="false">+(AL35+AL34)/AL11*1000000</f>
        <v>1460753.95001089</v>
      </c>
      <c r="AM24" s="428" t="n">
        <f aca="false">+(AM35+AM34)/AM11*1000000</f>
        <v>1421688.80150865</v>
      </c>
      <c r="AN24" s="428" t="n">
        <f aca="false">+(AN35+AN34)/AN11*1000000</f>
        <v>1417781.16466629</v>
      </c>
      <c r="AO24" s="428" t="n">
        <f aca="false">+(AO35+AO34)/AO11*1000000</f>
        <v>1437837.88586966</v>
      </c>
      <c r="AP24" s="428" t="n">
        <f aca="false">+(AP35+AP34)/AP11*1000000</f>
        <v>1413583.03146288</v>
      </c>
      <c r="AQ24" s="428" t="n">
        <f aca="false">+(AQ35+AQ34)/AQ11*1000000</f>
        <v>1367929.16009118</v>
      </c>
      <c r="AR24" s="428" t="n">
        <f aca="false">+(AR35+AR34)/AR11*1000000</f>
        <v>1459848.28894061</v>
      </c>
      <c r="AS24" s="428" t="n">
        <f aca="false">+(AS35+AS34)/AS11*1000000</f>
        <v>1419970.9341625</v>
      </c>
      <c r="AT24" s="428" t="n">
        <f aca="false">+(AT35+AT34)/AT11*1000000</f>
        <v>1393107.73543108</v>
      </c>
      <c r="AU24" s="428" t="n">
        <f aca="false">+(AU35+AU34)/AU11*1000000</f>
        <v>1389300.83883052</v>
      </c>
      <c r="AV24" s="428" t="n">
        <f aca="false">+(AV35+AV34)/AV11*1000000</f>
        <v>1444737.52711497</v>
      </c>
      <c r="AW24" s="428" t="n">
        <f aca="false">+(AW35+AW34)/AW11*1000000</f>
        <v>1454882.08701661</v>
      </c>
      <c r="AX24" s="428" t="n">
        <f aca="false">+(AX35+AX34)/AX11*1000000</f>
        <v>1413446.67063142</v>
      </c>
      <c r="AZ24" s="427"/>
      <c r="BA24" s="427"/>
      <c r="BB24" s="427"/>
      <c r="BC24" s="427"/>
      <c r="BD24" s="427"/>
      <c r="BE24" s="427"/>
      <c r="BF24" s="427"/>
      <c r="BG24" s="427"/>
      <c r="BH24" s="427"/>
      <c r="BI24" s="427"/>
      <c r="BJ24" s="427"/>
      <c r="BK24" s="427"/>
      <c r="BL24" s="427"/>
      <c r="BM24" s="427"/>
      <c r="BN24" s="427"/>
      <c r="BO24" s="427"/>
      <c r="BP24" s="427"/>
      <c r="BQ24" s="427"/>
      <c r="BR24" s="427"/>
      <c r="BS24" s="427"/>
      <c r="BT24" s="427"/>
      <c r="BU24" s="427"/>
      <c r="BV24" s="427"/>
      <c r="BW24" s="427"/>
      <c r="BX24" s="428" t="n">
        <f aca="false">+(BX35+BX34)/BX11*1000000</f>
        <v>1482395.43697742</v>
      </c>
      <c r="BY24" s="427"/>
      <c r="BZ24" s="427"/>
      <c r="CA24" s="427"/>
      <c r="CB24" s="427"/>
      <c r="CC24" s="427"/>
      <c r="CE24" s="427"/>
      <c r="CF24" s="427"/>
      <c r="CG24" s="427"/>
      <c r="CI24" s="427"/>
      <c r="CJ24" s="427"/>
      <c r="CK24" s="427"/>
      <c r="CL24" s="427"/>
      <c r="CM24" s="427"/>
      <c r="CN24" s="427"/>
    </row>
    <row r="25" customFormat="false" ht="15" hidden="false" customHeight="true" outlineLevel="0" collapsed="false">
      <c r="A25" s="414" t="s">
        <v>876</v>
      </c>
      <c r="B25" s="418"/>
      <c r="C25" s="418"/>
      <c r="D25" s="418"/>
      <c r="E25" s="418"/>
      <c r="F25" s="418"/>
      <c r="G25" s="418"/>
      <c r="H25" s="418"/>
      <c r="I25" s="418"/>
      <c r="J25" s="418"/>
      <c r="K25" s="418"/>
      <c r="L25" s="418"/>
      <c r="M25" s="418"/>
      <c r="N25" s="418"/>
      <c r="O25" s="418"/>
      <c r="P25" s="418"/>
      <c r="Q25" s="418"/>
      <c r="R25" s="418"/>
      <c r="S25" s="418"/>
      <c r="T25" s="418"/>
      <c r="U25" s="418"/>
      <c r="V25" s="418"/>
      <c r="W25" s="418"/>
      <c r="X25" s="418"/>
      <c r="Y25" s="418"/>
      <c r="Z25" s="418"/>
      <c r="AA25" s="418"/>
      <c r="AB25" s="418"/>
      <c r="AC25" s="418"/>
      <c r="AD25" s="418"/>
      <c r="AE25" s="418"/>
      <c r="AF25" s="418"/>
      <c r="AG25" s="418"/>
      <c r="AH25" s="418"/>
      <c r="AI25" s="418"/>
      <c r="AJ25" s="418"/>
      <c r="AK25" s="418"/>
      <c r="AL25" s="418"/>
      <c r="AM25" s="418"/>
      <c r="AN25" s="418"/>
      <c r="AO25" s="418"/>
      <c r="AP25" s="418"/>
      <c r="AQ25" s="418"/>
      <c r="AR25" s="418"/>
      <c r="AS25" s="418"/>
      <c r="AT25" s="418"/>
      <c r="AU25" s="418"/>
      <c r="AV25" s="418"/>
      <c r="AW25" s="418"/>
      <c r="AX25" s="418"/>
      <c r="AZ25" s="418"/>
      <c r="BA25" s="418"/>
      <c r="BB25" s="418"/>
      <c r="BC25" s="418"/>
      <c r="BD25" s="418"/>
      <c r="BE25" s="418"/>
      <c r="BF25" s="418"/>
      <c r="BG25" s="418"/>
      <c r="BH25" s="418"/>
      <c r="BI25" s="418"/>
      <c r="BJ25" s="418"/>
      <c r="BK25" s="418"/>
      <c r="BL25" s="418"/>
      <c r="BM25" s="418"/>
      <c r="BN25" s="418"/>
      <c r="BO25" s="418"/>
      <c r="BP25" s="418"/>
      <c r="BQ25" s="418"/>
      <c r="BR25" s="418"/>
      <c r="BS25" s="418"/>
      <c r="BT25" s="418"/>
      <c r="BU25" s="418"/>
      <c r="BV25" s="418"/>
      <c r="BW25" s="418"/>
      <c r="BX25" s="418"/>
      <c r="BY25" s="418"/>
      <c r="BZ25" s="418"/>
      <c r="CA25" s="418"/>
      <c r="CB25" s="418"/>
      <c r="CC25" s="418"/>
      <c r="CE25" s="418"/>
      <c r="CF25" s="418"/>
      <c r="CG25" s="418"/>
      <c r="CI25" s="418"/>
      <c r="CJ25" s="418"/>
      <c r="CK25" s="418"/>
      <c r="CL25" s="418"/>
      <c r="CM25" s="418"/>
      <c r="CN25" s="418"/>
    </row>
    <row r="26" customFormat="false" ht="15" hidden="false" customHeight="true" outlineLevel="0" collapsed="false">
      <c r="A26" s="414" t="s">
        <v>877</v>
      </c>
      <c r="B26" s="418"/>
      <c r="C26" s="418"/>
      <c r="D26" s="418"/>
      <c r="E26" s="418"/>
      <c r="F26" s="418"/>
      <c r="G26" s="418"/>
      <c r="H26" s="418"/>
      <c r="I26" s="418"/>
      <c r="J26" s="418"/>
      <c r="K26" s="418"/>
      <c r="L26" s="418"/>
      <c r="M26" s="418"/>
      <c r="N26" s="418"/>
      <c r="O26" s="418"/>
      <c r="P26" s="415" t="n">
        <v>375000</v>
      </c>
      <c r="Q26" s="415" t="n">
        <v>375000</v>
      </c>
      <c r="R26" s="418"/>
      <c r="S26" s="415" t="n">
        <v>405000</v>
      </c>
      <c r="T26" s="418"/>
      <c r="U26" s="418"/>
      <c r="V26" s="418"/>
      <c r="W26" s="418"/>
      <c r="X26" s="418"/>
      <c r="Y26" s="420" t="n">
        <f aca="false">+Y27/X27-1</f>
        <v>0.169220383496327</v>
      </c>
      <c r="Z26" s="420" t="n">
        <f aca="false">+Z27/Y27-1</f>
        <v>0.134007504637447</v>
      </c>
      <c r="AA26" s="420" t="n">
        <f aca="false">+AA27/Z27-1</f>
        <v>-0.145138303279082</v>
      </c>
      <c r="AB26" s="420" t="n">
        <f aca="false">+AB27/AA27-1</f>
        <v>-0.0124116033521269</v>
      </c>
      <c r="AC26" s="420" t="n">
        <f aca="false">+AC27/AB27-1</f>
        <v>0.102804536606815</v>
      </c>
      <c r="AD26" s="420" t="n">
        <f aca="false">+AD27/AC27-1</f>
        <v>0.0325832036923368</v>
      </c>
      <c r="AE26" s="420" t="n">
        <f aca="false">+AE27/AD27-1</f>
        <v>-0.0134815639337655</v>
      </c>
      <c r="AF26" s="420" t="n">
        <f aca="false">+AF27/AE27-1</f>
        <v>0.00358605013583424</v>
      </c>
      <c r="AG26" s="420" t="n">
        <f aca="false">+AG27/AF27-1</f>
        <v>0.104987491949531</v>
      </c>
      <c r="AH26" s="420" t="n">
        <f aca="false">+AH27/AG27-1</f>
        <v>0.0149117117681996</v>
      </c>
      <c r="AI26" s="420" t="n">
        <f aca="false">+AI27/AH27-1</f>
        <v>0.0018162199933367</v>
      </c>
      <c r="AJ26" s="420" t="n">
        <f aca="false">+AJ27/AI27-1</f>
        <v>0.0403255393224411</v>
      </c>
      <c r="AK26" s="420" t="n">
        <f aca="false">+AK27/AJ27-1</f>
        <v>0.0257787882560836</v>
      </c>
      <c r="AL26" s="420" t="n">
        <f aca="false">+AL27/AK27-1</f>
        <v>0.0174799713332638</v>
      </c>
      <c r="AM26" s="420" t="n">
        <f aca="false">+AM27/AL27-1</f>
        <v>-0.0241859705364074</v>
      </c>
      <c r="AN26" s="420" t="n">
        <f aca="false">+AN27/AM27-1</f>
        <v>0.0151804243011358</v>
      </c>
      <c r="AO26" s="420" t="n">
        <f aca="false">+AO27/AN27-1</f>
        <v>0.020059493326188</v>
      </c>
      <c r="AP26" s="420" t="n">
        <f aca="false">+AP27/AO27-1</f>
        <v>-0.0216329950391777</v>
      </c>
      <c r="AQ26" s="420" t="n">
        <f aca="false">+AQ27/AP27-1</f>
        <v>-0.0188862863432097</v>
      </c>
      <c r="AR26" s="420" t="n">
        <f aca="false">+AR27/AQ27-1</f>
        <v>0.0627807841856953</v>
      </c>
      <c r="AS26" s="420" t="n">
        <f aca="false">+AS27/AR27-1</f>
        <v>-0.014959277659651</v>
      </c>
      <c r="AT26" s="420" t="n">
        <f aca="false">+AT27/AS27-1</f>
        <v>-0.0198345496194786</v>
      </c>
      <c r="AU26" s="420" t="n">
        <f aca="false">+AU27/AT27-1</f>
        <v>-0.0101540116246017</v>
      </c>
      <c r="AV26" s="420" t="n">
        <f aca="false">+AV27/AU27-1</f>
        <v>0.0252981478021821</v>
      </c>
      <c r="AW26" s="420" t="n">
        <f aca="false">+AW27/AV27-1</f>
        <v>0.0185741427637176</v>
      </c>
      <c r="AX26" s="420" t="n">
        <f aca="false">+AX27/AW27-1</f>
        <v>-0.030883483431018</v>
      </c>
      <c r="AZ26" s="418"/>
      <c r="BA26" s="418"/>
      <c r="BB26" s="418"/>
      <c r="BC26" s="418"/>
      <c r="BD26" s="418"/>
      <c r="BE26" s="418"/>
      <c r="BF26" s="418"/>
      <c r="BG26" s="418"/>
      <c r="BH26" s="418"/>
      <c r="BI26" s="418"/>
      <c r="BJ26" s="418"/>
      <c r="BK26" s="418"/>
      <c r="BL26" s="418"/>
      <c r="BM26" s="418"/>
      <c r="BN26" s="418"/>
      <c r="BO26" s="418"/>
      <c r="BP26" s="418"/>
      <c r="BQ26" s="418"/>
      <c r="BR26" s="418"/>
      <c r="BS26" s="418"/>
      <c r="BT26" s="418"/>
      <c r="BU26" s="418"/>
      <c r="BV26" s="418"/>
      <c r="BW26" s="418"/>
      <c r="BX26" s="420" t="n">
        <f aca="false">+BX27/BW27-1</f>
        <v>0.0627807841856956</v>
      </c>
      <c r="BY26" s="418"/>
      <c r="BZ26" s="418"/>
      <c r="CA26" s="418"/>
      <c r="CB26" s="418"/>
      <c r="CC26" s="418"/>
      <c r="CE26" s="418"/>
      <c r="CF26" s="418"/>
      <c r="CG26" s="418"/>
      <c r="CI26" s="418"/>
      <c r="CJ26" s="418"/>
      <c r="CK26" s="418"/>
      <c r="CL26" s="418"/>
      <c r="CM26" s="418"/>
      <c r="CN26" s="418"/>
    </row>
    <row r="27" customFormat="false" ht="15" hidden="false" customHeight="true" outlineLevel="0" collapsed="false">
      <c r="A27" s="414" t="s">
        <v>878</v>
      </c>
      <c r="B27" s="428" t="n">
        <f aca="false">B33/B11*1000000</f>
        <v>1377680.6925424</v>
      </c>
      <c r="C27" s="428" t="n">
        <f aca="false">C33/C11*1000000</f>
        <v>1328797.94548032</v>
      </c>
      <c r="D27" s="428" t="n">
        <f aca="false">D33/D11*1000000</f>
        <v>1330133.82695292</v>
      </c>
      <c r="E27" s="428" t="n">
        <f aca="false">E33/E11*1000000</f>
        <v>1357720.53007228</v>
      </c>
      <c r="F27" s="428" t="n">
        <f aca="false">F33/F11*1000000</f>
        <v>1366545.70832665</v>
      </c>
      <c r="G27" s="428" t="n">
        <f aca="false">G33/G11*1000000</f>
        <v>1382257.13943961</v>
      </c>
      <c r="H27" s="428" t="n">
        <f aca="false">H33/H11*1000000</f>
        <v>1375281.15959682</v>
      </c>
      <c r="I27" s="428" t="n">
        <f aca="false">I33/I11*1000000</f>
        <v>1389698.91434451</v>
      </c>
      <c r="J27" s="428" t="n">
        <f aca="false">J33/J11*1000000</f>
        <v>1494247.44692051</v>
      </c>
      <c r="K27" s="428" t="n">
        <f aca="false">K33/K11*1000000</f>
        <v>1482586.92204465</v>
      </c>
      <c r="L27" s="428" t="n">
        <f aca="false">L33/L11*1000000</f>
        <v>1524662.83705577</v>
      </c>
      <c r="M27" s="428" t="n">
        <f aca="false">M33/M11*1000000</f>
        <v>1541274.06010203</v>
      </c>
      <c r="N27" s="428" t="n">
        <f aca="false">N33/N11*1000000</f>
        <v>1493571.29479867</v>
      </c>
      <c r="O27" s="428" t="n">
        <f aca="false">O33/O11*1000000</f>
        <v>1494865.07193326</v>
      </c>
      <c r="P27" s="428" t="n">
        <f aca="false">P33/P11*1000000</f>
        <v>1483638.85394165</v>
      </c>
      <c r="Q27" s="428" t="n">
        <f aca="false">Q33/Q11*1000000</f>
        <v>1486628.52802241</v>
      </c>
      <c r="R27" s="428" t="n">
        <f aca="false">R33/R11*1000000</f>
        <v>1464227.58328682</v>
      </c>
      <c r="S27" s="428" t="n">
        <f aca="false">S33/S11*1000000</f>
        <v>1466744.93350526</v>
      </c>
      <c r="T27" s="428" t="n">
        <f aca="false">T33/T11*1000000</f>
        <v>1445339.67049791</v>
      </c>
      <c r="U27" s="428" t="n">
        <f aca="false">U33/U11*1000000</f>
        <v>1486186.38799751</v>
      </c>
      <c r="V27" s="428" t="n">
        <f aca="false">V33/V11*1000000</f>
        <v>1435028.27711573</v>
      </c>
      <c r="W27" s="428" t="n">
        <f aca="false">W33/W11*1000000</f>
        <v>1357903.10318612</v>
      </c>
      <c r="X27" s="428" t="n">
        <f aca="false">X33/X11*1000000</f>
        <v>1287067.30769231</v>
      </c>
      <c r="Y27" s="428" t="n">
        <f aca="false">Y33/Y11*1000000</f>
        <v>1504865.33108558</v>
      </c>
      <c r="Z27" s="428" t="n">
        <f aca="false">Z33/Z11*1000000</f>
        <v>1706528.57891977</v>
      </c>
      <c r="AA27" s="428" t="n">
        <f aca="false">AA33/AA11*1000000</f>
        <v>1458845.91647809</v>
      </c>
      <c r="AB27" s="428" t="n">
        <f aca="false">AB33/AB11*1000000</f>
        <v>1440739.29961089</v>
      </c>
      <c r="AC27" s="428" t="n">
        <f aca="false">AC33/AC11*1000000</f>
        <v>1588853.83567862</v>
      </c>
      <c r="AD27" s="428" t="n">
        <f aca="false">AD33/AD11*1000000</f>
        <v>1640623.78384389</v>
      </c>
      <c r="AE27" s="428" t="n">
        <f aca="false">AE33/AE11*1000000</f>
        <v>1618505.60941074</v>
      </c>
      <c r="AF27" s="428" t="n">
        <f aca="false">AF33/AF11*1000000</f>
        <v>1624309.65167122</v>
      </c>
      <c r="AG27" s="428" t="n">
        <f aca="false">AG33/AG11*1000000</f>
        <v>1794841.84814959</v>
      </c>
      <c r="AH27" s="428" t="n">
        <f aca="false">AH33/AH11*1000000</f>
        <v>1821606.0124587</v>
      </c>
      <c r="AI27" s="428" t="n">
        <f aca="false">AI33/AI11*1000000</f>
        <v>1824914.44971851</v>
      </c>
      <c r="AJ27" s="428" t="n">
        <f aca="false">AJ33/AJ11*1000000</f>
        <v>1898505.10912073</v>
      </c>
      <c r="AK27" s="428" t="n">
        <f aca="false">AK33/AK11*1000000</f>
        <v>1947446.27033184</v>
      </c>
      <c r="AL27" s="428" t="n">
        <f aca="false">AL33/AL11*1000000</f>
        <v>1981487.57531031</v>
      </c>
      <c r="AM27" s="428" t="n">
        <f aca="false">AM33/AM11*1000000</f>
        <v>1933563.3751956</v>
      </c>
      <c r="AN27" s="428" t="n">
        <f aca="false">AN33/AN11*1000000</f>
        <v>1962915.68764421</v>
      </c>
      <c r="AO27" s="428" t="n">
        <f aca="false">AO33/AO11*1000000</f>
        <v>2002290.78178038</v>
      </c>
      <c r="AP27" s="428" t="n">
        <f aca="false">AP33/AP11*1000000</f>
        <v>1958975.23523113</v>
      </c>
      <c r="AQ27" s="428" t="n">
        <f aca="false">AQ33/AQ11*1000000</f>
        <v>1921977.4679993</v>
      </c>
      <c r="AR27" s="428" t="n">
        <f aca="false">AR33/AR11*1000000</f>
        <v>2042640.72062753</v>
      </c>
      <c r="AS27" s="428" t="n">
        <f aca="false">AS33/AS11*1000000</f>
        <v>2012084.29092876</v>
      </c>
      <c r="AT27" s="428" t="n">
        <f aca="false">AT33/AT11*1000000</f>
        <v>1972175.50522176</v>
      </c>
      <c r="AU27" s="428" t="n">
        <f aca="false">AU33/AU11*1000000</f>
        <v>1952150.01221598</v>
      </c>
      <c r="AV27" s="428" t="n">
        <f aca="false">AV33/AV11*1000000</f>
        <v>2001535.79175705</v>
      </c>
      <c r="AW27" s="428" t="n">
        <f aca="false">AW33/AW11*1000000</f>
        <v>2038712.60329984</v>
      </c>
      <c r="AX27" s="428" t="n">
        <f aca="false">AX33/AX11*1000000</f>
        <v>1975750.05639522</v>
      </c>
      <c r="AZ27" s="429" t="n">
        <f aca="false">T27*0.99</f>
        <v>1430886.27379293</v>
      </c>
      <c r="BA27" s="428" t="n">
        <f aca="false">U27</f>
        <v>1486186.38799751</v>
      </c>
      <c r="BB27" s="429" t="n">
        <f aca="false">+V27*0.98</f>
        <v>1406327.71157342</v>
      </c>
      <c r="BC27" s="429" t="n">
        <f aca="false">+W27*0.975</f>
        <v>1323955.52560647</v>
      </c>
      <c r="BD27" s="428" t="n">
        <f aca="false">+X27</f>
        <v>1287067.30769231</v>
      </c>
      <c r="BE27" s="429" t="n">
        <f aca="false">+Y27*1.1</f>
        <v>1655351.86419414</v>
      </c>
      <c r="BF27" s="429" t="n">
        <f aca="false">+Z27*0.95</f>
        <v>1621202.14997378</v>
      </c>
      <c r="BG27" s="429" t="n">
        <f aca="false">+AA27*1.04</f>
        <v>1517199.75313721</v>
      </c>
      <c r="BH27" s="429" t="n">
        <f aca="false">+AB27*1.025</f>
        <v>1476757.78210117</v>
      </c>
      <c r="BI27" s="429" t="n">
        <f aca="false">+AC27*0.95</f>
        <v>1509411.14389469</v>
      </c>
      <c r="BJ27" s="429" t="n">
        <f aca="false">+AD27*1.02</f>
        <v>1673436.25952077</v>
      </c>
      <c r="BK27" s="429" t="n">
        <f aca="false">+AE27*1.03</f>
        <v>1667060.77769306</v>
      </c>
      <c r="BL27" s="429" t="n">
        <f aca="false">+AF27*1.03</f>
        <v>1673038.94122135</v>
      </c>
      <c r="BM27" s="428" t="n">
        <f aca="false">+AG27</f>
        <v>1794841.84814959</v>
      </c>
      <c r="BN27" s="429" t="n">
        <f aca="false">+AH27*1.005</f>
        <v>1830714.042521</v>
      </c>
      <c r="BO27" s="429" t="n">
        <f aca="false">+AI27*1.013</f>
        <v>1848638.33756485</v>
      </c>
      <c r="BP27" s="429" t="n">
        <f aca="false">+AJ27*1.012</f>
        <v>1921287.17043018</v>
      </c>
      <c r="BQ27" s="428" t="n">
        <f aca="false">+AK27*1</f>
        <v>1947446.27033184</v>
      </c>
      <c r="BR27" s="429" t="n">
        <f aca="false">+AL27*0.98</f>
        <v>1941857.82380411</v>
      </c>
      <c r="BS27" s="429" t="n">
        <f aca="false">+AM27*0.98</f>
        <v>1894892.10769169</v>
      </c>
      <c r="BT27" s="429" t="n">
        <f aca="false">+AN27*1.005</f>
        <v>1972730.26608243</v>
      </c>
      <c r="BU27" s="429" t="n">
        <f aca="false">+AO27*0.98</f>
        <v>1962244.96614477</v>
      </c>
      <c r="BV27" s="429" t="n">
        <f aca="false">+AP27*0.98</f>
        <v>1919795.73052651</v>
      </c>
      <c r="BW27" s="429" t="n">
        <f aca="false">+AQ27*1.015</f>
        <v>1950807.13001929</v>
      </c>
      <c r="BX27" s="429" t="n">
        <f aca="false">+AR27*1.015</f>
        <v>2073280.33143694</v>
      </c>
      <c r="BY27" s="429" t="n">
        <f aca="false">+AS27*0.98</f>
        <v>1971842.60511018</v>
      </c>
      <c r="BZ27" s="429" t="n">
        <f aca="false">+AT27*0.995</f>
        <v>1962314.62769565</v>
      </c>
      <c r="CA27" s="429" t="n">
        <f aca="false">+AU27*1.015</f>
        <v>1981432.26239922</v>
      </c>
      <c r="CB27" s="429" t="n">
        <f aca="false">+AV27*1.0135</f>
        <v>2028556.52494577</v>
      </c>
      <c r="CC27" s="429" t="n">
        <f aca="false">+AW27*0.99</f>
        <v>2018325.47726684</v>
      </c>
      <c r="CE27" s="427"/>
      <c r="CF27" s="427"/>
      <c r="CG27" s="427"/>
      <c r="CI27" s="427"/>
      <c r="CJ27" s="427"/>
      <c r="CK27" s="427"/>
      <c r="CL27" s="427"/>
      <c r="CM27" s="427"/>
      <c r="CN27" s="427"/>
    </row>
    <row r="28" customFormat="false" ht="15" hidden="false" customHeight="true" outlineLevel="0" collapsed="false">
      <c r="A28" s="414" t="s">
        <v>879</v>
      </c>
      <c r="B28" s="427"/>
      <c r="C28" s="427"/>
      <c r="D28" s="427"/>
      <c r="E28" s="427"/>
      <c r="F28" s="427"/>
      <c r="G28" s="427"/>
      <c r="H28" s="427"/>
      <c r="I28" s="427"/>
      <c r="J28" s="427"/>
      <c r="K28" s="427"/>
      <c r="L28" s="427"/>
      <c r="M28" s="427"/>
      <c r="N28" s="427"/>
      <c r="O28" s="427"/>
      <c r="P28" s="427"/>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Z28" s="427"/>
      <c r="BA28" s="427"/>
      <c r="BB28" s="427"/>
      <c r="BC28" s="428" t="n">
        <f aca="false">+BC27-W27</f>
        <v>-33947.5775796531</v>
      </c>
      <c r="BD28" s="428" t="n">
        <f aca="false">+BD27-X27</f>
        <v>0</v>
      </c>
      <c r="BE28" s="428" t="n">
        <f aca="false">+BE27-Y27</f>
        <v>150486.533108559</v>
      </c>
      <c r="BF28" s="428" t="n">
        <f aca="false">+BF27-Z27</f>
        <v>-85326.4289459887</v>
      </c>
      <c r="BG28" s="427"/>
      <c r="BH28" s="427"/>
      <c r="BI28" s="427"/>
      <c r="BJ28" s="427"/>
      <c r="BK28" s="427"/>
      <c r="BL28" s="427"/>
      <c r="BM28" s="427"/>
      <c r="BN28" s="427"/>
      <c r="BO28" s="427"/>
      <c r="BP28" s="427"/>
      <c r="BQ28" s="427"/>
      <c r="BR28" s="427"/>
      <c r="BS28" s="427"/>
      <c r="BT28" s="427"/>
      <c r="BU28" s="427"/>
      <c r="BV28" s="427"/>
      <c r="BW28" s="427"/>
      <c r="BX28" s="427"/>
      <c r="BY28" s="427"/>
      <c r="BZ28" s="427"/>
      <c r="CA28" s="427"/>
      <c r="CB28" s="427"/>
      <c r="CC28" s="427"/>
      <c r="CE28" s="427"/>
      <c r="CF28" s="427"/>
      <c r="CG28" s="427"/>
      <c r="CI28" s="427"/>
      <c r="CJ28" s="427"/>
      <c r="CK28" s="427"/>
      <c r="CL28" s="427"/>
      <c r="CM28" s="427"/>
      <c r="CN28" s="427"/>
    </row>
    <row r="30" customFormat="false" ht="15" hidden="false" customHeight="true" outlineLevel="0" collapsed="false">
      <c r="A30" s="412" t="s">
        <v>880</v>
      </c>
      <c r="B30" s="413"/>
      <c r="C30" s="413"/>
      <c r="D30" s="413"/>
      <c r="E30" s="413"/>
      <c r="F30" s="413"/>
      <c r="G30" s="413"/>
      <c r="H30" s="413"/>
      <c r="I30" s="413"/>
      <c r="J30" s="413"/>
      <c r="K30" s="413"/>
      <c r="L30" s="413"/>
      <c r="M30" s="413"/>
      <c r="N30" s="413"/>
      <c r="O30" s="413"/>
      <c r="P30" s="413"/>
      <c r="Q30" s="413"/>
      <c r="R30" s="413"/>
      <c r="S30" s="413"/>
      <c r="T30" s="413"/>
      <c r="U30" s="413"/>
      <c r="V30" s="413"/>
      <c r="W30" s="413"/>
      <c r="X30" s="413"/>
      <c r="Y30" s="413"/>
      <c r="Z30" s="413"/>
      <c r="AA30" s="413"/>
      <c r="AB30" s="413"/>
      <c r="AC30" s="413"/>
      <c r="AD30" s="413"/>
      <c r="AE30" s="413"/>
      <c r="AF30" s="413"/>
      <c r="AG30" s="413"/>
      <c r="AH30" s="413"/>
      <c r="AI30" s="413"/>
      <c r="AJ30" s="413"/>
      <c r="AK30" s="413"/>
      <c r="AL30" s="413"/>
      <c r="AM30" s="413"/>
      <c r="AN30" s="413"/>
      <c r="AO30" s="413"/>
      <c r="AP30" s="413"/>
      <c r="AQ30" s="413"/>
      <c r="AR30" s="413"/>
      <c r="AS30" s="413"/>
      <c r="AT30" s="413"/>
      <c r="AU30" s="413"/>
      <c r="AV30" s="413"/>
      <c r="AW30" s="413"/>
      <c r="AX30" s="413"/>
      <c r="AY30" s="413"/>
      <c r="AZ30" s="413"/>
      <c r="BA30" s="413"/>
      <c r="BB30" s="413"/>
      <c r="BC30" s="413"/>
      <c r="BD30" s="413"/>
      <c r="BE30" s="413"/>
      <c r="BF30" s="413"/>
      <c r="BG30" s="413"/>
      <c r="BH30" s="413"/>
      <c r="BI30" s="413"/>
      <c r="BJ30" s="413"/>
      <c r="BK30" s="413"/>
      <c r="BL30" s="413"/>
      <c r="BM30" s="413"/>
      <c r="BN30" s="413"/>
      <c r="BO30" s="413"/>
      <c r="BP30" s="413"/>
      <c r="BQ30" s="413"/>
      <c r="BR30" s="413"/>
      <c r="BS30" s="413"/>
      <c r="BT30" s="413"/>
      <c r="BU30" s="413"/>
      <c r="BV30" s="413"/>
      <c r="BW30" s="413"/>
      <c r="BX30" s="413"/>
      <c r="BY30" s="413"/>
      <c r="BZ30" s="413"/>
      <c r="CA30" s="413"/>
      <c r="CB30" s="413"/>
      <c r="CC30" s="413"/>
      <c r="CD30" s="413"/>
      <c r="CE30" s="413"/>
      <c r="CF30" s="413"/>
      <c r="CG30" s="413"/>
      <c r="CH30" s="413"/>
      <c r="CI30" s="413"/>
      <c r="CJ30" s="413"/>
      <c r="CK30" s="413"/>
      <c r="CL30" s="413"/>
      <c r="CM30" s="413"/>
      <c r="CN30" s="413"/>
    </row>
    <row r="31" customFormat="false" ht="15" hidden="false" customHeight="true" outlineLevel="0" collapsed="false">
      <c r="A31" s="414" t="s">
        <v>881</v>
      </c>
      <c r="B31" s="430" t="n">
        <f aca="false">40076.081+1078.347</f>
        <v>41154.428</v>
      </c>
      <c r="C31" s="430" t="n">
        <f aca="false">51859.991+883.674</f>
        <v>52743.665</v>
      </c>
      <c r="D31" s="430" t="n">
        <f aca="false">42819.741+843.781</f>
        <v>43663.522</v>
      </c>
      <c r="E31" s="431" t="n">
        <v>62368.127</v>
      </c>
      <c r="F31" s="430" t="n">
        <f aca="false">44482.826+830.465</f>
        <v>45313.291</v>
      </c>
      <c r="G31" s="430" t="n">
        <f aca="false">47923.842+1192.4</f>
        <v>49116.242</v>
      </c>
      <c r="H31" s="431" t="n">
        <v>48282.549</v>
      </c>
      <c r="I31" s="431" t="n">
        <v>70572.209</v>
      </c>
      <c r="J31" s="431" t="n">
        <v>45344.621</v>
      </c>
      <c r="K31" s="431" t="n">
        <v>60763.825</v>
      </c>
      <c r="L31" s="431" t="n">
        <v>71131.62</v>
      </c>
      <c r="M31" s="431" t="n">
        <v>71906.6</v>
      </c>
      <c r="N31" s="431" t="n">
        <v>87724.91</v>
      </c>
      <c r="O31" s="431" t="n">
        <v>87800.9</v>
      </c>
      <c r="P31" s="431" t="n">
        <v>62501.254</v>
      </c>
      <c r="Q31" s="431" t="n">
        <v>62627.2</v>
      </c>
      <c r="R31" s="431" t="n">
        <v>76079.801</v>
      </c>
      <c r="S31" s="431" t="n">
        <v>76210.6</v>
      </c>
      <c r="T31" s="431" t="n">
        <v>63252.4</v>
      </c>
      <c r="U31" s="431" t="n">
        <v>88459.3</v>
      </c>
      <c r="V31" s="431" t="n">
        <v>56838.6</v>
      </c>
      <c r="W31" s="431" t="n">
        <v>39295</v>
      </c>
      <c r="X31" s="431" t="n">
        <v>40156.5</v>
      </c>
      <c r="Y31" s="431" t="n">
        <v>38384.6</v>
      </c>
      <c r="Z31" s="431" t="n">
        <v>6508.7</v>
      </c>
      <c r="AA31" s="431" t="n">
        <v>28365.8</v>
      </c>
      <c r="AB31" s="431" t="n">
        <v>48135.1</v>
      </c>
      <c r="AC31" s="431" t="n">
        <v>70004.9</v>
      </c>
      <c r="AD31" s="430" t="n">
        <f aca="false">29345.9+164</f>
        <v>29509.9</v>
      </c>
      <c r="AE31" s="431" t="n">
        <v>44578.5</v>
      </c>
      <c r="AF31" s="431" t="n">
        <v>55351.6</v>
      </c>
      <c r="AG31" s="431" t="n">
        <v>87442.9</v>
      </c>
      <c r="AH31" s="431" t="n">
        <v>72228.5</v>
      </c>
      <c r="AI31" s="431" t="n">
        <v>82659.5</v>
      </c>
      <c r="AJ31" s="431" t="n">
        <v>90296.7</v>
      </c>
      <c r="AK31" s="431" t="n">
        <v>116256.7</v>
      </c>
      <c r="AL31" s="431" t="n">
        <v>81892.9</v>
      </c>
      <c r="AM31" s="431" t="n">
        <v>96380.4</v>
      </c>
      <c r="AN31" s="431" t="n">
        <v>92730.1</v>
      </c>
      <c r="AO31" s="431" t="n">
        <v>112666.9</v>
      </c>
      <c r="AP31" s="431" t="n">
        <v>85985.3</v>
      </c>
      <c r="AQ31" s="431" t="n">
        <v>87688.3</v>
      </c>
      <c r="AR31" s="431" t="n">
        <v>94786.7</v>
      </c>
      <c r="AS31" s="431" t="n">
        <v>119067.1</v>
      </c>
      <c r="AT31" s="431" t="n">
        <v>87245.1</v>
      </c>
      <c r="AU31" s="431" t="n">
        <v>95881.8</v>
      </c>
      <c r="AV31" s="431" t="n">
        <v>115338.5</v>
      </c>
      <c r="AW31" s="431" t="n">
        <v>141604.9</v>
      </c>
      <c r="AX31" s="431" t="n">
        <v>96343.5</v>
      </c>
      <c r="AZ31" s="427"/>
      <c r="BA31" s="427"/>
      <c r="BB31" s="427"/>
      <c r="BC31" s="427"/>
      <c r="BD31" s="427"/>
      <c r="BE31" s="427"/>
      <c r="BF31" s="427"/>
      <c r="BG31" s="427"/>
      <c r="BH31" s="427"/>
      <c r="BI31" s="427"/>
      <c r="BJ31" s="427"/>
      <c r="BK31" s="427"/>
      <c r="BL31" s="427"/>
      <c r="BM31" s="427"/>
      <c r="BN31" s="427"/>
      <c r="BO31" s="427"/>
      <c r="BP31" s="427"/>
      <c r="BQ31" s="427"/>
      <c r="BR31" s="427"/>
      <c r="BS31" s="427"/>
      <c r="BT31" s="427"/>
      <c r="BU31" s="427"/>
      <c r="BV31" s="427"/>
      <c r="BW31" s="427"/>
      <c r="BX31" s="427"/>
      <c r="BY31" s="427"/>
      <c r="BZ31" s="427"/>
      <c r="CA31" s="427"/>
      <c r="CB31" s="427"/>
      <c r="CC31" s="427"/>
      <c r="CE31" s="427"/>
      <c r="CF31" s="427"/>
      <c r="CG31" s="427"/>
      <c r="CI31" s="427"/>
      <c r="CJ31" s="427"/>
      <c r="CK31" s="427"/>
      <c r="CL31" s="427"/>
      <c r="CM31" s="427"/>
      <c r="CN31" s="427"/>
    </row>
    <row r="32" customFormat="false" ht="15" hidden="false" customHeight="true" outlineLevel="0" collapsed="false">
      <c r="A32" s="414" t="s">
        <v>882</v>
      </c>
      <c r="B32" s="431" t="n">
        <v>2323.12</v>
      </c>
      <c r="C32" s="431" t="n">
        <v>3071.869</v>
      </c>
      <c r="D32" s="431" t="n">
        <v>2525.143</v>
      </c>
      <c r="E32" s="431" t="n">
        <v>2636.57</v>
      </c>
      <c r="F32" s="431" t="n">
        <v>2724.894</v>
      </c>
      <c r="G32" s="431" t="n">
        <v>2892.181</v>
      </c>
      <c r="H32" s="431" t="n">
        <v>3119.691</v>
      </c>
      <c r="I32" s="431" t="n">
        <v>4393.357</v>
      </c>
      <c r="J32" s="431" t="n">
        <v>2766.04</v>
      </c>
      <c r="K32" s="427"/>
      <c r="L32" s="427"/>
      <c r="M32" s="427"/>
      <c r="N32" s="427"/>
      <c r="O32" s="427"/>
      <c r="P32" s="427"/>
      <c r="Q32" s="427"/>
      <c r="R32" s="427"/>
      <c r="S32" s="427"/>
      <c r="T32" s="427"/>
      <c r="U32" s="427"/>
      <c r="V32" s="427"/>
      <c r="W32" s="427"/>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Z32" s="427"/>
      <c r="BA32" s="427"/>
      <c r="BB32" s="427"/>
      <c r="BC32" s="427"/>
      <c r="BD32" s="427"/>
      <c r="BE32" s="427"/>
      <c r="BF32" s="427"/>
      <c r="BG32" s="427"/>
      <c r="BH32" s="427"/>
      <c r="BI32" s="427"/>
      <c r="BJ32" s="427"/>
      <c r="BK32" s="427"/>
      <c r="BL32" s="427"/>
      <c r="BM32" s="427"/>
      <c r="BN32" s="427"/>
      <c r="BO32" s="427"/>
      <c r="BP32" s="427"/>
      <c r="BQ32" s="427"/>
      <c r="BR32" s="427"/>
      <c r="BS32" s="427"/>
      <c r="BT32" s="427"/>
      <c r="BU32" s="427"/>
      <c r="BV32" s="427"/>
      <c r="BW32" s="427"/>
      <c r="BX32" s="427"/>
      <c r="BY32" s="427"/>
      <c r="BZ32" s="427"/>
      <c r="CA32" s="427"/>
      <c r="CB32" s="427"/>
      <c r="CC32" s="427"/>
      <c r="CE32" s="427"/>
      <c r="CF32" s="427"/>
      <c r="CG32" s="427"/>
      <c r="CI32" s="427"/>
      <c r="CJ32" s="427"/>
      <c r="CK32" s="427"/>
      <c r="CL32" s="427"/>
      <c r="CM32" s="427"/>
      <c r="CN32" s="427"/>
    </row>
    <row r="33" customFormat="false" ht="15" hidden="false" customHeight="true" outlineLevel="0" collapsed="false">
      <c r="A33" s="421" t="s">
        <v>384</v>
      </c>
      <c r="B33" s="422" t="n">
        <f aca="false">+B31-B32</f>
        <v>38831.308</v>
      </c>
      <c r="C33" s="422" t="n">
        <f aca="false">+C31-C32</f>
        <v>49671.796</v>
      </c>
      <c r="D33" s="422" t="n">
        <f aca="false">+D31-D32</f>
        <v>41138.379</v>
      </c>
      <c r="E33" s="422" t="n">
        <f aca="false">+E31-E32</f>
        <v>59731.557</v>
      </c>
      <c r="F33" s="422" t="n">
        <f aca="false">+F31-F32</f>
        <v>42588.397</v>
      </c>
      <c r="G33" s="422" t="n">
        <f aca="false">+G31-G32</f>
        <v>46224.061</v>
      </c>
      <c r="H33" s="422" t="n">
        <f aca="false">+H31-H32</f>
        <v>45162.858</v>
      </c>
      <c r="I33" s="422" t="n">
        <f aca="false">+I31-I32</f>
        <v>66178.852</v>
      </c>
      <c r="J33" s="422" t="n">
        <f aca="false">J31-J32</f>
        <v>42578.581</v>
      </c>
      <c r="K33" s="422" t="n">
        <f aca="false">K31-K32</f>
        <v>60763.825</v>
      </c>
      <c r="L33" s="422" t="n">
        <f aca="false">L31-L32</f>
        <v>71131.62</v>
      </c>
      <c r="M33" s="422" t="n">
        <f aca="false">M31-M32</f>
        <v>71906.6</v>
      </c>
      <c r="N33" s="422" t="n">
        <f aca="false">N31-N32</f>
        <v>87724.91</v>
      </c>
      <c r="O33" s="422" t="n">
        <f aca="false">O31-O32</f>
        <v>87800.9</v>
      </c>
      <c r="P33" s="422" t="n">
        <f aca="false">P31-P32</f>
        <v>62501.254</v>
      </c>
      <c r="Q33" s="422" t="n">
        <f aca="false">Q31-Q32</f>
        <v>62627.2</v>
      </c>
      <c r="R33" s="422" t="n">
        <f aca="false">R31-R32</f>
        <v>76079.801</v>
      </c>
      <c r="S33" s="422" t="n">
        <f aca="false">S31-S32</f>
        <v>76210.6</v>
      </c>
      <c r="T33" s="422" t="n">
        <f aca="false">T31-T32</f>
        <v>63252.4</v>
      </c>
      <c r="U33" s="422" t="n">
        <f aca="false">U31-U32</f>
        <v>88459.3</v>
      </c>
      <c r="V33" s="422" t="n">
        <f aca="false">V31-V32</f>
        <v>56838.6</v>
      </c>
      <c r="W33" s="422" t="n">
        <f aca="false">W31-W32</f>
        <v>39295</v>
      </c>
      <c r="X33" s="422" t="n">
        <f aca="false">X31-X32</f>
        <v>40156.5</v>
      </c>
      <c r="Y33" s="422" t="n">
        <f aca="false">Y31-Y32</f>
        <v>38384.6</v>
      </c>
      <c r="Z33" s="422" t="n">
        <f aca="false">Z31-Z32</f>
        <v>6508.7</v>
      </c>
      <c r="AA33" s="422" t="n">
        <f aca="false">AA31-AA32</f>
        <v>28365.8</v>
      </c>
      <c r="AB33" s="422" t="n">
        <f aca="false">AB31-AB32</f>
        <v>48135.1</v>
      </c>
      <c r="AC33" s="422" t="n">
        <f aca="false">AC31-AC32</f>
        <v>70004.9</v>
      </c>
      <c r="AD33" s="422" t="n">
        <f aca="false">AD31-AD32</f>
        <v>29509.9</v>
      </c>
      <c r="AE33" s="422" t="n">
        <f aca="false">AE31-AE32</f>
        <v>44578.5</v>
      </c>
      <c r="AF33" s="422" t="n">
        <f aca="false">AF31-AF32</f>
        <v>55351.6</v>
      </c>
      <c r="AG33" s="422" t="n">
        <f aca="false">AG31-AG32</f>
        <v>87442.9</v>
      </c>
      <c r="AH33" s="422" t="n">
        <f aca="false">AH31-AH32</f>
        <v>72228.5</v>
      </c>
      <c r="AI33" s="422" t="n">
        <f aca="false">AI31-AI32</f>
        <v>82659.5</v>
      </c>
      <c r="AJ33" s="422" t="n">
        <f aca="false">AJ31-AJ32</f>
        <v>90296.7</v>
      </c>
      <c r="AK33" s="422" t="n">
        <f aca="false">AK31-AK32</f>
        <v>116256.7</v>
      </c>
      <c r="AL33" s="422" t="n">
        <f aca="false">AL31-AL32</f>
        <v>81892.9</v>
      </c>
      <c r="AM33" s="422" t="n">
        <f aca="false">AM31-AM32</f>
        <v>96380.4</v>
      </c>
      <c r="AN33" s="422" t="n">
        <f aca="false">AN31-AN32</f>
        <v>92730.1</v>
      </c>
      <c r="AO33" s="422" t="n">
        <f aca="false">AO31-AO32</f>
        <v>112666.9</v>
      </c>
      <c r="AP33" s="422" t="n">
        <f aca="false">AP31-AP32</f>
        <v>85985.3</v>
      </c>
      <c r="AQ33" s="422" t="n">
        <f aca="false">AQ31-AQ32</f>
        <v>87688.3</v>
      </c>
      <c r="AR33" s="422" t="n">
        <f aca="false">AR31-AR32</f>
        <v>94786.7</v>
      </c>
      <c r="AS33" s="422" t="n">
        <f aca="false">AS31-AS32</f>
        <v>119067.1</v>
      </c>
      <c r="AT33" s="422" t="n">
        <f aca="false">AT31-AT32</f>
        <v>87245.1</v>
      </c>
      <c r="AU33" s="422" t="n">
        <f aca="false">AU31-AU32</f>
        <v>95881.8</v>
      </c>
      <c r="AV33" s="422" t="n">
        <f aca="false">AV31-AV32</f>
        <v>115338.5</v>
      </c>
      <c r="AW33" s="422" t="n">
        <f aca="false">AW31-AW32</f>
        <v>141604.9</v>
      </c>
      <c r="AX33" s="422" t="n">
        <f aca="false">AX31-AX32</f>
        <v>96343.5</v>
      </c>
      <c r="AY33" s="421"/>
      <c r="AZ33" s="422" t="n">
        <f aca="false">AZ27*AZ11/10^6</f>
        <v>85167.781902429</v>
      </c>
      <c r="BA33" s="422" t="n">
        <f aca="false">BA27*BA11/10^6</f>
        <v>58864.8704558055</v>
      </c>
      <c r="BB33" s="422" t="n">
        <f aca="false">BB27*BB11/10^6</f>
        <v>40696.3113175116</v>
      </c>
      <c r="BC33" s="422" t="n">
        <f aca="false">BC27*BC11/10^6</f>
        <v>41307.4123989218</v>
      </c>
      <c r="BD33" s="422" t="n">
        <f aca="false">BD27*BD11/10^6</f>
        <v>32829.2258173077</v>
      </c>
      <c r="BE33" s="422" t="n">
        <f aca="false">BE27*BE11/10^6</f>
        <v>6313.51201003646</v>
      </c>
      <c r="BF33" s="422" t="n">
        <f aca="false">BF27*BF11/10^6</f>
        <v>31522.6546040902</v>
      </c>
      <c r="BG33" s="422" t="n">
        <f aca="false">BG27*BG11/10^6</f>
        <v>50689.6437523143</v>
      </c>
      <c r="BH33" s="422" t="n">
        <f aca="false">BH27*BH11/10^6</f>
        <v>65065.9478793774</v>
      </c>
      <c r="BI33" s="422" t="n">
        <f aca="false">BI27*BI11/10^6</f>
        <v>27149.7782452338</v>
      </c>
      <c r="BJ33" s="422" t="n">
        <f aca="false">BJ27*BJ11/10^6</f>
        <v>46091.4548959804</v>
      </c>
      <c r="BK33" s="422" t="n">
        <f aca="false">BK27*BK11/10^6</f>
        <v>56808.4301214465</v>
      </c>
      <c r="BL33" s="422" t="n">
        <f aca="false">BL27*BL11/10^6</f>
        <v>81508.784177363</v>
      </c>
      <c r="BM33" s="422" t="n">
        <f aca="false">BM27*BM11/10^6</f>
        <v>71167.2741209795</v>
      </c>
      <c r="BN33" s="422" t="n">
        <f aca="false">BN27*BN11/10^6</f>
        <v>82922.1925559885</v>
      </c>
      <c r="BO33" s="422" t="n">
        <f aca="false">BO27*BO11/10^6</f>
        <v>87924.9366112595</v>
      </c>
      <c r="BP33" s="422" t="n">
        <f aca="false">BP27*BP11/10^6</f>
        <v>114695.08021317</v>
      </c>
      <c r="BQ33" s="422" t="n">
        <f aca="false">BQ27*BQ11/10^6</f>
        <v>80486.0069065447</v>
      </c>
      <c r="BR33" s="422" t="n">
        <f aca="false">BR27*BR11/10^6</f>
        <v>96793.8450853396</v>
      </c>
      <c r="BS33" s="422" t="n">
        <f aca="false">BS27*BS11/10^6</f>
        <v>89516.5980594631</v>
      </c>
      <c r="BT33" s="422" t="n">
        <f aca="false">BT27*BT11/10^6</f>
        <v>111003.559342192</v>
      </c>
      <c r="BU33" s="422" t="n">
        <f aca="false">BU27*BU11/10^6</f>
        <v>86128.8182989923</v>
      </c>
      <c r="BV33" s="422" t="n">
        <f aca="false">BV27*BV11/10^6</f>
        <v>87588.7604095414</v>
      </c>
      <c r="BW33" s="422" t="n">
        <f aca="false">BW27*BW11/10^6</f>
        <v>90525.254061415</v>
      </c>
      <c r="BX33" s="422" t="n">
        <f aca="false">BX27*BX11/10^6</f>
        <v>122688.436893113</v>
      </c>
      <c r="BY33" s="422" t="n">
        <f aca="false">BY27*BY11/10^6</f>
        <v>87230.3731648641</v>
      </c>
      <c r="BZ33" s="422" t="n">
        <f aca="false">BZ27*BZ11/10^6</f>
        <v>96381.0452538994</v>
      </c>
      <c r="CA33" s="422" t="n">
        <f aca="false">CA27*CA11/10^6</f>
        <v>114180.034120755</v>
      </c>
      <c r="CB33" s="422" t="n">
        <f aca="false">CB27*CB11/10^6</f>
        <v>140899.479109683</v>
      </c>
      <c r="CC33" s="422" t="n">
        <f aca="false">CC27*CC11/10^6</f>
        <v>98419.6052479628</v>
      </c>
      <c r="CD33" s="421"/>
      <c r="CE33" s="422" t="n">
        <f aca="false">+E33+D33+B33+C33</f>
        <v>189373.04</v>
      </c>
      <c r="CF33" s="422"/>
      <c r="CG33" s="424" t="n">
        <f aca="false">'Main Model'!AI19</f>
        <v>440070.3</v>
      </c>
      <c r="CH33" s="421"/>
      <c r="CI33" s="422"/>
      <c r="CJ33" s="422" t="n">
        <f aca="false">CG33-AV33-AU33-AT33</f>
        <v>141604.9</v>
      </c>
      <c r="CK33" s="422"/>
      <c r="CL33" s="422" t="n">
        <f aca="false">+CM33-CA33-AU33-AT33</f>
        <v>142763.365879245</v>
      </c>
      <c r="CM33" s="424" t="n">
        <f aca="false">+'Main Model'!AI19</f>
        <v>440070.3</v>
      </c>
      <c r="CN33" s="422" t="n">
        <f aca="false">+CL33/BX33-1</f>
        <v>0.163625273045267</v>
      </c>
    </row>
    <row r="34" customFormat="false" ht="15" hidden="false" customHeight="true" outlineLevel="0" collapsed="false">
      <c r="A34" s="414" t="s">
        <v>883</v>
      </c>
      <c r="B34" s="431" t="n">
        <v>-2469.627</v>
      </c>
      <c r="C34" s="431" t="n">
        <v>-2430.844</v>
      </c>
      <c r="D34" s="431" t="n">
        <v>-2487.722</v>
      </c>
      <c r="E34" s="431" t="n">
        <v>3097.979</v>
      </c>
      <c r="F34" s="431" t="n">
        <v>-1548.179</v>
      </c>
      <c r="G34" s="431" t="n">
        <v>1557.41</v>
      </c>
      <c r="H34" s="431" t="n">
        <v>-6592.28</v>
      </c>
      <c r="I34" s="431" t="n">
        <v>-507.764</v>
      </c>
      <c r="J34" s="431" t="n">
        <v>-2847.014</v>
      </c>
      <c r="K34" s="431" t="n">
        <v>6081.489</v>
      </c>
      <c r="L34" s="431" t="n">
        <v>-8731.179</v>
      </c>
      <c r="M34" s="431" t="n">
        <v>-10095.8</v>
      </c>
      <c r="N34" s="431" t="n">
        <v>20905.657</v>
      </c>
      <c r="O34" s="431" t="n">
        <v>19662.6</v>
      </c>
      <c r="P34" s="431" t="n">
        <v>-9276.384</v>
      </c>
      <c r="Q34" s="431" t="n">
        <v>-9350.9</v>
      </c>
      <c r="R34" s="431" t="n">
        <v>-10.775</v>
      </c>
      <c r="S34" s="431" t="n">
        <v>-88.9</v>
      </c>
      <c r="T34" s="431" t="n">
        <v>-10940.7</v>
      </c>
      <c r="U34" s="431" t="n">
        <v>10792.5</v>
      </c>
      <c r="V34" s="431" t="n">
        <v>-7138.3</v>
      </c>
      <c r="W34" s="431" t="n">
        <v>3663</v>
      </c>
      <c r="X34" s="431" t="n">
        <v>9655.9</v>
      </c>
      <c r="Y34" s="431" t="n">
        <v>5734.1</v>
      </c>
      <c r="Z34" s="431" t="n">
        <v>180.1</v>
      </c>
      <c r="AA34" s="431" t="n">
        <v>-1022.3</v>
      </c>
      <c r="AB34" s="431" t="n">
        <v>-2304.3</v>
      </c>
      <c r="AC34" s="431" t="n">
        <v>-1476.6</v>
      </c>
      <c r="AD34" s="431" t="n">
        <v>-2578.9</v>
      </c>
      <c r="AE34" s="431" t="n">
        <v>1560.3</v>
      </c>
      <c r="AF34" s="431" t="n">
        <v>-918.1</v>
      </c>
      <c r="AG34" s="431" t="n">
        <v>1446.8</v>
      </c>
      <c r="AH34" s="431" t="n">
        <v>-6622.6</v>
      </c>
      <c r="AI34" s="431" t="n">
        <v>3407</v>
      </c>
      <c r="AJ34" s="431" t="n">
        <v>-6100.1</v>
      </c>
      <c r="AK34" s="431" t="n">
        <v>3730.8</v>
      </c>
      <c r="AL34" s="431" t="n">
        <v>-1975</v>
      </c>
      <c r="AM34" s="431" t="n">
        <v>-2609</v>
      </c>
      <c r="AN34" s="431" t="n">
        <v>-2261.1</v>
      </c>
      <c r="AO34" s="431" t="n">
        <v>1735.7</v>
      </c>
      <c r="AP34" s="431" t="n">
        <v>-4108.9</v>
      </c>
      <c r="AQ34" s="431" t="n">
        <v>605.4</v>
      </c>
      <c r="AR34" s="431" t="n">
        <v>134.9</v>
      </c>
      <c r="AS34" s="431" t="n">
        <v>5674.4</v>
      </c>
      <c r="AT34" s="431" t="n">
        <v>-6509.3</v>
      </c>
      <c r="AU34" s="431" t="n">
        <v>1640.8</v>
      </c>
      <c r="AV34" s="431" t="n">
        <v>2912.1</v>
      </c>
      <c r="AW34" s="431" t="n">
        <v>847.1</v>
      </c>
      <c r="AX34" s="431" t="n">
        <v>-5051.9</v>
      </c>
      <c r="AZ34" s="427"/>
      <c r="BA34" s="427"/>
      <c r="BB34" s="427"/>
      <c r="BC34" s="427"/>
      <c r="BD34" s="427"/>
      <c r="BE34" s="427"/>
      <c r="BF34" s="427"/>
      <c r="BG34" s="427"/>
      <c r="BH34" s="427"/>
      <c r="BI34" s="427"/>
      <c r="BJ34" s="427"/>
      <c r="BK34" s="427"/>
      <c r="BL34" s="427"/>
      <c r="BM34" s="427"/>
      <c r="BN34" s="427"/>
      <c r="BO34" s="427"/>
      <c r="BP34" s="427"/>
      <c r="BQ34" s="427"/>
      <c r="BR34" s="427"/>
      <c r="BS34" s="427"/>
      <c r="BT34" s="427"/>
      <c r="BU34" s="427"/>
      <c r="BV34" s="427"/>
      <c r="BW34" s="427"/>
      <c r="BX34" s="427"/>
      <c r="BY34" s="427"/>
      <c r="BZ34" s="427"/>
      <c r="CA34" s="427"/>
      <c r="CB34" s="427"/>
      <c r="CC34" s="427"/>
      <c r="CE34" s="428" t="n">
        <f aca="false">+E34+D34+B34+C34</f>
        <v>-4290.214</v>
      </c>
      <c r="CF34" s="427"/>
      <c r="CG34" s="427"/>
      <c r="CI34" s="427"/>
      <c r="CJ34" s="427"/>
      <c r="CK34" s="427"/>
      <c r="CL34" s="427"/>
      <c r="CM34" s="427"/>
      <c r="CN34" s="427"/>
    </row>
    <row r="35" customFormat="false" ht="15" hidden="false" customHeight="true" outlineLevel="0" collapsed="false">
      <c r="A35" s="414" t="s">
        <v>884</v>
      </c>
      <c r="B35" s="430" t="n">
        <f aca="false">25492.433+3549.388</f>
        <v>29041.821</v>
      </c>
      <c r="C35" s="430" t="n">
        <f aca="false">32585.377+4458.318</f>
        <v>37043.695</v>
      </c>
      <c r="D35" s="430" t="n">
        <f aca="false">26126.584+5116.026</f>
        <v>31242.61</v>
      </c>
      <c r="E35" s="430" t="n">
        <f aca="false">36775.559+2188.523</f>
        <v>38964.082</v>
      </c>
      <c r="F35" s="430" t="n">
        <f aca="false">27226.302+3569.379</f>
        <v>30795.681</v>
      </c>
      <c r="G35" s="430" t="n">
        <f aca="false">25667.731+4111.572</f>
        <v>29779.303</v>
      </c>
      <c r="H35" s="430" t="n">
        <f aca="false">34094.779+3850.037</f>
        <v>37944.816</v>
      </c>
      <c r="I35" s="430" t="n">
        <f aca="false">43565.808+4545.451</f>
        <v>48111.259</v>
      </c>
      <c r="J35" s="430" t="n">
        <f aca="false">28211.092+4051.282</f>
        <v>32262.374</v>
      </c>
      <c r="K35" s="430" t="n">
        <f aca="false">32590.943+4367.261</f>
        <v>36958.204</v>
      </c>
      <c r="L35" s="430" t="n">
        <f aca="false">54064.829+5484.256</f>
        <v>59549.085</v>
      </c>
      <c r="M35" s="430" t="n">
        <f aca="false">58278.7+1923.9</f>
        <v>60202.6</v>
      </c>
      <c r="N35" s="430" t="n">
        <f aca="false">35925.396+6229.478</f>
        <v>42154.874</v>
      </c>
      <c r="O35" s="430" t="n">
        <f aca="false">40923+1892.8</f>
        <v>42815.8</v>
      </c>
      <c r="P35" s="430" t="n">
        <f aca="false">47530.8+5257.004</f>
        <v>52787.804</v>
      </c>
      <c r="Q35" s="430" t="n">
        <f aca="false">50476+2045</f>
        <v>52521</v>
      </c>
      <c r="R35" s="430" t="n">
        <f aca="false">49685.064+5613.624</f>
        <v>55298.688</v>
      </c>
      <c r="S35" s="430" t="n">
        <f aca="false">53466.7+1598.5</f>
        <v>55065.2</v>
      </c>
      <c r="T35" s="430" t="n">
        <f aca="false">53192+2105.9</f>
        <v>55297.9</v>
      </c>
      <c r="U35" s="430" t="n">
        <f aca="false">51588+1911.6</f>
        <v>53499.6</v>
      </c>
      <c r="V35" s="430" t="n">
        <f aca="false">44963.4+1911.5</f>
        <v>46874.9</v>
      </c>
      <c r="W35" s="430" t="n">
        <f aca="false">21726.1+1743.9</f>
        <v>23470</v>
      </c>
      <c r="X35" s="430" t="n">
        <f aca="false">17602.6+2273.8</f>
        <v>19876.4</v>
      </c>
      <c r="Y35" s="430" t="n">
        <f aca="false">19552.5+2003</f>
        <v>21555.5</v>
      </c>
      <c r="Z35" s="430" t="n">
        <f aca="false">3250.2+744.2</f>
        <v>3994.4</v>
      </c>
      <c r="AA35" s="430" t="n">
        <f aca="false">19223.7+1999.2</f>
        <v>21222.9</v>
      </c>
      <c r="AB35" s="430" t="n">
        <f aca="false">35981.2+2147.2</f>
        <v>38128.4</v>
      </c>
      <c r="AC35" s="430" t="n">
        <f aca="false">2576+52734.5</f>
        <v>55310.5</v>
      </c>
      <c r="AD35" s="430" t="n">
        <f aca="false">22334+2117.4</f>
        <v>24451.4</v>
      </c>
      <c r="AE35" s="430" t="n">
        <f aca="false">30925.4+1699.7</f>
        <v>32625.1</v>
      </c>
      <c r="AF35" s="430" t="n">
        <f aca="false">41573.6+2475.6</f>
        <v>44049.2</v>
      </c>
      <c r="AG35" s="430" t="n">
        <f aca="false">64298.6+2676.3</f>
        <v>66974.9</v>
      </c>
      <c r="AH35" s="430" t="n">
        <f aca="false">61313.6+2589.5</f>
        <v>63903.1</v>
      </c>
      <c r="AI35" s="430" t="n">
        <f aca="false">58320.3+2738.5</f>
        <v>61058.8</v>
      </c>
      <c r="AJ35" s="430" t="n">
        <f aca="false">2925.3+72033.3</f>
        <v>74958.6</v>
      </c>
      <c r="AK35" s="430" t="n">
        <f aca="false">80802.3+3353.6</f>
        <v>84155.9</v>
      </c>
      <c r="AL35" s="430" t="n">
        <f aca="false">58764.2+3582.3</f>
        <v>62346.5</v>
      </c>
      <c r="AM35" s="430" t="n">
        <f aca="false">3551.7+69922.8</f>
        <v>73474.5</v>
      </c>
      <c r="AN35" s="430" t="n">
        <f aca="false">65553.6+3684.9</f>
        <v>69238.5</v>
      </c>
      <c r="AO35" s="430" t="n">
        <f aca="false">74924.8+4245.2</f>
        <v>79170</v>
      </c>
      <c r="AP35" s="430" t="n">
        <f aca="false">61988+4167.3</f>
        <v>66155.3</v>
      </c>
      <c r="AQ35" s="430" t="n">
        <f aca="false">57735.4+4069.6</f>
        <v>61805</v>
      </c>
      <c r="AR35" s="430" t="n">
        <f aca="false">63674+3933.9</f>
        <v>67607.9</v>
      </c>
      <c r="AS35" s="430" t="n">
        <f aca="false">73720+4633.8</f>
        <v>78353.8</v>
      </c>
      <c r="AT35" s="430" t="n">
        <f aca="false">63866.3+4271.3</f>
        <v>68137.6</v>
      </c>
      <c r="AU35" s="430" t="n">
        <f aca="false">62103.5+4492.6</f>
        <v>66596.1</v>
      </c>
      <c r="AV35" s="430" t="n">
        <f aca="false">75901.7+4439.2</f>
        <v>80340.9</v>
      </c>
      <c r="AW35" s="430" t="n">
        <f aca="false">95355.3+4850.8</f>
        <v>100206.1</v>
      </c>
      <c r="AX35" s="430" t="n">
        <f aca="false">69206.4+4769.4</f>
        <v>73975.8</v>
      </c>
      <c r="AZ35" s="428" t="n">
        <f aca="false">AZ71/100*AZ33</f>
        <v>61320.8029697489</v>
      </c>
      <c r="BA35" s="428" t="n">
        <f aca="false">BA71/100*BA33</f>
        <v>42382.70672818</v>
      </c>
      <c r="BB35" s="428" t="n">
        <f aca="false">BB71/100*BB33</f>
        <v>28283.9363656706</v>
      </c>
      <c r="BC35" s="428" t="n">
        <f aca="false">BC71/100*BC33</f>
        <v>28667.3442048518</v>
      </c>
      <c r="BD35" s="428" t="n">
        <f aca="false">BD71/100*BD33</f>
        <v>24195.1394273558</v>
      </c>
      <c r="BE35" s="428" t="n">
        <f aca="false">BE71/100*BE33</f>
        <v>4482.59352712589</v>
      </c>
      <c r="BF35" s="428" t="n">
        <f aca="false">BF71/100*BF33</f>
        <v>21435.4051307813</v>
      </c>
      <c r="BG35" s="428" t="n">
        <f aca="false">BG71/100*BG33</f>
        <v>36243.0952829048</v>
      </c>
      <c r="BH35" s="428" t="n">
        <f aca="false">BH71/100*BH33</f>
        <v>49319.9884925681</v>
      </c>
      <c r="BI35" s="428" t="n">
        <f aca="false">BI71/100*BI33</f>
        <v>20769.5803576038</v>
      </c>
      <c r="BJ35" s="428" t="n">
        <f aca="false">BJ71/100*BJ33</f>
        <v>34292.0424426095</v>
      </c>
      <c r="BK35" s="428" t="n">
        <f aca="false">BK71/100*BK33</f>
        <v>43856.1080537567</v>
      </c>
      <c r="BL35" s="428" t="n">
        <f aca="false">BL71/100*BL33</f>
        <v>64799.4834210036</v>
      </c>
      <c r="BM35" s="428" t="n">
        <f aca="false">BM71/100*BM33</f>
        <v>56222.1465555738</v>
      </c>
      <c r="BN35" s="428" t="n">
        <f aca="false">BN71/100*BN33</f>
        <v>65591.4543117869</v>
      </c>
      <c r="BO35" s="428" t="n">
        <f aca="false">BO71/100*BO33</f>
        <v>68141.8258737261</v>
      </c>
      <c r="BP35" s="428" t="n">
        <f aca="false">BP71/100*BP33</f>
        <v>87168.2609620093</v>
      </c>
      <c r="BQ35" s="428" t="n">
        <f aca="false">BQ71/100*BQ33</f>
        <v>60525.4771937216</v>
      </c>
      <c r="BR35" s="428" t="n">
        <f aca="false">BR71/100*BR33</f>
        <v>71627.4453631513</v>
      </c>
      <c r="BS35" s="428" t="n">
        <f aca="false">BS71/100*BS33</f>
        <v>65705.182975646</v>
      </c>
      <c r="BT35" s="428" t="n">
        <f aca="false">BT71/100*BT33</f>
        <v>81032.5983198003</v>
      </c>
      <c r="BU35" s="428" t="n">
        <f aca="false">BU71/100*BU33</f>
        <v>62357.2644484705</v>
      </c>
      <c r="BV35" s="428" t="n">
        <f aca="false">BV71/100*BV33</f>
        <v>63239.0850156889</v>
      </c>
      <c r="BW35" s="428" t="n">
        <f aca="false">BW71/100*BW33</f>
        <v>64635.0313998503</v>
      </c>
      <c r="BX35" s="428" t="n">
        <f aca="false">BX71/100*BX33</f>
        <v>87722.2323785755</v>
      </c>
      <c r="BY35" s="428" t="n">
        <f aca="false">BY71/100*BY33</f>
        <v>62195.2560665481</v>
      </c>
      <c r="BZ35" s="428" t="n">
        <f aca="false">BZ71/100*BZ33</f>
        <v>68526.9231755224</v>
      </c>
      <c r="CA35" s="428" t="n">
        <f aca="false">CA71/100*CA33</f>
        <v>81981.2644987021</v>
      </c>
      <c r="CB35" s="428" t="n">
        <f aca="false">CB71/100*CB33</f>
        <v>102293.02183363</v>
      </c>
      <c r="CC35" s="428" t="n">
        <f aca="false">CC71/100*CC33</f>
        <v>72043.1510415088</v>
      </c>
      <c r="CE35" s="428" t="n">
        <f aca="false">+E35+D35+B35+C35</f>
        <v>136292.208</v>
      </c>
      <c r="CF35" s="427"/>
      <c r="CG35" s="432" t="n">
        <f aca="false">'Main Model'!AI25</f>
        <v>314171.4</v>
      </c>
      <c r="CI35" s="427"/>
      <c r="CJ35" s="428" t="n">
        <f aca="false">CG35-AV35-AV34-AU35-AU34-AT35-AT34</f>
        <v>101053.2</v>
      </c>
      <c r="CK35" s="427"/>
      <c r="CL35" s="427"/>
      <c r="CM35" s="427"/>
      <c r="CN35" s="427"/>
    </row>
    <row r="36" customFormat="false" ht="15" hidden="false" customHeight="true" outlineLevel="0" collapsed="false">
      <c r="A36" s="414" t="s">
        <v>885</v>
      </c>
      <c r="B36" s="431" t="n">
        <v>3287.136</v>
      </c>
      <c r="C36" s="431" t="n">
        <v>3763.162</v>
      </c>
      <c r="D36" s="431" t="n">
        <v>3474.789</v>
      </c>
      <c r="E36" s="431" t="n">
        <v>3325.541</v>
      </c>
      <c r="F36" s="431" t="n">
        <v>3581.296</v>
      </c>
      <c r="G36" s="431" t="n">
        <v>3692.046</v>
      </c>
      <c r="H36" s="431" t="n">
        <v>3917.767</v>
      </c>
      <c r="I36" s="431" t="n">
        <v>4118.241</v>
      </c>
      <c r="J36" s="431" t="n">
        <v>4217.456</v>
      </c>
      <c r="K36" s="431" t="n">
        <v>4660.319</v>
      </c>
      <c r="L36" s="431" t="n">
        <v>4917.685</v>
      </c>
      <c r="M36" s="431" t="n">
        <v>4766.4</v>
      </c>
      <c r="N36" s="431" t="n">
        <v>4549.2</v>
      </c>
      <c r="O36" s="431" t="n">
        <v>4588</v>
      </c>
      <c r="P36" s="431" t="n">
        <v>4929.916</v>
      </c>
      <c r="Q36" s="431" t="n">
        <v>5001.4</v>
      </c>
      <c r="R36" s="431" t="n">
        <v>5173.61</v>
      </c>
      <c r="S36" s="431" t="n">
        <v>5250.8</v>
      </c>
      <c r="T36" s="431" t="n">
        <v>5000.7</v>
      </c>
      <c r="U36" s="431" t="n">
        <v>5734.8</v>
      </c>
      <c r="V36" s="431" t="n">
        <v>5004.3</v>
      </c>
      <c r="W36" s="431" t="n">
        <v>4321.2</v>
      </c>
      <c r="X36" s="431" t="n">
        <v>2727.9</v>
      </c>
      <c r="Y36" s="431" t="n">
        <v>4097.2</v>
      </c>
      <c r="Z36" s="431" t="n">
        <v>3541.9</v>
      </c>
      <c r="AA36" s="431" t="n">
        <v>3736.2</v>
      </c>
      <c r="AB36" s="431" t="n">
        <v>4544.8</v>
      </c>
      <c r="AC36" s="431" t="n">
        <v>4016</v>
      </c>
      <c r="AD36" s="431" t="n">
        <v>4243.1</v>
      </c>
      <c r="AE36" s="431" t="n">
        <v>4003</v>
      </c>
      <c r="AF36" s="431" t="n">
        <v>4324.1</v>
      </c>
      <c r="AG36" s="431" t="n">
        <v>4375.8</v>
      </c>
      <c r="AH36" s="431" t="n">
        <v>4454.1</v>
      </c>
      <c r="AI36" s="431" t="n">
        <v>5270.5</v>
      </c>
      <c r="AJ36" s="431" t="n">
        <v>5494.7</v>
      </c>
      <c r="AK36" s="431" t="n">
        <v>5919.3</v>
      </c>
      <c r="AL36" s="431" t="n">
        <v>5375.6</v>
      </c>
      <c r="AM36" s="431" t="n">
        <v>5728.3</v>
      </c>
      <c r="AN36" s="431" t="n">
        <v>5694.6</v>
      </c>
      <c r="AO36" s="431" t="n">
        <v>5535.3</v>
      </c>
      <c r="AP36" s="431" t="n">
        <v>5497.5</v>
      </c>
      <c r="AQ36" s="431" t="n">
        <v>5986.8</v>
      </c>
      <c r="AR36" s="431" t="n">
        <v>6063.5</v>
      </c>
      <c r="AS36" s="431" t="n">
        <v>6514.9</v>
      </c>
      <c r="AT36" s="431" t="n">
        <v>6121.9</v>
      </c>
      <c r="AU36" s="431" t="n">
        <v>6477.8</v>
      </c>
      <c r="AV36" s="431" t="n">
        <v>6251.6</v>
      </c>
      <c r="AW36" s="431" t="n">
        <v>7215.6</v>
      </c>
      <c r="AX36" s="431" t="n">
        <v>6927.1</v>
      </c>
      <c r="AZ36" s="431" t="n">
        <v>5000</v>
      </c>
      <c r="BA36" s="431" t="n">
        <v>4700</v>
      </c>
      <c r="BB36" s="431" t="n">
        <v>4800</v>
      </c>
      <c r="BC36" s="431" t="n">
        <v>4350</v>
      </c>
      <c r="BD36" s="431" t="n">
        <v>2800</v>
      </c>
      <c r="BE36" s="431" t="n">
        <v>2400</v>
      </c>
      <c r="BF36" s="431" t="n">
        <v>4000</v>
      </c>
      <c r="BG36" s="431" t="n">
        <v>4000</v>
      </c>
      <c r="BH36" s="431" t="n">
        <v>4600</v>
      </c>
      <c r="BI36" s="431" t="n">
        <v>3900</v>
      </c>
      <c r="BJ36" s="431" t="n">
        <v>4500</v>
      </c>
      <c r="BK36" s="431" t="n">
        <v>4400</v>
      </c>
      <c r="BL36" s="431" t="n">
        <v>4400</v>
      </c>
      <c r="BM36" s="431" t="n">
        <v>4400</v>
      </c>
      <c r="BN36" s="431" t="n">
        <v>4500</v>
      </c>
      <c r="BO36" s="431" t="n">
        <v>5300</v>
      </c>
      <c r="BP36" s="431" t="n">
        <v>5300</v>
      </c>
      <c r="BQ36" s="431" t="n">
        <v>5920</v>
      </c>
      <c r="BR36" s="431" t="n">
        <v>5400</v>
      </c>
      <c r="BS36" s="431" t="n">
        <v>5800</v>
      </c>
      <c r="BT36" s="431" t="n">
        <v>5800</v>
      </c>
      <c r="BU36" s="431" t="n">
        <v>5600</v>
      </c>
      <c r="BV36" s="431" t="n">
        <v>5550</v>
      </c>
      <c r="BW36" s="431" t="n">
        <v>6000</v>
      </c>
      <c r="BX36" s="431" t="n">
        <v>6200</v>
      </c>
      <c r="BY36" s="431" t="n">
        <v>6450</v>
      </c>
      <c r="BZ36" s="431" t="n">
        <v>6350</v>
      </c>
      <c r="CA36" s="431" t="n">
        <v>6600</v>
      </c>
      <c r="CB36" s="431" t="n">
        <v>6400</v>
      </c>
      <c r="CC36" s="431" t="n">
        <v>6800</v>
      </c>
      <c r="CE36" s="428" t="n">
        <f aca="false">+E36+D36+B36+C36</f>
        <v>13850.628</v>
      </c>
      <c r="CF36" s="427"/>
      <c r="CG36" s="432" t="n">
        <f aca="false">'Main Model'!AI32</f>
        <v>26066.9</v>
      </c>
      <c r="CI36" s="427"/>
      <c r="CJ36" s="428" t="n">
        <f aca="false">CG36-AV36-AU36-AT36</f>
        <v>7215.6</v>
      </c>
      <c r="CK36" s="427"/>
      <c r="CL36" s="427"/>
      <c r="CM36" s="427"/>
      <c r="CN36" s="427"/>
    </row>
    <row r="37" customFormat="false" ht="15" hidden="false" customHeight="true" outlineLevel="0" collapsed="false">
      <c r="A37" s="414" t="s">
        <v>886</v>
      </c>
      <c r="B37" s="431" t="n">
        <v>5046.968</v>
      </c>
      <c r="C37" s="431" t="n">
        <v>5055.557</v>
      </c>
      <c r="D37" s="431" t="n">
        <v>4416.103</v>
      </c>
      <c r="E37" s="431" t="n">
        <v>6508.869</v>
      </c>
      <c r="F37" s="431" t="n">
        <v>4939.273</v>
      </c>
      <c r="G37" s="431" t="n">
        <v>5830.432</v>
      </c>
      <c r="H37" s="431" t="n">
        <v>5351.395</v>
      </c>
      <c r="I37" s="431" t="n">
        <v>7158.1</v>
      </c>
      <c r="J37" s="431" t="n">
        <v>5885.039</v>
      </c>
      <c r="K37" s="431" t="n">
        <v>6945.844</v>
      </c>
      <c r="L37" s="431" t="n">
        <v>7511.752</v>
      </c>
      <c r="M37" s="431" t="n">
        <v>8640.3</v>
      </c>
      <c r="N37" s="431" t="n">
        <v>9788.344</v>
      </c>
      <c r="O37" s="431" t="n">
        <v>9478.1</v>
      </c>
      <c r="P37" s="431" t="n">
        <v>7584.45</v>
      </c>
      <c r="Q37" s="431" t="n">
        <v>7739.3</v>
      </c>
      <c r="R37" s="431" t="n">
        <v>7558.964</v>
      </c>
      <c r="S37" s="431" t="n">
        <v>7693.2</v>
      </c>
      <c r="T37" s="431" t="n">
        <v>7398.2</v>
      </c>
      <c r="U37" s="431" t="n">
        <v>8578</v>
      </c>
      <c r="V37" s="431" t="n">
        <v>6728</v>
      </c>
      <c r="W37" s="431" t="n">
        <v>5555</v>
      </c>
      <c r="X37" s="431" t="n">
        <v>5644.8</v>
      </c>
      <c r="Y37" s="431" t="n">
        <v>5168.3</v>
      </c>
      <c r="Z37" s="431" t="n">
        <v>2124.7</v>
      </c>
      <c r="AA37" s="431" t="n">
        <v>3624.7</v>
      </c>
      <c r="AB37" s="431" t="n">
        <v>5228.3</v>
      </c>
      <c r="AC37" s="431" t="n">
        <v>6813.4</v>
      </c>
      <c r="AD37" s="431" t="n">
        <v>4795.3</v>
      </c>
      <c r="AE37" s="431" t="n">
        <v>5043.2</v>
      </c>
      <c r="AF37" s="431" t="n">
        <v>5657.5</v>
      </c>
      <c r="AG37" s="431" t="n">
        <v>6885</v>
      </c>
      <c r="AH37" s="431" t="n">
        <v>7291.1</v>
      </c>
      <c r="AI37" s="431" t="n">
        <v>7549.8</v>
      </c>
      <c r="AJ37" s="431" t="n">
        <v>7970.1</v>
      </c>
      <c r="AK37" s="431" t="n">
        <v>9693.3</v>
      </c>
      <c r="AL37" s="431" t="n">
        <v>7938.3</v>
      </c>
      <c r="AM37" s="431" t="n">
        <v>8988.7</v>
      </c>
      <c r="AN37" s="431" t="n">
        <v>8918.8</v>
      </c>
      <c r="AO37" s="431" t="n">
        <v>10304.8</v>
      </c>
      <c r="AP37" s="431" t="n">
        <v>9332.7</v>
      </c>
      <c r="AQ37" s="431" t="n">
        <v>9118.1</v>
      </c>
      <c r="AR37" s="431" t="n">
        <v>8866.1</v>
      </c>
      <c r="AS37" s="431" t="n">
        <v>10614.4</v>
      </c>
      <c r="AT37" s="431" t="n">
        <v>9799.4</v>
      </c>
      <c r="AU37" s="431" t="n">
        <v>9545.5</v>
      </c>
      <c r="AV37" s="431" t="n">
        <v>10483.7</v>
      </c>
      <c r="AW37" s="431" t="n">
        <v>12680.9</v>
      </c>
      <c r="AX37" s="431" t="n">
        <v>10797.2</v>
      </c>
      <c r="AZ37" s="431" t="n">
        <v>9750</v>
      </c>
      <c r="BA37" s="431" t="n">
        <v>7300</v>
      </c>
      <c r="BB37" s="431" t="n">
        <v>5800</v>
      </c>
      <c r="BC37" s="431" t="n">
        <v>5800</v>
      </c>
      <c r="BD37" s="431" t="n">
        <v>5200</v>
      </c>
      <c r="BE37" s="431" t="n">
        <v>2500</v>
      </c>
      <c r="BF37" s="431" t="n">
        <v>5000</v>
      </c>
      <c r="BG37" s="431" t="n">
        <v>6200</v>
      </c>
      <c r="BH37" s="431" t="n">
        <v>6300</v>
      </c>
      <c r="BI37" s="431" t="n">
        <v>3500</v>
      </c>
      <c r="BJ37" s="431" t="n">
        <v>5500</v>
      </c>
      <c r="BK37" s="431" t="n">
        <v>5600</v>
      </c>
      <c r="BL37" s="431" t="n">
        <v>6500</v>
      </c>
      <c r="BM37" s="431" t="n">
        <v>6000</v>
      </c>
      <c r="BN37" s="429" t="n">
        <f aca="false">+AH37*1.08</f>
        <v>7874.388</v>
      </c>
      <c r="BO37" s="429" t="n">
        <f aca="false">+AI37*1.04</f>
        <v>7851.792</v>
      </c>
      <c r="BP37" s="429" t="n">
        <f aca="false">+AJ37*1.25</f>
        <v>9962.625</v>
      </c>
      <c r="BQ37" s="431" t="n">
        <v>7900</v>
      </c>
      <c r="BR37" s="431" t="n">
        <v>9300</v>
      </c>
      <c r="BS37" s="431" t="n">
        <v>8800</v>
      </c>
      <c r="BT37" s="429" t="n">
        <f aca="false">+AN37*1.17</f>
        <v>10434.996</v>
      </c>
      <c r="BU37" s="431" t="n">
        <v>9200</v>
      </c>
      <c r="BV37" s="431" t="n">
        <v>9450</v>
      </c>
      <c r="BW37" s="429" t="n">
        <f aca="false">+AQ37*1.01</f>
        <v>9209.281</v>
      </c>
      <c r="BX37" s="431" t="n">
        <v>11400</v>
      </c>
      <c r="BY37" s="431" t="n">
        <v>8900</v>
      </c>
      <c r="BZ37" s="431" t="n">
        <v>10500</v>
      </c>
      <c r="CA37" s="431" t="n">
        <v>10800</v>
      </c>
      <c r="CB37" s="431" t="n">
        <v>12400</v>
      </c>
      <c r="CC37" s="431" t="n">
        <v>10000</v>
      </c>
      <c r="CE37" s="428" t="n">
        <f aca="false">+E37+D37+B37+C37</f>
        <v>21027.497</v>
      </c>
      <c r="CF37" s="427"/>
      <c r="CG37" s="432" t="n">
        <f aca="false">'Main Model'!AI38+'Main Model'!AI35+'Main Model'!AI41</f>
        <v>44309.5</v>
      </c>
      <c r="CI37" s="427"/>
      <c r="CJ37" s="428" t="n">
        <f aca="false">CG37-AV37-AU37-AT37</f>
        <v>14480.9</v>
      </c>
      <c r="CK37" s="427"/>
      <c r="CL37" s="427"/>
      <c r="CM37" s="427"/>
      <c r="CN37" s="427"/>
    </row>
    <row r="38" customFormat="false" ht="15" hidden="false" customHeight="true" outlineLevel="0" collapsed="false">
      <c r="A38" s="414" t="s">
        <v>887</v>
      </c>
      <c r="B38" s="418"/>
      <c r="C38" s="418"/>
      <c r="D38" s="418"/>
      <c r="E38" s="418"/>
      <c r="F38" s="418"/>
      <c r="G38" s="418"/>
      <c r="H38" s="418"/>
      <c r="I38" s="418"/>
      <c r="J38" s="418"/>
      <c r="K38" s="418"/>
      <c r="L38" s="418"/>
      <c r="M38" s="418"/>
      <c r="N38" s="418"/>
      <c r="O38" s="418"/>
      <c r="P38" s="418"/>
      <c r="Q38" s="418"/>
      <c r="R38" s="418"/>
      <c r="S38" s="418"/>
      <c r="T38" s="418"/>
      <c r="U38" s="418"/>
      <c r="V38" s="418"/>
      <c r="W38" s="418"/>
      <c r="X38" s="418"/>
      <c r="Y38" s="418"/>
      <c r="Z38" s="418"/>
      <c r="AA38" s="418"/>
      <c r="AB38" s="418"/>
      <c r="AC38" s="418"/>
      <c r="AD38" s="418"/>
      <c r="AE38" s="418"/>
      <c r="AF38" s="418"/>
      <c r="AG38" s="418"/>
      <c r="AH38" s="418"/>
      <c r="AI38" s="418"/>
      <c r="AJ38" s="418"/>
      <c r="AK38" s="418"/>
      <c r="AL38" s="418"/>
      <c r="AM38" s="418"/>
      <c r="AN38" s="418"/>
      <c r="AO38" s="418"/>
      <c r="AP38" s="418"/>
      <c r="AQ38" s="418"/>
      <c r="AR38" s="418"/>
      <c r="AS38" s="418"/>
      <c r="AT38" s="418"/>
      <c r="AU38" s="418"/>
      <c r="AV38" s="418"/>
      <c r="AW38" s="418"/>
      <c r="AX38" s="418"/>
      <c r="AZ38" s="418"/>
      <c r="BA38" s="418"/>
      <c r="BB38" s="418"/>
      <c r="BC38" s="418"/>
      <c r="BD38" s="418"/>
      <c r="BE38" s="418"/>
      <c r="BF38" s="418"/>
      <c r="BG38" s="418"/>
      <c r="BH38" s="418"/>
      <c r="BI38" s="418"/>
      <c r="BJ38" s="418"/>
      <c r="BK38" s="418"/>
      <c r="BL38" s="418"/>
      <c r="BM38" s="418"/>
      <c r="BN38" s="418"/>
      <c r="BO38" s="418"/>
      <c r="BP38" s="418"/>
      <c r="BQ38" s="418"/>
      <c r="BR38" s="418"/>
      <c r="BS38" s="418"/>
      <c r="BT38" s="418"/>
      <c r="BU38" s="418"/>
      <c r="BV38" s="418"/>
      <c r="BW38" s="418"/>
      <c r="BX38" s="418"/>
      <c r="BY38" s="418"/>
      <c r="BZ38" s="418"/>
      <c r="CA38" s="418"/>
      <c r="CB38" s="418"/>
      <c r="CC38" s="418"/>
      <c r="CE38" s="420" t="n">
        <f aca="false">+E38+D38+B38+C38</f>
        <v>0</v>
      </c>
      <c r="CF38" s="418"/>
      <c r="CG38" s="418"/>
      <c r="CI38" s="418"/>
      <c r="CJ38" s="418"/>
      <c r="CK38" s="418"/>
      <c r="CL38" s="418"/>
      <c r="CM38" s="418"/>
      <c r="CN38" s="418"/>
    </row>
    <row r="39" customFormat="false" ht="15" hidden="false" customHeight="true" outlineLevel="0" collapsed="false">
      <c r="A39" s="421" t="s">
        <v>888</v>
      </c>
      <c r="B39" s="433" t="n">
        <f aca="false">SUM(B34:B38)</f>
        <v>34906.298</v>
      </c>
      <c r="C39" s="433" t="n">
        <f aca="false">SUM(C34:C38)</f>
        <v>43431.57</v>
      </c>
      <c r="D39" s="433" t="n">
        <f aca="false">SUM(D34:D38)</f>
        <v>36645.78</v>
      </c>
      <c r="E39" s="433" t="n">
        <f aca="false">SUM(E34:E38)</f>
        <v>51896.471</v>
      </c>
      <c r="F39" s="433" t="n">
        <f aca="false">SUM(F34:F38)</f>
        <v>37768.071</v>
      </c>
      <c r="G39" s="433" t="n">
        <f aca="false">SUM(G34:G38)</f>
        <v>40859.191</v>
      </c>
      <c r="H39" s="433" t="n">
        <f aca="false">SUM(H34:H38)</f>
        <v>40621.698</v>
      </c>
      <c r="I39" s="433" t="n">
        <f aca="false">SUM(I34:I38)</f>
        <v>58879.836</v>
      </c>
      <c r="J39" s="433" t="n">
        <f aca="false">SUM(J34:J38)</f>
        <v>39517.855</v>
      </c>
      <c r="K39" s="433" t="n">
        <f aca="false">SUM(K34:K38)</f>
        <v>54645.856</v>
      </c>
      <c r="L39" s="433" t="n">
        <f aca="false">SUM(L34:L38)</f>
        <v>63247.343</v>
      </c>
      <c r="M39" s="433" t="n">
        <f aca="false">SUM(M34:M38)</f>
        <v>63513.5</v>
      </c>
      <c r="N39" s="433" t="n">
        <f aca="false">SUM(N34:N38)</f>
        <v>77398.075</v>
      </c>
      <c r="O39" s="433" t="n">
        <f aca="false">SUM(O34:O38)</f>
        <v>76544.5</v>
      </c>
      <c r="P39" s="433" t="n">
        <f aca="false">SUM(P34:P38)</f>
        <v>56025.786</v>
      </c>
      <c r="Q39" s="433" t="n">
        <f aca="false">SUM(Q34:Q38)</f>
        <v>55910.8</v>
      </c>
      <c r="R39" s="433" t="n">
        <f aca="false">SUM(R34:R38)</f>
        <v>68020.487</v>
      </c>
      <c r="S39" s="433" t="n">
        <f aca="false">SUM(S34:S38)</f>
        <v>67920.3</v>
      </c>
      <c r="T39" s="433" t="n">
        <f aca="false">SUM(T34:T38)</f>
        <v>56756.1</v>
      </c>
      <c r="U39" s="433" t="n">
        <f aca="false">SUM(U34:U38)</f>
        <v>78604.9</v>
      </c>
      <c r="V39" s="433" t="n">
        <f aca="false">SUM(V34:V38)</f>
        <v>51468.9</v>
      </c>
      <c r="W39" s="433" t="n">
        <f aca="false">SUM(W34:W38)</f>
        <v>37009.2</v>
      </c>
      <c r="X39" s="433" t="n">
        <f aca="false">SUM(X34:X38)</f>
        <v>37905</v>
      </c>
      <c r="Y39" s="433" t="n">
        <f aca="false">SUM(Y34:Y38)</f>
        <v>36555.1</v>
      </c>
      <c r="Z39" s="433" t="n">
        <f aca="false">SUM(Z34:Z38)</f>
        <v>9841.1</v>
      </c>
      <c r="AA39" s="433" t="n">
        <f aca="false">SUM(AA34:AA38)</f>
        <v>27561.5</v>
      </c>
      <c r="AB39" s="433" t="n">
        <f aca="false">SUM(AB34:AB38)</f>
        <v>45597.2</v>
      </c>
      <c r="AC39" s="433" t="n">
        <f aca="false">SUM(AC34:AC38)</f>
        <v>64663.3</v>
      </c>
      <c r="AD39" s="433" t="n">
        <f aca="false">SUM(AD34:AD38)</f>
        <v>30910.9</v>
      </c>
      <c r="AE39" s="433" t="n">
        <f aca="false">SUM(AE34:AE38)</f>
        <v>43231.6</v>
      </c>
      <c r="AF39" s="433" t="n">
        <f aca="false">SUM(AF34:AF38)</f>
        <v>53112.7</v>
      </c>
      <c r="AG39" s="433" t="n">
        <f aca="false">SUM(AG34:AG38)</f>
        <v>79682.5</v>
      </c>
      <c r="AH39" s="433" t="n">
        <f aca="false">SUM(AH34:AH38)</f>
        <v>69025.7</v>
      </c>
      <c r="AI39" s="433" t="n">
        <f aca="false">SUM(AI34:AI38)</f>
        <v>77286.1</v>
      </c>
      <c r="AJ39" s="433" t="n">
        <f aca="false">SUM(AJ34:AJ38)</f>
        <v>82323.3</v>
      </c>
      <c r="AK39" s="433" t="n">
        <f aca="false">SUM(AK34:AK38)</f>
        <v>103499.3</v>
      </c>
      <c r="AL39" s="433" t="n">
        <f aca="false">SUM(AL34:AL38)</f>
        <v>73685.4</v>
      </c>
      <c r="AM39" s="433" t="n">
        <f aca="false">SUM(AM34:AM38)</f>
        <v>85582.5</v>
      </c>
      <c r="AN39" s="433" t="n">
        <f aca="false">SUM(AN34:AN38)</f>
        <v>81590.8</v>
      </c>
      <c r="AO39" s="433" t="n">
        <f aca="false">SUM(AO34:AO38)</f>
        <v>96745.8</v>
      </c>
      <c r="AP39" s="433" t="n">
        <f aca="false">SUM(AP34:AP38)</f>
        <v>76876.6</v>
      </c>
      <c r="AQ39" s="433" t="n">
        <f aca="false">SUM(AQ34:AQ38)</f>
        <v>77515.3</v>
      </c>
      <c r="AR39" s="433" t="n">
        <f aca="false">SUM(AR34:AR38)</f>
        <v>82672.4</v>
      </c>
      <c r="AS39" s="433" t="n">
        <f aca="false">SUM(AS34:AS38)</f>
        <v>101157.5</v>
      </c>
      <c r="AT39" s="433" t="n">
        <f aca="false">SUM(AT34:AT38)</f>
        <v>77549.6</v>
      </c>
      <c r="AU39" s="433" t="n">
        <f aca="false">SUM(AU34:AU38)</f>
        <v>84260.2</v>
      </c>
      <c r="AV39" s="433" t="n">
        <f aca="false">SUM(AV34:AV38)</f>
        <v>99988.3</v>
      </c>
      <c r="AW39" s="433" t="n">
        <f aca="false">SUM(AW34:AW38)</f>
        <v>120949.7</v>
      </c>
      <c r="AX39" s="433" t="n">
        <f aca="false">SUM(AX34:AX38)</f>
        <v>86648.2</v>
      </c>
      <c r="AY39" s="421"/>
      <c r="AZ39" s="433" t="n">
        <f aca="false">SUM(AZ34:AZ38)</f>
        <v>76070.8029697489</v>
      </c>
      <c r="BA39" s="433" t="n">
        <f aca="false">SUM(BA34:BA38)</f>
        <v>54382.70672818</v>
      </c>
      <c r="BB39" s="433" t="n">
        <f aca="false">SUM(BB34:BB38)</f>
        <v>38883.9363656706</v>
      </c>
      <c r="BC39" s="433" t="n">
        <f aca="false">SUM(BC34:BC38)</f>
        <v>38817.3442048517</v>
      </c>
      <c r="BD39" s="433" t="n">
        <f aca="false">SUM(BD34:BD38)</f>
        <v>32195.1394273558</v>
      </c>
      <c r="BE39" s="433" t="n">
        <f aca="false">SUM(BE34:BE38)</f>
        <v>9382.59352712589</v>
      </c>
      <c r="BF39" s="433" t="n">
        <f aca="false">SUM(BF34:BF38)</f>
        <v>30435.4051307813</v>
      </c>
      <c r="BG39" s="433" t="n">
        <f aca="false">SUM(BG34:BG38)</f>
        <v>46443.0952829048</v>
      </c>
      <c r="BH39" s="433" t="n">
        <f aca="false">SUM(BH34:BH38)</f>
        <v>60219.9884925681</v>
      </c>
      <c r="BI39" s="433" t="n">
        <f aca="false">SUM(BI34:BI38)</f>
        <v>28169.5803576038</v>
      </c>
      <c r="BJ39" s="433" t="n">
        <f aca="false">SUM(BJ34:BJ38)</f>
        <v>44292.0424426095</v>
      </c>
      <c r="BK39" s="433" t="n">
        <f aca="false">SUM(BK34:BK38)</f>
        <v>53856.1080537567</v>
      </c>
      <c r="BL39" s="433" t="n">
        <f aca="false">SUM(BL34:BL38)</f>
        <v>75699.4834210036</v>
      </c>
      <c r="BM39" s="433" t="n">
        <f aca="false">SUM(BM34:BM38)</f>
        <v>66622.1465555738</v>
      </c>
      <c r="BN39" s="433" t="n">
        <f aca="false">SUM(BN34:BN38)</f>
        <v>77965.8423117869</v>
      </c>
      <c r="BO39" s="433" t="n">
        <f aca="false">SUM(BO34:BO38)</f>
        <v>81293.6178737261</v>
      </c>
      <c r="BP39" s="433" t="n">
        <f aca="false">SUM(BP34:BP38)</f>
        <v>102430.885962009</v>
      </c>
      <c r="BQ39" s="433" t="n">
        <f aca="false">SUM(BQ34:BQ38)</f>
        <v>74345.4771937216</v>
      </c>
      <c r="BR39" s="433" t="n">
        <f aca="false">SUM(BR34:BR38)</f>
        <v>86327.4453631513</v>
      </c>
      <c r="BS39" s="433" t="n">
        <f aca="false">SUM(BS34:BS38)</f>
        <v>80305.182975646</v>
      </c>
      <c r="BT39" s="433" t="n">
        <f aca="false">SUM(BT34:BT38)</f>
        <v>97267.5943198003</v>
      </c>
      <c r="BU39" s="433" t="n">
        <f aca="false">SUM(BU34:BU38)</f>
        <v>77157.2644484705</v>
      </c>
      <c r="BV39" s="433" t="n">
        <f aca="false">SUM(BV34:BV38)</f>
        <v>78239.0850156889</v>
      </c>
      <c r="BW39" s="433" t="n">
        <f aca="false">SUM(BW34:BW38)</f>
        <v>79844.3123998503</v>
      </c>
      <c r="BX39" s="433" t="n">
        <f aca="false">SUM(BX34:BX38)</f>
        <v>105322.232378576</v>
      </c>
      <c r="BY39" s="433" t="n">
        <f aca="false">SUM(BY34:BY38)</f>
        <v>77545.2560665481</v>
      </c>
      <c r="BZ39" s="433" t="n">
        <f aca="false">SUM(BZ34:BZ38)</f>
        <v>85376.9231755224</v>
      </c>
      <c r="CA39" s="433" t="n">
        <f aca="false">SUM(CA34:CA38)</f>
        <v>99381.2644987021</v>
      </c>
      <c r="CB39" s="433" t="n">
        <f aca="false">SUM(CB34:CB38)</f>
        <v>121093.02183363</v>
      </c>
      <c r="CC39" s="433" t="n">
        <f aca="false">SUM(CC34:CC38)</f>
        <v>88843.1510415088</v>
      </c>
      <c r="CD39" s="421"/>
      <c r="CE39" s="433" t="n">
        <f aca="false">SUM(CE34:CE38)</f>
        <v>166880.119</v>
      </c>
      <c r="CF39" s="433"/>
      <c r="CG39" s="433"/>
      <c r="CH39" s="421"/>
      <c r="CI39" s="433"/>
      <c r="CJ39" s="433"/>
      <c r="CK39" s="433"/>
      <c r="CL39" s="433"/>
      <c r="CM39" s="433"/>
      <c r="CN39" s="433"/>
    </row>
    <row r="40" customFormat="false" ht="15" hidden="false" customHeight="true" outlineLevel="0" collapsed="false">
      <c r="A40" s="421" t="s">
        <v>162</v>
      </c>
      <c r="B40" s="422" t="n">
        <f aca="false">B33-B39</f>
        <v>3925.01</v>
      </c>
      <c r="C40" s="422" t="n">
        <f aca="false">C33-C39</f>
        <v>6240.226</v>
      </c>
      <c r="D40" s="422" t="n">
        <f aca="false">D33-D39</f>
        <v>4492.599</v>
      </c>
      <c r="E40" s="422" t="n">
        <f aca="false">E33-E39</f>
        <v>7835.086</v>
      </c>
      <c r="F40" s="422" t="n">
        <f aca="false">F33-F39</f>
        <v>4820.326</v>
      </c>
      <c r="G40" s="422" t="n">
        <f aca="false">G33-G39</f>
        <v>5364.87</v>
      </c>
      <c r="H40" s="422" t="n">
        <f aca="false">H33-H39</f>
        <v>4541.16</v>
      </c>
      <c r="I40" s="422" t="n">
        <f aca="false">I33-I39</f>
        <v>7299.016</v>
      </c>
      <c r="J40" s="422" t="n">
        <f aca="false">J33-J39</f>
        <v>3060.726</v>
      </c>
      <c r="K40" s="422" t="n">
        <f aca="false">K33-K39</f>
        <v>6117.969</v>
      </c>
      <c r="L40" s="422" t="n">
        <f aca="false">L33-L39</f>
        <v>7884.27699999999</v>
      </c>
      <c r="M40" s="422" t="n">
        <f aca="false">M33-M39</f>
        <v>8393.10000000001</v>
      </c>
      <c r="N40" s="422" t="n">
        <f aca="false">N33-N39</f>
        <v>10326.835</v>
      </c>
      <c r="O40" s="422" t="n">
        <f aca="false">O33-O39</f>
        <v>11256.4</v>
      </c>
      <c r="P40" s="422" t="n">
        <f aca="false">P33-P39</f>
        <v>6475.46799999999</v>
      </c>
      <c r="Q40" s="422" t="n">
        <f aca="false">Q33-Q39</f>
        <v>6716.39999999999</v>
      </c>
      <c r="R40" s="422" t="n">
        <f aca="false">R33-R39</f>
        <v>8059.31400000001</v>
      </c>
      <c r="S40" s="422" t="n">
        <f aca="false">S33-S39</f>
        <v>8290.30000000002</v>
      </c>
      <c r="T40" s="422" t="n">
        <f aca="false">T33-T39</f>
        <v>6496.3</v>
      </c>
      <c r="U40" s="422" t="n">
        <f aca="false">U33-U39</f>
        <v>9854.40000000001</v>
      </c>
      <c r="V40" s="422" t="n">
        <f aca="false">V33-V39</f>
        <v>5369.7</v>
      </c>
      <c r="W40" s="422" t="n">
        <f aca="false">W33-W39</f>
        <v>2285.8</v>
      </c>
      <c r="X40" s="422" t="n">
        <f aca="false">X33-X39</f>
        <v>2251.5</v>
      </c>
      <c r="Y40" s="422" t="n">
        <f aca="false">Y33-Y39</f>
        <v>1829.5</v>
      </c>
      <c r="Z40" s="422" t="n">
        <f aca="false">Z33-Z39</f>
        <v>-3332.4</v>
      </c>
      <c r="AA40" s="422" t="n">
        <f aca="false">AA33-AA39</f>
        <v>804.299999999999</v>
      </c>
      <c r="AB40" s="422" t="n">
        <f aca="false">AB33-AB39</f>
        <v>2537.90000000001</v>
      </c>
      <c r="AC40" s="422" t="n">
        <f aca="false">AC33-AC39</f>
        <v>5341.59999999999</v>
      </c>
      <c r="AD40" s="422" t="n">
        <f aca="false">AD33-AD39</f>
        <v>-1401</v>
      </c>
      <c r="AE40" s="422" t="n">
        <f aca="false">AE33-AE39</f>
        <v>1346.89999999999</v>
      </c>
      <c r="AF40" s="422" t="n">
        <f aca="false">AF33-AF39</f>
        <v>2238.9</v>
      </c>
      <c r="AG40" s="422" t="n">
        <f aca="false">AG33-AG39</f>
        <v>7760.39999999999</v>
      </c>
      <c r="AH40" s="422" t="n">
        <f aca="false">AH33-AH39</f>
        <v>3202.8</v>
      </c>
      <c r="AI40" s="422" t="n">
        <f aca="false">AI33-AI39</f>
        <v>5373.39999999999</v>
      </c>
      <c r="AJ40" s="422" t="n">
        <f aca="false">AJ33-AJ39</f>
        <v>7973.39999999999</v>
      </c>
      <c r="AK40" s="422" t="n">
        <f aca="false">AK33-AK39</f>
        <v>12757.4</v>
      </c>
      <c r="AL40" s="422" t="n">
        <f aca="false">AL33-AL39</f>
        <v>8207.5</v>
      </c>
      <c r="AM40" s="422" t="n">
        <f aca="false">AM33-AM39</f>
        <v>10797.9</v>
      </c>
      <c r="AN40" s="422" t="n">
        <f aca="false">AN33-AN39</f>
        <v>11139.3</v>
      </c>
      <c r="AO40" s="422" t="n">
        <f aca="false">AO33-AO39</f>
        <v>15921.1</v>
      </c>
      <c r="AP40" s="422" t="n">
        <f aca="false">AP33-AP39</f>
        <v>9108.7</v>
      </c>
      <c r="AQ40" s="422" t="n">
        <f aca="false">AQ33-AQ39</f>
        <v>10173</v>
      </c>
      <c r="AR40" s="422" t="n">
        <f aca="false">AR33-AR39</f>
        <v>12114.3</v>
      </c>
      <c r="AS40" s="422" t="n">
        <f aca="false">AS33-AS39</f>
        <v>17909.6</v>
      </c>
      <c r="AT40" s="422" t="n">
        <f aca="false">AT33-AT39</f>
        <v>9695.5</v>
      </c>
      <c r="AU40" s="422" t="n">
        <f aca="false">AU33-AU39</f>
        <v>11621.6</v>
      </c>
      <c r="AV40" s="422" t="n">
        <f aca="false">AV33-AV39</f>
        <v>15350.2</v>
      </c>
      <c r="AW40" s="422" t="n">
        <f aca="false">AW33-AW39</f>
        <v>20655.2</v>
      </c>
      <c r="AX40" s="422" t="n">
        <f aca="false">AX33-AX39</f>
        <v>9695.3</v>
      </c>
      <c r="AY40" s="421"/>
      <c r="AZ40" s="422" t="n">
        <f aca="false">AZ33-AZ39</f>
        <v>9096.97893268013</v>
      </c>
      <c r="BA40" s="422" t="n">
        <f aca="false">BA33-BA39</f>
        <v>4482.16372762554</v>
      </c>
      <c r="BB40" s="422" t="n">
        <f aca="false">BB33-BB39</f>
        <v>1812.37495184104</v>
      </c>
      <c r="BC40" s="422" t="n">
        <f aca="false">BC33-BC39</f>
        <v>2490.06819407008</v>
      </c>
      <c r="BD40" s="422" t="n">
        <f aca="false">BD33-BD39</f>
        <v>634.086389951921</v>
      </c>
      <c r="BE40" s="422" t="n">
        <f aca="false">BE33-BE39</f>
        <v>-3069.08151708943</v>
      </c>
      <c r="BF40" s="422" t="n">
        <f aca="false">BF33-BF39</f>
        <v>1087.24947330886</v>
      </c>
      <c r="BG40" s="422" t="n">
        <f aca="false">BG33-BG39</f>
        <v>4246.54846940959</v>
      </c>
      <c r="BH40" s="422" t="n">
        <f aca="false">BH33-BH39</f>
        <v>4845.95938680934</v>
      </c>
      <c r="BI40" s="422" t="n">
        <f aca="false">BI33-BI39</f>
        <v>-1019.80211237006</v>
      </c>
      <c r="BJ40" s="422" t="n">
        <f aca="false">BJ33-BJ39</f>
        <v>1799.41245337098</v>
      </c>
      <c r="BK40" s="422" t="n">
        <f aca="false">BK33-BK39</f>
        <v>2952.32206768979</v>
      </c>
      <c r="BL40" s="422" t="n">
        <f aca="false">BL33-BL39</f>
        <v>5809.30075635942</v>
      </c>
      <c r="BM40" s="422" t="n">
        <f aca="false">BM33-BM39</f>
        <v>4545.1275654057</v>
      </c>
      <c r="BN40" s="422" t="n">
        <f aca="false">BN33-BN39</f>
        <v>4956.3502442016</v>
      </c>
      <c r="BO40" s="422" t="n">
        <f aca="false">BO33-BO39</f>
        <v>6631.31873753338</v>
      </c>
      <c r="BP40" s="422" t="n">
        <f aca="false">BP33-BP39</f>
        <v>12264.1942511608</v>
      </c>
      <c r="BQ40" s="422" t="n">
        <f aca="false">BQ33-BQ39</f>
        <v>6140.52971282309</v>
      </c>
      <c r="BR40" s="422" t="n">
        <f aca="false">BR33-BR39</f>
        <v>10466.3997221883</v>
      </c>
      <c r="BS40" s="422" t="n">
        <f aca="false">BS33-BS39</f>
        <v>9211.41508381719</v>
      </c>
      <c r="BT40" s="422" t="n">
        <f aca="false">BT33-BT39</f>
        <v>13735.9650223919</v>
      </c>
      <c r="BU40" s="422" t="n">
        <f aca="false">BU33-BU39</f>
        <v>8971.55385052187</v>
      </c>
      <c r="BV40" s="422" t="n">
        <f aca="false">BV33-BV39</f>
        <v>9349.67539385251</v>
      </c>
      <c r="BW40" s="422" t="n">
        <f aca="false">BW33-BW39</f>
        <v>10680.9416615647</v>
      </c>
      <c r="BX40" s="422" t="n">
        <f aca="false">BX33-BX39</f>
        <v>17366.2045145371</v>
      </c>
      <c r="BY40" s="422" t="n">
        <f aca="false">BY33-BY39</f>
        <v>9685.11709831601</v>
      </c>
      <c r="BZ40" s="422" t="n">
        <f aca="false">BZ33-BZ39</f>
        <v>11004.1220783769</v>
      </c>
      <c r="CA40" s="422" t="n">
        <f aca="false">CA33-CA39</f>
        <v>14798.7696220529</v>
      </c>
      <c r="CB40" s="422" t="n">
        <f aca="false">CB33-CB39</f>
        <v>19806.4572760532</v>
      </c>
      <c r="CC40" s="422" t="n">
        <f aca="false">CC33-CC39</f>
        <v>9576.45420645403</v>
      </c>
      <c r="CD40" s="421"/>
      <c r="CE40" s="422" t="n">
        <f aca="false">CE33-CE39</f>
        <v>22492.921</v>
      </c>
      <c r="CF40" s="422"/>
      <c r="CG40" s="424" t="n">
        <f aca="false">'Main Model'!AI47</f>
        <v>57322.5000000002</v>
      </c>
      <c r="CH40" s="421"/>
      <c r="CI40" s="422"/>
      <c r="CJ40" s="422" t="n">
        <f aca="false">CG40-AV40-AU40-AT40</f>
        <v>20655.2000000002</v>
      </c>
      <c r="CK40" s="422"/>
      <c r="CL40" s="422" t="n">
        <f aca="false">+CM40-CA40-AU40-AT40</f>
        <v>21206.6303779473</v>
      </c>
      <c r="CM40" s="424" t="n">
        <f aca="false">+'Main Model'!AI47</f>
        <v>57322.5000000002</v>
      </c>
      <c r="CN40" s="422" t="n">
        <f aca="false">+CL40/BX40-1</f>
        <v>0.221143650599956</v>
      </c>
    </row>
    <row r="41" customFormat="false" ht="15" hidden="false" customHeight="true" outlineLevel="0" collapsed="false">
      <c r="A41" s="414" t="s">
        <v>889</v>
      </c>
      <c r="B41" s="434" t="n">
        <v>-180.481</v>
      </c>
      <c r="C41" s="434" t="n">
        <v>-79.465</v>
      </c>
      <c r="D41" s="434" t="n">
        <v>-17.185</v>
      </c>
      <c r="E41" s="434" t="n">
        <v>327.611</v>
      </c>
      <c r="F41" s="434" t="n">
        <v>496.708</v>
      </c>
      <c r="G41" s="434" t="n">
        <v>65.683</v>
      </c>
      <c r="H41" s="434" t="n">
        <v>-637.1</v>
      </c>
      <c r="I41" s="434" t="n">
        <v>228.683</v>
      </c>
      <c r="J41" s="434" t="n">
        <v>-26.73</v>
      </c>
      <c r="K41" s="434" t="n">
        <v>-26.428</v>
      </c>
      <c r="L41" s="434" t="n">
        <v>-1.942</v>
      </c>
      <c r="M41" s="434" t="n">
        <v>-26.1</v>
      </c>
      <c r="N41" s="434" t="n">
        <v>59.013</v>
      </c>
      <c r="O41" s="434" t="n">
        <v>68.1</v>
      </c>
      <c r="P41" s="434" t="n">
        <v>-62.748</v>
      </c>
      <c r="Q41" s="434" t="n">
        <v>-36.9</v>
      </c>
      <c r="R41" s="435"/>
      <c r="S41" s="434" t="n">
        <v>19.7</v>
      </c>
      <c r="T41" s="434" t="n">
        <v>-9.4</v>
      </c>
      <c r="U41" s="434" t="n">
        <v>0.3</v>
      </c>
      <c r="V41" s="434" t="n">
        <v>0.1</v>
      </c>
      <c r="W41" s="435"/>
      <c r="X41" s="435"/>
      <c r="Y41" s="435"/>
      <c r="Z41" s="435"/>
      <c r="AA41" s="435"/>
      <c r="AB41" s="435"/>
      <c r="AC41" s="435"/>
      <c r="AD41" s="435"/>
      <c r="AE41" s="435"/>
      <c r="AF41" s="435"/>
      <c r="AG41" s="435"/>
      <c r="AH41" s="435"/>
      <c r="AI41" s="435"/>
      <c r="AJ41" s="435"/>
      <c r="AK41" s="435"/>
      <c r="AL41" s="435"/>
      <c r="AM41" s="435"/>
      <c r="AN41" s="435"/>
      <c r="AO41" s="435"/>
      <c r="AP41" s="435"/>
      <c r="AQ41" s="435"/>
      <c r="AR41" s="435"/>
      <c r="AS41" s="435"/>
      <c r="AT41" s="435"/>
      <c r="AU41" s="435"/>
      <c r="AV41" s="435"/>
      <c r="AW41" s="435"/>
      <c r="AX41" s="435"/>
      <c r="AZ41" s="435"/>
      <c r="BA41" s="435"/>
      <c r="BB41" s="435"/>
      <c r="BC41" s="435"/>
      <c r="BD41" s="435"/>
      <c r="BE41" s="435"/>
      <c r="BF41" s="435"/>
      <c r="BG41" s="435"/>
      <c r="BH41" s="435"/>
      <c r="BI41" s="435"/>
      <c r="BJ41" s="435"/>
      <c r="BK41" s="435"/>
      <c r="BL41" s="435"/>
      <c r="BM41" s="435"/>
      <c r="BN41" s="435"/>
      <c r="BO41" s="435"/>
      <c r="BP41" s="435"/>
      <c r="BQ41" s="435"/>
      <c r="BR41" s="435"/>
      <c r="BS41" s="435"/>
      <c r="BT41" s="435"/>
      <c r="BU41" s="435"/>
      <c r="BV41" s="435"/>
      <c r="BW41" s="435"/>
      <c r="BX41" s="435"/>
      <c r="BY41" s="435"/>
      <c r="BZ41" s="435"/>
      <c r="CA41" s="435"/>
      <c r="CB41" s="435"/>
      <c r="CC41" s="435"/>
      <c r="CE41" s="435"/>
      <c r="CF41" s="435"/>
      <c r="CG41" s="435"/>
      <c r="CI41" s="435"/>
      <c r="CJ41" s="435"/>
      <c r="CK41" s="435"/>
      <c r="CL41" s="435"/>
      <c r="CM41" s="435"/>
      <c r="CN41" s="435"/>
    </row>
    <row r="42" customFormat="false" ht="15" hidden="false" customHeight="true" outlineLevel="0" collapsed="false">
      <c r="A42" s="414" t="s">
        <v>252</v>
      </c>
      <c r="B42" s="431" t="n">
        <v>701.188</v>
      </c>
      <c r="C42" s="431" t="n">
        <v>630.543</v>
      </c>
      <c r="D42" s="431" t="n">
        <v>603.181</v>
      </c>
      <c r="E42" s="431" t="n">
        <v>541.475</v>
      </c>
      <c r="F42" s="431" t="n">
        <v>338.239</v>
      </c>
      <c r="G42" s="431" t="n">
        <v>339.242</v>
      </c>
      <c r="H42" s="431" t="n">
        <v>453.315</v>
      </c>
      <c r="I42" s="431" t="n">
        <v>422.991</v>
      </c>
      <c r="J42" s="431" t="n">
        <v>366.312</v>
      </c>
      <c r="K42" s="431" t="n">
        <v>410.243</v>
      </c>
      <c r="L42" s="431" t="n">
        <v>335.257</v>
      </c>
      <c r="M42" s="431" t="n">
        <v>367.8</v>
      </c>
      <c r="N42" s="431" t="n">
        <v>200.647</v>
      </c>
      <c r="O42" s="431" t="n">
        <v>243.8</v>
      </c>
      <c r="P42" s="431" t="n">
        <v>115.925</v>
      </c>
      <c r="Q42" s="431" t="n">
        <v>141.9</v>
      </c>
      <c r="R42" s="431" t="n">
        <v>173.715</v>
      </c>
      <c r="S42" s="431" t="n">
        <v>204.1</v>
      </c>
      <c r="T42" s="431" t="n">
        <v>191.7</v>
      </c>
      <c r="U42" s="431" t="n">
        <v>166.1</v>
      </c>
      <c r="V42" s="431" t="n">
        <v>125.5</v>
      </c>
      <c r="W42" s="431" t="n">
        <v>301.2</v>
      </c>
      <c r="X42" s="431" t="n">
        <v>336.8</v>
      </c>
      <c r="Y42" s="431" t="n">
        <v>331</v>
      </c>
      <c r="Z42" s="431" t="n">
        <v>768.4</v>
      </c>
      <c r="AA42" s="431" t="n">
        <v>872.4</v>
      </c>
      <c r="AB42" s="431" t="n">
        <v>656.4</v>
      </c>
      <c r="AC42" s="431" t="n">
        <v>770.7</v>
      </c>
      <c r="AD42" s="431" t="n">
        <v>707.4</v>
      </c>
      <c r="AE42" s="431" t="n">
        <v>870.8</v>
      </c>
      <c r="AF42" s="431" t="n">
        <v>668.3</v>
      </c>
      <c r="AG42" s="431" t="n">
        <v>764.6</v>
      </c>
      <c r="AH42" s="431" t="n">
        <v>688.8</v>
      </c>
      <c r="AI42" s="431" t="n">
        <v>770.5</v>
      </c>
      <c r="AJ42" s="431" t="n">
        <v>804</v>
      </c>
      <c r="AK42" s="431" t="n">
        <v>627.6</v>
      </c>
      <c r="AL42" s="431" t="n">
        <v>698.7</v>
      </c>
      <c r="AM42" s="431" t="n">
        <v>587.1</v>
      </c>
      <c r="AN42" s="431" t="n">
        <v>616.3</v>
      </c>
      <c r="AO42" s="431" t="n">
        <v>592.3</v>
      </c>
      <c r="AP42" s="431" t="n">
        <v>590.5</v>
      </c>
      <c r="AQ42" s="431" t="n">
        <v>606.8</v>
      </c>
      <c r="AR42" s="431" t="n">
        <v>500.6</v>
      </c>
      <c r="AS42" s="431" t="n">
        <v>471.2</v>
      </c>
      <c r="AT42" s="431" t="n">
        <v>418.6</v>
      </c>
      <c r="AU42" s="431" t="n">
        <v>419.8</v>
      </c>
      <c r="AV42" s="431" t="n">
        <v>438.3</v>
      </c>
      <c r="AW42" s="431" t="n">
        <v>420.6</v>
      </c>
      <c r="AX42" s="431" t="n">
        <v>415.3</v>
      </c>
      <c r="AZ42" s="431" t="n">
        <v>185</v>
      </c>
      <c r="BA42" s="431" t="n">
        <v>130</v>
      </c>
      <c r="BB42" s="431" t="n">
        <v>125</v>
      </c>
      <c r="BC42" s="431" t="n">
        <v>250</v>
      </c>
      <c r="BD42" s="431" t="n">
        <v>340</v>
      </c>
      <c r="BE42" s="431" t="n">
        <v>340</v>
      </c>
      <c r="BF42" s="431" t="n">
        <v>340</v>
      </c>
      <c r="BG42" s="431" t="n">
        <v>600</v>
      </c>
      <c r="BH42" s="431" t="n">
        <v>600</v>
      </c>
      <c r="BI42" s="431" t="n">
        <v>650</v>
      </c>
      <c r="BJ42" s="431" t="n">
        <v>750</v>
      </c>
      <c r="BK42" s="431" t="n">
        <v>820</v>
      </c>
      <c r="BL42" s="431" t="n">
        <v>700</v>
      </c>
      <c r="BM42" s="431" t="n">
        <v>750</v>
      </c>
      <c r="BN42" s="431" t="n">
        <v>680</v>
      </c>
      <c r="BO42" s="431" t="n">
        <v>780</v>
      </c>
      <c r="BP42" s="431" t="n">
        <v>800</v>
      </c>
      <c r="BQ42" s="431" t="n">
        <v>800</v>
      </c>
      <c r="BR42" s="431" t="n">
        <v>750</v>
      </c>
      <c r="BS42" s="431" t="n">
        <v>580</v>
      </c>
      <c r="BT42" s="431" t="n">
        <v>600</v>
      </c>
      <c r="BU42" s="431" t="n">
        <v>600</v>
      </c>
      <c r="BV42" s="431" t="n">
        <v>600</v>
      </c>
      <c r="BW42" s="431" t="n">
        <v>600</v>
      </c>
      <c r="BX42" s="431" t="n">
        <v>520</v>
      </c>
      <c r="BY42" s="431" t="n">
        <v>480</v>
      </c>
      <c r="BZ42" s="431" t="n">
        <v>410</v>
      </c>
      <c r="CA42" s="431" t="n">
        <v>420</v>
      </c>
      <c r="CB42" s="431" t="n">
        <v>450</v>
      </c>
      <c r="CC42" s="431" t="n">
        <v>400</v>
      </c>
      <c r="CE42" s="427"/>
      <c r="CF42" s="427"/>
      <c r="CG42" s="432" t="n">
        <f aca="false">'Main Model'!AI49</f>
        <v>1697.3</v>
      </c>
      <c r="CI42" s="427"/>
      <c r="CJ42" s="428" t="n">
        <f aca="false">CG42-AV42-AU42-AT42</f>
        <v>420.6</v>
      </c>
      <c r="CK42" s="427"/>
      <c r="CL42" s="427"/>
      <c r="CM42" s="427"/>
      <c r="CN42" s="427"/>
    </row>
    <row r="43" customFormat="false" ht="15" hidden="false" customHeight="true" outlineLevel="0" collapsed="false">
      <c r="A43" s="414" t="s">
        <v>253</v>
      </c>
      <c r="B43" s="431" t="n">
        <v>258.814</v>
      </c>
      <c r="C43" s="431" t="n">
        <v>454.412</v>
      </c>
      <c r="D43" s="431" t="n">
        <v>297.941</v>
      </c>
      <c r="E43" s="431" t="n">
        <v>218.425</v>
      </c>
      <c r="F43" s="431" t="n">
        <v>385.174</v>
      </c>
      <c r="G43" s="431" t="n">
        <v>316.144</v>
      </c>
      <c r="H43" s="431" t="n">
        <v>257.816</v>
      </c>
      <c r="I43" s="431" t="n">
        <v>403.567</v>
      </c>
      <c r="J43" s="431" t="n">
        <v>384.089</v>
      </c>
      <c r="K43" s="431" t="n">
        <v>556.604</v>
      </c>
      <c r="L43" s="431" t="n">
        <v>379.657</v>
      </c>
      <c r="M43" s="431" t="n">
        <v>417.3</v>
      </c>
      <c r="N43" s="431" t="n">
        <v>577.297</v>
      </c>
      <c r="O43" s="431" t="n">
        <v>594.1</v>
      </c>
      <c r="P43" s="431" t="n">
        <v>499.85</v>
      </c>
      <c r="Q43" s="431" t="n">
        <v>524.7</v>
      </c>
      <c r="R43" s="431" t="n">
        <v>281.452</v>
      </c>
      <c r="S43" s="431" t="n">
        <v>275.9</v>
      </c>
      <c r="T43" s="431" t="n">
        <v>208</v>
      </c>
      <c r="U43" s="431" t="n">
        <v>90.8</v>
      </c>
      <c r="V43" s="431" t="n">
        <v>210.7</v>
      </c>
      <c r="W43" s="431" t="n">
        <v>455</v>
      </c>
      <c r="X43" s="431" t="n">
        <v>223.3</v>
      </c>
      <c r="Y43" s="431" t="n">
        <v>344.4</v>
      </c>
      <c r="Z43" s="431" t="n">
        <v>256.2</v>
      </c>
      <c r="AA43" s="431" t="n">
        <v>218.7</v>
      </c>
      <c r="AB43" s="431" t="n">
        <v>340.6</v>
      </c>
      <c r="AC43" s="431" t="n">
        <v>379.5</v>
      </c>
      <c r="AD43" s="431" t="n">
        <v>134</v>
      </c>
      <c r="AE43" s="431" t="n">
        <v>209.3</v>
      </c>
      <c r="AF43" s="431" t="n">
        <v>176.4</v>
      </c>
      <c r="AG43" s="431" t="n">
        <v>241.6</v>
      </c>
      <c r="AH43" s="431" t="n">
        <v>256.4</v>
      </c>
      <c r="AI43" s="431" t="n">
        <v>199.9</v>
      </c>
      <c r="AJ43" s="431" t="n">
        <v>315.9</v>
      </c>
      <c r="AK43" s="431" t="n">
        <v>389.2</v>
      </c>
      <c r="AL43" s="431" t="n">
        <v>511.8</v>
      </c>
      <c r="AM43" s="431" t="n">
        <v>474.6</v>
      </c>
      <c r="AN43" s="431" t="n">
        <v>300.3</v>
      </c>
      <c r="AO43" s="431" t="n">
        <v>1179</v>
      </c>
      <c r="AP43" s="431" t="n">
        <v>223.4</v>
      </c>
      <c r="AQ43" s="431" t="n">
        <v>972.7</v>
      </c>
      <c r="AR43" s="431" t="n">
        <v>247.1</v>
      </c>
      <c r="AS43" s="431" t="n">
        <v>1059.3</v>
      </c>
      <c r="AT43" s="431" t="n">
        <v>528.5</v>
      </c>
      <c r="AU43" s="431" t="n">
        <v>1347.8</v>
      </c>
      <c r="AV43" s="431" t="n">
        <v>592.5</v>
      </c>
      <c r="AW43" s="431" t="n">
        <v>682.9</v>
      </c>
      <c r="AX43" s="431" t="n">
        <v>851</v>
      </c>
      <c r="AZ43" s="431" t="n">
        <v>200</v>
      </c>
      <c r="BA43" s="431" t="n">
        <v>600</v>
      </c>
      <c r="BB43" s="431" t="n">
        <v>200</v>
      </c>
      <c r="BC43" s="431" t="n">
        <v>400</v>
      </c>
      <c r="BD43" s="431" t="n">
        <v>250</v>
      </c>
      <c r="BE43" s="431" t="n">
        <v>250</v>
      </c>
      <c r="BF43" s="431" t="n">
        <v>250</v>
      </c>
      <c r="BG43" s="431" t="n">
        <v>200</v>
      </c>
      <c r="BH43" s="431" t="n">
        <v>250</v>
      </c>
      <c r="BI43" s="431" t="n">
        <v>350</v>
      </c>
      <c r="BJ43" s="431" t="n">
        <v>200</v>
      </c>
      <c r="BK43" s="431" t="n">
        <v>200</v>
      </c>
      <c r="BL43" s="431" t="n">
        <v>180</v>
      </c>
      <c r="BM43" s="431" t="n">
        <v>200</v>
      </c>
      <c r="BN43" s="431" t="n">
        <v>240</v>
      </c>
      <c r="BO43" s="431" t="n">
        <v>220</v>
      </c>
      <c r="BP43" s="431" t="n">
        <v>300</v>
      </c>
      <c r="BQ43" s="431" t="n">
        <v>300</v>
      </c>
      <c r="BR43" s="431" t="n">
        <v>450</v>
      </c>
      <c r="BS43" s="431" t="n">
        <v>450</v>
      </c>
      <c r="BT43" s="431" t="n">
        <v>300</v>
      </c>
      <c r="BU43" s="431" t="n">
        <v>1000</v>
      </c>
      <c r="BV43" s="431" t="n">
        <v>250</v>
      </c>
      <c r="BW43" s="431" t="n">
        <v>350</v>
      </c>
      <c r="BX43" s="431" t="n">
        <v>250</v>
      </c>
      <c r="BY43" s="431" t="n">
        <v>1050</v>
      </c>
      <c r="BZ43" s="431" t="n">
        <v>500</v>
      </c>
      <c r="CA43" s="431" t="n">
        <v>700</v>
      </c>
      <c r="CB43" s="431" t="n">
        <v>800</v>
      </c>
      <c r="CC43" s="431" t="n">
        <v>670</v>
      </c>
      <c r="CE43" s="427"/>
      <c r="CF43" s="427"/>
      <c r="CG43" s="432" t="n">
        <f aca="false">'Main Model'!AI50</f>
        <v>3151.7</v>
      </c>
      <c r="CI43" s="427"/>
      <c r="CJ43" s="428" t="n">
        <f aca="false">CG43-AV43-AU43-AT43</f>
        <v>682.9</v>
      </c>
      <c r="CK43" s="427"/>
      <c r="CL43" s="427"/>
      <c r="CM43" s="427"/>
      <c r="CN43" s="427"/>
    </row>
    <row r="44" customFormat="false" ht="15" hidden="false" customHeight="true" outlineLevel="0" collapsed="false">
      <c r="A44" s="421" t="s">
        <v>254</v>
      </c>
      <c r="B44" s="433" t="n">
        <f aca="false">B40-B42+B43+B41</f>
        <v>3302.155</v>
      </c>
      <c r="C44" s="433" t="n">
        <f aca="false">C40-C42+C43+C41</f>
        <v>5984.63</v>
      </c>
      <c r="D44" s="433" t="n">
        <f aca="false">D40-D42+D43+D41</f>
        <v>4170.174</v>
      </c>
      <c r="E44" s="433" t="n">
        <f aca="false">E40-E42+E43+E41</f>
        <v>7839.647</v>
      </c>
      <c r="F44" s="433" t="n">
        <f aca="false">F40-F42+F43+F41</f>
        <v>5363.969</v>
      </c>
      <c r="G44" s="433" t="n">
        <f aca="false">G40-G42+G43+G41</f>
        <v>5407.455</v>
      </c>
      <c r="H44" s="433" t="n">
        <f aca="false">H40-H42+H43+H41</f>
        <v>3708.561</v>
      </c>
      <c r="I44" s="433" t="n">
        <f aca="false">I40-I42+I43+I41</f>
        <v>7508.275</v>
      </c>
      <c r="J44" s="433" t="n">
        <f aca="false">J40-J42+J43+J41</f>
        <v>3051.773</v>
      </c>
      <c r="K44" s="433" t="n">
        <f aca="false">K40-K42+K43+K41</f>
        <v>6237.902</v>
      </c>
      <c r="L44" s="433" t="n">
        <f aca="false">L40-L42+L43+L41</f>
        <v>7926.73499999999</v>
      </c>
      <c r="M44" s="433" t="n">
        <f aca="false">M40-M42+M43+M41</f>
        <v>8416.50000000001</v>
      </c>
      <c r="N44" s="433" t="n">
        <f aca="false">N40-N42+N43+N41</f>
        <v>10762.498</v>
      </c>
      <c r="O44" s="433" t="n">
        <f aca="false">O40-O42+O43+O41</f>
        <v>11674.8</v>
      </c>
      <c r="P44" s="433" t="n">
        <f aca="false">P40-P42+P43+P41</f>
        <v>6796.64499999999</v>
      </c>
      <c r="Q44" s="433" t="n">
        <f aca="false">Q40-Q42+Q43+Q41</f>
        <v>7062.3</v>
      </c>
      <c r="R44" s="433" t="n">
        <f aca="false">R40-R42+R43+R41</f>
        <v>8167.05100000001</v>
      </c>
      <c r="S44" s="433" t="n">
        <f aca="false">S40-S42+S43+S41</f>
        <v>8381.80000000002</v>
      </c>
      <c r="T44" s="433" t="n">
        <f aca="false">T40-T42+T43+T41</f>
        <v>6503.2</v>
      </c>
      <c r="U44" s="433" t="n">
        <f aca="false">U40-U42+U43+U41</f>
        <v>9779.40000000001</v>
      </c>
      <c r="V44" s="433" t="n">
        <f aca="false">V40-V42+V43+V41</f>
        <v>5455.00000000001</v>
      </c>
      <c r="W44" s="433" t="n">
        <f aca="false">W40-W42+W43+W41</f>
        <v>2439.6</v>
      </c>
      <c r="X44" s="433" t="n">
        <f aca="false">X40-X42+X43+X41</f>
        <v>2138</v>
      </c>
      <c r="Y44" s="433" t="n">
        <f aca="false">Y40-Y42+Y43+Y41</f>
        <v>1842.9</v>
      </c>
      <c r="Z44" s="433" t="n">
        <f aca="false">Z40-Z42+Z43+Z41</f>
        <v>-3844.6</v>
      </c>
      <c r="AA44" s="433" t="n">
        <f aca="false">AA40-AA42+AA43+AA41</f>
        <v>150.599999999999</v>
      </c>
      <c r="AB44" s="433" t="n">
        <f aca="false">AB40-AB42+AB43+AB41</f>
        <v>2222.10000000001</v>
      </c>
      <c r="AC44" s="433" t="n">
        <f aca="false">AC40-AC42+AC43+AC41</f>
        <v>4950.39999999999</v>
      </c>
      <c r="AD44" s="433" t="n">
        <f aca="false">AD40-AD42+AD43+AD41</f>
        <v>-1974.4</v>
      </c>
      <c r="AE44" s="433" t="n">
        <f aca="false">AE40-AE42+AE43+AE41</f>
        <v>685.399999999994</v>
      </c>
      <c r="AF44" s="433" t="n">
        <f aca="false">AF40-AF42+AF43+AF41</f>
        <v>1747</v>
      </c>
      <c r="AG44" s="433" t="n">
        <f aca="false">AG40-AG42+AG43+AG41</f>
        <v>7237.39999999999</v>
      </c>
      <c r="AH44" s="433" t="n">
        <f aca="false">AH40-AH42+AH43+AH41</f>
        <v>2770.4</v>
      </c>
      <c r="AI44" s="433" t="n">
        <f aca="false">AI40-AI42+AI43+AI41</f>
        <v>4802.79999999999</v>
      </c>
      <c r="AJ44" s="433" t="n">
        <f aca="false">AJ40-AJ42+AJ43+AJ41</f>
        <v>7485.29999999999</v>
      </c>
      <c r="AK44" s="433" t="n">
        <f aca="false">AK40-AK42+AK43+AK41</f>
        <v>12519</v>
      </c>
      <c r="AL44" s="433" t="n">
        <f aca="false">AL40-AL42+AL43+AL41</f>
        <v>8020.6</v>
      </c>
      <c r="AM44" s="433" t="n">
        <f aca="false">AM40-AM42+AM43+AM41</f>
        <v>10685.4</v>
      </c>
      <c r="AN44" s="433" t="n">
        <f aca="false">AN40-AN42+AN43+AN41</f>
        <v>10823.3</v>
      </c>
      <c r="AO44" s="433" t="n">
        <f aca="false">AO40-AO42+AO43+AO41</f>
        <v>16507.8</v>
      </c>
      <c r="AP44" s="433" t="n">
        <f aca="false">AP40-AP42+AP43+AP41</f>
        <v>8741.6</v>
      </c>
      <c r="AQ44" s="433" t="n">
        <f aca="false">AQ40-AQ42+AQ43+AQ41</f>
        <v>10538.9</v>
      </c>
      <c r="AR44" s="433" t="n">
        <f aca="false">AR40-AR42+AR43+AR41</f>
        <v>11860.8</v>
      </c>
      <c r="AS44" s="433" t="n">
        <f aca="false">AS40-AS42+AS43+AS41</f>
        <v>18497.7</v>
      </c>
      <c r="AT44" s="433" t="n">
        <f aca="false">AT40-AT42+AT43+AT41</f>
        <v>9805.4</v>
      </c>
      <c r="AU44" s="433" t="n">
        <f aca="false">AU40-AU42+AU43+AU41</f>
        <v>12549.6</v>
      </c>
      <c r="AV44" s="433" t="n">
        <f aca="false">AV40-AV42+AV43+AV41</f>
        <v>15504.4</v>
      </c>
      <c r="AW44" s="433" t="n">
        <f aca="false">AW40-AW42+AW43+AW41</f>
        <v>20917.5</v>
      </c>
      <c r="AX44" s="433" t="n">
        <f aca="false">AX40-AX42+AX43+AX41</f>
        <v>10131</v>
      </c>
      <c r="AY44" s="421"/>
      <c r="AZ44" s="433" t="n">
        <f aca="false">AZ40-AZ42+AZ43+AZ41</f>
        <v>9111.97893268013</v>
      </c>
      <c r="BA44" s="433" t="n">
        <f aca="false">BA40-BA42+BA43+BA41</f>
        <v>4952.16372762554</v>
      </c>
      <c r="BB44" s="433" t="n">
        <f aca="false">BB40-BB42+BB43+BB41</f>
        <v>1887.37495184104</v>
      </c>
      <c r="BC44" s="433" t="n">
        <f aca="false">BC40-BC42+BC43+BC41</f>
        <v>2640.06819407008</v>
      </c>
      <c r="BD44" s="433" t="n">
        <f aca="false">BD40-BD42+BD43+BD41</f>
        <v>544.086389951921</v>
      </c>
      <c r="BE44" s="433" t="n">
        <f aca="false">BE40-BE42+BE43+BE41</f>
        <v>-3159.08151708943</v>
      </c>
      <c r="BF44" s="433" t="n">
        <f aca="false">BF40-BF42+BF43+BF41</f>
        <v>997.249473308861</v>
      </c>
      <c r="BG44" s="433" t="n">
        <f aca="false">BG40-BG42+BG43+BG41</f>
        <v>3846.54846940959</v>
      </c>
      <c r="BH44" s="433" t="n">
        <f aca="false">BH40-BH42+BH43+BH41</f>
        <v>4495.95938680934</v>
      </c>
      <c r="BI44" s="433" t="n">
        <f aca="false">BI40-BI42+BI43+BI41</f>
        <v>-1319.80211237006</v>
      </c>
      <c r="BJ44" s="433" t="n">
        <f aca="false">BJ40-BJ42+BJ43+BJ41</f>
        <v>1249.41245337098</v>
      </c>
      <c r="BK44" s="433" t="n">
        <f aca="false">BK40-BK42+BK43+BK41</f>
        <v>2332.32206768979</v>
      </c>
      <c r="BL44" s="433" t="n">
        <f aca="false">BL40-BL42+BL43+BL41</f>
        <v>5289.30075635942</v>
      </c>
      <c r="BM44" s="433" t="n">
        <f aca="false">BM40-BM42+BM43+BM41</f>
        <v>3995.1275654057</v>
      </c>
      <c r="BN44" s="433" t="n">
        <f aca="false">BN40-BN42+BN43+BN41</f>
        <v>4516.3502442016</v>
      </c>
      <c r="BO44" s="433" t="n">
        <f aca="false">BO40-BO42+BO43+BO41</f>
        <v>6071.31873753338</v>
      </c>
      <c r="BP44" s="433" t="n">
        <f aca="false">BP40-BP42+BP43+BP41</f>
        <v>11764.1942511608</v>
      </c>
      <c r="BQ44" s="433" t="n">
        <f aca="false">BQ40-BQ42+BQ43+BQ41</f>
        <v>5640.52971282309</v>
      </c>
      <c r="BR44" s="433" t="n">
        <f aca="false">BR40-BR42+BR43+BR41</f>
        <v>10166.3997221883</v>
      </c>
      <c r="BS44" s="433" t="n">
        <f aca="false">BS40-BS42+BS43+BS41</f>
        <v>9081.41508381719</v>
      </c>
      <c r="BT44" s="433" t="n">
        <f aca="false">BT40-BT42+BT43+BT41</f>
        <v>13435.9650223919</v>
      </c>
      <c r="BU44" s="433" t="n">
        <f aca="false">BU40-BU42+BU43+BU41</f>
        <v>9371.55385052187</v>
      </c>
      <c r="BV44" s="433" t="n">
        <f aca="false">BV40-BV42+BV43+BV41</f>
        <v>8999.67539385251</v>
      </c>
      <c r="BW44" s="433" t="n">
        <f aca="false">BW40-BW42+BW43+BW41</f>
        <v>10430.9416615647</v>
      </c>
      <c r="BX44" s="433" t="n">
        <f aca="false">BX40-BX42+BX43+BX41</f>
        <v>17096.2045145371</v>
      </c>
      <c r="BY44" s="433" t="n">
        <f aca="false">BY40-BY42+BY43+BY41</f>
        <v>10255.117098316</v>
      </c>
      <c r="BZ44" s="433" t="n">
        <f aca="false">BZ40-BZ42+BZ43+BZ41</f>
        <v>11094.1220783769</v>
      </c>
      <c r="CA44" s="433" t="n">
        <f aca="false">CA40-CA42+CA43+CA41</f>
        <v>15078.7696220529</v>
      </c>
      <c r="CB44" s="433" t="n">
        <f aca="false">CB40-CB42+CB43+CB41</f>
        <v>20156.4572760532</v>
      </c>
      <c r="CC44" s="433" t="n">
        <f aca="false">CC40-CC42+CC43+CC41</f>
        <v>9846.45420645403</v>
      </c>
      <c r="CD44" s="421"/>
      <c r="CE44" s="433" t="n">
        <f aca="false">CE40-CE42+CE43-CE41</f>
        <v>22492.921</v>
      </c>
      <c r="CF44" s="433"/>
      <c r="CG44" s="436" t="n">
        <f aca="false">'Main Model'!AI51</f>
        <v>58776.9000000002</v>
      </c>
      <c r="CH44" s="421"/>
      <c r="CI44" s="433"/>
      <c r="CJ44" s="433" t="n">
        <f aca="false">CG44-AV44-AU44-AT44</f>
        <v>20917.5000000002</v>
      </c>
      <c r="CK44" s="433"/>
      <c r="CL44" s="433"/>
      <c r="CM44" s="433"/>
      <c r="CN44" s="433"/>
    </row>
    <row r="45" customFormat="false" ht="15" hidden="false" customHeight="true" outlineLevel="0" collapsed="false">
      <c r="A45" s="414" t="s">
        <v>890</v>
      </c>
      <c r="B45" s="431" t="n">
        <v>1137.683</v>
      </c>
      <c r="C45" s="431" t="n">
        <v>1231.124</v>
      </c>
      <c r="D45" s="431" t="n">
        <v>1194.226</v>
      </c>
      <c r="E45" s="431" t="n">
        <v>1315.971</v>
      </c>
      <c r="F45" s="431" t="n">
        <v>1209.725</v>
      </c>
      <c r="G45" s="431" t="n">
        <v>1261.107</v>
      </c>
      <c r="H45" s="431" t="n">
        <v>1313.35</v>
      </c>
      <c r="I45" s="431" t="n">
        <v>1394.757</v>
      </c>
      <c r="J45" s="431" t="n">
        <v>1321.32</v>
      </c>
      <c r="K45" s="431" t="n">
        <v>1411.354</v>
      </c>
      <c r="L45" s="431" t="n">
        <v>1350.371</v>
      </c>
      <c r="M45" s="431" t="n">
        <v>1459.5</v>
      </c>
      <c r="N45" s="431" t="n">
        <v>1463.049</v>
      </c>
      <c r="O45" s="431" t="n">
        <v>1574.2</v>
      </c>
      <c r="P45" s="431" t="n">
        <v>1430.462</v>
      </c>
      <c r="Q45" s="431" t="n">
        <v>1524.8</v>
      </c>
      <c r="R45" s="431" t="n">
        <v>1401.846</v>
      </c>
      <c r="S45" s="431" t="n">
        <v>1481.1</v>
      </c>
      <c r="T45" s="431" t="n">
        <v>1606.6</v>
      </c>
      <c r="U45" s="431" t="n">
        <v>1597.6</v>
      </c>
      <c r="V45" s="431" t="n">
        <v>1646.4</v>
      </c>
      <c r="W45" s="431" t="n">
        <v>1600.4</v>
      </c>
      <c r="X45" s="431" t="n">
        <v>1574.6</v>
      </c>
      <c r="Y45" s="431" t="n">
        <v>1876.6</v>
      </c>
      <c r="Z45" s="431" t="n">
        <v>1636.7</v>
      </c>
      <c r="AA45" s="431" t="n">
        <v>1711.6</v>
      </c>
      <c r="AB45" s="431" t="n">
        <v>1944.3</v>
      </c>
      <c r="AC45" s="431" t="n">
        <v>2184.5</v>
      </c>
      <c r="AD45" s="431" t="n">
        <v>1834.9</v>
      </c>
      <c r="AE45" s="431" t="n">
        <v>1842.7</v>
      </c>
      <c r="AF45" s="431" t="n">
        <v>1896.5</v>
      </c>
      <c r="AG45" s="431" t="n">
        <v>1953.5</v>
      </c>
      <c r="AH45" s="431" t="n">
        <v>1824</v>
      </c>
      <c r="AI45" s="431" t="n">
        <v>1767.9</v>
      </c>
      <c r="AJ45" s="431" t="n">
        <v>1889.5</v>
      </c>
      <c r="AK45" s="431" t="n">
        <v>1838.2</v>
      </c>
      <c r="AL45" s="431" t="n">
        <v>1793.6</v>
      </c>
      <c r="AM45" s="431" t="n">
        <v>1802.9</v>
      </c>
      <c r="AN45" s="431" t="n">
        <v>1784.7</v>
      </c>
      <c r="AO45" s="431" t="n">
        <v>1796.9</v>
      </c>
      <c r="AP45" s="431" t="n">
        <v>1727.2</v>
      </c>
      <c r="AQ45" s="431" t="n">
        <v>1754.4</v>
      </c>
      <c r="AR45" s="431" t="n">
        <v>1923.3</v>
      </c>
      <c r="AS45" s="431" t="n">
        <v>1788.5</v>
      </c>
      <c r="AT45" s="431" t="n">
        <v>1828.1</v>
      </c>
      <c r="AU45" s="431" t="n">
        <v>1723</v>
      </c>
      <c r="AV45" s="431" t="n">
        <v>1774.6</v>
      </c>
      <c r="AW45" s="431" t="n">
        <v>1826.2</v>
      </c>
      <c r="AX45" s="431" t="n">
        <v>1829.2</v>
      </c>
      <c r="AZ45" s="431" t="n">
        <v>1620</v>
      </c>
      <c r="BA45" s="431" t="n">
        <v>1580</v>
      </c>
      <c r="BB45" s="431" t="n">
        <v>1620</v>
      </c>
      <c r="BC45" s="431" t="n">
        <v>1600</v>
      </c>
      <c r="BD45" s="431" t="n">
        <v>1550</v>
      </c>
      <c r="BE45" s="431" t="n">
        <v>1880</v>
      </c>
      <c r="BF45" s="431" t="n">
        <v>1800</v>
      </c>
      <c r="BG45" s="431" t="n">
        <v>1750</v>
      </c>
      <c r="BH45" s="431" t="n">
        <v>2000</v>
      </c>
      <c r="BI45" s="431" t="n">
        <v>2200</v>
      </c>
      <c r="BJ45" s="431" t="n">
        <v>1850</v>
      </c>
      <c r="BK45" s="431" t="n">
        <v>1850</v>
      </c>
      <c r="BL45" s="431" t="n">
        <v>1900</v>
      </c>
      <c r="BM45" s="431" t="n">
        <v>1960</v>
      </c>
      <c r="BN45" s="431" t="n">
        <v>1850</v>
      </c>
      <c r="BO45" s="431" t="n">
        <v>1800</v>
      </c>
      <c r="BP45" s="431" t="n">
        <v>1900</v>
      </c>
      <c r="BQ45" s="431" t="n">
        <v>1900</v>
      </c>
      <c r="BR45" s="431" t="n">
        <v>1850</v>
      </c>
      <c r="BS45" s="431" t="n">
        <v>1820</v>
      </c>
      <c r="BT45" s="431" t="n">
        <v>1820</v>
      </c>
      <c r="BU45" s="431" t="n">
        <v>1820</v>
      </c>
      <c r="BV45" s="431" t="n">
        <v>1750</v>
      </c>
      <c r="BW45" s="431" t="n">
        <v>1760</v>
      </c>
      <c r="BX45" s="431" t="n">
        <v>2000</v>
      </c>
      <c r="BY45" s="431" t="n">
        <v>1850</v>
      </c>
      <c r="BZ45" s="431" t="n">
        <v>1880</v>
      </c>
      <c r="CA45" s="431" t="n">
        <v>1750</v>
      </c>
      <c r="CB45" s="431" t="n">
        <v>1790</v>
      </c>
      <c r="CC45" s="431" t="n">
        <v>1840</v>
      </c>
      <c r="CE45" s="428" t="n">
        <f aca="false">+E45+D45+B45+C45</f>
        <v>4879.004</v>
      </c>
      <c r="CF45" s="427"/>
      <c r="CG45" s="432" t="n">
        <f aca="false">'Main Model'!AI53</f>
        <v>7151.9</v>
      </c>
      <c r="CI45" s="427"/>
      <c r="CJ45" s="428" t="n">
        <f aca="false">CG45-AV45-AU45-AT45</f>
        <v>1826.2</v>
      </c>
      <c r="CK45" s="427"/>
      <c r="CL45" s="427"/>
      <c r="CM45" s="427"/>
      <c r="CN45" s="427"/>
    </row>
    <row r="46" customFormat="false" ht="15" hidden="false" customHeight="true" outlineLevel="0" collapsed="false">
      <c r="A46" s="421" t="s">
        <v>241</v>
      </c>
      <c r="B46" s="433" t="n">
        <f aca="false">+B44-B45</f>
        <v>2164.472</v>
      </c>
      <c r="C46" s="433" t="n">
        <f aca="false">+C44-C45</f>
        <v>4753.506</v>
      </c>
      <c r="D46" s="433" t="n">
        <f aca="false">+D44-D45</f>
        <v>2975.948</v>
      </c>
      <c r="E46" s="433" t="n">
        <f aca="false">+E44-E45</f>
        <v>6523.676</v>
      </c>
      <c r="F46" s="433" t="n">
        <f aca="false">+F44-F45</f>
        <v>4154.244</v>
      </c>
      <c r="G46" s="433" t="n">
        <f aca="false">+G44-G45</f>
        <v>4146.348</v>
      </c>
      <c r="H46" s="433" t="n">
        <f aca="false">+H44-H45</f>
        <v>2395.211</v>
      </c>
      <c r="I46" s="433" t="n">
        <f aca="false">+I44-I45</f>
        <v>6113.518</v>
      </c>
      <c r="J46" s="433" t="n">
        <f aca="false">+J44-J45</f>
        <v>1730.453</v>
      </c>
      <c r="K46" s="433" t="n">
        <f aca="false">+K44-K45</f>
        <v>4826.548</v>
      </c>
      <c r="L46" s="433" t="n">
        <f aca="false">+L44-L45</f>
        <v>6576.36399999999</v>
      </c>
      <c r="M46" s="433" t="n">
        <f aca="false">+M44-M45</f>
        <v>6957.00000000001</v>
      </c>
      <c r="N46" s="433" t="n">
        <f aca="false">+N44-N45</f>
        <v>9299.44900000001</v>
      </c>
      <c r="O46" s="433" t="n">
        <f aca="false">+O44-O45</f>
        <v>10100.6</v>
      </c>
      <c r="P46" s="433" t="n">
        <f aca="false">+P44-P45</f>
        <v>5366.18299999999</v>
      </c>
      <c r="Q46" s="433" t="n">
        <f aca="false">+Q44-Q45</f>
        <v>5537.49999999999</v>
      </c>
      <c r="R46" s="433" t="n">
        <f aca="false">+R44-R45</f>
        <v>6765.20500000001</v>
      </c>
      <c r="S46" s="433" t="n">
        <f aca="false">+S44-S45</f>
        <v>6900.70000000002</v>
      </c>
      <c r="T46" s="433" t="n">
        <f aca="false">+T44-T45</f>
        <v>4896.6</v>
      </c>
      <c r="U46" s="433" t="n">
        <f aca="false">+U44-U45</f>
        <v>8181.80000000001</v>
      </c>
      <c r="V46" s="433" t="n">
        <f aca="false">+V44-V45</f>
        <v>3808.6</v>
      </c>
      <c r="W46" s="433" t="n">
        <f aca="false">+W44-W45</f>
        <v>839.200000000003</v>
      </c>
      <c r="X46" s="433" t="n">
        <f aca="false">+X44-X45</f>
        <v>563.4</v>
      </c>
      <c r="Y46" s="433" t="n">
        <f aca="false">+Y44-Y45</f>
        <v>-33.6999999999998</v>
      </c>
      <c r="Z46" s="433" t="n">
        <f aca="false">+Z44-Z45</f>
        <v>-5481.3</v>
      </c>
      <c r="AA46" s="433" t="n">
        <f aca="false">+AA44-AA45</f>
        <v>-1561</v>
      </c>
      <c r="AB46" s="433" t="n">
        <f aca="false">+AB44-AB45</f>
        <v>277.800000000009</v>
      </c>
      <c r="AC46" s="433" t="n">
        <f aca="false">+AC44-AC45</f>
        <v>2765.89999999999</v>
      </c>
      <c r="AD46" s="433" t="n">
        <f aca="false">+AD44-AD45</f>
        <v>-3809.3</v>
      </c>
      <c r="AE46" s="433" t="n">
        <f aca="false">+AE44-AE45</f>
        <v>-1157.30000000001</v>
      </c>
      <c r="AF46" s="433" t="n">
        <f aca="false">+AF44-AF45</f>
        <v>-149.499999999998</v>
      </c>
      <c r="AG46" s="433" t="n">
        <f aca="false">+AG44-AG45</f>
        <v>5283.89999999999</v>
      </c>
      <c r="AH46" s="433" t="n">
        <f aca="false">+AH44-AH45</f>
        <v>946.400000000003</v>
      </c>
      <c r="AI46" s="433" t="n">
        <f aca="false">+AI44-AI45</f>
        <v>3034.89999999999</v>
      </c>
      <c r="AJ46" s="433" t="n">
        <f aca="false">+AJ44-AJ45</f>
        <v>5595.79999999999</v>
      </c>
      <c r="AK46" s="433" t="n">
        <f aca="false">+AK44-AK45</f>
        <v>10680.8</v>
      </c>
      <c r="AL46" s="433" t="n">
        <f aca="false">+AL44-AL45</f>
        <v>6227</v>
      </c>
      <c r="AM46" s="433" t="n">
        <f aca="false">+AM44-AM45</f>
        <v>8882.5</v>
      </c>
      <c r="AN46" s="433" t="n">
        <f aca="false">+AN44-AN45</f>
        <v>9038.60000000002</v>
      </c>
      <c r="AO46" s="433" t="n">
        <f aca="false">+AO44-AO45</f>
        <v>14710.9</v>
      </c>
      <c r="AP46" s="433" t="n">
        <f aca="false">+AP44-AP45</f>
        <v>7014.4</v>
      </c>
      <c r="AQ46" s="433" t="n">
        <f aca="false">+AQ44-AQ45</f>
        <v>8784.5</v>
      </c>
      <c r="AR46" s="433" t="n">
        <f aca="false">+AR44-AR45</f>
        <v>9937.5</v>
      </c>
      <c r="AS46" s="433" t="n">
        <f aca="false">+AS44-AS45</f>
        <v>16709.2</v>
      </c>
      <c r="AT46" s="433" t="n">
        <f aca="false">+AT44-AT45</f>
        <v>7977.3</v>
      </c>
      <c r="AU46" s="433" t="n">
        <f aca="false">+AU44-AU45</f>
        <v>10826.6</v>
      </c>
      <c r="AV46" s="433" t="n">
        <f aca="false">+AV44-AV45</f>
        <v>13729.8</v>
      </c>
      <c r="AW46" s="433" t="n">
        <f aca="false">+AW44-AW45</f>
        <v>19091.3</v>
      </c>
      <c r="AX46" s="433" t="n">
        <f aca="false">+AX44-AX45</f>
        <v>8301.8</v>
      </c>
      <c r="AY46" s="421"/>
      <c r="AZ46" s="433" t="n">
        <f aca="false">+AZ44-AZ45</f>
        <v>7491.97893268013</v>
      </c>
      <c r="BA46" s="433" t="n">
        <f aca="false">+BA44-BA45</f>
        <v>3372.16372762554</v>
      </c>
      <c r="BB46" s="433" t="n">
        <f aca="false">+BB44-BB45</f>
        <v>267.37495184104</v>
      </c>
      <c r="BC46" s="433" t="n">
        <f aca="false">+BC44-BC45</f>
        <v>1040.06819407008</v>
      </c>
      <c r="BD46" s="433" t="n">
        <f aca="false">+BD44-BD45</f>
        <v>-1005.91361004808</v>
      </c>
      <c r="BE46" s="433" t="n">
        <f aca="false">+BE44-BE45</f>
        <v>-5039.08151708943</v>
      </c>
      <c r="BF46" s="433" t="n">
        <f aca="false">+BF44-BF45</f>
        <v>-802.750526691139</v>
      </c>
      <c r="BG46" s="433" t="n">
        <f aca="false">+BG44-BG45</f>
        <v>2096.54846940959</v>
      </c>
      <c r="BH46" s="433" t="n">
        <f aca="false">+BH44-BH45</f>
        <v>2495.95938680934</v>
      </c>
      <c r="BI46" s="433" t="n">
        <f aca="false">+BI44-BI45</f>
        <v>-3519.80211237006</v>
      </c>
      <c r="BJ46" s="433" t="n">
        <f aca="false">+BJ44-BJ45</f>
        <v>-600.587546629016</v>
      </c>
      <c r="BK46" s="433" t="n">
        <f aca="false">+BK44-BK45</f>
        <v>482.322067689791</v>
      </c>
      <c r="BL46" s="433" t="n">
        <f aca="false">+BL44-BL45</f>
        <v>3389.30075635941</v>
      </c>
      <c r="BM46" s="433" t="n">
        <f aca="false">+BM44-BM45</f>
        <v>2035.1275654057</v>
      </c>
      <c r="BN46" s="433" t="n">
        <f aca="false">+BN44-BN45</f>
        <v>2666.3502442016</v>
      </c>
      <c r="BO46" s="433" t="n">
        <f aca="false">+BO44-BO45</f>
        <v>4271.31873753338</v>
      </c>
      <c r="BP46" s="433" t="n">
        <f aca="false">+BP44-BP45</f>
        <v>9864.19425116084</v>
      </c>
      <c r="BQ46" s="433" t="n">
        <f aca="false">+BQ44-BQ45</f>
        <v>3740.52971282309</v>
      </c>
      <c r="BR46" s="433" t="n">
        <f aca="false">+BR44-BR45</f>
        <v>8316.39972218829</v>
      </c>
      <c r="BS46" s="433" t="n">
        <f aca="false">+BS44-BS45</f>
        <v>7261.41508381719</v>
      </c>
      <c r="BT46" s="433" t="n">
        <f aca="false">+BT44-BT45</f>
        <v>11615.9650223919</v>
      </c>
      <c r="BU46" s="433" t="n">
        <f aca="false">+BU44-BU45</f>
        <v>7551.55385052187</v>
      </c>
      <c r="BV46" s="433" t="n">
        <f aca="false">+BV44-BV45</f>
        <v>7249.67539385251</v>
      </c>
      <c r="BW46" s="433" t="n">
        <f aca="false">+BW44-BW45</f>
        <v>8670.94166156469</v>
      </c>
      <c r="BX46" s="433" t="n">
        <f aca="false">+BX44-BX45</f>
        <v>15096.2045145371</v>
      </c>
      <c r="BY46" s="433" t="n">
        <f aca="false">+BY44-BY45</f>
        <v>8405.11709831601</v>
      </c>
      <c r="BZ46" s="433" t="n">
        <f aca="false">+BZ44-BZ45</f>
        <v>9214.12207837692</v>
      </c>
      <c r="CA46" s="433" t="n">
        <f aca="false">+CA44-CA45</f>
        <v>13328.7696220529</v>
      </c>
      <c r="CB46" s="433" t="n">
        <f aca="false">+CB44-CB45</f>
        <v>18366.4572760532</v>
      </c>
      <c r="CC46" s="433" t="n">
        <f aca="false">+CC44-CC45</f>
        <v>8006.45420645403</v>
      </c>
      <c r="CD46" s="421"/>
      <c r="CE46" s="433" t="n">
        <f aca="false">+CE44-CE45</f>
        <v>17613.917</v>
      </c>
      <c r="CF46" s="433"/>
      <c r="CG46" s="436" t="n">
        <f aca="false">'Main Model'!AI55</f>
        <v>48140.2000000002</v>
      </c>
      <c r="CH46" s="421"/>
      <c r="CI46" s="433"/>
      <c r="CJ46" s="433" t="n">
        <f aca="false">CG46-AV46-AU46-AT46</f>
        <v>15606.5000000002</v>
      </c>
      <c r="CK46" s="433"/>
      <c r="CL46" s="433"/>
      <c r="CM46" s="433"/>
      <c r="CN46" s="433"/>
    </row>
    <row r="47" customFormat="false" ht="15" hidden="false" customHeight="true" outlineLevel="0" collapsed="false">
      <c r="A47" s="414" t="s">
        <v>891</v>
      </c>
      <c r="B47" s="418"/>
      <c r="C47" s="418"/>
      <c r="D47" s="418"/>
      <c r="E47" s="418"/>
      <c r="F47" s="418"/>
      <c r="G47" s="418"/>
      <c r="H47" s="418"/>
      <c r="I47" s="415" t="n">
        <v>3240</v>
      </c>
      <c r="J47" s="418"/>
      <c r="K47" s="418"/>
      <c r="L47" s="418"/>
      <c r="M47" s="418"/>
      <c r="N47" s="415" t="n">
        <v>0.032</v>
      </c>
      <c r="O47" s="418"/>
      <c r="P47" s="418"/>
      <c r="Q47" s="418"/>
      <c r="R47" s="418"/>
      <c r="S47" s="418"/>
      <c r="T47" s="418"/>
      <c r="U47" s="418"/>
      <c r="V47" s="418"/>
      <c r="W47" s="418"/>
      <c r="X47" s="418"/>
      <c r="Y47" s="418"/>
      <c r="Z47" s="418"/>
      <c r="AA47" s="418"/>
      <c r="AB47" s="418"/>
      <c r="AC47" s="418"/>
      <c r="AD47" s="418"/>
      <c r="AE47" s="418"/>
      <c r="AF47" s="418"/>
      <c r="AG47" s="418"/>
      <c r="AH47" s="418"/>
      <c r="AI47" s="418"/>
      <c r="AJ47" s="418"/>
      <c r="AK47" s="418"/>
      <c r="AL47" s="418"/>
      <c r="AM47" s="418"/>
      <c r="AN47" s="418"/>
      <c r="AO47" s="418"/>
      <c r="AP47" s="418"/>
      <c r="AQ47" s="418"/>
      <c r="AR47" s="418"/>
      <c r="AS47" s="418"/>
      <c r="AT47" s="418"/>
      <c r="AU47" s="418"/>
      <c r="AV47" s="418"/>
      <c r="AW47" s="418"/>
      <c r="AX47" s="418"/>
      <c r="AZ47" s="418"/>
      <c r="BA47" s="418"/>
      <c r="BB47" s="418"/>
      <c r="BC47" s="418"/>
      <c r="BD47" s="418"/>
      <c r="BE47" s="418"/>
      <c r="BF47" s="418"/>
      <c r="BG47" s="418"/>
      <c r="BH47" s="418"/>
      <c r="BI47" s="418"/>
      <c r="BJ47" s="418"/>
      <c r="BK47" s="418"/>
      <c r="BL47" s="418"/>
      <c r="BM47" s="418"/>
      <c r="BN47" s="418"/>
      <c r="BO47" s="418"/>
      <c r="BP47" s="418"/>
      <c r="BQ47" s="418"/>
      <c r="BR47" s="418"/>
      <c r="BS47" s="418"/>
      <c r="BT47" s="418"/>
      <c r="BU47" s="418"/>
      <c r="BV47" s="418"/>
      <c r="BW47" s="418"/>
      <c r="BX47" s="418"/>
      <c r="BY47" s="418"/>
      <c r="BZ47" s="418"/>
      <c r="CA47" s="418"/>
      <c r="CB47" s="418"/>
      <c r="CC47" s="418"/>
      <c r="CE47" s="420" t="n">
        <f aca="false">+E47+D47+B47+C47</f>
        <v>0</v>
      </c>
      <c r="CF47" s="418"/>
      <c r="CG47" s="418"/>
      <c r="CI47" s="418"/>
      <c r="CJ47" s="418"/>
      <c r="CK47" s="418"/>
      <c r="CL47" s="418"/>
      <c r="CM47" s="418"/>
      <c r="CN47" s="418"/>
    </row>
    <row r="48" customFormat="false" ht="15" hidden="false" customHeight="true" outlineLevel="0" collapsed="false">
      <c r="A48" s="414" t="s">
        <v>892</v>
      </c>
      <c r="B48" s="427"/>
      <c r="C48" s="431" t="n">
        <v>1570</v>
      </c>
      <c r="D48" s="431" t="n">
        <v>50</v>
      </c>
      <c r="E48" s="431" t="n">
        <v>6532.235</v>
      </c>
      <c r="F48" s="427"/>
      <c r="G48" s="427"/>
      <c r="H48" s="427"/>
      <c r="I48" s="431" t="n">
        <v>3508.459</v>
      </c>
      <c r="J48" s="431" t="n">
        <v>125.692</v>
      </c>
      <c r="K48" s="427"/>
      <c r="L48" s="427"/>
      <c r="M48" s="431" t="n">
        <v>29.1</v>
      </c>
      <c r="N48" s="427"/>
      <c r="O48" s="431" t="n">
        <v>44.1</v>
      </c>
      <c r="P48" s="431" t="n">
        <v>146.593</v>
      </c>
      <c r="Q48" s="431" t="n">
        <v>177.9</v>
      </c>
      <c r="R48" s="431" t="n">
        <v>159.431</v>
      </c>
      <c r="S48" s="431" t="n">
        <v>192.7</v>
      </c>
      <c r="T48" s="431" t="n">
        <v>60.9</v>
      </c>
      <c r="U48" s="431" t="n">
        <v>117.1</v>
      </c>
      <c r="V48" s="431" t="n">
        <v>201.2</v>
      </c>
      <c r="W48" s="431" t="n">
        <v>648.1</v>
      </c>
      <c r="X48" s="431" t="n">
        <v>21.7</v>
      </c>
      <c r="Y48" s="431" t="n">
        <v>687.3</v>
      </c>
      <c r="Z48" s="431" t="n">
        <v>16.7</v>
      </c>
      <c r="AA48" s="431" t="n">
        <v>17</v>
      </c>
      <c r="AB48" s="431" t="n">
        <v>460.3</v>
      </c>
      <c r="AC48" s="431" t="n">
        <v>-373.5</v>
      </c>
      <c r="AD48" s="431" t="n">
        <v>16.8</v>
      </c>
      <c r="AE48" s="431" t="n">
        <v>-2.3</v>
      </c>
      <c r="AF48" s="431" t="n">
        <v>-420.2</v>
      </c>
      <c r="AG48" s="431" t="n">
        <v>-4702.6</v>
      </c>
      <c r="AH48" s="431" t="n">
        <v>-130.1</v>
      </c>
      <c r="AI48" s="431" t="n">
        <v>-82.3</v>
      </c>
      <c r="AJ48" s="431" t="n">
        <v>-69.4</v>
      </c>
      <c r="AK48" s="431" t="n">
        <v>-564.3</v>
      </c>
      <c r="AL48" s="431" t="n">
        <v>5.9</v>
      </c>
      <c r="AM48" s="431" t="n">
        <v>228.8</v>
      </c>
      <c r="AN48" s="431" t="n">
        <v>5.9</v>
      </c>
      <c r="AO48" s="431" t="n">
        <v>696.6</v>
      </c>
      <c r="AP48" s="427"/>
      <c r="AQ48" s="431" t="n">
        <v>-1173.8</v>
      </c>
      <c r="AR48" s="427"/>
      <c r="AS48" s="431" t="n">
        <v>136.5</v>
      </c>
      <c r="AT48" s="427"/>
      <c r="AU48" s="431" t="n">
        <v>400</v>
      </c>
      <c r="AV48" s="431" t="n">
        <v>3084.8</v>
      </c>
      <c r="AW48" s="427"/>
      <c r="AX48" s="427"/>
      <c r="AZ48" s="427"/>
      <c r="BA48" s="427"/>
      <c r="BB48" s="427"/>
      <c r="BC48" s="427"/>
      <c r="BD48" s="431" t="n">
        <v>29</v>
      </c>
      <c r="BE48" s="427"/>
      <c r="BF48" s="427"/>
      <c r="BG48" s="427"/>
      <c r="BH48" s="427"/>
      <c r="BI48" s="427"/>
      <c r="BJ48" s="427"/>
      <c r="BK48" s="427"/>
      <c r="BL48" s="427"/>
      <c r="BM48" s="427"/>
      <c r="BN48" s="427"/>
      <c r="BO48" s="427"/>
      <c r="BP48" s="427"/>
      <c r="BQ48" s="427"/>
      <c r="BR48" s="427"/>
      <c r="BS48" s="427"/>
      <c r="BT48" s="427"/>
      <c r="BU48" s="427"/>
      <c r="BV48" s="427"/>
      <c r="BW48" s="427"/>
      <c r="BX48" s="427"/>
      <c r="BY48" s="427"/>
      <c r="BZ48" s="427"/>
      <c r="CA48" s="427"/>
      <c r="CB48" s="427"/>
      <c r="CC48" s="427"/>
      <c r="CE48" s="428" t="n">
        <f aca="false">+E48+D48+B48+C48</f>
        <v>8152.235</v>
      </c>
      <c r="CF48" s="427"/>
      <c r="CG48" s="432" t="n">
        <f aca="false">-'Main Model'!AI54</f>
        <v>3484.8</v>
      </c>
      <c r="CI48" s="427"/>
      <c r="CJ48" s="428" t="n">
        <f aca="false">CG48-AV48-AU48-AT48</f>
        <v>0</v>
      </c>
      <c r="CK48" s="427"/>
      <c r="CL48" s="427"/>
      <c r="CM48" s="427"/>
      <c r="CN48" s="427"/>
    </row>
    <row r="49" customFormat="false" ht="15" hidden="false" customHeight="true" outlineLevel="0" collapsed="false">
      <c r="A49" s="414" t="s">
        <v>259</v>
      </c>
      <c r="B49" s="431" t="n">
        <v>719.511</v>
      </c>
      <c r="C49" s="431" t="n">
        <v>1461.412</v>
      </c>
      <c r="D49" s="431" t="n">
        <v>788.903</v>
      </c>
      <c r="E49" s="430" t="n">
        <f aca="false">1217.458+182.098</f>
        <v>1399.556</v>
      </c>
      <c r="F49" s="431" t="n">
        <v>1246.4</v>
      </c>
      <c r="G49" s="431" t="n">
        <v>1202.248</v>
      </c>
      <c r="H49" s="430" t="n">
        <f aca="false">729.644+48.407</f>
        <v>778.051</v>
      </c>
      <c r="I49" s="430" t="n">
        <f aca="false">-369.505-1787.105+3240</f>
        <v>1083.39</v>
      </c>
      <c r="J49" s="430" t="n">
        <f aca="false">662.146-169.739</f>
        <v>492.407</v>
      </c>
      <c r="K49" s="430" t="n">
        <f aca="false">1795.998-312.047</f>
        <v>1483.951</v>
      </c>
      <c r="L49" s="430" t="n">
        <f aca="false">2383.724-304.458</f>
        <v>2079.266</v>
      </c>
      <c r="M49" s="430" t="n">
        <f aca="false">2383.8-304.5</f>
        <v>2079.3</v>
      </c>
      <c r="N49" s="430" t="n">
        <f aca="false">1930.853+694.781</f>
        <v>2625.634</v>
      </c>
      <c r="O49" s="430" t="n">
        <f aca="false">1930.6+694.7</f>
        <v>2625.3</v>
      </c>
      <c r="P49" s="430" t="n">
        <f aca="false">1566.12-47.541</f>
        <v>1518.579</v>
      </c>
      <c r="Q49" s="430" t="n">
        <f aca="false">1179.3-36</f>
        <v>1143.3</v>
      </c>
      <c r="R49" s="430" t="n">
        <f aca="false">2060.561-50.579</f>
        <v>2009.982</v>
      </c>
      <c r="S49" s="430" t="n">
        <f aca="false">1475.7-45.1</f>
        <v>1430.6</v>
      </c>
      <c r="T49" s="430" t="n">
        <f aca="false">1059.6-32.3</f>
        <v>1027.3</v>
      </c>
      <c r="U49" s="430" t="n">
        <f aca="false">67.4+1467.4</f>
        <v>1534.8</v>
      </c>
      <c r="V49" s="430" t="n">
        <f aca="false">1416.1-110.9</f>
        <v>1305.2</v>
      </c>
      <c r="W49" s="430" t="n">
        <f aca="false">-665.9+468.3</f>
        <v>-197.6</v>
      </c>
      <c r="X49" s="430" t="n">
        <f aca="false">411.7-147.5</f>
        <v>264.2</v>
      </c>
      <c r="Y49" s="430" t="n">
        <f aca="false">296.7-444.5</f>
        <v>-147.8</v>
      </c>
      <c r="Z49" s="430" t="n">
        <f aca="false">-1610.1+0.1</f>
        <v>-1610</v>
      </c>
      <c r="AA49" s="430" t="n">
        <f aca="false">-111.4+0.1</f>
        <v>-111.3</v>
      </c>
      <c r="AB49" s="431" t="n">
        <v>11.3</v>
      </c>
      <c r="AC49" s="431" t="n">
        <v>727.7</v>
      </c>
      <c r="AD49" s="431" t="n">
        <v>-1003.2</v>
      </c>
      <c r="AE49" s="431" t="n">
        <v>-324.9</v>
      </c>
      <c r="AF49" s="431" t="n">
        <v>213.1</v>
      </c>
      <c r="AG49" s="430" t="n">
        <f aca="false">101.1+871.7</f>
        <v>972.8</v>
      </c>
      <c r="AH49" s="430" t="n">
        <f aca="false">415.1-19.1</f>
        <v>396</v>
      </c>
      <c r="AI49" s="430" t="n">
        <f aca="false">1167.6-43.5</f>
        <v>1124.1</v>
      </c>
      <c r="AJ49" s="430" t="n">
        <f aca="false">2213.4-161.6</f>
        <v>2051.8</v>
      </c>
      <c r="AK49" s="430" t="n">
        <f aca="false">4003.9-272.9</f>
        <v>3731</v>
      </c>
      <c r="AL49" s="430" t="n">
        <f aca="false">2131.9-1675</f>
        <v>456.9</v>
      </c>
      <c r="AM49" s="430" t="n">
        <f aca="false">3021.6+22</f>
        <v>3043.6</v>
      </c>
      <c r="AN49" s="430" t="n">
        <f aca="false">2847.3+385.1</f>
        <v>3232.4</v>
      </c>
      <c r="AO49" s="430" t="n">
        <f aca="false">4853.6+156.6</f>
        <v>5010.2</v>
      </c>
      <c r="AP49" s="430" t="n">
        <f aca="false">2497-738.4</f>
        <v>1758.6</v>
      </c>
      <c r="AQ49" s="430" t="n">
        <f aca="false">3085.6-828.3</f>
        <v>2257.3</v>
      </c>
      <c r="AR49" s="430" t="n">
        <f aca="false">3545.6-1225.5</f>
        <v>2320.1</v>
      </c>
      <c r="AS49" s="430" t="n">
        <f aca="false">5845.8-1731.8</f>
        <v>4114</v>
      </c>
      <c r="AT49" s="430" t="n">
        <f aca="false">1940+100</f>
        <v>2040</v>
      </c>
      <c r="AU49" s="430" t="n">
        <f aca="false">2626+90</f>
        <v>2716</v>
      </c>
      <c r="AV49" s="430" t="n">
        <f aca="false">2706.5-21.7</f>
        <v>2684.8</v>
      </c>
      <c r="AW49" s="430" t="n">
        <f aca="false">4998.1+46</f>
        <v>5044.1</v>
      </c>
      <c r="AX49" s="430" t="n">
        <f aca="false">2117.9+92.8</f>
        <v>2210.7</v>
      </c>
      <c r="AZ49" s="428" t="n">
        <f aca="false">+AZ46*0.25</f>
        <v>1872.99473317003</v>
      </c>
      <c r="BA49" s="428" t="n">
        <f aca="false">+BA46*0.25</f>
        <v>843.040931906386</v>
      </c>
      <c r="BB49" s="429" t="n">
        <f aca="false">+BB46*0.24</f>
        <v>64.1699884418497</v>
      </c>
      <c r="BC49" s="429" t="n">
        <f aca="false">+BC46*0.2</f>
        <v>208.013638814016</v>
      </c>
      <c r="BD49" s="429" t="n">
        <f aca="false">+BD46*0.3</f>
        <v>-301.774083014424</v>
      </c>
      <c r="BE49" s="429" t="n">
        <f aca="false">+BE46*0.3</f>
        <v>-1511.72445512683</v>
      </c>
      <c r="BF49" s="429" t="n">
        <f aca="false">+BF46*0.3</f>
        <v>-240.825158007342</v>
      </c>
      <c r="BG49" s="429" t="n">
        <f aca="false">+BG46*0.3</f>
        <v>628.964540822876</v>
      </c>
      <c r="BH49" s="429" t="n">
        <f aca="false">+BH46*0.3</f>
        <v>748.787816042801</v>
      </c>
      <c r="BI49" s="429" t="n">
        <f aca="false">+BI46*0.3</f>
        <v>-1055.94063371102</v>
      </c>
      <c r="BJ49" s="429" t="n">
        <f aca="false">+BJ46*0.3</f>
        <v>-180.176263988705</v>
      </c>
      <c r="BK49" s="429" t="n">
        <f aca="false">+BK46*0.3</f>
        <v>144.696620306937</v>
      </c>
      <c r="BL49" s="429" t="n">
        <f aca="false">+BL46*0.3</f>
        <v>1016.79022690782</v>
      </c>
      <c r="BM49" s="429" t="n">
        <f aca="false">+BM46*0.3</f>
        <v>610.538269621709</v>
      </c>
      <c r="BN49" s="429" t="n">
        <f aca="false">+BN46*0.3</f>
        <v>799.905073260481</v>
      </c>
      <c r="BO49" s="429" t="n">
        <f aca="false">+BO46*0.3</f>
        <v>1281.39562126001</v>
      </c>
      <c r="BP49" s="429" t="n">
        <f aca="false">+BP46*0.3</f>
        <v>2959.25827534825</v>
      </c>
      <c r="BQ49" s="429" t="n">
        <f aca="false">+BQ46*0.3</f>
        <v>1122.15891384693</v>
      </c>
      <c r="BR49" s="429" t="n">
        <f aca="false">+BR46*0.3</f>
        <v>2494.91991665649</v>
      </c>
      <c r="BS49" s="429" t="n">
        <f aca="false">+BS46*0.3</f>
        <v>2178.42452514516</v>
      </c>
      <c r="BT49" s="429" t="n">
        <f aca="false">+BT46*0.3</f>
        <v>3484.78950671757</v>
      </c>
      <c r="BU49" s="429" t="n">
        <f aca="false">+BU46*0.3</f>
        <v>2265.46615515656</v>
      </c>
      <c r="BV49" s="429" t="n">
        <f aca="false">+BV46*0.3</f>
        <v>2174.90261815575</v>
      </c>
      <c r="BW49" s="429" t="n">
        <f aca="false">+BW46*0.3</f>
        <v>2601.28249846941</v>
      </c>
      <c r="BX49" s="428" t="n">
        <f aca="false">+BX46*0.25</f>
        <v>3774.05112863428</v>
      </c>
      <c r="BY49" s="429" t="n">
        <f aca="false">+BY46*0.3</f>
        <v>2521.5351294948</v>
      </c>
      <c r="BZ49" s="429" t="n">
        <f aca="false">+BZ46*0.3</f>
        <v>2764.23662351308</v>
      </c>
      <c r="CA49" s="428" t="n">
        <f aca="false">+CA46*0.25</f>
        <v>3332.19240551323</v>
      </c>
      <c r="CB49" s="428" t="n">
        <f aca="false">+CB46*0.25</f>
        <v>4591.6143190133</v>
      </c>
      <c r="CC49" s="428" t="n">
        <f aca="false">+CC46*0.25</f>
        <v>2001.61355161351</v>
      </c>
      <c r="CE49" s="428" t="n">
        <f aca="false">+E49+D49+B49+C49</f>
        <v>4369.382</v>
      </c>
      <c r="CF49" s="427"/>
      <c r="CG49" s="432" t="n">
        <f aca="false">'Main Model'!AI56</f>
        <v>12484.9</v>
      </c>
      <c r="CI49" s="427"/>
      <c r="CJ49" s="428" t="n">
        <f aca="false">CG49-AV49-AU49-AT49</f>
        <v>5044.1</v>
      </c>
      <c r="CK49" s="427"/>
      <c r="CL49" s="427"/>
      <c r="CM49" s="427"/>
      <c r="CN49" s="427"/>
    </row>
    <row r="50" customFormat="false" ht="15" hidden="false" customHeight="true" outlineLevel="0" collapsed="false">
      <c r="A50" s="421" t="s">
        <v>244</v>
      </c>
      <c r="B50" s="433" t="n">
        <f aca="false">B46+B47-B49-B48</f>
        <v>1444.961</v>
      </c>
      <c r="C50" s="433" t="n">
        <f aca="false">C46+C47-C49-C48</f>
        <v>1722.094</v>
      </c>
      <c r="D50" s="433" t="n">
        <f aca="false">D46+D47-D49-D48</f>
        <v>2137.045</v>
      </c>
      <c r="E50" s="433" t="n">
        <f aca="false">E46+E47-E49-E48</f>
        <v>-1408.115</v>
      </c>
      <c r="F50" s="433" t="n">
        <f aca="false">F46+F47-F49-F48</f>
        <v>2907.844</v>
      </c>
      <c r="G50" s="433" t="n">
        <f aca="false">G46+G47-G49-G48</f>
        <v>2944.1</v>
      </c>
      <c r="H50" s="433" t="n">
        <f aca="false">H46+H47-H49-H48</f>
        <v>1617.16</v>
      </c>
      <c r="I50" s="433" t="n">
        <f aca="false">I46+I47-I49-I48</f>
        <v>4761.669</v>
      </c>
      <c r="J50" s="433" t="n">
        <f aca="false">J46+J47-J49-J48</f>
        <v>1112.354</v>
      </c>
      <c r="K50" s="433" t="n">
        <f aca="false">K46+K47-K49-K48</f>
        <v>3342.597</v>
      </c>
      <c r="L50" s="433" t="n">
        <f aca="false">L46+L47-L49-L48</f>
        <v>4497.09799999999</v>
      </c>
      <c r="M50" s="433" t="n">
        <f aca="false">M46+M47-M49-M48</f>
        <v>4848.60000000001</v>
      </c>
      <c r="N50" s="433" t="n">
        <f aca="false">N46+N47-N49-N48</f>
        <v>6673.84700000001</v>
      </c>
      <c r="O50" s="433" t="n">
        <f aca="false">O46+O47-O49-O48</f>
        <v>7431.19999999999</v>
      </c>
      <c r="P50" s="433" t="n">
        <f aca="false">P46+P47-P49-P48</f>
        <v>3701.01099999999</v>
      </c>
      <c r="Q50" s="433" t="n">
        <f aca="false">Q46+Q47-Q49-Q48</f>
        <v>4216.3</v>
      </c>
      <c r="R50" s="433" t="n">
        <f aca="false">R46+R47-R49-R48</f>
        <v>4595.79200000001</v>
      </c>
      <c r="S50" s="433" t="n">
        <f aca="false">S46+S47-S49-S48</f>
        <v>5277.40000000002</v>
      </c>
      <c r="T50" s="433" t="n">
        <f aca="false">T46+T47-T49-T48</f>
        <v>3808.4</v>
      </c>
      <c r="U50" s="433" t="n">
        <f aca="false">U46+U47-U49-U48</f>
        <v>6529.90000000001</v>
      </c>
      <c r="V50" s="433" t="n">
        <f aca="false">V46+V47-V49-V48</f>
        <v>2302.20000000001</v>
      </c>
      <c r="W50" s="433" t="n">
        <f aca="false">W46+W47-W49-W48</f>
        <v>388.700000000003</v>
      </c>
      <c r="X50" s="433" t="n">
        <f aca="false">X46+X47-X49-X48</f>
        <v>277.5</v>
      </c>
      <c r="Y50" s="433" t="n">
        <f aca="false">Y46+Y47-Y49-Y48</f>
        <v>-573.2</v>
      </c>
      <c r="Z50" s="433" t="n">
        <f aca="false">Z46+Z47-Z49-Z48</f>
        <v>-3888</v>
      </c>
      <c r="AA50" s="433" t="n">
        <f aca="false">AA46+AA47-AA49-AA48</f>
        <v>-1466.7</v>
      </c>
      <c r="AB50" s="433" t="n">
        <f aca="false">AB46+AB47-AB49-AB48</f>
        <v>-193.799999999991</v>
      </c>
      <c r="AC50" s="433" t="n">
        <f aca="false">AC46+AC47-AC49-AC48</f>
        <v>2411.69999999999</v>
      </c>
      <c r="AD50" s="433" t="n">
        <f aca="false">AD46+AD47-AD49-AD48</f>
        <v>-2822.9</v>
      </c>
      <c r="AE50" s="433" t="n">
        <f aca="false">AE46+AE47-AE49-AE48</f>
        <v>-830.100000000006</v>
      </c>
      <c r="AF50" s="433" t="n">
        <f aca="false">AF46+AF47-AF49-AF48</f>
        <v>57.6000000000016</v>
      </c>
      <c r="AG50" s="433" t="n">
        <f aca="false">AG46+AG47-AG49-AG48</f>
        <v>9013.69999999999</v>
      </c>
      <c r="AH50" s="433" t="n">
        <f aca="false">AH46+AH47-AH49-AH48</f>
        <v>680.500000000003</v>
      </c>
      <c r="AI50" s="433" t="n">
        <f aca="false">AI46+AI47-AI49-AI48</f>
        <v>1993.09999999999</v>
      </c>
      <c r="AJ50" s="433" t="n">
        <f aca="false">AJ46+AJ47-AJ49-AJ48</f>
        <v>3613.39999999999</v>
      </c>
      <c r="AK50" s="433" t="n">
        <f aca="false">AK46+AK47-AK49-AK48</f>
        <v>7514.09999999998</v>
      </c>
      <c r="AL50" s="433" t="n">
        <f aca="false">AL46+AL47-AL49-AL48</f>
        <v>5764.2</v>
      </c>
      <c r="AM50" s="433" t="n">
        <f aca="false">AM46+AM47-AM49-AM48</f>
        <v>5610.09999999999</v>
      </c>
      <c r="AN50" s="433" t="n">
        <f aca="false">AN46+AN47-AN49-AN48</f>
        <v>5800.30000000002</v>
      </c>
      <c r="AO50" s="433" t="n">
        <f aca="false">AO46+AO47-AO49-AO48</f>
        <v>9004.10000000001</v>
      </c>
      <c r="AP50" s="433" t="n">
        <f aca="false">AP46+AP47-AP49-AP48</f>
        <v>5255.8</v>
      </c>
      <c r="AQ50" s="433" t="n">
        <f aca="false">AQ46+AQ47-AQ49-AQ48</f>
        <v>7701</v>
      </c>
      <c r="AR50" s="433" t="n">
        <f aca="false">AR46+AR47-AR49-AR48</f>
        <v>7617.4</v>
      </c>
      <c r="AS50" s="433" t="n">
        <f aca="false">AS46+AS47-AS49-AS48</f>
        <v>12458.7</v>
      </c>
      <c r="AT50" s="433" t="n">
        <f aca="false">AT46+AT47-AT49-AT48</f>
        <v>5937.3</v>
      </c>
      <c r="AU50" s="433" t="n">
        <f aca="false">AU46+AU47-AU49-AU48</f>
        <v>7710.59999999999</v>
      </c>
      <c r="AV50" s="433" t="n">
        <f aca="false">AV46+AV47-AV49-AV48</f>
        <v>7960.2</v>
      </c>
      <c r="AW50" s="433" t="n">
        <f aca="false">AW46+AW47-AW49-AW48</f>
        <v>14047.2</v>
      </c>
      <c r="AX50" s="433" t="n">
        <f aca="false">AX46+AX47-AX49-AX48</f>
        <v>6091.1</v>
      </c>
      <c r="AY50" s="421"/>
      <c r="AZ50" s="433" t="n">
        <f aca="false">AZ46+AZ47-AZ49-AZ48</f>
        <v>5618.98419951009</v>
      </c>
      <c r="BA50" s="433" t="n">
        <f aca="false">BA46+BA47-BA49-BA48</f>
        <v>2529.12279571916</v>
      </c>
      <c r="BB50" s="433" t="n">
        <f aca="false">BB46+BB47-BB49-BB48</f>
        <v>203.204963399191</v>
      </c>
      <c r="BC50" s="433" t="n">
        <f aca="false">BC46+BC47-BC49-BC48</f>
        <v>832.054555256065</v>
      </c>
      <c r="BD50" s="433" t="n">
        <f aca="false">BD46+BD47-BD49-BD48</f>
        <v>-733.139527033655</v>
      </c>
      <c r="BE50" s="433" t="n">
        <f aca="false">BE46+BE47-BE49-BE48</f>
        <v>-3527.3570619626</v>
      </c>
      <c r="BF50" s="433" t="n">
        <f aca="false">BF46+BF47-BF49-BF48</f>
        <v>-561.925368683798</v>
      </c>
      <c r="BG50" s="433" t="n">
        <f aca="false">BG46+BG47-BG49-BG48</f>
        <v>1467.58392858671</v>
      </c>
      <c r="BH50" s="433" t="n">
        <f aca="false">BH46+BH47-BH49-BH48</f>
        <v>1747.17157076654</v>
      </c>
      <c r="BI50" s="433" t="n">
        <f aca="false">BI46+BI47-BI49-BI48</f>
        <v>-2463.86147865904</v>
      </c>
      <c r="BJ50" s="433" t="n">
        <f aca="false">BJ46+BJ47-BJ49-BJ48</f>
        <v>-420.411282640311</v>
      </c>
      <c r="BK50" s="433" t="n">
        <f aca="false">BK46+BK47-BK49-BK48</f>
        <v>337.625447382854</v>
      </c>
      <c r="BL50" s="433" t="n">
        <f aca="false">BL46+BL47-BL49-BL48</f>
        <v>2372.51052945159</v>
      </c>
      <c r="BM50" s="433" t="n">
        <f aca="false">BM46+BM47-BM49-BM48</f>
        <v>1424.58929578399</v>
      </c>
      <c r="BN50" s="433" t="n">
        <f aca="false">BN46+BN47-BN49-BN48</f>
        <v>1866.44517094112</v>
      </c>
      <c r="BO50" s="433" t="n">
        <f aca="false">BO46+BO47-BO49-BO48</f>
        <v>2989.92311627337</v>
      </c>
      <c r="BP50" s="433" t="n">
        <f aca="false">BP46+BP47-BP49-BP48</f>
        <v>6904.93597581259</v>
      </c>
      <c r="BQ50" s="433" t="n">
        <f aca="false">BQ46+BQ47-BQ49-BQ48</f>
        <v>2618.37079897616</v>
      </c>
      <c r="BR50" s="433" t="n">
        <f aca="false">BR46+BR47-BR49-BR48</f>
        <v>5821.4798055318</v>
      </c>
      <c r="BS50" s="433" t="n">
        <f aca="false">BS46+BS47-BS49-BS48</f>
        <v>5082.99055867203</v>
      </c>
      <c r="BT50" s="433" t="n">
        <f aca="false">BT46+BT47-BT49-BT48</f>
        <v>8131.17551567432</v>
      </c>
      <c r="BU50" s="433" t="n">
        <f aca="false">BU46+BU47-BU49-BU48</f>
        <v>5286.08769536531</v>
      </c>
      <c r="BV50" s="433" t="n">
        <f aca="false">BV46+BV47-BV49-BV48</f>
        <v>5074.77277569676</v>
      </c>
      <c r="BW50" s="433" t="n">
        <f aca="false">BW46+BW47-BW49-BW48</f>
        <v>6069.65916309528</v>
      </c>
      <c r="BX50" s="433" t="n">
        <f aca="false">BX46+BX47-BX49-BX48</f>
        <v>11322.1533859028</v>
      </c>
      <c r="BY50" s="433" t="n">
        <f aca="false">BY46+BY47-BY49-BY48</f>
        <v>5883.58196882121</v>
      </c>
      <c r="BZ50" s="433" t="n">
        <f aca="false">BZ46+BZ47-BZ49-BZ48</f>
        <v>6449.88545486385</v>
      </c>
      <c r="CA50" s="433" t="n">
        <f aca="false">CA46+CA47-CA49-CA48</f>
        <v>9996.57721653968</v>
      </c>
      <c r="CB50" s="433" t="n">
        <f aca="false">CB46+CB47-CB49-CB48</f>
        <v>13774.8429570399</v>
      </c>
      <c r="CC50" s="433" t="n">
        <f aca="false">CC46+CC47-CC49-CC48</f>
        <v>6004.84065484052</v>
      </c>
      <c r="CD50" s="421"/>
      <c r="CE50" s="433" t="n">
        <f aca="false">CE46+CE47-CE49-CE48</f>
        <v>5092.3</v>
      </c>
      <c r="CF50" s="433"/>
      <c r="CG50" s="436" t="n">
        <f aca="false">'Main Model'!AI57</f>
        <v>35655.3000000002</v>
      </c>
      <c r="CH50" s="421"/>
      <c r="CI50" s="433"/>
      <c r="CJ50" s="433" t="n">
        <f aca="false">CG50-AV50-AU50-AT50</f>
        <v>14047.2000000002</v>
      </c>
      <c r="CK50" s="433"/>
      <c r="CL50" s="433"/>
      <c r="CM50" s="433"/>
      <c r="CN50" s="433"/>
    </row>
    <row r="51" customFormat="false" ht="15" hidden="false" customHeight="true" outlineLevel="0" collapsed="false">
      <c r="A51" s="421" t="s">
        <v>893</v>
      </c>
      <c r="B51" s="422" t="n">
        <f aca="false">B50+B48-B47-B41*(1-B66/100)</f>
        <v>1565.44673797259</v>
      </c>
      <c r="C51" s="422" t="n">
        <f aca="false">C50-C47+(+C48-C41)*(1-C66/100)</f>
        <v>2990.35465788662</v>
      </c>
      <c r="D51" s="422" t="n">
        <f aca="false">D50+D48-D47</f>
        <v>2187.045</v>
      </c>
      <c r="E51" s="422" t="n">
        <f aca="false">E50-E47+(+E48-E41)</f>
        <v>4796.509</v>
      </c>
      <c r="F51" s="422" t="n">
        <f aca="false">F50-F47+(+F48-F41)</f>
        <v>2411.136</v>
      </c>
      <c r="G51" s="422" t="n">
        <f aca="false">G50-G47+(+G48-G41)</f>
        <v>2878.417</v>
      </c>
      <c r="H51" s="422" t="n">
        <f aca="false">H50-H47+(+H48-H41)</f>
        <v>2254.26</v>
      </c>
      <c r="I51" s="422" t="n">
        <f aca="false">I50-I47+(+I48-I41)</f>
        <v>4801.445</v>
      </c>
      <c r="J51" s="437" t="n">
        <f aca="false">J50-J47+(+J48-J41)*0.7</f>
        <v>1219.0494</v>
      </c>
      <c r="K51" s="437" t="n">
        <f aca="false">K50-K47+(+K48-K41)*0.7</f>
        <v>3361.0966</v>
      </c>
      <c r="L51" s="437" t="n">
        <f aca="false">L50-L47+(+L48-L41)*0.7</f>
        <v>4498.45739999999</v>
      </c>
      <c r="M51" s="437" t="n">
        <f aca="false">M50-M47+(+M48-M41)*0.7</f>
        <v>4887.24000000001</v>
      </c>
      <c r="N51" s="422" t="n">
        <f aca="false">N50-N47+(+N48-N41)</f>
        <v>6614.80200000001</v>
      </c>
      <c r="O51" s="437" t="n">
        <f aca="false">O50-O47+(+O48-O41)*0.7</f>
        <v>7414.39999999999</v>
      </c>
      <c r="P51" s="437" t="n">
        <f aca="false">P50-P47+(+P48-P41)*0.7</f>
        <v>3847.54969999999</v>
      </c>
      <c r="Q51" s="437" t="n">
        <f aca="false">Q50-Q47+(+Q48-Q41)*0.7</f>
        <v>4366.65999999999</v>
      </c>
      <c r="R51" s="422" t="n">
        <f aca="false">R50-R47+(+R48-R41)</f>
        <v>4755.22300000001</v>
      </c>
      <c r="S51" s="437" t="n">
        <f aca="false">S50-S47+(+S48-S41)*0.7</f>
        <v>5398.50000000002</v>
      </c>
      <c r="T51" s="437" t="n">
        <f aca="false">T50-T47+(+T48-T41)*0.7</f>
        <v>3857.61</v>
      </c>
      <c r="U51" s="437" t="n">
        <f aca="false">U50-U47+(+U48-U41)*0.7</f>
        <v>6611.66000000001</v>
      </c>
      <c r="V51" s="437" t="n">
        <f aca="false">V50+(+V48-V47-V41)*0.7</f>
        <v>2442.97000000001</v>
      </c>
      <c r="W51" s="422" t="n">
        <f aca="false">W50-W47+(+W48-W41)*0.75</f>
        <v>874.775000000003</v>
      </c>
      <c r="X51" s="437" t="n">
        <f aca="false">X50-X47+(+X48-X41)*0.7</f>
        <v>292.69</v>
      </c>
      <c r="Y51" s="422" t="n">
        <f aca="false">Y50-Y47+(+Y48-Y41)*0.75</f>
        <v>-57.7249999999999</v>
      </c>
      <c r="Z51" s="422" t="n">
        <f aca="false">Z50-Z47+(+Z48-Z41)*0.75</f>
        <v>-3875.475</v>
      </c>
      <c r="AA51" s="422" t="n">
        <f aca="false">AA50-AA47+(+AA48-AA41)*0.75</f>
        <v>-1453.95</v>
      </c>
      <c r="AB51" s="422" t="n">
        <f aca="false">AB50-AB47+(+AB48-AB41)*0.75</f>
        <v>151.425000000009</v>
      </c>
      <c r="AC51" s="422" t="n">
        <f aca="false">AC50-AC47+(+AC48-AC41)*0.75</f>
        <v>2131.57499999999</v>
      </c>
      <c r="AD51" s="422" t="n">
        <f aca="false">AD50-AD47+(+AD48-AD41)*0.75</f>
        <v>-2810.3</v>
      </c>
      <c r="AE51" s="422" t="n">
        <f aca="false">AE50-AE47+(+AE48-AE41)*0.75</f>
        <v>-831.825000000006</v>
      </c>
      <c r="AF51" s="422" t="n">
        <f aca="false">AF50-AF47+(+AF48-AF41)*0.75</f>
        <v>-257.549999999998</v>
      </c>
      <c r="AG51" s="422" t="n">
        <f aca="false">AG50-AG47+(+AG48-AG41)*0.75</f>
        <v>5486.74999999999</v>
      </c>
      <c r="AH51" s="422" t="n">
        <f aca="false">AH50-AH47+(+AH48-AH41)*0.75</f>
        <v>582.925000000003</v>
      </c>
      <c r="AI51" s="422" t="n">
        <f aca="false">AI50-AI47+(+AI48-AI41)*0.75</f>
        <v>1931.37499999999</v>
      </c>
      <c r="AJ51" s="422" t="n">
        <f aca="false">AJ50-AJ47+(+AJ48-AJ41)*0.75</f>
        <v>3561.34999999999</v>
      </c>
      <c r="AK51" s="422" t="n">
        <f aca="false">AK50-AK47+(+AK48-AK41)*0.75</f>
        <v>7090.87499999998</v>
      </c>
      <c r="AL51" s="422" t="n">
        <f aca="false">AL50-AL47+(+AL48-AL41)*0.75</f>
        <v>5768.625</v>
      </c>
      <c r="AM51" s="422" t="n">
        <f aca="false">AM50-AM47+(+AM48-AM41)*0.75</f>
        <v>5781.69999999999</v>
      </c>
      <c r="AN51" s="422" t="n">
        <f aca="false">AN50-AN47+(+AN48-AN41)*0.75</f>
        <v>5804.72500000002</v>
      </c>
      <c r="AO51" s="422" t="n">
        <f aca="false">AO50-AO47+(+AO48-AO41)*0.75</f>
        <v>9526.55000000001</v>
      </c>
      <c r="AP51" s="422" t="n">
        <f aca="false">AP50-AP47+(+AP48-AP41)*0.75</f>
        <v>5255.8</v>
      </c>
      <c r="AQ51" s="422" t="n">
        <f aca="false">AQ50-AQ47+(+AQ48-AQ41)*0.75</f>
        <v>6820.65</v>
      </c>
      <c r="AR51" s="422" t="n">
        <f aca="false">AR50-AR47+(+AR48-AR41)*0.75</f>
        <v>7617.4</v>
      </c>
      <c r="AS51" s="422" t="n">
        <f aca="false">AS50-AS47+(+AS48-AS41)*0.75</f>
        <v>12561.075</v>
      </c>
      <c r="AT51" s="422" t="n">
        <f aca="false">AT50-AT47+(+AT48-AT41)*0.75</f>
        <v>5937.3</v>
      </c>
      <c r="AU51" s="422" t="n">
        <f aca="false">AU50-AU47+(+AU48-AU41)*0.75</f>
        <v>8010.59999999999</v>
      </c>
      <c r="AV51" s="422" t="n">
        <f aca="false">AV50-AV47+(+AV48-AV41)*0.75</f>
        <v>10273.8</v>
      </c>
      <c r="AW51" s="422" t="n">
        <f aca="false">AW50-AW47+(+AW48-AW41)*0.75</f>
        <v>14047.2</v>
      </c>
      <c r="AX51" s="422" t="n">
        <f aca="false">AX50-AX47+(+AX48-AX41)*0.75</f>
        <v>6091.1</v>
      </c>
      <c r="AY51" s="421"/>
      <c r="AZ51" s="422" t="n">
        <f aca="false">AZ50-AZ47+(+AZ48-AZ41)</f>
        <v>5618.98419951009</v>
      </c>
      <c r="BA51" s="422" t="n">
        <f aca="false">BA50-BA47+(+BA48-BA41)</f>
        <v>2529.12279571916</v>
      </c>
      <c r="BB51" s="422" t="n">
        <f aca="false">BB50-BB47+(+BB48-BB41)</f>
        <v>203.204963399191</v>
      </c>
      <c r="BC51" s="422" t="n">
        <f aca="false">BC50-BC47+(+BC48-BC41)</f>
        <v>832.054555256065</v>
      </c>
      <c r="BD51" s="422" t="n">
        <f aca="false">BD50-BD47+(+BD48-BD41)</f>
        <v>-704.139527033655</v>
      </c>
      <c r="BE51" s="422" t="n">
        <f aca="false">BE50-BE47+(+BE48-BE41)</f>
        <v>-3527.3570619626</v>
      </c>
      <c r="BF51" s="422" t="n">
        <f aca="false">BF50-BF47+(+BF48-BF41)</f>
        <v>-561.925368683798</v>
      </c>
      <c r="BG51" s="422" t="n">
        <f aca="false">BG50-BG47+(+BG48-BG41)</f>
        <v>1467.58392858671</v>
      </c>
      <c r="BH51" s="422" t="n">
        <f aca="false">BH50-BH47+(+BH48-BH41)</f>
        <v>1747.17157076654</v>
      </c>
      <c r="BI51" s="422" t="n">
        <f aca="false">BI50-BI47+(+BI48-BI41)</f>
        <v>-2463.86147865904</v>
      </c>
      <c r="BJ51" s="422" t="n">
        <f aca="false">BJ50-BJ47+(+BJ48-BJ41)</f>
        <v>-420.411282640311</v>
      </c>
      <c r="BK51" s="422" t="n">
        <f aca="false">BK50-BK47+(+BK48-BK41)</f>
        <v>337.625447382854</v>
      </c>
      <c r="BL51" s="422" t="n">
        <f aca="false">BL50-BL47+(+BL48-BL41)</f>
        <v>2372.51052945159</v>
      </c>
      <c r="BM51" s="422" t="n">
        <f aca="false">BM50-BM47+(+BM48-BM41)</f>
        <v>1424.58929578399</v>
      </c>
      <c r="BN51" s="422" t="n">
        <f aca="false">BN50-BN47+(+BN48-BN41)</f>
        <v>1866.44517094112</v>
      </c>
      <c r="BO51" s="422" t="n">
        <f aca="false">BO50-BO47+(+BO48-BO41)</f>
        <v>2989.92311627337</v>
      </c>
      <c r="BP51" s="422" t="n">
        <f aca="false">BP50-BP47+(+BP48-BP41)</f>
        <v>6904.93597581259</v>
      </c>
      <c r="BQ51" s="422" t="n">
        <f aca="false">BQ50-BQ47+(+BQ48-BQ41)</f>
        <v>2618.37079897616</v>
      </c>
      <c r="BR51" s="422" t="n">
        <f aca="false">BR50-BR47+(+BR48-BR41)</f>
        <v>5821.4798055318</v>
      </c>
      <c r="BS51" s="422" t="n">
        <f aca="false">BS50-BS47+(+BS48-BS41)</f>
        <v>5082.99055867203</v>
      </c>
      <c r="BT51" s="422" t="n">
        <f aca="false">BT50-BT47+(+BT48-BT41)</f>
        <v>8131.17551567432</v>
      </c>
      <c r="BU51" s="422" t="n">
        <f aca="false">BU50-BU47+(+BU48-BU41)</f>
        <v>5286.08769536531</v>
      </c>
      <c r="BV51" s="422" t="n">
        <f aca="false">BV50-BV47+(+BV48-BV41)</f>
        <v>5074.77277569676</v>
      </c>
      <c r="BW51" s="422" t="n">
        <f aca="false">BW50-BW47+(+BW48-BW41)</f>
        <v>6069.65916309528</v>
      </c>
      <c r="BX51" s="422" t="n">
        <f aca="false">BX50-BX47+(+BX48-BX41)</f>
        <v>11322.1533859028</v>
      </c>
      <c r="BY51" s="422" t="n">
        <f aca="false">BY50-BY47+(+BY48-BY41)</f>
        <v>5883.58196882121</v>
      </c>
      <c r="BZ51" s="422" t="n">
        <f aca="false">BZ50-BZ47+(+BZ48-BZ41)</f>
        <v>6449.88545486385</v>
      </c>
      <c r="CA51" s="422" t="n">
        <f aca="false">CA50-CA47+(+CA48-CA41)</f>
        <v>9996.57721653968</v>
      </c>
      <c r="CB51" s="422" t="n">
        <f aca="false">CB50-CB47+(+CB48-CB41)</f>
        <v>13774.8429570399</v>
      </c>
      <c r="CC51" s="422" t="n">
        <f aca="false">CC50-CC47+(+CC48-CC41)</f>
        <v>6004.84065484052</v>
      </c>
      <c r="CD51" s="421"/>
      <c r="CE51" s="422" t="n">
        <f aca="false">CE50+CE48-CE47</f>
        <v>13244.535</v>
      </c>
      <c r="CF51" s="422"/>
      <c r="CG51" s="424" t="n">
        <f aca="false">'Main Model'!AI59</f>
        <v>39140.1000000002</v>
      </c>
      <c r="CH51" s="421"/>
      <c r="CI51" s="422"/>
      <c r="CJ51" s="422" t="n">
        <f aca="false">CG51-AV51-AU51-AT51</f>
        <v>14918.4000000002</v>
      </c>
      <c r="CK51" s="422"/>
      <c r="CL51" s="422" t="n">
        <f aca="false">+CM51-CA51-AU51-AT51</f>
        <v>15195.6227834605</v>
      </c>
      <c r="CM51" s="424" t="n">
        <f aca="false">+'Main Model'!AI59</f>
        <v>39140.1000000002</v>
      </c>
      <c r="CN51" s="422" t="n">
        <f aca="false">+CL51/BX51-1</f>
        <v>0.342114195554046</v>
      </c>
    </row>
    <row r="52" customFormat="false" ht="15" hidden="false" customHeight="true" outlineLevel="0" collapsed="false">
      <c r="A52" s="414" t="s">
        <v>575</v>
      </c>
      <c r="B52" s="434" t="n">
        <v>-23.951</v>
      </c>
      <c r="C52" s="434" t="n">
        <v>-49.387</v>
      </c>
      <c r="D52" s="434" t="n">
        <v>30.372</v>
      </c>
      <c r="E52" s="434" t="n">
        <v>14.29</v>
      </c>
      <c r="F52" s="434" t="n">
        <v>-90.624</v>
      </c>
      <c r="G52" s="434" t="n">
        <v>30.827</v>
      </c>
      <c r="H52" s="434" t="n">
        <v>-45.804</v>
      </c>
      <c r="I52" s="434" t="n">
        <v>190.777</v>
      </c>
      <c r="J52" s="434" t="n">
        <v>-35.031</v>
      </c>
      <c r="K52" s="434" t="n">
        <v>-174.085</v>
      </c>
      <c r="L52" s="434" t="n">
        <v>127.366</v>
      </c>
      <c r="M52" s="435"/>
      <c r="N52" s="434" t="n">
        <v>-272.89</v>
      </c>
      <c r="O52" s="435"/>
      <c r="P52" s="434" t="n">
        <v>-245.185</v>
      </c>
      <c r="Q52" s="434" t="n">
        <v>-245.185</v>
      </c>
      <c r="R52" s="434" t="n">
        <v>-343.341</v>
      </c>
      <c r="S52" s="435"/>
      <c r="T52" s="435"/>
      <c r="U52" s="435"/>
      <c r="V52" s="435"/>
      <c r="W52" s="435"/>
      <c r="X52" s="435"/>
      <c r="Y52" s="435"/>
      <c r="Z52" s="435"/>
      <c r="AA52" s="435"/>
      <c r="AB52" s="435"/>
      <c r="AC52" s="435"/>
      <c r="AD52" s="435"/>
      <c r="AE52" s="435"/>
      <c r="AF52" s="435"/>
      <c r="AG52" s="435"/>
      <c r="AH52" s="435"/>
      <c r="AI52" s="435"/>
      <c r="AJ52" s="435"/>
      <c r="AK52" s="435"/>
      <c r="AL52" s="435"/>
      <c r="AM52" s="435"/>
      <c r="AN52" s="435"/>
      <c r="AO52" s="435"/>
      <c r="AP52" s="435"/>
      <c r="AQ52" s="435"/>
      <c r="AR52" s="434" t="n">
        <v>7.8</v>
      </c>
      <c r="AS52" s="434" t="n">
        <v>57.5</v>
      </c>
      <c r="AT52" s="434" t="n">
        <v>-128.1</v>
      </c>
      <c r="AU52" s="434" t="n">
        <v>-576.4</v>
      </c>
      <c r="AV52" s="435"/>
      <c r="AW52" s="434" t="n">
        <v>-288.7</v>
      </c>
      <c r="AX52" s="434" t="n">
        <v>-92.5</v>
      </c>
      <c r="AZ52" s="435"/>
      <c r="BA52" s="435"/>
      <c r="BB52" s="435"/>
      <c r="BC52" s="435"/>
      <c r="BD52" s="435"/>
      <c r="BE52" s="435"/>
      <c r="BF52" s="435"/>
      <c r="BG52" s="435"/>
      <c r="BH52" s="435"/>
      <c r="BI52" s="435"/>
      <c r="BJ52" s="435"/>
      <c r="BK52" s="435"/>
      <c r="BL52" s="435"/>
      <c r="BM52" s="435"/>
      <c r="BN52" s="435"/>
      <c r="BO52" s="435"/>
      <c r="BP52" s="435"/>
      <c r="BQ52" s="435"/>
      <c r="BR52" s="435"/>
      <c r="BS52" s="435"/>
      <c r="BT52" s="435"/>
      <c r="BU52" s="435"/>
      <c r="BV52" s="435"/>
      <c r="BW52" s="435"/>
      <c r="BX52" s="435"/>
      <c r="BY52" s="435"/>
      <c r="BZ52" s="435"/>
      <c r="CA52" s="435"/>
      <c r="CB52" s="435"/>
      <c r="CC52" s="435"/>
      <c r="CE52" s="435"/>
      <c r="CF52" s="435"/>
      <c r="CG52" s="435"/>
      <c r="CI52" s="435"/>
      <c r="CJ52" s="435"/>
      <c r="CK52" s="435"/>
      <c r="CL52" s="435"/>
      <c r="CM52" s="435"/>
      <c r="CN52" s="435"/>
    </row>
    <row r="53" customFormat="false" ht="15" hidden="false" customHeight="true" outlineLevel="0" collapsed="false">
      <c r="A53" s="421" t="s">
        <v>894</v>
      </c>
      <c r="B53" s="433" t="n">
        <f aca="false">+B50+B52</f>
        <v>1421.01</v>
      </c>
      <c r="C53" s="433" t="n">
        <f aca="false">+C50+C52</f>
        <v>1672.707</v>
      </c>
      <c r="D53" s="433" t="n">
        <f aca="false">+D50+D52</f>
        <v>2167.417</v>
      </c>
      <c r="E53" s="433" t="n">
        <f aca="false">+E50+E52</f>
        <v>-1393.825</v>
      </c>
      <c r="F53" s="433" t="n">
        <f aca="false">+F50+F52</f>
        <v>2817.22</v>
      </c>
      <c r="G53" s="433" t="n">
        <f aca="false">+G50+G52</f>
        <v>2974.927</v>
      </c>
      <c r="H53" s="433" t="n">
        <f aca="false">+H50+H52</f>
        <v>1571.356</v>
      </c>
      <c r="I53" s="433" t="n">
        <f aca="false">+I50+I52</f>
        <v>4952.446</v>
      </c>
      <c r="J53" s="433" t="n">
        <f aca="false">+J50+J52</f>
        <v>1077.323</v>
      </c>
      <c r="K53" s="433" t="n">
        <f aca="false">+K50+K52</f>
        <v>3168.512</v>
      </c>
      <c r="L53" s="433" t="n">
        <f aca="false">+L50+L52</f>
        <v>4624.46399999999</v>
      </c>
      <c r="M53" s="433" t="n">
        <f aca="false">+M50+M52</f>
        <v>4848.60000000001</v>
      </c>
      <c r="N53" s="433" t="n">
        <f aca="false">+N50+N52</f>
        <v>6400.95700000001</v>
      </c>
      <c r="O53" s="433" t="n">
        <f aca="false">+O50+O52</f>
        <v>7431.19999999999</v>
      </c>
      <c r="P53" s="433" t="n">
        <f aca="false">+P50+P52</f>
        <v>3455.82599999999</v>
      </c>
      <c r="Q53" s="433" t="n">
        <f aca="false">+Q50+Q52</f>
        <v>3971.115</v>
      </c>
      <c r="R53" s="433" t="n">
        <f aca="false">+R50+R52</f>
        <v>4252.45100000001</v>
      </c>
      <c r="S53" s="433" t="n">
        <f aca="false">+S50+S52</f>
        <v>5277.40000000002</v>
      </c>
      <c r="T53" s="433" t="n">
        <f aca="false">+T50+T52</f>
        <v>3808.4</v>
      </c>
      <c r="U53" s="433" t="n">
        <f aca="false">+U50+U52</f>
        <v>6529.90000000001</v>
      </c>
      <c r="V53" s="433" t="n">
        <f aca="false">+V50+V52</f>
        <v>2302.20000000001</v>
      </c>
      <c r="W53" s="433" t="n">
        <f aca="false">+W50+W52</f>
        <v>388.700000000003</v>
      </c>
      <c r="X53" s="433" t="n">
        <f aca="false">+X50+X52</f>
        <v>277.5</v>
      </c>
      <c r="Y53" s="433" t="n">
        <f aca="false">+Y50+Y52</f>
        <v>-573.2</v>
      </c>
      <c r="Z53" s="433" t="n">
        <f aca="false">+Z50+Z52</f>
        <v>-3888</v>
      </c>
      <c r="AA53" s="433" t="n">
        <f aca="false">+AA50+AA52</f>
        <v>-1466.7</v>
      </c>
      <c r="AB53" s="433" t="n">
        <f aca="false">+AB50+AB52</f>
        <v>-193.799999999991</v>
      </c>
      <c r="AC53" s="433" t="n">
        <f aca="false">+AC50+AC52</f>
        <v>2411.69999999999</v>
      </c>
      <c r="AD53" s="433" t="n">
        <f aca="false">+AD50+AD52</f>
        <v>-2822.9</v>
      </c>
      <c r="AE53" s="433" t="n">
        <f aca="false">+AE50+AE52</f>
        <v>-830.100000000006</v>
      </c>
      <c r="AF53" s="433" t="n">
        <f aca="false">+AF50+AF52</f>
        <v>57.6000000000016</v>
      </c>
      <c r="AG53" s="433" t="n">
        <f aca="false">+AG50+AG52</f>
        <v>9013.69999999999</v>
      </c>
      <c r="AH53" s="433" t="n">
        <f aca="false">+AH50+AH52</f>
        <v>680.500000000003</v>
      </c>
      <c r="AI53" s="433" t="n">
        <f aca="false">+AI50+AI52</f>
        <v>1993.09999999999</v>
      </c>
      <c r="AJ53" s="433" t="n">
        <f aca="false">+AJ50+AJ52</f>
        <v>3613.39999999999</v>
      </c>
      <c r="AK53" s="433" t="n">
        <f aca="false">+AK50+AK52</f>
        <v>7514.09999999998</v>
      </c>
      <c r="AL53" s="433" t="n">
        <f aca="false">+AL50+AL52</f>
        <v>5764.2</v>
      </c>
      <c r="AM53" s="433" t="n">
        <f aca="false">+AM50+AM52</f>
        <v>5610.09999999999</v>
      </c>
      <c r="AN53" s="433" t="n">
        <f aca="false">+AN50+AN52</f>
        <v>5800.30000000002</v>
      </c>
      <c r="AO53" s="433" t="n">
        <f aca="false">+AO50+AO52</f>
        <v>9004.10000000001</v>
      </c>
      <c r="AP53" s="433" t="n">
        <f aca="false">+AP50+AP52</f>
        <v>5255.8</v>
      </c>
      <c r="AQ53" s="433" t="n">
        <f aca="false">+AQ50+AQ52</f>
        <v>7701</v>
      </c>
      <c r="AR53" s="433" t="n">
        <f aca="false">+AR50+AR52</f>
        <v>7625.2</v>
      </c>
      <c r="AS53" s="433" t="n">
        <f aca="false">+AS50+AS52</f>
        <v>12516.2</v>
      </c>
      <c r="AT53" s="433" t="n">
        <f aca="false">+AT50+AT52</f>
        <v>5809.2</v>
      </c>
      <c r="AU53" s="433" t="n">
        <f aca="false">+AU50+AU52</f>
        <v>7134.19999999999</v>
      </c>
      <c r="AV53" s="433" t="n">
        <f aca="false">+AV50+AV52</f>
        <v>7960.2</v>
      </c>
      <c r="AW53" s="433" t="n">
        <f aca="false">+AW50+AW52</f>
        <v>13758.5</v>
      </c>
      <c r="AX53" s="433" t="n">
        <f aca="false">+AX50+AX52</f>
        <v>5998.6</v>
      </c>
      <c r="AY53" s="421"/>
      <c r="AZ53" s="433"/>
      <c r="BA53" s="433"/>
      <c r="BB53" s="433"/>
      <c r="BC53" s="433"/>
      <c r="BD53" s="433"/>
      <c r="BE53" s="433"/>
      <c r="BF53" s="433"/>
      <c r="BG53" s="433"/>
      <c r="BH53" s="433"/>
      <c r="BI53" s="433"/>
      <c r="BJ53" s="433"/>
      <c r="BK53" s="433"/>
      <c r="BL53" s="433"/>
      <c r="BM53" s="433"/>
      <c r="BN53" s="433"/>
      <c r="BO53" s="433"/>
      <c r="BP53" s="433"/>
      <c r="BQ53" s="433"/>
      <c r="BR53" s="433"/>
      <c r="BS53" s="433"/>
      <c r="BT53" s="433"/>
      <c r="BU53" s="433"/>
      <c r="BV53" s="433"/>
      <c r="BW53" s="433"/>
      <c r="BX53" s="433"/>
      <c r="BY53" s="433"/>
      <c r="BZ53" s="433"/>
      <c r="CA53" s="433"/>
      <c r="CB53" s="433"/>
      <c r="CC53" s="433"/>
      <c r="CD53" s="421"/>
      <c r="CE53" s="433"/>
      <c r="CF53" s="433"/>
      <c r="CG53" s="433"/>
      <c r="CH53" s="421"/>
      <c r="CI53" s="433"/>
      <c r="CJ53" s="433"/>
      <c r="CK53" s="433"/>
      <c r="CL53" s="433"/>
      <c r="CM53" s="433"/>
      <c r="CN53" s="433"/>
    </row>
    <row r="55" customFormat="false" ht="15" hidden="false" customHeight="true" outlineLevel="0" collapsed="false">
      <c r="A55" s="412" t="s">
        <v>895</v>
      </c>
      <c r="B55" s="413"/>
      <c r="C55" s="413"/>
      <c r="D55" s="413"/>
      <c r="E55" s="413"/>
      <c r="F55" s="413"/>
      <c r="G55" s="413"/>
      <c r="H55" s="413"/>
      <c r="I55" s="413"/>
      <c r="J55" s="413"/>
      <c r="K55" s="413"/>
      <c r="L55" s="413"/>
      <c r="M55" s="413"/>
      <c r="N55" s="413"/>
      <c r="O55" s="413"/>
      <c r="P55" s="413"/>
      <c r="Q55" s="413"/>
      <c r="R55" s="413"/>
      <c r="S55" s="413"/>
      <c r="T55" s="413"/>
      <c r="U55" s="413"/>
      <c r="V55" s="413"/>
      <c r="W55" s="413"/>
      <c r="X55" s="413"/>
      <c r="Y55" s="413"/>
      <c r="Z55" s="413"/>
      <c r="AA55" s="413"/>
      <c r="AB55" s="413"/>
      <c r="AC55" s="413"/>
      <c r="AD55" s="413"/>
      <c r="AE55" s="413"/>
      <c r="AF55" s="413"/>
      <c r="AG55" s="413"/>
      <c r="AH55" s="413"/>
      <c r="AI55" s="413"/>
      <c r="AJ55" s="413"/>
      <c r="AK55" s="413"/>
      <c r="AL55" s="413"/>
      <c r="AM55" s="413"/>
      <c r="AN55" s="413"/>
      <c r="AO55" s="413"/>
      <c r="AP55" s="413"/>
      <c r="AQ55" s="413"/>
      <c r="AR55" s="413"/>
      <c r="AS55" s="413"/>
      <c r="AT55" s="413"/>
      <c r="AU55" s="413"/>
      <c r="AV55" s="413"/>
      <c r="AW55" s="413"/>
      <c r="AX55" s="413"/>
      <c r="AY55" s="413"/>
      <c r="AZ55" s="413"/>
      <c r="BA55" s="413"/>
      <c r="BB55" s="413"/>
      <c r="BC55" s="413"/>
      <c r="BD55" s="413"/>
      <c r="BE55" s="413"/>
      <c r="BF55" s="413"/>
      <c r="BG55" s="413"/>
      <c r="BH55" s="413"/>
      <c r="BI55" s="413"/>
      <c r="BJ55" s="413"/>
      <c r="BK55" s="413"/>
      <c r="BL55" s="413"/>
      <c r="BM55" s="413"/>
      <c r="BN55" s="413"/>
      <c r="BO55" s="413"/>
      <c r="BP55" s="413"/>
      <c r="BQ55" s="413"/>
      <c r="BR55" s="413"/>
      <c r="BS55" s="413"/>
      <c r="BT55" s="413"/>
      <c r="BU55" s="413"/>
      <c r="BV55" s="413"/>
      <c r="BW55" s="413"/>
      <c r="BX55" s="413"/>
      <c r="BY55" s="413"/>
      <c r="BZ55" s="413"/>
      <c r="CA55" s="413"/>
      <c r="CB55" s="413"/>
      <c r="CC55" s="413"/>
      <c r="CD55" s="413"/>
      <c r="CE55" s="413"/>
      <c r="CF55" s="413"/>
      <c r="CG55" s="413"/>
      <c r="CH55" s="413"/>
      <c r="CI55" s="413"/>
      <c r="CJ55" s="413"/>
      <c r="CK55" s="413"/>
      <c r="CL55" s="413"/>
      <c r="CM55" s="413"/>
      <c r="CN55" s="413"/>
    </row>
    <row r="56" customFormat="false" ht="15" hidden="false" customHeight="true" outlineLevel="0" collapsed="false">
      <c r="A56" s="414" t="s">
        <v>261</v>
      </c>
      <c r="B56" s="428" t="n">
        <f aca="false">B40+B43</f>
        <v>4183.824</v>
      </c>
      <c r="C56" s="428" t="n">
        <f aca="false">C40+C43</f>
        <v>6694.638</v>
      </c>
      <c r="D56" s="428" t="n">
        <f aca="false">D40+D43</f>
        <v>4790.54</v>
      </c>
      <c r="E56" s="428" t="n">
        <f aca="false">E40+E43</f>
        <v>8053.511</v>
      </c>
      <c r="F56" s="428" t="n">
        <f aca="false">F40+F43</f>
        <v>5205.5</v>
      </c>
      <c r="G56" s="428" t="n">
        <f aca="false">G40+G43</f>
        <v>5681.014</v>
      </c>
      <c r="H56" s="428" t="n">
        <f aca="false">H40+H43</f>
        <v>4798.976</v>
      </c>
      <c r="I56" s="428" t="n">
        <f aca="false">I40+I43</f>
        <v>7702.583</v>
      </c>
      <c r="J56" s="428" t="n">
        <f aca="false">J40+J43</f>
        <v>3444.815</v>
      </c>
      <c r="K56" s="428" t="n">
        <f aca="false">K40+K43</f>
        <v>6674.573</v>
      </c>
      <c r="L56" s="428" t="n">
        <f aca="false">L40+L43</f>
        <v>8263.93399999999</v>
      </c>
      <c r="M56" s="428" t="n">
        <f aca="false">M40+M43</f>
        <v>8810.40000000001</v>
      </c>
      <c r="N56" s="428" t="n">
        <f aca="false">N40+N43</f>
        <v>10904.132</v>
      </c>
      <c r="O56" s="428" t="n">
        <f aca="false">O40+O43</f>
        <v>11850.5</v>
      </c>
      <c r="P56" s="428" t="n">
        <f aca="false">P40+P43</f>
        <v>6975.31799999999</v>
      </c>
      <c r="Q56" s="428" t="n">
        <f aca="false">Q40+Q43</f>
        <v>7241.09999999999</v>
      </c>
      <c r="R56" s="428" t="n">
        <f aca="false">R40+R43</f>
        <v>8340.76600000001</v>
      </c>
      <c r="S56" s="428" t="n">
        <f aca="false">S40+S43</f>
        <v>8566.20000000002</v>
      </c>
      <c r="T56" s="428" t="n">
        <f aca="false">T40+T43</f>
        <v>6704.3</v>
      </c>
      <c r="U56" s="428" t="n">
        <f aca="false">U40+U43</f>
        <v>9945.20000000001</v>
      </c>
      <c r="V56" s="428" t="n">
        <f aca="false">V40+V43</f>
        <v>5580.4</v>
      </c>
      <c r="W56" s="428" t="n">
        <f aca="false">W40+W43</f>
        <v>2740.8</v>
      </c>
      <c r="X56" s="428" t="n">
        <f aca="false">X40+X43</f>
        <v>2474.8</v>
      </c>
      <c r="Y56" s="428" t="n">
        <f aca="false">Y40+Y43</f>
        <v>2173.9</v>
      </c>
      <c r="Z56" s="428" t="n">
        <f aca="false">Z40+Z43</f>
        <v>-3076.2</v>
      </c>
      <c r="AA56" s="428" t="n">
        <f aca="false">AA40+AA43</f>
        <v>1023</v>
      </c>
      <c r="AB56" s="428" t="n">
        <f aca="false">AB40+AB43</f>
        <v>2878.50000000001</v>
      </c>
      <c r="AC56" s="428" t="n">
        <f aca="false">AC40+AC43</f>
        <v>5721.09999999999</v>
      </c>
      <c r="AD56" s="428" t="n">
        <f aca="false">AD40+AD43</f>
        <v>-1267</v>
      </c>
      <c r="AE56" s="428" t="n">
        <f aca="false">AE40+AE43</f>
        <v>1556.19999999999</v>
      </c>
      <c r="AF56" s="428" t="n">
        <f aca="false">AF40+AF43</f>
        <v>2415.3</v>
      </c>
      <c r="AG56" s="428" t="n">
        <f aca="false">AG40+AG43</f>
        <v>8001.99999999999</v>
      </c>
      <c r="AH56" s="428" t="n">
        <f aca="false">AH40+AH43</f>
        <v>3459.2</v>
      </c>
      <c r="AI56" s="428" t="n">
        <f aca="false">AI40+AI43</f>
        <v>5573.29999999999</v>
      </c>
      <c r="AJ56" s="428" t="n">
        <f aca="false">AJ40+AJ43</f>
        <v>8289.29999999999</v>
      </c>
      <c r="AK56" s="428" t="n">
        <f aca="false">AK40+AK43</f>
        <v>13146.6</v>
      </c>
      <c r="AL56" s="428" t="n">
        <f aca="false">AL40+AL43</f>
        <v>8719.3</v>
      </c>
      <c r="AM56" s="428" t="n">
        <f aca="false">AM40+AM43</f>
        <v>11272.5</v>
      </c>
      <c r="AN56" s="428" t="n">
        <f aca="false">AN40+AN43</f>
        <v>11439.6</v>
      </c>
      <c r="AO56" s="428" t="n">
        <f aca="false">AO40+AO43</f>
        <v>17100.1</v>
      </c>
      <c r="AP56" s="428" t="n">
        <f aca="false">AP40+AP43</f>
        <v>9332.1</v>
      </c>
      <c r="AQ56" s="428" t="n">
        <f aca="false">AQ40+AQ43</f>
        <v>11145.7</v>
      </c>
      <c r="AR56" s="428" t="n">
        <f aca="false">AR40+AR43</f>
        <v>12361.4</v>
      </c>
      <c r="AS56" s="428" t="n">
        <f aca="false">AS40+AS43</f>
        <v>18968.9</v>
      </c>
      <c r="AT56" s="428" t="n">
        <f aca="false">AT40+AT43</f>
        <v>10224</v>
      </c>
      <c r="AU56" s="428" t="n">
        <f aca="false">AU40+AU43</f>
        <v>12969.4</v>
      </c>
      <c r="AV56" s="428" t="n">
        <f aca="false">AV40+AV43</f>
        <v>15942.7</v>
      </c>
      <c r="AW56" s="428" t="n">
        <f aca="false">AW40+AW43</f>
        <v>21338.1</v>
      </c>
      <c r="AX56" s="428" t="n">
        <f aca="false">AX40+AX43</f>
        <v>10546.3</v>
      </c>
      <c r="AZ56" s="427"/>
      <c r="BA56" s="427"/>
      <c r="BB56" s="427"/>
      <c r="BC56" s="427"/>
      <c r="BD56" s="427"/>
      <c r="BE56" s="427"/>
      <c r="BF56" s="427"/>
      <c r="BG56" s="427"/>
      <c r="BH56" s="427"/>
      <c r="BI56" s="427"/>
      <c r="BJ56" s="427"/>
      <c r="BK56" s="427"/>
      <c r="BL56" s="427"/>
      <c r="BM56" s="427"/>
      <c r="BN56" s="427"/>
      <c r="BO56" s="427"/>
      <c r="BP56" s="427"/>
      <c r="BQ56" s="427"/>
      <c r="BR56" s="427"/>
      <c r="BS56" s="427"/>
      <c r="BT56" s="427"/>
      <c r="BU56" s="427"/>
      <c r="BV56" s="427"/>
      <c r="BW56" s="427"/>
      <c r="BX56" s="427"/>
      <c r="BY56" s="427"/>
      <c r="BZ56" s="427"/>
      <c r="CA56" s="427"/>
      <c r="CB56" s="427"/>
      <c r="CC56" s="427"/>
      <c r="CE56" s="428" t="n">
        <f aca="false">CE40+CE43</f>
        <v>22492.921</v>
      </c>
      <c r="CF56" s="427"/>
      <c r="CG56" s="427"/>
      <c r="CI56" s="427"/>
      <c r="CJ56" s="427"/>
      <c r="CK56" s="427"/>
      <c r="CL56" s="427"/>
      <c r="CM56" s="427"/>
      <c r="CN56" s="427"/>
    </row>
    <row r="57" customFormat="false" ht="15" hidden="false" customHeight="true" outlineLevel="0" collapsed="false">
      <c r="A57" s="414" t="s">
        <v>896</v>
      </c>
      <c r="B57" s="428" t="n">
        <f aca="false">B40-B45</f>
        <v>2787.327</v>
      </c>
      <c r="C57" s="428" t="n">
        <f aca="false">C40-C45</f>
        <v>5009.102</v>
      </c>
      <c r="D57" s="428" t="n">
        <f aca="false">D40-D45</f>
        <v>3298.373</v>
      </c>
      <c r="E57" s="428" t="n">
        <f aca="false">E40-E45</f>
        <v>6519.115</v>
      </c>
      <c r="F57" s="428" t="n">
        <f aca="false">F40-F45</f>
        <v>3610.601</v>
      </c>
      <c r="G57" s="428" t="n">
        <f aca="false">G40-G45</f>
        <v>4103.763</v>
      </c>
      <c r="H57" s="428" t="n">
        <f aca="false">H40-H45</f>
        <v>3227.81</v>
      </c>
      <c r="I57" s="428" t="n">
        <f aca="false">I40-I45</f>
        <v>5904.259</v>
      </c>
      <c r="J57" s="428" t="n">
        <f aca="false">J40-J45</f>
        <v>1739.406</v>
      </c>
      <c r="K57" s="428" t="n">
        <f aca="false">K40-K45</f>
        <v>4706.615</v>
      </c>
      <c r="L57" s="428" t="n">
        <f aca="false">L40-L45</f>
        <v>6533.90599999999</v>
      </c>
      <c r="M57" s="428" t="n">
        <f aca="false">M40-M45</f>
        <v>6933.60000000001</v>
      </c>
      <c r="N57" s="428" t="n">
        <f aca="false">N40-N45</f>
        <v>8863.78600000001</v>
      </c>
      <c r="O57" s="428" t="n">
        <f aca="false">O40-O45</f>
        <v>9682.19999999999</v>
      </c>
      <c r="P57" s="428" t="n">
        <f aca="false">P40-P45</f>
        <v>5045.00599999999</v>
      </c>
      <c r="Q57" s="428" t="n">
        <f aca="false">Q40-Q45</f>
        <v>5191.59999999999</v>
      </c>
      <c r="R57" s="428" t="n">
        <f aca="false">R40-R45</f>
        <v>6657.46800000001</v>
      </c>
      <c r="S57" s="428" t="n">
        <f aca="false">S40-S45</f>
        <v>6809.20000000002</v>
      </c>
      <c r="T57" s="428" t="n">
        <f aca="false">T40-T45</f>
        <v>4889.7</v>
      </c>
      <c r="U57" s="428" t="n">
        <f aca="false">U40-U45</f>
        <v>8256.80000000001</v>
      </c>
      <c r="V57" s="428" t="n">
        <f aca="false">V40-V45</f>
        <v>3723.3</v>
      </c>
      <c r="W57" s="428" t="n">
        <f aca="false">W40-W45</f>
        <v>685.400000000003</v>
      </c>
      <c r="X57" s="428" t="n">
        <f aca="false">X40-X45</f>
        <v>676.9</v>
      </c>
      <c r="Y57" s="428" t="n">
        <f aca="false">Y40-Y45</f>
        <v>-47.0999999999999</v>
      </c>
      <c r="Z57" s="428" t="n">
        <f aca="false">Z40-Z45</f>
        <v>-4969.1</v>
      </c>
      <c r="AA57" s="428" t="n">
        <f aca="false">AA40-AA45</f>
        <v>-907.300000000001</v>
      </c>
      <c r="AB57" s="428" t="n">
        <f aca="false">AB40-AB45</f>
        <v>593.600000000009</v>
      </c>
      <c r="AC57" s="428" t="n">
        <f aca="false">AC40-AC45</f>
        <v>3157.09999999999</v>
      </c>
      <c r="AD57" s="428" t="n">
        <f aca="false">AD40-AD45</f>
        <v>-3235.9</v>
      </c>
      <c r="AE57" s="428" t="n">
        <f aca="false">AE40-AE45</f>
        <v>-495.800000000006</v>
      </c>
      <c r="AF57" s="428" t="n">
        <f aca="false">AF40-AF45</f>
        <v>342.400000000001</v>
      </c>
      <c r="AG57" s="428" t="n">
        <f aca="false">AG40-AG45</f>
        <v>5806.89999999999</v>
      </c>
      <c r="AH57" s="428" t="n">
        <f aca="false">AH40-AH45</f>
        <v>1378.8</v>
      </c>
      <c r="AI57" s="428" t="n">
        <f aca="false">AI40-AI45</f>
        <v>3605.49999999999</v>
      </c>
      <c r="AJ57" s="428" t="n">
        <f aca="false">AJ40-AJ45</f>
        <v>6083.89999999999</v>
      </c>
      <c r="AK57" s="428" t="n">
        <f aca="false">AK40-AK45</f>
        <v>10919.2</v>
      </c>
      <c r="AL57" s="428" t="n">
        <f aca="false">AL40-AL45</f>
        <v>6413.9</v>
      </c>
      <c r="AM57" s="428" t="n">
        <f aca="false">AM40-AM45</f>
        <v>8995</v>
      </c>
      <c r="AN57" s="428" t="n">
        <f aca="false">AN40-AN45</f>
        <v>9354.60000000002</v>
      </c>
      <c r="AO57" s="428" t="n">
        <f aca="false">AO40-AO45</f>
        <v>14124.2</v>
      </c>
      <c r="AP57" s="428" t="n">
        <f aca="false">AP40-AP45</f>
        <v>7381.5</v>
      </c>
      <c r="AQ57" s="428" t="n">
        <f aca="false">AQ40-AQ45</f>
        <v>8418.6</v>
      </c>
      <c r="AR57" s="428" t="n">
        <f aca="false">AR40-AR45</f>
        <v>10191</v>
      </c>
      <c r="AS57" s="428" t="n">
        <f aca="false">AS40-AS45</f>
        <v>16121.1</v>
      </c>
      <c r="AT57" s="428" t="n">
        <f aca="false">AT40-AT45</f>
        <v>7867.4</v>
      </c>
      <c r="AU57" s="428" t="n">
        <f aca="false">AU40-AU45</f>
        <v>9898.59999999999</v>
      </c>
      <c r="AV57" s="428" t="n">
        <f aca="false">AV40-AV45</f>
        <v>13575.6</v>
      </c>
      <c r="AW57" s="428" t="n">
        <f aca="false">AW40-AW45</f>
        <v>18829</v>
      </c>
      <c r="AX57" s="428" t="n">
        <f aca="false">AX40-AX45</f>
        <v>7866.1</v>
      </c>
      <c r="AZ57" s="427"/>
      <c r="BA57" s="427"/>
      <c r="BB57" s="427"/>
      <c r="BC57" s="427"/>
      <c r="BD57" s="427"/>
      <c r="BE57" s="427"/>
      <c r="BF57" s="427"/>
      <c r="BG57" s="427"/>
      <c r="BH57" s="427"/>
      <c r="BI57" s="427"/>
      <c r="BJ57" s="427"/>
      <c r="BK57" s="427"/>
      <c r="BL57" s="427"/>
      <c r="BM57" s="427"/>
      <c r="BN57" s="427"/>
      <c r="BO57" s="427"/>
      <c r="BP57" s="427"/>
      <c r="BQ57" s="427"/>
      <c r="BR57" s="427"/>
      <c r="BS57" s="427"/>
      <c r="BT57" s="427"/>
      <c r="BU57" s="427"/>
      <c r="BV57" s="427"/>
      <c r="BW57" s="427"/>
      <c r="BX57" s="427"/>
      <c r="BY57" s="427"/>
      <c r="BZ57" s="427"/>
      <c r="CA57" s="427"/>
      <c r="CB57" s="427"/>
      <c r="CC57" s="427"/>
      <c r="CE57" s="428" t="n">
        <f aca="false">CE40-CE45</f>
        <v>17613.917</v>
      </c>
      <c r="CF57" s="427"/>
      <c r="CG57" s="427"/>
      <c r="CI57" s="427"/>
      <c r="CJ57" s="427"/>
      <c r="CK57" s="427"/>
      <c r="CL57" s="427"/>
      <c r="CM57" s="427"/>
      <c r="CN57" s="427"/>
    </row>
    <row r="58" customFormat="false" ht="15" hidden="false" customHeight="true" outlineLevel="0" collapsed="false">
      <c r="A58" s="414" t="s">
        <v>264</v>
      </c>
      <c r="B58" s="428" t="n">
        <f aca="false">B51+B45</f>
        <v>2703.12973797259</v>
      </c>
      <c r="C58" s="428" t="n">
        <f aca="false">C51+C45</f>
        <v>4221.47865788662</v>
      </c>
      <c r="D58" s="428" t="n">
        <f aca="false">D51+D45</f>
        <v>3381.271</v>
      </c>
      <c r="E58" s="428" t="n">
        <f aca="false">E51+E45</f>
        <v>6112.48</v>
      </c>
      <c r="F58" s="428" t="n">
        <f aca="false">F51+F45</f>
        <v>3620.861</v>
      </c>
      <c r="G58" s="428" t="n">
        <f aca="false">G51+G45</f>
        <v>4139.524</v>
      </c>
      <c r="H58" s="428" t="n">
        <f aca="false">H51+H45</f>
        <v>3567.61</v>
      </c>
      <c r="I58" s="428" t="n">
        <f aca="false">I51+I45</f>
        <v>6196.20200000001</v>
      </c>
      <c r="J58" s="428" t="n">
        <f aca="false">J51+J45</f>
        <v>2540.3694</v>
      </c>
      <c r="K58" s="428" t="n">
        <f aca="false">K51+K45</f>
        <v>4772.4506</v>
      </c>
      <c r="L58" s="428" t="n">
        <f aca="false">L51+L45</f>
        <v>5848.82839999999</v>
      </c>
      <c r="M58" s="428" t="n">
        <f aca="false">M51+M45</f>
        <v>6346.74000000001</v>
      </c>
      <c r="N58" s="428" t="n">
        <f aca="false">N51+N45</f>
        <v>8077.85100000001</v>
      </c>
      <c r="O58" s="428" t="n">
        <f aca="false">O51+O45</f>
        <v>8988.6</v>
      </c>
      <c r="P58" s="428" t="n">
        <f aca="false">P51+P45</f>
        <v>5278.01169999999</v>
      </c>
      <c r="Q58" s="428" t="n">
        <f aca="false">Q51+Q45</f>
        <v>5891.46</v>
      </c>
      <c r="R58" s="428" t="n">
        <f aca="false">R51+R45</f>
        <v>6157.06900000001</v>
      </c>
      <c r="S58" s="428" t="n">
        <f aca="false">S51+S45</f>
        <v>6879.60000000002</v>
      </c>
      <c r="T58" s="428" t="n">
        <f aca="false">T51+T45</f>
        <v>5464.21</v>
      </c>
      <c r="U58" s="428" t="n">
        <f aca="false">U51+U45</f>
        <v>8209.26000000001</v>
      </c>
      <c r="V58" s="428" t="n">
        <f aca="false">V51+V45</f>
        <v>4089.37000000001</v>
      </c>
      <c r="W58" s="428" t="n">
        <f aca="false">W51+W45</f>
        <v>2475.175</v>
      </c>
      <c r="X58" s="428" t="n">
        <f aca="false">X51+X45</f>
        <v>1867.29</v>
      </c>
      <c r="Y58" s="428" t="n">
        <f aca="false">Y51+Y45</f>
        <v>1818.875</v>
      </c>
      <c r="Z58" s="428" t="n">
        <f aca="false">Z51+Z45</f>
        <v>-2238.775</v>
      </c>
      <c r="AA58" s="428" t="n">
        <f aca="false">AA51+AA45</f>
        <v>257.649999999999</v>
      </c>
      <c r="AB58" s="428" t="n">
        <f aca="false">AB51+AB45</f>
        <v>2095.72500000001</v>
      </c>
      <c r="AC58" s="428" t="n">
        <f aca="false">AC51+AC45</f>
        <v>4316.07499999999</v>
      </c>
      <c r="AD58" s="428" t="n">
        <f aca="false">AD51+AD45</f>
        <v>-975.400000000001</v>
      </c>
      <c r="AE58" s="428" t="n">
        <f aca="false">AE51+AE45</f>
        <v>1010.87499999999</v>
      </c>
      <c r="AF58" s="428" t="n">
        <f aca="false">AF51+AF45</f>
        <v>1638.95</v>
      </c>
      <c r="AG58" s="428" t="n">
        <f aca="false">AG51+AG45</f>
        <v>7440.24999999999</v>
      </c>
      <c r="AH58" s="428" t="n">
        <f aca="false">AH51+AH45</f>
        <v>2406.925</v>
      </c>
      <c r="AI58" s="428" t="n">
        <f aca="false">AI51+AI45</f>
        <v>3699.27499999999</v>
      </c>
      <c r="AJ58" s="428" t="n">
        <f aca="false">AJ51+AJ45</f>
        <v>5450.84999999999</v>
      </c>
      <c r="AK58" s="428" t="n">
        <f aca="false">AK51+AK45</f>
        <v>8929.07499999998</v>
      </c>
      <c r="AL58" s="428" t="n">
        <f aca="false">AL51+AL45</f>
        <v>7562.225</v>
      </c>
      <c r="AM58" s="428" t="n">
        <f aca="false">AM51+AM45</f>
        <v>7584.6</v>
      </c>
      <c r="AN58" s="428" t="n">
        <f aca="false">AN51+AN45</f>
        <v>7589.42500000002</v>
      </c>
      <c r="AO58" s="428" t="n">
        <f aca="false">AO51+AO45</f>
        <v>11323.45</v>
      </c>
      <c r="AP58" s="428" t="n">
        <f aca="false">AP51+AP45</f>
        <v>6983</v>
      </c>
      <c r="AQ58" s="428" t="n">
        <f aca="false">AQ51+AQ45</f>
        <v>8575.05</v>
      </c>
      <c r="AR58" s="428" t="n">
        <f aca="false">AR51+AR45</f>
        <v>9540.7</v>
      </c>
      <c r="AS58" s="428" t="n">
        <f aca="false">AS51+AS45</f>
        <v>14349.575</v>
      </c>
      <c r="AT58" s="428" t="n">
        <f aca="false">AT51+AT45</f>
        <v>7765.4</v>
      </c>
      <c r="AU58" s="428" t="n">
        <f aca="false">AU51+AU45</f>
        <v>9733.59999999999</v>
      </c>
      <c r="AV58" s="428" t="n">
        <f aca="false">AV51+AV45</f>
        <v>12048.4</v>
      </c>
      <c r="AW58" s="428" t="n">
        <f aca="false">AW51+AW45</f>
        <v>15873.4</v>
      </c>
      <c r="AX58" s="428" t="n">
        <f aca="false">AX51+AX45</f>
        <v>7920.3</v>
      </c>
      <c r="AZ58" s="427"/>
      <c r="BA58" s="427"/>
      <c r="BB58" s="427"/>
      <c r="BC58" s="427"/>
      <c r="BD58" s="427"/>
      <c r="BE58" s="427"/>
      <c r="BF58" s="427"/>
      <c r="BG58" s="427"/>
      <c r="BH58" s="427"/>
      <c r="BI58" s="427"/>
      <c r="BJ58" s="427"/>
      <c r="BK58" s="427"/>
      <c r="BL58" s="427"/>
      <c r="BM58" s="427"/>
      <c r="BN58" s="427"/>
      <c r="BO58" s="427"/>
      <c r="BP58" s="427"/>
      <c r="BQ58" s="427"/>
      <c r="BR58" s="427"/>
      <c r="BS58" s="427"/>
      <c r="BT58" s="427"/>
      <c r="BU58" s="427"/>
      <c r="BV58" s="427"/>
      <c r="BW58" s="427"/>
      <c r="BX58" s="427"/>
      <c r="BY58" s="427"/>
      <c r="BZ58" s="427"/>
      <c r="CA58" s="427"/>
      <c r="CB58" s="427"/>
      <c r="CC58" s="427"/>
      <c r="CE58" s="428" t="n">
        <f aca="false">CE51+CE45</f>
        <v>18123.539</v>
      </c>
      <c r="CF58" s="427"/>
      <c r="CG58" s="427"/>
      <c r="CI58" s="427"/>
      <c r="CJ58" s="427"/>
      <c r="CK58" s="427"/>
      <c r="CL58" s="427"/>
      <c r="CM58" s="427"/>
      <c r="CN58" s="427"/>
    </row>
    <row r="60" customFormat="false" ht="15" hidden="false" customHeight="true" outlineLevel="0" collapsed="false">
      <c r="A60" s="412" t="s">
        <v>897</v>
      </c>
      <c r="B60" s="413"/>
      <c r="C60" s="413"/>
      <c r="D60" s="413"/>
      <c r="E60" s="413"/>
      <c r="F60" s="413"/>
      <c r="G60" s="413"/>
      <c r="H60" s="413"/>
      <c r="I60" s="413"/>
      <c r="J60" s="413"/>
      <c r="K60" s="413"/>
      <c r="L60" s="413"/>
      <c r="M60" s="413"/>
      <c r="N60" s="413"/>
      <c r="O60" s="413"/>
      <c r="P60" s="413"/>
      <c r="Q60" s="413"/>
      <c r="R60" s="413"/>
      <c r="S60" s="413"/>
      <c r="T60" s="413"/>
      <c r="U60" s="413"/>
      <c r="V60" s="413"/>
      <c r="W60" s="413"/>
      <c r="X60" s="413"/>
      <c r="Y60" s="413"/>
      <c r="Z60" s="413"/>
      <c r="AA60" s="413"/>
      <c r="AB60" s="413"/>
      <c r="AC60" s="413"/>
      <c r="AD60" s="413"/>
      <c r="AE60" s="413"/>
      <c r="AF60" s="413"/>
      <c r="AG60" s="413"/>
      <c r="AH60" s="413"/>
      <c r="AI60" s="413"/>
      <c r="AJ60" s="413"/>
      <c r="AK60" s="413"/>
      <c r="AL60" s="413"/>
      <c r="AM60" s="413"/>
      <c r="AN60" s="413"/>
      <c r="AO60" s="413"/>
      <c r="AP60" s="413"/>
      <c r="AQ60" s="413"/>
      <c r="AR60" s="413"/>
      <c r="AS60" s="413"/>
      <c r="AT60" s="413"/>
      <c r="AU60" s="413"/>
      <c r="AV60" s="413"/>
      <c r="AW60" s="413"/>
      <c r="AX60" s="413"/>
      <c r="AY60" s="413"/>
      <c r="AZ60" s="413"/>
      <c r="BA60" s="413"/>
      <c r="BB60" s="413"/>
      <c r="BC60" s="413"/>
      <c r="BD60" s="413"/>
      <c r="BE60" s="413"/>
      <c r="BF60" s="413"/>
      <c r="BG60" s="413"/>
      <c r="BH60" s="413"/>
      <c r="BI60" s="413"/>
      <c r="BJ60" s="413"/>
      <c r="BK60" s="413"/>
      <c r="BL60" s="413"/>
      <c r="BM60" s="413"/>
      <c r="BN60" s="413"/>
      <c r="BO60" s="413"/>
      <c r="BP60" s="413"/>
      <c r="BQ60" s="413"/>
      <c r="BR60" s="413"/>
      <c r="BS60" s="413"/>
      <c r="BT60" s="413"/>
      <c r="BU60" s="413"/>
      <c r="BV60" s="413"/>
      <c r="BW60" s="413"/>
      <c r="BX60" s="413"/>
      <c r="BY60" s="413"/>
      <c r="BZ60" s="413"/>
      <c r="CA60" s="413"/>
      <c r="CB60" s="413"/>
      <c r="CC60" s="413"/>
      <c r="CD60" s="413"/>
      <c r="CE60" s="413"/>
      <c r="CF60" s="413"/>
      <c r="CG60" s="413"/>
      <c r="CH60" s="413"/>
      <c r="CI60" s="413"/>
      <c r="CJ60" s="413"/>
      <c r="CK60" s="413"/>
      <c r="CL60" s="413"/>
      <c r="CM60" s="413"/>
      <c r="CN60" s="413"/>
    </row>
    <row r="61" customFormat="false" ht="15" hidden="false" customHeight="true" outlineLevel="0" collapsed="false">
      <c r="A61" s="414" t="s">
        <v>898</v>
      </c>
      <c r="B61" s="438" t="n">
        <f aca="false">B40/B33*100</f>
        <v>10.1078490582908</v>
      </c>
      <c r="C61" s="438" t="n">
        <f aca="false">C40/C33*100</f>
        <v>12.5629159855625</v>
      </c>
      <c r="D61" s="438" t="n">
        <f aca="false">D40/D33*100</f>
        <v>10.9207001082858</v>
      </c>
      <c r="E61" s="438" t="n">
        <f aca="false">E40/E33*100</f>
        <v>13.1171635120779</v>
      </c>
      <c r="F61" s="438" t="n">
        <f aca="false">F40/F33*100</f>
        <v>11.3184020520895</v>
      </c>
      <c r="G61" s="438" t="n">
        <f aca="false">G40/G33*100</f>
        <v>11.6062281935808</v>
      </c>
      <c r="H61" s="438" t="n">
        <f aca="false">H40/H33*100</f>
        <v>10.0550766738456</v>
      </c>
      <c r="I61" s="438" t="n">
        <f aca="false">I40/I33*100</f>
        <v>11.0292272824557</v>
      </c>
      <c r="J61" s="438" t="n">
        <f aca="false">J40/J33*100</f>
        <v>7.18841710577439</v>
      </c>
      <c r="K61" s="438" t="n">
        <f aca="false">K40/K33*100</f>
        <v>10.0684395691022</v>
      </c>
      <c r="L61" s="438" t="n">
        <f aca="false">L40/L33*100</f>
        <v>11.0840678168162</v>
      </c>
      <c r="M61" s="438" t="n">
        <f aca="false">M40/M33*100</f>
        <v>11.6722248027302</v>
      </c>
      <c r="N61" s="438" t="n">
        <f aca="false">N40/N33*100</f>
        <v>11.7718388083841</v>
      </c>
      <c r="O61" s="438" t="n">
        <f aca="false">O40/O33*100</f>
        <v>12.8203697228616</v>
      </c>
      <c r="P61" s="438" t="n">
        <f aca="false">P40/P33*100</f>
        <v>10.3605409261068</v>
      </c>
      <c r="Q61" s="438" t="n">
        <f aca="false">Q40/Q33*100</f>
        <v>10.7244136732921</v>
      </c>
      <c r="R61" s="438" t="n">
        <f aca="false">R40/R33*100</f>
        <v>10.5932374875692</v>
      </c>
      <c r="S61" s="438" t="n">
        <f aca="false">S40/S33*100</f>
        <v>10.878145559804</v>
      </c>
      <c r="T61" s="438" t="n">
        <f aca="false">T40/T33*100</f>
        <v>10.2704403311179</v>
      </c>
      <c r="U61" s="438" t="n">
        <f aca="false">U40/U33*100</f>
        <v>11.1400384131459</v>
      </c>
      <c r="V61" s="438" t="n">
        <f aca="false">V40/V33*100</f>
        <v>9.44727702652775</v>
      </c>
      <c r="W61" s="438" t="n">
        <f aca="false">W40/W33*100</f>
        <v>5.8170250668024</v>
      </c>
      <c r="X61" s="438" t="n">
        <f aca="false">X40/X33*100</f>
        <v>5.60681334279631</v>
      </c>
      <c r="Y61" s="438" t="n">
        <f aca="false">Y40/Y33*100</f>
        <v>4.76623437524424</v>
      </c>
      <c r="Z61" s="438" t="n">
        <f aca="false">Z40/Z33*100</f>
        <v>-51.1991641956151</v>
      </c>
      <c r="AA61" s="438" t="n">
        <f aca="false">AA40/AA33*100</f>
        <v>2.83545678246339</v>
      </c>
      <c r="AB61" s="438" t="n">
        <f aca="false">AB40/AB33*100</f>
        <v>5.27245191139108</v>
      </c>
      <c r="AC61" s="438" t="n">
        <f aca="false">AC40/AC33*100</f>
        <v>7.63032302024571</v>
      </c>
      <c r="AD61" s="438" t="n">
        <f aca="false">AD40/AD33*100</f>
        <v>-4.74755929366077</v>
      </c>
      <c r="AE61" s="438" t="n">
        <f aca="false">AE40/AE33*100</f>
        <v>3.02141166705922</v>
      </c>
      <c r="AF61" s="438" t="n">
        <f aca="false">AF40/AF33*100</f>
        <v>4.04486952500018</v>
      </c>
      <c r="AG61" s="438" t="n">
        <f aca="false">AG40/AG33*100</f>
        <v>8.87482002541086</v>
      </c>
      <c r="AH61" s="438" t="n">
        <f aca="false">AH40/AH33*100</f>
        <v>4.434260714261</v>
      </c>
      <c r="AI61" s="438" t="n">
        <f aca="false">AI40/AI33*100</f>
        <v>6.50064420907457</v>
      </c>
      <c r="AJ61" s="438" t="n">
        <f aca="false">AJ40/AJ33*100</f>
        <v>8.83022303140646</v>
      </c>
      <c r="AK61" s="438" t="n">
        <f aca="false">AK40/AK33*100</f>
        <v>10.9734750771353</v>
      </c>
      <c r="AL61" s="438" t="n">
        <f aca="false">AL40/AL33*100</f>
        <v>10.0222363599286</v>
      </c>
      <c r="AM61" s="438" t="n">
        <f aca="false">AM40/AM33*100</f>
        <v>11.2034189524011</v>
      </c>
      <c r="AN61" s="438" t="n">
        <f aca="false">AN40/AN33*100</f>
        <v>12.0126043215741</v>
      </c>
      <c r="AO61" s="438" t="n">
        <f aca="false">AO40/AO33*100</f>
        <v>14.1311245805112</v>
      </c>
      <c r="AP61" s="438" t="n">
        <f aca="false">AP40/AP33*100</f>
        <v>10.5933223469593</v>
      </c>
      <c r="AQ61" s="438" t="n">
        <f aca="false">AQ40/AQ33*100</f>
        <v>11.6013196743465</v>
      </c>
      <c r="AR61" s="438" t="n">
        <f aca="false">AR40/AR33*100</f>
        <v>12.780590525886</v>
      </c>
      <c r="AS61" s="438" t="n">
        <f aca="false">AS40/AS33*100</f>
        <v>15.0416025921518</v>
      </c>
      <c r="AT61" s="438" t="n">
        <f aca="false">AT40/AT33*100</f>
        <v>11.1129450249928</v>
      </c>
      <c r="AU61" s="438" t="n">
        <f aca="false">AU40/AU33*100</f>
        <v>12.1207570154085</v>
      </c>
      <c r="AV61" s="438" t="n">
        <f aca="false">AV40/AV33*100</f>
        <v>13.3088257606957</v>
      </c>
      <c r="AW61" s="438" t="n">
        <f aca="false">AW40/AW33*100</f>
        <v>14.586500890859</v>
      </c>
      <c r="AX61" s="438" t="n">
        <f aca="false">AX40/AX33*100</f>
        <v>10.0632632196256</v>
      </c>
      <c r="AZ61" s="438" t="n">
        <f aca="false">AZ40/AZ33*100</f>
        <v>10.6812443972087</v>
      </c>
      <c r="BA61" s="438" t="n">
        <f aca="false">BA40/BA33*100</f>
        <v>7.61432700508643</v>
      </c>
      <c r="BB61" s="438" t="n">
        <f aca="false">BB40/BB33*100</f>
        <v>4.45341332707266</v>
      </c>
      <c r="BC61" s="438" t="n">
        <f aca="false">BC40/BC33*100</f>
        <v>6.02813889677359</v>
      </c>
      <c r="BD61" s="438" t="n">
        <f aca="false">BD40/BD33*100</f>
        <v>1.93146921429268</v>
      </c>
      <c r="BE61" s="438" t="n">
        <f aca="false">BE40/BE33*100</f>
        <v>-48.6113198519393</v>
      </c>
      <c r="BF61" s="438" t="n">
        <f aca="false">BF40/BF33*100</f>
        <v>3.44910505464786</v>
      </c>
      <c r="BG61" s="438" t="n">
        <f aca="false">BG40/BG33*100</f>
        <v>8.37754648693048</v>
      </c>
      <c r="BH61" s="438" t="n">
        <f aca="false">BH40/BH33*100</f>
        <v>7.447765758816</v>
      </c>
      <c r="BI61" s="438" t="n">
        <f aca="false">BI40/BI33*100</f>
        <v>-3.75620788928209</v>
      </c>
      <c r="BJ61" s="438" t="n">
        <f aca="false">BJ40/BJ33*100</f>
        <v>3.90400445686063</v>
      </c>
      <c r="BK61" s="438" t="n">
        <f aca="false">BK40/BK33*100</f>
        <v>5.19697879589041</v>
      </c>
      <c r="BL61" s="438" t="n">
        <f aca="false">BL40/BL33*100</f>
        <v>7.12720820828143</v>
      </c>
      <c r="BM61" s="438" t="n">
        <f aca="false">BM40/BM33*100</f>
        <v>6.38654159730678</v>
      </c>
      <c r="BN61" s="438" t="n">
        <f aca="false">BN40/BN33*100</f>
        <v>5.9771094943674</v>
      </c>
      <c r="BO61" s="438" t="n">
        <f aca="false">BO40/BO33*100</f>
        <v>7.54202276750255</v>
      </c>
      <c r="BP61" s="438" t="n">
        <f aca="false">BP40/BP33*100</f>
        <v>10.6928686290352</v>
      </c>
      <c r="BQ61" s="438" t="n">
        <f aca="false">BQ40/BQ33*100</f>
        <v>7.62931340345047</v>
      </c>
      <c r="BR61" s="438" t="n">
        <f aca="false">BR40/BR33*100</f>
        <v>10.8130839445013</v>
      </c>
      <c r="BS61" s="438" t="n">
        <f aca="false">BS40/BS33*100</f>
        <v>10.2901755467722</v>
      </c>
      <c r="BT61" s="438" t="n">
        <f aca="false">BT40/BT33*100</f>
        <v>12.3743464658172</v>
      </c>
      <c r="BU61" s="438" t="n">
        <f aca="false">BU40/BU33*100</f>
        <v>10.4164367138738</v>
      </c>
      <c r="BV61" s="438" t="n">
        <f aca="false">BV40/BV33*100</f>
        <v>10.6745150292526</v>
      </c>
      <c r="BW61" s="438" t="n">
        <f aca="false">BW40/BW33*100</f>
        <v>11.7988530077125</v>
      </c>
      <c r="BX61" s="438" t="n">
        <f aca="false">BX40/BX33*100</f>
        <v>14.1547198369368</v>
      </c>
      <c r="BY61" s="438" t="n">
        <f aca="false">BY40/BY33*100</f>
        <v>11.1029183378722</v>
      </c>
      <c r="BZ61" s="438" t="n">
        <f aca="false">BZ40/BZ33*100</f>
        <v>11.4173093364867</v>
      </c>
      <c r="CA61" s="438" t="n">
        <f aca="false">CA40/CA33*100</f>
        <v>12.9609083899922</v>
      </c>
      <c r="CB61" s="438" t="n">
        <f aca="false">CB40/CB33*100</f>
        <v>14.0571543636686</v>
      </c>
      <c r="CC61" s="438" t="n">
        <f aca="false">CC40/CC33*100</f>
        <v>9.73023025476142</v>
      </c>
      <c r="CE61" s="438" t="n">
        <f aca="false">CE40/CE33*100</f>
        <v>11.8775729639235</v>
      </c>
      <c r="CF61" s="435"/>
      <c r="CG61" s="438" t="n">
        <f aca="false">CG40/CG33*100</f>
        <v>13.0257597479312</v>
      </c>
      <c r="CI61" s="435"/>
      <c r="CJ61" s="438" t="n">
        <f aca="false">CJ40/CJ33*100</f>
        <v>14.5865008908591</v>
      </c>
      <c r="CK61" s="435"/>
      <c r="CL61" s="438" t="n">
        <f aca="false">CL40/CL33*100</f>
        <v>14.8543922646687</v>
      </c>
      <c r="CM61" s="435"/>
      <c r="CN61" s="435"/>
    </row>
    <row r="62" customFormat="false" ht="15" hidden="false" customHeight="true" outlineLevel="0" collapsed="false">
      <c r="A62" s="414" t="s">
        <v>899</v>
      </c>
      <c r="B62" s="439" t="n">
        <f aca="false">B56/B42</f>
        <v>5.96676497601214</v>
      </c>
      <c r="C62" s="439" t="n">
        <f aca="false">C56/C42</f>
        <v>10.617258458186</v>
      </c>
      <c r="D62" s="439" t="n">
        <f aca="false">D56/D42</f>
        <v>7.94212682428658</v>
      </c>
      <c r="E62" s="439" t="n">
        <f aca="false">E56/E42</f>
        <v>14.8732831617341</v>
      </c>
      <c r="F62" s="439" t="n">
        <f aca="false">F56/F42</f>
        <v>15.3900052921159</v>
      </c>
      <c r="G62" s="439" t="n">
        <f aca="false">G56/G42</f>
        <v>16.7461988786766</v>
      </c>
      <c r="H62" s="439" t="n">
        <f aca="false">H56/H42</f>
        <v>10.5864045972447</v>
      </c>
      <c r="I62" s="439" t="n">
        <f aca="false">I56/I42</f>
        <v>18.2098035182782</v>
      </c>
      <c r="J62" s="439" t="n">
        <f aca="false">J56/J42</f>
        <v>9.40404627749023</v>
      </c>
      <c r="K62" s="439" t="n">
        <f aca="false">K56/K42</f>
        <v>16.2698035067021</v>
      </c>
      <c r="L62" s="439" t="n">
        <f aca="false">L56/L42</f>
        <v>24.6495494501233</v>
      </c>
      <c r="M62" s="439" t="n">
        <f aca="false">M56/M42</f>
        <v>23.9543230016313</v>
      </c>
      <c r="N62" s="439" t="n">
        <f aca="false">N56/N42</f>
        <v>54.3448543960289</v>
      </c>
      <c r="O62" s="439" t="n">
        <f aca="false">O56/O42</f>
        <v>48.6074651353568</v>
      </c>
      <c r="P62" s="439" t="n">
        <f aca="false">P56/P42</f>
        <v>60.1709553590683</v>
      </c>
      <c r="Q62" s="439" t="n">
        <f aca="false">Q56/Q42</f>
        <v>51.029598308668</v>
      </c>
      <c r="R62" s="439" t="n">
        <f aca="false">R56/R42</f>
        <v>48.0140805342084</v>
      </c>
      <c r="S62" s="439" t="n">
        <f aca="false">S56/S42</f>
        <v>41.970602645762</v>
      </c>
      <c r="T62" s="439" t="n">
        <f aca="false">T56/T42</f>
        <v>34.9728742827335</v>
      </c>
      <c r="U62" s="439" t="n">
        <f aca="false">U56/U42</f>
        <v>59.8747742323902</v>
      </c>
      <c r="V62" s="439" t="n">
        <f aca="false">V56/V42</f>
        <v>44.4653386454184</v>
      </c>
      <c r="W62" s="439" t="n">
        <f aca="false">W56/W42</f>
        <v>9.09960159362551</v>
      </c>
      <c r="X62" s="439" t="n">
        <f aca="false">X56/X42</f>
        <v>7.3479809976247</v>
      </c>
      <c r="Y62" s="439" t="n">
        <f aca="false">Y56/Y42</f>
        <v>6.56767371601209</v>
      </c>
      <c r="Z62" s="439" t="n">
        <f aca="false">Z56/Z42</f>
        <v>-4.0033836543467</v>
      </c>
      <c r="AA62" s="439" t="n">
        <f aca="false">AA56/AA42</f>
        <v>1.1726272352132</v>
      </c>
      <c r="AB62" s="439" t="n">
        <f aca="false">AB56/AB42</f>
        <v>4.38528336380257</v>
      </c>
      <c r="AC62" s="439" t="n">
        <f aca="false">AC56/AC42</f>
        <v>7.42325158946411</v>
      </c>
      <c r="AD62" s="439" t="n">
        <f aca="false">AD56/AD42</f>
        <v>-1.79106587503534</v>
      </c>
      <c r="AE62" s="439" t="n">
        <f aca="false">AE56/AE42</f>
        <v>1.78709232889297</v>
      </c>
      <c r="AF62" s="439" t="n">
        <f aca="false">AF56/AF42</f>
        <v>3.61409546610804</v>
      </c>
      <c r="AG62" s="439" t="n">
        <f aca="false">AG56/AG42</f>
        <v>10.4656029296364</v>
      </c>
      <c r="AH62" s="439" t="n">
        <f aca="false">AH56/AH42</f>
        <v>5.02206736353078</v>
      </c>
      <c r="AI62" s="439" t="n">
        <f aca="false">AI56/AI42</f>
        <v>7.23335496430888</v>
      </c>
      <c r="AJ62" s="439" t="n">
        <f aca="false">AJ56/AJ42</f>
        <v>10.3100746268657</v>
      </c>
      <c r="AK62" s="439" t="n">
        <f aca="false">AK56/AK42</f>
        <v>20.9474187380497</v>
      </c>
      <c r="AL62" s="439" t="n">
        <f aca="false">AL56/AL42</f>
        <v>12.4793187347932</v>
      </c>
      <c r="AM62" s="439" t="n">
        <f aca="false">AM56/AM42</f>
        <v>19.200306591722</v>
      </c>
      <c r="AN62" s="439" t="n">
        <f aca="false">AN56/AN42</f>
        <v>18.5617394126238</v>
      </c>
      <c r="AO62" s="439" t="n">
        <f aca="false">AO56/AO42</f>
        <v>28.8706736451123</v>
      </c>
      <c r="AP62" s="439" t="n">
        <f aca="false">AP56/AP42</f>
        <v>15.8037256562235</v>
      </c>
      <c r="AQ62" s="439" t="n">
        <f aca="false">AQ56/AQ42</f>
        <v>18.3679960448253</v>
      </c>
      <c r="AR62" s="439" t="n">
        <f aca="false">AR56/AR42</f>
        <v>24.6931681981622</v>
      </c>
      <c r="AS62" s="439" t="n">
        <f aca="false">AS56/AS42</f>
        <v>40.2565789473684</v>
      </c>
      <c r="AT62" s="439" t="n">
        <f aca="false">AT56/AT42</f>
        <v>24.4242713807931</v>
      </c>
      <c r="AU62" s="439" t="n">
        <f aca="false">AU56/AU42</f>
        <v>30.8942353501667</v>
      </c>
      <c r="AV62" s="439" t="n">
        <f aca="false">AV56/AV42</f>
        <v>36.3739447866758</v>
      </c>
      <c r="AW62" s="439" t="n">
        <f aca="false">AW56/AW42</f>
        <v>50.7325249643366</v>
      </c>
      <c r="AX62" s="439" t="n">
        <f aca="false">AX56/AX42</f>
        <v>25.3944136768601</v>
      </c>
      <c r="AZ62" s="439" t="n">
        <f aca="false">AZ56/AZ42</f>
        <v>0</v>
      </c>
      <c r="BA62" s="439" t="n">
        <f aca="false">BA56/BA42</f>
        <v>0</v>
      </c>
      <c r="BB62" s="439" t="n">
        <f aca="false">BB56/BB42</f>
        <v>0</v>
      </c>
      <c r="BC62" s="439" t="n">
        <f aca="false">BC56/BC42</f>
        <v>0</v>
      </c>
      <c r="BD62" s="439" t="n">
        <f aca="false">BD56/BD42</f>
        <v>0</v>
      </c>
      <c r="BE62" s="439" t="n">
        <f aca="false">BE56/BE42</f>
        <v>0</v>
      </c>
      <c r="BF62" s="439" t="n">
        <f aca="false">BF56/BF42</f>
        <v>0</v>
      </c>
      <c r="BG62" s="439" t="n">
        <f aca="false">BG56/BG42</f>
        <v>0</v>
      </c>
      <c r="BH62" s="439" t="n">
        <f aca="false">BH56/BH42</f>
        <v>0</v>
      </c>
      <c r="BI62" s="439" t="n">
        <f aca="false">BI56/BI42</f>
        <v>0</v>
      </c>
      <c r="BJ62" s="439" t="n">
        <f aca="false">BJ56/BJ42</f>
        <v>0</v>
      </c>
      <c r="BK62" s="439" t="n">
        <f aca="false">BK56/BK42</f>
        <v>0</v>
      </c>
      <c r="BL62" s="439" t="n">
        <f aca="false">BL56/BL42</f>
        <v>0</v>
      </c>
      <c r="BM62" s="439" t="n">
        <f aca="false">BM56/BM42</f>
        <v>0</v>
      </c>
      <c r="BN62" s="439" t="n">
        <f aca="false">BN56/BN42</f>
        <v>0</v>
      </c>
      <c r="BO62" s="439" t="n">
        <f aca="false">BO56/BO42</f>
        <v>0</v>
      </c>
      <c r="BP62" s="439" t="n">
        <f aca="false">BP56/BP42</f>
        <v>0</v>
      </c>
      <c r="BQ62" s="439" t="n">
        <f aca="false">BQ56/BQ42</f>
        <v>0</v>
      </c>
      <c r="BR62" s="439" t="n">
        <f aca="false">BR56/BR42</f>
        <v>0</v>
      </c>
      <c r="BS62" s="439" t="n">
        <f aca="false">BS56/BS42</f>
        <v>0</v>
      </c>
      <c r="BT62" s="439" t="n">
        <f aca="false">BT56/BT42</f>
        <v>0</v>
      </c>
      <c r="BU62" s="439" t="n">
        <f aca="false">BU56/BU42</f>
        <v>0</v>
      </c>
      <c r="BV62" s="439" t="n">
        <f aca="false">BV56/BV42</f>
        <v>0</v>
      </c>
      <c r="BW62" s="439" t="n">
        <f aca="false">BW56/BW42</f>
        <v>0</v>
      </c>
      <c r="BX62" s="439" t="n">
        <f aca="false">BX56/BX42</f>
        <v>0</v>
      </c>
      <c r="BY62" s="439" t="n">
        <f aca="false">BY56/BY42</f>
        <v>0</v>
      </c>
      <c r="BZ62" s="439" t="n">
        <f aca="false">BZ56/BZ42</f>
        <v>0</v>
      </c>
      <c r="CA62" s="439" t="n">
        <f aca="false">CA56/CA42</f>
        <v>0</v>
      </c>
      <c r="CB62" s="439" t="n">
        <f aca="false">CB56/CB42</f>
        <v>0</v>
      </c>
      <c r="CC62" s="439" t="n">
        <f aca="false">CC56/CC42</f>
        <v>0</v>
      </c>
      <c r="CE62" s="439" t="e">
        <f aca="false">CE56/CE42</f>
        <v>#DIV/0!</v>
      </c>
      <c r="CF62" s="440"/>
      <c r="CG62" s="439" t="n">
        <f aca="false">CG56/CG42</f>
        <v>0</v>
      </c>
      <c r="CI62" s="440"/>
      <c r="CJ62" s="439" t="n">
        <f aca="false">CJ56/CJ42</f>
        <v>0</v>
      </c>
      <c r="CK62" s="440"/>
      <c r="CL62" s="440"/>
      <c r="CM62" s="440"/>
      <c r="CN62" s="440"/>
    </row>
    <row r="63" customFormat="false" ht="15" hidden="false" customHeight="true" outlineLevel="0" collapsed="false">
      <c r="A63" s="414" t="s">
        <v>273</v>
      </c>
      <c r="B63" s="438" t="n">
        <f aca="false">B43/B56*100</f>
        <v>6.18606327608427</v>
      </c>
      <c r="C63" s="438" t="n">
        <f aca="false">C43/C56*100</f>
        <v>6.78770084357063</v>
      </c>
      <c r="D63" s="438" t="n">
        <f aca="false">D43/D56*100</f>
        <v>6.21936149160637</v>
      </c>
      <c r="E63" s="438" t="n">
        <f aca="false">E43/E56*100</f>
        <v>2.71217112635719</v>
      </c>
      <c r="F63" s="438" t="n">
        <f aca="false">F43/F56*100</f>
        <v>7.39936605513399</v>
      </c>
      <c r="G63" s="438" t="n">
        <f aca="false">G43/G56*100</f>
        <v>5.5649220368054</v>
      </c>
      <c r="H63" s="438" t="n">
        <f aca="false">H43/H56*100</f>
        <v>5.37231276005548</v>
      </c>
      <c r="I63" s="438" t="n">
        <f aca="false">I43/I56*100</f>
        <v>5.23937229887688</v>
      </c>
      <c r="J63" s="438" t="n">
        <f aca="false">J43/J56*100</f>
        <v>11.149771468134</v>
      </c>
      <c r="K63" s="438" t="n">
        <f aca="false">K43/K56*100</f>
        <v>8.33917016114739</v>
      </c>
      <c r="L63" s="438" t="n">
        <f aca="false">L43/L56*100</f>
        <v>4.59414366087629</v>
      </c>
      <c r="M63" s="438" t="n">
        <f aca="false">M43/M56*100</f>
        <v>4.73644783437755</v>
      </c>
      <c r="N63" s="438" t="n">
        <f aca="false">N43/N56*100</f>
        <v>5.29429577705039</v>
      </c>
      <c r="O63" s="438" t="n">
        <f aca="false">O43/O56*100</f>
        <v>5.01329057845661</v>
      </c>
      <c r="P63" s="438" t="n">
        <f aca="false">P43/P56*100</f>
        <v>7.16598153661239</v>
      </c>
      <c r="Q63" s="438" t="n">
        <f aca="false">Q43/Q56*100</f>
        <v>7.24613663669885</v>
      </c>
      <c r="R63" s="438" t="n">
        <f aca="false">R43/R56*100</f>
        <v>3.37441429240431</v>
      </c>
      <c r="S63" s="438" t="n">
        <f aca="false">S43/S56*100</f>
        <v>3.2207980201256</v>
      </c>
      <c r="T63" s="438" t="n">
        <f aca="false">T43/T56*100</f>
        <v>3.10248646391122</v>
      </c>
      <c r="U63" s="438" t="n">
        <f aca="false">U43/U56*100</f>
        <v>0.913003257853034</v>
      </c>
      <c r="V63" s="438" t="n">
        <f aca="false">V43/V56*100</f>
        <v>3.77571500250878</v>
      </c>
      <c r="W63" s="438" t="n">
        <f aca="false">W43/W56*100</f>
        <v>16.6009924109749</v>
      </c>
      <c r="X63" s="438" t="n">
        <f aca="false">X43/X56*100</f>
        <v>9.02295134960401</v>
      </c>
      <c r="Y63" s="438" t="n">
        <f aca="false">Y43/Y56*100</f>
        <v>15.8424950549703</v>
      </c>
      <c r="Z63" s="438" t="n">
        <f aca="false">Z43/Z56*100</f>
        <v>-8.32845718743905</v>
      </c>
      <c r="AA63" s="438" t="n">
        <f aca="false">AA43/AA56*100</f>
        <v>21.3782991202346</v>
      </c>
      <c r="AB63" s="438" t="n">
        <f aca="false">AB43/AB56*100</f>
        <v>11.8325516762202</v>
      </c>
      <c r="AC63" s="438" t="n">
        <f aca="false">AC43/AC56*100</f>
        <v>6.63333974235725</v>
      </c>
      <c r="AD63" s="438" t="n">
        <f aca="false">AD43/AD56*100</f>
        <v>-10.5761641673244</v>
      </c>
      <c r="AE63" s="438" t="n">
        <f aca="false">AE43/AE56*100</f>
        <v>13.4494280940754</v>
      </c>
      <c r="AF63" s="438" t="n">
        <f aca="false">AF43/AF56*100</f>
        <v>7.30344056638926</v>
      </c>
      <c r="AG63" s="438" t="n">
        <f aca="false">AG43/AG56*100</f>
        <v>3.01924518870283</v>
      </c>
      <c r="AH63" s="438" t="n">
        <f aca="false">AH43/AH56*100</f>
        <v>7.41211840888066</v>
      </c>
      <c r="AI63" s="438" t="n">
        <f aca="false">AI43/AI56*100</f>
        <v>3.5867439398561</v>
      </c>
      <c r="AJ63" s="438" t="n">
        <f aca="false">AJ43/AJ56*100</f>
        <v>3.81093699106077</v>
      </c>
      <c r="AK63" s="438" t="n">
        <f aca="false">AK43/AK56*100</f>
        <v>2.96046125994554</v>
      </c>
      <c r="AL63" s="438" t="n">
        <f aca="false">AL43/AL56*100</f>
        <v>5.86973724954985</v>
      </c>
      <c r="AM63" s="438" t="n">
        <f aca="false">AM43/AM56*100</f>
        <v>4.21024617431803</v>
      </c>
      <c r="AN63" s="438" t="n">
        <f aca="false">AN43/AN56*100</f>
        <v>2.62509178642609</v>
      </c>
      <c r="AO63" s="438" t="n">
        <f aca="false">AO43/AO56*100</f>
        <v>6.89469652224256</v>
      </c>
      <c r="AP63" s="438" t="n">
        <f aca="false">AP43/AP56*100</f>
        <v>2.39388776374021</v>
      </c>
      <c r="AQ63" s="438" t="n">
        <f aca="false">AQ43/AQ56*100</f>
        <v>8.72713243672448</v>
      </c>
      <c r="AR63" s="438" t="n">
        <f aca="false">AR43/AR56*100</f>
        <v>1.99896451858204</v>
      </c>
      <c r="AS63" s="438" t="n">
        <f aca="false">AS43/AS56*100</f>
        <v>5.58440394540537</v>
      </c>
      <c r="AT63" s="438" t="n">
        <f aca="false">AT43/AT56*100</f>
        <v>5.16920970266041</v>
      </c>
      <c r="AU63" s="438" t="n">
        <f aca="false">AU43/AU56*100</f>
        <v>10.3921538390365</v>
      </c>
      <c r="AV63" s="438" t="n">
        <f aca="false">AV43/AV56*100</f>
        <v>3.71643448098503</v>
      </c>
      <c r="AW63" s="438" t="n">
        <f aca="false">AW43/AW56*100</f>
        <v>3.20037866539195</v>
      </c>
      <c r="AX63" s="438" t="n">
        <f aca="false">AX43/AX56*100</f>
        <v>8.06918066051601</v>
      </c>
      <c r="AZ63" s="438" t="e">
        <f aca="false">AZ43/AZ56*100</f>
        <v>#DIV/0!</v>
      </c>
      <c r="BA63" s="438" t="e">
        <f aca="false">BA43/BA56*100</f>
        <v>#DIV/0!</v>
      </c>
      <c r="BB63" s="438" t="e">
        <f aca="false">BB43/BB56*100</f>
        <v>#DIV/0!</v>
      </c>
      <c r="BC63" s="438" t="e">
        <f aca="false">BC43/BC56*100</f>
        <v>#DIV/0!</v>
      </c>
      <c r="BD63" s="438" t="e">
        <f aca="false">BD43/BD56*100</f>
        <v>#DIV/0!</v>
      </c>
      <c r="BE63" s="438" t="e">
        <f aca="false">BE43/BE56*100</f>
        <v>#DIV/0!</v>
      </c>
      <c r="BF63" s="438" t="e">
        <f aca="false">BF43/BF56*100</f>
        <v>#DIV/0!</v>
      </c>
      <c r="BG63" s="438" t="e">
        <f aca="false">BG43/BG56*100</f>
        <v>#DIV/0!</v>
      </c>
      <c r="BH63" s="438" t="e">
        <f aca="false">BH43/BH56*100</f>
        <v>#DIV/0!</v>
      </c>
      <c r="BI63" s="438" t="e">
        <f aca="false">BI43/BI56*100</f>
        <v>#DIV/0!</v>
      </c>
      <c r="BJ63" s="438" t="e">
        <f aca="false">BJ43/BJ56*100</f>
        <v>#DIV/0!</v>
      </c>
      <c r="BK63" s="438" t="e">
        <f aca="false">BK43/BK56*100</f>
        <v>#DIV/0!</v>
      </c>
      <c r="BL63" s="438" t="e">
        <f aca="false">BL43/BL56*100</f>
        <v>#DIV/0!</v>
      </c>
      <c r="BM63" s="438" t="e">
        <f aca="false">BM43/BM56*100</f>
        <v>#DIV/0!</v>
      </c>
      <c r="BN63" s="438" t="e">
        <f aca="false">BN43/BN56*100</f>
        <v>#DIV/0!</v>
      </c>
      <c r="BO63" s="438" t="e">
        <f aca="false">BO43/BO56*100</f>
        <v>#DIV/0!</v>
      </c>
      <c r="BP63" s="438" t="e">
        <f aca="false">BP43/BP56*100</f>
        <v>#DIV/0!</v>
      </c>
      <c r="BQ63" s="438" t="e">
        <f aca="false">BQ43/BQ56*100</f>
        <v>#DIV/0!</v>
      </c>
      <c r="BR63" s="438" t="e">
        <f aca="false">BR43/BR56*100</f>
        <v>#DIV/0!</v>
      </c>
      <c r="BS63" s="438" t="e">
        <f aca="false">BS43/BS56*100</f>
        <v>#DIV/0!</v>
      </c>
      <c r="BT63" s="438" t="e">
        <f aca="false">BT43/BT56*100</f>
        <v>#DIV/0!</v>
      </c>
      <c r="BU63" s="438" t="e">
        <f aca="false">BU43/BU56*100</f>
        <v>#DIV/0!</v>
      </c>
      <c r="BV63" s="438" t="e">
        <f aca="false">BV43/BV56*100</f>
        <v>#DIV/0!</v>
      </c>
      <c r="BW63" s="438" t="e">
        <f aca="false">BW43/BW56*100</f>
        <v>#DIV/0!</v>
      </c>
      <c r="BX63" s="438" t="e">
        <f aca="false">BX43/BX56*100</f>
        <v>#DIV/0!</v>
      </c>
      <c r="BY63" s="438" t="e">
        <f aca="false">BY43/BY56*100</f>
        <v>#DIV/0!</v>
      </c>
      <c r="BZ63" s="438" t="e">
        <f aca="false">BZ43/BZ56*100</f>
        <v>#DIV/0!</v>
      </c>
      <c r="CA63" s="438" t="e">
        <f aca="false">CA43/CA56*100</f>
        <v>#DIV/0!</v>
      </c>
      <c r="CB63" s="438" t="e">
        <f aca="false">CB43/CB56*100</f>
        <v>#DIV/0!</v>
      </c>
      <c r="CC63" s="438" t="e">
        <f aca="false">CC43/CC56*100</f>
        <v>#DIV/0!</v>
      </c>
      <c r="CE63" s="438" t="n">
        <f aca="false">CE43/CE56*100</f>
        <v>0</v>
      </c>
      <c r="CF63" s="435"/>
      <c r="CG63" s="438" t="e">
        <f aca="false">CG43/CG56*100</f>
        <v>#DIV/0!</v>
      </c>
      <c r="CI63" s="435"/>
      <c r="CJ63" s="438" t="e">
        <f aca="false">CJ43/CJ56*100</f>
        <v>#DIV/0!</v>
      </c>
      <c r="CK63" s="435"/>
      <c r="CL63" s="435"/>
      <c r="CM63" s="435"/>
      <c r="CN63" s="435"/>
    </row>
    <row r="64" customFormat="false" ht="15" hidden="false" customHeight="true" outlineLevel="0" collapsed="false">
      <c r="A64" s="414" t="s">
        <v>275</v>
      </c>
      <c r="B64" s="438" t="n">
        <f aca="false">B43/B51*100</f>
        <v>16.5329163696231</v>
      </c>
      <c r="C64" s="438" t="n">
        <f aca="false">C43/C51*100</f>
        <v>15.1959232929631</v>
      </c>
      <c r="D64" s="438" t="n">
        <f aca="false">D43/D51*100</f>
        <v>13.6229935826652</v>
      </c>
      <c r="E64" s="438" t="n">
        <f aca="false">E43/E51*100</f>
        <v>4.5538327979787</v>
      </c>
      <c r="F64" s="438" t="n">
        <f aca="false">F43/F51*100</f>
        <v>15.9747936242501</v>
      </c>
      <c r="G64" s="438" t="n">
        <f aca="false">G43/G51*100</f>
        <v>10.9832592011512</v>
      </c>
      <c r="H64" s="438" t="n">
        <f aca="false">H43/H51*100</f>
        <v>11.436835147676</v>
      </c>
      <c r="I64" s="438" t="n">
        <f aca="false">I43/I51*100</f>
        <v>8.40511554334163</v>
      </c>
      <c r="J64" s="438" t="n">
        <f aca="false">J43/J51*100</f>
        <v>31.5072547511199</v>
      </c>
      <c r="K64" s="438" t="n">
        <f aca="false">K43/K51*100</f>
        <v>16.5601905044919</v>
      </c>
      <c r="L64" s="438" t="n">
        <f aca="false">L43/L51*100</f>
        <v>8.4397153566465</v>
      </c>
      <c r="M64" s="438" t="n">
        <f aca="false">M43/M51*100</f>
        <v>8.53856164215385</v>
      </c>
      <c r="N64" s="438" t="n">
        <f aca="false">N43/N51*100</f>
        <v>8.7273511739278</v>
      </c>
      <c r="O64" s="438" t="n">
        <f aca="false">O43/O51*100</f>
        <v>8.01278593008201</v>
      </c>
      <c r="P64" s="438" t="n">
        <f aca="false">P43/P51*100</f>
        <v>12.9913851405221</v>
      </c>
      <c r="Q64" s="438" t="n">
        <f aca="false">Q43/Q51*100</f>
        <v>12.016048879464</v>
      </c>
      <c r="R64" s="438" t="n">
        <f aca="false">R43/R51*100</f>
        <v>5.91879707849662</v>
      </c>
      <c r="S64" s="438" t="n">
        <f aca="false">S43/S51*100</f>
        <v>5.11067889228488</v>
      </c>
      <c r="T64" s="438" t="n">
        <f aca="false">T43/T51*100</f>
        <v>5.39193956880037</v>
      </c>
      <c r="U64" s="438" t="n">
        <f aca="false">U43/U51*100</f>
        <v>1.37333135702683</v>
      </c>
      <c r="V64" s="438" t="n">
        <f aca="false">V43/V51*100</f>
        <v>8.62474774557197</v>
      </c>
      <c r="W64" s="438" t="n">
        <f aca="false">W43/W51*100</f>
        <v>52.013374867823</v>
      </c>
      <c r="X64" s="438" t="n">
        <f aca="false">X43/X51*100</f>
        <v>76.292322935529</v>
      </c>
      <c r="Y64" s="438" t="n">
        <f aca="false">Y43/Y51*100</f>
        <v>-596.621914248593</v>
      </c>
      <c r="Z64" s="438" t="n">
        <f aca="false">Z43/Z51*100</f>
        <v>-6.61080254678459</v>
      </c>
      <c r="AA64" s="438" t="n">
        <f aca="false">AA43/AA51*100</f>
        <v>-15.041782729805</v>
      </c>
      <c r="AB64" s="438" t="n">
        <f aca="false">AB43/AB51*100</f>
        <v>224.929833250771</v>
      </c>
      <c r="AC64" s="438" t="n">
        <f aca="false">AC43/AC51*100</f>
        <v>17.8037366735865</v>
      </c>
      <c r="AD64" s="438" t="n">
        <f aca="false">AD43/AD51*100</f>
        <v>-4.76817421627584</v>
      </c>
      <c r="AE64" s="438" t="n">
        <f aca="false">AE43/AE51*100</f>
        <v>-25.1615423917289</v>
      </c>
      <c r="AF64" s="438" t="n">
        <f aca="false">AF43/AF51*100</f>
        <v>-68.4915550378572</v>
      </c>
      <c r="AG64" s="438" t="n">
        <f aca="false">AG43/AG51*100</f>
        <v>4.40333530778695</v>
      </c>
      <c r="AH64" s="438" t="n">
        <f aca="false">AH43/AH51*100</f>
        <v>43.9850752669724</v>
      </c>
      <c r="AI64" s="438" t="n">
        <f aca="false">AI43/AI51*100</f>
        <v>10.3501391495696</v>
      </c>
      <c r="AJ64" s="438" t="n">
        <f aca="false">AJ43/AJ51*100</f>
        <v>8.87023179412303</v>
      </c>
      <c r="AK64" s="438" t="n">
        <f aca="false">AK43/AK51*100</f>
        <v>5.48874433691189</v>
      </c>
      <c r="AL64" s="438" t="n">
        <f aca="false">AL43/AL51*100</f>
        <v>8.87213157381525</v>
      </c>
      <c r="AM64" s="438" t="n">
        <f aca="false">AM43/AM51*100</f>
        <v>8.20865835307955</v>
      </c>
      <c r="AN64" s="438" t="n">
        <f aca="false">AN43/AN51*100</f>
        <v>5.17337169288811</v>
      </c>
      <c r="AO64" s="438" t="n">
        <f aca="false">AO43/AO51*100</f>
        <v>12.3759388236035</v>
      </c>
      <c r="AP64" s="438" t="n">
        <f aca="false">AP43/AP51*100</f>
        <v>4.25054225807679</v>
      </c>
      <c r="AQ64" s="438" t="n">
        <f aca="false">AQ43/AQ51*100</f>
        <v>14.2611041469655</v>
      </c>
      <c r="AR64" s="438" t="n">
        <f aca="false">AR43/AR51*100</f>
        <v>3.2438889909943</v>
      </c>
      <c r="AS64" s="438" t="n">
        <f aca="false">AS43/AS51*100</f>
        <v>8.43319540724022</v>
      </c>
      <c r="AT64" s="438" t="n">
        <f aca="false">AT43/AT51*100</f>
        <v>8.9013524666094</v>
      </c>
      <c r="AU64" s="438" t="n">
        <f aca="false">AU43/AU51*100</f>
        <v>16.8252066012534</v>
      </c>
      <c r="AV64" s="438" t="n">
        <f aca="false">AV43/AV51*100</f>
        <v>5.76709688722771</v>
      </c>
      <c r="AW64" s="438" t="n">
        <f aca="false">AW43/AW51*100</f>
        <v>4.86146705393246</v>
      </c>
      <c r="AX64" s="438" t="n">
        <f aca="false">AX43/AX51*100</f>
        <v>13.9712038876393</v>
      </c>
      <c r="AZ64" s="438" t="n">
        <f aca="false">AZ43/AZ51*100</f>
        <v>3.55936220673903</v>
      </c>
      <c r="BA64" s="438" t="n">
        <f aca="false">BA43/BA51*100</f>
        <v>23.723640505537</v>
      </c>
      <c r="BB64" s="438" t="n">
        <f aca="false">BB43/BB51*100</f>
        <v>98.4227927578252</v>
      </c>
      <c r="BC64" s="438" t="n">
        <f aca="false">BC43/BC51*100</f>
        <v>48.0737708210611</v>
      </c>
      <c r="BD64" s="438" t="n">
        <f aca="false">BD43/BD51*100</f>
        <v>-35.5043269695682</v>
      </c>
      <c r="BE64" s="438" t="n">
        <f aca="false">BE43/BE51*100</f>
        <v>-7.08745940964938</v>
      </c>
      <c r="BF64" s="438" t="n">
        <f aca="false">BF43/BF51*100</f>
        <v>-44.4898938422334</v>
      </c>
      <c r="BG64" s="438" t="n">
        <f aca="false">BG43/BG51*100</f>
        <v>13.6278407050015</v>
      </c>
      <c r="BH64" s="438" t="n">
        <f aca="false">BH43/BH51*100</f>
        <v>14.308840882199</v>
      </c>
      <c r="BI64" s="438" t="n">
        <f aca="false">BI43/BI51*100</f>
        <v>-14.2053440516667</v>
      </c>
      <c r="BJ64" s="438" t="n">
        <f aca="false">BJ43/BJ51*100</f>
        <v>-47.5724625523699</v>
      </c>
      <c r="BK64" s="438" t="n">
        <f aca="false">BK43/BK51*100</f>
        <v>59.2372410167318</v>
      </c>
      <c r="BL64" s="438" t="n">
        <f aca="false">BL43/BL51*100</f>
        <v>7.58689994272048</v>
      </c>
      <c r="BM64" s="438" t="n">
        <f aca="false">BM43/BM51*100</f>
        <v>14.0391339870299</v>
      </c>
      <c r="BN64" s="438" t="n">
        <f aca="false">BN43/BN51*100</f>
        <v>12.8586686465043</v>
      </c>
      <c r="BO64" s="438" t="n">
        <f aca="false">BO43/BO51*100</f>
        <v>7.35804873384863</v>
      </c>
      <c r="BP64" s="438" t="n">
        <f aca="false">BP43/BP51*100</f>
        <v>4.34471805460434</v>
      </c>
      <c r="BQ64" s="438" t="n">
        <f aca="false">BQ43/BQ51*100</f>
        <v>11.4575063286417</v>
      </c>
      <c r="BR64" s="438" t="n">
        <f aca="false">BR43/BR51*100</f>
        <v>7.72999331840664</v>
      </c>
      <c r="BS64" s="438" t="n">
        <f aca="false">BS43/BS51*100</f>
        <v>8.85305598752805</v>
      </c>
      <c r="BT64" s="438" t="n">
        <f aca="false">BT43/BT51*100</f>
        <v>3.68950343553273</v>
      </c>
      <c r="BU64" s="438" t="n">
        <f aca="false">BU43/BU51*100</f>
        <v>18.9175824849968</v>
      </c>
      <c r="BV64" s="438" t="n">
        <f aca="false">BV43/BV51*100</f>
        <v>4.9263289421993</v>
      </c>
      <c r="BW64" s="438" t="n">
        <f aca="false">BW43/BW51*100</f>
        <v>5.76638639164565</v>
      </c>
      <c r="BX64" s="438" t="n">
        <f aca="false">BX43/BX51*100</f>
        <v>2.20806052946848</v>
      </c>
      <c r="BY64" s="438" t="n">
        <f aca="false">BY43/BY51*100</f>
        <v>17.846271294668</v>
      </c>
      <c r="BZ64" s="438" t="n">
        <f aca="false">BZ43/BZ51*100</f>
        <v>7.75207565311026</v>
      </c>
      <c r="CA64" s="438" t="n">
        <f aca="false">CA43/CA51*100</f>
        <v>7.00239676878428</v>
      </c>
      <c r="CB64" s="438" t="n">
        <f aca="false">CB43/CB51*100</f>
        <v>5.80768871554462</v>
      </c>
      <c r="CC64" s="438" t="n">
        <f aca="false">CC43/CC51*100</f>
        <v>11.1576649325392</v>
      </c>
      <c r="CE64" s="438" t="n">
        <f aca="false">CE43/CE51*100</f>
        <v>0</v>
      </c>
      <c r="CF64" s="435"/>
      <c r="CG64" s="438" t="n">
        <f aca="false">CG43/CG51*100</f>
        <v>8.05235551263279</v>
      </c>
      <c r="CI64" s="435"/>
      <c r="CJ64" s="438" t="n">
        <f aca="false">CJ43/CJ51*100</f>
        <v>4.57756864006858</v>
      </c>
      <c r="CK64" s="435"/>
      <c r="CL64" s="435"/>
      <c r="CM64" s="435"/>
      <c r="CN64" s="435"/>
    </row>
    <row r="65" customFormat="false" ht="15" hidden="false" customHeight="true" outlineLevel="0" collapsed="false">
      <c r="A65" s="414" t="s">
        <v>281</v>
      </c>
      <c r="B65" s="438" t="n">
        <f aca="false">B46/B33*100</f>
        <v>5.57403835070403</v>
      </c>
      <c r="C65" s="438" t="n">
        <f aca="false">C46/C33*100</f>
        <v>9.56982912395598</v>
      </c>
      <c r="D65" s="438" t="n">
        <f aca="false">D46/D33*100</f>
        <v>7.23399431951366</v>
      </c>
      <c r="E65" s="438" t="n">
        <f aca="false">E46/E33*100</f>
        <v>10.9216573745098</v>
      </c>
      <c r="F65" s="438" t="n">
        <f aca="false">F46/F33*100</f>
        <v>9.75440329439965</v>
      </c>
      <c r="G65" s="438" t="n">
        <f aca="false">G46/G33*100</f>
        <v>8.97010758098472</v>
      </c>
      <c r="H65" s="438" t="n">
        <f aca="false">H46/H33*100</f>
        <v>5.30349740045237</v>
      </c>
      <c r="I65" s="438" t="n">
        <f aca="false">I46/I33*100</f>
        <v>9.23787254574921</v>
      </c>
      <c r="J65" s="438" t="n">
        <f aca="false">J46/J33*100</f>
        <v>4.0641396668433</v>
      </c>
      <c r="K65" s="438" t="n">
        <f aca="false">K46/K33*100</f>
        <v>7.94312734591675</v>
      </c>
      <c r="L65" s="438" t="n">
        <f aca="false">L46/L33*100</f>
        <v>9.24534545958603</v>
      </c>
      <c r="M65" s="438" t="n">
        <f aca="false">M46/M33*100</f>
        <v>9.67505069075718</v>
      </c>
      <c r="N65" s="438" t="n">
        <f aca="false">N46/N33*100</f>
        <v>10.6006936912218</v>
      </c>
      <c r="O65" s="438" t="n">
        <f aca="false">O46/O33*100</f>
        <v>11.5039823054206</v>
      </c>
      <c r="P65" s="438" t="n">
        <f aca="false">P46/P33*100</f>
        <v>8.58572053610315</v>
      </c>
      <c r="Q65" s="438" t="n">
        <f aca="false">Q46/Q33*100</f>
        <v>8.84200475192887</v>
      </c>
      <c r="R65" s="438" t="n">
        <f aca="false">R46/R33*100</f>
        <v>8.89224854833678</v>
      </c>
      <c r="S65" s="438" t="n">
        <f aca="false">S46/S33*100</f>
        <v>9.05477715698343</v>
      </c>
      <c r="T65" s="438" t="n">
        <f aca="false">T46/T33*100</f>
        <v>7.74136633550664</v>
      </c>
      <c r="U65" s="438" t="n">
        <f aca="false">U46/U33*100</f>
        <v>9.24922534996321</v>
      </c>
      <c r="V65" s="438" t="n">
        <f aca="false">V46/V33*100</f>
        <v>6.70072802637645</v>
      </c>
      <c r="W65" s="438" t="n">
        <f aca="false">W46/W33*100</f>
        <v>2.1356406667515</v>
      </c>
      <c r="X65" s="438" t="n">
        <f aca="false">X46/X33*100</f>
        <v>1.40301072055583</v>
      </c>
      <c r="Y65" s="438" t="n">
        <f aca="false">Y46/Y33*100</f>
        <v>-0.0877956263709921</v>
      </c>
      <c r="Z65" s="438" t="n">
        <f aca="false">Z46/Z33*100</f>
        <v>-84.2149738042927</v>
      </c>
      <c r="AA65" s="438" t="n">
        <f aca="false">AA46/AA33*100</f>
        <v>-5.50310585282277</v>
      </c>
      <c r="AB65" s="438" t="n">
        <f aca="false">AB46/AB33*100</f>
        <v>0.577125631815471</v>
      </c>
      <c r="AC65" s="438" t="n">
        <f aca="false">AC46/AC33*100</f>
        <v>3.95100914364565</v>
      </c>
      <c r="AD65" s="438" t="n">
        <f aca="false">AD46/AD33*100</f>
        <v>-12.9085493342912</v>
      </c>
      <c r="AE65" s="438" t="n">
        <f aca="false">AE46/AE33*100</f>
        <v>-2.59609452987428</v>
      </c>
      <c r="AF65" s="438" t="n">
        <f aca="false">AF46/AF33*100</f>
        <v>-0.270091560135567</v>
      </c>
      <c r="AG65" s="438" t="n">
        <f aca="false">AG46/AG33*100</f>
        <v>6.0426861414706</v>
      </c>
      <c r="AH65" s="438" t="n">
        <f aca="false">AH46/AH33*100</f>
        <v>1.31028610590003</v>
      </c>
      <c r="AI65" s="438" t="n">
        <f aca="false">AI46/AI33*100</f>
        <v>3.67156830128418</v>
      </c>
      <c r="AJ65" s="438" t="n">
        <f aca="false">AJ46/AJ33*100</f>
        <v>6.19712569783834</v>
      </c>
      <c r="AK65" s="438" t="n">
        <f aca="false">AK46/AK33*100</f>
        <v>9.18725544420234</v>
      </c>
      <c r="AL65" s="438" t="n">
        <f aca="false">AL46/AL33*100</f>
        <v>7.60383378778869</v>
      </c>
      <c r="AM65" s="438" t="n">
        <f aca="false">AM46/AM33*100</f>
        <v>9.21608542815759</v>
      </c>
      <c r="AN65" s="438" t="n">
        <f aca="false">AN46/AN33*100</f>
        <v>9.7472126094979</v>
      </c>
      <c r="AO65" s="438" t="n">
        <f aca="false">AO46/AO33*100</f>
        <v>13.0569847932268</v>
      </c>
      <c r="AP65" s="438" t="n">
        <f aca="false">AP46/AP33*100</f>
        <v>8.15767346278957</v>
      </c>
      <c r="AQ65" s="438" t="n">
        <f aca="false">AQ46/AQ33*100</f>
        <v>10.0178701149412</v>
      </c>
      <c r="AR65" s="438" t="n">
        <f aca="false">AR46/AR33*100</f>
        <v>10.4840658024807</v>
      </c>
      <c r="AS65" s="438" t="n">
        <f aca="false">AS46/AS33*100</f>
        <v>14.033431569258</v>
      </c>
      <c r="AT65" s="438" t="n">
        <f aca="false">AT46/AT33*100</f>
        <v>9.14355075528597</v>
      </c>
      <c r="AU65" s="438" t="n">
        <f aca="false">AU46/AU33*100</f>
        <v>11.2916111295366</v>
      </c>
      <c r="AV65" s="438" t="n">
        <f aca="false">AV46/AV33*100</f>
        <v>11.9039175990671</v>
      </c>
      <c r="AW65" s="438" t="n">
        <f aca="false">AW46/AW33*100</f>
        <v>13.4820899559267</v>
      </c>
      <c r="AX65" s="438" t="n">
        <f aca="false">AX46/AX33*100</f>
        <v>8.61687607363237</v>
      </c>
      <c r="AZ65" s="435"/>
      <c r="BA65" s="435"/>
      <c r="BB65" s="435"/>
      <c r="BC65" s="435"/>
      <c r="BD65" s="435"/>
      <c r="BE65" s="435"/>
      <c r="BF65" s="435"/>
      <c r="BG65" s="435"/>
      <c r="BH65" s="435"/>
      <c r="BI65" s="435"/>
      <c r="BJ65" s="435"/>
      <c r="BK65" s="435"/>
      <c r="BL65" s="435"/>
      <c r="BM65" s="435"/>
      <c r="BN65" s="435"/>
      <c r="BO65" s="435"/>
      <c r="BP65" s="435"/>
      <c r="BQ65" s="435"/>
      <c r="BR65" s="435"/>
      <c r="BS65" s="435"/>
      <c r="BT65" s="435"/>
      <c r="BU65" s="435"/>
      <c r="BV65" s="435"/>
      <c r="BW65" s="435"/>
      <c r="BX65" s="435"/>
      <c r="BY65" s="435"/>
      <c r="BZ65" s="435"/>
      <c r="CA65" s="435"/>
      <c r="CB65" s="435"/>
      <c r="CC65" s="435"/>
      <c r="CE65" s="438" t="n">
        <f aca="false">CE46/CE33*100</f>
        <v>9.30117454945012</v>
      </c>
      <c r="CF65" s="435"/>
      <c r="CG65" s="435"/>
      <c r="CI65" s="435"/>
      <c r="CJ65" s="435"/>
      <c r="CK65" s="435"/>
      <c r="CL65" s="435"/>
      <c r="CM65" s="435"/>
      <c r="CN65" s="435"/>
    </row>
    <row r="66" customFormat="false" ht="15" hidden="false" customHeight="true" outlineLevel="0" collapsed="false">
      <c r="A66" s="414" t="s">
        <v>282</v>
      </c>
      <c r="B66" s="438" t="n">
        <f aca="false">B49/(B46+B47+B48)*100</f>
        <v>33.2418714587206</v>
      </c>
      <c r="C66" s="438" t="n">
        <f aca="false">C49/(C46+C47+C48)*100</f>
        <v>23.1107869590066</v>
      </c>
      <c r="D66" s="438" t="n">
        <f aca="false">D49/(D46+D47+D48)*100</f>
        <v>26.0712675829195</v>
      </c>
      <c r="E66" s="438" t="n">
        <f aca="false">E49/(E46+E47+E48)*100</f>
        <v>10.7197115544063</v>
      </c>
      <c r="F66" s="438" t="n">
        <f aca="false">F49/(F46+F47+F48)*100</f>
        <v>30.0030523002501</v>
      </c>
      <c r="G66" s="438" t="n">
        <f aca="false">G49/(G46+G47+G48)*100</f>
        <v>28.9953472308644</v>
      </c>
      <c r="H66" s="438" t="n">
        <f aca="false">H49/(H46+H47+H48)*100</f>
        <v>32.4836100034611</v>
      </c>
      <c r="I66" s="438" t="n">
        <f aca="false">I49/(I46+I47+I48)*100</f>
        <v>8.42319963719419</v>
      </c>
      <c r="J66" s="438" t="n">
        <f aca="false">J49/(J46+J47-J48)*100</f>
        <v>30.6841330266625</v>
      </c>
      <c r="K66" s="438" t="n">
        <f aca="false">K49/(K46+K47-K48)*100</f>
        <v>30.7455970602592</v>
      </c>
      <c r="L66" s="438" t="n">
        <f aca="false">L49/(L46+L47-L48)*100</f>
        <v>31.6172584120953</v>
      </c>
      <c r="M66" s="438" t="n">
        <f aca="false">M49/(M46+M47-M48)*100</f>
        <v>30.013423981293</v>
      </c>
      <c r="N66" s="438" t="n">
        <f aca="false">N49/(N46+N47-N48)*100</f>
        <v>28.2341993063914</v>
      </c>
      <c r="O66" s="438" t="n">
        <f aca="false">O49/(O46+O47-O48)*100</f>
        <v>26.1055039029484</v>
      </c>
      <c r="P66" s="438" t="n">
        <f aca="false">P49/(P46+P47-P48)*100</f>
        <v>29.0938368722448</v>
      </c>
      <c r="Q66" s="438" t="n">
        <f aca="false">Q49/(Q46+Q47-Q48)*100</f>
        <v>21.3318158071498</v>
      </c>
      <c r="R66" s="438" t="n">
        <f aca="false">R49/(R46+R47-R48)*100</f>
        <v>30.4276531410248</v>
      </c>
      <c r="S66" s="438" t="n">
        <f aca="false">S49/(S46+S47-S48)*100</f>
        <v>21.3267740011926</v>
      </c>
      <c r="T66" s="438" t="n">
        <f aca="false">T49/(T46+T47-T48)*100</f>
        <v>21.2440804847281</v>
      </c>
      <c r="U66" s="438" t="n">
        <f aca="false">U49/(U46+U47-U48)*100</f>
        <v>19.0310860912371</v>
      </c>
      <c r="V66" s="438" t="n">
        <f aca="false">V49/(V46+V47-V48)*100</f>
        <v>36.1811831235793</v>
      </c>
      <c r="W66" s="438" t="n">
        <f aca="false">W49/(W46+W47+W48)*100</f>
        <v>-13.2858199421771</v>
      </c>
      <c r="X66" s="438" t="n">
        <f aca="false">X49/(X46+X47+X48)*100</f>
        <v>45.15467441463</v>
      </c>
      <c r="Y66" s="438" t="n">
        <f aca="false">Y49/(Y46+Y47+Y48)*100</f>
        <v>-22.6132190942472</v>
      </c>
      <c r="Z66" s="438" t="n">
        <f aca="false">Z49/(Z46+Z47+Z48)*100</f>
        <v>29.4623577206017</v>
      </c>
      <c r="AA66" s="438" t="n">
        <f aca="false">AA49/(AA46+AA47+AA48)*100</f>
        <v>7.20854922279793</v>
      </c>
      <c r="AB66" s="438" t="n">
        <f aca="false">AB49/(AB46+AB47+AB48)*100</f>
        <v>1.53095786478795</v>
      </c>
      <c r="AC66" s="438" t="n">
        <f aca="false">AC49/(AC46+AC47+AC48)*100</f>
        <v>30.4171543220198</v>
      </c>
      <c r="AD66" s="438" t="n">
        <f aca="false">AD49/(AD46+AD47+AD48)*100</f>
        <v>26.4522083058668</v>
      </c>
      <c r="AE66" s="438" t="n">
        <f aca="false">AE49/(AE46+AE47+AE48)*100</f>
        <v>28.0182821662641</v>
      </c>
      <c r="AF66" s="438" t="n">
        <f aca="false">AF49/(AF46+AF47+AF48)*100</f>
        <v>-37.4056520975953</v>
      </c>
      <c r="AG66" s="438" t="n">
        <f aca="false">AG49/(AG46+AG47+AG48)*100</f>
        <v>167.349045243422</v>
      </c>
      <c r="AH66" s="438" t="n">
        <f aca="false">AH49/(AH46+AH47+AH48)*100</f>
        <v>48.5115766262402</v>
      </c>
      <c r="AI66" s="438" t="n">
        <f aca="false">AI49/(AI46+AI47+AI48)*100</f>
        <v>38.0715301767934</v>
      </c>
      <c r="AJ66" s="438" t="n">
        <f aca="false">AJ49/(AJ46+AJ47+AJ48)*100</f>
        <v>37.127243775333</v>
      </c>
      <c r="AK66" s="438" t="n">
        <f aca="false">AK49/(AK46+AK47+AK48)*100</f>
        <v>36.8803439924876</v>
      </c>
      <c r="AL66" s="438" t="n">
        <f aca="false">AL49/(AL46+AL47+AL48)*100</f>
        <v>7.33045612796612</v>
      </c>
      <c r="AM66" s="438" t="n">
        <f aca="false">AM49/(AM46+AM47+AM48)*100</f>
        <v>33.4046733177483</v>
      </c>
      <c r="AN66" s="438" t="n">
        <f aca="false">AN49/(AN46+AN47+AN48)*100</f>
        <v>35.7388468129802</v>
      </c>
      <c r="AO66" s="438" t="n">
        <f aca="false">AO49/(AO46+AO47+AO48)*100</f>
        <v>32.5179295797501</v>
      </c>
      <c r="AP66" s="438" t="n">
        <f aca="false">AP49/(AP46+AP47+AP48)*100</f>
        <v>25.0712819343066</v>
      </c>
      <c r="AQ66" s="438" t="n">
        <f aca="false">AQ49/(AQ46+AQ47+AQ48)*100</f>
        <v>29.6595582535115</v>
      </c>
      <c r="AR66" s="438" t="n">
        <f aca="false">AR49/(AR46+AR47+AR48)*100</f>
        <v>23.3469182389937</v>
      </c>
      <c r="AS66" s="438" t="n">
        <f aca="false">AS49/(AS46+AS47+AS48)*100</f>
        <v>24.4216625014099</v>
      </c>
      <c r="AT66" s="438" t="n">
        <f aca="false">AT49/(AT46+AT47+AT48)*100</f>
        <v>25.5725621450867</v>
      </c>
      <c r="AU66" s="438" t="n">
        <f aca="false">AU49/(AU46+AU47+AU48)*100</f>
        <v>24.1925427110613</v>
      </c>
      <c r="AV66" s="438" t="n">
        <f aca="false">AV49/(AV46+AV47+AV48)*100</f>
        <v>15.9670762313704</v>
      </c>
      <c r="AW66" s="438" t="n">
        <f aca="false">AW49/(AW46+AW47+AW48)*100</f>
        <v>26.4209351903747</v>
      </c>
      <c r="AX66" s="438" t="n">
        <f aca="false">AX49/(AX46+AX47+AX48)*100</f>
        <v>26.6291647594498</v>
      </c>
      <c r="AZ66" s="438" t="n">
        <f aca="false">AZ49/(AZ46+AZ47+AZ48)*100</f>
        <v>25</v>
      </c>
      <c r="BA66" s="438" t="n">
        <f aca="false">BA49/(BA46+BA47+BA48)*100</f>
        <v>25</v>
      </c>
      <c r="BB66" s="438" t="n">
        <f aca="false">BB49/(BB46+BB47+BB48)*100</f>
        <v>24</v>
      </c>
      <c r="BC66" s="438" t="n">
        <f aca="false">BC49/(BC46+BC47+BC48)*100</f>
        <v>20</v>
      </c>
      <c r="BD66" s="438" t="n">
        <f aca="false">BD49/(BD46+BD47+BD48)*100</f>
        <v>30.890559811074</v>
      </c>
      <c r="BE66" s="438" t="n">
        <f aca="false">BE49/(BE46+BE47+BE48)*100</f>
        <v>30</v>
      </c>
      <c r="BF66" s="438" t="n">
        <f aca="false">BF49/(BF46+BF47+BF48)*100</f>
        <v>30</v>
      </c>
      <c r="BG66" s="438" t="n">
        <f aca="false">BG49/(BG46+BG47+BG48)*100</f>
        <v>30</v>
      </c>
      <c r="BH66" s="438" t="n">
        <f aca="false">BH49/(BH46+BH47+BH48)*100</f>
        <v>30</v>
      </c>
      <c r="BI66" s="438" t="n">
        <f aca="false">BI49/(BI46+BI47+BI48)*100</f>
        <v>30</v>
      </c>
      <c r="BJ66" s="438" t="n">
        <f aca="false">BJ49/(BJ46+BJ47+BJ48)*100</f>
        <v>30</v>
      </c>
      <c r="BK66" s="438" t="n">
        <f aca="false">BK49/(BK46+BK47+BK48)*100</f>
        <v>30</v>
      </c>
      <c r="BL66" s="438" t="n">
        <f aca="false">BL49/(BL46+BL47+BL48)*100</f>
        <v>30</v>
      </c>
      <c r="BM66" s="438" t="n">
        <f aca="false">BM49/(BM46+BM47+BM48)*100</f>
        <v>30</v>
      </c>
      <c r="BN66" s="438" t="n">
        <f aca="false">BN49/(BN46+BN47+BN48)*100</f>
        <v>30</v>
      </c>
      <c r="BO66" s="438" t="n">
        <f aca="false">BO49/(BO46+BO47+BO48)*100</f>
        <v>30</v>
      </c>
      <c r="BP66" s="438" t="n">
        <f aca="false">BP49/(BP46+BP47+BP48)*100</f>
        <v>30</v>
      </c>
      <c r="BQ66" s="438" t="n">
        <f aca="false">BQ49/(BQ46+BQ47+BQ48)*100</f>
        <v>30</v>
      </c>
      <c r="BR66" s="438" t="n">
        <f aca="false">BR49/(BR46+BR47+BR48)*100</f>
        <v>30</v>
      </c>
      <c r="BS66" s="438" t="n">
        <f aca="false">BS49/(BS46+BS47+BS48)*100</f>
        <v>30</v>
      </c>
      <c r="BT66" s="438" t="n">
        <f aca="false">BT49/(BT46+BT47+BT48)*100</f>
        <v>30</v>
      </c>
      <c r="BU66" s="438" t="n">
        <f aca="false">BU49/(BU46+BU47+BU48)*100</f>
        <v>30</v>
      </c>
      <c r="BV66" s="438" t="n">
        <f aca="false">BV49/(BV46+BV47+BV48)*100</f>
        <v>30</v>
      </c>
      <c r="BW66" s="438" t="n">
        <f aca="false">BW49/(BW46+BW47+BW48)*100</f>
        <v>30</v>
      </c>
      <c r="BX66" s="438" t="n">
        <f aca="false">BX49/(BX46+BX47+BX48)*100</f>
        <v>25</v>
      </c>
      <c r="BY66" s="438" t="n">
        <f aca="false">BY49/(BY46+BY47+BY48)*100</f>
        <v>30</v>
      </c>
      <c r="BZ66" s="438" t="n">
        <f aca="false">BZ49/(BZ46+BZ47+BZ48)*100</f>
        <v>30</v>
      </c>
      <c r="CA66" s="438" t="n">
        <f aca="false">CA49/(CA46+CA47+CA48)*100</f>
        <v>25</v>
      </c>
      <c r="CB66" s="438" t="n">
        <f aca="false">CB49/(CB46+CB47+CB48)*100</f>
        <v>25</v>
      </c>
      <c r="CC66" s="438" t="n">
        <f aca="false">CC49/(CC46+CC47+CC48)*100</f>
        <v>25</v>
      </c>
      <c r="CE66" s="438" t="n">
        <f aca="false">CE49/(CE46+CE47+CE48)*100</f>
        <v>16.9578367774901</v>
      </c>
      <c r="CF66" s="435"/>
      <c r="CG66" s="435"/>
      <c r="CI66" s="435"/>
      <c r="CJ66" s="435"/>
      <c r="CK66" s="435"/>
      <c r="CL66" s="435"/>
      <c r="CM66" s="435"/>
      <c r="CN66" s="435"/>
    </row>
    <row r="67" customFormat="false" ht="15" hidden="false" customHeight="true" outlineLevel="0" collapsed="false">
      <c r="A67" s="414" t="s">
        <v>900</v>
      </c>
      <c r="B67" s="438" t="n">
        <f aca="false">B51/B33*100</f>
        <v>4.03140357253119</v>
      </c>
      <c r="C67" s="438" t="n">
        <f aca="false">C51/C33*100</f>
        <v>6.02022656456115</v>
      </c>
      <c r="D67" s="438" t="n">
        <f aca="false">D51/D33*100</f>
        <v>5.31631302244554</v>
      </c>
      <c r="E67" s="438" t="n">
        <f aca="false">E51/E33*100</f>
        <v>8.03010877483069</v>
      </c>
      <c r="F67" s="438" t="n">
        <f aca="false">F51/F33*100</f>
        <v>5.66148568587825</v>
      </c>
      <c r="G67" s="438" t="n">
        <f aca="false">G51/G33*100</f>
        <v>6.22709674946129</v>
      </c>
      <c r="H67" s="438" t="n">
        <f aca="false">H51/H33*100</f>
        <v>4.99140244844557</v>
      </c>
      <c r="I67" s="438" t="n">
        <f aca="false">I51/I33*100</f>
        <v>7.25525580286585</v>
      </c>
      <c r="J67" s="438" t="n">
        <f aca="false">J51/J33*100</f>
        <v>2.86305783652114</v>
      </c>
      <c r="K67" s="438" t="n">
        <f aca="false">K51/K33*100</f>
        <v>5.53141050616876</v>
      </c>
      <c r="L67" s="438" t="n">
        <f aca="false">L51/L33*100</f>
        <v>6.32413179961315</v>
      </c>
      <c r="M67" s="438" t="n">
        <f aca="false">M51/M33*100</f>
        <v>6.79665009887827</v>
      </c>
      <c r="N67" s="438" t="n">
        <f aca="false">N51/N33*100</f>
        <v>7.54039189096918</v>
      </c>
      <c r="O67" s="438" t="n">
        <f aca="false">O51/O33*100</f>
        <v>8.44456036327645</v>
      </c>
      <c r="P67" s="438" t="n">
        <f aca="false">P51/P33*100</f>
        <v>6.15595600689867</v>
      </c>
      <c r="Q67" s="438" t="n">
        <f aca="false">Q51/Q33*100</f>
        <v>6.97246563793367</v>
      </c>
      <c r="R67" s="438" t="n">
        <f aca="false">R51/R33*100</f>
        <v>6.25030946124585</v>
      </c>
      <c r="S67" s="438" t="n">
        <f aca="false">S51/S33*100</f>
        <v>7.08366027822903</v>
      </c>
      <c r="T67" s="438" t="n">
        <f aca="false">T51/T33*100</f>
        <v>6.09875672701748</v>
      </c>
      <c r="U67" s="438" t="n">
        <f aca="false">U51/U33*100</f>
        <v>7.47423956554032</v>
      </c>
      <c r="V67" s="438" t="n">
        <f aca="false">V51/V33*100</f>
        <v>4.29808264102213</v>
      </c>
      <c r="W67" s="438" t="n">
        <f aca="false">W51/W33*100</f>
        <v>2.22617381346228</v>
      </c>
      <c r="X67" s="438" t="n">
        <f aca="false">X51/X33*100</f>
        <v>0.728873283279171</v>
      </c>
      <c r="Y67" s="438" t="n">
        <f aca="false">Y51/Y33*100</f>
        <v>-0.150385831817968</v>
      </c>
      <c r="Z67" s="438" t="n">
        <f aca="false">Z51/Z33*100</f>
        <v>-59.5429962972637</v>
      </c>
      <c r="AA67" s="438" t="n">
        <f aca="false">AA51/AA33*100</f>
        <v>-5.12571476919389</v>
      </c>
      <c r="AB67" s="438" t="n">
        <f aca="false">AB51/AB33*100</f>
        <v>0.314583329005255</v>
      </c>
      <c r="AC67" s="438" t="n">
        <f aca="false">AC51/AC33*100</f>
        <v>3.04489400027711</v>
      </c>
      <c r="AD67" s="438" t="n">
        <f aca="false">AD51/AD33*100</f>
        <v>-9.5232447415952</v>
      </c>
      <c r="AE67" s="438" t="n">
        <f aca="false">AE51/AE33*100</f>
        <v>-1.86597799387598</v>
      </c>
      <c r="AF67" s="438" t="n">
        <f aca="false">AF51/AF33*100</f>
        <v>-0.465298202761977</v>
      </c>
      <c r="AG67" s="438" t="n">
        <f aca="false">AG51/AG33*100</f>
        <v>6.27466609638975</v>
      </c>
      <c r="AH67" s="438" t="n">
        <f aca="false">AH51/AH33*100</f>
        <v>0.807056771219121</v>
      </c>
      <c r="AI67" s="438" t="n">
        <f aca="false">AI51/AI33*100</f>
        <v>2.33654328903513</v>
      </c>
      <c r="AJ67" s="438" t="n">
        <f aca="false">AJ51/AJ33*100</f>
        <v>3.94405332642278</v>
      </c>
      <c r="AK67" s="438" t="n">
        <f aca="false">AK51/AK33*100</f>
        <v>6.09932588831438</v>
      </c>
      <c r="AL67" s="438" t="n">
        <f aca="false">AL51/AL33*100</f>
        <v>7.04410882994741</v>
      </c>
      <c r="AM67" s="438" t="n">
        <f aca="false">AM51/AM33*100</f>
        <v>5.99883378778257</v>
      </c>
      <c r="AN67" s="438" t="n">
        <f aca="false">AN51/AN33*100</f>
        <v>6.25980668628635</v>
      </c>
      <c r="AO67" s="438" t="n">
        <f aca="false">AO51/AO33*100</f>
        <v>8.45550024008827</v>
      </c>
      <c r="AP67" s="438" t="n">
        <f aca="false">AP51/AP33*100</f>
        <v>6.11244014965349</v>
      </c>
      <c r="AQ67" s="438" t="n">
        <f aca="false">AQ51/AQ33*100</f>
        <v>7.77828969201137</v>
      </c>
      <c r="AR67" s="438" t="n">
        <f aca="false">AR51/AR33*100</f>
        <v>8.03635953145326</v>
      </c>
      <c r="AS67" s="438" t="n">
        <f aca="false">AS51/AS33*100</f>
        <v>10.5495766672742</v>
      </c>
      <c r="AT67" s="438" t="n">
        <f aca="false">AT51/AT33*100</f>
        <v>6.80531055612292</v>
      </c>
      <c r="AU67" s="438" t="n">
        <f aca="false">AU51/AU33*100</f>
        <v>8.35466167719003</v>
      </c>
      <c r="AV67" s="438" t="n">
        <f aca="false">AV51/AV33*100</f>
        <v>8.90752003884219</v>
      </c>
      <c r="AW67" s="438" t="n">
        <f aca="false">AW51/AW33*100</f>
        <v>9.91999570636326</v>
      </c>
      <c r="AX67" s="438" t="n">
        <f aca="false">AX51/AX33*100</f>
        <v>6.3222739468672</v>
      </c>
      <c r="AZ67" s="435"/>
      <c r="BA67" s="435"/>
      <c r="BB67" s="435"/>
      <c r="BC67" s="435"/>
      <c r="BD67" s="435"/>
      <c r="BE67" s="435"/>
      <c r="BF67" s="435"/>
      <c r="BG67" s="435"/>
      <c r="BH67" s="435"/>
      <c r="BI67" s="435"/>
      <c r="BJ67" s="435"/>
      <c r="BK67" s="435"/>
      <c r="BL67" s="435"/>
      <c r="BM67" s="435"/>
      <c r="BN67" s="435"/>
      <c r="BO67" s="435"/>
      <c r="BP67" s="435"/>
      <c r="BQ67" s="435"/>
      <c r="BR67" s="435"/>
      <c r="BS67" s="435"/>
      <c r="BT67" s="435"/>
      <c r="BU67" s="435"/>
      <c r="BV67" s="435"/>
      <c r="BW67" s="435"/>
      <c r="BX67" s="435"/>
      <c r="BY67" s="435"/>
      <c r="BZ67" s="435"/>
      <c r="CA67" s="435"/>
      <c r="CB67" s="435"/>
      <c r="CC67" s="435"/>
      <c r="CE67" s="438" t="n">
        <f aca="false">CE51/CE33*100</f>
        <v>6.99388624695469</v>
      </c>
      <c r="CF67" s="435"/>
      <c r="CG67" s="435"/>
      <c r="CI67" s="435"/>
      <c r="CJ67" s="435"/>
      <c r="CK67" s="435"/>
      <c r="CL67" s="435"/>
      <c r="CM67" s="435"/>
      <c r="CN67" s="435"/>
    </row>
    <row r="69" customFormat="false" ht="15" hidden="false" customHeight="true" outlineLevel="0" collapsed="false">
      <c r="A69" s="412" t="s">
        <v>901</v>
      </c>
      <c r="B69" s="413"/>
      <c r="C69" s="413"/>
      <c r="D69" s="413"/>
      <c r="E69" s="413"/>
      <c r="F69" s="413"/>
      <c r="G69" s="413"/>
      <c r="H69" s="413"/>
      <c r="I69" s="413"/>
      <c r="J69" s="413"/>
      <c r="K69" s="413"/>
      <c r="L69" s="413"/>
      <c r="M69" s="413"/>
      <c r="N69" s="413"/>
      <c r="O69" s="413"/>
      <c r="P69" s="413"/>
      <c r="Q69" s="413"/>
      <c r="R69" s="413"/>
      <c r="S69" s="413"/>
      <c r="T69" s="413"/>
      <c r="U69" s="413"/>
      <c r="V69" s="413"/>
      <c r="W69" s="413"/>
      <c r="X69" s="413"/>
      <c r="Y69" s="413"/>
      <c r="Z69" s="413"/>
      <c r="AA69" s="413"/>
      <c r="AB69" s="413"/>
      <c r="AC69" s="413"/>
      <c r="AD69" s="413"/>
      <c r="AE69" s="413"/>
      <c r="AF69" s="413"/>
      <c r="AG69" s="413"/>
      <c r="AH69" s="413"/>
      <c r="AI69" s="413"/>
      <c r="AJ69" s="413"/>
      <c r="AK69" s="413"/>
      <c r="AL69" s="413"/>
      <c r="AM69" s="413"/>
      <c r="AN69" s="413"/>
      <c r="AO69" s="413"/>
      <c r="AP69" s="413"/>
      <c r="AQ69" s="413"/>
      <c r="AR69" s="413"/>
      <c r="AS69" s="413"/>
      <c r="AT69" s="413"/>
      <c r="AU69" s="413"/>
      <c r="AV69" s="413"/>
      <c r="AW69" s="413"/>
      <c r="AX69" s="413"/>
      <c r="AY69" s="413"/>
      <c r="AZ69" s="413"/>
      <c r="BA69" s="413"/>
      <c r="BB69" s="413"/>
      <c r="BC69" s="413"/>
      <c r="BD69" s="413"/>
      <c r="BE69" s="413"/>
      <c r="BF69" s="413"/>
      <c r="BG69" s="413"/>
      <c r="BH69" s="413"/>
      <c r="BI69" s="413"/>
      <c r="BJ69" s="413"/>
      <c r="BK69" s="413"/>
      <c r="BL69" s="413"/>
      <c r="BM69" s="413"/>
      <c r="BN69" s="413"/>
      <c r="BO69" s="413"/>
      <c r="BP69" s="413"/>
      <c r="BQ69" s="413"/>
      <c r="BR69" s="413"/>
      <c r="BS69" s="413"/>
      <c r="BT69" s="413"/>
      <c r="BU69" s="413"/>
      <c r="BV69" s="413"/>
      <c r="BW69" s="413"/>
      <c r="BX69" s="413"/>
      <c r="BY69" s="413"/>
      <c r="BZ69" s="413"/>
      <c r="CA69" s="413"/>
      <c r="CB69" s="413"/>
      <c r="CC69" s="413"/>
      <c r="CD69" s="413"/>
      <c r="CE69" s="413"/>
      <c r="CF69" s="413"/>
      <c r="CG69" s="413"/>
      <c r="CH69" s="413"/>
      <c r="CI69" s="413"/>
      <c r="CJ69" s="413"/>
      <c r="CK69" s="413"/>
      <c r="CL69" s="413"/>
      <c r="CM69" s="413"/>
      <c r="CN69" s="413"/>
    </row>
    <row r="70" customFormat="false" ht="15" hidden="false" customHeight="true" outlineLevel="0" collapsed="false">
      <c r="A70" s="414" t="s">
        <v>902</v>
      </c>
      <c r="B70" s="427"/>
      <c r="C70" s="427"/>
      <c r="D70" s="427"/>
      <c r="E70" s="427"/>
      <c r="F70" s="427"/>
      <c r="G70" s="427"/>
      <c r="H70" s="427"/>
      <c r="I70" s="427"/>
      <c r="J70" s="427"/>
      <c r="K70" s="427"/>
      <c r="L70" s="427"/>
      <c r="M70" s="427"/>
      <c r="N70" s="427"/>
      <c r="O70" s="427"/>
      <c r="P70" s="427"/>
      <c r="Q70" s="427"/>
      <c r="R70" s="427"/>
      <c r="S70" s="427"/>
      <c r="T70" s="427"/>
      <c r="U70" s="427"/>
      <c r="V70" s="428" t="n">
        <f aca="false">+(V34+V35)/V11*1000000</f>
        <v>1003246.81882448</v>
      </c>
      <c r="W70" s="428" t="n">
        <f aca="false">+(W34+W35)/W11*1000000</f>
        <v>937625.267813947</v>
      </c>
      <c r="X70" s="428" t="n">
        <f aca="false">+(X34+X35)/X11*1000000</f>
        <v>946548.076923077</v>
      </c>
      <c r="Y70" s="428" t="n">
        <f aca="false">+(Y34+Y35)/Y11*1000000</f>
        <v>1069886.69776924</v>
      </c>
      <c r="Z70" s="428" t="n">
        <f aca="false">+(Z34+Z35)/Z11*1000000</f>
        <v>1094520.18877819</v>
      </c>
      <c r="AA70" s="428" t="n">
        <f aca="false">+(AA34+AA35)/AA11*1000000</f>
        <v>1038911.74655421</v>
      </c>
      <c r="AB70" s="428" t="n">
        <f aca="false">+(AB34+AB35)/AB11*1000000</f>
        <v>1072256.80933852</v>
      </c>
      <c r="AC70" s="428" t="n">
        <f aca="false">+(AC34+AC35)/AC11*1000000</f>
        <v>1221831.59328189</v>
      </c>
      <c r="AD70" s="428" t="n">
        <f aca="false">+(AD34+AD35)/AD11*1000000</f>
        <v>1216017.12347807</v>
      </c>
      <c r="AE70" s="428" t="n">
        <f aca="false">+(AE34+AE35)/AE11*1000000</f>
        <v>1241164.72424936</v>
      </c>
      <c r="AF70" s="428" t="n">
        <f aca="false">+(AF34+AF35)/AF11*1000000</f>
        <v>1265695.33703084</v>
      </c>
      <c r="AG70" s="428" t="n">
        <f aca="false">+(AG34+AG35)/AG11*1000000</f>
        <v>1404415.11525278</v>
      </c>
      <c r="AH70" s="428" t="n">
        <f aca="false">+(AH34+AH35)/AH11*1000000</f>
        <v>1444616.78141787</v>
      </c>
      <c r="AI70" s="428" t="n">
        <f aca="false">+(AI34+AI35)/AI11*1000000</f>
        <v>1423243.18357435</v>
      </c>
      <c r="AJ70" s="428" t="n">
        <f aca="false">+(AJ34+AJ35)/AJ11*1000000</f>
        <v>1447762.91997813</v>
      </c>
      <c r="AK70" s="428" t="n">
        <f aca="false">+(AK34+AK35)/AK11*1000000</f>
        <v>1472213.00902893</v>
      </c>
      <c r="AL70" s="428" t="n">
        <f aca="false">+(AL34+AL35)/AL11*1000000</f>
        <v>1460753.95001089</v>
      </c>
      <c r="AM70" s="428" t="n">
        <f aca="false">+(AM34+AM35)/AM11*1000000</f>
        <v>1421688.80150865</v>
      </c>
      <c r="AN70" s="428" t="n">
        <f aca="false">+(AN34+AN35)/AN11*1000000</f>
        <v>1417781.16466629</v>
      </c>
      <c r="AO70" s="428" t="n">
        <f aca="false">+(AO34+AO35)/AO11*1000000</f>
        <v>1437837.88586966</v>
      </c>
      <c r="AP70" s="428" t="n">
        <f aca="false">+(AP34+AP35)/AP11*1000000</f>
        <v>1413583.03146288</v>
      </c>
      <c r="AQ70" s="428" t="n">
        <f aca="false">+(AQ34+AQ35)/AQ11*1000000</f>
        <v>1367929.16009118</v>
      </c>
      <c r="AR70" s="428" t="n">
        <f aca="false">+(AR34+AR35)/AR11*1000000</f>
        <v>1459848.28894061</v>
      </c>
      <c r="AS70" s="428" t="n">
        <f aca="false">+(AS34+AS35)/AS11*1000000</f>
        <v>1419970.9341625</v>
      </c>
      <c r="AT70" s="428" t="n">
        <f aca="false">+(AT34+AT35)/AT11*1000000</f>
        <v>1393107.73543108</v>
      </c>
      <c r="AU70" s="428" t="n">
        <f aca="false">+(AU34+AU35)/AU11*1000000</f>
        <v>1389300.83883052</v>
      </c>
      <c r="AV70" s="428" t="n">
        <f aca="false">+(AV34+AV35)/AV11*1000000</f>
        <v>1444737.52711497</v>
      </c>
      <c r="AW70" s="428" t="n">
        <f aca="false">+(AW34+AW35)/AW11*1000000</f>
        <v>1454882.08701661</v>
      </c>
      <c r="AX70" s="428" t="n">
        <f aca="false">+(AX34+AX35)/AX11*1000000</f>
        <v>1413446.67063142</v>
      </c>
      <c r="AZ70" s="427"/>
      <c r="BA70" s="427"/>
      <c r="BB70" s="427"/>
      <c r="BC70" s="428" t="n">
        <f aca="false">+(BC34+BC35)/BC11*1000000</f>
        <v>918825.134770889</v>
      </c>
      <c r="BD70" s="428" t="n">
        <f aca="false">+(BD34+BD35)/BD11*1000000</f>
        <v>948568.605769231</v>
      </c>
      <c r="BE70" s="428" t="n">
        <f aca="false">+(BE34+BE35)/BE11*1000000</f>
        <v>1175299.82357784</v>
      </c>
      <c r="BF70" s="428" t="n">
        <f aca="false">+(BF34+BF35)/BF11*1000000</f>
        <v>1102417.46198217</v>
      </c>
      <c r="BG70" s="428" t="n">
        <f aca="false">+(BG34+BG35)/BG11*1000000</f>
        <v>1084797.82349311</v>
      </c>
      <c r="BH70" s="428" t="n">
        <f aca="false">+(BH34+BH35)/BH11*1000000</f>
        <v>1119382.39883268</v>
      </c>
      <c r="BI70" s="428" t="n">
        <f aca="false">+(BI34+BI35)/BI11*1000000</f>
        <v>1154699.52507944</v>
      </c>
      <c r="BJ70" s="428" t="n">
        <f aca="false">+(BJ34+BJ35)/BJ11*1000000</f>
        <v>1245036.57708345</v>
      </c>
      <c r="BK70" s="428" t="n">
        <f aca="false">+(BK34+BK35)/BK11*1000000</f>
        <v>1286970.92037904</v>
      </c>
      <c r="BL70" s="428" t="n">
        <f aca="false">+(BL34+BL35)/BL11*1000000</f>
        <v>1330065.95827097</v>
      </c>
      <c r="BM70" s="428" t="n">
        <f aca="false">+(BM34+BM35)/BM11*1000000</f>
        <v>1417925.06003818</v>
      </c>
      <c r="BN70" s="428" t="n">
        <f aca="false">+(BN34+BN35)/BN11*1000000</f>
        <v>1448094.80763411</v>
      </c>
      <c r="BO70" s="428" t="n">
        <f aca="false">+(BO34+BO35)/BO11*1000000</f>
        <v>1432694.71161276</v>
      </c>
      <c r="BP70" s="428" t="n">
        <f aca="false">+(BP34+BP35)/BP11*1000000</f>
        <v>1460178.24952693</v>
      </c>
      <c r="BQ70" s="428" t="n">
        <f aca="false">+(BQ34+BQ35)/BQ11*1000000</f>
        <v>1464479.59528955</v>
      </c>
      <c r="BR70" s="428" t="n">
        <f aca="false">+(BR34+BR35)/BR11*1000000</f>
        <v>1436974.78961504</v>
      </c>
      <c r="BS70" s="428" t="n">
        <f aca="false">+(BS34+BS35)/BS11*1000000</f>
        <v>1390850.8070457</v>
      </c>
      <c r="BT70" s="428" t="n">
        <f aca="false">+(BT34+BT35)/BT11*1000000</f>
        <v>1440093.09424017</v>
      </c>
      <c r="BU70" s="428" t="n">
        <f aca="false">+(BU34+BU35)/BU11*1000000</f>
        <v>1420665.35548881</v>
      </c>
      <c r="BV70" s="428" t="n">
        <f aca="false">+(BV34+BV35)/BV11*1000000</f>
        <v>1386092.51744014</v>
      </c>
      <c r="BW70" s="428" t="n">
        <f aca="false">+(BW34+BW35)/BW11*1000000</f>
        <v>1392876.29083377</v>
      </c>
      <c r="BX70" s="428" t="n">
        <f aca="false">+(BX34+BX35)/BX11*1000000</f>
        <v>1482395.43697742</v>
      </c>
      <c r="BY70" s="428" t="n">
        <f aca="false">+(BY34+BY35)/BY11*1000000</f>
        <v>1405923.77744356</v>
      </c>
      <c r="BZ70" s="428" t="n">
        <f aca="false">+(BZ34+BZ35)/BZ11*1000000</f>
        <v>1395205.7002916</v>
      </c>
      <c r="CA70" s="428" t="n">
        <f aca="false">+(CA34+CA35)/CA11*1000000</f>
        <v>1422668.36440264</v>
      </c>
      <c r="CB70" s="428" t="n">
        <f aca="false">+(CB34+CB35)/CB11*1000000</f>
        <v>1472732.03711063</v>
      </c>
      <c r="CC70" s="428" t="n">
        <f aca="false">+(CC34+CC35)/CC11*1000000</f>
        <v>1477414.24935932</v>
      </c>
      <c r="CE70" s="427"/>
      <c r="CF70" s="427"/>
      <c r="CG70" s="428" t="n">
        <f aca="false">+(CG34+CG35)/CG11*1000000</f>
        <v>1425220.81138829</v>
      </c>
      <c r="CI70" s="427"/>
      <c r="CJ70" s="428" t="n">
        <f aca="false">+(CJ34+CJ35)/CJ11*1000000</f>
        <v>1454882.08701661</v>
      </c>
      <c r="CK70" s="427"/>
      <c r="CL70" s="427"/>
      <c r="CM70" s="427"/>
      <c r="CN70" s="427"/>
    </row>
    <row r="71" customFormat="false" ht="15" hidden="false" customHeight="true" outlineLevel="0" collapsed="false">
      <c r="A71" s="414" t="s">
        <v>903</v>
      </c>
      <c r="B71" s="438" t="n">
        <f aca="false">(B34+B35)/B33*100</f>
        <v>68.429819567242</v>
      </c>
      <c r="C71" s="438" t="n">
        <f aca="false">(C34+C35)/C33*100</f>
        <v>69.6831074922276</v>
      </c>
      <c r="D71" s="438" t="n">
        <f aca="false">(D34+D35)/D33*100</f>
        <v>69.8979607339414</v>
      </c>
      <c r="E71" s="438" t="n">
        <f aca="false">(E34+E35)/E33*100</f>
        <v>70.4184908489829</v>
      </c>
      <c r="F71" s="438" t="n">
        <f aca="false">(F34+F35)/F33*100</f>
        <v>68.6748130012971</v>
      </c>
      <c r="G71" s="438" t="n">
        <f aca="false">(G34+G35)/G33*100</f>
        <v>67.7930764239862</v>
      </c>
      <c r="H71" s="438" t="n">
        <f aca="false">(H34+H35)/H33*100</f>
        <v>69.421062767994</v>
      </c>
      <c r="I71" s="438" t="n">
        <f aca="false">(I34+I35)/I33*100</f>
        <v>71.9315817083077</v>
      </c>
      <c r="J71" s="438" t="n">
        <f aca="false">(J34+J35)/J33*100</f>
        <v>69.0848762667784</v>
      </c>
      <c r="K71" s="438" t="n">
        <f aca="false">(K34+K35)/K33*100</f>
        <v>70.8311120967122</v>
      </c>
      <c r="L71" s="438" t="n">
        <f aca="false">(L34+L35)/L33*100</f>
        <v>71.4420759712769</v>
      </c>
      <c r="M71" s="438" t="n">
        <f aca="false">(M34+M35)/M33*100</f>
        <v>69.6831723374489</v>
      </c>
      <c r="N71" s="438" t="n">
        <f aca="false">(N34+N35)/N33*100</f>
        <v>71.8844066069717</v>
      </c>
      <c r="O71" s="438" t="n">
        <f aca="false">(O34+O35)/O33*100</f>
        <v>71.159179461714</v>
      </c>
      <c r="P71" s="438" t="n">
        <f aca="false">(P34+P35)/P33*100</f>
        <v>69.6168752070159</v>
      </c>
      <c r="Q71" s="438" t="n">
        <f aca="false">(Q34+Q35)/Q33*100</f>
        <v>68.9318698584641</v>
      </c>
      <c r="R71" s="438" t="n">
        <f aca="false">(R34+R35)/R33*100</f>
        <v>72.6709484952517</v>
      </c>
      <c r="S71" s="438" t="n">
        <f aca="false">(S34+S35)/S33*100</f>
        <v>72.137340474947</v>
      </c>
      <c r="T71" s="438" t="n">
        <f aca="false">(T34+T35)/T33*100</f>
        <v>70.1272995174887</v>
      </c>
      <c r="U71" s="438" t="n">
        <f aca="false">(U34+U35)/U33*100</f>
        <v>72.6798652035456</v>
      </c>
      <c r="V71" s="438" t="n">
        <f aca="false">(V34+V35)/V33*100</f>
        <v>69.9112926778633</v>
      </c>
      <c r="W71" s="438" t="n">
        <f aca="false">(W34+W35)/W33*100</f>
        <v>69.0494973915256</v>
      </c>
      <c r="X71" s="438" t="n">
        <f aca="false">(X34+X35)/X33*100</f>
        <v>73.543012961787</v>
      </c>
      <c r="Y71" s="438" t="n">
        <f aca="false">(Y34+Y35)/Y33*100</f>
        <v>71.0951787956628</v>
      </c>
      <c r="Z71" s="438" t="n">
        <f aca="false">(Z34+Z35)/Z33*100</f>
        <v>64.137231705256</v>
      </c>
      <c r="AA71" s="438" t="n">
        <f aca="false">(AA34+AA35)/AA33*100</f>
        <v>71.2146317043764</v>
      </c>
      <c r="AB71" s="438" t="n">
        <f aca="false">(AB34+AB35)/AB33*100</f>
        <v>74.424068922678</v>
      </c>
      <c r="AC71" s="438" t="n">
        <f aca="false">(AC34+AC35)/AC33*100</f>
        <v>76.9001884153824</v>
      </c>
      <c r="AD71" s="438" t="n">
        <f aca="false">(AD34+AD35)/AD33*100</f>
        <v>74.1191938976411</v>
      </c>
      <c r="AE71" s="438" t="n">
        <f aca="false">(AE34+AE35)/AE33*100</f>
        <v>76.6858463160492</v>
      </c>
      <c r="AF71" s="438" t="n">
        <f aca="false">(AF34+AF35)/AF33*100</f>
        <v>77.9220474204901</v>
      </c>
      <c r="AG71" s="438" t="n">
        <f aca="false">(AG34+AG35)/AG33*100</f>
        <v>78.2472905175835</v>
      </c>
      <c r="AH71" s="438" t="n">
        <f aca="false">(AH34+AH35)/AH33*100</f>
        <v>79.3045681413846</v>
      </c>
      <c r="AI71" s="438" t="n">
        <f aca="false">(AI34+AI35)/AI33*100</f>
        <v>77.9895837743998</v>
      </c>
      <c r="AJ71" s="438" t="n">
        <f aca="false">(AJ34+AJ35)/AJ33*100</f>
        <v>76.2580470825623</v>
      </c>
      <c r="AK71" s="438" t="n">
        <f aca="false">(AK34+AK35)/AK33*100</f>
        <v>75.5971053711313</v>
      </c>
      <c r="AL71" s="438" t="n">
        <f aca="false">(AL34+AL35)/AL33*100</f>
        <v>73.7200660863152</v>
      </c>
      <c r="AM71" s="438" t="n">
        <f aca="false">(AM34+AM35)/AM33*100</f>
        <v>73.5268789089898</v>
      </c>
      <c r="AN71" s="438" t="n">
        <f aca="false">(AN34+AN35)/AN33*100</f>
        <v>72.2283271559073</v>
      </c>
      <c r="AO71" s="438" t="n">
        <f aca="false">(AO34+AO35)/AO33*100</f>
        <v>71.8096441812103</v>
      </c>
      <c r="AP71" s="438" t="n">
        <f aca="false">(AP34+AP35)/AP33*100</f>
        <v>72.1593109519883</v>
      </c>
      <c r="AQ71" s="438" t="n">
        <f aca="false">(AQ34+AQ35)/AQ33*100</f>
        <v>71.1730071172551</v>
      </c>
      <c r="AR71" s="438" t="n">
        <f aca="false">(AR34+AR35)/AR33*100</f>
        <v>71.4686765126331</v>
      </c>
      <c r="AS71" s="438" t="n">
        <f aca="false">(AS34+AS35)/AS33*100</f>
        <v>70.5721395750799</v>
      </c>
      <c r="AT71" s="438" t="n">
        <f aca="false">(AT34+AT35)/AT33*100</f>
        <v>70.6381217970981</v>
      </c>
      <c r="AU71" s="438" t="n">
        <f aca="false">(AU34+AU35)/AU33*100</f>
        <v>71.1677294335317</v>
      </c>
      <c r="AV71" s="438" t="n">
        <f aca="false">(AV34+AV35)/AV33*100</f>
        <v>72.1814485189247</v>
      </c>
      <c r="AW71" s="438" t="n">
        <f aca="false">(AW34+AW35)/AW33*100</f>
        <v>71.3627847623917</v>
      </c>
      <c r="AX71" s="438" t="n">
        <f aca="false">(AX34+AX35)/AX33*100</f>
        <v>71.5397509951372</v>
      </c>
      <c r="AZ71" s="434" t="n">
        <v>72</v>
      </c>
      <c r="BA71" s="434" t="n">
        <v>72</v>
      </c>
      <c r="BB71" s="434" t="n">
        <v>69.5</v>
      </c>
      <c r="BC71" s="434" t="n">
        <v>69.4</v>
      </c>
      <c r="BD71" s="434" t="n">
        <v>73.7</v>
      </c>
      <c r="BE71" s="434" t="n">
        <v>71</v>
      </c>
      <c r="BF71" s="434" t="n">
        <v>68</v>
      </c>
      <c r="BG71" s="434" t="n">
        <v>71.5</v>
      </c>
      <c r="BH71" s="434" t="n">
        <v>75.8</v>
      </c>
      <c r="BI71" s="434" t="n">
        <v>76.5</v>
      </c>
      <c r="BJ71" s="434" t="n">
        <v>74.4</v>
      </c>
      <c r="BK71" s="434" t="n">
        <v>77.2</v>
      </c>
      <c r="BL71" s="434" t="n">
        <v>79.5</v>
      </c>
      <c r="BM71" s="434" t="n">
        <v>79</v>
      </c>
      <c r="BN71" s="434" t="n">
        <v>79.1</v>
      </c>
      <c r="BO71" s="434" t="n">
        <v>77.5</v>
      </c>
      <c r="BP71" s="434" t="n">
        <v>76</v>
      </c>
      <c r="BQ71" s="434" t="n">
        <v>75.2</v>
      </c>
      <c r="BR71" s="434" t="n">
        <v>74</v>
      </c>
      <c r="BS71" s="434" t="n">
        <v>73.4</v>
      </c>
      <c r="BT71" s="434" t="n">
        <v>73</v>
      </c>
      <c r="BU71" s="434" t="n">
        <v>72.4</v>
      </c>
      <c r="BV71" s="434" t="n">
        <v>72.2</v>
      </c>
      <c r="BW71" s="434" t="n">
        <v>71.4</v>
      </c>
      <c r="BX71" s="434" t="n">
        <v>71.5</v>
      </c>
      <c r="BY71" s="434" t="n">
        <v>71.3</v>
      </c>
      <c r="BZ71" s="434" t="n">
        <v>71.1</v>
      </c>
      <c r="CA71" s="434" t="n">
        <v>71.8</v>
      </c>
      <c r="CB71" s="434" t="n">
        <v>72.6</v>
      </c>
      <c r="CC71" s="434" t="n">
        <v>73.2</v>
      </c>
      <c r="CE71" s="438" t="n">
        <f aca="false">(CE34+CE35)/CE33*100</f>
        <v>69.7047446669283</v>
      </c>
      <c r="CF71" s="435"/>
      <c r="CG71" s="438" t="n">
        <f aca="false">(CG34+CG35)/CG33*100</f>
        <v>71.3911845448329</v>
      </c>
      <c r="CI71" s="435"/>
      <c r="CJ71" s="438" t="n">
        <f aca="false">(CJ34+CJ35)/CJ33*100</f>
        <v>71.3627847623916</v>
      </c>
      <c r="CK71" s="435"/>
      <c r="CL71" s="435"/>
      <c r="CM71" s="435"/>
      <c r="CN71" s="435"/>
    </row>
    <row r="72" customFormat="false" ht="15" hidden="false" customHeight="true" outlineLevel="0" collapsed="false">
      <c r="A72" s="414" t="s">
        <v>904</v>
      </c>
      <c r="B72" s="438" t="n">
        <f aca="false">B36/B33*100</f>
        <v>8.46516939372735</v>
      </c>
      <c r="C72" s="438" t="n">
        <f aca="false">C36/C33*100</f>
        <v>7.57605382338098</v>
      </c>
      <c r="D72" s="438" t="n">
        <f aca="false">D36/D33*100</f>
        <v>8.44658706654436</v>
      </c>
      <c r="E72" s="438" t="n">
        <f aca="false">E36/E33*100</f>
        <v>5.56747750606936</v>
      </c>
      <c r="F72" s="438" t="n">
        <f aca="false">F36/F33*100</f>
        <v>8.40908851300508</v>
      </c>
      <c r="G72" s="438" t="n">
        <f aca="false">G36/G33*100</f>
        <v>7.98728177517765</v>
      </c>
      <c r="H72" s="438" t="n">
        <f aca="false">H36/H33*100</f>
        <v>8.67475437449065</v>
      </c>
      <c r="I72" s="438" t="n">
        <f aca="false">I36/I33*100</f>
        <v>6.22289579758803</v>
      </c>
      <c r="J72" s="438" t="n">
        <f aca="false">J36/J33*100</f>
        <v>9.90511168044797</v>
      </c>
      <c r="K72" s="438" t="n">
        <f aca="false">K36/K33*100</f>
        <v>7.66956161828193</v>
      </c>
      <c r="L72" s="438" t="n">
        <f aca="false">L36/L33*100</f>
        <v>6.91350063445765</v>
      </c>
      <c r="M72" s="438" t="n">
        <f aca="false">M36/M33*100</f>
        <v>6.62859876562096</v>
      </c>
      <c r="N72" s="438" t="n">
        <f aca="false">N36/N33*100</f>
        <v>5.18575624642989</v>
      </c>
      <c r="O72" s="438" t="n">
        <f aca="false">O36/O33*100</f>
        <v>5.22545896454364</v>
      </c>
      <c r="P72" s="438" t="n">
        <f aca="false">P36/P33*100</f>
        <v>7.88770734103991</v>
      </c>
      <c r="Q72" s="438" t="n">
        <f aca="false">Q36/Q33*100</f>
        <v>7.98598691942159</v>
      </c>
      <c r="R72" s="438" t="n">
        <f aca="false">R36/R33*100</f>
        <v>6.80024123617253</v>
      </c>
      <c r="S72" s="438" t="n">
        <f aca="false">S36/S33*100</f>
        <v>6.88985521699081</v>
      </c>
      <c r="T72" s="438" t="n">
        <f aca="false">T36/T33*100</f>
        <v>7.90594507085897</v>
      </c>
      <c r="U72" s="438" t="n">
        <f aca="false">U36/U33*100</f>
        <v>6.48298143892163</v>
      </c>
      <c r="V72" s="438" t="n">
        <f aca="false">V36/V33*100</f>
        <v>8.80440404936082</v>
      </c>
      <c r="W72" s="438" t="n">
        <f aca="false">W36/W33*100</f>
        <v>10.9968189337066</v>
      </c>
      <c r="X72" s="438" t="n">
        <f aca="false">X36/X33*100</f>
        <v>6.79317171566247</v>
      </c>
      <c r="Y72" s="438" t="n">
        <f aca="false">Y36/Y33*100</f>
        <v>10.6740724144579</v>
      </c>
      <c r="Z72" s="438" t="n">
        <f aca="false">Z36/Z33*100</f>
        <v>54.4179329205525</v>
      </c>
      <c r="AA72" s="438" t="n">
        <f aca="false">AA36/AA33*100</f>
        <v>13.1714952513238</v>
      </c>
      <c r="AB72" s="438" t="n">
        <f aca="false">AB36/AB33*100</f>
        <v>9.4417587166122</v>
      </c>
      <c r="AC72" s="438" t="n">
        <f aca="false">AC36/AC33*100</f>
        <v>5.73674128525289</v>
      </c>
      <c r="AD72" s="438" t="n">
        <f aca="false">AD36/AD33*100</f>
        <v>14.3785644817502</v>
      </c>
      <c r="AE72" s="438" t="n">
        <f aca="false">AE36/AE33*100</f>
        <v>8.97966508518681</v>
      </c>
      <c r="AF72" s="438" t="n">
        <f aca="false">AF36/AF33*100</f>
        <v>7.81205963332587</v>
      </c>
      <c r="AG72" s="438" t="n">
        <f aca="false">AG36/AG33*100</f>
        <v>5.00417987052122</v>
      </c>
      <c r="AH72" s="438" t="n">
        <f aca="false">AH36/AH33*100</f>
        <v>6.1666793578712</v>
      </c>
      <c r="AI72" s="438" t="n">
        <f aca="false">AI36/AI33*100</f>
        <v>6.376157610438</v>
      </c>
      <c r="AJ72" s="438" t="n">
        <f aca="false">AJ36/AJ33*100</f>
        <v>6.08516147323213</v>
      </c>
      <c r="AK72" s="438" t="n">
        <f aca="false">AK36/AK33*100</f>
        <v>5.09157751768285</v>
      </c>
      <c r="AL72" s="438" t="n">
        <f aca="false">AL36/AL33*100</f>
        <v>6.56418321979073</v>
      </c>
      <c r="AM72" s="438" t="n">
        <f aca="false">AM36/AM33*100</f>
        <v>5.94342833190151</v>
      </c>
      <c r="AN72" s="438" t="n">
        <f aca="false">AN36/AN33*100</f>
        <v>6.1410480523584</v>
      </c>
      <c r="AO72" s="438" t="n">
        <f aca="false">AO36/AO33*100</f>
        <v>4.91297799087398</v>
      </c>
      <c r="AP72" s="438" t="n">
        <f aca="false">AP36/AP33*100</f>
        <v>6.39353470883977</v>
      </c>
      <c r="AQ72" s="438" t="n">
        <f aca="false">AQ36/AQ33*100</f>
        <v>6.82736465412147</v>
      </c>
      <c r="AR72" s="438" t="n">
        <f aca="false">AR36/AR33*100</f>
        <v>6.39699451505327</v>
      </c>
      <c r="AS72" s="438" t="n">
        <f aca="false">AS36/AS33*100</f>
        <v>5.47162062400109</v>
      </c>
      <c r="AT72" s="438" t="n">
        <f aca="false">AT36/AT33*100</f>
        <v>7.01689837022366</v>
      </c>
      <c r="AU72" s="438" t="n">
        <f aca="false">AU36/AU33*100</f>
        <v>6.75602669119687</v>
      </c>
      <c r="AV72" s="438" t="n">
        <f aca="false">AV36/AV33*100</f>
        <v>5.42021961443924</v>
      </c>
      <c r="AW72" s="438" t="n">
        <f aca="false">AW36/AW33*100</f>
        <v>5.09558638154471</v>
      </c>
      <c r="AX72" s="438" t="n">
        <f aca="false">AX36/AX33*100</f>
        <v>7.19000243918894</v>
      </c>
      <c r="AZ72" s="438" t="n">
        <f aca="false">AZ36/AZ33*100</f>
        <v>5.8707646111157</v>
      </c>
      <c r="BA72" s="438" t="n">
        <f aca="false">BA36/BA33*100</f>
        <v>7.98438858967448</v>
      </c>
      <c r="BB72" s="438" t="n">
        <f aca="false">BB36/BB33*100</f>
        <v>11.794680757552</v>
      </c>
      <c r="BC72" s="438" t="n">
        <f aca="false">BC36/BC33*100</f>
        <v>10.5307976156685</v>
      </c>
      <c r="BD72" s="438" t="n">
        <f aca="false">BD36/BD33*100</f>
        <v>8.52898577499756</v>
      </c>
      <c r="BE72" s="438" t="n">
        <f aca="false">BE36/BE33*100</f>
        <v>38.0137076825825</v>
      </c>
      <c r="BF72" s="438" t="n">
        <f aca="false">BF36/BF33*100</f>
        <v>12.6892866423787</v>
      </c>
      <c r="BG72" s="438" t="n">
        <f aca="false">BG36/BG33*100</f>
        <v>7.89115824041942</v>
      </c>
      <c r="BH72" s="438" t="n">
        <f aca="false">BH36/BH33*100</f>
        <v>7.06975023022444</v>
      </c>
      <c r="BI72" s="438" t="n">
        <f aca="false">BI36/BI33*100</f>
        <v>14.3647582119189</v>
      </c>
      <c r="BJ72" s="438" t="n">
        <f aca="false">BJ36/BJ33*100</f>
        <v>9.76319799441271</v>
      </c>
      <c r="BK72" s="438" t="n">
        <f aca="false">BK36/BK33*100</f>
        <v>7.74532932980822</v>
      </c>
      <c r="BL72" s="438" t="n">
        <f aca="false">BL36/BL33*100</f>
        <v>5.39819118197813</v>
      </c>
      <c r="BM72" s="438" t="n">
        <f aca="false">BM36/BM33*100</f>
        <v>6.18261701652406</v>
      </c>
      <c r="BN72" s="438" t="n">
        <f aca="false">BN36/BN33*100</f>
        <v>5.42677401705416</v>
      </c>
      <c r="BO72" s="438" t="n">
        <f aca="false">BO36/BO33*100</f>
        <v>6.02786900311657</v>
      </c>
      <c r="BP72" s="438" t="n">
        <f aca="false">BP36/BP33*100</f>
        <v>4.62094798673973</v>
      </c>
      <c r="BQ72" s="438" t="n">
        <f aca="false">BQ36/BQ33*100</f>
        <v>7.35531582138735</v>
      </c>
      <c r="BR72" s="438" t="n">
        <f aca="false">BR36/BR33*100</f>
        <v>5.5788671224281</v>
      </c>
      <c r="BS72" s="438" t="n">
        <f aca="false">BS36/BS33*100</f>
        <v>6.47924533073435</v>
      </c>
      <c r="BT72" s="438" t="n">
        <f aca="false">BT36/BT33*100</f>
        <v>5.22505767776352</v>
      </c>
      <c r="BU72" s="438" t="n">
        <f aca="false">BU36/BU33*100</f>
        <v>6.50188881096667</v>
      </c>
      <c r="BV72" s="438" t="n">
        <f aca="false">BV36/BV33*100</f>
        <v>6.33642943917656</v>
      </c>
      <c r="BW72" s="438" t="n">
        <f aca="false">BW36/BW33*100</f>
        <v>6.62798471234272</v>
      </c>
      <c r="BX72" s="438" t="n">
        <f aca="false">BX36/BX33*100</f>
        <v>5.05345096653363</v>
      </c>
      <c r="BY72" s="438" t="n">
        <f aca="false">BY36/BY33*100</f>
        <v>7.39421346714818</v>
      </c>
      <c r="BZ72" s="438" t="n">
        <f aca="false">BZ36/BZ33*100</f>
        <v>6.58843238654656</v>
      </c>
      <c r="CA72" s="438" t="n">
        <f aca="false">CA36/CA33*100</f>
        <v>5.78034509345123</v>
      </c>
      <c r="CB72" s="438" t="n">
        <f aca="false">CB36/CB33*100</f>
        <v>4.54224532300642</v>
      </c>
      <c r="CC72" s="438" t="n">
        <f aca="false">CC36/CC33*100</f>
        <v>6.9091925159299</v>
      </c>
      <c r="CE72" s="438" t="n">
        <f aca="false">CE36/CE33*100</f>
        <v>7.31393866835533</v>
      </c>
      <c r="CF72" s="435"/>
      <c r="CG72" s="438" t="n">
        <f aca="false">CG36/CG33*100</f>
        <v>5.92334906491076</v>
      </c>
      <c r="CI72" s="435"/>
      <c r="CJ72" s="438" t="n">
        <f aca="false">CJ36/CJ33*100</f>
        <v>5.0955863815447</v>
      </c>
      <c r="CK72" s="435"/>
      <c r="CL72" s="435"/>
      <c r="CM72" s="435"/>
      <c r="CN72" s="435"/>
    </row>
    <row r="73" customFormat="false" ht="15" hidden="false" customHeight="true" outlineLevel="0" collapsed="false">
      <c r="A73" s="414" t="s">
        <v>905</v>
      </c>
      <c r="B73" s="438" t="n">
        <f aca="false">B37/B33*100</f>
        <v>12.9971619807399</v>
      </c>
      <c r="C73" s="438" t="n">
        <f aca="false">C37/C33*100</f>
        <v>10.1779226988289</v>
      </c>
      <c r="D73" s="438" t="n">
        <f aca="false">D37/D33*100</f>
        <v>10.7347520912285</v>
      </c>
      <c r="E73" s="438" t="n">
        <f aca="false">E37/E33*100</f>
        <v>10.8968681328699</v>
      </c>
      <c r="F73" s="438" t="n">
        <f aca="false">F37/F33*100</f>
        <v>11.5976964336084</v>
      </c>
      <c r="G73" s="438" t="n">
        <f aca="false">G37/G33*100</f>
        <v>12.6134136072553</v>
      </c>
      <c r="H73" s="438" t="n">
        <f aca="false">H37/H33*100</f>
        <v>11.8491061836698</v>
      </c>
      <c r="I73" s="438" t="n">
        <f aca="false">I37/I33*100</f>
        <v>10.8162952116486</v>
      </c>
      <c r="J73" s="438" t="n">
        <f aca="false">J37/J33*100</f>
        <v>13.8215949469993</v>
      </c>
      <c r="K73" s="438" t="n">
        <f aca="false">K37/K33*100</f>
        <v>11.4308867159037</v>
      </c>
      <c r="L73" s="438" t="n">
        <f aca="false">L37/L33*100</f>
        <v>10.5603555774492</v>
      </c>
      <c r="M73" s="438" t="n">
        <f aca="false">M37/M33*100</f>
        <v>12.0160040942</v>
      </c>
      <c r="N73" s="438" t="n">
        <f aca="false">N37/N33*100</f>
        <v>11.1579983382143</v>
      </c>
      <c r="O73" s="438" t="n">
        <f aca="false">O37/O33*100</f>
        <v>10.7949918508808</v>
      </c>
      <c r="P73" s="438" t="n">
        <f aca="false">P37/P33*100</f>
        <v>12.1348765258374</v>
      </c>
      <c r="Q73" s="438" t="n">
        <f aca="false">Q37/Q33*100</f>
        <v>12.3577295488222</v>
      </c>
      <c r="R73" s="438" t="n">
        <f aca="false">R37/R33*100</f>
        <v>9.93557278100662</v>
      </c>
      <c r="S73" s="438" t="n">
        <f aca="false">S37/S33*100</f>
        <v>10.0946587482581</v>
      </c>
      <c r="T73" s="438" t="n">
        <f aca="false">T37/T33*100</f>
        <v>11.6963150805345</v>
      </c>
      <c r="U73" s="438" t="n">
        <f aca="false">U37/U33*100</f>
        <v>9.69711494438685</v>
      </c>
      <c r="V73" s="438" t="n">
        <f aca="false">V37/V33*100</f>
        <v>11.8370262462481</v>
      </c>
      <c r="W73" s="438" t="n">
        <f aca="false">W37/W33*100</f>
        <v>14.1366586079654</v>
      </c>
      <c r="X73" s="438" t="n">
        <f aca="false">X37/X33*100</f>
        <v>14.0570019797542</v>
      </c>
      <c r="Y73" s="438" t="n">
        <f aca="false">Y37/Y33*100</f>
        <v>13.464514414635</v>
      </c>
      <c r="Z73" s="438" t="n">
        <f aca="false">Z37/Z33*100</f>
        <v>32.6439995698066</v>
      </c>
      <c r="AA73" s="438" t="n">
        <f aca="false">AA37/AA33*100</f>
        <v>12.7784162618364</v>
      </c>
      <c r="AB73" s="438" t="n">
        <f aca="false">AB37/AB33*100</f>
        <v>10.8617204493187</v>
      </c>
      <c r="AC73" s="438" t="n">
        <f aca="false">AC37/AC33*100</f>
        <v>9.73274727911903</v>
      </c>
      <c r="AD73" s="438" t="n">
        <f aca="false">AD37/AD33*100</f>
        <v>16.2498009142695</v>
      </c>
      <c r="AE73" s="438" t="n">
        <f aca="false">AE37/AE33*100</f>
        <v>11.3130769317047</v>
      </c>
      <c r="AF73" s="438" t="n">
        <f aca="false">AF37/AF33*100</f>
        <v>10.2210234211839</v>
      </c>
      <c r="AG73" s="438" t="n">
        <f aca="false">AG37/AG33*100</f>
        <v>7.87370958648444</v>
      </c>
      <c r="AH73" s="438" t="n">
        <f aca="false">AH37/AH33*100</f>
        <v>10.0944917864832</v>
      </c>
      <c r="AI73" s="438" t="n">
        <f aca="false">AI37/AI33*100</f>
        <v>9.13361440608762</v>
      </c>
      <c r="AJ73" s="438" t="n">
        <f aca="false">AJ37/AJ33*100</f>
        <v>8.82656841279914</v>
      </c>
      <c r="AK73" s="438" t="n">
        <f aca="false">AK37/AK33*100</f>
        <v>8.33784203405051</v>
      </c>
      <c r="AL73" s="438" t="n">
        <f aca="false">AL37/AL33*100</f>
        <v>9.69351433396546</v>
      </c>
      <c r="AM73" s="438" t="n">
        <f aca="false">AM37/AM33*100</f>
        <v>9.32627380670759</v>
      </c>
      <c r="AN73" s="438" t="n">
        <f aca="false">AN37/AN33*100</f>
        <v>9.61802047016017</v>
      </c>
      <c r="AO73" s="438" t="n">
        <f aca="false">AO37/AO33*100</f>
        <v>9.14625324740452</v>
      </c>
      <c r="AP73" s="438" t="n">
        <f aca="false">AP37/AP33*100</f>
        <v>10.8538319922126</v>
      </c>
      <c r="AQ73" s="438" t="n">
        <f aca="false">AQ37/AQ33*100</f>
        <v>10.3983085542769</v>
      </c>
      <c r="AR73" s="438" t="n">
        <f aca="false">AR37/AR33*100</f>
        <v>9.35373844642761</v>
      </c>
      <c r="AS73" s="438" t="n">
        <f aca="false">AS37/AS33*100</f>
        <v>8.91463720876716</v>
      </c>
      <c r="AT73" s="438" t="n">
        <f aca="false">AT37/AT33*100</f>
        <v>11.2320348076855</v>
      </c>
      <c r="AU73" s="438" t="n">
        <f aca="false">AU37/AU33*100</f>
        <v>9.95548685986287</v>
      </c>
      <c r="AV73" s="438" t="n">
        <f aca="false">AV37/AV33*100</f>
        <v>9.08950610594034</v>
      </c>
      <c r="AW73" s="438" t="n">
        <f aca="false">AW37/AW33*100</f>
        <v>8.9551279652046</v>
      </c>
      <c r="AX73" s="438" t="n">
        <f aca="false">AX37/AX33*100</f>
        <v>11.2069833460483</v>
      </c>
      <c r="AZ73" s="438" t="n">
        <f aca="false">AZ37/AZ33*100</f>
        <v>11.4479909916756</v>
      </c>
      <c r="BA73" s="438" t="n">
        <f aca="false">BA37/BA33*100</f>
        <v>12.4012844052391</v>
      </c>
      <c r="BB73" s="438" t="n">
        <f aca="false">BB37/BB33*100</f>
        <v>14.2519059153753</v>
      </c>
      <c r="BC73" s="438" t="n">
        <f aca="false">BC37/BC33*100</f>
        <v>14.041063487558</v>
      </c>
      <c r="BD73" s="438" t="n">
        <f aca="false">BD37/BD33*100</f>
        <v>15.8395450107098</v>
      </c>
      <c r="BE73" s="438" t="n">
        <f aca="false">BE37/BE33*100</f>
        <v>39.5976121693568</v>
      </c>
      <c r="BF73" s="438" t="n">
        <f aca="false">BF37/BF33*100</f>
        <v>15.8616083029734</v>
      </c>
      <c r="BG73" s="438" t="n">
        <f aca="false">BG37/BG33*100</f>
        <v>12.2312952726501</v>
      </c>
      <c r="BH73" s="438" t="n">
        <f aca="false">BH37/BH33*100</f>
        <v>9.68248401095956</v>
      </c>
      <c r="BI73" s="438" t="n">
        <f aca="false">BI37/BI33*100</f>
        <v>12.8914496773632</v>
      </c>
      <c r="BJ73" s="438" t="n">
        <f aca="false">BJ37/BJ33*100</f>
        <v>11.9327975487266</v>
      </c>
      <c r="BK73" s="438" t="n">
        <f aca="false">BK37/BK33*100</f>
        <v>9.85769187430137</v>
      </c>
      <c r="BL73" s="438" t="n">
        <f aca="false">BL37/BL33*100</f>
        <v>7.97460060974043</v>
      </c>
      <c r="BM73" s="438" t="n">
        <f aca="false">BM37/BM33*100</f>
        <v>8.43084138616917</v>
      </c>
      <c r="BN73" s="438" t="n">
        <f aca="false">BN37/BN33*100</f>
        <v>9.49611648857846</v>
      </c>
      <c r="BO73" s="438" t="n">
        <f aca="false">BO37/BO33*100</f>
        <v>8.93010822938087</v>
      </c>
      <c r="BP73" s="438" t="n">
        <f aca="false">BP37/BP33*100</f>
        <v>8.68618338422507</v>
      </c>
      <c r="BQ73" s="438" t="n">
        <f aca="false">BQ37/BQ33*100</f>
        <v>9.81537077516218</v>
      </c>
      <c r="BR73" s="438" t="n">
        <f aca="false">BR37/BR33*100</f>
        <v>9.60804893307062</v>
      </c>
      <c r="BS73" s="438" t="n">
        <f aca="false">BS37/BS33*100</f>
        <v>9.8305791224935</v>
      </c>
      <c r="BT73" s="438" t="n">
        <f aca="false">BT37/BT33*100</f>
        <v>9.40059585641925</v>
      </c>
      <c r="BU73" s="438" t="n">
        <f aca="false">BU37/BU33*100</f>
        <v>10.6816744751595</v>
      </c>
      <c r="BV73" s="438" t="n">
        <f aca="false">BV37/BV33*100</f>
        <v>10.7890555315709</v>
      </c>
      <c r="BW73" s="438" t="n">
        <f aca="false">BW37/BW33*100</f>
        <v>10.1731622799447</v>
      </c>
      <c r="BX73" s="438" t="n">
        <f aca="false">BX37/BX33*100</f>
        <v>9.29182919652957</v>
      </c>
      <c r="BY73" s="438" t="n">
        <f aca="false">BY37/BY33*100</f>
        <v>10.2028681949797</v>
      </c>
      <c r="BZ73" s="438" t="n">
        <f aca="false">BZ37/BZ33*100</f>
        <v>10.8942582769668</v>
      </c>
      <c r="CA73" s="438" t="n">
        <f aca="false">CA37/CA33*100</f>
        <v>9.45874651655656</v>
      </c>
      <c r="CB73" s="438" t="n">
        <f aca="false">CB37/CB33*100</f>
        <v>8.80060031332494</v>
      </c>
      <c r="CC73" s="438" t="n">
        <f aca="false">CC37/CC33*100</f>
        <v>10.1605772293087</v>
      </c>
      <c r="CE73" s="438" t="n">
        <f aca="false">CE37/CE33*100</f>
        <v>11.1037437007929</v>
      </c>
      <c r="CF73" s="435"/>
      <c r="CG73" s="438" t="n">
        <f aca="false">CG37/CG33*100</f>
        <v>10.0687322002871</v>
      </c>
      <c r="CI73" s="435"/>
      <c r="CJ73" s="438" t="n">
        <f aca="false">CJ37/CJ33*100</f>
        <v>10.2262704186084</v>
      </c>
      <c r="CK73" s="435"/>
      <c r="CL73" s="435"/>
      <c r="CM73" s="435"/>
      <c r="CN73" s="435"/>
    </row>
    <row r="75" customFormat="false" ht="15" hidden="false" customHeight="true" outlineLevel="0" collapsed="false">
      <c r="A75" s="412" t="s">
        <v>906</v>
      </c>
      <c r="B75" s="413"/>
      <c r="C75" s="413"/>
      <c r="D75" s="413"/>
      <c r="E75" s="413"/>
      <c r="F75" s="413"/>
      <c r="G75" s="413"/>
      <c r="H75" s="413"/>
      <c r="I75" s="413"/>
      <c r="J75" s="413"/>
      <c r="K75" s="413"/>
      <c r="L75" s="413"/>
      <c r="M75" s="413"/>
      <c r="N75" s="413"/>
      <c r="O75" s="413"/>
      <c r="P75" s="413"/>
      <c r="Q75" s="413"/>
      <c r="R75" s="413"/>
      <c r="S75" s="413"/>
      <c r="T75" s="413"/>
      <c r="U75" s="413"/>
      <c r="V75" s="413"/>
      <c r="W75" s="413"/>
      <c r="X75" s="413"/>
      <c r="Y75" s="413"/>
      <c r="Z75" s="413"/>
      <c r="AA75" s="413"/>
      <c r="AB75" s="413"/>
      <c r="AC75" s="413"/>
      <c r="AD75" s="413"/>
      <c r="AE75" s="413"/>
      <c r="AF75" s="413"/>
      <c r="AG75" s="413"/>
      <c r="AH75" s="413"/>
      <c r="AI75" s="413"/>
      <c r="AJ75" s="413"/>
      <c r="AK75" s="413"/>
      <c r="AL75" s="413"/>
      <c r="AM75" s="413"/>
      <c r="AN75" s="413"/>
      <c r="AO75" s="413"/>
      <c r="AP75" s="413"/>
      <c r="AQ75" s="413"/>
      <c r="AR75" s="413"/>
      <c r="AS75" s="413"/>
      <c r="AT75" s="413"/>
      <c r="AU75" s="413"/>
      <c r="AV75" s="413"/>
      <c r="AW75" s="413"/>
      <c r="AX75" s="413"/>
      <c r="AY75" s="413"/>
      <c r="AZ75" s="413"/>
      <c r="BA75" s="413"/>
      <c r="BB75" s="413"/>
      <c r="BC75" s="413"/>
      <c r="BD75" s="413"/>
      <c r="BE75" s="413"/>
      <c r="BF75" s="413"/>
      <c r="BG75" s="413"/>
      <c r="BH75" s="413"/>
      <c r="BI75" s="413"/>
      <c r="BJ75" s="413"/>
      <c r="BK75" s="413"/>
      <c r="BL75" s="413"/>
      <c r="BM75" s="413"/>
      <c r="BN75" s="413"/>
      <c r="BO75" s="413"/>
      <c r="BP75" s="413"/>
      <c r="BQ75" s="413"/>
      <c r="BR75" s="413"/>
      <c r="BS75" s="413"/>
      <c r="BT75" s="413"/>
      <c r="BU75" s="413"/>
      <c r="BV75" s="413"/>
      <c r="BW75" s="413"/>
      <c r="BX75" s="413"/>
      <c r="BY75" s="413"/>
      <c r="BZ75" s="413"/>
      <c r="CA75" s="413"/>
      <c r="CB75" s="413"/>
      <c r="CC75" s="413"/>
      <c r="CD75" s="413"/>
      <c r="CE75" s="413"/>
      <c r="CF75" s="413"/>
      <c r="CG75" s="413"/>
      <c r="CH75" s="413"/>
      <c r="CI75" s="413"/>
      <c r="CJ75" s="413"/>
      <c r="CK75" s="413"/>
      <c r="CL75" s="413"/>
      <c r="CM75" s="413"/>
      <c r="CN75" s="413"/>
    </row>
    <row r="76" customFormat="false" ht="15" hidden="false" customHeight="true" outlineLevel="0" collapsed="false">
      <c r="A76" s="414" t="s">
        <v>284</v>
      </c>
      <c r="B76" s="431" t="n">
        <v>2845.88</v>
      </c>
      <c r="C76" s="431" t="n">
        <v>2845.88</v>
      </c>
      <c r="D76" s="431" t="n">
        <v>2845.88</v>
      </c>
      <c r="E76" s="431" t="n">
        <v>2845.88</v>
      </c>
      <c r="F76" s="431" t="n">
        <v>2845.88</v>
      </c>
      <c r="G76" s="431" t="n">
        <v>2845.88</v>
      </c>
      <c r="H76" s="431" t="n">
        <v>2845.88</v>
      </c>
      <c r="I76" s="431" t="n">
        <v>2845.88</v>
      </c>
      <c r="J76" s="431" t="n">
        <v>2926.538</v>
      </c>
      <c r="K76" s="431" t="n">
        <v>2926.538</v>
      </c>
      <c r="L76" s="431" t="n">
        <v>2927.108</v>
      </c>
      <c r="M76" s="431" t="n">
        <v>2927.1</v>
      </c>
      <c r="N76" s="431" t="n">
        <v>2927.108</v>
      </c>
      <c r="O76" s="431" t="n">
        <v>2935.5</v>
      </c>
      <c r="P76" s="431" t="n">
        <v>2927.108</v>
      </c>
      <c r="Q76" s="431" t="n">
        <v>2927.108</v>
      </c>
      <c r="R76" s="431" t="n">
        <v>2927.108</v>
      </c>
      <c r="S76" s="431" t="n">
        <v>2935.5</v>
      </c>
      <c r="T76" s="431" t="n">
        <v>2935.5</v>
      </c>
      <c r="U76" s="431" t="n">
        <v>2935.5</v>
      </c>
      <c r="V76" s="431" t="n">
        <v>2935.5</v>
      </c>
      <c r="W76" s="431" t="n">
        <v>2935.5</v>
      </c>
      <c r="X76" s="431" t="n">
        <v>2935.5</v>
      </c>
      <c r="Y76" s="431" t="n">
        <v>2935.5</v>
      </c>
      <c r="Z76" s="431" t="n">
        <v>2935.5</v>
      </c>
      <c r="AA76" s="431" t="n">
        <v>2935.5</v>
      </c>
      <c r="AB76" s="431" t="n">
        <v>2935.5</v>
      </c>
      <c r="AC76" s="431" t="n">
        <v>2935.5</v>
      </c>
      <c r="AD76" s="431" t="n">
        <v>2935.5</v>
      </c>
      <c r="AE76" s="431" t="n">
        <v>2935.5</v>
      </c>
      <c r="AF76" s="431" t="n">
        <v>2935.5</v>
      </c>
      <c r="AG76" s="431" t="n">
        <v>2935.5</v>
      </c>
      <c r="AH76" s="431" t="n">
        <v>2935.5</v>
      </c>
      <c r="AI76" s="431" t="n">
        <v>2935.5</v>
      </c>
      <c r="AJ76" s="431" t="n">
        <v>2935.5</v>
      </c>
      <c r="AK76" s="431" t="n">
        <v>2936.1</v>
      </c>
      <c r="AL76" s="431" t="n">
        <v>2936.1</v>
      </c>
      <c r="AM76" s="431" t="n">
        <v>2936.1</v>
      </c>
      <c r="AN76" s="431" t="n">
        <v>2936.1</v>
      </c>
      <c r="AO76" s="431" t="n">
        <v>2936.3</v>
      </c>
      <c r="AP76" s="431" t="n">
        <v>5872.6</v>
      </c>
      <c r="AQ76" s="428" t="n">
        <f aca="false">+BV76</f>
        <v>5872.6</v>
      </c>
      <c r="AR76" s="430" t="n">
        <f aca="false">2936.3*2</f>
        <v>5872.6</v>
      </c>
      <c r="AS76" s="431" t="n">
        <v>5872.6</v>
      </c>
      <c r="AT76" s="431" t="n">
        <v>5872.6</v>
      </c>
      <c r="AU76" s="431" t="n">
        <v>5872.6</v>
      </c>
      <c r="AV76" s="431" t="n">
        <v>5872.6</v>
      </c>
      <c r="AW76" s="431" t="n">
        <v>5873.9</v>
      </c>
      <c r="AX76" s="431" t="n">
        <v>5873.9</v>
      </c>
      <c r="AZ76" s="428" t="n">
        <f aca="false">+T76</f>
        <v>2935.5</v>
      </c>
      <c r="BA76" s="428" t="n">
        <f aca="false">+U76</f>
        <v>2935.5</v>
      </c>
      <c r="BB76" s="428" t="n">
        <f aca="false">+V76</f>
        <v>2935.5</v>
      </c>
      <c r="BC76" s="428" t="n">
        <f aca="false">+W76</f>
        <v>2935.5</v>
      </c>
      <c r="BD76" s="428" t="n">
        <f aca="false">+X76</f>
        <v>2935.5</v>
      </c>
      <c r="BE76" s="428" t="n">
        <f aca="false">+Y76</f>
        <v>2935.5</v>
      </c>
      <c r="BF76" s="428" t="n">
        <f aca="false">+Z76</f>
        <v>2935.5</v>
      </c>
      <c r="BG76" s="428" t="n">
        <f aca="false">+AA76</f>
        <v>2935.5</v>
      </c>
      <c r="BH76" s="428" t="n">
        <f aca="false">+AB76</f>
        <v>2935.5</v>
      </c>
      <c r="BI76" s="428" t="n">
        <f aca="false">+AC76</f>
        <v>2935.5</v>
      </c>
      <c r="BJ76" s="428" t="n">
        <f aca="false">+AD76</f>
        <v>2935.5</v>
      </c>
      <c r="BK76" s="428" t="n">
        <f aca="false">+AE76</f>
        <v>2935.5</v>
      </c>
      <c r="BL76" s="428" t="n">
        <f aca="false">+AF76</f>
        <v>2935.5</v>
      </c>
      <c r="BM76" s="428" t="n">
        <f aca="false">+AG76</f>
        <v>2935.5</v>
      </c>
      <c r="BN76" s="428" t="n">
        <f aca="false">+AH76</f>
        <v>2935.5</v>
      </c>
      <c r="BO76" s="428" t="n">
        <f aca="false">+AI76</f>
        <v>2935.5</v>
      </c>
      <c r="BP76" s="428" t="n">
        <f aca="false">+AJ76</f>
        <v>2935.5</v>
      </c>
      <c r="BQ76" s="428" t="n">
        <f aca="false">+AK76</f>
        <v>2936.1</v>
      </c>
      <c r="BR76" s="428" t="n">
        <f aca="false">+AL76</f>
        <v>2936.1</v>
      </c>
      <c r="BS76" s="428" t="n">
        <f aca="false">+AM76</f>
        <v>2936.1</v>
      </c>
      <c r="BT76" s="428" t="n">
        <f aca="false">+AN76</f>
        <v>2936.1</v>
      </c>
      <c r="BU76" s="428" t="n">
        <f aca="false">+AO76</f>
        <v>2936.3</v>
      </c>
      <c r="BV76" s="428" t="n">
        <f aca="false">+AP76</f>
        <v>5872.6</v>
      </c>
      <c r="BW76" s="428" t="n">
        <f aca="false">+AQ76</f>
        <v>5872.6</v>
      </c>
      <c r="BX76" s="428" t="n">
        <f aca="false">+AR76</f>
        <v>5872.6</v>
      </c>
      <c r="BY76" s="428" t="n">
        <f aca="false">+AS76</f>
        <v>5872.6</v>
      </c>
      <c r="BZ76" s="428" t="n">
        <f aca="false">+AT76</f>
        <v>5872.6</v>
      </c>
      <c r="CA76" s="428" t="n">
        <f aca="false">+AU76</f>
        <v>5872.6</v>
      </c>
      <c r="CB76" s="428" t="n">
        <f aca="false">+AV76</f>
        <v>5872.6</v>
      </c>
      <c r="CC76" s="428" t="n">
        <f aca="false">+AW76</f>
        <v>5873.9</v>
      </c>
      <c r="CE76" s="427"/>
      <c r="CF76" s="427"/>
      <c r="CG76" s="431" t="n">
        <v>5872.6</v>
      </c>
      <c r="CI76" s="427"/>
      <c r="CJ76" s="431" t="n">
        <v>5872.6</v>
      </c>
      <c r="CK76" s="427"/>
      <c r="CL76" s="427"/>
      <c r="CM76" s="427"/>
      <c r="CN76" s="427"/>
    </row>
    <row r="77" customFormat="false" ht="15" hidden="false" customHeight="true" outlineLevel="0" collapsed="false">
      <c r="A77" s="414" t="s">
        <v>285</v>
      </c>
      <c r="B77" s="420" t="n">
        <f aca="false">B51/B76</f>
        <v>0.5500747529666</v>
      </c>
      <c r="C77" s="420" t="n">
        <f aca="false">C51/C76</f>
        <v>1.05076625082106</v>
      </c>
      <c r="D77" s="420" t="n">
        <f aca="false">D51/D76</f>
        <v>0.768495157912492</v>
      </c>
      <c r="E77" s="420" t="n">
        <f aca="false">E51/E76</f>
        <v>1.68542208385455</v>
      </c>
      <c r="F77" s="420" t="n">
        <f aca="false">F51/F76</f>
        <v>0.847237409869707</v>
      </c>
      <c r="G77" s="420" t="n">
        <f aca="false">G51/G76</f>
        <v>1.01143301896074</v>
      </c>
      <c r="H77" s="420" t="n">
        <f aca="false">H51/H76</f>
        <v>0.792113511462183</v>
      </c>
      <c r="I77" s="420" t="n">
        <f aca="false">I51/I76</f>
        <v>1.68715652100581</v>
      </c>
      <c r="J77" s="420" t="n">
        <f aca="false">J51/J76</f>
        <v>0.416549998667368</v>
      </c>
      <c r="K77" s="420" t="n">
        <f aca="false">K51/K76</f>
        <v>1.14848896546021</v>
      </c>
      <c r="L77" s="420" t="n">
        <f aca="false">L51/L76</f>
        <v>1.53682658788128</v>
      </c>
      <c r="M77" s="420" t="n">
        <f aca="false">M51/M76</f>
        <v>1.66965255713847</v>
      </c>
      <c r="N77" s="420" t="n">
        <f aca="false">N51/N76</f>
        <v>2.25984213770042</v>
      </c>
      <c r="O77" s="420" t="n">
        <f aca="false">O51/O76</f>
        <v>2.52577073752342</v>
      </c>
      <c r="P77" s="420" t="n">
        <f aca="false">P51/P76</f>
        <v>1.31445430096874</v>
      </c>
      <c r="Q77" s="420" t="n">
        <f aca="false">Q51/Q76</f>
        <v>1.49180009757071</v>
      </c>
      <c r="R77" s="420" t="n">
        <f aca="false">R51/R76</f>
        <v>1.62454648069016</v>
      </c>
      <c r="S77" s="420" t="n">
        <f aca="false">S51/S76</f>
        <v>1.83903934593767</v>
      </c>
      <c r="T77" s="420" t="n">
        <f aca="false">T51/T76</f>
        <v>1.31412365866122</v>
      </c>
      <c r="U77" s="420" t="n">
        <f aca="false">U51/U76</f>
        <v>2.25231136092659</v>
      </c>
      <c r="V77" s="420" t="n">
        <f aca="false">V51/V76</f>
        <v>0.832215976835294</v>
      </c>
      <c r="W77" s="420" t="n">
        <f aca="false">W51/W76</f>
        <v>0.297998637370125</v>
      </c>
      <c r="X77" s="420" t="n">
        <f aca="false">X51/X76</f>
        <v>0.0997070345767331</v>
      </c>
      <c r="Y77" s="420" t="n">
        <f aca="false">Y51/Y76</f>
        <v>-0.0196644523931187</v>
      </c>
      <c r="Z77" s="420" t="n">
        <f aca="false">Z51/Z76</f>
        <v>-1.32020950434338</v>
      </c>
      <c r="AA77" s="420" t="n">
        <f aca="false">AA51/AA76</f>
        <v>-0.495298926928973</v>
      </c>
      <c r="AB77" s="420" t="n">
        <f aca="false">AB51/AB76</f>
        <v>0.0515840572304577</v>
      </c>
      <c r="AC77" s="420" t="n">
        <f aca="false">AC51/AC76</f>
        <v>0.726136944302501</v>
      </c>
      <c r="AD77" s="420" t="n">
        <f aca="false">AD51/AD76</f>
        <v>-0.957349684891842</v>
      </c>
      <c r="AE77" s="420" t="n">
        <f aca="false">AE51/AE76</f>
        <v>-0.283367399080227</v>
      </c>
      <c r="AF77" s="420" t="n">
        <f aca="false">AF51/AF76</f>
        <v>-0.0877363311190593</v>
      </c>
      <c r="AG77" s="420" t="n">
        <f aca="false">AG51/AG76</f>
        <v>1.86910236756941</v>
      </c>
      <c r="AH77" s="420" t="n">
        <f aca="false">AH51/AH76</f>
        <v>0.198577755067281</v>
      </c>
      <c r="AI77" s="420" t="n">
        <f aca="false">AI51/AI76</f>
        <v>0.657937319025718</v>
      </c>
      <c r="AJ77" s="420" t="n">
        <f aca="false">AJ51/AJ76</f>
        <v>1.21320047692045</v>
      </c>
      <c r="AK77" s="420" t="n">
        <f aca="false">AK51/AK76</f>
        <v>2.41506590374987</v>
      </c>
      <c r="AL77" s="420" t="n">
        <f aca="false">AL51/AL76</f>
        <v>1.96472361295596</v>
      </c>
      <c r="AM77" s="420" t="n">
        <f aca="false">AM51/AM76</f>
        <v>1.96917679915534</v>
      </c>
      <c r="AN77" s="420" t="n">
        <f aca="false">AN51/AN76</f>
        <v>1.97701883450837</v>
      </c>
      <c r="AO77" s="420" t="n">
        <f aca="false">AO51/AO76</f>
        <v>3.24440622552192</v>
      </c>
      <c r="AP77" s="420" t="n">
        <f aca="false">AP51/AP76</f>
        <v>0.894969860027926</v>
      </c>
      <c r="AQ77" s="420" t="n">
        <f aca="false">AQ51/AQ76</f>
        <v>1.1614361611552</v>
      </c>
      <c r="AR77" s="420" t="n">
        <f aca="false">AR51/AR76</f>
        <v>1.29710860606886</v>
      </c>
      <c r="AS77" s="420" t="n">
        <f aca="false">AS51/AS76</f>
        <v>2.13892909443858</v>
      </c>
      <c r="AT77" s="420" t="n">
        <f aca="false">AT51/AT76</f>
        <v>1.01101726662807</v>
      </c>
      <c r="AU77" s="420" t="n">
        <f aca="false">AU51/AU76</f>
        <v>1.36406361747778</v>
      </c>
      <c r="AV77" s="420" t="n">
        <f aca="false">AV51/AV76</f>
        <v>1.74944658243367</v>
      </c>
      <c r="AW77" s="420" t="n">
        <f aca="false">AW51/AW76</f>
        <v>2.39146052877985</v>
      </c>
      <c r="AX77" s="420" t="n">
        <f aca="false">AX51/AX76</f>
        <v>1.03697713614464</v>
      </c>
      <c r="AZ77" s="420" t="n">
        <f aca="false">AZ51/AZ76</f>
        <v>1.91414893527852</v>
      </c>
      <c r="BA77" s="420" t="n">
        <f aca="false">BA51/BA76</f>
        <v>0.861564570164932</v>
      </c>
      <c r="BB77" s="420" t="n">
        <f aca="false">BB51/BB76</f>
        <v>0.0692232885025347</v>
      </c>
      <c r="BC77" s="420" t="n">
        <f aca="false">BC51/BC76</f>
        <v>0.283445598792732</v>
      </c>
      <c r="BD77" s="420" t="n">
        <f aca="false">BD51/BD76</f>
        <v>-0.239870389042295</v>
      </c>
      <c r="BE77" s="420" t="n">
        <f aca="false">BE51/BE76</f>
        <v>-1.20162052868765</v>
      </c>
      <c r="BF77" s="420" t="n">
        <f aca="false">BF51/BF76</f>
        <v>-0.191424073814954</v>
      </c>
      <c r="BG77" s="420" t="n">
        <f aca="false">BG51/BG76</f>
        <v>0.49994342653269</v>
      </c>
      <c r="BH77" s="420" t="n">
        <f aca="false">BH51/BH76</f>
        <v>0.595187045057583</v>
      </c>
      <c r="BI77" s="420" t="n">
        <f aca="false">BI51/BI76</f>
        <v>-0.839332815077174</v>
      </c>
      <c r="BJ77" s="420" t="n">
        <f aca="false">BJ51/BJ76</f>
        <v>-0.14321624344756</v>
      </c>
      <c r="BK77" s="420" t="n">
        <f aca="false">BK51/BK76</f>
        <v>0.115014630346739</v>
      </c>
      <c r="BL77" s="420" t="n">
        <f aca="false">BL51/BL76</f>
        <v>0.808213431937179</v>
      </c>
      <c r="BM77" s="420" t="n">
        <f aca="false">BM51/BM76</f>
        <v>0.485296983745184</v>
      </c>
      <c r="BN77" s="420" t="n">
        <f aca="false">BN51/BN76</f>
        <v>0.635818487801438</v>
      </c>
      <c r="BO77" s="420" t="n">
        <f aca="false">BO51/BO76</f>
        <v>1.01853964104015</v>
      </c>
      <c r="BP77" s="420" t="n">
        <f aca="false">BP51/BP76</f>
        <v>2.35221801254048</v>
      </c>
      <c r="BQ77" s="420" t="n">
        <f aca="false">BQ51/BQ76</f>
        <v>0.89178529306773</v>
      </c>
      <c r="BR77" s="420" t="n">
        <f aca="false">BR51/BR76</f>
        <v>1.9827253177793</v>
      </c>
      <c r="BS77" s="420" t="n">
        <f aca="false">BS51/BS76</f>
        <v>1.73120484951876</v>
      </c>
      <c r="BT77" s="420" t="n">
        <f aca="false">BT51/BT76</f>
        <v>2.76937962456126</v>
      </c>
      <c r="BU77" s="420" t="n">
        <f aca="false">BU51/BU76</f>
        <v>1.80025463861503</v>
      </c>
      <c r="BV77" s="420" t="n">
        <f aca="false">BV51/BV76</f>
        <v>0.864144122824091</v>
      </c>
      <c r="BW77" s="420" t="n">
        <f aca="false">BW51/BW76</f>
        <v>1.0335556930653</v>
      </c>
      <c r="BX77" s="420" t="n">
        <f aca="false">BX51/BX76</f>
        <v>1.92796263765672</v>
      </c>
      <c r="BY77" s="420" t="n">
        <f aca="false">BY51/BY76</f>
        <v>1.001870035218</v>
      </c>
      <c r="BZ77" s="420" t="n">
        <f aca="false">BZ51/BZ76</f>
        <v>1.09830151123248</v>
      </c>
      <c r="CA77" s="420" t="n">
        <f aca="false">CA51/CA76</f>
        <v>1.70224044146369</v>
      </c>
      <c r="CB77" s="420" t="n">
        <f aca="false">CB51/CB76</f>
        <v>2.3456123279365</v>
      </c>
      <c r="CC77" s="420" t="n">
        <f aca="false">CC51/CC76</f>
        <v>1.02229194484763</v>
      </c>
      <c r="CE77" s="418"/>
      <c r="CF77" s="418"/>
      <c r="CG77" s="420" t="n">
        <f aca="false">CG51/CG76</f>
        <v>6.66486735006644</v>
      </c>
      <c r="CI77" s="418"/>
      <c r="CJ77" s="420" t="n">
        <f aca="false">CJ51/CJ76</f>
        <v>2.54033988352692</v>
      </c>
      <c r="CK77" s="418"/>
      <c r="CL77" s="418"/>
      <c r="CM77" s="418"/>
      <c r="CN77" s="418"/>
    </row>
    <row r="78" customFormat="false" ht="15" hidden="false" customHeight="true" outlineLevel="0" collapsed="false">
      <c r="A78" s="414" t="s">
        <v>286</v>
      </c>
      <c r="B78" s="420" t="n">
        <f aca="false">B58/B76</f>
        <v>0.949839676294358</v>
      </c>
      <c r="C78" s="420" t="n">
        <f aca="false">C58/C76</f>
        <v>1.48336495491258</v>
      </c>
      <c r="D78" s="420" t="n">
        <f aca="false">D58/D76</f>
        <v>1.1881284523592</v>
      </c>
      <c r="E78" s="420" t="n">
        <f aca="false">E58/E76</f>
        <v>2.14783476464222</v>
      </c>
      <c r="F78" s="420" t="n">
        <f aca="false">F58/F76</f>
        <v>1.27231682291593</v>
      </c>
      <c r="G78" s="420" t="n">
        <f aca="false">G58/G76</f>
        <v>1.45456730431361</v>
      </c>
      <c r="H78" s="420" t="n">
        <f aca="false">H58/H76</f>
        <v>1.2536052117447</v>
      </c>
      <c r="I78" s="420" t="n">
        <f aca="false">I58/I76</f>
        <v>2.17725343303302</v>
      </c>
      <c r="J78" s="420" t="n">
        <f aca="false">J58/J76</f>
        <v>0.868045930037472</v>
      </c>
      <c r="K78" s="420" t="n">
        <f aca="false">K58/K76</f>
        <v>1.63074957509521</v>
      </c>
      <c r="L78" s="420" t="n">
        <f aca="false">L58/L76</f>
        <v>1.998159411952</v>
      </c>
      <c r="M78" s="420" t="n">
        <f aca="false">M58/M76</f>
        <v>2.1682689351235</v>
      </c>
      <c r="N78" s="420" t="n">
        <f aca="false">N58/N76</f>
        <v>2.75966961246391</v>
      </c>
      <c r="O78" s="420" t="n">
        <f aca="false">O58/O76</f>
        <v>3.06203372508942</v>
      </c>
      <c r="P78" s="420" t="n">
        <f aca="false">P58/P76</f>
        <v>1.8031489442822</v>
      </c>
      <c r="Q78" s="420" t="n">
        <f aca="false">Q58/Q76</f>
        <v>2.01272382160139</v>
      </c>
      <c r="R78" s="420" t="n">
        <f aca="false">R58/R76</f>
        <v>2.10346492169063</v>
      </c>
      <c r="S78" s="420" t="n">
        <f aca="false">S58/S76</f>
        <v>2.34358712314768</v>
      </c>
      <c r="T78" s="420" t="n">
        <f aca="false">T58/T76</f>
        <v>1.86142394822007</v>
      </c>
      <c r="U78" s="420" t="n">
        <f aca="false">U58/U76</f>
        <v>2.7965457332652</v>
      </c>
      <c r="V78" s="420" t="n">
        <f aca="false">V58/V76</f>
        <v>1.39307443365696</v>
      </c>
      <c r="W78" s="420" t="n">
        <f aca="false">W58/W76</f>
        <v>0.843186850621701</v>
      </c>
      <c r="X78" s="420" t="n">
        <f aca="false">X58/X76</f>
        <v>0.636106285130301</v>
      </c>
      <c r="Y78" s="420" t="n">
        <f aca="false">Y58/Y76</f>
        <v>0.619613353772782</v>
      </c>
      <c r="Z78" s="420" t="n">
        <f aca="false">Z58/Z76</f>
        <v>-0.762655424970192</v>
      </c>
      <c r="AA78" s="420" t="n">
        <f aca="false">AA58/AA76</f>
        <v>0.087770396865951</v>
      </c>
      <c r="AB78" s="420" t="n">
        <f aca="false">AB58/AB76</f>
        <v>0.713924374041904</v>
      </c>
      <c r="AC78" s="420" t="n">
        <f aca="false">AC58/AC76</f>
        <v>1.47030318514733</v>
      </c>
      <c r="AD78" s="420" t="n">
        <f aca="false">AD58/AD76</f>
        <v>-0.332277295179697</v>
      </c>
      <c r="AE78" s="420" t="n">
        <f aca="false">AE58/AE76</f>
        <v>0.344362118889455</v>
      </c>
      <c r="AF78" s="420" t="n">
        <f aca="false">AF58/AF76</f>
        <v>0.55832055867825</v>
      </c>
      <c r="AG78" s="420" t="n">
        <f aca="false">AG58/AG76</f>
        <v>2.53457673309487</v>
      </c>
      <c r="AH78" s="420" t="n">
        <f aca="false">AH58/AH76</f>
        <v>0.819936978368252</v>
      </c>
      <c r="AI78" s="420" t="n">
        <f aca="false">AI58/AI76</f>
        <v>1.26018565832056</v>
      </c>
      <c r="AJ78" s="420" t="n">
        <f aca="false">AJ58/AJ76</f>
        <v>1.85687276443536</v>
      </c>
      <c r="AK78" s="420" t="n">
        <f aca="false">AK58/AK76</f>
        <v>3.04113449814379</v>
      </c>
      <c r="AL78" s="420" t="n">
        <f aca="false">AL58/AL76</f>
        <v>2.57560198903307</v>
      </c>
      <c r="AM78" s="420" t="n">
        <f aca="false">AM58/AM76</f>
        <v>2.58322264228057</v>
      </c>
      <c r="AN78" s="420" t="n">
        <f aca="false">AN58/AN76</f>
        <v>2.58486597867921</v>
      </c>
      <c r="AO78" s="420" t="n">
        <f aca="false">AO58/AO76</f>
        <v>3.85636685624766</v>
      </c>
      <c r="AP78" s="420" t="n">
        <f aca="false">AP58/AP76</f>
        <v>1.18908149712223</v>
      </c>
      <c r="AQ78" s="420" t="n">
        <f aca="false">AQ58/AQ76</f>
        <v>1.46017947757382</v>
      </c>
      <c r="AR78" s="420" t="n">
        <f aca="false">AR58/AR76</f>
        <v>1.62461260770357</v>
      </c>
      <c r="AS78" s="420" t="n">
        <f aca="false">AS58/AS76</f>
        <v>2.44347903824541</v>
      </c>
      <c r="AT78" s="420" t="n">
        <f aca="false">AT58/AT76</f>
        <v>1.32231039062766</v>
      </c>
      <c r="AU78" s="420" t="n">
        <f aca="false">AU58/AU76</f>
        <v>1.65746006879406</v>
      </c>
      <c r="AV78" s="420" t="n">
        <f aca="false">AV58/AV76</f>
        <v>2.05162960187992</v>
      </c>
      <c r="AW78" s="420" t="n">
        <f aca="false">AW58/AW76</f>
        <v>2.70236129317829</v>
      </c>
      <c r="AX78" s="420" t="n">
        <f aca="false">AX58/AX76</f>
        <v>1.34838863446773</v>
      </c>
      <c r="AZ78" s="418"/>
      <c r="BA78" s="418"/>
      <c r="BB78" s="418"/>
      <c r="BC78" s="418"/>
      <c r="BD78" s="418"/>
      <c r="BE78" s="418"/>
      <c r="BF78" s="418"/>
      <c r="BG78" s="418"/>
      <c r="BH78" s="418"/>
      <c r="BI78" s="418"/>
      <c r="BJ78" s="418"/>
      <c r="BK78" s="418"/>
      <c r="BL78" s="418"/>
      <c r="BM78" s="418"/>
      <c r="BN78" s="418"/>
      <c r="BO78" s="418"/>
      <c r="BP78" s="418"/>
      <c r="BQ78" s="418"/>
      <c r="BR78" s="418"/>
      <c r="BS78" s="418"/>
      <c r="BT78" s="418"/>
      <c r="BU78" s="418"/>
      <c r="BV78" s="418"/>
      <c r="BW78" s="418"/>
      <c r="BX78" s="418"/>
      <c r="BY78" s="418"/>
      <c r="BZ78" s="418"/>
      <c r="CA78" s="418"/>
      <c r="CB78" s="418"/>
      <c r="CC78" s="418"/>
      <c r="CE78" s="418"/>
      <c r="CF78" s="418"/>
      <c r="CG78" s="420" t="n">
        <f aca="false">CG58/CG76</f>
        <v>0</v>
      </c>
      <c r="CI78" s="418"/>
      <c r="CJ78" s="420" t="n">
        <f aca="false">CJ58/CJ76</f>
        <v>0</v>
      </c>
      <c r="CK78" s="418"/>
      <c r="CL78" s="418"/>
      <c r="CM78" s="418"/>
      <c r="CN78" s="418"/>
    </row>
    <row r="79" customFormat="false" ht="15" hidden="false" customHeight="true" outlineLevel="0" collapsed="false">
      <c r="A79" s="414" t="s">
        <v>907</v>
      </c>
      <c r="B79" s="420" t="n">
        <f aca="false">B50/B76</f>
        <v>0.507737852615009</v>
      </c>
      <c r="C79" s="420" t="n">
        <f aca="false">C50/C76</f>
        <v>0.605118276244959</v>
      </c>
      <c r="D79" s="420" t="n">
        <f aca="false">D50/D76</f>
        <v>0.750925899897396</v>
      </c>
      <c r="E79" s="420" t="n">
        <f aca="false">E50/E76</f>
        <v>-0.494790714998526</v>
      </c>
      <c r="F79" s="420" t="n">
        <f aca="false">F50/F76</f>
        <v>1.02177323007295</v>
      </c>
      <c r="G79" s="420" t="n">
        <f aca="false">G50/G76</f>
        <v>1.03451305044485</v>
      </c>
      <c r="H79" s="420" t="n">
        <f aca="false">H50/H76</f>
        <v>0.568246025833836</v>
      </c>
      <c r="I79" s="420" t="n">
        <f aca="false">I50/I76</f>
        <v>1.67317982486964</v>
      </c>
      <c r="J79" s="420" t="n">
        <f aca="false">J50/J76</f>
        <v>0.380092108833032</v>
      </c>
      <c r="K79" s="420" t="n">
        <f aca="false">K50/K76</f>
        <v>1.14216763971628</v>
      </c>
      <c r="L79" s="420" t="n">
        <f aca="false">L50/L76</f>
        <v>1.53636217044263</v>
      </c>
      <c r="M79" s="420" t="n">
        <f aca="false">M50/M76</f>
        <v>1.65645177821052</v>
      </c>
      <c r="N79" s="420" t="n">
        <f aca="false">N50/N76</f>
        <v>2.28001392500721</v>
      </c>
      <c r="O79" s="420" t="n">
        <f aca="false">O50/O76</f>
        <v>2.53149378300119</v>
      </c>
      <c r="P79" s="420" t="n">
        <f aca="false">P50/P76</f>
        <v>1.26439167943239</v>
      </c>
      <c r="Q79" s="420" t="n">
        <f aca="false">Q50/Q76</f>
        <v>1.44043198952686</v>
      </c>
      <c r="R79" s="420" t="n">
        <f aca="false">R50/R76</f>
        <v>1.57007940943758</v>
      </c>
      <c r="S79" s="420" t="n">
        <f aca="false">S50/S76</f>
        <v>1.79778572645206</v>
      </c>
      <c r="T79" s="420" t="n">
        <f aca="false">T50/T76</f>
        <v>1.29735990461591</v>
      </c>
      <c r="U79" s="420" t="n">
        <f aca="false">U50/U76</f>
        <v>2.2244592062681</v>
      </c>
      <c r="V79" s="420" t="n">
        <f aca="false">V50/V76</f>
        <v>0.784261624936128</v>
      </c>
      <c r="W79" s="420" t="n">
        <f aca="false">W50/W76</f>
        <v>0.132413558167264</v>
      </c>
      <c r="X79" s="420" t="n">
        <f aca="false">X50/X76</f>
        <v>0.0945324476239142</v>
      </c>
      <c r="Y79" s="420" t="n">
        <f aca="false">Y50/Y76</f>
        <v>-0.195264861182081</v>
      </c>
      <c r="Z79" s="420" t="n">
        <f aca="false">Z50/Z76</f>
        <v>-1.32447623914154</v>
      </c>
      <c r="AA79" s="420" t="n">
        <f aca="false">AA50/AA76</f>
        <v>-0.49964230965764</v>
      </c>
      <c r="AB79" s="420" t="n">
        <f aca="false">AB50/AB76</f>
        <v>-0.0660194174757252</v>
      </c>
      <c r="AC79" s="420" t="n">
        <f aca="false">AC50/AC76</f>
        <v>0.821563617782317</v>
      </c>
      <c r="AD79" s="420" t="n">
        <f aca="false">AD50/AD76</f>
        <v>-0.961641969000171</v>
      </c>
      <c r="AE79" s="420" t="n">
        <f aca="false">AE50/AE76</f>
        <v>-0.282779764946349</v>
      </c>
      <c r="AF79" s="420" t="n">
        <f aca="false">AF50/AF76</f>
        <v>0.0196218702095049</v>
      </c>
      <c r="AG79" s="420" t="n">
        <f aca="false">AG50/AG76</f>
        <v>3.07058422755919</v>
      </c>
      <c r="AH79" s="420" t="n">
        <f aca="false">AH50/AH76</f>
        <v>0.231817407596663</v>
      </c>
      <c r="AI79" s="420" t="n">
        <f aca="false">AI50/AI76</f>
        <v>0.678964401294496</v>
      </c>
      <c r="AJ79" s="420" t="n">
        <f aca="false">AJ50/AJ76</f>
        <v>1.23093169817748</v>
      </c>
      <c r="AK79" s="420" t="n">
        <f aca="false">AK50/AK76</f>
        <v>2.55921119852865</v>
      </c>
      <c r="AL79" s="420" t="n">
        <f aca="false">AL50/AL76</f>
        <v>1.96321651169919</v>
      </c>
      <c r="AM79" s="420" t="n">
        <f aca="false">AM50/AM76</f>
        <v>1.91073192329961</v>
      </c>
      <c r="AN79" s="420" t="n">
        <f aca="false">AN50/AN76</f>
        <v>1.9755117332516</v>
      </c>
      <c r="AO79" s="420" t="n">
        <f aca="false">AO50/AO76</f>
        <v>3.06647822089024</v>
      </c>
      <c r="AP79" s="420" t="n">
        <f aca="false">AP50/AP76</f>
        <v>0.894969860027926</v>
      </c>
      <c r="AQ79" s="420" t="n">
        <f aca="false">AQ50/AQ76</f>
        <v>1.31134420869802</v>
      </c>
      <c r="AR79" s="420" t="n">
        <f aca="false">AR50/AR76</f>
        <v>1.29710860606886</v>
      </c>
      <c r="AS79" s="420" t="n">
        <f aca="false">AS50/AS76</f>
        <v>2.12149644109934</v>
      </c>
      <c r="AT79" s="420" t="n">
        <f aca="false">AT50/AT76</f>
        <v>1.01101726662807</v>
      </c>
      <c r="AU79" s="420" t="n">
        <f aca="false">AU50/AU76</f>
        <v>1.31297891904778</v>
      </c>
      <c r="AV79" s="420" t="n">
        <f aca="false">AV50/AV76</f>
        <v>1.35548138814154</v>
      </c>
      <c r="AW79" s="420" t="n">
        <f aca="false">AW50/AW76</f>
        <v>2.39146052877985</v>
      </c>
      <c r="AX79" s="420" t="n">
        <f aca="false">AX50/AX76</f>
        <v>1.03697713614464</v>
      </c>
      <c r="AZ79" s="418"/>
      <c r="BA79" s="418"/>
      <c r="BB79" s="418"/>
      <c r="BC79" s="418"/>
      <c r="BD79" s="418"/>
      <c r="BE79" s="418"/>
      <c r="BF79" s="418"/>
      <c r="BG79" s="418"/>
      <c r="BH79" s="418"/>
      <c r="BI79" s="418"/>
      <c r="BJ79" s="418"/>
      <c r="BK79" s="418"/>
      <c r="BL79" s="418"/>
      <c r="BM79" s="418"/>
      <c r="BN79" s="418"/>
      <c r="BO79" s="418"/>
      <c r="BP79" s="418"/>
      <c r="BQ79" s="418"/>
      <c r="BR79" s="418"/>
      <c r="BS79" s="418"/>
      <c r="BT79" s="418"/>
      <c r="BU79" s="418"/>
      <c r="BV79" s="418"/>
      <c r="BW79" s="418"/>
      <c r="BX79" s="418"/>
      <c r="BY79" s="418"/>
      <c r="BZ79" s="418"/>
      <c r="CA79" s="418"/>
      <c r="CB79" s="418"/>
      <c r="CC79" s="418"/>
      <c r="CE79" s="418"/>
      <c r="CF79" s="418"/>
      <c r="CG79" s="420" t="n">
        <f aca="false">CG50/CG76</f>
        <v>6.07146749310359</v>
      </c>
      <c r="CI79" s="418"/>
      <c r="CJ79" s="420" t="n">
        <f aca="false">CJ50/CJ76</f>
        <v>2.39198991928621</v>
      </c>
      <c r="CK79" s="418"/>
      <c r="CL79" s="418"/>
      <c r="CM79" s="418"/>
      <c r="CN79" s="418"/>
    </row>
    <row r="81" customFormat="false" ht="15" hidden="false" customHeight="true" outlineLevel="0" collapsed="false">
      <c r="A81" s="412" t="s">
        <v>908</v>
      </c>
      <c r="B81" s="413"/>
      <c r="C81" s="413"/>
      <c r="D81" s="413"/>
      <c r="E81" s="413"/>
      <c r="F81" s="413"/>
      <c r="G81" s="413"/>
      <c r="H81" s="413"/>
      <c r="I81" s="413"/>
      <c r="J81" s="413"/>
      <c r="K81" s="413"/>
      <c r="L81" s="413"/>
      <c r="M81" s="413"/>
      <c r="N81" s="413"/>
      <c r="O81" s="413"/>
      <c r="P81" s="413"/>
      <c r="Q81" s="413"/>
      <c r="R81" s="413"/>
      <c r="S81" s="413"/>
      <c r="T81" s="413"/>
      <c r="U81" s="413"/>
      <c r="V81" s="413"/>
      <c r="W81" s="413"/>
      <c r="X81" s="413"/>
      <c r="Y81" s="413"/>
      <c r="Z81" s="413"/>
      <c r="AA81" s="413"/>
      <c r="AB81" s="413"/>
      <c r="AC81" s="413"/>
      <c r="AD81" s="413"/>
      <c r="AE81" s="413"/>
      <c r="AF81" s="413"/>
      <c r="AG81" s="413"/>
      <c r="AH81" s="413"/>
      <c r="AI81" s="413"/>
      <c r="AJ81" s="413"/>
      <c r="AK81" s="413"/>
      <c r="AL81" s="413"/>
      <c r="AM81" s="413"/>
      <c r="AN81" s="413"/>
      <c r="AO81" s="413"/>
      <c r="AP81" s="413"/>
      <c r="AQ81" s="413"/>
      <c r="AR81" s="413"/>
      <c r="AS81" s="413"/>
      <c r="AT81" s="413"/>
      <c r="AU81" s="413"/>
      <c r="AV81" s="413"/>
      <c r="AW81" s="413"/>
      <c r="AX81" s="413"/>
      <c r="AY81" s="413"/>
      <c r="AZ81" s="413"/>
      <c r="BA81" s="413"/>
      <c r="BB81" s="413"/>
      <c r="BC81" s="413"/>
      <c r="BD81" s="413"/>
      <c r="BE81" s="413"/>
      <c r="BF81" s="413"/>
      <c r="BG81" s="413"/>
      <c r="BH81" s="413"/>
      <c r="BI81" s="413"/>
      <c r="BJ81" s="413"/>
      <c r="BK81" s="413"/>
      <c r="BL81" s="413"/>
      <c r="BM81" s="413"/>
      <c r="BN81" s="413"/>
      <c r="BO81" s="413"/>
      <c r="BP81" s="413"/>
      <c r="BQ81" s="413"/>
      <c r="BR81" s="413"/>
      <c r="BS81" s="413"/>
      <c r="BT81" s="413"/>
      <c r="BU81" s="413"/>
      <c r="BV81" s="413"/>
      <c r="BW81" s="413"/>
      <c r="BX81" s="413"/>
      <c r="BY81" s="413"/>
      <c r="BZ81" s="413"/>
      <c r="CA81" s="413"/>
      <c r="CB81" s="413"/>
      <c r="CC81" s="413"/>
      <c r="CD81" s="413"/>
      <c r="CE81" s="413"/>
      <c r="CF81" s="413"/>
      <c r="CG81" s="413"/>
      <c r="CH81" s="413"/>
      <c r="CI81" s="413"/>
      <c r="CJ81" s="413"/>
      <c r="CK81" s="413"/>
      <c r="CL81" s="413"/>
      <c r="CM81" s="413"/>
      <c r="CN81" s="413"/>
    </row>
    <row r="82" customFormat="false" ht="15" hidden="false" customHeight="true" outlineLevel="0" collapsed="false">
      <c r="A82" s="414" t="s">
        <v>909</v>
      </c>
      <c r="B82" s="428" t="n">
        <f aca="false">+B33/B11*1000000</f>
        <v>1377680.6925424</v>
      </c>
      <c r="C82" s="428" t="n">
        <f aca="false">+C33/C11*1000000</f>
        <v>1328797.94548032</v>
      </c>
      <c r="D82" s="428" t="n">
        <f aca="false">+D33/D11*1000000</f>
        <v>1330133.82695292</v>
      </c>
      <c r="E82" s="428" t="n">
        <f aca="false">+E33/E11*1000000</f>
        <v>1357720.53007228</v>
      </c>
      <c r="F82" s="428" t="n">
        <f aca="false">+F33/F11*1000000</f>
        <v>1366545.70832665</v>
      </c>
      <c r="G82" s="428" t="n">
        <f aca="false">+G33/G11*1000000</f>
        <v>1382257.13943961</v>
      </c>
      <c r="H82" s="428" t="n">
        <f aca="false">+H33/H11*1000000</f>
        <v>1375281.15959682</v>
      </c>
      <c r="I82" s="428" t="n">
        <f aca="false">+I33/I11*1000000</f>
        <v>1389698.91434451</v>
      </c>
      <c r="J82" s="428" t="n">
        <f aca="false">+J33/J11*1000000</f>
        <v>1494247.44692051</v>
      </c>
      <c r="K82" s="428" t="n">
        <f aca="false">+K33/K11*1000000</f>
        <v>1482586.92204465</v>
      </c>
      <c r="L82" s="428" t="n">
        <f aca="false">+L33/L11*1000000</f>
        <v>1524662.83705577</v>
      </c>
      <c r="M82" s="428" t="n">
        <f aca="false">+M33/M11*1000000</f>
        <v>1541274.06010203</v>
      </c>
      <c r="N82" s="428" t="n">
        <f aca="false">+N33/N11*1000000</f>
        <v>1493571.29479867</v>
      </c>
      <c r="O82" s="428" t="n">
        <f aca="false">+O33/O11*1000000</f>
        <v>1494865.07193326</v>
      </c>
      <c r="P82" s="428" t="n">
        <f aca="false">+P33/P11*1000000</f>
        <v>1483638.85394165</v>
      </c>
      <c r="Q82" s="428" t="n">
        <f aca="false">+Q33/Q11*1000000</f>
        <v>1486628.52802241</v>
      </c>
      <c r="R82" s="428" t="n">
        <f aca="false">+R33/R11*1000000</f>
        <v>1464227.58328682</v>
      </c>
      <c r="S82" s="428" t="n">
        <f aca="false">+S33/S11*1000000</f>
        <v>1466744.93350526</v>
      </c>
      <c r="T82" s="428" t="n">
        <f aca="false">+T33/T11*1000000</f>
        <v>1445339.67049791</v>
      </c>
      <c r="U82" s="428" t="n">
        <f aca="false">+U33/U11*1000000</f>
        <v>1486186.38799751</v>
      </c>
      <c r="V82" s="428" t="n">
        <f aca="false">+V33/V11*1000000</f>
        <v>1435028.27711573</v>
      </c>
      <c r="W82" s="428" t="n">
        <f aca="false">+W33/W11*1000000</f>
        <v>1357903.10318612</v>
      </c>
      <c r="X82" s="428" t="n">
        <f aca="false">+X33/X11*1000000</f>
        <v>1287067.30769231</v>
      </c>
      <c r="Y82" s="428" t="n">
        <f aca="false">+Y33/Y11*1000000</f>
        <v>1504865.33108558</v>
      </c>
      <c r="Z82" s="428" t="n">
        <f aca="false">+Z33/Z11*1000000</f>
        <v>1706528.57891977</v>
      </c>
      <c r="AA82" s="428" t="n">
        <f aca="false">+AA33/AA11*1000000</f>
        <v>1458845.91647809</v>
      </c>
      <c r="AB82" s="428" t="n">
        <f aca="false">+AB33/AB11*1000000</f>
        <v>1440739.29961089</v>
      </c>
      <c r="AC82" s="428" t="n">
        <f aca="false">+AC33/AC11*1000000</f>
        <v>1588853.83567862</v>
      </c>
      <c r="AD82" s="428" t="n">
        <f aca="false">+AD33/AD11*1000000</f>
        <v>1640623.78384389</v>
      </c>
      <c r="AE82" s="428" t="n">
        <f aca="false">+AE33/AE11*1000000</f>
        <v>1618505.60941074</v>
      </c>
      <c r="AF82" s="428" t="n">
        <f aca="false">+AF33/AF11*1000000</f>
        <v>1624309.65167122</v>
      </c>
      <c r="AG82" s="428" t="n">
        <f aca="false">+AG33/AG11*1000000</f>
        <v>1794841.84814959</v>
      </c>
      <c r="AH82" s="428" t="n">
        <f aca="false">+AH33/AH11*1000000</f>
        <v>1821606.0124587</v>
      </c>
      <c r="AI82" s="428" t="n">
        <f aca="false">+AI33/AI11*1000000</f>
        <v>1824914.44971851</v>
      </c>
      <c r="AJ82" s="428" t="n">
        <f aca="false">+AJ33/AJ11*1000000</f>
        <v>1898505.10912073</v>
      </c>
      <c r="AK82" s="428" t="n">
        <f aca="false">+AK33/AK11*1000000</f>
        <v>1947446.27033184</v>
      </c>
      <c r="AL82" s="428" t="n">
        <f aca="false">+AL33/AL11*1000000</f>
        <v>1981487.57531031</v>
      </c>
      <c r="AM82" s="428" t="n">
        <f aca="false">+AM33/AM11*1000000</f>
        <v>1933563.3751956</v>
      </c>
      <c r="AN82" s="428" t="n">
        <f aca="false">+AN33/AN11*1000000</f>
        <v>1962915.68764421</v>
      </c>
      <c r="AO82" s="428" t="n">
        <f aca="false">+AO33/AO11*1000000</f>
        <v>2002290.78178038</v>
      </c>
      <c r="AP82" s="428" t="n">
        <f aca="false">+AP33/AP11*1000000</f>
        <v>1958975.23523113</v>
      </c>
      <c r="AQ82" s="428" t="n">
        <f aca="false">+AQ33/AQ11*1000000</f>
        <v>1921977.4679993</v>
      </c>
      <c r="AR82" s="428" t="n">
        <f aca="false">+AR33/AR11*1000000</f>
        <v>2042640.72062753</v>
      </c>
      <c r="AS82" s="428" t="n">
        <f aca="false">+AS33/AS11*1000000</f>
        <v>2012084.29092876</v>
      </c>
      <c r="AT82" s="428" t="n">
        <f aca="false">+AT33/AT11*1000000</f>
        <v>1972175.50522176</v>
      </c>
      <c r="AU82" s="428" t="n">
        <f aca="false">+AU33/AU11*1000000</f>
        <v>1952150.01221598</v>
      </c>
      <c r="AV82" s="428" t="n">
        <f aca="false">+AV33/AV11*1000000</f>
        <v>2001535.79175705</v>
      </c>
      <c r="AW82" s="428" t="n">
        <f aca="false">+AW33/AW11*1000000</f>
        <v>2038712.60329984</v>
      </c>
      <c r="AX82" s="428" t="n">
        <f aca="false">+AX33/AX11*1000000</f>
        <v>1975750.05639522</v>
      </c>
      <c r="AZ82" s="427"/>
      <c r="BA82" s="427"/>
      <c r="BB82" s="427"/>
      <c r="BC82" s="427"/>
      <c r="BD82" s="427"/>
      <c r="BE82" s="427"/>
      <c r="BF82" s="427"/>
      <c r="BG82" s="427"/>
      <c r="BH82" s="427"/>
      <c r="BI82" s="427"/>
      <c r="BJ82" s="427"/>
      <c r="BK82" s="427"/>
      <c r="BL82" s="427"/>
      <c r="BM82" s="427"/>
      <c r="BN82" s="427"/>
      <c r="BO82" s="427"/>
      <c r="BP82" s="427"/>
      <c r="BQ82" s="428" t="n">
        <f aca="false">+BQ33/BQ11*1000000</f>
        <v>1947446.27033184</v>
      </c>
      <c r="BR82" s="428" t="n">
        <f aca="false">+BR33/BR11*1000000</f>
        <v>1941857.82380411</v>
      </c>
      <c r="BS82" s="428" t="n">
        <f aca="false">+BS33/BS11*1000000</f>
        <v>1894892.10769169</v>
      </c>
      <c r="BT82" s="428" t="n">
        <f aca="false">+BT33/BT11*1000000</f>
        <v>1972730.26608243</v>
      </c>
      <c r="BU82" s="428" t="n">
        <f aca="false">+BU33/BU11*1000000</f>
        <v>1962244.96614477</v>
      </c>
      <c r="BV82" s="428" t="n">
        <f aca="false">+BV33/BV11*1000000</f>
        <v>1919795.73052651</v>
      </c>
      <c r="BW82" s="428" t="n">
        <f aca="false">+BW33/BW11*1000000</f>
        <v>1950807.13001929</v>
      </c>
      <c r="BX82" s="428" t="n">
        <f aca="false">+BX33/BX11*1000000</f>
        <v>2073280.33143694</v>
      </c>
      <c r="BY82" s="428" t="n">
        <f aca="false">+BY33/BY11*1000000</f>
        <v>1971842.60511018</v>
      </c>
      <c r="BZ82" s="428" t="n">
        <f aca="false">+BZ33/BZ11*1000000</f>
        <v>1962314.62769565</v>
      </c>
      <c r="CA82" s="428" t="n">
        <f aca="false">+CA33/CA11*1000000</f>
        <v>1981432.26239922</v>
      </c>
      <c r="CB82" s="428" t="n">
        <f aca="false">+CB33/CB11*1000000</f>
        <v>2028556.52494577</v>
      </c>
      <c r="CC82" s="428" t="n">
        <f aca="false">+CC33/CC11*1000000</f>
        <v>2018325.47726684</v>
      </c>
      <c r="CE82" s="427"/>
      <c r="CF82" s="427"/>
      <c r="CG82" s="427"/>
      <c r="CI82" s="427"/>
      <c r="CJ82" s="427"/>
      <c r="CK82" s="427"/>
      <c r="CL82" s="427"/>
      <c r="CM82" s="427"/>
      <c r="CN82" s="427"/>
    </row>
    <row r="83" customFormat="false" ht="15" hidden="false" customHeight="true" outlineLevel="0" collapsed="false">
      <c r="A83" s="414" t="s">
        <v>910</v>
      </c>
      <c r="B83" s="428" t="n">
        <f aca="false">+(B34+B35)/B11*1000000</f>
        <v>942744.412119492</v>
      </c>
      <c r="C83" s="428" t="n">
        <f aca="false">+(C34+C35)/C11*1000000</f>
        <v>925947.700703566</v>
      </c>
      <c r="D83" s="428" t="n">
        <f aca="false">+(D34+D35)/D11*1000000</f>
        <v>929736.420072426</v>
      </c>
      <c r="E83" s="428" t="n">
        <f aca="false">+(E34+E35)/E11*1000000</f>
        <v>956086.307223712</v>
      </c>
      <c r="F83" s="428" t="n">
        <f aca="false">+(F34+F35)/F11*1000000</f>
        <v>938472.709770576</v>
      </c>
      <c r="G83" s="428" t="n">
        <f aca="false">+(G34+G35)/G11*1000000</f>
        <v>937074.6389163</v>
      </c>
      <c r="H83" s="428" t="n">
        <f aca="false">+(H34+H35)/H11*1000000</f>
        <v>954734.797040105</v>
      </c>
      <c r="I83" s="428" t="n">
        <f aca="false">+(I34+I35)/I11*1000000</f>
        <v>999632.410071187</v>
      </c>
      <c r="J83" s="428" t="n">
        <f aca="false">+(J34+J35)/J11*1000000</f>
        <v>1032298.99982453</v>
      </c>
      <c r="K83" s="428" t="n">
        <f aca="false">+(K34+K35)/K11*1000000</f>
        <v>1050132.80468464</v>
      </c>
      <c r="L83" s="428" t="n">
        <f aca="false">+(L34+L35)/L11*1000000</f>
        <v>1089250.78235521</v>
      </c>
      <c r="M83" s="428" t="n">
        <f aca="false">+(M34+M35)/M11*1000000</f>
        <v>1074008.65949329</v>
      </c>
      <c r="N83" s="428" t="n">
        <f aca="false">+(N34+N35)/N11*1000000</f>
        <v>1073644.86251809</v>
      </c>
      <c r="O83" s="428" t="n">
        <f aca="false">+(O34+O35)/O11*1000000</f>
        <v>1063733.71924747</v>
      </c>
      <c r="P83" s="428" t="n">
        <f aca="false">+(P34+P35)/P11*1000000</f>
        <v>1032863.00947136</v>
      </c>
      <c r="Q83" s="428" t="n">
        <f aca="false">+(Q34+Q35)/Q11*1000000</f>
        <v>1024760.84221521</v>
      </c>
      <c r="R83" s="428" t="n">
        <f aca="false">+(R34+R35)/R11*1000000</f>
        <v>1064068.07290364</v>
      </c>
      <c r="S83" s="428" t="n">
        <f aca="false">+(S34+S35)/S11*1000000</f>
        <v>1058070.78658173</v>
      </c>
      <c r="T83" s="428" t="n">
        <f aca="false">+(T34+T35)/T11*1000000</f>
        <v>1013577.67977515</v>
      </c>
      <c r="U83" s="428" t="n">
        <f aca="false">+(U34+U35)/U11*1000000</f>
        <v>1080158.26347004</v>
      </c>
      <c r="V83" s="428" t="n">
        <f aca="false">+(V34+V35)/V11*1000000</f>
        <v>1003246.81882448</v>
      </c>
      <c r="W83" s="428" t="n">
        <f aca="false">+(W34+W35)/W11*1000000</f>
        <v>937625.267813947</v>
      </c>
      <c r="X83" s="428" t="n">
        <f aca="false">+(X34+X35)/X11*1000000</f>
        <v>946548.076923077</v>
      </c>
      <c r="Y83" s="428" t="n">
        <f aca="false">+(Y34+Y35)/Y11*1000000</f>
        <v>1069886.69776924</v>
      </c>
      <c r="Z83" s="428" t="n">
        <f aca="false">+(Z34+Z35)/Z11*1000000</f>
        <v>1094520.18877819</v>
      </c>
      <c r="AA83" s="428" t="n">
        <f aca="false">+(AA34+AA35)/AA11*1000000</f>
        <v>1038911.74655421</v>
      </c>
      <c r="AB83" s="428" t="n">
        <f aca="false">+(AB34+AB35)/AB11*1000000</f>
        <v>1072256.80933852</v>
      </c>
      <c r="AC83" s="428" t="n">
        <f aca="false">+(AC34+AC35)/AC11*1000000</f>
        <v>1221831.59328189</v>
      </c>
      <c r="AD83" s="428" t="n">
        <f aca="false">+(AD34+AD35)/AD11*1000000</f>
        <v>1216017.12347807</v>
      </c>
      <c r="AE83" s="428" t="n">
        <f aca="false">+(AE34+AE35)/AE11*1000000</f>
        <v>1241164.72424936</v>
      </c>
      <c r="AF83" s="428" t="n">
        <f aca="false">+(AF34+AF35)/AF11*1000000</f>
        <v>1265695.33703084</v>
      </c>
      <c r="AG83" s="428" t="n">
        <f aca="false">+(AG34+AG35)/AG11*1000000</f>
        <v>1404415.11525278</v>
      </c>
      <c r="AH83" s="428" t="n">
        <f aca="false">+(AH34+AH35)/AH11*1000000</f>
        <v>1444616.78141787</v>
      </c>
      <c r="AI83" s="428" t="n">
        <f aca="false">+(AI34+AI35)/AI11*1000000</f>
        <v>1423243.18357435</v>
      </c>
      <c r="AJ83" s="428" t="n">
        <f aca="false">+(AJ34+AJ35)/AJ11*1000000</f>
        <v>1447762.91997813</v>
      </c>
      <c r="AK83" s="428" t="n">
        <f aca="false">+(AK34+AK35)/AK11*1000000</f>
        <v>1472213.00902893</v>
      </c>
      <c r="AL83" s="428" t="n">
        <f aca="false">+(AL34+AL35)/AL11*1000000</f>
        <v>1460753.95001089</v>
      </c>
      <c r="AM83" s="428" t="n">
        <f aca="false">+(AM34+AM35)/AM11*1000000</f>
        <v>1421688.80150865</v>
      </c>
      <c r="AN83" s="428" t="n">
        <f aca="false">+(AN34+AN35)/AN11*1000000</f>
        <v>1417781.16466629</v>
      </c>
      <c r="AO83" s="428" t="n">
        <f aca="false">+(AO34+AO35)/AO11*1000000</f>
        <v>1437837.88586966</v>
      </c>
      <c r="AP83" s="428" t="n">
        <f aca="false">+(AP34+AP35)/AP11*1000000</f>
        <v>1413583.03146288</v>
      </c>
      <c r="AQ83" s="428" t="n">
        <f aca="false">+(AQ34+AQ35)/AQ11*1000000</f>
        <v>1367929.16009118</v>
      </c>
      <c r="AR83" s="428" t="n">
        <f aca="false">+(AR34+AR35)/AR11*1000000</f>
        <v>1459848.28894061</v>
      </c>
      <c r="AS83" s="428" t="n">
        <f aca="false">+(AS34+AS35)/AS11*1000000</f>
        <v>1419970.9341625</v>
      </c>
      <c r="AT83" s="428" t="n">
        <f aca="false">+(AT34+AT35)/AT11*1000000</f>
        <v>1393107.73543108</v>
      </c>
      <c r="AU83" s="428" t="n">
        <f aca="false">+(AU34+AU35)/AU11*1000000</f>
        <v>1389300.83883052</v>
      </c>
      <c r="AV83" s="428" t="n">
        <f aca="false">+(AV34+AV35)/AV11*1000000</f>
        <v>1444737.52711497</v>
      </c>
      <c r="AW83" s="428" t="n">
        <f aca="false">+(AW34+AW35)/AW11*1000000</f>
        <v>1454882.08701661</v>
      </c>
      <c r="AX83" s="428" t="n">
        <f aca="false">+(AX34+AX35)/AX11*1000000</f>
        <v>1413446.67063142</v>
      </c>
      <c r="AZ83" s="427"/>
      <c r="BA83" s="427"/>
      <c r="BB83" s="427"/>
      <c r="BC83" s="427"/>
      <c r="BD83" s="427"/>
      <c r="BE83" s="427"/>
      <c r="BF83" s="427"/>
      <c r="BG83" s="427"/>
      <c r="BH83" s="427"/>
      <c r="BI83" s="427"/>
      <c r="BJ83" s="427"/>
      <c r="BK83" s="427"/>
      <c r="BL83" s="427"/>
      <c r="BM83" s="427"/>
      <c r="BN83" s="427"/>
      <c r="BO83" s="427"/>
      <c r="BP83" s="427"/>
      <c r="BQ83" s="428" t="n">
        <f aca="false">+(BQ34+BQ35)/BQ11*1000000</f>
        <v>1464479.59528955</v>
      </c>
      <c r="BR83" s="428" t="n">
        <f aca="false">+(BR34+BR35)/BR11*1000000</f>
        <v>1436974.78961504</v>
      </c>
      <c r="BS83" s="428" t="n">
        <f aca="false">+(BS34+BS35)/BS11*1000000</f>
        <v>1390850.8070457</v>
      </c>
      <c r="BT83" s="428" t="n">
        <f aca="false">+(BT34+BT35)/BT11*1000000</f>
        <v>1440093.09424017</v>
      </c>
      <c r="BU83" s="428" t="n">
        <f aca="false">+(BU34+BU35)/BU11*1000000</f>
        <v>1420665.35548881</v>
      </c>
      <c r="BV83" s="428" t="n">
        <f aca="false">+(BV34+BV35)/BV11*1000000</f>
        <v>1386092.51744014</v>
      </c>
      <c r="BW83" s="428" t="n">
        <f aca="false">+(BW34+BW35)/BW11*1000000</f>
        <v>1392876.29083377</v>
      </c>
      <c r="BX83" s="428" t="n">
        <f aca="false">+(BX34+BX35)/BX11*1000000</f>
        <v>1482395.43697742</v>
      </c>
      <c r="BY83" s="428" t="n">
        <f aca="false">+(BY34+BY35)/BY11*1000000</f>
        <v>1405923.77744356</v>
      </c>
      <c r="BZ83" s="428" t="n">
        <f aca="false">+(BZ34+BZ35)/BZ11*1000000</f>
        <v>1395205.7002916</v>
      </c>
      <c r="CA83" s="428" t="n">
        <f aca="false">+(CA34+CA35)/CA11*1000000</f>
        <v>1422668.36440264</v>
      </c>
      <c r="CB83" s="428" t="n">
        <f aca="false">+(CB34+CB35)/CB11*1000000</f>
        <v>1472732.03711063</v>
      </c>
      <c r="CC83" s="428" t="n">
        <f aca="false">+(CC34+CC35)/CC11*1000000</f>
        <v>1477414.24935932</v>
      </c>
      <c r="CE83" s="427"/>
      <c r="CF83" s="427"/>
      <c r="CG83" s="427"/>
      <c r="CI83" s="427"/>
      <c r="CJ83" s="427"/>
      <c r="CK83" s="427"/>
      <c r="CL83" s="427"/>
      <c r="CM83" s="427"/>
      <c r="CN83" s="427"/>
    </row>
    <row r="84" customFormat="false" ht="15" hidden="false" customHeight="true" outlineLevel="0" collapsed="false">
      <c r="A84" s="414" t="s">
        <v>911</v>
      </c>
      <c r="B84" s="428" t="n">
        <f aca="false">+(B33-B34-B35)/B11*1000000</f>
        <v>434936.280422905</v>
      </c>
      <c r="C84" s="428" t="n">
        <f aca="false">+(C33-C34-C35)/C11*1000000</f>
        <v>402850.244776758</v>
      </c>
      <c r="D84" s="428" t="n">
        <f aca="false">+(D33-D34-D35)/D11*1000000</f>
        <v>400397.406880497</v>
      </c>
      <c r="E84" s="428" t="n">
        <f aca="false">+(E33-E34-E35)/E11*1000000</f>
        <v>401634.22284857</v>
      </c>
      <c r="F84" s="428" t="n">
        <f aca="false">+(F33-F34-F35)/F11*1000000</f>
        <v>428072.998556073</v>
      </c>
      <c r="G84" s="428" t="n">
        <f aca="false">+(G33-G34-G35)/G11*1000000</f>
        <v>445182.50052331</v>
      </c>
      <c r="H84" s="428" t="n">
        <f aca="false">+(H33-H34-H35)/H11*1000000</f>
        <v>420546.362556716</v>
      </c>
      <c r="I84" s="428" t="n">
        <f aca="false">+(I33-I34-I35)/I11*1000000</f>
        <v>390066.504273325</v>
      </c>
      <c r="J84" s="428" t="n">
        <f aca="false">+(J33-J34-J35)/J11*1000000</f>
        <v>461948.447095982</v>
      </c>
      <c r="K84" s="428" t="n">
        <f aca="false">+(K33-K34-K35)/K11*1000000</f>
        <v>432454.11736001</v>
      </c>
      <c r="L84" s="428" t="n">
        <f aca="false">+(L33-L34-L35)/L11*1000000</f>
        <v>435412.054700562</v>
      </c>
      <c r="M84" s="428" t="n">
        <f aca="false">+(M33-M34-M35)/M11*1000000</f>
        <v>467265.400608737</v>
      </c>
      <c r="N84" s="428" t="n">
        <f aca="false">+(N33-N34-N35)/N11*1000000</f>
        <v>419926.432280582</v>
      </c>
      <c r="O84" s="428" t="n">
        <f aca="false">+(O33-O34-O35)/O11*1000000</f>
        <v>431131.352685792</v>
      </c>
      <c r="P84" s="428" t="n">
        <f aca="false">+(P33-P34-P35)/P11*1000000</f>
        <v>450775.844470292</v>
      </c>
      <c r="Q84" s="428" t="n">
        <f aca="false">+(Q33-Q34-Q35)/Q11*1000000</f>
        <v>461867.685807202</v>
      </c>
      <c r="R84" s="428" t="n">
        <f aca="false">+(R33-R34-R35)/R11*1000000</f>
        <v>400159.510383187</v>
      </c>
      <c r="S84" s="428" t="n">
        <f aca="false">+(S33-S34-S35)/S11*1000000</f>
        <v>408674.146923536</v>
      </c>
      <c r="T84" s="428" t="n">
        <f aca="false">+(T33-T34-T35)/T11*1000000</f>
        <v>431761.990722757</v>
      </c>
      <c r="U84" s="428" t="n">
        <f aca="false">+(U33-U34-U35)/U11*1000000</f>
        <v>406028.124527478</v>
      </c>
      <c r="V84" s="428" t="n">
        <f aca="false">+(V33-V34-V35)/V11*1000000</f>
        <v>431781.458291254</v>
      </c>
      <c r="W84" s="428" t="n">
        <f aca="false">+(W33-W34-W35)/W11*1000000</f>
        <v>420277.835372175</v>
      </c>
      <c r="X84" s="428" t="n">
        <f aca="false">+(X33-X34-X35)/X11*1000000</f>
        <v>340519.230769231</v>
      </c>
      <c r="Y84" s="428" t="n">
        <f aca="false">+(Y33-Y34-Y35)/Y11*1000000</f>
        <v>434978.633316345</v>
      </c>
      <c r="Z84" s="428" t="n">
        <f aca="false">+(Z33-Z34-Z35)/Z11*1000000</f>
        <v>612008.390141584</v>
      </c>
      <c r="AA84" s="428" t="n">
        <f aca="false">+(AA33-AA34-AA35)/AA11*1000000</f>
        <v>419934.169923884</v>
      </c>
      <c r="AB84" s="428" t="n">
        <f aca="false">+(AB33-AB34-AB35)/AB11*1000000</f>
        <v>368482.490272374</v>
      </c>
      <c r="AC84" s="428" t="n">
        <f aca="false">+(AC33-AC34-AC35)/AC11*1000000</f>
        <v>367022.242396732</v>
      </c>
      <c r="AD84" s="428" t="n">
        <f aca="false">+(AD33-AD34-AD35)/AD11*1000000</f>
        <v>424606.66036582</v>
      </c>
      <c r="AE84" s="428" t="n">
        <f aca="false">+(AE33-AE34-AE35)/AE11*1000000</f>
        <v>377340.885161384</v>
      </c>
      <c r="AF84" s="428" t="n">
        <f aca="false">+(AF33-AF34-AF35)/AF11*1000000</f>
        <v>358614.314640373</v>
      </c>
      <c r="AG84" s="428" t="n">
        <f aca="false">+(AG33-AG34-AG35)/AG11*1000000</f>
        <v>390426.732896816</v>
      </c>
      <c r="AH84" s="428" t="n">
        <f aca="false">+(AH33-AH34-AH35)/AH11*1000000</f>
        <v>376989.231040831</v>
      </c>
      <c r="AI84" s="428" t="n">
        <f aca="false">+(AI33-AI34-AI35)/AI11*1000000</f>
        <v>401671.266144166</v>
      </c>
      <c r="AJ84" s="428" t="n">
        <f aca="false">+(AJ33-AJ34-AJ35)/AJ11*1000000</f>
        <v>450742.189142593</v>
      </c>
      <c r="AK84" s="428" t="n">
        <f aca="false">+(AK33-AK34-AK35)/AK11*1000000</f>
        <v>475233.261302913</v>
      </c>
      <c r="AL84" s="428" t="n">
        <f aca="false">+(AL33-AL34-AL35)/AL11*1000000</f>
        <v>520733.625299426</v>
      </c>
      <c r="AM84" s="428" t="n">
        <f aca="false">+(AM33-AM34-AM35)/AM11*1000000</f>
        <v>511874.573686956</v>
      </c>
      <c r="AN84" s="428" t="n">
        <f aca="false">+(AN33-AN34-AN35)/AN11*1000000</f>
        <v>545134.522977922</v>
      </c>
      <c r="AO84" s="428" t="n">
        <f aca="false">+(AO33-AO34-AO35)/AO11*1000000</f>
        <v>564452.895910715</v>
      </c>
      <c r="AP84" s="428" t="n">
        <f aca="false">+(AP33-AP34-AP35)/AP11*1000000</f>
        <v>545392.203768255</v>
      </c>
      <c r="AQ84" s="428" t="n">
        <f aca="false">+(AQ33-AQ34-AQ35)/AQ11*1000000</f>
        <v>554048.307908119</v>
      </c>
      <c r="AR84" s="428" t="n">
        <f aca="false">+(AR33-AR34-AR35)/AR11*1000000</f>
        <v>582792.431686924</v>
      </c>
      <c r="AS84" s="428" t="n">
        <f aca="false">+(AS33-AS34-AS35)/AS11*1000000</f>
        <v>592113.356766257</v>
      </c>
      <c r="AT84" s="428" t="n">
        <f aca="false">+(AT33-AT34-AT35)/AT11*1000000</f>
        <v>579067.769790678</v>
      </c>
      <c r="AU84" s="428" t="n">
        <f aca="false">+(AU33-AU34-AU35)/AU11*1000000</f>
        <v>562849.173385455</v>
      </c>
      <c r="AV84" s="428" t="n">
        <f aca="false">+(AV33-AV34-AV35)/AV11*1000000</f>
        <v>556798.264642082</v>
      </c>
      <c r="AW84" s="428" t="n">
        <f aca="false">+(AW33-AW34-AW35)/AW11*1000000</f>
        <v>583830.516283221</v>
      </c>
      <c r="AX84" s="428" t="n">
        <f aca="false">+(AX33-AX34-AX35)/AX11*1000000</f>
        <v>562303.385763797</v>
      </c>
      <c r="AZ84" s="427"/>
      <c r="BA84" s="427"/>
      <c r="BB84" s="427"/>
      <c r="BC84" s="427"/>
      <c r="BD84" s="427"/>
      <c r="BE84" s="427"/>
      <c r="BF84" s="427"/>
      <c r="BG84" s="427"/>
      <c r="BH84" s="427"/>
      <c r="BI84" s="427"/>
      <c r="BJ84" s="427"/>
      <c r="BK84" s="427"/>
      <c r="BL84" s="427"/>
      <c r="BM84" s="427"/>
      <c r="BN84" s="427"/>
      <c r="BO84" s="427"/>
      <c r="BP84" s="427"/>
      <c r="BQ84" s="428" t="n">
        <f aca="false">+(BQ33-BQ34-BQ35)/BQ11*1000000</f>
        <v>482966.675042297</v>
      </c>
      <c r="BR84" s="428" t="n">
        <f aca="false">+(BR33-BR34-BR35)/BR11*1000000</f>
        <v>504883.034189068</v>
      </c>
      <c r="BS84" s="428" t="n">
        <f aca="false">+(BS33-BS34-BS35)/BS11*1000000</f>
        <v>504041.30064599</v>
      </c>
      <c r="BT84" s="428" t="n">
        <f aca="false">+(BT33-BT34-BT35)/BT11*1000000</f>
        <v>532637.171842256</v>
      </c>
      <c r="BU84" s="428" t="n">
        <f aca="false">+(BU33-BU34-BU35)/BU11*1000000</f>
        <v>541579.610655956</v>
      </c>
      <c r="BV84" s="428" t="n">
        <f aca="false">+(BV33-BV34-BV35)/BV11*1000000</f>
        <v>533703.213086369</v>
      </c>
      <c r="BW84" s="428" t="n">
        <f aca="false">+(BW33-BW34-BW35)/BW11*1000000</f>
        <v>557930.839185516</v>
      </c>
      <c r="BX84" s="428" t="n">
        <f aca="false">+(BX33-BX34-BX35)/BX11*1000000</f>
        <v>590884.894459529</v>
      </c>
      <c r="BY84" s="428" t="n">
        <f aca="false">+(BY33-BY34-BY35)/BY11*1000000</f>
        <v>565918.827666622</v>
      </c>
      <c r="BZ84" s="428" t="n">
        <f aca="false">+(BZ33-BZ34-BZ35)/BZ11*1000000</f>
        <v>567108.927404042</v>
      </c>
      <c r="CA84" s="428" t="n">
        <f aca="false">+(CA33-CA34-CA35)/CA11*1000000</f>
        <v>558763.89799658</v>
      </c>
      <c r="CB84" s="428" t="n">
        <f aca="false">+(CB33-CB34-CB35)/CB11*1000000</f>
        <v>555824.487835141</v>
      </c>
      <c r="CC84" s="428" t="n">
        <f aca="false">+(CC33-CC34-CC35)/CC11*1000000</f>
        <v>540911.227907513</v>
      </c>
      <c r="CE84" s="427"/>
      <c r="CF84" s="427"/>
      <c r="CG84" s="427"/>
      <c r="CI84" s="427"/>
      <c r="CJ84" s="427"/>
      <c r="CK84" s="427"/>
      <c r="CL84" s="427"/>
      <c r="CM84" s="427"/>
      <c r="CN84" s="427"/>
    </row>
    <row r="85" customFormat="false" ht="15" hidden="false" customHeight="true" outlineLevel="0" collapsed="false">
      <c r="A85" s="414" t="s">
        <v>912</v>
      </c>
      <c r="B85" s="428" t="n">
        <f aca="false">+B40/B11*1000000</f>
        <v>139253.884907401</v>
      </c>
      <c r="C85" s="428" t="n">
        <f aca="false">+C40/C11*1000000</f>
        <v>166935.769508574</v>
      </c>
      <c r="D85" s="428" t="n">
        <f aca="false">+D40/D11*1000000</f>
        <v>145259.926280393</v>
      </c>
      <c r="E85" s="428" t="n">
        <f aca="false">+E40/E11*1000000</f>
        <v>178094.421966632</v>
      </c>
      <c r="F85" s="428" t="n">
        <f aca="false">+F40/F11*1000000</f>
        <v>154671.137493984</v>
      </c>
      <c r="G85" s="428" t="n">
        <f aca="false">+G40/G11*1000000</f>
        <v>160427.917825424</v>
      </c>
      <c r="H85" s="428" t="n">
        <f aca="false">+H40/H11*1000000</f>
        <v>138285.575078413</v>
      </c>
      <c r="I85" s="428" t="n">
        <f aca="false">+I40/I11*1000000</f>
        <v>153273.051804876</v>
      </c>
      <c r="J85" s="428" t="n">
        <f aca="false">+J40/J11*1000000</f>
        <v>107412.739077031</v>
      </c>
      <c r="K85" s="428" t="n">
        <f aca="false">+K40/K11*1000000</f>
        <v>149273.368305478</v>
      </c>
      <c r="L85" s="428" t="n">
        <f aca="false">+L40/L11*1000000</f>
        <v>168994.662837056</v>
      </c>
      <c r="M85" s="428" t="n">
        <f aca="false">+M40/M11*1000000</f>
        <v>179900.973121276</v>
      </c>
      <c r="N85" s="428" t="n">
        <f aca="false">+N40/N11*1000000</f>
        <v>175820.805311995</v>
      </c>
      <c r="O85" s="428" t="n">
        <f aca="false">+O40/O11*1000000</f>
        <v>191647.229079765</v>
      </c>
      <c r="P85" s="428" t="n">
        <f aca="false">+P40/P11*1000000</f>
        <v>153713.010658248</v>
      </c>
      <c r="Q85" s="428" t="n">
        <f aca="false">+Q40/Q11*1000000</f>
        <v>159432.193130296</v>
      </c>
      <c r="R85" s="428" t="n">
        <f aca="false">+R40/R11*1000000</f>
        <v>155109.105256068</v>
      </c>
      <c r="S85" s="428" t="n">
        <f aca="false">+S40/S11*1000000</f>
        <v>159554.648857754</v>
      </c>
      <c r="T85" s="428" t="n">
        <f aca="false">+T40/T11*1000000</f>
        <v>148442.748440463</v>
      </c>
      <c r="U85" s="428" t="n">
        <f aca="false">+U40/U11*1000000</f>
        <v>165561.734513869</v>
      </c>
      <c r="V85" s="428" t="n">
        <f aca="false">+V40/V11*1000000</f>
        <v>135571.096748132</v>
      </c>
      <c r="W85" s="428" t="n">
        <f aca="false">+W40/W11*1000000</f>
        <v>78989.5638952244</v>
      </c>
      <c r="X85" s="428" t="n">
        <f aca="false">+X40/X11*1000000</f>
        <v>72163.4615384615</v>
      </c>
      <c r="Y85" s="428" t="n">
        <f aca="false">+Y40/Y11*1000000</f>
        <v>71725.4087113342</v>
      </c>
      <c r="Z85" s="428" t="n">
        <f aca="false">+Z40/Z11*1000000</f>
        <v>-873728.36916623</v>
      </c>
      <c r="AA85" s="428" t="n">
        <f aca="false">+AA40/AA11*1000000</f>
        <v>41364.9454844682</v>
      </c>
      <c r="AB85" s="428" t="n">
        <f aca="false">+AB40/AB11*1000000</f>
        <v>75962.2867404971</v>
      </c>
      <c r="AC85" s="428" t="n">
        <f aca="false">+AC40/AC11*1000000</f>
        <v>121234.679981843</v>
      </c>
      <c r="AD85" s="428" t="n">
        <f aca="false">+AD40/AD11*1000000</f>
        <v>-77889.5869238895</v>
      </c>
      <c r="AE85" s="428" t="n">
        <f aca="false">+AE40/AE11*1000000</f>
        <v>48901.717314744</v>
      </c>
      <c r="AF85" s="428" t="n">
        <f aca="false">+AF40/AF11*1000000</f>
        <v>65701.2060920856</v>
      </c>
      <c r="AG85" s="428" t="n">
        <f aca="false">+AG40/AG11*1000000</f>
        <v>159288.983764034</v>
      </c>
      <c r="AH85" s="428" t="n">
        <f aca="false">+AH40/AH11*1000000</f>
        <v>80774.7597790725</v>
      </c>
      <c r="AI85" s="428" t="n">
        <f aca="false">+AI40/AI11*1000000</f>
        <v>118631.195496192</v>
      </c>
      <c r="AJ85" s="428" t="n">
        <f aca="false">+AJ40/AJ11*1000000</f>
        <v>167642.235398007</v>
      </c>
      <c r="AK85" s="428" t="n">
        <f aca="false">+AK40/AK11*1000000</f>
        <v>213702.531115466</v>
      </c>
      <c r="AL85" s="428" t="n">
        <f aca="false">+AL40/AL11*1000000</f>
        <v>198589.368240219</v>
      </c>
      <c r="AM85" s="428" t="n">
        <f aca="false">+AM40/AM11*1000000</f>
        <v>216625.205633351</v>
      </c>
      <c r="AN85" s="428" t="n">
        <f aca="false">+AN40/AN11*1000000</f>
        <v>235797.294722805</v>
      </c>
      <c r="AO85" s="428" t="n">
        <f aca="false">+AO40/AO11*1000000</f>
        <v>282946.204837477</v>
      </c>
      <c r="AP85" s="428" t="n">
        <f aca="false">+AP40/AP11*1000000</f>
        <v>207520.561365138</v>
      </c>
      <c r="AQ85" s="428" t="n">
        <f aca="false">+AQ40/AQ11*1000000</f>
        <v>222974.75013151</v>
      </c>
      <c r="AR85" s="428" t="n">
        <f aca="false">+AR40/AR11*1000000</f>
        <v>261061.546418412</v>
      </c>
      <c r="AS85" s="428" t="n">
        <f aca="false">+AS40/AS11*1000000</f>
        <v>302649.722860619</v>
      </c>
      <c r="AT85" s="428" t="n">
        <f aca="false">+AT40/AT11*1000000</f>
        <v>219166.779691668</v>
      </c>
      <c r="AU85" s="428" t="n">
        <f aca="false">+AU40/AU11*1000000</f>
        <v>236615.359556967</v>
      </c>
      <c r="AV85" s="428" t="n">
        <f aca="false">+AV40/AV11*1000000</f>
        <v>266380.911062907</v>
      </c>
      <c r="AW85" s="428" t="n">
        <f aca="false">+AW40/AW11*1000000</f>
        <v>297376.832042385</v>
      </c>
      <c r="AX85" s="428" t="n">
        <f aca="false">+AX40/AX11*1000000</f>
        <v>198824.928736952</v>
      </c>
      <c r="AZ85" s="427"/>
      <c r="BA85" s="427"/>
      <c r="BB85" s="427"/>
      <c r="BC85" s="427"/>
      <c r="BD85" s="427"/>
      <c r="BE85" s="427"/>
      <c r="BF85" s="427"/>
      <c r="BG85" s="427"/>
      <c r="BH85" s="427"/>
      <c r="BI85" s="427"/>
      <c r="BJ85" s="427"/>
      <c r="BK85" s="427"/>
      <c r="BL85" s="427"/>
      <c r="BM85" s="427"/>
      <c r="BN85" s="427"/>
      <c r="BO85" s="427"/>
      <c r="BP85" s="427"/>
      <c r="BQ85" s="428" t="n">
        <f aca="false">+BQ40/BQ11*1000000</f>
        <v>148576.779327424</v>
      </c>
      <c r="BR85" s="428" t="n">
        <f aca="false">+BR40/BR11*1000000</f>
        <v>209974.716570804</v>
      </c>
      <c r="BS85" s="428" t="n">
        <f aca="false">+BS40/BS11*1000000</f>
        <v>194987.724303406</v>
      </c>
      <c r="BT85" s="428" t="n">
        <f aca="false">+BT40/BT11*1000000</f>
        <v>244112.477961078</v>
      </c>
      <c r="BU85" s="428" t="n">
        <f aca="false">+BU40/BU11*1000000</f>
        <v>204396.005069644</v>
      </c>
      <c r="BV85" s="428" t="n">
        <f aca="false">+BV40/BV11*1000000</f>
        <v>204928.883786001</v>
      </c>
      <c r="BW85" s="428" t="n">
        <f aca="false">+BW40/BW11*1000000</f>
        <v>230172.865734952</v>
      </c>
      <c r="BX85" s="428" t="n">
        <f aca="false">+BX40/BX11*1000000</f>
        <v>293467.022349214</v>
      </c>
      <c r="BY85" s="428" t="n">
        <f aca="false">+BY40/BY11*1000000</f>
        <v>218932.074196754</v>
      </c>
      <c r="BZ85" s="428" t="n">
        <f aca="false">+BZ40/BZ11*1000000</f>
        <v>224043.531199139</v>
      </c>
      <c r="CA85" s="428" t="n">
        <f aca="false">+CA40/CA11*1000000</f>
        <v>256811.620339313</v>
      </c>
      <c r="CB85" s="428" t="n">
        <f aca="false">+CB40/CB11*1000000</f>
        <v>285157.322065899</v>
      </c>
      <c r="CC85" s="428" t="n">
        <f aca="false">+CC40/CC11*1000000</f>
        <v>196387.716228576</v>
      </c>
      <c r="CE85" s="427"/>
      <c r="CF85" s="427"/>
      <c r="CG85" s="427"/>
      <c r="CI85" s="427"/>
      <c r="CJ85" s="427"/>
      <c r="CK85" s="427"/>
      <c r="CL85" s="427"/>
      <c r="CM85" s="427"/>
      <c r="CN85" s="427"/>
    </row>
    <row r="87" customFormat="false" ht="15" hidden="false" customHeight="true" outlineLevel="0" collapsed="false">
      <c r="A87" s="412" t="s">
        <v>913</v>
      </c>
      <c r="B87" s="413"/>
      <c r="C87" s="413"/>
      <c r="D87" s="413"/>
      <c r="E87" s="413"/>
      <c r="F87" s="413"/>
      <c r="G87" s="413"/>
      <c r="H87" s="413"/>
      <c r="I87" s="413"/>
      <c r="J87" s="413"/>
      <c r="K87" s="413"/>
      <c r="L87" s="413"/>
      <c r="M87" s="413"/>
      <c r="N87" s="413"/>
      <c r="O87" s="413"/>
      <c r="P87" s="413"/>
      <c r="Q87" s="413"/>
      <c r="R87" s="413"/>
      <c r="S87" s="413"/>
      <c r="T87" s="413"/>
      <c r="U87" s="413"/>
      <c r="V87" s="413"/>
      <c r="W87" s="413"/>
      <c r="X87" s="413"/>
      <c r="Y87" s="413"/>
      <c r="Z87" s="413"/>
      <c r="AA87" s="413"/>
      <c r="AB87" s="413"/>
      <c r="AC87" s="413"/>
      <c r="AD87" s="413"/>
      <c r="AE87" s="413"/>
      <c r="AF87" s="413"/>
      <c r="AG87" s="413"/>
      <c r="AH87" s="413"/>
      <c r="AI87" s="413"/>
      <c r="AJ87" s="413"/>
      <c r="AK87" s="413"/>
      <c r="AL87" s="413"/>
      <c r="AM87" s="413"/>
      <c r="AN87" s="413"/>
      <c r="AO87" s="413"/>
      <c r="AP87" s="413"/>
      <c r="AQ87" s="413"/>
      <c r="AR87" s="413"/>
      <c r="AS87" s="413"/>
      <c r="AT87" s="413"/>
      <c r="AU87" s="413"/>
      <c r="AV87" s="413"/>
      <c r="AW87" s="413"/>
      <c r="AX87" s="413"/>
      <c r="AY87" s="413"/>
      <c r="AZ87" s="413"/>
      <c r="BA87" s="413"/>
      <c r="BB87" s="413"/>
      <c r="BC87" s="413"/>
      <c r="BD87" s="413"/>
      <c r="BE87" s="413"/>
      <c r="BF87" s="413"/>
      <c r="BG87" s="413"/>
      <c r="BH87" s="413"/>
      <c r="BI87" s="413"/>
      <c r="BJ87" s="413"/>
      <c r="BK87" s="413"/>
      <c r="BL87" s="413"/>
      <c r="BM87" s="413"/>
      <c r="BN87" s="413"/>
      <c r="BO87" s="413"/>
      <c r="BP87" s="413"/>
      <c r="BQ87" s="413"/>
      <c r="BR87" s="413"/>
      <c r="BS87" s="413"/>
      <c r="BT87" s="413"/>
      <c r="BU87" s="413"/>
      <c r="BV87" s="413"/>
      <c r="BW87" s="413"/>
      <c r="BX87" s="413"/>
      <c r="BY87" s="413"/>
      <c r="BZ87" s="413"/>
      <c r="CA87" s="413"/>
      <c r="CB87" s="413"/>
      <c r="CC87" s="413"/>
      <c r="CD87" s="413"/>
      <c r="CE87" s="413"/>
      <c r="CF87" s="413"/>
      <c r="CG87" s="413"/>
      <c r="CH87" s="413"/>
      <c r="CI87" s="413"/>
      <c r="CJ87" s="413"/>
      <c r="CK87" s="413"/>
      <c r="CL87" s="413"/>
      <c r="CM87" s="413"/>
      <c r="CN87" s="413"/>
    </row>
    <row r="88" customFormat="false" ht="15" hidden="false" customHeight="true" outlineLevel="0" collapsed="false">
      <c r="A88" s="414" t="s">
        <v>163</v>
      </c>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31" t="n">
        <v>11390</v>
      </c>
      <c r="AN88" s="431" t="n">
        <v>17470</v>
      </c>
      <c r="AO88" s="431" t="n">
        <v>17470</v>
      </c>
      <c r="AP88" s="431" t="n">
        <v>17470</v>
      </c>
      <c r="AQ88" s="431" t="n">
        <v>17470</v>
      </c>
      <c r="AR88" s="431" t="n">
        <v>17470</v>
      </c>
      <c r="AS88" s="431" t="n">
        <v>17470</v>
      </c>
      <c r="AT88" s="431" t="n">
        <v>17470</v>
      </c>
      <c r="AU88" s="427"/>
      <c r="AV88" s="427"/>
      <c r="AW88" s="427"/>
      <c r="AX88" s="427"/>
      <c r="AZ88" s="427"/>
      <c r="BA88" s="427"/>
      <c r="BB88" s="427"/>
      <c r="BC88" s="427"/>
      <c r="BD88" s="427"/>
      <c r="BE88" s="427"/>
      <c r="BF88" s="427"/>
      <c r="BG88" s="427"/>
      <c r="BH88" s="427"/>
      <c r="BI88" s="427"/>
      <c r="BJ88" s="427"/>
      <c r="BK88" s="427"/>
      <c r="BL88" s="427"/>
      <c r="BM88" s="427"/>
      <c r="BN88" s="427"/>
      <c r="BO88" s="427"/>
      <c r="BP88" s="427"/>
      <c r="BQ88" s="427"/>
      <c r="BR88" s="427"/>
      <c r="BS88" s="427"/>
      <c r="BT88" s="427"/>
      <c r="BU88" s="427"/>
      <c r="BV88" s="427"/>
      <c r="BW88" s="427"/>
      <c r="BX88" s="427"/>
      <c r="BY88" s="427"/>
      <c r="BZ88" s="427"/>
      <c r="CA88" s="427"/>
      <c r="CB88" s="427"/>
      <c r="CC88" s="427"/>
      <c r="CE88" s="427"/>
      <c r="CF88" s="427"/>
      <c r="CG88" s="427"/>
      <c r="CI88" s="427"/>
      <c r="CJ88" s="427"/>
      <c r="CK88" s="427"/>
      <c r="CL88" s="427"/>
      <c r="CM88" s="427"/>
      <c r="CN88" s="427"/>
    </row>
    <row r="89" customFormat="false" ht="15" hidden="false" customHeight="true" outlineLevel="0" collapsed="false">
      <c r="A89" s="414" t="s">
        <v>914</v>
      </c>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31" t="n">
        <v>6620</v>
      </c>
      <c r="AO89" s="431" t="n">
        <v>6620</v>
      </c>
      <c r="AP89" s="431" t="n">
        <v>6620</v>
      </c>
      <c r="AQ89" s="431" t="n">
        <v>6620</v>
      </c>
      <c r="AR89" s="431" t="n">
        <v>6620</v>
      </c>
      <c r="AS89" s="431" t="n">
        <v>6620</v>
      </c>
      <c r="AT89" s="431" t="n">
        <v>6620</v>
      </c>
      <c r="AU89" s="427"/>
      <c r="AV89" s="427"/>
      <c r="AW89" s="427"/>
      <c r="AX89" s="427"/>
      <c r="AZ89" s="427"/>
      <c r="BA89" s="427"/>
      <c r="BB89" s="427"/>
      <c r="BC89" s="427"/>
      <c r="BD89" s="427"/>
      <c r="BE89" s="427"/>
      <c r="BF89" s="427"/>
      <c r="BG89" s="427"/>
      <c r="BH89" s="427"/>
      <c r="BI89" s="427"/>
      <c r="BJ89" s="427"/>
      <c r="BK89" s="427"/>
      <c r="BL89" s="427"/>
      <c r="BM89" s="427"/>
      <c r="BN89" s="427"/>
      <c r="BO89" s="427"/>
      <c r="BP89" s="427"/>
      <c r="BQ89" s="427"/>
      <c r="BR89" s="427"/>
      <c r="BS89" s="427"/>
      <c r="BT89" s="427"/>
      <c r="BU89" s="427"/>
      <c r="BV89" s="427"/>
      <c r="BW89" s="427"/>
      <c r="BX89" s="427"/>
      <c r="BY89" s="427"/>
      <c r="BZ89" s="427"/>
      <c r="CA89" s="427"/>
      <c r="CB89" s="427"/>
      <c r="CC89" s="427"/>
      <c r="CE89" s="427"/>
      <c r="CF89" s="427"/>
      <c r="CG89" s="427"/>
      <c r="CI89" s="427"/>
      <c r="CJ89" s="427"/>
      <c r="CK89" s="427"/>
      <c r="CL89" s="427"/>
      <c r="CM89" s="427"/>
      <c r="CN89" s="427"/>
    </row>
    <row r="91" customFormat="false" ht="15" hidden="false" customHeight="true" outlineLevel="0" collapsed="false">
      <c r="A91" s="412" t="s">
        <v>915</v>
      </c>
      <c r="B91" s="413"/>
      <c r="C91" s="413"/>
      <c r="D91" s="413"/>
      <c r="E91" s="413"/>
      <c r="F91" s="413"/>
      <c r="G91" s="413"/>
      <c r="H91" s="413"/>
      <c r="I91" s="413"/>
      <c r="J91" s="413"/>
      <c r="K91" s="413"/>
      <c r="L91" s="413"/>
      <c r="M91" s="413"/>
      <c r="N91" s="413"/>
      <c r="O91" s="413"/>
      <c r="P91" s="413"/>
      <c r="Q91" s="413"/>
      <c r="R91" s="413"/>
      <c r="S91" s="413"/>
      <c r="T91" s="413"/>
      <c r="U91" s="413"/>
      <c r="V91" s="413"/>
      <c r="W91" s="413"/>
      <c r="X91" s="413"/>
      <c r="Y91" s="413"/>
      <c r="Z91" s="413"/>
      <c r="AA91" s="413"/>
      <c r="AB91" s="413"/>
      <c r="AC91" s="413"/>
      <c r="AD91" s="413"/>
      <c r="AE91" s="413"/>
      <c r="AF91" s="413"/>
      <c r="AG91" s="413"/>
      <c r="AH91" s="413"/>
      <c r="AI91" s="413"/>
      <c r="AJ91" s="413"/>
      <c r="AK91" s="413"/>
      <c r="AL91" s="413"/>
      <c r="AM91" s="413"/>
      <c r="AN91" s="413"/>
      <c r="AO91" s="413"/>
      <c r="AP91" s="413"/>
      <c r="AQ91" s="413"/>
      <c r="AR91" s="413"/>
      <c r="AS91" s="413"/>
      <c r="AT91" s="413"/>
      <c r="AU91" s="413"/>
      <c r="AV91" s="413"/>
      <c r="AW91" s="413"/>
      <c r="AX91" s="413"/>
      <c r="AY91" s="413"/>
      <c r="AZ91" s="413"/>
      <c r="BA91" s="413"/>
      <c r="BB91" s="413"/>
      <c r="BC91" s="413"/>
      <c r="BD91" s="413"/>
      <c r="BE91" s="413"/>
      <c r="BF91" s="413"/>
      <c r="BG91" s="413"/>
      <c r="BH91" s="413"/>
      <c r="BI91" s="413"/>
      <c r="BJ91" s="413"/>
      <c r="BK91" s="413"/>
      <c r="BL91" s="413"/>
      <c r="BM91" s="413"/>
      <c r="BN91" s="413"/>
      <c r="BO91" s="413"/>
      <c r="BP91" s="413"/>
      <c r="BQ91" s="413"/>
      <c r="BR91" s="413"/>
      <c r="BS91" s="413"/>
      <c r="BT91" s="413"/>
      <c r="BU91" s="413"/>
      <c r="BV91" s="413"/>
      <c r="BW91" s="413"/>
      <c r="BX91" s="413"/>
      <c r="BY91" s="413"/>
      <c r="BZ91" s="413"/>
      <c r="CA91" s="413"/>
      <c r="CB91" s="413"/>
      <c r="CC91" s="413"/>
      <c r="CD91" s="413"/>
      <c r="CE91" s="413"/>
      <c r="CF91" s="413"/>
      <c r="CG91" s="413"/>
      <c r="CH91" s="413"/>
      <c r="CI91" s="413"/>
      <c r="CJ91" s="413"/>
      <c r="CK91" s="413"/>
      <c r="CL91" s="413"/>
      <c r="CM91" s="413"/>
      <c r="CN91" s="413"/>
    </row>
    <row r="92" customFormat="false" ht="15" hidden="false" customHeight="true" outlineLevel="0" collapsed="false">
      <c r="A92" s="414"/>
      <c r="B92" s="418"/>
      <c r="C92" s="418"/>
      <c r="D92" s="418"/>
      <c r="E92" s="418"/>
      <c r="F92" s="418"/>
      <c r="G92" s="441" t="s">
        <v>916</v>
      </c>
      <c r="H92" s="441" t="s">
        <v>917</v>
      </c>
      <c r="I92" s="441" t="s">
        <v>917</v>
      </c>
      <c r="J92" s="441" t="s">
        <v>918</v>
      </c>
      <c r="K92" s="441" t="s">
        <v>917</v>
      </c>
      <c r="L92" s="441" t="s">
        <v>919</v>
      </c>
      <c r="M92" s="418"/>
      <c r="N92" s="441" t="s">
        <v>920</v>
      </c>
      <c r="O92" s="418"/>
      <c r="P92" s="418"/>
      <c r="Q92" s="418"/>
      <c r="R92" s="418"/>
      <c r="S92" s="418"/>
      <c r="T92" s="418"/>
      <c r="U92" s="418"/>
      <c r="V92" s="418"/>
      <c r="W92" s="418"/>
      <c r="X92" s="418"/>
      <c r="Y92" s="418"/>
      <c r="Z92" s="418"/>
      <c r="AA92" s="418"/>
      <c r="AB92" s="418"/>
      <c r="AC92" s="418"/>
      <c r="AD92" s="418"/>
      <c r="AE92" s="418"/>
      <c r="AF92" s="418"/>
      <c r="AG92" s="418"/>
      <c r="AH92" s="418"/>
      <c r="AI92" s="418"/>
      <c r="AJ92" s="418"/>
      <c r="AK92" s="418"/>
      <c r="AL92" s="418"/>
      <c r="AM92" s="418"/>
      <c r="AN92" s="418"/>
      <c r="AO92" s="418"/>
      <c r="AP92" s="418"/>
      <c r="AQ92" s="418"/>
      <c r="AR92" s="418"/>
      <c r="AS92" s="418"/>
      <c r="AT92" s="418"/>
      <c r="AU92" s="418"/>
      <c r="AV92" s="418"/>
      <c r="AW92" s="418"/>
      <c r="AX92" s="418"/>
      <c r="AZ92" s="418"/>
      <c r="BA92" s="418"/>
      <c r="BB92" s="418"/>
      <c r="BC92" s="418"/>
      <c r="BD92" s="418"/>
      <c r="BE92" s="418"/>
      <c r="BF92" s="418"/>
      <c r="BG92" s="418"/>
      <c r="BH92" s="418"/>
      <c r="BI92" s="418"/>
      <c r="BJ92" s="418"/>
      <c r="BK92" s="418"/>
      <c r="BL92" s="418"/>
      <c r="BM92" s="418"/>
      <c r="BN92" s="418"/>
      <c r="BO92" s="418"/>
      <c r="BP92" s="418"/>
      <c r="BQ92" s="418"/>
      <c r="BR92" s="418"/>
      <c r="BS92" s="418"/>
      <c r="BT92" s="418"/>
      <c r="BU92" s="418"/>
      <c r="BV92" s="418"/>
      <c r="BW92" s="418"/>
      <c r="BX92" s="418"/>
      <c r="BY92" s="418"/>
      <c r="BZ92" s="418"/>
      <c r="CA92" s="418"/>
      <c r="CB92" s="418"/>
      <c r="CC92" s="418"/>
      <c r="CE92" s="418"/>
      <c r="CF92" s="418"/>
      <c r="CG92" s="418"/>
      <c r="CI92" s="418"/>
      <c r="CJ92" s="418"/>
      <c r="CK92" s="418"/>
      <c r="CL92" s="418"/>
      <c r="CM92" s="418"/>
      <c r="CN92" s="418"/>
    </row>
    <row r="93" customFormat="false" ht="15" hidden="false" customHeight="true" outlineLevel="0" collapsed="false">
      <c r="A93" s="414"/>
      <c r="B93" s="425"/>
      <c r="C93" s="425"/>
      <c r="D93" s="425"/>
      <c r="E93" s="425"/>
      <c r="F93" s="425"/>
      <c r="G93" s="441" t="s">
        <v>921</v>
      </c>
      <c r="H93" s="441" t="s">
        <v>922</v>
      </c>
      <c r="I93" s="441" t="s">
        <v>923</v>
      </c>
      <c r="J93" s="441" t="s">
        <v>924</v>
      </c>
      <c r="K93" s="441" t="s">
        <v>925</v>
      </c>
      <c r="L93" s="441" t="s">
        <v>926</v>
      </c>
      <c r="M93" s="425"/>
      <c r="N93" s="441" t="s">
        <v>927</v>
      </c>
      <c r="O93" s="425"/>
      <c r="P93" s="425"/>
      <c r="Q93" s="425"/>
      <c r="R93" s="425"/>
      <c r="S93" s="425"/>
      <c r="T93" s="425"/>
      <c r="U93" s="425"/>
      <c r="V93" s="425"/>
      <c r="W93" s="425"/>
      <c r="X93" s="425"/>
      <c r="Y93" s="425"/>
      <c r="Z93" s="425"/>
      <c r="AA93" s="425"/>
      <c r="AB93" s="425"/>
      <c r="AC93" s="425"/>
      <c r="AD93" s="425"/>
      <c r="AE93" s="425"/>
      <c r="AF93" s="425"/>
      <c r="AG93" s="425"/>
      <c r="AH93" s="425"/>
      <c r="AI93" s="425"/>
      <c r="AJ93" s="425"/>
      <c r="AK93" s="425"/>
      <c r="AL93" s="425"/>
      <c r="AM93" s="425"/>
      <c r="AN93" s="425"/>
      <c r="AO93" s="425"/>
      <c r="AP93" s="425"/>
      <c r="AQ93" s="425"/>
      <c r="AR93" s="425"/>
      <c r="AS93" s="425"/>
      <c r="AT93" s="425"/>
      <c r="AU93" s="425"/>
      <c r="AV93" s="425"/>
      <c r="AW93" s="425"/>
      <c r="AX93" s="425"/>
      <c r="AZ93" s="425"/>
      <c r="BA93" s="425"/>
      <c r="BB93" s="425"/>
      <c r="BC93" s="425"/>
      <c r="BD93" s="425"/>
      <c r="BE93" s="425"/>
      <c r="BF93" s="425"/>
      <c r="BG93" s="425"/>
      <c r="BH93" s="425"/>
      <c r="BI93" s="425"/>
      <c r="BJ93" s="425"/>
      <c r="BK93" s="425"/>
      <c r="BL93" s="425"/>
      <c r="BM93" s="425"/>
      <c r="BN93" s="425"/>
      <c r="BO93" s="425"/>
      <c r="BP93" s="425"/>
      <c r="BQ93" s="425"/>
      <c r="BR93" s="425"/>
      <c r="BS93" s="425"/>
      <c r="BT93" s="425"/>
      <c r="BU93" s="425"/>
      <c r="BV93" s="425"/>
      <c r="BW93" s="425"/>
      <c r="BX93" s="425"/>
      <c r="BY93" s="425"/>
      <c r="BZ93" s="425"/>
      <c r="CA93" s="425"/>
      <c r="CB93" s="425"/>
      <c r="CC93" s="425"/>
      <c r="CE93" s="425"/>
      <c r="CF93" s="425"/>
      <c r="CG93" s="425"/>
      <c r="CI93" s="425"/>
      <c r="CJ93" s="425"/>
      <c r="CK93" s="425"/>
      <c r="CL93" s="425"/>
      <c r="CM93" s="425"/>
      <c r="CN93" s="425"/>
    </row>
    <row r="94" customFormat="false" ht="15" hidden="false" customHeight="true" outlineLevel="0" collapsed="false">
      <c r="A94" s="414"/>
      <c r="B94" s="418"/>
      <c r="C94" s="418"/>
      <c r="D94" s="418"/>
      <c r="E94" s="418"/>
      <c r="F94" s="418"/>
      <c r="G94" s="441" t="s">
        <v>928</v>
      </c>
      <c r="H94" s="441" t="s">
        <v>929</v>
      </c>
      <c r="I94" s="441" t="s">
        <v>930</v>
      </c>
      <c r="J94" s="441" t="s">
        <v>931</v>
      </c>
      <c r="K94" s="441" t="s">
        <v>932</v>
      </c>
      <c r="L94" s="441" t="s">
        <v>933</v>
      </c>
      <c r="M94" s="418"/>
      <c r="N94" s="441" t="s">
        <v>934</v>
      </c>
      <c r="O94" s="418"/>
      <c r="P94" s="418"/>
      <c r="Q94" s="418"/>
      <c r="R94" s="418"/>
      <c r="S94" s="418"/>
      <c r="T94" s="418"/>
      <c r="U94" s="418"/>
      <c r="V94" s="418"/>
      <c r="W94" s="418"/>
      <c r="X94" s="418"/>
      <c r="Y94" s="418"/>
      <c r="Z94" s="418"/>
      <c r="AA94" s="418"/>
      <c r="AB94" s="418"/>
      <c r="AC94" s="418"/>
      <c r="AD94" s="418"/>
      <c r="AE94" s="418"/>
      <c r="AF94" s="418"/>
      <c r="AG94" s="418"/>
      <c r="AH94" s="418"/>
      <c r="AI94" s="418"/>
      <c r="AJ94" s="418"/>
      <c r="AK94" s="418"/>
      <c r="AL94" s="418"/>
      <c r="AM94" s="418"/>
      <c r="AN94" s="418"/>
      <c r="AO94" s="418"/>
      <c r="AP94" s="418"/>
      <c r="AQ94" s="418"/>
      <c r="AR94" s="418"/>
      <c r="AS94" s="418"/>
      <c r="AT94" s="418"/>
      <c r="AU94" s="418"/>
      <c r="AV94" s="418"/>
      <c r="AW94" s="418"/>
      <c r="AX94" s="418"/>
      <c r="AZ94" s="418"/>
      <c r="BA94" s="418"/>
      <c r="BB94" s="418"/>
      <c r="BC94" s="418"/>
      <c r="BD94" s="418"/>
      <c r="BE94" s="418"/>
      <c r="BF94" s="418"/>
      <c r="BG94" s="418"/>
      <c r="BH94" s="418"/>
      <c r="BI94" s="418"/>
      <c r="BJ94" s="418"/>
      <c r="BK94" s="418"/>
      <c r="BL94" s="418"/>
      <c r="BM94" s="418"/>
      <c r="BN94" s="418"/>
      <c r="BO94" s="418"/>
      <c r="BP94" s="418"/>
      <c r="BQ94" s="418"/>
      <c r="BR94" s="418"/>
      <c r="BS94" s="418"/>
      <c r="BT94" s="418"/>
      <c r="BU94" s="418"/>
      <c r="BV94" s="418"/>
      <c r="BW94" s="418"/>
      <c r="BX94" s="418"/>
      <c r="BY94" s="418"/>
      <c r="BZ94" s="418"/>
      <c r="CA94" s="418"/>
      <c r="CB94" s="418"/>
      <c r="CC94" s="418"/>
      <c r="CE94" s="418"/>
      <c r="CF94" s="418"/>
      <c r="CG94" s="418"/>
      <c r="CI94" s="418"/>
      <c r="CJ94" s="418"/>
      <c r="CK94" s="418"/>
      <c r="CL94" s="418"/>
      <c r="CM94" s="418"/>
      <c r="CN94" s="418"/>
    </row>
    <row r="95" customFormat="false" ht="15" hidden="false" customHeight="true" outlineLevel="0" collapsed="false">
      <c r="A95" s="414"/>
      <c r="B95" s="418"/>
      <c r="C95" s="418"/>
      <c r="D95" s="418"/>
      <c r="E95" s="418"/>
      <c r="F95" s="418"/>
      <c r="G95" s="441" t="s">
        <v>935</v>
      </c>
      <c r="H95" s="441" t="s">
        <v>936</v>
      </c>
      <c r="I95" s="441" t="s">
        <v>937</v>
      </c>
      <c r="J95" s="441" t="s">
        <v>938</v>
      </c>
      <c r="K95" s="441" t="s">
        <v>939</v>
      </c>
      <c r="L95" s="441" t="s">
        <v>940</v>
      </c>
      <c r="M95" s="418"/>
      <c r="N95" s="441" t="s">
        <v>941</v>
      </c>
      <c r="O95" s="418"/>
      <c r="P95" s="418"/>
      <c r="Q95" s="418"/>
      <c r="R95" s="418"/>
      <c r="S95" s="418"/>
      <c r="T95" s="418"/>
      <c r="U95" s="418"/>
      <c r="V95" s="418"/>
      <c r="W95" s="418"/>
      <c r="X95" s="418"/>
      <c r="Y95" s="418"/>
      <c r="Z95" s="418"/>
      <c r="AA95" s="418"/>
      <c r="AB95" s="418"/>
      <c r="AC95" s="418"/>
      <c r="AD95" s="418"/>
      <c r="AE95" s="418"/>
      <c r="AF95" s="418"/>
      <c r="AG95" s="418"/>
      <c r="AH95" s="418"/>
      <c r="AI95" s="418"/>
      <c r="AJ95" s="418"/>
      <c r="AK95" s="418"/>
      <c r="AL95" s="418"/>
      <c r="AM95" s="418"/>
      <c r="AN95" s="418"/>
      <c r="AO95" s="418"/>
      <c r="AP95" s="418"/>
      <c r="AQ95" s="418"/>
      <c r="AR95" s="418"/>
      <c r="AS95" s="418"/>
      <c r="AT95" s="418"/>
      <c r="AU95" s="418"/>
      <c r="AV95" s="418"/>
      <c r="AW95" s="418"/>
      <c r="AX95" s="418"/>
      <c r="AZ95" s="418"/>
      <c r="BA95" s="418"/>
      <c r="BB95" s="418"/>
      <c r="BC95" s="418"/>
      <c r="BD95" s="418"/>
      <c r="BE95" s="418"/>
      <c r="BF95" s="418"/>
      <c r="BG95" s="418"/>
      <c r="BH95" s="418"/>
      <c r="BI95" s="418"/>
      <c r="BJ95" s="418"/>
      <c r="BK95" s="418"/>
      <c r="BL95" s="418"/>
      <c r="BM95" s="418"/>
      <c r="BN95" s="418"/>
      <c r="BO95" s="418"/>
      <c r="BP95" s="418"/>
      <c r="BQ95" s="418"/>
      <c r="BR95" s="418"/>
      <c r="BS95" s="418"/>
      <c r="BT95" s="418"/>
      <c r="BU95" s="418"/>
      <c r="BV95" s="418"/>
      <c r="BW95" s="418"/>
      <c r="BX95" s="418"/>
      <c r="BY95" s="418"/>
      <c r="BZ95" s="418"/>
      <c r="CA95" s="418"/>
      <c r="CB95" s="418"/>
      <c r="CC95" s="418"/>
      <c r="CE95" s="418"/>
      <c r="CF95" s="418"/>
      <c r="CG95" s="418"/>
      <c r="CI95" s="418"/>
      <c r="CJ95" s="418"/>
      <c r="CK95" s="418"/>
      <c r="CL95" s="418"/>
      <c r="CM95" s="418"/>
      <c r="CN95" s="418"/>
    </row>
    <row r="96" customFormat="false" ht="15" hidden="false" customHeight="true" outlineLevel="0" collapsed="false">
      <c r="A96" s="414"/>
      <c r="B96" s="418"/>
      <c r="C96" s="418"/>
      <c r="D96" s="418"/>
      <c r="E96" s="418"/>
      <c r="F96" s="418"/>
      <c r="G96" s="441" t="s">
        <v>942</v>
      </c>
      <c r="H96" s="441" t="s">
        <v>943</v>
      </c>
      <c r="I96" s="441" t="s">
        <v>944</v>
      </c>
      <c r="J96" s="441" t="s">
        <v>945</v>
      </c>
      <c r="K96" s="441" t="s">
        <v>946</v>
      </c>
      <c r="L96" s="441" t="s">
        <v>947</v>
      </c>
      <c r="M96" s="418"/>
      <c r="N96" s="441" t="s">
        <v>948</v>
      </c>
      <c r="O96" s="418"/>
      <c r="P96" s="418"/>
      <c r="Q96" s="418"/>
      <c r="R96" s="418"/>
      <c r="S96" s="418"/>
      <c r="T96" s="418"/>
      <c r="U96" s="418"/>
      <c r="V96" s="418"/>
      <c r="W96" s="418"/>
      <c r="X96" s="418"/>
      <c r="Y96" s="418"/>
      <c r="Z96" s="418"/>
      <c r="AA96" s="418"/>
      <c r="AB96" s="418"/>
      <c r="AC96" s="418"/>
      <c r="AD96" s="418"/>
      <c r="AE96" s="418"/>
      <c r="AF96" s="418"/>
      <c r="AG96" s="418"/>
      <c r="AH96" s="418"/>
      <c r="AI96" s="418"/>
      <c r="AJ96" s="418"/>
      <c r="AK96" s="418"/>
      <c r="AL96" s="418"/>
      <c r="AM96" s="418"/>
      <c r="AN96" s="418"/>
      <c r="AO96" s="418"/>
      <c r="AP96" s="418"/>
      <c r="AQ96" s="418"/>
      <c r="AR96" s="418"/>
      <c r="AS96" s="418"/>
      <c r="AT96" s="418"/>
      <c r="AU96" s="418"/>
      <c r="AV96" s="418"/>
      <c r="AW96" s="418"/>
      <c r="AX96" s="418"/>
      <c r="AZ96" s="418"/>
      <c r="BA96" s="418"/>
      <c r="BB96" s="418"/>
      <c r="BC96" s="418"/>
      <c r="BD96" s="418"/>
      <c r="BE96" s="418"/>
      <c r="BF96" s="418"/>
      <c r="BG96" s="418"/>
      <c r="BH96" s="418"/>
      <c r="BI96" s="418"/>
      <c r="BJ96" s="418"/>
      <c r="BK96" s="418"/>
      <c r="BL96" s="418"/>
      <c r="BM96" s="418"/>
      <c r="BN96" s="418"/>
      <c r="BO96" s="418"/>
      <c r="BP96" s="418"/>
      <c r="BQ96" s="418"/>
      <c r="BR96" s="418"/>
      <c r="BS96" s="418"/>
      <c r="BT96" s="418"/>
      <c r="BU96" s="418"/>
      <c r="BV96" s="418"/>
      <c r="BW96" s="418"/>
      <c r="BX96" s="418"/>
      <c r="BY96" s="418"/>
      <c r="BZ96" s="418"/>
      <c r="CA96" s="418"/>
      <c r="CB96" s="418"/>
      <c r="CC96" s="418"/>
      <c r="CE96" s="418"/>
      <c r="CF96" s="418"/>
      <c r="CG96" s="418"/>
      <c r="CI96" s="418"/>
      <c r="CJ96" s="418"/>
      <c r="CK96" s="418"/>
      <c r="CL96" s="418"/>
      <c r="CM96" s="418"/>
      <c r="CN96" s="418"/>
    </row>
    <row r="98" customFormat="false" ht="15" hidden="false" customHeight="true" outlineLevel="0" collapsed="false">
      <c r="A98" s="412" t="s">
        <v>949</v>
      </c>
      <c r="B98" s="413"/>
      <c r="C98" s="413"/>
      <c r="D98" s="413"/>
      <c r="E98" s="413"/>
      <c r="F98" s="413"/>
      <c r="G98" s="413"/>
      <c r="H98" s="413"/>
      <c r="I98" s="413"/>
      <c r="J98" s="413"/>
      <c r="K98" s="413"/>
      <c r="L98" s="413"/>
      <c r="M98" s="413"/>
      <c r="N98" s="413"/>
      <c r="O98" s="413"/>
      <c r="P98" s="413"/>
      <c r="Q98" s="413"/>
      <c r="R98" s="413"/>
      <c r="S98" s="413"/>
      <c r="T98" s="413"/>
      <c r="U98" s="413"/>
      <c r="V98" s="413"/>
      <c r="W98" s="413"/>
      <c r="X98" s="413"/>
      <c r="Y98" s="413"/>
      <c r="Z98" s="413"/>
      <c r="AA98" s="413"/>
      <c r="AB98" s="413"/>
      <c r="AC98" s="413"/>
      <c r="AD98" s="413"/>
      <c r="AE98" s="413"/>
      <c r="AF98" s="413"/>
      <c r="AG98" s="413"/>
      <c r="AH98" s="413"/>
      <c r="AI98" s="413"/>
      <c r="AJ98" s="413"/>
      <c r="AK98" s="413"/>
      <c r="AL98" s="413"/>
      <c r="AM98" s="413"/>
      <c r="AN98" s="413"/>
      <c r="AO98" s="413"/>
      <c r="AP98" s="413"/>
      <c r="AQ98" s="413"/>
      <c r="AR98" s="413"/>
      <c r="AS98" s="413"/>
      <c r="AT98" s="413"/>
      <c r="AU98" s="413"/>
      <c r="AV98" s="413"/>
      <c r="AW98" s="413"/>
      <c r="AX98" s="413"/>
      <c r="AY98" s="413"/>
      <c r="AZ98" s="413"/>
      <c r="BA98" s="413"/>
      <c r="BB98" s="413"/>
      <c r="BC98" s="413"/>
      <c r="BD98" s="413"/>
      <c r="BE98" s="413"/>
      <c r="BF98" s="413"/>
      <c r="BG98" s="413"/>
      <c r="BH98" s="413"/>
      <c r="BI98" s="413"/>
      <c r="BJ98" s="413"/>
      <c r="BK98" s="413"/>
      <c r="BL98" s="413"/>
      <c r="BM98" s="413"/>
      <c r="BN98" s="413"/>
      <c r="BO98" s="413"/>
      <c r="BP98" s="413"/>
      <c r="BQ98" s="413"/>
      <c r="BR98" s="413"/>
      <c r="BS98" s="413"/>
      <c r="BT98" s="413"/>
      <c r="BU98" s="413"/>
      <c r="BV98" s="413"/>
      <c r="BW98" s="413"/>
      <c r="BX98" s="413"/>
      <c r="BY98" s="413"/>
      <c r="BZ98" s="413"/>
      <c r="CA98" s="413"/>
      <c r="CB98" s="413"/>
      <c r="CC98" s="413"/>
      <c r="CD98" s="413"/>
      <c r="CE98" s="413"/>
      <c r="CF98" s="413"/>
      <c r="CG98" s="413"/>
      <c r="CH98" s="413"/>
      <c r="CI98" s="413"/>
      <c r="CJ98" s="413"/>
      <c r="CK98" s="413"/>
      <c r="CL98" s="413"/>
      <c r="CM98" s="413"/>
      <c r="CN98" s="413"/>
    </row>
    <row r="99" customFormat="false" ht="15" hidden="false" customHeight="true" outlineLevel="0" collapsed="false">
      <c r="A99" s="414" t="s">
        <v>950</v>
      </c>
      <c r="B99" s="431" t="n">
        <v>1342</v>
      </c>
      <c r="C99" s="431" t="n">
        <v>2034</v>
      </c>
      <c r="D99" s="431" t="n">
        <v>1744</v>
      </c>
      <c r="E99" s="431" t="n">
        <v>2652</v>
      </c>
      <c r="F99" s="431" t="n">
        <v>2019</v>
      </c>
      <c r="G99" s="431" t="n">
        <v>2275</v>
      </c>
      <c r="H99" s="431" t="n">
        <v>2302</v>
      </c>
      <c r="I99" s="431" t="n">
        <v>2954</v>
      </c>
      <c r="J99" s="431" t="n">
        <v>2042</v>
      </c>
      <c r="K99" s="431" t="n">
        <v>3560</v>
      </c>
      <c r="L99" s="431" t="n">
        <v>3540</v>
      </c>
      <c r="M99" s="431" t="n">
        <v>3540</v>
      </c>
      <c r="N99" s="431" t="n">
        <v>4376</v>
      </c>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Z99" s="427"/>
      <c r="BA99" s="427"/>
      <c r="BB99" s="427"/>
      <c r="BC99" s="427"/>
      <c r="BD99" s="427"/>
      <c r="BE99" s="427"/>
      <c r="BF99" s="427"/>
      <c r="BG99" s="427"/>
      <c r="BH99" s="427"/>
      <c r="BI99" s="427"/>
      <c r="BJ99" s="427"/>
      <c r="BK99" s="427"/>
      <c r="BL99" s="427"/>
      <c r="BM99" s="427"/>
      <c r="BN99" s="427"/>
      <c r="BO99" s="427"/>
      <c r="BP99" s="427"/>
      <c r="BQ99" s="427"/>
      <c r="BR99" s="427"/>
      <c r="BS99" s="427"/>
      <c r="BT99" s="427"/>
      <c r="BU99" s="427"/>
      <c r="BV99" s="427"/>
      <c r="BW99" s="427"/>
      <c r="BX99" s="427"/>
      <c r="BY99" s="427"/>
      <c r="BZ99" s="427"/>
      <c r="CA99" s="427"/>
      <c r="CB99" s="427"/>
      <c r="CC99" s="427"/>
      <c r="CE99" s="427"/>
      <c r="CF99" s="427"/>
      <c r="CG99" s="427"/>
      <c r="CI99" s="427"/>
      <c r="CJ99" s="427"/>
      <c r="CK99" s="427"/>
      <c r="CL99" s="427"/>
      <c r="CM99" s="427"/>
      <c r="CN99" s="427"/>
    </row>
    <row r="100" customFormat="false" ht="15" hidden="false" customHeight="true" outlineLevel="0" collapsed="false">
      <c r="A100" s="414" t="s">
        <v>951</v>
      </c>
      <c r="B100" s="431" t="n">
        <v>4057</v>
      </c>
      <c r="C100" s="431" t="n">
        <v>5025</v>
      </c>
      <c r="D100" s="431" t="n">
        <v>3750</v>
      </c>
      <c r="E100" s="431" t="n">
        <v>5938</v>
      </c>
      <c r="F100" s="431" t="n">
        <v>4474</v>
      </c>
      <c r="G100" s="431" t="n">
        <v>5530</v>
      </c>
      <c r="H100" s="431" t="n">
        <v>5070</v>
      </c>
      <c r="I100" s="431" t="n">
        <v>6549</v>
      </c>
      <c r="J100" s="431" t="n">
        <v>2884</v>
      </c>
      <c r="K100" s="431" t="n">
        <v>4511</v>
      </c>
      <c r="L100" s="431" t="n">
        <v>3650</v>
      </c>
      <c r="M100" s="431" t="n">
        <v>3650</v>
      </c>
      <c r="N100" s="431" t="n">
        <v>4895</v>
      </c>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Z100" s="427"/>
      <c r="BA100" s="427"/>
      <c r="BB100" s="427"/>
      <c r="BC100" s="427"/>
      <c r="BD100" s="427"/>
      <c r="BE100" s="427"/>
      <c r="BF100" s="427"/>
      <c r="BG100" s="427"/>
      <c r="BH100" s="427"/>
      <c r="BI100" s="427"/>
      <c r="BJ100" s="427"/>
      <c r="BK100" s="427"/>
      <c r="BL100" s="427"/>
      <c r="BM100" s="427"/>
      <c r="BN100" s="427"/>
      <c r="BO100" s="427"/>
      <c r="BP100" s="427"/>
      <c r="BQ100" s="427"/>
      <c r="BR100" s="427"/>
      <c r="BS100" s="427"/>
      <c r="BT100" s="427"/>
      <c r="BU100" s="427"/>
      <c r="BV100" s="427"/>
      <c r="BW100" s="427"/>
      <c r="BX100" s="427"/>
      <c r="BY100" s="427"/>
      <c r="BZ100" s="427"/>
      <c r="CA100" s="427"/>
      <c r="CB100" s="427"/>
      <c r="CC100" s="427"/>
      <c r="CE100" s="427"/>
      <c r="CF100" s="427"/>
      <c r="CG100" s="427"/>
      <c r="CI100" s="427"/>
      <c r="CJ100" s="427"/>
      <c r="CK100" s="427"/>
      <c r="CL100" s="427"/>
      <c r="CM100" s="427"/>
      <c r="CN100" s="427"/>
    </row>
    <row r="101" customFormat="false" ht="15" hidden="false" customHeight="true" outlineLevel="0" collapsed="false">
      <c r="A101" s="414" t="s">
        <v>952</v>
      </c>
      <c r="B101" s="431" t="n">
        <v>3053</v>
      </c>
      <c r="C101" s="431" t="n">
        <v>4495</v>
      </c>
      <c r="D101" s="431" t="n">
        <v>3859</v>
      </c>
      <c r="E101" s="431" t="n">
        <v>6067</v>
      </c>
      <c r="F101" s="431" t="n">
        <v>4505</v>
      </c>
      <c r="G101" s="431" t="n">
        <v>4608</v>
      </c>
      <c r="H101" s="431" t="n">
        <v>4853</v>
      </c>
      <c r="I101" s="431" t="n">
        <v>7175</v>
      </c>
      <c r="J101" s="431" t="n">
        <v>2379</v>
      </c>
      <c r="K101" s="431" t="n">
        <v>4610</v>
      </c>
      <c r="L101" s="431" t="n">
        <v>7192</v>
      </c>
      <c r="M101" s="431" t="n">
        <v>7192</v>
      </c>
      <c r="N101" s="431" t="n">
        <v>6795</v>
      </c>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Z101" s="427"/>
      <c r="BA101" s="427"/>
      <c r="BB101" s="427"/>
      <c r="BC101" s="427"/>
      <c r="BD101" s="427"/>
      <c r="BE101" s="427"/>
      <c r="BF101" s="427"/>
      <c r="BG101" s="427"/>
      <c r="BH101" s="427"/>
      <c r="BI101" s="427"/>
      <c r="BJ101" s="427"/>
      <c r="BK101" s="427"/>
      <c r="BL101" s="427"/>
      <c r="BM101" s="427"/>
      <c r="BN101" s="427"/>
      <c r="BO101" s="427"/>
      <c r="BP101" s="427"/>
      <c r="BQ101" s="427"/>
      <c r="BR101" s="427"/>
      <c r="BS101" s="427"/>
      <c r="BT101" s="427"/>
      <c r="BU101" s="427"/>
      <c r="BV101" s="427"/>
      <c r="BW101" s="427"/>
      <c r="BX101" s="427"/>
      <c r="BY101" s="427"/>
      <c r="BZ101" s="427"/>
      <c r="CA101" s="427"/>
      <c r="CB101" s="427"/>
      <c r="CC101" s="427"/>
      <c r="CE101" s="427"/>
      <c r="CF101" s="427"/>
      <c r="CG101" s="427"/>
      <c r="CI101" s="427"/>
      <c r="CJ101" s="427"/>
      <c r="CK101" s="427"/>
      <c r="CL101" s="427"/>
      <c r="CM101" s="427"/>
      <c r="CN101" s="427"/>
    </row>
    <row r="102" customFormat="false" ht="15" hidden="false" customHeight="true" outlineLevel="0" collapsed="false">
      <c r="A102" s="414" t="s">
        <v>953</v>
      </c>
      <c r="B102" s="431" t="n">
        <v>4095</v>
      </c>
      <c r="C102" s="431" t="n">
        <v>5646</v>
      </c>
      <c r="D102" s="431" t="n">
        <v>4108</v>
      </c>
      <c r="E102" s="431" t="n">
        <v>5888</v>
      </c>
      <c r="F102" s="431" t="n">
        <v>3219</v>
      </c>
      <c r="G102" s="431" t="n">
        <v>2852</v>
      </c>
      <c r="H102" s="431" t="n">
        <v>2440</v>
      </c>
      <c r="I102" s="431" t="n">
        <v>5636</v>
      </c>
      <c r="J102" s="431" t="n">
        <v>2092</v>
      </c>
      <c r="K102" s="431" t="n">
        <v>3537</v>
      </c>
      <c r="L102" s="431" t="n">
        <v>4299</v>
      </c>
      <c r="M102" s="431" t="n">
        <v>4299</v>
      </c>
      <c r="N102" s="431" t="n">
        <v>6026</v>
      </c>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Z102" s="427"/>
      <c r="BA102" s="427"/>
      <c r="BB102" s="427"/>
      <c r="BC102" s="427"/>
      <c r="BD102" s="427"/>
      <c r="BE102" s="427"/>
      <c r="BF102" s="427"/>
      <c r="BG102" s="427"/>
      <c r="BH102" s="427"/>
      <c r="BI102" s="427"/>
      <c r="BJ102" s="427"/>
      <c r="BK102" s="427"/>
      <c r="BL102" s="427"/>
      <c r="BM102" s="427"/>
      <c r="BN102" s="427"/>
      <c r="BO102" s="427"/>
      <c r="BP102" s="427"/>
      <c r="BQ102" s="427"/>
      <c r="BR102" s="427"/>
      <c r="BS102" s="427"/>
      <c r="BT102" s="427"/>
      <c r="BU102" s="427"/>
      <c r="BV102" s="427"/>
      <c r="BW102" s="427"/>
      <c r="BX102" s="427"/>
      <c r="BY102" s="427"/>
      <c r="BZ102" s="427"/>
      <c r="CA102" s="427"/>
      <c r="CB102" s="427"/>
      <c r="CC102" s="427"/>
      <c r="CE102" s="427"/>
      <c r="CF102" s="427"/>
      <c r="CG102" s="427"/>
      <c r="CI102" s="427"/>
      <c r="CJ102" s="427"/>
      <c r="CK102" s="427"/>
      <c r="CL102" s="427"/>
      <c r="CM102" s="427"/>
      <c r="CN102" s="427"/>
    </row>
    <row r="103" customFormat="false" ht="15" hidden="false" customHeight="true" outlineLevel="0" collapsed="false">
      <c r="A103" s="414" t="s">
        <v>954</v>
      </c>
      <c r="B103" s="431" t="n">
        <v>641</v>
      </c>
      <c r="C103" s="431" t="n">
        <v>895</v>
      </c>
      <c r="D103" s="431" t="n">
        <v>527</v>
      </c>
      <c r="E103" s="431" t="n">
        <v>1046</v>
      </c>
      <c r="F103" s="431" t="n">
        <v>574</v>
      </c>
      <c r="G103" s="431" t="n">
        <v>717</v>
      </c>
      <c r="H103" s="431" t="n">
        <v>1827</v>
      </c>
      <c r="I103" s="431" t="n">
        <v>3373</v>
      </c>
      <c r="J103" s="431" t="n">
        <v>1505</v>
      </c>
      <c r="K103" s="431" t="n">
        <v>1021</v>
      </c>
      <c r="L103" s="431" t="n">
        <v>981</v>
      </c>
      <c r="M103" s="431" t="n">
        <v>981</v>
      </c>
      <c r="N103" s="431" t="n">
        <v>1690</v>
      </c>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Z103" s="427"/>
      <c r="BA103" s="427"/>
      <c r="BB103" s="427"/>
      <c r="BC103" s="427"/>
      <c r="BD103" s="427"/>
      <c r="BE103" s="427"/>
      <c r="BF103" s="427"/>
      <c r="BG103" s="427"/>
      <c r="BH103" s="427"/>
      <c r="BI103" s="427"/>
      <c r="BJ103" s="427"/>
      <c r="BK103" s="427"/>
      <c r="BL103" s="427"/>
      <c r="BM103" s="427"/>
      <c r="BN103" s="427"/>
      <c r="BO103" s="427"/>
      <c r="BP103" s="427"/>
      <c r="BQ103" s="427"/>
      <c r="BR103" s="427"/>
      <c r="BS103" s="427"/>
      <c r="BT103" s="427"/>
      <c r="BU103" s="427"/>
      <c r="BV103" s="427"/>
      <c r="BW103" s="427"/>
      <c r="BX103" s="427"/>
      <c r="BY103" s="427"/>
      <c r="BZ103" s="427"/>
      <c r="CA103" s="427"/>
      <c r="CB103" s="427"/>
      <c r="CC103" s="427"/>
      <c r="CE103" s="427"/>
      <c r="CF103" s="427"/>
      <c r="CG103" s="427"/>
      <c r="CI103" s="427"/>
      <c r="CJ103" s="427"/>
      <c r="CK103" s="427"/>
      <c r="CL103" s="427"/>
      <c r="CM103" s="427"/>
      <c r="CN103" s="427"/>
    </row>
    <row r="104" customFormat="false" ht="15" hidden="false" customHeight="true" outlineLevel="0" collapsed="false">
      <c r="A104" s="414" t="s">
        <v>955</v>
      </c>
      <c r="B104" s="431" t="n">
        <v>3126</v>
      </c>
      <c r="C104" s="431" t="n">
        <v>4705</v>
      </c>
      <c r="D104" s="431" t="n">
        <v>3902</v>
      </c>
      <c r="E104" s="431" t="n">
        <v>5439</v>
      </c>
      <c r="F104" s="431" t="n">
        <v>3837</v>
      </c>
      <c r="G104" s="431" t="n">
        <v>3113</v>
      </c>
      <c r="H104" s="431" t="n">
        <v>3793</v>
      </c>
      <c r="I104" s="431" t="n">
        <v>6995</v>
      </c>
      <c r="J104" s="431" t="n">
        <v>4193</v>
      </c>
      <c r="K104" s="431" t="n">
        <v>9113</v>
      </c>
      <c r="L104" s="431" t="n">
        <v>11585</v>
      </c>
      <c r="M104" s="431" t="n">
        <v>11585</v>
      </c>
      <c r="N104" s="431" t="n">
        <v>14736</v>
      </c>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Z104" s="427"/>
      <c r="BA104" s="427"/>
      <c r="BB104" s="427"/>
      <c r="BC104" s="427"/>
      <c r="BD104" s="427"/>
      <c r="BE104" s="427"/>
      <c r="BF104" s="427"/>
      <c r="BG104" s="427"/>
      <c r="BH104" s="427"/>
      <c r="BI104" s="427"/>
      <c r="BJ104" s="427"/>
      <c r="BK104" s="427"/>
      <c r="BL104" s="427"/>
      <c r="BM104" s="427"/>
      <c r="BN104" s="427"/>
      <c r="BO104" s="427"/>
      <c r="BP104" s="427"/>
      <c r="BQ104" s="427"/>
      <c r="BR104" s="427"/>
      <c r="BS104" s="427"/>
      <c r="BT104" s="427"/>
      <c r="BU104" s="427"/>
      <c r="BV104" s="427"/>
      <c r="BW104" s="427"/>
      <c r="BX104" s="427"/>
      <c r="BY104" s="427"/>
      <c r="BZ104" s="427"/>
      <c r="CA104" s="427"/>
      <c r="CB104" s="427"/>
      <c r="CC104" s="427"/>
      <c r="CE104" s="427"/>
      <c r="CF104" s="427"/>
      <c r="CG104" s="427"/>
      <c r="CI104" s="427"/>
      <c r="CJ104" s="427"/>
      <c r="CK104" s="427"/>
      <c r="CL104" s="427"/>
      <c r="CM104" s="427"/>
      <c r="CN104" s="427"/>
    </row>
    <row r="105" customFormat="false" ht="15" hidden="false" customHeight="true" outlineLevel="0" collapsed="false">
      <c r="A105" s="421" t="s">
        <v>420</v>
      </c>
      <c r="B105" s="433" t="n">
        <f aca="false">SUM(B99:B104)</f>
        <v>16314</v>
      </c>
      <c r="C105" s="433" t="n">
        <f aca="false">SUM(C99:C104)</f>
        <v>22800</v>
      </c>
      <c r="D105" s="433" t="n">
        <f aca="false">SUM(D99:D104)</f>
        <v>17890</v>
      </c>
      <c r="E105" s="433" t="n">
        <f aca="false">SUM(E99:E104)</f>
        <v>27030</v>
      </c>
      <c r="F105" s="433" t="n">
        <f aca="false">SUM(F99:F104)</f>
        <v>18628</v>
      </c>
      <c r="G105" s="433" t="n">
        <f aca="false">SUM(G99:G104)</f>
        <v>19095</v>
      </c>
      <c r="H105" s="433" t="n">
        <f aca="false">SUM(H99:H104)</f>
        <v>20285</v>
      </c>
      <c r="I105" s="433" t="n">
        <f aca="false">SUM(I99:I104)</f>
        <v>32682</v>
      </c>
      <c r="J105" s="433" t="n">
        <f aca="false">SUM(J99:J104)</f>
        <v>15095</v>
      </c>
      <c r="K105" s="433" t="n">
        <f aca="false">SUM(K99:K104)</f>
        <v>26352</v>
      </c>
      <c r="L105" s="433" t="n">
        <f aca="false">SUM(L99:L104)</f>
        <v>31247</v>
      </c>
      <c r="M105" s="433" t="n">
        <f aca="false">SUM(M99:M104)</f>
        <v>31247</v>
      </c>
      <c r="N105" s="433" t="n">
        <f aca="false">SUM(N99:N104)</f>
        <v>38518</v>
      </c>
      <c r="O105" s="433" t="n">
        <f aca="false">SUM(O99:O104)</f>
        <v>0</v>
      </c>
      <c r="P105" s="433" t="n">
        <f aca="false">SUM(P99:P104)</f>
        <v>0</v>
      </c>
      <c r="Q105" s="433" t="n">
        <f aca="false">SUM(Q99:Q104)</f>
        <v>0</v>
      </c>
      <c r="R105" s="433" t="n">
        <f aca="false">SUM(R99:R104)</f>
        <v>0</v>
      </c>
      <c r="S105" s="433" t="n">
        <f aca="false">SUM(S99:S104)</f>
        <v>0</v>
      </c>
      <c r="T105" s="433" t="n">
        <f aca="false">SUM(T99:T104)</f>
        <v>0</v>
      </c>
      <c r="U105" s="433" t="n">
        <f aca="false">SUM(U99:U104)</f>
        <v>0</v>
      </c>
      <c r="V105" s="433" t="n">
        <f aca="false">SUM(V99:V104)</f>
        <v>0</v>
      </c>
      <c r="W105" s="433" t="n">
        <f aca="false">SUM(W99:W104)</f>
        <v>0</v>
      </c>
      <c r="X105" s="433" t="n">
        <f aca="false">SUM(X99:X104)</f>
        <v>0</v>
      </c>
      <c r="Y105" s="433" t="n">
        <f aca="false">SUM(Y99:Y104)</f>
        <v>0</v>
      </c>
      <c r="Z105" s="433" t="n">
        <f aca="false">SUM(Z99:Z104)</f>
        <v>0</v>
      </c>
      <c r="AA105" s="433" t="n">
        <f aca="false">SUM(AA99:AA104)</f>
        <v>0</v>
      </c>
      <c r="AB105" s="433" t="n">
        <f aca="false">SUM(AB99:AB104)</f>
        <v>0</v>
      </c>
      <c r="AC105" s="433" t="n">
        <f aca="false">SUM(AC99:AC104)</f>
        <v>0</v>
      </c>
      <c r="AD105" s="433" t="n">
        <f aca="false">SUM(AD99:AD104)</f>
        <v>0</v>
      </c>
      <c r="AE105" s="433" t="n">
        <f aca="false">SUM(AE99:AE104)</f>
        <v>0</v>
      </c>
      <c r="AF105" s="433" t="n">
        <f aca="false">SUM(AF99:AF104)</f>
        <v>0</v>
      </c>
      <c r="AG105" s="433" t="n">
        <f aca="false">SUM(AG99:AG104)</f>
        <v>0</v>
      </c>
      <c r="AH105" s="433" t="n">
        <f aca="false">SUM(AH99:AH104)</f>
        <v>0</v>
      </c>
      <c r="AI105" s="433" t="n">
        <f aca="false">SUM(AI99:AI104)</f>
        <v>0</v>
      </c>
      <c r="AJ105" s="433" t="n">
        <f aca="false">SUM(AJ99:AJ104)</f>
        <v>0</v>
      </c>
      <c r="AK105" s="433" t="n">
        <f aca="false">SUM(AK99:AK104)</f>
        <v>0</v>
      </c>
      <c r="AL105" s="433" t="n">
        <f aca="false">SUM(AL99:AL104)</f>
        <v>0</v>
      </c>
      <c r="AM105" s="433" t="n">
        <f aca="false">SUM(AM99:AM104)</f>
        <v>0</v>
      </c>
      <c r="AN105" s="433" t="n">
        <f aca="false">SUM(AN99:AN104)</f>
        <v>0</v>
      </c>
      <c r="AO105" s="433" t="n">
        <f aca="false">SUM(AO99:AO104)</f>
        <v>0</v>
      </c>
      <c r="AP105" s="433" t="n">
        <f aca="false">SUM(AP99:AP104)</f>
        <v>0</v>
      </c>
      <c r="AQ105" s="433" t="n">
        <f aca="false">SUM(AQ99:AQ104)</f>
        <v>0</v>
      </c>
      <c r="AR105" s="433" t="n">
        <f aca="false">SUM(AR99:AR104)</f>
        <v>0</v>
      </c>
      <c r="AS105" s="433" t="n">
        <f aca="false">SUM(AS99:AS104)</f>
        <v>0</v>
      </c>
      <c r="AT105" s="433" t="n">
        <f aca="false">SUM(AT99:AT104)</f>
        <v>0</v>
      </c>
      <c r="AU105" s="433" t="n">
        <f aca="false">SUM(AU99:AU104)</f>
        <v>0</v>
      </c>
      <c r="AV105" s="433" t="n">
        <f aca="false">SUM(AV99:AV104)</f>
        <v>0</v>
      </c>
      <c r="AW105" s="433" t="n">
        <f aca="false">SUM(AW99:AW104)</f>
        <v>0</v>
      </c>
      <c r="AX105" s="433" t="n">
        <f aca="false">SUM(AX99:AX104)</f>
        <v>0</v>
      </c>
      <c r="AY105" s="421"/>
      <c r="AZ105" s="433"/>
      <c r="BA105" s="433"/>
      <c r="BB105" s="433"/>
      <c r="BC105" s="433"/>
      <c r="BD105" s="433"/>
      <c r="BE105" s="433"/>
      <c r="BF105" s="433"/>
      <c r="BG105" s="433"/>
      <c r="BH105" s="433"/>
      <c r="BI105" s="433"/>
      <c r="BJ105" s="433"/>
      <c r="BK105" s="433"/>
      <c r="BL105" s="433"/>
      <c r="BM105" s="433"/>
      <c r="BN105" s="433"/>
      <c r="BO105" s="433"/>
      <c r="BP105" s="433"/>
      <c r="BQ105" s="433"/>
      <c r="BR105" s="433"/>
      <c r="BS105" s="433"/>
      <c r="BT105" s="433"/>
      <c r="BU105" s="433"/>
      <c r="BV105" s="433"/>
      <c r="BW105" s="433"/>
      <c r="BX105" s="433"/>
      <c r="BY105" s="433"/>
      <c r="BZ105" s="433"/>
      <c r="CA105" s="433"/>
      <c r="CB105" s="433"/>
      <c r="CC105" s="433"/>
      <c r="CD105" s="421"/>
      <c r="CE105" s="433"/>
      <c r="CF105" s="433"/>
      <c r="CG105" s="433"/>
      <c r="CH105" s="421"/>
      <c r="CI105" s="433"/>
      <c r="CJ105" s="433"/>
      <c r="CK105" s="433"/>
      <c r="CL105" s="433"/>
      <c r="CM105" s="433"/>
      <c r="CN105" s="433"/>
    </row>
    <row r="107" customFormat="false" ht="15" hidden="false" customHeight="true" outlineLevel="0" collapsed="false">
      <c r="A107" s="412" t="s">
        <v>956</v>
      </c>
      <c r="B107" s="413"/>
      <c r="C107" s="413"/>
      <c r="D107" s="413"/>
      <c r="E107" s="413"/>
      <c r="F107" s="413"/>
      <c r="G107" s="413"/>
      <c r="H107" s="413"/>
      <c r="I107" s="413"/>
      <c r="J107" s="413"/>
      <c r="K107" s="413"/>
      <c r="L107" s="413"/>
      <c r="M107" s="413"/>
      <c r="N107" s="413"/>
      <c r="O107" s="413"/>
      <c r="P107" s="413"/>
      <c r="Q107" s="413"/>
      <c r="R107" s="413"/>
      <c r="S107" s="413"/>
      <c r="T107" s="413"/>
      <c r="U107" s="413"/>
      <c r="V107" s="413"/>
      <c r="W107" s="413"/>
      <c r="X107" s="413"/>
      <c r="Y107" s="413"/>
      <c r="Z107" s="413"/>
      <c r="AA107" s="413"/>
      <c r="AB107" s="413"/>
      <c r="AC107" s="413"/>
      <c r="AD107" s="413"/>
      <c r="AE107" s="413"/>
      <c r="AF107" s="413"/>
      <c r="AG107" s="413"/>
      <c r="AH107" s="413"/>
      <c r="AI107" s="413"/>
      <c r="AJ107" s="413"/>
      <c r="AK107" s="413"/>
      <c r="AL107" s="413"/>
      <c r="AM107" s="413"/>
      <c r="AN107" s="413"/>
      <c r="AO107" s="413"/>
      <c r="AP107" s="413"/>
      <c r="AQ107" s="413"/>
      <c r="AR107" s="413"/>
      <c r="AS107" s="413"/>
      <c r="AT107" s="413"/>
      <c r="AU107" s="413"/>
      <c r="AV107" s="413"/>
      <c r="AW107" s="413"/>
      <c r="AX107" s="413"/>
      <c r="AY107" s="413"/>
      <c r="AZ107" s="413"/>
      <c r="BA107" s="413"/>
      <c r="BB107" s="413"/>
      <c r="BC107" s="413"/>
      <c r="BD107" s="413"/>
      <c r="BE107" s="413"/>
      <c r="BF107" s="413"/>
      <c r="BG107" s="413"/>
      <c r="BH107" s="413"/>
      <c r="BI107" s="413"/>
      <c r="BJ107" s="413"/>
      <c r="BK107" s="413"/>
      <c r="BL107" s="413"/>
      <c r="BM107" s="413"/>
      <c r="BN107" s="413"/>
      <c r="BO107" s="413"/>
      <c r="BP107" s="413"/>
      <c r="BQ107" s="413"/>
      <c r="BR107" s="413"/>
      <c r="BS107" s="413"/>
      <c r="BT107" s="413"/>
      <c r="BU107" s="413"/>
      <c r="BV107" s="413"/>
      <c r="BW107" s="413"/>
      <c r="BX107" s="413"/>
      <c r="BY107" s="413"/>
      <c r="BZ107" s="413"/>
      <c r="CA107" s="413"/>
      <c r="CB107" s="413"/>
      <c r="CC107" s="413"/>
      <c r="CD107" s="413"/>
      <c r="CE107" s="413"/>
      <c r="CF107" s="413"/>
      <c r="CG107" s="413"/>
      <c r="CH107" s="413"/>
      <c r="CI107" s="413"/>
      <c r="CJ107" s="413"/>
      <c r="CK107" s="413"/>
      <c r="CL107" s="413"/>
      <c r="CM107" s="413"/>
      <c r="CN107" s="413"/>
    </row>
    <row r="108" customFormat="false" ht="15" hidden="false" customHeight="true" outlineLevel="0" collapsed="false">
      <c r="A108" s="414" t="s">
        <v>950</v>
      </c>
      <c r="B108" s="426" t="n">
        <f aca="false">B99/B$105</f>
        <v>0.0822606350373912</v>
      </c>
      <c r="C108" s="426" t="n">
        <f aca="false">C99/C$105</f>
        <v>0.0892105263157895</v>
      </c>
      <c r="D108" s="426" t="n">
        <f aca="false">D99/D$105</f>
        <v>0.0974846282839575</v>
      </c>
      <c r="E108" s="426" t="n">
        <f aca="false">E99/E$105</f>
        <v>0.0981132075471698</v>
      </c>
      <c r="F108" s="426" t="n">
        <f aca="false">F99/F$105</f>
        <v>0.108385226540691</v>
      </c>
      <c r="G108" s="426" t="n">
        <f aca="false">G99/G$105</f>
        <v>0.119141136423147</v>
      </c>
      <c r="H108" s="426" t="n">
        <f aca="false">H99/H$105</f>
        <v>0.11348286911511</v>
      </c>
      <c r="I108" s="426" t="n">
        <f aca="false">I99/I$105</f>
        <v>0.0903861452787467</v>
      </c>
      <c r="J108" s="426" t="n">
        <f aca="false">J99/J$105</f>
        <v>0.135276581649553</v>
      </c>
      <c r="K108" s="426" t="n">
        <f aca="false">K99/K$105</f>
        <v>0.135094110503947</v>
      </c>
      <c r="L108" s="426" t="n">
        <f aca="false">L99/L$105</f>
        <v>0.113290875924089</v>
      </c>
      <c r="M108" s="426" t="n">
        <f aca="false">M99/M$105</f>
        <v>0.113290875924089</v>
      </c>
      <c r="N108" s="426" t="n">
        <f aca="false">N99/N$105</f>
        <v>0.113609221662599</v>
      </c>
      <c r="O108" s="426" t="e">
        <f aca="false">O99/O$105</f>
        <v>#DIV/0!</v>
      </c>
      <c r="P108" s="426" t="e">
        <f aca="false">P99/P$105</f>
        <v>#DIV/0!</v>
      </c>
      <c r="Q108" s="426" t="e">
        <f aca="false">Q99/Q$105</f>
        <v>#DIV/0!</v>
      </c>
      <c r="R108" s="426" t="e">
        <f aca="false">R99/R$105</f>
        <v>#DIV/0!</v>
      </c>
      <c r="S108" s="426" t="e">
        <f aca="false">S99/S$105</f>
        <v>#DIV/0!</v>
      </c>
      <c r="T108" s="426" t="e">
        <f aca="false">T99/T$105</f>
        <v>#DIV/0!</v>
      </c>
      <c r="U108" s="426" t="e">
        <f aca="false">U99/U$105</f>
        <v>#DIV/0!</v>
      </c>
      <c r="V108" s="426" t="e">
        <f aca="false">V99/V$105</f>
        <v>#DIV/0!</v>
      </c>
      <c r="W108" s="426" t="e">
        <f aca="false">W99/W$105</f>
        <v>#DIV/0!</v>
      </c>
      <c r="X108" s="426" t="e">
        <f aca="false">X99/X$105</f>
        <v>#DIV/0!</v>
      </c>
      <c r="Y108" s="426" t="e">
        <f aca="false">Y99/Y$105</f>
        <v>#DIV/0!</v>
      </c>
      <c r="Z108" s="426" t="e">
        <f aca="false">Z99/Z$105</f>
        <v>#DIV/0!</v>
      </c>
      <c r="AA108" s="426" t="e">
        <f aca="false">AA99/AA$105</f>
        <v>#DIV/0!</v>
      </c>
      <c r="AB108" s="426" t="e">
        <f aca="false">AB99/AB$105</f>
        <v>#DIV/0!</v>
      </c>
      <c r="AC108" s="426" t="e">
        <f aca="false">AC99/AC$105</f>
        <v>#DIV/0!</v>
      </c>
      <c r="AD108" s="426" t="e">
        <f aca="false">AD99/AD$105</f>
        <v>#DIV/0!</v>
      </c>
      <c r="AE108" s="426" t="e">
        <f aca="false">AE99/AE$105</f>
        <v>#DIV/0!</v>
      </c>
      <c r="AF108" s="426" t="e">
        <f aca="false">AF99/AF$105</f>
        <v>#DIV/0!</v>
      </c>
      <c r="AG108" s="426" t="e">
        <f aca="false">AG99/AG$105</f>
        <v>#DIV/0!</v>
      </c>
      <c r="AH108" s="426" t="e">
        <f aca="false">AH99/AH$105</f>
        <v>#DIV/0!</v>
      </c>
      <c r="AI108" s="426" t="e">
        <f aca="false">AI99/AI$105</f>
        <v>#DIV/0!</v>
      </c>
      <c r="AJ108" s="426" t="e">
        <f aca="false">AJ99/AJ$105</f>
        <v>#DIV/0!</v>
      </c>
      <c r="AK108" s="426" t="e">
        <f aca="false">AK99/AK$105</f>
        <v>#DIV/0!</v>
      </c>
      <c r="AL108" s="426" t="e">
        <f aca="false">AL99/AL$105</f>
        <v>#DIV/0!</v>
      </c>
      <c r="AM108" s="426" t="e">
        <f aca="false">AM99/AM$105</f>
        <v>#DIV/0!</v>
      </c>
      <c r="AN108" s="426" t="e">
        <f aca="false">AN99/AN$105</f>
        <v>#DIV/0!</v>
      </c>
      <c r="AO108" s="426" t="e">
        <f aca="false">AO99/AO$105</f>
        <v>#DIV/0!</v>
      </c>
      <c r="AP108" s="426" t="e">
        <f aca="false">AP99/AP$105</f>
        <v>#DIV/0!</v>
      </c>
      <c r="AQ108" s="426" t="e">
        <f aca="false">AQ99/AQ$105</f>
        <v>#DIV/0!</v>
      </c>
      <c r="AR108" s="426" t="e">
        <f aca="false">AR99/AR$105</f>
        <v>#DIV/0!</v>
      </c>
      <c r="AS108" s="426" t="e">
        <f aca="false">AS99/AS$105</f>
        <v>#DIV/0!</v>
      </c>
      <c r="AT108" s="426" t="e">
        <f aca="false">AT99/AT$105</f>
        <v>#DIV/0!</v>
      </c>
      <c r="AU108" s="426" t="e">
        <f aca="false">AU99/AU$105</f>
        <v>#DIV/0!</v>
      </c>
      <c r="AV108" s="426" t="e">
        <f aca="false">AV99/AV$105</f>
        <v>#DIV/0!</v>
      </c>
      <c r="AW108" s="426" t="e">
        <f aca="false">AW99/AW$105</f>
        <v>#DIV/0!</v>
      </c>
      <c r="AX108" s="426" t="e">
        <f aca="false">AX99/AX$105</f>
        <v>#DIV/0!</v>
      </c>
      <c r="AZ108" s="425"/>
      <c r="BA108" s="425"/>
      <c r="BB108" s="425"/>
      <c r="BC108" s="425"/>
      <c r="BD108" s="425"/>
      <c r="BE108" s="425"/>
      <c r="BF108" s="425"/>
      <c r="BG108" s="425"/>
      <c r="BH108" s="425"/>
      <c r="BI108" s="425"/>
      <c r="BJ108" s="425"/>
      <c r="BK108" s="425"/>
      <c r="BL108" s="425"/>
      <c r="BM108" s="425"/>
      <c r="BN108" s="425"/>
      <c r="BO108" s="425"/>
      <c r="BP108" s="425"/>
      <c r="BQ108" s="425"/>
      <c r="BR108" s="425"/>
      <c r="BS108" s="425"/>
      <c r="BT108" s="425"/>
      <c r="BU108" s="425"/>
      <c r="BV108" s="425"/>
      <c r="BW108" s="425"/>
      <c r="BX108" s="425"/>
      <c r="BY108" s="425"/>
      <c r="BZ108" s="425"/>
      <c r="CA108" s="425"/>
      <c r="CB108" s="425"/>
      <c r="CC108" s="425"/>
      <c r="CE108" s="425"/>
      <c r="CF108" s="425"/>
      <c r="CG108" s="425"/>
      <c r="CI108" s="425"/>
      <c r="CJ108" s="425"/>
      <c r="CK108" s="425"/>
      <c r="CL108" s="425"/>
      <c r="CM108" s="425"/>
      <c r="CN108" s="425"/>
    </row>
    <row r="109" customFormat="false" ht="15" hidden="false" customHeight="true" outlineLevel="0" collapsed="false">
      <c r="A109" s="414" t="s">
        <v>951</v>
      </c>
      <c r="B109" s="426" t="n">
        <f aca="false">B100/B$105</f>
        <v>0.248682113522128</v>
      </c>
      <c r="C109" s="426" t="n">
        <f aca="false">C100/C$105</f>
        <v>0.220394736842105</v>
      </c>
      <c r="D109" s="426" t="n">
        <f aca="false">D100/D$105</f>
        <v>0.209614309670207</v>
      </c>
      <c r="E109" s="426" t="n">
        <f aca="false">E100/E$105</f>
        <v>0.21968183499815</v>
      </c>
      <c r="F109" s="426" t="n">
        <f aca="false">F100/F$105</f>
        <v>0.240176079020829</v>
      </c>
      <c r="G109" s="426" t="n">
        <f aca="false">G100/G$105</f>
        <v>0.289604608536266</v>
      </c>
      <c r="H109" s="426" t="n">
        <f aca="false">H100/H$105</f>
        <v>0.249938378111905</v>
      </c>
      <c r="I109" s="426" t="n">
        <f aca="false">I100/I$105</f>
        <v>0.200385533321094</v>
      </c>
      <c r="J109" s="426" t="n">
        <f aca="false">J100/J$105</f>
        <v>0.191056641271944</v>
      </c>
      <c r="K109" s="426" t="n">
        <f aca="false">K100/K$105</f>
        <v>0.171182452944748</v>
      </c>
      <c r="L109" s="426" t="n">
        <f aca="false">L100/L$105</f>
        <v>0.116811213876532</v>
      </c>
      <c r="M109" s="426" t="n">
        <f aca="false">M100/M$105</f>
        <v>0.116811213876532</v>
      </c>
      <c r="N109" s="426" t="n">
        <f aca="false">N100/N$105</f>
        <v>0.127083441507866</v>
      </c>
      <c r="O109" s="426" t="e">
        <f aca="false">O100/O$105</f>
        <v>#DIV/0!</v>
      </c>
      <c r="P109" s="426" t="e">
        <f aca="false">P100/P$105</f>
        <v>#DIV/0!</v>
      </c>
      <c r="Q109" s="426" t="e">
        <f aca="false">Q100/Q$105</f>
        <v>#DIV/0!</v>
      </c>
      <c r="R109" s="426" t="e">
        <f aca="false">R100/R$105</f>
        <v>#DIV/0!</v>
      </c>
      <c r="S109" s="426" t="e">
        <f aca="false">S100/S$105</f>
        <v>#DIV/0!</v>
      </c>
      <c r="T109" s="426" t="e">
        <f aca="false">T100/T$105</f>
        <v>#DIV/0!</v>
      </c>
      <c r="U109" s="426" t="e">
        <f aca="false">U100/U$105</f>
        <v>#DIV/0!</v>
      </c>
      <c r="V109" s="426" t="e">
        <f aca="false">V100/V$105</f>
        <v>#DIV/0!</v>
      </c>
      <c r="W109" s="426" t="e">
        <f aca="false">W100/W$105</f>
        <v>#DIV/0!</v>
      </c>
      <c r="X109" s="426" t="e">
        <f aca="false">X100/X$105</f>
        <v>#DIV/0!</v>
      </c>
      <c r="Y109" s="426" t="e">
        <f aca="false">Y100/Y$105</f>
        <v>#DIV/0!</v>
      </c>
      <c r="Z109" s="426" t="e">
        <f aca="false">Z100/Z$105</f>
        <v>#DIV/0!</v>
      </c>
      <c r="AA109" s="426" t="e">
        <f aca="false">AA100/AA$105</f>
        <v>#DIV/0!</v>
      </c>
      <c r="AB109" s="426" t="e">
        <f aca="false">AB100/AB$105</f>
        <v>#DIV/0!</v>
      </c>
      <c r="AC109" s="426" t="e">
        <f aca="false">AC100/AC$105</f>
        <v>#DIV/0!</v>
      </c>
      <c r="AD109" s="426" t="e">
        <f aca="false">AD100/AD$105</f>
        <v>#DIV/0!</v>
      </c>
      <c r="AE109" s="426" t="e">
        <f aca="false">AE100/AE$105</f>
        <v>#DIV/0!</v>
      </c>
      <c r="AF109" s="426" t="e">
        <f aca="false">AF100/AF$105</f>
        <v>#DIV/0!</v>
      </c>
      <c r="AG109" s="426" t="e">
        <f aca="false">AG100/AG$105</f>
        <v>#DIV/0!</v>
      </c>
      <c r="AH109" s="426" t="e">
        <f aca="false">AH100/AH$105</f>
        <v>#DIV/0!</v>
      </c>
      <c r="AI109" s="426" t="e">
        <f aca="false">AI100/AI$105</f>
        <v>#DIV/0!</v>
      </c>
      <c r="AJ109" s="426" t="e">
        <f aca="false">AJ100/AJ$105</f>
        <v>#DIV/0!</v>
      </c>
      <c r="AK109" s="426" t="e">
        <f aca="false">AK100/AK$105</f>
        <v>#DIV/0!</v>
      </c>
      <c r="AL109" s="426" t="e">
        <f aca="false">AL100/AL$105</f>
        <v>#DIV/0!</v>
      </c>
      <c r="AM109" s="426" t="e">
        <f aca="false">AM100/AM$105</f>
        <v>#DIV/0!</v>
      </c>
      <c r="AN109" s="426" t="e">
        <f aca="false">AN100/AN$105</f>
        <v>#DIV/0!</v>
      </c>
      <c r="AO109" s="426" t="e">
        <f aca="false">AO100/AO$105</f>
        <v>#DIV/0!</v>
      </c>
      <c r="AP109" s="426" t="e">
        <f aca="false">AP100/AP$105</f>
        <v>#DIV/0!</v>
      </c>
      <c r="AQ109" s="426" t="e">
        <f aca="false">AQ100/AQ$105</f>
        <v>#DIV/0!</v>
      </c>
      <c r="AR109" s="426" t="e">
        <f aca="false">AR100/AR$105</f>
        <v>#DIV/0!</v>
      </c>
      <c r="AS109" s="426" t="e">
        <f aca="false">AS100/AS$105</f>
        <v>#DIV/0!</v>
      </c>
      <c r="AT109" s="426" t="e">
        <f aca="false">AT100/AT$105</f>
        <v>#DIV/0!</v>
      </c>
      <c r="AU109" s="426" t="e">
        <f aca="false">AU100/AU$105</f>
        <v>#DIV/0!</v>
      </c>
      <c r="AV109" s="426" t="e">
        <f aca="false">AV100/AV$105</f>
        <v>#DIV/0!</v>
      </c>
      <c r="AW109" s="426" t="e">
        <f aca="false">AW100/AW$105</f>
        <v>#DIV/0!</v>
      </c>
      <c r="AX109" s="426" t="e">
        <f aca="false">AX100/AX$105</f>
        <v>#DIV/0!</v>
      </c>
      <c r="AZ109" s="425"/>
      <c r="BA109" s="425"/>
      <c r="BB109" s="425"/>
      <c r="BC109" s="425"/>
      <c r="BD109" s="425"/>
      <c r="BE109" s="425"/>
      <c r="BF109" s="425"/>
      <c r="BG109" s="425"/>
      <c r="BH109" s="425"/>
      <c r="BI109" s="425"/>
      <c r="BJ109" s="425"/>
      <c r="BK109" s="425"/>
      <c r="BL109" s="425"/>
      <c r="BM109" s="425"/>
      <c r="BN109" s="425"/>
      <c r="BO109" s="425"/>
      <c r="BP109" s="425"/>
      <c r="BQ109" s="425"/>
      <c r="BR109" s="425"/>
      <c r="BS109" s="425"/>
      <c r="BT109" s="425"/>
      <c r="BU109" s="425"/>
      <c r="BV109" s="425"/>
      <c r="BW109" s="425"/>
      <c r="BX109" s="425"/>
      <c r="BY109" s="425"/>
      <c r="BZ109" s="425"/>
      <c r="CA109" s="425"/>
      <c r="CB109" s="425"/>
      <c r="CC109" s="425"/>
      <c r="CE109" s="425"/>
      <c r="CF109" s="425"/>
      <c r="CG109" s="425"/>
      <c r="CI109" s="425"/>
      <c r="CJ109" s="425"/>
      <c r="CK109" s="425"/>
      <c r="CL109" s="425"/>
      <c r="CM109" s="425"/>
      <c r="CN109" s="425"/>
    </row>
    <row r="110" customFormat="false" ht="15" hidden="false" customHeight="true" outlineLevel="0" collapsed="false">
      <c r="A110" s="414" t="s">
        <v>952</v>
      </c>
      <c r="B110" s="426" t="n">
        <f aca="false">B101/B$105</f>
        <v>0.187139879857791</v>
      </c>
      <c r="C110" s="426" t="n">
        <f aca="false">C101/C$105</f>
        <v>0.197149122807018</v>
      </c>
      <c r="D110" s="426" t="n">
        <f aca="false">D101/D$105</f>
        <v>0.215707098937954</v>
      </c>
      <c r="E110" s="426" t="n">
        <f aca="false">E101/E$105</f>
        <v>0.224454310025897</v>
      </c>
      <c r="F110" s="426" t="n">
        <f aca="false">F101/F$105</f>
        <v>0.241840240498175</v>
      </c>
      <c r="G110" s="426" t="n">
        <f aca="false">G101/G$105</f>
        <v>0.241319717203456</v>
      </c>
      <c r="H110" s="426" t="n">
        <f aca="false">H101/H$105</f>
        <v>0.239240818338674</v>
      </c>
      <c r="I110" s="426" t="n">
        <f aca="false">I101/I$105</f>
        <v>0.219539807845297</v>
      </c>
      <c r="J110" s="426" t="n">
        <f aca="false">J101/J$105</f>
        <v>0.157601854918847</v>
      </c>
      <c r="K110" s="426" t="n">
        <f aca="false">K101/K$105</f>
        <v>0.174939283545841</v>
      </c>
      <c r="L110" s="426" t="n">
        <f aca="false">L101/L$105</f>
        <v>0.230166095945211</v>
      </c>
      <c r="M110" s="426" t="n">
        <f aca="false">M101/M$105</f>
        <v>0.230166095945211</v>
      </c>
      <c r="N110" s="426" t="n">
        <f aca="false">N101/N$105</f>
        <v>0.176411028610001</v>
      </c>
      <c r="O110" s="426" t="e">
        <f aca="false">O101/O$105</f>
        <v>#DIV/0!</v>
      </c>
      <c r="P110" s="426" t="e">
        <f aca="false">P101/P$105</f>
        <v>#DIV/0!</v>
      </c>
      <c r="Q110" s="426" t="e">
        <f aca="false">Q101/Q$105</f>
        <v>#DIV/0!</v>
      </c>
      <c r="R110" s="426" t="e">
        <f aca="false">R101/R$105</f>
        <v>#DIV/0!</v>
      </c>
      <c r="S110" s="426" t="e">
        <f aca="false">S101/S$105</f>
        <v>#DIV/0!</v>
      </c>
      <c r="T110" s="426" t="e">
        <f aca="false">T101/T$105</f>
        <v>#DIV/0!</v>
      </c>
      <c r="U110" s="426" t="e">
        <f aca="false">U101/U$105</f>
        <v>#DIV/0!</v>
      </c>
      <c r="V110" s="426" t="e">
        <f aca="false">V101/V$105</f>
        <v>#DIV/0!</v>
      </c>
      <c r="W110" s="426" t="e">
        <f aca="false">W101/W$105</f>
        <v>#DIV/0!</v>
      </c>
      <c r="X110" s="426" t="e">
        <f aca="false">X101/X$105</f>
        <v>#DIV/0!</v>
      </c>
      <c r="Y110" s="426" t="e">
        <f aca="false">Y101/Y$105</f>
        <v>#DIV/0!</v>
      </c>
      <c r="Z110" s="426" t="e">
        <f aca="false">Z101/Z$105</f>
        <v>#DIV/0!</v>
      </c>
      <c r="AA110" s="426" t="e">
        <f aca="false">AA101/AA$105</f>
        <v>#DIV/0!</v>
      </c>
      <c r="AB110" s="426" t="e">
        <f aca="false">AB101/AB$105</f>
        <v>#DIV/0!</v>
      </c>
      <c r="AC110" s="426" t="e">
        <f aca="false">AC101/AC$105</f>
        <v>#DIV/0!</v>
      </c>
      <c r="AD110" s="426" t="e">
        <f aca="false">AD101/AD$105</f>
        <v>#DIV/0!</v>
      </c>
      <c r="AE110" s="426" t="e">
        <f aca="false">AE101/AE$105</f>
        <v>#DIV/0!</v>
      </c>
      <c r="AF110" s="426" t="e">
        <f aca="false">AF101/AF$105</f>
        <v>#DIV/0!</v>
      </c>
      <c r="AG110" s="426" t="e">
        <f aca="false">AG101/AG$105</f>
        <v>#DIV/0!</v>
      </c>
      <c r="AH110" s="426" t="e">
        <f aca="false">AH101/AH$105</f>
        <v>#DIV/0!</v>
      </c>
      <c r="AI110" s="426" t="e">
        <f aca="false">AI101/AI$105</f>
        <v>#DIV/0!</v>
      </c>
      <c r="AJ110" s="426" t="e">
        <f aca="false">AJ101/AJ$105</f>
        <v>#DIV/0!</v>
      </c>
      <c r="AK110" s="426" t="e">
        <f aca="false">AK101/AK$105</f>
        <v>#DIV/0!</v>
      </c>
      <c r="AL110" s="426" t="e">
        <f aca="false">AL101/AL$105</f>
        <v>#DIV/0!</v>
      </c>
      <c r="AM110" s="426" t="e">
        <f aca="false">AM101/AM$105</f>
        <v>#DIV/0!</v>
      </c>
      <c r="AN110" s="426" t="e">
        <f aca="false">AN101/AN$105</f>
        <v>#DIV/0!</v>
      </c>
      <c r="AO110" s="426" t="e">
        <f aca="false">AO101/AO$105</f>
        <v>#DIV/0!</v>
      </c>
      <c r="AP110" s="426" t="e">
        <f aca="false">AP101/AP$105</f>
        <v>#DIV/0!</v>
      </c>
      <c r="AQ110" s="426" t="e">
        <f aca="false">AQ101/AQ$105</f>
        <v>#DIV/0!</v>
      </c>
      <c r="AR110" s="426" t="e">
        <f aca="false">AR101/AR$105</f>
        <v>#DIV/0!</v>
      </c>
      <c r="AS110" s="426" t="e">
        <f aca="false">AS101/AS$105</f>
        <v>#DIV/0!</v>
      </c>
      <c r="AT110" s="426" t="e">
        <f aca="false">AT101/AT$105</f>
        <v>#DIV/0!</v>
      </c>
      <c r="AU110" s="426" t="e">
        <f aca="false">AU101/AU$105</f>
        <v>#DIV/0!</v>
      </c>
      <c r="AV110" s="426" t="e">
        <f aca="false">AV101/AV$105</f>
        <v>#DIV/0!</v>
      </c>
      <c r="AW110" s="426" t="e">
        <f aca="false">AW101/AW$105</f>
        <v>#DIV/0!</v>
      </c>
      <c r="AX110" s="426" t="e">
        <f aca="false">AX101/AX$105</f>
        <v>#DIV/0!</v>
      </c>
      <c r="AZ110" s="425"/>
      <c r="BA110" s="425"/>
      <c r="BB110" s="425"/>
      <c r="BC110" s="425"/>
      <c r="BD110" s="425"/>
      <c r="BE110" s="425"/>
      <c r="BF110" s="425"/>
      <c r="BG110" s="425"/>
      <c r="BH110" s="425"/>
      <c r="BI110" s="425"/>
      <c r="BJ110" s="425"/>
      <c r="BK110" s="425"/>
      <c r="BL110" s="425"/>
      <c r="BM110" s="425"/>
      <c r="BN110" s="425"/>
      <c r="BO110" s="425"/>
      <c r="BP110" s="425"/>
      <c r="BQ110" s="425"/>
      <c r="BR110" s="425"/>
      <c r="BS110" s="425"/>
      <c r="BT110" s="425"/>
      <c r="BU110" s="425"/>
      <c r="BV110" s="425"/>
      <c r="BW110" s="425"/>
      <c r="BX110" s="425"/>
      <c r="BY110" s="425"/>
      <c r="BZ110" s="425"/>
      <c r="CA110" s="425"/>
      <c r="CB110" s="425"/>
      <c r="CC110" s="425"/>
      <c r="CE110" s="425"/>
      <c r="CF110" s="425"/>
      <c r="CG110" s="425"/>
      <c r="CI110" s="425"/>
      <c r="CJ110" s="425"/>
      <c r="CK110" s="425"/>
      <c r="CL110" s="425"/>
      <c r="CM110" s="425"/>
      <c r="CN110" s="425"/>
    </row>
    <row r="111" customFormat="false" ht="15" hidden="false" customHeight="true" outlineLevel="0" collapsed="false">
      <c r="A111" s="414" t="s">
        <v>953</v>
      </c>
      <c r="B111" s="426" t="n">
        <f aca="false">B102/B$105</f>
        <v>0.25101140125046</v>
      </c>
      <c r="C111" s="426" t="n">
        <f aca="false">C102/C$105</f>
        <v>0.247631578947368</v>
      </c>
      <c r="D111" s="426" t="n">
        <f aca="false">D102/D$105</f>
        <v>0.229625489100056</v>
      </c>
      <c r="E111" s="426" t="n">
        <f aca="false">E102/E$105</f>
        <v>0.217832038475768</v>
      </c>
      <c r="F111" s="426" t="n">
        <f aca="false">F102/F$105</f>
        <v>0.172804380502469</v>
      </c>
      <c r="G111" s="426" t="n">
        <f aca="false">G102/G$105</f>
        <v>0.149358470803875</v>
      </c>
      <c r="H111" s="426" t="n">
        <f aca="false">H102/H$105</f>
        <v>0.120285925560759</v>
      </c>
      <c r="I111" s="426" t="n">
        <f aca="false">I102/I$105</f>
        <v>0.172449666483079</v>
      </c>
      <c r="J111" s="426" t="n">
        <f aca="false">J102/J$105</f>
        <v>0.138588936734018</v>
      </c>
      <c r="K111" s="426" t="n">
        <f aca="false">K102/K$105</f>
        <v>0.13422131147541</v>
      </c>
      <c r="L111" s="426" t="n">
        <f aca="false">L102/L$105</f>
        <v>0.137581207795948</v>
      </c>
      <c r="M111" s="426" t="n">
        <f aca="false">M102/M$105</f>
        <v>0.137581207795948</v>
      </c>
      <c r="N111" s="426" t="n">
        <f aca="false">N102/N$105</f>
        <v>0.15644633677761</v>
      </c>
      <c r="O111" s="426" t="e">
        <f aca="false">O102/O$105</f>
        <v>#DIV/0!</v>
      </c>
      <c r="P111" s="426" t="e">
        <f aca="false">P102/P$105</f>
        <v>#DIV/0!</v>
      </c>
      <c r="Q111" s="426" t="e">
        <f aca="false">Q102/Q$105</f>
        <v>#DIV/0!</v>
      </c>
      <c r="R111" s="426" t="e">
        <f aca="false">R102/R$105</f>
        <v>#DIV/0!</v>
      </c>
      <c r="S111" s="426" t="e">
        <f aca="false">S102/S$105</f>
        <v>#DIV/0!</v>
      </c>
      <c r="T111" s="426" t="e">
        <f aca="false">T102/T$105</f>
        <v>#DIV/0!</v>
      </c>
      <c r="U111" s="426" t="e">
        <f aca="false">U102/U$105</f>
        <v>#DIV/0!</v>
      </c>
      <c r="V111" s="426" t="e">
        <f aca="false">V102/V$105</f>
        <v>#DIV/0!</v>
      </c>
      <c r="W111" s="426" t="e">
        <f aca="false">W102/W$105</f>
        <v>#DIV/0!</v>
      </c>
      <c r="X111" s="426" t="e">
        <f aca="false">X102/X$105</f>
        <v>#DIV/0!</v>
      </c>
      <c r="Y111" s="426" t="e">
        <f aca="false">Y102/Y$105</f>
        <v>#DIV/0!</v>
      </c>
      <c r="Z111" s="426" t="e">
        <f aca="false">Z102/Z$105</f>
        <v>#DIV/0!</v>
      </c>
      <c r="AA111" s="426" t="e">
        <f aca="false">AA102/AA$105</f>
        <v>#DIV/0!</v>
      </c>
      <c r="AB111" s="426" t="e">
        <f aca="false">AB102/AB$105</f>
        <v>#DIV/0!</v>
      </c>
      <c r="AC111" s="426" t="e">
        <f aca="false">AC102/AC$105</f>
        <v>#DIV/0!</v>
      </c>
      <c r="AD111" s="426" t="e">
        <f aca="false">AD102/AD$105</f>
        <v>#DIV/0!</v>
      </c>
      <c r="AE111" s="426" t="e">
        <f aca="false">AE102/AE$105</f>
        <v>#DIV/0!</v>
      </c>
      <c r="AF111" s="426" t="e">
        <f aca="false">AF102/AF$105</f>
        <v>#DIV/0!</v>
      </c>
      <c r="AG111" s="426" t="e">
        <f aca="false">AG102/AG$105</f>
        <v>#DIV/0!</v>
      </c>
      <c r="AH111" s="426" t="e">
        <f aca="false">AH102/AH$105</f>
        <v>#DIV/0!</v>
      </c>
      <c r="AI111" s="426" t="e">
        <f aca="false">AI102/AI$105</f>
        <v>#DIV/0!</v>
      </c>
      <c r="AJ111" s="426" t="e">
        <f aca="false">AJ102/AJ$105</f>
        <v>#DIV/0!</v>
      </c>
      <c r="AK111" s="426" t="e">
        <f aca="false">AK102/AK$105</f>
        <v>#DIV/0!</v>
      </c>
      <c r="AL111" s="426" t="e">
        <f aca="false">AL102/AL$105</f>
        <v>#DIV/0!</v>
      </c>
      <c r="AM111" s="426" t="e">
        <f aca="false">AM102/AM$105</f>
        <v>#DIV/0!</v>
      </c>
      <c r="AN111" s="426" t="e">
        <f aca="false">AN102/AN$105</f>
        <v>#DIV/0!</v>
      </c>
      <c r="AO111" s="426" t="e">
        <f aca="false">AO102/AO$105</f>
        <v>#DIV/0!</v>
      </c>
      <c r="AP111" s="426" t="e">
        <f aca="false">AP102/AP$105</f>
        <v>#DIV/0!</v>
      </c>
      <c r="AQ111" s="426" t="e">
        <f aca="false">AQ102/AQ$105</f>
        <v>#DIV/0!</v>
      </c>
      <c r="AR111" s="426" t="e">
        <f aca="false">AR102/AR$105</f>
        <v>#DIV/0!</v>
      </c>
      <c r="AS111" s="426" t="e">
        <f aca="false">AS102/AS$105</f>
        <v>#DIV/0!</v>
      </c>
      <c r="AT111" s="426" t="e">
        <f aca="false">AT102/AT$105</f>
        <v>#DIV/0!</v>
      </c>
      <c r="AU111" s="426" t="e">
        <f aca="false">AU102/AU$105</f>
        <v>#DIV/0!</v>
      </c>
      <c r="AV111" s="426" t="e">
        <f aca="false">AV102/AV$105</f>
        <v>#DIV/0!</v>
      </c>
      <c r="AW111" s="426" t="e">
        <f aca="false">AW102/AW$105</f>
        <v>#DIV/0!</v>
      </c>
      <c r="AX111" s="426" t="e">
        <f aca="false">AX102/AX$105</f>
        <v>#DIV/0!</v>
      </c>
      <c r="AZ111" s="425"/>
      <c r="BA111" s="425"/>
      <c r="BB111" s="425"/>
      <c r="BC111" s="425"/>
      <c r="BD111" s="425"/>
      <c r="BE111" s="425"/>
      <c r="BF111" s="425"/>
      <c r="BG111" s="425"/>
      <c r="BH111" s="425"/>
      <c r="BI111" s="425"/>
      <c r="BJ111" s="425"/>
      <c r="BK111" s="425"/>
      <c r="BL111" s="425"/>
      <c r="BM111" s="425"/>
      <c r="BN111" s="425"/>
      <c r="BO111" s="425"/>
      <c r="BP111" s="425"/>
      <c r="BQ111" s="425"/>
      <c r="BR111" s="425"/>
      <c r="BS111" s="425"/>
      <c r="BT111" s="425"/>
      <c r="BU111" s="425"/>
      <c r="BV111" s="425"/>
      <c r="BW111" s="425"/>
      <c r="BX111" s="425"/>
      <c r="BY111" s="425"/>
      <c r="BZ111" s="425"/>
      <c r="CA111" s="425"/>
      <c r="CB111" s="425"/>
      <c r="CC111" s="425"/>
      <c r="CE111" s="425"/>
      <c r="CF111" s="425"/>
      <c r="CG111" s="425"/>
      <c r="CI111" s="425"/>
      <c r="CJ111" s="425"/>
      <c r="CK111" s="425"/>
      <c r="CL111" s="425"/>
      <c r="CM111" s="425"/>
      <c r="CN111" s="425"/>
    </row>
    <row r="112" customFormat="false" ht="15" hidden="false" customHeight="true" outlineLevel="0" collapsed="false">
      <c r="A112" s="414" t="s">
        <v>954</v>
      </c>
      <c r="B112" s="426" t="n">
        <f aca="false">B103/B$105</f>
        <v>0.0392914061542234</v>
      </c>
      <c r="C112" s="426" t="n">
        <f aca="false">C103/C$105</f>
        <v>0.0392543859649123</v>
      </c>
      <c r="D112" s="426" t="n">
        <f aca="false">D103/D$105</f>
        <v>0.0294577976523197</v>
      </c>
      <c r="E112" s="426" t="n">
        <f aca="false">E103/E$105</f>
        <v>0.0386977432482427</v>
      </c>
      <c r="F112" s="426" t="n">
        <f aca="false">F103/F$105</f>
        <v>0.0308138286450505</v>
      </c>
      <c r="G112" s="426" t="n">
        <f aca="false">G103/G$105</f>
        <v>0.0375490966221524</v>
      </c>
      <c r="H112" s="426" t="n">
        <f aca="false">H103/H$105</f>
        <v>0.0900665516391422</v>
      </c>
      <c r="I112" s="426" t="n">
        <f aca="false">I103/I$105</f>
        <v>0.10320665809926</v>
      </c>
      <c r="J112" s="426" t="n">
        <f aca="false">J103/J$105</f>
        <v>0.0997018880423981</v>
      </c>
      <c r="K112" s="426" t="n">
        <f aca="false">K103/K$105</f>
        <v>0.0387446873102611</v>
      </c>
      <c r="L112" s="426" t="n">
        <f aca="false">L103/L$105</f>
        <v>0.0313950139213365</v>
      </c>
      <c r="M112" s="426" t="n">
        <f aca="false">M103/M$105</f>
        <v>0.0313950139213365</v>
      </c>
      <c r="N112" s="426" t="n">
        <f aca="false">N103/N$105</f>
        <v>0.0438755906329508</v>
      </c>
      <c r="O112" s="426" t="e">
        <f aca="false">O103/O$105</f>
        <v>#DIV/0!</v>
      </c>
      <c r="P112" s="426" t="e">
        <f aca="false">P103/P$105</f>
        <v>#DIV/0!</v>
      </c>
      <c r="Q112" s="426" t="e">
        <f aca="false">Q103/Q$105</f>
        <v>#DIV/0!</v>
      </c>
      <c r="R112" s="426" t="e">
        <f aca="false">R103/R$105</f>
        <v>#DIV/0!</v>
      </c>
      <c r="S112" s="426" t="e">
        <f aca="false">S103/S$105</f>
        <v>#DIV/0!</v>
      </c>
      <c r="T112" s="426" t="e">
        <f aca="false">T103/T$105</f>
        <v>#DIV/0!</v>
      </c>
      <c r="U112" s="426" t="e">
        <f aca="false">U103/U$105</f>
        <v>#DIV/0!</v>
      </c>
      <c r="V112" s="426" t="e">
        <f aca="false">V103/V$105</f>
        <v>#DIV/0!</v>
      </c>
      <c r="W112" s="426" t="e">
        <f aca="false">W103/W$105</f>
        <v>#DIV/0!</v>
      </c>
      <c r="X112" s="426" t="e">
        <f aca="false">X103/X$105</f>
        <v>#DIV/0!</v>
      </c>
      <c r="Y112" s="426" t="e">
        <f aca="false">Y103/Y$105</f>
        <v>#DIV/0!</v>
      </c>
      <c r="Z112" s="426" t="e">
        <f aca="false">Z103/Z$105</f>
        <v>#DIV/0!</v>
      </c>
      <c r="AA112" s="426" t="e">
        <f aca="false">AA103/AA$105</f>
        <v>#DIV/0!</v>
      </c>
      <c r="AB112" s="426" t="e">
        <f aca="false">AB103/AB$105</f>
        <v>#DIV/0!</v>
      </c>
      <c r="AC112" s="426" t="e">
        <f aca="false">AC103/AC$105</f>
        <v>#DIV/0!</v>
      </c>
      <c r="AD112" s="426" t="e">
        <f aca="false">AD103/AD$105</f>
        <v>#DIV/0!</v>
      </c>
      <c r="AE112" s="426" t="e">
        <f aca="false">AE103/AE$105</f>
        <v>#DIV/0!</v>
      </c>
      <c r="AF112" s="426" t="e">
        <f aca="false">AF103/AF$105</f>
        <v>#DIV/0!</v>
      </c>
      <c r="AG112" s="426" t="e">
        <f aca="false">AG103/AG$105</f>
        <v>#DIV/0!</v>
      </c>
      <c r="AH112" s="426" t="e">
        <f aca="false">AH103/AH$105</f>
        <v>#DIV/0!</v>
      </c>
      <c r="AI112" s="426" t="e">
        <f aca="false">AI103/AI$105</f>
        <v>#DIV/0!</v>
      </c>
      <c r="AJ112" s="426" t="e">
        <f aca="false">AJ103/AJ$105</f>
        <v>#DIV/0!</v>
      </c>
      <c r="AK112" s="426" t="e">
        <f aca="false">AK103/AK$105</f>
        <v>#DIV/0!</v>
      </c>
      <c r="AL112" s="426" t="e">
        <f aca="false">AL103/AL$105</f>
        <v>#DIV/0!</v>
      </c>
      <c r="AM112" s="426" t="e">
        <f aca="false">AM103/AM$105</f>
        <v>#DIV/0!</v>
      </c>
      <c r="AN112" s="426" t="e">
        <f aca="false">AN103/AN$105</f>
        <v>#DIV/0!</v>
      </c>
      <c r="AO112" s="426" t="e">
        <f aca="false">AO103/AO$105</f>
        <v>#DIV/0!</v>
      </c>
      <c r="AP112" s="426" t="e">
        <f aca="false">AP103/AP$105</f>
        <v>#DIV/0!</v>
      </c>
      <c r="AQ112" s="426" t="e">
        <f aca="false">AQ103/AQ$105</f>
        <v>#DIV/0!</v>
      </c>
      <c r="AR112" s="426" t="e">
        <f aca="false">AR103/AR$105</f>
        <v>#DIV/0!</v>
      </c>
      <c r="AS112" s="426" t="e">
        <f aca="false">AS103/AS$105</f>
        <v>#DIV/0!</v>
      </c>
      <c r="AT112" s="426" t="e">
        <f aca="false">AT103/AT$105</f>
        <v>#DIV/0!</v>
      </c>
      <c r="AU112" s="426" t="e">
        <f aca="false">AU103/AU$105</f>
        <v>#DIV/0!</v>
      </c>
      <c r="AV112" s="426" t="e">
        <f aca="false">AV103/AV$105</f>
        <v>#DIV/0!</v>
      </c>
      <c r="AW112" s="426" t="e">
        <f aca="false">AW103/AW$105</f>
        <v>#DIV/0!</v>
      </c>
      <c r="AX112" s="426" t="e">
        <f aca="false">AX103/AX$105</f>
        <v>#DIV/0!</v>
      </c>
      <c r="AZ112" s="425"/>
      <c r="BA112" s="425"/>
      <c r="BB112" s="425"/>
      <c r="BC112" s="425"/>
      <c r="BD112" s="425"/>
      <c r="BE112" s="425"/>
      <c r="BF112" s="425"/>
      <c r="BG112" s="425"/>
      <c r="BH112" s="425"/>
      <c r="BI112" s="425"/>
      <c r="BJ112" s="425"/>
      <c r="BK112" s="425"/>
      <c r="BL112" s="425"/>
      <c r="BM112" s="425"/>
      <c r="BN112" s="425"/>
      <c r="BO112" s="425"/>
      <c r="BP112" s="425"/>
      <c r="BQ112" s="425"/>
      <c r="BR112" s="425"/>
      <c r="BS112" s="425"/>
      <c r="BT112" s="425"/>
      <c r="BU112" s="425"/>
      <c r="BV112" s="425"/>
      <c r="BW112" s="425"/>
      <c r="BX112" s="425"/>
      <c r="BY112" s="425"/>
      <c r="BZ112" s="425"/>
      <c r="CA112" s="425"/>
      <c r="CB112" s="425"/>
      <c r="CC112" s="425"/>
      <c r="CE112" s="425"/>
      <c r="CF112" s="425"/>
      <c r="CG112" s="425"/>
      <c r="CI112" s="425"/>
      <c r="CJ112" s="425"/>
      <c r="CK112" s="425"/>
      <c r="CL112" s="425"/>
      <c r="CM112" s="425"/>
      <c r="CN112" s="425"/>
    </row>
    <row r="113" customFormat="false" ht="15" hidden="false" customHeight="true" outlineLevel="0" collapsed="false">
      <c r="A113" s="414" t="s">
        <v>955</v>
      </c>
      <c r="B113" s="426" t="n">
        <f aca="false">B104/B$105</f>
        <v>0.191614564178007</v>
      </c>
      <c r="C113" s="426" t="n">
        <f aca="false">C104/C$105</f>
        <v>0.206359649122807</v>
      </c>
      <c r="D113" s="426" t="n">
        <f aca="false">D104/D$105</f>
        <v>0.218110676355506</v>
      </c>
      <c r="E113" s="426" t="n">
        <f aca="false">E104/E$105</f>
        <v>0.201220865704772</v>
      </c>
      <c r="F113" s="426" t="n">
        <f aca="false">F104/F$105</f>
        <v>0.205980244792785</v>
      </c>
      <c r="G113" s="426" t="n">
        <f aca="false">G104/G$105</f>
        <v>0.163026970411102</v>
      </c>
      <c r="H113" s="426" t="n">
        <f aca="false">H104/H$105</f>
        <v>0.18698545723441</v>
      </c>
      <c r="I113" s="426" t="n">
        <f aca="false">I104/I$105</f>
        <v>0.214032188972523</v>
      </c>
      <c r="J113" s="426" t="n">
        <f aca="false">J104/J$105</f>
        <v>0.27777409738324</v>
      </c>
      <c r="K113" s="426" t="n">
        <f aca="false">K104/K$105</f>
        <v>0.345818154219794</v>
      </c>
      <c r="L113" s="426" t="n">
        <f aca="false">L104/L$105</f>
        <v>0.370755592536884</v>
      </c>
      <c r="M113" s="426" t="n">
        <f aca="false">M104/M$105</f>
        <v>0.370755592536884</v>
      </c>
      <c r="N113" s="426" t="n">
        <f aca="false">N104/N$105</f>
        <v>0.382574380808972</v>
      </c>
      <c r="O113" s="426" t="e">
        <f aca="false">O104/O$105</f>
        <v>#DIV/0!</v>
      </c>
      <c r="P113" s="426" t="e">
        <f aca="false">P104/P$105</f>
        <v>#DIV/0!</v>
      </c>
      <c r="Q113" s="426" t="e">
        <f aca="false">Q104/Q$105</f>
        <v>#DIV/0!</v>
      </c>
      <c r="R113" s="426" t="e">
        <f aca="false">R104/R$105</f>
        <v>#DIV/0!</v>
      </c>
      <c r="S113" s="426" t="e">
        <f aca="false">S104/S$105</f>
        <v>#DIV/0!</v>
      </c>
      <c r="T113" s="426" t="e">
        <f aca="false">T104/T$105</f>
        <v>#DIV/0!</v>
      </c>
      <c r="U113" s="426" t="e">
        <f aca="false">U104/U$105</f>
        <v>#DIV/0!</v>
      </c>
      <c r="V113" s="426" t="e">
        <f aca="false">V104/V$105</f>
        <v>#DIV/0!</v>
      </c>
      <c r="W113" s="426" t="e">
        <f aca="false">W104/W$105</f>
        <v>#DIV/0!</v>
      </c>
      <c r="X113" s="426" t="e">
        <f aca="false">X104/X$105</f>
        <v>#DIV/0!</v>
      </c>
      <c r="Y113" s="426" t="e">
        <f aca="false">Y104/Y$105</f>
        <v>#DIV/0!</v>
      </c>
      <c r="Z113" s="426" t="e">
        <f aca="false">Z104/Z$105</f>
        <v>#DIV/0!</v>
      </c>
      <c r="AA113" s="426" t="e">
        <f aca="false">AA104/AA$105</f>
        <v>#DIV/0!</v>
      </c>
      <c r="AB113" s="426" t="e">
        <f aca="false">AB104/AB$105</f>
        <v>#DIV/0!</v>
      </c>
      <c r="AC113" s="426" t="e">
        <f aca="false">AC104/AC$105</f>
        <v>#DIV/0!</v>
      </c>
      <c r="AD113" s="426" t="e">
        <f aca="false">AD104/AD$105</f>
        <v>#DIV/0!</v>
      </c>
      <c r="AE113" s="426" t="e">
        <f aca="false">AE104/AE$105</f>
        <v>#DIV/0!</v>
      </c>
      <c r="AF113" s="426" t="e">
        <f aca="false">AF104/AF$105</f>
        <v>#DIV/0!</v>
      </c>
      <c r="AG113" s="426" t="e">
        <f aca="false">AG104/AG$105</f>
        <v>#DIV/0!</v>
      </c>
      <c r="AH113" s="426" t="e">
        <f aca="false">AH104/AH$105</f>
        <v>#DIV/0!</v>
      </c>
      <c r="AI113" s="426" t="e">
        <f aca="false">AI104/AI$105</f>
        <v>#DIV/0!</v>
      </c>
      <c r="AJ113" s="426" t="e">
        <f aca="false">AJ104/AJ$105</f>
        <v>#DIV/0!</v>
      </c>
      <c r="AK113" s="426" t="e">
        <f aca="false">AK104/AK$105</f>
        <v>#DIV/0!</v>
      </c>
      <c r="AL113" s="426" t="e">
        <f aca="false">AL104/AL$105</f>
        <v>#DIV/0!</v>
      </c>
      <c r="AM113" s="426" t="e">
        <f aca="false">AM104/AM$105</f>
        <v>#DIV/0!</v>
      </c>
      <c r="AN113" s="426" t="e">
        <f aca="false">AN104/AN$105</f>
        <v>#DIV/0!</v>
      </c>
      <c r="AO113" s="426" t="e">
        <f aca="false">AO104/AO$105</f>
        <v>#DIV/0!</v>
      </c>
      <c r="AP113" s="426" t="e">
        <f aca="false">AP104/AP$105</f>
        <v>#DIV/0!</v>
      </c>
      <c r="AQ113" s="426" t="e">
        <f aca="false">AQ104/AQ$105</f>
        <v>#DIV/0!</v>
      </c>
      <c r="AR113" s="426" t="e">
        <f aca="false">AR104/AR$105</f>
        <v>#DIV/0!</v>
      </c>
      <c r="AS113" s="426" t="e">
        <f aca="false">AS104/AS$105</f>
        <v>#DIV/0!</v>
      </c>
      <c r="AT113" s="426" t="e">
        <f aca="false">AT104/AT$105</f>
        <v>#DIV/0!</v>
      </c>
      <c r="AU113" s="426" t="e">
        <f aca="false">AU104/AU$105</f>
        <v>#DIV/0!</v>
      </c>
      <c r="AV113" s="426" t="e">
        <f aca="false">AV104/AV$105</f>
        <v>#DIV/0!</v>
      </c>
      <c r="AW113" s="426" t="e">
        <f aca="false">AW104/AW$105</f>
        <v>#DIV/0!</v>
      </c>
      <c r="AX113" s="426" t="e">
        <f aca="false">AX104/AX$105</f>
        <v>#DIV/0!</v>
      </c>
      <c r="AZ113" s="425"/>
      <c r="BA113" s="425"/>
      <c r="BB113" s="425"/>
      <c r="BC113" s="425"/>
      <c r="BD113" s="425"/>
      <c r="BE113" s="425"/>
      <c r="BF113" s="425"/>
      <c r="BG113" s="425"/>
      <c r="BH113" s="425"/>
      <c r="BI113" s="425"/>
      <c r="BJ113" s="425"/>
      <c r="BK113" s="425"/>
      <c r="BL113" s="425"/>
      <c r="BM113" s="425"/>
      <c r="BN113" s="425"/>
      <c r="BO113" s="425"/>
      <c r="BP113" s="425"/>
      <c r="BQ113" s="425"/>
      <c r="BR113" s="425"/>
      <c r="BS113" s="425"/>
      <c r="BT113" s="425"/>
      <c r="BU113" s="425"/>
      <c r="BV113" s="425"/>
      <c r="BW113" s="425"/>
      <c r="BX113" s="425"/>
      <c r="BY113" s="425"/>
      <c r="BZ113" s="425"/>
      <c r="CA113" s="425"/>
      <c r="CB113" s="425"/>
      <c r="CC113" s="425"/>
      <c r="CE113" s="425"/>
      <c r="CF113" s="425"/>
      <c r="CG113" s="425"/>
      <c r="CI113" s="425"/>
      <c r="CJ113" s="425"/>
      <c r="CK113" s="425"/>
      <c r="CL113" s="425"/>
      <c r="CM113" s="425"/>
      <c r="CN113" s="425"/>
    </row>
    <row r="115" customFormat="false" ht="15" hidden="false" customHeight="true" outlineLevel="0" collapsed="false">
      <c r="A115" s="412" t="s">
        <v>957</v>
      </c>
      <c r="B115" s="413"/>
      <c r="C115" s="413"/>
      <c r="D115" s="413"/>
      <c r="E115" s="413"/>
      <c r="F115" s="413"/>
      <c r="G115" s="413"/>
      <c r="H115" s="413"/>
      <c r="I115" s="413"/>
      <c r="J115" s="413"/>
      <c r="K115" s="413"/>
      <c r="L115" s="413"/>
      <c r="M115" s="413"/>
      <c r="N115" s="413"/>
      <c r="O115" s="413"/>
      <c r="P115" s="413"/>
      <c r="Q115" s="413"/>
      <c r="R115" s="413"/>
      <c r="S115" s="413"/>
      <c r="T115" s="413"/>
      <c r="U115" s="413"/>
      <c r="V115" s="413"/>
      <c r="W115" s="413"/>
      <c r="X115" s="413"/>
      <c r="Y115" s="413"/>
      <c r="Z115" s="413"/>
      <c r="AA115" s="413"/>
      <c r="AB115" s="413"/>
      <c r="AC115" s="413"/>
      <c r="AD115" s="413"/>
      <c r="AE115" s="413"/>
      <c r="AF115" s="413"/>
      <c r="AG115" s="413"/>
      <c r="AH115" s="413"/>
      <c r="AI115" s="413"/>
      <c r="AJ115" s="413"/>
      <c r="AK115" s="413"/>
      <c r="AL115" s="413"/>
      <c r="AM115" s="413"/>
      <c r="AN115" s="413"/>
      <c r="AO115" s="413"/>
      <c r="AP115" s="413"/>
      <c r="AQ115" s="413"/>
      <c r="AR115" s="413"/>
      <c r="AS115" s="413"/>
      <c r="AT115" s="413"/>
      <c r="AU115" s="413"/>
      <c r="AV115" s="413"/>
      <c r="AW115" s="413"/>
      <c r="AX115" s="413"/>
      <c r="AY115" s="413"/>
      <c r="AZ115" s="413"/>
      <c r="BA115" s="413"/>
      <c r="BB115" s="413"/>
      <c r="BC115" s="413"/>
      <c r="BD115" s="413"/>
      <c r="BE115" s="413"/>
      <c r="BF115" s="413"/>
      <c r="BG115" s="413"/>
      <c r="BH115" s="413"/>
      <c r="BI115" s="413"/>
      <c r="BJ115" s="413"/>
      <c r="BK115" s="413"/>
      <c r="BL115" s="413"/>
      <c r="BM115" s="413"/>
      <c r="BN115" s="413"/>
      <c r="BO115" s="413"/>
      <c r="BP115" s="413"/>
      <c r="BQ115" s="413"/>
      <c r="BR115" s="413"/>
      <c r="BS115" s="413"/>
      <c r="BT115" s="413"/>
      <c r="BU115" s="413"/>
      <c r="BV115" s="413"/>
      <c r="BW115" s="413"/>
      <c r="BX115" s="413"/>
      <c r="BY115" s="413"/>
      <c r="BZ115" s="413"/>
      <c r="CA115" s="413"/>
      <c r="CB115" s="413"/>
      <c r="CC115" s="413"/>
      <c r="CD115" s="413"/>
      <c r="CE115" s="413"/>
      <c r="CF115" s="413"/>
      <c r="CG115" s="413"/>
      <c r="CH115" s="413"/>
      <c r="CI115" s="413"/>
      <c r="CJ115" s="413"/>
      <c r="CK115" s="413"/>
      <c r="CL115" s="413"/>
      <c r="CM115" s="413"/>
      <c r="CN115" s="413"/>
    </row>
    <row r="116" customFormat="false" ht="15" hidden="false" customHeight="true" outlineLevel="0" collapsed="false">
      <c r="A116" s="414"/>
      <c r="B116" s="427"/>
      <c r="C116" s="427"/>
      <c r="D116" s="427"/>
      <c r="E116" s="428" t="n">
        <f aca="false">E40/E11*10^6</f>
        <v>178094.421966632</v>
      </c>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Z116" s="427"/>
      <c r="BA116" s="427"/>
      <c r="BB116" s="427"/>
      <c r="BC116" s="427"/>
      <c r="BD116" s="427"/>
      <c r="BE116" s="427"/>
      <c r="BF116" s="427"/>
      <c r="BG116" s="427"/>
      <c r="BH116" s="427"/>
      <c r="BI116" s="427"/>
      <c r="BJ116" s="427"/>
      <c r="BK116" s="427"/>
      <c r="BL116" s="427"/>
      <c r="BM116" s="427"/>
      <c r="BN116" s="427"/>
      <c r="BO116" s="427"/>
      <c r="BP116" s="427"/>
      <c r="BQ116" s="427"/>
      <c r="BR116" s="427"/>
      <c r="BS116" s="427"/>
      <c r="BT116" s="427"/>
      <c r="BU116" s="427"/>
      <c r="BV116" s="427"/>
      <c r="BW116" s="427"/>
      <c r="BX116" s="427"/>
      <c r="BY116" s="427"/>
      <c r="BZ116" s="427"/>
      <c r="CA116" s="427"/>
      <c r="CB116" s="427"/>
      <c r="CC116" s="427"/>
      <c r="CE116" s="427"/>
      <c r="CF116" s="427"/>
      <c r="CG116" s="427"/>
      <c r="CI116" s="427"/>
      <c r="CJ116" s="427"/>
      <c r="CK116" s="427"/>
      <c r="CL116" s="427"/>
      <c r="CM116" s="427"/>
      <c r="CN116" s="427"/>
    </row>
    <row r="117" customFormat="false" ht="15" hidden="false" customHeight="true" outlineLevel="0" collapsed="false">
      <c r="A117" s="414"/>
      <c r="B117" s="418"/>
      <c r="C117" s="417" t="n">
        <f aca="false">+C50-1722.094</f>
        <v>0</v>
      </c>
      <c r="D117" s="417" t="n">
        <f aca="false">+D50-2137.045</f>
        <v>0</v>
      </c>
      <c r="E117" s="417" t="n">
        <f aca="false">+E50+1408.115</f>
        <v>0</v>
      </c>
      <c r="F117" s="417" t="n">
        <f aca="false">+F50-2907.844</f>
        <v>0</v>
      </c>
      <c r="G117" s="417" t="n">
        <f aca="false">+G50-2944.1</f>
        <v>0</v>
      </c>
      <c r="H117" s="417" t="n">
        <f aca="false">+H50-1617.16</f>
        <v>0</v>
      </c>
      <c r="I117" s="417" t="n">
        <f aca="false">+I50-4761.669</f>
        <v>0</v>
      </c>
      <c r="J117" s="417" t="n">
        <f aca="false">+J50-1112.354</f>
        <v>0</v>
      </c>
      <c r="K117" s="417" t="n">
        <f aca="false">+K50-3342.597</f>
        <v>0</v>
      </c>
      <c r="L117" s="418"/>
      <c r="M117" s="417" t="n">
        <f aca="false">+M50-4848.6</f>
        <v>0</v>
      </c>
      <c r="N117" s="417" t="n">
        <f aca="false">+N50-6673.847</f>
        <v>0</v>
      </c>
      <c r="O117" s="417" t="n">
        <f aca="false">+O50-7431.2</f>
        <v>0</v>
      </c>
      <c r="P117" s="417" t="n">
        <f aca="false">+P50-3701.011</f>
        <v>0</v>
      </c>
      <c r="Q117" s="417" t="n">
        <f aca="false">+Q50-4216.3</f>
        <v>0</v>
      </c>
      <c r="R117" s="417" t="n">
        <f aca="false">+R50-4595.792</f>
        <v>0</v>
      </c>
      <c r="S117" s="417" t="n">
        <f aca="false">+S50-5277.4</f>
        <v>0</v>
      </c>
      <c r="T117" s="417" t="n">
        <f aca="false">+T50-3808.4</f>
        <v>0</v>
      </c>
      <c r="U117" s="417" t="n">
        <f aca="false">+U50-6529.9</f>
        <v>0</v>
      </c>
      <c r="V117" s="417" t="n">
        <f aca="false">+V50-2302.2</f>
        <v>0</v>
      </c>
      <c r="W117" s="417" t="n">
        <f aca="false">+W50-388.7</f>
        <v>2.89901436190121E-012</v>
      </c>
      <c r="X117" s="417" t="n">
        <f aca="false">+X50-277.5</f>
        <v>0</v>
      </c>
      <c r="Y117" s="417" t="n">
        <f aca="false">+Y50+573.2</f>
        <v>0</v>
      </c>
      <c r="Z117" s="417" t="n">
        <f aca="false">+Z50+3888</f>
        <v>0</v>
      </c>
      <c r="AA117" s="417" t="n">
        <f aca="false">+AA50+1466.7</f>
        <v>0</v>
      </c>
      <c r="AB117" s="417" t="n">
        <f aca="false">+AB50+193.8</f>
        <v>8.58335624798201E-012</v>
      </c>
      <c r="AC117" s="417" t="n">
        <f aca="false">+AC50-2411.7</f>
        <v>0</v>
      </c>
      <c r="AD117" s="417" t="n">
        <f aca="false">+AD50+2822.9</f>
        <v>0</v>
      </c>
      <c r="AE117" s="417" t="n">
        <f aca="false">+AE50+830.1</f>
        <v>-5.91171556152403E-012</v>
      </c>
      <c r="AF117" s="417" t="n">
        <f aca="false">+AF50-57.6</f>
        <v>1.55608859131462E-012</v>
      </c>
      <c r="AG117" s="417" t="n">
        <f aca="false">+AG50-9013.7</f>
        <v>0</v>
      </c>
      <c r="AH117" s="417" t="n">
        <f aca="false">+AH50-680.5</f>
        <v>2.8421709430404E-012</v>
      </c>
      <c r="AI117" s="417" t="n">
        <f aca="false">+AI50-1993.1</f>
        <v>0</v>
      </c>
      <c r="AJ117" s="417" t="n">
        <f aca="false">+AJ50-3613.4</f>
        <v>0</v>
      </c>
      <c r="AK117" s="417" t="n">
        <f aca="false">+AK50-7514.1</f>
        <v>0</v>
      </c>
      <c r="AL117" s="417" t="n">
        <f aca="false">+AL50-5764.2</f>
        <v>0</v>
      </c>
      <c r="AM117" s="417" t="n">
        <f aca="false">+AM50-5610.1</f>
        <v>0</v>
      </c>
      <c r="AN117" s="417" t="n">
        <f aca="false">+AN50-5800.3</f>
        <v>0</v>
      </c>
      <c r="AO117" s="417" t="n">
        <f aca="false">+AO50-9004.1</f>
        <v>0</v>
      </c>
      <c r="AP117" s="417" t="n">
        <f aca="false">+AP51-5255.8</f>
        <v>0</v>
      </c>
      <c r="AQ117" s="417" t="n">
        <f aca="false">+AQ50-7701</f>
        <v>0</v>
      </c>
      <c r="AR117" s="417" t="n">
        <f aca="false">+AR50-7617.4</f>
        <v>0</v>
      </c>
      <c r="AS117" s="417" t="n">
        <f aca="false">+AS50-12458.7</f>
        <v>0</v>
      </c>
      <c r="AT117" s="417" t="n">
        <f aca="false">+AT50-5937.3</f>
        <v>0</v>
      </c>
      <c r="AU117" s="417" t="n">
        <f aca="false">+AU50-7710.6</f>
        <v>0</v>
      </c>
      <c r="AV117" s="417" t="n">
        <f aca="false">+AV50-7960.2</f>
        <v>0</v>
      </c>
      <c r="AW117" s="417" t="n">
        <f aca="false">+AW50-14047.2</f>
        <v>0</v>
      </c>
      <c r="AX117" s="417" t="n">
        <f aca="false">+AX50-6091.1</f>
        <v>0</v>
      </c>
      <c r="AZ117" s="418"/>
      <c r="BA117" s="418"/>
      <c r="BB117" s="418"/>
      <c r="BC117" s="418"/>
      <c r="BD117" s="418"/>
      <c r="BE117" s="418"/>
      <c r="BF117" s="418"/>
      <c r="BG117" s="418"/>
      <c r="BH117" s="418"/>
      <c r="BI117" s="418"/>
      <c r="BJ117" s="418"/>
      <c r="BK117" s="418"/>
      <c r="BL117" s="418"/>
      <c r="BM117" s="418"/>
      <c r="BN117" s="418"/>
      <c r="BO117" s="418"/>
      <c r="BP117" s="418"/>
      <c r="BQ117" s="418"/>
      <c r="BR117" s="418"/>
      <c r="BS117" s="418"/>
      <c r="BT117" s="418"/>
      <c r="BU117" s="418"/>
      <c r="BV117" s="418"/>
      <c r="BW117" s="418"/>
      <c r="BX117" s="418"/>
      <c r="BY117" s="418"/>
      <c r="BZ117" s="418"/>
      <c r="CA117" s="418"/>
      <c r="CB117" s="418"/>
      <c r="CC117" s="418"/>
      <c r="CE117" s="418"/>
      <c r="CF117" s="418"/>
      <c r="CG117" s="418"/>
      <c r="CI117" s="418"/>
      <c r="CJ117" s="418"/>
      <c r="CK117" s="418"/>
      <c r="CL117" s="418"/>
      <c r="CM117" s="418"/>
      <c r="CN117" s="418"/>
    </row>
    <row r="118" customFormat="false" ht="15" hidden="false" customHeight="true" outlineLevel="0" collapsed="false">
      <c r="A118" s="414"/>
      <c r="B118" s="418"/>
      <c r="C118" s="418"/>
      <c r="D118" s="418"/>
      <c r="E118" s="417" t="n">
        <f aca="false">+E53+1393.825</f>
        <v>0</v>
      </c>
      <c r="F118" s="418"/>
      <c r="G118" s="417" t="n">
        <f aca="false">+G53-2974.927</f>
        <v>0</v>
      </c>
      <c r="H118" s="417" t="n">
        <f aca="false">+H53-1571.356</f>
        <v>0</v>
      </c>
      <c r="I118" s="417" t="n">
        <f aca="false">+I53-4952.446</f>
        <v>0</v>
      </c>
      <c r="J118" s="417" t="n">
        <f aca="false">+J53-1077.323</f>
        <v>0</v>
      </c>
      <c r="K118" s="417" t="n">
        <f aca="false">+K53-3168.512</f>
        <v>0</v>
      </c>
      <c r="L118" s="417" t="n">
        <f aca="false">+L53-4624.464</f>
        <v>0</v>
      </c>
      <c r="M118" s="417" t="n">
        <f aca="false">+M53-4624.464</f>
        <v>224.136000000005</v>
      </c>
      <c r="N118" s="417" t="n">
        <f aca="false">+N53-6400.957</f>
        <v>0</v>
      </c>
      <c r="O118" s="417" t="n">
        <f aca="false">+O53-4252.451</f>
        <v>3178.74899999999</v>
      </c>
      <c r="P118" s="417" t="n">
        <f aca="false">+P53-3455.826</f>
        <v>0</v>
      </c>
      <c r="Q118" s="417" t="n">
        <f aca="false">+Q53-3455.826</f>
        <v>515.288999999995</v>
      </c>
      <c r="R118" s="417" t="n">
        <f aca="false">+R53-4252.451</f>
        <v>0</v>
      </c>
      <c r="S118" s="418"/>
      <c r="T118" s="418"/>
      <c r="U118" s="418"/>
      <c r="V118" s="418"/>
      <c r="W118" s="418"/>
      <c r="X118" s="418"/>
      <c r="Y118" s="418"/>
      <c r="Z118" s="418"/>
      <c r="AA118" s="418"/>
      <c r="AB118" s="418"/>
      <c r="AC118" s="418"/>
      <c r="AD118" s="418"/>
      <c r="AE118" s="418"/>
      <c r="AF118" s="418"/>
      <c r="AG118" s="418"/>
      <c r="AH118" s="418"/>
      <c r="AI118" s="418"/>
      <c r="AJ118" s="418"/>
      <c r="AK118" s="418"/>
      <c r="AL118" s="418"/>
      <c r="AM118" s="418"/>
      <c r="AN118" s="418"/>
      <c r="AO118" s="418"/>
      <c r="AP118" s="418"/>
      <c r="AQ118" s="418"/>
      <c r="AR118" s="417" t="n">
        <f aca="false">+AR53-7625.2</f>
        <v>0</v>
      </c>
      <c r="AS118" s="417" t="n">
        <f aca="false">+AS53-12516.2</f>
        <v>0</v>
      </c>
      <c r="AT118" s="417" t="n">
        <f aca="false">+AT53-5809.2</f>
        <v>0</v>
      </c>
      <c r="AU118" s="417" t="n">
        <f aca="false">+AU53-7134.2</f>
        <v>0</v>
      </c>
      <c r="AV118" s="420" t="n">
        <f aca="false">+AV53-0</f>
        <v>7960.2</v>
      </c>
      <c r="AW118" s="417" t="n">
        <f aca="false">+AW53-13758.5</f>
        <v>0</v>
      </c>
      <c r="AX118" s="417" t="n">
        <f aca="false">+AX53-5998.6</f>
        <v>0</v>
      </c>
      <c r="AZ118" s="418"/>
      <c r="BA118" s="418"/>
      <c r="BB118" s="418"/>
      <c r="BC118" s="418"/>
      <c r="BD118" s="418"/>
      <c r="BE118" s="418"/>
      <c r="BF118" s="418"/>
      <c r="BG118" s="418"/>
      <c r="BH118" s="418"/>
      <c r="BI118" s="418"/>
      <c r="BJ118" s="418"/>
      <c r="BK118" s="418"/>
      <c r="BL118" s="418"/>
      <c r="BM118" s="418"/>
      <c r="BN118" s="418"/>
      <c r="BO118" s="418"/>
      <c r="BP118" s="418"/>
      <c r="BQ118" s="418"/>
      <c r="BR118" s="418"/>
      <c r="BS118" s="418"/>
      <c r="BT118" s="418"/>
      <c r="BU118" s="418"/>
      <c r="BV118" s="418"/>
      <c r="BW118" s="418"/>
      <c r="BX118" s="418"/>
      <c r="BY118" s="418"/>
      <c r="BZ118" s="418"/>
      <c r="CA118" s="418"/>
      <c r="CB118" s="418"/>
      <c r="CC118" s="418"/>
      <c r="CE118" s="418"/>
      <c r="CF118" s="418"/>
      <c r="CG118" s="418"/>
      <c r="CI118" s="418"/>
      <c r="CJ118" s="418"/>
      <c r="CK118" s="418"/>
      <c r="CL118" s="418"/>
      <c r="CM118" s="418"/>
      <c r="CN118" s="418"/>
    </row>
    <row r="119" customFormat="false" ht="15" hidden="false" customHeight="true" outlineLevel="0" collapsed="false">
      <c r="A119" s="414"/>
      <c r="B119" s="46" t="str">
        <f aca="false">+B$4&amp;" "&amp;B$5</f>
        <v>FY16 1Q</v>
      </c>
      <c r="C119" s="46" t="str">
        <f aca="false">+C$4&amp;" "&amp;C$5</f>
        <v>FY16 2Q</v>
      </c>
      <c r="D119" s="46" t="str">
        <f aca="false">+D$4&amp;" "&amp;D$5</f>
        <v>FY16 3Q</v>
      </c>
      <c r="E119" s="46" t="str">
        <f aca="false">+E$4&amp;" "&amp;E$5</f>
        <v>FY16 4Q</v>
      </c>
      <c r="F119" s="46" t="str">
        <f aca="false">+F$4&amp;" "&amp;F$5</f>
        <v>FY17 1Q</v>
      </c>
      <c r="G119" s="46" t="str">
        <f aca="false">+G$4&amp;" "&amp;G$5</f>
        <v>FY17 2Q</v>
      </c>
      <c r="H119" s="46" t="str">
        <f aca="false">+H$4&amp;" "&amp;H$5</f>
        <v>FY17 3Q</v>
      </c>
      <c r="I119" s="46" t="str">
        <f aca="false">+I$4&amp;" "&amp;I$5</f>
        <v>FY17 4Q</v>
      </c>
      <c r="J119" s="46" t="str">
        <f aca="false">+J$4&amp;" "&amp;J$5</f>
        <v>FY18 1Q</v>
      </c>
      <c r="K119" s="46" t="str">
        <f aca="false">+K$4&amp;" "&amp;K$5</f>
        <v>FY18 2Q</v>
      </c>
      <c r="L119" s="46" t="str">
        <f aca="false">+L$4&amp;" "&amp;L$5</f>
        <v>FY18 3Q</v>
      </c>
      <c r="M119" s="46" t="str">
        <f aca="false">+M$4&amp;" "&amp;M$5</f>
        <v>FY18 3Q rest.</v>
      </c>
      <c r="N119" s="46" t="str">
        <f aca="false">+N$4&amp;" "&amp;N$5</f>
        <v>FY18 4Q</v>
      </c>
      <c r="O119" s="46" t="str">
        <f aca="false">+O$4&amp;" "&amp;O$5</f>
        <v>FY18 4Q rest.</v>
      </c>
      <c r="P119" s="46" t="str">
        <f aca="false">+P$4&amp;" "&amp;P$5</f>
        <v>FY19 1Q</v>
      </c>
      <c r="Q119" s="46" t="str">
        <f aca="false">+Q$4&amp;" "&amp;Q$5</f>
        <v>FY19 1Q rest.</v>
      </c>
      <c r="R119" s="46" t="str">
        <f aca="false">+R$4&amp;" "&amp;R$5</f>
        <v>FY19 2Q</v>
      </c>
      <c r="S119" s="46" t="str">
        <f aca="false">+S$4&amp;" "&amp;S$5</f>
        <v>FY19 2Q rest.</v>
      </c>
      <c r="T119" s="46" t="str">
        <f aca="false">+T$4&amp;" "&amp;T$5</f>
        <v>FY19 3Q</v>
      </c>
      <c r="U119" s="46" t="str">
        <f aca="false">+U$4&amp;" "&amp;U$5</f>
        <v>FY19 4Q</v>
      </c>
      <c r="V119" s="46" t="str">
        <f aca="false">+V$4&amp;" "&amp;V$5</f>
        <v>FY20 1Q</v>
      </c>
      <c r="W119" s="46" t="str">
        <f aca="false">+W$4&amp;" "&amp;W$5</f>
        <v>FY20 2Q</v>
      </c>
      <c r="X119" s="46" t="str">
        <f aca="false">+X$4&amp;" "&amp;X$5</f>
        <v>FY20 3Q</v>
      </c>
      <c r="Y119" s="46" t="str">
        <f aca="false">+Y$4&amp;" "&amp;Y$5</f>
        <v>FY20 4Q</v>
      </c>
      <c r="Z119" s="46" t="str">
        <f aca="false">+Z$4&amp;" "&amp;Z$5</f>
        <v>FY21 1Q</v>
      </c>
      <c r="AA119" s="46" t="str">
        <f aca="false">+AA$4&amp;" "&amp;AA$5</f>
        <v>FY21 2Q</v>
      </c>
      <c r="AB119" s="46" t="str">
        <f aca="false">+AB$4&amp;" "&amp;AB$5</f>
        <v>FY21 3Q</v>
      </c>
      <c r="AC119" s="46" t="str">
        <f aca="false">+AC$4&amp;" "&amp;AC$5</f>
        <v>FY21 4Q</v>
      </c>
      <c r="AD119" s="46" t="str">
        <f aca="false">+AD$4&amp;" "&amp;AD$5</f>
        <v>FY22 1Q</v>
      </c>
      <c r="AE119" s="46" t="str">
        <f aca="false">+AE$4&amp;" "&amp;AE$5</f>
        <v>FY22 2Q</v>
      </c>
      <c r="AF119" s="46" t="str">
        <f aca="false">+AF$4&amp;" "&amp;AF$5</f>
        <v>FY22 3Q</v>
      </c>
      <c r="AG119" s="46" t="str">
        <f aca="false">+AG$4&amp;" "&amp;AG$5</f>
        <v>FY22 4Q</v>
      </c>
      <c r="AH119" s="46" t="str">
        <f aca="false">+AH$4&amp;" "&amp;AH$5</f>
        <v>FY23 1Q</v>
      </c>
      <c r="AI119" s="46" t="str">
        <f aca="false">+AI$4&amp;" "&amp;AI$5</f>
        <v>FY23 2Q</v>
      </c>
      <c r="AJ119" s="46" t="str">
        <f aca="false">+AJ$4&amp;" "&amp;AJ$5</f>
        <v>FY23 3Q</v>
      </c>
      <c r="AK119" s="46" t="str">
        <f aca="false">+AK$4&amp;" "&amp;AK$5</f>
        <v>FY23 4Q</v>
      </c>
      <c r="AL119" s="46" t="str">
        <f aca="false">+AL$4&amp;" "&amp;AL$5</f>
        <v>FY24 1Q</v>
      </c>
      <c r="AM119" s="46" t="str">
        <f aca="false">+AM$4&amp;" "&amp;AM$5</f>
        <v>FY24 2Q</v>
      </c>
      <c r="AN119" s="46" t="str">
        <f aca="false">+AN$4&amp;" "&amp;AN$5</f>
        <v>FY24 3Q</v>
      </c>
      <c r="AO119" s="46" t="str">
        <f aca="false">+AO$4&amp;" "&amp;AO$5</f>
        <v>FY24 4Q</v>
      </c>
      <c r="AP119" s="46" t="str">
        <f aca="false">+AP$4&amp;" "&amp;AP$5</f>
        <v>FY25 1Q</v>
      </c>
      <c r="AQ119" s="46" t="str">
        <f aca="false">+AQ$4&amp;" "&amp;AQ$5</f>
        <v>FY25 2Q</v>
      </c>
      <c r="AR119" s="46" t="str">
        <f aca="false">+AR$4&amp;" "&amp;AR$5</f>
        <v>FY25 3Q</v>
      </c>
      <c r="AS119" s="46" t="str">
        <f aca="false">+AS$4&amp;" "&amp;AS$5</f>
        <v>FY25 4Q</v>
      </c>
      <c r="AT119" s="46" t="str">
        <f aca="false">+AT$4&amp;" "&amp;AT$5</f>
        <v>FY26 1Q</v>
      </c>
      <c r="AU119" s="46" t="str">
        <f aca="false">+AU$4&amp;" "&amp;AU$5</f>
        <v>FY26 2Q</v>
      </c>
      <c r="AV119" s="46" t="str">
        <f aca="false">+AV$4&amp;" "&amp;AV$5</f>
        <v>FY26 3Q</v>
      </c>
      <c r="AW119" s="46" t="str">
        <f aca="false">+AW$4&amp;" "&amp;AW$5</f>
        <v>FY26 4Q</v>
      </c>
      <c r="AX119" s="46" t="str">
        <f aca="false">+AX$4&amp;" "&amp;AX$5</f>
        <v>FY27 1Q</v>
      </c>
      <c r="AZ119" s="418"/>
      <c r="BA119" s="418"/>
      <c r="BB119" s="418"/>
      <c r="BC119" s="418"/>
      <c r="BD119" s="418"/>
      <c r="BE119" s="418"/>
      <c r="BF119" s="418"/>
      <c r="BG119" s="418"/>
      <c r="BH119" s="418"/>
      <c r="BI119" s="418"/>
      <c r="BJ119" s="418"/>
      <c r="BK119" s="418"/>
      <c r="BL119" s="418"/>
      <c r="BM119" s="418"/>
      <c r="BN119" s="418"/>
      <c r="BO119" s="418"/>
      <c r="BP119" s="418"/>
      <c r="BQ119" s="418"/>
      <c r="BR119" s="418"/>
      <c r="BS119" s="418"/>
      <c r="BT119" s="418"/>
      <c r="BU119" s="418"/>
      <c r="BV119" s="418"/>
      <c r="BW119" s="418"/>
      <c r="BX119" s="418"/>
      <c r="BY119" s="418"/>
      <c r="BZ119" s="418"/>
      <c r="CA119" s="418"/>
      <c r="CB119" s="418"/>
      <c r="CC119" s="418"/>
      <c r="CE119" s="418"/>
      <c r="CF119" s="418"/>
      <c r="CG119" s="418"/>
      <c r="CI119" s="418"/>
      <c r="CJ119" s="418"/>
      <c r="CK119" s="418"/>
      <c r="CL119" s="418"/>
      <c r="CM119" s="418"/>
      <c r="CN119" s="418"/>
    </row>
    <row r="121" customFormat="false" ht="15" hidden="false" customHeight="true" outlineLevel="0" collapsed="false">
      <c r="A121" s="412" t="s">
        <v>958</v>
      </c>
      <c r="B121" s="413"/>
      <c r="C121" s="413"/>
      <c r="D121" s="413"/>
      <c r="E121" s="413"/>
      <c r="F121" s="413"/>
      <c r="G121" s="413"/>
      <c r="H121" s="413"/>
      <c r="I121" s="413"/>
      <c r="J121" s="413"/>
      <c r="K121" s="413"/>
      <c r="L121" s="413"/>
      <c r="M121" s="413"/>
      <c r="N121" s="413"/>
      <c r="O121" s="413"/>
      <c r="P121" s="413"/>
      <c r="Q121" s="413"/>
      <c r="R121" s="413"/>
      <c r="S121" s="413"/>
      <c r="T121" s="413"/>
      <c r="U121" s="413"/>
      <c r="V121" s="413"/>
      <c r="W121" s="413"/>
      <c r="X121" s="413"/>
      <c r="Y121" s="413"/>
      <c r="Z121" s="413"/>
      <c r="AA121" s="413"/>
      <c r="AB121" s="413"/>
      <c r="AC121" s="413"/>
      <c r="AD121" s="413"/>
      <c r="AE121" s="413"/>
      <c r="AF121" s="413"/>
      <c r="AG121" s="413"/>
      <c r="AH121" s="413"/>
      <c r="AI121" s="413"/>
      <c r="AJ121" s="413"/>
      <c r="AK121" s="413"/>
      <c r="AL121" s="413"/>
      <c r="AM121" s="413"/>
      <c r="AN121" s="413"/>
      <c r="AO121" s="413"/>
      <c r="AP121" s="413"/>
      <c r="AQ121" s="413"/>
      <c r="AR121" s="413"/>
      <c r="AS121" s="413"/>
      <c r="AT121" s="413"/>
      <c r="AU121" s="413"/>
      <c r="AV121" s="413"/>
      <c r="AW121" s="413"/>
      <c r="AX121" s="413"/>
      <c r="AY121" s="413"/>
      <c r="AZ121" s="413"/>
      <c r="BA121" s="413"/>
      <c r="BB121" s="413"/>
      <c r="BC121" s="413"/>
      <c r="BD121" s="413"/>
      <c r="BE121" s="413"/>
      <c r="BF121" s="413"/>
      <c r="BG121" s="413"/>
      <c r="BH121" s="413"/>
      <c r="BI121" s="413"/>
      <c r="BJ121" s="413"/>
      <c r="BK121" s="413"/>
      <c r="BL121" s="413"/>
      <c r="BM121" s="413"/>
      <c r="BN121" s="413"/>
      <c r="BO121" s="413"/>
      <c r="BP121" s="413"/>
      <c r="BQ121" s="413"/>
      <c r="BR121" s="413"/>
      <c r="BS121" s="413"/>
      <c r="BT121" s="413"/>
      <c r="BU121" s="413"/>
      <c r="BV121" s="413"/>
      <c r="BW121" s="413"/>
      <c r="BX121" s="413"/>
      <c r="BY121" s="413"/>
      <c r="BZ121" s="413"/>
      <c r="CA121" s="413"/>
      <c r="CB121" s="413"/>
      <c r="CC121" s="413"/>
      <c r="CD121" s="413"/>
      <c r="CE121" s="413"/>
      <c r="CF121" s="413"/>
      <c r="CG121" s="413"/>
      <c r="CH121" s="413"/>
      <c r="CI121" s="413"/>
      <c r="CJ121" s="413"/>
      <c r="CK121" s="413"/>
      <c r="CL121" s="413"/>
      <c r="CM121" s="413"/>
      <c r="CN121" s="413"/>
    </row>
    <row r="122" customFormat="false" ht="15" hidden="false" customHeight="true" outlineLevel="0" collapsed="false">
      <c r="A122" s="414" t="s">
        <v>959</v>
      </c>
      <c r="B122" s="418"/>
      <c r="C122" s="418"/>
      <c r="D122" s="418"/>
      <c r="E122" s="418"/>
      <c r="F122" s="418"/>
      <c r="G122" s="418"/>
      <c r="H122" s="418"/>
      <c r="I122" s="418"/>
      <c r="J122" s="418"/>
      <c r="K122" s="418"/>
      <c r="L122" s="418"/>
      <c r="M122" s="418"/>
      <c r="N122" s="418"/>
      <c r="O122" s="418"/>
      <c r="P122" s="418"/>
      <c r="Q122" s="418"/>
      <c r="R122" s="418"/>
      <c r="S122" s="418"/>
      <c r="T122" s="418"/>
      <c r="U122" s="418"/>
      <c r="V122" s="418"/>
      <c r="W122" s="418"/>
      <c r="X122" s="418"/>
      <c r="Y122" s="418"/>
      <c r="Z122" s="418"/>
      <c r="AA122" s="418"/>
      <c r="AB122" s="418"/>
      <c r="AC122" s="418"/>
      <c r="AD122" s="418"/>
      <c r="AE122" s="418"/>
      <c r="AF122" s="418"/>
      <c r="AG122" s="418"/>
      <c r="AH122" s="418"/>
      <c r="AI122" s="418"/>
      <c r="AJ122" s="418"/>
      <c r="AK122" s="418"/>
      <c r="AL122" s="418"/>
      <c r="AM122" s="418"/>
      <c r="AN122" s="418"/>
      <c r="AO122" s="418"/>
      <c r="AP122" s="418"/>
      <c r="AQ122" s="418"/>
      <c r="AR122" s="418"/>
      <c r="AS122" s="418"/>
      <c r="AT122" s="418"/>
      <c r="AU122" s="418"/>
      <c r="AV122" s="418"/>
      <c r="AW122" s="418"/>
      <c r="AX122" s="418"/>
      <c r="AZ122" s="418"/>
      <c r="BA122" s="418"/>
      <c r="BB122" s="418"/>
      <c r="BC122" s="418"/>
      <c r="BD122" s="418"/>
      <c r="BE122" s="418"/>
      <c r="BF122" s="418"/>
      <c r="BG122" s="418"/>
      <c r="BH122" s="418"/>
      <c r="BI122" s="418"/>
      <c r="BJ122" s="418"/>
      <c r="BK122" s="418"/>
      <c r="BL122" s="418"/>
      <c r="BM122" s="418"/>
      <c r="BN122" s="418"/>
      <c r="BO122" s="418"/>
      <c r="BP122" s="418"/>
      <c r="BQ122" s="418"/>
      <c r="BR122" s="418"/>
      <c r="BS122" s="418"/>
      <c r="BT122" s="418"/>
      <c r="BU122" s="418"/>
      <c r="BV122" s="418"/>
      <c r="BW122" s="418"/>
      <c r="BX122" s="418"/>
      <c r="BY122" s="418"/>
      <c r="BZ122" s="418"/>
      <c r="CA122" s="418"/>
      <c r="CB122" s="418"/>
      <c r="CC122" s="418"/>
      <c r="CE122" s="418"/>
      <c r="CF122" s="418"/>
      <c r="CG122" s="418"/>
      <c r="CI122" s="418"/>
      <c r="CJ122" s="418"/>
      <c r="CK122" s="418"/>
      <c r="CL122" s="418"/>
      <c r="CM122" s="418"/>
      <c r="CN122" s="418"/>
    </row>
    <row r="123" customFormat="false" ht="15" hidden="false" customHeight="true" outlineLevel="0" collapsed="false">
      <c r="A123" s="414" t="s">
        <v>960</v>
      </c>
      <c r="B123" s="418"/>
      <c r="C123" s="418"/>
      <c r="D123" s="418"/>
      <c r="E123" s="418"/>
      <c r="F123" s="418"/>
      <c r="G123" s="418"/>
      <c r="H123" s="418"/>
      <c r="I123" s="418"/>
      <c r="J123" s="418"/>
      <c r="K123" s="418"/>
      <c r="L123" s="418"/>
      <c r="M123" s="418"/>
      <c r="N123" s="418"/>
      <c r="O123" s="418"/>
      <c r="P123" s="418"/>
      <c r="Q123" s="418"/>
      <c r="R123" s="418"/>
      <c r="S123" s="418"/>
      <c r="T123" s="418"/>
      <c r="U123" s="418"/>
      <c r="V123" s="418"/>
      <c r="W123" s="418"/>
      <c r="X123" s="418"/>
      <c r="Y123" s="418"/>
      <c r="Z123" s="418"/>
      <c r="AA123" s="418"/>
      <c r="AB123" s="418"/>
      <c r="AC123" s="418"/>
      <c r="AD123" s="418"/>
      <c r="AE123" s="418"/>
      <c r="AF123" s="418"/>
      <c r="AG123" s="418"/>
      <c r="AH123" s="418"/>
      <c r="AI123" s="418"/>
      <c r="AJ123" s="418"/>
      <c r="AK123" s="418"/>
      <c r="AL123" s="418"/>
      <c r="AM123" s="418"/>
      <c r="AN123" s="418"/>
      <c r="AO123" s="418"/>
      <c r="AP123" s="418"/>
      <c r="AQ123" s="418"/>
      <c r="AR123" s="418"/>
      <c r="AS123" s="418"/>
      <c r="AT123" s="418"/>
      <c r="AU123" s="418"/>
      <c r="AV123" s="418"/>
      <c r="AW123" s="418"/>
      <c r="AX123" s="418"/>
      <c r="AZ123" s="418"/>
      <c r="BA123" s="418"/>
      <c r="BB123" s="418"/>
      <c r="BC123" s="418"/>
      <c r="BD123" s="418"/>
      <c r="BE123" s="418"/>
      <c r="BF123" s="418"/>
      <c r="BG123" s="418"/>
      <c r="BH123" s="418"/>
      <c r="BI123" s="418"/>
      <c r="BJ123" s="418"/>
      <c r="BK123" s="418"/>
      <c r="BL123" s="418"/>
      <c r="BM123" s="418"/>
      <c r="BN123" s="418"/>
      <c r="BO123" s="418"/>
      <c r="BP123" s="418"/>
      <c r="BQ123" s="418"/>
      <c r="BR123" s="418"/>
      <c r="BS123" s="418"/>
      <c r="BT123" s="418"/>
      <c r="BU123" s="418"/>
      <c r="BV123" s="418"/>
      <c r="BW123" s="418"/>
      <c r="BX123" s="418"/>
      <c r="BY123" s="418"/>
      <c r="BZ123" s="418"/>
      <c r="CA123" s="418"/>
      <c r="CB123" s="418"/>
      <c r="CC123" s="418"/>
      <c r="CE123" s="418"/>
      <c r="CF123" s="418"/>
      <c r="CG123" s="418"/>
      <c r="CI123" s="418"/>
      <c r="CJ123" s="418"/>
      <c r="CK123" s="418"/>
      <c r="CL123" s="418"/>
      <c r="CM123" s="418"/>
      <c r="CN123" s="418"/>
    </row>
    <row r="124" customFormat="false" ht="15" hidden="false" customHeight="true" outlineLevel="0" collapsed="false">
      <c r="A124" s="414" t="s">
        <v>961</v>
      </c>
      <c r="B124" s="418"/>
      <c r="C124" s="418"/>
      <c r="D124" s="418"/>
      <c r="E124" s="418"/>
      <c r="F124" s="418"/>
      <c r="G124" s="418"/>
      <c r="H124" s="418"/>
      <c r="I124" s="418"/>
      <c r="J124" s="418"/>
      <c r="K124" s="418"/>
      <c r="L124" s="418"/>
      <c r="M124" s="418"/>
      <c r="N124" s="418"/>
      <c r="O124" s="418"/>
      <c r="P124" s="418"/>
      <c r="Q124" s="418"/>
      <c r="R124" s="418"/>
      <c r="S124" s="418"/>
      <c r="T124" s="418"/>
      <c r="U124" s="418"/>
      <c r="V124" s="418"/>
      <c r="W124" s="418"/>
      <c r="X124" s="418"/>
      <c r="Y124" s="418"/>
      <c r="Z124" s="418"/>
      <c r="AA124" s="418"/>
      <c r="AB124" s="418"/>
      <c r="AC124" s="418"/>
      <c r="AD124" s="418"/>
      <c r="AE124" s="418"/>
      <c r="AF124" s="418"/>
      <c r="AG124" s="418"/>
      <c r="AH124" s="418"/>
      <c r="AI124" s="418"/>
      <c r="AJ124" s="418"/>
      <c r="AK124" s="418"/>
      <c r="AL124" s="418"/>
      <c r="AM124" s="418"/>
      <c r="AN124" s="418"/>
      <c r="AO124" s="418"/>
      <c r="AP124" s="418"/>
      <c r="AQ124" s="418"/>
      <c r="AR124" s="418"/>
      <c r="AS124" s="418"/>
      <c r="AT124" s="418"/>
      <c r="AU124" s="418"/>
      <c r="AV124" s="418"/>
      <c r="AW124" s="418"/>
      <c r="AX124" s="418"/>
      <c r="AZ124" s="418"/>
      <c r="BA124" s="418"/>
      <c r="BB124" s="418"/>
      <c r="BC124" s="418"/>
      <c r="BD124" s="418"/>
      <c r="BE124" s="418"/>
      <c r="BF124" s="418"/>
      <c r="BG124" s="418"/>
      <c r="BH124" s="418"/>
      <c r="BI124" s="418"/>
      <c r="BJ124" s="418"/>
      <c r="BK124" s="418"/>
      <c r="BL124" s="418"/>
      <c r="BM124" s="418"/>
      <c r="BN124" s="418"/>
      <c r="BO124" s="418"/>
      <c r="BP124" s="418"/>
      <c r="BQ124" s="418"/>
      <c r="BR124" s="418"/>
      <c r="BS124" s="418"/>
      <c r="BT124" s="418"/>
      <c r="BU124" s="418"/>
      <c r="BV124" s="418"/>
      <c r="BW124" s="418"/>
      <c r="BX124" s="418"/>
      <c r="BY124" s="418"/>
      <c r="BZ124" s="418"/>
      <c r="CA124" s="418"/>
      <c r="CB124" s="418"/>
      <c r="CC124" s="418"/>
      <c r="CE124" s="418"/>
      <c r="CF124" s="418"/>
      <c r="CG124" s="418"/>
      <c r="CI124" s="418"/>
      <c r="CJ124" s="418"/>
      <c r="CK124" s="418"/>
      <c r="CL124" s="418"/>
      <c r="CM124" s="418"/>
      <c r="CN124" s="418"/>
    </row>
    <row r="125" customFormat="false" ht="15" hidden="false" customHeight="true" outlineLevel="0" collapsed="false">
      <c r="A125" s="414" t="s">
        <v>962</v>
      </c>
      <c r="B125" s="418"/>
      <c r="C125" s="418"/>
      <c r="D125" s="418"/>
      <c r="E125" s="418"/>
      <c r="F125" s="418"/>
      <c r="G125" s="418"/>
      <c r="H125" s="418"/>
      <c r="I125" s="418"/>
      <c r="J125" s="418"/>
      <c r="K125" s="418"/>
      <c r="L125" s="418"/>
      <c r="M125" s="418"/>
      <c r="N125" s="418"/>
      <c r="O125" s="418"/>
      <c r="P125" s="418"/>
      <c r="Q125" s="418"/>
      <c r="R125" s="418"/>
      <c r="S125" s="418"/>
      <c r="T125" s="418"/>
      <c r="U125" s="418"/>
      <c r="V125" s="418"/>
      <c r="W125" s="418"/>
      <c r="X125" s="418"/>
      <c r="Y125" s="418"/>
      <c r="Z125" s="418"/>
      <c r="AA125" s="418"/>
      <c r="AB125" s="418"/>
      <c r="AC125" s="418"/>
      <c r="AD125" s="418"/>
      <c r="AE125" s="418"/>
      <c r="AF125" s="418"/>
      <c r="AG125" s="418"/>
      <c r="AH125" s="418"/>
      <c r="AI125" s="418"/>
      <c r="AJ125" s="418"/>
      <c r="AK125" s="418"/>
      <c r="AL125" s="418"/>
      <c r="AM125" s="418"/>
      <c r="AN125" s="418"/>
      <c r="AO125" s="418"/>
      <c r="AP125" s="418"/>
      <c r="AQ125" s="418"/>
      <c r="AR125" s="418"/>
      <c r="AS125" s="418"/>
      <c r="AT125" s="418"/>
      <c r="AU125" s="418"/>
      <c r="AV125" s="418"/>
      <c r="AW125" s="418"/>
      <c r="AX125" s="418"/>
      <c r="AZ125" s="418"/>
      <c r="BA125" s="418"/>
      <c r="BB125" s="418"/>
      <c r="BC125" s="418"/>
      <c r="BD125" s="418"/>
      <c r="BE125" s="418"/>
      <c r="BF125" s="418"/>
      <c r="BG125" s="418"/>
      <c r="BH125" s="418"/>
      <c r="BI125" s="418"/>
      <c r="BJ125" s="418"/>
      <c r="BK125" s="418"/>
      <c r="BL125" s="418"/>
      <c r="BM125" s="418"/>
      <c r="BN125" s="418"/>
      <c r="BO125" s="418"/>
      <c r="BP125" s="418"/>
      <c r="BQ125" s="418"/>
      <c r="BR125" s="418"/>
      <c r="BS125" s="418"/>
      <c r="BT125" s="418"/>
      <c r="BU125" s="418"/>
      <c r="BV125" s="418"/>
      <c r="BW125" s="418"/>
      <c r="BX125" s="418"/>
      <c r="BY125" s="418"/>
      <c r="BZ125" s="418"/>
      <c r="CA125" s="418"/>
      <c r="CB125" s="418"/>
      <c r="CC125" s="418"/>
      <c r="CE125" s="418"/>
      <c r="CF125" s="418"/>
      <c r="CG125" s="418"/>
      <c r="CI125" s="418"/>
      <c r="CJ125" s="418"/>
      <c r="CK125" s="418"/>
      <c r="CL125" s="418"/>
      <c r="CM125" s="418"/>
      <c r="CN125" s="418"/>
    </row>
    <row r="126" customFormat="false" ht="15" hidden="false" customHeight="true" outlineLevel="0" collapsed="false">
      <c r="A126" s="414" t="s">
        <v>960</v>
      </c>
      <c r="B126" s="418"/>
      <c r="C126" s="418"/>
      <c r="D126" s="418"/>
      <c r="E126" s="418"/>
      <c r="F126" s="418"/>
      <c r="G126" s="418"/>
      <c r="H126" s="418"/>
      <c r="I126" s="418"/>
      <c r="J126" s="418"/>
      <c r="K126" s="418"/>
      <c r="L126" s="418"/>
      <c r="M126" s="418"/>
      <c r="N126" s="418"/>
      <c r="O126" s="418"/>
      <c r="P126" s="418"/>
      <c r="Q126" s="418"/>
      <c r="R126" s="418"/>
      <c r="S126" s="418"/>
      <c r="T126" s="418"/>
      <c r="U126" s="418"/>
      <c r="V126" s="418"/>
      <c r="W126" s="418"/>
      <c r="X126" s="418"/>
      <c r="Y126" s="418"/>
      <c r="Z126" s="418"/>
      <c r="AA126" s="418"/>
      <c r="AB126" s="418"/>
      <c r="AC126" s="418"/>
      <c r="AD126" s="418"/>
      <c r="AE126" s="418"/>
      <c r="AF126" s="418"/>
      <c r="AG126" s="418"/>
      <c r="AH126" s="418"/>
      <c r="AI126" s="418"/>
      <c r="AJ126" s="418"/>
      <c r="AK126" s="418"/>
      <c r="AL126" s="418"/>
      <c r="AM126" s="418"/>
      <c r="AN126" s="418"/>
      <c r="AO126" s="418"/>
      <c r="AP126" s="418"/>
      <c r="AQ126" s="418"/>
      <c r="AR126" s="418"/>
      <c r="AS126" s="418"/>
      <c r="AT126" s="418"/>
      <c r="AU126" s="418"/>
      <c r="AV126" s="418"/>
      <c r="AW126" s="418"/>
      <c r="AX126" s="418"/>
      <c r="AZ126" s="418"/>
      <c r="BA126" s="418"/>
      <c r="BB126" s="418"/>
      <c r="BC126" s="418"/>
      <c r="BD126" s="418"/>
      <c r="BE126" s="418"/>
      <c r="BF126" s="418"/>
      <c r="BG126" s="418"/>
      <c r="BH126" s="418"/>
      <c r="BI126" s="418"/>
      <c r="BJ126" s="418"/>
      <c r="BK126" s="418"/>
      <c r="BL126" s="418"/>
      <c r="BM126" s="418"/>
      <c r="BN126" s="418"/>
      <c r="BO126" s="418"/>
      <c r="BP126" s="418"/>
      <c r="BQ126" s="418"/>
      <c r="BR126" s="418"/>
      <c r="BS126" s="418"/>
      <c r="BT126" s="418"/>
      <c r="BU126" s="418"/>
      <c r="BV126" s="418"/>
      <c r="BW126" s="418"/>
      <c r="BX126" s="418"/>
      <c r="BY126" s="418"/>
      <c r="BZ126" s="418"/>
      <c r="CA126" s="418"/>
      <c r="CB126" s="418"/>
      <c r="CC126" s="418"/>
      <c r="CE126" s="418"/>
      <c r="CF126" s="418"/>
      <c r="CG126" s="418"/>
      <c r="CI126" s="418"/>
      <c r="CJ126" s="418"/>
      <c r="CK126" s="418"/>
      <c r="CL126" s="418"/>
      <c r="CM126" s="418"/>
      <c r="CN126" s="418"/>
    </row>
    <row r="127" customFormat="false" ht="15" hidden="false" customHeight="true" outlineLevel="0" collapsed="false">
      <c r="A127" s="414" t="s">
        <v>961</v>
      </c>
      <c r="B127" s="418"/>
      <c r="C127" s="418"/>
      <c r="D127" s="418"/>
      <c r="E127" s="418"/>
      <c r="F127" s="418"/>
      <c r="G127" s="418"/>
      <c r="H127" s="418"/>
      <c r="I127" s="418"/>
      <c r="J127" s="418"/>
      <c r="K127" s="418"/>
      <c r="L127" s="418"/>
      <c r="M127" s="418"/>
      <c r="N127" s="418"/>
      <c r="O127" s="418"/>
      <c r="P127" s="418"/>
      <c r="Q127" s="418"/>
      <c r="R127" s="418"/>
      <c r="S127" s="418"/>
      <c r="T127" s="418"/>
      <c r="U127" s="418"/>
      <c r="V127" s="418"/>
      <c r="W127" s="418"/>
      <c r="X127" s="418"/>
      <c r="Y127" s="418"/>
      <c r="Z127" s="418"/>
      <c r="AA127" s="418"/>
      <c r="AB127" s="418"/>
      <c r="AC127" s="418"/>
      <c r="AD127" s="418"/>
      <c r="AE127" s="418"/>
      <c r="AF127" s="418"/>
      <c r="AG127" s="418"/>
      <c r="AH127" s="418"/>
      <c r="AI127" s="418"/>
      <c r="AJ127" s="418"/>
      <c r="AK127" s="418"/>
      <c r="AL127" s="418"/>
      <c r="AM127" s="418"/>
      <c r="AN127" s="418"/>
      <c r="AO127" s="418"/>
      <c r="AP127" s="418"/>
      <c r="AQ127" s="418"/>
      <c r="AR127" s="418"/>
      <c r="AS127" s="418"/>
      <c r="AT127" s="418"/>
      <c r="AU127" s="418"/>
      <c r="AV127" s="418"/>
      <c r="AW127" s="418"/>
      <c r="AX127" s="418"/>
      <c r="AZ127" s="418"/>
      <c r="BA127" s="418"/>
      <c r="BB127" s="418"/>
      <c r="BC127" s="418"/>
      <c r="BD127" s="418"/>
      <c r="BE127" s="418"/>
      <c r="BF127" s="418"/>
      <c r="BG127" s="418"/>
      <c r="BH127" s="418"/>
      <c r="BI127" s="418"/>
      <c r="BJ127" s="418"/>
      <c r="BK127" s="418"/>
      <c r="BL127" s="418"/>
      <c r="BM127" s="418"/>
      <c r="BN127" s="418"/>
      <c r="BO127" s="418"/>
      <c r="BP127" s="418"/>
      <c r="BQ127" s="418"/>
      <c r="BR127" s="418"/>
      <c r="BS127" s="418"/>
      <c r="BT127" s="418"/>
      <c r="BU127" s="418"/>
      <c r="BV127" s="418"/>
      <c r="BW127" s="418"/>
      <c r="BX127" s="418"/>
      <c r="BY127" s="418"/>
      <c r="BZ127" s="418"/>
      <c r="CA127" s="418"/>
      <c r="CB127" s="418"/>
      <c r="CC127" s="418"/>
      <c r="CE127" s="418"/>
      <c r="CF127" s="418"/>
      <c r="CG127" s="418"/>
      <c r="CI127" s="418"/>
      <c r="CJ127" s="418"/>
      <c r="CK127" s="418"/>
      <c r="CL127" s="418"/>
      <c r="CM127" s="418"/>
      <c r="CN127" s="418"/>
    </row>
    <row r="128" customFormat="false" ht="15" hidden="false" customHeight="true" outlineLevel="0" collapsed="false">
      <c r="A128" s="414" t="s">
        <v>963</v>
      </c>
      <c r="B128" s="418"/>
      <c r="C128" s="418"/>
      <c r="D128" s="418"/>
      <c r="E128" s="418"/>
      <c r="F128" s="418"/>
      <c r="G128" s="418"/>
      <c r="H128" s="418"/>
      <c r="I128" s="418"/>
      <c r="J128" s="418"/>
      <c r="K128" s="418"/>
      <c r="L128" s="418"/>
      <c r="M128" s="418"/>
      <c r="N128" s="418"/>
      <c r="O128" s="418"/>
      <c r="P128" s="418"/>
      <c r="Q128" s="418"/>
      <c r="R128" s="418"/>
      <c r="S128" s="418"/>
      <c r="T128" s="418"/>
      <c r="U128" s="418"/>
      <c r="V128" s="418"/>
      <c r="W128" s="418"/>
      <c r="X128" s="418"/>
      <c r="Y128" s="418"/>
      <c r="Z128" s="418"/>
      <c r="AA128" s="418"/>
      <c r="AB128" s="418"/>
      <c r="AC128" s="418"/>
      <c r="AD128" s="418"/>
      <c r="AE128" s="418"/>
      <c r="AF128" s="418"/>
      <c r="AG128" s="418"/>
      <c r="AH128" s="418"/>
      <c r="AI128" s="418"/>
      <c r="AJ128" s="418"/>
      <c r="AK128" s="418"/>
      <c r="AL128" s="418"/>
      <c r="AM128" s="418"/>
      <c r="AN128" s="418"/>
      <c r="AO128" s="418"/>
      <c r="AP128" s="418"/>
      <c r="AQ128" s="418"/>
      <c r="AR128" s="418"/>
      <c r="AS128" s="418"/>
      <c r="AT128" s="418"/>
      <c r="AU128" s="418"/>
      <c r="AV128" s="418"/>
      <c r="AW128" s="418"/>
      <c r="AX128" s="418"/>
      <c r="AZ128" s="418"/>
      <c r="BA128" s="418"/>
      <c r="BB128" s="418"/>
      <c r="BC128" s="418"/>
      <c r="BD128" s="418"/>
      <c r="BE128" s="418"/>
      <c r="BF128" s="418"/>
      <c r="BG128" s="418"/>
      <c r="BH128" s="418"/>
      <c r="BI128" s="418"/>
      <c r="BJ128" s="418"/>
      <c r="BK128" s="418"/>
      <c r="BL128" s="418"/>
      <c r="BM128" s="418"/>
      <c r="BN128" s="418"/>
      <c r="BO128" s="418"/>
      <c r="BP128" s="418"/>
      <c r="BQ128" s="418"/>
      <c r="BR128" s="418"/>
      <c r="BS128" s="418"/>
      <c r="BT128" s="418"/>
      <c r="BU128" s="418"/>
      <c r="BV128" s="418"/>
      <c r="BW128" s="418"/>
      <c r="BX128" s="418"/>
      <c r="BY128" s="418"/>
      <c r="BZ128" s="418"/>
      <c r="CA128" s="418"/>
      <c r="CB128" s="418"/>
      <c r="CC128" s="418"/>
      <c r="CE128" s="418"/>
      <c r="CF128" s="418"/>
      <c r="CG128" s="418"/>
      <c r="CI128" s="418"/>
      <c r="CJ128" s="418"/>
      <c r="CK128" s="418"/>
      <c r="CL128" s="418"/>
      <c r="CM128" s="418"/>
      <c r="CN128" s="418"/>
    </row>
    <row r="129" customFormat="false" ht="15" hidden="false" customHeight="true" outlineLevel="0" collapsed="false">
      <c r="A129" s="414" t="s">
        <v>950</v>
      </c>
      <c r="B129" s="418"/>
      <c r="C129" s="418"/>
      <c r="D129" s="418"/>
      <c r="E129" s="418"/>
      <c r="F129" s="418"/>
      <c r="G129" s="418"/>
      <c r="H129" s="418"/>
      <c r="I129" s="418"/>
      <c r="J129" s="418"/>
      <c r="K129" s="418"/>
      <c r="L129" s="418"/>
      <c r="M129" s="418"/>
      <c r="N129" s="418"/>
      <c r="O129" s="418"/>
      <c r="P129" s="418"/>
      <c r="Q129" s="418"/>
      <c r="R129" s="418"/>
      <c r="S129" s="418"/>
      <c r="T129" s="418"/>
      <c r="U129" s="418"/>
      <c r="V129" s="418"/>
      <c r="W129" s="418"/>
      <c r="X129" s="418"/>
      <c r="Y129" s="418"/>
      <c r="Z129" s="418"/>
      <c r="AA129" s="418"/>
      <c r="AB129" s="418"/>
      <c r="AC129" s="418"/>
      <c r="AD129" s="418"/>
      <c r="AE129" s="418"/>
      <c r="AF129" s="418"/>
      <c r="AG129" s="418"/>
      <c r="AH129" s="418"/>
      <c r="AI129" s="418"/>
      <c r="AJ129" s="418"/>
      <c r="AK129" s="418"/>
      <c r="AL129" s="418"/>
      <c r="AM129" s="418"/>
      <c r="AN129" s="418"/>
      <c r="AO129" s="418"/>
      <c r="AP129" s="418"/>
      <c r="AQ129" s="418"/>
      <c r="AR129" s="418"/>
      <c r="AS129" s="418"/>
      <c r="AT129" s="418"/>
      <c r="AU129" s="418"/>
      <c r="AV129" s="418"/>
      <c r="AW129" s="418"/>
      <c r="AX129" s="418"/>
      <c r="AZ129" s="418"/>
      <c r="BA129" s="418"/>
      <c r="BB129" s="418"/>
      <c r="BC129" s="418"/>
      <c r="BD129" s="418"/>
      <c r="BE129" s="418"/>
      <c r="BF129" s="418"/>
      <c r="BG129" s="418"/>
      <c r="BH129" s="418"/>
      <c r="BI129" s="418"/>
      <c r="BJ129" s="418"/>
      <c r="BK129" s="418"/>
      <c r="BL129" s="418"/>
      <c r="BM129" s="418"/>
      <c r="BN129" s="418"/>
      <c r="BO129" s="418"/>
      <c r="BP129" s="418"/>
      <c r="BQ129" s="418"/>
      <c r="BR129" s="418"/>
      <c r="BS129" s="418"/>
      <c r="BT129" s="418"/>
      <c r="BU129" s="418"/>
      <c r="BV129" s="418"/>
      <c r="BW129" s="418"/>
      <c r="BX129" s="418"/>
      <c r="BY129" s="418"/>
      <c r="BZ129" s="418"/>
      <c r="CA129" s="418"/>
      <c r="CB129" s="418"/>
      <c r="CC129" s="418"/>
      <c r="CE129" s="418"/>
      <c r="CF129" s="418"/>
      <c r="CG129" s="418"/>
      <c r="CI129" s="418"/>
      <c r="CJ129" s="418"/>
      <c r="CK129" s="418"/>
      <c r="CL129" s="418"/>
      <c r="CM129" s="418"/>
      <c r="CN129" s="418"/>
    </row>
    <row r="130" customFormat="false" ht="15" hidden="false" customHeight="true" outlineLevel="0" collapsed="false">
      <c r="A130" s="414" t="s">
        <v>951</v>
      </c>
      <c r="B130" s="418"/>
      <c r="C130" s="418"/>
      <c r="D130" s="418"/>
      <c r="E130" s="418"/>
      <c r="F130" s="418"/>
      <c r="G130" s="418"/>
      <c r="H130" s="418"/>
      <c r="I130" s="418"/>
      <c r="J130" s="418"/>
      <c r="K130" s="418"/>
      <c r="L130" s="418"/>
      <c r="M130" s="418"/>
      <c r="N130" s="418"/>
      <c r="O130" s="418"/>
      <c r="P130" s="418"/>
      <c r="Q130" s="418"/>
      <c r="R130" s="418"/>
      <c r="S130" s="418"/>
      <c r="T130" s="418"/>
      <c r="U130" s="418"/>
      <c r="V130" s="418"/>
      <c r="W130" s="418"/>
      <c r="X130" s="418"/>
      <c r="Y130" s="418"/>
      <c r="Z130" s="418"/>
      <c r="AA130" s="418"/>
      <c r="AB130" s="418"/>
      <c r="AC130" s="418"/>
      <c r="AD130" s="418"/>
      <c r="AE130" s="418"/>
      <c r="AF130" s="418"/>
      <c r="AG130" s="418"/>
      <c r="AH130" s="418"/>
      <c r="AI130" s="418"/>
      <c r="AJ130" s="418"/>
      <c r="AK130" s="418"/>
      <c r="AL130" s="418"/>
      <c r="AM130" s="418"/>
      <c r="AN130" s="418"/>
      <c r="AO130" s="418"/>
      <c r="AP130" s="418"/>
      <c r="AQ130" s="418"/>
      <c r="AR130" s="418"/>
      <c r="AS130" s="418"/>
      <c r="AT130" s="418"/>
      <c r="AU130" s="418"/>
      <c r="AV130" s="418"/>
      <c r="AW130" s="418"/>
      <c r="AX130" s="418"/>
      <c r="AZ130" s="418"/>
      <c r="BA130" s="418"/>
      <c r="BB130" s="418"/>
      <c r="BC130" s="418"/>
      <c r="BD130" s="418"/>
      <c r="BE130" s="418"/>
      <c r="BF130" s="418"/>
      <c r="BG130" s="418"/>
      <c r="BH130" s="418"/>
      <c r="BI130" s="418"/>
      <c r="BJ130" s="418"/>
      <c r="BK130" s="418"/>
      <c r="BL130" s="418"/>
      <c r="BM130" s="418"/>
      <c r="BN130" s="418"/>
      <c r="BO130" s="418"/>
      <c r="BP130" s="418"/>
      <c r="BQ130" s="418"/>
      <c r="BR130" s="418"/>
      <c r="BS130" s="418"/>
      <c r="BT130" s="418"/>
      <c r="BU130" s="418"/>
      <c r="BV130" s="418"/>
      <c r="BW130" s="418"/>
      <c r="BX130" s="418"/>
      <c r="BY130" s="418"/>
      <c r="BZ130" s="418"/>
      <c r="CA130" s="418"/>
      <c r="CB130" s="418"/>
      <c r="CC130" s="418"/>
      <c r="CE130" s="418"/>
      <c r="CF130" s="418"/>
      <c r="CG130" s="418"/>
      <c r="CI130" s="418"/>
      <c r="CJ130" s="418"/>
      <c r="CK130" s="418"/>
      <c r="CL130" s="418"/>
      <c r="CM130" s="418"/>
      <c r="CN130" s="418"/>
    </row>
    <row r="131" customFormat="false" ht="15" hidden="false" customHeight="true" outlineLevel="0" collapsed="false">
      <c r="A131" s="414" t="s">
        <v>952</v>
      </c>
      <c r="B131" s="418"/>
      <c r="C131" s="418"/>
      <c r="D131" s="418"/>
      <c r="E131" s="418"/>
      <c r="F131" s="418"/>
      <c r="G131" s="418"/>
      <c r="H131" s="418"/>
      <c r="I131" s="418"/>
      <c r="J131" s="418"/>
      <c r="K131" s="418"/>
      <c r="L131" s="418"/>
      <c r="M131" s="418"/>
      <c r="N131" s="418"/>
      <c r="O131" s="418"/>
      <c r="P131" s="418"/>
      <c r="Q131" s="418"/>
      <c r="R131" s="418"/>
      <c r="S131" s="418"/>
      <c r="T131" s="418"/>
      <c r="U131" s="418"/>
      <c r="V131" s="418"/>
      <c r="W131" s="418"/>
      <c r="X131" s="418"/>
      <c r="Y131" s="418"/>
      <c r="Z131" s="418"/>
      <c r="AA131" s="418"/>
      <c r="AB131" s="418"/>
      <c r="AC131" s="418"/>
      <c r="AD131" s="418"/>
      <c r="AE131" s="418"/>
      <c r="AF131" s="418"/>
      <c r="AG131" s="418"/>
      <c r="AH131" s="418"/>
      <c r="AI131" s="418"/>
      <c r="AJ131" s="418"/>
      <c r="AK131" s="418"/>
      <c r="AL131" s="418"/>
      <c r="AM131" s="418"/>
      <c r="AN131" s="418"/>
      <c r="AO131" s="418"/>
      <c r="AP131" s="418"/>
      <c r="AQ131" s="418"/>
      <c r="AR131" s="418"/>
      <c r="AS131" s="418"/>
      <c r="AT131" s="418"/>
      <c r="AU131" s="418"/>
      <c r="AV131" s="418"/>
      <c r="AW131" s="418"/>
      <c r="AX131" s="418"/>
      <c r="AZ131" s="418"/>
      <c r="BA131" s="418"/>
      <c r="BB131" s="418"/>
      <c r="BC131" s="418"/>
      <c r="BD131" s="418"/>
      <c r="BE131" s="418"/>
      <c r="BF131" s="418"/>
      <c r="BG131" s="418"/>
      <c r="BH131" s="418"/>
      <c r="BI131" s="418"/>
      <c r="BJ131" s="418"/>
      <c r="BK131" s="418"/>
      <c r="BL131" s="418"/>
      <c r="BM131" s="418"/>
      <c r="BN131" s="418"/>
      <c r="BO131" s="418"/>
      <c r="BP131" s="418"/>
      <c r="BQ131" s="418"/>
      <c r="BR131" s="418"/>
      <c r="BS131" s="418"/>
      <c r="BT131" s="418"/>
      <c r="BU131" s="418"/>
      <c r="BV131" s="418"/>
      <c r="BW131" s="418"/>
      <c r="BX131" s="418"/>
      <c r="BY131" s="418"/>
      <c r="BZ131" s="418"/>
      <c r="CA131" s="418"/>
      <c r="CB131" s="418"/>
      <c r="CC131" s="418"/>
      <c r="CE131" s="418"/>
      <c r="CF131" s="418"/>
      <c r="CG131" s="418"/>
      <c r="CI131" s="418"/>
      <c r="CJ131" s="418"/>
      <c r="CK131" s="418"/>
      <c r="CL131" s="418"/>
      <c r="CM131" s="418"/>
      <c r="CN131" s="418"/>
    </row>
    <row r="132" customFormat="false" ht="15" hidden="false" customHeight="true" outlineLevel="0" collapsed="false">
      <c r="A132" s="414" t="s">
        <v>953</v>
      </c>
      <c r="B132" s="418"/>
      <c r="C132" s="418"/>
      <c r="D132" s="418"/>
      <c r="E132" s="418"/>
      <c r="F132" s="418"/>
      <c r="G132" s="418"/>
      <c r="H132" s="418"/>
      <c r="I132" s="418"/>
      <c r="J132" s="418"/>
      <c r="K132" s="418"/>
      <c r="L132" s="418"/>
      <c r="M132" s="418"/>
      <c r="N132" s="418"/>
      <c r="O132" s="418"/>
      <c r="P132" s="418"/>
      <c r="Q132" s="418"/>
      <c r="R132" s="418"/>
      <c r="S132" s="418"/>
      <c r="T132" s="418"/>
      <c r="U132" s="418"/>
      <c r="V132" s="418"/>
      <c r="W132" s="418"/>
      <c r="X132" s="418"/>
      <c r="Y132" s="418"/>
      <c r="Z132" s="418"/>
      <c r="AA132" s="418"/>
      <c r="AB132" s="418"/>
      <c r="AC132" s="418"/>
      <c r="AD132" s="418"/>
      <c r="AE132" s="418"/>
      <c r="AF132" s="418"/>
      <c r="AG132" s="418"/>
      <c r="AH132" s="418"/>
      <c r="AI132" s="418"/>
      <c r="AJ132" s="418"/>
      <c r="AK132" s="418"/>
      <c r="AL132" s="418"/>
      <c r="AM132" s="418"/>
      <c r="AN132" s="418"/>
      <c r="AO132" s="418"/>
      <c r="AP132" s="418"/>
      <c r="AQ132" s="418"/>
      <c r="AR132" s="418"/>
      <c r="AS132" s="418"/>
      <c r="AT132" s="418"/>
      <c r="AU132" s="418"/>
      <c r="AV132" s="418"/>
      <c r="AW132" s="418"/>
      <c r="AX132" s="418"/>
      <c r="AZ132" s="418"/>
      <c r="BA132" s="418"/>
      <c r="BB132" s="418"/>
      <c r="BC132" s="418"/>
      <c r="BD132" s="418"/>
      <c r="BE132" s="418"/>
      <c r="BF132" s="418"/>
      <c r="BG132" s="418"/>
      <c r="BH132" s="418"/>
      <c r="BI132" s="418"/>
      <c r="BJ132" s="418"/>
      <c r="BK132" s="418"/>
      <c r="BL132" s="418"/>
      <c r="BM132" s="418"/>
      <c r="BN132" s="418"/>
      <c r="BO132" s="418"/>
      <c r="BP132" s="418"/>
      <c r="BQ132" s="418"/>
      <c r="BR132" s="418"/>
      <c r="BS132" s="418"/>
      <c r="BT132" s="418"/>
      <c r="BU132" s="418"/>
      <c r="BV132" s="418"/>
      <c r="BW132" s="418"/>
      <c r="BX132" s="418"/>
      <c r="BY132" s="418"/>
      <c r="BZ132" s="418"/>
      <c r="CA132" s="418"/>
      <c r="CB132" s="418"/>
      <c r="CC132" s="418"/>
      <c r="CE132" s="418"/>
      <c r="CF132" s="418"/>
      <c r="CG132" s="418"/>
      <c r="CI132" s="418"/>
      <c r="CJ132" s="418"/>
      <c r="CK132" s="418"/>
      <c r="CL132" s="418"/>
      <c r="CM132" s="418"/>
      <c r="CN132" s="418"/>
    </row>
    <row r="133" customFormat="false" ht="15" hidden="false" customHeight="true" outlineLevel="0" collapsed="false">
      <c r="A133" s="414" t="s">
        <v>954</v>
      </c>
      <c r="B133" s="418"/>
      <c r="C133" s="418"/>
      <c r="D133" s="418"/>
      <c r="E133" s="418"/>
      <c r="F133" s="418"/>
      <c r="G133" s="418"/>
      <c r="H133" s="418"/>
      <c r="I133" s="418"/>
      <c r="J133" s="418"/>
      <c r="K133" s="418"/>
      <c r="L133" s="418"/>
      <c r="M133" s="418"/>
      <c r="N133" s="418"/>
      <c r="O133" s="418"/>
      <c r="P133" s="418"/>
      <c r="Q133" s="418"/>
      <c r="R133" s="418"/>
      <c r="S133" s="418"/>
      <c r="T133" s="418"/>
      <c r="U133" s="418"/>
      <c r="V133" s="418"/>
      <c r="W133" s="418"/>
      <c r="X133" s="418"/>
      <c r="Y133" s="418"/>
      <c r="Z133" s="418"/>
      <c r="AA133" s="418"/>
      <c r="AB133" s="418"/>
      <c r="AC133" s="418"/>
      <c r="AD133" s="418"/>
      <c r="AE133" s="418"/>
      <c r="AF133" s="418"/>
      <c r="AG133" s="418"/>
      <c r="AH133" s="418"/>
      <c r="AI133" s="418"/>
      <c r="AJ133" s="418"/>
      <c r="AK133" s="418"/>
      <c r="AL133" s="418"/>
      <c r="AM133" s="418"/>
      <c r="AN133" s="418"/>
      <c r="AO133" s="418"/>
      <c r="AP133" s="418"/>
      <c r="AQ133" s="418"/>
      <c r="AR133" s="418"/>
      <c r="AS133" s="418"/>
      <c r="AT133" s="418"/>
      <c r="AU133" s="418"/>
      <c r="AV133" s="418"/>
      <c r="AW133" s="418"/>
      <c r="AX133" s="418"/>
      <c r="AZ133" s="418"/>
      <c r="BA133" s="418"/>
      <c r="BB133" s="418"/>
      <c r="BC133" s="418"/>
      <c r="BD133" s="418"/>
      <c r="BE133" s="418"/>
      <c r="BF133" s="418"/>
      <c r="BG133" s="418"/>
      <c r="BH133" s="418"/>
      <c r="BI133" s="418"/>
      <c r="BJ133" s="418"/>
      <c r="BK133" s="418"/>
      <c r="BL133" s="418"/>
      <c r="BM133" s="418"/>
      <c r="BN133" s="418"/>
      <c r="BO133" s="418"/>
      <c r="BP133" s="418"/>
      <c r="BQ133" s="418"/>
      <c r="BR133" s="418"/>
      <c r="BS133" s="418"/>
      <c r="BT133" s="418"/>
      <c r="BU133" s="418"/>
      <c r="BV133" s="418"/>
      <c r="BW133" s="418"/>
      <c r="BX133" s="418"/>
      <c r="BY133" s="418"/>
      <c r="BZ133" s="418"/>
      <c r="CA133" s="418"/>
      <c r="CB133" s="418"/>
      <c r="CC133" s="418"/>
      <c r="CE133" s="418"/>
      <c r="CF133" s="418"/>
      <c r="CG133" s="418"/>
      <c r="CI133" s="418"/>
      <c r="CJ133" s="418"/>
      <c r="CK133" s="418"/>
      <c r="CL133" s="418"/>
      <c r="CM133" s="418"/>
      <c r="CN133" s="418"/>
    </row>
    <row r="134" customFormat="false" ht="15" hidden="false" customHeight="true" outlineLevel="0" collapsed="false">
      <c r="A134" s="414" t="s">
        <v>955</v>
      </c>
      <c r="B134" s="418"/>
      <c r="C134" s="418"/>
      <c r="D134" s="418"/>
      <c r="E134" s="418"/>
      <c r="F134" s="418"/>
      <c r="G134" s="418"/>
      <c r="H134" s="418"/>
      <c r="I134" s="418"/>
      <c r="J134" s="418"/>
      <c r="K134" s="418"/>
      <c r="L134" s="418"/>
      <c r="M134" s="418"/>
      <c r="N134" s="418"/>
      <c r="O134" s="418"/>
      <c r="P134" s="418"/>
      <c r="Q134" s="418"/>
      <c r="R134" s="418"/>
      <c r="S134" s="418"/>
      <c r="T134" s="418"/>
      <c r="U134" s="418"/>
      <c r="V134" s="418"/>
      <c r="W134" s="418"/>
      <c r="X134" s="418"/>
      <c r="Y134" s="418"/>
      <c r="Z134" s="418"/>
      <c r="AA134" s="418"/>
      <c r="AB134" s="418"/>
      <c r="AC134" s="418"/>
      <c r="AD134" s="418"/>
      <c r="AE134" s="418"/>
      <c r="AF134" s="418"/>
      <c r="AG134" s="418"/>
      <c r="AH134" s="418"/>
      <c r="AI134" s="418"/>
      <c r="AJ134" s="418"/>
      <c r="AK134" s="418"/>
      <c r="AL134" s="418"/>
      <c r="AM134" s="418"/>
      <c r="AN134" s="418"/>
      <c r="AO134" s="418"/>
      <c r="AP134" s="418"/>
      <c r="AQ134" s="418"/>
      <c r="AR134" s="418"/>
      <c r="AS134" s="418"/>
      <c r="AT134" s="418"/>
      <c r="AU134" s="418"/>
      <c r="AV134" s="418"/>
      <c r="AW134" s="418"/>
      <c r="AX134" s="418"/>
      <c r="AZ134" s="418"/>
      <c r="BA134" s="418"/>
      <c r="BB134" s="418"/>
      <c r="BC134" s="418"/>
      <c r="BD134" s="418"/>
      <c r="BE134" s="418"/>
      <c r="BF134" s="418"/>
      <c r="BG134" s="418"/>
      <c r="BH134" s="418"/>
      <c r="BI134" s="418"/>
      <c r="BJ134" s="418"/>
      <c r="BK134" s="418"/>
      <c r="BL134" s="418"/>
      <c r="BM134" s="418"/>
      <c r="BN134" s="418"/>
      <c r="BO134" s="418"/>
      <c r="BP134" s="418"/>
      <c r="BQ134" s="418"/>
      <c r="BR134" s="418"/>
      <c r="BS134" s="418"/>
      <c r="BT134" s="418"/>
      <c r="BU134" s="418"/>
      <c r="BV134" s="418"/>
      <c r="BW134" s="418"/>
      <c r="BX134" s="418"/>
      <c r="BY134" s="418"/>
      <c r="BZ134" s="418"/>
      <c r="CA134" s="418"/>
      <c r="CB134" s="418"/>
      <c r="CC134" s="418"/>
      <c r="CE134" s="418"/>
      <c r="CF134" s="418"/>
      <c r="CG134" s="418"/>
      <c r="CI134" s="418"/>
      <c r="CJ134" s="418"/>
      <c r="CK134" s="418"/>
      <c r="CL134" s="418"/>
      <c r="CM134" s="418"/>
      <c r="CN134" s="418"/>
    </row>
    <row r="135" customFormat="false" ht="15" hidden="false" customHeight="true" outlineLevel="0" collapsed="false">
      <c r="A135" s="414" t="s">
        <v>420</v>
      </c>
      <c r="B135" s="418"/>
      <c r="C135" s="418"/>
      <c r="D135" s="418"/>
      <c r="E135" s="418"/>
      <c r="F135" s="418"/>
      <c r="G135" s="418"/>
      <c r="H135" s="418"/>
      <c r="I135" s="418"/>
      <c r="J135" s="418"/>
      <c r="K135" s="418"/>
      <c r="L135" s="418"/>
      <c r="M135" s="418"/>
      <c r="N135" s="418"/>
      <c r="O135" s="418"/>
      <c r="P135" s="418"/>
      <c r="Q135" s="418"/>
      <c r="R135" s="418"/>
      <c r="S135" s="418"/>
      <c r="T135" s="418"/>
      <c r="U135" s="418"/>
      <c r="V135" s="418"/>
      <c r="W135" s="418"/>
      <c r="X135" s="418"/>
      <c r="Y135" s="418"/>
      <c r="Z135" s="418"/>
      <c r="AA135" s="418"/>
      <c r="AB135" s="418"/>
      <c r="AC135" s="418"/>
      <c r="AD135" s="418"/>
      <c r="AE135" s="418"/>
      <c r="AF135" s="418"/>
      <c r="AG135" s="418"/>
      <c r="AH135" s="418"/>
      <c r="AI135" s="418"/>
      <c r="AJ135" s="418"/>
      <c r="AK135" s="418"/>
      <c r="AL135" s="418"/>
      <c r="AM135" s="418"/>
      <c r="AN135" s="418"/>
      <c r="AO135" s="418"/>
      <c r="AP135" s="418"/>
      <c r="AQ135" s="418"/>
      <c r="AR135" s="418"/>
      <c r="AS135" s="418"/>
      <c r="AT135" s="418"/>
      <c r="AU135" s="418"/>
      <c r="AV135" s="418"/>
      <c r="AW135" s="418"/>
      <c r="AX135" s="418"/>
      <c r="AZ135" s="418"/>
      <c r="BA135" s="418"/>
      <c r="BB135" s="418"/>
      <c r="BC135" s="418"/>
      <c r="BD135" s="418"/>
      <c r="BE135" s="418"/>
      <c r="BF135" s="418"/>
      <c r="BG135" s="418"/>
      <c r="BH135" s="418"/>
      <c r="BI135" s="418"/>
      <c r="BJ135" s="418"/>
      <c r="BK135" s="418"/>
      <c r="BL135" s="418"/>
      <c r="BM135" s="418"/>
      <c r="BN135" s="418"/>
      <c r="BO135" s="418"/>
      <c r="BP135" s="418"/>
      <c r="BQ135" s="418"/>
      <c r="BR135" s="418"/>
      <c r="BS135" s="418"/>
      <c r="BT135" s="418"/>
      <c r="BU135" s="418"/>
      <c r="BV135" s="418"/>
      <c r="BW135" s="418"/>
      <c r="BX135" s="418"/>
      <c r="BY135" s="418"/>
      <c r="BZ135" s="418"/>
      <c r="CA135" s="418"/>
      <c r="CB135" s="418"/>
      <c r="CC135" s="418"/>
      <c r="CE135" s="418"/>
      <c r="CF135" s="418"/>
      <c r="CG135" s="418"/>
      <c r="CI135" s="418"/>
      <c r="CJ135" s="418"/>
      <c r="CK135" s="418"/>
      <c r="CL135" s="418"/>
      <c r="CM135" s="418"/>
      <c r="CN135" s="418"/>
    </row>
    <row r="136" customFormat="false" ht="15" hidden="false" customHeight="true" outlineLevel="0" collapsed="false">
      <c r="A136" s="414" t="s">
        <v>964</v>
      </c>
      <c r="B136" s="418"/>
      <c r="C136" s="418"/>
      <c r="D136" s="418"/>
      <c r="E136" s="418"/>
      <c r="F136" s="418"/>
      <c r="G136" s="418"/>
      <c r="H136" s="418"/>
      <c r="I136" s="418"/>
      <c r="J136" s="418"/>
      <c r="K136" s="418"/>
      <c r="L136" s="418"/>
      <c r="M136" s="418"/>
      <c r="N136" s="418"/>
      <c r="O136" s="418"/>
      <c r="P136" s="418"/>
      <c r="Q136" s="418"/>
      <c r="R136" s="418"/>
      <c r="S136" s="418"/>
      <c r="T136" s="418"/>
      <c r="U136" s="418"/>
      <c r="V136" s="418"/>
      <c r="W136" s="418"/>
      <c r="X136" s="418"/>
      <c r="Y136" s="418"/>
      <c r="Z136" s="418"/>
      <c r="AA136" s="418"/>
      <c r="AB136" s="418"/>
      <c r="AC136" s="418"/>
      <c r="AD136" s="418"/>
      <c r="AE136" s="418"/>
      <c r="AF136" s="418"/>
      <c r="AG136" s="418"/>
      <c r="AH136" s="418"/>
      <c r="AI136" s="418"/>
      <c r="AJ136" s="418"/>
      <c r="AK136" s="418"/>
      <c r="AL136" s="418"/>
      <c r="AM136" s="418"/>
      <c r="AN136" s="418"/>
      <c r="AO136" s="418"/>
      <c r="AP136" s="418"/>
      <c r="AQ136" s="418"/>
      <c r="AR136" s="418"/>
      <c r="AS136" s="418"/>
      <c r="AT136" s="418"/>
      <c r="AU136" s="418"/>
      <c r="AV136" s="418"/>
      <c r="AW136" s="418"/>
      <c r="AX136" s="418"/>
      <c r="AZ136" s="418"/>
      <c r="BA136" s="418"/>
      <c r="BB136" s="418"/>
      <c r="BC136" s="418"/>
      <c r="BD136" s="418"/>
      <c r="BE136" s="418"/>
      <c r="BF136" s="418"/>
      <c r="BG136" s="418"/>
      <c r="BH136" s="418"/>
      <c r="BI136" s="418"/>
      <c r="BJ136" s="418"/>
      <c r="BK136" s="418"/>
      <c r="BL136" s="418"/>
      <c r="BM136" s="418"/>
      <c r="BN136" s="418"/>
      <c r="BO136" s="418"/>
      <c r="BP136" s="418"/>
      <c r="BQ136" s="418"/>
      <c r="BR136" s="418"/>
      <c r="BS136" s="418"/>
      <c r="BT136" s="418"/>
      <c r="BU136" s="418"/>
      <c r="BV136" s="418"/>
      <c r="BW136" s="418"/>
      <c r="BX136" s="418"/>
      <c r="BY136" s="418"/>
      <c r="BZ136" s="418"/>
      <c r="CA136" s="418"/>
      <c r="CB136" s="418"/>
      <c r="CC136" s="418"/>
      <c r="CE136" s="418"/>
      <c r="CF136" s="418"/>
      <c r="CG136" s="418"/>
      <c r="CI136" s="418"/>
      <c r="CJ136" s="418"/>
      <c r="CK136" s="418"/>
      <c r="CL136" s="418"/>
      <c r="CM136" s="418"/>
      <c r="CN136" s="418"/>
    </row>
    <row r="137" customFormat="false" ht="15" hidden="false" customHeight="true" outlineLevel="0" collapsed="false">
      <c r="A137" s="414" t="s">
        <v>950</v>
      </c>
      <c r="B137" s="418"/>
      <c r="C137" s="418"/>
      <c r="D137" s="418"/>
      <c r="E137" s="418"/>
      <c r="F137" s="418"/>
      <c r="G137" s="418"/>
      <c r="H137" s="418"/>
      <c r="I137" s="418"/>
      <c r="J137" s="418"/>
      <c r="K137" s="418"/>
      <c r="L137" s="418"/>
      <c r="M137" s="418"/>
      <c r="N137" s="418"/>
      <c r="O137" s="418"/>
      <c r="P137" s="418"/>
      <c r="Q137" s="418"/>
      <c r="R137" s="418"/>
      <c r="S137" s="418"/>
      <c r="T137" s="418"/>
      <c r="U137" s="418"/>
      <c r="V137" s="418"/>
      <c r="W137" s="418"/>
      <c r="X137" s="418"/>
      <c r="Y137" s="418"/>
      <c r="Z137" s="418"/>
      <c r="AA137" s="418"/>
      <c r="AB137" s="418"/>
      <c r="AC137" s="418"/>
      <c r="AD137" s="418"/>
      <c r="AE137" s="418"/>
      <c r="AF137" s="418"/>
      <c r="AG137" s="418"/>
      <c r="AH137" s="418"/>
      <c r="AI137" s="418"/>
      <c r="AJ137" s="418"/>
      <c r="AK137" s="418"/>
      <c r="AL137" s="418"/>
      <c r="AM137" s="418"/>
      <c r="AN137" s="418"/>
      <c r="AO137" s="418"/>
      <c r="AP137" s="418"/>
      <c r="AQ137" s="418"/>
      <c r="AR137" s="418"/>
      <c r="AS137" s="418"/>
      <c r="AT137" s="418"/>
      <c r="AU137" s="418"/>
      <c r="AV137" s="418"/>
      <c r="AW137" s="418"/>
      <c r="AX137" s="418"/>
      <c r="AZ137" s="418"/>
      <c r="BA137" s="418"/>
      <c r="BB137" s="418"/>
      <c r="BC137" s="418"/>
      <c r="BD137" s="418"/>
      <c r="BE137" s="418"/>
      <c r="BF137" s="418"/>
      <c r="BG137" s="418"/>
      <c r="BH137" s="418"/>
      <c r="BI137" s="418"/>
      <c r="BJ137" s="418"/>
      <c r="BK137" s="418"/>
      <c r="BL137" s="418"/>
      <c r="BM137" s="418"/>
      <c r="BN137" s="418"/>
      <c r="BO137" s="418"/>
      <c r="BP137" s="418"/>
      <c r="BQ137" s="418"/>
      <c r="BR137" s="418"/>
      <c r="BS137" s="418"/>
      <c r="BT137" s="418"/>
      <c r="BU137" s="418"/>
      <c r="BV137" s="418"/>
      <c r="BW137" s="418"/>
      <c r="BX137" s="418"/>
      <c r="BY137" s="418"/>
      <c r="BZ137" s="418"/>
      <c r="CA137" s="418"/>
      <c r="CB137" s="418"/>
      <c r="CC137" s="418"/>
      <c r="CE137" s="418"/>
      <c r="CF137" s="418"/>
      <c r="CG137" s="418"/>
      <c r="CI137" s="418"/>
      <c r="CJ137" s="418"/>
      <c r="CK137" s="418"/>
      <c r="CL137" s="418"/>
      <c r="CM137" s="418"/>
      <c r="CN137" s="418"/>
    </row>
    <row r="138" customFormat="false" ht="15" hidden="false" customHeight="true" outlineLevel="0" collapsed="false">
      <c r="A138" s="414" t="s">
        <v>951</v>
      </c>
      <c r="B138" s="418"/>
      <c r="C138" s="418"/>
      <c r="D138" s="418"/>
      <c r="E138" s="418"/>
      <c r="F138" s="418"/>
      <c r="G138" s="418"/>
      <c r="H138" s="418"/>
      <c r="I138" s="418"/>
      <c r="J138" s="418"/>
      <c r="K138" s="418"/>
      <c r="L138" s="418"/>
      <c r="M138" s="418"/>
      <c r="N138" s="418"/>
      <c r="O138" s="418"/>
      <c r="P138" s="418"/>
      <c r="Q138" s="418"/>
      <c r="R138" s="418"/>
      <c r="S138" s="418"/>
      <c r="T138" s="418"/>
      <c r="U138" s="418"/>
      <c r="V138" s="418"/>
      <c r="W138" s="418"/>
      <c r="X138" s="418"/>
      <c r="Y138" s="418"/>
      <c r="Z138" s="418"/>
      <c r="AA138" s="418"/>
      <c r="AB138" s="418"/>
      <c r="AC138" s="418"/>
      <c r="AD138" s="418"/>
      <c r="AE138" s="418"/>
      <c r="AF138" s="418"/>
      <c r="AG138" s="418"/>
      <c r="AH138" s="418"/>
      <c r="AI138" s="418"/>
      <c r="AJ138" s="418"/>
      <c r="AK138" s="418"/>
      <c r="AL138" s="418"/>
      <c r="AM138" s="418"/>
      <c r="AN138" s="418"/>
      <c r="AO138" s="418"/>
      <c r="AP138" s="418"/>
      <c r="AQ138" s="418"/>
      <c r="AR138" s="418"/>
      <c r="AS138" s="418"/>
      <c r="AT138" s="418"/>
      <c r="AU138" s="418"/>
      <c r="AV138" s="418"/>
      <c r="AW138" s="418"/>
      <c r="AX138" s="418"/>
      <c r="AZ138" s="418"/>
      <c r="BA138" s="418"/>
      <c r="BB138" s="418"/>
      <c r="BC138" s="418"/>
      <c r="BD138" s="418"/>
      <c r="BE138" s="418"/>
      <c r="BF138" s="418"/>
      <c r="BG138" s="418"/>
      <c r="BH138" s="418"/>
      <c r="BI138" s="418"/>
      <c r="BJ138" s="418"/>
      <c r="BK138" s="418"/>
      <c r="BL138" s="418"/>
      <c r="BM138" s="418"/>
      <c r="BN138" s="418"/>
      <c r="BO138" s="418"/>
      <c r="BP138" s="418"/>
      <c r="BQ138" s="418"/>
      <c r="BR138" s="418"/>
      <c r="BS138" s="418"/>
      <c r="BT138" s="418"/>
      <c r="BU138" s="418"/>
      <c r="BV138" s="418"/>
      <c r="BW138" s="418"/>
      <c r="BX138" s="418"/>
      <c r="BY138" s="418"/>
      <c r="BZ138" s="418"/>
      <c r="CA138" s="418"/>
      <c r="CB138" s="418"/>
      <c r="CC138" s="418"/>
      <c r="CE138" s="418"/>
      <c r="CF138" s="418"/>
      <c r="CG138" s="418"/>
      <c r="CI138" s="418"/>
      <c r="CJ138" s="418"/>
      <c r="CK138" s="418"/>
      <c r="CL138" s="418"/>
      <c r="CM138" s="418"/>
      <c r="CN138" s="418"/>
    </row>
    <row r="139" customFormat="false" ht="15" hidden="false" customHeight="true" outlineLevel="0" collapsed="false">
      <c r="A139" s="414" t="s">
        <v>952</v>
      </c>
      <c r="B139" s="418"/>
      <c r="C139" s="418"/>
      <c r="D139" s="418"/>
      <c r="E139" s="418"/>
      <c r="F139" s="418"/>
      <c r="G139" s="418"/>
      <c r="H139" s="418"/>
      <c r="I139" s="418"/>
      <c r="J139" s="418"/>
      <c r="K139" s="418"/>
      <c r="L139" s="418"/>
      <c r="M139" s="418"/>
      <c r="N139" s="418"/>
      <c r="O139" s="418"/>
      <c r="P139" s="418"/>
      <c r="Q139" s="418"/>
      <c r="R139" s="418"/>
      <c r="S139" s="418"/>
      <c r="T139" s="418"/>
      <c r="U139" s="418"/>
      <c r="V139" s="418"/>
      <c r="W139" s="418"/>
      <c r="X139" s="418"/>
      <c r="Y139" s="418"/>
      <c r="Z139" s="418"/>
      <c r="AA139" s="418"/>
      <c r="AB139" s="418"/>
      <c r="AC139" s="418"/>
      <c r="AD139" s="418"/>
      <c r="AE139" s="418"/>
      <c r="AF139" s="418"/>
      <c r="AG139" s="418"/>
      <c r="AH139" s="418"/>
      <c r="AI139" s="418"/>
      <c r="AJ139" s="418"/>
      <c r="AK139" s="418"/>
      <c r="AL139" s="418"/>
      <c r="AM139" s="418"/>
      <c r="AN139" s="418"/>
      <c r="AO139" s="418"/>
      <c r="AP139" s="418"/>
      <c r="AQ139" s="418"/>
      <c r="AR139" s="418"/>
      <c r="AS139" s="418"/>
      <c r="AT139" s="418"/>
      <c r="AU139" s="418"/>
      <c r="AV139" s="418"/>
      <c r="AW139" s="418"/>
      <c r="AX139" s="418"/>
      <c r="AZ139" s="418"/>
      <c r="BA139" s="418"/>
      <c r="BB139" s="418"/>
      <c r="BC139" s="418"/>
      <c r="BD139" s="418"/>
      <c r="BE139" s="418"/>
      <c r="BF139" s="418"/>
      <c r="BG139" s="418"/>
      <c r="BH139" s="418"/>
      <c r="BI139" s="418"/>
      <c r="BJ139" s="418"/>
      <c r="BK139" s="418"/>
      <c r="BL139" s="418"/>
      <c r="BM139" s="418"/>
      <c r="BN139" s="418"/>
      <c r="BO139" s="418"/>
      <c r="BP139" s="418"/>
      <c r="BQ139" s="418"/>
      <c r="BR139" s="418"/>
      <c r="BS139" s="418"/>
      <c r="BT139" s="418"/>
      <c r="BU139" s="418"/>
      <c r="BV139" s="418"/>
      <c r="BW139" s="418"/>
      <c r="BX139" s="418"/>
      <c r="BY139" s="418"/>
      <c r="BZ139" s="418"/>
      <c r="CA139" s="418"/>
      <c r="CB139" s="418"/>
      <c r="CC139" s="418"/>
      <c r="CE139" s="418"/>
      <c r="CF139" s="418"/>
      <c r="CG139" s="418"/>
      <c r="CI139" s="418"/>
      <c r="CJ139" s="418"/>
      <c r="CK139" s="418"/>
      <c r="CL139" s="418"/>
      <c r="CM139" s="418"/>
      <c r="CN139" s="418"/>
    </row>
    <row r="140" customFormat="false" ht="15" hidden="false" customHeight="true" outlineLevel="0" collapsed="false">
      <c r="A140" s="414" t="s">
        <v>953</v>
      </c>
      <c r="B140" s="418"/>
      <c r="C140" s="418"/>
      <c r="D140" s="418"/>
      <c r="E140" s="418"/>
      <c r="F140" s="418"/>
      <c r="G140" s="418"/>
      <c r="H140" s="418"/>
      <c r="I140" s="418"/>
      <c r="J140" s="418"/>
      <c r="K140" s="418"/>
      <c r="L140" s="418"/>
      <c r="M140" s="418"/>
      <c r="N140" s="418"/>
      <c r="O140" s="418"/>
      <c r="P140" s="418"/>
      <c r="Q140" s="418"/>
      <c r="R140" s="418"/>
      <c r="S140" s="418"/>
      <c r="T140" s="418"/>
      <c r="U140" s="418"/>
      <c r="V140" s="418"/>
      <c r="W140" s="418"/>
      <c r="X140" s="418"/>
      <c r="Y140" s="418"/>
      <c r="Z140" s="418"/>
      <c r="AA140" s="418"/>
      <c r="AB140" s="418"/>
      <c r="AC140" s="418"/>
      <c r="AD140" s="418"/>
      <c r="AE140" s="418"/>
      <c r="AF140" s="418"/>
      <c r="AG140" s="418"/>
      <c r="AH140" s="418"/>
      <c r="AI140" s="418"/>
      <c r="AJ140" s="418"/>
      <c r="AK140" s="418"/>
      <c r="AL140" s="418"/>
      <c r="AM140" s="418"/>
      <c r="AN140" s="418"/>
      <c r="AO140" s="418"/>
      <c r="AP140" s="418"/>
      <c r="AQ140" s="418"/>
      <c r="AR140" s="418"/>
      <c r="AS140" s="418"/>
      <c r="AT140" s="418"/>
      <c r="AU140" s="418"/>
      <c r="AV140" s="418"/>
      <c r="AW140" s="418"/>
      <c r="AX140" s="418"/>
      <c r="AZ140" s="418"/>
      <c r="BA140" s="418"/>
      <c r="BB140" s="418"/>
      <c r="BC140" s="418"/>
      <c r="BD140" s="418"/>
      <c r="BE140" s="418"/>
      <c r="BF140" s="418"/>
      <c r="BG140" s="418"/>
      <c r="BH140" s="418"/>
      <c r="BI140" s="418"/>
      <c r="BJ140" s="418"/>
      <c r="BK140" s="418"/>
      <c r="BL140" s="418"/>
      <c r="BM140" s="418"/>
      <c r="BN140" s="418"/>
      <c r="BO140" s="418"/>
      <c r="BP140" s="418"/>
      <c r="BQ140" s="418"/>
      <c r="BR140" s="418"/>
      <c r="BS140" s="418"/>
      <c r="BT140" s="418"/>
      <c r="BU140" s="418"/>
      <c r="BV140" s="418"/>
      <c r="BW140" s="418"/>
      <c r="BX140" s="418"/>
      <c r="BY140" s="418"/>
      <c r="BZ140" s="418"/>
      <c r="CA140" s="418"/>
      <c r="CB140" s="418"/>
      <c r="CC140" s="418"/>
      <c r="CE140" s="418"/>
      <c r="CF140" s="418"/>
      <c r="CG140" s="418"/>
      <c r="CI140" s="418"/>
      <c r="CJ140" s="418"/>
      <c r="CK140" s="418"/>
      <c r="CL140" s="418"/>
      <c r="CM140" s="418"/>
      <c r="CN140" s="418"/>
    </row>
    <row r="141" customFormat="false" ht="15" hidden="false" customHeight="true" outlineLevel="0" collapsed="false">
      <c r="A141" s="414" t="s">
        <v>954</v>
      </c>
      <c r="B141" s="418"/>
      <c r="C141" s="418"/>
      <c r="D141" s="418"/>
      <c r="E141" s="418"/>
      <c r="F141" s="418"/>
      <c r="G141" s="418"/>
      <c r="H141" s="418"/>
      <c r="I141" s="418"/>
      <c r="J141" s="418"/>
      <c r="K141" s="418"/>
      <c r="L141" s="418"/>
      <c r="M141" s="418"/>
      <c r="N141" s="418"/>
      <c r="O141" s="418"/>
      <c r="P141" s="418"/>
      <c r="Q141" s="418"/>
      <c r="R141" s="418"/>
      <c r="S141" s="418"/>
      <c r="T141" s="418"/>
      <c r="U141" s="418"/>
      <c r="V141" s="418"/>
      <c r="W141" s="418"/>
      <c r="X141" s="418"/>
      <c r="Y141" s="418"/>
      <c r="Z141" s="418"/>
      <c r="AA141" s="418"/>
      <c r="AB141" s="418"/>
      <c r="AC141" s="418"/>
      <c r="AD141" s="418"/>
      <c r="AE141" s="418"/>
      <c r="AF141" s="418"/>
      <c r="AG141" s="418"/>
      <c r="AH141" s="418"/>
      <c r="AI141" s="418"/>
      <c r="AJ141" s="418"/>
      <c r="AK141" s="418"/>
      <c r="AL141" s="418"/>
      <c r="AM141" s="418"/>
      <c r="AN141" s="418"/>
      <c r="AO141" s="418"/>
      <c r="AP141" s="418"/>
      <c r="AQ141" s="418"/>
      <c r="AR141" s="418"/>
      <c r="AS141" s="418"/>
      <c r="AT141" s="418"/>
      <c r="AU141" s="418"/>
      <c r="AV141" s="418"/>
      <c r="AW141" s="418"/>
      <c r="AX141" s="418"/>
      <c r="AZ141" s="418"/>
      <c r="BA141" s="418"/>
      <c r="BB141" s="418"/>
      <c r="BC141" s="418"/>
      <c r="BD141" s="418"/>
      <c r="BE141" s="418"/>
      <c r="BF141" s="418"/>
      <c r="BG141" s="418"/>
      <c r="BH141" s="418"/>
      <c r="BI141" s="418"/>
      <c r="BJ141" s="418"/>
      <c r="BK141" s="418"/>
      <c r="BL141" s="418"/>
      <c r="BM141" s="418"/>
      <c r="BN141" s="418"/>
      <c r="BO141" s="418"/>
      <c r="BP141" s="418"/>
      <c r="BQ141" s="418"/>
      <c r="BR141" s="418"/>
      <c r="BS141" s="418"/>
      <c r="BT141" s="418"/>
      <c r="BU141" s="418"/>
      <c r="BV141" s="418"/>
      <c r="BW141" s="418"/>
      <c r="BX141" s="418"/>
      <c r="BY141" s="418"/>
      <c r="BZ141" s="418"/>
      <c r="CA141" s="418"/>
      <c r="CB141" s="418"/>
      <c r="CC141" s="418"/>
      <c r="CE141" s="418"/>
      <c r="CF141" s="418"/>
      <c r="CG141" s="418"/>
      <c r="CI141" s="418"/>
      <c r="CJ141" s="418"/>
      <c r="CK141" s="418"/>
      <c r="CL141" s="418"/>
      <c r="CM141" s="418"/>
      <c r="CN141" s="418"/>
    </row>
    <row r="142" customFormat="false" ht="15" hidden="false" customHeight="true" outlineLevel="0" collapsed="false">
      <c r="A142" s="414" t="s">
        <v>955</v>
      </c>
      <c r="B142" s="418"/>
      <c r="C142" s="418"/>
      <c r="D142" s="418"/>
      <c r="E142" s="418"/>
      <c r="F142" s="418"/>
      <c r="G142" s="418"/>
      <c r="H142" s="418"/>
      <c r="I142" s="418"/>
      <c r="J142" s="418"/>
      <c r="K142" s="418"/>
      <c r="L142" s="418"/>
      <c r="M142" s="418"/>
      <c r="N142" s="418"/>
      <c r="O142" s="418"/>
      <c r="P142" s="418"/>
      <c r="Q142" s="418"/>
      <c r="R142" s="418"/>
      <c r="S142" s="418"/>
      <c r="T142" s="418"/>
      <c r="U142" s="418"/>
      <c r="V142" s="418"/>
      <c r="W142" s="418"/>
      <c r="X142" s="418"/>
      <c r="Y142" s="418"/>
      <c r="Z142" s="418"/>
      <c r="AA142" s="418"/>
      <c r="AB142" s="418"/>
      <c r="AC142" s="418"/>
      <c r="AD142" s="418"/>
      <c r="AE142" s="418"/>
      <c r="AF142" s="418"/>
      <c r="AG142" s="418"/>
      <c r="AH142" s="418"/>
      <c r="AI142" s="418"/>
      <c r="AJ142" s="418"/>
      <c r="AK142" s="418"/>
      <c r="AL142" s="418"/>
      <c r="AM142" s="418"/>
      <c r="AN142" s="418"/>
      <c r="AO142" s="418"/>
      <c r="AP142" s="418"/>
      <c r="AQ142" s="418"/>
      <c r="AR142" s="418"/>
      <c r="AS142" s="418"/>
      <c r="AT142" s="418"/>
      <c r="AU142" s="418"/>
      <c r="AV142" s="418"/>
      <c r="AW142" s="418"/>
      <c r="AX142" s="418"/>
      <c r="AZ142" s="418"/>
      <c r="BA142" s="418"/>
      <c r="BB142" s="418"/>
      <c r="BC142" s="418"/>
      <c r="BD142" s="418"/>
      <c r="BE142" s="418"/>
      <c r="BF142" s="418"/>
      <c r="BG142" s="418"/>
      <c r="BH142" s="418"/>
      <c r="BI142" s="418"/>
      <c r="BJ142" s="418"/>
      <c r="BK142" s="418"/>
      <c r="BL142" s="418"/>
      <c r="BM142" s="418"/>
      <c r="BN142" s="418"/>
      <c r="BO142" s="418"/>
      <c r="BP142" s="418"/>
      <c r="BQ142" s="418"/>
      <c r="BR142" s="418"/>
      <c r="BS142" s="418"/>
      <c r="BT142" s="418"/>
      <c r="BU142" s="418"/>
      <c r="BV142" s="418"/>
      <c r="BW142" s="418"/>
      <c r="BX142" s="418"/>
      <c r="BY142" s="418"/>
      <c r="BZ142" s="418"/>
      <c r="CA142" s="418"/>
      <c r="CB142" s="418"/>
      <c r="CC142" s="418"/>
      <c r="CE142" s="418"/>
      <c r="CF142" s="418"/>
      <c r="CG142" s="418"/>
      <c r="CI142" s="418"/>
      <c r="CJ142" s="418"/>
      <c r="CK142" s="418"/>
      <c r="CL142" s="418"/>
      <c r="CM142" s="418"/>
      <c r="CN142" s="418"/>
    </row>
    <row r="143" customFormat="false" ht="15" hidden="false" customHeight="true" outlineLevel="0" collapsed="false">
      <c r="A143" s="414" t="s">
        <v>420</v>
      </c>
      <c r="B143" s="418"/>
      <c r="C143" s="418"/>
      <c r="D143" s="418"/>
      <c r="E143" s="418"/>
      <c r="F143" s="418"/>
      <c r="G143" s="418"/>
      <c r="H143" s="418"/>
      <c r="I143" s="418"/>
      <c r="J143" s="418"/>
      <c r="K143" s="418"/>
      <c r="L143" s="418"/>
      <c r="M143" s="418"/>
      <c r="N143" s="418"/>
      <c r="O143" s="418"/>
      <c r="P143" s="418"/>
      <c r="Q143" s="418"/>
      <c r="R143" s="418"/>
      <c r="S143" s="418"/>
      <c r="T143" s="418"/>
      <c r="U143" s="418"/>
      <c r="V143" s="418"/>
      <c r="W143" s="418"/>
      <c r="X143" s="418"/>
      <c r="Y143" s="418"/>
      <c r="Z143" s="418"/>
      <c r="AA143" s="418"/>
      <c r="AB143" s="418"/>
      <c r="AC143" s="418"/>
      <c r="AD143" s="418"/>
      <c r="AE143" s="418"/>
      <c r="AF143" s="418"/>
      <c r="AG143" s="418"/>
      <c r="AH143" s="418"/>
      <c r="AI143" s="418"/>
      <c r="AJ143" s="418"/>
      <c r="AK143" s="418"/>
      <c r="AL143" s="418"/>
      <c r="AM143" s="418"/>
      <c r="AN143" s="418"/>
      <c r="AO143" s="418"/>
      <c r="AP143" s="418"/>
      <c r="AQ143" s="418"/>
      <c r="AR143" s="418"/>
      <c r="AS143" s="418"/>
      <c r="AT143" s="418"/>
      <c r="AU143" s="418"/>
      <c r="AV143" s="418"/>
      <c r="AW143" s="418"/>
      <c r="AX143" s="418"/>
      <c r="AZ143" s="418"/>
      <c r="BA143" s="418"/>
      <c r="BB143" s="418"/>
      <c r="BC143" s="418"/>
      <c r="BD143" s="418"/>
      <c r="BE143" s="418"/>
      <c r="BF143" s="418"/>
      <c r="BG143" s="418"/>
      <c r="BH143" s="418"/>
      <c r="BI143" s="418"/>
      <c r="BJ143" s="418"/>
      <c r="BK143" s="418"/>
      <c r="BL143" s="418"/>
      <c r="BM143" s="418"/>
      <c r="BN143" s="418"/>
      <c r="BO143" s="418"/>
      <c r="BP143" s="418"/>
      <c r="BQ143" s="418"/>
      <c r="BR143" s="418"/>
      <c r="BS143" s="418"/>
      <c r="BT143" s="418"/>
      <c r="BU143" s="418"/>
      <c r="BV143" s="418"/>
      <c r="BW143" s="418"/>
      <c r="BX143" s="418"/>
      <c r="BY143" s="418"/>
      <c r="BZ143" s="418"/>
      <c r="CA143" s="418"/>
      <c r="CB143" s="418"/>
      <c r="CC143" s="418"/>
      <c r="CE143" s="418"/>
      <c r="CF143" s="418"/>
      <c r="CG143" s="418"/>
      <c r="CI143" s="418"/>
      <c r="CJ143" s="418"/>
      <c r="CK143" s="418"/>
      <c r="CL143" s="418"/>
      <c r="CM143" s="418"/>
      <c r="CN143" s="418"/>
    </row>
  </sheetData>
  <mergeCells count="4">
    <mergeCell ref="B3:AX3"/>
    <mergeCell ref="AZ3:CC3"/>
    <mergeCell ref="CE3:CG3"/>
    <mergeCell ref="CI3:CN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V193"/>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N55" activeCellId="0" sqref="AN55"/>
    </sheetView>
  </sheetViews>
  <sheetFormatPr defaultColWidth="8.6796875" defaultRowHeight="12" zeroHeight="false" outlineLevelRow="0" outlineLevelCol="0"/>
  <cols>
    <col collapsed="false" customWidth="true" hidden="false" outlineLevel="0" max="1" min="1" style="20" width="32.82"/>
    <col collapsed="false" customWidth="true" hidden="false" outlineLevel="0" max="2" min="2" style="20" width="10.82"/>
    <col collapsed="false" customWidth="true" hidden="false" outlineLevel="0" max="3" min="3" style="20" width="11.73"/>
    <col collapsed="false" customWidth="true" hidden="false" outlineLevel="0" max="4" min="4" style="20" width="11.54"/>
    <col collapsed="false" customWidth="true" hidden="false" outlineLevel="0" max="5" min="5" style="20" width="10.54"/>
    <col collapsed="false" customWidth="true" hidden="false" outlineLevel="0" max="6" min="6" style="20" width="10.82"/>
    <col collapsed="false" customWidth="true" hidden="false" outlineLevel="0" max="7" min="7" style="20" width="11.73"/>
    <col collapsed="false" customWidth="true" hidden="false" outlineLevel="0" max="8" min="8" style="20" width="11.54"/>
    <col collapsed="false" customWidth="true" hidden="false" outlineLevel="0" max="9" min="9" style="20" width="10.54"/>
    <col collapsed="false" customWidth="true" hidden="false" outlineLevel="0" max="10" min="10" style="20" width="10.82"/>
    <col collapsed="false" customWidth="true" hidden="false" outlineLevel="0" max="11" min="11" style="20" width="11.73"/>
    <col collapsed="false" customWidth="true" hidden="false" outlineLevel="0" max="12" min="12" style="20" width="11.54"/>
    <col collapsed="false" customWidth="true" hidden="false" outlineLevel="0" max="13" min="13" style="20" width="10.54"/>
    <col collapsed="false" customWidth="true" hidden="false" outlineLevel="0" max="14" min="14" style="20" width="10.82"/>
    <col collapsed="false" customWidth="true" hidden="false" outlineLevel="0" max="15" min="15" style="20" width="12.18"/>
    <col collapsed="false" customWidth="true" hidden="false" outlineLevel="0" max="16" min="16" style="20" width="11.54"/>
    <col collapsed="false" customWidth="true" hidden="false" outlineLevel="0" max="18" min="17" style="20" width="13.18"/>
    <col collapsed="false" customWidth="true" hidden="false" outlineLevel="0" max="21" min="19" style="20" width="14.27"/>
    <col collapsed="false" customWidth="true" hidden="false" outlineLevel="0" max="22" min="22" style="442" width="14.27"/>
    <col collapsed="false" customWidth="true" hidden="false" outlineLevel="0" max="23" min="23" style="20" width="14.27"/>
    <col collapsed="false" customWidth="true" hidden="false" outlineLevel="0" max="25" min="24" style="20" width="15.45"/>
    <col collapsed="false" customWidth="true" hidden="false" outlineLevel="0" max="26" min="26" style="443" width="15"/>
    <col collapsed="false" customWidth="true" hidden="false" outlineLevel="0" max="38" min="27" style="20" width="15"/>
    <col collapsed="false" customWidth="true" hidden="false" outlineLevel="0" max="39" min="39" style="444" width="15"/>
    <col collapsed="false" customWidth="true" hidden="false" outlineLevel="0" max="45" min="40" style="20" width="15"/>
    <col collapsed="false" customWidth="true" hidden="false" outlineLevel="0" max="46" min="46" style="444" width="15"/>
    <col collapsed="false" customWidth="true" hidden="false" outlineLevel="0" max="47" min="47" style="20" width="15"/>
    <col collapsed="false" customWidth="true" hidden="false" outlineLevel="0" max="48" min="48" style="20" width="14"/>
  </cols>
  <sheetData>
    <row r="1" customFormat="false" ht="12.75" hidden="false" customHeight="true" outlineLevel="0" collapsed="false">
      <c r="A1" s="39" t="s">
        <v>965</v>
      </c>
      <c r="B1" s="39" t="s">
        <v>966</v>
      </c>
      <c r="C1" s="39" t="s">
        <v>967</v>
      </c>
      <c r="D1" s="39" t="s">
        <v>968</v>
      </c>
      <c r="E1" s="39" t="s">
        <v>969</v>
      </c>
      <c r="F1" s="39" t="s">
        <v>970</v>
      </c>
      <c r="G1" s="39" t="s">
        <v>971</v>
      </c>
      <c r="H1" s="39" t="s">
        <v>972</v>
      </c>
      <c r="I1" s="63" t="s">
        <v>973</v>
      </c>
      <c r="J1" s="39" t="s">
        <v>974</v>
      </c>
      <c r="K1" s="39" t="s">
        <v>975</v>
      </c>
      <c r="L1" s="39" t="s">
        <v>976</v>
      </c>
      <c r="M1" s="63" t="s">
        <v>977</v>
      </c>
      <c r="N1" s="39" t="s">
        <v>978</v>
      </c>
      <c r="O1" s="39" t="s">
        <v>979</v>
      </c>
      <c r="P1" s="39" t="s">
        <v>980</v>
      </c>
      <c r="Q1" s="39" t="s">
        <v>981</v>
      </c>
      <c r="R1" s="39" t="s">
        <v>982</v>
      </c>
      <c r="S1" s="39" t="s">
        <v>983</v>
      </c>
      <c r="T1" s="39" t="s">
        <v>984</v>
      </c>
      <c r="U1" s="39" t="s">
        <v>985</v>
      </c>
      <c r="V1" s="445" t="s">
        <v>986</v>
      </c>
      <c r="W1" s="39" t="s">
        <v>987</v>
      </c>
      <c r="X1" s="39" t="s">
        <v>988</v>
      </c>
      <c r="Y1" s="39" t="s">
        <v>989</v>
      </c>
      <c r="Z1" s="39" t="s">
        <v>990</v>
      </c>
      <c r="AA1" s="39" t="s">
        <v>991</v>
      </c>
      <c r="AB1" s="39" t="s">
        <v>992</v>
      </c>
      <c r="AC1" s="39" t="s">
        <v>993</v>
      </c>
      <c r="AD1" s="39" t="s">
        <v>994</v>
      </c>
      <c r="AE1" s="39" t="s">
        <v>995</v>
      </c>
      <c r="AF1" s="39" t="s">
        <v>996</v>
      </c>
      <c r="AG1" s="39" t="s">
        <v>997</v>
      </c>
      <c r="AH1" s="39" t="s">
        <v>998</v>
      </c>
      <c r="AI1" s="39" t="s">
        <v>999</v>
      </c>
      <c r="AJ1" s="39" t="s">
        <v>1000</v>
      </c>
      <c r="AK1" s="39" t="s">
        <v>1001</v>
      </c>
      <c r="AL1" s="39" t="s">
        <v>1002</v>
      </c>
      <c r="AM1" s="446" t="s">
        <v>1003</v>
      </c>
      <c r="AN1" s="39" t="s">
        <v>1004</v>
      </c>
      <c r="AO1" s="39" t="s">
        <v>1005</v>
      </c>
      <c r="AP1" s="39" t="s">
        <v>1006</v>
      </c>
      <c r="AQ1" s="39" t="s">
        <v>1007</v>
      </c>
      <c r="AR1" s="39" t="s">
        <v>1008</v>
      </c>
      <c r="AS1" s="39" t="s">
        <v>1009</v>
      </c>
      <c r="AT1" s="446" t="s">
        <v>760</v>
      </c>
      <c r="AU1" s="39" t="s">
        <v>1010</v>
      </c>
    </row>
    <row r="2" customFormat="false" ht="12" hidden="false" customHeight="true" outlineLevel="0" collapsed="false">
      <c r="A2" s="46" t="s">
        <v>1011</v>
      </c>
      <c r="B2" s="447"/>
      <c r="C2" s="447"/>
      <c r="D2" s="447"/>
      <c r="E2" s="83"/>
      <c r="F2" s="447"/>
      <c r="G2" s="447"/>
      <c r="H2" s="447"/>
      <c r="I2" s="83"/>
      <c r="J2" s="447"/>
      <c r="K2" s="447"/>
      <c r="L2" s="447"/>
      <c r="M2" s="83"/>
      <c r="N2" s="447"/>
      <c r="O2" s="447"/>
      <c r="P2" s="447"/>
      <c r="AH2" s="62" t="n">
        <f aca="false">+SUM(AE22:AH22)/SUM(AE6:AH6)*1000000</f>
        <v>1113086.76622039</v>
      </c>
      <c r="AP2" s="83"/>
      <c r="AU2" s="83"/>
    </row>
    <row r="3" customFormat="false" ht="12.75" hidden="false" customHeight="true" outlineLevel="0" collapsed="false">
      <c r="A3" s="39" t="s">
        <v>872</v>
      </c>
      <c r="E3" s="41"/>
      <c r="I3" s="41"/>
      <c r="M3" s="41"/>
      <c r="O3" s="19"/>
      <c r="AL3" s="32"/>
      <c r="AP3" s="32"/>
      <c r="AS3" s="32"/>
      <c r="AU3" s="32"/>
    </row>
    <row r="4" customFormat="false" ht="12" hidden="false" customHeight="true" outlineLevel="0" collapsed="false">
      <c r="A4" s="46" t="s">
        <v>400</v>
      </c>
      <c r="B4" s="190" t="n">
        <v>16943</v>
      </c>
      <c r="C4" s="190" t="n">
        <v>19781</v>
      </c>
      <c r="D4" s="190" t="n">
        <v>19997</v>
      </c>
      <c r="E4" s="190" t="n">
        <v>26084</v>
      </c>
      <c r="F4" s="239" t="n">
        <f aca="false">18163-F5</f>
        <v>18004</v>
      </c>
      <c r="G4" s="190" t="n">
        <v>18745</v>
      </c>
      <c r="H4" s="190" t="n">
        <v>18814</v>
      </c>
      <c r="I4" s="190" t="n">
        <v>26941</v>
      </c>
      <c r="J4" s="190" t="n">
        <v>18180</v>
      </c>
      <c r="K4" s="190" t="n">
        <v>16979</v>
      </c>
      <c r="L4" s="190" t="n">
        <v>7914</v>
      </c>
      <c r="M4" s="190" t="n">
        <v>10051</v>
      </c>
      <c r="N4" s="190" t="n">
        <v>7467</v>
      </c>
      <c r="O4" s="239" t="n">
        <f aca="false">5858+819+13194+1614-N4</f>
        <v>14018</v>
      </c>
      <c r="P4" s="190" t="n">
        <v>15838</v>
      </c>
      <c r="Q4" s="190" t="n">
        <v>25484</v>
      </c>
      <c r="R4" s="190" t="n">
        <v>21127</v>
      </c>
      <c r="S4" s="205" t="n">
        <f aca="false">6504+17926</f>
        <v>24430</v>
      </c>
      <c r="T4" s="190" t="n">
        <v>18258</v>
      </c>
      <c r="U4" s="190" t="n">
        <v>29421</v>
      </c>
      <c r="V4" s="448" t="n">
        <f aca="false">+SUM(R4:U4)</f>
        <v>93236</v>
      </c>
      <c r="W4" s="190" t="n">
        <v>19083</v>
      </c>
      <c r="X4" s="205" t="n">
        <f aca="false">17225+6125</f>
        <v>23350</v>
      </c>
      <c r="Y4" s="62" t="n">
        <f aca="false">+Y6-Y5</f>
        <v>20756</v>
      </c>
      <c r="Z4" s="205" t="n">
        <f aca="false">9200+9521+12074</f>
        <v>30795</v>
      </c>
      <c r="AA4" s="190" t="n">
        <v>20337</v>
      </c>
      <c r="AB4" s="205" t="n">
        <f aca="false">7596+6982+6597</f>
        <v>21175</v>
      </c>
      <c r="AC4" s="205" t="n">
        <f aca="false">4964+4487+5230</f>
        <v>14681</v>
      </c>
      <c r="AD4" s="205" t="n">
        <f aca="false">7045+6863+9695</f>
        <v>23603</v>
      </c>
      <c r="AE4" s="190" t="n">
        <v>14897</v>
      </c>
      <c r="AF4" s="205" t="n">
        <f aca="false">4715+4939+6259</f>
        <v>15913</v>
      </c>
      <c r="AG4" s="205" t="n">
        <f aca="false">3890+2715+4093</f>
        <v>10698</v>
      </c>
      <c r="AH4" s="205" t="n">
        <f aca="false">7723+5576+5530</f>
        <v>18829</v>
      </c>
      <c r="AI4" s="190" t="n">
        <v>14949</v>
      </c>
      <c r="AJ4" s="205" t="n">
        <f aca="false">5832+5750+6625</f>
        <v>18207</v>
      </c>
      <c r="AK4" s="205" t="n">
        <f aca="false">5865+5204+7210</f>
        <v>18279</v>
      </c>
      <c r="AL4" s="205" t="n">
        <f aca="false">8009+8230+10027</f>
        <v>26266</v>
      </c>
      <c r="AN4" s="190" t="n">
        <v>21485</v>
      </c>
      <c r="AO4" s="205" t="n">
        <f aca="false">8803+8903+12134</f>
        <v>29840</v>
      </c>
      <c r="AP4" s="205" t="n">
        <f aca="false">7177+6296+9758</f>
        <v>23231</v>
      </c>
      <c r="AQ4" s="205" t="n">
        <f aca="false">7177+6296+9703</f>
        <v>23176</v>
      </c>
      <c r="AR4" s="190" t="n">
        <v>33000</v>
      </c>
      <c r="AS4" s="205" t="n">
        <f aca="false">11208+10801+13240</f>
        <v>35249</v>
      </c>
      <c r="AU4" s="205" t="n">
        <f aca="false">7873+7469+8685</f>
        <v>24027</v>
      </c>
    </row>
    <row r="5" customFormat="false" ht="12" hidden="false" customHeight="true" outlineLevel="0" collapsed="false">
      <c r="A5" s="46" t="s">
        <v>402</v>
      </c>
      <c r="B5" s="190" t="n">
        <v>97</v>
      </c>
      <c r="C5" s="190" t="n">
        <v>88</v>
      </c>
      <c r="D5" s="190" t="n">
        <v>71</v>
      </c>
      <c r="E5" s="190" t="n">
        <v>46</v>
      </c>
      <c r="F5" s="205" t="n">
        <f aca="false">142+17</f>
        <v>159</v>
      </c>
      <c r="G5" s="190" t="n">
        <v>147</v>
      </c>
      <c r="H5" s="190" t="n">
        <v>151</v>
      </c>
      <c r="I5" s="190" t="n">
        <v>368</v>
      </c>
      <c r="J5" s="190" t="n">
        <v>245</v>
      </c>
      <c r="K5" s="190" t="n">
        <v>228</v>
      </c>
      <c r="L5" s="190" t="n">
        <v>127</v>
      </c>
      <c r="M5" s="190" t="n">
        <v>750</v>
      </c>
      <c r="N5" s="190" t="n">
        <v>231</v>
      </c>
      <c r="O5" s="239" t="n">
        <f aca="false">344+165-N5</f>
        <v>278</v>
      </c>
      <c r="P5" s="190" t="n">
        <v>289</v>
      </c>
      <c r="Q5" s="190" t="n">
        <v>323</v>
      </c>
      <c r="R5" s="190" t="n">
        <v>275</v>
      </c>
      <c r="S5" s="190" t="n">
        <v>160</v>
      </c>
      <c r="T5" s="190" t="n">
        <v>179</v>
      </c>
      <c r="U5" s="190" t="n">
        <v>258</v>
      </c>
      <c r="V5" s="448" t="n">
        <f aca="false">+SUM(R5:U5)</f>
        <v>872</v>
      </c>
      <c r="W5" s="48" t="n">
        <v>194</v>
      </c>
      <c r="X5" s="48" t="n">
        <v>278</v>
      </c>
      <c r="Y5" s="58" t="n">
        <f aca="false">7593-4893</f>
        <v>2700</v>
      </c>
      <c r="Z5" s="58" t="n">
        <f aca="false">1100+1582+2211</f>
        <v>4893</v>
      </c>
      <c r="AA5" s="48" t="n">
        <v>7248</v>
      </c>
      <c r="AB5" s="58" t="n">
        <f aca="false">3027+2803+2835</f>
        <v>8665</v>
      </c>
      <c r="AC5" s="58" t="n">
        <f aca="false">3033+2883+2069</f>
        <v>7985</v>
      </c>
      <c r="AD5" s="58" t="n">
        <f aca="false">3001+3698+4325</f>
        <v>11024</v>
      </c>
      <c r="AE5" s="48" t="n">
        <v>6824</v>
      </c>
      <c r="AF5" s="58" t="n">
        <f aca="false">2517+2200+2480</f>
        <v>7197</v>
      </c>
      <c r="AG5" s="58" t="n">
        <f aca="false">2385+2660+2710</f>
        <v>7755</v>
      </c>
      <c r="AH5" s="58" t="n">
        <f aca="false">2563+2339+2317</f>
        <v>7219</v>
      </c>
      <c r="AI5" s="48" t="n">
        <v>5032</v>
      </c>
      <c r="AJ5" s="58" t="n">
        <f aca="false">2501+2111+2560</f>
        <v>7172</v>
      </c>
      <c r="AK5" s="58" t="n">
        <f aca="false">2537+2528+2080</f>
        <v>7145</v>
      </c>
      <c r="AL5" s="58" t="n">
        <f aca="false">2634+2532+2727</f>
        <v>7893</v>
      </c>
      <c r="AN5" s="48" t="n">
        <v>6701</v>
      </c>
      <c r="AO5" s="58" t="n">
        <f aca="false">2219+2641+2637</f>
        <v>7497</v>
      </c>
      <c r="AP5" s="58" t="n">
        <f aca="false">2451+2674+3627</f>
        <v>8752</v>
      </c>
      <c r="AQ5" s="58" t="n">
        <f aca="false">2627+2674+2451</f>
        <v>7752</v>
      </c>
      <c r="AR5" s="48" t="n">
        <v>7500</v>
      </c>
      <c r="AS5" s="58" t="n">
        <f aca="false">2678+2605+3462</f>
        <v>8745</v>
      </c>
      <c r="AU5" s="58" t="n">
        <f aca="false">2309+2406+2423</f>
        <v>7138</v>
      </c>
    </row>
    <row r="6" s="19" customFormat="true" ht="12.75" hidden="false" customHeight="true" outlineLevel="0" collapsed="false">
      <c r="A6" s="39" t="s">
        <v>868</v>
      </c>
      <c r="B6" s="67" t="n">
        <f aca="false">B4+B5</f>
        <v>17040</v>
      </c>
      <c r="C6" s="67" t="n">
        <f aca="false">C4+C5</f>
        <v>19869</v>
      </c>
      <c r="D6" s="67" t="n">
        <f aca="false">D4+D5</f>
        <v>20068</v>
      </c>
      <c r="E6" s="67" t="n">
        <f aca="false">E4+E5</f>
        <v>26130</v>
      </c>
      <c r="F6" s="67" t="n">
        <f aca="false">F4+F5</f>
        <v>18163</v>
      </c>
      <c r="G6" s="67" t="n">
        <f aca="false">G4+G5</f>
        <v>18892</v>
      </c>
      <c r="H6" s="67" t="n">
        <f aca="false">H4+H5</f>
        <v>18965</v>
      </c>
      <c r="I6" s="67" t="n">
        <f aca="false">I4+I5</f>
        <v>27309</v>
      </c>
      <c r="J6" s="67" t="n">
        <f aca="false">J4+J5</f>
        <v>18425</v>
      </c>
      <c r="K6" s="67" t="n">
        <f aca="false">K4+K5</f>
        <v>17207</v>
      </c>
      <c r="L6" s="67" t="n">
        <f aca="false">L4+L5</f>
        <v>8041</v>
      </c>
      <c r="M6" s="67" t="n">
        <f aca="false">M5+M4</f>
        <v>10801</v>
      </c>
      <c r="N6" s="67" t="n">
        <f aca="false">N5+N4</f>
        <v>7698</v>
      </c>
      <c r="O6" s="67" t="n">
        <f aca="false">O4+O5</f>
        <v>14296</v>
      </c>
      <c r="P6" s="67" t="n">
        <f aca="false">P4+P5</f>
        <v>16127</v>
      </c>
      <c r="Q6" s="67" t="n">
        <f aca="false">Q4+Q5</f>
        <v>25807</v>
      </c>
      <c r="R6" s="67" t="n">
        <f aca="false">R4+R5</f>
        <v>21402</v>
      </c>
      <c r="S6" s="67" t="n">
        <f aca="false">+S5+S4</f>
        <v>24590</v>
      </c>
      <c r="T6" s="67" t="n">
        <f aca="false">+T5+T4</f>
        <v>18437</v>
      </c>
      <c r="U6" s="67" t="n">
        <f aca="false">+U5+U4</f>
        <v>29679</v>
      </c>
      <c r="V6" s="448" t="n">
        <f aca="false">+SUM(R6:U6)</f>
        <v>94108</v>
      </c>
      <c r="W6" s="67" t="n">
        <f aca="false">+W5+W4</f>
        <v>19277</v>
      </c>
      <c r="X6" s="67" t="n">
        <f aca="false">+X5+X4</f>
        <v>23628</v>
      </c>
      <c r="Y6" s="208" t="n">
        <v>23456</v>
      </c>
      <c r="Z6" s="209" t="n">
        <f aca="false">14285+11103+10300</f>
        <v>35688</v>
      </c>
      <c r="AA6" s="67" t="n">
        <f aca="false">+AA5+AA4</f>
        <v>27585</v>
      </c>
      <c r="AB6" s="67" t="n">
        <f aca="false">+AB5+AB4</f>
        <v>29840</v>
      </c>
      <c r="AC6" s="67" t="n">
        <f aca="false">+AC5+AC4</f>
        <v>22666</v>
      </c>
      <c r="AD6" s="67" t="n">
        <f aca="false">+AD5+AD4</f>
        <v>34627</v>
      </c>
      <c r="AE6" s="67" t="n">
        <f aca="false">+AE5+AE4</f>
        <v>21721</v>
      </c>
      <c r="AF6" s="67" t="n">
        <f aca="false">+AF5+AF4</f>
        <v>23110</v>
      </c>
      <c r="AG6" s="67" t="n">
        <f aca="false">+AG5+AG4</f>
        <v>18453</v>
      </c>
      <c r="AH6" s="67" t="n">
        <f aca="false">+AH5+AH4</f>
        <v>26048</v>
      </c>
      <c r="AI6" s="67" t="n">
        <f aca="false">+AI5+AI4</f>
        <v>19981</v>
      </c>
      <c r="AJ6" s="67" t="n">
        <f aca="false">+AJ5+AJ4</f>
        <v>25379</v>
      </c>
      <c r="AK6" s="67" t="n">
        <f aca="false">+AK5+AK4</f>
        <v>25424</v>
      </c>
      <c r="AL6" s="67" t="n">
        <f aca="false">+AL5+AL4</f>
        <v>34159</v>
      </c>
      <c r="AM6" s="446" t="n">
        <f aca="false">+AL6+AK6+AI6+AJ6</f>
        <v>104943</v>
      </c>
      <c r="AN6" s="67" t="n">
        <f aca="false">+AN5+AN4</f>
        <v>28186</v>
      </c>
      <c r="AO6" s="67" t="n">
        <f aca="false">+AO5+AO4</f>
        <v>37337</v>
      </c>
      <c r="AP6" s="67" t="n">
        <f aca="false">+AP5+AP4</f>
        <v>31983</v>
      </c>
      <c r="AQ6" s="67" t="n">
        <f aca="false">+AQ5+AQ4</f>
        <v>30928</v>
      </c>
      <c r="AR6" s="67" t="n">
        <f aca="false">+AR5+AR4</f>
        <v>40500</v>
      </c>
      <c r="AS6" s="67" t="n">
        <f aca="false">+AS5+AS4</f>
        <v>43994</v>
      </c>
      <c r="AT6" s="446" t="n">
        <f aca="false">+AS6+AQ6+AN6+AO6</f>
        <v>140445</v>
      </c>
      <c r="AU6" s="67" t="n">
        <f aca="false">+AU5+AU4</f>
        <v>31165</v>
      </c>
      <c r="AV6" s="449" t="n">
        <f aca="false">+AU6/AN6-1</f>
        <v>0.105690768466615</v>
      </c>
    </row>
    <row r="7" customFormat="false" ht="12.75" hidden="false" customHeight="true" outlineLevel="0" collapsed="false">
      <c r="A7" s="39" t="s">
        <v>870</v>
      </c>
      <c r="C7" s="32"/>
      <c r="D7" s="32"/>
      <c r="F7" s="62" t="n">
        <f aca="false">(F25+F24)*10^6/F6</f>
        <v>642505.092771018</v>
      </c>
      <c r="G7" s="62" t="n">
        <f aca="false">(G25+G24)*10^6/G6</f>
        <v>693352.741901334</v>
      </c>
      <c r="H7" s="62" t="n">
        <f aca="false">(H25+H24)*10^6/H6</f>
        <v>716566.30635381</v>
      </c>
      <c r="I7" s="62" t="n">
        <f aca="false">(I25+I24)*10^6/I6</f>
        <v>692977.040536087</v>
      </c>
      <c r="J7" s="62" t="n">
        <f aca="false">(J25+J24)*10^6/J6</f>
        <v>780238.263229308</v>
      </c>
      <c r="K7" s="62" t="n">
        <f aca="false">(K25+K24)*10^6/K6</f>
        <v>810809.321787645</v>
      </c>
      <c r="L7" s="62" t="n">
        <f aca="false">(L25+L24)*10^6/L6</f>
        <v>914929.486382291</v>
      </c>
      <c r="M7" s="62" t="n">
        <f aca="false">(M25+M24)*10^6/M6</f>
        <v>818263.123784835</v>
      </c>
      <c r="N7" s="62" t="n">
        <f aca="false">(N25+N24)*10^6/N6</f>
        <v>860836.580930112</v>
      </c>
      <c r="O7" s="41"/>
      <c r="P7" s="62" t="n">
        <f aca="false">(P25+P24)*10^6/P6</f>
        <v>803614.931481367</v>
      </c>
      <c r="U7" s="72"/>
      <c r="V7" s="450"/>
      <c r="W7" s="72"/>
      <c r="X7" s="72"/>
      <c r="Y7" s="72"/>
      <c r="Z7" s="451"/>
      <c r="AA7" s="68"/>
      <c r="AB7" s="68"/>
      <c r="AC7" s="68"/>
      <c r="AD7" s="68"/>
      <c r="AE7" s="97" t="n">
        <f aca="false">+AE5/AE6</f>
        <v>0.314166014456056</v>
      </c>
      <c r="AF7" s="97" t="n">
        <f aca="false">+AF5/AF6</f>
        <v>0.311423626135872</v>
      </c>
      <c r="AG7" s="97" t="n">
        <f aca="false">+AG5/AG6</f>
        <v>0.420256868801821</v>
      </c>
      <c r="AH7" s="97" t="n">
        <f aca="false">+AH5/AH6</f>
        <v>0.277142199017199</v>
      </c>
      <c r="AI7" s="97" t="n">
        <f aca="false">+AI5/AI6</f>
        <v>0.251839247284921</v>
      </c>
      <c r="AJ7" s="97" t="n">
        <f aca="false">+AJ5/AJ6</f>
        <v>0.282595846960085</v>
      </c>
      <c r="AK7" s="97" t="n">
        <f aca="false">+AK5/AK6</f>
        <v>0.281033668974198</v>
      </c>
      <c r="AL7" s="97" t="n">
        <f aca="false">+AL5/AL6</f>
        <v>0.231066483210867</v>
      </c>
      <c r="AN7" s="97" t="n">
        <f aca="false">+AN5/AN6</f>
        <v>0.237742141488682</v>
      </c>
      <c r="AO7" s="97" t="n">
        <f aca="false">+AO5/AO6</f>
        <v>0.200792779280606</v>
      </c>
      <c r="AP7" s="97" t="n">
        <f aca="false">+AP5/AP6</f>
        <v>0.273645374104993</v>
      </c>
      <c r="AQ7" s="97" t="n">
        <f aca="false">+AQ5/AQ6</f>
        <v>0.250646663217796</v>
      </c>
      <c r="AR7" s="61"/>
      <c r="AS7" s="97" t="n">
        <f aca="false">+AS5/AS6</f>
        <v>0.198777105968996</v>
      </c>
      <c r="AU7" s="97" t="n">
        <f aca="false">+AU5/AU6</f>
        <v>0.229038986042034</v>
      </c>
    </row>
    <row r="8" customFormat="false" ht="12" hidden="false" customHeight="true" outlineLevel="0" collapsed="false">
      <c r="A8" s="46" t="s">
        <v>400</v>
      </c>
      <c r="B8" s="90" t="n">
        <f aca="false">B4/B6*100</f>
        <v>99.4307511737089</v>
      </c>
      <c r="C8" s="90" t="n">
        <f aca="false">C4/C6*100</f>
        <v>99.5570989984398</v>
      </c>
      <c r="D8" s="90" t="n">
        <f aca="false">D4/D6*100</f>
        <v>99.6462029101056</v>
      </c>
      <c r="E8" s="90" t="n">
        <f aca="false">E4/E6*100</f>
        <v>99.82395713739</v>
      </c>
      <c r="F8" s="90" t="n">
        <f aca="false">F4/F6*100</f>
        <v>99.1245939547432</v>
      </c>
      <c r="G8" s="90" t="n">
        <f aca="false">G4/G6*100</f>
        <v>99.2218928647046</v>
      </c>
      <c r="H8" s="90" t="n">
        <f aca="false">H4/H6*100</f>
        <v>99.2037964671764</v>
      </c>
      <c r="I8" s="90" t="n">
        <f aca="false">I4/I6*100</f>
        <v>98.6524588963345</v>
      </c>
      <c r="J8" s="90" t="n">
        <f aca="false">J4/J6*100</f>
        <v>98.6702849389417</v>
      </c>
      <c r="K8" s="90" t="n">
        <f aca="false">K4/K6*100</f>
        <v>98.6749578659848</v>
      </c>
      <c r="L8" s="90" t="n">
        <f aca="false">L4/L6*100</f>
        <v>98.4205944534262</v>
      </c>
      <c r="M8" s="90" t="n">
        <f aca="false">M4/M6*100</f>
        <v>93.0561985001389</v>
      </c>
      <c r="N8" s="90" t="n">
        <f aca="false">N4/N6*100</f>
        <v>96.9992205767732</v>
      </c>
      <c r="O8" s="40"/>
      <c r="P8" s="90" t="n">
        <f aca="false">P4/P6*100</f>
        <v>98.2079742047498</v>
      </c>
      <c r="R8" s="32"/>
      <c r="S8" s="32"/>
      <c r="T8" s="32"/>
      <c r="Z8" s="240"/>
      <c r="AA8" s="41"/>
      <c r="AB8" s="41"/>
      <c r="AC8" s="41"/>
      <c r="AD8" s="41"/>
      <c r="AE8" s="41"/>
      <c r="AF8" s="41"/>
      <c r="AG8" s="41"/>
      <c r="AH8" s="41"/>
      <c r="AI8" s="41"/>
      <c r="AJ8" s="41"/>
      <c r="AK8" s="41"/>
      <c r="AL8" s="41"/>
      <c r="AN8" s="41"/>
      <c r="AO8" s="41"/>
      <c r="AP8" s="57"/>
      <c r="AQ8" s="41"/>
      <c r="AR8" s="41"/>
      <c r="AS8" s="41"/>
      <c r="AU8" s="57"/>
    </row>
    <row r="9" customFormat="false" ht="12" hidden="false" customHeight="true" outlineLevel="0" collapsed="false">
      <c r="A9" s="46" t="s">
        <v>402</v>
      </c>
      <c r="B9" s="90" t="n">
        <f aca="false">B5/B6*100</f>
        <v>0.56924882629108</v>
      </c>
      <c r="C9" s="90" t="n">
        <f aca="false">C5/C6*100</f>
        <v>0.442901001560219</v>
      </c>
      <c r="D9" s="90" t="n">
        <f aca="false">D5/D6*100</f>
        <v>0.353797089894359</v>
      </c>
      <c r="E9" s="90" t="n">
        <f aca="false">E5/E6*100</f>
        <v>0.176042862610027</v>
      </c>
      <c r="F9" s="90" t="n">
        <f aca="false">F5/F6*100</f>
        <v>0.875406045256841</v>
      </c>
      <c r="G9" s="90" t="n">
        <f aca="false">G5/G6*100</f>
        <v>0.778107135295363</v>
      </c>
      <c r="H9" s="90" t="n">
        <f aca="false">H5/H6*100</f>
        <v>0.796203532823622</v>
      </c>
      <c r="I9" s="90" t="n">
        <f aca="false">I5/I6*100</f>
        <v>1.34754110366546</v>
      </c>
      <c r="J9" s="90" t="n">
        <f aca="false">J5/J6*100</f>
        <v>1.32971506105834</v>
      </c>
      <c r="K9" s="90" t="n">
        <f aca="false">K5/K6*100</f>
        <v>1.32504213401523</v>
      </c>
      <c r="L9" s="90" t="n">
        <f aca="false">L5/L6*100</f>
        <v>1.57940554657381</v>
      </c>
      <c r="M9" s="90" t="n">
        <f aca="false">M5/M6*100</f>
        <v>6.94380149986112</v>
      </c>
      <c r="N9" s="90" t="n">
        <f aca="false">N5/N6*100</f>
        <v>3.00077942322681</v>
      </c>
      <c r="O9" s="40"/>
      <c r="P9" s="90" t="n">
        <f aca="false">P5/P6*100</f>
        <v>1.7920257952502</v>
      </c>
      <c r="R9" s="32"/>
      <c r="S9" s="32"/>
      <c r="T9" s="32"/>
      <c r="U9" s="32"/>
      <c r="V9" s="452"/>
      <c r="W9" s="32"/>
      <c r="X9" s="32"/>
      <c r="Y9" s="32"/>
      <c r="Z9" s="453"/>
      <c r="AA9" s="31"/>
      <c r="AB9" s="31"/>
      <c r="AC9" s="31"/>
      <c r="AD9" s="31"/>
      <c r="AE9" s="31"/>
      <c r="AF9" s="31"/>
      <c r="AG9" s="31"/>
      <c r="AH9" s="31"/>
      <c r="AI9" s="31"/>
      <c r="AJ9" s="31"/>
      <c r="AK9" s="31"/>
      <c r="AL9" s="31"/>
      <c r="AN9" s="31"/>
      <c r="AO9" s="31"/>
      <c r="AP9" s="31"/>
      <c r="AQ9" s="31"/>
      <c r="AR9" s="31"/>
      <c r="AS9" s="31"/>
      <c r="AU9" s="31"/>
    </row>
    <row r="10" customFormat="false" ht="12.75" hidden="false" customHeight="true" outlineLevel="0" collapsed="false">
      <c r="A10" s="39" t="s">
        <v>405</v>
      </c>
      <c r="F10" s="62" t="n">
        <f aca="false">F27*10^6/F6</f>
        <v>88336.728514012</v>
      </c>
      <c r="G10" s="62" t="n">
        <f aca="false">G27*10^6/G6</f>
        <v>58345.3313571882</v>
      </c>
      <c r="H10" s="62" t="n">
        <f aca="false">H27*10^6/H6</f>
        <v>69150.5404692855</v>
      </c>
      <c r="I10" s="62" t="n">
        <f aca="false">I27*10^6/I6</f>
        <v>72035.9588414076</v>
      </c>
      <c r="J10" s="62" t="n">
        <f aca="false">J27*10^6/J6</f>
        <v>71951.2075983718</v>
      </c>
      <c r="K10" s="62" t="n">
        <f aca="false">K27*10^6/K6</f>
        <v>93147.8468065322</v>
      </c>
      <c r="L10" s="62" t="n">
        <f aca="false">L27*10^6/L6</f>
        <v>117213.903743316</v>
      </c>
      <c r="M10" s="62" t="n">
        <f aca="false">M27*10^6/M6</f>
        <v>110641.607258587</v>
      </c>
      <c r="N10" s="62" t="n">
        <f aca="false">N27*10^6/N6</f>
        <v>121484.801247077</v>
      </c>
      <c r="O10" s="41"/>
      <c r="P10" s="41"/>
    </row>
    <row r="11" customFormat="false" ht="12" hidden="false" customHeight="true" outlineLevel="0" collapsed="false">
      <c r="A11" s="46" t="s">
        <v>400</v>
      </c>
      <c r="B11" s="196" t="n">
        <v>28.1</v>
      </c>
      <c r="C11" s="197" t="n">
        <v>30.7</v>
      </c>
      <c r="D11" s="197" t="n">
        <v>28.7</v>
      </c>
      <c r="E11" s="196" t="n">
        <v>29.3</v>
      </c>
      <c r="F11" s="196" t="n">
        <v>29.9</v>
      </c>
      <c r="G11" s="197" t="n">
        <v>28.14</v>
      </c>
      <c r="H11" s="197" t="n">
        <v>25.5</v>
      </c>
      <c r="I11" s="196" t="n">
        <v>29.1</v>
      </c>
      <c r="J11" s="196" t="n">
        <v>28.8</v>
      </c>
      <c r="K11" s="197" t="n">
        <v>28.1</v>
      </c>
      <c r="L11" s="197" t="n">
        <v>25.5</v>
      </c>
      <c r="M11" s="40"/>
      <c r="N11" s="40"/>
      <c r="O11" s="115"/>
      <c r="P11" s="115"/>
    </row>
    <row r="12" customFormat="false" ht="12" hidden="false" customHeight="true" outlineLevel="0" collapsed="false">
      <c r="A12" s="46" t="s">
        <v>402</v>
      </c>
      <c r="B12" s="196" t="n">
        <v>0.2</v>
      </c>
      <c r="C12" s="197" t="n">
        <v>0.2</v>
      </c>
      <c r="D12" s="197" t="n">
        <v>0.1</v>
      </c>
      <c r="E12" s="196" t="n">
        <v>0.1</v>
      </c>
      <c r="F12" s="196" t="n">
        <v>0.3</v>
      </c>
      <c r="G12" s="197" t="n">
        <v>0.2</v>
      </c>
      <c r="H12" s="197" t="n">
        <v>0.2</v>
      </c>
      <c r="I12" s="196" t="n">
        <v>0.5</v>
      </c>
      <c r="J12" s="40"/>
      <c r="K12" s="197" t="n">
        <v>0.4</v>
      </c>
      <c r="L12" s="197" t="n">
        <v>0.3</v>
      </c>
      <c r="M12" s="40"/>
      <c r="N12" s="40"/>
      <c r="O12" s="115"/>
      <c r="P12" s="115"/>
      <c r="Q12" s="454" t="n">
        <f aca="false">+(Q22-Q14-Q15)/Q6*1000000</f>
        <v>1055155.65544232</v>
      </c>
      <c r="R12" s="455" t="n">
        <f aca="false">+(R22-R14-R15)/R6*1000000</f>
        <v>998494.579945799</v>
      </c>
      <c r="S12" s="455" t="n">
        <f aca="false">+(S22-S14-S15)/S6*1000000</f>
        <v>1004454.85969906</v>
      </c>
      <c r="T12" s="455" t="n">
        <f aca="false">+(T22-T14-T15)/T6*1000000</f>
        <v>1079484.24364051</v>
      </c>
      <c r="U12" s="456"/>
      <c r="V12" s="457"/>
      <c r="W12" s="456"/>
      <c r="X12" s="456"/>
      <c r="Y12" s="456"/>
    </row>
    <row r="13" customFormat="false" ht="12" hidden="false" customHeight="true" outlineLevel="0" collapsed="false">
      <c r="B13" s="40"/>
      <c r="C13" s="115"/>
      <c r="D13" s="115"/>
      <c r="E13" s="40"/>
      <c r="F13" s="40"/>
      <c r="G13" s="115"/>
      <c r="H13" s="115"/>
      <c r="I13" s="40"/>
      <c r="J13" s="40"/>
      <c r="K13" s="115"/>
      <c r="L13" s="115"/>
      <c r="M13" s="40"/>
      <c r="N13" s="40"/>
      <c r="O13" s="115"/>
      <c r="P13" s="115"/>
      <c r="S13" s="456"/>
      <c r="T13" s="456"/>
      <c r="U13" s="458"/>
      <c r="V13" s="459"/>
      <c r="W13" s="458"/>
      <c r="X13" s="458"/>
      <c r="Y13" s="458"/>
    </row>
    <row r="14" customFormat="false" ht="12" hidden="false" customHeight="true" outlineLevel="0" collapsed="false">
      <c r="A14" s="46" t="s">
        <v>874</v>
      </c>
      <c r="B14" s="115"/>
      <c r="C14" s="72"/>
      <c r="D14" s="83"/>
      <c r="E14" s="40"/>
      <c r="F14" s="358" t="n">
        <f aca="false">190000*2659/10^6</f>
        <v>505.21</v>
      </c>
      <c r="G14" s="72"/>
      <c r="H14" s="83"/>
      <c r="I14" s="40"/>
      <c r="J14" s="358" t="n">
        <f aca="false">190000*1.05*4860/10^6</f>
        <v>969.57</v>
      </c>
      <c r="K14" s="190" t="n">
        <v>800</v>
      </c>
      <c r="L14" s="83"/>
      <c r="M14" s="40"/>
      <c r="N14" s="115"/>
      <c r="O14" s="41"/>
      <c r="P14" s="83"/>
      <c r="R14" s="48" t="n">
        <v>740</v>
      </c>
      <c r="S14" s="48" t="n">
        <v>690</v>
      </c>
      <c r="T14" s="217" t="n">
        <f aca="false">2000-S14-R14</f>
        <v>570</v>
      </c>
      <c r="X14" s="48" t="n">
        <v>648</v>
      </c>
      <c r="AA14" s="48" t="n">
        <v>690</v>
      </c>
      <c r="AB14" s="48" t="n">
        <v>705</v>
      </c>
    </row>
    <row r="15" customFormat="false" ht="12" hidden="false" customHeight="true" outlineLevel="0" collapsed="false">
      <c r="A15" s="46" t="s">
        <v>875</v>
      </c>
      <c r="B15" s="190" t="n">
        <v>487.8</v>
      </c>
      <c r="C15" s="36" t="n">
        <f aca="false">1630-B15</f>
        <v>1142.2</v>
      </c>
      <c r="F15" s="190" t="n">
        <v>840</v>
      </c>
      <c r="G15" s="36" t="n">
        <f aca="false">2200-F15</f>
        <v>1360</v>
      </c>
      <c r="J15" s="190" t="n">
        <v>1440</v>
      </c>
      <c r="K15" s="327" t="n">
        <v>1200</v>
      </c>
      <c r="L15" s="37" t="n">
        <f aca="false">L27*10^6/L6</f>
        <v>117213.903743316</v>
      </c>
      <c r="M15" s="37" t="n">
        <f aca="false">M27*10^6/M6</f>
        <v>110641.607258587</v>
      </c>
      <c r="N15" s="239" t="n">
        <f aca="false">2670-O15</f>
        <v>1220</v>
      </c>
      <c r="O15" s="327" t="n">
        <v>1450</v>
      </c>
      <c r="P15" s="327" t="n">
        <v>1600</v>
      </c>
      <c r="Q15" s="36" t="n">
        <f aca="false">6430-P15-O15-N15</f>
        <v>2160</v>
      </c>
      <c r="R15" s="48" t="n">
        <v>1370</v>
      </c>
      <c r="S15" s="48" t="n">
        <v>1750</v>
      </c>
      <c r="T15" s="58" t="n">
        <f aca="false">1600+200</f>
        <v>1800</v>
      </c>
    </row>
    <row r="16" customFormat="false" ht="12" hidden="false" customHeight="true" outlineLevel="0" collapsed="false">
      <c r="A16" s="46" t="s">
        <v>876</v>
      </c>
      <c r="B16" s="41"/>
      <c r="C16" s="31"/>
      <c r="F16" s="41"/>
      <c r="G16" s="31"/>
      <c r="J16" s="41"/>
      <c r="K16" s="31"/>
      <c r="L16" s="31"/>
      <c r="M16" s="31"/>
      <c r="N16" s="41"/>
      <c r="O16" s="31"/>
      <c r="P16" s="31"/>
      <c r="Q16" s="31"/>
      <c r="AA16" s="48" t="n">
        <v>880</v>
      </c>
      <c r="AB16" s="48" t="n">
        <v>800</v>
      </c>
    </row>
    <row r="17" customFormat="false" ht="12" hidden="false" customHeight="true" outlineLevel="0" collapsed="false">
      <c r="B17" s="41"/>
      <c r="C17" s="31"/>
      <c r="F17" s="41"/>
      <c r="G17" s="31"/>
      <c r="J17" s="41"/>
      <c r="K17" s="31"/>
      <c r="L17" s="31"/>
      <c r="M17" s="31"/>
      <c r="N17" s="41"/>
      <c r="O17" s="31"/>
      <c r="P17" s="359"/>
    </row>
    <row r="18" customFormat="false" ht="12.75" hidden="false" customHeight="true" outlineLevel="0" collapsed="false">
      <c r="A18" s="39" t="s">
        <v>878</v>
      </c>
      <c r="B18" s="62" t="n">
        <f aca="false">B22/B6*1000000</f>
        <v>835605.633802817</v>
      </c>
      <c r="C18" s="62" t="n">
        <f aca="false">C22/C6*1000000</f>
        <v>843384.669585787</v>
      </c>
      <c r="D18" s="62" t="n">
        <f aca="false">D22/D6*1000000</f>
        <v>885783.834961132</v>
      </c>
      <c r="E18" s="62" t="n">
        <f aca="false">E20/E6*1000000</f>
        <v>1019801.37772675</v>
      </c>
      <c r="F18" s="62" t="n">
        <f aca="false">F22/F6*1000000</f>
        <v>892551.8912074</v>
      </c>
      <c r="G18" s="62" t="n">
        <f aca="false">G22/G6*1000000</f>
        <v>924144.611475757</v>
      </c>
      <c r="H18" s="239" t="n">
        <f aca="false">H22*91%*88%/H6*1000000</f>
        <v>760087.353335091</v>
      </c>
      <c r="I18" s="62" t="n">
        <f aca="false">I22/I6*1000000</f>
        <v>938154.088395767</v>
      </c>
      <c r="J18" s="62" t="n">
        <f aca="false">J22/J6*1000000</f>
        <v>1022449.38941655</v>
      </c>
      <c r="K18" s="239" t="n">
        <f aca="false">(K22-3200)/K6*1000000</f>
        <v>898705.817399895</v>
      </c>
      <c r="L18" s="62" t="n">
        <f aca="false">L22/L6*1000000</f>
        <v>1244681.38291257</v>
      </c>
      <c r="M18" s="62" t="n">
        <f aca="false">M22/M6*1000000</f>
        <v>1127786.31608184</v>
      </c>
      <c r="N18" s="62" t="n">
        <f aca="false">N22/N6*1000000</f>
        <v>1185309.1712133</v>
      </c>
      <c r="O18" s="62" t="n">
        <f aca="false">O22/O6*1000000</f>
        <v>1103584.63905988</v>
      </c>
      <c r="P18" s="62" t="n">
        <f aca="false">P22/P6*1000000</f>
        <v>1125773.1754201</v>
      </c>
      <c r="Q18" s="62" t="n">
        <f aca="false">Q22/Q6*1000000</f>
        <v>1138853.87685512</v>
      </c>
      <c r="R18" s="62" t="n">
        <f aca="false">R22/R6*1000000</f>
        <v>1097083.49686945</v>
      </c>
      <c r="S18" s="62" t="n">
        <f aca="false">S22/S6*1000000</f>
        <v>1103682.18788125</v>
      </c>
      <c r="T18" s="62" t="n">
        <f aca="false">T22/T6*1000000</f>
        <v>1208030.10251125</v>
      </c>
      <c r="U18" s="62" t="n">
        <f aca="false">U22/U6*1000000</f>
        <v>1289979.88476701</v>
      </c>
      <c r="V18" s="444"/>
      <c r="W18" s="62" t="n">
        <f aca="false">W22/W6*1000000</f>
        <v>1294551.01934948</v>
      </c>
      <c r="X18" s="62" t="n">
        <f aca="false">X22/X6*1000000</f>
        <v>1309704.92635856</v>
      </c>
      <c r="Y18" s="62" t="n">
        <f aca="false">Y22/Y6*1000000</f>
        <v>1227744.28717599</v>
      </c>
      <c r="Z18" s="62" t="n">
        <f aca="false">Z22/Z6*1000000</f>
        <v>1207974.69737727</v>
      </c>
      <c r="AA18" s="62" t="n">
        <f aca="false">AA22/AA6*1000000</f>
        <v>1090211.05673373</v>
      </c>
      <c r="AB18" s="62" t="n">
        <f aca="false">AB22/AB6*1000000</f>
        <v>1104572.88873995</v>
      </c>
      <c r="AC18" s="62" t="n">
        <f aca="false">AC22/AC6*1000000</f>
        <v>1050255.84576017</v>
      </c>
      <c r="AD18" s="62" t="n">
        <f aca="false">AD22/AD6*1000000</f>
        <v>1076749.87726341</v>
      </c>
      <c r="AE18" s="62" t="n">
        <f aca="false">AE22/AE6*1000000</f>
        <v>1088261.12978224</v>
      </c>
      <c r="AF18" s="62" t="n">
        <f aca="false">AF22/AF6*1000000</f>
        <v>1103255.34400692</v>
      </c>
      <c r="AG18" s="62" t="n">
        <f aca="false">AG22/AG6*1000000</f>
        <v>1058480.73483986</v>
      </c>
      <c r="AH18" s="62" t="n">
        <f aca="false">AH22/AH6*1000000</f>
        <v>1181195.13974202</v>
      </c>
      <c r="AI18" s="62" t="n">
        <f aca="false">AI22/AI6*1000000</f>
        <v>1240079.87588209</v>
      </c>
      <c r="AJ18" s="62" t="n">
        <f aca="false">AJ22/AJ6*1000000</f>
        <v>1267850.82154537</v>
      </c>
      <c r="AK18" s="41"/>
      <c r="AL18" s="62" t="n">
        <f aca="false">AL22/AL6*1000000</f>
        <v>1319038.75991686</v>
      </c>
      <c r="AN18" s="62" t="n">
        <f aca="false">AN22/AN6*1000000</f>
        <v>1362810.04754133</v>
      </c>
      <c r="AO18" s="62" t="n">
        <f aca="false">AO22/AO6*1000000</f>
        <v>1323014.24860058</v>
      </c>
      <c r="AP18" s="62" t="n">
        <f aca="false">AP22/AP6*1000000</f>
        <v>1230927.08903997</v>
      </c>
      <c r="AQ18" s="62" t="n">
        <f aca="false">AQ22/AQ6*1000000</f>
        <v>1320921.01008794</v>
      </c>
      <c r="AR18" s="41"/>
      <c r="AS18" s="62" t="n">
        <f aca="false">AS22/AS6*1000000</f>
        <v>1353657.97608765</v>
      </c>
      <c r="AU18" s="62" t="n">
        <f aca="false">AU22/AU6*1000000</f>
        <v>1316694.44131409</v>
      </c>
    </row>
    <row r="19" customFormat="false" ht="12.75" hidden="false" customHeight="true" outlineLevel="0" collapsed="false">
      <c r="A19" s="39" t="s">
        <v>879</v>
      </c>
      <c r="B19" s="39" t="s">
        <v>966</v>
      </c>
      <c r="C19" s="39" t="s">
        <v>967</v>
      </c>
      <c r="D19" s="39" t="s">
        <v>968</v>
      </c>
      <c r="E19" s="39" t="str">
        <f aca="false">E1</f>
        <v>4QFY07</v>
      </c>
      <c r="F19" s="39" t="s">
        <v>970</v>
      </c>
      <c r="G19" s="39" t="s">
        <v>971</v>
      </c>
      <c r="H19" s="63" t="s">
        <v>972</v>
      </c>
      <c r="I19" s="63" t="str">
        <f aca="false">I1</f>
        <v>4QFY08</v>
      </c>
      <c r="J19" s="39" t="s">
        <v>974</v>
      </c>
      <c r="K19" s="39" t="str">
        <f aca="false">K1</f>
        <v>2QFY09</v>
      </c>
      <c r="L19" s="63" t="s">
        <v>976</v>
      </c>
      <c r="M19" s="63" t="s">
        <v>977</v>
      </c>
      <c r="N19" s="39" t="s">
        <v>978</v>
      </c>
      <c r="O19" s="19"/>
      <c r="P19" s="64"/>
      <c r="R19" s="460" t="n">
        <f aca="false">+R18/N18-1</f>
        <v>-0.0744326260915887</v>
      </c>
      <c r="S19" s="460" t="n">
        <f aca="false">+S18/O18-1</f>
        <v>8.83926958774595E-005</v>
      </c>
      <c r="T19" s="122" t="n">
        <f aca="false">+T18/P18-1</f>
        <v>0.0730670519489467</v>
      </c>
      <c r="U19" s="46" t="n">
        <f aca="false">+U18/Q18-1</f>
        <v>0.132700086449384</v>
      </c>
      <c r="AI19" s="97" t="n">
        <f aca="false">+AI18/AH18-1</f>
        <v>0.0498518273220581</v>
      </c>
      <c r="AJ19" s="97" t="n">
        <f aca="false">+AJ18/AI18-1</f>
        <v>0.0223944813583319</v>
      </c>
      <c r="AK19" s="61"/>
      <c r="AL19" s="61"/>
      <c r="AN19" s="61"/>
      <c r="AO19" s="61"/>
      <c r="AP19" s="122" t="e">
        <f aca="false">+AP18/AM18-1</f>
        <v>#DIV/0!</v>
      </c>
      <c r="AQ19" s="61"/>
      <c r="AR19" s="61"/>
      <c r="AS19" s="61"/>
      <c r="AU19" s="122" t="e">
        <f aca="false">+AU18/AR18-1</f>
        <v>#DIV/0!</v>
      </c>
    </row>
    <row r="20" customFormat="false" ht="12" hidden="false" customHeight="true" outlineLevel="0" collapsed="false">
      <c r="A20" s="46" t="s">
        <v>881</v>
      </c>
      <c r="B20" s="190" t="n">
        <v>16413.77</v>
      </c>
      <c r="C20" s="190" t="n">
        <v>19286.2</v>
      </c>
      <c r="D20" s="190" t="n">
        <v>20699.79</v>
      </c>
      <c r="E20" s="190" t="n">
        <v>26647.41</v>
      </c>
      <c r="F20" s="190" t="n">
        <v>18831.9</v>
      </c>
      <c r="G20" s="41"/>
      <c r="H20" s="239" t="n">
        <f aca="false">H22/0.86</f>
        <v>20931.1860465116</v>
      </c>
      <c r="I20" s="239" t="n">
        <f aca="false">I22/0.86</f>
        <v>29790.7558139535</v>
      </c>
      <c r="J20" s="41"/>
      <c r="K20" s="41"/>
      <c r="L20" s="41"/>
      <c r="M20" s="41"/>
      <c r="N20" s="41"/>
      <c r="O20" s="41"/>
      <c r="P20" s="41"/>
    </row>
    <row r="21" customFormat="false" ht="12" hidden="false" customHeight="true" outlineLevel="0" collapsed="false">
      <c r="A21" s="46" t="s">
        <v>882</v>
      </c>
      <c r="B21" s="190" t="n">
        <v>2175.05</v>
      </c>
      <c r="C21" s="190" t="n">
        <v>2528.99</v>
      </c>
      <c r="D21" s="190" t="n">
        <v>2923.88</v>
      </c>
      <c r="E21" s="190" t="n">
        <v>3737.49</v>
      </c>
      <c r="F21" s="190" t="n">
        <v>2620.48</v>
      </c>
      <c r="G21" s="41"/>
      <c r="H21" s="62" t="n">
        <f aca="false">H20-H22</f>
        <v>2930.36604651163</v>
      </c>
      <c r="I21" s="62" t="n">
        <f aca="false">I20-I22</f>
        <v>4170.70581395349</v>
      </c>
      <c r="J21" s="41"/>
      <c r="K21" s="41"/>
      <c r="L21" s="41"/>
      <c r="M21" s="41"/>
      <c r="N21" s="41"/>
      <c r="O21" s="41"/>
      <c r="P21" s="41"/>
      <c r="Q21" s="32"/>
    </row>
    <row r="22" s="19" customFormat="true" ht="12.75" hidden="false" customHeight="true" outlineLevel="0" collapsed="false">
      <c r="A22" s="39" t="s">
        <v>384</v>
      </c>
      <c r="B22" s="67" t="n">
        <f aca="false">B20-B21</f>
        <v>14238.72</v>
      </c>
      <c r="C22" s="67" t="n">
        <f aca="false">C20-C21</f>
        <v>16757.21</v>
      </c>
      <c r="D22" s="67" t="n">
        <f aca="false">D20-D21</f>
        <v>17775.91</v>
      </c>
      <c r="E22" s="67" t="n">
        <f aca="false">E20-E21</f>
        <v>22909.92</v>
      </c>
      <c r="F22" s="67" t="n">
        <f aca="false">F20-F21</f>
        <v>16211.42</v>
      </c>
      <c r="G22" s="209" t="n">
        <f aca="false">17458.94</f>
        <v>17458.94</v>
      </c>
      <c r="H22" s="208" t="n">
        <v>18000.82</v>
      </c>
      <c r="I22" s="208" t="n">
        <v>25620.05</v>
      </c>
      <c r="J22" s="208" t="n">
        <v>18838.63</v>
      </c>
      <c r="K22" s="208" t="n">
        <v>18664.031</v>
      </c>
      <c r="L22" s="208" t="n">
        <v>10008.483</v>
      </c>
      <c r="M22" s="208" t="n">
        <v>12181.22</v>
      </c>
      <c r="N22" s="208" t="n">
        <v>9124.51</v>
      </c>
      <c r="O22" s="461" t="n">
        <v>15776.846</v>
      </c>
      <c r="P22" s="209" t="n">
        <f aca="false">18155.344</f>
        <v>18155.344</v>
      </c>
      <c r="Q22" s="273" t="n">
        <v>29390.402</v>
      </c>
      <c r="R22" s="273" t="n">
        <v>23479.781</v>
      </c>
      <c r="S22" s="273" t="n">
        <v>27139.545</v>
      </c>
      <c r="T22" s="273" t="n">
        <v>22272.451</v>
      </c>
      <c r="U22" s="208" t="n">
        <v>38285.313</v>
      </c>
      <c r="V22" s="448" t="n">
        <f aca="false">+SUM(R22:U22)</f>
        <v>111177.09</v>
      </c>
      <c r="W22" s="208" t="n">
        <v>24955.06</v>
      </c>
      <c r="X22" s="208" t="n">
        <v>30945.708</v>
      </c>
      <c r="Y22" s="208" t="n">
        <v>28797.97</v>
      </c>
      <c r="Z22" s="462" t="n">
        <f aca="false">42358.201+752</f>
        <v>43110.201</v>
      </c>
      <c r="AA22" s="462" t="n">
        <f aca="false">29409.8+663.672</f>
        <v>30073.472</v>
      </c>
      <c r="AB22" s="462" t="n">
        <f aca="false">32224.393+736.062</f>
        <v>32960.455</v>
      </c>
      <c r="AC22" s="462" t="n">
        <f aca="false">23225.049+580.05</f>
        <v>23805.099</v>
      </c>
      <c r="AD22" s="462" t="n">
        <f aca="false">36484.115+800.503</f>
        <v>37284.618</v>
      </c>
      <c r="AE22" s="213" t="n">
        <f aca="false">23132.128+505.992</f>
        <v>23638.12</v>
      </c>
      <c r="AF22" s="213" t="n">
        <f aca="false">24982.828+513.403</f>
        <v>25496.231</v>
      </c>
      <c r="AG22" s="213" t="n">
        <f aca="false">19032.828+499.317</f>
        <v>19532.145</v>
      </c>
      <c r="AH22" s="213" t="n">
        <f aca="false">30209.552+558.219</f>
        <v>30767.771</v>
      </c>
      <c r="AI22" s="462" t="n">
        <f aca="false">24346.199+431.837</f>
        <v>24778.036</v>
      </c>
      <c r="AJ22" s="462" t="n">
        <f aca="false">31503.691+673.095</f>
        <v>32176.786</v>
      </c>
      <c r="AK22" s="462" t="n">
        <f aca="false">32906.227+703.742</f>
        <v>33609.969</v>
      </c>
      <c r="AL22" s="462" t="n">
        <f aca="false">44355.331+701.714</f>
        <v>45057.045</v>
      </c>
      <c r="AM22" s="446" t="n">
        <f aca="false">+AL22+AK22+AI22+AJ22</f>
        <v>135621.836</v>
      </c>
      <c r="AN22" s="462" t="n">
        <f aca="false">37752.961+659.203</f>
        <v>38412.164</v>
      </c>
      <c r="AO22" s="209" t="n">
        <f aca="false">48788.121+609.262</f>
        <v>49397.383</v>
      </c>
      <c r="AP22" s="340" t="n">
        <f aca="false">0.375*AP5+(AO22-0.375*AO5)*(AP4/AO4)*0.995</f>
        <v>39368.7410887654</v>
      </c>
      <c r="AQ22" s="209" t="n">
        <f aca="false">40294.5979999999+558.847</f>
        <v>40853.4449999999</v>
      </c>
      <c r="AR22" s="67" t="n">
        <f aca="false">AR6/AQ6*AP22</f>
        <v>51553.0915059169</v>
      </c>
      <c r="AS22" s="209" t="n">
        <f aca="false">58934.885+617.944</f>
        <v>59552.829</v>
      </c>
      <c r="AT22" s="446" t="n">
        <f aca="false">+AS22+AQ22+AN22+AO22</f>
        <v>188215.821</v>
      </c>
      <c r="AU22" s="340" t="n">
        <f aca="false">0.375*AU5+(AS22-0.375*AS5)*(AU4/AS4)*1</f>
        <v>41034.7822635536</v>
      </c>
    </row>
    <row r="23" customFormat="false" ht="12" hidden="false" customHeight="true" outlineLevel="0" collapsed="false">
      <c r="B23" s="41"/>
      <c r="C23" s="61"/>
      <c r="E23" s="57"/>
      <c r="F23" s="61"/>
      <c r="G23" s="61"/>
      <c r="H23" s="31"/>
      <c r="I23" s="62" t="n">
        <f aca="false">(I22-I25-I24)*10^6/I6</f>
        <v>245177.04785968</v>
      </c>
      <c r="J23" s="62" t="n">
        <f aca="false">(J22-J25-J24)*10^6/J6</f>
        <v>242211.126187246</v>
      </c>
      <c r="K23" s="62" t="n">
        <f aca="false">(K22-K25-K24)*10^6/K6</f>
        <v>273867.321438949</v>
      </c>
      <c r="L23" s="62" t="n">
        <f aca="false">(L22-L25-L24)*10^6/L6</f>
        <v>329751.896530282</v>
      </c>
      <c r="M23" s="62" t="n">
        <f aca="false">(M22-M25-M24)*10^6/M6</f>
        <v>309523.19229701</v>
      </c>
      <c r="N23" s="62" t="n">
        <f aca="false">(N22-N25-N24)*10^6/N6</f>
        <v>324472.59028319</v>
      </c>
      <c r="O23" s="62" t="n">
        <f aca="false">(O22-O25-O24)*10^6/O6</f>
        <v>328595.271404589</v>
      </c>
      <c r="P23" s="62" t="n">
        <f aca="false">(P22-P25-P24)*10^6/P6</f>
        <v>322158.243938736</v>
      </c>
      <c r="Q23" s="62" t="n">
        <f aca="false">(Q22-Q25-Q24)*10^6/Q6</f>
        <v>305384.236834967</v>
      </c>
      <c r="R23" s="62" t="n">
        <f aca="false">(R25+R24)*10^6/R6</f>
        <v>810484.674329502</v>
      </c>
      <c r="S23" s="41"/>
      <c r="T23" s="41"/>
      <c r="U23" s="41"/>
      <c r="V23" s="444"/>
      <c r="W23" s="41"/>
      <c r="X23" s="41"/>
      <c r="Y23" s="41"/>
      <c r="Z23" s="240"/>
      <c r="AA23" s="32"/>
      <c r="AB23" s="32"/>
      <c r="AC23" s="32"/>
      <c r="AD23" s="122" t="n">
        <f aca="false">SUM(AA22:AD22)/SUM(AA6:AD6)</f>
        <v>1.0819892606217</v>
      </c>
      <c r="AE23" s="32"/>
      <c r="AF23" s="32"/>
      <c r="AG23" s="32"/>
      <c r="AH23" s="32"/>
      <c r="AI23" s="32"/>
      <c r="AJ23" s="32"/>
      <c r="AK23" s="32"/>
      <c r="AL23" s="32"/>
      <c r="AN23" s="32"/>
      <c r="AO23" s="41"/>
      <c r="AP23" s="32"/>
      <c r="AQ23" s="41"/>
      <c r="AR23" s="41"/>
      <c r="AS23" s="41"/>
      <c r="AU23" s="32"/>
    </row>
    <row r="24" customFormat="false" ht="12.75" hidden="false" customHeight="true" outlineLevel="0" collapsed="false">
      <c r="A24" s="46" t="s">
        <v>883</v>
      </c>
      <c r="B24" s="190" t="n">
        <v>-821.36</v>
      </c>
      <c r="C24" s="190" t="n">
        <v>-554.36</v>
      </c>
      <c r="D24" s="190" t="n">
        <v>-951.64</v>
      </c>
      <c r="E24" s="327" t="n">
        <v>1680.43</v>
      </c>
      <c r="F24" s="190" t="n">
        <v>-1267.14</v>
      </c>
      <c r="G24" s="190" t="n">
        <v>-876.49</v>
      </c>
      <c r="H24" s="190" t="n">
        <v>-557.14</v>
      </c>
      <c r="I24" s="327" t="n">
        <v>1788.72</v>
      </c>
      <c r="J24" s="41"/>
      <c r="K24" s="190" t="n">
        <v>-1759.269</v>
      </c>
      <c r="L24" s="190" t="n">
        <v>1279.131</v>
      </c>
      <c r="M24" s="327" t="n">
        <v>2601.6</v>
      </c>
      <c r="N24" s="190" t="n">
        <v>374.44</v>
      </c>
      <c r="O24" s="463" t="n">
        <v>421.013</v>
      </c>
      <c r="P24" s="190" t="n">
        <v>-2636.084</v>
      </c>
      <c r="Q24" s="197" t="n">
        <v>1905.741</v>
      </c>
      <c r="R24" s="197" t="n">
        <v>-1136.017</v>
      </c>
      <c r="S24" s="197" t="n">
        <v>-924.936</v>
      </c>
      <c r="T24" s="197" t="n">
        <v>-1493.953</v>
      </c>
      <c r="U24" s="190" t="n">
        <v>1065.243</v>
      </c>
      <c r="V24" s="448" t="n">
        <f aca="false">+SUM(R24:U24)</f>
        <v>-2489.663</v>
      </c>
      <c r="W24" s="190" t="n">
        <v>-2376.723</v>
      </c>
      <c r="X24" s="190" t="n">
        <v>1629.392</v>
      </c>
      <c r="Y24" s="190" t="n">
        <v>-1033.842</v>
      </c>
      <c r="Z24" s="283" t="n">
        <v>111.043</v>
      </c>
      <c r="AA24" s="48" t="n">
        <v>-1132.23</v>
      </c>
      <c r="AB24" s="48" t="n">
        <v>2157.625</v>
      </c>
      <c r="AC24" s="48" t="n">
        <v>-2447.446</v>
      </c>
      <c r="AD24" s="48" t="n">
        <v>4141.82</v>
      </c>
      <c r="AE24" s="48" t="n">
        <v>-384.441</v>
      </c>
      <c r="AF24" s="190" t="n">
        <v>1772.155</v>
      </c>
      <c r="AG24" s="190" t="n">
        <v>1309.357</v>
      </c>
      <c r="AH24" s="190" t="n">
        <v>1541.639</v>
      </c>
      <c r="AI24" s="190" t="n">
        <v>-1720.916</v>
      </c>
      <c r="AJ24" s="190" t="n">
        <v>-892.269</v>
      </c>
      <c r="AK24" s="190" t="n">
        <v>2005.436</v>
      </c>
      <c r="AL24" s="190" t="n">
        <v>81.623</v>
      </c>
      <c r="AM24" s="446" t="n">
        <f aca="false">+AL24+AK24+AI24+AJ24</f>
        <v>-526.126</v>
      </c>
      <c r="AN24" s="190" t="n">
        <v>-2469.627</v>
      </c>
      <c r="AO24" s="190" t="n">
        <v>-2430.844</v>
      </c>
      <c r="AP24" s="41"/>
      <c r="AQ24" s="190" t="n">
        <v>-2487.722</v>
      </c>
      <c r="AR24" s="41"/>
      <c r="AS24" s="190" t="n">
        <v>2173.827</v>
      </c>
      <c r="AT24" s="448" t="n">
        <f aca="false">+AS24+AQ24+AN24+AO24</f>
        <v>-5214.366</v>
      </c>
      <c r="AU24" s="41"/>
    </row>
    <row r="25" customFormat="false" ht="12.75" hidden="false" customHeight="true" outlineLevel="0" collapsed="false">
      <c r="A25" s="46" t="s">
        <v>884</v>
      </c>
      <c r="B25" s="190" t="n">
        <v>11266.69</v>
      </c>
      <c r="C25" s="190" t="n">
        <v>13215.6</v>
      </c>
      <c r="D25" s="205" t="n">
        <f aca="false">14177.19+328.2</f>
        <v>14505.39</v>
      </c>
      <c r="E25" s="327" t="n">
        <v>15378.79</v>
      </c>
      <c r="F25" s="190" t="n">
        <v>12936.96</v>
      </c>
      <c r="G25" s="205" t="n">
        <f aca="false">13584.7+390.61</f>
        <v>13975.31</v>
      </c>
      <c r="H25" s="190" t="n">
        <v>14146.82</v>
      </c>
      <c r="I25" s="204" t="n">
        <f aca="false">16666.84+468.95</f>
        <v>17135.79</v>
      </c>
      <c r="J25" s="205" t="n">
        <f aca="false">16518.34+467-2609.45</f>
        <v>14375.89</v>
      </c>
      <c r="K25" s="205" t="n">
        <f aca="false">15015.97+694.895</f>
        <v>15710.865</v>
      </c>
      <c r="L25" s="205" t="n">
        <f aca="false">5674.65+403.167</f>
        <v>6077.817</v>
      </c>
      <c r="M25" s="204" t="n">
        <f aca="false">5779.6+456.86</f>
        <v>6236.46</v>
      </c>
      <c r="N25" s="205" t="n">
        <f aca="false">5743.31+508.97</f>
        <v>6252.28</v>
      </c>
      <c r="O25" s="190" t="n">
        <v>10658.235</v>
      </c>
      <c r="P25" s="205" t="n">
        <f aca="false">14849.922+746.06</f>
        <v>15595.982</v>
      </c>
      <c r="Q25" s="358" t="n">
        <f aca="false">19059.262+544.348</f>
        <v>19603.61</v>
      </c>
      <c r="R25" s="358" t="n">
        <f aca="false">17787.928+694.082</f>
        <v>18482.01</v>
      </c>
      <c r="S25" s="358" t="n">
        <f aca="false">20107.221+786.815</f>
        <v>20894.036</v>
      </c>
      <c r="T25" s="358" t="n">
        <f aca="false">17178.599+609.011</f>
        <v>17787.61</v>
      </c>
      <c r="U25" s="205" t="n">
        <f aca="false">25893.94+643.789</f>
        <v>26537.729</v>
      </c>
      <c r="V25" s="448" t="n">
        <f aca="false">+SUM(R25:U25)</f>
        <v>83701.385</v>
      </c>
      <c r="W25" s="205" t="n">
        <f aca="false">19606.331+751.454</f>
        <v>20357.785</v>
      </c>
      <c r="X25" s="205" t="n">
        <f aca="false">20203.269+924.694</f>
        <v>21127.963</v>
      </c>
      <c r="Y25" s="205" t="n">
        <f aca="false">20756.678+1564.745</f>
        <v>22321.423</v>
      </c>
      <c r="Z25" s="204" t="n">
        <f aca="false">1832.844+30147.39</f>
        <v>31980.234</v>
      </c>
      <c r="AA25" s="204" t="n">
        <f aca="false">20486.898+2532.018</f>
        <v>23018.916</v>
      </c>
      <c r="AB25" s="204" t="n">
        <f aca="false">18809.779+3025.853</f>
        <v>21835.632</v>
      </c>
      <c r="AC25" s="204" t="n">
        <f aca="false">16464.181+3089.407</f>
        <v>19553.588</v>
      </c>
      <c r="AD25" s="204" t="n">
        <f aca="false">19633.306+4470.116</f>
        <v>24103.422</v>
      </c>
      <c r="AE25" s="204" t="n">
        <f aca="false">15398.46+2822.809</f>
        <v>18221.269</v>
      </c>
      <c r="AF25" s="205" t="n">
        <f aca="false">14566.981+3118.049</f>
        <v>17685.03</v>
      </c>
      <c r="AG25" s="205" t="n">
        <f aca="false">10556.513+3702.419</f>
        <v>14258.932</v>
      </c>
      <c r="AH25" s="205" t="n">
        <f aca="false">18574.993+3046.999</f>
        <v>21621.992</v>
      </c>
      <c r="AI25" s="204" t="n">
        <f aca="false">17148.371+2731.375</f>
        <v>19879.746</v>
      </c>
      <c r="AJ25" s="204" t="n">
        <f aca="false">20574.231+4000</f>
        <v>24574.231</v>
      </c>
      <c r="AK25" s="204" t="n">
        <f aca="false">20364.151+2662.246</f>
        <v>23026.397</v>
      </c>
      <c r="AL25" s="204" t="n">
        <f aca="false">28179.599+4518.251</f>
        <v>32697.85</v>
      </c>
      <c r="AM25" s="446" t="n">
        <f aca="false">+AL25+AK25+AI25+AJ25</f>
        <v>100178.224</v>
      </c>
      <c r="AN25" s="204" t="n">
        <f aca="false">25591.924+3549.388</f>
        <v>29141.312</v>
      </c>
      <c r="AO25" s="205" t="n">
        <f aca="false">32746.865+4458.318</f>
        <v>37205.183</v>
      </c>
      <c r="AP25" s="37" t="n">
        <f aca="false">+AP22*AP66/100</f>
        <v>27636.8562443133</v>
      </c>
      <c r="AQ25" s="205" t="n">
        <f aca="false">26289.917+5116.026</f>
        <v>31405.943</v>
      </c>
      <c r="AR25" s="41"/>
      <c r="AS25" s="205" t="n">
        <f aca="false">37893+2188.523</f>
        <v>40081.523</v>
      </c>
      <c r="AT25" s="448" t="n">
        <f aca="false">+AS25+AQ25+AN25+AO25</f>
        <v>137833.961</v>
      </c>
      <c r="AU25" s="37" t="n">
        <f aca="false">+AU22*AU66/100</f>
        <v>29216.7649716502</v>
      </c>
    </row>
    <row r="26" customFormat="false" ht="12.75" hidden="false" customHeight="true" outlineLevel="0" collapsed="false">
      <c r="A26" s="46" t="s">
        <v>885</v>
      </c>
      <c r="B26" s="190" t="n">
        <v>1291.24</v>
      </c>
      <c r="C26" s="190" t="n">
        <v>1203.48</v>
      </c>
      <c r="D26" s="190" t="n">
        <v>1149.04</v>
      </c>
      <c r="E26" s="190" t="n">
        <v>1163.19</v>
      </c>
      <c r="F26" s="190" t="n">
        <v>1391.1</v>
      </c>
      <c r="G26" s="190" t="n">
        <v>1619.17</v>
      </c>
      <c r="H26" s="190" t="n">
        <v>1477.87</v>
      </c>
      <c r="I26" s="190" t="n">
        <v>1673.58</v>
      </c>
      <c r="J26" s="190" t="n">
        <v>1626.44</v>
      </c>
      <c r="K26" s="190" t="n">
        <v>1570.217</v>
      </c>
      <c r="L26" s="190" t="n">
        <v>1225.269</v>
      </c>
      <c r="M26" s="190" t="n">
        <v>1239.85</v>
      </c>
      <c r="N26" s="190" t="n">
        <v>1440.93</v>
      </c>
      <c r="O26" s="463" t="n">
        <v>1675.036</v>
      </c>
      <c r="P26" s="190" t="n">
        <v>1736.174</v>
      </c>
      <c r="Q26" s="273" t="n">
        <v>1807.117</v>
      </c>
      <c r="R26" s="197" t="n">
        <v>2024.952</v>
      </c>
      <c r="S26" s="197" t="n">
        <v>2114.877</v>
      </c>
      <c r="T26" s="358" t="n">
        <f aca="false">2439.233-260</f>
        <v>2179.233</v>
      </c>
      <c r="U26" s="190" t="n">
        <v>3018.101</v>
      </c>
      <c r="V26" s="448" t="n">
        <f aca="false">+SUM(R26:U26)</f>
        <v>9337.163</v>
      </c>
      <c r="W26" s="190" t="n">
        <v>2497.391</v>
      </c>
      <c r="X26" s="190" t="n">
        <v>2515.135</v>
      </c>
      <c r="Y26" s="190" t="n">
        <v>2723.22</v>
      </c>
      <c r="Z26" s="190" t="n">
        <v>2468.196</v>
      </c>
      <c r="AA26" s="190" t="n">
        <v>2678.56</v>
      </c>
      <c r="AB26" s="190" t="n">
        <v>2638.047</v>
      </c>
      <c r="AC26" s="190" t="n">
        <v>2617.086</v>
      </c>
      <c r="AD26" s="190" t="n">
        <v>2821.441</v>
      </c>
      <c r="AE26" s="190" t="n">
        <v>2581.889</v>
      </c>
      <c r="AF26" s="190" t="n">
        <v>2545.724</v>
      </c>
      <c r="AG26" s="190" t="n">
        <v>2396.223</v>
      </c>
      <c r="AH26" s="190" t="n">
        <v>2472.887</v>
      </c>
      <c r="AI26" s="190" t="n">
        <v>2831.366</v>
      </c>
      <c r="AJ26" s="190" t="n">
        <v>2914.986</v>
      </c>
      <c r="AK26" s="190" t="n">
        <v>2770.383</v>
      </c>
      <c r="AL26" s="190" t="n">
        <v>3323.303</v>
      </c>
      <c r="AM26" s="446" t="n">
        <f aca="false">+AL26+AK26+AI26+AJ26</f>
        <v>11840.038</v>
      </c>
      <c r="AN26" s="190" t="n">
        <v>3304.142</v>
      </c>
      <c r="AO26" s="190" t="n">
        <v>3783.532</v>
      </c>
      <c r="AP26" s="190" t="n">
        <v>3300</v>
      </c>
      <c r="AQ26" s="190" t="n">
        <v>3491.794</v>
      </c>
      <c r="AR26" s="41"/>
      <c r="AS26" s="190" t="n">
        <v>3407.999</v>
      </c>
      <c r="AT26" s="448" t="n">
        <f aca="false">+AS26+AQ26+AN26+AO26</f>
        <v>13987.467</v>
      </c>
      <c r="AU26" s="190" t="n">
        <v>3450</v>
      </c>
    </row>
    <row r="27" customFormat="false" ht="12.75" hidden="false" customHeight="true" outlineLevel="0" collapsed="false">
      <c r="A27" s="46" t="s">
        <v>886</v>
      </c>
      <c r="B27" s="205" t="n">
        <f aca="false">1315.59</f>
        <v>1315.59</v>
      </c>
      <c r="C27" s="205" t="n">
        <f aca="false">1542.05+30.48</f>
        <v>1572.53</v>
      </c>
      <c r="D27" s="205" t="n">
        <f aca="false">1232.58-28.11</f>
        <v>1204.47</v>
      </c>
      <c r="E27" s="204" t="n">
        <f aca="false">2038.19+53.79</f>
        <v>2091.98</v>
      </c>
      <c r="F27" s="205" t="n">
        <f aca="false">1407.52+196.94</f>
        <v>1604.46</v>
      </c>
      <c r="G27" s="205" t="n">
        <f aca="false">1446.71+46.16-390.61</f>
        <v>1102.26</v>
      </c>
      <c r="H27" s="205" t="n">
        <f aca="false">1278.49+32.95</f>
        <v>1311.44</v>
      </c>
      <c r="I27" s="204" t="n">
        <f aca="false">2064.68-97.45</f>
        <v>1967.23</v>
      </c>
      <c r="J27" s="205" t="n">
        <f aca="false">1664.8-339.099</f>
        <v>1325.701</v>
      </c>
      <c r="K27" s="190" t="n">
        <v>1602.795</v>
      </c>
      <c r="L27" s="205" t="n">
        <f aca="false">594.865+347.652</f>
        <v>942.517</v>
      </c>
      <c r="M27" s="204" t="n">
        <f aca="false">955.04+180+60</f>
        <v>1195.04</v>
      </c>
      <c r="N27" s="190" t="n">
        <v>935.19</v>
      </c>
      <c r="O27" s="463" t="n">
        <v>1362.064</v>
      </c>
      <c r="P27" s="190" t="n">
        <v>1396.976</v>
      </c>
      <c r="Q27" s="358" t="n">
        <f aca="false">2290.006+3.936-380</f>
        <v>1913.942</v>
      </c>
      <c r="R27" s="197" t="n">
        <v>1754.828</v>
      </c>
      <c r="S27" s="197" t="n">
        <v>1992.975</v>
      </c>
      <c r="T27" s="197" t="n">
        <v>1879.295</v>
      </c>
      <c r="U27" s="190" t="n">
        <v>2565.533</v>
      </c>
      <c r="V27" s="448" t="n">
        <f aca="false">+SUM(R27:U27)</f>
        <v>8192.631</v>
      </c>
      <c r="W27" s="205" t="n">
        <f aca="false">2030.412+94.603</f>
        <v>2125.015</v>
      </c>
      <c r="X27" s="190" t="n">
        <v>2361.667</v>
      </c>
      <c r="Y27" s="190" t="n">
        <v>2683.451</v>
      </c>
      <c r="Z27" s="190" t="n">
        <v>3851.243</v>
      </c>
      <c r="AA27" s="190" t="n">
        <v>3101.239</v>
      </c>
      <c r="AB27" s="205" t="n">
        <f aca="false">2988.261</f>
        <v>2988.261</v>
      </c>
      <c r="AC27" s="190" t="n">
        <v>3058.694</v>
      </c>
      <c r="AD27" s="190" t="n">
        <v>4234.932</v>
      </c>
      <c r="AE27" s="190" t="n">
        <v>2986.832</v>
      </c>
      <c r="AF27" s="190" t="n">
        <v>2930.615</v>
      </c>
      <c r="AG27" s="190" t="n">
        <v>2536.67</v>
      </c>
      <c r="AH27" s="190" t="n">
        <v>3291.871</v>
      </c>
      <c r="AI27" s="190" t="n">
        <v>2626.973</v>
      </c>
      <c r="AJ27" s="190" t="n">
        <v>3235.942</v>
      </c>
      <c r="AK27" s="190" t="n">
        <v>3426.273</v>
      </c>
      <c r="AL27" s="190" t="n">
        <v>4383.308</v>
      </c>
      <c r="AM27" s="446" t="n">
        <f aca="false">+AL27+AK27+AI27+AJ27</f>
        <v>13672.496</v>
      </c>
      <c r="AN27" s="190" t="n">
        <v>4549.35</v>
      </c>
      <c r="AO27" s="190" t="n">
        <v>4895.008</v>
      </c>
      <c r="AP27" s="190" t="n">
        <v>4400</v>
      </c>
      <c r="AQ27" s="190" t="n">
        <v>4146.279</v>
      </c>
      <c r="AR27" s="41"/>
      <c r="AS27" s="190" t="n">
        <v>6358.4</v>
      </c>
      <c r="AT27" s="448" t="n">
        <f aca="false">+AS27+AQ27+AN27+AO27</f>
        <v>19949.037</v>
      </c>
      <c r="AU27" s="190" t="n">
        <v>4150</v>
      </c>
    </row>
    <row r="28" customFormat="false" ht="12.75" hidden="false" customHeight="true" outlineLevel="0" collapsed="false">
      <c r="A28" s="46" t="s">
        <v>887</v>
      </c>
      <c r="B28" s="41"/>
      <c r="C28" s="83"/>
      <c r="F28" s="61"/>
      <c r="G28" s="83"/>
      <c r="J28" s="61"/>
      <c r="K28" s="41"/>
      <c r="N28" s="41"/>
      <c r="O28" s="83"/>
      <c r="Q28" s="115"/>
      <c r="R28" s="115"/>
      <c r="S28" s="115"/>
      <c r="T28" s="115"/>
      <c r="U28" s="115"/>
      <c r="V28" s="464"/>
      <c r="W28" s="115"/>
      <c r="X28" s="115"/>
      <c r="Y28" s="115"/>
      <c r="AM28" s="446" t="n">
        <f aca="false">+AL28+AK28+AI28+AJ28</f>
        <v>0</v>
      </c>
      <c r="AO28" s="41"/>
      <c r="AQ28" s="41"/>
      <c r="AR28" s="41"/>
      <c r="AS28" s="41"/>
      <c r="AT28" s="448" t="n">
        <f aca="false">+AS28+AQ28+AN28+AO28</f>
        <v>0</v>
      </c>
    </row>
    <row r="29" s="19" customFormat="true" ht="12.75" hidden="false" customHeight="true" outlineLevel="0" collapsed="false">
      <c r="A29" s="39" t="s">
        <v>888</v>
      </c>
      <c r="B29" s="67" t="n">
        <f aca="false">SUM(B24:B28)</f>
        <v>13052.16</v>
      </c>
      <c r="C29" s="67" t="n">
        <f aca="false">SUM(C24:C28)</f>
        <v>15437.25</v>
      </c>
      <c r="D29" s="67" t="n">
        <f aca="false">SUM(D24:D28)</f>
        <v>15907.26</v>
      </c>
      <c r="E29" s="67" t="n">
        <f aca="false">SUM(E24:E28)</f>
        <v>20314.39</v>
      </c>
      <c r="F29" s="67" t="n">
        <f aca="false">SUM(F24:F28)</f>
        <v>14665.38</v>
      </c>
      <c r="G29" s="67" t="n">
        <f aca="false">SUM(G24:G28)</f>
        <v>15820.25</v>
      </c>
      <c r="H29" s="67" t="n">
        <f aca="false">SUM(H24:H28)</f>
        <v>16378.99</v>
      </c>
      <c r="I29" s="67" t="n">
        <f aca="false">SUM(I24:I28)</f>
        <v>22565.32</v>
      </c>
      <c r="J29" s="67" t="n">
        <f aca="false">SUM(J24:J28)</f>
        <v>17328.031</v>
      </c>
      <c r="K29" s="67" t="n">
        <f aca="false">SUM(K24:K28)</f>
        <v>17124.608</v>
      </c>
      <c r="L29" s="67" t="n">
        <f aca="false">SUM(L24:L28)</f>
        <v>9524.734</v>
      </c>
      <c r="M29" s="67" t="n">
        <f aca="false">SUM(M24:M28)</f>
        <v>11272.95</v>
      </c>
      <c r="N29" s="67" t="n">
        <f aca="false">SUM(N24:N28)</f>
        <v>9002.84</v>
      </c>
      <c r="O29" s="67" t="n">
        <f aca="false">SUM(O24:O28)</f>
        <v>14116.348</v>
      </c>
      <c r="P29" s="67" t="n">
        <f aca="false">SUM(P24:P28)</f>
        <v>16093.048</v>
      </c>
      <c r="Q29" s="67" t="n">
        <f aca="false">SUM(Q24:Q28)</f>
        <v>25230.41</v>
      </c>
      <c r="R29" s="88" t="n">
        <f aca="false">SUM(R24:R28)</f>
        <v>21125.773</v>
      </c>
      <c r="S29" s="88" t="n">
        <f aca="false">SUM(S24:S28)</f>
        <v>24076.952</v>
      </c>
      <c r="T29" s="276" t="n">
        <f aca="false">SUM(T24:T28)</f>
        <v>20352.185</v>
      </c>
      <c r="U29" s="67" t="n">
        <f aca="false">SUM(U24:U28)</f>
        <v>33186.606</v>
      </c>
      <c r="V29" s="448" t="n">
        <f aca="false">+SUM(R29:U29)</f>
        <v>98741.516</v>
      </c>
      <c r="W29" s="67" t="n">
        <f aca="false">SUM(W24:W28)</f>
        <v>22603.468</v>
      </c>
      <c r="X29" s="67" t="n">
        <f aca="false">SUM(X24:X28)</f>
        <v>27634.157</v>
      </c>
      <c r="Y29" s="67" t="n">
        <f aca="false">SUM(Y24:Y28)</f>
        <v>26694.252</v>
      </c>
      <c r="Z29" s="67" t="n">
        <f aca="false">SUM(Z24:Z28)</f>
        <v>38410.716</v>
      </c>
      <c r="AA29" s="67" t="n">
        <f aca="false">SUM(AA23:AA28)</f>
        <v>27666.485</v>
      </c>
      <c r="AB29" s="67" t="n">
        <f aca="false">SUM(AB23:AB28)</f>
        <v>29619.565</v>
      </c>
      <c r="AC29" s="67" t="n">
        <f aca="false">SUM(AC23:AC28)</f>
        <v>22781.922</v>
      </c>
      <c r="AD29" s="67" t="n">
        <f aca="false">SUM(AD23:AD28)</f>
        <v>35302.6969892606</v>
      </c>
      <c r="AE29" s="67" t="n">
        <f aca="false">SUM(AE23:AE28)</f>
        <v>23405.549</v>
      </c>
      <c r="AF29" s="67" t="n">
        <f aca="false">SUM(AF23:AF28)</f>
        <v>24933.524</v>
      </c>
      <c r="AG29" s="67" t="n">
        <f aca="false">SUM(AG23:AG28)</f>
        <v>20501.182</v>
      </c>
      <c r="AH29" s="67" t="n">
        <f aca="false">SUM(AH23:AH28)</f>
        <v>28928.389</v>
      </c>
      <c r="AI29" s="67" t="n">
        <f aca="false">SUM(AI23:AI28)</f>
        <v>23617.169</v>
      </c>
      <c r="AJ29" s="67" t="n">
        <f aca="false">SUM(AJ23:AJ28)</f>
        <v>29832.89</v>
      </c>
      <c r="AK29" s="67" t="n">
        <f aca="false">SUM(AK23:AK28)</f>
        <v>31228.489</v>
      </c>
      <c r="AL29" s="67" t="n">
        <f aca="false">SUM(AL23:AL28)</f>
        <v>40486.084</v>
      </c>
      <c r="AM29" s="446" t="n">
        <f aca="false">SUM(AM23:AM28)</f>
        <v>125164.632</v>
      </c>
      <c r="AN29" s="67" t="n">
        <f aca="false">SUM(AN23:AN28)</f>
        <v>34525.177</v>
      </c>
      <c r="AO29" s="67" t="n">
        <f aca="false">SUM(AO23:AO28)</f>
        <v>43452.879</v>
      </c>
      <c r="AP29" s="67" t="n">
        <f aca="false">SUM(AP23:AP28)</f>
        <v>35336.8562443133</v>
      </c>
      <c r="AQ29" s="67" t="n">
        <f aca="false">SUM(AQ23:AQ28)</f>
        <v>36556.294</v>
      </c>
      <c r="AR29" s="145"/>
      <c r="AS29" s="67" t="n">
        <f aca="false">SUM(AS23:AS28)</f>
        <v>52021.749</v>
      </c>
      <c r="AT29" s="446" t="n">
        <f aca="false">SUM(AT23:AT28)</f>
        <v>166556.099</v>
      </c>
      <c r="AU29" s="67" t="n">
        <f aca="false">SUM(AU23:AU28)</f>
        <v>36816.7649716502</v>
      </c>
    </row>
    <row r="30" customFormat="false" ht="12" hidden="false" customHeight="true" outlineLevel="0" collapsed="false">
      <c r="B30" s="41"/>
      <c r="C30" s="41"/>
      <c r="D30" s="32"/>
      <c r="E30" s="31"/>
      <c r="F30" s="41"/>
      <c r="G30" s="41"/>
      <c r="H30" s="32"/>
      <c r="I30" s="57"/>
      <c r="J30" s="57"/>
      <c r="K30" s="57"/>
      <c r="L30" s="32"/>
      <c r="M30" s="57"/>
      <c r="N30" s="57"/>
      <c r="O30" s="41"/>
      <c r="P30" s="32"/>
      <c r="Q30" s="115"/>
      <c r="R30" s="41"/>
      <c r="S30" s="41"/>
      <c r="T30" s="41"/>
      <c r="U30" s="41"/>
      <c r="V30" s="464"/>
      <c r="W30" s="41"/>
      <c r="X30" s="41"/>
      <c r="Y30" s="41"/>
      <c r="AA30" s="32"/>
      <c r="AB30" s="32"/>
      <c r="AC30" s="32"/>
      <c r="AD30" s="32"/>
      <c r="AE30" s="32"/>
      <c r="AF30" s="32"/>
      <c r="AG30" s="32"/>
      <c r="AH30" s="32"/>
      <c r="AI30" s="32"/>
      <c r="AJ30" s="32"/>
      <c r="AK30" s="32"/>
      <c r="AL30" s="32"/>
      <c r="AN30" s="32"/>
      <c r="AO30" s="41"/>
      <c r="AP30" s="32"/>
      <c r="AQ30" s="41"/>
      <c r="AR30" s="41"/>
      <c r="AS30" s="41"/>
      <c r="AU30" s="32"/>
    </row>
    <row r="31" s="19" customFormat="true" ht="12.75" hidden="false" customHeight="true" outlineLevel="0" collapsed="false">
      <c r="A31" s="39" t="s">
        <v>162</v>
      </c>
      <c r="B31" s="67" t="n">
        <f aca="false">B22-B29</f>
        <v>1186.56</v>
      </c>
      <c r="C31" s="67" t="n">
        <f aca="false">C22-C29</f>
        <v>1319.96</v>
      </c>
      <c r="D31" s="67" t="n">
        <f aca="false">D22-D29</f>
        <v>1868.65</v>
      </c>
      <c r="E31" s="67" t="n">
        <f aca="false">E22-E29</f>
        <v>2595.53</v>
      </c>
      <c r="F31" s="67" t="n">
        <f aca="false">F22-F29</f>
        <v>1546.04</v>
      </c>
      <c r="G31" s="67" t="n">
        <f aca="false">G22-G29</f>
        <v>1638.69</v>
      </c>
      <c r="H31" s="67" t="n">
        <f aca="false">H22-H29</f>
        <v>1621.83</v>
      </c>
      <c r="I31" s="67" t="n">
        <f aca="false">I22-I29</f>
        <v>3054.73</v>
      </c>
      <c r="J31" s="67" t="n">
        <f aca="false">J22-J29</f>
        <v>1510.599</v>
      </c>
      <c r="K31" s="67" t="n">
        <f aca="false">K22-K29</f>
        <v>1539.423</v>
      </c>
      <c r="L31" s="67" t="n">
        <f aca="false">L22-L29</f>
        <v>483.749</v>
      </c>
      <c r="M31" s="67" t="n">
        <f aca="false">M22-M29</f>
        <v>908.269999999999</v>
      </c>
      <c r="N31" s="67" t="n">
        <f aca="false">N22-N29</f>
        <v>121.67</v>
      </c>
      <c r="O31" s="67" t="n">
        <f aca="false">O22-O29</f>
        <v>1660.498</v>
      </c>
      <c r="P31" s="67" t="n">
        <f aca="false">P22-P29</f>
        <v>2062.296</v>
      </c>
      <c r="Q31" s="67" t="n">
        <f aca="false">Q22-Q29</f>
        <v>4159.992</v>
      </c>
      <c r="R31" s="67" t="n">
        <f aca="false">R22-R29</f>
        <v>2354.008</v>
      </c>
      <c r="S31" s="67" t="n">
        <f aca="false">S22-S29</f>
        <v>3062.593</v>
      </c>
      <c r="T31" s="67" t="n">
        <f aca="false">T22-T29</f>
        <v>1920.266</v>
      </c>
      <c r="U31" s="67" t="n">
        <f aca="false">U22-U29</f>
        <v>5098.707</v>
      </c>
      <c r="V31" s="448" t="n">
        <f aca="false">+SUM(R31:U31)</f>
        <v>12435.574</v>
      </c>
      <c r="W31" s="67" t="n">
        <f aca="false">W22-W29</f>
        <v>2351.592</v>
      </c>
      <c r="X31" s="67" t="n">
        <f aca="false">X22-X29</f>
        <v>3311.551</v>
      </c>
      <c r="Y31" s="67" t="n">
        <f aca="false">Y22-Y29</f>
        <v>2103.718</v>
      </c>
      <c r="Z31" s="67" t="n">
        <f aca="false">Z22-Z29</f>
        <v>4699.485</v>
      </c>
      <c r="AA31" s="67" t="n">
        <f aca="false">AA22-AA29</f>
        <v>2406.987</v>
      </c>
      <c r="AB31" s="67" t="n">
        <f aca="false">AB22-AB29</f>
        <v>3340.89000000001</v>
      </c>
      <c r="AC31" s="67" t="n">
        <f aca="false">AC22-AC29</f>
        <v>1023.177</v>
      </c>
      <c r="AD31" s="67" t="n">
        <f aca="false">AD22-AD29</f>
        <v>1981.92101073937</v>
      </c>
      <c r="AE31" s="67" t="n">
        <f aca="false">AE22-AE29</f>
        <v>232.571</v>
      </c>
      <c r="AF31" s="67" t="n">
        <f aca="false">AF22-AF29</f>
        <v>562.707000000002</v>
      </c>
      <c r="AG31" s="67" t="n">
        <f aca="false">AG22-AG29</f>
        <v>-969.037</v>
      </c>
      <c r="AH31" s="67" t="n">
        <f aca="false">AH22-AH29</f>
        <v>1839.38200000001</v>
      </c>
      <c r="AI31" s="276" t="n">
        <f aca="false">AI22-AI29</f>
        <v>1160.867</v>
      </c>
      <c r="AJ31" s="67" t="n">
        <f aca="false">AJ22-AJ29</f>
        <v>2343.896</v>
      </c>
      <c r="AK31" s="67" t="n">
        <f aca="false">AK22-AK29</f>
        <v>2381.48</v>
      </c>
      <c r="AL31" s="67" t="n">
        <f aca="false">AL22-AL29</f>
        <v>4570.961</v>
      </c>
      <c r="AM31" s="446" t="n">
        <f aca="false">AM22-AM29</f>
        <v>10457.204</v>
      </c>
      <c r="AN31" s="67" t="n">
        <f aca="false">AN22-AN29</f>
        <v>3886.98700000001</v>
      </c>
      <c r="AO31" s="67" t="n">
        <f aca="false">AO22-AO29</f>
        <v>5944.50399999999</v>
      </c>
      <c r="AP31" s="67" t="n">
        <f aca="false">AP22-AP29</f>
        <v>4031.88484445209</v>
      </c>
      <c r="AQ31" s="67" t="n">
        <f aca="false">AQ22-AQ29</f>
        <v>4297.15099999991</v>
      </c>
      <c r="AR31" s="67" t="n">
        <f aca="false">AR49/100*AR22</f>
        <v>5773.9462486627</v>
      </c>
      <c r="AS31" s="67" t="n">
        <f aca="false">AS22-AS29</f>
        <v>7531.08000000001</v>
      </c>
      <c r="AT31" s="446" t="n">
        <f aca="false">AT22-AT29</f>
        <v>21659.7219999999</v>
      </c>
      <c r="AU31" s="67" t="n">
        <f aca="false">AU22-AU29</f>
        <v>4218.01729190343</v>
      </c>
      <c r="AV31" s="269"/>
    </row>
    <row r="32" s="19" customFormat="true" ht="12.75" hidden="false" customHeight="true" outlineLevel="0" collapsed="false">
      <c r="A32" s="39" t="s">
        <v>1012</v>
      </c>
      <c r="B32" s="145"/>
      <c r="C32" s="190" t="n">
        <v>30.48</v>
      </c>
      <c r="D32" s="190" t="n">
        <v>-28.11</v>
      </c>
      <c r="E32" s="41"/>
      <c r="F32" s="190" t="n">
        <v>196.94</v>
      </c>
      <c r="G32" s="190" t="n">
        <v>46.16</v>
      </c>
      <c r="H32" s="190" t="n">
        <v>32.95</v>
      </c>
      <c r="I32" s="41"/>
      <c r="J32" s="190" t="n">
        <v>-339.099</v>
      </c>
      <c r="K32" s="190" t="n">
        <v>-143.508</v>
      </c>
      <c r="L32" s="190" t="n">
        <v>-347.652</v>
      </c>
      <c r="M32" s="41"/>
      <c r="N32" s="41"/>
      <c r="O32" s="41"/>
      <c r="P32" s="41"/>
      <c r="Q32" s="162"/>
      <c r="R32" s="162"/>
      <c r="S32" s="162"/>
      <c r="T32" s="162"/>
      <c r="U32" s="162"/>
      <c r="V32" s="465"/>
      <c r="W32" s="162"/>
      <c r="X32" s="162"/>
      <c r="Y32" s="162"/>
      <c r="Z32" s="466"/>
      <c r="AC32" s="112"/>
      <c r="AD32" s="112"/>
      <c r="AE32" s="112"/>
      <c r="AF32" s="112"/>
      <c r="AG32" s="112"/>
      <c r="AH32" s="112"/>
      <c r="AI32" s="112"/>
      <c r="AJ32" s="112"/>
      <c r="AK32" s="112"/>
      <c r="AL32" s="112"/>
      <c r="AM32" s="446" t="n">
        <f aca="false">+AL32+AK32+AI32+AJ32</f>
        <v>0</v>
      </c>
      <c r="AN32" s="112"/>
      <c r="AO32" s="145"/>
      <c r="AP32" s="269"/>
      <c r="AQ32" s="145"/>
      <c r="AR32" s="145"/>
      <c r="AS32" s="145"/>
      <c r="AT32" s="446" t="n">
        <f aca="false">+AS32+AR32+AP32+AQ32</f>
        <v>0</v>
      </c>
      <c r="AU32" s="269"/>
    </row>
    <row r="33" customFormat="false" ht="12.75" hidden="false" customHeight="true" outlineLevel="0" collapsed="false">
      <c r="A33" s="46" t="s">
        <v>252</v>
      </c>
      <c r="B33" s="190" t="n">
        <v>5.17</v>
      </c>
      <c r="C33" s="190" t="n">
        <v>3.71</v>
      </c>
      <c r="D33" s="190" t="n">
        <v>25.65</v>
      </c>
      <c r="E33" s="190" t="n">
        <v>18.79</v>
      </c>
      <c r="F33" s="190" t="n">
        <v>127.58</v>
      </c>
      <c r="G33" s="190" t="n">
        <v>126.25</v>
      </c>
      <c r="H33" s="190" t="n">
        <v>152.48</v>
      </c>
      <c r="I33" s="190" t="n">
        <v>91.09</v>
      </c>
      <c r="J33" s="190" t="n">
        <v>106.94</v>
      </c>
      <c r="K33" s="190" t="n">
        <v>245.753</v>
      </c>
      <c r="L33" s="190" t="n">
        <v>394.086</v>
      </c>
      <c r="M33" s="190" t="n">
        <v>440.31</v>
      </c>
      <c r="N33" s="190" t="n">
        <v>258.03</v>
      </c>
      <c r="O33" s="190" t="n">
        <v>170.04</v>
      </c>
      <c r="P33" s="190" t="n">
        <v>162.129</v>
      </c>
      <c r="Q33" s="197" t="n">
        <v>221.106</v>
      </c>
      <c r="R33" s="197" t="n">
        <v>316.179</v>
      </c>
      <c r="S33" s="197" t="n">
        <v>394.85</v>
      </c>
      <c r="T33" s="197" t="n">
        <v>474.81</v>
      </c>
      <c r="U33" s="197" t="n">
        <v>450.775</v>
      </c>
      <c r="V33" s="448" t="n">
        <f aca="false">+SUM(R33:U33)</f>
        <v>1636.614</v>
      </c>
      <c r="W33" s="190" t="n">
        <v>533.454</v>
      </c>
      <c r="X33" s="190" t="n">
        <v>626.978</v>
      </c>
      <c r="Y33" s="190" t="n">
        <v>550.123</v>
      </c>
      <c r="Z33" s="208" t="n">
        <v>724.008</v>
      </c>
      <c r="AA33" s="208" t="n">
        <v>833.764</v>
      </c>
      <c r="AB33" s="208" t="n">
        <v>1036.382</v>
      </c>
      <c r="AC33" s="208" t="n">
        <v>1071.055</v>
      </c>
      <c r="AD33" s="208" t="n">
        <v>827.656</v>
      </c>
      <c r="AE33" s="208" t="n">
        <v>1006.794</v>
      </c>
      <c r="AF33" s="208" t="n">
        <v>1244.135</v>
      </c>
      <c r="AG33" s="208" t="n">
        <v>1152.59</v>
      </c>
      <c r="AH33" s="208" t="n">
        <v>1125.729</v>
      </c>
      <c r="AI33" s="208" t="n">
        <v>1063.398</v>
      </c>
      <c r="AJ33" s="208" t="n">
        <v>1007.455</v>
      </c>
      <c r="AK33" s="208" t="n">
        <v>982.159</v>
      </c>
      <c r="AL33" s="208" t="n">
        <v>882.063</v>
      </c>
      <c r="AM33" s="446" t="n">
        <f aca="false">+AL33+AK33+AI33+AJ33</f>
        <v>3935.075</v>
      </c>
      <c r="AN33" s="208" t="n">
        <v>765.689</v>
      </c>
      <c r="AO33" s="208" t="n">
        <v>701.817</v>
      </c>
      <c r="AP33" s="208" t="n">
        <v>690</v>
      </c>
      <c r="AQ33" s="208" t="n">
        <v>665.712</v>
      </c>
      <c r="AR33" s="208" t="n">
        <v>660</v>
      </c>
      <c r="AS33" s="208" t="n">
        <v>602.228</v>
      </c>
      <c r="AT33" s="446" t="n">
        <f aca="false">+AS33+AQ33+AN33+AO33</f>
        <v>2735.446</v>
      </c>
      <c r="AU33" s="208" t="n">
        <v>605</v>
      </c>
    </row>
    <row r="34" customFormat="false" ht="12.75" hidden="false" customHeight="true" outlineLevel="0" collapsed="false">
      <c r="A34" s="46" t="s">
        <v>253</v>
      </c>
      <c r="B34" s="190" t="n">
        <v>138.84</v>
      </c>
      <c r="C34" s="205" t="n">
        <f aca="false">336.62-235.8</f>
        <v>100.82</v>
      </c>
      <c r="D34" s="190" t="n">
        <v>63.51</v>
      </c>
      <c r="E34" s="190" t="n">
        <v>169.06</v>
      </c>
      <c r="F34" s="190" t="n">
        <v>75.5</v>
      </c>
      <c r="G34" s="190" t="n">
        <v>111.4</v>
      </c>
      <c r="H34" s="205" t="n">
        <f aca="false">437.02-330</f>
        <v>107.02</v>
      </c>
      <c r="I34" s="190" t="n">
        <v>116.07</v>
      </c>
      <c r="J34" s="190" t="n">
        <v>121.66</v>
      </c>
      <c r="K34" s="205" t="n">
        <f aca="false">284.945-155</f>
        <v>129.945</v>
      </c>
      <c r="L34" s="190" t="n">
        <v>105.836</v>
      </c>
      <c r="M34" s="205" t="n">
        <f aca="false">131.05-60</f>
        <v>71.05</v>
      </c>
      <c r="N34" s="205" t="n">
        <f aca="false">606.24-515</f>
        <v>91.24</v>
      </c>
      <c r="O34" s="467" t="n">
        <v>55.596</v>
      </c>
      <c r="P34" s="190" t="n">
        <v>19.522</v>
      </c>
      <c r="Q34" s="197" t="n">
        <v>23.093</v>
      </c>
      <c r="R34" s="197" t="n">
        <v>47.298</v>
      </c>
      <c r="S34" s="197" t="n">
        <v>48.141</v>
      </c>
      <c r="T34" s="197" t="n">
        <v>16.733</v>
      </c>
      <c r="U34" s="197" t="n">
        <v>41.171</v>
      </c>
      <c r="V34" s="448" t="n">
        <f aca="false">+SUM(R34:U34)</f>
        <v>153.343</v>
      </c>
      <c r="W34" s="190" t="n">
        <v>41.177</v>
      </c>
      <c r="X34" s="190" t="n">
        <v>103.27</v>
      </c>
      <c r="Y34" s="190" t="n">
        <v>32.325</v>
      </c>
      <c r="Z34" s="208" t="n">
        <v>108.762</v>
      </c>
      <c r="AA34" s="208" t="n">
        <v>128.659</v>
      </c>
      <c r="AB34" s="208" t="n">
        <v>238.667</v>
      </c>
      <c r="AC34" s="208" t="n">
        <v>140.952</v>
      </c>
      <c r="AD34" s="208" t="n">
        <v>115.237</v>
      </c>
      <c r="AE34" s="208" t="n">
        <v>122.567</v>
      </c>
      <c r="AF34" s="208" t="n">
        <v>231.15</v>
      </c>
      <c r="AG34" s="208" t="n">
        <v>154.086</v>
      </c>
      <c r="AH34" s="208" t="n">
        <v>157.404</v>
      </c>
      <c r="AI34" s="208" t="n">
        <v>231.166</v>
      </c>
      <c r="AJ34" s="208" t="n">
        <v>256.985</v>
      </c>
      <c r="AK34" s="208" t="n">
        <v>193.237</v>
      </c>
      <c r="AL34" s="208" t="n">
        <v>372.458</v>
      </c>
      <c r="AM34" s="446" t="n">
        <f aca="false">+AL34+AK34+AI34+AJ34</f>
        <v>1053.846</v>
      </c>
      <c r="AN34" s="208" t="n">
        <v>270.95</v>
      </c>
      <c r="AO34" s="208" t="n">
        <v>264.638</v>
      </c>
      <c r="AP34" s="208" t="n">
        <v>250</v>
      </c>
      <c r="AQ34" s="208" t="n">
        <v>258.714</v>
      </c>
      <c r="AR34" s="208" t="n">
        <v>250</v>
      </c>
      <c r="AS34" s="208" t="n">
        <v>319.558</v>
      </c>
      <c r="AT34" s="446" t="n">
        <f aca="false">+AS34+AQ34+AN34+AO34</f>
        <v>1113.86</v>
      </c>
      <c r="AU34" s="208" t="n">
        <v>250</v>
      </c>
    </row>
    <row r="35" customFormat="false" ht="12" hidden="false" customHeight="true" outlineLevel="0" collapsed="false">
      <c r="A35" s="46" t="s">
        <v>254</v>
      </c>
      <c r="B35" s="62" t="n">
        <f aca="false">B31-B33+B34</f>
        <v>1320.23</v>
      </c>
      <c r="C35" s="62" t="n">
        <f aca="false">C31-C33+C34+C32</f>
        <v>1447.55</v>
      </c>
      <c r="D35" s="62" t="n">
        <f aca="false">D31-D33+D34+D32</f>
        <v>1878.4</v>
      </c>
      <c r="E35" s="62" t="n">
        <f aca="false">E31-E33+E34-E32</f>
        <v>2745.8</v>
      </c>
      <c r="F35" s="62" t="n">
        <f aca="false">F31-F33+F34+F32</f>
        <v>1690.9</v>
      </c>
      <c r="G35" s="62" t="n">
        <f aca="false">G31-G33+G34+G32</f>
        <v>1670</v>
      </c>
      <c r="H35" s="62" t="n">
        <f aca="false">H31-H33+H34+H32</f>
        <v>1609.32</v>
      </c>
      <c r="I35" s="62" t="n">
        <f aca="false">I31-I33+I34-I32</f>
        <v>3079.71</v>
      </c>
      <c r="J35" s="62" t="n">
        <f aca="false">J31-J33+J34+J32</f>
        <v>1186.22</v>
      </c>
      <c r="K35" s="62" t="n">
        <f aca="false">K31-K33+K34+K32</f>
        <v>1280.107</v>
      </c>
      <c r="L35" s="62" t="n">
        <f aca="false">L31-L33+L34-L32</f>
        <v>543.151</v>
      </c>
      <c r="M35" s="62" t="n">
        <f aca="false">M31-M33+M34-M32</f>
        <v>539.009999999999</v>
      </c>
      <c r="N35" s="62" t="n">
        <f aca="false">N31-N33+N34+N32</f>
        <v>-45.1199999999999</v>
      </c>
      <c r="O35" s="62" t="n">
        <f aca="false">O31-O33+O34+O32</f>
        <v>1546.054</v>
      </c>
      <c r="P35" s="62" t="n">
        <f aca="false">P31-P33+P34-P32</f>
        <v>1919.689</v>
      </c>
      <c r="Q35" s="62" t="n">
        <f aca="false">Q31-Q33+Q34-Q32</f>
        <v>3961.979</v>
      </c>
      <c r="R35" s="62" t="n">
        <f aca="false">R31-R33+R34-R32</f>
        <v>2085.127</v>
      </c>
      <c r="S35" s="62" t="n">
        <f aca="false">S31-S33+S34-S32</f>
        <v>2715.884</v>
      </c>
      <c r="T35" s="62" t="n">
        <f aca="false">T31-T33+T34-T32</f>
        <v>1462.189</v>
      </c>
      <c r="U35" s="62" t="n">
        <f aca="false">U31-U33+U34-U32</f>
        <v>4689.103</v>
      </c>
      <c r="V35" s="448" t="n">
        <f aca="false">+SUM(R35:U35)</f>
        <v>10952.303</v>
      </c>
      <c r="W35" s="62" t="n">
        <f aca="false">W31-W33+W34-W32</f>
        <v>1859.315</v>
      </c>
      <c r="X35" s="62" t="n">
        <f aca="false">X31-X33+X34-X32</f>
        <v>2787.843</v>
      </c>
      <c r="Y35" s="62" t="n">
        <f aca="false">Y31-Y33+Y34-Y32</f>
        <v>1585.92</v>
      </c>
      <c r="Z35" s="62" t="n">
        <f aca="false">Z31-Z33+Z34-Z32</f>
        <v>4084.239</v>
      </c>
      <c r="AA35" s="62" t="n">
        <f aca="false">AA31-AA33+AA34-AA32</f>
        <v>1701.882</v>
      </c>
      <c r="AB35" s="62" t="n">
        <f aca="false">AB31-AB33+AB34-AB32</f>
        <v>2543.17500000001</v>
      </c>
      <c r="AC35" s="62" t="n">
        <f aca="false">AC31-AC33+AC34-AC32</f>
        <v>93.0739999999996</v>
      </c>
      <c r="AD35" s="62" t="n">
        <f aca="false">AD31-AD33+AD34-AD32</f>
        <v>1269.50201073937</v>
      </c>
      <c r="AE35" s="87" t="n">
        <f aca="false">AE31-AE33+AE34-AE32</f>
        <v>-651.656</v>
      </c>
      <c r="AF35" s="87" t="n">
        <f aca="false">AF31-AF33+AF34-AF32</f>
        <v>-450.277999999998</v>
      </c>
      <c r="AG35" s="87" t="n">
        <f aca="false">AG31-AG33+AG34-AG32</f>
        <v>-1967.541</v>
      </c>
      <c r="AH35" s="87" t="n">
        <f aca="false">AH31-AH33+AH34-AH32</f>
        <v>871.057000000005</v>
      </c>
      <c r="AI35" s="87" t="n">
        <f aca="false">AI31-AI33+AI34-AI32</f>
        <v>328.635000000002</v>
      </c>
      <c r="AJ35" s="87" t="n">
        <f aca="false">AJ31-AJ33+AJ34-AJ32</f>
        <v>1593.426</v>
      </c>
      <c r="AK35" s="87" t="n">
        <f aca="false">AK31-AK33+AK34-AK32</f>
        <v>1592.558</v>
      </c>
      <c r="AL35" s="87" t="n">
        <f aca="false">AL31-AL33+AL34-AL32</f>
        <v>4061.356</v>
      </c>
      <c r="AM35" s="448" t="n">
        <f aca="false">AM31-AM33+AM34-AM32</f>
        <v>7575.97499999998</v>
      </c>
      <c r="AN35" s="87" t="n">
        <f aca="false">AN31-AN33+AN34-AN32</f>
        <v>3392.24800000001</v>
      </c>
      <c r="AO35" s="62" t="n">
        <f aca="false">AO31-AO33+AO34-AO32</f>
        <v>5507.32499999999</v>
      </c>
      <c r="AP35" s="62" t="n">
        <f aca="false">AP31-AP33+AP34-AP32</f>
        <v>3591.88484445209</v>
      </c>
      <c r="AQ35" s="62" t="n">
        <f aca="false">AQ31-AQ33+AQ34-AQ32</f>
        <v>3890.15299999991</v>
      </c>
      <c r="AR35" s="62" t="n">
        <f aca="false">AR31-AR33+AR34-AR32</f>
        <v>5363.9462486627</v>
      </c>
      <c r="AS35" s="62" t="n">
        <f aca="false">AS31-AS33+AS34-AS32</f>
        <v>7248.41000000001</v>
      </c>
      <c r="AT35" s="448" t="n">
        <f aca="false">AT31-AT33+AT34-AT32</f>
        <v>20038.1359999999</v>
      </c>
      <c r="AU35" s="62" t="n">
        <f aca="false">AU31-AU33+AU34-AU32</f>
        <v>3863.01729190343</v>
      </c>
    </row>
    <row r="36" customFormat="false" ht="12.75" hidden="false" customHeight="true" outlineLevel="0" collapsed="false">
      <c r="A36" s="46" t="s">
        <v>890</v>
      </c>
      <c r="B36" s="190" t="n">
        <v>327.7</v>
      </c>
      <c r="C36" s="190" t="n">
        <v>364.5</v>
      </c>
      <c r="D36" s="190" t="n">
        <v>332.28</v>
      </c>
      <c r="E36" s="190" t="n">
        <v>481.26</v>
      </c>
      <c r="F36" s="190" t="n">
        <v>412.9</v>
      </c>
      <c r="G36" s="190" t="n">
        <v>466.2</v>
      </c>
      <c r="H36" s="190" t="n">
        <v>408.31</v>
      </c>
      <c r="I36" s="190" t="n">
        <v>486.2</v>
      </c>
      <c r="J36" s="190" t="n">
        <v>441.07</v>
      </c>
      <c r="K36" s="190" t="n">
        <v>505.37</v>
      </c>
      <c r="L36" s="190" t="n">
        <v>357.803</v>
      </c>
      <c r="M36" s="190" t="n">
        <v>479.9</v>
      </c>
      <c r="N36" s="190" t="n">
        <v>435.01</v>
      </c>
      <c r="O36" s="463" t="n">
        <v>505.823</v>
      </c>
      <c r="P36" s="190" t="n">
        <v>512.717</v>
      </c>
      <c r="Q36" s="197" t="n">
        <v>587.533</v>
      </c>
      <c r="R36" s="197" t="n">
        <v>614.688</v>
      </c>
      <c r="S36" s="197" t="n">
        <v>640.593</v>
      </c>
      <c r="T36" s="294" t="n">
        <v>646.908</v>
      </c>
      <c r="U36" s="190" t="n">
        <v>772.121</v>
      </c>
      <c r="V36" s="448" t="n">
        <f aca="false">+SUM(R36:U36)</f>
        <v>2674.31</v>
      </c>
      <c r="W36" s="190" t="n">
        <v>846.588</v>
      </c>
      <c r="X36" s="190" t="n">
        <v>859.325</v>
      </c>
      <c r="Y36" s="190" t="n">
        <v>866.286</v>
      </c>
      <c r="Z36" s="208" t="n">
        <v>955.933</v>
      </c>
      <c r="AA36" s="208" t="n">
        <v>892.523</v>
      </c>
      <c r="AB36" s="208" t="n">
        <v>984.109</v>
      </c>
      <c r="AC36" s="208" t="n">
        <v>931.13</v>
      </c>
      <c r="AD36" s="208" t="n">
        <v>1000.073</v>
      </c>
      <c r="AE36" s="208" t="n">
        <v>951.735</v>
      </c>
      <c r="AF36" s="208" t="n">
        <v>900.843</v>
      </c>
      <c r="AG36" s="208" t="n">
        <v>883.314</v>
      </c>
      <c r="AH36" s="208" t="n">
        <v>1034.468</v>
      </c>
      <c r="AI36" s="208" t="n">
        <v>1033.151</v>
      </c>
      <c r="AJ36" s="208" t="n">
        <v>1030.797</v>
      </c>
      <c r="AK36" s="208" t="n">
        <v>998.61</v>
      </c>
      <c r="AL36" s="208" t="n">
        <v>1100.809</v>
      </c>
      <c r="AM36" s="446" t="n">
        <f aca="false">+AL36+AK36+AI36+AJ36</f>
        <v>4163.367</v>
      </c>
      <c r="AN36" s="208" t="n">
        <v>1043.17</v>
      </c>
      <c r="AO36" s="208" t="n">
        <v>1129.407</v>
      </c>
      <c r="AP36" s="208" t="n">
        <v>1100</v>
      </c>
      <c r="AQ36" s="208" t="n">
        <v>1086.932</v>
      </c>
      <c r="AR36" s="190" t="n">
        <v>1086.932</v>
      </c>
      <c r="AS36" s="208" t="n">
        <v>1177.159</v>
      </c>
      <c r="AT36" s="446" t="n">
        <f aca="false">+AS36+AQ36+AN36+AO36</f>
        <v>4436.668</v>
      </c>
      <c r="AU36" s="208" t="n">
        <v>1200</v>
      </c>
    </row>
    <row r="37" customFormat="false" ht="12" hidden="false" customHeight="true" outlineLevel="0" collapsed="false">
      <c r="A37" s="46" t="s">
        <v>241</v>
      </c>
      <c r="B37" s="62" t="n">
        <f aca="false">B35-B36</f>
        <v>992.530000000001</v>
      </c>
      <c r="C37" s="62" t="n">
        <f aca="false">C35-C36</f>
        <v>1083.05</v>
      </c>
      <c r="D37" s="62" t="n">
        <f aca="false">D35-D36</f>
        <v>1546.12</v>
      </c>
      <c r="E37" s="62" t="n">
        <f aca="false">E35-E36</f>
        <v>2264.54</v>
      </c>
      <c r="F37" s="62" t="n">
        <f aca="false">F35-F36</f>
        <v>1278</v>
      </c>
      <c r="G37" s="62" t="n">
        <f aca="false">G35-G36</f>
        <v>1203.8</v>
      </c>
      <c r="H37" s="62" t="n">
        <f aca="false">H35-H36</f>
        <v>1201.01</v>
      </c>
      <c r="I37" s="62" t="n">
        <f aca="false">I35-I36</f>
        <v>2593.51</v>
      </c>
      <c r="J37" s="62" t="n">
        <f aca="false">J35-J36</f>
        <v>745.150000000002</v>
      </c>
      <c r="K37" s="62" t="n">
        <f aca="false">K35-K36</f>
        <v>774.736999999999</v>
      </c>
      <c r="L37" s="62" t="n">
        <f aca="false">L35-L36</f>
        <v>185.348</v>
      </c>
      <c r="M37" s="62" t="n">
        <f aca="false">M35-M36</f>
        <v>59.1099999999987</v>
      </c>
      <c r="N37" s="62" t="n">
        <f aca="false">N35-N36</f>
        <v>-480.13</v>
      </c>
      <c r="O37" s="62" t="n">
        <f aca="false">O35-O36</f>
        <v>1040.231</v>
      </c>
      <c r="P37" s="62" t="n">
        <f aca="false">P35-P36</f>
        <v>1406.972</v>
      </c>
      <c r="Q37" s="62" t="n">
        <f aca="false">Q35-Q36</f>
        <v>3374.446</v>
      </c>
      <c r="R37" s="62" t="n">
        <f aca="false">R35-R36</f>
        <v>1470.439</v>
      </c>
      <c r="S37" s="62" t="n">
        <f aca="false">S35-S36</f>
        <v>2075.291</v>
      </c>
      <c r="T37" s="62" t="n">
        <f aca="false">T35-T36</f>
        <v>815.281000000003</v>
      </c>
      <c r="U37" s="129" t="n">
        <f aca="false">+U35-U36</f>
        <v>3916.982</v>
      </c>
      <c r="V37" s="448" t="n">
        <f aca="false">+SUM(R37:U37)</f>
        <v>8277.99300000001</v>
      </c>
      <c r="W37" s="62" t="n">
        <f aca="false">+W35-W36</f>
        <v>1012.727</v>
      </c>
      <c r="X37" s="62" t="n">
        <f aca="false">+X35-X36</f>
        <v>1928.518</v>
      </c>
      <c r="Y37" s="62" t="n">
        <f aca="false">+Y35-Y36</f>
        <v>719.634000000001</v>
      </c>
      <c r="Z37" s="62" t="n">
        <f aca="false">+Z35-Z36</f>
        <v>3128.306</v>
      </c>
      <c r="AA37" s="62" t="n">
        <f aca="false">+AA35-AA36</f>
        <v>809.358999999997</v>
      </c>
      <c r="AB37" s="62" t="n">
        <f aca="false">+AB35-AB36</f>
        <v>1559.06600000001</v>
      </c>
      <c r="AC37" s="62" t="n">
        <f aca="false">+AC35-AC36</f>
        <v>-838.056</v>
      </c>
      <c r="AD37" s="62" t="n">
        <f aca="false">+AD35-AD36</f>
        <v>269.429010739374</v>
      </c>
      <c r="AE37" s="62" t="n">
        <f aca="false">+AE35-AE36</f>
        <v>-1603.391</v>
      </c>
      <c r="AF37" s="62" t="n">
        <f aca="false">+AF35-AF36</f>
        <v>-1351.121</v>
      </c>
      <c r="AG37" s="62" t="n">
        <f aca="false">+AG35-AG36</f>
        <v>-2850.855</v>
      </c>
      <c r="AH37" s="62" t="n">
        <f aca="false">+AH35-AH36</f>
        <v>-163.410999999995</v>
      </c>
      <c r="AI37" s="62" t="n">
        <f aca="false">+AI35-AI36</f>
        <v>-704.515999999998</v>
      </c>
      <c r="AJ37" s="62" t="n">
        <f aca="false">+AJ35-AJ36</f>
        <v>562.629000000001</v>
      </c>
      <c r="AK37" s="62" t="n">
        <f aca="false">+AK35-AK36</f>
        <v>593.947999999996</v>
      </c>
      <c r="AL37" s="62" t="n">
        <f aca="false">+AL35-AL36</f>
        <v>2960.547</v>
      </c>
      <c r="AM37" s="448" t="n">
        <f aca="false">+AM35-AM36</f>
        <v>3412.60799999998</v>
      </c>
      <c r="AN37" s="62" t="n">
        <f aca="false">+AN35-AN36</f>
        <v>2349.07800000001</v>
      </c>
      <c r="AO37" s="62" t="n">
        <f aca="false">+AO35-AO36</f>
        <v>4377.91799999999</v>
      </c>
      <c r="AP37" s="62" t="n">
        <f aca="false">+AP35-AP36</f>
        <v>2491.88484445209</v>
      </c>
      <c r="AQ37" s="62" t="n">
        <f aca="false">+AQ35-AQ36</f>
        <v>2803.22099999991</v>
      </c>
      <c r="AR37" s="62" t="n">
        <f aca="false">+AR35-AR36</f>
        <v>4277.0142486627</v>
      </c>
      <c r="AS37" s="62" t="n">
        <f aca="false">+AS35-AS36</f>
        <v>6071.25100000001</v>
      </c>
      <c r="AT37" s="448" t="n">
        <f aca="false">+AT35-AT36</f>
        <v>15601.4679999999</v>
      </c>
      <c r="AU37" s="62" t="n">
        <f aca="false">+AU35-AU36</f>
        <v>2663.01729190343</v>
      </c>
    </row>
    <row r="38" customFormat="false" ht="12.75" hidden="false" customHeight="true" outlineLevel="0" collapsed="false">
      <c r="A38" s="46" t="s">
        <v>891</v>
      </c>
      <c r="B38" s="41"/>
      <c r="C38" s="190" t="n">
        <v>235.8</v>
      </c>
      <c r="E38" s="197" t="n">
        <v>53.79</v>
      </c>
      <c r="F38" s="41"/>
      <c r="G38" s="41"/>
      <c r="H38" s="190" t="n">
        <v>330</v>
      </c>
      <c r="I38" s="197" t="n">
        <v>-97.45</v>
      </c>
      <c r="J38" s="41"/>
      <c r="K38" s="190" t="n">
        <v>155</v>
      </c>
      <c r="L38" s="41"/>
      <c r="M38" s="190" t="n">
        <v>300</v>
      </c>
      <c r="N38" s="190" t="n">
        <v>515</v>
      </c>
      <c r="O38" s="41"/>
      <c r="P38" s="41"/>
      <c r="Q38" s="115"/>
      <c r="R38" s="115"/>
      <c r="S38" s="115"/>
      <c r="T38" s="115"/>
      <c r="U38" s="115"/>
      <c r="V38" s="464"/>
      <c r="W38" s="190" t="n">
        <v>94.603</v>
      </c>
      <c r="X38" s="41"/>
      <c r="Y38" s="41"/>
      <c r="Z38" s="208" t="n">
        <v>15.978</v>
      </c>
      <c r="AC38" s="190" t="n">
        <v>1562.569</v>
      </c>
      <c r="AD38" s="190" t="n">
        <v>1343.618</v>
      </c>
      <c r="AE38" s="41"/>
      <c r="AF38" s="190" t="n">
        <v>483.193</v>
      </c>
      <c r="AG38" s="205" t="n">
        <f aca="false">1002.903+15+341.152</f>
        <v>1359.055</v>
      </c>
      <c r="AH38" s="190" t="n">
        <v>3760.941</v>
      </c>
      <c r="AI38" s="41"/>
      <c r="AJ38" s="190" t="n">
        <v>1089.728</v>
      </c>
      <c r="AK38" s="41"/>
      <c r="AL38" s="41"/>
      <c r="AM38" s="446" t="n">
        <f aca="false">+AL38+AK38+AI38+AJ38</f>
        <v>1089.728</v>
      </c>
      <c r="AN38" s="41"/>
      <c r="AO38" s="190" t="n">
        <v>1518.293</v>
      </c>
      <c r="AP38" s="251"/>
      <c r="AQ38" s="41"/>
      <c r="AR38" s="41"/>
      <c r="AS38" s="190" t="n">
        <v>416.804</v>
      </c>
      <c r="AT38" s="448" t="n">
        <f aca="false">+AS38+AQ38+AN38+AO38</f>
        <v>1935.097</v>
      </c>
      <c r="AU38" s="251"/>
    </row>
    <row r="39" customFormat="false" ht="12.75" hidden="false" customHeight="true" outlineLevel="0" collapsed="false">
      <c r="A39" s="46" t="s">
        <v>892</v>
      </c>
      <c r="B39" s="190" t="n">
        <v>-38.43</v>
      </c>
      <c r="C39" s="205" t="n">
        <f aca="false">-30.84</f>
        <v>-30.84</v>
      </c>
      <c r="D39" s="190" t="n">
        <v>20.6</v>
      </c>
      <c r="E39" s="327" t="n">
        <v>-30.44</v>
      </c>
      <c r="F39" s="190" t="n">
        <v>-34.92</v>
      </c>
      <c r="G39" s="190" t="n">
        <v>-26.5</v>
      </c>
      <c r="H39" s="205" t="n">
        <f aca="false">12.77</f>
        <v>12.77</v>
      </c>
      <c r="I39" s="327" t="n">
        <v>-21.77</v>
      </c>
      <c r="J39" s="205" t="n">
        <f aca="false">-21.63</f>
        <v>-21.63</v>
      </c>
      <c r="K39" s="190" t="n">
        <v>-21.708</v>
      </c>
      <c r="L39" s="205" t="n">
        <f aca="false">22.289</f>
        <v>22.289</v>
      </c>
      <c r="M39" s="327" t="n">
        <v>-35.47</v>
      </c>
      <c r="N39" s="190" t="n">
        <v>-10.36</v>
      </c>
      <c r="O39" s="190" t="n">
        <v>-8.676</v>
      </c>
      <c r="P39" s="190" t="n">
        <v>9.744</v>
      </c>
      <c r="Q39" s="197" t="n">
        <v>380</v>
      </c>
      <c r="R39" s="115"/>
      <c r="S39" s="115"/>
      <c r="T39" s="197" t="n">
        <v>260</v>
      </c>
      <c r="U39" s="115"/>
      <c r="V39" s="464"/>
      <c r="W39" s="115"/>
      <c r="X39" s="115"/>
      <c r="Y39" s="115"/>
      <c r="AE39" s="188" t="n">
        <v>65.116</v>
      </c>
      <c r="AF39" s="188" t="n">
        <v>45.616</v>
      </c>
      <c r="AG39" s="188" t="n">
        <v>435.868</v>
      </c>
      <c r="AH39" s="74"/>
      <c r="AI39" s="74"/>
      <c r="AJ39" s="74"/>
      <c r="AK39" s="74"/>
      <c r="AL39" s="188" t="n">
        <v>80.369</v>
      </c>
      <c r="AM39" s="446" t="n">
        <f aca="false">+AL39+AK39+AI39+AJ39</f>
        <v>80.369</v>
      </c>
      <c r="AN39" s="74"/>
      <c r="AO39" s="190" t="n">
        <v>1570</v>
      </c>
      <c r="AQ39" s="190" t="n">
        <v>65.168</v>
      </c>
      <c r="AR39" s="41"/>
      <c r="AS39" s="190" t="n">
        <v>4209.379</v>
      </c>
      <c r="AT39" s="448" t="n">
        <f aca="false">+AS39+AQ39+AN39+AO39</f>
        <v>5844.547</v>
      </c>
    </row>
    <row r="40" customFormat="false" ht="12.75" hidden="false" customHeight="true" outlineLevel="0" collapsed="false">
      <c r="A40" s="46" t="s">
        <v>259</v>
      </c>
      <c r="B40" s="190" t="n">
        <v>262.3</v>
      </c>
      <c r="C40" s="190" t="n">
        <v>334.38</v>
      </c>
      <c r="D40" s="205" t="n">
        <f aca="false">460.45+12.5</f>
        <v>472.95</v>
      </c>
      <c r="E40" s="327" t="n">
        <v>572.7</v>
      </c>
      <c r="F40" s="190" t="n">
        <v>361.2</v>
      </c>
      <c r="G40" s="190" t="n">
        <v>373.94</v>
      </c>
      <c r="H40" s="205" t="n">
        <f aca="false">20+296.07</f>
        <v>316.07</v>
      </c>
      <c r="I40" s="327" t="n">
        <v>668.6</v>
      </c>
      <c r="J40" s="190" t="n">
        <v>217.82</v>
      </c>
      <c r="K40" s="205" t="n">
        <f aca="false">207.288+28.304</f>
        <v>235.592</v>
      </c>
      <c r="L40" s="205" t="n">
        <f aca="false">-26.523+0.9</f>
        <v>-25.623</v>
      </c>
      <c r="M40" s="327" t="n">
        <v>-209.5</v>
      </c>
      <c r="N40" s="190" t="n">
        <v>-53.2</v>
      </c>
      <c r="O40" s="190" t="n">
        <v>145.5</v>
      </c>
      <c r="P40" s="190" t="n">
        <v>350.9</v>
      </c>
      <c r="Q40" s="197" t="n">
        <v>767.8</v>
      </c>
      <c r="R40" s="197" t="n">
        <v>244</v>
      </c>
      <c r="S40" s="197" t="n">
        <v>404.7</v>
      </c>
      <c r="T40" s="197" t="n">
        <v>121.6</v>
      </c>
      <c r="U40" s="358" t="n">
        <f aca="false">885.8+48.9</f>
        <v>934.7</v>
      </c>
      <c r="V40" s="448" t="n">
        <f aca="false">+SUM(R40:U40)</f>
        <v>1705</v>
      </c>
      <c r="W40" s="205" t="n">
        <f aca="false">167.9+76.9</f>
        <v>244.8</v>
      </c>
      <c r="X40" s="190" t="n">
        <v>387.7</v>
      </c>
      <c r="Y40" s="190" t="n">
        <v>50.6</v>
      </c>
      <c r="Z40" s="205" t="n">
        <f aca="false">327.4+229.5</f>
        <v>556.9</v>
      </c>
      <c r="AA40" s="205" t="n">
        <f aca="false">100+40</f>
        <v>140</v>
      </c>
      <c r="AB40" s="190" t="n">
        <v>133.1</v>
      </c>
      <c r="AC40" s="190" t="n">
        <v>-16.9</v>
      </c>
      <c r="AD40" s="190" t="n">
        <v>113.8</v>
      </c>
      <c r="AE40" s="190" t="n">
        <v>-251</v>
      </c>
      <c r="AF40" s="190" t="n">
        <v>-663</v>
      </c>
      <c r="AG40" s="190" t="n">
        <v>-255.6</v>
      </c>
      <c r="AH40" s="190" t="n">
        <v>-36.4</v>
      </c>
      <c r="AI40" s="190" t="n">
        <v>-225</v>
      </c>
      <c r="AJ40" s="190" t="n">
        <v>445.47</v>
      </c>
      <c r="AK40" s="190" t="n">
        <v>273</v>
      </c>
      <c r="AL40" s="190" t="n">
        <v>580.437</v>
      </c>
      <c r="AM40" s="446" t="n">
        <f aca="false">+AL40+AK40+AI40+AJ40</f>
        <v>1073.907</v>
      </c>
      <c r="AN40" s="190" t="n">
        <v>755.889</v>
      </c>
      <c r="AO40" s="190" t="n">
        <v>1458.111</v>
      </c>
      <c r="AP40" s="239" t="n">
        <f aca="false">+AP37*0.3</f>
        <v>747.565453335628</v>
      </c>
      <c r="AQ40" s="190" t="n">
        <v>751.8</v>
      </c>
      <c r="AR40" s="62" t="n">
        <f aca="false">AR56/100*AR37</f>
        <v>1197.56398962556</v>
      </c>
      <c r="AS40" s="190" t="n">
        <v>1508.46</v>
      </c>
      <c r="AT40" s="448" t="n">
        <f aca="false">+AS40+AQ40+AN40+AO40</f>
        <v>4474.26</v>
      </c>
      <c r="AU40" s="239" t="n">
        <f aca="false">+AU37*0.28</f>
        <v>745.644841732961</v>
      </c>
    </row>
    <row r="41" s="19" customFormat="true" ht="12.75" hidden="false" customHeight="true" outlineLevel="0" collapsed="false">
      <c r="A41" s="39" t="s">
        <v>244</v>
      </c>
      <c r="B41" s="67" t="n">
        <f aca="false">B37+B38+B39-B40</f>
        <v>691.800000000001</v>
      </c>
      <c r="C41" s="67" t="n">
        <f aca="false">C37+C38+C39-C40</f>
        <v>953.629999999997</v>
      </c>
      <c r="D41" s="67" t="n">
        <f aca="false">D37+D38-D40-D39</f>
        <v>1052.57</v>
      </c>
      <c r="E41" s="67" t="n">
        <f aca="false">E37+E38+E39-E40</f>
        <v>1715.19</v>
      </c>
      <c r="F41" s="67" t="n">
        <f aca="false">F37+F38+F39-F40</f>
        <v>881.880000000004</v>
      </c>
      <c r="G41" s="67" t="n">
        <f aca="false">G37+G38+G39-G40</f>
        <v>803.359999999997</v>
      </c>
      <c r="H41" s="67" t="n">
        <f aca="false">H37+H38-H40-H39</f>
        <v>1202.17</v>
      </c>
      <c r="I41" s="67" t="n">
        <f aca="false">I37+I38+I39-I40</f>
        <v>1805.69</v>
      </c>
      <c r="J41" s="67" t="n">
        <f aca="false">J37+J38+J39-J40</f>
        <v>505.700000000002</v>
      </c>
      <c r="K41" s="67" t="n">
        <f aca="false">K37+K38+K39-K40</f>
        <v>672.436999999999</v>
      </c>
      <c r="L41" s="67" t="n">
        <f aca="false">L37+L38-L40-L39</f>
        <v>188.682</v>
      </c>
      <c r="M41" s="67" t="n">
        <f aca="false">M37+M38+M39-M40</f>
        <v>533.139999999999</v>
      </c>
      <c r="N41" s="67" t="n">
        <f aca="false">N37-N40+N39+N38</f>
        <v>77.7100000000001</v>
      </c>
      <c r="O41" s="67" t="n">
        <f aca="false">O37-O40+O39+O38</f>
        <v>886.055</v>
      </c>
      <c r="P41" s="67" t="n">
        <f aca="false">P37+P38-P40-P39</f>
        <v>1046.328</v>
      </c>
      <c r="Q41" s="67" t="n">
        <f aca="false">Q37+Q38-Q40-Q39</f>
        <v>2226.646</v>
      </c>
      <c r="R41" s="67" t="n">
        <f aca="false">R37+R38-R40-R39</f>
        <v>1226.439</v>
      </c>
      <c r="S41" s="67" t="n">
        <f aca="false">S37+S38-S40-S39</f>
        <v>1670.591</v>
      </c>
      <c r="T41" s="67" t="n">
        <f aca="false">T37+T38-T40-T39</f>
        <v>433.681000000003</v>
      </c>
      <c r="U41" s="67" t="n">
        <f aca="false">U37+U38-U40-U39</f>
        <v>2982.282</v>
      </c>
      <c r="V41" s="448" t="n">
        <f aca="false">+SUM(R41:U41)</f>
        <v>6312.99300000001</v>
      </c>
      <c r="W41" s="67" t="n">
        <f aca="false">W37+W38-W40-W39</f>
        <v>862.530000000001</v>
      </c>
      <c r="X41" s="67" t="n">
        <f aca="false">X37+X38-X40-X39</f>
        <v>1540.818</v>
      </c>
      <c r="Y41" s="67" t="n">
        <f aca="false">Y37+Y38-Y40-Y39</f>
        <v>669.034000000001</v>
      </c>
      <c r="Z41" s="67" t="n">
        <f aca="false">Z37+Z38-Z40-Z39</f>
        <v>2587.384</v>
      </c>
      <c r="AA41" s="67" t="n">
        <f aca="false">AA37+AA38-AA40-AA39</f>
        <v>669.358999999997</v>
      </c>
      <c r="AB41" s="67" t="n">
        <f aca="false">AB37+AB38-AB40-AB39</f>
        <v>1425.96600000001</v>
      </c>
      <c r="AC41" s="67" t="n">
        <f aca="false">AC37+AC38-AC40-AC39</f>
        <v>741.413</v>
      </c>
      <c r="AD41" s="67" t="n">
        <f aca="false">AD37+AD38-AD40-AD39</f>
        <v>1499.24701073937</v>
      </c>
      <c r="AE41" s="67" t="n">
        <f aca="false">AE37+AE38-AE40-AE39</f>
        <v>-1417.507</v>
      </c>
      <c r="AF41" s="67" t="n">
        <f aca="false">AF37+AF38-AF40-AF39</f>
        <v>-250.543999999998</v>
      </c>
      <c r="AG41" s="67" t="n">
        <f aca="false">AG37+AG38-AG40-AG39</f>
        <v>-1672.068</v>
      </c>
      <c r="AH41" s="67" t="n">
        <f aca="false">AH37+AH38-AH40-AH39</f>
        <v>3633.93000000001</v>
      </c>
      <c r="AI41" s="67" t="n">
        <f aca="false">AI37+AI38-AI40-AI39</f>
        <v>-479.515999999998</v>
      </c>
      <c r="AJ41" s="67" t="n">
        <f aca="false">AJ37+AJ38-AJ40-AJ39</f>
        <v>1206.887</v>
      </c>
      <c r="AK41" s="67" t="n">
        <f aca="false">AK37+AK38-AK40-AK39</f>
        <v>320.947999999996</v>
      </c>
      <c r="AL41" s="67" t="n">
        <f aca="false">AL37+AL38-AL40-AL39</f>
        <v>2299.741</v>
      </c>
      <c r="AM41" s="446" t="n">
        <f aca="false">AM37+AM38-AM40-AM39</f>
        <v>3348.05999999998</v>
      </c>
      <c r="AN41" s="67" t="n">
        <f aca="false">AN37+AN38-AN40-AN39</f>
        <v>1593.18900000001</v>
      </c>
      <c r="AO41" s="67" t="n">
        <f aca="false">AO37+AO38-AO40-AO39</f>
        <v>2868.09999999999</v>
      </c>
      <c r="AP41" s="67" t="n">
        <f aca="false">AP37+AP38-AP40-AP39</f>
        <v>1744.31939111646</v>
      </c>
      <c r="AQ41" s="67" t="n">
        <f aca="false">AQ37+AQ38-AQ40-AQ39</f>
        <v>1986.25299999991</v>
      </c>
      <c r="AR41" s="67" t="n">
        <f aca="false">AR37+AR38-AR40-AR39</f>
        <v>3079.45025903714</v>
      </c>
      <c r="AS41" s="67" t="n">
        <f aca="false">AS37+AS38-AS40-AS39</f>
        <v>770.216000000009</v>
      </c>
      <c r="AT41" s="446" t="n">
        <f aca="false">AT37+AT38-AT40-AT39</f>
        <v>7217.75799999989</v>
      </c>
      <c r="AU41" s="67" t="n">
        <f aca="false">AU37+AU38-AU40-AU39</f>
        <v>1917.37245017047</v>
      </c>
    </row>
    <row r="42" s="19" customFormat="true" ht="13.5" hidden="false" customHeight="true" outlineLevel="0" collapsed="false">
      <c r="A42" s="39" t="s">
        <v>893</v>
      </c>
      <c r="B42" s="67" t="n">
        <f aca="false">B41-B39</f>
        <v>730.230000000001</v>
      </c>
      <c r="C42" s="67" t="n">
        <f aca="false">C41-((C39)*(1-C56/100))-C38</f>
        <v>740.663634210912</v>
      </c>
      <c r="D42" s="67" t="n">
        <f aca="false">D41-D39</f>
        <v>1031.97</v>
      </c>
      <c r="E42" s="67" t="n">
        <f aca="false">E41-E39-E38*(1-E56/100)</f>
        <v>1705.3046040675</v>
      </c>
      <c r="F42" s="67" t="n">
        <f aca="false">F41-F39</f>
        <v>916.800000000004</v>
      </c>
      <c r="G42" s="132" t="n">
        <f aca="false">G41-((G39)*(1-G56/100))-G38+G32*(1-0.3)</f>
        <v>853.754935530448</v>
      </c>
      <c r="H42" s="67" t="n">
        <f aca="false">H41-H38+H39</f>
        <v>884.94</v>
      </c>
      <c r="I42" s="67" t="n">
        <f aca="false">I41-I39-I38*(1-I56/100)</f>
        <v>1898.57716512616</v>
      </c>
      <c r="J42" s="132" t="n">
        <f aca="false">J41-J39-J32*0.7</f>
        <v>764.699300000002</v>
      </c>
      <c r="K42" s="132" t="n">
        <f aca="false">K41-K39-K32*0.7-K38*0.9</f>
        <v>655.100599999999</v>
      </c>
      <c r="L42" s="132" t="n">
        <f aca="false">L41+((L39)*(1-0.3))-L38+L32*(1-0.3)</f>
        <v>-39.0721000000001</v>
      </c>
      <c r="M42" s="132" t="n">
        <f aca="false">M41-M39-M38*(1-30/100)</f>
        <v>358.609999999999</v>
      </c>
      <c r="N42" s="67" t="n">
        <f aca="false">N41-N38-N39</f>
        <v>-426.93</v>
      </c>
      <c r="O42" s="67" t="n">
        <f aca="false">O41-O38-O39</f>
        <v>894.731</v>
      </c>
      <c r="P42" s="132" t="n">
        <f aca="false">P41+P39-P38+P32*(1-0.3)</f>
        <v>1056.072</v>
      </c>
      <c r="Q42" s="132" t="n">
        <f aca="false">Q41+Q39*(1-Q40/Q37)-Q38+Q32*(1-0.3)</f>
        <v>2520.18321470132</v>
      </c>
      <c r="R42" s="132" t="n">
        <f aca="false">R41+R39-R38+R32*(1-0.3)</f>
        <v>1226.439</v>
      </c>
      <c r="S42" s="132" t="n">
        <f aca="false">S41+S39-S38+S32*(1-0.3)</f>
        <v>1670.591</v>
      </c>
      <c r="T42" s="132" t="n">
        <f aca="false">T41+T39-T38+T32*(1-0.3)</f>
        <v>693.681000000003</v>
      </c>
      <c r="U42" s="132" t="n">
        <f aca="false">U41+U39-U38+U32*(1-0.3)</f>
        <v>2982.282</v>
      </c>
      <c r="V42" s="448" t="n">
        <f aca="false">+SUM(R42:U42)</f>
        <v>6572.99300000001</v>
      </c>
      <c r="W42" s="67" t="n">
        <f aca="false">W41+W39-W38*(1-W56/100)</f>
        <v>788.841103654738</v>
      </c>
      <c r="X42" s="67" t="n">
        <f aca="false">X41+X39-X38*(1-X56/100)</f>
        <v>1540.818</v>
      </c>
      <c r="Y42" s="67" t="n">
        <f aca="false">Y41+Y39-Y38*(1-Y56/100)</f>
        <v>669.034000000001</v>
      </c>
      <c r="Z42" s="67" t="n">
        <f aca="false">Z41+Z39-Z38*(1-Z56/100)</f>
        <v>2574.23594417807</v>
      </c>
      <c r="AA42" s="67" t="n">
        <f aca="false">AA41+AA39-AA38*(1-AA56/100)</f>
        <v>669.358999999997</v>
      </c>
      <c r="AB42" s="67" t="n">
        <f aca="false">AB41+AB39-AB38*(1-AB56/100)</f>
        <v>1425.96600000001</v>
      </c>
      <c r="AC42" s="67" t="n">
        <f aca="false">AC41+AC39-AC38</f>
        <v>-821.156</v>
      </c>
      <c r="AD42" s="67" t="n">
        <f aca="false">AD41+AD39-AD38</f>
        <v>155.629010739374</v>
      </c>
      <c r="AE42" s="67" t="n">
        <f aca="false">AE41+AE39-AE38</f>
        <v>-1352.391</v>
      </c>
      <c r="AF42" s="67" t="n">
        <f aca="false">AF41+AF39-AF38</f>
        <v>-688.120999999998</v>
      </c>
      <c r="AG42" s="67" t="n">
        <f aca="false">AG41+AG39-AG38</f>
        <v>-2595.255</v>
      </c>
      <c r="AH42" s="67" t="n">
        <f aca="false">AH41+AH39-AH38</f>
        <v>-127.010999999995</v>
      </c>
      <c r="AI42" s="67" t="n">
        <f aca="false">AI41+AI39-AI38</f>
        <v>-479.515999999998</v>
      </c>
      <c r="AJ42" s="67" t="n">
        <f aca="false">AJ41+AJ39-AJ38</f>
        <v>117.159000000001</v>
      </c>
      <c r="AK42" s="67" t="n">
        <f aca="false">AK41+AK39-AK38</f>
        <v>320.947999999996</v>
      </c>
      <c r="AL42" s="67" t="n">
        <f aca="false">AL41+AL39-AL38</f>
        <v>2380.11</v>
      </c>
      <c r="AM42" s="446" t="n">
        <f aca="false">AM41+AM39-AM38</f>
        <v>2338.70099999998</v>
      </c>
      <c r="AN42" s="67" t="n">
        <f aca="false">AN41+AN39-AN38</f>
        <v>1593.18900000001</v>
      </c>
      <c r="AO42" s="67" t="n">
        <f aca="false">AO41+AO39-AO38</f>
        <v>2919.80699999999</v>
      </c>
      <c r="AP42" s="132" t="n">
        <f aca="false">AP41+AP39-AP38+AP32*(1-0.3)</f>
        <v>1744.31939111646</v>
      </c>
      <c r="AQ42" s="67" t="n">
        <f aca="false">AQ41+AQ39-AQ38</f>
        <v>2051.42099999991</v>
      </c>
      <c r="AR42" s="67" t="n">
        <f aca="false">AR41+AR39-AR38</f>
        <v>3079.45025903714</v>
      </c>
      <c r="AS42" s="67" t="n">
        <f aca="false">AS41+AS39-AS38</f>
        <v>4562.79100000001</v>
      </c>
      <c r="AT42" s="446" t="n">
        <f aca="false">AT41+AT39-AT38</f>
        <v>11127.2079999999</v>
      </c>
      <c r="AU42" s="132" t="n">
        <f aca="false">AU41+AU39-AU38+AU32*(1-0.3)</f>
        <v>1917.37245017047</v>
      </c>
    </row>
    <row r="43" customFormat="false" ht="12" hidden="false" customHeight="true" outlineLevel="0" collapsed="false">
      <c r="E43" s="32"/>
      <c r="F43" s="57"/>
      <c r="G43" s="31"/>
      <c r="H43" s="31"/>
      <c r="I43" s="32"/>
      <c r="J43" s="57"/>
      <c r="K43" s="57"/>
      <c r="L43" s="31"/>
      <c r="M43" s="32"/>
      <c r="N43" s="57"/>
      <c r="O43" s="57"/>
      <c r="P43" s="31"/>
      <c r="Q43" s="115"/>
      <c r="R43" s="115"/>
      <c r="S43" s="115"/>
      <c r="T43" s="115"/>
      <c r="U43" s="115"/>
      <c r="V43" s="464"/>
      <c r="W43" s="115"/>
      <c r="X43" s="115"/>
      <c r="Y43" s="115"/>
      <c r="AI43" s="468" t="n">
        <f aca="false">+AI42+479.516</f>
        <v>1.98951966012828E-012</v>
      </c>
      <c r="AJ43" s="468" t="n">
        <f aca="false">+AJ41-1206.887</f>
        <v>0</v>
      </c>
      <c r="AK43" s="78" t="n">
        <f aca="false">+AK42-320.948</f>
        <v>-4.09272615797818E-012</v>
      </c>
      <c r="AL43" s="78" t="n">
        <f aca="false">+AL41-22997.41/10</f>
        <v>0</v>
      </c>
      <c r="AM43" s="469"/>
      <c r="AN43" s="78" t="n">
        <f aca="false">+AN42-1593.189</f>
        <v>7.95807864051312E-012</v>
      </c>
      <c r="AO43" s="302" t="n">
        <f aca="false">+AO41-2868.1</f>
        <v>0</v>
      </c>
      <c r="AQ43" s="302" t="n">
        <f aca="false">+AQ41-1986.253</f>
        <v>-8.98126018000767E-011</v>
      </c>
      <c r="AR43" s="470"/>
      <c r="AS43" s="302" t="n">
        <f aca="false">+AS41-770.216</f>
        <v>9.43600753089413E-012</v>
      </c>
      <c r="AT43" s="471"/>
    </row>
    <row r="44" customFormat="false" ht="12" hidden="false" customHeight="true" outlineLevel="0" collapsed="false">
      <c r="A44" s="46" t="s">
        <v>261</v>
      </c>
      <c r="B44" s="109" t="n">
        <f aca="false">B31+B34</f>
        <v>1325.4</v>
      </c>
      <c r="C44" s="109" t="n">
        <f aca="false">C31+C34</f>
        <v>1420.78</v>
      </c>
      <c r="D44" s="109" t="n">
        <f aca="false">D31+D34</f>
        <v>1932.16</v>
      </c>
      <c r="E44" s="109" t="n">
        <f aca="false">E31+E34</f>
        <v>2764.59</v>
      </c>
      <c r="F44" s="109" t="n">
        <f aca="false">F31+F34</f>
        <v>1621.54</v>
      </c>
      <c r="G44" s="109" t="n">
        <f aca="false">G31+G34</f>
        <v>1750.09</v>
      </c>
      <c r="H44" s="62" t="n">
        <f aca="false">H31+H34</f>
        <v>1728.85</v>
      </c>
      <c r="I44" s="109" t="n">
        <f aca="false">I31+I34</f>
        <v>3170.8</v>
      </c>
      <c r="J44" s="109" t="n">
        <f aca="false">J31+J34</f>
        <v>1632.259</v>
      </c>
      <c r="K44" s="109" t="n">
        <f aca="false">K31+K34</f>
        <v>1669.368</v>
      </c>
      <c r="L44" s="109" t="n">
        <f aca="false">L31+L34</f>
        <v>589.585</v>
      </c>
      <c r="M44" s="109" t="n">
        <f aca="false">M31+M34</f>
        <v>979.319999999999</v>
      </c>
      <c r="N44" s="109" t="n">
        <f aca="false">N31+N34</f>
        <v>212.91</v>
      </c>
      <c r="O44" s="109" t="n">
        <f aca="false">O31+O34</f>
        <v>1716.094</v>
      </c>
      <c r="P44" s="109" t="n">
        <f aca="false">P31+P34</f>
        <v>2081.818</v>
      </c>
      <c r="Q44" s="109" t="n">
        <f aca="false">Q31+Q34</f>
        <v>4183.085</v>
      </c>
      <c r="R44" s="109" t="n">
        <f aca="false">R31+R34</f>
        <v>2401.306</v>
      </c>
      <c r="S44" s="109" t="n">
        <f aca="false">S31+S34</f>
        <v>3110.734</v>
      </c>
      <c r="T44" s="109" t="n">
        <f aca="false">T31+T34</f>
        <v>1936.999</v>
      </c>
      <c r="U44" s="109" t="n">
        <f aca="false">U31+U34</f>
        <v>5139.878</v>
      </c>
      <c r="V44" s="448" t="n">
        <f aca="false">+SUM(R44:U44)</f>
        <v>12588.917</v>
      </c>
      <c r="W44" s="109" t="n">
        <f aca="false">W31+W34</f>
        <v>2392.769</v>
      </c>
      <c r="X44" s="109" t="n">
        <f aca="false">X31+X34</f>
        <v>3414.821</v>
      </c>
      <c r="Y44" s="109" t="n">
        <f aca="false">Y31+Y34</f>
        <v>2136.043</v>
      </c>
      <c r="Z44" s="109" t="n">
        <f aca="false">Z31+Z34</f>
        <v>4808.247</v>
      </c>
      <c r="AA44" s="109" t="n">
        <f aca="false">AA31+AA34</f>
        <v>2535.646</v>
      </c>
      <c r="AB44" s="109" t="n">
        <f aca="false">AB31+AB34</f>
        <v>3579.55700000001</v>
      </c>
      <c r="AC44" s="109" t="n">
        <f aca="false">AC31+AC34</f>
        <v>1164.129</v>
      </c>
      <c r="AD44" s="109" t="n">
        <f aca="false">AD31+AD34</f>
        <v>2097.15801073937</v>
      </c>
      <c r="AE44" s="109" t="n">
        <f aca="false">AE31+AE34</f>
        <v>355.138</v>
      </c>
      <c r="AF44" s="109" t="n">
        <f aca="false">AF31+AF34</f>
        <v>793.857000000002</v>
      </c>
      <c r="AG44" s="109" t="n">
        <f aca="false">AG31+AG34</f>
        <v>-814.951</v>
      </c>
      <c r="AH44" s="109" t="n">
        <f aca="false">AH31+AH34</f>
        <v>1996.78600000001</v>
      </c>
      <c r="AI44" s="109" t="n">
        <f aca="false">AI31+AI34</f>
        <v>1392.033</v>
      </c>
      <c r="AJ44" s="109" t="n">
        <f aca="false">AJ31+AJ34</f>
        <v>2600.881</v>
      </c>
      <c r="AK44" s="109" t="n">
        <f aca="false">AK31+AK34</f>
        <v>2574.717</v>
      </c>
      <c r="AL44" s="109" t="n">
        <f aca="false">AL31+AL34</f>
        <v>4943.419</v>
      </c>
      <c r="AM44" s="472"/>
      <c r="AN44" s="109" t="n">
        <f aca="false">AN31+AN34</f>
        <v>4157.93700000001</v>
      </c>
      <c r="AO44" s="109" t="n">
        <f aca="false">AO31+AO34</f>
        <v>6209.14199999999</v>
      </c>
      <c r="AP44" s="109" t="n">
        <f aca="false">AP31+AP34</f>
        <v>4281.88484445209</v>
      </c>
      <c r="AQ44" s="109" t="n">
        <f aca="false">AQ31+AQ34</f>
        <v>4555.86499999991</v>
      </c>
      <c r="AR44" s="473"/>
      <c r="AS44" s="109" t="n">
        <f aca="false">AS31+AS34</f>
        <v>7850.63800000001</v>
      </c>
      <c r="AT44" s="448" t="n">
        <f aca="false">AT31+AT34</f>
        <v>22773.5819999999</v>
      </c>
      <c r="AU44" s="109" t="n">
        <f aca="false">AU31+AU34</f>
        <v>4468.01729190343</v>
      </c>
    </row>
    <row r="45" customFormat="false" ht="12" hidden="false" customHeight="true" outlineLevel="0" collapsed="false">
      <c r="A45" s="46" t="s">
        <v>896</v>
      </c>
      <c r="B45" s="109" t="n">
        <f aca="false">B31-B36</f>
        <v>858.860000000001</v>
      </c>
      <c r="C45" s="109" t="n">
        <f aca="false">C31-C36</f>
        <v>955.459999999997</v>
      </c>
      <c r="D45" s="109" t="n">
        <f aca="false">D31-D36</f>
        <v>1536.37</v>
      </c>
      <c r="E45" s="109" t="n">
        <f aca="false">E31-E36</f>
        <v>2114.27</v>
      </c>
      <c r="F45" s="109" t="n">
        <f aca="false">F31-F36</f>
        <v>1133.14</v>
      </c>
      <c r="G45" s="109" t="n">
        <f aca="false">G31-G36</f>
        <v>1172.49</v>
      </c>
      <c r="H45" s="62" t="n">
        <f aca="false">H31-H36</f>
        <v>1213.52</v>
      </c>
      <c r="I45" s="109" t="n">
        <f aca="false">I31-I36</f>
        <v>2568.53</v>
      </c>
      <c r="J45" s="109" t="n">
        <f aca="false">J31-J36</f>
        <v>1069.529</v>
      </c>
      <c r="K45" s="109" t="n">
        <f aca="false">K31-K36</f>
        <v>1034.053</v>
      </c>
      <c r="L45" s="109" t="n">
        <f aca="false">L31-L36</f>
        <v>125.946</v>
      </c>
      <c r="M45" s="109" t="n">
        <f aca="false">M31-M36</f>
        <v>428.369999999999</v>
      </c>
      <c r="N45" s="109" t="n">
        <f aca="false">N31-N36</f>
        <v>-313.34</v>
      </c>
      <c r="O45" s="109" t="n">
        <f aca="false">O31-O36</f>
        <v>1154.675</v>
      </c>
      <c r="P45" s="109" t="n">
        <f aca="false">P31-P36</f>
        <v>1549.579</v>
      </c>
      <c r="Q45" s="109" t="n">
        <f aca="false">Q31-Q36</f>
        <v>3572.459</v>
      </c>
      <c r="R45" s="109" t="n">
        <f aca="false">R31-R36</f>
        <v>1739.32</v>
      </c>
      <c r="S45" s="109" t="n">
        <f aca="false">S31-S36</f>
        <v>2422</v>
      </c>
      <c r="T45" s="109" t="n">
        <f aca="false">T31-T36</f>
        <v>1273.358</v>
      </c>
      <c r="U45" s="109" t="n">
        <f aca="false">U31-U36</f>
        <v>4326.586</v>
      </c>
      <c r="V45" s="448" t="n">
        <f aca="false">+SUM(R45:U45)</f>
        <v>9761.26400000001</v>
      </c>
      <c r="W45" s="109" t="n">
        <f aca="false">W31-W36</f>
        <v>1505.004</v>
      </c>
      <c r="X45" s="109" t="n">
        <f aca="false">X31-X36</f>
        <v>2452.226</v>
      </c>
      <c r="Y45" s="109" t="n">
        <f aca="false">Y31-Y36</f>
        <v>1237.432</v>
      </c>
      <c r="Z45" s="109" t="n">
        <f aca="false">Z31-Z36</f>
        <v>3743.552</v>
      </c>
      <c r="AA45" s="109" t="n">
        <f aca="false">AA31-AA36</f>
        <v>1514.464</v>
      </c>
      <c r="AB45" s="109" t="n">
        <f aca="false">AB31-AB36</f>
        <v>2356.78100000001</v>
      </c>
      <c r="AC45" s="109" t="n">
        <f aca="false">AC31-AC36</f>
        <v>92.0469999999997</v>
      </c>
      <c r="AD45" s="109" t="n">
        <f aca="false">AD31-AD36</f>
        <v>981.848010739374</v>
      </c>
      <c r="AE45" s="109" t="n">
        <f aca="false">AE31-AE36</f>
        <v>-719.164</v>
      </c>
      <c r="AF45" s="109" t="n">
        <f aca="false">AF31-AF36</f>
        <v>-338.135999999998</v>
      </c>
      <c r="AG45" s="109" t="n">
        <f aca="false">AG31-AG36</f>
        <v>-1852.351</v>
      </c>
      <c r="AH45" s="109" t="n">
        <f aca="false">AH31-AH36</f>
        <v>804.914000000005</v>
      </c>
      <c r="AI45" s="109" t="n">
        <f aca="false">AI31-AI36</f>
        <v>127.716000000002</v>
      </c>
      <c r="AJ45" s="109" t="n">
        <f aca="false">AJ31-AJ36</f>
        <v>1313.099</v>
      </c>
      <c r="AK45" s="109" t="n">
        <f aca="false">AK31-AK36</f>
        <v>1382.87</v>
      </c>
      <c r="AL45" s="109" t="n">
        <f aca="false">AL31-AL36</f>
        <v>3470.152</v>
      </c>
      <c r="AM45" s="472"/>
      <c r="AN45" s="109" t="n">
        <f aca="false">AN31-AN36</f>
        <v>2843.81700000001</v>
      </c>
      <c r="AO45" s="109" t="n">
        <f aca="false">AO31-AO36</f>
        <v>4815.09699999999</v>
      </c>
      <c r="AP45" s="109" t="n">
        <f aca="false">AP31-AP36</f>
        <v>2931.88484445209</v>
      </c>
      <c r="AQ45" s="109" t="n">
        <f aca="false">AQ31-AQ36</f>
        <v>3210.21899999991</v>
      </c>
      <c r="AR45" s="473"/>
      <c r="AS45" s="109" t="n">
        <f aca="false">AS31-AS36</f>
        <v>6353.92100000001</v>
      </c>
      <c r="AT45" s="448" t="n">
        <f aca="false">AT31-AT36</f>
        <v>17223.0539999999</v>
      </c>
      <c r="AU45" s="109" t="n">
        <f aca="false">AU31-AU36</f>
        <v>3018.01729190343</v>
      </c>
    </row>
    <row r="46" customFormat="false" ht="12" hidden="false" customHeight="true" outlineLevel="0" collapsed="false">
      <c r="A46" s="46" t="s">
        <v>264</v>
      </c>
      <c r="B46" s="109" t="n">
        <f aca="false">B42+B36</f>
        <v>1057.93</v>
      </c>
      <c r="C46" s="109" t="n">
        <f aca="false">C42+C36</f>
        <v>1105.16363421091</v>
      </c>
      <c r="D46" s="109" t="n">
        <f aca="false">D42+D36</f>
        <v>1364.25</v>
      </c>
      <c r="E46" s="109" t="n">
        <f aca="false">E42+E36</f>
        <v>2186.5646040675</v>
      </c>
      <c r="F46" s="109" t="n">
        <f aca="false">F42+F36</f>
        <v>1329.7</v>
      </c>
      <c r="G46" s="109" t="n">
        <f aca="false">G42+G36</f>
        <v>1319.95493553045</v>
      </c>
      <c r="H46" s="62" t="n">
        <f aca="false">H42+H36</f>
        <v>1293.25</v>
      </c>
      <c r="I46" s="109" t="n">
        <f aca="false">I42+I36</f>
        <v>2384.77716512616</v>
      </c>
      <c r="J46" s="109" t="n">
        <f aca="false">J42+J36</f>
        <v>1205.7693</v>
      </c>
      <c r="K46" s="109" t="n">
        <f aca="false">K42+K36</f>
        <v>1160.4706</v>
      </c>
      <c r="L46" s="109" t="n">
        <f aca="false">L42+L36</f>
        <v>318.7309</v>
      </c>
      <c r="M46" s="109" t="n">
        <f aca="false">M42+M36</f>
        <v>838.509999999999</v>
      </c>
      <c r="N46" s="109" t="n">
        <f aca="false">N42+N36</f>
        <v>8.0800000000001</v>
      </c>
      <c r="O46" s="109" t="n">
        <f aca="false">O42+O36</f>
        <v>1400.554</v>
      </c>
      <c r="P46" s="109" t="n">
        <f aca="false">P42+P36</f>
        <v>1568.789</v>
      </c>
      <c r="Q46" s="109" t="n">
        <f aca="false">Q42+Q36</f>
        <v>3107.71621470132</v>
      </c>
      <c r="R46" s="109" t="n">
        <f aca="false">R42+R36</f>
        <v>1841.127</v>
      </c>
      <c r="S46" s="109" t="n">
        <f aca="false">S42+S36</f>
        <v>2311.184</v>
      </c>
      <c r="T46" s="109" t="n">
        <f aca="false">T42+T36</f>
        <v>1340.589</v>
      </c>
      <c r="U46" s="109" t="n">
        <f aca="false">U42+U36</f>
        <v>3754.403</v>
      </c>
      <c r="V46" s="448" t="n">
        <f aca="false">+SUM(R46:U46)</f>
        <v>9247.30300000001</v>
      </c>
      <c r="W46" s="109" t="n">
        <f aca="false">W42+W36</f>
        <v>1635.42910365474</v>
      </c>
      <c r="X46" s="109" t="n">
        <f aca="false">X42+X36</f>
        <v>2400.143</v>
      </c>
      <c r="Y46" s="109" t="n">
        <f aca="false">Y42+Y36</f>
        <v>1535.32</v>
      </c>
      <c r="Z46" s="109" t="n">
        <f aca="false">Z42+Z36</f>
        <v>3530.16894417807</v>
      </c>
      <c r="AA46" s="109" t="n">
        <f aca="false">AA42+AA36</f>
        <v>1561.882</v>
      </c>
      <c r="AB46" s="109" t="n">
        <f aca="false">AB42+AB36</f>
        <v>2410.07500000001</v>
      </c>
      <c r="AC46" s="109" t="n">
        <f aca="false">AC42+AC36</f>
        <v>109.974</v>
      </c>
      <c r="AD46" s="109" t="n">
        <f aca="false">AD42+AD36</f>
        <v>1155.70201073937</v>
      </c>
      <c r="AE46" s="109" t="n">
        <f aca="false">AE42+AE36</f>
        <v>-400.656</v>
      </c>
      <c r="AF46" s="109" t="n">
        <f aca="false">AF42+AF36</f>
        <v>212.722000000002</v>
      </c>
      <c r="AG46" s="109" t="n">
        <f aca="false">AG42+AG36</f>
        <v>-1711.941</v>
      </c>
      <c r="AH46" s="109" t="n">
        <f aca="false">AH42+AH36</f>
        <v>907.457000000005</v>
      </c>
      <c r="AI46" s="109" t="n">
        <f aca="false">AI42+AI36</f>
        <v>553.635000000002</v>
      </c>
      <c r="AJ46" s="109" t="n">
        <f aca="false">AJ42+AJ36</f>
        <v>1147.956</v>
      </c>
      <c r="AK46" s="109" t="n">
        <f aca="false">AK42+AK36</f>
        <v>1319.558</v>
      </c>
      <c r="AL46" s="109" t="n">
        <f aca="false">AL42+AL36</f>
        <v>3480.919</v>
      </c>
      <c r="AM46" s="472"/>
      <c r="AN46" s="109" t="n">
        <f aca="false">AN42+AN36</f>
        <v>2636.35900000001</v>
      </c>
      <c r="AO46" s="109" t="n">
        <f aca="false">AO42+AO36</f>
        <v>4049.21399999999</v>
      </c>
      <c r="AP46" s="109" t="n">
        <f aca="false">AP42+AP36</f>
        <v>2844.31939111646</v>
      </c>
      <c r="AQ46" s="109" t="n">
        <f aca="false">AQ42+AQ36</f>
        <v>3138.35299999991</v>
      </c>
      <c r="AR46" s="473"/>
      <c r="AS46" s="109" t="n">
        <f aca="false">AS42+AS36</f>
        <v>5739.95000000001</v>
      </c>
      <c r="AT46" s="448" t="n">
        <f aca="false">AT42+AT36</f>
        <v>15563.8759999999</v>
      </c>
      <c r="AU46" s="109" t="n">
        <f aca="false">AU42+AU36</f>
        <v>3117.37245017047</v>
      </c>
    </row>
    <row r="47" customFormat="false" ht="12.75" hidden="false" customHeight="true" outlineLevel="0" collapsed="false">
      <c r="A47" s="39" t="s">
        <v>268</v>
      </c>
      <c r="Q47" s="115"/>
      <c r="R47" s="115"/>
      <c r="S47" s="115"/>
      <c r="T47" s="115"/>
      <c r="U47" s="115"/>
      <c r="V47" s="464"/>
      <c r="W47" s="115"/>
      <c r="X47" s="115"/>
      <c r="Y47" s="115"/>
      <c r="Z47" s="474"/>
      <c r="AA47" s="474"/>
      <c r="AB47" s="474"/>
      <c r="AC47" s="474"/>
      <c r="AD47" s="474"/>
      <c r="AE47" s="474"/>
      <c r="AF47" s="474"/>
      <c r="AG47" s="474"/>
      <c r="AH47" s="474"/>
      <c r="AI47" s="474"/>
      <c r="AJ47" s="474"/>
      <c r="AK47" s="474"/>
      <c r="AL47" s="474"/>
      <c r="AM47" s="472"/>
      <c r="AN47" s="474"/>
      <c r="AO47" s="474"/>
      <c r="AP47" s="115"/>
      <c r="AQ47" s="474"/>
      <c r="AR47" s="474"/>
      <c r="AS47" s="474"/>
      <c r="AT47" s="472"/>
      <c r="AU47" s="115"/>
    </row>
    <row r="48" s="19" customFormat="true" ht="12.75" hidden="false" customHeight="true" outlineLevel="0" collapsed="false">
      <c r="A48" s="39" t="s">
        <v>1013</v>
      </c>
      <c r="B48" s="117" t="n">
        <f aca="false">B31/B20*100</f>
        <v>7.2290521921533</v>
      </c>
      <c r="C48" s="165" t="n">
        <f aca="false">C31/C20*100</f>
        <v>6.84406466800094</v>
      </c>
      <c r="D48" s="117" t="n">
        <f aca="false">D31/D20*100</f>
        <v>9.02738626816987</v>
      </c>
      <c r="E48" s="165" t="n">
        <f aca="false">E31/E20*100</f>
        <v>9.74027119333548</v>
      </c>
      <c r="F48" s="117" t="n">
        <f aca="false">F31/F20*100</f>
        <v>8.20968675492119</v>
      </c>
      <c r="G48" s="165" t="e">
        <f aca="false">G31/G20*100</f>
        <v>#DIV/0!</v>
      </c>
      <c r="H48" s="117" t="n">
        <f aca="false">H31/H20*100</f>
        <v>7.74839035110623</v>
      </c>
      <c r="I48" s="165" t="n">
        <f aca="false">I31/I20*100</f>
        <v>10.2539526659784</v>
      </c>
      <c r="J48" s="117" t="e">
        <f aca="false">J31/J20*100</f>
        <v>#DIV/0!</v>
      </c>
      <c r="K48" s="165" t="e">
        <f aca="false">K31/K20*100</f>
        <v>#DIV/0!</v>
      </c>
      <c r="L48" s="118"/>
      <c r="M48" s="165" t="e">
        <f aca="false">M31/M20*100</f>
        <v>#DIV/0!</v>
      </c>
      <c r="N48" s="117" t="e">
        <f aca="false">N31/N20*100</f>
        <v>#DIV/0!</v>
      </c>
      <c r="O48" s="165" t="e">
        <f aca="false">O31/O20*100</f>
        <v>#DIV/0!</v>
      </c>
      <c r="P48" s="118"/>
      <c r="V48" s="475"/>
      <c r="Z48" s="466"/>
      <c r="AA48" s="466"/>
      <c r="AB48" s="466"/>
      <c r="AC48" s="466"/>
      <c r="AD48" s="466"/>
      <c r="AE48" s="466"/>
      <c r="AF48" s="466"/>
      <c r="AG48" s="466"/>
      <c r="AH48" s="466"/>
      <c r="AI48" s="466"/>
      <c r="AJ48" s="466"/>
      <c r="AK48" s="466"/>
      <c r="AL48" s="466"/>
      <c r="AM48" s="476"/>
      <c r="AN48" s="466"/>
      <c r="AO48" s="466"/>
      <c r="AQ48" s="466"/>
      <c r="AR48" s="466"/>
      <c r="AS48" s="466"/>
      <c r="AT48" s="476"/>
    </row>
    <row r="49" s="19" customFormat="true" ht="12.75" hidden="false" customHeight="true" outlineLevel="0" collapsed="false">
      <c r="A49" s="39" t="s">
        <v>898</v>
      </c>
      <c r="B49" s="117" t="n">
        <f aca="false">B31/B22*100</f>
        <v>8.33333333333334</v>
      </c>
      <c r="C49" s="165" t="n">
        <f aca="false">C31/C22*100</f>
        <v>7.87696758589286</v>
      </c>
      <c r="D49" s="117" t="n">
        <f aca="false">D31/D22*100</f>
        <v>10.5122606943892</v>
      </c>
      <c r="E49" s="165" t="n">
        <f aca="false">E31/E22*100</f>
        <v>11.3292844322459</v>
      </c>
      <c r="F49" s="117" t="n">
        <f aca="false">F31/F22*100</f>
        <v>9.53673398135391</v>
      </c>
      <c r="G49" s="117" t="n">
        <f aca="false">G31/G22*100</f>
        <v>9.38596501276708</v>
      </c>
      <c r="H49" s="117" t="n">
        <f aca="false">H31/H22*100</f>
        <v>9.00975622221654</v>
      </c>
      <c r="I49" s="117" t="n">
        <f aca="false">I31/I22*100</f>
        <v>11.9232007743935</v>
      </c>
      <c r="J49" s="117" t="n">
        <f aca="false">J31/J22*100</f>
        <v>8.01862449657964</v>
      </c>
      <c r="K49" s="117" t="n">
        <f aca="false">K31/K22*100</f>
        <v>8.24807352709604</v>
      </c>
      <c r="L49" s="117" t="n">
        <f aca="false">L31/L22*100</f>
        <v>4.83338983540263</v>
      </c>
      <c r="M49" s="117" t="n">
        <f aca="false">M31/M22*100</f>
        <v>7.45631389959297</v>
      </c>
      <c r="N49" s="117" t="n">
        <f aca="false">N31/N22*100</f>
        <v>1.33344146699384</v>
      </c>
      <c r="O49" s="117" t="n">
        <f aca="false">O31/O22*100</f>
        <v>10.5249046609189</v>
      </c>
      <c r="P49" s="117" t="n">
        <f aca="false">P31/P22*100</f>
        <v>11.3591678571334</v>
      </c>
      <c r="Q49" s="88" t="n">
        <f aca="false">Q31/Q22*100</f>
        <v>14.1542534872439</v>
      </c>
      <c r="R49" s="88" t="n">
        <f aca="false">R31/R22*100</f>
        <v>10.0256812446419</v>
      </c>
      <c r="S49" s="88" t="n">
        <f aca="false">S31/S22*100</f>
        <v>11.28461438834</v>
      </c>
      <c r="T49" s="88" t="n">
        <f aca="false">T31/T22*100</f>
        <v>8.62170939336673</v>
      </c>
      <c r="U49" s="88" t="n">
        <f aca="false">U31/U22*100</f>
        <v>13.317657870526</v>
      </c>
      <c r="V49" s="477" t="n">
        <f aca="false">V31/V22*100</f>
        <v>11.1853746127012</v>
      </c>
      <c r="W49" s="88" t="n">
        <f aca="false">W31/W22*100</f>
        <v>9.42330733726948</v>
      </c>
      <c r="X49" s="88" t="n">
        <f aca="false">X31/X22*100</f>
        <v>10.7011641161999</v>
      </c>
      <c r="Y49" s="88" t="n">
        <f aca="false">Y31/Y22*100</f>
        <v>7.30509129636568</v>
      </c>
      <c r="Z49" s="88" t="n">
        <f aca="false">Z31/Z22*100</f>
        <v>10.9010973991979</v>
      </c>
      <c r="AA49" s="88" t="n">
        <f aca="false">AA31/AA22*100</f>
        <v>8.00368843344725</v>
      </c>
      <c r="AB49" s="88" t="n">
        <f aca="false">AB31/AB22*100</f>
        <v>10.1360554640402</v>
      </c>
      <c r="AC49" s="88" t="n">
        <f aca="false">AC31/AC22*100</f>
        <v>4.29814217533815</v>
      </c>
      <c r="AD49" s="88" t="n">
        <f aca="false">AD31/AD22*100</f>
        <v>5.31565325609444</v>
      </c>
      <c r="AE49" s="88" t="n">
        <f aca="false">AE31/AE22*100</f>
        <v>0.983881120833636</v>
      </c>
      <c r="AF49" s="88" t="n">
        <f aca="false">AF31/AF22*100</f>
        <v>2.20702032390592</v>
      </c>
      <c r="AG49" s="88" t="n">
        <f aca="false">AG31/AG22*100</f>
        <v>-4.96124209604219</v>
      </c>
      <c r="AH49" s="88" t="n">
        <f aca="false">AH31/AH22*100</f>
        <v>5.9782751243176</v>
      </c>
      <c r="AI49" s="88" t="n">
        <f aca="false">AI31/AI22*100</f>
        <v>4.68506462739824</v>
      </c>
      <c r="AJ49" s="88" t="n">
        <f aca="false">AJ31/AJ22*100</f>
        <v>7.2844317017865</v>
      </c>
      <c r="AK49" s="88" t="n">
        <f aca="false">AK31/AK22*100</f>
        <v>7.08563581239839</v>
      </c>
      <c r="AL49" s="88" t="n">
        <f aca="false">AL31/AL22*100</f>
        <v>10.1448308472071</v>
      </c>
      <c r="AM49" s="476"/>
      <c r="AN49" s="88" t="n">
        <f aca="false">AN31/AN22*100</f>
        <v>10.1191565255215</v>
      </c>
      <c r="AO49" s="88" t="n">
        <f aca="false">AO31/AO22*100</f>
        <v>12.0340464190178</v>
      </c>
      <c r="AP49" s="88" t="n">
        <f aca="false">AP31/AP22*100</f>
        <v>10.2413354680591</v>
      </c>
      <c r="AQ49" s="88" t="n">
        <f aca="false">AQ31/AQ22*100</f>
        <v>10.5184544412348</v>
      </c>
      <c r="AR49" s="273" t="n">
        <v>11.2</v>
      </c>
      <c r="AS49" s="88" t="n">
        <f aca="false">AS31/AS22*100</f>
        <v>12.6460491070878</v>
      </c>
      <c r="AT49" s="446" t="n">
        <f aca="false">AT31/AT22*100</f>
        <v>11.5079178173868</v>
      </c>
      <c r="AU49" s="88" t="n">
        <f aca="false">AU31/AU22*100</f>
        <v>10.279126777894</v>
      </c>
    </row>
    <row r="50" customFormat="false" ht="12" hidden="false" customHeight="true" outlineLevel="0" collapsed="false">
      <c r="A50" s="46" t="s">
        <v>899</v>
      </c>
      <c r="B50" s="90" t="n">
        <f aca="false">B44/B33</f>
        <v>256.363636363637</v>
      </c>
      <c r="C50" s="81" t="n">
        <f aca="false">C44/C33</f>
        <v>382.959568733153</v>
      </c>
      <c r="D50" s="81" t="n">
        <f aca="false">D44/D33</f>
        <v>75.3278752436647</v>
      </c>
      <c r="E50" s="81" t="n">
        <f aca="false">E44/E33</f>
        <v>147.130920702501</v>
      </c>
      <c r="F50" s="90" t="n">
        <f aca="false">F44/F33</f>
        <v>12.7099858912056</v>
      </c>
      <c r="G50" s="81" t="n">
        <f aca="false">G44/G33</f>
        <v>13.862099009901</v>
      </c>
      <c r="H50" s="90" t="n">
        <f aca="false">H44/H33</f>
        <v>11.3382082896118</v>
      </c>
      <c r="I50" s="81" t="n">
        <f aca="false">I44/I33</f>
        <v>34.8095290372159</v>
      </c>
      <c r="J50" s="90" t="n">
        <f aca="false">J44/J33</f>
        <v>15.2633158780625</v>
      </c>
      <c r="K50" s="81" t="n">
        <f aca="false">K44/K33</f>
        <v>6.79286926304053</v>
      </c>
      <c r="L50" s="90" t="n">
        <f aca="false">L44/L33</f>
        <v>1.49608207345605</v>
      </c>
      <c r="M50" s="81" t="n">
        <f aca="false">M44/M33</f>
        <v>2.22416025073244</v>
      </c>
      <c r="N50" s="90" t="n">
        <f aca="false">N44/N33</f>
        <v>0.825136612021858</v>
      </c>
      <c r="O50" s="81" t="n">
        <f aca="false">O44/O33</f>
        <v>10.0922959303693</v>
      </c>
      <c r="P50" s="90" t="n">
        <f aca="false">P44/P33</f>
        <v>12.8405035496426</v>
      </c>
      <c r="Q50" s="70" t="n">
        <f aca="false">Q44/Q33</f>
        <v>18.9189121959603</v>
      </c>
      <c r="R50" s="70" t="n">
        <f aca="false">R44/R33</f>
        <v>7.59476752092961</v>
      </c>
      <c r="S50" s="70" t="n">
        <f aca="false">S44/S33</f>
        <v>7.87826769659365</v>
      </c>
      <c r="T50" s="70" t="n">
        <f aca="false">T44/T33</f>
        <v>4.0795244413555</v>
      </c>
      <c r="U50" s="70" t="n">
        <f aca="false">U44/U33</f>
        <v>11.4023137929122</v>
      </c>
      <c r="V50" s="478" t="n">
        <f aca="false">V44/V33</f>
        <v>7.69205017187926</v>
      </c>
      <c r="W50" s="70" t="n">
        <f aca="false">W44/W33</f>
        <v>4.48542704713059</v>
      </c>
      <c r="X50" s="70" t="n">
        <f aca="false">X44/X33</f>
        <v>5.44647659088517</v>
      </c>
      <c r="Y50" s="70" t="n">
        <f aca="false">Y44/Y33</f>
        <v>3.88284619984985</v>
      </c>
      <c r="Z50" s="70" t="n">
        <f aca="false">Z44/Z33</f>
        <v>6.64115175522922</v>
      </c>
      <c r="AA50" s="70" t="n">
        <f aca="false">AA44/AA33</f>
        <v>3.04120350602808</v>
      </c>
      <c r="AB50" s="70" t="n">
        <f aca="false">AB44/AB33</f>
        <v>3.45389730813542</v>
      </c>
      <c r="AC50" s="70" t="n">
        <f aca="false">AC44/AC33</f>
        <v>1.0868993655788</v>
      </c>
      <c r="AD50" s="70" t="n">
        <f aca="false">AD44/AD33</f>
        <v>2.53385224143772</v>
      </c>
      <c r="AE50" s="70" t="n">
        <f aca="false">AE44/AE33</f>
        <v>0.352741474422772</v>
      </c>
      <c r="AF50" s="70" t="n">
        <f aca="false">AF44/AF33</f>
        <v>0.63807946886793</v>
      </c>
      <c r="AG50" s="70" t="n">
        <f aca="false">AG44/AG33</f>
        <v>-0.707060619994968</v>
      </c>
      <c r="AH50" s="70" t="n">
        <f aca="false">AH44/AH33</f>
        <v>1.77377148496663</v>
      </c>
      <c r="AI50" s="70" t="n">
        <f aca="false">AI44/AI33</f>
        <v>1.30904233410257</v>
      </c>
      <c r="AJ50" s="70" t="n">
        <f aca="false">AJ44/AJ33</f>
        <v>2.58163491173303</v>
      </c>
      <c r="AK50" s="70" t="n">
        <f aca="false">AK44/AK33</f>
        <v>2.62148694865088</v>
      </c>
      <c r="AL50" s="70" t="n">
        <f aca="false">AL44/AL33</f>
        <v>5.60438313363105</v>
      </c>
      <c r="AM50" s="472"/>
      <c r="AN50" s="70" t="n">
        <f aca="false">AN44/AN33</f>
        <v>5.43032092664255</v>
      </c>
      <c r="AO50" s="70" t="n">
        <f aca="false">AO44/AO33</f>
        <v>8.84723795519344</v>
      </c>
      <c r="AP50" s="70" t="n">
        <f aca="false">AP44/AP33</f>
        <v>6.20563020935086</v>
      </c>
      <c r="AQ50" s="70" t="n">
        <f aca="false">AQ44/AQ33</f>
        <v>6.84359753166521</v>
      </c>
      <c r="AR50" s="474"/>
      <c r="AS50" s="70" t="n">
        <f aca="false">AS44/AS33</f>
        <v>13.0359896916118</v>
      </c>
      <c r="AT50" s="448" t="n">
        <f aca="false">AT44/AT33</f>
        <v>8.32536339595075</v>
      </c>
      <c r="AU50" s="70" t="n">
        <f aca="false">AU44/AU33</f>
        <v>7.38515254860071</v>
      </c>
    </row>
    <row r="51" customFormat="false" ht="12" hidden="false" customHeight="true" outlineLevel="0" collapsed="false">
      <c r="A51" s="46" t="s">
        <v>273</v>
      </c>
      <c r="B51" s="90" t="n">
        <f aca="false">B34/B44*100</f>
        <v>10.4753282028067</v>
      </c>
      <c r="C51" s="81" t="n">
        <f aca="false">C34/C44*100</f>
        <v>7.09610214107745</v>
      </c>
      <c r="D51" s="81" t="n">
        <f aca="false">D34/D44*100</f>
        <v>3.28699486584962</v>
      </c>
      <c r="E51" s="81" t="n">
        <f aca="false">E34/E44*100</f>
        <v>6.11519248785535</v>
      </c>
      <c r="F51" s="90" t="n">
        <f aca="false">F34/F44*100</f>
        <v>4.65606768874032</v>
      </c>
      <c r="G51" s="81" t="n">
        <f aca="false">G34/G44*100</f>
        <v>6.36538692295826</v>
      </c>
      <c r="H51" s="90" t="n">
        <f aca="false">H34/H44*100</f>
        <v>6.19024206842699</v>
      </c>
      <c r="I51" s="81" t="n">
        <f aca="false">I34/I44*100</f>
        <v>3.66059038728397</v>
      </c>
      <c r="J51" s="90" t="n">
        <f aca="false">J34/J44*100</f>
        <v>7.45347398911569</v>
      </c>
      <c r="K51" s="81" t="n">
        <f aca="false">K34/K44*100</f>
        <v>7.78408355737022</v>
      </c>
      <c r="L51" s="90" t="n">
        <f aca="false">L34/L44*100</f>
        <v>17.9509315874726</v>
      </c>
      <c r="M51" s="81" t="n">
        <f aca="false">M34/M44*100</f>
        <v>7.25503410529757</v>
      </c>
      <c r="N51" s="90" t="n">
        <f aca="false">N34/N44*100</f>
        <v>42.8537879855338</v>
      </c>
      <c r="O51" s="81" t="n">
        <f aca="false">O34/O44*100</f>
        <v>3.23968267472528</v>
      </c>
      <c r="P51" s="90" t="n">
        <f aca="false">P34/P44*100</f>
        <v>0.937738073164897</v>
      </c>
      <c r="Q51" s="70" t="n">
        <f aca="false">Q34/Q44*100</f>
        <v>0.552056675874385</v>
      </c>
      <c r="R51" s="70" t="n">
        <f aca="false">R34/R44*100</f>
        <v>1.96967816679757</v>
      </c>
      <c r="S51" s="70" t="n">
        <f aca="false">S34/S44*100</f>
        <v>1.54757687413967</v>
      </c>
      <c r="T51" s="70" t="n">
        <f aca="false">T34/T44*100</f>
        <v>0.863862087693384</v>
      </c>
      <c r="U51" s="70" t="n">
        <f aca="false">U34/U44*100</f>
        <v>0.801011230227643</v>
      </c>
      <c r="V51" s="478" t="n">
        <f aca="false">V34/V44*100</f>
        <v>1.21807936298253</v>
      </c>
      <c r="W51" s="70" t="n">
        <f aca="false">W34/W44*100</f>
        <v>1.72089324126148</v>
      </c>
      <c r="X51" s="70" t="n">
        <f aca="false">X34/X44*100</f>
        <v>3.02417022737063</v>
      </c>
      <c r="Y51" s="70" t="n">
        <f aca="false">Y34/Y44*100</f>
        <v>1.51331223201031</v>
      </c>
      <c r="Z51" s="70" t="n">
        <f aca="false">Z34/Z44*100</f>
        <v>2.26198862080089</v>
      </c>
      <c r="AA51" s="70" t="n">
        <f aca="false">AA34/AA44*100</f>
        <v>5.07401269735602</v>
      </c>
      <c r="AB51" s="70" t="n">
        <f aca="false">AB34/AB44*100</f>
        <v>6.66750103434586</v>
      </c>
      <c r="AC51" s="70" t="n">
        <f aca="false">AC34/AC44*100</f>
        <v>12.1079364915744</v>
      </c>
      <c r="AD51" s="70" t="n">
        <f aca="false">AD34/AD44*100</f>
        <v>5.49491261077519</v>
      </c>
      <c r="AE51" s="70" t="n">
        <f aca="false">AE34/AE44*100</f>
        <v>34.5124993664435</v>
      </c>
      <c r="AF51" s="70" t="n">
        <f aca="false">AF34/AF44*100</f>
        <v>29.1173347340893</v>
      </c>
      <c r="AG51" s="70" t="n">
        <f aca="false">AG34/AG44*100</f>
        <v>-18.9073944323033</v>
      </c>
      <c r="AH51" s="70" t="n">
        <f aca="false">AH34/AH44*100</f>
        <v>7.88286776850397</v>
      </c>
      <c r="AI51" s="70" t="n">
        <f aca="false">AI34/AI44*100</f>
        <v>16.6063591883238</v>
      </c>
      <c r="AJ51" s="70" t="n">
        <f aca="false">AJ34/AJ44*100</f>
        <v>9.88069042758973</v>
      </c>
      <c r="AK51" s="70" t="n">
        <f aca="false">AK34/AK44*100</f>
        <v>7.50517435508447</v>
      </c>
      <c r="AL51" s="70" t="n">
        <f aca="false">AL34/AL44*100</f>
        <v>7.53442101509097</v>
      </c>
      <c r="AM51" s="472"/>
      <c r="AN51" s="70" t="n">
        <f aca="false">AN34/AN44*100</f>
        <v>6.51645275048659</v>
      </c>
      <c r="AO51" s="70" t="n">
        <f aca="false">AO34/AO44*100</f>
        <v>4.26207034723961</v>
      </c>
      <c r="AP51" s="70" t="n">
        <f aca="false">AP34/AP44*100</f>
        <v>5.83855028992471</v>
      </c>
      <c r="AQ51" s="70" t="n">
        <f aca="false">AQ34/AQ44*100</f>
        <v>5.67870206865228</v>
      </c>
      <c r="AR51" s="474"/>
      <c r="AS51" s="70" t="n">
        <f aca="false">AS34/AS44*100</f>
        <v>4.07047172471842</v>
      </c>
      <c r="AT51" s="448" t="n">
        <f aca="false">AT34/AT44*100</f>
        <v>4.89101802254913</v>
      </c>
      <c r="AU51" s="70" t="n">
        <f aca="false">AU34/AU44*100</f>
        <v>5.59532301840078</v>
      </c>
    </row>
    <row r="52" customFormat="false" ht="12" hidden="false" customHeight="true" outlineLevel="0" collapsed="false">
      <c r="A52" s="46" t="s">
        <v>275</v>
      </c>
      <c r="B52" s="90" t="n">
        <f aca="false">B34/B42*100</f>
        <v>19.0131876258165</v>
      </c>
      <c r="C52" s="81" t="n">
        <f aca="false">C34/C42*100</f>
        <v>13.6121169371859</v>
      </c>
      <c r="D52" s="81" t="n">
        <f aca="false">D34/D42*100</f>
        <v>6.15424867001948</v>
      </c>
      <c r="E52" s="81" t="n">
        <f aca="false">E34/E42*100</f>
        <v>9.91377139290876</v>
      </c>
      <c r="F52" s="90" t="n">
        <f aca="false">F34/F42*100</f>
        <v>8.23516579406628</v>
      </c>
      <c r="G52" s="81" t="n">
        <f aca="false">G34/G42*100</f>
        <v>13.048240819924</v>
      </c>
      <c r="H52" s="90" t="n">
        <f aca="false">H34/H42*100</f>
        <v>12.0934752638597</v>
      </c>
      <c r="I52" s="81" t="n">
        <f aca="false">I34/I42*100</f>
        <v>6.11352554597313</v>
      </c>
      <c r="J52" s="90" t="n">
        <f aca="false">J34/J42*100</f>
        <v>15.9095215596509</v>
      </c>
      <c r="K52" s="81" t="n">
        <f aca="false">K34/K42*100</f>
        <v>19.835884748083</v>
      </c>
      <c r="L52" s="90" t="n">
        <f aca="false">L34/L42*100</f>
        <v>-270.873590106495</v>
      </c>
      <c r="M52" s="81" t="n">
        <f aca="false">M34/M42*100</f>
        <v>19.812609798946</v>
      </c>
      <c r="N52" s="90" t="n">
        <f aca="false">N34/N42*100</f>
        <v>-21.3711849717752</v>
      </c>
      <c r="O52" s="81" t="n">
        <f aca="false">O34/O42*100</f>
        <v>6.21371116011405</v>
      </c>
      <c r="P52" s="90" t="n">
        <f aca="false">P34/P42*100</f>
        <v>1.84854820504663</v>
      </c>
      <c r="Q52" s="70" t="n">
        <f aca="false">Q34/Q42*100</f>
        <v>0.916322268368767</v>
      </c>
      <c r="R52" s="70" t="n">
        <f aca="false">R34/R42*100</f>
        <v>3.85653098115764</v>
      </c>
      <c r="S52" s="70" t="n">
        <f aca="false">S34/S42*100</f>
        <v>2.88167480849591</v>
      </c>
      <c r="T52" s="70" t="n">
        <f aca="false">T34/T42*100</f>
        <v>2.41220388045801</v>
      </c>
      <c r="U52" s="70" t="n">
        <f aca="false">U34/U42*100</f>
        <v>1.38052001789234</v>
      </c>
      <c r="V52" s="478" t="n">
        <f aca="false">V34/V42*100</f>
        <v>2.33292504647426</v>
      </c>
      <c r="W52" s="70" t="n">
        <f aca="false">W34/W42*100</f>
        <v>5.21993590461058</v>
      </c>
      <c r="X52" s="70" t="n">
        <f aca="false">X34/X42*100</f>
        <v>6.70228411142653</v>
      </c>
      <c r="Y52" s="70" t="n">
        <f aca="false">Y34/Y42*100</f>
        <v>4.83159301321009</v>
      </c>
      <c r="Z52" s="70" t="n">
        <f aca="false">Z34/Z42*100</f>
        <v>4.22502064140537</v>
      </c>
      <c r="AA52" s="70" t="n">
        <f aca="false">AA34/AA42*100</f>
        <v>19.2212250825044</v>
      </c>
      <c r="AB52" s="70" t="n">
        <f aca="false">AB34/AB42*100</f>
        <v>16.7372153333248</v>
      </c>
      <c r="AC52" s="70" t="n">
        <f aca="false">AC34/AC42*100</f>
        <v>-17.1650697309646</v>
      </c>
      <c r="AD52" s="70" t="n">
        <f aca="false">AD34/AD42*100</f>
        <v>74.0459631867628</v>
      </c>
      <c r="AE52" s="70" t="n">
        <f aca="false">AE34/AE42*100</f>
        <v>-9.0629854827487</v>
      </c>
      <c r="AF52" s="70" t="n">
        <f aca="false">AF34/AF42*100</f>
        <v>-33.5914759177529</v>
      </c>
      <c r="AG52" s="70" t="n">
        <f aca="false">AG34/AG42*100</f>
        <v>-5.93722004196119</v>
      </c>
      <c r="AH52" s="70" t="n">
        <f aca="false">AH34/AH42*100</f>
        <v>-123.92942343577</v>
      </c>
      <c r="AI52" s="70" t="n">
        <f aca="false">AI34/AI42*100</f>
        <v>-48.2081932615389</v>
      </c>
      <c r="AJ52" s="70" t="n">
        <f aca="false">AJ34/AJ42*100</f>
        <v>219.347211908601</v>
      </c>
      <c r="AK52" s="70" t="n">
        <f aca="false">AK34/AK42*100</f>
        <v>60.2081957201797</v>
      </c>
      <c r="AL52" s="70" t="n">
        <f aca="false">AL34/AL42*100</f>
        <v>15.6487725357231</v>
      </c>
      <c r="AM52" s="472"/>
      <c r="AN52" s="70" t="n">
        <f aca="false">AN34/AN42*100</f>
        <v>17.0067706970108</v>
      </c>
      <c r="AO52" s="70" t="n">
        <f aca="false">AO34/AO42*100</f>
        <v>9.06354426850818</v>
      </c>
      <c r="AP52" s="70" t="n">
        <f aca="false">AP34/AP42*100</f>
        <v>14.3322376207711</v>
      </c>
      <c r="AQ52" s="70" t="n">
        <f aca="false">AQ34/AQ42*100</f>
        <v>12.6114532316873</v>
      </c>
      <c r="AR52" s="474"/>
      <c r="AS52" s="70" t="n">
        <f aca="false">AS34/AS42*100</f>
        <v>7.00356426581887</v>
      </c>
      <c r="AT52" s="448" t="n">
        <f aca="false">AT34/AT42*100</f>
        <v>10.010237968051</v>
      </c>
      <c r="AU52" s="70" t="n">
        <f aca="false">AU34/AU42*100</f>
        <v>13.0386769653321</v>
      </c>
    </row>
    <row r="53" customFormat="false" ht="12" hidden="false" customHeight="true" outlineLevel="0" collapsed="false">
      <c r="A53" s="46" t="s">
        <v>1014</v>
      </c>
      <c r="B53" s="90" t="n">
        <f aca="false">B45/B20*100</f>
        <v>5.23255778532294</v>
      </c>
      <c r="C53" s="81" t="n">
        <f aca="false">C45/C20*100</f>
        <v>4.95411226680216</v>
      </c>
      <c r="D53" s="81" t="n">
        <f aca="false">D45/D20*100</f>
        <v>7.4221525918862</v>
      </c>
      <c r="E53" s="81" t="n">
        <f aca="false">E45/E20*100</f>
        <v>7.93424201451473</v>
      </c>
      <c r="F53" s="90" t="n">
        <f aca="false">F45/F20*100</f>
        <v>6.01713050727757</v>
      </c>
      <c r="G53" s="81" t="e">
        <f aca="false">G45/G20*100</f>
        <v>#DIV/0!</v>
      </c>
      <c r="H53" s="90" t="n">
        <f aca="false">H45/H20*100</f>
        <v>5.79766477304923</v>
      </c>
      <c r="I53" s="81" t="n">
        <f aca="false">I45/I20*100</f>
        <v>8.621902767559</v>
      </c>
      <c r="J53" s="90" t="e">
        <f aca="false">J45/J20*100</f>
        <v>#DIV/0!</v>
      </c>
      <c r="K53" s="81" t="e">
        <f aca="false">K45/K20*100</f>
        <v>#DIV/0!</v>
      </c>
      <c r="L53" s="90" t="e">
        <f aca="false">L45/L20*100</f>
        <v>#DIV/0!</v>
      </c>
      <c r="M53" s="81" t="e">
        <f aca="false">M45/M20*100</f>
        <v>#DIV/0!</v>
      </c>
      <c r="N53" s="90" t="e">
        <f aca="false">N45/N20*100</f>
        <v>#DIV/0!</v>
      </c>
      <c r="O53" s="81" t="e">
        <f aca="false">O45/O20*100</f>
        <v>#DIV/0!</v>
      </c>
      <c r="P53" s="40"/>
      <c r="Q53" s="115"/>
      <c r="R53" s="115"/>
      <c r="S53" s="115"/>
      <c r="T53" s="115"/>
      <c r="U53" s="115"/>
      <c r="V53" s="464"/>
      <c r="W53" s="115"/>
      <c r="X53" s="115"/>
      <c r="Y53" s="115"/>
      <c r="Z53" s="474"/>
      <c r="AA53" s="474"/>
      <c r="AB53" s="474"/>
      <c r="AC53" s="474"/>
      <c r="AD53" s="474"/>
      <c r="AE53" s="474"/>
      <c r="AF53" s="474"/>
      <c r="AG53" s="474"/>
      <c r="AH53" s="474"/>
      <c r="AI53" s="474"/>
      <c r="AJ53" s="474"/>
      <c r="AK53" s="474"/>
      <c r="AL53" s="474"/>
      <c r="AM53" s="472"/>
      <c r="AN53" s="474"/>
      <c r="AO53" s="474"/>
      <c r="AP53" s="115"/>
      <c r="AQ53" s="474"/>
      <c r="AR53" s="474"/>
      <c r="AS53" s="474"/>
      <c r="AT53" s="472"/>
      <c r="AU53" s="115"/>
    </row>
    <row r="54" customFormat="false" ht="12" hidden="false" customHeight="true" outlineLevel="0" collapsed="false">
      <c r="A54" s="46" t="s">
        <v>280</v>
      </c>
      <c r="B54" s="90" t="n">
        <f aca="false">B35/B20*100</f>
        <v>8.0434293888607</v>
      </c>
      <c r="C54" s="81" t="n">
        <f aca="false">C35/C20*100</f>
        <v>7.50562578423949</v>
      </c>
      <c r="D54" s="81" t="n">
        <f aca="false">D35/D20*100</f>
        <v>9.07448819529087</v>
      </c>
      <c r="E54" s="81" t="n">
        <f aca="false">E35/E20*100</f>
        <v>10.3041909138637</v>
      </c>
      <c r="F54" s="90" t="n">
        <f aca="false">F35/F20*100</f>
        <v>8.97891343942993</v>
      </c>
      <c r="G54" s="81" t="e">
        <f aca="false">G35/G20*100</f>
        <v>#DIV/0!</v>
      </c>
      <c r="H54" s="90" t="n">
        <f aca="false">H35/H20*100</f>
        <v>7.68862307383775</v>
      </c>
      <c r="I54" s="81" t="n">
        <f aca="false">I35/I20*100</f>
        <v>10.33780418071</v>
      </c>
      <c r="J54" s="90" t="e">
        <f aca="false">J35/J20*100</f>
        <v>#DIV/0!</v>
      </c>
      <c r="K54" s="81" t="e">
        <f aca="false">K35/K20*100</f>
        <v>#DIV/0!</v>
      </c>
      <c r="L54" s="90" t="e">
        <f aca="false">L35/L20*100</f>
        <v>#DIV/0!</v>
      </c>
      <c r="M54" s="81" t="e">
        <f aca="false">M35/M20*100</f>
        <v>#DIV/0!</v>
      </c>
      <c r="N54" s="90" t="e">
        <f aca="false">N35/N20*100</f>
        <v>#DIV/0!</v>
      </c>
      <c r="O54" s="81" t="e">
        <f aca="false">O35/O20*100</f>
        <v>#DIV/0!</v>
      </c>
      <c r="P54" s="40"/>
      <c r="Q54" s="115"/>
      <c r="R54" s="115"/>
      <c r="S54" s="115"/>
      <c r="T54" s="115"/>
      <c r="U54" s="115"/>
      <c r="V54" s="464"/>
      <c r="W54" s="115"/>
      <c r="X54" s="115"/>
      <c r="Y54" s="115"/>
      <c r="Z54" s="474"/>
      <c r="AA54" s="474"/>
      <c r="AB54" s="474"/>
      <c r="AC54" s="474"/>
      <c r="AD54" s="474"/>
      <c r="AE54" s="474"/>
      <c r="AF54" s="474"/>
      <c r="AG54" s="474"/>
      <c r="AH54" s="474"/>
      <c r="AI54" s="474"/>
      <c r="AJ54" s="474"/>
      <c r="AK54" s="474"/>
      <c r="AL54" s="474"/>
      <c r="AM54" s="472"/>
      <c r="AN54" s="474"/>
      <c r="AO54" s="474"/>
      <c r="AP54" s="115"/>
      <c r="AQ54" s="474"/>
      <c r="AR54" s="474"/>
      <c r="AS54" s="474"/>
      <c r="AT54" s="472"/>
      <c r="AU54" s="115"/>
    </row>
    <row r="55" s="19" customFormat="true" ht="12.75" hidden="false" customHeight="true" outlineLevel="0" collapsed="false">
      <c r="A55" s="39" t="s">
        <v>281</v>
      </c>
      <c r="B55" s="117" t="n">
        <f aca="false">B37/B20*100</f>
        <v>6.04693498203034</v>
      </c>
      <c r="C55" s="165" t="n">
        <f aca="false">C37/C20*100</f>
        <v>5.61567338304071</v>
      </c>
      <c r="D55" s="165" t="n">
        <f aca="false">D37/D20*100</f>
        <v>7.4692545190072</v>
      </c>
      <c r="E55" s="165" t="n">
        <f aca="false">E37/E20*100</f>
        <v>8.49816173504291</v>
      </c>
      <c r="F55" s="117" t="n">
        <f aca="false">F37/F20*100</f>
        <v>6.7863571917863</v>
      </c>
      <c r="G55" s="165" t="e">
        <f aca="false">G37/G20*100</f>
        <v>#DIV/0!</v>
      </c>
      <c r="H55" s="117" t="n">
        <f aca="false">H37/H20*100</f>
        <v>5.73789749578075</v>
      </c>
      <c r="I55" s="165" t="n">
        <f aca="false">I37/I20*100</f>
        <v>8.70575428229063</v>
      </c>
      <c r="J55" s="117" t="e">
        <f aca="false">J37/J20*100</f>
        <v>#DIV/0!</v>
      </c>
      <c r="K55" s="165" t="e">
        <f aca="false">K37/K20*100</f>
        <v>#DIV/0!</v>
      </c>
      <c r="L55" s="165" t="n">
        <f aca="false">L37/L22*100</f>
        <v>1.8519090255736</v>
      </c>
      <c r="M55" s="165" t="n">
        <f aca="false">M37/M22*100</f>
        <v>0.485255171485275</v>
      </c>
      <c r="N55" s="165" t="n">
        <f aca="false">N37/N22*100</f>
        <v>-5.26198119131877</v>
      </c>
      <c r="O55" s="165" t="n">
        <f aca="false">O37/O22*100</f>
        <v>6.59340276250399</v>
      </c>
      <c r="P55" s="165" t="n">
        <f aca="false">P37/P22*100</f>
        <v>7.74963008136888</v>
      </c>
      <c r="Q55" s="165" t="n">
        <f aca="false">Q37/Q22*100</f>
        <v>11.4814557487169</v>
      </c>
      <c r="R55" s="165" t="n">
        <f aca="false">R37/R22*100</f>
        <v>6.26257544736044</v>
      </c>
      <c r="S55" s="165" t="n">
        <f aca="false">S37/S22*100</f>
        <v>7.64674205112872</v>
      </c>
      <c r="T55" s="165" t="n">
        <f aca="false">T37/T22*100</f>
        <v>3.66049071114806</v>
      </c>
      <c r="U55" s="165" t="n">
        <f aca="false">U37/U22*100</f>
        <v>10.2310303692698</v>
      </c>
      <c r="V55" s="479" t="n">
        <f aca="false">V37/V22*100</f>
        <v>7.44577232593514</v>
      </c>
      <c r="W55" s="165" t="n">
        <f aca="false">W37/W22*100</f>
        <v>4.05820302575911</v>
      </c>
      <c r="X55" s="165" t="n">
        <f aca="false">X37/X22*100</f>
        <v>6.23194014497907</v>
      </c>
      <c r="Y55" s="165" t="n">
        <f aca="false">Y37/Y22*100</f>
        <v>2.49890530478364</v>
      </c>
      <c r="Z55" s="165" t="n">
        <f aca="false">Z37/Z22*100</f>
        <v>7.25653308830548</v>
      </c>
      <c r="AA55" s="165" t="n">
        <f aca="false">AA37/AA22*100</f>
        <v>2.69127222822825</v>
      </c>
      <c r="AB55" s="165" t="n">
        <f aca="false">AB37/AB22*100</f>
        <v>4.7301106735329</v>
      </c>
      <c r="AC55" s="165" t="n">
        <f aca="false">AC37/AC22*100</f>
        <v>-3.52048945480126</v>
      </c>
      <c r="AD55" s="165" t="n">
        <f aca="false">AD37/AD22*100</f>
        <v>0.722627789131094</v>
      </c>
      <c r="AE55" s="165" t="n">
        <f aca="false">AE37/AE22*100</f>
        <v>-6.78307327317063</v>
      </c>
      <c r="AF55" s="165" t="n">
        <f aca="false">AF37/AF22*100</f>
        <v>-5.29929698236574</v>
      </c>
      <c r="AG55" s="165" t="n">
        <f aca="false">AG37/AG22*100</f>
        <v>-14.5957087662415</v>
      </c>
      <c r="AH55" s="165" t="n">
        <f aca="false">AH37/AH22*100</f>
        <v>-0.531110947231098</v>
      </c>
      <c r="AI55" s="165" t="n">
        <f aca="false">AI37/AI22*100</f>
        <v>-2.84330848498242</v>
      </c>
      <c r="AJ55" s="165" t="n">
        <f aca="false">AJ37/AJ22*100</f>
        <v>1.74855562019153</v>
      </c>
      <c r="AK55" s="165" t="n">
        <f aca="false">AK37/AK22*100</f>
        <v>1.76717806553168</v>
      </c>
      <c r="AL55" s="165" t="n">
        <f aca="false">AL37/AL22*100</f>
        <v>6.57066392170193</v>
      </c>
      <c r="AM55" s="476"/>
      <c r="AN55" s="165" t="n">
        <f aca="false">AN37/AN22*100</f>
        <v>6.11545342772151</v>
      </c>
      <c r="AO55" s="165" t="n">
        <f aca="false">AO37/AO22*100</f>
        <v>8.86265169148737</v>
      </c>
      <c r="AP55" s="165" t="n">
        <f aca="false">AP37/AP22*100</f>
        <v>6.32960256167093</v>
      </c>
      <c r="AQ55" s="165" t="n">
        <f aca="false">AQ37/AQ22*100</f>
        <v>6.86165144701975</v>
      </c>
      <c r="AR55" s="480"/>
      <c r="AS55" s="165" t="n">
        <f aca="false">AS37/AS22*100</f>
        <v>10.1947314711112</v>
      </c>
      <c r="AT55" s="446" t="n">
        <f aca="false">AT37/AT22*100</f>
        <v>8.28913739403443</v>
      </c>
      <c r="AU55" s="165" t="n">
        <f aca="false">AU37/AU22*100</f>
        <v>6.48965863837099</v>
      </c>
    </row>
    <row r="56" s="19" customFormat="true" ht="12.75" hidden="false" customHeight="true" outlineLevel="0" collapsed="false">
      <c r="A56" s="39" t="s">
        <v>282</v>
      </c>
      <c r="B56" s="117" t="n">
        <f aca="false">B40/(B37+B38+B39)*100</f>
        <v>27.4918771617231</v>
      </c>
      <c r="C56" s="165" t="n">
        <f aca="false">C40/(C37+C38+C39)*100</f>
        <v>25.9609785638311</v>
      </c>
      <c r="D56" s="165" t="n">
        <f aca="false">D40/(D37+D38+D39)*100</f>
        <v>30.1872702205882</v>
      </c>
      <c r="E56" s="165" t="n">
        <f aca="false">E40/(E37+E38+E39)*100</f>
        <v>25.0317978574145</v>
      </c>
      <c r="F56" s="117" t="n">
        <f aca="false">F40/(F37+F38+F39)*100</f>
        <v>29.0568587701515</v>
      </c>
      <c r="G56" s="117" t="n">
        <f aca="false">G40/(G37+G38+G39)*100</f>
        <v>31.7625074322603</v>
      </c>
      <c r="H56" s="117" t="n">
        <f aca="false">H40/(H37+H38+H39)*100</f>
        <v>20.4737721696097</v>
      </c>
      <c r="I56" s="165" t="n">
        <f aca="false">I40/(I37+I38+I39)*100</f>
        <v>27.0218931491458</v>
      </c>
      <c r="J56" s="117" t="n">
        <f aca="false">J40/(J37+J38+J39)*100</f>
        <v>30.1055948695267</v>
      </c>
      <c r="K56" s="117" t="n">
        <f aca="false">K40/(K37+K38+K39)*100</f>
        <v>25.9454268531072</v>
      </c>
      <c r="L56" s="117" t="n">
        <f aca="false">L40/(L37+L38+L39)*100</f>
        <v>-12.340286172503</v>
      </c>
      <c r="M56" s="165" t="n">
        <f aca="false">M40/(M37+M38+M39)*100</f>
        <v>-64.7324187368684</v>
      </c>
      <c r="N56" s="117" t="n">
        <f aca="false">N40/(N37+N38+N39)*100</f>
        <v>-217.05426356589</v>
      </c>
      <c r="O56" s="117" t="n">
        <f aca="false">O40/(O37+O38+O39)*100</f>
        <v>14.1049192723607</v>
      </c>
      <c r="P56" s="117" t="n">
        <f aca="false">P40/(P37+P38+P39)*100</f>
        <v>24.7685492364031</v>
      </c>
      <c r="Q56" s="88" t="n">
        <f aca="false">Q40/(Q37+Q38+Q39)*100</f>
        <v>20.4504206479465</v>
      </c>
      <c r="R56" s="88" t="n">
        <f aca="false">R40/(R37+R38+R39)*100</f>
        <v>16.5936839270449</v>
      </c>
      <c r="S56" s="88" t="n">
        <f aca="false">S40/(S37+S38+S39)*100</f>
        <v>19.5008796356752</v>
      </c>
      <c r="T56" s="88" t="n">
        <f aca="false">T40/(T37+T38+T39)*100</f>
        <v>11.3086718727476</v>
      </c>
      <c r="U56" s="88" t="n">
        <f aca="false">U40/(U37+U38+U39)*100</f>
        <v>23.8627596450532</v>
      </c>
      <c r="V56" s="477" t="n">
        <f aca="false">V40/(V37+V38+V39)*100</f>
        <v>20.5967799199637</v>
      </c>
      <c r="W56" s="88" t="n">
        <f aca="false">W40/(W37+W38+W39)*100</f>
        <v>22.1072309067757</v>
      </c>
      <c r="X56" s="88" t="n">
        <f aca="false">X40/(X37+X38+X39)*100</f>
        <v>20.1035199049218</v>
      </c>
      <c r="Y56" s="88" t="n">
        <f aca="false">Y40/(Y37+Y38+Y39)*100</f>
        <v>7.03135204840238</v>
      </c>
      <c r="Z56" s="88" t="n">
        <f aca="false">Z40/(Z37+Z38+Z39)*100</f>
        <v>17.7115044315335</v>
      </c>
      <c r="AA56" s="88" t="n">
        <f aca="false">AA40/(AA37+AA38+AA39)*100</f>
        <v>17.2976392429071</v>
      </c>
      <c r="AB56" s="88" t="n">
        <f aca="false">AB40/(AB37+AB38+AB39)*100</f>
        <v>8.53716263455168</v>
      </c>
      <c r="AC56" s="88" t="n">
        <f aca="false">AC40/(AC37+AC38+AC39)*100</f>
        <v>-2.33260134738783</v>
      </c>
      <c r="AD56" s="88" t="n">
        <f aca="false">AD40/(AD37+AD38+AD39)*100</f>
        <v>7.05497107290366</v>
      </c>
      <c r="AE56" s="88" t="n">
        <f aca="false">AE40/(AE37+AE38+AE39)*100</f>
        <v>16.3169784336351</v>
      </c>
      <c r="AF56" s="88" t="n">
        <f aca="false">AF40/(AF37+AF38+AF39)*100</f>
        <v>80.6263316113594</v>
      </c>
      <c r="AG56" s="88" t="n">
        <f aca="false">AG40/(AG37+AG38+AG39)*100</f>
        <v>24.206104180951</v>
      </c>
      <c r="AH56" s="88" t="n">
        <f aca="false">AH40/(AH37+AH38+AH39)*100</f>
        <v>-1.0118053219848</v>
      </c>
      <c r="AI56" s="88" t="n">
        <f aca="false">AI40/(AI37+AI38+AI39)*100</f>
        <v>31.9368190360475</v>
      </c>
      <c r="AJ56" s="88" t="n">
        <f aca="false">AJ40/(AJ37+AJ38+AJ39)*100</f>
        <v>26.9596703375844</v>
      </c>
      <c r="AK56" s="88" t="n">
        <f aca="false">AK40/(AK37+AK38+AK39)*100</f>
        <v>45.9636197108168</v>
      </c>
      <c r="AL56" s="88" t="n">
        <f aca="false">AL40/(AL37+AL38+AL39)*100</f>
        <v>19.0875709819015</v>
      </c>
      <c r="AM56" s="476"/>
      <c r="AN56" s="88" t="n">
        <f aca="false">AN40/(AN37+AN38+AN39)*100</f>
        <v>32.1781141366952</v>
      </c>
      <c r="AO56" s="88" t="n">
        <f aca="false">AO40/(AO37+AO38+AO39)*100</f>
        <v>19.5294641418519</v>
      </c>
      <c r="AP56" s="88" t="n">
        <f aca="false">AP40/(AP37+AP38+AP39)*100</f>
        <v>30</v>
      </c>
      <c r="AQ56" s="88" t="n">
        <f aca="false">AQ40/(AQ37+AQ38+AQ39)*100</f>
        <v>26.2098341612669</v>
      </c>
      <c r="AR56" s="273" t="n">
        <v>28</v>
      </c>
      <c r="AS56" s="88" t="n">
        <f aca="false">AS40/(AS37+AS38+AS39)*100</f>
        <v>14.1011386468942</v>
      </c>
      <c r="AT56" s="446" t="n">
        <f aca="false">AT40/(AT37+AT38+AT39)*100</f>
        <v>19.136215591457</v>
      </c>
      <c r="AU56" s="88" t="n">
        <f aca="false">AU40/(AU37+AU38+AU39)*100</f>
        <v>28</v>
      </c>
    </row>
    <row r="57" s="19" customFormat="true" ht="12.75" hidden="false" customHeight="true" outlineLevel="0" collapsed="false">
      <c r="A57" s="39" t="s">
        <v>283</v>
      </c>
      <c r="B57" s="117" t="n">
        <f aca="false">B42/B20*100</f>
        <v>4.44888651418901</v>
      </c>
      <c r="C57" s="165" t="n">
        <f aca="false">C42/C20*100</f>
        <v>3.84038138259954</v>
      </c>
      <c r="D57" s="165" t="n">
        <f aca="false">D42/D20*100</f>
        <v>4.98541289549314</v>
      </c>
      <c r="E57" s="165" t="n">
        <f aca="false">E42/E20*100</f>
        <v>6.39951351394939</v>
      </c>
      <c r="F57" s="117" t="n">
        <f aca="false">F42/F20*100</f>
        <v>4.8683351122298</v>
      </c>
      <c r="G57" s="165" t="e">
        <f aca="false">G42/G20*100</f>
        <v>#DIV/0!</v>
      </c>
      <c r="H57" s="117" t="n">
        <f aca="false">H42/H20*100</f>
        <v>4.22785406442595</v>
      </c>
      <c r="I57" s="165" t="n">
        <f aca="false">I42/I20*100</f>
        <v>6.37304127825081</v>
      </c>
      <c r="J57" s="117" t="e">
        <f aca="false">J42/J20*100</f>
        <v>#DIV/0!</v>
      </c>
      <c r="K57" s="165" t="e">
        <f aca="false">K42/K20*100</f>
        <v>#DIV/0!</v>
      </c>
      <c r="L57" s="118"/>
      <c r="M57" s="165" t="e">
        <f aca="false">M42/M20*100</f>
        <v>#DIV/0!</v>
      </c>
      <c r="N57" s="117" t="e">
        <f aca="false">N42/N20*100</f>
        <v>#DIV/0!</v>
      </c>
      <c r="O57" s="165" t="e">
        <f aca="false">O42/O20*100</f>
        <v>#DIV/0!</v>
      </c>
      <c r="P57" s="118"/>
      <c r="Q57" s="162"/>
      <c r="R57" s="162"/>
      <c r="S57" s="162"/>
      <c r="T57" s="162"/>
      <c r="U57" s="162"/>
      <c r="V57" s="465"/>
      <c r="W57" s="162"/>
      <c r="X57" s="162"/>
      <c r="Y57" s="162"/>
      <c r="Z57" s="481"/>
      <c r="AA57" s="481"/>
      <c r="AB57" s="481"/>
      <c r="AC57" s="481"/>
      <c r="AD57" s="481"/>
      <c r="AE57" s="481"/>
      <c r="AF57" s="481"/>
      <c r="AG57" s="481"/>
      <c r="AH57" s="481"/>
      <c r="AI57" s="481"/>
      <c r="AJ57" s="481"/>
      <c r="AK57" s="481"/>
      <c r="AL57" s="481"/>
      <c r="AM57" s="476"/>
      <c r="AN57" s="481"/>
      <c r="AO57" s="481"/>
      <c r="AP57" s="162"/>
      <c r="AQ57" s="481"/>
      <c r="AR57" s="481"/>
      <c r="AS57" s="481"/>
      <c r="AT57" s="476"/>
      <c r="AU57" s="162"/>
    </row>
    <row r="58" customFormat="false" ht="12" hidden="false" customHeight="true" outlineLevel="0" collapsed="false">
      <c r="A58" s="46" t="s">
        <v>900</v>
      </c>
      <c r="B58" s="90" t="n">
        <f aca="false">B42/B22*100</f>
        <v>5.12848064994607</v>
      </c>
      <c r="C58" s="81" t="n">
        <f aca="false">C42/C22*100</f>
        <v>4.41996987691216</v>
      </c>
      <c r="D58" s="81" t="n">
        <f aca="false">D42/D22*100</f>
        <v>5.80544118416441</v>
      </c>
      <c r="E58" s="81" t="n">
        <f aca="false">E42/E22*100</f>
        <v>7.44352055383651</v>
      </c>
      <c r="F58" s="90" t="n">
        <f aca="false">F42/F22*100</f>
        <v>5.65527264113819</v>
      </c>
      <c r="G58" s="81" t="n">
        <f aca="false">G42/G22*100</f>
        <v>4.89007314035358</v>
      </c>
      <c r="H58" s="90" t="n">
        <f aca="false">H42/H22*100</f>
        <v>4.91610937723948</v>
      </c>
      <c r="I58" s="81" t="n">
        <f aca="false">I42/I22*100</f>
        <v>7.41051311424512</v>
      </c>
      <c r="J58" s="90" t="n">
        <f aca="false">J42/J22*100</f>
        <v>4.05920865795444</v>
      </c>
      <c r="K58" s="81" t="n">
        <f aca="false">K42/K22*100</f>
        <v>3.50996309425332</v>
      </c>
      <c r="L58" s="90" t="n">
        <f aca="false">L42/L22*100</f>
        <v>-0.390389832305257</v>
      </c>
      <c r="M58" s="81" t="n">
        <f aca="false">M42/M22*100</f>
        <v>2.94395799435523</v>
      </c>
      <c r="N58" s="90" t="n">
        <f aca="false">N42/N22*100</f>
        <v>-4.67893618397043</v>
      </c>
      <c r="O58" s="81" t="n">
        <f aca="false">O42/O22*100</f>
        <v>5.6711651999392</v>
      </c>
      <c r="P58" s="90" t="n">
        <f aca="false">P42/P22*100</f>
        <v>5.81686582198608</v>
      </c>
      <c r="Q58" s="70" t="n">
        <f aca="false">Q42/Q22*100</f>
        <v>8.57485111874725</v>
      </c>
      <c r="R58" s="70" t="n">
        <f aca="false">R42/R22*100</f>
        <v>5.22338347193273</v>
      </c>
      <c r="S58" s="70" t="n">
        <f aca="false">S42/S22*100</f>
        <v>6.15556008768755</v>
      </c>
      <c r="T58" s="70" t="n">
        <f aca="false">T42/T22*100</f>
        <v>3.11452475526831</v>
      </c>
      <c r="U58" s="70" t="n">
        <f aca="false">U42/U22*100</f>
        <v>7.78962418303855</v>
      </c>
      <c r="V58" s="478" t="n">
        <f aca="false">V42/V22*100</f>
        <v>5.91218298662072</v>
      </c>
      <c r="W58" s="70" t="n">
        <f aca="false">W42/W22*100</f>
        <v>3.16104671218878</v>
      </c>
      <c r="X58" s="70" t="n">
        <f aca="false">X42/X22*100</f>
        <v>4.97910081747039</v>
      </c>
      <c r="Y58" s="70" t="n">
        <f aca="false">Y42/Y22*100</f>
        <v>2.3231984754481</v>
      </c>
      <c r="Z58" s="70" t="n">
        <f aca="false">Z42/Z22*100</f>
        <v>5.97129190879456</v>
      </c>
      <c r="AA58" s="70" t="n">
        <f aca="false">AA42/AA22*100</f>
        <v>2.22574566714478</v>
      </c>
      <c r="AB58" s="70" t="n">
        <f aca="false">AB42/AB22*100</f>
        <v>4.3262934325391</v>
      </c>
      <c r="AC58" s="70" t="n">
        <f aca="false">AC42/AC22*100</f>
        <v>-3.44949626128419</v>
      </c>
      <c r="AD58" s="70" t="n">
        <f aca="false">AD42/AD22*100</f>
        <v>0.417408087000849</v>
      </c>
      <c r="AE58" s="70" t="n">
        <f aca="false">AE42/AE22*100</f>
        <v>-5.72122909943769</v>
      </c>
      <c r="AF58" s="70" t="n">
        <f aca="false">AF42/AF22*100</f>
        <v>-2.69891263536167</v>
      </c>
      <c r="AG58" s="70" t="n">
        <f aca="false">AG42/AG22*100</f>
        <v>-13.2870967320794</v>
      </c>
      <c r="AH58" s="70" t="n">
        <f aca="false">AH42/AH22*100</f>
        <v>-0.412805334517066</v>
      </c>
      <c r="AI58" s="70" t="n">
        <f aca="false">AI42/AI22*100</f>
        <v>-1.935246199497</v>
      </c>
      <c r="AJ58" s="70" t="n">
        <f aca="false">AJ42/AJ22*100</f>
        <v>0.364110324754004</v>
      </c>
      <c r="AK58" s="70" t="n">
        <f aca="false">AK42/AK22*100</f>
        <v>0.954919059877728</v>
      </c>
      <c r="AL58" s="70" t="n">
        <f aca="false">AL42/AL22*100</f>
        <v>5.28243696407522</v>
      </c>
      <c r="AM58" s="472"/>
      <c r="AN58" s="70" t="n">
        <f aca="false">AN42/AN22*100</f>
        <v>4.14761584377284</v>
      </c>
      <c r="AO58" s="70" t="n">
        <f aca="false">AO42/AO22*100</f>
        <v>5.91085361748818</v>
      </c>
      <c r="AP58" s="70" t="n">
        <f aca="false">AP42/AP22*100</f>
        <v>4.43072179316965</v>
      </c>
      <c r="AQ58" s="70" t="n">
        <f aca="false">AQ42/AQ22*100</f>
        <v>5.02141496267919</v>
      </c>
      <c r="AR58" s="474"/>
      <c r="AS58" s="70" t="n">
        <f aca="false">AS42/AS22*100</f>
        <v>7.66175356673653</v>
      </c>
      <c r="AT58" s="448" t="n">
        <f aca="false">AT42/AT22*100</f>
        <v>5.91194084582289</v>
      </c>
      <c r="AU58" s="70" t="n">
        <f aca="false">AU42/AU22*100</f>
        <v>4.67255421962711</v>
      </c>
    </row>
    <row r="59" customFormat="false" ht="12" hidden="false" customHeight="true" outlineLevel="0" collapsed="false">
      <c r="Q59" s="115"/>
      <c r="R59" s="115"/>
      <c r="S59" s="115"/>
      <c r="T59" s="115"/>
      <c r="U59" s="115"/>
      <c r="V59" s="464"/>
      <c r="W59" s="115"/>
      <c r="X59" s="115"/>
      <c r="Y59" s="115"/>
      <c r="Z59" s="474"/>
      <c r="AA59" s="474"/>
      <c r="AB59" s="474"/>
      <c r="AC59" s="474"/>
      <c r="AD59" s="474"/>
      <c r="AE59" s="474"/>
      <c r="AF59" s="474"/>
      <c r="AG59" s="474"/>
      <c r="AH59" s="474"/>
      <c r="AI59" s="474"/>
      <c r="AJ59" s="474"/>
      <c r="AK59" s="474"/>
      <c r="AL59" s="474"/>
      <c r="AM59" s="472"/>
      <c r="AN59" s="474"/>
      <c r="AO59" s="474"/>
      <c r="AP59" s="474"/>
      <c r="AQ59" s="474"/>
      <c r="AR59" s="474"/>
      <c r="AS59" s="474"/>
      <c r="AT59" s="472"/>
      <c r="AU59" s="474"/>
    </row>
    <row r="60" customFormat="false" ht="12.75" hidden="false" customHeight="true" outlineLevel="0" collapsed="false">
      <c r="A60" s="39" t="s">
        <v>902</v>
      </c>
      <c r="Q60" s="115"/>
      <c r="R60" s="72"/>
      <c r="S60" s="72"/>
      <c r="T60" s="72"/>
      <c r="U60" s="72"/>
      <c r="V60" s="450"/>
      <c r="W60" s="72"/>
      <c r="X60" s="72"/>
      <c r="Y60" s="72"/>
      <c r="Z60" s="482"/>
      <c r="AA60" s="482"/>
      <c r="AB60" s="482"/>
      <c r="AC60" s="482"/>
      <c r="AD60" s="482"/>
      <c r="AE60" s="482"/>
      <c r="AF60" s="482"/>
      <c r="AG60" s="482"/>
      <c r="AH60" s="482"/>
      <c r="AI60" s="482"/>
      <c r="AJ60" s="482"/>
      <c r="AK60" s="482"/>
      <c r="AL60" s="482"/>
      <c r="AM60" s="472"/>
      <c r="AN60" s="482"/>
      <c r="AO60" s="482"/>
      <c r="AP60" s="482"/>
      <c r="AQ60" s="482"/>
      <c r="AR60" s="482"/>
      <c r="AS60" s="482"/>
      <c r="AT60" s="472"/>
      <c r="AU60" s="482"/>
    </row>
    <row r="61" customFormat="false" ht="12" hidden="false" customHeight="true" outlineLevel="0" collapsed="false">
      <c r="A61" s="46" t="s">
        <v>1015</v>
      </c>
      <c r="B61" s="90" t="n">
        <f aca="false">B21/B20*100</f>
        <v>13.2513736941605</v>
      </c>
      <c r="C61" s="81" t="n">
        <f aca="false">C21/C20*100</f>
        <v>13.1129512293764</v>
      </c>
      <c r="D61" s="168" t="n">
        <v>13.11</v>
      </c>
      <c r="E61" s="81" t="n">
        <f aca="false">E21/E20*100</f>
        <v>14.0257158200365</v>
      </c>
      <c r="F61" s="90" t="n">
        <f aca="false">F21/F20*100</f>
        <v>13.9151121235775</v>
      </c>
      <c r="G61" s="81" t="e">
        <f aca="false">G21/G20*100</f>
        <v>#DIV/0!</v>
      </c>
      <c r="H61" s="196" t="n">
        <v>14.11</v>
      </c>
      <c r="I61" s="81" t="n">
        <f aca="false">I21/I20*100</f>
        <v>14</v>
      </c>
      <c r="J61" s="90" t="e">
        <f aca="false">J21/J20*100</f>
        <v>#DIV/0!</v>
      </c>
      <c r="K61" s="81" t="e">
        <f aca="false">K21/K20*100</f>
        <v>#DIV/0!</v>
      </c>
      <c r="L61" s="40"/>
      <c r="M61" s="81" t="e">
        <f aca="false">M21/M20*100</f>
        <v>#DIV/0!</v>
      </c>
      <c r="N61" s="90" t="e">
        <f aca="false">N21/N20*100</f>
        <v>#DIV/0!</v>
      </c>
      <c r="O61" s="75"/>
      <c r="P61" s="40"/>
      <c r="Q61" s="115"/>
      <c r="R61" s="115"/>
      <c r="S61" s="115"/>
      <c r="T61" s="115"/>
      <c r="U61" s="115"/>
      <c r="V61" s="464"/>
      <c r="W61" s="115"/>
      <c r="X61" s="115"/>
      <c r="Y61" s="115"/>
      <c r="Z61" s="474"/>
      <c r="AA61" s="474"/>
      <c r="AB61" s="474"/>
      <c r="AC61" s="474"/>
      <c r="AD61" s="474"/>
      <c r="AE61" s="474"/>
      <c r="AF61" s="474"/>
      <c r="AG61" s="474"/>
      <c r="AH61" s="474"/>
      <c r="AI61" s="474"/>
      <c r="AJ61" s="474"/>
      <c r="AK61" s="474"/>
      <c r="AL61" s="474"/>
      <c r="AM61" s="472"/>
      <c r="AN61" s="474"/>
      <c r="AO61" s="474"/>
      <c r="AP61" s="474"/>
      <c r="AQ61" s="474"/>
      <c r="AR61" s="474"/>
      <c r="AS61" s="474"/>
      <c r="AT61" s="472"/>
      <c r="AU61" s="474"/>
    </row>
    <row r="62" customFormat="false" ht="12" hidden="false" customHeight="true" outlineLevel="0" collapsed="false">
      <c r="A62" s="46" t="s">
        <v>903</v>
      </c>
      <c r="B62" s="90" t="n">
        <f aca="false">(B24+B25)/B20*100</f>
        <v>63.6376042798212</v>
      </c>
      <c r="C62" s="81" t="n">
        <f aca="false">(C24+C25)/C20*100</f>
        <v>65.6492206862938</v>
      </c>
      <c r="D62" s="81" t="n">
        <f aca="false">(D24+D25)/D20*100</f>
        <v>65.477717406795</v>
      </c>
      <c r="E62" s="81" t="n">
        <f aca="false">(E24+E25)/E20*100</f>
        <v>64.0183042179334</v>
      </c>
      <c r="F62" s="90" t="n">
        <f aca="false">(F24+F25)/F20*100</f>
        <v>61.9683621939369</v>
      </c>
      <c r="G62" s="81" t="e">
        <f aca="false">(G24+G25)/G20*100</f>
        <v>#DIV/0!</v>
      </c>
      <c r="H62" s="81" t="n">
        <f aca="false">(H24+H25)/H20*100</f>
        <v>64.9255133932788</v>
      </c>
      <c r="I62" s="81" t="n">
        <f aca="false">(I24+I25)/I20*100</f>
        <v>63.5247729805367</v>
      </c>
      <c r="J62" s="90" t="e">
        <f aca="false">(J24+J25)/J20*100</f>
        <v>#DIV/0!</v>
      </c>
      <c r="K62" s="81" t="e">
        <f aca="false">(K24+K25)/K20*100</f>
        <v>#DIV/0!</v>
      </c>
      <c r="L62" s="81" t="e">
        <f aca="false">(L24+L25)/L20*100</f>
        <v>#DIV/0!</v>
      </c>
      <c r="M62" s="81" t="e">
        <f aca="false">(M24+M25)/M20*100</f>
        <v>#DIV/0!</v>
      </c>
      <c r="N62" s="90" t="e">
        <f aca="false">(N24+N25)/N20*100</f>
        <v>#DIV/0!</v>
      </c>
      <c r="O62" s="75"/>
      <c r="P62" s="75"/>
      <c r="Q62" s="115"/>
      <c r="R62" s="115"/>
      <c r="S62" s="115"/>
      <c r="T62" s="115"/>
      <c r="U62" s="115"/>
      <c r="V62" s="464"/>
      <c r="W62" s="115"/>
      <c r="X62" s="115"/>
      <c r="Y62" s="115"/>
      <c r="Z62" s="474"/>
      <c r="AA62" s="474"/>
      <c r="AB62" s="474"/>
      <c r="AC62" s="474"/>
      <c r="AD62" s="474"/>
      <c r="AE62" s="474"/>
      <c r="AF62" s="474"/>
      <c r="AG62" s="474"/>
      <c r="AH62" s="474"/>
      <c r="AI62" s="474"/>
      <c r="AJ62" s="474"/>
      <c r="AK62" s="474"/>
      <c r="AL62" s="474"/>
      <c r="AM62" s="472"/>
      <c r="AN62" s="474"/>
      <c r="AO62" s="474"/>
      <c r="AP62" s="474"/>
      <c r="AQ62" s="474"/>
      <c r="AR62" s="474"/>
      <c r="AS62" s="474"/>
      <c r="AT62" s="472"/>
      <c r="AU62" s="474"/>
    </row>
    <row r="63" customFormat="false" ht="12" hidden="false" customHeight="true" outlineLevel="0" collapsed="false">
      <c r="A63" s="46" t="s">
        <v>904</v>
      </c>
      <c r="B63" s="90" t="n">
        <f aca="false">B26/B20*100</f>
        <v>7.86680939235776</v>
      </c>
      <c r="C63" s="81" t="n">
        <f aca="false">C26/C20*100</f>
        <v>6.24010950835312</v>
      </c>
      <c r="D63" s="81" t="n">
        <f aca="false">D26/D20*100</f>
        <v>5.55097418862703</v>
      </c>
      <c r="E63" s="81" t="n">
        <f aca="false">E26/E20*100</f>
        <v>4.36511465842271</v>
      </c>
      <c r="F63" s="90" t="n">
        <f aca="false">F26/F20*100</f>
        <v>7.38693387284342</v>
      </c>
      <c r="G63" s="81" t="e">
        <f aca="false">G26/G20*100</f>
        <v>#DIV/0!</v>
      </c>
      <c r="H63" s="81" t="n">
        <f aca="false">H26/H20*100</f>
        <v>7.06061279430604</v>
      </c>
      <c r="I63" s="81" t="n">
        <f aca="false">I26/I20*100</f>
        <v>5.61778294734007</v>
      </c>
      <c r="J63" s="90" t="e">
        <f aca="false">J26/J20*100</f>
        <v>#DIV/0!</v>
      </c>
      <c r="K63" s="81" t="e">
        <f aca="false">K26/K20*100</f>
        <v>#DIV/0!</v>
      </c>
      <c r="L63" s="81" t="e">
        <f aca="false">L26/L20*100</f>
        <v>#DIV/0!</v>
      </c>
      <c r="M63" s="81" t="e">
        <f aca="false">M26/M20*100</f>
        <v>#DIV/0!</v>
      </c>
      <c r="N63" s="90" t="e">
        <f aca="false">N26/N20*100</f>
        <v>#DIV/0!</v>
      </c>
      <c r="O63" s="75"/>
      <c r="P63" s="75"/>
      <c r="Q63" s="115"/>
      <c r="R63" s="115"/>
      <c r="S63" s="115"/>
      <c r="T63" s="115"/>
      <c r="U63" s="115"/>
      <c r="V63" s="464"/>
      <c r="W63" s="115"/>
      <c r="X63" s="115"/>
      <c r="Y63" s="115"/>
      <c r="Z63" s="474"/>
      <c r="AA63" s="474"/>
      <c r="AB63" s="474"/>
      <c r="AC63" s="474"/>
      <c r="AD63" s="474"/>
      <c r="AE63" s="474"/>
      <c r="AF63" s="474"/>
      <c r="AG63" s="474"/>
      <c r="AH63" s="474"/>
      <c r="AI63" s="474"/>
      <c r="AJ63" s="474"/>
      <c r="AK63" s="474"/>
      <c r="AL63" s="474"/>
      <c r="AM63" s="472"/>
      <c r="AN63" s="474"/>
      <c r="AO63" s="474"/>
      <c r="AP63" s="474"/>
      <c r="AQ63" s="474"/>
      <c r="AR63" s="474"/>
      <c r="AS63" s="474"/>
      <c r="AT63" s="472"/>
      <c r="AU63" s="474"/>
    </row>
    <row r="64" customFormat="false" ht="12" hidden="false" customHeight="true" outlineLevel="0" collapsed="false">
      <c r="A64" s="46" t="s">
        <v>905</v>
      </c>
      <c r="B64" s="90" t="n">
        <f aca="false">B27/B20*100</f>
        <v>8.01516044150734</v>
      </c>
      <c r="C64" s="81" t="n">
        <f aca="false">C27/C20*100</f>
        <v>8.15365390797565</v>
      </c>
      <c r="D64" s="81" t="n">
        <f aca="false">D27/D20*100</f>
        <v>5.81875468301852</v>
      </c>
      <c r="E64" s="81" t="n">
        <f aca="false">E27/E20*100</f>
        <v>7.85059411027188</v>
      </c>
      <c r="F64" s="90" t="n">
        <f aca="false">F27/F20*100</f>
        <v>8.51990505472098</v>
      </c>
      <c r="G64" s="81" t="e">
        <f aca="false">G27/G20*100</f>
        <v>#DIV/0!</v>
      </c>
      <c r="H64" s="81" t="n">
        <f aca="false">H27/H20*100</f>
        <v>6.26548346130899</v>
      </c>
      <c r="I64" s="81" t="n">
        <f aca="false">I27/I20*100</f>
        <v>6.6034914061448</v>
      </c>
      <c r="J64" s="90" t="e">
        <f aca="false">J27/J20*100</f>
        <v>#DIV/0!</v>
      </c>
      <c r="K64" s="81" t="e">
        <f aca="false">K27/K20*100</f>
        <v>#DIV/0!</v>
      </c>
      <c r="L64" s="81" t="e">
        <f aca="false">L27/L20*100</f>
        <v>#DIV/0!</v>
      </c>
      <c r="M64" s="81" t="e">
        <f aca="false">M27/M20*100</f>
        <v>#DIV/0!</v>
      </c>
      <c r="N64" s="90" t="e">
        <f aca="false">N27/N20*100</f>
        <v>#DIV/0!</v>
      </c>
      <c r="O64" s="75"/>
      <c r="P64" s="75"/>
      <c r="Q64" s="115"/>
      <c r="R64" s="115"/>
      <c r="S64" s="115"/>
      <c r="T64" s="115"/>
      <c r="U64" s="115"/>
      <c r="V64" s="464"/>
      <c r="W64" s="115"/>
      <c r="X64" s="115"/>
      <c r="Y64" s="115"/>
      <c r="Z64" s="474"/>
      <c r="AA64" s="474"/>
      <c r="AB64" s="474"/>
      <c r="AC64" s="474"/>
      <c r="AD64" s="474"/>
      <c r="AE64" s="474"/>
      <c r="AF64" s="474"/>
      <c r="AG64" s="474"/>
      <c r="AH64" s="474"/>
      <c r="AI64" s="474"/>
      <c r="AJ64" s="474"/>
      <c r="AK64" s="474"/>
      <c r="AL64" s="474"/>
      <c r="AM64" s="472"/>
      <c r="AN64" s="474"/>
      <c r="AO64" s="474"/>
      <c r="AP64" s="474"/>
      <c r="AQ64" s="474"/>
      <c r="AR64" s="474"/>
      <c r="AS64" s="474"/>
      <c r="AT64" s="472"/>
      <c r="AU64" s="474"/>
    </row>
    <row r="65" customFormat="false" ht="12.75" hidden="false" customHeight="true" outlineLevel="0" collapsed="false">
      <c r="A65" s="39" t="s">
        <v>902</v>
      </c>
      <c r="B65" s="40"/>
      <c r="F65" s="40"/>
      <c r="J65" s="40"/>
      <c r="N65" s="40"/>
      <c r="Q65" s="115"/>
      <c r="R65" s="115"/>
      <c r="S65" s="115"/>
      <c r="T65" s="115"/>
      <c r="U65" s="115"/>
      <c r="V65" s="464"/>
      <c r="W65" s="115"/>
      <c r="X65" s="115"/>
      <c r="Y65" s="115"/>
      <c r="Z65" s="474"/>
      <c r="AA65" s="474"/>
      <c r="AB65" s="474"/>
      <c r="AC65" s="474"/>
      <c r="AD65" s="474"/>
      <c r="AE65" s="474"/>
      <c r="AF65" s="474"/>
      <c r="AG65" s="474"/>
      <c r="AH65" s="474"/>
      <c r="AI65" s="474"/>
      <c r="AJ65" s="474"/>
      <c r="AK65" s="474"/>
      <c r="AL65" s="474"/>
      <c r="AM65" s="472"/>
      <c r="AN65" s="474"/>
      <c r="AO65" s="474"/>
      <c r="AP65" s="474"/>
      <c r="AQ65" s="474"/>
      <c r="AR65" s="474"/>
      <c r="AS65" s="474"/>
      <c r="AT65" s="472"/>
      <c r="AU65" s="474"/>
    </row>
    <row r="66" customFormat="false" ht="12.75" hidden="false" customHeight="true" outlineLevel="0" collapsed="false">
      <c r="A66" s="46" t="s">
        <v>903</v>
      </c>
      <c r="B66" s="90" t="n">
        <f aca="false">(B24+B25)/B22*100</f>
        <v>73.3586305510608</v>
      </c>
      <c r="C66" s="81" t="n">
        <f aca="false">(C24+C25)/C22*100</f>
        <v>75.5569692090748</v>
      </c>
      <c r="D66" s="81" t="n">
        <f aca="false">(D24+D25)/D22*100</f>
        <v>76.2478545402177</v>
      </c>
      <c r="E66" s="81" t="n">
        <f aca="false">(E24+E25)/E22*100</f>
        <v>74.4621543855238</v>
      </c>
      <c r="F66" s="90" t="n">
        <f aca="false">(F24+F25)/F22*100</f>
        <v>71.9851808169796</v>
      </c>
      <c r="G66" s="90" t="n">
        <f aca="false">(G24+G25)/G22*100</f>
        <v>75.0264334489952</v>
      </c>
      <c r="H66" s="90" t="n">
        <f aca="false">(H24+H25)/H22*100</f>
        <v>75.4947830154404</v>
      </c>
      <c r="I66" s="90" t="n">
        <f aca="false">(I24+I25)/I22*100</f>
        <v>73.8660150936474</v>
      </c>
      <c r="J66" s="90" t="n">
        <f aca="false">(J24+J25)/J22*100</f>
        <v>76.3106977524374</v>
      </c>
      <c r="K66" s="90" t="n">
        <f aca="false">(K24+K25)/K22*100</f>
        <v>74.7512474663164</v>
      </c>
      <c r="L66" s="90" t="n">
        <f aca="false">(L24+L25)/L22*100</f>
        <v>73.5071239067899</v>
      </c>
      <c r="M66" s="90" t="n">
        <f aca="false">(M24+M25)/M22*100</f>
        <v>72.5548015715996</v>
      </c>
      <c r="N66" s="90" t="n">
        <f aca="false">(N24+N25)/N22*100</f>
        <v>72.6254889303645</v>
      </c>
      <c r="O66" s="90" t="n">
        <f aca="false">(O24+O25)/O22*100</f>
        <v>70.2247331310707</v>
      </c>
      <c r="P66" s="90" t="n">
        <f aca="false">(P24+P25)/P22*100</f>
        <v>71.3833789103638</v>
      </c>
      <c r="Q66" s="70" t="n">
        <f aca="false">(Q24+Q25)/Q22*100</f>
        <v>73.1849499710824</v>
      </c>
      <c r="R66" s="70" t="n">
        <f aca="false">(R24+R25)/R22*100</f>
        <v>73.8762980796116</v>
      </c>
      <c r="S66" s="70" t="n">
        <f aca="false">(S24+S25)/S22*100</f>
        <v>73.5793470376898</v>
      </c>
      <c r="T66" s="70" t="n">
        <f aca="false">(T24+T25)/T22*100</f>
        <v>73.1561021281403</v>
      </c>
      <c r="U66" s="70" t="n">
        <f aca="false">(U24+U25)/U22*100</f>
        <v>72.0980706100013</v>
      </c>
      <c r="V66" s="478" t="n">
        <f aca="false">(V24+V25)/V22*100</f>
        <v>73.0471736578103</v>
      </c>
      <c r="W66" s="70" t="n">
        <f aca="false">(W24+W25)/W22*100</f>
        <v>72.0537718602961</v>
      </c>
      <c r="X66" s="70" t="n">
        <f aca="false">(X24+X25)/X22*100</f>
        <v>73.5396165439162</v>
      </c>
      <c r="Y66" s="70" t="n">
        <f aca="false">(Y24+Y25)/Y22*100</f>
        <v>73.9204221686459</v>
      </c>
      <c r="Z66" s="70" t="n">
        <f aca="false">(Z24+Z25)/Z22*100</f>
        <v>74.4401006156292</v>
      </c>
      <c r="AA66" s="70" t="n">
        <f aca="false">(AA24+AA25)/AA22*100</f>
        <v>72.7773833363837</v>
      </c>
      <c r="AB66" s="70" t="n">
        <f aca="false">(AB24+AB25)/AB22*100</f>
        <v>72.7940709556346</v>
      </c>
      <c r="AC66" s="70" t="n">
        <f aca="false">(AC24+AC25)/AC22*100</f>
        <v>71.859150848312</v>
      </c>
      <c r="AD66" s="70" t="n">
        <f aca="false">(AD24+AD25)/AD22*100</f>
        <v>75.7557499985651</v>
      </c>
      <c r="AE66" s="70" t="n">
        <f aca="false">(AE24+AE25)/AE22*100</f>
        <v>75.4578959748068</v>
      </c>
      <c r="AF66" s="70" t="n">
        <f aca="false">(AF24+AF25)/AF22*100</f>
        <v>76.3139657779222</v>
      </c>
      <c r="AG66" s="70" t="n">
        <f aca="false">(AG24+AG25)/AG22*100</f>
        <v>79.7059872328411</v>
      </c>
      <c r="AH66" s="70" t="n">
        <f aca="false">(AH24+AH25)/AH22*100</f>
        <v>75.2853724762837</v>
      </c>
      <c r="AI66" s="70" t="n">
        <f aca="false">(AI24+AI25)/AI22*100</f>
        <v>73.2859940957386</v>
      </c>
      <c r="AJ66" s="70" t="n">
        <f aca="false">(AJ24+AJ25)/AJ22*100</f>
        <v>73.5995260682655</v>
      </c>
      <c r="AK66" s="70" t="n">
        <f aca="false">(AK24+AK25)/AK22*100</f>
        <v>74.4774057958816</v>
      </c>
      <c r="AL66" s="70" t="n">
        <f aca="false">(AL24+AL25)/AL22*100</f>
        <v>72.75104925323</v>
      </c>
      <c r="AM66" s="472"/>
      <c r="AN66" s="70" t="n">
        <f aca="false">(AN24+AN25)/AN22*100</f>
        <v>69.4355178739735</v>
      </c>
      <c r="AO66" s="70" t="n">
        <f aca="false">(AO24+AO25)/AO22*100</f>
        <v>70.3971281231639</v>
      </c>
      <c r="AP66" s="273" t="n">
        <v>70.2</v>
      </c>
      <c r="AQ66" s="70" t="n">
        <f aca="false">(AQ24+AQ25)/AQ22*100</f>
        <v>70.7852691492726</v>
      </c>
      <c r="AR66" s="474"/>
      <c r="AS66" s="70" t="n">
        <f aca="false">(AS24+AS25)/AS22*100</f>
        <v>70.9543958020869</v>
      </c>
      <c r="AT66" s="448" t="n">
        <f aca="false">(AT24+AT25)/AT22*100</f>
        <v>70.4614491467219</v>
      </c>
      <c r="AU66" s="273" t="n">
        <v>71.2</v>
      </c>
    </row>
    <row r="67" customFormat="false" ht="12" hidden="false" customHeight="true" outlineLevel="0" collapsed="false">
      <c r="A67" s="46" t="s">
        <v>904</v>
      </c>
      <c r="B67" s="90" t="n">
        <f aca="false">B26/B22*100</f>
        <v>9.06851177633945</v>
      </c>
      <c r="C67" s="81" t="n">
        <f aca="false">C26/C22*100</f>
        <v>7.18186380668381</v>
      </c>
      <c r="D67" s="81" t="n">
        <f aca="false">D26/D22*100</f>
        <v>6.46402912706016</v>
      </c>
      <c r="E67" s="81" t="n">
        <f aca="false">E26/E22*100</f>
        <v>5.07723291918959</v>
      </c>
      <c r="F67" s="90" t="n">
        <f aca="false">F26/F22*100</f>
        <v>8.58098797020865</v>
      </c>
      <c r="G67" s="90" t="n">
        <f aca="false">G26/G22*100</f>
        <v>9.27415982871812</v>
      </c>
      <c r="H67" s="90" t="n">
        <f aca="false">H26/H22*100</f>
        <v>8.21001487710004</v>
      </c>
      <c r="I67" s="81" t="n">
        <f aca="false">I26/I22*100</f>
        <v>6.53230575272101</v>
      </c>
      <c r="J67" s="90" t="n">
        <f aca="false">J26/J22*100</f>
        <v>8.63353651512875</v>
      </c>
      <c r="K67" s="90" t="n">
        <f aca="false">K26/K22*100</f>
        <v>8.4130646804005</v>
      </c>
      <c r="L67" s="90" t="n">
        <f aca="false">L26/L22*100</f>
        <v>12.2423048527934</v>
      </c>
      <c r="M67" s="81" t="n">
        <f aca="false">M26/M22*100</f>
        <v>10.1783729380144</v>
      </c>
      <c r="N67" s="90" t="n">
        <f aca="false">N26/N22*100</f>
        <v>15.7918616999707</v>
      </c>
      <c r="O67" s="90" t="n">
        <f aca="false">O26/O22*100</f>
        <v>10.6170523563455</v>
      </c>
      <c r="P67" s="90" t="n">
        <f aca="false">P26/P22*100</f>
        <v>9.56288132023276</v>
      </c>
      <c r="Q67" s="70" t="n">
        <f aca="false">Q26/Q22*100</f>
        <v>6.1486637712543</v>
      </c>
      <c r="R67" s="70" t="n">
        <f aca="false">R26/R22*100</f>
        <v>8.62423716814054</v>
      </c>
      <c r="S67" s="70" t="n">
        <f aca="false">S26/S22*100</f>
        <v>7.79260300789862</v>
      </c>
      <c r="T67" s="70" t="n">
        <f aca="false">T26/T22*100</f>
        <v>9.78443279547455</v>
      </c>
      <c r="U67" s="70" t="n">
        <f aca="false">U26/U22*100</f>
        <v>7.88318225320503</v>
      </c>
      <c r="V67" s="478" t="n">
        <f aca="false">V26/V22*100</f>
        <v>8.39845961069857</v>
      </c>
      <c r="W67" s="70" t="n">
        <f aca="false">W26/W22*100</f>
        <v>10.0075535783124</v>
      </c>
      <c r="X67" s="70" t="n">
        <f aca="false">X26/X22*100</f>
        <v>8.12757297393228</v>
      </c>
      <c r="Y67" s="70" t="n">
        <f aca="false">Y26/Y22*100</f>
        <v>9.45629153721599</v>
      </c>
      <c r="Z67" s="70" t="n">
        <f aca="false">Z26/Z22*100</f>
        <v>5.7253177733966</v>
      </c>
      <c r="AA67" s="70" t="n">
        <f aca="false">AA26/AA22*100</f>
        <v>8.9067201818267</v>
      </c>
      <c r="AB67" s="70" t="n">
        <f aca="false">AB26/AB22*100</f>
        <v>8.00367288619044</v>
      </c>
      <c r="AC67" s="70" t="n">
        <f aca="false">AC26/AC22*100</f>
        <v>10.9938043105807</v>
      </c>
      <c r="AD67" s="70" t="n">
        <f aca="false">AD26/AD22*100</f>
        <v>7.56730563794431</v>
      </c>
      <c r="AE67" s="70" t="n">
        <f aca="false">AE26/AE22*100</f>
        <v>10.9225649078692</v>
      </c>
      <c r="AF67" s="70" t="n">
        <f aca="false">AF26/AF22*100</f>
        <v>9.98470715142171</v>
      </c>
      <c r="AG67" s="70" t="n">
        <f aca="false">AG26/AG22*100</f>
        <v>12.2680995866045</v>
      </c>
      <c r="AH67" s="70" t="n">
        <f aca="false">AH26/AH22*100</f>
        <v>8.03726405790007</v>
      </c>
      <c r="AI67" s="70" t="n">
        <f aca="false">AI26/AI22*100</f>
        <v>11.4269185822476</v>
      </c>
      <c r="AJ67" s="70" t="n">
        <f aca="false">AJ26/AJ22*100</f>
        <v>9.05928267664769</v>
      </c>
      <c r="AK67" s="70" t="n">
        <f aca="false">AK26/AK22*100</f>
        <v>8.24274190791429</v>
      </c>
      <c r="AL67" s="70" t="n">
        <f aca="false">AL26/AL22*100</f>
        <v>7.37576776284375</v>
      </c>
      <c r="AM67" s="472"/>
      <c r="AN67" s="70" t="n">
        <f aca="false">AN26/AN22*100</f>
        <v>8.60181165528711</v>
      </c>
      <c r="AO67" s="70" t="n">
        <f aca="false">AO26/AO22*100</f>
        <v>7.65937742086458</v>
      </c>
      <c r="AP67" s="70" t="n">
        <f aca="false">AP26/AP22*100</f>
        <v>8.38228479940324</v>
      </c>
      <c r="AQ67" s="70" t="n">
        <f aca="false">AQ26/AQ22*100</f>
        <v>8.54712252540761</v>
      </c>
      <c r="AR67" s="474"/>
      <c r="AS67" s="70" t="n">
        <f aca="false">AS26/AS22*100</f>
        <v>5.722648373262</v>
      </c>
      <c r="AT67" s="448" t="n">
        <f aca="false">AT26/AT22*100</f>
        <v>7.43161065083897</v>
      </c>
      <c r="AU67" s="70" t="n">
        <f aca="false">AU26/AU22*100</f>
        <v>8.40750166003496</v>
      </c>
    </row>
    <row r="68" customFormat="false" ht="12" hidden="false" customHeight="true" outlineLevel="0" collapsed="false">
      <c r="A68" s="46" t="s">
        <v>905</v>
      </c>
      <c r="B68" s="90" t="n">
        <f aca="false">B27/B22*100</f>
        <v>9.23952433926645</v>
      </c>
      <c r="C68" s="81" t="n">
        <f aca="false">C27/C22*100</f>
        <v>9.38419939834853</v>
      </c>
      <c r="D68" s="81" t="n">
        <f aca="false">D27/D22*100</f>
        <v>6.775855638333</v>
      </c>
      <c r="E68" s="81" t="n">
        <f aca="false">E27/E22*100</f>
        <v>9.13132826304064</v>
      </c>
      <c r="F68" s="90" t="n">
        <f aca="false">F27/F22*100</f>
        <v>9.89709723145782</v>
      </c>
      <c r="G68" s="90" t="n">
        <f aca="false">G27/G22*100</f>
        <v>6.31344170951959</v>
      </c>
      <c r="H68" s="90" t="n">
        <f aca="false">H27/H22*100</f>
        <v>7.28544588524301</v>
      </c>
      <c r="I68" s="81" t="n">
        <f aca="false">I27/I22*100</f>
        <v>7.67847837923814</v>
      </c>
      <c r="J68" s="90" t="n">
        <f aca="false">J27/J22*100</f>
        <v>7.0371412358542</v>
      </c>
      <c r="K68" s="90" t="n">
        <f aca="false">K27/K22*100</f>
        <v>8.58761432618709</v>
      </c>
      <c r="L68" s="90" t="n">
        <f aca="false">L27/L22*100</f>
        <v>9.41718140501413</v>
      </c>
      <c r="M68" s="81" t="n">
        <f aca="false">M27/M22*100</f>
        <v>9.81051159079304</v>
      </c>
      <c r="N68" s="90" t="n">
        <f aca="false">N27/N22*100</f>
        <v>10.2492079026709</v>
      </c>
      <c r="O68" s="90" t="n">
        <f aca="false">O27/O22*100</f>
        <v>8.6333098516649</v>
      </c>
      <c r="P68" s="90" t="n">
        <f aca="false">P27/P22*100</f>
        <v>7.69457191227002</v>
      </c>
      <c r="Q68" s="70" t="n">
        <f aca="false">Q27/Q22*100</f>
        <v>6.5121327704194</v>
      </c>
      <c r="R68" s="70" t="n">
        <f aca="false">R27/R22*100</f>
        <v>7.47378350760597</v>
      </c>
      <c r="S68" s="70" t="n">
        <f aca="false">S27/S22*100</f>
        <v>7.34343556607158</v>
      </c>
      <c r="T68" s="70" t="n">
        <f aca="false">T27/T22*100</f>
        <v>8.43775568301845</v>
      </c>
      <c r="U68" s="70" t="n">
        <f aca="false">U27/U22*100</f>
        <v>6.70108926626772</v>
      </c>
      <c r="V68" s="478" t="n">
        <f aca="false">V27/V22*100</f>
        <v>7.36899211878994</v>
      </c>
      <c r="W68" s="70" t="n">
        <f aca="false">W27/W22*100</f>
        <v>8.51536722412208</v>
      </c>
      <c r="X68" s="70" t="n">
        <f aca="false">X27/X22*100</f>
        <v>7.63164636595162</v>
      </c>
      <c r="Y68" s="70" t="n">
        <f aca="false">Y27/Y22*100</f>
        <v>9.31819499777241</v>
      </c>
      <c r="Z68" s="70" t="n">
        <f aca="false">Z27/Z22*100</f>
        <v>8.93348421177623</v>
      </c>
      <c r="AA68" s="70" t="n">
        <f aca="false">AA27/AA22*100</f>
        <v>10.3122080483424</v>
      </c>
      <c r="AB68" s="70" t="n">
        <f aca="false">AB27/AB22*100</f>
        <v>9.06620069413484</v>
      </c>
      <c r="AC68" s="70" t="n">
        <f aca="false">AC27/AC22*100</f>
        <v>12.8489026657692</v>
      </c>
      <c r="AD68" s="70" t="n">
        <f aca="false">AD27/AD22*100</f>
        <v>11.3583891351656</v>
      </c>
      <c r="AE68" s="70" t="n">
        <f aca="false">AE27/AE22*100</f>
        <v>12.6356579964904</v>
      </c>
      <c r="AF68" s="70" t="n">
        <f aca="false">AF27/AF22*100</f>
        <v>11.4943067467501</v>
      </c>
      <c r="AG68" s="70" t="n">
        <f aca="false">AG27/AG22*100</f>
        <v>12.9871552765966</v>
      </c>
      <c r="AH68" s="70" t="n">
        <f aca="false">AH27/AH22*100</f>
        <v>10.6990883414986</v>
      </c>
      <c r="AI68" s="70" t="n">
        <f aca="false">AI27/AI22*100</f>
        <v>10.6020226946155</v>
      </c>
      <c r="AJ68" s="70" t="n">
        <f aca="false">AJ27/AJ22*100</f>
        <v>10.0567595533003</v>
      </c>
      <c r="AK68" s="70" t="n">
        <f aca="false">AK27/AK22*100</f>
        <v>10.1942164838057</v>
      </c>
      <c r="AL68" s="70" t="n">
        <f aca="false">AL27/AL22*100</f>
        <v>9.72835213671913</v>
      </c>
      <c r="AM68" s="472"/>
      <c r="AN68" s="70" t="n">
        <f aca="false">AN27/AN22*100</f>
        <v>11.843513945218</v>
      </c>
      <c r="AO68" s="70" t="n">
        <f aca="false">AO27/AO22*100</f>
        <v>9.9094480369537</v>
      </c>
      <c r="AP68" s="70" t="n">
        <f aca="false">AP27/AP22*100</f>
        <v>11.1763797325377</v>
      </c>
      <c r="AQ68" s="70" t="n">
        <f aca="false">AQ27/AQ22*100</f>
        <v>10.149153884085</v>
      </c>
      <c r="AR68" s="474"/>
      <c r="AS68" s="70" t="n">
        <f aca="false">AS27/AS22*100</f>
        <v>10.6769067175633</v>
      </c>
      <c r="AT68" s="448" t="n">
        <f aca="false">AT27/AT22*100</f>
        <v>10.5990223850523</v>
      </c>
      <c r="AU68" s="70" t="n">
        <f aca="false">AU27/AU22*100</f>
        <v>10.113371562071</v>
      </c>
    </row>
    <row r="69" customFormat="false" ht="12" hidden="false" customHeight="true" outlineLevel="0" collapsed="false">
      <c r="B69" s="40"/>
      <c r="F69" s="40"/>
      <c r="J69" s="40"/>
      <c r="N69" s="40"/>
      <c r="AA69" s="443"/>
      <c r="AB69" s="443"/>
      <c r="AC69" s="443"/>
      <c r="AD69" s="443"/>
      <c r="AE69" s="443"/>
      <c r="AF69" s="443"/>
      <c r="AG69" s="443"/>
      <c r="AH69" s="443"/>
      <c r="AI69" s="443"/>
      <c r="AJ69" s="443"/>
      <c r="AK69" s="443"/>
      <c r="AL69" s="443"/>
      <c r="AM69" s="472"/>
      <c r="AN69" s="443"/>
      <c r="AO69" s="443"/>
      <c r="AQ69" s="443"/>
      <c r="AR69" s="443"/>
      <c r="AS69" s="443"/>
      <c r="AT69" s="472"/>
    </row>
    <row r="70" customFormat="false" ht="12.75" hidden="false" customHeight="true" outlineLevel="0" collapsed="false">
      <c r="A70" s="39" t="s">
        <v>284</v>
      </c>
      <c r="B70" s="196" t="n">
        <v>1309.9</v>
      </c>
      <c r="C70" s="48" t="n">
        <v>1309.9</v>
      </c>
      <c r="D70" s="48" t="n">
        <v>1323.3</v>
      </c>
      <c r="E70" s="48" t="n">
        <v>1323.3</v>
      </c>
      <c r="F70" s="196" t="n">
        <v>1330.34</v>
      </c>
      <c r="G70" s="196" t="n">
        <v>1331.34</v>
      </c>
      <c r="H70" s="48" t="n">
        <v>1330.34</v>
      </c>
      <c r="I70" s="48" t="n">
        <v>1330.34</v>
      </c>
      <c r="J70" s="196" t="n">
        <v>1330.34</v>
      </c>
      <c r="K70" s="196" t="n">
        <v>1330.34</v>
      </c>
      <c r="L70" s="48" t="n">
        <v>1330.34</v>
      </c>
      <c r="M70" s="48" t="n">
        <v>1330.34</v>
      </c>
      <c r="N70" s="196" t="n">
        <v>1330.34</v>
      </c>
      <c r="O70" s="196" t="n">
        <v>1330.34</v>
      </c>
      <c r="P70" s="48" t="n">
        <v>1330.34</v>
      </c>
      <c r="Q70" s="48" t="n">
        <v>1330.34</v>
      </c>
      <c r="R70" s="48" t="n">
        <v>1330.34</v>
      </c>
      <c r="S70" s="48" t="n">
        <v>1330.34</v>
      </c>
      <c r="T70" s="48" t="n">
        <v>1330.34</v>
      </c>
      <c r="U70" s="48" t="n">
        <v>1330.34</v>
      </c>
      <c r="V70" s="483" t="n">
        <v>1330.34</v>
      </c>
      <c r="W70" s="48" t="n">
        <v>1330.34</v>
      </c>
      <c r="X70" s="58" t="n">
        <f aca="false">1330.34*2</f>
        <v>2660.68</v>
      </c>
      <c r="Y70" s="58" t="n">
        <f aca="false">1330.34*2</f>
        <v>2660.68</v>
      </c>
      <c r="Z70" s="58" t="n">
        <f aca="false">1330.34*2</f>
        <v>2660.68</v>
      </c>
      <c r="AA70" s="58" t="n">
        <f aca="false">1330.34*2</f>
        <v>2660.68</v>
      </c>
      <c r="AB70" s="58" t="n">
        <f aca="false">1330.34*2</f>
        <v>2660.68</v>
      </c>
      <c r="AC70" s="58" t="n">
        <f aca="false">1330.34*2</f>
        <v>2660.68</v>
      </c>
      <c r="AD70" s="58" t="n">
        <f aca="false">1330.34*2</f>
        <v>2660.68</v>
      </c>
      <c r="AE70" s="58" t="n">
        <f aca="false">1330.34*2</f>
        <v>2660.68</v>
      </c>
      <c r="AF70" s="58" t="n">
        <f aca="false">1330.34*2</f>
        <v>2660.68</v>
      </c>
      <c r="AG70" s="58" t="n">
        <f aca="false">1330.34*2</f>
        <v>2660.68</v>
      </c>
      <c r="AH70" s="58" t="n">
        <f aca="false">1330.34*2</f>
        <v>2660.68</v>
      </c>
      <c r="AI70" s="58" t="n">
        <f aca="false">1330.34*2</f>
        <v>2660.68</v>
      </c>
      <c r="AJ70" s="484" t="n">
        <f aca="false">+'Main Model'!X84</f>
        <v>5691.76</v>
      </c>
      <c r="AK70" s="484" t="n">
        <f aca="false">+'Main Model'!Y84</f>
        <v>5691.76</v>
      </c>
      <c r="AL70" s="484" t="n">
        <f aca="false">+'Main Model'!Z84</f>
        <v>5691.76</v>
      </c>
      <c r="AM70" s="472"/>
      <c r="AN70" s="48" t="n">
        <v>2845.88</v>
      </c>
      <c r="AO70" s="48" t="n">
        <v>2845.88</v>
      </c>
      <c r="AP70" s="48" t="n">
        <v>2845.88</v>
      </c>
      <c r="AQ70" s="48" t="n">
        <v>2845.88</v>
      </c>
      <c r="AR70" s="443"/>
      <c r="AS70" s="48" t="n">
        <v>2845.88</v>
      </c>
      <c r="AT70" s="472"/>
      <c r="AU70" s="48" t="n">
        <v>2845.88</v>
      </c>
    </row>
    <row r="71" customFormat="false" ht="12" hidden="false" customHeight="true" outlineLevel="0" collapsed="false">
      <c r="B71" s="40"/>
      <c r="F71" s="40"/>
      <c r="I71" s="32"/>
      <c r="J71" s="40"/>
      <c r="M71" s="32"/>
      <c r="N71" s="40"/>
      <c r="O71" s="32"/>
      <c r="Q71" s="32"/>
      <c r="AA71" s="443"/>
      <c r="AB71" s="443"/>
      <c r="AC71" s="443"/>
      <c r="AD71" s="443"/>
      <c r="AE71" s="443"/>
      <c r="AF71" s="443"/>
      <c r="AG71" s="443"/>
      <c r="AH71" s="443"/>
      <c r="AI71" s="443"/>
      <c r="AJ71" s="443"/>
      <c r="AK71" s="443"/>
      <c r="AL71" s="443"/>
      <c r="AM71" s="472"/>
      <c r="AN71" s="443"/>
      <c r="AO71" s="443"/>
      <c r="AQ71" s="443"/>
      <c r="AR71" s="443"/>
      <c r="AS71" s="443"/>
      <c r="AT71" s="472"/>
    </row>
    <row r="72" customFormat="false" ht="12" hidden="false" customHeight="true" outlineLevel="0" collapsed="false">
      <c r="A72" s="46" t="s">
        <v>285</v>
      </c>
      <c r="B72" s="81" t="n">
        <f aca="false">B42/B70</f>
        <v>0.557470035880602</v>
      </c>
      <c r="C72" s="122" t="n">
        <f aca="false">C42/C70</f>
        <v>0.565435250180099</v>
      </c>
      <c r="D72" s="122" t="n">
        <f aca="false">D42/D70</f>
        <v>0.77984583994559</v>
      </c>
      <c r="E72" s="122" t="n">
        <f aca="false">E42/E70</f>
        <v>1.28867573797892</v>
      </c>
      <c r="F72" s="81" t="n">
        <f aca="false">F42/F70</f>
        <v>0.689147135318794</v>
      </c>
      <c r="G72" s="122" t="n">
        <f aca="false">G42/G70</f>
        <v>0.64127490763475</v>
      </c>
      <c r="H72" s="122" t="n">
        <f aca="false">H42/H70</f>
        <v>0.665198370341417</v>
      </c>
      <c r="I72" s="122" t="n">
        <f aca="false">I42/I70</f>
        <v>1.42713679595153</v>
      </c>
      <c r="J72" s="81" t="n">
        <f aca="false">J42/J70</f>
        <v>0.574814934528017</v>
      </c>
      <c r="K72" s="122" t="n">
        <f aca="false">K42/K70</f>
        <v>0.492430957499586</v>
      </c>
      <c r="L72" s="122" t="n">
        <f aca="false">L42/L70</f>
        <v>-0.0293700106739631</v>
      </c>
      <c r="M72" s="122" t="n">
        <f aca="false">M42/M70</f>
        <v>0.269562668190086</v>
      </c>
      <c r="N72" s="81" t="n">
        <f aca="false">N42/N70</f>
        <v>-0.320917960822045</v>
      </c>
      <c r="O72" s="122" t="n">
        <f aca="false">O42/O70</f>
        <v>0.672558143031105</v>
      </c>
      <c r="P72" s="122" t="n">
        <f aca="false">P42/P70</f>
        <v>0.793836162184104</v>
      </c>
      <c r="Q72" s="122" t="n">
        <f aca="false">Q42/Q70</f>
        <v>1.8943903172883</v>
      </c>
      <c r="R72" s="122" t="n">
        <f aca="false">R42/R70</f>
        <v>0.92189891305982</v>
      </c>
      <c r="S72" s="122" t="n">
        <f aca="false">S42/S70</f>
        <v>1.25576243667033</v>
      </c>
      <c r="T72" s="122" t="n">
        <f aca="false">T42/T70</f>
        <v>0.52143136341086</v>
      </c>
      <c r="U72" s="122" t="n">
        <f aca="false">U42/U70</f>
        <v>2.24174421576439</v>
      </c>
      <c r="V72" s="485" t="n">
        <f aca="false">V42/V70</f>
        <v>4.9408369289054</v>
      </c>
      <c r="W72" s="122" t="n">
        <f aca="false">W42/W70</f>
        <v>0.592962027492775</v>
      </c>
      <c r="X72" s="122" t="n">
        <f aca="false">X42/X70</f>
        <v>0.579106844866726</v>
      </c>
      <c r="Y72" s="122" t="n">
        <f aca="false">Y42/Y70</f>
        <v>0.251452260324429</v>
      </c>
      <c r="Z72" s="122" t="n">
        <f aca="false">Z42/Z70</f>
        <v>0.967510540229592</v>
      </c>
      <c r="AA72" s="122" t="n">
        <f aca="false">AA42/AA70</f>
        <v>0.251574409549438</v>
      </c>
      <c r="AB72" s="122" t="n">
        <f aca="false">AB42/AB70</f>
        <v>0.53594043627945</v>
      </c>
      <c r="AC72" s="122" t="n">
        <f aca="false">AC42/AC70</f>
        <v>-0.308626366192101</v>
      </c>
      <c r="AD72" s="122" t="n">
        <f aca="false">AD42/AD70</f>
        <v>0.0584921940028016</v>
      </c>
      <c r="AE72" s="122" t="n">
        <f aca="false">AE42/AE70</f>
        <v>-0.508287730955996</v>
      </c>
      <c r="AF72" s="122" t="n">
        <f aca="false">AF42/AF70</f>
        <v>-0.258625990348331</v>
      </c>
      <c r="AG72" s="122" t="n">
        <f aca="false">AG42/AG70</f>
        <v>-0.975410421396034</v>
      </c>
      <c r="AH72" s="122" t="n">
        <f aca="false">AH42/AH70</f>
        <v>-0.0477362929777331</v>
      </c>
      <c r="AI72" s="122" t="n">
        <f aca="false">AI42/AI70</f>
        <v>-0.180223100861433</v>
      </c>
      <c r="AJ72" s="122" t="n">
        <f aca="false">AJ42/AJ70</f>
        <v>0.0205839669979059</v>
      </c>
      <c r="AK72" s="122" t="n">
        <f aca="false">AK42/AK70</f>
        <v>0.056388182214288</v>
      </c>
      <c r="AL72" s="122" t="n">
        <f aca="false">AL42/AL70</f>
        <v>0.41816766694309</v>
      </c>
      <c r="AM72" s="472"/>
      <c r="AN72" s="122" t="n">
        <f aca="false">AN42/AN70</f>
        <v>0.559822972156243</v>
      </c>
      <c r="AO72" s="122" t="n">
        <f aca="false">AO42/AO70</f>
        <v>1.02597685074564</v>
      </c>
      <c r="AP72" s="122" t="n">
        <f aca="false">AP42/AP70</f>
        <v>0.612927948865189</v>
      </c>
      <c r="AQ72" s="122" t="n">
        <f aca="false">AQ42/AQ70</f>
        <v>0.720838896931673</v>
      </c>
      <c r="AR72" s="486"/>
      <c r="AS72" s="122" t="n">
        <f aca="false">AS42/AS70</f>
        <v>1.60329704695912</v>
      </c>
      <c r="AT72" s="472"/>
      <c r="AU72" s="122" t="n">
        <f aca="false">AU42/AU70</f>
        <v>0.673736225761617</v>
      </c>
    </row>
    <row r="73" customFormat="false" ht="12" hidden="false" customHeight="true" outlineLevel="0" collapsed="false">
      <c r="A73" s="46" t="s">
        <v>286</v>
      </c>
      <c r="B73" s="81" t="n">
        <f aca="false">B46/B70</f>
        <v>0.807641804717918</v>
      </c>
      <c r="C73" s="81" t="n">
        <f aca="false">C46/C70</f>
        <v>0.843700766631737</v>
      </c>
      <c r="D73" s="81" t="n">
        <f aca="false">D46/D70</f>
        <v>1.03094536386307</v>
      </c>
      <c r="E73" s="122" t="n">
        <f aca="false">E46/E70</f>
        <v>1.65235744280775</v>
      </c>
      <c r="F73" s="81" t="n">
        <f aca="false">F46/F70</f>
        <v>0.999518919975348</v>
      </c>
      <c r="G73" s="81" t="n">
        <f aca="false">G46/G70</f>
        <v>0.991448417031298</v>
      </c>
      <c r="H73" s="81" t="n">
        <f aca="false">H46/H70</f>
        <v>0.972119909196145</v>
      </c>
      <c r="I73" s="122" t="n">
        <f aca="false">I46/I70</f>
        <v>1.79260727718189</v>
      </c>
      <c r="J73" s="81" t="n">
        <f aca="false">J46/J70</f>
        <v>0.906361757144792</v>
      </c>
      <c r="K73" s="81" t="n">
        <f aca="false">K46/K70</f>
        <v>0.872311288843453</v>
      </c>
      <c r="L73" s="81" t="n">
        <f aca="false">L46/L70</f>
        <v>0.239586045672535</v>
      </c>
      <c r="M73" s="122" t="n">
        <f aca="false">M46/M70</f>
        <v>0.630297517927747</v>
      </c>
      <c r="N73" s="81" t="n">
        <f aca="false">N46/N70</f>
        <v>0.00607363531127388</v>
      </c>
      <c r="O73" s="81" t="n">
        <f aca="false">O46/O70</f>
        <v>1.05277898882992</v>
      </c>
      <c r="P73" s="81" t="n">
        <f aca="false">P46/P70</f>
        <v>1.17923914187351</v>
      </c>
      <c r="Q73" s="81" t="n">
        <f aca="false">Q46/Q70</f>
        <v>2.33603155185991</v>
      </c>
      <c r="R73" s="81" t="n">
        <f aca="false">R46/R70</f>
        <v>1.38395222274005</v>
      </c>
      <c r="S73" s="81" t="n">
        <f aca="false">S46/S70</f>
        <v>1.73728821203602</v>
      </c>
      <c r="T73" s="81" t="n">
        <f aca="false">T46/T70</f>
        <v>1.00770404558233</v>
      </c>
      <c r="U73" s="81" t="n">
        <f aca="false">U46/U70</f>
        <v>2.82213794969707</v>
      </c>
      <c r="V73" s="487" t="n">
        <f aca="false">V46/V70</f>
        <v>6.95108243005548</v>
      </c>
      <c r="W73" s="81" t="n">
        <f aca="false">W46/W70</f>
        <v>1.22933167735672</v>
      </c>
      <c r="X73" s="81" t="n">
        <f aca="false">X46/X70</f>
        <v>0.902078791887788</v>
      </c>
      <c r="Y73" s="81" t="n">
        <f aca="false">Y46/Y70</f>
        <v>0.577040455823324</v>
      </c>
      <c r="Z73" s="81" t="n">
        <f aca="false">Z46/Z70</f>
        <v>1.32679200211152</v>
      </c>
      <c r="AA73" s="81" t="n">
        <f aca="false">AA46/AA70</f>
        <v>0.58702361802246</v>
      </c>
      <c r="AB73" s="81" t="n">
        <f aca="false">AB46/AB70</f>
        <v>0.905811672204101</v>
      </c>
      <c r="AC73" s="81" t="n">
        <f aca="false">AC46/AC70</f>
        <v>0.0413330426808183</v>
      </c>
      <c r="AD73" s="81" t="n">
        <f aca="false">AD46/AD70</f>
        <v>0.434363399859951</v>
      </c>
      <c r="AE73" s="81" t="n">
        <f aca="false">AE46/AE70</f>
        <v>-0.150584061217433</v>
      </c>
      <c r="AF73" s="81" t="n">
        <f aca="false">AF46/AF70</f>
        <v>0.0799502382849505</v>
      </c>
      <c r="AG73" s="81" t="n">
        <f aca="false">AG46/AG70</f>
        <v>-0.643422358194146</v>
      </c>
      <c r="AH73" s="81" t="n">
        <f aca="false">AH46/AH70</f>
        <v>0.341062059323183</v>
      </c>
      <c r="AI73" s="81" t="n">
        <f aca="false">AI46/AI70</f>
        <v>0.208080265195364</v>
      </c>
      <c r="AJ73" s="81" t="n">
        <f aca="false">AJ46/AJ70</f>
        <v>0.20168735153977</v>
      </c>
      <c r="AK73" s="81" t="n">
        <f aca="false">AK46/AK70</f>
        <v>0.231836549678833</v>
      </c>
      <c r="AL73" s="81" t="n">
        <f aca="false">AL46/AL70</f>
        <v>0.611571640406483</v>
      </c>
      <c r="AM73" s="472"/>
      <c r="AN73" s="81" t="n">
        <f aca="false">AN46/AN70</f>
        <v>0.926377429828386</v>
      </c>
      <c r="AO73" s="81" t="n">
        <f aca="false">AO46/AO70</f>
        <v>1.42283371048674</v>
      </c>
      <c r="AP73" s="81" t="n">
        <f aca="false">AP46/AP70</f>
        <v>0.99945162519729</v>
      </c>
      <c r="AQ73" s="81" t="n">
        <f aca="false">AQ46/AQ70</f>
        <v>1.10277067198895</v>
      </c>
      <c r="AR73" s="488"/>
      <c r="AS73" s="81" t="n">
        <f aca="false">AS46/AS70</f>
        <v>2.01693325087495</v>
      </c>
      <c r="AT73" s="472"/>
      <c r="AU73" s="81" t="n">
        <f aca="false">AU46/AU70</f>
        <v>1.09539841812391</v>
      </c>
    </row>
    <row r="74" customFormat="false" ht="12" hidden="false" customHeight="true" outlineLevel="0" collapsed="false">
      <c r="B74" s="75"/>
      <c r="E74" s="32"/>
      <c r="F74" s="75"/>
      <c r="I74" s="32"/>
      <c r="J74" s="75"/>
      <c r="M74" s="32"/>
      <c r="N74" s="75"/>
      <c r="AA74" s="443"/>
      <c r="AB74" s="443"/>
      <c r="AC74" s="443"/>
      <c r="AD74" s="443"/>
      <c r="AE74" s="443"/>
      <c r="AF74" s="443"/>
      <c r="AG74" s="443"/>
      <c r="AH74" s="443"/>
      <c r="AI74" s="443"/>
      <c r="AJ74" s="443"/>
      <c r="AK74" s="443"/>
      <c r="AL74" s="443"/>
      <c r="AM74" s="472"/>
      <c r="AN74" s="443"/>
      <c r="AO74" s="443"/>
      <c r="AQ74" s="443"/>
      <c r="AR74" s="443"/>
      <c r="AS74" s="443"/>
      <c r="AT74" s="472"/>
    </row>
    <row r="75" customFormat="false" ht="12" hidden="false" customHeight="true" outlineLevel="0" collapsed="false">
      <c r="A75" s="46" t="s">
        <v>907</v>
      </c>
      <c r="B75" s="81" t="n">
        <f aca="false">B41/B70</f>
        <v>0.528131918467059</v>
      </c>
      <c r="C75" s="81" t="n">
        <f aca="false">C41/C70</f>
        <v>0.728017405908846</v>
      </c>
      <c r="D75" s="81" t="n">
        <f aca="false">D41/D70</f>
        <v>0.795412982694778</v>
      </c>
      <c r="E75" s="122" t="n">
        <f aca="false">E41/E70</f>
        <v>1.29614599863976</v>
      </c>
      <c r="F75" s="81" t="n">
        <f aca="false">F41/F70</f>
        <v>0.662898206473537</v>
      </c>
      <c r="G75" s="81" t="n">
        <f aca="false">G41/G70</f>
        <v>0.603422116063513</v>
      </c>
      <c r="H75" s="81" t="n">
        <f aca="false">H41/H70</f>
        <v>0.903656208187381</v>
      </c>
      <c r="I75" s="122" t="n">
        <f aca="false">I41/I70</f>
        <v>1.35731467143738</v>
      </c>
      <c r="J75" s="81" t="n">
        <f aca="false">J41/J70</f>
        <v>0.380128388231582</v>
      </c>
      <c r="K75" s="81" t="n">
        <f aca="false">K41/K70</f>
        <v>0.505462513342453</v>
      </c>
      <c r="L75" s="81" t="n">
        <f aca="false">L41/L70</f>
        <v>0.141829908143783</v>
      </c>
      <c r="M75" s="122" t="n">
        <f aca="false">M41/M70</f>
        <v>0.400754694288677</v>
      </c>
      <c r="N75" s="81" t="n">
        <f aca="false">N41/N70</f>
        <v>0.0584136386186991</v>
      </c>
      <c r="O75" s="81" t="n">
        <f aca="false">O41/O70</f>
        <v>0.666036501946871</v>
      </c>
      <c r="P75" s="81" t="n">
        <f aca="false">P41/P70</f>
        <v>0.786511718808726</v>
      </c>
      <c r="Q75" s="81" t="n">
        <f aca="false">Q41/Q70</f>
        <v>1.67374205090428</v>
      </c>
      <c r="R75" s="81" t="n">
        <f aca="false">R41/R70</f>
        <v>0.92189891305982</v>
      </c>
      <c r="S75" s="81" t="n">
        <f aca="false">S41/S70</f>
        <v>1.25576243667033</v>
      </c>
      <c r="T75" s="81" t="n">
        <f aca="false">T41/T70</f>
        <v>0.325992603394623</v>
      </c>
      <c r="U75" s="81" t="n">
        <f aca="false">U41/U70</f>
        <v>2.24174421576439</v>
      </c>
      <c r="V75" s="487" t="n">
        <f aca="false">V41/V70</f>
        <v>4.74539816888916</v>
      </c>
      <c r="W75" s="81" t="n">
        <f aca="false">W41/W70</f>
        <v>0.648353052603095</v>
      </c>
      <c r="X75" s="81" t="n">
        <f aca="false">X41/X70</f>
        <v>0.579106844866726</v>
      </c>
      <c r="Y75" s="81" t="n">
        <f aca="false">Y41/Y70</f>
        <v>0.251452260324429</v>
      </c>
      <c r="Z75" s="81" t="n">
        <f aca="false">Z41/Z70</f>
        <v>0.972452155088173</v>
      </c>
      <c r="AA75" s="81" t="n">
        <f aca="false">AA41/AA70</f>
        <v>0.251574409549438</v>
      </c>
      <c r="AB75" s="81" t="n">
        <f aca="false">AB41/AB70</f>
        <v>0.53594043627945</v>
      </c>
      <c r="AC75" s="81" t="n">
        <f aca="false">AC41/AC70</f>
        <v>0.278655456499842</v>
      </c>
      <c r="AD75" s="81" t="n">
        <f aca="false">AD41/AD70</f>
        <v>0.563482647571062</v>
      </c>
      <c r="AE75" s="81" t="n">
        <f aca="false">AE41/AE70</f>
        <v>-0.53276117383526</v>
      </c>
      <c r="AF75" s="81" t="n">
        <f aca="false">AF41/AF70</f>
        <v>-0.094165401325976</v>
      </c>
      <c r="AG75" s="81" t="n">
        <f aca="false">AG41/AG70</f>
        <v>-0.628436339582363</v>
      </c>
      <c r="AH75" s="81" t="n">
        <f aca="false">AH41/AH70</f>
        <v>1.36578994843424</v>
      </c>
      <c r="AI75" s="81" t="n">
        <f aca="false">AI41/AI70</f>
        <v>-0.180223100861433</v>
      </c>
      <c r="AJ75" s="81" t="n">
        <f aca="false">AJ41/AJ70</f>
        <v>0.212041090980646</v>
      </c>
      <c r="AK75" s="81" t="n">
        <f aca="false">AK41/AK70</f>
        <v>0.056388182214288</v>
      </c>
      <c r="AL75" s="81" t="n">
        <f aca="false">AL41/AL70</f>
        <v>0.404047429968938</v>
      </c>
      <c r="AM75" s="472"/>
      <c r="AN75" s="81" t="n">
        <f aca="false">AN41/AN70</f>
        <v>0.559822972156243</v>
      </c>
      <c r="AO75" s="81" t="n">
        <f aca="false">AO41/AO70</f>
        <v>1.00780777826191</v>
      </c>
      <c r="AP75" s="81" t="n">
        <f aca="false">AP41/AP70</f>
        <v>0.612927948865189</v>
      </c>
      <c r="AQ75" s="81" t="n">
        <f aca="false">AQ41/AQ70</f>
        <v>0.697939828805118</v>
      </c>
      <c r="AR75" s="488"/>
      <c r="AS75" s="81" t="n">
        <f aca="false">AS41/AS70</f>
        <v>0.270642472627099</v>
      </c>
      <c r="AT75" s="472"/>
      <c r="AU75" s="81" t="n">
        <f aca="false">AU41/AU70</f>
        <v>0.673736225761617</v>
      </c>
    </row>
    <row r="76" customFormat="false" ht="12" hidden="false" customHeight="true" outlineLevel="0" collapsed="false">
      <c r="AA76" s="443"/>
      <c r="AB76" s="443"/>
      <c r="AC76" s="443"/>
      <c r="AD76" s="443"/>
      <c r="AE76" s="443"/>
      <c r="AF76" s="443"/>
      <c r="AG76" s="443"/>
      <c r="AH76" s="443"/>
      <c r="AI76" s="443"/>
      <c r="AJ76" s="443"/>
      <c r="AK76" s="443"/>
      <c r="AL76" s="443"/>
      <c r="AM76" s="472"/>
      <c r="AN76" s="443"/>
      <c r="AO76" s="443"/>
      <c r="AQ76" s="443"/>
      <c r="AR76" s="443"/>
      <c r="AS76" s="443"/>
      <c r="AT76" s="472"/>
    </row>
    <row r="77" s="489" customFormat="true" ht="12.75" hidden="false" customHeight="true" outlineLevel="0" collapsed="false">
      <c r="F77" s="490" t="n">
        <f aca="false">F22-F15-F14</f>
        <v>14866.21</v>
      </c>
      <c r="G77" s="491" t="s">
        <v>1016</v>
      </c>
      <c r="J77" s="492"/>
      <c r="N77" s="491" t="str">
        <f aca="false">+N1</f>
        <v>1QFY10</v>
      </c>
      <c r="O77" s="491" t="str">
        <f aca="false">+O1</f>
        <v>2QFY10</v>
      </c>
      <c r="P77" s="491" t="str">
        <f aca="false">+P1</f>
        <v>3QFY10</v>
      </c>
      <c r="Q77" s="491" t="str">
        <f aca="false">+Q1</f>
        <v>4QFY10A</v>
      </c>
      <c r="R77" s="491" t="str">
        <f aca="false">+R1</f>
        <v>1QFY11A</v>
      </c>
      <c r="S77" s="491" t="str">
        <f aca="false">+S1</f>
        <v>2QFY11A</v>
      </c>
      <c r="T77" s="491" t="str">
        <f aca="false">+T1</f>
        <v>3QFY11A</v>
      </c>
      <c r="U77" s="491" t="str">
        <f aca="false">+U1</f>
        <v>4QFY11A</v>
      </c>
      <c r="V77" s="491" t="str">
        <f aca="false">+V1</f>
        <v>FY11</v>
      </c>
      <c r="W77" s="491" t="str">
        <f aca="false">+W1</f>
        <v>1QFY12A</v>
      </c>
      <c r="X77" s="491" t="str">
        <f aca="false">+X1</f>
        <v>2QFY12A</v>
      </c>
      <c r="Y77" s="491" t="str">
        <f aca="false">+Y1</f>
        <v>3QFY12A</v>
      </c>
      <c r="Z77" s="491" t="str">
        <f aca="false">+Z1</f>
        <v>4QFY12A</v>
      </c>
      <c r="AA77" s="491" t="str">
        <f aca="false">+AA1</f>
        <v>1QFY13A</v>
      </c>
      <c r="AB77" s="491" t="str">
        <f aca="false">+AB1</f>
        <v>2QFY13A</v>
      </c>
      <c r="AC77" s="491" t="str">
        <f aca="false">+AC1</f>
        <v>3QFY13A</v>
      </c>
      <c r="AD77" s="491" t="str">
        <f aca="false">+AD1</f>
        <v>4QFY13A</v>
      </c>
      <c r="AE77" s="491" t="str">
        <f aca="false">+AE1</f>
        <v>1QFY14A</v>
      </c>
      <c r="AF77" s="491" t="str">
        <f aca="false">+AF1</f>
        <v>2QFY14A</v>
      </c>
      <c r="AG77" s="491" t="str">
        <f aca="false">+AG1</f>
        <v>3QFY14A</v>
      </c>
      <c r="AH77" s="491" t="str">
        <f aca="false">+AH1</f>
        <v>4QFY14A</v>
      </c>
      <c r="AI77" s="491" t="str">
        <f aca="false">+AI1</f>
        <v>1QFY15A</v>
      </c>
      <c r="AJ77" s="491" t="str">
        <f aca="false">+AJ1</f>
        <v>2QFY15A</v>
      </c>
      <c r="AK77" s="491" t="str">
        <f aca="false">+AK1</f>
        <v>3QFY15A</v>
      </c>
      <c r="AL77" s="491" t="str">
        <f aca="false">+AL1</f>
        <v>4QFY15A</v>
      </c>
      <c r="AM77" s="493"/>
      <c r="AN77" s="491" t="str">
        <f aca="false">+AN1</f>
        <v>1QFY16A</v>
      </c>
      <c r="AO77" s="491" t="str">
        <f aca="false">+AO1</f>
        <v>2QFY16A</v>
      </c>
      <c r="AP77" s="491" t="str">
        <f aca="false">+AP1</f>
        <v>3QFY16E</v>
      </c>
      <c r="AQ77" s="491" t="str">
        <f aca="false">+AQ1</f>
        <v>3QFY16A</v>
      </c>
      <c r="AR77" s="494"/>
      <c r="AS77" s="491" t="str">
        <f aca="false">+AS1</f>
        <v>4QFY16A</v>
      </c>
      <c r="AT77" s="493"/>
      <c r="AU77" s="491" t="str">
        <f aca="false">+AU1</f>
        <v>1QFY17E</v>
      </c>
    </row>
    <row r="78" customFormat="false" ht="12.75" hidden="false" customHeight="true" outlineLevel="0" collapsed="false">
      <c r="A78" s="46" t="s">
        <v>909</v>
      </c>
      <c r="F78" s="93"/>
      <c r="J78" s="93"/>
      <c r="K78" s="19"/>
      <c r="N78" s="62" t="n">
        <f aca="false">+N22/N6*1000000</f>
        <v>1185309.1712133</v>
      </c>
      <c r="O78" s="67" t="n">
        <f aca="false">+O22/O6*1000000</f>
        <v>1103584.63905988</v>
      </c>
      <c r="P78" s="62" t="n">
        <f aca="false">+P22/P6*1000000</f>
        <v>1125773.1754201</v>
      </c>
      <c r="Q78" s="62" t="n">
        <f aca="false">+Q22/Q6*1000000</f>
        <v>1138853.87685512</v>
      </c>
      <c r="R78" s="62" t="n">
        <f aca="false">+R22/R6*1000000</f>
        <v>1097083.49686945</v>
      </c>
      <c r="S78" s="62" t="n">
        <f aca="false">+S22/S6*1000000</f>
        <v>1103682.18788125</v>
      </c>
      <c r="T78" s="62" t="n">
        <f aca="false">+T22/T6*1000000</f>
        <v>1208030.10251125</v>
      </c>
      <c r="U78" s="62" t="n">
        <f aca="false">+U22/U6*1000000</f>
        <v>1289979.88476701</v>
      </c>
      <c r="V78" s="448" t="n">
        <f aca="false">+V22/V6*1000000</f>
        <v>1181377.67246143</v>
      </c>
      <c r="W78" s="62" t="n">
        <f aca="false">+W22/W6*1000000</f>
        <v>1294551.01934948</v>
      </c>
      <c r="X78" s="62" t="n">
        <f aca="false">+X22/X6*1000000</f>
        <v>1309704.92635856</v>
      </c>
      <c r="Y78" s="62" t="n">
        <f aca="false">+Y22/Y6*1000000</f>
        <v>1227744.28717599</v>
      </c>
      <c r="Z78" s="62" t="n">
        <f aca="false">+Z22/Z6*1000000</f>
        <v>1207974.69737727</v>
      </c>
      <c r="AA78" s="62" t="n">
        <f aca="false">+AA22/AA6*1000000</f>
        <v>1090211.05673373</v>
      </c>
      <c r="AB78" s="62" t="n">
        <f aca="false">+AB22/AB6*1000000</f>
        <v>1104572.88873995</v>
      </c>
      <c r="AC78" s="62" t="n">
        <f aca="false">+AC22/AC6*1000000</f>
        <v>1050255.84576017</v>
      </c>
      <c r="AD78" s="62" t="n">
        <f aca="false">+AD22/AD6*1000000</f>
        <v>1076749.87726341</v>
      </c>
      <c r="AE78" s="62" t="n">
        <f aca="false">+AE22/AE6*1000000</f>
        <v>1088261.12978224</v>
      </c>
      <c r="AF78" s="62" t="n">
        <f aca="false">+AF22/AF6*1000000</f>
        <v>1103255.34400692</v>
      </c>
      <c r="AG78" s="62" t="n">
        <f aca="false">+AG22/AG6*1000000</f>
        <v>1058480.73483986</v>
      </c>
      <c r="AH78" s="62" t="n">
        <f aca="false">+AH22/AH6*1000000</f>
        <v>1181195.13974202</v>
      </c>
      <c r="AI78" s="62" t="n">
        <f aca="false">+AI22/AI6*1000000</f>
        <v>1240079.87588209</v>
      </c>
      <c r="AJ78" s="62" t="n">
        <f aca="false">+AJ22/AJ6*1000000</f>
        <v>1267850.82154537</v>
      </c>
      <c r="AK78" s="62" t="n">
        <f aca="false">+AK22/AK6*1000000</f>
        <v>1321978.0129012</v>
      </c>
      <c r="AL78" s="62" t="n">
        <f aca="false">+AL22/AL6*1000000</f>
        <v>1319038.75991686</v>
      </c>
      <c r="AM78" s="472"/>
      <c r="AN78" s="62" t="n">
        <f aca="false">+AN22/AN6*1000000</f>
        <v>1362810.04754133</v>
      </c>
      <c r="AO78" s="62" t="n">
        <f aca="false">+AO22/AO6*1000000</f>
        <v>1323014.24860058</v>
      </c>
      <c r="AP78" s="62" t="n">
        <f aca="false">+AP22/AP6*1000000</f>
        <v>1230927.08903997</v>
      </c>
      <c r="AQ78" s="62" t="n">
        <f aca="false">+AQ22/AQ6*1000000</f>
        <v>1320921.01008794</v>
      </c>
      <c r="AR78" s="240"/>
      <c r="AS78" s="62" t="n">
        <f aca="false">+AS22/AS6*1000000</f>
        <v>1353657.97608765</v>
      </c>
      <c r="AT78" s="472"/>
      <c r="AU78" s="62" t="n">
        <f aca="false">+AU22/AU6*1000000</f>
        <v>1316694.44131409</v>
      </c>
    </row>
    <row r="79" customFormat="false" ht="12" hidden="false" customHeight="true" outlineLevel="0" collapsed="false">
      <c r="A79" s="46" t="s">
        <v>910</v>
      </c>
      <c r="F79" s="41"/>
      <c r="J79" s="41"/>
      <c r="N79" s="62" t="n">
        <f aca="false">+(N24+N25)/N6*1000000</f>
        <v>860836.580930112</v>
      </c>
      <c r="O79" s="62" t="n">
        <f aca="false">+(O24+O25)/O6*1000000</f>
        <v>774989.367655288</v>
      </c>
      <c r="P79" s="62" t="n">
        <f aca="false">+(P24+P25)/P6*1000000</f>
        <v>803614.931481367</v>
      </c>
      <c r="Q79" s="62" t="n">
        <f aca="false">+(Q24+Q25)/Q6*1000000</f>
        <v>833469.64002015</v>
      </c>
      <c r="R79" s="62" t="n">
        <f aca="false">+(R24+R25)/R6*1000000</f>
        <v>810484.674329502</v>
      </c>
      <c r="S79" s="62" t="n">
        <f aca="false">+(S24+S25)/S6*1000000</f>
        <v>812082.147214315</v>
      </c>
      <c r="T79" s="62" t="n">
        <f aca="false">+(T24+T25)/T6*1000000</f>
        <v>883747.735531811</v>
      </c>
      <c r="U79" s="62" t="n">
        <f aca="false">+(U24+U25)/U6*1000000</f>
        <v>930050.60817413</v>
      </c>
      <c r="V79" s="448" t="n">
        <f aca="false">+(V24+V25)/V6*1000000</f>
        <v>862962.999957496</v>
      </c>
      <c r="W79" s="62" t="n">
        <f aca="false">+(W24+W25)/W6*1000000</f>
        <v>932772.838097214</v>
      </c>
      <c r="X79" s="62" t="n">
        <f aca="false">+(X24+X25)/X6*1000000</f>
        <v>963151.980700863</v>
      </c>
      <c r="Y79" s="62" t="n">
        <f aca="false">+(Y24+Y25)/Y6*1000000</f>
        <v>907553.760231924</v>
      </c>
      <c r="Z79" s="62" t="n">
        <f aca="false">+(Z24+Z25)/Z6*1000000</f>
        <v>899217.580138982</v>
      </c>
      <c r="AA79" s="62" t="n">
        <f aca="false">+(AA24+AA25)/AA6*1000000</f>
        <v>793427.079934747</v>
      </c>
      <c r="AB79" s="62" t="n">
        <f aca="false">+(AB24+AB25)/AB6*1000000</f>
        <v>804063.572386059</v>
      </c>
      <c r="AC79" s="62" t="n">
        <f aca="false">+(AC24+AC25)/AC6*1000000</f>
        <v>754704.932498015</v>
      </c>
      <c r="AD79" s="62" t="n">
        <f aca="false">+(AD24+AD25)/AD6*1000000</f>
        <v>815699.945129523</v>
      </c>
      <c r="AE79" s="62" t="n">
        <f aca="false">+(AE24+AE25)/AE6*1000000</f>
        <v>821178.951245339</v>
      </c>
      <c r="AF79" s="62" t="n">
        <f aca="false">+(AF24+AF25)/AF6*1000000</f>
        <v>841937.905668542</v>
      </c>
      <c r="AG79" s="62" t="n">
        <f aca="false">+(AG24+AG25)/AG6*1000000</f>
        <v>843672.519373544</v>
      </c>
      <c r="AH79" s="62" t="n">
        <f aca="false">+(AH24+AH25)/AH6*1000000</f>
        <v>889267.160626536</v>
      </c>
      <c r="AI79" s="62" t="n">
        <f aca="false">+(AI24+AI25)/AI6*1000000</f>
        <v>908804.86462139</v>
      </c>
      <c r="AJ79" s="62" t="n">
        <f aca="false">+(AJ24+AJ25)/AJ6*1000000</f>
        <v>933132.195910004</v>
      </c>
      <c r="AK79" s="62" t="n">
        <f aca="false">+(AK24+AK25)/AK6*1000000</f>
        <v>984574.929200755</v>
      </c>
      <c r="AL79" s="62" t="n">
        <f aca="false">+(AL24+AL25)/AL6*1000000</f>
        <v>959614.537896308</v>
      </c>
      <c r="AM79" s="472"/>
      <c r="AN79" s="62" t="n">
        <f aca="false">+(AN24+AN25)/AN6*1000000</f>
        <v>946274.214148868</v>
      </c>
      <c r="AO79" s="62" t="n">
        <f aca="false">+(AO24+AO25)/AO6*1000000</f>
        <v>931364.035675068</v>
      </c>
      <c r="AP79" s="62" t="n">
        <f aca="false">+(AP23+AP25)/AP6*1000000</f>
        <v>864110.81650606</v>
      </c>
      <c r="AQ79" s="62" t="n">
        <f aca="false">+(AQ24+AQ25)/AQ6*1000000</f>
        <v>935017.492240041</v>
      </c>
      <c r="AR79" s="240"/>
      <c r="AS79" s="62" t="n">
        <f aca="false">+(AS24+AS25)/AS6*1000000</f>
        <v>960479.838159749</v>
      </c>
      <c r="AT79" s="472"/>
      <c r="AU79" s="62" t="n">
        <f aca="false">+(AU23+AU25)/AU6*1000000</f>
        <v>937486.442215631</v>
      </c>
    </row>
    <row r="80" customFormat="false" ht="12" hidden="false" customHeight="true" outlineLevel="0" collapsed="false">
      <c r="A80" s="46" t="s">
        <v>911</v>
      </c>
      <c r="N80" s="62" t="n">
        <f aca="false">+(N22-N24-N25)/N6*1000000</f>
        <v>324472.59028319</v>
      </c>
      <c r="O80" s="62" t="n">
        <f aca="false">+(O22-O24-O25)/O6*1000000</f>
        <v>328595.271404589</v>
      </c>
      <c r="P80" s="62" t="n">
        <f aca="false">+(P22-P24-P25)/P6*1000000</f>
        <v>322158.243938736</v>
      </c>
      <c r="Q80" s="62" t="n">
        <f aca="false">+(Q22-Q24-Q25)/Q6*1000000</f>
        <v>305384.236834967</v>
      </c>
      <c r="R80" s="62" t="n">
        <f aca="false">+(R22-R24-R25)/R6*1000000</f>
        <v>286598.82253995</v>
      </c>
      <c r="S80" s="62" t="n">
        <f aca="false">+(S22-S24-S25)/S6*1000000</f>
        <v>291600.040666938</v>
      </c>
      <c r="T80" s="62" t="n">
        <f aca="false">+(T22-T24-T25)/T6*1000000</f>
        <v>324282.366979444</v>
      </c>
      <c r="U80" s="62" t="n">
        <f aca="false">+(U22-U24-U25)/U6*1000000</f>
        <v>359929.276592877</v>
      </c>
      <c r="V80" s="448" t="n">
        <f aca="false">+(V22-V24-V25)/V6*1000000</f>
        <v>318414.672503932</v>
      </c>
      <c r="W80" s="62" t="n">
        <f aca="false">+(W22-W24-W25)/W6*1000000</f>
        <v>361778.18125227</v>
      </c>
      <c r="X80" s="62" t="n">
        <f aca="false">+(X22-X24-X25)/X6*1000000</f>
        <v>346552.945657694</v>
      </c>
      <c r="Y80" s="62" t="n">
        <f aca="false">+(Y22-Y24-Y25)/Y6*1000000</f>
        <v>320190.526944066</v>
      </c>
      <c r="Z80" s="62" t="n">
        <f aca="false">+(Z22-Z24-Z25)/Z6*1000000</f>
        <v>308757.117238287</v>
      </c>
      <c r="AA80" s="62" t="n">
        <f aca="false">+(AA22-AA24-AA25)/AA6*1000000</f>
        <v>296783.976798985</v>
      </c>
      <c r="AB80" s="62" t="n">
        <f aca="false">+(AB22-AB24-AB25)/AB6*1000000</f>
        <v>300509.316353888</v>
      </c>
      <c r="AC80" s="62" t="n">
        <f aca="false">+(AC22-AC24-AC25)/AC6*1000000</f>
        <v>295550.913262155</v>
      </c>
      <c r="AD80" s="62" t="n">
        <f aca="false">+(AD22-AD24-AD25)/AD6*1000000</f>
        <v>261049.932133884</v>
      </c>
      <c r="AE80" s="62" t="n">
        <f aca="false">+(AE22-AE24-AE25)/AE6*1000000</f>
        <v>267082.1785369</v>
      </c>
      <c r="AF80" s="62" t="n">
        <f aca="false">+(AF22-AF24-AF25)/AF6*1000000</f>
        <v>261317.438338382</v>
      </c>
      <c r="AG80" s="62" t="n">
        <f aca="false">+(AG22-AG24-AG25)/AG6*1000000</f>
        <v>214808.21546632</v>
      </c>
      <c r="AH80" s="62" t="n">
        <f aca="false">+(AH22-AH24-AH25)/AH6*1000000</f>
        <v>291927.979115479</v>
      </c>
      <c r="AI80" s="62" t="n">
        <f aca="false">+(AI22-AI24-AI25)/AI6*1000000</f>
        <v>331275.011260698</v>
      </c>
      <c r="AJ80" s="62" t="n">
        <f aca="false">+(AJ22-AJ24-AJ25)/AJ6*1000000</f>
        <v>334718.625635368</v>
      </c>
      <c r="AK80" s="62" t="n">
        <f aca="false">+(AK22-AK24-AK25)/AK6*1000000</f>
        <v>337403.08370044</v>
      </c>
      <c r="AL80" s="62" t="n">
        <f aca="false">+(AL22-AL24-AL25)/AL6*1000000</f>
        <v>359424.222020551</v>
      </c>
      <c r="AM80" s="472"/>
      <c r="AN80" s="62" t="n">
        <f aca="false">+(AN22-AN24-AN25)/AN6*1000000</f>
        <v>416535.833392465</v>
      </c>
      <c r="AO80" s="62" t="n">
        <f aca="false">+(AO22-AO24-AO25)/AO6*1000000</f>
        <v>391650.212925516</v>
      </c>
      <c r="AP80" s="62" t="n">
        <f aca="false">+(AP22-AP23-AP25)/AP6*1000000</f>
        <v>366816.272533912</v>
      </c>
      <c r="AQ80" s="62" t="n">
        <f aca="false">+(AQ22-AQ24-AQ25)/AQ6*1000000</f>
        <v>385903.517847902</v>
      </c>
      <c r="AR80" s="240"/>
      <c r="AS80" s="62" t="n">
        <f aca="false">+(AS22-AS24-AS25)/AS6*1000000</f>
        <v>393178.137927899</v>
      </c>
      <c r="AT80" s="472"/>
      <c r="AU80" s="62" t="n">
        <f aca="false">+(AU22-AU23-AU25)/AU6*1000000</f>
        <v>379207.999098457</v>
      </c>
    </row>
    <row r="81" customFormat="false" ht="12" hidden="false" customHeight="true" outlineLevel="0" collapsed="false">
      <c r="A81" s="46" t="s">
        <v>912</v>
      </c>
      <c r="B81" s="495"/>
      <c r="C81" s="495"/>
      <c r="F81" s="496"/>
      <c r="G81" s="497"/>
      <c r="H81" s="61"/>
      <c r="J81" s="496"/>
      <c r="K81" s="495"/>
      <c r="L81" s="61"/>
      <c r="N81" s="244" t="n">
        <f aca="false">+N31/N6*1000000</f>
        <v>15805.4040010392</v>
      </c>
      <c r="O81" s="244" t="n">
        <f aca="false">+O31/O6*1000000</f>
        <v>116151.231113598</v>
      </c>
      <c r="P81" s="62" t="n">
        <f aca="false">+P31/P6*1000000</f>
        <v>127878.464686551</v>
      </c>
      <c r="Q81" s="62" t="n">
        <f aca="false">+Q31/Q6*1000000</f>
        <v>161196.264579378</v>
      </c>
      <c r="R81" s="62" t="n">
        <f aca="false">+R31/R6*1000000</f>
        <v>109990.094383703</v>
      </c>
      <c r="S81" s="62" t="n">
        <f aca="false">+S31/S6*1000000</f>
        <v>124546.278975193</v>
      </c>
      <c r="T81" s="62" t="n">
        <f aca="false">+T31/T6*1000000</f>
        <v>104152.844822911</v>
      </c>
      <c r="U81" s="62" t="n">
        <f aca="false">+U31/U6*1000000</f>
        <v>171795.107651875</v>
      </c>
      <c r="V81" s="448" t="n">
        <f aca="false">+V31/V6*1000000</f>
        <v>132141.518255621</v>
      </c>
      <c r="W81" s="62" t="n">
        <f aca="false">+W31/W6*1000000</f>
        <v>121989.521191057</v>
      </c>
      <c r="X81" s="62" t="n">
        <f aca="false">+X31/X6*1000000</f>
        <v>140153.673607584</v>
      </c>
      <c r="Y81" s="62" t="n">
        <f aca="false">+Y31/Y6*1000000</f>
        <v>89687.8410641201</v>
      </c>
      <c r="Z81" s="62" t="n">
        <f aca="false">+Z31/Z6*1000000</f>
        <v>131682.498318763</v>
      </c>
      <c r="AA81" s="62" t="n">
        <f aca="false">+AA31/AA6*1000000</f>
        <v>87257.0962479608</v>
      </c>
      <c r="AB81" s="62" t="n">
        <f aca="false">+AB31/AB6*1000000</f>
        <v>111960.120643432</v>
      </c>
      <c r="AC81" s="62" t="n">
        <f aca="false">+AC31/AC6*1000000</f>
        <v>45141.4894555722</v>
      </c>
      <c r="AD81" s="62" t="n">
        <f aca="false">+AD31/AD6*1000000</f>
        <v>57236.2899107452</v>
      </c>
      <c r="AE81" s="62" t="n">
        <f aca="false">+AE31/AE6*1000000</f>
        <v>10707.1958012983</v>
      </c>
      <c r="AF81" s="62" t="n">
        <f aca="false">+AF31/AF6*1000000</f>
        <v>24349.069666811</v>
      </c>
      <c r="AG81" s="62" t="n">
        <f aca="false">+AG31/AG6*1000000</f>
        <v>-52513.791795372</v>
      </c>
      <c r="AH81" s="62" t="n">
        <f aca="false">+AH31/AH6*1000000</f>
        <v>70615.0952088454</v>
      </c>
      <c r="AI81" s="62" t="n">
        <f aca="false">+AI31/AI6*1000000</f>
        <v>58098.5436164357</v>
      </c>
      <c r="AJ81" s="62" t="n">
        <f aca="false">+AJ31/AJ6*1000000</f>
        <v>92355.7271760117</v>
      </c>
      <c r="AK81" s="62" t="n">
        <f aca="false">+AK31/AK6*1000000</f>
        <v>93670.5475141597</v>
      </c>
      <c r="AL81" s="62" t="n">
        <f aca="false">+AL31/AL6*1000000</f>
        <v>133814.251002664</v>
      </c>
      <c r="AM81" s="472"/>
      <c r="AN81" s="62" t="n">
        <f aca="false">+AN31/AN6*1000000</f>
        <v>137904.881856241</v>
      </c>
      <c r="AO81" s="62" t="n">
        <f aca="false">+AO31/AO6*1000000</f>
        <v>159212.148806813</v>
      </c>
      <c r="AP81" s="62" t="n">
        <f aca="false">+AP31/AP6*1000000</f>
        <v>126063.372555798</v>
      </c>
      <c r="AQ81" s="62" t="n">
        <f aca="false">+AQ31/AQ6*1000000</f>
        <v>138940.474650799</v>
      </c>
      <c r="AR81" s="240"/>
      <c r="AS81" s="62" t="n">
        <f aca="false">+AS31/AS6*1000000</f>
        <v>171184.252398055</v>
      </c>
      <c r="AT81" s="472"/>
      <c r="AU81" s="62" t="n">
        <f aca="false">+AU31/AU6*1000000</f>
        <v>135344.690900158</v>
      </c>
    </row>
    <row r="82" customFormat="false" ht="12" hidden="false" customHeight="true" outlineLevel="0" collapsed="false">
      <c r="F82" s="378"/>
      <c r="H82" s="61"/>
      <c r="J82" s="378"/>
      <c r="L82" s="61"/>
      <c r="N82" s="378"/>
      <c r="P82" s="61"/>
    </row>
    <row r="83" customFormat="false" ht="12" hidden="false" customHeight="true" outlineLevel="0" collapsed="false">
      <c r="F83" s="41"/>
      <c r="H83" s="61"/>
      <c r="J83" s="41"/>
      <c r="L83" s="61"/>
      <c r="N83" s="41"/>
      <c r="P83" s="61"/>
    </row>
    <row r="84" customFormat="false" ht="12" hidden="false" customHeight="true" outlineLevel="0" collapsed="false">
      <c r="B84" s="41"/>
      <c r="C84" s="41"/>
      <c r="F84" s="41"/>
      <c r="G84" s="41"/>
      <c r="H84" s="61"/>
      <c r="J84" s="41"/>
      <c r="K84" s="41"/>
      <c r="L84" s="61"/>
      <c r="N84" s="41"/>
      <c r="O84" s="41"/>
      <c r="P84" s="61"/>
    </row>
    <row r="85" customFormat="false" ht="12" hidden="false" customHeight="true" outlineLevel="0" collapsed="false">
      <c r="A85" s="46" t="s">
        <v>1017</v>
      </c>
      <c r="B85" s="41"/>
      <c r="C85" s="41"/>
      <c r="F85" s="41"/>
      <c r="G85" s="41"/>
      <c r="H85" s="61"/>
      <c r="J85" s="41"/>
      <c r="K85" s="41"/>
      <c r="L85" s="61"/>
      <c r="N85" s="41"/>
      <c r="O85" s="41"/>
      <c r="P85" s="61"/>
    </row>
    <row r="86" customFormat="false" ht="12" hidden="false" customHeight="true" outlineLevel="0" collapsed="false">
      <c r="A86" s="46" t="s">
        <v>1018</v>
      </c>
      <c r="B86" s="41"/>
      <c r="C86" s="41"/>
      <c r="F86" s="41"/>
      <c r="G86" s="41"/>
      <c r="H86" s="61"/>
      <c r="J86" s="41"/>
      <c r="K86" s="41"/>
      <c r="L86" s="61"/>
      <c r="N86" s="41"/>
      <c r="O86" s="41"/>
      <c r="P86" s="61"/>
    </row>
    <row r="87" customFormat="false" ht="12" hidden="false" customHeight="true" outlineLevel="0" collapsed="false">
      <c r="A87" s="46" t="s">
        <v>950</v>
      </c>
      <c r="H87" s="61"/>
      <c r="K87" s="41"/>
      <c r="L87" s="61"/>
      <c r="O87" s="41"/>
      <c r="P87" s="61"/>
      <c r="AE87" s="48" t="n">
        <v>1</v>
      </c>
      <c r="AF87" s="48" t="n">
        <v>1363</v>
      </c>
      <c r="AG87" s="48" t="n">
        <v>946</v>
      </c>
      <c r="AH87" s="48" t="n">
        <v>1529</v>
      </c>
      <c r="AI87" s="48" t="n">
        <v>1062</v>
      </c>
      <c r="AJ87" s="48" t="n">
        <v>1205</v>
      </c>
      <c r="AK87" s="48" t="n">
        <v>1171</v>
      </c>
      <c r="AL87" s="48" t="n">
        <v>1171</v>
      </c>
    </row>
    <row r="88" customFormat="false" ht="12" hidden="false" customHeight="true" outlineLevel="0" collapsed="false">
      <c r="A88" s="46" t="s">
        <v>951</v>
      </c>
      <c r="B88" s="115"/>
      <c r="C88" s="115"/>
      <c r="F88" s="115"/>
      <c r="G88" s="115"/>
      <c r="H88" s="61"/>
      <c r="J88" s="115"/>
      <c r="K88" s="41"/>
      <c r="L88" s="61"/>
      <c r="N88" s="115"/>
      <c r="O88" s="41"/>
      <c r="P88" s="61"/>
      <c r="AE88" s="48" t="n">
        <v>1.25</v>
      </c>
      <c r="AF88" s="48" t="n">
        <v>2291</v>
      </c>
      <c r="AG88" s="48" t="n">
        <v>2307</v>
      </c>
      <c r="AH88" s="48" t="n">
        <v>3295</v>
      </c>
      <c r="AI88" s="48" t="n">
        <v>2286</v>
      </c>
      <c r="AJ88" s="48" t="n">
        <v>2242</v>
      </c>
      <c r="AK88" s="48" t="n">
        <v>2530</v>
      </c>
      <c r="AL88" s="48" t="n">
        <v>2530</v>
      </c>
    </row>
    <row r="89" customFormat="false" ht="12" hidden="false" customHeight="true" outlineLevel="0" collapsed="false">
      <c r="A89" s="46" t="s">
        <v>952</v>
      </c>
      <c r="B89" s="115"/>
      <c r="C89" s="115"/>
      <c r="F89" s="115"/>
      <c r="G89" s="115"/>
      <c r="H89" s="61"/>
      <c r="J89" s="115"/>
      <c r="K89" s="41"/>
      <c r="L89" s="61"/>
      <c r="N89" s="115"/>
      <c r="O89" s="41"/>
      <c r="P89" s="61"/>
      <c r="AE89" s="48" t="n">
        <v>1.5</v>
      </c>
      <c r="AF89" s="48" t="n">
        <v>2547</v>
      </c>
      <c r="AG89" s="48" t="n">
        <v>1897</v>
      </c>
      <c r="AH89" s="48" t="n">
        <v>2709</v>
      </c>
      <c r="AI89" s="48" t="n">
        <v>2516</v>
      </c>
      <c r="AJ89" s="48" t="n">
        <v>2894</v>
      </c>
      <c r="AK89" s="48" t="n">
        <v>3234</v>
      </c>
      <c r="AL89" s="48" t="n">
        <v>3234</v>
      </c>
    </row>
    <row r="90" customFormat="false" ht="12" hidden="false" customHeight="true" outlineLevel="0" collapsed="false">
      <c r="A90" s="46" t="s">
        <v>953</v>
      </c>
      <c r="AE90" s="48" t="n">
        <v>1.75</v>
      </c>
      <c r="AF90" s="48" t="n">
        <v>1986</v>
      </c>
      <c r="AG90" s="48" t="n">
        <v>1071</v>
      </c>
      <c r="AH90" s="48" t="n">
        <v>3080</v>
      </c>
      <c r="AI90" s="48" t="n">
        <v>2348</v>
      </c>
      <c r="AJ90" s="48" t="n">
        <v>3544</v>
      </c>
      <c r="AK90" s="48" t="n">
        <v>3186</v>
      </c>
      <c r="AL90" s="48" t="n">
        <v>3186</v>
      </c>
    </row>
    <row r="91" customFormat="false" ht="12" hidden="false" customHeight="true" outlineLevel="0" collapsed="false">
      <c r="A91" s="46" t="s">
        <v>954</v>
      </c>
      <c r="B91" s="115"/>
      <c r="C91" s="115"/>
      <c r="F91" s="115"/>
      <c r="G91" s="115"/>
      <c r="J91" s="115"/>
      <c r="K91" s="115"/>
      <c r="N91" s="115"/>
      <c r="O91" s="115"/>
      <c r="AE91" s="48" t="n">
        <v>1.75</v>
      </c>
      <c r="AF91" s="48" t="n">
        <v>314</v>
      </c>
      <c r="AG91" s="48" t="n">
        <v>208</v>
      </c>
      <c r="AH91" s="48" t="n">
        <v>972</v>
      </c>
      <c r="AI91" s="48" t="n">
        <v>725</v>
      </c>
      <c r="AJ91" s="48" t="n">
        <v>479</v>
      </c>
      <c r="AK91" s="48" t="n">
        <v>381</v>
      </c>
      <c r="AL91" s="48" t="n">
        <v>381</v>
      </c>
    </row>
    <row r="92" customFormat="false" ht="12" hidden="false" customHeight="true" outlineLevel="0" collapsed="false">
      <c r="A92" s="46" t="s">
        <v>955</v>
      </c>
      <c r="B92" s="115"/>
      <c r="C92" s="115"/>
      <c r="F92" s="115"/>
      <c r="G92" s="115"/>
      <c r="J92" s="115"/>
      <c r="K92" s="115"/>
      <c r="N92" s="115"/>
      <c r="O92" s="115"/>
      <c r="AE92" s="48" t="n">
        <v>2</v>
      </c>
      <c r="AF92" s="48" t="n">
        <v>622</v>
      </c>
      <c r="AG92" s="48" t="n">
        <v>428</v>
      </c>
      <c r="AH92" s="48" t="n">
        <v>968</v>
      </c>
      <c r="AI92" s="48" t="n">
        <v>1070</v>
      </c>
      <c r="AJ92" s="48" t="n">
        <v>1717</v>
      </c>
      <c r="AK92" s="48" t="n">
        <v>1878</v>
      </c>
      <c r="AL92" s="48" t="n">
        <v>1878</v>
      </c>
    </row>
    <row r="93" customFormat="false" ht="12.75" hidden="false" customHeight="true" outlineLevel="0" collapsed="false">
      <c r="A93" s="46" t="s">
        <v>420</v>
      </c>
      <c r="B93" s="115"/>
      <c r="C93" s="115"/>
      <c r="F93" s="115"/>
      <c r="G93" s="115"/>
      <c r="J93" s="115"/>
      <c r="K93" s="115"/>
      <c r="N93" s="115"/>
      <c r="O93" s="115"/>
      <c r="AF93" s="39" t="n">
        <f aca="false">SUM(AF87:AF92)</f>
        <v>9123</v>
      </c>
      <c r="AG93" s="39" t="n">
        <f aca="false">SUM(AG87:AG92)</f>
        <v>6857</v>
      </c>
      <c r="AH93" s="39" t="n">
        <f aca="false">SUM(AH87:AH92)</f>
        <v>12553</v>
      </c>
      <c r="AI93" s="39" t="n">
        <f aca="false">SUM(AI87:AI92)</f>
        <v>10007</v>
      </c>
      <c r="AJ93" s="39" t="n">
        <f aca="false">SUM(AJ87:AJ92)</f>
        <v>12081</v>
      </c>
      <c r="AK93" s="39" t="n">
        <f aca="false">SUM(AK87:AK92)</f>
        <v>12380</v>
      </c>
      <c r="AL93" s="39" t="n">
        <f aca="false">SUM(AL87:AL92)</f>
        <v>12380</v>
      </c>
      <c r="AM93" s="498"/>
      <c r="AN93" s="19"/>
      <c r="AO93" s="19"/>
      <c r="AP93" s="19"/>
      <c r="AQ93" s="19"/>
      <c r="AR93" s="19"/>
      <c r="AS93" s="19"/>
      <c r="AT93" s="498"/>
      <c r="AU93" s="19"/>
    </row>
    <row r="94" customFormat="false" ht="12" hidden="false" customHeight="true" outlineLevel="0" collapsed="false">
      <c r="A94" s="46" t="s">
        <v>962</v>
      </c>
      <c r="B94" s="115"/>
      <c r="C94" s="115"/>
      <c r="F94" s="115"/>
      <c r="G94" s="115"/>
      <c r="J94" s="115"/>
      <c r="K94" s="115"/>
      <c r="N94" s="115"/>
      <c r="O94" s="115"/>
    </row>
    <row r="95" customFormat="false" ht="12" hidden="false" customHeight="true" outlineLevel="0" collapsed="false">
      <c r="A95" s="46" t="s">
        <v>950</v>
      </c>
      <c r="B95" s="115"/>
      <c r="C95" s="115"/>
      <c r="F95" s="115"/>
      <c r="G95" s="115"/>
      <c r="J95" s="115"/>
      <c r="K95" s="115"/>
      <c r="N95" s="115"/>
      <c r="O95" s="115"/>
      <c r="AF95" s="97" t="n">
        <f aca="false">AF87/AF$93</f>
        <v>0.149402608790968</v>
      </c>
      <c r="AG95" s="97" t="n">
        <f aca="false">AG87/AG$93</f>
        <v>0.137961207525157</v>
      </c>
      <c r="AH95" s="97" t="n">
        <f aca="false">AH87/AH$93</f>
        <v>0.121803552935553</v>
      </c>
      <c r="AI95" s="97" t="n">
        <f aca="false">AI87/AI$93</f>
        <v>0.106125712001599</v>
      </c>
      <c r="AJ95" s="97" t="n">
        <f aca="false">AJ87/AJ$93</f>
        <v>0.0997433987252711</v>
      </c>
      <c r="AK95" s="97" t="n">
        <f aca="false">AK87/AK$93</f>
        <v>0.0945880452342488</v>
      </c>
      <c r="AL95" s="97" t="n">
        <f aca="false">AL87/AL$93</f>
        <v>0.0945880452342488</v>
      </c>
      <c r="AN95" s="61"/>
      <c r="AO95" s="61"/>
      <c r="AQ95" s="61"/>
      <c r="AR95" s="61"/>
      <c r="AS95" s="61"/>
    </row>
    <row r="96" customFormat="false" ht="12" hidden="false" customHeight="true" outlineLevel="0" collapsed="false">
      <c r="A96" s="46" t="s">
        <v>951</v>
      </c>
      <c r="B96" s="115"/>
      <c r="C96" s="115"/>
      <c r="F96" s="115"/>
      <c r="G96" s="115"/>
      <c r="J96" s="115"/>
      <c r="K96" s="115"/>
      <c r="N96" s="115"/>
      <c r="O96" s="115"/>
      <c r="AF96" s="97" t="n">
        <f aca="false">AF88/AF$93</f>
        <v>0.251123533925244</v>
      </c>
      <c r="AG96" s="97" t="n">
        <f aca="false">AG88/AG$93</f>
        <v>0.33644450926061</v>
      </c>
      <c r="AH96" s="97" t="n">
        <f aca="false">AH88/AH$93</f>
        <v>0.262487054887278</v>
      </c>
      <c r="AI96" s="97" t="n">
        <f aca="false">AI88/AI$93</f>
        <v>0.228440091935645</v>
      </c>
      <c r="AJ96" s="97" t="n">
        <f aca="false">AJ88/AJ$93</f>
        <v>0.18558066385233</v>
      </c>
      <c r="AK96" s="97" t="n">
        <f aca="false">AK88/AK$93</f>
        <v>0.204361873990307</v>
      </c>
      <c r="AL96" s="97" t="n">
        <f aca="false">AL88/AL$93</f>
        <v>0.204361873990307</v>
      </c>
      <c r="AN96" s="61"/>
      <c r="AO96" s="61"/>
      <c r="AQ96" s="61"/>
      <c r="AR96" s="61"/>
      <c r="AS96" s="61"/>
    </row>
    <row r="97" customFormat="false" ht="12" hidden="false" customHeight="true" outlineLevel="0" collapsed="false">
      <c r="A97" s="46" t="s">
        <v>952</v>
      </c>
      <c r="B97" s="115"/>
      <c r="C97" s="115"/>
      <c r="F97" s="115"/>
      <c r="G97" s="115"/>
      <c r="J97" s="115"/>
      <c r="K97" s="115"/>
      <c r="N97" s="115"/>
      <c r="O97" s="115"/>
      <c r="AF97" s="97" t="n">
        <f aca="false">AF89/AF$93</f>
        <v>0.279184478789872</v>
      </c>
      <c r="AG97" s="97" t="n">
        <f aca="false">AG89/AG$93</f>
        <v>0.276651596908269</v>
      </c>
      <c r="AH97" s="97" t="n">
        <f aca="false">AH89/AH$93</f>
        <v>0.215804986855732</v>
      </c>
      <c r="AI97" s="97" t="n">
        <f aca="false">AI89/AI$93</f>
        <v>0.251424003197762</v>
      </c>
      <c r="AJ97" s="97" t="n">
        <f aca="false">AJ89/AJ$93</f>
        <v>0.239549706150153</v>
      </c>
      <c r="AK97" s="97" t="n">
        <f aca="false">AK89/AK$93</f>
        <v>0.261227786752827</v>
      </c>
      <c r="AL97" s="97" t="n">
        <f aca="false">AL89/AL$93</f>
        <v>0.261227786752827</v>
      </c>
      <c r="AN97" s="61"/>
      <c r="AO97" s="61"/>
      <c r="AQ97" s="61"/>
      <c r="AR97" s="61"/>
      <c r="AS97" s="61"/>
    </row>
    <row r="98" customFormat="false" ht="12" hidden="false" customHeight="true" outlineLevel="0" collapsed="false">
      <c r="A98" s="46" t="s">
        <v>953</v>
      </c>
      <c r="B98" s="115"/>
      <c r="C98" s="115"/>
      <c r="F98" s="115"/>
      <c r="G98" s="115"/>
      <c r="J98" s="115"/>
      <c r="K98" s="115"/>
      <c r="N98" s="115"/>
      <c r="O98" s="115"/>
      <c r="AF98" s="97" t="n">
        <f aca="false">AF90/AF$93</f>
        <v>0.217691548832621</v>
      </c>
      <c r="AG98" s="97" t="n">
        <f aca="false">AG90/AG$93</f>
        <v>0.156190753974041</v>
      </c>
      <c r="AH98" s="97" t="n">
        <f aca="false">AH90/AH$93</f>
        <v>0.245359674978093</v>
      </c>
      <c r="AI98" s="97" t="n">
        <f aca="false">AI90/AI$93</f>
        <v>0.23463575497152</v>
      </c>
      <c r="AJ98" s="97" t="n">
        <f aca="false">AJ90/AJ$93</f>
        <v>0.293353199238474</v>
      </c>
      <c r="AK98" s="97" t="n">
        <f aca="false">AK90/AK$93</f>
        <v>0.25735056542811</v>
      </c>
      <c r="AL98" s="97" t="n">
        <f aca="false">AL90/AL$93</f>
        <v>0.25735056542811</v>
      </c>
      <c r="AN98" s="61"/>
      <c r="AO98" s="61"/>
      <c r="AQ98" s="61"/>
      <c r="AR98" s="61"/>
      <c r="AS98" s="61"/>
    </row>
    <row r="99" customFormat="false" ht="12" hidden="false" customHeight="true" outlineLevel="0" collapsed="false">
      <c r="A99" s="46" t="s">
        <v>954</v>
      </c>
      <c r="B99" s="115"/>
      <c r="C99" s="115"/>
      <c r="F99" s="115"/>
      <c r="G99" s="115"/>
      <c r="J99" s="115"/>
      <c r="K99" s="115"/>
      <c r="N99" s="115"/>
      <c r="O99" s="115"/>
      <c r="AF99" s="97" t="n">
        <f aca="false">AF91/AF$93</f>
        <v>0.0344185026855201</v>
      </c>
      <c r="AG99" s="97" t="n">
        <f aca="false">AG91/AG$93</f>
        <v>0.0303339652909436</v>
      </c>
      <c r="AH99" s="97" t="n">
        <f aca="false">AH91/AH$93</f>
        <v>0.0774316896359436</v>
      </c>
      <c r="AI99" s="97" t="n">
        <f aca="false">AI91/AI$93</f>
        <v>0.0724492855001499</v>
      </c>
      <c r="AJ99" s="97" t="n">
        <f aca="false">AJ91/AJ$93</f>
        <v>0.0396490356758547</v>
      </c>
      <c r="AK99" s="97" t="n">
        <f aca="false">AK91/AK$93</f>
        <v>0.0307754442649435</v>
      </c>
      <c r="AL99" s="97" t="n">
        <f aca="false">AL91/AL$93</f>
        <v>0.0307754442649435</v>
      </c>
      <c r="AN99" s="61"/>
      <c r="AO99" s="61"/>
      <c r="AQ99" s="61"/>
      <c r="AR99" s="61"/>
      <c r="AS99" s="61"/>
    </row>
    <row r="100" customFormat="false" ht="12" hidden="false" customHeight="true" outlineLevel="0" collapsed="false">
      <c r="A100" s="46" t="s">
        <v>955</v>
      </c>
      <c r="B100" s="115"/>
      <c r="C100" s="115"/>
      <c r="F100" s="115"/>
      <c r="G100" s="115"/>
      <c r="J100" s="115"/>
      <c r="K100" s="115"/>
      <c r="N100" s="115"/>
      <c r="O100" s="115"/>
      <c r="AF100" s="97" t="n">
        <f aca="false">AF92/AF$93</f>
        <v>0.0681793269757755</v>
      </c>
      <c r="AG100" s="97" t="n">
        <f aca="false">AG92/AG$93</f>
        <v>0.06241796704098</v>
      </c>
      <c r="AH100" s="97" t="n">
        <f aca="false">AH92/AH$93</f>
        <v>0.0771130407074006</v>
      </c>
      <c r="AI100" s="97" t="n">
        <f aca="false">AI92/AI$93</f>
        <v>0.106925152393325</v>
      </c>
      <c r="AJ100" s="97" t="n">
        <f aca="false">AJ92/AJ$93</f>
        <v>0.142123996357917</v>
      </c>
      <c r="AK100" s="97" t="n">
        <f aca="false">AK92/AK$93</f>
        <v>0.151696284329564</v>
      </c>
      <c r="AL100" s="97" t="n">
        <f aca="false">AL92/AL$93</f>
        <v>0.151696284329564</v>
      </c>
      <c r="AN100" s="61"/>
      <c r="AO100" s="61"/>
      <c r="AQ100" s="61"/>
      <c r="AR100" s="61"/>
      <c r="AS100" s="61"/>
    </row>
    <row r="101" customFormat="false" ht="12" hidden="false" customHeight="true" outlineLevel="0" collapsed="false">
      <c r="B101" s="115"/>
      <c r="C101" s="115"/>
      <c r="F101" s="115"/>
      <c r="G101" s="115"/>
      <c r="J101" s="115"/>
      <c r="K101" s="115"/>
      <c r="N101" s="115"/>
      <c r="O101" s="115"/>
      <c r="AF101" s="87" t="n">
        <f aca="false">SUMPRODUCT(AF87:AF92,AE87:AE92)/AF93</f>
        <v>1.45963498849063</v>
      </c>
      <c r="AG101" s="87" t="n">
        <f aca="false">SUMPRODUCT(AG87:AG92,AE87:AE92)/AG93</f>
        <v>1.42474843225901</v>
      </c>
      <c r="AH101" s="87" t="n">
        <f aca="false">SUMPRODUCT(AH87:AH92,AE87:AE92)/AH93</f>
        <v>1.49273082131761</v>
      </c>
      <c r="AI101" s="87" t="n">
        <f aca="false">SUMPRODUCT(AI87:AI92,AE87:AE92)/AI93</f>
        <v>1.52006095732987</v>
      </c>
      <c r="AJ101" s="87" t="n">
        <f aca="false">SUMPRODUCT(AJ87:AJ92,AE87:AE92)/AJ93</f>
        <v>1.55804569158182</v>
      </c>
      <c r="AK101" s="87" t="n">
        <f aca="false">SUMPRODUCT(AK87:AK92,AE87:AE92)/AK93</f>
        <v>1.54949515347334</v>
      </c>
      <c r="AL101" s="87" t="n">
        <f aca="false">SUMPRODUCT(AL87:AL92,AG87:AG92)/AL93</f>
        <v>1403.44200323102</v>
      </c>
      <c r="AN101" s="83"/>
      <c r="AO101" s="83"/>
      <c r="AQ101" s="83"/>
      <c r="AR101" s="83"/>
      <c r="AS101" s="83"/>
    </row>
    <row r="102" customFormat="false" ht="12" hidden="false" customHeight="true" outlineLevel="0" collapsed="false">
      <c r="B102" s="115"/>
      <c r="C102" s="115"/>
      <c r="F102" s="115"/>
      <c r="G102" s="115"/>
      <c r="J102" s="115"/>
      <c r="K102" s="115"/>
      <c r="N102" s="115"/>
      <c r="O102" s="115"/>
      <c r="AJ102" s="61"/>
      <c r="AK102" s="61"/>
      <c r="AL102" s="61"/>
      <c r="AN102" s="61"/>
      <c r="AO102" s="61"/>
      <c r="AQ102" s="61"/>
      <c r="AR102" s="61"/>
      <c r="AS102" s="61"/>
    </row>
    <row r="103" customFormat="false" ht="12" hidden="false" customHeight="true" outlineLevel="0" collapsed="false">
      <c r="B103" s="115"/>
      <c r="C103" s="115"/>
      <c r="F103" s="115"/>
      <c r="G103" s="115"/>
      <c r="J103" s="115"/>
      <c r="K103" s="115"/>
      <c r="N103" s="115"/>
      <c r="O103" s="115"/>
    </row>
    <row r="104" customFormat="false" ht="12" hidden="false" customHeight="true" outlineLevel="0" collapsed="false">
      <c r="B104" s="41"/>
      <c r="C104" s="41"/>
      <c r="F104" s="41"/>
      <c r="G104" s="41"/>
      <c r="J104" s="41"/>
      <c r="K104" s="41"/>
      <c r="N104" s="41"/>
      <c r="O104" s="41"/>
    </row>
    <row r="105" customFormat="false" ht="12.75" hidden="false" customHeight="true" outlineLevel="0" collapsed="false">
      <c r="A105" s="46" t="s">
        <v>959</v>
      </c>
      <c r="B105" s="64"/>
      <c r="C105" s="64"/>
      <c r="F105" s="64"/>
      <c r="G105" s="64"/>
      <c r="J105" s="64"/>
      <c r="K105" s="64"/>
      <c r="N105" s="64"/>
      <c r="O105" s="64"/>
    </row>
    <row r="106" customFormat="false" ht="12" hidden="false" customHeight="true" outlineLevel="0" collapsed="false">
      <c r="A106" s="46" t="s">
        <v>960</v>
      </c>
      <c r="B106" s="41"/>
      <c r="C106" s="41"/>
      <c r="F106" s="41"/>
      <c r="G106" s="41"/>
      <c r="J106" s="41"/>
      <c r="K106" s="41"/>
      <c r="N106" s="41"/>
      <c r="O106" s="41"/>
      <c r="AF106" s="48" t="n">
        <v>1131</v>
      </c>
      <c r="AG106" s="48" t="n">
        <v>540</v>
      </c>
      <c r="AH106" s="48" t="n">
        <v>784</v>
      </c>
      <c r="AI106" s="48" t="n">
        <v>946</v>
      </c>
      <c r="AJ106" s="48" t="n">
        <v>725</v>
      </c>
      <c r="AK106" s="48" t="n">
        <v>473</v>
      </c>
      <c r="AL106" s="48" t="n">
        <v>473</v>
      </c>
    </row>
    <row r="107" customFormat="false" ht="12" hidden="false" customHeight="true" outlineLevel="0" collapsed="false">
      <c r="A107" s="46" t="s">
        <v>961</v>
      </c>
      <c r="B107" s="41"/>
      <c r="C107" s="41"/>
      <c r="F107" s="41"/>
      <c r="G107" s="41"/>
      <c r="J107" s="41"/>
      <c r="K107" s="41"/>
      <c r="N107" s="41"/>
      <c r="O107" s="41"/>
      <c r="AF107" s="48" t="n">
        <v>3706</v>
      </c>
      <c r="AG107" s="48" t="n">
        <v>1582</v>
      </c>
      <c r="AH107" s="48" t="n">
        <v>2584</v>
      </c>
      <c r="AI107" s="48" t="n">
        <v>1906</v>
      </c>
      <c r="AJ107" s="48" t="n">
        <v>2625</v>
      </c>
      <c r="AK107" s="48" t="n">
        <v>2022</v>
      </c>
      <c r="AL107" s="48" t="n">
        <v>2022</v>
      </c>
    </row>
    <row r="108" s="19" customFormat="true" ht="12.75" hidden="false" customHeight="true" outlineLevel="0" collapsed="false">
      <c r="A108" s="39" t="s">
        <v>962</v>
      </c>
      <c r="B108" s="145"/>
      <c r="C108" s="145"/>
      <c r="F108" s="145"/>
      <c r="G108" s="145"/>
      <c r="J108" s="145"/>
      <c r="K108" s="145"/>
      <c r="N108" s="145"/>
      <c r="O108" s="145"/>
      <c r="V108" s="475"/>
      <c r="Z108" s="466"/>
      <c r="AF108" s="39" t="n">
        <f aca="false">AF107+AF106</f>
        <v>4837</v>
      </c>
      <c r="AG108" s="39" t="n">
        <f aca="false">AG107+AG106</f>
        <v>2122</v>
      </c>
      <c r="AH108" s="39" t="n">
        <f aca="false">AH107+AH106</f>
        <v>3368</v>
      </c>
      <c r="AI108" s="39" t="n">
        <f aca="false">AI107+AI106</f>
        <v>2852</v>
      </c>
      <c r="AJ108" s="39" t="n">
        <f aca="false">AJ107+AJ106</f>
        <v>3350</v>
      </c>
      <c r="AK108" s="39" t="n">
        <f aca="false">AK107+AK106</f>
        <v>2495</v>
      </c>
      <c r="AL108" s="39" t="n">
        <f aca="false">AL107+AL106</f>
        <v>2495</v>
      </c>
      <c r="AM108" s="498"/>
      <c r="AT108" s="498"/>
    </row>
    <row r="109" customFormat="false" ht="12" hidden="false" customHeight="true" outlineLevel="0" collapsed="false">
      <c r="A109" s="46" t="s">
        <v>960</v>
      </c>
      <c r="C109" s="72"/>
      <c r="G109" s="72"/>
      <c r="K109" s="72"/>
      <c r="O109" s="72"/>
      <c r="AF109" s="97" t="n">
        <f aca="false">AF106/AF108</f>
        <v>0.233822617324788</v>
      </c>
      <c r="AG109" s="97" t="n">
        <f aca="false">AG106/AG108</f>
        <v>0.254476908576814</v>
      </c>
      <c r="AH109" s="97" t="n">
        <f aca="false">AH106/AH108</f>
        <v>0.232779097387173</v>
      </c>
      <c r="AI109" s="97" t="n">
        <f aca="false">AI106/AI108</f>
        <v>0.331697054698457</v>
      </c>
      <c r="AJ109" s="97" t="n">
        <f aca="false">AJ106/AJ108</f>
        <v>0.216417910447761</v>
      </c>
      <c r="AK109" s="97" t="n">
        <f aca="false">AK106/AK108</f>
        <v>0.189579158316633</v>
      </c>
      <c r="AL109" s="97" t="n">
        <f aca="false">AL106/AL108</f>
        <v>0.189579158316633</v>
      </c>
      <c r="AN109" s="61"/>
      <c r="AO109" s="61"/>
      <c r="AP109" s="61"/>
      <c r="AQ109" s="61"/>
      <c r="AR109" s="61"/>
      <c r="AS109" s="61"/>
      <c r="AU109" s="61"/>
    </row>
    <row r="110" customFormat="false" ht="12" hidden="false" customHeight="true" outlineLevel="0" collapsed="false">
      <c r="A110" s="46" t="s">
        <v>961</v>
      </c>
      <c r="B110" s="41"/>
      <c r="C110" s="41"/>
      <c r="D110" s="41"/>
      <c r="F110" s="41"/>
      <c r="G110" s="41"/>
      <c r="H110" s="41"/>
      <c r="J110" s="41"/>
      <c r="K110" s="41"/>
      <c r="L110" s="41"/>
      <c r="N110" s="41"/>
      <c r="O110" s="41"/>
      <c r="P110" s="41"/>
      <c r="AF110" s="97" t="n">
        <f aca="false">AF107/AF108</f>
        <v>0.766177382675212</v>
      </c>
      <c r="AG110" s="97" t="n">
        <f aca="false">AG107/AG108</f>
        <v>0.745523091423186</v>
      </c>
      <c r="AH110" s="97" t="n">
        <f aca="false">AH107/AH108</f>
        <v>0.767220902612827</v>
      </c>
      <c r="AI110" s="97" t="n">
        <f aca="false">AI107/AI108</f>
        <v>0.668302945301543</v>
      </c>
      <c r="AJ110" s="97" t="n">
        <f aca="false">AJ107/AJ108</f>
        <v>0.783582089552239</v>
      </c>
      <c r="AK110" s="97" t="n">
        <f aca="false">AK107/AK108</f>
        <v>0.810420841683367</v>
      </c>
      <c r="AL110" s="97" t="n">
        <f aca="false">AL107/AL108</f>
        <v>0.810420841683367</v>
      </c>
      <c r="AN110" s="61"/>
      <c r="AO110" s="61"/>
      <c r="AP110" s="61"/>
      <c r="AQ110" s="61"/>
      <c r="AR110" s="61"/>
      <c r="AS110" s="61"/>
      <c r="AU110" s="61"/>
    </row>
    <row r="111" customFormat="false" ht="12" hidden="false" customHeight="true" outlineLevel="0" collapsed="false">
      <c r="B111" s="41"/>
      <c r="C111" s="41"/>
      <c r="D111" s="41"/>
      <c r="F111" s="41"/>
      <c r="G111" s="41"/>
      <c r="H111" s="41"/>
      <c r="J111" s="41"/>
      <c r="K111" s="41"/>
      <c r="L111" s="41"/>
      <c r="N111" s="41"/>
      <c r="O111" s="41"/>
      <c r="P111" s="41"/>
    </row>
    <row r="112" customFormat="false" ht="12" hidden="false" customHeight="true" outlineLevel="0" collapsed="false">
      <c r="B112" s="41"/>
      <c r="C112" s="41"/>
      <c r="D112" s="41"/>
      <c r="F112" s="41"/>
      <c r="G112" s="41"/>
      <c r="H112" s="41"/>
      <c r="J112" s="41"/>
      <c r="K112" s="41"/>
      <c r="L112" s="41"/>
      <c r="N112" s="41"/>
      <c r="O112" s="41"/>
      <c r="P112" s="41"/>
    </row>
    <row r="113" customFormat="false" ht="12" hidden="false" customHeight="true" outlineLevel="0" collapsed="false">
      <c r="B113" s="41"/>
      <c r="C113" s="41"/>
      <c r="D113" s="41"/>
      <c r="F113" s="41"/>
      <c r="G113" s="41"/>
      <c r="H113" s="41"/>
      <c r="J113" s="41"/>
      <c r="K113" s="41"/>
      <c r="L113" s="41"/>
      <c r="N113" s="41"/>
      <c r="O113" s="41"/>
      <c r="P113" s="41"/>
    </row>
    <row r="114" customFormat="false" ht="12" hidden="false" customHeight="true" outlineLevel="0" collapsed="false">
      <c r="A114" s="46" t="s">
        <v>963</v>
      </c>
      <c r="B114" s="41"/>
      <c r="C114" s="41"/>
      <c r="D114" s="41"/>
      <c r="F114" s="41"/>
      <c r="G114" s="41"/>
      <c r="H114" s="41"/>
      <c r="J114" s="41"/>
      <c r="K114" s="41"/>
      <c r="L114" s="41"/>
      <c r="N114" s="41"/>
      <c r="O114" s="41"/>
      <c r="P114" s="41"/>
    </row>
    <row r="115" customFormat="false" ht="12" hidden="false" customHeight="true" outlineLevel="0" collapsed="false">
      <c r="A115" s="46" t="s">
        <v>950</v>
      </c>
      <c r="B115" s="41"/>
      <c r="C115" s="41"/>
      <c r="D115" s="41"/>
      <c r="F115" s="41"/>
      <c r="G115" s="41"/>
      <c r="H115" s="41"/>
      <c r="J115" s="41"/>
      <c r="K115" s="41"/>
      <c r="L115" s="41"/>
      <c r="N115" s="41"/>
      <c r="O115" s="41"/>
      <c r="P115" s="41"/>
      <c r="AF115" s="48" t="n">
        <v>10260</v>
      </c>
      <c r="AG115" s="48" t="n">
        <v>8703</v>
      </c>
      <c r="AH115" s="48" t="n">
        <v>9614</v>
      </c>
      <c r="AI115" s="48" t="n">
        <v>8177</v>
      </c>
      <c r="AJ115" s="48" t="n">
        <v>9075</v>
      </c>
      <c r="AK115" s="48" t="n">
        <v>9704</v>
      </c>
      <c r="AL115" s="48" t="n">
        <v>9704</v>
      </c>
    </row>
    <row r="116" customFormat="false" ht="12" hidden="false" customHeight="true" outlineLevel="0" collapsed="false">
      <c r="A116" s="46" t="s">
        <v>951</v>
      </c>
      <c r="B116" s="41"/>
      <c r="C116" s="41"/>
      <c r="D116" s="41"/>
      <c r="F116" s="41"/>
      <c r="G116" s="41"/>
      <c r="H116" s="41"/>
      <c r="J116" s="41"/>
      <c r="K116" s="41"/>
      <c r="L116" s="41"/>
      <c r="N116" s="41"/>
      <c r="O116" s="41"/>
      <c r="P116" s="41"/>
      <c r="AF116" s="48" t="n">
        <v>7647</v>
      </c>
      <c r="AG116" s="48" t="n">
        <v>7653</v>
      </c>
      <c r="AH116" s="48" t="n">
        <v>9494</v>
      </c>
      <c r="AI116" s="48" t="n">
        <v>7270</v>
      </c>
      <c r="AJ116" s="48" t="n">
        <v>7371</v>
      </c>
      <c r="AK116" s="48" t="n">
        <v>8342</v>
      </c>
      <c r="AL116" s="48" t="n">
        <v>8342</v>
      </c>
    </row>
    <row r="117" customFormat="false" ht="12" hidden="false" customHeight="true" outlineLevel="0" collapsed="false">
      <c r="A117" s="46" t="s">
        <v>952</v>
      </c>
      <c r="B117" s="41"/>
      <c r="C117" s="41"/>
      <c r="D117" s="41"/>
      <c r="F117" s="41"/>
      <c r="G117" s="41"/>
      <c r="H117" s="41"/>
      <c r="J117" s="41"/>
      <c r="K117" s="41"/>
      <c r="L117" s="41"/>
      <c r="N117" s="41"/>
      <c r="O117" s="41"/>
      <c r="P117" s="41"/>
      <c r="AF117" s="48" t="n">
        <v>10491</v>
      </c>
      <c r="AG117" s="48" t="n">
        <v>9753</v>
      </c>
      <c r="AH117" s="48" t="n">
        <v>11884</v>
      </c>
      <c r="AI117" s="48" t="n">
        <v>11356</v>
      </c>
      <c r="AJ117" s="48" t="n">
        <v>11428</v>
      </c>
      <c r="AK117" s="48" t="n">
        <v>13352</v>
      </c>
      <c r="AL117" s="48" t="n">
        <v>13352</v>
      </c>
    </row>
    <row r="118" customFormat="false" ht="12" hidden="false" customHeight="true" outlineLevel="0" collapsed="false">
      <c r="A118" s="46" t="s">
        <v>953</v>
      </c>
      <c r="B118" s="41"/>
      <c r="C118" s="41"/>
      <c r="D118" s="31"/>
      <c r="F118" s="41"/>
      <c r="G118" s="41"/>
      <c r="H118" s="31"/>
      <c r="J118" s="41"/>
      <c r="K118" s="41"/>
      <c r="L118" s="31"/>
      <c r="N118" s="41"/>
      <c r="O118" s="41"/>
      <c r="P118" s="31"/>
      <c r="AF118" s="48" t="n">
        <v>8082</v>
      </c>
      <c r="AG118" s="48" t="n">
        <v>5101</v>
      </c>
      <c r="AH118" s="48" t="n">
        <v>8989</v>
      </c>
      <c r="AI118" s="48" t="n">
        <v>8619</v>
      </c>
      <c r="AJ118" s="48" t="n">
        <v>11339</v>
      </c>
      <c r="AK118" s="48" t="n">
        <v>11214</v>
      </c>
      <c r="AL118" s="48" t="n">
        <v>11214</v>
      </c>
    </row>
    <row r="119" s="19" customFormat="true" ht="12.75" hidden="false" customHeight="true" outlineLevel="0" collapsed="false">
      <c r="A119" s="39" t="s">
        <v>954</v>
      </c>
      <c r="B119" s="145"/>
      <c r="C119" s="145"/>
      <c r="F119" s="145"/>
      <c r="G119" s="145"/>
      <c r="J119" s="145"/>
      <c r="K119" s="145"/>
      <c r="N119" s="145"/>
      <c r="O119" s="145"/>
      <c r="V119" s="475"/>
      <c r="Z119" s="466"/>
      <c r="AF119" s="42" t="n">
        <v>919</v>
      </c>
      <c r="AG119" s="42" t="n">
        <v>790</v>
      </c>
      <c r="AH119" s="42" t="n">
        <v>2237</v>
      </c>
      <c r="AI119" s="42" t="n">
        <v>1595</v>
      </c>
      <c r="AJ119" s="42" t="n">
        <v>1521</v>
      </c>
      <c r="AK119" s="42" t="n">
        <v>1048</v>
      </c>
      <c r="AL119" s="42" t="n">
        <v>1048</v>
      </c>
      <c r="AM119" s="444"/>
      <c r="AT119" s="444"/>
    </row>
    <row r="120" customFormat="false" ht="12" hidden="false" customHeight="true" outlineLevel="0" collapsed="false">
      <c r="A120" s="46" t="s">
        <v>955</v>
      </c>
      <c r="B120" s="41"/>
      <c r="C120" s="41"/>
      <c r="D120" s="40"/>
      <c r="F120" s="41"/>
      <c r="G120" s="41"/>
      <c r="H120" s="40"/>
      <c r="J120" s="41"/>
      <c r="K120" s="41"/>
      <c r="L120" s="40"/>
      <c r="N120" s="41"/>
      <c r="O120" s="41"/>
      <c r="P120" s="40"/>
      <c r="AF120" s="48" t="n">
        <v>1935</v>
      </c>
      <c r="AG120" s="48" t="n">
        <v>1480</v>
      </c>
      <c r="AH120" s="48" t="n">
        <v>3514</v>
      </c>
      <c r="AI120" s="48" t="n">
        <v>3512</v>
      </c>
      <c r="AJ120" s="48" t="n">
        <v>4900</v>
      </c>
      <c r="AK120" s="48" t="n">
        <v>5510</v>
      </c>
      <c r="AL120" s="48" t="n">
        <v>5510</v>
      </c>
    </row>
    <row r="121" customFormat="false" ht="12" hidden="false" customHeight="true" outlineLevel="0" collapsed="false">
      <c r="A121" s="46" t="s">
        <v>420</v>
      </c>
      <c r="B121" s="41"/>
      <c r="C121" s="41"/>
      <c r="D121" s="40"/>
      <c r="F121" s="41"/>
      <c r="G121" s="41"/>
      <c r="H121" s="40"/>
      <c r="J121" s="41"/>
      <c r="K121" s="41"/>
      <c r="L121" s="40"/>
      <c r="N121" s="41"/>
      <c r="O121" s="41"/>
      <c r="P121" s="40"/>
      <c r="AF121" s="46" t="n">
        <f aca="false">SUM(AF115:AF120)</f>
        <v>39334</v>
      </c>
      <c r="AG121" s="46" t="n">
        <f aca="false">SUM(AG115:AG120)</f>
        <v>33480</v>
      </c>
      <c r="AH121" s="46" t="n">
        <f aca="false">SUM(AH115:AH120)</f>
        <v>45732</v>
      </c>
      <c r="AI121" s="46" t="n">
        <f aca="false">SUM(AI115:AI120)</f>
        <v>40529</v>
      </c>
      <c r="AJ121" s="46" t="n">
        <f aca="false">SUM(AJ115:AJ120)</f>
        <v>45634</v>
      </c>
      <c r="AK121" s="46" t="n">
        <f aca="false">SUM(AK115:AK120)</f>
        <v>49170</v>
      </c>
      <c r="AL121" s="46" t="n">
        <f aca="false">SUM(AL115:AL120)</f>
        <v>49170</v>
      </c>
    </row>
    <row r="122" customFormat="false" ht="12" hidden="false" customHeight="true" outlineLevel="0" collapsed="false">
      <c r="B122" s="41"/>
      <c r="C122" s="41"/>
      <c r="D122" s="40"/>
      <c r="F122" s="41"/>
      <c r="G122" s="41"/>
      <c r="H122" s="40"/>
      <c r="J122" s="41"/>
      <c r="K122" s="41"/>
      <c r="L122" s="40"/>
      <c r="N122" s="41"/>
      <c r="O122" s="41"/>
      <c r="P122" s="40"/>
    </row>
    <row r="123" customFormat="false" ht="12" hidden="false" customHeight="true" outlineLevel="0" collapsed="false">
      <c r="A123" s="46" t="s">
        <v>964</v>
      </c>
      <c r="B123" s="41"/>
      <c r="C123" s="41"/>
      <c r="D123" s="40"/>
      <c r="F123" s="41"/>
      <c r="G123" s="41"/>
      <c r="H123" s="40"/>
      <c r="J123" s="41"/>
      <c r="K123" s="41"/>
      <c r="L123" s="40"/>
      <c r="N123" s="41"/>
      <c r="O123" s="41"/>
      <c r="P123" s="40"/>
    </row>
    <row r="124" customFormat="false" ht="12" hidden="false" customHeight="true" outlineLevel="0" collapsed="false">
      <c r="A124" s="46" t="s">
        <v>950</v>
      </c>
      <c r="B124" s="41"/>
      <c r="C124" s="41"/>
      <c r="D124" s="40"/>
      <c r="F124" s="41"/>
      <c r="G124" s="41"/>
      <c r="H124" s="40"/>
      <c r="J124" s="41"/>
      <c r="K124" s="41"/>
      <c r="L124" s="40"/>
      <c r="N124" s="41"/>
      <c r="O124" s="41"/>
      <c r="P124" s="40"/>
      <c r="AF124" s="97" t="n">
        <f aca="false">AF87/AF115</f>
        <v>0.132846003898636</v>
      </c>
      <c r="AG124" s="97" t="n">
        <f aca="false">AG87/AG115</f>
        <v>0.108698150063197</v>
      </c>
      <c r="AH124" s="97" t="n">
        <f aca="false">AH87/AH115</f>
        <v>0.159038901601831</v>
      </c>
      <c r="AI124" s="97" t="n">
        <f aca="false">AI87/AI115</f>
        <v>0.129876482817659</v>
      </c>
      <c r="AJ124" s="97" t="n">
        <f aca="false">AJ87/AJ115</f>
        <v>0.132782369146006</v>
      </c>
      <c r="AK124" s="97" t="n">
        <f aca="false">AK87/AK115</f>
        <v>0.120671887881286</v>
      </c>
      <c r="AL124" s="97" t="n">
        <f aca="false">AL87/AL115</f>
        <v>0.120671887881286</v>
      </c>
      <c r="AN124" s="61"/>
      <c r="AO124" s="61"/>
      <c r="AP124" s="61"/>
      <c r="AQ124" s="61"/>
      <c r="AR124" s="61"/>
      <c r="AS124" s="61"/>
      <c r="AU124" s="61"/>
    </row>
    <row r="125" customFormat="false" ht="12" hidden="false" customHeight="true" outlineLevel="0" collapsed="false">
      <c r="A125" s="46" t="s">
        <v>951</v>
      </c>
      <c r="B125" s="41"/>
      <c r="C125" s="41"/>
      <c r="D125" s="40"/>
      <c r="F125" s="41"/>
      <c r="G125" s="41"/>
      <c r="H125" s="40"/>
      <c r="J125" s="41"/>
      <c r="K125" s="41"/>
      <c r="L125" s="40"/>
      <c r="N125" s="41"/>
      <c r="O125" s="41"/>
      <c r="P125" s="40"/>
      <c r="AF125" s="97" t="n">
        <f aca="false">AF88/AF116</f>
        <v>0.299594612266248</v>
      </c>
      <c r="AG125" s="97" t="n">
        <f aca="false">AG88/AG116</f>
        <v>0.301450411603293</v>
      </c>
      <c r="AH125" s="97" t="n">
        <f aca="false">AH88/AH116</f>
        <v>0.347061301874868</v>
      </c>
      <c r="AI125" s="97" t="n">
        <f aca="false">AI88/AI116</f>
        <v>0.314442916093535</v>
      </c>
      <c r="AJ125" s="97" t="n">
        <f aca="false">AJ88/AJ116</f>
        <v>0.304164970831638</v>
      </c>
      <c r="AK125" s="97" t="n">
        <f aca="false">AK88/AK116</f>
        <v>0.303284584032606</v>
      </c>
      <c r="AL125" s="97" t="n">
        <f aca="false">AL88/AL116</f>
        <v>0.303284584032606</v>
      </c>
      <c r="AN125" s="61"/>
      <c r="AO125" s="61"/>
      <c r="AP125" s="61"/>
      <c r="AQ125" s="61"/>
      <c r="AR125" s="61"/>
      <c r="AS125" s="61"/>
      <c r="AU125" s="61"/>
    </row>
    <row r="126" customFormat="false" ht="12" hidden="false" customHeight="true" outlineLevel="0" collapsed="false">
      <c r="A126" s="46" t="s">
        <v>952</v>
      </c>
      <c r="B126" s="41"/>
      <c r="C126" s="41"/>
      <c r="D126" s="40"/>
      <c r="F126" s="41"/>
      <c r="G126" s="41"/>
      <c r="H126" s="40"/>
      <c r="J126" s="41"/>
      <c r="K126" s="41"/>
      <c r="L126" s="40"/>
      <c r="N126" s="41"/>
      <c r="O126" s="41"/>
      <c r="P126" s="40"/>
      <c r="AF126" s="97" t="n">
        <f aca="false">AF89/AF117</f>
        <v>0.242779525307406</v>
      </c>
      <c r="AG126" s="97" t="n">
        <f aca="false">AG89/AG117</f>
        <v>0.194504255100995</v>
      </c>
      <c r="AH126" s="97" t="n">
        <f aca="false">AH89/AH117</f>
        <v>0.227953550992932</v>
      </c>
      <c r="AI126" s="97" t="n">
        <f aca="false">AI89/AI117</f>
        <v>0.221556886227545</v>
      </c>
      <c r="AJ126" s="97" t="n">
        <f aca="false">AJ89/AJ117</f>
        <v>0.253237661883094</v>
      </c>
      <c r="AK126" s="97" t="n">
        <f aca="false">AK89/AK117</f>
        <v>0.242210904733373</v>
      </c>
      <c r="AL126" s="97" t="n">
        <f aca="false">AL89/AL117</f>
        <v>0.242210904733373</v>
      </c>
      <c r="AN126" s="61"/>
      <c r="AO126" s="61"/>
      <c r="AP126" s="61"/>
      <c r="AQ126" s="61"/>
      <c r="AR126" s="61"/>
      <c r="AS126" s="61"/>
      <c r="AU126" s="61"/>
    </row>
    <row r="127" customFormat="false" ht="12" hidden="false" customHeight="true" outlineLevel="0" collapsed="false">
      <c r="A127" s="46" t="s">
        <v>953</v>
      </c>
      <c r="B127" s="41"/>
      <c r="C127" s="41"/>
      <c r="D127" s="40"/>
      <c r="F127" s="41"/>
      <c r="G127" s="41"/>
      <c r="H127" s="40"/>
      <c r="J127" s="41"/>
      <c r="K127" s="41"/>
      <c r="L127" s="40"/>
      <c r="N127" s="41"/>
      <c r="O127" s="41"/>
      <c r="P127" s="40"/>
      <c r="AF127" s="97" t="n">
        <f aca="false">AF90/AF118</f>
        <v>0.245731254639941</v>
      </c>
      <c r="AG127" s="97" t="n">
        <f aca="false">AG90/AG118</f>
        <v>0.209958831601647</v>
      </c>
      <c r="AH127" s="97" t="n">
        <f aca="false">AH90/AH118</f>
        <v>0.342641005673601</v>
      </c>
      <c r="AI127" s="97" t="n">
        <f aca="false">AI90/AI118</f>
        <v>0.27242139459334</v>
      </c>
      <c r="AJ127" s="97" t="n">
        <f aca="false">AJ90/AJ118</f>
        <v>0.312549607549167</v>
      </c>
      <c r="AK127" s="97" t="n">
        <f aca="false">AK90/AK118</f>
        <v>0.284109149277689</v>
      </c>
      <c r="AL127" s="97" t="n">
        <f aca="false">AL90/AL118</f>
        <v>0.284109149277689</v>
      </c>
      <c r="AN127" s="61"/>
      <c r="AO127" s="61"/>
      <c r="AP127" s="61"/>
      <c r="AQ127" s="61"/>
      <c r="AR127" s="61"/>
      <c r="AS127" s="61"/>
      <c r="AU127" s="61"/>
    </row>
    <row r="128" s="19" customFormat="true" ht="12.75" hidden="false" customHeight="true" outlineLevel="0" collapsed="false">
      <c r="A128" s="39" t="s">
        <v>954</v>
      </c>
      <c r="B128" s="145"/>
      <c r="C128" s="145"/>
      <c r="F128" s="145"/>
      <c r="G128" s="145"/>
      <c r="J128" s="145"/>
      <c r="K128" s="145"/>
      <c r="N128" s="145"/>
      <c r="O128" s="145"/>
      <c r="V128" s="475"/>
      <c r="Z128" s="466"/>
      <c r="AF128" s="97" t="n">
        <f aca="false">AF91/AF119</f>
        <v>0.341675734494015</v>
      </c>
      <c r="AG128" s="97" t="n">
        <f aca="false">AG91/AG119</f>
        <v>0.263291139240506</v>
      </c>
      <c r="AH128" s="97" t="n">
        <f aca="false">AH91/AH119</f>
        <v>0.434510505140814</v>
      </c>
      <c r="AI128" s="97" t="n">
        <f aca="false">AI91/AI119</f>
        <v>0.454545454545455</v>
      </c>
      <c r="AJ128" s="97" t="n">
        <f aca="false">AJ91/AJ119</f>
        <v>0.314924391847469</v>
      </c>
      <c r="AK128" s="97" t="n">
        <f aca="false">AK91/AK119</f>
        <v>0.363549618320611</v>
      </c>
      <c r="AL128" s="97" t="n">
        <f aca="false">AL91/AL119</f>
        <v>0.363549618320611</v>
      </c>
      <c r="AM128" s="444"/>
      <c r="AN128" s="61"/>
      <c r="AO128" s="61"/>
      <c r="AP128" s="61"/>
      <c r="AQ128" s="61"/>
      <c r="AR128" s="61"/>
      <c r="AS128" s="61"/>
      <c r="AT128" s="444"/>
      <c r="AU128" s="61"/>
    </row>
    <row r="129" s="19" customFormat="true" ht="12.75" hidden="false" customHeight="true" outlineLevel="0" collapsed="false">
      <c r="A129" s="39" t="s">
        <v>955</v>
      </c>
      <c r="B129" s="145"/>
      <c r="C129" s="145"/>
      <c r="F129" s="145"/>
      <c r="G129" s="145"/>
      <c r="J129" s="145"/>
      <c r="K129" s="145"/>
      <c r="N129" s="145"/>
      <c r="O129" s="145"/>
      <c r="V129" s="475"/>
      <c r="Z129" s="466"/>
      <c r="AF129" s="97" t="n">
        <f aca="false">AF92/AF120</f>
        <v>0.321447028423773</v>
      </c>
      <c r="AG129" s="97" t="n">
        <f aca="false">AG92/AG120</f>
        <v>0.289189189189189</v>
      </c>
      <c r="AH129" s="97" t="n">
        <f aca="false">AH92/AH120</f>
        <v>0.275469550369949</v>
      </c>
      <c r="AI129" s="97" t="n">
        <f aca="false">AI92/AI120</f>
        <v>0.304669703872437</v>
      </c>
      <c r="AJ129" s="97" t="n">
        <f aca="false">AJ92/AJ120</f>
        <v>0.350408163265306</v>
      </c>
      <c r="AK129" s="97" t="n">
        <f aca="false">AK92/AK120</f>
        <v>0.340834845735027</v>
      </c>
      <c r="AL129" s="97" t="n">
        <f aca="false">AL92/AL120</f>
        <v>0.340834845735027</v>
      </c>
      <c r="AM129" s="444"/>
      <c r="AN129" s="61"/>
      <c r="AO129" s="61"/>
      <c r="AP129" s="61"/>
      <c r="AQ129" s="61"/>
      <c r="AR129" s="61"/>
      <c r="AS129" s="61"/>
      <c r="AT129" s="444"/>
      <c r="AU129" s="61"/>
    </row>
    <row r="130" customFormat="false" ht="12.75" hidden="false" customHeight="true" outlineLevel="0" collapsed="false">
      <c r="A130" s="39" t="s">
        <v>420</v>
      </c>
      <c r="AF130" s="499" t="n">
        <f aca="false">AF93/AF121</f>
        <v>0.231936746834799</v>
      </c>
      <c r="AG130" s="499" t="n">
        <f aca="false">AG93/AG121</f>
        <v>0.204808841099164</v>
      </c>
      <c r="AH130" s="499" t="n">
        <f aca="false">AH93/AH121</f>
        <v>0.274490509927403</v>
      </c>
      <c r="AI130" s="499" t="n">
        <f aca="false">AI93/AI121</f>
        <v>0.246909620271904</v>
      </c>
      <c r="AJ130" s="499" t="n">
        <f aca="false">AJ93/AJ121</f>
        <v>0.264736819038436</v>
      </c>
      <c r="AK130" s="499" t="n">
        <f aca="false">AK93/AK121</f>
        <v>0.251779540370144</v>
      </c>
      <c r="AL130" s="499" t="n">
        <f aca="false">AL93/AL121</f>
        <v>0.251779540370144</v>
      </c>
      <c r="AM130" s="498"/>
      <c r="AN130" s="71"/>
      <c r="AO130" s="71"/>
      <c r="AP130" s="71"/>
      <c r="AQ130" s="71"/>
      <c r="AR130" s="71"/>
      <c r="AS130" s="71"/>
      <c r="AT130" s="498"/>
      <c r="AU130" s="71"/>
    </row>
    <row r="131" customFormat="false" ht="12" hidden="false" customHeight="true" outlineLevel="0" collapsed="false">
      <c r="B131" s="41"/>
      <c r="C131" s="41"/>
      <c r="F131" s="41"/>
      <c r="G131" s="41"/>
      <c r="J131" s="41"/>
      <c r="K131" s="41"/>
      <c r="N131" s="41"/>
      <c r="O131" s="41"/>
    </row>
    <row r="132" customFormat="false" ht="12" hidden="false" customHeight="true" outlineLevel="0" collapsed="false">
      <c r="B132" s="41"/>
      <c r="C132" s="41"/>
      <c r="F132" s="41"/>
      <c r="G132" s="41"/>
      <c r="J132" s="41"/>
      <c r="K132" s="41"/>
      <c r="N132" s="41"/>
      <c r="O132" s="41"/>
    </row>
    <row r="133" customFormat="false" ht="12" hidden="false" customHeight="true" outlineLevel="0" collapsed="false">
      <c r="B133" s="41"/>
      <c r="C133" s="41"/>
      <c r="F133" s="41"/>
      <c r="G133" s="41"/>
      <c r="J133" s="41"/>
      <c r="K133" s="41"/>
      <c r="N133" s="41"/>
      <c r="O133" s="41"/>
    </row>
    <row r="134" s="19" customFormat="true" ht="12.75" hidden="false" customHeight="true" outlineLevel="0" collapsed="false">
      <c r="V134" s="475"/>
      <c r="Z134" s="466"/>
      <c r="AM134" s="498"/>
      <c r="AT134" s="498"/>
    </row>
    <row r="135" s="19" customFormat="true" ht="14.25" hidden="false" customHeight="true" outlineLevel="0" collapsed="false">
      <c r="B135" s="162"/>
      <c r="C135" s="162"/>
      <c r="F135" s="162"/>
      <c r="G135" s="162"/>
      <c r="J135" s="162"/>
      <c r="K135" s="162"/>
      <c r="N135" s="162"/>
      <c r="O135" s="162"/>
      <c r="V135" s="475"/>
      <c r="Z135" s="466"/>
      <c r="AM135" s="498"/>
      <c r="AT135" s="498"/>
    </row>
    <row r="136" s="19" customFormat="true" ht="12.75" hidden="false" customHeight="true" outlineLevel="0" collapsed="false">
      <c r="B136" s="162"/>
      <c r="C136" s="162"/>
      <c r="F136" s="162"/>
      <c r="G136" s="162"/>
      <c r="J136" s="162"/>
      <c r="K136" s="162"/>
      <c r="N136" s="162"/>
      <c r="O136" s="162"/>
      <c r="V136" s="475"/>
      <c r="Z136" s="466"/>
      <c r="AM136" s="498"/>
      <c r="AT136" s="498"/>
    </row>
    <row r="137" customFormat="false" ht="12" hidden="false" customHeight="true" outlineLevel="0" collapsed="false">
      <c r="B137" s="115"/>
      <c r="C137" s="115"/>
      <c r="F137" s="115"/>
      <c r="G137" s="115"/>
      <c r="J137" s="115"/>
      <c r="K137" s="115"/>
      <c r="N137" s="115"/>
      <c r="O137" s="115"/>
    </row>
    <row r="138" customFormat="false" ht="12" hidden="false" customHeight="true" outlineLevel="0" collapsed="false">
      <c r="B138" s="115"/>
      <c r="C138" s="115"/>
      <c r="F138" s="115"/>
      <c r="G138" s="115"/>
      <c r="J138" s="115"/>
      <c r="K138" s="115"/>
      <c r="N138" s="115"/>
      <c r="O138" s="115"/>
    </row>
    <row r="139" customFormat="false" ht="12" hidden="false" customHeight="true" outlineLevel="0" collapsed="false">
      <c r="B139" s="115"/>
      <c r="C139" s="115"/>
      <c r="F139" s="115"/>
      <c r="G139" s="115"/>
      <c r="J139" s="115"/>
      <c r="K139" s="115"/>
      <c r="N139" s="115"/>
      <c r="O139" s="115"/>
    </row>
    <row r="140" customFormat="false" ht="12" hidden="false" customHeight="true" outlineLevel="0" collapsed="false">
      <c r="B140" s="115"/>
      <c r="C140" s="115"/>
      <c r="F140" s="115"/>
      <c r="G140" s="115"/>
      <c r="J140" s="115"/>
      <c r="K140" s="115"/>
      <c r="N140" s="115"/>
      <c r="O140" s="115"/>
    </row>
    <row r="141" customFormat="false" ht="12" hidden="false" customHeight="true" outlineLevel="0" collapsed="false">
      <c r="B141" s="115"/>
      <c r="C141" s="115"/>
      <c r="F141" s="115"/>
      <c r="G141" s="115"/>
      <c r="J141" s="115"/>
      <c r="K141" s="115"/>
      <c r="N141" s="115"/>
      <c r="O141" s="115"/>
    </row>
    <row r="142" s="19" customFormat="true" ht="12.75" hidden="false" customHeight="true" outlineLevel="0" collapsed="false">
      <c r="B142" s="162"/>
      <c r="C142" s="162"/>
      <c r="F142" s="162"/>
      <c r="G142" s="162"/>
      <c r="J142" s="162"/>
      <c r="K142" s="162"/>
      <c r="N142" s="162"/>
      <c r="O142" s="162"/>
      <c r="V142" s="475"/>
      <c r="Z142" s="466"/>
      <c r="AM142" s="498"/>
      <c r="AT142" s="498"/>
    </row>
    <row r="143" s="19" customFormat="true" ht="12.75" hidden="false" customHeight="true" outlineLevel="0" collapsed="false">
      <c r="B143" s="162"/>
      <c r="C143" s="162"/>
      <c r="F143" s="162"/>
      <c r="G143" s="162"/>
      <c r="J143" s="162"/>
      <c r="K143" s="162"/>
      <c r="N143" s="162"/>
      <c r="O143" s="162"/>
      <c r="V143" s="475"/>
      <c r="Z143" s="466"/>
      <c r="AM143" s="498"/>
      <c r="AT143" s="498"/>
    </row>
    <row r="144" s="19" customFormat="true" ht="14.25" hidden="false" customHeight="true" outlineLevel="0" collapsed="false">
      <c r="B144" s="162"/>
      <c r="C144" s="162"/>
      <c r="F144" s="162"/>
      <c r="G144" s="162"/>
      <c r="J144" s="162"/>
      <c r="K144" s="162"/>
      <c r="N144" s="162"/>
      <c r="O144" s="162"/>
      <c r="V144" s="475"/>
      <c r="Z144" s="466"/>
      <c r="AM144" s="498"/>
      <c r="AT144" s="498"/>
    </row>
    <row r="145" s="19" customFormat="true" ht="12.75" hidden="false" customHeight="true" outlineLevel="0" collapsed="false">
      <c r="B145" s="162"/>
      <c r="C145" s="162"/>
      <c r="F145" s="162"/>
      <c r="G145" s="162"/>
      <c r="J145" s="162"/>
      <c r="K145" s="162"/>
      <c r="N145" s="162"/>
      <c r="O145" s="162"/>
      <c r="V145" s="475"/>
      <c r="Z145" s="466"/>
      <c r="AM145" s="498"/>
      <c r="AT145" s="498"/>
    </row>
    <row r="147" s="19" customFormat="true" ht="12.75" hidden="false" customHeight="true" outlineLevel="0" collapsed="false">
      <c r="V147" s="475"/>
      <c r="Z147" s="466"/>
      <c r="AM147" s="498"/>
      <c r="AT147" s="498"/>
    </row>
    <row r="148" customFormat="false" ht="12" hidden="false" customHeight="true" outlineLevel="0" collapsed="false">
      <c r="B148" s="115"/>
      <c r="C148" s="115"/>
      <c r="F148" s="115"/>
      <c r="G148" s="115"/>
      <c r="J148" s="115"/>
      <c r="K148" s="115"/>
      <c r="N148" s="115"/>
      <c r="O148" s="115"/>
    </row>
    <row r="149" customFormat="false" ht="12" hidden="false" customHeight="true" outlineLevel="0" collapsed="false">
      <c r="B149" s="115"/>
      <c r="C149" s="115"/>
      <c r="F149" s="115"/>
      <c r="G149" s="115"/>
      <c r="J149" s="115"/>
      <c r="K149" s="115"/>
      <c r="N149" s="115"/>
      <c r="O149" s="115"/>
    </row>
    <row r="150" customFormat="false" ht="12" hidden="false" customHeight="true" outlineLevel="0" collapsed="false">
      <c r="B150" s="115"/>
      <c r="C150" s="115"/>
      <c r="F150" s="115"/>
      <c r="G150" s="115"/>
      <c r="J150" s="115"/>
      <c r="K150" s="115"/>
      <c r="N150" s="115"/>
      <c r="O150" s="115"/>
    </row>
    <row r="151" customFormat="false" ht="12" hidden="false" customHeight="true" outlineLevel="0" collapsed="false">
      <c r="B151" s="115"/>
      <c r="C151" s="115"/>
      <c r="F151" s="115"/>
      <c r="G151" s="115"/>
      <c r="J151" s="115"/>
      <c r="K151" s="115"/>
      <c r="N151" s="115"/>
      <c r="O151" s="115"/>
    </row>
    <row r="152" s="19" customFormat="true" ht="12.75" hidden="false" customHeight="true" outlineLevel="0" collapsed="false">
      <c r="V152" s="475"/>
      <c r="Z152" s="466"/>
      <c r="AM152" s="498"/>
      <c r="AT152" s="498"/>
    </row>
    <row r="153" customFormat="false" ht="12" hidden="false" customHeight="true" outlineLevel="0" collapsed="false">
      <c r="B153" s="115"/>
      <c r="C153" s="115"/>
      <c r="F153" s="115"/>
      <c r="G153" s="115"/>
      <c r="J153" s="115"/>
      <c r="K153" s="115"/>
      <c r="N153" s="115"/>
      <c r="O153" s="115"/>
    </row>
    <row r="154" customFormat="false" ht="12" hidden="false" customHeight="true" outlineLevel="0" collapsed="false">
      <c r="B154" s="115"/>
      <c r="C154" s="115"/>
      <c r="F154" s="115"/>
      <c r="G154" s="115"/>
      <c r="J154" s="115"/>
      <c r="K154" s="115"/>
      <c r="N154" s="115"/>
      <c r="O154" s="115"/>
    </row>
    <row r="155" customFormat="false" ht="12" hidden="false" customHeight="true" outlineLevel="0" collapsed="false">
      <c r="B155" s="115"/>
      <c r="C155" s="115"/>
      <c r="F155" s="115"/>
      <c r="G155" s="115"/>
      <c r="J155" s="115"/>
      <c r="K155" s="115"/>
      <c r="N155" s="115"/>
      <c r="O155" s="115"/>
    </row>
    <row r="156" customFormat="false" ht="12" hidden="false" customHeight="true" outlineLevel="0" collapsed="false"/>
    <row r="157" customFormat="false" ht="12" hidden="false" customHeight="true" outlineLevel="0" collapsed="false">
      <c r="B157" s="115"/>
      <c r="C157" s="115"/>
      <c r="F157" s="115"/>
      <c r="G157" s="115"/>
      <c r="J157" s="115"/>
      <c r="K157" s="115"/>
      <c r="N157" s="115"/>
      <c r="O157" s="115"/>
    </row>
    <row r="158" customFormat="false" ht="12" hidden="false" customHeight="true" outlineLevel="0" collapsed="false"/>
    <row r="159" customFormat="false" ht="12" hidden="false" customHeight="true" outlineLevel="0" collapsed="false">
      <c r="B159" s="83"/>
      <c r="C159" s="83"/>
      <c r="F159" s="83"/>
      <c r="G159" s="83"/>
      <c r="J159" s="83"/>
      <c r="K159" s="83"/>
      <c r="N159" s="83"/>
      <c r="O159" s="83"/>
    </row>
    <row r="160" customFormat="false" ht="12" hidden="false" customHeight="true" outlineLevel="0" collapsed="false">
      <c r="B160" s="83"/>
      <c r="C160" s="83"/>
      <c r="F160" s="83"/>
      <c r="G160" s="83"/>
      <c r="J160" s="83"/>
      <c r="K160" s="83"/>
      <c r="N160" s="83"/>
      <c r="O160" s="83"/>
    </row>
    <row r="161" customFormat="false" ht="12" hidden="false" customHeight="true" outlineLevel="0" collapsed="false">
      <c r="B161" s="83"/>
      <c r="C161" s="83"/>
      <c r="F161" s="83"/>
      <c r="G161" s="83"/>
      <c r="J161" s="83"/>
      <c r="K161" s="83"/>
      <c r="N161" s="83"/>
      <c r="O161" s="83"/>
    </row>
    <row r="162" customFormat="false" ht="12" hidden="false" customHeight="true" outlineLevel="0" collapsed="false">
      <c r="B162" s="83"/>
      <c r="C162" s="83"/>
      <c r="F162" s="83"/>
      <c r="G162" s="83"/>
      <c r="J162" s="83"/>
      <c r="K162" s="83"/>
      <c r="N162" s="83"/>
      <c r="O162" s="83"/>
    </row>
    <row r="163" customFormat="false" ht="12" hidden="false" customHeight="true" outlineLevel="0" collapsed="false"/>
    <row r="164" customFormat="false" ht="12" hidden="false" customHeight="true" outlineLevel="0" collapsed="false"/>
    <row r="165" customFormat="false" ht="12" hidden="false" customHeight="true" outlineLevel="0" collapsed="false">
      <c r="B165" s="75"/>
      <c r="C165" s="75"/>
      <c r="F165" s="75"/>
      <c r="G165" s="75"/>
      <c r="J165" s="75"/>
      <c r="K165" s="75"/>
      <c r="N165" s="75"/>
      <c r="O165" s="75"/>
    </row>
    <row r="166" customFormat="false" ht="12" hidden="false" customHeight="true" outlineLevel="0" collapsed="false"/>
    <row r="167" customFormat="false" ht="12" hidden="false" customHeight="true" outlineLevel="0" collapsed="false">
      <c r="C167" s="115"/>
      <c r="G167" s="115"/>
      <c r="K167" s="115"/>
      <c r="O167" s="115"/>
    </row>
    <row r="168" customFormat="false" ht="12" hidden="false" customHeight="true" outlineLevel="0" collapsed="false"/>
    <row r="169" customFormat="false" ht="12" hidden="false" customHeight="true" outlineLevel="0" collapsed="false"/>
    <row r="170" customFormat="false" ht="12" hidden="false" customHeight="true" outlineLevel="0" collapsed="false"/>
    <row r="171" customFormat="false" ht="12" hidden="false" customHeight="true" outlineLevel="0" collapsed="false"/>
    <row r="172" customFormat="false" ht="12" hidden="false" customHeight="true" outlineLevel="0" collapsed="false"/>
    <row r="173" customFormat="false" ht="12" hidden="false" customHeight="true" outlineLevel="0" collapsed="false">
      <c r="B173" s="75"/>
      <c r="F173" s="75"/>
      <c r="J173" s="75"/>
      <c r="N173" s="75"/>
    </row>
    <row r="174" customFormat="false" ht="12" hidden="false" customHeight="true" outlineLevel="0" collapsed="false">
      <c r="B174" s="35"/>
      <c r="F174" s="35"/>
      <c r="J174" s="35"/>
      <c r="N174" s="35"/>
    </row>
    <row r="175" customFormat="false" ht="12" hidden="false" customHeight="true" outlineLevel="0" collapsed="false"/>
    <row r="176" customFormat="false" ht="12" hidden="false" customHeight="true" outlineLevel="0" collapsed="false"/>
    <row r="177" customFormat="false" ht="12" hidden="false" customHeight="true" outlineLevel="0" collapsed="false"/>
    <row r="178" customFormat="false" ht="12" hidden="false" customHeight="true" outlineLevel="0" collapsed="false"/>
    <row r="179" customFormat="false" ht="12" hidden="false" customHeight="true" outlineLevel="0" collapsed="false"/>
    <row r="180" customFormat="false" ht="12" hidden="false" customHeight="true" outlineLevel="0" collapsed="false"/>
    <row r="181" customFormat="false" ht="12" hidden="false" customHeight="true" outlineLevel="0" collapsed="false"/>
    <row r="182" customFormat="false" ht="12" hidden="false" customHeight="true" outlineLevel="0" collapsed="false"/>
    <row r="183" customFormat="false" ht="12" hidden="false" customHeight="true" outlineLevel="0" collapsed="false"/>
    <row r="184" customFormat="false" ht="12" hidden="false" customHeight="true" outlineLevel="0" collapsed="false"/>
    <row r="185" customFormat="false" ht="12" hidden="false" customHeight="true" outlineLevel="0" collapsed="false"/>
    <row r="186" customFormat="false" ht="12" hidden="false" customHeight="true" outlineLevel="0" collapsed="false"/>
    <row r="187" customFormat="false" ht="12" hidden="false" customHeight="true" outlineLevel="0" collapsed="false"/>
    <row r="188" customFormat="false" ht="12" hidden="false" customHeight="true" outlineLevel="0" collapsed="false"/>
    <row r="189" customFormat="false" ht="12" hidden="false" customHeight="true" outlineLevel="0" collapsed="false"/>
    <row r="190" customFormat="false" ht="12" hidden="false" customHeight="true" outlineLevel="0" collapsed="false"/>
    <row r="191" customFormat="false" ht="12" hidden="false" customHeight="true" outlineLevel="0" collapsed="false"/>
    <row r="192" customFormat="false" ht="12" hidden="false" customHeight="true" outlineLevel="0" collapsed="false"/>
    <row r="193" customFormat="false" ht="12" hidden="false" customHeight="true" outlineLevel="0" collapsed="false"/>
  </sheetData>
  <printOptions headings="false" gridLines="true" gridLinesSet="true" horizontalCentered="false" verticalCentered="false"/>
  <pageMargins left="0.75" right="0.75" top="1" bottom="1" header="0.5" footer="0.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I8: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 zeroHeight="false" outlineLevelRow="0" outlineLevelCol="0"/>
  <sheetData>
    <row r="8" customFormat="false" ht="12" hidden="false" customHeight="true" outlineLevel="0" collapsed="false">
      <c r="I8" s="500" t="s">
        <v>1019</v>
      </c>
      <c r="J8" s="500"/>
    </row>
    <row r="9" customFormat="false" ht="12" hidden="false" customHeight="true" outlineLevel="0" collapsed="false">
      <c r="I9" s="500"/>
      <c r="J9" s="500"/>
    </row>
    <row r="10" customFormat="false" ht="12" hidden="false" customHeight="true" outlineLevel="0" collapsed="false">
      <c r="I10" s="500"/>
      <c r="J10" s="500"/>
    </row>
    <row r="11" customFormat="false" ht="12" hidden="false" customHeight="true" outlineLevel="0" collapsed="false">
      <c r="I11" s="500"/>
      <c r="J11" s="50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G20" activeCellId="0" sqref="G20"/>
    </sheetView>
  </sheetViews>
  <sheetFormatPr defaultColWidth="8.6796875" defaultRowHeight="12" zeroHeight="false" outlineLevelRow="0" outlineLevelCol="0"/>
  <cols>
    <col collapsed="false" customWidth="true" hidden="false" outlineLevel="0" max="7" min="7" style="20" width="9.73"/>
  </cols>
  <sheetData>
    <row r="1" customFormat="false" ht="12.75" hidden="false" customHeight="true" outlineLevel="0" collapsed="false">
      <c r="B1" s="501" t="s">
        <v>1020</v>
      </c>
      <c r="C1" s="502"/>
      <c r="D1" s="502"/>
      <c r="E1" s="502"/>
      <c r="F1" s="503" t="s">
        <v>1021</v>
      </c>
      <c r="G1" s="504"/>
      <c r="H1" s="504"/>
      <c r="I1" s="505" t="s">
        <v>1022</v>
      </c>
      <c r="J1" s="506"/>
      <c r="K1" s="506"/>
      <c r="L1" s="506"/>
      <c r="M1" s="506"/>
      <c r="N1" s="506"/>
      <c r="O1" s="506"/>
      <c r="P1" s="506"/>
      <c r="Q1" s="506"/>
      <c r="R1" s="506"/>
      <c r="S1" s="46" t="s">
        <v>1023</v>
      </c>
    </row>
    <row r="2" customFormat="false" ht="12.75" hidden="false" customHeight="true" outlineLevel="0" collapsed="false">
      <c r="B2" s="507" t="s">
        <v>1024</v>
      </c>
      <c r="C2" s="508" t="s">
        <v>1003</v>
      </c>
      <c r="D2" s="508" t="s">
        <v>760</v>
      </c>
      <c r="E2" s="508" t="s">
        <v>761</v>
      </c>
      <c r="F2" s="509" t="s">
        <v>762</v>
      </c>
      <c r="G2" s="509" t="s">
        <v>221</v>
      </c>
      <c r="H2" s="509" t="s">
        <v>222</v>
      </c>
      <c r="I2" s="510" t="s">
        <v>223</v>
      </c>
      <c r="J2" s="510" t="s">
        <v>224</v>
      </c>
      <c r="K2" s="510" t="s">
        <v>225</v>
      </c>
      <c r="L2" s="510" t="s">
        <v>226</v>
      </c>
      <c r="M2" s="510" t="s">
        <v>227</v>
      </c>
      <c r="N2" s="510" t="s">
        <v>228</v>
      </c>
      <c r="O2" s="510" t="s">
        <v>229</v>
      </c>
      <c r="P2" s="510" t="s">
        <v>230</v>
      </c>
      <c r="Q2" s="510" t="s">
        <v>1025</v>
      </c>
      <c r="R2" s="510" t="s">
        <v>1026</v>
      </c>
    </row>
    <row r="3" customFormat="false" ht="12" hidden="false" customHeight="true" outlineLevel="0" collapsed="false">
      <c r="A3" s="46" t="s">
        <v>332</v>
      </c>
      <c r="B3" s="511" t="n">
        <f aca="false">+'Main Model'!W19</f>
        <v>99434.267</v>
      </c>
      <c r="C3" s="512" t="n">
        <f aca="false">+'Main Model'!X19</f>
        <v>135621.836</v>
      </c>
      <c r="D3" s="512" t="n">
        <f aca="false">+'Main Model'!Y19</f>
        <v>189373.04</v>
      </c>
      <c r="E3" s="512" t="n">
        <f aca="false">+'Main Model'!Z19</f>
        <v>200186.568</v>
      </c>
      <c r="F3" s="513" t="n">
        <f aca="false">+'Main Model'!AA19</f>
        <v>262479.079</v>
      </c>
      <c r="G3" s="513" t="n">
        <f aca="false">+'Main Model'!AB19</f>
        <v>290549.5</v>
      </c>
      <c r="H3" s="513" t="n">
        <f aca="false">+'Main Model'!AC19</f>
        <v>174674.7</v>
      </c>
      <c r="I3" s="514"/>
      <c r="J3" s="514"/>
      <c r="K3" s="506"/>
      <c r="L3" s="506"/>
      <c r="M3" s="506"/>
      <c r="N3" s="506"/>
      <c r="O3" s="506"/>
      <c r="P3" s="506"/>
      <c r="Q3" s="506"/>
      <c r="R3" s="506"/>
    </row>
    <row r="4" customFormat="false" ht="12" hidden="false" customHeight="true" outlineLevel="0" collapsed="false">
      <c r="A4" s="46" t="s">
        <v>162</v>
      </c>
      <c r="B4" s="511" t="n">
        <f aca="false">+'Main Model'!W47</f>
        <v>1665.62299999998</v>
      </c>
      <c r="C4" s="512" t="n">
        <f aca="false">+'Main Model'!X47</f>
        <v>10266.337</v>
      </c>
      <c r="D4" s="512" t="n">
        <f aca="false">+'Main Model'!Y47</f>
        <v>22546.311</v>
      </c>
      <c r="E4" s="512" t="n">
        <f aca="false">+'Main Model'!Z47</f>
        <v>22025.372</v>
      </c>
      <c r="F4" s="513" t="n">
        <f aca="false">+'Main Model'!AA47</f>
        <v>27389.807</v>
      </c>
      <c r="G4" s="513" t="n">
        <f aca="false">+'Main Model'!AB47</f>
        <v>31357.3999999999</v>
      </c>
      <c r="H4" s="513" t="n">
        <f aca="false">+'Main Model'!AC47</f>
        <v>11736.5</v>
      </c>
      <c r="I4" s="514"/>
      <c r="J4" s="514"/>
      <c r="K4" s="514"/>
      <c r="L4" s="514"/>
      <c r="M4" s="514"/>
      <c r="N4" s="514"/>
      <c r="O4" s="506"/>
      <c r="P4" s="506"/>
      <c r="Q4" s="506"/>
      <c r="R4" s="506"/>
    </row>
    <row r="5" customFormat="false" ht="12.75" hidden="false" customHeight="true" outlineLevel="0" collapsed="false">
      <c r="A5" s="46" t="s">
        <v>1027</v>
      </c>
      <c r="B5" s="515" t="n">
        <f aca="false">+B4/B3</f>
        <v>0.0167509959117009</v>
      </c>
      <c r="C5" s="516" t="n">
        <f aca="false">+C4/C3</f>
        <v>0.0756982599763656</v>
      </c>
      <c r="D5" s="516" t="n">
        <f aca="false">+D4/D3</f>
        <v>0.119057659949906</v>
      </c>
      <c r="E5" s="516" t="n">
        <f aca="false">+E4/E3</f>
        <v>0.110024225001949</v>
      </c>
      <c r="F5" s="517" t="n">
        <f aca="false">+F4/F3</f>
        <v>0.104350438535332</v>
      </c>
      <c r="G5" s="517" t="n">
        <f aca="false">+G4/G3</f>
        <v>0.107924467259451</v>
      </c>
      <c r="H5" s="517" t="n">
        <f aca="false">+H4/H3</f>
        <v>0.0671906120348282</v>
      </c>
      <c r="I5" s="518" t="n">
        <v>0.12</v>
      </c>
      <c r="J5" s="518" t="n">
        <v>0.12</v>
      </c>
      <c r="K5" s="518" t="n">
        <v>0.12</v>
      </c>
      <c r="L5" s="518" t="n">
        <v>0.12</v>
      </c>
      <c r="M5" s="518" t="n">
        <v>0.12</v>
      </c>
      <c r="N5" s="518" t="n">
        <v>0.12</v>
      </c>
      <c r="O5" s="518" t="n">
        <v>0.12</v>
      </c>
      <c r="P5" s="518" t="n">
        <v>0.12</v>
      </c>
      <c r="Q5" s="518" t="n">
        <v>0.12</v>
      </c>
      <c r="R5" s="518" t="n">
        <v>0.12</v>
      </c>
    </row>
    <row r="6" customFormat="false" ht="12" hidden="false" customHeight="true" outlineLevel="0" collapsed="false">
      <c r="A6" s="46" t="s">
        <v>1028</v>
      </c>
      <c r="B6" s="519" t="n">
        <v>-297.407</v>
      </c>
      <c r="C6" s="520" t="n">
        <v>-501.89</v>
      </c>
      <c r="D6" s="520" t="n">
        <v>-4408.76</v>
      </c>
      <c r="E6" s="520" t="n">
        <v>-3476.196</v>
      </c>
      <c r="F6" s="513" t="n">
        <f aca="false">-'Main Model'!AA56</f>
        <v>-6681.258</v>
      </c>
      <c r="G6" s="513" t="n">
        <f aca="false">-'Main Model'!AB56</f>
        <v>-5136</v>
      </c>
      <c r="H6" s="513" t="n">
        <f aca="false">-'Main Model'!AC56</f>
        <v>-1224</v>
      </c>
      <c r="I6" s="514"/>
      <c r="J6" s="514"/>
      <c r="K6" s="514"/>
      <c r="L6" s="514"/>
      <c r="M6" s="514"/>
      <c r="N6" s="514"/>
      <c r="O6" s="506"/>
      <c r="P6" s="506"/>
      <c r="Q6" s="506"/>
      <c r="R6" s="506"/>
    </row>
    <row r="7" customFormat="false" ht="12" hidden="false" customHeight="true" outlineLevel="0" collapsed="false">
      <c r="A7" s="46" t="s">
        <v>1029</v>
      </c>
      <c r="B7" s="519" t="n">
        <f aca="false">5861.708+467.494-2161.247</f>
        <v>4167.955</v>
      </c>
      <c r="C7" s="520" t="n">
        <f aca="false">18167.409-11219.837</f>
        <v>6947.572</v>
      </c>
      <c r="D7" s="520" t="n">
        <f aca="false">21238.534-23033.142</f>
        <v>-1794.608</v>
      </c>
      <c r="E7" s="520" t="n">
        <f aca="false">25023.908-23120.801</f>
        <v>1903.107</v>
      </c>
      <c r="F7" s="513" t="n">
        <f aca="false">+'Main Model'!AA1018</f>
        <v>26149.909</v>
      </c>
      <c r="G7" s="513" t="n">
        <f aca="false">+'Main Model'!AB1018</f>
        <v>-22078.294</v>
      </c>
      <c r="H7" s="513" t="n">
        <f aca="false">+'Main Model'!AC1018</f>
        <v>-6718.40000000001</v>
      </c>
      <c r="I7" s="514"/>
      <c r="J7" s="514"/>
      <c r="K7" s="514"/>
      <c r="L7" s="514"/>
      <c r="M7" s="514"/>
      <c r="N7" s="514"/>
      <c r="O7" s="506"/>
      <c r="P7" s="506"/>
      <c r="Q7" s="506"/>
      <c r="R7" s="506"/>
    </row>
    <row r="8" customFormat="false" ht="12" hidden="false" customHeight="true" outlineLevel="0" collapsed="false">
      <c r="A8" s="46" t="s">
        <v>1030</v>
      </c>
      <c r="B8" s="521" t="n">
        <f aca="false">+B7+B6+B4</f>
        <v>5536.17099999998</v>
      </c>
      <c r="C8" s="522" t="n">
        <f aca="false">+C7+C6+C4</f>
        <v>16712.019</v>
      </c>
      <c r="D8" s="522" t="n">
        <f aca="false">+D7+D6+D4</f>
        <v>16342.943</v>
      </c>
      <c r="E8" s="522" t="n">
        <f aca="false">+E7+E6+E4</f>
        <v>20452.283</v>
      </c>
      <c r="F8" s="523" t="n">
        <f aca="false">+F7+F6+F4</f>
        <v>46858.458</v>
      </c>
      <c r="G8" s="523" t="n">
        <f aca="false">+G7+G6+G4</f>
        <v>4143.10599999991</v>
      </c>
      <c r="H8" s="523" t="n">
        <f aca="false">+H7+H6+H4</f>
        <v>3794.09999999999</v>
      </c>
      <c r="I8" s="524" t="n">
        <f aca="false">+I7+I6+I4</f>
        <v>0</v>
      </c>
      <c r="J8" s="524" t="n">
        <f aca="false">+J7+J6+J4</f>
        <v>0</v>
      </c>
      <c r="K8" s="524" t="n">
        <f aca="false">+K7+K6+K4</f>
        <v>0</v>
      </c>
      <c r="L8" s="524" t="n">
        <f aca="false">+L7+L6+L4</f>
        <v>0</v>
      </c>
      <c r="M8" s="524" t="n">
        <f aca="false">+M7+M6+M4</f>
        <v>0</v>
      </c>
      <c r="N8" s="524" t="n">
        <f aca="false">+N7+N6+N4</f>
        <v>0</v>
      </c>
      <c r="O8" s="525" t="n">
        <f aca="false">+O7+O6+O4</f>
        <v>0</v>
      </c>
      <c r="P8" s="525" t="n">
        <f aca="false">+P7+P6+P4</f>
        <v>0</v>
      </c>
      <c r="Q8" s="525" t="n">
        <f aca="false">+Q7+Q6+Q4</f>
        <v>0</v>
      </c>
      <c r="R8" s="525" t="n">
        <f aca="false">+R7+R6+R4</f>
        <v>0</v>
      </c>
    </row>
    <row r="9" customFormat="false" ht="12" hidden="false" customHeight="true" outlineLevel="0" collapsed="false">
      <c r="A9" s="46" t="s">
        <v>1031</v>
      </c>
      <c r="B9" s="526" t="n">
        <f aca="false">-2197.54+126.965</f>
        <v>-2070.575</v>
      </c>
      <c r="C9" s="527" t="n">
        <f aca="false">-2112.39+53.639</f>
        <v>-2058.751</v>
      </c>
      <c r="D9" s="527" t="n">
        <f aca="false">-1702.233+43.068</f>
        <v>-1659.165</v>
      </c>
      <c r="E9" s="527" t="n">
        <f aca="false">-3782.729+122.917</f>
        <v>-3659.812</v>
      </c>
      <c r="F9" s="528" t="n">
        <f aca="false">+'Main Model'!AA1021</f>
        <v>-7534.029</v>
      </c>
      <c r="G9" s="528" t="n">
        <f aca="false">+'Main Model'!AB1021</f>
        <v>-15176.776</v>
      </c>
      <c r="H9" s="513" t="n">
        <f aca="false">+'Main Model'!AC1021</f>
        <v>-17953.8</v>
      </c>
      <c r="I9" s="514"/>
      <c r="J9" s="514"/>
      <c r="K9" s="514"/>
      <c r="L9" s="514"/>
      <c r="M9" s="514"/>
      <c r="N9" s="514"/>
      <c r="O9" s="506"/>
      <c r="P9" s="506"/>
      <c r="Q9" s="506"/>
      <c r="R9" s="506"/>
    </row>
    <row r="10" customFormat="false" ht="12.75" hidden="false" customHeight="true" outlineLevel="0" collapsed="false">
      <c r="A10" s="39" t="s">
        <v>1032</v>
      </c>
      <c r="B10" s="43" t="n">
        <f aca="false">+B9+B8</f>
        <v>3465.59599999998</v>
      </c>
      <c r="C10" s="43" t="n">
        <f aca="false">+C9+C8</f>
        <v>14653.268</v>
      </c>
      <c r="D10" s="43" t="n">
        <f aca="false">+D9+D8</f>
        <v>14683.778</v>
      </c>
      <c r="E10" s="43" t="n">
        <f aca="false">+E9+E8</f>
        <v>16792.471</v>
      </c>
      <c r="F10" s="43" t="n">
        <f aca="false">+F9+F8</f>
        <v>39324.429</v>
      </c>
      <c r="G10" s="43" t="n">
        <f aca="false">+G9+G8</f>
        <v>-11033.6700000001</v>
      </c>
      <c r="H10" s="43" t="n">
        <f aca="false">+H9+H8</f>
        <v>-14159.7</v>
      </c>
      <c r="I10" s="43" t="n">
        <f aca="false">+I9+I8</f>
        <v>0</v>
      </c>
      <c r="J10" s="43" t="n">
        <f aca="false">+J9+J8</f>
        <v>0</v>
      </c>
      <c r="K10" s="43" t="n">
        <f aca="false">+K9+K8</f>
        <v>0</v>
      </c>
      <c r="L10" s="43" t="n">
        <f aca="false">+L9+L8</f>
        <v>0</v>
      </c>
      <c r="M10" s="43" t="n">
        <f aca="false">+M9+M8</f>
        <v>0</v>
      </c>
      <c r="N10" s="43" t="n">
        <f aca="false">+N9+N8</f>
        <v>0</v>
      </c>
      <c r="O10" s="43" t="n">
        <f aca="false">+O9+O8</f>
        <v>0</v>
      </c>
      <c r="P10" s="43" t="n">
        <f aca="false">+P9+P8</f>
        <v>0</v>
      </c>
      <c r="Q10" s="43" t="n">
        <f aca="false">+Q9+Q8</f>
        <v>0</v>
      </c>
      <c r="R10" s="43" t="n">
        <f aca="false">+R9+R8</f>
        <v>0</v>
      </c>
    </row>
    <row r="11" customFormat="false" ht="12" hidden="false" customHeight="true" outlineLevel="0" collapsed="false">
      <c r="A11" s="46" t="s">
        <v>1033</v>
      </c>
      <c r="B11" s="48" t="n">
        <v>0</v>
      </c>
      <c r="C11" s="48" t="n">
        <v>0</v>
      </c>
      <c r="D11" s="48" t="n">
        <v>0</v>
      </c>
      <c r="E11" s="46" t="n">
        <f aca="false">+D11+1</f>
        <v>1</v>
      </c>
      <c r="F11" s="46" t="n">
        <f aca="false">+E11+1</f>
        <v>2</v>
      </c>
      <c r="G11" s="46" t="n">
        <f aca="false">+F11+1</f>
        <v>3</v>
      </c>
      <c r="H11" s="46" t="n">
        <f aca="false">+G11+1</f>
        <v>4</v>
      </c>
      <c r="I11" s="46" t="n">
        <f aca="false">+H11+1</f>
        <v>5</v>
      </c>
      <c r="J11" s="46" t="n">
        <f aca="false">+I11+1</f>
        <v>6</v>
      </c>
      <c r="K11" s="46" t="n">
        <f aca="false">+J11+1</f>
        <v>7</v>
      </c>
      <c r="L11" s="46" t="n">
        <f aca="false">+K11+1</f>
        <v>8</v>
      </c>
      <c r="M11" s="46" t="n">
        <f aca="false">+L11+1</f>
        <v>9</v>
      </c>
      <c r="N11" s="46" t="n">
        <f aca="false">+M11+1</f>
        <v>10</v>
      </c>
      <c r="O11" s="48" t="n">
        <v>10</v>
      </c>
    </row>
    <row r="12" customFormat="false" ht="12" hidden="false" customHeight="true" outlineLevel="0" collapsed="false">
      <c r="A12" s="46" t="s">
        <v>1034</v>
      </c>
      <c r="B12" s="79" t="n">
        <f aca="false">1/(1+$B$15)^B11</f>
        <v>1</v>
      </c>
      <c r="C12" s="79" t="n">
        <f aca="false">1/(1+$B$15)^C11</f>
        <v>1</v>
      </c>
      <c r="D12" s="79" t="n">
        <f aca="false">1/(1+$B$15)^D11</f>
        <v>1</v>
      </c>
      <c r="E12" s="79" t="n">
        <f aca="false">1/(1+$B$15)^E11</f>
        <v>1</v>
      </c>
      <c r="F12" s="79" t="n">
        <f aca="false">1/(1+$B$15)^F11</f>
        <v>1</v>
      </c>
      <c r="G12" s="79" t="n">
        <f aca="false">1/(1+$B$15)^G11</f>
        <v>1</v>
      </c>
      <c r="H12" s="79" t="n">
        <f aca="false">1/(1+$B$15)^H11</f>
        <v>1</v>
      </c>
      <c r="I12" s="79" t="n">
        <f aca="false">1/(1+$B$15)^I11</f>
        <v>1</v>
      </c>
      <c r="J12" s="79" t="n">
        <f aca="false">1/(1+$B$15)^J11</f>
        <v>1</v>
      </c>
      <c r="K12" s="79" t="n">
        <f aca="false">1/(1+$B$15)^K11</f>
        <v>1</v>
      </c>
      <c r="L12" s="79" t="n">
        <f aca="false">1/(1+$B$15)^L11</f>
        <v>1</v>
      </c>
      <c r="M12" s="79" t="n">
        <f aca="false">1/(1+$B$15)^M11</f>
        <v>1</v>
      </c>
      <c r="N12" s="79" t="n">
        <f aca="false">1/(1+$B$15)^N11</f>
        <v>1</v>
      </c>
      <c r="O12" s="529" t="n">
        <f aca="false">N12</f>
        <v>1</v>
      </c>
    </row>
    <row r="13" customFormat="false" ht="12.75" hidden="false" customHeight="true" outlineLevel="0" collapsed="false">
      <c r="A13" s="39" t="s">
        <v>1035</v>
      </c>
      <c r="B13" s="67" t="n">
        <f aca="false">+B12*B10</f>
        <v>3465.59599999998</v>
      </c>
      <c r="C13" s="67" t="n">
        <f aca="false">+C12*C10</f>
        <v>14653.268</v>
      </c>
      <c r="D13" s="67" t="n">
        <f aca="false">+D12*D10</f>
        <v>14683.778</v>
      </c>
      <c r="E13" s="67" t="n">
        <f aca="false">+E12*E10</f>
        <v>16792.471</v>
      </c>
      <c r="F13" s="67" t="n">
        <f aca="false">+F12*F10</f>
        <v>39324.429</v>
      </c>
      <c r="G13" s="67" t="n">
        <f aca="false">+G12*G10</f>
        <v>-11033.6700000001</v>
      </c>
      <c r="H13" s="67" t="n">
        <f aca="false">+H12*H10</f>
        <v>-14159.7</v>
      </c>
      <c r="I13" s="67" t="n">
        <f aca="false">+I12*I10</f>
        <v>0</v>
      </c>
      <c r="J13" s="67" t="n">
        <f aca="false">+J12*J10</f>
        <v>0</v>
      </c>
      <c r="K13" s="67" t="n">
        <f aca="false">+K12*K10</f>
        <v>0</v>
      </c>
      <c r="L13" s="67" t="n">
        <f aca="false">+L12*L10</f>
        <v>0</v>
      </c>
      <c r="M13" s="67" t="n">
        <f aca="false">+M12*M10</f>
        <v>0</v>
      </c>
      <c r="N13" s="67" t="n">
        <f aca="false">+N12*N10</f>
        <v>0</v>
      </c>
      <c r="O13" s="67" t="n">
        <f aca="false">+O12*O10</f>
        <v>0</v>
      </c>
      <c r="P13" s="19"/>
      <c r="Q13" s="19"/>
      <c r="R13" s="19"/>
      <c r="S13" s="19"/>
    </row>
    <row r="14" customFormat="false" ht="12" hidden="false" customHeight="true" outlineLevel="0" collapsed="false">
      <c r="A14" s="530"/>
      <c r="B14" s="93"/>
    </row>
    <row r="15" customFormat="false" ht="12" hidden="false" customHeight="true" outlineLevel="0" collapsed="false">
      <c r="A15" s="531" t="s">
        <v>1036</v>
      </c>
      <c r="B15" s="272" t="n">
        <f aca="false">+B36</f>
        <v>0</v>
      </c>
    </row>
    <row r="16" customFormat="false" ht="12" hidden="false" customHeight="true" outlineLevel="0" collapsed="false">
      <c r="A16" s="531" t="s">
        <v>1037</v>
      </c>
      <c r="B16" s="532"/>
    </row>
    <row r="17" customFormat="false" ht="12" hidden="false" customHeight="true" outlineLevel="0" collapsed="false">
      <c r="A17" s="531" t="s">
        <v>1038</v>
      </c>
      <c r="B17" s="533" t="e">
        <f aca="false">1/(B36-B16)</f>
        <v>#DIV/0!</v>
      </c>
      <c r="F17" s="534"/>
      <c r="G17" s="534"/>
    </row>
    <row r="18" customFormat="false" ht="12" hidden="false" customHeight="true" outlineLevel="0" collapsed="false">
      <c r="A18" s="531" t="s">
        <v>1039</v>
      </c>
      <c r="B18" s="37" t="n">
        <f aca="false">+O13</f>
        <v>0</v>
      </c>
      <c r="F18" s="534"/>
      <c r="G18" s="534"/>
    </row>
    <row r="19" customFormat="false" ht="12" hidden="false" customHeight="true" outlineLevel="0" collapsed="false">
      <c r="A19" s="531" t="s">
        <v>1040</v>
      </c>
      <c r="B19" s="37" t="n">
        <f aca="false">+SUM(E13:N13)</f>
        <v>30923.5299999999</v>
      </c>
      <c r="F19" s="534"/>
      <c r="G19" s="534"/>
    </row>
    <row r="20" customFormat="false" ht="12" hidden="false" customHeight="true" outlineLevel="0" collapsed="false">
      <c r="A20" s="531" t="s">
        <v>1041</v>
      </c>
      <c r="B20" s="37" t="n">
        <f aca="false">+B19+B18</f>
        <v>30923.5299999999</v>
      </c>
      <c r="F20" s="534"/>
      <c r="G20" s="534"/>
    </row>
    <row r="21" customFormat="false" ht="12" hidden="false" customHeight="true" outlineLevel="0" collapsed="false">
      <c r="A21" s="531" t="s">
        <v>1042</v>
      </c>
      <c r="B21" s="31"/>
      <c r="F21" s="534"/>
      <c r="G21" s="534"/>
    </row>
    <row r="22" customFormat="false" ht="12" hidden="false" customHeight="true" outlineLevel="0" collapsed="false">
      <c r="A22" s="531" t="s">
        <v>1043</v>
      </c>
      <c r="B22" s="37" t="n">
        <f aca="false">+B20-B21</f>
        <v>30923.5299999999</v>
      </c>
      <c r="F22" s="534"/>
      <c r="G22" s="534"/>
    </row>
    <row r="23" customFormat="false" ht="12" hidden="false" customHeight="true" outlineLevel="0" collapsed="false">
      <c r="A23" s="531" t="s">
        <v>1044</v>
      </c>
      <c r="B23" s="31"/>
      <c r="F23" s="534"/>
      <c r="G23" s="534"/>
    </row>
    <row r="24" customFormat="false" ht="12.75" hidden="false" customHeight="true" outlineLevel="0" collapsed="false">
      <c r="A24" s="535" t="s">
        <v>1045</v>
      </c>
      <c r="B24" s="536" t="e">
        <f aca="false">+B22/B23</f>
        <v>#DIV/0!</v>
      </c>
      <c r="F24" s="534"/>
      <c r="G24" s="534"/>
    </row>
    <row r="25" customFormat="false" ht="12" hidden="false" customHeight="true" outlineLevel="0" collapsed="false">
      <c r="F25" s="534"/>
      <c r="G25" s="534"/>
    </row>
    <row r="26" customFormat="false" ht="12" hidden="false" customHeight="true" outlineLevel="0" collapsed="false">
      <c r="A26" s="537" t="s">
        <v>1046</v>
      </c>
      <c r="F26" s="534"/>
      <c r="G26" s="534"/>
    </row>
    <row r="27" customFormat="false" ht="12" hidden="false" customHeight="true" outlineLevel="0" collapsed="false">
      <c r="A27" s="538" t="s">
        <v>1047</v>
      </c>
      <c r="B27" s="539"/>
      <c r="F27" s="31"/>
    </row>
    <row r="28" customFormat="false" ht="12" hidden="false" customHeight="true" outlineLevel="0" collapsed="false">
      <c r="A28" s="538" t="s">
        <v>1048</v>
      </c>
      <c r="B28" s="539"/>
    </row>
    <row r="29" customFormat="false" ht="12" hidden="false" customHeight="true" outlineLevel="0" collapsed="false">
      <c r="A29" s="538" t="s">
        <v>1049</v>
      </c>
    </row>
    <row r="30" customFormat="false" ht="12.75" hidden="false" customHeight="true" outlineLevel="0" collapsed="false">
      <c r="A30" s="538" t="s">
        <v>1050</v>
      </c>
      <c r="B30" s="499" t="n">
        <f aca="false">+B29*B28+B27</f>
        <v>0</v>
      </c>
    </row>
    <row r="31" customFormat="false" ht="12" hidden="false" customHeight="true" outlineLevel="0" collapsed="false">
      <c r="A31" s="538" t="s">
        <v>1051</v>
      </c>
      <c r="B31" s="61"/>
    </row>
    <row r="32" customFormat="false" ht="12" hidden="false" customHeight="true" outlineLevel="0" collapsed="false">
      <c r="A32" s="538" t="s">
        <v>1052</v>
      </c>
      <c r="B32" s="61"/>
    </row>
    <row r="33" customFormat="false" ht="12" hidden="false" customHeight="true" outlineLevel="0" collapsed="false">
      <c r="A33" s="538" t="s">
        <v>1053</v>
      </c>
      <c r="B33" s="97" t="n">
        <f aca="false">+(1-B32)*B31</f>
        <v>0</v>
      </c>
    </row>
    <row r="34" customFormat="false" ht="12" hidden="false" customHeight="true" outlineLevel="0" collapsed="false">
      <c r="A34" s="538" t="s">
        <v>1054</v>
      </c>
      <c r="B34" s="540" t="n">
        <v>0</v>
      </c>
    </row>
    <row r="35" customFormat="false" ht="12" hidden="false" customHeight="true" outlineLevel="0" collapsed="false">
      <c r="A35" s="538" t="s">
        <v>1055</v>
      </c>
      <c r="B35" s="97" t="n">
        <f aca="false">100%-B34</f>
        <v>1</v>
      </c>
    </row>
    <row r="36" customFormat="false" ht="12.75" hidden="false" customHeight="true" outlineLevel="0" collapsed="false">
      <c r="A36" s="537" t="s">
        <v>1036</v>
      </c>
      <c r="B36" s="499" t="n">
        <f aca="false">+B30</f>
        <v>0</v>
      </c>
    </row>
    <row r="38" customFormat="false" ht="12" hidden="false" customHeight="true" outlineLevel="0" collapsed="false">
      <c r="A38" s="538" t="s">
        <v>373</v>
      </c>
    </row>
    <row r="39" customFormat="false" ht="13.5" hidden="false" customHeight="true" outlineLevel="0" collapsed="false">
      <c r="A39" s="541" t="s">
        <v>164</v>
      </c>
      <c r="B39" s="186" t="e">
        <f aca="false">+B38+B24</f>
        <v>#DIV/0!</v>
      </c>
    </row>
  </sheetData>
  <conditionalFormatting sqref="B24">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91"/>
  <sheetViews>
    <sheetView showFormulas="false" showGridLines="false" showRowColHeaders="true" showZeros="true" rightToLeft="false" tabSelected="false" showOutlineSymbols="true" defaultGridColor="true" view="normal" topLeftCell="A832" colorId="64" zoomScale="85" zoomScaleNormal="85" zoomScalePageLayoutView="100" workbookViewId="0">
      <selection pane="topLeft" activeCell="B860" activeCellId="0" sqref="B860"/>
    </sheetView>
  </sheetViews>
  <sheetFormatPr defaultColWidth="8.6796875" defaultRowHeight="12" zeroHeight="false" outlineLevelRow="0" outlineLevelCol="0"/>
  <cols>
    <col collapsed="false" customWidth="true" hidden="false" outlineLevel="0" max="1" min="1" style="20" width="12.45"/>
    <col collapsed="false" customWidth="true" hidden="false" outlineLevel="0" max="2" min="2" style="20" width="16.54"/>
    <col collapsed="false" customWidth="true" hidden="false" outlineLevel="0" max="3" min="3" style="20" width="12.27"/>
    <col collapsed="false" customWidth="true" hidden="false" outlineLevel="0" max="5" min="5" style="20" width="13.18"/>
    <col collapsed="false" customWidth="true" hidden="false" outlineLevel="0" max="6" min="6" style="20" width="11.82"/>
    <col collapsed="false" customWidth="true" hidden="false" outlineLevel="0" max="7" min="7" style="20" width="9.54"/>
  </cols>
  <sheetData>
    <row r="1" customFormat="false" ht="12.75" hidden="false" customHeight="true" outlineLevel="0" collapsed="false">
      <c r="A1" s="39" t="s">
        <v>1056</v>
      </c>
    </row>
    <row r="3" customFormat="false" ht="12" hidden="false" customHeight="true" outlineLevel="0" collapsed="false">
      <c r="A3" s="46" t="s">
        <v>1057</v>
      </c>
    </row>
    <row r="4" customFormat="false" ht="12" hidden="false" customHeight="true" outlineLevel="0" collapsed="false">
      <c r="A4" s="46" t="s">
        <v>1058</v>
      </c>
    </row>
    <row r="5" customFormat="false" ht="12" hidden="false" customHeight="true" outlineLevel="0" collapsed="false">
      <c r="A5" s="441" t="s">
        <v>1059</v>
      </c>
    </row>
    <row r="7" customFormat="false" ht="12" hidden="false" customHeight="true" outlineLevel="0" collapsed="false">
      <c r="A7" s="441" t="s">
        <v>1060</v>
      </c>
    </row>
    <row r="8" customFormat="false" ht="12" hidden="false" customHeight="true" outlineLevel="0" collapsed="false">
      <c r="A8" s="497"/>
    </row>
    <row r="10" customFormat="false" ht="12" hidden="false" customHeight="true" outlineLevel="0" collapsed="false">
      <c r="A10" s="46" t="s">
        <v>1061</v>
      </c>
    </row>
    <row r="11" customFormat="false" ht="12" hidden="false" customHeight="true" outlineLevel="0" collapsed="false">
      <c r="G11" s="48" t="n">
        <v>2005</v>
      </c>
      <c r="H11" s="48" t="n">
        <v>2006</v>
      </c>
      <c r="I11" s="48" t="n">
        <v>2007</v>
      </c>
      <c r="J11" s="48" t="n">
        <v>2008</v>
      </c>
      <c r="K11" s="48" t="n">
        <v>2009</v>
      </c>
      <c r="L11" s="48" t="n">
        <v>2010</v>
      </c>
      <c r="M11" s="48" t="n">
        <v>2011</v>
      </c>
    </row>
    <row r="12" customFormat="false" ht="12" hidden="false" customHeight="true" outlineLevel="0" collapsed="false">
      <c r="E12" s="48" t="n">
        <v>29</v>
      </c>
      <c r="G12" s="48" t="n">
        <v>50</v>
      </c>
      <c r="H12" s="48" t="n">
        <v>50</v>
      </c>
    </row>
    <row r="13" customFormat="false" ht="12" hidden="false" customHeight="true" outlineLevel="0" collapsed="false">
      <c r="E13" s="48" t="n">
        <v>1</v>
      </c>
      <c r="G13" s="48" t="n">
        <v>83.3333</v>
      </c>
      <c r="H13" s="48" t="n">
        <v>83.3333</v>
      </c>
      <c r="I13" s="48" t="n">
        <v>83.3333</v>
      </c>
    </row>
    <row r="14" customFormat="false" ht="12" hidden="false" customHeight="true" outlineLevel="0" collapsed="false">
      <c r="E14" s="48" t="n">
        <v>2</v>
      </c>
      <c r="G14" s="48" t="n">
        <v>33.33333</v>
      </c>
      <c r="H14" s="48" t="n">
        <v>33.3333</v>
      </c>
      <c r="I14" s="48" t="n">
        <v>33.3333</v>
      </c>
    </row>
    <row r="15" customFormat="false" ht="12" hidden="false" customHeight="true" outlineLevel="0" collapsed="false">
      <c r="E15" s="48" t="n">
        <v>3</v>
      </c>
      <c r="G15" s="48" t="n">
        <v>16.66667</v>
      </c>
      <c r="H15" s="48" t="n">
        <v>16.666667</v>
      </c>
      <c r="I15" s="48" t="n">
        <v>16.66667</v>
      </c>
    </row>
    <row r="16" customFormat="false" ht="12" hidden="false" customHeight="true" outlineLevel="0" collapsed="false">
      <c r="E16" s="48" t="n">
        <v>4</v>
      </c>
      <c r="I16" s="48" t="n">
        <v>133.33333</v>
      </c>
      <c r="J16" s="48" t="n">
        <v>133.3333</v>
      </c>
      <c r="K16" s="48" t="n">
        <v>133.3333</v>
      </c>
    </row>
    <row r="17" customFormat="false" ht="12" hidden="false" customHeight="true" outlineLevel="0" collapsed="false">
      <c r="E17" s="48" t="n">
        <v>5</v>
      </c>
      <c r="G17" s="48" t="n">
        <v>6.66667</v>
      </c>
      <c r="H17" s="48" t="n">
        <v>6.6667</v>
      </c>
      <c r="I17" s="48" t="n">
        <v>6.6667</v>
      </c>
    </row>
    <row r="18" customFormat="false" ht="12" hidden="false" customHeight="true" outlineLevel="0" collapsed="false">
      <c r="E18" s="48" t="n">
        <v>6</v>
      </c>
      <c r="I18" s="48" t="n">
        <v>16.66667</v>
      </c>
      <c r="J18" s="48" t="n">
        <v>16.66667</v>
      </c>
      <c r="K18" s="48" t="n">
        <v>16.66667</v>
      </c>
    </row>
    <row r="19" customFormat="false" ht="12" hidden="false" customHeight="true" outlineLevel="0" collapsed="false">
      <c r="E19" s="48" t="n">
        <v>7</v>
      </c>
      <c r="G19" s="48" t="n">
        <v>166.666667</v>
      </c>
      <c r="H19" s="48" t="n">
        <v>83.3333</v>
      </c>
    </row>
    <row r="20" customFormat="false" ht="12" hidden="false" customHeight="true" outlineLevel="0" collapsed="false">
      <c r="E20" s="542" t="s">
        <v>1062</v>
      </c>
      <c r="J20" s="48" t="n">
        <v>50</v>
      </c>
    </row>
    <row r="21" customFormat="false" ht="12" hidden="false" customHeight="true" outlineLevel="0" collapsed="false">
      <c r="E21" s="48" t="n">
        <v>10</v>
      </c>
      <c r="I21" s="48" t="n">
        <v>250</v>
      </c>
    </row>
    <row r="22" customFormat="false" ht="12" hidden="false" customHeight="true" outlineLevel="0" collapsed="false">
      <c r="E22" s="48" t="n">
        <v>11</v>
      </c>
      <c r="K22" s="48" t="n">
        <v>166.66667</v>
      </c>
      <c r="L22" s="48" t="n">
        <v>166.6667</v>
      </c>
      <c r="M22" s="48" t="n">
        <v>166.6667</v>
      </c>
    </row>
    <row r="23" customFormat="false" ht="12" hidden="false" customHeight="true" outlineLevel="0" collapsed="false">
      <c r="G23" s="62" t="n">
        <f aca="false">SUM(G12:G22)</f>
        <v>356.666637</v>
      </c>
      <c r="H23" s="62" t="n">
        <f aca="false">SUM(H12:H22)</f>
        <v>273.333267</v>
      </c>
      <c r="I23" s="62" t="n">
        <f aca="false">SUM(I12:I22)</f>
        <v>539.99997</v>
      </c>
      <c r="J23" s="62" t="n">
        <f aca="false">SUM(J12:J22)</f>
        <v>199.99997</v>
      </c>
      <c r="K23" s="62" t="n">
        <f aca="false">SUM(K12:K22)</f>
        <v>316.66664</v>
      </c>
      <c r="L23" s="62" t="n">
        <f aca="false">SUM(L12:L22)</f>
        <v>166.6667</v>
      </c>
      <c r="M23" s="62" t="n">
        <f aca="false">SUM(M12:M22)</f>
        <v>166.6667</v>
      </c>
    </row>
    <row r="26" customFormat="false" ht="12.75" hidden="false" customHeight="true" outlineLevel="0" collapsed="false">
      <c r="A26" s="39" t="s">
        <v>1063</v>
      </c>
    </row>
    <row r="27" customFormat="false" ht="12" hidden="false" customHeight="true" outlineLevel="0" collapsed="false">
      <c r="A27" s="46" t="s">
        <v>1064</v>
      </c>
      <c r="C27" s="58" t="n">
        <f aca="false">(512.38+165.02)/(9.362442+29.070185)</f>
        <v>17.6256491652262</v>
      </c>
    </row>
    <row r="28" customFormat="false" ht="12" hidden="false" customHeight="true" outlineLevel="0" collapsed="false">
      <c r="A28" s="46" t="s">
        <v>1065</v>
      </c>
      <c r="C28" s="48" t="n">
        <v>44.382627</v>
      </c>
    </row>
    <row r="29" customFormat="false" ht="12" hidden="false" customHeight="true" outlineLevel="0" collapsed="false">
      <c r="A29" s="46" t="s">
        <v>1066</v>
      </c>
      <c r="C29" s="58" t="n">
        <f aca="false">290.702</f>
        <v>290.702</v>
      </c>
    </row>
    <row r="30" customFormat="false" ht="12" hidden="false" customHeight="true" outlineLevel="0" collapsed="false">
      <c r="A30" s="46" t="s">
        <v>1067</v>
      </c>
      <c r="C30" s="217" t="n">
        <f aca="false">0.1*C29</f>
        <v>29.0702</v>
      </c>
    </row>
    <row r="31" customFormat="false" ht="12" hidden="false" customHeight="true" outlineLevel="0" collapsed="false">
      <c r="A31" s="46" t="s">
        <v>1068</v>
      </c>
      <c r="C31" s="46" t="n">
        <f aca="false">C28-C30</f>
        <v>15.312427</v>
      </c>
    </row>
    <row r="32" customFormat="false" ht="12" hidden="false" customHeight="true" outlineLevel="0" collapsed="false">
      <c r="A32" s="46" t="s">
        <v>1069</v>
      </c>
      <c r="C32" s="48" t="n">
        <v>8.25</v>
      </c>
    </row>
    <row r="33" customFormat="false" ht="12" hidden="false" customHeight="true" outlineLevel="0" collapsed="false">
      <c r="A33" s="46" t="s">
        <v>1070</v>
      </c>
      <c r="C33" s="170" t="n">
        <f aca="false">414/8.25</f>
        <v>50.1818181818182</v>
      </c>
    </row>
    <row r="35" customFormat="false" ht="12" hidden="false" customHeight="true" outlineLevel="0" collapsed="false">
      <c r="A35" s="46" t="s">
        <v>1071</v>
      </c>
      <c r="C35" s="46" t="n">
        <f aca="false">C33-C27</f>
        <v>32.556169016592</v>
      </c>
    </row>
    <row r="36" customFormat="false" ht="12.75" hidden="false" customHeight="true" outlineLevel="0" collapsed="false">
      <c r="A36" s="39" t="s">
        <v>1072</v>
      </c>
      <c r="C36" s="39" t="n">
        <f aca="false">C35*C32</f>
        <v>268.588394386884</v>
      </c>
    </row>
    <row r="37" customFormat="false" ht="12" hidden="false" customHeight="true" outlineLevel="0" collapsed="false">
      <c r="A37" s="46" t="s">
        <v>1073</v>
      </c>
      <c r="C37" s="46" t="n">
        <f aca="false">C31-C32</f>
        <v>7.062427</v>
      </c>
    </row>
    <row r="39" customFormat="false" ht="12" hidden="false" customHeight="true" outlineLevel="0" collapsed="false">
      <c r="A39" s="46" t="s">
        <v>1074</v>
      </c>
      <c r="C39" s="46" t="n">
        <f aca="false">C27*C30</f>
        <v>512.381146362959</v>
      </c>
    </row>
    <row r="42" customFormat="false" ht="12" hidden="false" customHeight="true" outlineLevel="0" collapsed="false">
      <c r="A42" s="46" t="s">
        <v>1075</v>
      </c>
    </row>
    <row r="44" customFormat="false" ht="12" hidden="false" customHeight="true" outlineLevel="0" collapsed="false">
      <c r="A44" s="46" t="s">
        <v>1076</v>
      </c>
      <c r="B44" s="58" t="n">
        <f aca="false">100000000/1000</f>
        <v>100000</v>
      </c>
      <c r="F44" s="46" t="s">
        <v>1077</v>
      </c>
      <c r="G44" s="46" t="s">
        <v>1078</v>
      </c>
    </row>
    <row r="45" customFormat="false" ht="12" hidden="false" customHeight="true" outlineLevel="0" collapsed="false">
      <c r="A45" s="46" t="s">
        <v>1079</v>
      </c>
      <c r="B45" s="48" t="n">
        <v>131.6418</v>
      </c>
      <c r="C45" s="46" t="s">
        <v>1080</v>
      </c>
      <c r="G45" s="58" t="n">
        <f aca="false">100*44.1/31</f>
        <v>142.258064516129</v>
      </c>
      <c r="H45" s="46" t="s">
        <v>1081</v>
      </c>
    </row>
    <row r="46" customFormat="false" ht="12" hidden="false" customHeight="true" outlineLevel="0" collapsed="false">
      <c r="A46" s="46" t="s">
        <v>1082</v>
      </c>
      <c r="B46" s="48" t="n">
        <v>1316.418</v>
      </c>
      <c r="C46" s="46" t="s">
        <v>1083</v>
      </c>
      <c r="G46" s="543" t="e">
        <f aca="false">#REF!+Comments!G45</f>
        <v>#REF!</v>
      </c>
    </row>
    <row r="47" customFormat="false" ht="12" hidden="false" customHeight="true" outlineLevel="0" collapsed="false">
      <c r="A47" s="46" t="s">
        <v>1084</v>
      </c>
      <c r="B47" s="46" t="n">
        <f aca="false">B46*B44</f>
        <v>131641800</v>
      </c>
      <c r="C47" s="46" t="s">
        <v>1085</v>
      </c>
      <c r="G47" s="217" t="n">
        <f aca="false">G45*30</f>
        <v>4267.74193548387</v>
      </c>
      <c r="H47" s="46" t="s">
        <v>1086</v>
      </c>
    </row>
    <row r="48" customFormat="false" ht="12" hidden="false" customHeight="true" outlineLevel="0" collapsed="false">
      <c r="A48" s="46" t="s">
        <v>1087</v>
      </c>
      <c r="B48" s="46" t="n">
        <f aca="false">B47/1000000</f>
        <v>131.6418</v>
      </c>
      <c r="C48" s="46" t="s">
        <v>1088</v>
      </c>
    </row>
    <row r="51" customFormat="false" ht="12" hidden="false" customHeight="true" outlineLevel="0" collapsed="false">
      <c r="H51" s="46" t="s">
        <v>1089</v>
      </c>
    </row>
    <row r="52" customFormat="false" ht="12.75" hidden="false" customHeight="true" outlineLevel="0" collapsed="false">
      <c r="A52" s="39" t="s">
        <v>1090</v>
      </c>
      <c r="D52" s="46" t="s">
        <v>1091</v>
      </c>
      <c r="E52" s="46" t="s">
        <v>1092</v>
      </c>
      <c r="F52" s="46" t="s">
        <v>1093</v>
      </c>
      <c r="G52" s="46" t="s">
        <v>1094</v>
      </c>
      <c r="H52" s="46" t="s">
        <v>1095</v>
      </c>
      <c r="I52" s="46" t="s">
        <v>1096</v>
      </c>
    </row>
    <row r="53" customFormat="false" ht="12.75" hidden="false" customHeight="true" outlineLevel="0" collapsed="false">
      <c r="A53" s="39" t="s">
        <v>1097</v>
      </c>
      <c r="B53" s="19"/>
      <c r="D53" s="42" t="n">
        <v>54740</v>
      </c>
      <c r="E53" s="42" t="n">
        <v>70000</v>
      </c>
      <c r="F53" s="70" t="n">
        <f aca="false">E53/D53*100-100</f>
        <v>27.8772378516624</v>
      </c>
      <c r="G53" s="42" t="n">
        <v>13202</v>
      </c>
      <c r="H53" s="544" t="n">
        <v>0.256</v>
      </c>
      <c r="I53" s="545" t="n">
        <f aca="false">F60/41386</f>
        <v>0.318996762190113</v>
      </c>
    </row>
    <row r="54" customFormat="false" ht="12" hidden="false" customHeight="true" outlineLevel="0" collapsed="false">
      <c r="A54" s="46" t="s">
        <v>1098</v>
      </c>
      <c r="D54" s="543" t="e">
        <f aca="false">#REF!</f>
        <v>#REF!</v>
      </c>
      <c r="E54" s="48" t="n">
        <v>65500</v>
      </c>
      <c r="F54" s="70" t="e">
        <f aca="false">E54/D54*100-100</f>
        <v>#REF!</v>
      </c>
    </row>
    <row r="55" customFormat="false" ht="12" hidden="false" customHeight="true" outlineLevel="0" collapsed="false">
      <c r="A55" s="46" t="s">
        <v>1099</v>
      </c>
      <c r="D55" s="543" t="e">
        <f aca="false">#REF!</f>
        <v>#REF!</v>
      </c>
      <c r="E55" s="48" t="n">
        <v>4500</v>
      </c>
      <c r="F55" s="70" t="e">
        <f aca="false">E55/D55*100-100</f>
        <v>#REF!</v>
      </c>
    </row>
    <row r="57" customFormat="false" ht="12" hidden="false" customHeight="true" outlineLevel="0" collapsed="false">
      <c r="A57" s="46" t="s">
        <v>1100</v>
      </c>
      <c r="B57" s="46" t="s">
        <v>1091</v>
      </c>
      <c r="C57" s="46" t="s">
        <v>1092</v>
      </c>
      <c r="F57" s="46" t="s">
        <v>1101</v>
      </c>
      <c r="G57" s="46" t="s">
        <v>1102</v>
      </c>
      <c r="H57" s="46" t="s">
        <v>1103</v>
      </c>
      <c r="I57" s="46" t="s">
        <v>1104</v>
      </c>
    </row>
    <row r="58" customFormat="false" ht="12.75" hidden="false" customHeight="true" outlineLevel="0" collapsed="false">
      <c r="A58" s="46" t="s">
        <v>1105</v>
      </c>
      <c r="B58" s="42" t="n">
        <v>212110</v>
      </c>
      <c r="C58" s="48" t="n">
        <v>230000</v>
      </c>
      <c r="D58" s="70" t="n">
        <f aca="false">C58/B58*100-100</f>
        <v>8.4343029560134</v>
      </c>
      <c r="F58" s="48" t="n">
        <v>41386</v>
      </c>
      <c r="G58" s="546" t="n">
        <f aca="false">F58/43425*100-100</f>
        <v>-4.69545192861254</v>
      </c>
      <c r="H58" s="46" t="n">
        <f aca="false">C58-F58</f>
        <v>188614</v>
      </c>
      <c r="I58" s="217" t="n">
        <f aca="false">H58/168685</f>
        <v>1.11814328482082</v>
      </c>
      <c r="L58" s="217" t="n">
        <f aca="false">B58*1.1</f>
        <v>233321</v>
      </c>
    </row>
    <row r="59" customFormat="false" ht="12" hidden="false" customHeight="true" outlineLevel="0" collapsed="false">
      <c r="A59" s="46" t="s">
        <v>1106</v>
      </c>
      <c r="B59" s="190" t="n">
        <v>135349</v>
      </c>
      <c r="C59" s="190" t="n">
        <v>143469.94</v>
      </c>
      <c r="D59" s="70" t="n">
        <f aca="false">C59/B59*100-100</f>
        <v>6</v>
      </c>
      <c r="L59" s="48" t="n">
        <v>70000</v>
      </c>
    </row>
    <row r="60" customFormat="false" ht="12" hidden="false" customHeight="true" outlineLevel="0" collapsed="false">
      <c r="A60" s="46" t="s">
        <v>1107</v>
      </c>
      <c r="B60" s="48" t="n">
        <v>54321</v>
      </c>
      <c r="C60" s="48" t="n">
        <v>64768</v>
      </c>
      <c r="D60" s="70" t="n">
        <f aca="false">C60/B60*100-100</f>
        <v>19.2319729018244</v>
      </c>
      <c r="F60" s="48" t="n">
        <v>13202</v>
      </c>
      <c r="G60" s="48" t="n">
        <v>19.4</v>
      </c>
      <c r="H60" s="46" t="n">
        <f aca="false">C60-F60</f>
        <v>51566</v>
      </c>
      <c r="I60" s="217" t="n">
        <f aca="false">H60/43321</f>
        <v>1.19032339973685</v>
      </c>
      <c r="L60" s="46" t="n">
        <f aca="false">L59/L58*100</f>
        <v>30.0015857981065</v>
      </c>
    </row>
    <row r="61" customFormat="false" ht="12" hidden="false" customHeight="true" outlineLevel="0" collapsed="false">
      <c r="A61" s="46" t="s">
        <v>1108</v>
      </c>
      <c r="B61" s="48" t="n">
        <v>15678</v>
      </c>
    </row>
    <row r="62" customFormat="false" ht="12" hidden="false" customHeight="true" outlineLevel="0" collapsed="false">
      <c r="A62" s="46" t="s">
        <v>1109</v>
      </c>
      <c r="B62" s="48" t="n">
        <v>171</v>
      </c>
    </row>
    <row r="63" customFormat="false" ht="12" hidden="false" customHeight="true" outlineLevel="0" collapsed="false">
      <c r="A63" s="46" t="s">
        <v>1110</v>
      </c>
      <c r="B63" s="48" t="n">
        <v>946</v>
      </c>
    </row>
    <row r="64" customFormat="false" ht="12" hidden="false" customHeight="true" outlineLevel="0" collapsed="false">
      <c r="A64" s="46" t="s">
        <v>1111</v>
      </c>
      <c r="B64" s="48" t="n">
        <v>5580</v>
      </c>
    </row>
    <row r="65" customFormat="false" ht="12" hidden="false" customHeight="true" outlineLevel="0" collapsed="false">
      <c r="A65" s="46" t="s">
        <v>1112</v>
      </c>
      <c r="B65" s="48" t="n">
        <v>12</v>
      </c>
    </row>
    <row r="67" customFormat="false" ht="12.75" hidden="false" customHeight="true" outlineLevel="0" collapsed="false">
      <c r="A67" s="39" t="s">
        <v>1113</v>
      </c>
    </row>
    <row r="68" customFormat="false" ht="12" hidden="false" customHeight="true" outlineLevel="0" collapsed="false">
      <c r="A68" s="46" t="s">
        <v>1106</v>
      </c>
      <c r="B68" s="70" t="n">
        <f aca="false">B59/B$58*100</f>
        <v>63.8107585686672</v>
      </c>
      <c r="C68" s="70" t="n">
        <f aca="false">C59/C$58*100</f>
        <v>62.3782347826087</v>
      </c>
    </row>
    <row r="69" customFormat="false" ht="12" hidden="false" customHeight="true" outlineLevel="0" collapsed="false">
      <c r="A69" s="46" t="s">
        <v>1107</v>
      </c>
      <c r="B69" s="70" t="n">
        <f aca="false">B60/B$58*100</f>
        <v>25.6098250907548</v>
      </c>
      <c r="C69" s="70" t="n">
        <f aca="false">C60/C$58*100</f>
        <v>28.16</v>
      </c>
    </row>
    <row r="70" customFormat="false" ht="12" hidden="false" customHeight="true" outlineLevel="0" collapsed="false">
      <c r="A70" s="46" t="s">
        <v>1108</v>
      </c>
      <c r="B70" s="70" t="n">
        <f aca="false">B61/B$58*100</f>
        <v>7.39144783367121</v>
      </c>
      <c r="C70" s="70" t="n">
        <f aca="false">C61/C$58*100</f>
        <v>0</v>
      </c>
    </row>
    <row r="71" customFormat="false" ht="12" hidden="false" customHeight="true" outlineLevel="0" collapsed="false">
      <c r="A71" s="46" t="s">
        <v>1109</v>
      </c>
      <c r="B71" s="70" t="n">
        <f aca="false">B62/B$58*100</f>
        <v>0.0806185469803404</v>
      </c>
      <c r="C71" s="70" t="n">
        <f aca="false">C62/C$58*100</f>
        <v>0</v>
      </c>
    </row>
    <row r="72" customFormat="false" ht="12" hidden="false" customHeight="true" outlineLevel="0" collapsed="false">
      <c r="A72" s="46" t="s">
        <v>1110</v>
      </c>
      <c r="B72" s="70" t="n">
        <f aca="false">B63/B$58*100</f>
        <v>0.445995002592994</v>
      </c>
      <c r="C72" s="70" t="n">
        <f aca="false">C63/C$58*100</f>
        <v>0</v>
      </c>
    </row>
    <row r="73" customFormat="false" ht="12" hidden="false" customHeight="true" outlineLevel="0" collapsed="false">
      <c r="A73" s="46" t="s">
        <v>1111</v>
      </c>
      <c r="B73" s="70" t="n">
        <f aca="false">B64/B$58*100</f>
        <v>2.63071048041111</v>
      </c>
      <c r="C73" s="70" t="n">
        <f aca="false">C64/C$58*100</f>
        <v>0</v>
      </c>
    </row>
    <row r="74" customFormat="false" ht="12" hidden="false" customHeight="true" outlineLevel="0" collapsed="false">
      <c r="A74" s="46" t="s">
        <v>1112</v>
      </c>
      <c r="B74" s="70" t="n">
        <f aca="false">B65/B$58*100</f>
        <v>0.00565744189335722</v>
      </c>
      <c r="C74" s="70" t="n">
        <f aca="false">C65/C$58*100</f>
        <v>0</v>
      </c>
    </row>
    <row r="78" customFormat="false" ht="12.75" hidden="false" customHeight="true" outlineLevel="0" collapsed="false">
      <c r="B78" s="39" t="s">
        <v>1114</v>
      </c>
    </row>
    <row r="79" customFormat="false" ht="12" hidden="false" customHeight="true" outlineLevel="0" collapsed="false">
      <c r="B79" s="547" t="s">
        <v>1115</v>
      </c>
      <c r="C79" s="548"/>
      <c r="D79" s="549" t="s">
        <v>1116</v>
      </c>
      <c r="E79" s="550"/>
      <c r="F79" s="548"/>
      <c r="G79" s="549" t="s">
        <v>1117</v>
      </c>
      <c r="H79" s="550"/>
      <c r="I79" s="548"/>
      <c r="J79" s="549" t="s">
        <v>1118</v>
      </c>
      <c r="K79" s="550"/>
    </row>
    <row r="80" customFormat="false" ht="12" hidden="false" customHeight="true" outlineLevel="0" collapsed="false">
      <c r="B80" s="551"/>
      <c r="C80" s="552" t="s">
        <v>1119</v>
      </c>
      <c r="D80" s="553" t="s">
        <v>1120</v>
      </c>
      <c r="E80" s="554" t="s">
        <v>1121</v>
      </c>
      <c r="F80" s="552" t="s">
        <v>1119</v>
      </c>
      <c r="G80" s="553" t="s">
        <v>1120</v>
      </c>
      <c r="H80" s="554" t="s">
        <v>1121</v>
      </c>
      <c r="I80" s="552" t="s">
        <v>1119</v>
      </c>
      <c r="J80" s="553" t="s">
        <v>1120</v>
      </c>
      <c r="K80" s="554" t="s">
        <v>1121</v>
      </c>
    </row>
    <row r="81" customFormat="false" ht="12" hidden="false" customHeight="true" outlineLevel="0" collapsed="false">
      <c r="B81" s="555" t="s">
        <v>1122</v>
      </c>
      <c r="C81" s="556" t="n">
        <v>45790</v>
      </c>
      <c r="D81" s="557" t="n">
        <v>7039</v>
      </c>
      <c r="E81" s="558" t="n">
        <f aca="false">+D81/C81*100</f>
        <v>15.3723520419306</v>
      </c>
      <c r="F81" s="556" t="n">
        <v>48241</v>
      </c>
      <c r="G81" s="557" t="n">
        <v>6096</v>
      </c>
      <c r="H81" s="558" t="n">
        <f aca="false">+G81/F81*100</f>
        <v>12.6365539686159</v>
      </c>
      <c r="I81" s="556" t="n">
        <v>37659</v>
      </c>
      <c r="J81" s="557" t="n">
        <v>4949</v>
      </c>
      <c r="K81" s="558" t="n">
        <f aca="false">+J81/I81*100</f>
        <v>13.14161289466</v>
      </c>
    </row>
    <row r="82" customFormat="false" ht="12" hidden="false" customHeight="true" outlineLevel="0" collapsed="false">
      <c r="B82" s="555" t="s">
        <v>1123</v>
      </c>
      <c r="C82" s="559" t="n">
        <v>46313</v>
      </c>
      <c r="D82" s="560" t="n">
        <v>17500</v>
      </c>
      <c r="E82" s="561" t="n">
        <f aca="false">+D82/C82*100</f>
        <v>37.7863666789023</v>
      </c>
      <c r="F82" s="559" t="n">
        <v>57596</v>
      </c>
      <c r="G82" s="560" t="n">
        <v>16641</v>
      </c>
      <c r="H82" s="561" t="n">
        <f aca="false">+G82/F82*100</f>
        <v>28.8926314327384</v>
      </c>
      <c r="I82" s="559" t="n">
        <v>60522</v>
      </c>
      <c r="J82" s="560" t="n">
        <v>18828</v>
      </c>
      <c r="K82" s="561" t="n">
        <f aca="false">+J82/I82*100</f>
        <v>31.1093486666006</v>
      </c>
    </row>
    <row r="83" customFormat="false" ht="12" hidden="false" customHeight="true" outlineLevel="0" collapsed="false">
      <c r="B83" s="555" t="s">
        <v>1124</v>
      </c>
      <c r="C83" s="559" t="n">
        <v>7729</v>
      </c>
      <c r="D83" s="560" t="n">
        <v>3853</v>
      </c>
      <c r="E83" s="561" t="n">
        <f aca="false">+D83/C83*100</f>
        <v>49.8512097295899</v>
      </c>
      <c r="F83" s="559" t="n">
        <v>11842</v>
      </c>
      <c r="G83" s="560" t="n">
        <v>5617</v>
      </c>
      <c r="H83" s="561" t="n">
        <f aca="false">+G83/F83*100</f>
        <v>47.4328660699206</v>
      </c>
      <c r="I83" s="559" t="n">
        <v>12162</v>
      </c>
      <c r="J83" s="560" t="n">
        <v>5643</v>
      </c>
      <c r="K83" s="561" t="n">
        <f aca="false">+J83/I83*100</f>
        <v>46.3986186482486</v>
      </c>
    </row>
    <row r="84" customFormat="false" ht="12" hidden="false" customHeight="true" outlineLevel="0" collapsed="false">
      <c r="B84" s="555" t="s">
        <v>1125</v>
      </c>
      <c r="C84" s="559" t="n">
        <v>16742</v>
      </c>
      <c r="D84" s="560" t="n">
        <v>4555</v>
      </c>
      <c r="E84" s="561" t="n">
        <f aca="false">+D84/C84*100</f>
        <v>27.2070242503882</v>
      </c>
      <c r="F84" s="559" t="n">
        <v>24717</v>
      </c>
      <c r="G84" s="560" t="n">
        <v>7590</v>
      </c>
      <c r="H84" s="561" t="n">
        <f aca="false">+G84/F84*100</f>
        <v>30.7076101468625</v>
      </c>
      <c r="I84" s="559" t="n">
        <v>31762</v>
      </c>
      <c r="J84" s="560" t="n">
        <v>10933</v>
      </c>
      <c r="K84" s="561" t="n">
        <f aca="false">+J84/I84*100</f>
        <v>34.4216359171337</v>
      </c>
    </row>
    <row r="85" customFormat="false" ht="12" hidden="false" customHeight="true" outlineLevel="0" collapsed="false">
      <c r="B85" s="562" t="s">
        <v>1126</v>
      </c>
      <c r="C85" s="563" t="n">
        <f aca="false">SUM(C81:C84)</f>
        <v>116574</v>
      </c>
      <c r="D85" s="564" t="n">
        <f aca="false">SUM(D81:D84)</f>
        <v>32947</v>
      </c>
      <c r="E85" s="565" t="n">
        <f aca="false">+D85/C85*100</f>
        <v>28.2627344004667</v>
      </c>
      <c r="F85" s="563" t="n">
        <f aca="false">SUM(F81:F84)</f>
        <v>142396</v>
      </c>
      <c r="G85" s="564" t="n">
        <f aca="false">SUM(G81:G84)</f>
        <v>35944</v>
      </c>
      <c r="H85" s="565" t="n">
        <f aca="false">+G85/F85*100</f>
        <v>25.2422820865755</v>
      </c>
      <c r="I85" s="563" t="n">
        <f aca="false">SUM(I81:I84)</f>
        <v>142105</v>
      </c>
      <c r="J85" s="564" t="n">
        <f aca="false">SUM(J81:J84)</f>
        <v>40353</v>
      </c>
      <c r="K85" s="565" t="n">
        <f aca="false">+J85/I85*100</f>
        <v>28.3966081418669</v>
      </c>
    </row>
    <row r="86" customFormat="false" ht="12" hidden="false" customHeight="true" outlineLevel="0" collapsed="false">
      <c r="B86" s="555" t="s">
        <v>1127</v>
      </c>
      <c r="C86" s="559" t="n">
        <v>13825</v>
      </c>
      <c r="D86" s="560" t="n">
        <v>5769</v>
      </c>
      <c r="E86" s="561" t="n">
        <f aca="false">+D86/C86*100</f>
        <v>41.7287522603978</v>
      </c>
      <c r="F86" s="559" t="n">
        <v>13052</v>
      </c>
      <c r="G86" s="560" t="n">
        <v>4956</v>
      </c>
      <c r="H86" s="561" t="n">
        <f aca="false">+G86/F86*100</f>
        <v>37.9711921544591</v>
      </c>
      <c r="I86" s="559" t="n">
        <v>12534</v>
      </c>
      <c r="J86" s="560" t="n">
        <v>5582</v>
      </c>
      <c r="K86" s="561" t="n">
        <f aca="false">+J86/I86*100</f>
        <v>44.5348651667465</v>
      </c>
    </row>
    <row r="87" customFormat="false" ht="12" hidden="false" customHeight="true" outlineLevel="0" collapsed="false">
      <c r="B87" s="555" t="s">
        <v>1128</v>
      </c>
      <c r="C87" s="559" t="n">
        <v>9796</v>
      </c>
      <c r="D87" s="560" t="n">
        <v>5258</v>
      </c>
      <c r="E87" s="561" t="n">
        <f aca="false">+D87/C87*100</f>
        <v>53.6749693752552</v>
      </c>
      <c r="F87" s="559" t="n">
        <v>10640</v>
      </c>
      <c r="G87" s="560" t="n">
        <v>5445</v>
      </c>
      <c r="H87" s="561" t="n">
        <f aca="false">+G87/F87*100</f>
        <v>51.1748120300752</v>
      </c>
      <c r="I87" s="559" t="n">
        <v>12526</v>
      </c>
      <c r="J87" s="560" t="n">
        <v>6901</v>
      </c>
      <c r="K87" s="561" t="n">
        <f aca="false">+J87/I87*100</f>
        <v>55.0934057161105</v>
      </c>
    </row>
    <row r="88" customFormat="false" ht="12" hidden="false" customHeight="true" outlineLevel="0" collapsed="false">
      <c r="B88" s="562" t="s">
        <v>1129</v>
      </c>
      <c r="C88" s="563" t="n">
        <f aca="false">SUM(C86:C87)</f>
        <v>23621</v>
      </c>
      <c r="D88" s="564" t="n">
        <f aca="false">SUM(D86:D87)</f>
        <v>11027</v>
      </c>
      <c r="E88" s="565" t="n">
        <f aca="false">+D88/C88*100</f>
        <v>46.6830362812751</v>
      </c>
      <c r="F88" s="563" t="n">
        <f aca="false">SUM(F86:F87)</f>
        <v>23692</v>
      </c>
      <c r="G88" s="564" t="n">
        <f aca="false">SUM(G86:G87)</f>
        <v>10401</v>
      </c>
      <c r="H88" s="565" t="n">
        <f aca="false">+G88/F88*100</f>
        <v>43.9008948168158</v>
      </c>
      <c r="I88" s="563" t="n">
        <f aca="false">SUM(I86:I87)</f>
        <v>25060</v>
      </c>
      <c r="J88" s="564" t="n">
        <f aca="false">SUM(J86:J87)</f>
        <v>12483</v>
      </c>
      <c r="K88" s="565" t="n">
        <f aca="false">+J88/I88*100</f>
        <v>49.8124501197127</v>
      </c>
    </row>
    <row r="89" customFormat="false" ht="12" hidden="false" customHeight="true" outlineLevel="0" collapsed="false">
      <c r="B89" s="562" t="s">
        <v>1130</v>
      </c>
      <c r="C89" s="566" t="n">
        <f aca="false">+C85+C88</f>
        <v>140195</v>
      </c>
      <c r="D89" s="567" t="n">
        <f aca="false">+D85+D88</f>
        <v>43974</v>
      </c>
      <c r="E89" s="568" t="n">
        <f aca="false">+D89/C89*100</f>
        <v>31.3663112093869</v>
      </c>
      <c r="F89" s="566" t="n">
        <f aca="false">+F85+F88</f>
        <v>166088</v>
      </c>
      <c r="G89" s="567" t="n">
        <f aca="false">+G85+G88</f>
        <v>46345</v>
      </c>
      <c r="H89" s="568" t="n">
        <f aca="false">+G89/F89*100</f>
        <v>27.9038822792736</v>
      </c>
      <c r="I89" s="566" t="n">
        <f aca="false">+I85+I88</f>
        <v>167165</v>
      </c>
      <c r="J89" s="567" t="n">
        <f aca="false">+J85+J88</f>
        <v>52836</v>
      </c>
      <c r="K89" s="568" t="n">
        <f aca="false">+J89/I89*100</f>
        <v>31.6070947865881</v>
      </c>
    </row>
    <row r="92" customFormat="false" ht="12.75" hidden="false" customHeight="true" outlineLevel="0" collapsed="false">
      <c r="B92" s="39" t="s">
        <v>1114</v>
      </c>
    </row>
    <row r="93" customFormat="false" ht="12.75" hidden="false" customHeight="true" outlineLevel="0" collapsed="false">
      <c r="B93" s="39" t="s">
        <v>1131</v>
      </c>
    </row>
    <row r="94" customFormat="false" ht="12" hidden="false" customHeight="true" outlineLevel="0" collapsed="false">
      <c r="B94" s="46" t="s">
        <v>1132</v>
      </c>
    </row>
    <row r="95" customFormat="false" ht="12" hidden="false" customHeight="true" outlineLevel="0" collapsed="false">
      <c r="B95" s="46" t="s">
        <v>1133</v>
      </c>
    </row>
    <row r="96" customFormat="false" ht="12" hidden="false" customHeight="true" outlineLevel="0" collapsed="false">
      <c r="B96" s="46" t="s">
        <v>1134</v>
      </c>
    </row>
    <row r="97" customFormat="false" ht="12" hidden="false" customHeight="true" outlineLevel="0" collapsed="false">
      <c r="B97" s="46" t="s">
        <v>1135</v>
      </c>
    </row>
    <row r="98" customFormat="false" ht="12" hidden="false" customHeight="true" outlineLevel="0" collapsed="false">
      <c r="B98" s="46" t="s">
        <v>1136</v>
      </c>
    </row>
    <row r="99" customFormat="false" ht="12" hidden="false" customHeight="true" outlineLevel="0" collapsed="false">
      <c r="B99" s="46" t="s">
        <v>1137</v>
      </c>
    </row>
    <row r="100" customFormat="false" ht="12" hidden="false" customHeight="true" outlineLevel="0" collapsed="false">
      <c r="B100" s="46" t="s">
        <v>1138</v>
      </c>
    </row>
    <row r="102" customFormat="false" ht="12.75" hidden="false" customHeight="true" outlineLevel="0" collapsed="false">
      <c r="B102" s="39" t="s">
        <v>1114</v>
      </c>
    </row>
    <row r="103" customFormat="false" ht="12.75" hidden="false" customHeight="true" outlineLevel="0" collapsed="false">
      <c r="B103" s="39" t="s">
        <v>1139</v>
      </c>
    </row>
    <row r="104" customFormat="false" ht="12" hidden="false" customHeight="true" outlineLevel="0" collapsed="false">
      <c r="B104" s="46" t="s">
        <v>1140</v>
      </c>
    </row>
    <row r="105" customFormat="false" ht="12" hidden="false" customHeight="true" outlineLevel="0" collapsed="false">
      <c r="B105" s="46" t="s">
        <v>1141</v>
      </c>
    </row>
    <row r="106" customFormat="false" ht="12" hidden="false" customHeight="true" outlineLevel="0" collapsed="false">
      <c r="B106" s="46" t="s">
        <v>1142</v>
      </c>
    </row>
    <row r="107" customFormat="false" ht="12" hidden="false" customHeight="true" outlineLevel="0" collapsed="false">
      <c r="B107" s="46" t="s">
        <v>1143</v>
      </c>
    </row>
    <row r="108" customFormat="false" ht="12" hidden="false" customHeight="true" outlineLevel="0" collapsed="false">
      <c r="B108" s="46" t="s">
        <v>1144</v>
      </c>
    </row>
    <row r="110" customFormat="false" ht="12" hidden="false" customHeight="true" outlineLevel="0" collapsed="false">
      <c r="B110" s="46" t="s">
        <v>1145</v>
      </c>
    </row>
    <row r="113" customFormat="false" ht="12" hidden="false" customHeight="true" outlineLevel="0" collapsed="false">
      <c r="B113" s="569"/>
      <c r="C113" s="569"/>
      <c r="D113" s="570" t="n">
        <v>38808</v>
      </c>
      <c r="E113" s="570" t="n">
        <v>38838</v>
      </c>
      <c r="F113" s="570" t="n">
        <v>38869</v>
      </c>
      <c r="G113" s="570" t="n">
        <v>38899</v>
      </c>
      <c r="H113" s="571" t="s">
        <v>1094</v>
      </c>
    </row>
    <row r="114" customFormat="false" ht="12" hidden="false" customHeight="true" outlineLevel="0" collapsed="false">
      <c r="B114" s="572" t="s">
        <v>1146</v>
      </c>
      <c r="C114" s="573" t="s">
        <v>387</v>
      </c>
      <c r="D114" s="574" t="n">
        <v>713</v>
      </c>
      <c r="E114" s="574" t="n">
        <v>708</v>
      </c>
      <c r="F114" s="574" t="n">
        <v>819</v>
      </c>
      <c r="G114" s="574" t="n">
        <v>1182</v>
      </c>
      <c r="H114" s="574" t="n">
        <v>3422</v>
      </c>
    </row>
    <row r="115" customFormat="false" ht="12" hidden="false" customHeight="true" outlineLevel="0" collapsed="false">
      <c r="B115" s="572"/>
      <c r="C115" s="575" t="s">
        <v>1147</v>
      </c>
      <c r="D115" s="576" t="n">
        <v>398</v>
      </c>
      <c r="E115" s="576" t="n">
        <v>550</v>
      </c>
      <c r="F115" s="576" t="n">
        <v>425</v>
      </c>
      <c r="G115" s="576" t="n">
        <v>745</v>
      </c>
      <c r="H115" s="576" t="n">
        <v>2118</v>
      </c>
      <c r="J115" s="46" t="n">
        <f aca="false">SUM(D115:F115)+SUM(D116:F116)</f>
        <v>2181</v>
      </c>
    </row>
    <row r="116" customFormat="false" ht="12" hidden="false" customHeight="true" outlineLevel="0" collapsed="false">
      <c r="B116" s="572"/>
      <c r="C116" s="575" t="s">
        <v>1148</v>
      </c>
      <c r="D116" s="576" t="n">
        <v>187</v>
      </c>
      <c r="E116" s="576" t="n">
        <v>214</v>
      </c>
      <c r="F116" s="576" t="n">
        <v>407</v>
      </c>
      <c r="G116" s="576" t="n">
        <v>162</v>
      </c>
      <c r="H116" s="576" t="n">
        <v>970</v>
      </c>
    </row>
    <row r="117" customFormat="false" ht="12" hidden="false" customHeight="true" outlineLevel="0" collapsed="false">
      <c r="B117" s="572" t="s">
        <v>1149</v>
      </c>
      <c r="C117" s="573" t="s">
        <v>387</v>
      </c>
      <c r="D117" s="574" t="n">
        <v>4708</v>
      </c>
      <c r="E117" s="574" t="n">
        <v>5120</v>
      </c>
      <c r="F117" s="574" t="n">
        <v>5804</v>
      </c>
      <c r="G117" s="574" t="n">
        <v>5612</v>
      </c>
      <c r="H117" s="574" t="n">
        <v>21244</v>
      </c>
      <c r="I117" s="46" t="s">
        <v>1150</v>
      </c>
      <c r="L117" s="46" t="s">
        <v>1151</v>
      </c>
    </row>
    <row r="118" customFormat="false" ht="12" hidden="false" customHeight="true" outlineLevel="0" collapsed="false">
      <c r="B118" s="572"/>
      <c r="C118" s="575" t="s">
        <v>1147</v>
      </c>
      <c r="D118" s="576" t="n">
        <v>4335</v>
      </c>
      <c r="E118" s="576" t="n">
        <v>4732</v>
      </c>
      <c r="F118" s="576" t="n">
        <v>5261</v>
      </c>
      <c r="G118" s="576" t="n">
        <v>4208</v>
      </c>
      <c r="H118" s="576" t="n">
        <v>18536</v>
      </c>
      <c r="I118" s="217" t="n">
        <f aca="false">H118/12508</f>
        <v>1.48193156379917</v>
      </c>
      <c r="J118" s="46" t="n">
        <f aca="false">SUM(D118:F118)+SUM(D119:F119)</f>
        <v>14762</v>
      </c>
      <c r="L118" s="58" t="n">
        <f aca="false">42613-12508</f>
        <v>30105</v>
      </c>
      <c r="M118" s="46" t="s">
        <v>1152</v>
      </c>
    </row>
    <row r="119" customFormat="false" ht="12" hidden="false" customHeight="true" outlineLevel="0" collapsed="false">
      <c r="B119" s="572"/>
      <c r="C119" s="575" t="s">
        <v>1148</v>
      </c>
      <c r="D119" s="576" t="n">
        <v>102</v>
      </c>
      <c r="E119" s="576" t="n">
        <v>95</v>
      </c>
      <c r="F119" s="576" t="n">
        <v>237</v>
      </c>
      <c r="G119" s="576" t="n">
        <v>99</v>
      </c>
      <c r="H119" s="576" t="n">
        <v>533</v>
      </c>
    </row>
    <row r="120" customFormat="false" ht="12" hidden="false" customHeight="true" outlineLevel="0" collapsed="false">
      <c r="B120" s="572" t="s">
        <v>1153</v>
      </c>
      <c r="C120" s="573" t="s">
        <v>387</v>
      </c>
      <c r="D120" s="574" t="n">
        <v>95</v>
      </c>
      <c r="E120" s="574" t="n">
        <v>58</v>
      </c>
      <c r="F120" s="574" t="n">
        <v>49</v>
      </c>
      <c r="G120" s="574" t="n">
        <v>10</v>
      </c>
      <c r="H120" s="574" t="n">
        <v>212</v>
      </c>
      <c r="L120" s="217" t="n">
        <f aca="false">47727-H118</f>
        <v>29191</v>
      </c>
      <c r="M120" s="46" t="s">
        <v>1154</v>
      </c>
    </row>
    <row r="121" customFormat="false" ht="12" hidden="false" customHeight="true" outlineLevel="0" collapsed="false">
      <c r="B121" s="572"/>
      <c r="C121" s="575" t="s">
        <v>1147</v>
      </c>
      <c r="D121" s="576" t="n">
        <v>17</v>
      </c>
      <c r="E121" s="576" t="n">
        <v>40</v>
      </c>
      <c r="F121" s="576" t="n">
        <v>38</v>
      </c>
      <c r="G121" s="576" t="n">
        <v>17</v>
      </c>
      <c r="H121" s="576" t="n">
        <v>112</v>
      </c>
      <c r="J121" s="46" t="n">
        <f aca="false">SUM(D121:F121)+SUM(D122:F122)</f>
        <v>97</v>
      </c>
      <c r="L121" s="46" t="n">
        <f aca="false">L120/L118</f>
        <v>0.969639594751702</v>
      </c>
      <c r="M121" s="46" t="s">
        <v>1155</v>
      </c>
    </row>
    <row r="122" customFormat="false" ht="12" hidden="false" customHeight="true" outlineLevel="0" collapsed="false">
      <c r="B122" s="572"/>
      <c r="C122" s="575" t="s">
        <v>1156</v>
      </c>
      <c r="D122" s="576" t="n">
        <v>0</v>
      </c>
      <c r="E122" s="576" t="n">
        <v>0</v>
      </c>
      <c r="F122" s="576" t="n">
        <v>2</v>
      </c>
      <c r="G122" s="576" t="n">
        <v>0</v>
      </c>
      <c r="H122" s="576" t="n">
        <v>2</v>
      </c>
    </row>
    <row r="123" customFormat="false" ht="12" hidden="false" customHeight="true" outlineLevel="0" collapsed="false">
      <c r="B123" s="572" t="s">
        <v>420</v>
      </c>
      <c r="C123" s="573" t="s">
        <v>387</v>
      </c>
      <c r="D123" s="574" t="n">
        <v>5516</v>
      </c>
      <c r="E123" s="574" t="n">
        <v>5886</v>
      </c>
      <c r="F123" s="574" t="n">
        <v>6672</v>
      </c>
      <c r="G123" s="574" t="n">
        <v>6804</v>
      </c>
      <c r="H123" s="574" t="n">
        <v>24878</v>
      </c>
      <c r="L123" s="217" t="n">
        <f aca="false">L120+5299+3000</f>
        <v>37490</v>
      </c>
      <c r="M123" s="46" t="s">
        <v>1157</v>
      </c>
    </row>
    <row r="124" customFormat="false" ht="12" hidden="false" customHeight="true" outlineLevel="0" collapsed="false">
      <c r="B124" s="572"/>
      <c r="C124" s="575" t="s">
        <v>1147</v>
      </c>
      <c r="D124" s="576" t="n">
        <v>4750</v>
      </c>
      <c r="E124" s="576" t="n">
        <v>5322</v>
      </c>
      <c r="F124" s="576" t="n">
        <v>5724</v>
      </c>
      <c r="G124" s="576" t="n">
        <v>4970</v>
      </c>
      <c r="H124" s="576" t="n">
        <v>20766</v>
      </c>
      <c r="J124" s="46" t="n">
        <f aca="false">SUM(D124:F124)+SUM(D125:F125)</f>
        <v>17040</v>
      </c>
      <c r="L124" s="46" t="n">
        <f aca="false">L123/L118</f>
        <v>1.24530808835742</v>
      </c>
      <c r="M124" s="46" t="s">
        <v>1158</v>
      </c>
    </row>
    <row r="125" customFormat="false" ht="12" hidden="false" customHeight="true" outlineLevel="0" collapsed="false">
      <c r="B125" s="572"/>
      <c r="C125" s="575" t="s">
        <v>1156</v>
      </c>
      <c r="D125" s="576" t="n">
        <v>289</v>
      </c>
      <c r="E125" s="576" t="n">
        <v>309</v>
      </c>
      <c r="F125" s="576" t="n">
        <v>646</v>
      </c>
      <c r="G125" s="576" t="n">
        <v>261</v>
      </c>
      <c r="H125" s="576" t="n">
        <v>1505</v>
      </c>
    </row>
    <row r="126" customFormat="false" ht="12" hidden="false" customHeight="true" outlineLevel="0" collapsed="false">
      <c r="L126" s="46" t="n">
        <f aca="false">L123+H118</f>
        <v>56026</v>
      </c>
      <c r="M126" s="46" t="s">
        <v>1159</v>
      </c>
    </row>
    <row r="128" customFormat="false" ht="12" hidden="false" customHeight="true" outlineLevel="0" collapsed="false">
      <c r="L128" s="46" t="n">
        <f aca="false">L123/8</f>
        <v>4686.25</v>
      </c>
      <c r="M128" s="46" t="s">
        <v>1160</v>
      </c>
    </row>
    <row r="129" customFormat="false" ht="12" hidden="false" customHeight="true" outlineLevel="0" collapsed="false">
      <c r="B129" s="46" t="s">
        <v>1161</v>
      </c>
    </row>
    <row r="130" customFormat="false" ht="12" hidden="false" customHeight="true" outlineLevel="0" collapsed="false">
      <c r="B130" s="46" t="s">
        <v>1162</v>
      </c>
    </row>
    <row r="131" customFormat="false" ht="12" hidden="false" customHeight="true" outlineLevel="0" collapsed="false">
      <c r="B131" s="46" t="s">
        <v>1163</v>
      </c>
    </row>
    <row r="132" customFormat="false" ht="12" hidden="false" customHeight="true" outlineLevel="0" collapsed="false">
      <c r="B132" s="46" t="s">
        <v>1164</v>
      </c>
    </row>
    <row r="133" customFormat="false" ht="12" hidden="false" customHeight="true" outlineLevel="0" collapsed="false">
      <c r="B133" s="46" t="s">
        <v>1165</v>
      </c>
    </row>
    <row r="134" customFormat="false" ht="12" hidden="false" customHeight="true" outlineLevel="0" collapsed="false">
      <c r="B134" s="46" t="s">
        <v>1166</v>
      </c>
    </row>
    <row r="135" customFormat="false" ht="12" hidden="false" customHeight="true" outlineLevel="0" collapsed="false">
      <c r="B135" s="46" t="s">
        <v>1167</v>
      </c>
    </row>
    <row r="136" customFormat="false" ht="12" hidden="false" customHeight="true" outlineLevel="0" collapsed="false">
      <c r="B136" s="46" t="s">
        <v>1168</v>
      </c>
    </row>
    <row r="137" customFormat="false" ht="12" hidden="false" customHeight="true" outlineLevel="0" collapsed="false">
      <c r="B137" s="46" t="s">
        <v>1169</v>
      </c>
    </row>
    <row r="138" customFormat="false" ht="12" hidden="false" customHeight="true" outlineLevel="0" collapsed="false">
      <c r="B138" s="46" t="s">
        <v>1170</v>
      </c>
    </row>
    <row r="139" customFormat="false" ht="12" hidden="false" customHeight="true" outlineLevel="0" collapsed="false">
      <c r="B139" s="46" t="s">
        <v>1171</v>
      </c>
    </row>
    <row r="140" customFormat="false" ht="12" hidden="false" customHeight="true" outlineLevel="0" collapsed="false">
      <c r="B140" s="46" t="s">
        <v>1172</v>
      </c>
    </row>
    <row r="141" customFormat="false" ht="12" hidden="false" customHeight="true" outlineLevel="0" collapsed="false">
      <c r="B141" s="46" t="s">
        <v>1173</v>
      </c>
    </row>
    <row r="142" customFormat="false" ht="12" hidden="false" customHeight="true" outlineLevel="0" collapsed="false">
      <c r="B142" s="46" t="s">
        <v>1174</v>
      </c>
    </row>
    <row r="143" customFormat="false" ht="12" hidden="false" customHeight="true" outlineLevel="0" collapsed="false">
      <c r="B143" s="46" t="s">
        <v>1175</v>
      </c>
    </row>
    <row r="144" customFormat="false" ht="12" hidden="false" customHeight="true" outlineLevel="0" collapsed="false">
      <c r="B144" s="46" t="s">
        <v>1176</v>
      </c>
    </row>
    <row r="145" customFormat="false" ht="12" hidden="false" customHeight="true" outlineLevel="0" collapsed="false">
      <c r="B145" s="46" t="s">
        <v>1177</v>
      </c>
    </row>
    <row r="146" customFormat="false" ht="12" hidden="false" customHeight="true" outlineLevel="0" collapsed="false">
      <c r="B146" s="46" t="s">
        <v>1178</v>
      </c>
    </row>
    <row r="147" customFormat="false" ht="12" hidden="false" customHeight="true" outlineLevel="0" collapsed="false">
      <c r="B147" s="46" t="s">
        <v>1179</v>
      </c>
    </row>
    <row r="149" customFormat="false" ht="12" hidden="false" customHeight="true" outlineLevel="0" collapsed="false">
      <c r="B149" s="46" t="s">
        <v>1180</v>
      </c>
    </row>
    <row r="150" customFormat="false" ht="12" hidden="false" customHeight="true" outlineLevel="0" collapsed="false">
      <c r="B150" s="46" t="s">
        <v>1181</v>
      </c>
    </row>
    <row r="151" customFormat="false" ht="12" hidden="false" customHeight="true" outlineLevel="0" collapsed="false">
      <c r="B151" s="46" t="s">
        <v>1182</v>
      </c>
    </row>
    <row r="152" customFormat="false" ht="12" hidden="false" customHeight="true" outlineLevel="0" collapsed="false">
      <c r="B152" s="46" t="s">
        <v>1183</v>
      </c>
    </row>
    <row r="153" customFormat="false" ht="12" hidden="false" customHeight="true" outlineLevel="0" collapsed="false">
      <c r="B153" s="46" t="s">
        <v>1184</v>
      </c>
    </row>
    <row r="154" customFormat="false" ht="12" hidden="false" customHeight="true" outlineLevel="0" collapsed="false">
      <c r="B154" s="46" t="s">
        <v>1185</v>
      </c>
    </row>
    <row r="155" customFormat="false" ht="12" hidden="false" customHeight="true" outlineLevel="0" collapsed="false">
      <c r="B155" s="46" t="s">
        <v>1186</v>
      </c>
    </row>
    <row r="156" customFormat="false" ht="12" hidden="false" customHeight="true" outlineLevel="0" collapsed="false">
      <c r="B156" s="46" t="s">
        <v>1187</v>
      </c>
    </row>
    <row r="157" customFormat="false" ht="12" hidden="false" customHeight="true" outlineLevel="0" collapsed="false">
      <c r="B157" s="46" t="s">
        <v>1188</v>
      </c>
    </row>
    <row r="158" customFormat="false" ht="12" hidden="false" customHeight="true" outlineLevel="0" collapsed="false">
      <c r="B158" s="46" t="s">
        <v>1189</v>
      </c>
    </row>
    <row r="159" customFormat="false" ht="12" hidden="false" customHeight="true" outlineLevel="0" collapsed="false">
      <c r="B159" s="46" t="s">
        <v>1190</v>
      </c>
    </row>
    <row r="160" customFormat="false" ht="12" hidden="false" customHeight="true" outlineLevel="0" collapsed="false">
      <c r="B160" s="46" t="s">
        <v>1191</v>
      </c>
    </row>
    <row r="161" customFormat="false" ht="12" hidden="false" customHeight="true" outlineLevel="0" collapsed="false">
      <c r="B161" s="46" t="s">
        <v>1192</v>
      </c>
    </row>
    <row r="164" customFormat="false" ht="12.75" hidden="false" customHeight="true" outlineLevel="0" collapsed="false">
      <c r="B164" s="39" t="s">
        <v>1193</v>
      </c>
    </row>
    <row r="165" customFormat="false" ht="12.75" hidden="false" customHeight="true" outlineLevel="0" collapsed="false">
      <c r="B165" s="46" t="s">
        <v>1194</v>
      </c>
    </row>
    <row r="166" customFormat="false" ht="12.75" hidden="false" customHeight="true" outlineLevel="0" collapsed="false">
      <c r="B166" s="46" t="s">
        <v>1195</v>
      </c>
    </row>
    <row r="167" customFormat="false" ht="12.75" hidden="false" customHeight="true" outlineLevel="0" collapsed="false">
      <c r="B167" s="46" t="s">
        <v>1196</v>
      </c>
    </row>
    <row r="168" customFormat="false" ht="12" hidden="false" customHeight="true" outlineLevel="0" collapsed="false">
      <c r="B168" s="46" t="s">
        <v>1197</v>
      </c>
    </row>
    <row r="169" customFormat="false" ht="12" hidden="false" customHeight="true" outlineLevel="0" collapsed="false">
      <c r="B169" s="46" t="s">
        <v>1198</v>
      </c>
    </row>
    <row r="170" customFormat="false" ht="12" hidden="false" customHeight="true" outlineLevel="0" collapsed="false">
      <c r="B170" s="46" t="s">
        <v>1199</v>
      </c>
    </row>
    <row r="171" customFormat="false" ht="12" hidden="false" customHeight="true" outlineLevel="0" collapsed="false">
      <c r="B171" s="46" t="s">
        <v>1200</v>
      </c>
    </row>
    <row r="172" customFormat="false" ht="12" hidden="false" customHeight="true" outlineLevel="0" collapsed="false">
      <c r="B172" s="46" t="s">
        <v>1201</v>
      </c>
    </row>
    <row r="173" customFormat="false" ht="12" hidden="false" customHeight="true" outlineLevel="0" collapsed="false"/>
    <row r="174" customFormat="false" ht="12" hidden="false" customHeight="true" outlineLevel="0" collapsed="false">
      <c r="B174" s="46" t="s">
        <v>1202</v>
      </c>
    </row>
    <row r="175" customFormat="false" ht="12" hidden="false" customHeight="true" outlineLevel="0" collapsed="false">
      <c r="B175" s="46" t="s">
        <v>1203</v>
      </c>
    </row>
    <row r="176" customFormat="false" ht="12" hidden="false" customHeight="true" outlineLevel="0" collapsed="false"/>
    <row r="177" customFormat="false" ht="12" hidden="false" customHeight="true" outlineLevel="0" collapsed="false">
      <c r="B177" s="46" t="s">
        <v>1204</v>
      </c>
    </row>
    <row r="178" customFormat="false" ht="12" hidden="false" customHeight="true" outlineLevel="0" collapsed="false"/>
    <row r="179" customFormat="false" ht="12" hidden="false" customHeight="true" outlineLevel="0" collapsed="false">
      <c r="B179" s="46" t="s">
        <v>1205</v>
      </c>
    </row>
    <row r="180" customFormat="false" ht="12" hidden="false" customHeight="true" outlineLevel="0" collapsed="false"/>
    <row r="181" customFormat="false" ht="12" hidden="false" customHeight="true" outlineLevel="0" collapsed="false">
      <c r="B181" s="46" t="s">
        <v>1206</v>
      </c>
    </row>
    <row r="182" customFormat="false" ht="12" hidden="false" customHeight="true" outlineLevel="0" collapsed="false"/>
    <row r="183" customFormat="false" ht="12" hidden="false" customHeight="true" outlineLevel="0" collapsed="false"/>
    <row r="184" customFormat="false" ht="12" hidden="false" customHeight="true" outlineLevel="0" collapsed="false">
      <c r="B184" s="46" t="s">
        <v>1207</v>
      </c>
    </row>
    <row r="185" customFormat="false" ht="12" hidden="false" customHeight="true" outlineLevel="0" collapsed="false">
      <c r="B185" s="46" t="s">
        <v>1208</v>
      </c>
    </row>
    <row r="186" customFormat="false" ht="12" hidden="false" customHeight="true" outlineLevel="0" collapsed="false"/>
    <row r="187" customFormat="false" ht="12" hidden="false" customHeight="true" outlineLevel="0" collapsed="false">
      <c r="D187" s="46" t="n">
        <f aca="false">D196+D197</f>
        <v>24</v>
      </c>
      <c r="E187" s="46" t="n">
        <f aca="false">E196+E197</f>
        <v>22</v>
      </c>
      <c r="F187" s="46" t="n">
        <f aca="false">F196+F197</f>
        <v>71</v>
      </c>
      <c r="G187" s="46" t="n">
        <f aca="false">G196+G197</f>
        <v>53</v>
      </c>
      <c r="H187" s="46" t="n">
        <f aca="false">H196+H197</f>
        <v>50</v>
      </c>
      <c r="I187" s="46" t="n">
        <f aca="false">I196+I197</f>
        <v>132</v>
      </c>
      <c r="J187" s="46" t="n">
        <f aca="false">J196+J197</f>
        <v>57</v>
      </c>
      <c r="K187" s="46" t="n">
        <f aca="false">K196+K197</f>
        <v>96</v>
      </c>
      <c r="L187" s="46" t="n">
        <f aca="false">L196+L197</f>
        <v>91</v>
      </c>
      <c r="M187" s="46" t="n">
        <f aca="false">M196+M197</f>
        <v>24</v>
      </c>
      <c r="N187" s="46" t="n">
        <f aca="false">N196+N197</f>
        <v>99</v>
      </c>
      <c r="O187" s="46" t="n">
        <f aca="false">O196+O197</f>
        <v>78</v>
      </c>
    </row>
    <row r="188" customFormat="false" ht="12" hidden="false" customHeight="true" outlineLevel="0" collapsed="false">
      <c r="B188" s="569"/>
      <c r="C188" s="569"/>
      <c r="D188" s="570" t="n">
        <v>38443</v>
      </c>
      <c r="E188" s="570" t="n">
        <v>38473</v>
      </c>
      <c r="F188" s="570" t="n">
        <v>38504</v>
      </c>
      <c r="G188" s="570" t="n">
        <v>38534</v>
      </c>
      <c r="H188" s="570" t="n">
        <v>38565</v>
      </c>
      <c r="I188" s="570" t="n">
        <v>38596</v>
      </c>
      <c r="J188" s="570" t="n">
        <v>38626</v>
      </c>
      <c r="K188" s="570" t="n">
        <v>38657</v>
      </c>
      <c r="L188" s="570" t="n">
        <v>38687</v>
      </c>
      <c r="M188" s="570" t="n">
        <v>38718</v>
      </c>
      <c r="N188" s="570" t="n">
        <v>38749</v>
      </c>
      <c r="O188" s="570" t="n">
        <v>38777</v>
      </c>
      <c r="P188" s="571" t="s">
        <v>1094</v>
      </c>
    </row>
    <row r="189" customFormat="false" ht="12" hidden="false" customHeight="true" outlineLevel="0" collapsed="false">
      <c r="B189" s="572" t="s">
        <v>1146</v>
      </c>
      <c r="C189" s="573" t="s">
        <v>387</v>
      </c>
      <c r="D189" s="574" t="n">
        <v>1023</v>
      </c>
      <c r="E189" s="574" t="n">
        <v>1062</v>
      </c>
      <c r="F189" s="574" t="n">
        <v>1029</v>
      </c>
      <c r="G189" s="574" t="n">
        <v>1464</v>
      </c>
      <c r="H189" s="574" t="n">
        <v>1637</v>
      </c>
      <c r="I189" s="574" t="n">
        <v>1977</v>
      </c>
      <c r="J189" s="574" t="n">
        <v>1677</v>
      </c>
      <c r="K189" s="574" t="n">
        <v>1811</v>
      </c>
      <c r="L189" s="574" t="n">
        <v>1361</v>
      </c>
      <c r="M189" s="574" t="n">
        <v>1240</v>
      </c>
      <c r="N189" s="574" t="n">
        <v>1066</v>
      </c>
      <c r="O189" s="574" t="n">
        <v>1475</v>
      </c>
      <c r="P189" s="574" t="n">
        <v>16822</v>
      </c>
    </row>
    <row r="190" customFormat="false" ht="12" hidden="false" customHeight="true" outlineLevel="0" collapsed="false">
      <c r="B190" s="572"/>
      <c r="C190" s="575" t="s">
        <v>1147</v>
      </c>
      <c r="D190" s="576" t="n">
        <v>569</v>
      </c>
      <c r="E190" s="576" t="n">
        <v>677</v>
      </c>
      <c r="F190" s="576" t="n">
        <v>1041</v>
      </c>
      <c r="G190" s="576" t="n">
        <v>1302</v>
      </c>
      <c r="H190" s="576" t="n">
        <v>1428</v>
      </c>
      <c r="I190" s="576" t="n">
        <v>1533</v>
      </c>
      <c r="J190" s="576" t="n">
        <v>1152</v>
      </c>
      <c r="K190" s="576" t="n">
        <v>1408</v>
      </c>
      <c r="L190" s="576" t="n">
        <v>917</v>
      </c>
      <c r="M190" s="576" t="n">
        <v>1049</v>
      </c>
      <c r="N190" s="576" t="n">
        <v>1014</v>
      </c>
      <c r="O190" s="576" t="n">
        <v>1320</v>
      </c>
      <c r="P190" s="576" t="n">
        <v>13410</v>
      </c>
    </row>
    <row r="191" customFormat="false" ht="12" hidden="false" customHeight="true" outlineLevel="0" collapsed="false">
      <c r="B191" s="572"/>
      <c r="C191" s="575" t="s">
        <v>1148</v>
      </c>
      <c r="D191" s="576" t="n">
        <v>75</v>
      </c>
      <c r="E191" s="576" t="n">
        <v>150</v>
      </c>
      <c r="F191" s="576" t="n">
        <v>96</v>
      </c>
      <c r="G191" s="576" t="n">
        <v>185</v>
      </c>
      <c r="H191" s="576" t="n">
        <v>117</v>
      </c>
      <c r="I191" s="576" t="n">
        <v>257</v>
      </c>
      <c r="J191" s="576" t="n">
        <v>181</v>
      </c>
      <c r="K191" s="576" t="n">
        <v>98</v>
      </c>
      <c r="L191" s="576" t="n">
        <v>447</v>
      </c>
      <c r="M191" s="576" t="n">
        <v>75</v>
      </c>
      <c r="N191" s="576" t="n">
        <v>300</v>
      </c>
      <c r="O191" s="576" t="n">
        <v>274</v>
      </c>
      <c r="P191" s="576" t="n">
        <v>2255</v>
      </c>
    </row>
    <row r="192" customFormat="false" ht="12" hidden="false" customHeight="true" outlineLevel="0" collapsed="false">
      <c r="B192" s="572" t="s">
        <v>1149</v>
      </c>
      <c r="C192" s="573" t="s">
        <v>387</v>
      </c>
      <c r="D192" s="574" t="n">
        <v>3051</v>
      </c>
      <c r="E192" s="574" t="n">
        <v>4183</v>
      </c>
      <c r="F192" s="574" t="n">
        <v>4302</v>
      </c>
      <c r="G192" s="574" t="n">
        <v>4505</v>
      </c>
      <c r="H192" s="574" t="n">
        <v>4460</v>
      </c>
      <c r="I192" s="574" t="n">
        <v>3741</v>
      </c>
      <c r="J192" s="574" t="n">
        <v>3807</v>
      </c>
      <c r="K192" s="574" t="n">
        <v>2861</v>
      </c>
      <c r="L192" s="574" t="n">
        <v>2665</v>
      </c>
      <c r="M192" s="574" t="n">
        <v>3486</v>
      </c>
      <c r="N192" s="574" t="n">
        <v>4320</v>
      </c>
      <c r="O192" s="574" t="n">
        <v>5989</v>
      </c>
      <c r="P192" s="574" t="n">
        <v>47370</v>
      </c>
    </row>
    <row r="193" customFormat="false" ht="12" hidden="false" customHeight="true" outlineLevel="0" collapsed="false">
      <c r="B193" s="572"/>
      <c r="C193" s="575" t="s">
        <v>1147</v>
      </c>
      <c r="D193" s="576" t="n">
        <v>2591</v>
      </c>
      <c r="E193" s="576" t="n">
        <v>3635</v>
      </c>
      <c r="F193" s="576" t="n">
        <v>3797</v>
      </c>
      <c r="G193" s="576" t="n">
        <v>2485</v>
      </c>
      <c r="H193" s="576" t="n">
        <v>2928</v>
      </c>
      <c r="I193" s="576" t="n">
        <v>3619</v>
      </c>
      <c r="J193" s="576" t="n">
        <v>2712</v>
      </c>
      <c r="K193" s="576" t="n">
        <v>2529</v>
      </c>
      <c r="L193" s="576" t="n">
        <v>2659</v>
      </c>
      <c r="M193" s="576" t="n">
        <v>4545</v>
      </c>
      <c r="N193" s="576" t="n">
        <v>4424</v>
      </c>
      <c r="O193" s="576" t="n">
        <v>6689</v>
      </c>
      <c r="P193" s="576" t="n">
        <v>42613</v>
      </c>
    </row>
    <row r="194" customFormat="false" ht="12" hidden="false" customHeight="true" outlineLevel="0" collapsed="false">
      <c r="B194" s="572"/>
      <c r="C194" s="575" t="s">
        <v>1148</v>
      </c>
      <c r="D194" s="576" t="n">
        <v>163</v>
      </c>
      <c r="E194" s="576" t="n">
        <v>171</v>
      </c>
      <c r="F194" s="576" t="n">
        <v>238</v>
      </c>
      <c r="G194" s="576" t="n">
        <v>258</v>
      </c>
      <c r="H194" s="576" t="n">
        <v>214</v>
      </c>
      <c r="I194" s="576" t="n">
        <v>334</v>
      </c>
      <c r="J194" s="576" t="n">
        <v>179</v>
      </c>
      <c r="K194" s="576" t="n">
        <v>82</v>
      </c>
      <c r="L194" s="576" t="n">
        <v>430</v>
      </c>
      <c r="M194" s="576" t="n">
        <v>94</v>
      </c>
      <c r="N194" s="576" t="n">
        <v>201</v>
      </c>
      <c r="O194" s="576" t="n">
        <v>216</v>
      </c>
      <c r="P194" s="576" t="n">
        <v>2580</v>
      </c>
    </row>
    <row r="195" customFormat="false" ht="12" hidden="false" customHeight="true" outlineLevel="0" collapsed="false">
      <c r="B195" s="572" t="s">
        <v>1153</v>
      </c>
      <c r="C195" s="573" t="s">
        <v>387</v>
      </c>
      <c r="D195" s="574" t="n">
        <v>16</v>
      </c>
      <c r="E195" s="574" t="n">
        <v>106</v>
      </c>
      <c r="F195" s="574" t="n">
        <v>107</v>
      </c>
      <c r="G195" s="574" t="n">
        <v>57</v>
      </c>
      <c r="H195" s="574" t="n">
        <v>71</v>
      </c>
      <c r="I195" s="574" t="n">
        <v>150</v>
      </c>
      <c r="J195" s="574" t="n">
        <v>0</v>
      </c>
      <c r="K195" s="574" t="n">
        <v>70</v>
      </c>
      <c r="L195" s="574" t="n">
        <v>131</v>
      </c>
      <c r="M195" s="574" t="n">
        <v>47</v>
      </c>
      <c r="N195" s="574" t="n">
        <v>39</v>
      </c>
      <c r="O195" s="574" t="n">
        <v>99</v>
      </c>
      <c r="P195" s="574" t="n">
        <v>893</v>
      </c>
    </row>
    <row r="196" customFormat="false" ht="12" hidden="false" customHeight="true" outlineLevel="0" collapsed="false">
      <c r="B196" s="572"/>
      <c r="C196" s="575" t="s">
        <v>1147</v>
      </c>
      <c r="D196" s="576" t="n">
        <v>11</v>
      </c>
      <c r="E196" s="576" t="n">
        <v>20</v>
      </c>
      <c r="F196" s="576" t="n">
        <v>65</v>
      </c>
      <c r="G196" s="576" t="n">
        <v>50</v>
      </c>
      <c r="H196" s="576" t="n">
        <v>50</v>
      </c>
      <c r="I196" s="576" t="n">
        <v>132</v>
      </c>
      <c r="J196" s="576" t="n">
        <v>57</v>
      </c>
      <c r="K196" s="576" t="n">
        <v>96</v>
      </c>
      <c r="L196" s="576" t="n">
        <v>91</v>
      </c>
      <c r="M196" s="576" t="n">
        <v>24</v>
      </c>
      <c r="N196" s="576" t="n">
        <v>79</v>
      </c>
      <c r="O196" s="576" t="n">
        <v>78</v>
      </c>
      <c r="P196" s="576" t="n">
        <v>753</v>
      </c>
    </row>
    <row r="197" customFormat="false" ht="12" hidden="false" customHeight="true" outlineLevel="0" collapsed="false">
      <c r="B197" s="572"/>
      <c r="C197" s="575" t="s">
        <v>1156</v>
      </c>
      <c r="D197" s="576" t="n">
        <v>13</v>
      </c>
      <c r="E197" s="576" t="n">
        <v>2</v>
      </c>
      <c r="F197" s="576" t="n">
        <v>6</v>
      </c>
      <c r="G197" s="576" t="n">
        <v>3</v>
      </c>
      <c r="H197" s="576" t="n">
        <v>0</v>
      </c>
      <c r="I197" s="576" t="n">
        <v>0</v>
      </c>
      <c r="J197" s="576" t="n">
        <v>0</v>
      </c>
      <c r="K197" s="576" t="n">
        <v>0</v>
      </c>
      <c r="L197" s="576" t="n">
        <v>0</v>
      </c>
      <c r="M197" s="576" t="n">
        <v>0</v>
      </c>
      <c r="N197" s="576" t="n">
        <v>20</v>
      </c>
      <c r="O197" s="576" t="n">
        <v>0</v>
      </c>
      <c r="P197" s="576" t="n">
        <v>44</v>
      </c>
    </row>
    <row r="198" customFormat="false" ht="12" hidden="false" customHeight="true" outlineLevel="0" collapsed="false">
      <c r="B198" s="572" t="s">
        <v>420</v>
      </c>
      <c r="C198" s="573" t="s">
        <v>387</v>
      </c>
      <c r="D198" s="574" t="n">
        <v>4090</v>
      </c>
      <c r="E198" s="574" t="n">
        <v>5351</v>
      </c>
      <c r="F198" s="574" t="n">
        <v>5438</v>
      </c>
      <c r="G198" s="574" t="n">
        <v>6026</v>
      </c>
      <c r="H198" s="574" t="n">
        <v>6168</v>
      </c>
      <c r="I198" s="574" t="n">
        <v>5868</v>
      </c>
      <c r="J198" s="574" t="n">
        <v>5484</v>
      </c>
      <c r="K198" s="574" t="n">
        <v>4742</v>
      </c>
      <c r="L198" s="574" t="n">
        <v>4157</v>
      </c>
      <c r="M198" s="574" t="n">
        <v>4773</v>
      </c>
      <c r="N198" s="574" t="n">
        <v>5425</v>
      </c>
      <c r="O198" s="574" t="n">
        <v>7563</v>
      </c>
      <c r="P198" s="574" t="n">
        <v>65085</v>
      </c>
    </row>
    <row r="199" customFormat="false" ht="12" hidden="false" customHeight="true" outlineLevel="0" collapsed="false">
      <c r="B199" s="572"/>
      <c r="C199" s="575" t="s">
        <v>1147</v>
      </c>
      <c r="D199" s="576" t="n">
        <v>3171</v>
      </c>
      <c r="E199" s="576" t="n">
        <v>4332</v>
      </c>
      <c r="F199" s="576" t="n">
        <v>4903</v>
      </c>
      <c r="G199" s="576" t="n">
        <v>3837</v>
      </c>
      <c r="H199" s="576" t="n">
        <v>4406</v>
      </c>
      <c r="I199" s="576" t="n">
        <v>5284</v>
      </c>
      <c r="J199" s="576" t="n">
        <v>3921</v>
      </c>
      <c r="K199" s="576" t="n">
        <v>4033</v>
      </c>
      <c r="L199" s="576" t="n">
        <v>3667</v>
      </c>
      <c r="M199" s="576" t="n">
        <v>5618</v>
      </c>
      <c r="N199" s="576" t="n">
        <v>5517</v>
      </c>
      <c r="O199" s="576" t="n">
        <v>8087</v>
      </c>
      <c r="P199" s="576" t="n">
        <v>56776</v>
      </c>
    </row>
    <row r="200" customFormat="false" ht="12" hidden="false" customHeight="true" outlineLevel="0" collapsed="false">
      <c r="B200" s="572"/>
      <c r="C200" s="575" t="s">
        <v>1156</v>
      </c>
      <c r="D200" s="576" t="n">
        <v>251</v>
      </c>
      <c r="E200" s="576" t="n">
        <v>323</v>
      </c>
      <c r="F200" s="576" t="n">
        <v>340</v>
      </c>
      <c r="G200" s="576" t="n">
        <v>446</v>
      </c>
      <c r="H200" s="576" t="n">
        <v>331</v>
      </c>
      <c r="I200" s="576" t="n">
        <v>591</v>
      </c>
      <c r="J200" s="576" t="n">
        <v>360</v>
      </c>
      <c r="K200" s="576" t="n">
        <v>180</v>
      </c>
      <c r="L200" s="576" t="n">
        <v>877</v>
      </c>
      <c r="M200" s="576" t="n">
        <v>169</v>
      </c>
      <c r="N200" s="576" t="n">
        <v>521</v>
      </c>
      <c r="O200" s="576" t="n">
        <v>490</v>
      </c>
      <c r="P200" s="576" t="n">
        <v>4879</v>
      </c>
    </row>
    <row r="201" customFormat="false" ht="12" hidden="false" customHeight="true" outlineLevel="0" collapsed="false"/>
    <row r="202" customFormat="false" ht="12" hidden="false" customHeight="true" outlineLevel="0" collapsed="false"/>
    <row r="203" customFormat="false" ht="12" hidden="false" customHeight="true" outlineLevel="0" collapsed="false">
      <c r="B203" s="46" t="s">
        <v>1209</v>
      </c>
    </row>
    <row r="204" customFormat="false" ht="12" hidden="false" customHeight="true" outlineLevel="0" collapsed="false">
      <c r="B204" s="577"/>
    </row>
    <row r="205" customFormat="false" ht="12" hidden="false" customHeight="true" outlineLevel="0" collapsed="false">
      <c r="B205" s="46" t="s">
        <v>1210</v>
      </c>
    </row>
    <row r="206" customFormat="false" ht="12" hidden="false" customHeight="true" outlineLevel="0" collapsed="false">
      <c r="B206" s="577"/>
    </row>
    <row r="207" customFormat="false" ht="12" hidden="false" customHeight="true" outlineLevel="0" collapsed="false">
      <c r="B207" s="46" t="s">
        <v>1211</v>
      </c>
    </row>
    <row r="208" customFormat="false" ht="12" hidden="false" customHeight="true" outlineLevel="0" collapsed="false">
      <c r="B208" s="577"/>
    </row>
    <row r="209" customFormat="false" ht="12" hidden="false" customHeight="true" outlineLevel="0" collapsed="false">
      <c r="B209" s="577"/>
    </row>
    <row r="210" customFormat="false" ht="12" hidden="false" customHeight="true" outlineLevel="0" collapsed="false">
      <c r="B210" s="577"/>
    </row>
    <row r="211" customFormat="false" ht="12" hidden="false" customHeight="true" outlineLevel="0" collapsed="false">
      <c r="B211" s="46" t="s">
        <v>1212</v>
      </c>
    </row>
    <row r="212" customFormat="false" ht="12" hidden="false" customHeight="true" outlineLevel="0" collapsed="false">
      <c r="B212" s="577"/>
    </row>
    <row r="213" customFormat="false" ht="12" hidden="false" customHeight="true" outlineLevel="0" collapsed="false">
      <c r="B213" s="46" t="s">
        <v>1213</v>
      </c>
    </row>
    <row r="214" customFormat="false" ht="12" hidden="false" customHeight="true" outlineLevel="0" collapsed="false">
      <c r="B214" s="577"/>
    </row>
    <row r="215" customFormat="false" ht="12" hidden="false" customHeight="true" outlineLevel="0" collapsed="false">
      <c r="B215" s="578"/>
    </row>
    <row r="216" customFormat="false" ht="12" hidden="false" customHeight="true" outlineLevel="0" collapsed="false">
      <c r="B216" s="577"/>
    </row>
    <row r="217" customFormat="false" ht="12" hidden="false" customHeight="true" outlineLevel="0" collapsed="false">
      <c r="B217" s="46" t="s">
        <v>1214</v>
      </c>
    </row>
    <row r="218" customFormat="false" ht="12" hidden="false" customHeight="true" outlineLevel="0" collapsed="false">
      <c r="B218" s="577"/>
    </row>
    <row r="219" customFormat="false" ht="12" hidden="false" customHeight="true" outlineLevel="0" collapsed="false">
      <c r="B219" s="46" t="s">
        <v>1215</v>
      </c>
    </row>
    <row r="220" customFormat="false" ht="12" hidden="false" customHeight="true" outlineLevel="0" collapsed="false">
      <c r="B220" s="577"/>
    </row>
    <row r="221" customFormat="false" ht="12" hidden="false" customHeight="true" outlineLevel="0" collapsed="false">
      <c r="B221" s="578"/>
    </row>
    <row r="222" customFormat="false" ht="12" hidden="false" customHeight="true" outlineLevel="0" collapsed="false">
      <c r="B222" s="577"/>
    </row>
    <row r="223" customFormat="false" ht="12" hidden="false" customHeight="true" outlineLevel="0" collapsed="false">
      <c r="B223" s="46" t="s">
        <v>1216</v>
      </c>
    </row>
    <row r="224" customFormat="false" ht="12" hidden="false" customHeight="true" outlineLevel="0" collapsed="false">
      <c r="B224" s="577"/>
    </row>
    <row r="225" customFormat="false" ht="12" hidden="false" customHeight="true" outlineLevel="0" collapsed="false">
      <c r="B225" s="46" t="s">
        <v>1217</v>
      </c>
    </row>
    <row r="226" customFormat="false" ht="12" hidden="false" customHeight="true" outlineLevel="0" collapsed="false">
      <c r="B226" s="577"/>
    </row>
    <row r="227" customFormat="false" ht="12" hidden="false" customHeight="true" outlineLevel="0" collapsed="false">
      <c r="B227" s="46" t="s">
        <v>1218</v>
      </c>
    </row>
    <row r="228" customFormat="false" ht="12" hidden="false" customHeight="true" outlineLevel="0" collapsed="false">
      <c r="B228" s="577"/>
    </row>
    <row r="229" customFormat="false" ht="12" hidden="false" customHeight="true" outlineLevel="0" collapsed="false">
      <c r="B229" s="46" t="s">
        <v>1219</v>
      </c>
    </row>
    <row r="230" customFormat="false" ht="12" hidden="false" customHeight="true" outlineLevel="0" collapsed="false">
      <c r="B230" s="577"/>
    </row>
    <row r="231" customFormat="false" ht="12" hidden="false" customHeight="true" outlineLevel="0" collapsed="false">
      <c r="B231" s="46" t="s">
        <v>1220</v>
      </c>
    </row>
    <row r="232" customFormat="false" ht="12" hidden="false" customHeight="true" outlineLevel="0" collapsed="false"/>
    <row r="233" customFormat="false" ht="12" hidden="false" customHeight="true" outlineLevel="0" collapsed="false"/>
    <row r="234" customFormat="false" ht="12" hidden="false" customHeight="true" outlineLevel="0" collapsed="false"/>
    <row r="235" customFormat="false" ht="12" hidden="false" customHeight="true" outlineLevel="0" collapsed="false"/>
    <row r="236" customFormat="false" ht="12" hidden="false" customHeight="true" outlineLevel="0" collapsed="false"/>
    <row r="237" customFormat="false" ht="12" hidden="false" customHeight="true" outlineLevel="0" collapsed="false"/>
    <row r="238" customFormat="false" ht="12" hidden="false" customHeight="true" outlineLevel="0" collapsed="false"/>
    <row r="239" customFormat="false" ht="12" hidden="false" customHeight="true" outlineLevel="0" collapsed="false"/>
    <row r="240" customFormat="false" ht="12.75" hidden="false" customHeight="true" outlineLevel="0" collapsed="false">
      <c r="B240" s="39" t="s">
        <v>1221</v>
      </c>
    </row>
    <row r="241" customFormat="false" ht="12" hidden="false" customHeight="true" outlineLevel="0" collapsed="false">
      <c r="B241" s="46" t="s">
        <v>1222</v>
      </c>
    </row>
    <row r="243" customFormat="false" ht="12" hidden="false" customHeight="true" outlineLevel="0" collapsed="false">
      <c r="B243" s="46" t="s">
        <v>1223</v>
      </c>
    </row>
    <row r="244" customFormat="false" ht="12" hidden="false" customHeight="true" outlineLevel="0" collapsed="false">
      <c r="B244" s="46" t="s">
        <v>1224</v>
      </c>
    </row>
    <row r="248" customFormat="false" ht="12" hidden="false" customHeight="true" outlineLevel="0" collapsed="false">
      <c r="B248" s="46" t="s">
        <v>1225</v>
      </c>
    </row>
    <row r="249" customFormat="false" ht="12" hidden="false" customHeight="true" outlineLevel="0" collapsed="false">
      <c r="B249" s="46" t="s">
        <v>1226</v>
      </c>
    </row>
    <row r="251" customFormat="false" ht="12" hidden="false" customHeight="true" outlineLevel="0" collapsed="false">
      <c r="B251" s="46" t="s">
        <v>1227</v>
      </c>
    </row>
    <row r="252" customFormat="false" ht="12" hidden="false" customHeight="true" outlineLevel="0" collapsed="false">
      <c r="B252" s="46" t="s">
        <v>1228</v>
      </c>
    </row>
    <row r="254" customFormat="false" ht="12" hidden="false" customHeight="true" outlineLevel="0" collapsed="false">
      <c r="B254" s="46" t="s">
        <v>1229</v>
      </c>
    </row>
    <row r="256" customFormat="false" ht="12" hidden="false" customHeight="true" outlineLevel="0" collapsed="false">
      <c r="B256" s="46" t="s">
        <v>1230</v>
      </c>
    </row>
    <row r="257" customFormat="false" ht="12" hidden="false" customHeight="true" outlineLevel="0" collapsed="false">
      <c r="B257" s="46" t="s">
        <v>1231</v>
      </c>
    </row>
    <row r="258" customFormat="false" ht="12" hidden="false" customHeight="true" outlineLevel="0" collapsed="false">
      <c r="B258" s="46" t="s">
        <v>1232</v>
      </c>
    </row>
    <row r="259" customFormat="false" ht="12" hidden="false" customHeight="true" outlineLevel="0" collapsed="false">
      <c r="B259" s="46" t="s">
        <v>1233</v>
      </c>
    </row>
    <row r="260" customFormat="false" ht="12" hidden="false" customHeight="true" outlineLevel="0" collapsed="false">
      <c r="B260" s="46" t="s">
        <v>1234</v>
      </c>
    </row>
    <row r="261" customFormat="false" ht="12" hidden="false" customHeight="true" outlineLevel="0" collapsed="false">
      <c r="B261" s="46" t="s">
        <v>1235</v>
      </c>
    </row>
    <row r="262" customFormat="false" ht="12" hidden="false" customHeight="true" outlineLevel="0" collapsed="false">
      <c r="B262" s="46" t="s">
        <v>1236</v>
      </c>
    </row>
    <row r="264" customFormat="false" ht="12" hidden="false" customHeight="true" outlineLevel="0" collapsed="false">
      <c r="B264" s="46" t="s">
        <v>1237</v>
      </c>
    </row>
    <row r="266" customFormat="false" ht="12" hidden="false" customHeight="true" outlineLevel="0" collapsed="false">
      <c r="B266" s="46" t="s">
        <v>1238</v>
      </c>
    </row>
    <row r="268" customFormat="false" ht="12" hidden="false" customHeight="true" outlineLevel="0" collapsed="false">
      <c r="B268" s="46" t="s">
        <v>1239</v>
      </c>
    </row>
    <row r="270" customFormat="false" ht="12" hidden="false" customHeight="true" outlineLevel="0" collapsed="false">
      <c r="B270" s="46" t="s">
        <v>1240</v>
      </c>
    </row>
    <row r="272" customFormat="false" ht="12" hidden="false" customHeight="true" outlineLevel="0" collapsed="false">
      <c r="B272" s="46" t="s">
        <v>1241</v>
      </c>
    </row>
    <row r="273" customFormat="false" ht="12" hidden="false" customHeight="true" outlineLevel="0" collapsed="false">
      <c r="B273" s="46" t="s">
        <v>1242</v>
      </c>
    </row>
    <row r="275" customFormat="false" ht="12" hidden="false" customHeight="true" outlineLevel="0" collapsed="false">
      <c r="B275" s="46" t="s">
        <v>1243</v>
      </c>
    </row>
    <row r="276" customFormat="false" ht="12" hidden="false" customHeight="true" outlineLevel="0" collapsed="false">
      <c r="B276" s="46" t="s">
        <v>1244</v>
      </c>
    </row>
    <row r="280" customFormat="false" ht="12" hidden="false" customHeight="true" outlineLevel="0" collapsed="false">
      <c r="B280" s="46" t="s">
        <v>1222</v>
      </c>
    </row>
    <row r="282" customFormat="false" ht="12" hidden="false" customHeight="true" outlineLevel="0" collapsed="false">
      <c r="B282" s="46" t="s">
        <v>1223</v>
      </c>
    </row>
    <row r="283" customFormat="false" ht="12" hidden="false" customHeight="true" outlineLevel="0" collapsed="false">
      <c r="B283" s="46" t="s">
        <v>1224</v>
      </c>
    </row>
    <row r="286" customFormat="false" ht="12" hidden="false" customHeight="true" outlineLevel="0" collapsed="false">
      <c r="B286" s="46" t="s">
        <v>1245</v>
      </c>
    </row>
    <row r="288" customFormat="false" ht="12" hidden="false" customHeight="true" outlineLevel="0" collapsed="false">
      <c r="B288" s="46" t="s">
        <v>1225</v>
      </c>
    </row>
    <row r="289" customFormat="false" ht="12" hidden="false" customHeight="true" outlineLevel="0" collapsed="false">
      <c r="B289" s="46" t="s">
        <v>1226</v>
      </c>
    </row>
    <row r="291" customFormat="false" ht="12" hidden="false" customHeight="true" outlineLevel="0" collapsed="false">
      <c r="B291" s="46" t="s">
        <v>1227</v>
      </c>
    </row>
    <row r="292" customFormat="false" ht="12" hidden="false" customHeight="true" outlineLevel="0" collapsed="false">
      <c r="B292" s="46" t="s">
        <v>1228</v>
      </c>
    </row>
    <row r="294" customFormat="false" ht="12" hidden="false" customHeight="true" outlineLevel="0" collapsed="false">
      <c r="B294" s="46" t="s">
        <v>1229</v>
      </c>
    </row>
    <row r="296" customFormat="false" ht="12" hidden="false" customHeight="true" outlineLevel="0" collapsed="false">
      <c r="B296" s="46" t="s">
        <v>1230</v>
      </c>
    </row>
    <row r="297" customFormat="false" ht="12" hidden="false" customHeight="true" outlineLevel="0" collapsed="false">
      <c r="B297" s="46" t="s">
        <v>1231</v>
      </c>
    </row>
    <row r="298" customFormat="false" ht="12" hidden="false" customHeight="true" outlineLevel="0" collapsed="false">
      <c r="B298" s="46" t="s">
        <v>1232</v>
      </c>
    </row>
    <row r="299" customFormat="false" ht="12" hidden="false" customHeight="true" outlineLevel="0" collapsed="false">
      <c r="B299" s="46" t="s">
        <v>1233</v>
      </c>
    </row>
    <row r="300" customFormat="false" ht="12" hidden="false" customHeight="true" outlineLevel="0" collapsed="false">
      <c r="B300" s="46" t="s">
        <v>1234</v>
      </c>
    </row>
    <row r="301" customFormat="false" ht="12" hidden="false" customHeight="true" outlineLevel="0" collapsed="false">
      <c r="B301" s="46" t="s">
        <v>1235</v>
      </c>
    </row>
    <row r="302" customFormat="false" ht="12" hidden="false" customHeight="true" outlineLevel="0" collapsed="false">
      <c r="B302" s="46" t="s">
        <v>1236</v>
      </c>
    </row>
    <row r="304" customFormat="false" ht="12" hidden="false" customHeight="true" outlineLevel="0" collapsed="false">
      <c r="B304" s="46" t="s">
        <v>1237</v>
      </c>
    </row>
    <row r="306" customFormat="false" ht="12" hidden="false" customHeight="true" outlineLevel="0" collapsed="false">
      <c r="B306" s="46" t="s">
        <v>1238</v>
      </c>
    </row>
    <row r="308" customFormat="false" ht="12" hidden="false" customHeight="true" outlineLevel="0" collapsed="false">
      <c r="B308" s="46" t="s">
        <v>1239</v>
      </c>
    </row>
    <row r="310" customFormat="false" ht="12" hidden="false" customHeight="true" outlineLevel="0" collapsed="false">
      <c r="B310" s="46" t="s">
        <v>1240</v>
      </c>
    </row>
    <row r="312" customFormat="false" ht="12" hidden="false" customHeight="true" outlineLevel="0" collapsed="false">
      <c r="B312" s="46" t="s">
        <v>1241</v>
      </c>
    </row>
    <row r="313" customFormat="false" ht="12" hidden="false" customHeight="true" outlineLevel="0" collapsed="false">
      <c r="B313" s="46" t="s">
        <v>1242</v>
      </c>
    </row>
    <row r="315" customFormat="false" ht="12" hidden="false" customHeight="true" outlineLevel="0" collapsed="false">
      <c r="B315" s="46" t="s">
        <v>1243</v>
      </c>
    </row>
    <row r="316" customFormat="false" ht="12" hidden="false" customHeight="true" outlineLevel="0" collapsed="false">
      <c r="B316" s="46" t="s">
        <v>1244</v>
      </c>
    </row>
    <row r="318" customFormat="false" ht="12.75" hidden="false" customHeight="true" outlineLevel="0" collapsed="false">
      <c r="B318" s="39" t="s">
        <v>1246</v>
      </c>
    </row>
    <row r="319" customFormat="false" ht="12" hidden="false" customHeight="true" outlineLevel="0" collapsed="false">
      <c r="B319" s="46" t="s">
        <v>1247</v>
      </c>
      <c r="D319" s="46" t="s">
        <v>1248</v>
      </c>
    </row>
    <row r="320" customFormat="false" ht="12" hidden="false" customHeight="true" outlineLevel="0" collapsed="false">
      <c r="B320" s="46" t="s">
        <v>1249</v>
      </c>
    </row>
    <row r="321" customFormat="false" ht="12" hidden="false" customHeight="true" outlineLevel="0" collapsed="false">
      <c r="B321" s="46" t="s">
        <v>1250</v>
      </c>
    </row>
    <row r="322" customFormat="false" ht="12" hidden="false" customHeight="true" outlineLevel="0" collapsed="false">
      <c r="B322" s="46" t="s">
        <v>1251</v>
      </c>
    </row>
    <row r="323" customFormat="false" ht="12.75" hidden="false" customHeight="true" outlineLevel="0" collapsed="false">
      <c r="B323" s="39" t="s">
        <v>1252</v>
      </c>
      <c r="C323" s="19"/>
      <c r="D323" s="19"/>
      <c r="E323" s="209" t="n">
        <f aca="false">5400*1470</f>
        <v>7938000</v>
      </c>
      <c r="F323" s="39" t="s">
        <v>1253</v>
      </c>
      <c r="G323" s="19"/>
      <c r="I323" s="42" t="n">
        <v>1336.3</v>
      </c>
      <c r="J323" s="39" t="s">
        <v>1254</v>
      </c>
    </row>
    <row r="324" customFormat="false" ht="12" hidden="false" customHeight="true" outlineLevel="0" collapsed="false">
      <c r="B324" s="46" t="s">
        <v>1255</v>
      </c>
    </row>
    <row r="325" customFormat="false" ht="12" hidden="false" customHeight="true" outlineLevel="0" collapsed="false">
      <c r="B325" s="46" t="s">
        <v>1256</v>
      </c>
    </row>
    <row r="326" customFormat="false" ht="12" hidden="false" customHeight="true" outlineLevel="0" collapsed="false">
      <c r="B326" s="46" t="s">
        <v>1257</v>
      </c>
    </row>
    <row r="327" customFormat="false" ht="12" hidden="false" customHeight="true" outlineLevel="0" collapsed="false">
      <c r="B327" s="46" t="s">
        <v>1258</v>
      </c>
    </row>
    <row r="329" customFormat="false" ht="12.75" hidden="false" customHeight="true" outlineLevel="0" collapsed="false">
      <c r="B329" s="39" t="s">
        <v>1259</v>
      </c>
    </row>
    <row r="330" customFormat="false" ht="12" hidden="false" customHeight="true" outlineLevel="0" collapsed="false">
      <c r="B330" s="46" t="s">
        <v>1260</v>
      </c>
    </row>
    <row r="331" customFormat="false" ht="12" hidden="false" customHeight="true" outlineLevel="0" collapsed="false">
      <c r="B331" s="46" t="s">
        <v>1261</v>
      </c>
    </row>
    <row r="332" customFormat="false" ht="12" hidden="false" customHeight="true" outlineLevel="0" collapsed="false">
      <c r="B332" s="46" t="s">
        <v>1262</v>
      </c>
    </row>
    <row r="334" customFormat="false" ht="12" hidden="false" customHeight="true" outlineLevel="0" collapsed="false">
      <c r="C334" s="46" t="s">
        <v>1118</v>
      </c>
      <c r="D334" s="46" t="s">
        <v>1263</v>
      </c>
      <c r="E334" s="46" t="s">
        <v>1264</v>
      </c>
    </row>
    <row r="335" customFormat="false" ht="12" hidden="false" customHeight="true" outlineLevel="0" collapsed="false">
      <c r="B335" s="46" t="s">
        <v>1265</v>
      </c>
    </row>
    <row r="336" customFormat="false" ht="12" hidden="false" customHeight="true" outlineLevel="0" collapsed="false">
      <c r="B336" s="46" t="s">
        <v>1266</v>
      </c>
      <c r="C336" s="190" t="n">
        <v>14168</v>
      </c>
      <c r="D336" s="190" t="n">
        <v>12007</v>
      </c>
      <c r="E336" s="48" t="n">
        <v>-15.3</v>
      </c>
    </row>
    <row r="337" customFormat="false" ht="12" hidden="false" customHeight="true" outlineLevel="0" collapsed="false">
      <c r="B337" s="46" t="s">
        <v>1267</v>
      </c>
      <c r="C337" s="190" t="n">
        <v>42106</v>
      </c>
      <c r="D337" s="190" t="n">
        <v>64144</v>
      </c>
      <c r="E337" s="48" t="n">
        <v>52.3</v>
      </c>
    </row>
    <row r="338" customFormat="false" ht="12" hidden="false" customHeight="true" outlineLevel="0" collapsed="false">
      <c r="B338" s="46" t="s">
        <v>1268</v>
      </c>
      <c r="C338" s="190" t="n">
        <v>56274</v>
      </c>
      <c r="D338" s="190" t="n">
        <v>76151</v>
      </c>
      <c r="E338" s="48" t="n">
        <v>35.3</v>
      </c>
    </row>
    <row r="339" customFormat="false" ht="12" hidden="false" customHeight="true" outlineLevel="0" collapsed="false">
      <c r="B339" s="46" t="s">
        <v>1269</v>
      </c>
      <c r="C339" s="190" t="n">
        <v>502</v>
      </c>
      <c r="D339" s="190" t="n">
        <v>918</v>
      </c>
      <c r="E339" s="48" t="n">
        <v>82.9</v>
      </c>
    </row>
    <row r="340" customFormat="false" ht="12" hidden="false" customHeight="true" outlineLevel="0" collapsed="false">
      <c r="B340" s="46" t="s">
        <v>1270</v>
      </c>
      <c r="C340" s="190" t="n">
        <v>4879</v>
      </c>
      <c r="D340" s="190" t="n">
        <v>6025</v>
      </c>
      <c r="E340" s="48" t="n">
        <v>23.5</v>
      </c>
    </row>
    <row r="341" customFormat="false" ht="12" hidden="false" customHeight="true" outlineLevel="0" collapsed="false">
      <c r="B341" s="46" t="s">
        <v>1271</v>
      </c>
      <c r="C341" s="190" t="n">
        <v>61655</v>
      </c>
      <c r="D341" s="190" t="n">
        <v>83094</v>
      </c>
      <c r="E341" s="48" t="n">
        <v>34.8</v>
      </c>
    </row>
    <row r="342" customFormat="false" ht="12" hidden="false" customHeight="true" outlineLevel="0" collapsed="false">
      <c r="B342" s="46" t="s">
        <v>394</v>
      </c>
      <c r="C342" s="48" t="n">
        <v>7261</v>
      </c>
      <c r="D342" s="48" t="n">
        <v>8904</v>
      </c>
      <c r="E342" s="48" t="n">
        <v>22.6</v>
      </c>
    </row>
    <row r="343" customFormat="false" ht="12" hidden="false" customHeight="true" outlineLevel="0" collapsed="false">
      <c r="B343" s="46" t="s">
        <v>1272</v>
      </c>
      <c r="C343" s="48" t="n">
        <v>7838</v>
      </c>
      <c r="D343" s="48" t="n">
        <v>5468</v>
      </c>
      <c r="E343" s="48" t="n">
        <v>-30.2</v>
      </c>
    </row>
    <row r="344" customFormat="false" ht="12" hidden="false" customHeight="true" outlineLevel="0" collapsed="false">
      <c r="B344" s="46" t="s">
        <v>1273</v>
      </c>
    </row>
    <row r="346" customFormat="false" ht="12.75" hidden="false" customHeight="true" outlineLevel="0" collapsed="false">
      <c r="B346" s="39" t="s">
        <v>1274</v>
      </c>
    </row>
    <row r="347" customFormat="false" ht="12" hidden="false" customHeight="true" outlineLevel="0" collapsed="false">
      <c r="B347" s="46" t="s">
        <v>1275</v>
      </c>
    </row>
    <row r="348" customFormat="false" ht="12" hidden="false" customHeight="true" outlineLevel="0" collapsed="false">
      <c r="B348" s="46" t="s">
        <v>1276</v>
      </c>
    </row>
    <row r="349" customFormat="false" ht="12" hidden="false" customHeight="true" outlineLevel="0" collapsed="false">
      <c r="B349" s="46" t="s">
        <v>1277</v>
      </c>
    </row>
    <row r="350" customFormat="false" ht="12" hidden="false" customHeight="true" outlineLevel="0" collapsed="false">
      <c r="B350" s="46" t="s">
        <v>1278</v>
      </c>
    </row>
    <row r="352" customFormat="false" ht="12.75" hidden="false" customHeight="true" outlineLevel="0" collapsed="false">
      <c r="B352" s="39" t="s">
        <v>1279</v>
      </c>
      <c r="C352" s="39" t="s">
        <v>1118</v>
      </c>
      <c r="D352" s="39" t="s">
        <v>1263</v>
      </c>
    </row>
    <row r="353" customFormat="false" ht="12" hidden="false" customHeight="true" outlineLevel="0" collapsed="false">
      <c r="B353" s="46" t="s">
        <v>1280</v>
      </c>
      <c r="C353" s="48" t="n">
        <v>0</v>
      </c>
      <c r="D353" s="48" t="n">
        <v>295</v>
      </c>
    </row>
    <row r="354" customFormat="false" ht="12" hidden="false" customHeight="true" outlineLevel="0" collapsed="false">
      <c r="B354" s="46" t="s">
        <v>408</v>
      </c>
      <c r="C354" s="48" t="n">
        <v>603</v>
      </c>
      <c r="D354" s="48" t="n">
        <v>330</v>
      </c>
    </row>
    <row r="355" customFormat="false" ht="12" hidden="false" customHeight="true" outlineLevel="0" collapsed="false">
      <c r="B355" s="46" t="s">
        <v>1281</v>
      </c>
      <c r="C355" s="48" t="n">
        <v>3929</v>
      </c>
      <c r="D355" s="48" t="n">
        <v>5713</v>
      </c>
    </row>
    <row r="356" customFormat="false" ht="12" hidden="false" customHeight="true" outlineLevel="0" collapsed="false">
      <c r="B356" s="46" t="s">
        <v>1282</v>
      </c>
      <c r="C356" s="48" t="n">
        <v>1210</v>
      </c>
      <c r="D356" s="48" t="n">
        <v>1137</v>
      </c>
    </row>
    <row r="357" customFormat="false" ht="12.75" hidden="false" customHeight="true" outlineLevel="0" collapsed="false">
      <c r="B357" s="39" t="s">
        <v>1283</v>
      </c>
      <c r="C357" s="42" t="n">
        <v>5742</v>
      </c>
      <c r="D357" s="42" t="n">
        <v>7475</v>
      </c>
    </row>
    <row r="359" customFormat="false" ht="12.75" hidden="false" customHeight="true" outlineLevel="0" collapsed="false">
      <c r="B359" s="39" t="s">
        <v>1284</v>
      </c>
      <c r="C359" s="46" t="s">
        <v>1285</v>
      </c>
      <c r="D359" s="46" t="s">
        <v>1286</v>
      </c>
    </row>
    <row r="360" customFormat="false" ht="12" hidden="false" customHeight="true" outlineLevel="0" collapsed="false">
      <c r="B360" s="46" t="s">
        <v>1287</v>
      </c>
      <c r="C360" s="48" t="n">
        <v>10</v>
      </c>
      <c r="D360" s="48" t="n">
        <v>159</v>
      </c>
    </row>
    <row r="361" customFormat="false" ht="12" hidden="false" customHeight="true" outlineLevel="0" collapsed="false">
      <c r="B361" s="46" t="s">
        <v>1288</v>
      </c>
      <c r="C361" s="48" t="n">
        <v>28</v>
      </c>
      <c r="D361" s="48" t="n">
        <v>149</v>
      </c>
    </row>
    <row r="362" customFormat="false" ht="12" hidden="false" customHeight="true" outlineLevel="0" collapsed="false">
      <c r="B362" s="46" t="s">
        <v>1289</v>
      </c>
      <c r="C362" s="48" t="n">
        <v>138</v>
      </c>
      <c r="D362" s="48" t="n">
        <v>2010</v>
      </c>
    </row>
    <row r="364" customFormat="false" ht="12" hidden="false" customHeight="true" outlineLevel="0" collapsed="false">
      <c r="B364" s="46" t="s">
        <v>1290</v>
      </c>
    </row>
    <row r="366" customFormat="false" ht="12.75" hidden="false" customHeight="true" outlineLevel="0" collapsed="false">
      <c r="B366" s="39" t="s">
        <v>1291</v>
      </c>
    </row>
    <row r="367" customFormat="false" ht="12" hidden="false" customHeight="true" outlineLevel="0" collapsed="false">
      <c r="B367" s="46" t="s">
        <v>1292</v>
      </c>
    </row>
    <row r="368" customFormat="false" ht="12" hidden="false" customHeight="true" outlineLevel="0" collapsed="false">
      <c r="B368" s="46" t="s">
        <v>1293</v>
      </c>
    </row>
    <row r="369" customFormat="false" ht="12" hidden="false" customHeight="true" outlineLevel="0" collapsed="false">
      <c r="B369" s="46" t="s">
        <v>1294</v>
      </c>
    </row>
    <row r="371" customFormat="false" ht="12.75" hidden="false" customHeight="true" outlineLevel="0" collapsed="false">
      <c r="B371" s="39" t="s">
        <v>1295</v>
      </c>
    </row>
    <row r="372" customFormat="false" ht="12" hidden="false" customHeight="true" outlineLevel="0" collapsed="false">
      <c r="B372" s="46" t="s">
        <v>1296</v>
      </c>
    </row>
    <row r="373" customFormat="false" ht="12" hidden="false" customHeight="true" outlineLevel="0" collapsed="false">
      <c r="B373" s="46" t="s">
        <v>1297</v>
      </c>
    </row>
    <row r="375" customFormat="false" ht="12" hidden="false" customHeight="true" outlineLevel="0" collapsed="false">
      <c r="B375" s="46" t="s">
        <v>1298</v>
      </c>
    </row>
    <row r="376" customFormat="false" ht="12" hidden="false" customHeight="true" outlineLevel="0" collapsed="false">
      <c r="B376" s="46" t="s">
        <v>1299</v>
      </c>
    </row>
    <row r="377" customFormat="false" ht="12" hidden="false" customHeight="true" outlineLevel="0" collapsed="false">
      <c r="B377" s="46" t="s">
        <v>1300</v>
      </c>
      <c r="C377" s="46" t="s">
        <v>1301</v>
      </c>
      <c r="D377" s="46" t="s">
        <v>1302</v>
      </c>
      <c r="E377" s="46" t="s">
        <v>1303</v>
      </c>
    </row>
    <row r="378" customFormat="false" ht="12.75" hidden="false" customHeight="true" outlineLevel="0" collapsed="false">
      <c r="C378" s="58" t="n">
        <f aca="false">6582.54</f>
        <v>6582.54</v>
      </c>
      <c r="D378" s="48" t="n">
        <v>1296.06</v>
      </c>
      <c r="E378" s="39" t="n">
        <f aca="false">C378-D378</f>
        <v>5286.48</v>
      </c>
    </row>
    <row r="381" customFormat="false" ht="12.75" hidden="false" customHeight="true" outlineLevel="0" collapsed="false">
      <c r="B381" s="39" t="s">
        <v>1304</v>
      </c>
    </row>
    <row r="382" customFormat="false" ht="12.75" hidden="false" customHeight="true" outlineLevel="0" collapsed="false">
      <c r="B382" s="39" t="s">
        <v>1305</v>
      </c>
    </row>
    <row r="383" customFormat="false" ht="12" hidden="false" customHeight="true" outlineLevel="0" collapsed="false">
      <c r="B383" s="46" t="s">
        <v>1306</v>
      </c>
    </row>
    <row r="385" customFormat="false" ht="12.75" hidden="false" customHeight="true" outlineLevel="0" collapsed="false">
      <c r="B385" s="39" t="s">
        <v>1307</v>
      </c>
    </row>
    <row r="386" customFormat="false" ht="12" hidden="false" customHeight="true" outlineLevel="0" collapsed="false">
      <c r="C386" s="46" t="s">
        <v>1308</v>
      </c>
      <c r="D386" s="46" t="s">
        <v>1309</v>
      </c>
      <c r="E386" s="46" t="s">
        <v>1310</v>
      </c>
      <c r="F386" s="46" t="s">
        <v>1311</v>
      </c>
    </row>
    <row r="387" customFormat="false" ht="12" hidden="false" customHeight="true" outlineLevel="0" collapsed="false">
      <c r="B387" s="46" t="s">
        <v>1312</v>
      </c>
      <c r="C387" s="48" t="n">
        <v>25000</v>
      </c>
      <c r="D387" s="48" t="n">
        <v>25000</v>
      </c>
      <c r="F387" s="48" t="n">
        <v>5000</v>
      </c>
    </row>
    <row r="388" customFormat="false" ht="12" hidden="false" customHeight="true" outlineLevel="0" collapsed="false">
      <c r="B388" s="46" t="s">
        <v>1313</v>
      </c>
      <c r="D388" s="48" t="n">
        <v>25000</v>
      </c>
      <c r="E388" s="48" t="n">
        <v>25000</v>
      </c>
      <c r="F388" s="48" t="n">
        <v>13000</v>
      </c>
    </row>
    <row r="389" customFormat="false" ht="12.75" hidden="false" customHeight="true" outlineLevel="0" collapsed="false">
      <c r="B389" s="39" t="s">
        <v>1314</v>
      </c>
      <c r="C389" s="39" t="n">
        <f aca="false">C387+C388</f>
        <v>25000</v>
      </c>
      <c r="D389" s="39" t="n">
        <f aca="false">D387+D388</f>
        <v>50000</v>
      </c>
      <c r="E389" s="39" t="n">
        <f aca="false">E387+E388</f>
        <v>25000</v>
      </c>
    </row>
    <row r="390" customFormat="false" ht="12" hidden="false" customHeight="true" outlineLevel="0" collapsed="false">
      <c r="F390" s="46" t="s">
        <v>1315</v>
      </c>
    </row>
    <row r="391" customFormat="false" ht="12" hidden="false" customHeight="true" outlineLevel="0" collapsed="false">
      <c r="E391" s="46" t="s">
        <v>1316</v>
      </c>
      <c r="F391" s="48" t="n">
        <v>10000</v>
      </c>
    </row>
    <row r="392" customFormat="false" ht="12" hidden="false" customHeight="true" outlineLevel="0" collapsed="false">
      <c r="E392" s="46" t="s">
        <v>1317</v>
      </c>
      <c r="F392" s="48" t="n">
        <v>12000</v>
      </c>
    </row>
    <row r="393" customFormat="false" ht="12.75" hidden="false" customHeight="true" outlineLevel="0" collapsed="false">
      <c r="E393" s="46" t="s">
        <v>1318</v>
      </c>
      <c r="F393" s="67" t="n">
        <f aca="false">F392+F391+F388+F387</f>
        <v>40000</v>
      </c>
    </row>
    <row r="394" customFormat="false" ht="12" hidden="false" customHeight="true" outlineLevel="0" collapsed="false">
      <c r="C394" s="46" t="s">
        <v>1319</v>
      </c>
      <c r="D394" s="46" t="s">
        <v>1320</v>
      </c>
      <c r="E394" s="46" t="s">
        <v>1321</v>
      </c>
      <c r="F394" s="46" t="s">
        <v>1322</v>
      </c>
    </row>
    <row r="395" customFormat="false" ht="12" hidden="false" customHeight="true" outlineLevel="0" collapsed="false">
      <c r="C395" s="46" t="s">
        <v>1323</v>
      </c>
      <c r="I395" s="46" t="s">
        <v>1324</v>
      </c>
      <c r="L395" s="46" t="s">
        <v>1325</v>
      </c>
    </row>
    <row r="397" customFormat="false" ht="12" hidden="false" customHeight="true" outlineLevel="0" collapsed="false">
      <c r="B397" s="46" t="s">
        <v>1326</v>
      </c>
      <c r="C397" s="46" t="s">
        <v>1327</v>
      </c>
    </row>
    <row r="399" customFormat="false" ht="12.75" hidden="false" customHeight="true" outlineLevel="0" collapsed="false">
      <c r="B399" s="39" t="s">
        <v>1328</v>
      </c>
      <c r="C399" s="46" t="s">
        <v>1329</v>
      </c>
    </row>
    <row r="400" customFormat="false" ht="12" hidden="false" customHeight="true" outlineLevel="0" collapsed="false">
      <c r="B400" s="46" t="s">
        <v>1330</v>
      </c>
    </row>
    <row r="401" customFormat="false" ht="12" hidden="false" customHeight="true" outlineLevel="0" collapsed="false">
      <c r="B401" s="46" t="s">
        <v>1331</v>
      </c>
      <c r="K401" s="46" t="s">
        <v>1332</v>
      </c>
    </row>
    <row r="402" customFormat="false" ht="12" hidden="false" customHeight="true" outlineLevel="0" collapsed="false">
      <c r="B402" s="46" t="s">
        <v>1333</v>
      </c>
    </row>
    <row r="403" customFormat="false" ht="12" hidden="false" customHeight="true" outlineLevel="0" collapsed="false">
      <c r="B403" s="46" t="s">
        <v>1334</v>
      </c>
    </row>
    <row r="404" customFormat="false" ht="12" hidden="false" customHeight="true" outlineLevel="0" collapsed="false">
      <c r="B404" s="46" t="s">
        <v>1335</v>
      </c>
    </row>
    <row r="406" customFormat="false" ht="12.75" hidden="false" customHeight="true" outlineLevel="0" collapsed="false">
      <c r="B406" s="39" t="s">
        <v>1336</v>
      </c>
    </row>
    <row r="407" customFormat="false" ht="12" hidden="false" customHeight="true" outlineLevel="0" collapsed="false">
      <c r="B407" s="46" t="s">
        <v>1337</v>
      </c>
    </row>
    <row r="408" customFormat="false" ht="12" hidden="false" customHeight="true" outlineLevel="0" collapsed="false">
      <c r="B408" s="46" t="s">
        <v>1338</v>
      </c>
    </row>
    <row r="409" customFormat="false" ht="12" hidden="false" customHeight="true" outlineLevel="0" collapsed="false">
      <c r="B409" s="46" t="s">
        <v>1339</v>
      </c>
    </row>
    <row r="410" customFormat="false" ht="12" hidden="false" customHeight="true" outlineLevel="0" collapsed="false">
      <c r="B410" s="46" t="s">
        <v>1340</v>
      </c>
    </row>
    <row r="412" customFormat="false" ht="12" hidden="false" customHeight="true" outlineLevel="0" collapsed="false">
      <c r="B412" s="46" t="s">
        <v>1341</v>
      </c>
    </row>
    <row r="414" customFormat="false" ht="12" hidden="false" customHeight="true" outlineLevel="0" collapsed="false">
      <c r="B414" s="46" t="s">
        <v>1342</v>
      </c>
    </row>
    <row r="416" customFormat="false" ht="12" hidden="false" customHeight="true" outlineLevel="0" collapsed="false">
      <c r="B416" s="46" t="s">
        <v>1343</v>
      </c>
    </row>
    <row r="418" customFormat="false" ht="12" hidden="false" customHeight="true" outlineLevel="0" collapsed="false">
      <c r="B418" s="46" t="s">
        <v>1344</v>
      </c>
    </row>
    <row r="420" customFormat="false" ht="12" hidden="false" customHeight="true" outlineLevel="0" collapsed="false">
      <c r="B420" s="46" t="s">
        <v>1345</v>
      </c>
    </row>
    <row r="422" customFormat="false" ht="12" hidden="false" customHeight="true" outlineLevel="0" collapsed="false">
      <c r="B422" s="46" t="s">
        <v>1346</v>
      </c>
    </row>
    <row r="423" customFormat="false" ht="12" hidden="false" customHeight="true" outlineLevel="0" collapsed="false">
      <c r="B423" s="46" t="s">
        <v>1347</v>
      </c>
    </row>
    <row r="425" customFormat="false" ht="12" hidden="false" customHeight="true" outlineLevel="0" collapsed="false">
      <c r="B425" s="46" t="s">
        <v>1348</v>
      </c>
    </row>
    <row r="426" customFormat="false" ht="12" hidden="false" customHeight="true" outlineLevel="0" collapsed="false">
      <c r="B426" s="46" t="s">
        <v>1349</v>
      </c>
    </row>
    <row r="428" customFormat="false" ht="12" hidden="false" customHeight="true" outlineLevel="0" collapsed="false">
      <c r="B428" s="46" t="s">
        <v>1350</v>
      </c>
    </row>
    <row r="429" customFormat="false" ht="12" hidden="false" customHeight="true" outlineLevel="0" collapsed="false">
      <c r="B429" s="46" t="s">
        <v>1351</v>
      </c>
      <c r="C429" s="46" t="s">
        <v>1352</v>
      </c>
    </row>
    <row r="430" customFormat="false" ht="12" hidden="false" customHeight="true" outlineLevel="0" collapsed="false">
      <c r="B430" s="46" t="s">
        <v>1353</v>
      </c>
      <c r="C430" s="48" t="n">
        <v>82000</v>
      </c>
    </row>
    <row r="432" customFormat="false" ht="12" hidden="false" customHeight="true" outlineLevel="0" collapsed="false">
      <c r="B432" s="46" t="s">
        <v>1354</v>
      </c>
    </row>
    <row r="433" customFormat="false" ht="12" hidden="false" customHeight="true" outlineLevel="0" collapsed="false">
      <c r="B433" s="46" t="s">
        <v>1355</v>
      </c>
    </row>
    <row r="435" customFormat="false" ht="12" hidden="false" customHeight="true" outlineLevel="0" collapsed="false">
      <c r="B435" s="46" t="s">
        <v>1356</v>
      </c>
    </row>
    <row r="436" customFormat="false" ht="12" hidden="false" customHeight="true" outlineLevel="0" collapsed="false">
      <c r="B436" s="46" t="s">
        <v>1357</v>
      </c>
    </row>
    <row r="437" customFormat="false" ht="12" hidden="false" customHeight="true" outlineLevel="0" collapsed="false">
      <c r="B437" s="46" t="s">
        <v>1358</v>
      </c>
    </row>
    <row r="439" customFormat="false" ht="12" hidden="false" customHeight="true" outlineLevel="0" collapsed="false">
      <c r="B439" s="46" t="s">
        <v>1359</v>
      </c>
    </row>
    <row r="441" customFormat="false" ht="12" hidden="false" customHeight="true" outlineLevel="0" collapsed="false">
      <c r="B441" s="46" t="s">
        <v>1360</v>
      </c>
    </row>
    <row r="443" customFormat="false" ht="12" hidden="false" customHeight="true" outlineLevel="0" collapsed="false">
      <c r="B443" s="46" t="s">
        <v>1361</v>
      </c>
    </row>
    <row r="444" customFormat="false" ht="12" hidden="false" customHeight="true" outlineLevel="0" collapsed="false">
      <c r="B444" s="46" t="s">
        <v>1362</v>
      </c>
    </row>
    <row r="446" customFormat="false" ht="12" hidden="false" customHeight="true" outlineLevel="0" collapsed="false">
      <c r="B446" s="46" t="s">
        <v>1363</v>
      </c>
    </row>
    <row r="448" customFormat="false" ht="12" hidden="false" customHeight="true" outlineLevel="0" collapsed="false">
      <c r="B448" s="46" t="s">
        <v>1364</v>
      </c>
    </row>
    <row r="450" customFormat="false" ht="12" hidden="false" customHeight="true" outlineLevel="0" collapsed="false">
      <c r="B450" s="46" t="s">
        <v>1365</v>
      </c>
    </row>
    <row r="451" customFormat="false" ht="12" hidden="false" customHeight="true" outlineLevel="0" collapsed="false">
      <c r="B451" s="46" t="s">
        <v>1366</v>
      </c>
    </row>
    <row r="453" customFormat="false" ht="12" hidden="false" customHeight="true" outlineLevel="0" collapsed="false">
      <c r="B453" s="46" t="s">
        <v>1367</v>
      </c>
    </row>
    <row r="454" customFormat="false" ht="12" hidden="false" customHeight="true" outlineLevel="0" collapsed="false">
      <c r="B454" s="46" t="s">
        <v>1368</v>
      </c>
    </row>
    <row r="455" customFormat="false" ht="12" hidden="false" customHeight="true" outlineLevel="0" collapsed="false">
      <c r="B455" s="46" t="s">
        <v>1369</v>
      </c>
    </row>
    <row r="457" customFormat="false" ht="12.75" hidden="false" customHeight="true" outlineLevel="0" collapsed="false">
      <c r="B457" s="39" t="s">
        <v>1370</v>
      </c>
      <c r="C457" s="46" t="s">
        <v>1371</v>
      </c>
    </row>
    <row r="459" customFormat="false" ht="12.75" hidden="false" customHeight="true" outlineLevel="0" collapsed="false">
      <c r="B459" s="39" t="s">
        <v>1372</v>
      </c>
    </row>
    <row r="461" customFormat="false" ht="12" hidden="false" customHeight="true" outlineLevel="0" collapsed="false">
      <c r="B461" s="46" t="s">
        <v>1373</v>
      </c>
    </row>
    <row r="462" customFormat="false" ht="12" hidden="false" customHeight="true" outlineLevel="0" collapsed="false">
      <c r="B462" s="46" t="s">
        <v>1374</v>
      </c>
    </row>
    <row r="463" customFormat="false" ht="12.75" hidden="false" customHeight="true" outlineLevel="0" collapsed="false">
      <c r="B463" s="39" t="s">
        <v>1375</v>
      </c>
    </row>
    <row r="464" customFormat="false" ht="12" hidden="false" customHeight="true" outlineLevel="0" collapsed="false">
      <c r="B464" s="46" t="s">
        <v>1376</v>
      </c>
    </row>
    <row r="465" customFormat="false" ht="12" hidden="false" customHeight="true" outlineLevel="0" collapsed="false">
      <c r="B465" s="46" t="s">
        <v>1377</v>
      </c>
    </row>
    <row r="466" customFormat="false" ht="12" hidden="false" customHeight="true" outlineLevel="0" collapsed="false">
      <c r="B466" s="46" t="s">
        <v>1378</v>
      </c>
    </row>
    <row r="467" customFormat="false" ht="12" hidden="false" customHeight="true" outlineLevel="0" collapsed="false">
      <c r="B467" s="46" t="s">
        <v>1379</v>
      </c>
    </row>
    <row r="468" customFormat="false" ht="12" hidden="false" customHeight="true" outlineLevel="0" collapsed="false">
      <c r="B468" s="46" t="s">
        <v>1380</v>
      </c>
    </row>
    <row r="469" customFormat="false" ht="12" hidden="false" customHeight="true" outlineLevel="0" collapsed="false">
      <c r="B469" s="46" t="s">
        <v>1381</v>
      </c>
    </row>
    <row r="470" customFormat="false" ht="12" hidden="false" customHeight="true" outlineLevel="0" collapsed="false">
      <c r="B470" s="46" t="s">
        <v>1382</v>
      </c>
    </row>
    <row r="471" customFormat="false" ht="12" hidden="false" customHeight="true" outlineLevel="0" collapsed="false">
      <c r="B471" s="46" t="s">
        <v>1383</v>
      </c>
    </row>
    <row r="472" customFormat="false" ht="12" hidden="false" customHeight="true" outlineLevel="0" collapsed="false">
      <c r="B472" s="46" t="s">
        <v>1384</v>
      </c>
    </row>
    <row r="473" customFormat="false" ht="12" hidden="false" customHeight="true" outlineLevel="0" collapsed="false">
      <c r="B473" s="46" t="s">
        <v>1385</v>
      </c>
    </row>
    <row r="474" customFormat="false" ht="12" hidden="false" customHeight="true" outlineLevel="0" collapsed="false">
      <c r="B474" s="46" t="s">
        <v>1386</v>
      </c>
    </row>
    <row r="475" customFormat="false" ht="12" hidden="false" customHeight="true" outlineLevel="0" collapsed="false">
      <c r="B475" s="46" t="s">
        <v>1387</v>
      </c>
    </row>
    <row r="476" customFormat="false" ht="12" hidden="false" customHeight="true" outlineLevel="0" collapsed="false">
      <c r="B476" s="46" t="s">
        <v>1388</v>
      </c>
    </row>
    <row r="477" customFormat="false" ht="12" hidden="false" customHeight="true" outlineLevel="0" collapsed="false">
      <c r="B477" s="46" t="s">
        <v>1389</v>
      </c>
    </row>
    <row r="478" customFormat="false" ht="12" hidden="false" customHeight="true" outlineLevel="0" collapsed="false">
      <c r="B478" s="46" t="s">
        <v>1390</v>
      </c>
    </row>
    <row r="481" customFormat="false" ht="12.75" hidden="false" customHeight="true" outlineLevel="0" collapsed="false">
      <c r="B481" s="39" t="s">
        <v>1391</v>
      </c>
    </row>
    <row r="482" customFormat="false" ht="12" hidden="false" customHeight="true" outlineLevel="0" collapsed="false">
      <c r="B482" s="46" t="s">
        <v>1392</v>
      </c>
    </row>
    <row r="483" customFormat="false" ht="12" hidden="false" customHeight="true" outlineLevel="0" collapsed="false">
      <c r="B483" s="46" t="s">
        <v>1393</v>
      </c>
    </row>
    <row r="484" customFormat="false" ht="12" hidden="false" customHeight="true" outlineLevel="0" collapsed="false">
      <c r="B484" s="46" t="s">
        <v>1394</v>
      </c>
    </row>
    <row r="485" customFormat="false" ht="12" hidden="false" customHeight="true" outlineLevel="0" collapsed="false">
      <c r="B485" s="46" t="s">
        <v>1395</v>
      </c>
    </row>
    <row r="487" customFormat="false" ht="12" hidden="false" customHeight="true" outlineLevel="0" collapsed="false">
      <c r="B487" s="46" t="s">
        <v>1396</v>
      </c>
    </row>
    <row r="488" customFormat="false" ht="12" hidden="false" customHeight="true" outlineLevel="0" collapsed="false">
      <c r="B488" s="46" t="s">
        <v>1397</v>
      </c>
    </row>
    <row r="489" customFormat="false" ht="12" hidden="false" customHeight="true" outlineLevel="0" collapsed="false">
      <c r="B489" s="46" t="s">
        <v>1398</v>
      </c>
    </row>
    <row r="490" customFormat="false" ht="12" hidden="false" customHeight="true" outlineLevel="0" collapsed="false">
      <c r="B490" s="46" t="s">
        <v>1399</v>
      </c>
    </row>
    <row r="491" customFormat="false" ht="12" hidden="false" customHeight="true" outlineLevel="0" collapsed="false">
      <c r="B491" s="46" t="s">
        <v>1400</v>
      </c>
    </row>
    <row r="492" customFormat="false" ht="12" hidden="false" customHeight="true" outlineLevel="0" collapsed="false">
      <c r="B492" s="46" t="s">
        <v>1401</v>
      </c>
    </row>
    <row r="494" customFormat="false" ht="12" hidden="false" customHeight="true" outlineLevel="0" collapsed="false">
      <c r="B494" s="46" t="s">
        <v>1402</v>
      </c>
    </row>
    <row r="495" customFormat="false" ht="12" hidden="false" customHeight="true" outlineLevel="0" collapsed="false">
      <c r="B495" s="46" t="s">
        <v>1403</v>
      </c>
    </row>
    <row r="496" customFormat="false" ht="12" hidden="false" customHeight="true" outlineLevel="0" collapsed="false">
      <c r="B496" s="46" t="s">
        <v>1404</v>
      </c>
    </row>
    <row r="497" customFormat="false" ht="12" hidden="false" customHeight="true" outlineLevel="0" collapsed="false">
      <c r="B497" s="46" t="s">
        <v>1405</v>
      </c>
    </row>
    <row r="498" customFormat="false" ht="12" hidden="false" customHeight="true" outlineLevel="0" collapsed="false">
      <c r="B498" s="46" t="s">
        <v>1406</v>
      </c>
    </row>
    <row r="500" customFormat="false" ht="12" hidden="false" customHeight="true" outlineLevel="0" collapsed="false">
      <c r="B500" s="46" t="s">
        <v>1407</v>
      </c>
    </row>
    <row r="501" customFormat="false" ht="12" hidden="false" customHeight="true" outlineLevel="0" collapsed="false">
      <c r="B501" s="46" t="s">
        <v>1408</v>
      </c>
    </row>
    <row r="502" customFormat="false" ht="12" hidden="false" customHeight="true" outlineLevel="0" collapsed="false">
      <c r="B502" s="46" t="s">
        <v>1409</v>
      </c>
    </row>
    <row r="503" customFormat="false" ht="12" hidden="false" customHeight="true" outlineLevel="0" collapsed="false">
      <c r="B503" s="46" t="s">
        <v>1410</v>
      </c>
    </row>
    <row r="504" customFormat="false" ht="12" hidden="false" customHeight="true" outlineLevel="0" collapsed="false">
      <c r="B504" s="46" t="s">
        <v>1411</v>
      </c>
    </row>
    <row r="505" customFormat="false" ht="12" hidden="false" customHeight="true" outlineLevel="0" collapsed="false">
      <c r="B505" s="46" t="s">
        <v>1412</v>
      </c>
    </row>
    <row r="506" customFormat="false" ht="12" hidden="false" customHeight="true" outlineLevel="0" collapsed="false">
      <c r="B506" s="46" t="s">
        <v>1413</v>
      </c>
    </row>
    <row r="507" customFormat="false" ht="12" hidden="false" customHeight="true" outlineLevel="0" collapsed="false">
      <c r="B507" s="46" t="s">
        <v>1414</v>
      </c>
    </row>
    <row r="508" customFormat="false" ht="12" hidden="false" customHeight="true" outlineLevel="0" collapsed="false">
      <c r="B508" s="46" t="s">
        <v>1415</v>
      </c>
    </row>
    <row r="509" customFormat="false" ht="12" hidden="false" customHeight="true" outlineLevel="0" collapsed="false">
      <c r="B509" s="46" t="s">
        <v>1416</v>
      </c>
    </row>
    <row r="510" customFormat="false" ht="12" hidden="false" customHeight="true" outlineLevel="0" collapsed="false">
      <c r="B510" s="46" t="s">
        <v>1417</v>
      </c>
    </row>
    <row r="511" customFormat="false" ht="12" hidden="false" customHeight="true" outlineLevel="0" collapsed="false">
      <c r="B511" s="46" t="s">
        <v>1418</v>
      </c>
    </row>
    <row r="512" customFormat="false" ht="12" hidden="false" customHeight="true" outlineLevel="0" collapsed="false">
      <c r="B512" s="46" t="s">
        <v>1419</v>
      </c>
    </row>
    <row r="514" customFormat="false" ht="12" hidden="false" customHeight="true" outlineLevel="0" collapsed="false">
      <c r="B514" s="46" t="s">
        <v>1420</v>
      </c>
    </row>
    <row r="515" customFormat="false" ht="12" hidden="false" customHeight="true" outlineLevel="0" collapsed="false">
      <c r="B515" s="46" t="s">
        <v>1421</v>
      </c>
    </row>
    <row r="516" customFormat="false" ht="12" hidden="false" customHeight="true" outlineLevel="0" collapsed="false">
      <c r="B516" s="46" t="s">
        <v>1422</v>
      </c>
    </row>
    <row r="517" customFormat="false" ht="12" hidden="false" customHeight="true" outlineLevel="0" collapsed="false">
      <c r="B517" s="46" t="s">
        <v>1423</v>
      </c>
    </row>
    <row r="518" customFormat="false" ht="12" hidden="false" customHeight="true" outlineLevel="0" collapsed="false">
      <c r="B518" s="46" t="s">
        <v>1424</v>
      </c>
    </row>
    <row r="519" customFormat="false" ht="12" hidden="false" customHeight="true" outlineLevel="0" collapsed="false">
      <c r="B519" s="46" t="s">
        <v>1425</v>
      </c>
    </row>
    <row r="520" customFormat="false" ht="12" hidden="false" customHeight="true" outlineLevel="0" collapsed="false">
      <c r="B520" s="46" t="s">
        <v>1426</v>
      </c>
    </row>
    <row r="521" customFormat="false" ht="12" hidden="false" customHeight="true" outlineLevel="0" collapsed="false">
      <c r="B521" s="46" t="s">
        <v>1427</v>
      </c>
    </row>
    <row r="522" customFormat="false" ht="12" hidden="false" customHeight="true" outlineLevel="0" collapsed="false">
      <c r="B522" s="46" t="s">
        <v>1428</v>
      </c>
    </row>
    <row r="524" customFormat="false" ht="12" hidden="false" customHeight="true" outlineLevel="0" collapsed="false">
      <c r="B524" s="46" t="s">
        <v>1429</v>
      </c>
    </row>
    <row r="525" customFormat="false" ht="12" hidden="false" customHeight="true" outlineLevel="0" collapsed="false">
      <c r="B525" s="46" t="s">
        <v>1430</v>
      </c>
    </row>
    <row r="527" s="579" customFormat="true" ht="12.75" hidden="false" customHeight="true" outlineLevel="0" collapsed="false">
      <c r="B527" s="580" t="s">
        <v>1431</v>
      </c>
    </row>
    <row r="529" customFormat="false" ht="12.75" hidden="false" customHeight="true" outlineLevel="0" collapsed="false">
      <c r="F529" s="39" t="s">
        <v>1432</v>
      </c>
    </row>
    <row r="530" customFormat="false" ht="12" hidden="false" customHeight="true" outlineLevel="0" collapsed="false">
      <c r="F530" s="46" t="s">
        <v>1433</v>
      </c>
    </row>
    <row r="532" customFormat="false" ht="12" hidden="false" customHeight="true" outlineLevel="0" collapsed="false">
      <c r="F532" s="46" t="s">
        <v>1434</v>
      </c>
    </row>
    <row r="534" customFormat="false" ht="12" hidden="false" customHeight="true" outlineLevel="0" collapsed="false">
      <c r="F534" s="46" t="s">
        <v>1435</v>
      </c>
    </row>
    <row r="536" customFormat="false" ht="12" hidden="false" customHeight="true" outlineLevel="0" collapsed="false">
      <c r="F536" s="46" t="s">
        <v>1436</v>
      </c>
    </row>
    <row r="538" customFormat="false" ht="12" hidden="false" customHeight="true" outlineLevel="0" collapsed="false">
      <c r="F538" s="46" t="s">
        <v>1437</v>
      </c>
    </row>
    <row r="540" customFormat="false" ht="12" hidden="false" customHeight="true" outlineLevel="0" collapsed="false">
      <c r="F540" s="46" t="s">
        <v>1438</v>
      </c>
    </row>
    <row r="542" customFormat="false" ht="12" hidden="false" customHeight="true" outlineLevel="0" collapsed="false">
      <c r="F542" s="46" t="s">
        <v>1439</v>
      </c>
    </row>
    <row r="543" customFormat="false" ht="12" hidden="false" customHeight="true" outlineLevel="0" collapsed="false">
      <c r="F543" s="46" t="s">
        <v>1440</v>
      </c>
      <c r="G543" s="197" t="n">
        <v>1313.25</v>
      </c>
    </row>
    <row r="544" customFormat="false" ht="12" hidden="false" customHeight="true" outlineLevel="0" collapsed="false">
      <c r="F544" s="46" t="s">
        <v>1441</v>
      </c>
      <c r="G544" s="197" t="n">
        <v>1812.96</v>
      </c>
    </row>
    <row r="545" customFormat="false" ht="12.75" hidden="false" customHeight="true" outlineLevel="0" collapsed="false">
      <c r="F545" s="46" t="s">
        <v>1442</v>
      </c>
      <c r="G545" s="88" t="n">
        <f aca="false">G544+G543</f>
        <v>3126.21</v>
      </c>
    </row>
    <row r="546" customFormat="false" ht="12" hidden="false" customHeight="true" outlineLevel="0" collapsed="false">
      <c r="F546" s="46" t="s">
        <v>460</v>
      </c>
      <c r="G546" s="581" t="n">
        <v>0.0259</v>
      </c>
    </row>
    <row r="548" customFormat="false" ht="12" hidden="false" customHeight="true" outlineLevel="0" collapsed="false">
      <c r="F548" s="46" t="s">
        <v>1443</v>
      </c>
    </row>
    <row r="550" customFormat="false" ht="12" hidden="false" customHeight="true" outlineLevel="0" collapsed="false">
      <c r="F550" s="46" t="s">
        <v>1444</v>
      </c>
    </row>
    <row r="552" customFormat="false" ht="12" hidden="false" customHeight="true" outlineLevel="0" collapsed="false">
      <c r="F552" s="46" t="s">
        <v>1445</v>
      </c>
    </row>
    <row r="554" customFormat="false" ht="12" hidden="false" customHeight="true" outlineLevel="0" collapsed="false">
      <c r="F554" s="46" t="s">
        <v>1446</v>
      </c>
    </row>
    <row r="555" customFormat="false" ht="12" hidden="false" customHeight="true" outlineLevel="0" collapsed="false">
      <c r="F555" s="46" t="s">
        <v>1447</v>
      </c>
    </row>
    <row r="557" customFormat="false" ht="12" hidden="false" customHeight="true" outlineLevel="0" collapsed="false">
      <c r="F557" s="46" t="s">
        <v>1448</v>
      </c>
    </row>
    <row r="559" customFormat="false" ht="12" hidden="false" customHeight="true" outlineLevel="0" collapsed="false">
      <c r="F559" s="46" t="s">
        <v>1449</v>
      </c>
    </row>
    <row r="560" customFormat="false" ht="12" hidden="false" customHeight="true" outlineLevel="0" collapsed="false">
      <c r="F560" s="46" t="s">
        <v>1450</v>
      </c>
    </row>
    <row r="561" customFormat="false" ht="12" hidden="false" customHeight="true" outlineLevel="0" collapsed="false">
      <c r="F561" s="46" t="s">
        <v>1451</v>
      </c>
    </row>
    <row r="562" customFormat="false" ht="12" hidden="false" customHeight="true" outlineLevel="0" collapsed="false">
      <c r="F562" s="46" t="s">
        <v>1452</v>
      </c>
    </row>
    <row r="563" customFormat="false" ht="12" hidden="false" customHeight="true" outlineLevel="0" collapsed="false">
      <c r="F563" s="46" t="s">
        <v>1453</v>
      </c>
    </row>
    <row r="564" customFormat="false" ht="12" hidden="false" customHeight="true" outlineLevel="0" collapsed="false">
      <c r="F564" s="46" t="s">
        <v>1454</v>
      </c>
    </row>
    <row r="565" customFormat="false" ht="12" hidden="false" customHeight="true" outlineLevel="0" collapsed="false">
      <c r="F565" s="46" t="s">
        <v>1455</v>
      </c>
    </row>
    <row r="567" customFormat="false" ht="12" hidden="false" customHeight="true" outlineLevel="0" collapsed="false">
      <c r="F567" s="46" t="s">
        <v>1456</v>
      </c>
    </row>
    <row r="568" customFormat="false" ht="12" hidden="false" customHeight="true" outlineLevel="0" collapsed="false">
      <c r="F568" s="46" t="s">
        <v>1457</v>
      </c>
    </row>
    <row r="586" s="579" customFormat="true" ht="12.75" hidden="false" customHeight="true" outlineLevel="0" collapsed="false">
      <c r="B586" s="580" t="s">
        <v>1458</v>
      </c>
    </row>
    <row r="587" customFormat="false" ht="12.75" hidden="false" customHeight="true" outlineLevel="0" collapsed="false">
      <c r="F587" s="39" t="s">
        <v>1459</v>
      </c>
      <c r="G587" s="19"/>
      <c r="H587" s="19"/>
      <c r="I587" s="19"/>
      <c r="J587" s="19"/>
      <c r="K587" s="19"/>
      <c r="L587" s="19"/>
      <c r="M587" s="19"/>
      <c r="N587" s="19"/>
      <c r="O587" s="19"/>
    </row>
    <row r="588" customFormat="false" ht="12.75" hidden="false" customHeight="true" outlineLevel="0" collapsed="false">
      <c r="B588" s="46" t="s">
        <v>1460</v>
      </c>
      <c r="F588" s="39" t="s">
        <v>1461</v>
      </c>
      <c r="G588" s="39" t="s">
        <v>1116</v>
      </c>
      <c r="H588" s="39" t="s">
        <v>1117</v>
      </c>
      <c r="I588" s="39" t="s">
        <v>1118</v>
      </c>
      <c r="J588" s="39" t="s">
        <v>1263</v>
      </c>
      <c r="K588" s="39" t="s">
        <v>1462</v>
      </c>
      <c r="L588" s="39" t="s">
        <v>1463</v>
      </c>
      <c r="M588" s="39" t="s">
        <v>1464</v>
      </c>
      <c r="N588" s="39" t="s">
        <v>1465</v>
      </c>
      <c r="O588" s="39" t="s">
        <v>1466</v>
      </c>
    </row>
    <row r="589" customFormat="false" ht="12" hidden="false" customHeight="true" outlineLevel="0" collapsed="false">
      <c r="B589" s="46" t="s">
        <v>1467</v>
      </c>
      <c r="F589" s="582" t="n">
        <v>11860</v>
      </c>
      <c r="G589" s="582" t="n">
        <v>12007</v>
      </c>
      <c r="H589" s="582" t="n">
        <v>12178</v>
      </c>
      <c r="I589" s="582" t="n">
        <v>11845</v>
      </c>
      <c r="J589" s="582" t="n">
        <v>12125</v>
      </c>
      <c r="K589" s="582" t="n">
        <v>13304</v>
      </c>
      <c r="L589" s="582" t="n">
        <v>11938</v>
      </c>
      <c r="M589" s="582" t="n">
        <v>13662</v>
      </c>
      <c r="N589" s="582" t="n">
        <v>15812</v>
      </c>
      <c r="O589" s="582" t="n">
        <v>15734</v>
      </c>
    </row>
    <row r="590" customFormat="false" ht="12" hidden="false" customHeight="true" outlineLevel="0" collapsed="false">
      <c r="B590" s="46" t="s">
        <v>1468</v>
      </c>
      <c r="F590" s="583"/>
    </row>
    <row r="591" customFormat="false" ht="12" hidden="false" customHeight="true" outlineLevel="0" collapsed="false">
      <c r="B591" s="46" t="s">
        <v>1469</v>
      </c>
      <c r="F591" s="584" t="s">
        <v>1470</v>
      </c>
    </row>
    <row r="592" customFormat="false" ht="12" hidden="false" customHeight="true" outlineLevel="0" collapsed="false">
      <c r="F592" s="584" t="s">
        <v>1471</v>
      </c>
    </row>
    <row r="593" customFormat="false" ht="12" hidden="false" customHeight="true" outlineLevel="0" collapsed="false">
      <c r="B593" s="46" t="s">
        <v>1472</v>
      </c>
      <c r="F593" s="583"/>
    </row>
    <row r="594" customFormat="false" ht="12" hidden="false" customHeight="true" outlineLevel="0" collapsed="false">
      <c r="B594" s="46" t="s">
        <v>1473</v>
      </c>
      <c r="F594" s="583"/>
    </row>
    <row r="595" customFormat="false" ht="12" hidden="false" customHeight="true" outlineLevel="0" collapsed="false">
      <c r="B595" s="46" t="s">
        <v>1474</v>
      </c>
      <c r="F595" s="583"/>
    </row>
    <row r="596" customFormat="false" ht="12" hidden="false" customHeight="true" outlineLevel="0" collapsed="false">
      <c r="B596" s="46" t="s">
        <v>1475</v>
      </c>
      <c r="F596" s="583"/>
    </row>
    <row r="597" customFormat="false" ht="12" hidden="false" customHeight="true" outlineLevel="0" collapsed="false">
      <c r="B597" s="46" t="s">
        <v>1476</v>
      </c>
      <c r="F597" s="583"/>
    </row>
    <row r="598" customFormat="false" ht="12" hidden="false" customHeight="true" outlineLevel="0" collapsed="false">
      <c r="F598" s="583"/>
    </row>
    <row r="599" customFormat="false" ht="12" hidden="false" customHeight="true" outlineLevel="0" collapsed="false">
      <c r="F599" s="583"/>
    </row>
    <row r="600" customFormat="false" ht="12" hidden="false" customHeight="true" outlineLevel="0" collapsed="false">
      <c r="B600" s="46" t="s">
        <v>1477</v>
      </c>
    </row>
    <row r="601" customFormat="false" ht="12" hidden="false" customHeight="true" outlineLevel="0" collapsed="false">
      <c r="B601" s="46" t="s">
        <v>1478</v>
      </c>
    </row>
    <row r="602" customFormat="false" ht="12" hidden="false" customHeight="true" outlineLevel="0" collapsed="false">
      <c r="B602" s="46" t="s">
        <v>1479</v>
      </c>
    </row>
    <row r="603" customFormat="false" ht="12" hidden="false" customHeight="true" outlineLevel="0" collapsed="false">
      <c r="B603" s="46" t="s">
        <v>1480</v>
      </c>
    </row>
    <row r="604" customFormat="false" ht="12.75" hidden="false" customHeight="true" outlineLevel="0" collapsed="false">
      <c r="B604" s="19"/>
      <c r="C604" s="19"/>
      <c r="D604" s="19"/>
      <c r="E604" s="19"/>
      <c r="F604" s="19"/>
      <c r="G604" s="19"/>
      <c r="H604" s="19"/>
      <c r="I604" s="19"/>
      <c r="J604" s="19"/>
      <c r="K604" s="19"/>
      <c r="L604" s="19"/>
    </row>
    <row r="605" customFormat="false" ht="12.75" hidden="false" customHeight="true" outlineLevel="0" collapsed="false">
      <c r="A605" s="39" t="s">
        <v>1481</v>
      </c>
      <c r="B605" s="39" t="s">
        <v>1482</v>
      </c>
      <c r="C605" s="19"/>
      <c r="D605" s="19"/>
      <c r="E605" s="19"/>
      <c r="F605" s="39" t="s">
        <v>1483</v>
      </c>
      <c r="G605" s="19"/>
      <c r="H605" s="19"/>
      <c r="I605" s="19"/>
      <c r="J605" s="39" t="s">
        <v>1484</v>
      </c>
      <c r="K605" s="19"/>
      <c r="L605" s="19"/>
    </row>
    <row r="606" customFormat="false" ht="12" hidden="false" customHeight="true" outlineLevel="0" collapsed="false">
      <c r="B606" s="46" t="s">
        <v>1485</v>
      </c>
      <c r="F606" s="46" t="s">
        <v>1486</v>
      </c>
      <c r="J606" s="46" t="s">
        <v>1487</v>
      </c>
    </row>
    <row r="607" customFormat="false" ht="12" hidden="false" customHeight="true" outlineLevel="0" collapsed="false">
      <c r="B607" s="46" t="s">
        <v>1488</v>
      </c>
      <c r="F607" s="46" t="s">
        <v>1489</v>
      </c>
      <c r="J607" s="46" t="s">
        <v>1490</v>
      </c>
    </row>
    <row r="608" customFormat="false" ht="12" hidden="false" customHeight="true" outlineLevel="0" collapsed="false">
      <c r="B608" s="46" t="s">
        <v>1491</v>
      </c>
      <c r="F608" s="46" t="s">
        <v>1492</v>
      </c>
      <c r="J608" s="46" t="s">
        <v>1493</v>
      </c>
    </row>
    <row r="609" customFormat="false" ht="12" hidden="false" customHeight="true" outlineLevel="0" collapsed="false">
      <c r="B609" s="46" t="s">
        <v>1494</v>
      </c>
      <c r="F609" s="46" t="s">
        <v>1495</v>
      </c>
      <c r="J609" s="46" t="s">
        <v>1496</v>
      </c>
    </row>
    <row r="610" customFormat="false" ht="12" hidden="false" customHeight="true" outlineLevel="0" collapsed="false">
      <c r="B610" s="46" t="s">
        <v>1497</v>
      </c>
      <c r="F610" s="46" t="s">
        <v>1498</v>
      </c>
      <c r="J610" s="46" t="s">
        <v>1499</v>
      </c>
    </row>
    <row r="611" customFormat="false" ht="12" hidden="false" customHeight="true" outlineLevel="0" collapsed="false">
      <c r="B611" s="46" t="s">
        <v>1500</v>
      </c>
      <c r="F611" s="46" t="s">
        <v>1501</v>
      </c>
      <c r="J611" s="46" t="s">
        <v>1502</v>
      </c>
    </row>
    <row r="612" customFormat="false" ht="12" hidden="false" customHeight="true" outlineLevel="0" collapsed="false">
      <c r="B612" s="46" t="s">
        <v>1503</v>
      </c>
      <c r="J612" s="46" t="s">
        <v>1504</v>
      </c>
    </row>
    <row r="613" customFormat="false" ht="12" hidden="false" customHeight="true" outlineLevel="0" collapsed="false">
      <c r="J613" s="46" t="s">
        <v>1505</v>
      </c>
    </row>
    <row r="614" customFormat="false" ht="12" hidden="false" customHeight="true" outlineLevel="0" collapsed="false">
      <c r="J614" s="46" t="s">
        <v>1506</v>
      </c>
    </row>
    <row r="615" customFormat="false" ht="12" hidden="false" customHeight="true" outlineLevel="0" collapsed="false">
      <c r="J615" s="46" t="s">
        <v>1507</v>
      </c>
    </row>
    <row r="616" customFormat="false" ht="12" hidden="false" customHeight="true" outlineLevel="0" collapsed="false">
      <c r="J616" s="46" t="s">
        <v>1508</v>
      </c>
    </row>
    <row r="620" customFormat="false" ht="12.75" hidden="false" customHeight="true" outlineLevel="0" collapsed="false">
      <c r="B620" s="39" t="s">
        <v>1509</v>
      </c>
    </row>
    <row r="622" customFormat="false" ht="12" hidden="false" customHeight="true" outlineLevel="0" collapsed="false">
      <c r="B622" s="46" t="s">
        <v>1510</v>
      </c>
    </row>
    <row r="623" customFormat="false" ht="12" hidden="false" customHeight="true" outlineLevel="0" collapsed="false">
      <c r="B623" s="46" t="s">
        <v>1511</v>
      </c>
    </row>
    <row r="624" customFormat="false" ht="12" hidden="false" customHeight="true" outlineLevel="0" collapsed="false">
      <c r="B624" s="46" t="s">
        <v>1512</v>
      </c>
    </row>
    <row r="626" customFormat="false" ht="12" hidden="false" customHeight="true" outlineLevel="0" collapsed="false">
      <c r="B626" s="46" t="s">
        <v>1513</v>
      </c>
    </row>
    <row r="627" customFormat="false" ht="12" hidden="false" customHeight="true" outlineLevel="0" collapsed="false">
      <c r="B627" s="46" t="s">
        <v>1514</v>
      </c>
    </row>
    <row r="628" customFormat="false" ht="12" hidden="false" customHeight="true" outlineLevel="0" collapsed="false">
      <c r="B628" s="46" t="s">
        <v>1515</v>
      </c>
    </row>
    <row r="629" customFormat="false" ht="12" hidden="false" customHeight="true" outlineLevel="0" collapsed="false">
      <c r="B629" s="46" t="s">
        <v>1516</v>
      </c>
    </row>
    <row r="631" customFormat="false" ht="12" hidden="false" customHeight="true" outlineLevel="0" collapsed="false">
      <c r="B631" s="46" t="s">
        <v>1517</v>
      </c>
    </row>
    <row r="632" customFormat="false" ht="12" hidden="false" customHeight="true" outlineLevel="0" collapsed="false">
      <c r="B632" s="46" t="s">
        <v>1518</v>
      </c>
    </row>
    <row r="633" customFormat="false" ht="12" hidden="false" customHeight="true" outlineLevel="0" collapsed="false">
      <c r="B633" s="46" t="s">
        <v>1519</v>
      </c>
    </row>
    <row r="634" customFormat="false" ht="12" hidden="false" customHeight="true" outlineLevel="0" collapsed="false">
      <c r="B634" s="46" t="s">
        <v>1520</v>
      </c>
    </row>
    <row r="635" customFormat="false" ht="12" hidden="false" customHeight="true" outlineLevel="0" collapsed="false">
      <c r="B635" s="46" t="s">
        <v>1521</v>
      </c>
    </row>
    <row r="636" customFormat="false" ht="12" hidden="false" customHeight="true" outlineLevel="0" collapsed="false">
      <c r="B636" s="46" t="s">
        <v>1522</v>
      </c>
    </row>
    <row r="637" customFormat="false" ht="12" hidden="false" customHeight="true" outlineLevel="0" collapsed="false">
      <c r="B637" s="46" t="s">
        <v>1523</v>
      </c>
    </row>
    <row r="638" customFormat="false" ht="12" hidden="false" customHeight="true" outlineLevel="0" collapsed="false">
      <c r="B638" s="46" t="s">
        <v>1524</v>
      </c>
    </row>
    <row r="640" customFormat="false" ht="12" hidden="false" customHeight="true" outlineLevel="0" collapsed="false">
      <c r="B640" s="46" t="s">
        <v>1525</v>
      </c>
    </row>
    <row r="641" customFormat="false" ht="12" hidden="false" customHeight="true" outlineLevel="0" collapsed="false">
      <c r="B641" s="46" t="s">
        <v>1526</v>
      </c>
    </row>
    <row r="642" customFormat="false" ht="12" hidden="false" customHeight="true" outlineLevel="0" collapsed="false">
      <c r="B642" s="46" t="s">
        <v>1527</v>
      </c>
    </row>
    <row r="644" customFormat="false" ht="12" hidden="false" customHeight="true" outlineLevel="0" collapsed="false">
      <c r="B644" s="46" t="s">
        <v>1528</v>
      </c>
    </row>
    <row r="645" customFormat="false" ht="23.25" hidden="false" customHeight="true" outlineLevel="0" collapsed="false">
      <c r="B645" s="69" t="s">
        <v>1529</v>
      </c>
    </row>
    <row r="646" customFormat="false" ht="12" hidden="false" customHeight="true" outlineLevel="0" collapsed="false">
      <c r="B646" s="46" t="s">
        <v>1530</v>
      </c>
    </row>
    <row r="647" customFormat="false" ht="12" hidden="false" customHeight="true" outlineLevel="0" collapsed="false">
      <c r="B647" s="46" t="s">
        <v>1531</v>
      </c>
    </row>
    <row r="649" customFormat="false" ht="12" hidden="false" customHeight="true" outlineLevel="0" collapsed="false">
      <c r="B649" s="46" t="s">
        <v>1532</v>
      </c>
    </row>
    <row r="650" customFormat="false" ht="12" hidden="false" customHeight="true" outlineLevel="0" collapsed="false">
      <c r="B650" s="46" t="s">
        <v>1533</v>
      </c>
    </row>
    <row r="651" customFormat="false" ht="12" hidden="false" customHeight="true" outlineLevel="0" collapsed="false">
      <c r="B651" s="46" t="s">
        <v>1534</v>
      </c>
    </row>
    <row r="652" customFormat="false" ht="12" hidden="false" customHeight="true" outlineLevel="0" collapsed="false">
      <c r="B652" s="46" t="s">
        <v>1535</v>
      </c>
    </row>
    <row r="653" customFormat="false" ht="12" hidden="false" customHeight="true" outlineLevel="0" collapsed="false">
      <c r="B653" s="46" t="s">
        <v>1536</v>
      </c>
    </row>
    <row r="655" customFormat="false" ht="12" hidden="false" customHeight="true" outlineLevel="0" collapsed="false">
      <c r="B655" s="46" t="s">
        <v>1537</v>
      </c>
    </row>
    <row r="656" customFormat="false" ht="12" hidden="false" customHeight="true" outlineLevel="0" collapsed="false">
      <c r="B656" s="46" t="s">
        <v>1538</v>
      </c>
    </row>
    <row r="658" customFormat="false" ht="12.75" hidden="false" customHeight="true" outlineLevel="0" collapsed="false">
      <c r="A658" s="39" t="s">
        <v>1539</v>
      </c>
      <c r="B658" s="46" t="s">
        <v>1540</v>
      </c>
      <c r="F658" s="46" t="s">
        <v>1541</v>
      </c>
    </row>
    <row r="659" customFormat="false" ht="12" hidden="false" customHeight="true" outlineLevel="0" collapsed="false">
      <c r="B659" s="46" t="s">
        <v>1542</v>
      </c>
      <c r="F659" s="46" t="s">
        <v>1543</v>
      </c>
    </row>
    <row r="660" customFormat="false" ht="12" hidden="false" customHeight="true" outlineLevel="0" collapsed="false">
      <c r="B660" s="46" t="s">
        <v>1544</v>
      </c>
      <c r="F660" s="46" t="s">
        <v>1545</v>
      </c>
    </row>
    <row r="661" customFormat="false" ht="12" hidden="false" customHeight="true" outlineLevel="0" collapsed="false">
      <c r="B661" s="46" t="s">
        <v>1546</v>
      </c>
      <c r="F661" s="46" t="s">
        <v>1547</v>
      </c>
    </row>
    <row r="662" customFormat="false" ht="12" hidden="false" customHeight="true" outlineLevel="0" collapsed="false">
      <c r="B662" s="46" t="s">
        <v>1548</v>
      </c>
      <c r="F662" s="46" t="s">
        <v>1549</v>
      </c>
    </row>
    <row r="665" customFormat="false" ht="12" hidden="false" customHeight="true" outlineLevel="0" collapsed="false">
      <c r="B665" s="46" t="s">
        <v>1550</v>
      </c>
    </row>
    <row r="666" customFormat="false" ht="12" hidden="false" customHeight="true" outlineLevel="0" collapsed="false">
      <c r="B666" s="46" t="s">
        <v>1551</v>
      </c>
    </row>
    <row r="667" customFormat="false" ht="12" hidden="false" customHeight="true" outlineLevel="0" collapsed="false">
      <c r="B667" s="46" t="s">
        <v>1552</v>
      </c>
    </row>
    <row r="668" customFormat="false" ht="12" hidden="false" customHeight="true" outlineLevel="0" collapsed="false">
      <c r="B668" s="46" t="s">
        <v>1553</v>
      </c>
    </row>
    <row r="669" customFormat="false" ht="12" hidden="false" customHeight="true" outlineLevel="0" collapsed="false">
      <c r="B669" s="46" t="s">
        <v>1554</v>
      </c>
    </row>
    <row r="670" customFormat="false" ht="12" hidden="false" customHeight="true" outlineLevel="0" collapsed="false">
      <c r="B670" s="46" t="s">
        <v>1555</v>
      </c>
    </row>
    <row r="671" customFormat="false" ht="12" hidden="false" customHeight="true" outlineLevel="0" collapsed="false">
      <c r="B671" s="46" t="s">
        <v>1556</v>
      </c>
    </row>
    <row r="672" customFormat="false" ht="12" hidden="false" customHeight="true" outlineLevel="0" collapsed="false">
      <c r="B672" s="46" t="s">
        <v>1557</v>
      </c>
    </row>
    <row r="674" customFormat="false" ht="12" hidden="false" customHeight="true" outlineLevel="0" collapsed="false">
      <c r="B674" s="46" t="s">
        <v>1558</v>
      </c>
    </row>
    <row r="675" customFormat="false" ht="12" hidden="false" customHeight="true" outlineLevel="0" collapsed="false">
      <c r="B675" s="46" t="s">
        <v>1559</v>
      </c>
    </row>
    <row r="676" customFormat="false" ht="12" hidden="false" customHeight="true" outlineLevel="0" collapsed="false">
      <c r="B676" s="46" t="s">
        <v>1560</v>
      </c>
    </row>
    <row r="677" customFormat="false" ht="12" hidden="false" customHeight="true" outlineLevel="0" collapsed="false">
      <c r="B677" s="46" t="s">
        <v>1561</v>
      </c>
    </row>
    <row r="678" customFormat="false" ht="12" hidden="false" customHeight="true" outlineLevel="0" collapsed="false">
      <c r="B678" s="46" t="s">
        <v>1562</v>
      </c>
    </row>
    <row r="679" customFormat="false" ht="12" hidden="false" customHeight="true" outlineLevel="0" collapsed="false">
      <c r="B679" s="46" t="s">
        <v>1563</v>
      </c>
    </row>
    <row r="681" customFormat="false" ht="12.75" hidden="false" customHeight="true" outlineLevel="0" collapsed="false">
      <c r="A681" s="46" t="s">
        <v>1564</v>
      </c>
      <c r="B681" s="39" t="s">
        <v>1565</v>
      </c>
      <c r="D681" s="46" t="s">
        <v>1566</v>
      </c>
      <c r="I681" s="46" t="s">
        <v>1567</v>
      </c>
    </row>
    <row r="682" customFormat="false" ht="12.75" hidden="false" customHeight="true" outlineLevel="0" collapsed="false">
      <c r="B682" s="19"/>
      <c r="D682" s="46" t="s">
        <v>1568</v>
      </c>
      <c r="I682" s="46" t="s">
        <v>1569</v>
      </c>
    </row>
    <row r="683" customFormat="false" ht="12.75" hidden="false" customHeight="true" outlineLevel="0" collapsed="false">
      <c r="B683" s="19"/>
      <c r="D683" s="46" t="s">
        <v>1570</v>
      </c>
      <c r="I683" s="46" t="s">
        <v>1571</v>
      </c>
    </row>
    <row r="684" customFormat="false" ht="12.75" hidden="false" customHeight="true" outlineLevel="0" collapsed="false">
      <c r="B684" s="19"/>
      <c r="I684" s="46" t="s">
        <v>1572</v>
      </c>
    </row>
    <row r="685" customFormat="false" ht="12.75" hidden="false" customHeight="true" outlineLevel="0" collapsed="false">
      <c r="B685" s="19"/>
    </row>
    <row r="686" customFormat="false" ht="12.75" hidden="false" customHeight="true" outlineLevel="0" collapsed="false">
      <c r="B686" s="19"/>
    </row>
    <row r="687" customFormat="false" ht="12.75" hidden="false" customHeight="true" outlineLevel="0" collapsed="false">
      <c r="B687" s="39" t="s">
        <v>1573</v>
      </c>
      <c r="G687" s="46" t="s">
        <v>1574</v>
      </c>
    </row>
    <row r="688" customFormat="false" ht="12.75" hidden="false" customHeight="true" outlineLevel="0" collapsed="false">
      <c r="B688" s="19"/>
      <c r="G688" s="46" t="s">
        <v>1575</v>
      </c>
    </row>
    <row r="689" customFormat="false" ht="12.75" hidden="false" customHeight="true" outlineLevel="0" collapsed="false">
      <c r="B689" s="19"/>
      <c r="G689" s="46" t="s">
        <v>1576</v>
      </c>
    </row>
    <row r="690" customFormat="false" ht="12.75" hidden="false" customHeight="true" outlineLevel="0" collapsed="false">
      <c r="B690" s="19"/>
      <c r="G690" s="46" t="s">
        <v>1577</v>
      </c>
    </row>
    <row r="691" customFormat="false" ht="12.75" hidden="false" customHeight="true" outlineLevel="0" collapsed="false">
      <c r="B691" s="19"/>
      <c r="H691" s="46" t="s">
        <v>1578</v>
      </c>
    </row>
    <row r="692" customFormat="false" ht="12.75" hidden="false" customHeight="true" outlineLevel="0" collapsed="false">
      <c r="B692" s="39" t="s">
        <v>1579</v>
      </c>
      <c r="E692" s="46" t="s">
        <v>1580</v>
      </c>
    </row>
    <row r="693" customFormat="false" ht="12.75" hidden="false" customHeight="true" outlineLevel="0" collapsed="false">
      <c r="B693" s="19"/>
      <c r="E693" s="46" t="s">
        <v>1581</v>
      </c>
    </row>
    <row r="694" customFormat="false" ht="12.75" hidden="false" customHeight="true" outlineLevel="0" collapsed="false">
      <c r="B694" s="19"/>
      <c r="E694" s="46" t="s">
        <v>1582</v>
      </c>
    </row>
    <row r="696" customFormat="false" ht="12.75" hidden="false" customHeight="true" outlineLevel="0" collapsed="false">
      <c r="B696" s="39" t="s">
        <v>1583</v>
      </c>
      <c r="F696" s="46" t="s">
        <v>1584</v>
      </c>
    </row>
    <row r="698" customFormat="false" ht="12.75" hidden="false" customHeight="true" outlineLevel="0" collapsed="false">
      <c r="B698" s="39" t="s">
        <v>1585</v>
      </c>
      <c r="E698" s="46" t="s">
        <v>1586</v>
      </c>
    </row>
    <row r="699" customFormat="false" ht="12" hidden="false" customHeight="true" outlineLevel="0" collapsed="false">
      <c r="E699" s="46" t="s">
        <v>1587</v>
      </c>
    </row>
    <row r="701" customFormat="false" ht="12.75" hidden="false" customHeight="true" outlineLevel="0" collapsed="false">
      <c r="B701" s="39" t="s">
        <v>1588</v>
      </c>
      <c r="E701" s="46" t="s">
        <v>1589</v>
      </c>
    </row>
    <row r="702" customFormat="false" ht="12.75" hidden="false" customHeight="true" outlineLevel="0" collapsed="false">
      <c r="B702" s="19"/>
      <c r="E702" s="46" t="s">
        <v>1590</v>
      </c>
    </row>
    <row r="703" customFormat="false" ht="12.75" hidden="false" customHeight="true" outlineLevel="0" collapsed="false">
      <c r="B703" s="19"/>
    </row>
    <row r="704" customFormat="false" ht="12.75" hidden="false" customHeight="true" outlineLevel="0" collapsed="false">
      <c r="B704" s="39" t="s">
        <v>1591</v>
      </c>
    </row>
    <row r="705" customFormat="false" ht="12.75" hidden="false" customHeight="true" outlineLevel="0" collapsed="false">
      <c r="B705" s="19"/>
    </row>
    <row r="706" customFormat="false" ht="12.75" hidden="false" customHeight="true" outlineLevel="0" collapsed="false">
      <c r="B706" s="39" t="s">
        <v>1592</v>
      </c>
    </row>
    <row r="708" customFormat="false" ht="12.75" hidden="false" customHeight="true" outlineLevel="0" collapsed="false">
      <c r="A708" s="39" t="s">
        <v>1593</v>
      </c>
      <c r="C708" s="46" t="s">
        <v>1594</v>
      </c>
    </row>
    <row r="709" customFormat="false" ht="12.75" hidden="false" customHeight="true" outlineLevel="0" collapsed="false">
      <c r="C709" s="39" t="s">
        <v>1595</v>
      </c>
    </row>
    <row r="711" customFormat="false" ht="12" hidden="false" customHeight="true" outlineLevel="0" collapsed="false">
      <c r="C711" s="46" t="s">
        <v>1596</v>
      </c>
    </row>
    <row r="712" customFormat="false" ht="12.75" hidden="false" customHeight="true" outlineLevel="0" collapsed="false">
      <c r="C712" s="39" t="s">
        <v>1597</v>
      </c>
    </row>
    <row r="714" customFormat="false" ht="12" hidden="false" customHeight="true" outlineLevel="0" collapsed="false">
      <c r="C714" s="46" t="s">
        <v>1598</v>
      </c>
    </row>
    <row r="715" customFormat="false" ht="12.75" hidden="false" customHeight="true" outlineLevel="0" collapsed="false">
      <c r="C715" s="39" t="s">
        <v>1599</v>
      </c>
    </row>
    <row r="716" customFormat="false" ht="12.75" hidden="false" customHeight="true" outlineLevel="0" collapsed="false">
      <c r="C716" s="39" t="s">
        <v>1600</v>
      </c>
    </row>
    <row r="717" customFormat="false" ht="12.75" hidden="false" customHeight="true" outlineLevel="0" collapsed="false">
      <c r="C717" s="39" t="s">
        <v>1601</v>
      </c>
    </row>
    <row r="719" customFormat="false" ht="12" hidden="false" customHeight="true" outlineLevel="0" collapsed="false">
      <c r="C719" s="46" t="s">
        <v>1602</v>
      </c>
    </row>
    <row r="721" customFormat="false" ht="23.25" hidden="false" customHeight="true" outlineLevel="0" collapsed="false">
      <c r="C721" s="69" t="s">
        <v>1603</v>
      </c>
    </row>
    <row r="722" customFormat="false" ht="12.75" hidden="false" customHeight="true" outlineLevel="0" collapsed="false">
      <c r="C722" s="39" t="s">
        <v>1604</v>
      </c>
    </row>
    <row r="723" customFormat="false" ht="12.75" hidden="false" customHeight="true" outlineLevel="0" collapsed="false">
      <c r="C723" s="39" t="s">
        <v>1605</v>
      </c>
    </row>
    <row r="724" customFormat="false" ht="12.75" hidden="false" customHeight="true" outlineLevel="0" collapsed="false">
      <c r="C724" s="39" t="s">
        <v>1606</v>
      </c>
    </row>
    <row r="725" customFormat="false" ht="12.75" hidden="false" customHeight="true" outlineLevel="0" collapsed="false">
      <c r="C725" s="39" t="s">
        <v>1607</v>
      </c>
    </row>
    <row r="728" customFormat="false" ht="12.75" hidden="false" customHeight="true" outlineLevel="0" collapsed="false">
      <c r="B728" s="39" t="s">
        <v>1608</v>
      </c>
    </row>
    <row r="729" customFormat="false" ht="12" hidden="false" customHeight="true" outlineLevel="0" collapsed="false">
      <c r="B729" s="46" t="s">
        <v>1609</v>
      </c>
    </row>
    <row r="730" customFormat="false" ht="12" hidden="false" customHeight="true" outlineLevel="0" collapsed="false">
      <c r="B730" s="46" t="s">
        <v>1610</v>
      </c>
    </row>
    <row r="731" customFormat="false" ht="12" hidden="false" customHeight="true" outlineLevel="0" collapsed="false">
      <c r="B731" s="46" t="s">
        <v>1611</v>
      </c>
    </row>
    <row r="732" customFormat="false" ht="12" hidden="false" customHeight="true" outlineLevel="0" collapsed="false">
      <c r="B732" s="46" t="s">
        <v>1612</v>
      </c>
    </row>
    <row r="733" customFormat="false" ht="12" hidden="false" customHeight="true" outlineLevel="0" collapsed="false">
      <c r="B733" s="46" t="s">
        <v>1613</v>
      </c>
    </row>
    <row r="736" customFormat="false" ht="12.75" hidden="false" customHeight="true" outlineLevel="0" collapsed="false">
      <c r="B736" s="39" t="s">
        <v>1614</v>
      </c>
    </row>
    <row r="737" customFormat="false" ht="12" hidden="false" customHeight="true" outlineLevel="0" collapsed="false">
      <c r="B737" s="46" t="s">
        <v>1615</v>
      </c>
    </row>
    <row r="738" customFormat="false" ht="12" hidden="false" customHeight="true" outlineLevel="0" collapsed="false">
      <c r="B738" s="46" t="s">
        <v>1616</v>
      </c>
    </row>
    <row r="740" customFormat="false" ht="12.75" hidden="false" customHeight="true" outlineLevel="0" collapsed="false">
      <c r="B740" s="39" t="s">
        <v>1617</v>
      </c>
    </row>
    <row r="741" customFormat="false" ht="12" hidden="false" customHeight="true" outlineLevel="0" collapsed="false">
      <c r="B741" s="46" t="s">
        <v>1618</v>
      </c>
    </row>
    <row r="742" customFormat="false" ht="12" hidden="false" customHeight="true" outlineLevel="0" collapsed="false">
      <c r="B742" s="46" t="s">
        <v>1619</v>
      </c>
    </row>
    <row r="743" customFormat="false" ht="12" hidden="false" customHeight="true" outlineLevel="0" collapsed="false">
      <c r="B743" s="46" t="s">
        <v>1620</v>
      </c>
    </row>
    <row r="744" customFormat="false" ht="12" hidden="false" customHeight="true" outlineLevel="0" collapsed="false">
      <c r="B744" s="46" t="s">
        <v>1621</v>
      </c>
    </row>
    <row r="747" customFormat="false" ht="12.75" hidden="false" customHeight="true" outlineLevel="0" collapsed="false">
      <c r="B747" s="39" t="s">
        <v>1622</v>
      </c>
    </row>
    <row r="748" customFormat="false" ht="12" hidden="false" customHeight="true" outlineLevel="0" collapsed="false">
      <c r="A748" s="46" t="s">
        <v>1623</v>
      </c>
      <c r="B748" s="46" t="s">
        <v>1624</v>
      </c>
    </row>
    <row r="749" customFormat="false" ht="12" hidden="false" customHeight="true" outlineLevel="0" collapsed="false">
      <c r="A749" s="46" t="s">
        <v>1625</v>
      </c>
      <c r="B749" s="46" t="s">
        <v>1626</v>
      </c>
    </row>
    <row r="750" customFormat="false" ht="12" hidden="false" customHeight="true" outlineLevel="0" collapsed="false">
      <c r="B750" s="46" t="s">
        <v>1627</v>
      </c>
    </row>
    <row r="751" customFormat="false" ht="12" hidden="false" customHeight="true" outlineLevel="0" collapsed="false">
      <c r="B751" s="46" t="s">
        <v>1628</v>
      </c>
    </row>
    <row r="753" customFormat="false" ht="12" hidden="false" customHeight="true" outlineLevel="0" collapsed="false">
      <c r="A753" s="46" t="s">
        <v>1629</v>
      </c>
      <c r="B753" s="46" t="s">
        <v>1630</v>
      </c>
    </row>
    <row r="754" customFormat="false" ht="12" hidden="false" customHeight="true" outlineLevel="0" collapsed="false">
      <c r="B754" s="46" t="s">
        <v>1631</v>
      </c>
    </row>
    <row r="755" customFormat="false" ht="12" hidden="false" customHeight="true" outlineLevel="0" collapsed="false">
      <c r="B755" s="46" t="s">
        <v>1632</v>
      </c>
    </row>
    <row r="756" customFormat="false" ht="12" hidden="false" customHeight="true" outlineLevel="0" collapsed="false">
      <c r="B756" s="46" t="s">
        <v>1633</v>
      </c>
    </row>
    <row r="757" customFormat="false" ht="12" hidden="false" customHeight="true" outlineLevel="0" collapsed="false">
      <c r="B757" s="46" t="s">
        <v>1634</v>
      </c>
    </row>
    <row r="758" customFormat="false" ht="12" hidden="false" customHeight="true" outlineLevel="0" collapsed="false">
      <c r="B758" s="46" t="s">
        <v>1635</v>
      </c>
    </row>
    <row r="759" customFormat="false" ht="12" hidden="false" customHeight="true" outlineLevel="0" collapsed="false">
      <c r="B759" s="46" t="s">
        <v>1636</v>
      </c>
    </row>
    <row r="760" customFormat="false" ht="12" hidden="false" customHeight="true" outlineLevel="0" collapsed="false">
      <c r="B760" s="46" t="s">
        <v>1637</v>
      </c>
    </row>
    <row r="762" customFormat="false" ht="12" hidden="false" customHeight="true" outlineLevel="0" collapsed="false">
      <c r="A762" s="46" t="s">
        <v>1638</v>
      </c>
      <c r="B762" s="46" t="s">
        <v>1639</v>
      </c>
    </row>
    <row r="763" customFormat="false" ht="12" hidden="false" customHeight="true" outlineLevel="0" collapsed="false">
      <c r="B763" s="46" t="s">
        <v>1640</v>
      </c>
    </row>
    <row r="764" customFormat="false" ht="12" hidden="false" customHeight="true" outlineLevel="0" collapsed="false">
      <c r="B764" s="46" t="s">
        <v>1641</v>
      </c>
    </row>
    <row r="765" customFormat="false" ht="12" hidden="false" customHeight="true" outlineLevel="0" collapsed="false">
      <c r="B765" s="46" t="s">
        <v>1642</v>
      </c>
    </row>
    <row r="766" customFormat="false" ht="12" hidden="false" customHeight="true" outlineLevel="0" collapsed="false">
      <c r="B766" s="46" t="s">
        <v>1643</v>
      </c>
    </row>
    <row r="767" customFormat="false" ht="12" hidden="false" customHeight="true" outlineLevel="0" collapsed="false">
      <c r="B767" s="46" t="s">
        <v>1644</v>
      </c>
    </row>
    <row r="768" customFormat="false" ht="12" hidden="false" customHeight="true" outlineLevel="0" collapsed="false">
      <c r="B768" s="46" t="s">
        <v>1645</v>
      </c>
    </row>
    <row r="769" customFormat="false" ht="12" hidden="false" customHeight="true" outlineLevel="0" collapsed="false">
      <c r="B769" s="46" t="s">
        <v>1646</v>
      </c>
    </row>
    <row r="770" customFormat="false" ht="12" hidden="false" customHeight="true" outlineLevel="0" collapsed="false">
      <c r="B770" s="46" t="s">
        <v>1647</v>
      </c>
    </row>
    <row r="771" customFormat="false" ht="12" hidden="false" customHeight="true" outlineLevel="0" collapsed="false">
      <c r="B771" s="46" t="s">
        <v>1648</v>
      </c>
    </row>
    <row r="774" customFormat="false" ht="12" hidden="false" customHeight="true" outlineLevel="0" collapsed="false">
      <c r="A774" s="46" t="s">
        <v>1649</v>
      </c>
      <c r="B774" s="46" t="s">
        <v>1650</v>
      </c>
    </row>
    <row r="775" customFormat="false" ht="12" hidden="false" customHeight="true" outlineLevel="0" collapsed="false">
      <c r="B775" s="46" t="s">
        <v>1651</v>
      </c>
    </row>
    <row r="776" customFormat="false" ht="12" hidden="false" customHeight="true" outlineLevel="0" collapsed="false">
      <c r="B776" s="46" t="s">
        <v>1652</v>
      </c>
    </row>
    <row r="777" customFormat="false" ht="12" hidden="false" customHeight="true" outlineLevel="0" collapsed="false">
      <c r="B777" s="46" t="s">
        <v>1653</v>
      </c>
    </row>
    <row r="778" customFormat="false" ht="12" hidden="false" customHeight="true" outlineLevel="0" collapsed="false">
      <c r="B778" s="46" t="s">
        <v>1654</v>
      </c>
    </row>
    <row r="780" customFormat="false" ht="12" hidden="false" customHeight="true" outlineLevel="0" collapsed="false">
      <c r="A780" s="46" t="s">
        <v>1316</v>
      </c>
      <c r="B780" s="46" t="s">
        <v>1655</v>
      </c>
    </row>
    <row r="781" customFormat="false" ht="12" hidden="false" customHeight="true" outlineLevel="0" collapsed="false">
      <c r="B781" s="46" t="s">
        <v>1656</v>
      </c>
    </row>
    <row r="782" customFormat="false" ht="12" hidden="false" customHeight="true" outlineLevel="0" collapsed="false">
      <c r="B782" s="46" t="s">
        <v>1657</v>
      </c>
    </row>
    <row r="783" customFormat="false" ht="12" hidden="false" customHeight="true" outlineLevel="0" collapsed="false">
      <c r="B783" s="46" t="s">
        <v>1658</v>
      </c>
    </row>
    <row r="785" customFormat="false" ht="12" hidden="false" customHeight="true" outlineLevel="0" collapsed="false">
      <c r="A785" s="46" t="s">
        <v>1659</v>
      </c>
      <c r="B785" s="46" t="s">
        <v>1660</v>
      </c>
    </row>
    <row r="786" customFormat="false" ht="12" hidden="false" customHeight="true" outlineLevel="0" collapsed="false">
      <c r="B786" s="46" t="s">
        <v>1661</v>
      </c>
    </row>
    <row r="787" customFormat="false" ht="12" hidden="false" customHeight="true" outlineLevel="0" collapsed="false">
      <c r="B787" s="46" t="s">
        <v>1662</v>
      </c>
    </row>
    <row r="788" customFormat="false" ht="12" hidden="false" customHeight="true" outlineLevel="0" collapsed="false">
      <c r="J788" s="46" t="s">
        <v>1663</v>
      </c>
    </row>
    <row r="789" customFormat="false" ht="12" hidden="false" customHeight="true" outlineLevel="0" collapsed="false">
      <c r="A789" s="46" t="s">
        <v>1664</v>
      </c>
      <c r="B789" s="46" t="s">
        <v>1665</v>
      </c>
      <c r="J789" s="46" t="s">
        <v>1666</v>
      </c>
    </row>
    <row r="790" customFormat="false" ht="12" hidden="false" customHeight="true" outlineLevel="0" collapsed="false">
      <c r="J790" s="46" t="s">
        <v>1667</v>
      </c>
    </row>
    <row r="791" customFormat="false" ht="12" hidden="false" customHeight="true" outlineLevel="0" collapsed="false">
      <c r="J791" s="46" t="s">
        <v>1316</v>
      </c>
    </row>
  </sheetData>
  <mergeCells count="10">
    <mergeCell ref="B113:C113"/>
    <mergeCell ref="B114:B116"/>
    <mergeCell ref="B117:B119"/>
    <mergeCell ref="B120:B122"/>
    <mergeCell ref="B123:B125"/>
    <mergeCell ref="B188:C188"/>
    <mergeCell ref="B189:B191"/>
    <mergeCell ref="B192:B194"/>
    <mergeCell ref="B195:B197"/>
    <mergeCell ref="B198:B200"/>
  </mergeCells>
  <printOptions headings="false" gridLines="true" gridLinesSet="true" horizontalCentered="false" verticalCentered="false"/>
  <pageMargins left="0.75" right="0.75" top="1" bottom="1" header="0.5" footer="0.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2000-06-19T08:39:27Z</dcterms:created>
  <dc:creator>Sharma, Arvind1 [ICG-RSCH]</dc:creator>
  <dc:description/>
  <dc:language>en-US</dc:language>
  <cp:lastModifiedBy/>
  <cp:lastPrinted>2020-02-12T14:43:55Z</cp:lastPrinted>
  <dcterms:modified xsi:type="dcterms:W3CDTF">2026-09-08T13:46:11Z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_ID">
    <vt:lpwstr>30454750</vt:lpwstr>
  </property>
  <property fmtid="{D5CDD505-2E9C-101B-9397-08002B2CF9AE}" pid="3" name="DisclaimerVersion">
    <vt:lpwstr>1.0.33</vt:lpwstr>
  </property>
  <property fmtid="{D5CDD505-2E9C-101B-9397-08002B2CF9AE}" pid="4" name="DisclosureVersion">
    <vt:lpwstr>1.0.77</vt:lpwstr>
  </property>
  <property fmtid="{D5CDD505-2E9C-101B-9397-08002B2CF9AE}" pid="5" name="MSIP_Label_0133068c-5f3b-4062-adca-9b17e9c90306_ActionId">
    <vt:lpwstr>6822bb8e-1888-48e5-a4b9-6931d20e29a9</vt:lpwstr>
  </property>
  <property fmtid="{D5CDD505-2E9C-101B-9397-08002B2CF9AE}" pid="6" name="MSIP_Label_0133068c-5f3b-4062-adca-9b17e9c90306_ContentBits">
    <vt:lpwstr>0</vt:lpwstr>
  </property>
  <property fmtid="{D5CDD505-2E9C-101B-9397-08002B2CF9AE}" pid="7" name="MSIP_Label_0133068c-5f3b-4062-adca-9b17e9c90306_Enabled">
    <vt:lpwstr>true</vt:lpwstr>
  </property>
  <property fmtid="{D5CDD505-2E9C-101B-9397-08002B2CF9AE}" pid="8" name="MSIP_Label_0133068c-5f3b-4062-adca-9b17e9c90306_Method">
    <vt:lpwstr>Privileged</vt:lpwstr>
  </property>
  <property fmtid="{D5CDD505-2E9C-101B-9397-08002B2CF9AE}" pid="9" name="MSIP_Label_0133068c-5f3b-4062-adca-9b17e9c90306_Name">
    <vt:lpwstr>Confidential</vt:lpwstr>
  </property>
  <property fmtid="{D5CDD505-2E9C-101B-9397-08002B2CF9AE}" pid="10" name="MSIP_Label_0133068c-5f3b-4062-adca-9b17e9c90306_SetDate">
    <vt:lpwstr>2021-10-05T14:02:56Z</vt:lpwstr>
  </property>
  <property fmtid="{D5CDD505-2E9C-101B-9397-08002B2CF9AE}" pid="11" name="MSIP_Label_0133068c-5f3b-4062-adca-9b17e9c90306_SiteId">
    <vt:lpwstr>1771ae17-e764-4e0f-a476-d4184d79a5d9</vt:lpwstr>
  </property>
  <property fmtid="{D5CDD505-2E9C-101B-9397-08002B2CF9AE}" pid="12" name="Owner">
    <vt:lpwstr>E6XYB6412478</vt:lpwstr>
  </property>
  <property fmtid="{D5CDD505-2E9C-101B-9397-08002B2CF9AE}" pid="13" name="RefreshDate">
    <vt:filetime>2026-08-13T18:30:00Z</vt:filetime>
  </property>
  <property fmtid="{D5CDD505-2E9C-101B-9397-08002B2CF9AE}" pid="14" name="RightsWATCHMark">
    <vt:lpwstr>1|CITI-GLOBAL-Public|{00000000-0000-0000-0000-000000000000}</vt:lpwstr>
  </property>
  <property fmtid="{D5CDD505-2E9C-101B-9397-08002B2CF9AE}" pid="15" name="Type">
    <vt:lpwstr>Company</vt:lpwstr>
  </property>
</Properties>
</file>